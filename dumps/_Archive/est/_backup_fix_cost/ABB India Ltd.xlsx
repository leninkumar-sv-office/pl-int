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6D4E003_43B6_4BAD_B64C_F4CC1FA6C913_.wvu.FilterData" localSheetId="0" hidden="1">'Trading History'!$A$4:$AO$56</definedName>
    <definedName name="_xlnm._FilterDatabase" localSheetId="0" hidden="1">'Trading History'!$A$4:$AO$56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8.380000000000001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6" t="n">
        <v>46049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4676</v>
      </c>
      <c r="F5" t="n">
        <v>4709.13</v>
      </c>
      <c r="G5" t="inlineStr">
        <is>
          <t>~</t>
        </is>
      </c>
      <c r="H5" t="n">
        <v>4.68</v>
      </c>
      <c r="I5" t="n">
        <v>28.45</v>
      </c>
    </row>
    <row r="6">
      <c r="A6" s="86" t="n">
        <v>46043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4691.5</v>
      </c>
      <c r="F6" t="n">
        <v>9449.110000000001</v>
      </c>
      <c r="G6" t="inlineStr">
        <is>
          <t>~</t>
        </is>
      </c>
      <c r="H6" t="n">
        <v>9.23</v>
      </c>
      <c r="I6" t="n">
        <v>56.88</v>
      </c>
    </row>
    <row r="7">
      <c r="A7" s="86" t="n">
        <v>46038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4954.5</v>
      </c>
      <c r="F7" t="n">
        <v>4989.59</v>
      </c>
      <c r="G7" t="inlineStr">
        <is>
          <t>~</t>
        </is>
      </c>
      <c r="H7" t="n">
        <v>4.95</v>
      </c>
      <c r="I7" t="n">
        <v>30.14</v>
      </c>
    </row>
    <row r="8">
      <c r="A8" s="86" t="n">
        <v>46034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5009</v>
      </c>
      <c r="F8" t="n">
        <v>5044.49</v>
      </c>
      <c r="G8" t="inlineStr">
        <is>
          <t>~</t>
        </is>
      </c>
      <c r="H8" t="n">
        <v>5.02</v>
      </c>
      <c r="I8" t="n">
        <v>30.47</v>
      </c>
    </row>
    <row r="9">
      <c r="A9" s="86" t="n">
        <v>46030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5157</v>
      </c>
      <c r="F9" t="n">
        <v>5193.53</v>
      </c>
      <c r="G9" t="inlineStr">
        <is>
          <t>~</t>
        </is>
      </c>
      <c r="H9" t="n">
        <v>5.14</v>
      </c>
      <c r="I9" t="n">
        <v>31.39</v>
      </c>
    </row>
    <row r="10">
      <c r="A10" s="86" t="n">
        <v>46020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5180.5</v>
      </c>
      <c r="F10" t="n">
        <v>5217.26</v>
      </c>
      <c r="G10" t="inlineStr">
        <is>
          <t>~</t>
        </is>
      </c>
      <c r="H10" t="n">
        <v>5.2</v>
      </c>
      <c r="I10" t="n">
        <v>31.56</v>
      </c>
    </row>
    <row r="11">
      <c r="A11" s="86" t="n">
        <v>46017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5232</v>
      </c>
      <c r="F11" t="n">
        <v>5269.08</v>
      </c>
      <c r="G11" t="inlineStr">
        <is>
          <t>~</t>
        </is>
      </c>
      <c r="H11" t="n">
        <v>5.25</v>
      </c>
      <c r="I11" t="n">
        <v>31.83</v>
      </c>
    </row>
    <row r="12">
      <c r="A12" s="86" t="n">
        <v>46015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5244.5</v>
      </c>
      <c r="F12" t="n">
        <v>5281.65</v>
      </c>
      <c r="G12" t="inlineStr">
        <is>
          <t>~</t>
        </is>
      </c>
      <c r="H12" t="n">
        <v>5.21</v>
      </c>
      <c r="I12" t="n">
        <v>31.94</v>
      </c>
    </row>
    <row r="13">
      <c r="A13" s="86" t="n">
        <v>46014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5187.5</v>
      </c>
      <c r="F13" t="n">
        <v>5224.24</v>
      </c>
      <c r="G13" t="inlineStr">
        <is>
          <t>~</t>
        </is>
      </c>
      <c r="H13" t="n">
        <v>5.17</v>
      </c>
      <c r="I13" t="n">
        <v>31.57</v>
      </c>
    </row>
    <row r="14">
      <c r="A14" s="86" t="n">
        <v>46009</v>
      </c>
      <c r="B14" t="inlineStr">
        <is>
          <t>BSE</t>
        </is>
      </c>
      <c r="C14" t="inlineStr">
        <is>
          <t>Buy</t>
        </is>
      </c>
      <c r="D14" t="n">
        <v>1</v>
      </c>
      <c r="E14" t="n">
        <v>5116</v>
      </c>
      <c r="F14" t="n">
        <v>5152.32</v>
      </c>
      <c r="G14" t="inlineStr">
        <is>
          <t>~</t>
        </is>
      </c>
      <c r="H14" t="n">
        <v>5.13</v>
      </c>
      <c r="I14" t="n">
        <v>31.19</v>
      </c>
    </row>
    <row r="15">
      <c r="A15" s="86" t="n">
        <v>46007</v>
      </c>
      <c r="B15" t="inlineStr">
        <is>
          <t>BSE</t>
        </is>
      </c>
      <c r="C15" t="inlineStr">
        <is>
          <t>Buy</t>
        </is>
      </c>
      <c r="D15" t="n">
        <v>1</v>
      </c>
      <c r="E15" t="n">
        <v>5268.75</v>
      </c>
      <c r="F15" t="n">
        <v>5306.15</v>
      </c>
      <c r="G15" t="inlineStr">
        <is>
          <t>~</t>
        </is>
      </c>
      <c r="H15" t="n">
        <v>5.26</v>
      </c>
      <c r="I15" t="n">
        <v>32.14</v>
      </c>
    </row>
    <row r="16">
      <c r="A16" s="86" t="n">
        <v>46006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5211.65</v>
      </c>
      <c r="F16" t="n">
        <v>5248.71</v>
      </c>
      <c r="G16" t="inlineStr">
        <is>
          <t>~</t>
        </is>
      </c>
      <c r="H16" t="n">
        <v>5.24</v>
      </c>
      <c r="I16" t="n">
        <v>31.82</v>
      </c>
    </row>
    <row r="17">
      <c r="A17" s="86" t="n">
        <v>45971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4987</v>
      </c>
      <c r="F17" t="n">
        <v>10044.63</v>
      </c>
      <c r="G17" t="inlineStr">
        <is>
          <t>~</t>
        </is>
      </c>
      <c r="H17" t="n">
        <v>9.92</v>
      </c>
      <c r="I17" t="n">
        <v>60.71</v>
      </c>
    </row>
    <row r="18">
      <c r="A18" s="86" t="n">
        <v>45968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5032.5</v>
      </c>
      <c r="F18" t="n">
        <v>10136.32</v>
      </c>
      <c r="G18" t="inlineStr">
        <is>
          <t>~</t>
        </is>
      </c>
      <c r="H18" t="n">
        <v>10.05</v>
      </c>
      <c r="I18" t="n">
        <v>61.27</v>
      </c>
    </row>
    <row r="19">
      <c r="A19" s="86" t="n">
        <v>45957</v>
      </c>
      <c r="B19" t="inlineStr">
        <is>
          <t>BSE</t>
        </is>
      </c>
      <c r="C19" t="inlineStr">
        <is>
          <t>Buy</t>
        </is>
      </c>
      <c r="D19" t="n">
        <v>2</v>
      </c>
      <c r="E19" t="n">
        <v>5210.75</v>
      </c>
      <c r="F19" t="n">
        <v>10495.49</v>
      </c>
      <c r="G19" t="inlineStr">
        <is>
          <t>~</t>
        </is>
      </c>
      <c r="H19" t="n">
        <v>10.46</v>
      </c>
      <c r="I19" t="n">
        <v>63.53</v>
      </c>
    </row>
    <row r="20">
      <c r="A20" s="86" t="n">
        <v>45954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5196.5</v>
      </c>
      <c r="F20" t="n">
        <v>10466.7</v>
      </c>
      <c r="G20" t="inlineStr">
        <is>
          <t>~</t>
        </is>
      </c>
      <c r="H20" t="n">
        <v>10.41</v>
      </c>
      <c r="I20" t="n">
        <v>63.29</v>
      </c>
    </row>
    <row r="21">
      <c r="A21" s="86" t="n">
        <v>45953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5240</v>
      </c>
      <c r="F21" t="n">
        <v>10554.25</v>
      </c>
      <c r="G21" t="inlineStr">
        <is>
          <t>~</t>
        </is>
      </c>
      <c r="H21" t="n">
        <v>10.44</v>
      </c>
      <c r="I21" t="n">
        <v>63.81</v>
      </c>
    </row>
    <row r="22">
      <c r="A22" s="86" t="n">
        <v>45950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5239</v>
      </c>
      <c r="F22" t="n">
        <v>10552.28</v>
      </c>
      <c r="G22" t="inlineStr">
        <is>
          <t>~</t>
        </is>
      </c>
      <c r="H22" t="n">
        <v>10.47</v>
      </c>
      <c r="I22" t="n">
        <v>63.81</v>
      </c>
    </row>
    <row r="23">
      <c r="A23" s="86" t="n">
        <v>45947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5195.3</v>
      </c>
      <c r="F23" t="n">
        <v>10464.36</v>
      </c>
      <c r="G23" t="inlineStr">
        <is>
          <t>~</t>
        </is>
      </c>
      <c r="H23" t="n">
        <v>10.42</v>
      </c>
      <c r="I23" t="n">
        <v>63.34</v>
      </c>
    </row>
    <row r="24">
      <c r="A24" s="86" t="n">
        <v>45924</v>
      </c>
      <c r="B24" t="inlineStr">
        <is>
          <t>NSE</t>
        </is>
      </c>
      <c r="C24" t="inlineStr">
        <is>
          <t>Buy</t>
        </is>
      </c>
      <c r="D24" t="n">
        <v>1</v>
      </c>
      <c r="E24" t="n">
        <v>5316.6</v>
      </c>
      <c r="F24" t="n">
        <v>5354.25</v>
      </c>
      <c r="G24" t="inlineStr">
        <is>
          <t>~</t>
        </is>
      </c>
      <c r="H24" t="n">
        <v>5.3</v>
      </c>
      <c r="I24" t="n">
        <v>32.35</v>
      </c>
    </row>
    <row r="25">
      <c r="A25" s="86" t="n">
        <v>45924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5316.7</v>
      </c>
      <c r="F25" t="n">
        <v>5354.39</v>
      </c>
      <c r="G25" t="inlineStr">
        <is>
          <t>~</t>
        </is>
      </c>
      <c r="H25" t="n">
        <v>5.3</v>
      </c>
      <c r="I25" t="n">
        <v>32.39</v>
      </c>
    </row>
    <row r="26">
      <c r="A26" s="86" t="n">
        <v>45903</v>
      </c>
      <c r="B26" t="inlineStr">
        <is>
          <t>BSE</t>
        </is>
      </c>
      <c r="C26" t="inlineStr">
        <is>
          <t>Buy</t>
        </is>
      </c>
      <c r="D26" t="n">
        <v>2</v>
      </c>
      <c r="E26" t="n">
        <v>5192.65</v>
      </c>
      <c r="F26" t="n">
        <v>10459.02</v>
      </c>
      <c r="G26" t="inlineStr">
        <is>
          <t>~</t>
        </is>
      </c>
      <c r="H26" t="n">
        <v>10.41</v>
      </c>
      <c r="I26" t="n">
        <v>63.31</v>
      </c>
    </row>
    <row r="27">
      <c r="A27" s="38" t="n">
        <v>45957</v>
      </c>
      <c r="B27" s="39" t="inlineStr">
        <is>
          <t>BSE</t>
        </is>
      </c>
      <c r="C27" s="39" t="inlineStr">
        <is>
          <t>Buy</t>
        </is>
      </c>
      <c r="D27" s="40" t="n">
        <v>2</v>
      </c>
      <c r="E27" s="41" t="n">
        <v>5247.74</v>
      </c>
      <c r="F27" s="41">
        <f>(D5*E5) + I5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C5="Buy", ISBLANK(W5), B5&lt;&gt;"DIV"), L5/sum(F5:I5), "")</f>
        <v/>
      </c>
      <c r="L27" s="44">
        <f>IF(AND( C5="Buy", ISBLANK(W5), B5&lt;&gt;"DIV"), (1-Index!$F$2*2)*((J5*D5)-(E5*D5)), "")</f>
        <v/>
      </c>
      <c r="M27" s="44">
        <f>IF(AND( C5="Buy", ISBLANK(W5), B5&lt;&gt;"DIV"), ((E5*D5)+L5), "")</f>
        <v/>
      </c>
      <c r="N27" s="45">
        <f>IF(AND( C5="Buy", ISBLANK(W5), B5&lt;&gt;"DIV"), D5, "")</f>
        <v/>
      </c>
      <c r="O27" s="43">
        <f>IF(AND( C5="Buy", ISBLANK(W5), B5&lt;&gt;"DIV", NOW()-A5 &lt; 365), P5/sum(F5:I5), "")</f>
        <v/>
      </c>
      <c r="P27" s="44">
        <f>IF(AND( C5="Buy", ISBLANK(W5), B5&lt;&gt;"DIV", NOW()-A5 &lt; 365), (1-Index!$F$2*2)*((J5*D5)-(E5*D5)), "")</f>
        <v/>
      </c>
      <c r="Q27" s="44">
        <f>IF(AND( C5="Buy", ISBLANK(W5), B5&lt;&gt;"DIV", NOW()-A5 &lt; 365), ((E5*D5)+P5), "")</f>
        <v/>
      </c>
      <c r="R27" s="44">
        <f>IF(AND( C5="Buy", ISBLANK(W5), B5&lt;&gt;"DIV", NOW()-A5 &lt; 365), D5, "")</f>
        <v/>
      </c>
      <c r="S27" s="46">
        <f>IF(AND( C5="Buy", ISBLANK(W5), B5&lt;&gt;"DIV", NOW()-A5 &gt; 365), T5/sum(F5:I5), "")</f>
        <v/>
      </c>
      <c r="T27" s="47">
        <f>IF(AND( C5="Buy", ISBLANK(W5), B5&lt;&gt;"DIV", NOW()-A5 &gt; 365), (1-Index!$F$2*2)*((J5*D5)-(E5*D5)), "")</f>
        <v/>
      </c>
      <c r="U27" s="47">
        <f>IF(AND( C5="Buy", ISBLANK(W5), B5&lt;&gt;"DIV", NOW()-A5 &gt; 365), ((E5*D5)+T5), "")</f>
        <v/>
      </c>
      <c r="V27" s="47">
        <f>IF(AND( C5="Buy", ISBLANK(W5), B5&lt;&gt;"DIV", NOW()-A5 &gt; 365), D5, "")</f>
        <v/>
      </c>
      <c r="W27" s="47" t="n"/>
      <c r="X27" s="47" t="n"/>
      <c r="Y27" s="46">
        <f>IF(AND( C5="Buy", W5&lt;&gt;"", AA5&lt;&gt;"", B5&lt;&gt;"DIV"), Z5/sum(F5:I5), "")</f>
        <v/>
      </c>
      <c r="Z27" s="47" t="n"/>
      <c r="AA27" s="47" t="n"/>
      <c r="AB27" s="48" t="n"/>
      <c r="AC27" s="44">
        <f>if(B5="DIV", F5,"")</f>
        <v/>
      </c>
      <c r="AD27" s="49" t="n"/>
    </row>
    <row r="28">
      <c r="A28" s="38" t="n">
        <v>45954</v>
      </c>
      <c r="B28" s="39" t="inlineStr">
        <is>
          <t>BSE</t>
        </is>
      </c>
      <c r="C28" s="39" t="inlineStr">
        <is>
          <t>Buy</t>
        </is>
      </c>
      <c r="D28" s="40" t="n">
        <v>2</v>
      </c>
      <c r="E28" s="41" t="n">
        <v>5233.35</v>
      </c>
      <c r="F28" s="41">
        <f>(D6*E6) + I6</f>
        <v/>
      </c>
      <c r="G28" s="39" t="inlineStr">
        <is>
          <t>~</t>
        </is>
      </c>
      <c r="H28" s="40" t="n"/>
      <c r="I28" s="40" t="n"/>
      <c r="J28" s="42">
        <f>Index!$C$2</f>
        <v/>
      </c>
      <c r="K28" s="43">
        <f>IF(AND( C6="Buy", ISBLANK(W6), B6&lt;&gt;"DIV"), L6/sum(F6:I6), "")</f>
        <v/>
      </c>
      <c r="L28" s="44">
        <f>IF(AND( C6="Buy", ISBLANK(W6), B6&lt;&gt;"DIV"), (1-Index!$F$2*2)*((J6*D6)-(E6*D6)), "")</f>
        <v/>
      </c>
      <c r="M28" s="44">
        <f>IF(AND( C6="Buy", ISBLANK(W6), B6&lt;&gt;"DIV"), ((E6*D6)+L6), "")</f>
        <v/>
      </c>
      <c r="N28" s="45">
        <f>IF(AND( C6="Buy", ISBLANK(W6), B6&lt;&gt;"DIV"), D6, "")</f>
        <v/>
      </c>
      <c r="O28" s="43">
        <f>IF(AND( C6="Buy", ISBLANK(W6), B6&lt;&gt;"DIV", NOW()-A6 &lt; 365), P6/sum(F6:I6), "")</f>
        <v/>
      </c>
      <c r="P28" s="44">
        <f>IF(AND( C6="Buy", ISBLANK(W6), B6&lt;&gt;"DIV", NOW()-A6 &lt; 365), (1-Index!$F$2*2)*((J6*D6)-(E6*D6)), "")</f>
        <v/>
      </c>
      <c r="Q28" s="44">
        <f>IF(AND( C6="Buy", ISBLANK(W6), B6&lt;&gt;"DIV", NOW()-A6 &lt; 365), ((E6*D6)+P6), "")</f>
        <v/>
      </c>
      <c r="R28" s="44">
        <f>IF(AND( C6="Buy", ISBLANK(W6), B6&lt;&gt;"DIV", NOW()-A6 &lt; 365), D6, "")</f>
        <v/>
      </c>
      <c r="S28" s="46">
        <f>IF(AND( C6="Buy", ISBLANK(W6), B6&lt;&gt;"DIV", NOW()-A6 &gt; 365), T6/sum(F6:I6), "")</f>
        <v/>
      </c>
      <c r="T28" s="47">
        <f>IF(AND( C6="Buy", ISBLANK(W6), B6&lt;&gt;"DIV", NOW()-A6 &gt; 365), (1-Index!$F$2*2)*((J6*D6)-(E6*D6)), "")</f>
        <v/>
      </c>
      <c r="U28" s="47">
        <f>IF(AND( C6="Buy", ISBLANK(W6), B6&lt;&gt;"DIV", NOW()-A6 &gt; 365), ((E6*D6)+T6), "")</f>
        <v/>
      </c>
      <c r="V28" s="47">
        <f>IF(AND( C6="Buy", ISBLANK(W6), B6&lt;&gt;"DIV", NOW()-A6 &gt; 365), D6, "")</f>
        <v/>
      </c>
      <c r="W28" s="47" t="n"/>
      <c r="X28" s="47" t="n"/>
      <c r="Y28" s="46">
        <f>IF(AND( C6="Buy", W6&lt;&gt;"", AA6&lt;&gt;"", B6&lt;&gt;"DIV"), Z6/sum(F6:I6), "")</f>
        <v/>
      </c>
      <c r="Z28" s="47" t="n"/>
      <c r="AA28" s="47" t="n"/>
      <c r="AB28" s="48" t="n"/>
      <c r="AC28" s="44">
        <f>if(B6="DIV", F6,"")</f>
        <v/>
      </c>
      <c r="AD28" s="49" t="n"/>
    </row>
    <row r="29">
      <c r="A29" s="38" t="n">
        <v>45953</v>
      </c>
      <c r="B29" s="39" t="inlineStr">
        <is>
          <t>BSE</t>
        </is>
      </c>
      <c r="C29" s="39" t="inlineStr">
        <is>
          <t>Buy</t>
        </is>
      </c>
      <c r="D29" s="40" t="n">
        <v>2</v>
      </c>
      <c r="E29" s="41" t="n">
        <v>5277.12</v>
      </c>
      <c r="F29" s="41">
        <f>(D7*E7) + I7</f>
        <v/>
      </c>
      <c r="G29" s="39" t="inlineStr">
        <is>
          <t>~</t>
        </is>
      </c>
      <c r="H29" s="40" t="n"/>
      <c r="I29" s="40" t="n"/>
      <c r="J29" s="42">
        <f>Index!$C$2</f>
        <v/>
      </c>
      <c r="K29" s="43">
        <f>IF(AND( C7="Buy", ISBLANK(W7), B7&lt;&gt;"DIV"), L7/sum(F7:I7), "")</f>
        <v/>
      </c>
      <c r="L29" s="44">
        <f>IF(AND( C7="Buy", ISBLANK(W7), B7&lt;&gt;"DIV"), (1-Index!$F$2*2)*((J7*D7)-(E7*D7)), "")</f>
        <v/>
      </c>
      <c r="M29" s="44">
        <f>IF(AND( C7="Buy", ISBLANK(W7), B7&lt;&gt;"DIV"), ((E7*D7)+L7), "")</f>
        <v/>
      </c>
      <c r="N29" s="45">
        <f>IF(AND( C7="Buy", ISBLANK(W7), B7&lt;&gt;"DIV"), D7, "")</f>
        <v/>
      </c>
      <c r="O29" s="43">
        <f>IF(AND( C7="Buy", ISBLANK(W7), B7&lt;&gt;"DIV", NOW()-A7 &lt; 365), P7/sum(F7:I7), "")</f>
        <v/>
      </c>
      <c r="P29" s="44">
        <f>IF(AND( C7="Buy", ISBLANK(W7), B7&lt;&gt;"DIV", NOW()-A7 &lt; 365), (1-Index!$F$2*2)*((J7*D7)-(E7*D7)), "")</f>
        <v/>
      </c>
      <c r="Q29" s="44">
        <f>IF(AND( C7="Buy", ISBLANK(W7), B7&lt;&gt;"DIV", NOW()-A7 &lt; 365), ((E7*D7)+P7), "")</f>
        <v/>
      </c>
      <c r="R29" s="44">
        <f>IF(AND( C7="Buy", ISBLANK(W7), B7&lt;&gt;"DIV", NOW()-A7 &lt; 365), D7, "")</f>
        <v/>
      </c>
      <c r="S29" s="46">
        <f>IF(AND( C7="Buy", ISBLANK(W7), B7&lt;&gt;"DIV", NOW()-A7 &gt; 365), T7/sum(F7:I7), "")</f>
        <v/>
      </c>
      <c r="T29" s="47">
        <f>IF(AND( C7="Buy", ISBLANK(W7), B7&lt;&gt;"DIV", NOW()-A7 &gt; 365), (1-Index!$F$2*2)*((J7*D7)-(E7*D7)), "")</f>
        <v/>
      </c>
      <c r="U29" s="47">
        <f>IF(AND( C7="Buy", ISBLANK(W7), B7&lt;&gt;"DIV", NOW()-A7 &gt; 365), ((E7*D7)+T7), "")</f>
        <v/>
      </c>
      <c r="V29" s="47">
        <f>IF(AND( C7="Buy", ISBLANK(W7), B7&lt;&gt;"DIV", NOW()-A7 &gt; 365), D7, "")</f>
        <v/>
      </c>
      <c r="W29" s="47" t="n"/>
      <c r="X29" s="47" t="n"/>
      <c r="Y29" s="46">
        <f>IF(AND( C7="Buy", W7&lt;&gt;"", AA7&lt;&gt;"", B7&lt;&gt;"DIV"), Z7/sum(F7:I7), "")</f>
        <v/>
      </c>
      <c r="Z29" s="47" t="n"/>
      <c r="AA29" s="47" t="n"/>
      <c r="AB29" s="48" t="n"/>
      <c r="AC29" s="44">
        <f>if(B7="DIV", F7,"")</f>
        <v/>
      </c>
      <c r="AD29" s="49" t="n"/>
    </row>
    <row r="30">
      <c r="A30" s="38" t="n">
        <v>45950</v>
      </c>
      <c r="B30" s="39" t="inlineStr">
        <is>
          <t>BSE</t>
        </is>
      </c>
      <c r="C30" s="39" t="inlineStr">
        <is>
          <t>Buy</t>
        </is>
      </c>
      <c r="D30" s="40" t="n">
        <v>2</v>
      </c>
      <c r="E30" s="41" t="n">
        <v>5276.14</v>
      </c>
      <c r="F30" s="41">
        <f>(D8*E8) + I8</f>
        <v/>
      </c>
      <c r="G30" s="39" t="inlineStr">
        <is>
          <t>~</t>
        </is>
      </c>
      <c r="H30" s="40" t="n"/>
      <c r="I30" s="40" t="n"/>
      <c r="J30" s="42">
        <f>Index!$C$2</f>
        <v/>
      </c>
      <c r="K30" s="43">
        <f>IF(AND( C8="Buy", ISBLANK(W8), B8&lt;&gt;"DIV"), L8/sum(F8:I8), "")</f>
        <v/>
      </c>
      <c r="L30" s="44">
        <f>IF(AND( C8="Buy", ISBLANK(W8), B8&lt;&gt;"DIV"), (1-Index!$F$2*2)*((J8*D8)-(E8*D8)), "")</f>
        <v/>
      </c>
      <c r="M30" s="44">
        <f>IF(AND( C8="Buy", ISBLANK(W8), B8&lt;&gt;"DIV"), ((E8*D8)+L8), "")</f>
        <v/>
      </c>
      <c r="N30" s="45">
        <f>IF(AND( C8="Buy", ISBLANK(W8), B8&lt;&gt;"DIV"), D8, "")</f>
        <v/>
      </c>
      <c r="O30" s="43">
        <f>IF(AND( C8="Buy", ISBLANK(W8), B8&lt;&gt;"DIV", NOW()-A8 &lt; 365), P8/sum(F8:I8), "")</f>
        <v/>
      </c>
      <c r="P30" s="44">
        <f>IF(AND( C8="Buy", ISBLANK(W8), B8&lt;&gt;"DIV", NOW()-A8 &lt; 365), (1-Index!$F$2*2)*((J8*D8)-(E8*D8)), "")</f>
        <v/>
      </c>
      <c r="Q30" s="44">
        <f>IF(AND( C8="Buy", ISBLANK(W8), B8&lt;&gt;"DIV", NOW()-A8 &lt; 365), ((E8*D8)+P8), "")</f>
        <v/>
      </c>
      <c r="R30" s="44">
        <f>IF(AND( C8="Buy", ISBLANK(W8), B8&lt;&gt;"DIV", NOW()-A8 &lt; 365), D8, "")</f>
        <v/>
      </c>
      <c r="S30" s="46">
        <f>IF(AND( C8="Buy", ISBLANK(W8), B8&lt;&gt;"DIV", NOW()-A8 &gt; 365), T8/sum(F8:I8), "")</f>
        <v/>
      </c>
      <c r="T30" s="47">
        <f>IF(AND( C8="Buy", ISBLANK(W8), B8&lt;&gt;"DIV", NOW()-A8 &gt; 365), (1-Index!$F$2*2)*((J8*D8)-(E8*D8)), "")</f>
        <v/>
      </c>
      <c r="U30" s="47">
        <f>IF(AND( C8="Buy", ISBLANK(W8), B8&lt;&gt;"DIV", NOW()-A8 &gt; 365), ((E8*D8)+T8), "")</f>
        <v/>
      </c>
      <c r="V30" s="47">
        <f>IF(AND( C8="Buy", ISBLANK(W8), B8&lt;&gt;"DIV", NOW()-A8 &gt; 365), D8, "")</f>
        <v/>
      </c>
      <c r="W30" s="47" t="n"/>
      <c r="X30" s="47" t="n"/>
      <c r="Y30" s="46">
        <f>IF(AND( C8="Buy", W8&lt;&gt;"", AA8&lt;&gt;"", B8&lt;&gt;"DIV"), Z8/sum(F8:I8), "")</f>
        <v/>
      </c>
      <c r="Z30" s="47" t="n"/>
      <c r="AA30" s="47" t="n"/>
      <c r="AB30" s="48" t="n"/>
      <c r="AC30" s="44">
        <f>if(B8="DIV", F8,"")</f>
        <v/>
      </c>
      <c r="AD30" s="49" t="n"/>
    </row>
    <row r="31">
      <c r="A31" s="38" t="n">
        <v>45947</v>
      </c>
      <c r="B31" s="39" t="inlineStr">
        <is>
          <t>BSE</t>
        </is>
      </c>
      <c r="C31" s="39" t="inlineStr">
        <is>
          <t>Buy</t>
        </is>
      </c>
      <c r="D31" s="40" t="n">
        <v>2</v>
      </c>
      <c r="E31" s="41" t="n">
        <v>5232.18</v>
      </c>
      <c r="F31" s="41">
        <f>(D9*E9) + I9</f>
        <v/>
      </c>
      <c r="G31" s="39" t="inlineStr">
        <is>
          <t>~</t>
        </is>
      </c>
      <c r="H31" s="40" t="n"/>
      <c r="I31" s="40" t="n"/>
      <c r="J31" s="42">
        <f>Index!$C$2</f>
        <v/>
      </c>
      <c r="K31" s="43">
        <f>IF(AND( C9="Buy", ISBLANK(W9), B9&lt;&gt;"DIV"), L9/sum(F9:I9), "")</f>
        <v/>
      </c>
      <c r="L31" s="44">
        <f>IF(AND( C9="Buy", ISBLANK(W9), B9&lt;&gt;"DIV"), (1-Index!$F$2*2)*((J9*D9)-(E9*D9)), "")</f>
        <v/>
      </c>
      <c r="M31" s="44">
        <f>IF(AND( C9="Buy", ISBLANK(W9), B9&lt;&gt;"DIV"), ((E9*D9)+L9), "")</f>
        <v/>
      </c>
      <c r="N31" s="45">
        <f>IF(AND( C9="Buy", ISBLANK(W9), B9&lt;&gt;"DIV"), D9, "")</f>
        <v/>
      </c>
      <c r="O31" s="43">
        <f>IF(AND( C9="Buy", ISBLANK(W9), B9&lt;&gt;"DIV", NOW()-A9 &lt; 365), P9/sum(F9:I9), "")</f>
        <v/>
      </c>
      <c r="P31" s="44">
        <f>IF(AND( C9="Buy", ISBLANK(W9), B9&lt;&gt;"DIV", NOW()-A9 &lt; 365), (1-Index!$F$2*2)*((J9*D9)-(E9*D9)), "")</f>
        <v/>
      </c>
      <c r="Q31" s="44">
        <f>IF(AND( C9="Buy", ISBLANK(W9), B9&lt;&gt;"DIV", NOW()-A9 &lt; 365), ((E9*D9)+P9), "")</f>
        <v/>
      </c>
      <c r="R31" s="44">
        <f>IF(AND( C9="Buy", ISBLANK(W9), B9&lt;&gt;"DIV", NOW()-A9 &lt; 365), D9, "")</f>
        <v/>
      </c>
      <c r="S31" s="46">
        <f>IF(AND( C9="Buy", ISBLANK(W9), B9&lt;&gt;"DIV", NOW()-A9 &gt; 365), T9/sum(F9:I9), "")</f>
        <v/>
      </c>
      <c r="T31" s="47">
        <f>IF(AND( C9="Buy", ISBLANK(W9), B9&lt;&gt;"DIV", NOW()-A9 &gt; 365), (1-Index!$F$2*2)*((J9*D9)-(E9*D9)), "")</f>
        <v/>
      </c>
      <c r="U31" s="47">
        <f>IF(AND( C9="Buy", ISBLANK(W9), B9&lt;&gt;"DIV", NOW()-A9 &gt; 365), ((E9*D9)+T9), "")</f>
        <v/>
      </c>
      <c r="V31" s="47">
        <f>IF(AND( C9="Buy", ISBLANK(W9), B9&lt;&gt;"DIV", NOW()-A9 &gt; 365), D9, "")</f>
        <v/>
      </c>
      <c r="W31" s="47" t="n"/>
      <c r="X31" s="47" t="n"/>
      <c r="Y31" s="46">
        <f>IF(AND( C9="Buy", W9&lt;&gt;"", AA9&lt;&gt;"", B9&lt;&gt;"DIV"), Z9/sum(F9:I9), "")</f>
        <v/>
      </c>
      <c r="Z31" s="47" t="n"/>
      <c r="AA31" s="47" t="n"/>
      <c r="AB31" s="48" t="n"/>
      <c r="AC31" s="44">
        <f>if(B9="DIV", F9,"")</f>
        <v/>
      </c>
      <c r="AD31" s="49" t="n"/>
    </row>
    <row r="32">
      <c r="A32" s="38" t="n">
        <v>45924</v>
      </c>
      <c r="B32" s="39" t="inlineStr">
        <is>
          <t>BSE</t>
        </is>
      </c>
      <c r="C32" s="39" t="inlineStr">
        <is>
          <t>Buy</t>
        </is>
      </c>
      <c r="D32" s="40" t="n">
        <v>1</v>
      </c>
      <c r="E32" s="41" t="n">
        <v>5354.25</v>
      </c>
      <c r="F32" s="41">
        <f>(D10*E10) + I10</f>
        <v/>
      </c>
      <c r="G32" s="39" t="inlineStr">
        <is>
          <t>~</t>
        </is>
      </c>
      <c r="H32" s="40" t="n"/>
      <c r="I32" s="40" t="n"/>
      <c r="J32" s="42">
        <f>Index!$C$2</f>
        <v/>
      </c>
      <c r="K32" s="43">
        <f>IF(AND( C10="Buy", ISBLANK(W10), B10&lt;&gt;"DIV"), L10/sum(F10:I10), "")</f>
        <v/>
      </c>
      <c r="L32" s="44">
        <f>IF(AND( C10="Buy", ISBLANK(W10), B10&lt;&gt;"DIV"), (1-Index!$F$2*2)*((J10*D10)-(E10*D10)), "")</f>
        <v/>
      </c>
      <c r="M32" s="44">
        <f>IF(AND( C10="Buy", ISBLANK(W10), B10&lt;&gt;"DIV"), ((E10*D10)+L10), "")</f>
        <v/>
      </c>
      <c r="N32" s="45">
        <f>IF(AND( C10="Buy", ISBLANK(W10), B10&lt;&gt;"DIV"), D10, "")</f>
        <v/>
      </c>
      <c r="O32" s="43">
        <f>IF(AND( C10="Buy", ISBLANK(W10), B10&lt;&gt;"DIV", NOW()-A10 &lt; 365), P10/sum(F10:I10), "")</f>
        <v/>
      </c>
      <c r="P32" s="44">
        <f>IF(AND( C10="Buy", ISBLANK(W10), B10&lt;&gt;"DIV", NOW()-A10 &lt; 365), (1-Index!$F$2*2)*((J10*D10)-(E10*D10)), "")</f>
        <v/>
      </c>
      <c r="Q32" s="44">
        <f>IF(AND( C10="Buy", ISBLANK(W10), B10&lt;&gt;"DIV", NOW()-A10 &lt; 365), ((E10*D10)+P10), "")</f>
        <v/>
      </c>
      <c r="R32" s="44">
        <f>IF(AND( C10="Buy", ISBLANK(W10), B10&lt;&gt;"DIV", NOW()-A10 &lt; 365), D10, "")</f>
        <v/>
      </c>
      <c r="S32" s="46">
        <f>IF(AND( C10="Buy", ISBLANK(W10), B10&lt;&gt;"DIV", NOW()-A10 &gt; 365), T10/sum(F10:I10), "")</f>
        <v/>
      </c>
      <c r="T32" s="47">
        <f>IF(AND( C10="Buy", ISBLANK(W10), B10&lt;&gt;"DIV", NOW()-A10 &gt; 365), (1-Index!$F$2*2)*((J10*D10)-(E10*D10)), "")</f>
        <v/>
      </c>
      <c r="U32" s="47">
        <f>IF(AND( C10="Buy", ISBLANK(W10), B10&lt;&gt;"DIV", NOW()-A10 &gt; 365), ((E10*D10)+T10), "")</f>
        <v/>
      </c>
      <c r="V32" s="47">
        <f>IF(AND( C10="Buy", ISBLANK(W10), B10&lt;&gt;"DIV", NOW()-A10 &gt; 365), D10, "")</f>
        <v/>
      </c>
      <c r="W32" s="47" t="n"/>
      <c r="X32" s="47" t="n"/>
      <c r="Y32" s="46">
        <f>IF(AND( C10="Buy", W10&lt;&gt;"", AA10&lt;&gt;"", B10&lt;&gt;"DIV"), Z10/sum(F10:I10), "")</f>
        <v/>
      </c>
      <c r="Z32" s="47" t="n"/>
      <c r="AA32" s="47" t="n"/>
      <c r="AB32" s="48" t="n"/>
      <c r="AC32" s="44">
        <f>if(B10="DIV", F10,"")</f>
        <v/>
      </c>
      <c r="AD32" s="49" t="n"/>
    </row>
    <row r="33">
      <c r="A33" s="38" t="n">
        <v>45924</v>
      </c>
      <c r="B33" s="39" t="inlineStr">
        <is>
          <t>BSE</t>
        </is>
      </c>
      <c r="C33" s="39" t="inlineStr">
        <is>
          <t>Buy</t>
        </is>
      </c>
      <c r="D33" s="40" t="n">
        <v>1</v>
      </c>
      <c r="E33" s="41" t="n">
        <v>5354.39</v>
      </c>
      <c r="F33" s="41">
        <f>(D11*E11) + I11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C11="Buy", ISBLANK(W11), B11&lt;&gt;"DIV"), L11/sum(F11:I11), "")</f>
        <v/>
      </c>
      <c r="L33" s="44">
        <f>IF(AND( C11="Buy", ISBLANK(W11), B11&lt;&gt;"DIV"), (1-Index!$F$2*2)*((J11*D11)-(E11*D11)), "")</f>
        <v/>
      </c>
      <c r="M33" s="44">
        <f>IF(AND( C11="Buy", ISBLANK(W11), B11&lt;&gt;"DIV"), ((E11*D11)+L11), "")</f>
        <v/>
      </c>
      <c r="N33" s="45">
        <f>IF(AND( C11="Buy", ISBLANK(W11), B11&lt;&gt;"DIV"), D11, "")</f>
        <v/>
      </c>
      <c r="O33" s="43">
        <f>IF(AND( C11="Buy", ISBLANK(W11), B11&lt;&gt;"DIV", NOW()-A11 &lt; 365), P11/sum(F11:I11), "")</f>
        <v/>
      </c>
      <c r="P33" s="44">
        <f>IF(AND( C11="Buy", ISBLANK(W11), B11&lt;&gt;"DIV", NOW()-A11 &lt; 365), (1-Index!$F$2*2)*((J11*D11)-(E11*D11)), "")</f>
        <v/>
      </c>
      <c r="Q33" s="44">
        <f>IF(AND( C11="Buy", ISBLANK(W11), B11&lt;&gt;"DIV", NOW()-A11 &lt; 365), ((E11*D11)+P11), "")</f>
        <v/>
      </c>
      <c r="R33" s="44">
        <f>IF(AND( C11="Buy", ISBLANK(W11), B11&lt;&gt;"DIV", NOW()-A11 &lt; 365), D11, "")</f>
        <v/>
      </c>
      <c r="S33" s="46">
        <f>IF(AND( C11="Buy", ISBLANK(W11), B11&lt;&gt;"DIV", NOW()-A11 &gt; 365), T11/sum(F11:I11), "")</f>
        <v/>
      </c>
      <c r="T33" s="47">
        <f>IF(AND( C11="Buy", ISBLANK(W11), B11&lt;&gt;"DIV", NOW()-A11 &gt; 365), (1-Index!$F$2*2)*((J11*D11)-(E11*D11)), "")</f>
        <v/>
      </c>
      <c r="U33" s="47">
        <f>IF(AND( C11="Buy", ISBLANK(W11), B11&lt;&gt;"DIV", NOW()-A11 &gt; 365), ((E11*D11)+T11), "")</f>
        <v/>
      </c>
      <c r="V33" s="47">
        <f>IF(AND( C11="Buy", ISBLANK(W11), B11&lt;&gt;"DIV", NOW()-A11 &gt; 365), D11, "")</f>
        <v/>
      </c>
      <c r="W33" s="47" t="n"/>
      <c r="X33" s="47" t="n"/>
      <c r="Y33" s="46">
        <f>IF(AND( C11="Buy", W11&lt;&gt;"", AA11&lt;&gt;"", B11&lt;&gt;"DIV"), Z11/sum(F11:I11), "")</f>
        <v/>
      </c>
      <c r="Z33" s="47" t="n"/>
      <c r="AA33" s="47" t="n"/>
      <c r="AB33" s="48" t="n"/>
      <c r="AC33" s="44">
        <f>if(B11="DIV", F11,"")</f>
        <v/>
      </c>
      <c r="AD33" s="49" t="n"/>
    </row>
    <row r="34">
      <c r="A34" s="38" t="n">
        <v>45903</v>
      </c>
      <c r="B34" s="39" t="inlineStr">
        <is>
          <t>BSE</t>
        </is>
      </c>
      <c r="C34" s="39" t="inlineStr">
        <is>
          <t>Buy</t>
        </is>
      </c>
      <c r="D34" s="40" t="n">
        <v>2</v>
      </c>
      <c r="E34" s="41" t="n">
        <v>5229.51</v>
      </c>
      <c r="F34" s="41" t="n">
        <v>10459.02</v>
      </c>
      <c r="G34" s="39" t="inlineStr">
        <is>
          <t>~</t>
        </is>
      </c>
      <c r="H34" s="40" t="n">
        <v>10.41</v>
      </c>
      <c r="I34" s="40" t="n">
        <v>63.31</v>
      </c>
      <c r="J34" s="42">
        <f>Index!$C$2</f>
        <v/>
      </c>
      <c r="K34" s="43">
        <f>IF(AND( C12="Buy", ISBLANK(W12), B12&lt;&gt;"DIV"), L12/sum(F12:I12), "")</f>
        <v/>
      </c>
      <c r="L34" s="44">
        <f>IF(AND( C12="Buy", ISBLANK(W12), B12&lt;&gt;"DIV"), (1-Index!$F$2*2)*((J12*D12)-(E12*D12)), "")</f>
        <v/>
      </c>
      <c r="M34" s="44">
        <f>IF(AND( C12="Buy", ISBLANK(W12), B12&lt;&gt;"DIV"), ((E12*D12)+L12), "")</f>
        <v/>
      </c>
      <c r="N34" s="45">
        <f>IF(AND( C12="Buy", ISBLANK(W12), B12&lt;&gt;"DIV"), D12, "")</f>
        <v/>
      </c>
      <c r="O34" s="43">
        <f>IF(AND( C12="Buy", ISBLANK(W12), B12&lt;&gt;"DIV", NOW()-A12 &lt; 365), P12/sum(F12:I12), "")</f>
        <v/>
      </c>
      <c r="P34" s="44">
        <f>IF(AND( C12="Buy", ISBLANK(W12), B12&lt;&gt;"DIV", NOW()-A12 &lt; 365), (1-Index!$F$2*2)*((J12*D12)-(E12*D12)), "")</f>
        <v/>
      </c>
      <c r="Q34" s="44">
        <f>IF(AND( C12="Buy", ISBLANK(W12), B12&lt;&gt;"DIV", NOW()-A12 &lt; 365), ((E12*D12)+P12), "")</f>
        <v/>
      </c>
      <c r="R34" s="44">
        <f>IF(AND( C12="Buy", ISBLANK(W12), B12&lt;&gt;"DIV", NOW()-A12 &lt; 365), D12, "")</f>
        <v/>
      </c>
      <c r="S34" s="46">
        <f>IF(AND( C12="Buy", ISBLANK(W12), B12&lt;&gt;"DIV", NOW()-A12 &gt; 365), T12/sum(F12:I12), "")</f>
        <v/>
      </c>
      <c r="T34" s="47">
        <f>IF(AND( C12="Buy", ISBLANK(W12), B12&lt;&gt;"DIV", NOW()-A12 &gt; 365), (1-Index!$F$2*2)*((J12*D12)-(E12*D12)), "")</f>
        <v/>
      </c>
      <c r="U34" s="47">
        <f>IF(AND( C12="Buy", ISBLANK(W12), B12&lt;&gt;"DIV", NOW()-A12 &gt; 365), ((E12*D12)+T12), "")</f>
        <v/>
      </c>
      <c r="V34" s="47">
        <f>IF(AND( C12="Buy", ISBLANK(W12), B12&lt;&gt;"DIV", NOW()-A12 &gt; 365), D12, "")</f>
        <v/>
      </c>
      <c r="W34" s="47" t="n"/>
      <c r="X34" s="47" t="n"/>
      <c r="Y34" s="46">
        <f>IF(AND( C12="Buy", W12&lt;&gt;"", AA12&lt;&gt;"", B12&lt;&gt;"DIV"), Z12/sum(F12:I12), "")</f>
        <v/>
      </c>
      <c r="Z34" s="47" t="n"/>
      <c r="AA34" s="47" t="n"/>
      <c r="AB34" s="48" t="n"/>
      <c r="AC34" s="44">
        <f>if(B12="DIV", F12,"")</f>
        <v/>
      </c>
      <c r="AD34" s="49" t="n"/>
    </row>
    <row r="35">
      <c r="A35" s="38" t="n">
        <v>45877</v>
      </c>
      <c r="B35" s="39" t="inlineStr">
        <is>
          <t>DIV</t>
        </is>
      </c>
      <c r="C35" s="39" t="inlineStr">
        <is>
          <t>Buy</t>
        </is>
      </c>
      <c r="D35" s="40" t="n">
        <v>15</v>
      </c>
      <c r="E35" s="41" t="n">
        <v>9.77</v>
      </c>
      <c r="F35" s="41" t="n">
        <v>146.55</v>
      </c>
      <c r="G35" s="39" t="inlineStr">
        <is>
          <t>Interim-Dividend of Rs.9.7700/- per share on Ex-Date: 08-AUG-2025</t>
        </is>
      </c>
      <c r="H35" s="40" t="n">
        <v>0</v>
      </c>
      <c r="I35" s="40" t="n">
        <v>0</v>
      </c>
      <c r="J35" s="42">
        <f>Index!$C$2</f>
        <v/>
      </c>
      <c r="K35" s="43">
        <f>IF(AND( C13="Buy", ISBLANK(W13), B13&lt;&gt;"DIV"), L13/sum(F13:I13), "")</f>
        <v/>
      </c>
      <c r="L35" s="44">
        <f>IF(AND( C13="Buy", ISBLANK(W13), B13&lt;&gt;"DIV"), (1-Index!$F$2*2)*((J13*D13)-(E13*D13)), "")</f>
        <v/>
      </c>
      <c r="M35" s="44">
        <f>IF(AND( C13="Buy", ISBLANK(W13), B13&lt;&gt;"DIV"), ((E13*D13)+L13), "")</f>
        <v/>
      </c>
      <c r="N35" s="45">
        <f>IF(AND( C13="Buy", ISBLANK(W13), B13&lt;&gt;"DIV"), D13, "")</f>
        <v/>
      </c>
      <c r="O35" s="43">
        <f>IF(AND( C13="Buy", ISBLANK(W13), B13&lt;&gt;"DIV", NOW()-A13 &lt; 365), P13/sum(F13:I13), "")</f>
        <v/>
      </c>
      <c r="P35" s="44">
        <f>IF(AND( C13="Buy", ISBLANK(W13), B13&lt;&gt;"DIV", NOW()-A13 &lt; 365), (1-Index!$F$2*2)*((J13*D13)-(E13*D13)), "")</f>
        <v/>
      </c>
      <c r="Q35" s="44">
        <f>IF(AND( C13="Buy", ISBLANK(W13), B13&lt;&gt;"DIV", NOW()-A13 &lt; 365), ((E13*D13)+P13), "")</f>
        <v/>
      </c>
      <c r="R35" s="44">
        <f>IF(AND( C13="Buy", ISBLANK(W13), B13&lt;&gt;"DIV", NOW()-A13 &lt; 365), D13, "")</f>
        <v/>
      </c>
      <c r="S35" s="46">
        <f>IF(AND( C13="Buy", ISBLANK(W13), B13&lt;&gt;"DIV", NOW()-A13 &gt; 365), T13/sum(F13:I13), "")</f>
        <v/>
      </c>
      <c r="T35" s="47">
        <f>IF(AND( C13="Buy", ISBLANK(W13), B13&lt;&gt;"DIV", NOW()-A13 &gt; 365), (1-Index!$F$2*2)*((J13*D13)-(E13*D13)), "")</f>
        <v/>
      </c>
      <c r="U35" s="47">
        <f>IF(AND( C13="Buy", ISBLANK(W13), B13&lt;&gt;"DIV", NOW()-A13 &gt; 365), ((E13*D13)+T13), "")</f>
        <v/>
      </c>
      <c r="V35" s="47">
        <f>IF(AND( C13="Buy", ISBLANK(W13), B13&lt;&gt;"DIV", NOW()-A13 &gt; 365), D13, "")</f>
        <v/>
      </c>
      <c r="W35" s="47" t="n"/>
      <c r="X35" s="47" t="n"/>
      <c r="Y35" s="46">
        <f>IF(AND( C13="Buy", W13&lt;&gt;"", AA13&lt;&gt;"", B13&lt;&gt;"DIV"), Z13/sum(F13:I13), "")</f>
        <v/>
      </c>
      <c r="Z35" s="47" t="n"/>
      <c r="AA35" s="47" t="n"/>
      <c r="AB35" s="48" t="n"/>
      <c r="AC35" s="44">
        <f>if(B13="DIV", F13,"")</f>
        <v/>
      </c>
      <c r="AD35" s="49" t="n"/>
    </row>
    <row r="36">
      <c r="A36" s="38" t="n">
        <v>45820</v>
      </c>
      <c r="B36" s="39" t="inlineStr">
        <is>
          <t>NSE</t>
        </is>
      </c>
      <c r="C36" s="39" t="inlineStr">
        <is>
          <t>Buy</t>
        </is>
      </c>
      <c r="D36" s="40" t="n">
        <v>2</v>
      </c>
      <c r="E36" s="41" t="n">
        <v>6102.91</v>
      </c>
      <c r="F36" s="41" t="n">
        <v>12205.83</v>
      </c>
      <c r="G36" s="39" t="inlineStr">
        <is>
          <t>~</t>
        </is>
      </c>
      <c r="H36" s="40" t="n">
        <v>12.1</v>
      </c>
      <c r="I36" s="40" t="n">
        <v>73.73</v>
      </c>
      <c r="J36" s="42">
        <f>Index!$C$2</f>
        <v/>
      </c>
      <c r="K36" s="43">
        <f>IF(AND( C14="Buy", ISBLANK(W14), B14&lt;&gt;"DIV"), L14/sum(F14:I14), "")</f>
        <v/>
      </c>
      <c r="L36" s="44">
        <f>IF(AND( C14="Buy", ISBLANK(W14), B14&lt;&gt;"DIV"), (1-Index!$F$2*2)*((J14*D14)-(E14*D14)), "")</f>
        <v/>
      </c>
      <c r="M36" s="44">
        <f>IF(AND( C14="Buy", ISBLANK(W14), B14&lt;&gt;"DIV"), ((E14*D14)+L14), "")</f>
        <v/>
      </c>
      <c r="N36" s="45">
        <f>IF(AND( C14="Buy", ISBLANK(W14), B14&lt;&gt;"DIV"), D14, "")</f>
        <v/>
      </c>
      <c r="O36" s="43">
        <f>IF(AND( C14="Buy", ISBLANK(W14), B14&lt;&gt;"DIV", NOW()-A14 &lt; 365), P14/sum(F14:I14), "")</f>
        <v/>
      </c>
      <c r="P36" s="44">
        <f>IF(AND( C14="Buy", ISBLANK(W14), B14&lt;&gt;"DIV", NOW()-A14 &lt; 365), (1-Index!$F$2*2)*((J14*D14)-(E14*D14)), "")</f>
        <v/>
      </c>
      <c r="Q36" s="44">
        <f>IF(AND( C14="Buy", ISBLANK(W14), B14&lt;&gt;"DIV", NOW()-A14 &lt; 365), ((E14*D14)+P14), "")</f>
        <v/>
      </c>
      <c r="R36" s="44">
        <f>IF(AND( C14="Buy", ISBLANK(W14), B14&lt;&gt;"DIV", NOW()-A14 &lt; 365), D14, "")</f>
        <v/>
      </c>
      <c r="S36" s="46">
        <f>IF(AND( C14="Buy", ISBLANK(W14), B14&lt;&gt;"DIV", NOW()-A14 &gt; 365), T14/sum(F14:I14), "")</f>
        <v/>
      </c>
      <c r="T36" s="47">
        <f>IF(AND( C14="Buy", ISBLANK(W14), B14&lt;&gt;"DIV", NOW()-A14 &gt; 365), (1-Index!$F$2*2)*((J14*D14)-(E14*D14)), "")</f>
        <v/>
      </c>
      <c r="U36" s="47">
        <f>IF(AND( C14="Buy", ISBLANK(W14), B14&lt;&gt;"DIV", NOW()-A14 &gt; 365), ((E14*D14)+T14), "")</f>
        <v/>
      </c>
      <c r="V36" s="47">
        <f>IF(AND( C14="Buy", ISBLANK(W14), B14&lt;&gt;"DIV", NOW()-A14 &gt; 365), D14, "")</f>
        <v/>
      </c>
      <c r="W36" s="47" t="n"/>
      <c r="X36" s="47" t="n"/>
      <c r="Y36" s="46">
        <f>IF(AND( C14="Buy", W14&lt;&gt;"", AA14&lt;&gt;"", B14&lt;&gt;"DIV"), Z14/sum(F14:I14), "")</f>
        <v/>
      </c>
      <c r="Z36" s="47" t="n"/>
      <c r="AA36" s="47" t="n"/>
      <c r="AB36" s="48" t="n"/>
      <c r="AC36" s="44">
        <f>if(B14="DIV", F14,"")</f>
        <v/>
      </c>
      <c r="AD36" s="49" t="n"/>
    </row>
    <row r="37">
      <c r="A37" s="38" t="n">
        <v>45813</v>
      </c>
      <c r="B37" s="39" t="inlineStr">
        <is>
          <t>NSE</t>
        </is>
      </c>
      <c r="C37" s="39" t="inlineStr">
        <is>
          <t>Buy</t>
        </is>
      </c>
      <c r="D37" s="40" t="n">
        <v>1</v>
      </c>
      <c r="E37" s="41" t="n">
        <v>6088.55</v>
      </c>
      <c r="F37" s="41" t="n">
        <v>6088.55</v>
      </c>
      <c r="G37" s="39" t="inlineStr">
        <is>
          <t>~</t>
        </is>
      </c>
      <c r="H37" s="40" t="n">
        <v>5.69</v>
      </c>
      <c r="I37" s="40" t="n">
        <v>36.86</v>
      </c>
      <c r="J37" s="42">
        <f>Index!$C$2</f>
        <v/>
      </c>
      <c r="K37" s="43">
        <f>IF(AND( C15="Buy", ISBLANK(W15), B15&lt;&gt;"DIV"), L15/sum(F15:I15), "")</f>
        <v/>
      </c>
      <c r="L37" s="44">
        <f>IF(AND( C15="Buy", ISBLANK(W15), B15&lt;&gt;"DIV"), (1-Index!$F$2*2)*((J15*D15)-(E15*D15)), "")</f>
        <v/>
      </c>
      <c r="M37" s="44">
        <f>IF(AND( C15="Buy", ISBLANK(W15), B15&lt;&gt;"DIV"), ((E15*D15)+L15), "")</f>
        <v/>
      </c>
      <c r="N37" s="45">
        <f>IF(AND( C15="Buy", ISBLANK(W15), B15&lt;&gt;"DIV"), D15, "")</f>
        <v/>
      </c>
      <c r="O37" s="43">
        <f>IF(AND( C15="Buy", ISBLANK(W15), B15&lt;&gt;"DIV", NOW()-A15 &lt; 365), P15/sum(F15:I15), "")</f>
        <v/>
      </c>
      <c r="P37" s="44">
        <f>IF(AND( C15="Buy", ISBLANK(W15), B15&lt;&gt;"DIV", NOW()-A15 &lt; 365), (1-Index!$F$2*2)*((J15*D15)-(E15*D15)), "")</f>
        <v/>
      </c>
      <c r="Q37" s="44">
        <f>IF(AND( C15="Buy", ISBLANK(W15), B15&lt;&gt;"DIV", NOW()-A15 &lt; 365), ((E15*D15)+P15), "")</f>
        <v/>
      </c>
      <c r="R37" s="44">
        <f>IF(AND( C15="Buy", ISBLANK(W15), B15&lt;&gt;"DIV", NOW()-A15 &lt; 365), D15, "")</f>
        <v/>
      </c>
      <c r="S37" s="46">
        <f>IF(AND( C15="Buy", ISBLANK(W15), B15&lt;&gt;"DIV", NOW()-A15 &gt; 365), T15/sum(F15:I15), "")</f>
        <v/>
      </c>
      <c r="T37" s="47">
        <f>IF(AND( C15="Buy", ISBLANK(W15), B15&lt;&gt;"DIV", NOW()-A15 &gt; 365), (1-Index!$F$2*2)*((J15*D15)-(E15*D15)), "")</f>
        <v/>
      </c>
      <c r="U37" s="47">
        <f>IF(AND( C15="Buy", ISBLANK(W15), B15&lt;&gt;"DIV", NOW()-A15 &gt; 365), ((E15*D15)+T15), "")</f>
        <v/>
      </c>
      <c r="V37" s="47">
        <f>IF(AND( C15="Buy", ISBLANK(W15), B15&lt;&gt;"DIV", NOW()-A15 &gt; 365), D15, "")</f>
        <v/>
      </c>
      <c r="W37" s="47" t="n"/>
      <c r="X37" s="47" t="n"/>
      <c r="Y37" s="46">
        <f>IF(AND( C15="Buy", W15&lt;&gt;"", AA15&lt;&gt;"", B15&lt;&gt;"DIV"), Z15/sum(F15:I15), "")</f>
        <v/>
      </c>
      <c r="Z37" s="47" t="n"/>
      <c r="AA37" s="47" t="n"/>
      <c r="AB37" s="48" t="n"/>
      <c r="AC37" s="44">
        <f>if(B15="DIV", F15,"")</f>
        <v/>
      </c>
      <c r="AD37" s="49" t="n"/>
    </row>
    <row r="38">
      <c r="A38" s="38" t="n">
        <v>45811</v>
      </c>
      <c r="B38" s="39" t="inlineStr">
        <is>
          <t>NSE</t>
        </is>
      </c>
      <c r="C38" s="39" t="inlineStr">
        <is>
          <t>Buy</t>
        </is>
      </c>
      <c r="D38" s="40" t="n">
        <v>2</v>
      </c>
      <c r="E38" s="41" t="n">
        <v>6105.48</v>
      </c>
      <c r="F38" s="41" t="n">
        <v>12210.97</v>
      </c>
      <c r="G38" s="39" t="inlineStr">
        <is>
          <t>~</t>
        </is>
      </c>
      <c r="H38" s="40" t="n">
        <v>12.13</v>
      </c>
      <c r="I38" s="40" t="n">
        <v>73.84</v>
      </c>
      <c r="J38" s="42">
        <f>Index!$C$2</f>
        <v/>
      </c>
      <c r="K38" s="43">
        <f>IF(AND( C16="Buy", ISBLANK(W16), B16&lt;&gt;"DIV"), L16/sum(F16:I16), "")</f>
        <v/>
      </c>
      <c r="L38" s="44">
        <f>IF(AND( C16="Buy", ISBLANK(W16), B16&lt;&gt;"DIV"), (1-Index!$F$2*2)*((J16*D16)-(E16*D16)), "")</f>
        <v/>
      </c>
      <c r="M38" s="44">
        <f>IF(AND( C16="Buy", ISBLANK(W16), B16&lt;&gt;"DIV"), ((E16*D16)+L16), "")</f>
        <v/>
      </c>
      <c r="N38" s="45">
        <f>IF(AND( C16="Buy", ISBLANK(W16), B16&lt;&gt;"DIV"), D16, "")</f>
        <v/>
      </c>
      <c r="O38" s="43">
        <f>IF(AND( C16="Buy", ISBLANK(W16), B16&lt;&gt;"DIV", NOW()-A16 &lt; 365), P16/sum(F16:I16), "")</f>
        <v/>
      </c>
      <c r="P38" s="44">
        <f>IF(AND( C16="Buy", ISBLANK(W16), B16&lt;&gt;"DIV", NOW()-A16 &lt; 365), (1-Index!$F$2*2)*((J16*D16)-(E16*D16)), "")</f>
        <v/>
      </c>
      <c r="Q38" s="44">
        <f>IF(AND( C16="Buy", ISBLANK(W16), B16&lt;&gt;"DIV", NOW()-A16 &lt; 365), ((E16*D16)+P16), "")</f>
        <v/>
      </c>
      <c r="R38" s="44">
        <f>IF(AND( C16="Buy", ISBLANK(W16), B16&lt;&gt;"DIV", NOW()-A16 &lt; 365), D16, "")</f>
        <v/>
      </c>
      <c r="S38" s="46">
        <f>IF(AND( C16="Buy", ISBLANK(W16), B16&lt;&gt;"DIV", NOW()-A16 &gt; 365), T16/sum(F16:I16), "")</f>
        <v/>
      </c>
      <c r="T38" s="47">
        <f>IF(AND( C16="Buy", ISBLANK(W16), B16&lt;&gt;"DIV", NOW()-A16 &gt; 365), (1-Index!$F$2*2)*((J16*D16)-(E16*D16)), "")</f>
        <v/>
      </c>
      <c r="U38" s="47">
        <f>IF(AND( C16="Buy", ISBLANK(W16), B16&lt;&gt;"DIV", NOW()-A16 &gt; 365), ((E16*D16)+T16), "")</f>
        <v/>
      </c>
      <c r="V38" s="47">
        <f>IF(AND( C16="Buy", ISBLANK(W16), B16&lt;&gt;"DIV", NOW()-A16 &gt; 365), D16, "")</f>
        <v/>
      </c>
      <c r="W38" s="47" t="n"/>
      <c r="X38" s="47" t="n"/>
      <c r="Y38" s="46">
        <f>IF(AND( C16="Buy", W16&lt;&gt;"", AA16&lt;&gt;"", B16&lt;&gt;"DIV"), Z16/sum(F16:I16), "")</f>
        <v/>
      </c>
      <c r="Z38" s="47" t="n"/>
      <c r="AA38" s="47" t="n"/>
      <c r="AB38" s="48" t="n"/>
      <c r="AC38" s="44">
        <f>if(B16="DIV", F16,"")</f>
        <v/>
      </c>
      <c r="AD38" s="49" t="n"/>
    </row>
    <row r="39">
      <c r="A39" s="38" t="n">
        <v>45779</v>
      </c>
      <c r="B39" s="39" t="inlineStr">
        <is>
          <t>DIV</t>
        </is>
      </c>
      <c r="C39" s="39" t="inlineStr">
        <is>
          <t>Buy</t>
        </is>
      </c>
      <c r="D39" s="40" t="n">
        <v>10</v>
      </c>
      <c r="E39" s="41" t="n">
        <v>33.5</v>
      </c>
      <c r="F39" s="41" t="n">
        <v>335</v>
      </c>
      <c r="G39" s="39" t="inlineStr">
        <is>
          <t>Final-Dividend of Rs.33.5000/- per share on Ex-Date: 02-MAY-2025</t>
        </is>
      </c>
      <c r="H39" s="40" t="n">
        <v>0</v>
      </c>
      <c r="I39" s="40" t="n">
        <v>0</v>
      </c>
      <c r="J39" s="42">
        <f>Index!$C$2</f>
        <v/>
      </c>
      <c r="K39" s="43">
        <f>IF(AND( C17="Buy", ISBLANK(W17), B17&lt;&gt;"DIV"), L17/sum(F17:I17), "")</f>
        <v/>
      </c>
      <c r="L39" s="44">
        <f>IF(AND( C17="Buy", ISBLANK(W17), B17&lt;&gt;"DIV"), (1-Index!$F$2*2)*((J17*D17)-(E17*D17)), "")</f>
        <v/>
      </c>
      <c r="M39" s="44">
        <f>IF(AND( C17="Buy", ISBLANK(W17), B17&lt;&gt;"DIV"), ((E17*D17)+L17), "")</f>
        <v/>
      </c>
      <c r="N39" s="45">
        <f>IF(AND( C17="Buy", ISBLANK(W17), B17&lt;&gt;"DIV"), D17, "")</f>
        <v/>
      </c>
      <c r="O39" s="43">
        <f>IF(AND( C17="Buy", ISBLANK(W17), B17&lt;&gt;"DIV", NOW()-A17 &lt; 365), P17/sum(F17:I17), "")</f>
        <v/>
      </c>
      <c r="P39" s="44">
        <f>IF(AND( C17="Buy", ISBLANK(W17), B17&lt;&gt;"DIV", NOW()-A17 &lt; 365), (1-Index!$F$2*2)*((J17*D17)-(E17*D17)), "")</f>
        <v/>
      </c>
      <c r="Q39" s="44">
        <f>IF(AND( C17="Buy", ISBLANK(W17), B17&lt;&gt;"DIV", NOW()-A17 &lt; 365), ((E17*D17)+P17), "")</f>
        <v/>
      </c>
      <c r="R39" s="44">
        <f>IF(AND( C17="Buy", ISBLANK(W17), B17&lt;&gt;"DIV", NOW()-A17 &lt; 365), D17, "")</f>
        <v/>
      </c>
      <c r="S39" s="46">
        <f>IF(AND( C17="Buy", ISBLANK(W17), B17&lt;&gt;"DIV", NOW()-A17 &gt; 365), T17/sum(F17:I17), "")</f>
        <v/>
      </c>
      <c r="T39" s="47">
        <f>IF(AND( C17="Buy", ISBLANK(W17), B17&lt;&gt;"DIV", NOW()-A17 &gt; 365), (1-Index!$F$2*2)*((J17*D17)-(E17*D17)), "")</f>
        <v/>
      </c>
      <c r="U39" s="47">
        <f>IF(AND( C17="Buy", ISBLANK(W17), B17&lt;&gt;"DIV", NOW()-A17 &gt; 365), ((E17*D17)+T17), "")</f>
        <v/>
      </c>
      <c r="V39" s="47">
        <f>IF(AND( C17="Buy", ISBLANK(W17), B17&lt;&gt;"DIV", NOW()-A17 &gt; 365), D17, "")</f>
        <v/>
      </c>
      <c r="W39" s="47" t="n"/>
      <c r="X39" s="47" t="n"/>
      <c r="Y39" s="46">
        <f>IF(AND( C17="Buy", W17&lt;&gt;"", AA17&lt;&gt;"", B17&lt;&gt;"DIV"), Z17/sum(F17:I17), "")</f>
        <v/>
      </c>
      <c r="Z39" s="47" t="n"/>
      <c r="AA39" s="47" t="n"/>
      <c r="AB39" s="48" t="n"/>
      <c r="AC39" s="44">
        <f>if(B17="DIV", F17,"")</f>
        <v/>
      </c>
      <c r="AD39" s="49" t="n"/>
    </row>
    <row r="40">
      <c r="A40" s="50" t="n">
        <v>45734</v>
      </c>
      <c r="B40" s="51" t="inlineStr">
        <is>
          <t>NSE</t>
        </is>
      </c>
      <c r="C40" s="51" t="inlineStr">
        <is>
          <t>Buy</t>
        </is>
      </c>
      <c r="D40" s="52" t="n">
        <v>1</v>
      </c>
      <c r="E40" s="53" t="n">
        <v>5407.11</v>
      </c>
      <c r="F40" s="53">
        <f>D18*E18</f>
        <v/>
      </c>
      <c r="G40" s="51" t="inlineStr">
        <is>
          <t>~</t>
        </is>
      </c>
      <c r="H40" s="52" t="n"/>
      <c r="I40" s="52" t="n">
        <v>38.11</v>
      </c>
      <c r="J40" s="42">
        <f>Index!$C$2</f>
        <v/>
      </c>
      <c r="K40" s="43">
        <f>IF(AND( C18="Buy", ISBLANK(W18), B18&lt;&gt;"DIV"), L18/sum(F18:I18), "")</f>
        <v/>
      </c>
      <c r="L40" s="44">
        <f>IF(AND( C18="Buy", ISBLANK(W18), B18&lt;&gt;"DIV"), (1-Index!$F$2*2)*((J18*D18)-(E18*D18)), "")</f>
        <v/>
      </c>
      <c r="M40" s="44">
        <f>IF(AND( C18="Buy", ISBLANK(W18), B18&lt;&gt;"DIV"), ((E18*D18)+L18), "")</f>
        <v/>
      </c>
      <c r="N40" s="45">
        <f>IF(AND( C18="Buy", ISBLANK(W18), B18&lt;&gt;"DIV"), D18, "")</f>
        <v/>
      </c>
      <c r="O40" s="43">
        <f>IF(AND( C18="Buy", ISBLANK(W18), B18&lt;&gt;"DIV", NOW()-A18 &lt; 365), P18/sum(F18:I18), "")</f>
        <v/>
      </c>
      <c r="P40" s="44">
        <f>IF(AND( C18="Buy", ISBLANK(W18), B18&lt;&gt;"DIV", NOW()-A18 &lt; 365), (1-Index!$F$2*2)*((J18*D18)-(E18*D18)), "")</f>
        <v/>
      </c>
      <c r="Q40" s="44">
        <f>IF(AND( C18="Buy", ISBLANK(W18), B18&lt;&gt;"DIV", NOW()-A18 &lt; 365), ((E18*D18)+P18), "")</f>
        <v/>
      </c>
      <c r="R40" s="44">
        <f>IF(AND( C18="Buy", ISBLANK(W18), B18&lt;&gt;"DIV", NOW()-A18 &lt; 365), D18, "")</f>
        <v/>
      </c>
      <c r="S40" s="46">
        <f>IF(AND( C18="Buy", ISBLANK(W18), B18&lt;&gt;"DIV", NOW()-A18 &gt; 365), T18/sum(F18:I18), "")</f>
        <v/>
      </c>
      <c r="T40" s="47">
        <f>IF(AND( C18="Buy", ISBLANK(W18), B18&lt;&gt;"DIV", NOW()-A18 &gt; 365), (1-Index!$F$2*2)*((J18*D18)-(E18*D18)), "")</f>
        <v/>
      </c>
      <c r="U40" s="47">
        <f>IF(AND( C18="Buy", ISBLANK(W18), B18&lt;&gt;"DIV", NOW()-A18 &gt; 365), ((E18*D18)+T18), "")</f>
        <v/>
      </c>
      <c r="V40" s="47">
        <f>IF(AND( C18="Buy", ISBLANK(W18), B18&lt;&gt;"DIV", NOW()-A18 &gt; 365), D18, "")</f>
        <v/>
      </c>
      <c r="W40" s="47" t="n"/>
      <c r="X40" s="47" t="n"/>
      <c r="Y40" s="46">
        <f>IF(AND( C18="Buy", W18&lt;&gt;"", AA18&lt;&gt;"", B18&lt;&gt;"DIV"), Z18/sum(F18:I18), "")</f>
        <v/>
      </c>
      <c r="Z40" s="47" t="n"/>
      <c r="AA40" s="47" t="n"/>
      <c r="AB40" s="48" t="n"/>
      <c r="AC40" s="44">
        <f>if(B18="DIV", F18,"")</f>
        <v/>
      </c>
      <c r="AD40" s="49" t="n"/>
    </row>
    <row r="41">
      <c r="A41" s="50" t="n">
        <v>45722</v>
      </c>
      <c r="B41" s="51" t="inlineStr">
        <is>
          <t>NSE</t>
        </is>
      </c>
      <c r="C41" s="51" t="inlineStr">
        <is>
          <t>Buy</t>
        </is>
      </c>
      <c r="D41" s="52" t="n">
        <v>1</v>
      </c>
      <c r="E41" s="53" t="n">
        <v>5413.19</v>
      </c>
      <c r="F41" s="53" t="n">
        <v>5413.19</v>
      </c>
      <c r="G41" s="51" t="inlineStr">
        <is>
          <t>~</t>
        </is>
      </c>
      <c r="H41" s="52" t="n">
        <v>5.4</v>
      </c>
      <c r="I41" s="52" t="n">
        <v>32.74</v>
      </c>
      <c r="J41" s="42">
        <f>Index!$C$2</f>
        <v/>
      </c>
      <c r="K41" s="43">
        <f>IF(AND( C19="Buy", ISBLANK(W19), B19&lt;&gt;"DIV"), L19/sum(F19:I19), "")</f>
        <v/>
      </c>
      <c r="L41" s="44">
        <f>IF(AND( C19="Buy", ISBLANK(W19), B19&lt;&gt;"DIV"), (1-Index!$F$2*2)*((J19*D19)-(E19*D19)), "")</f>
        <v/>
      </c>
      <c r="M41" s="44">
        <f>IF(AND( C19="Buy", ISBLANK(W19), B19&lt;&gt;"DIV"), ((E19*D19)+L19), "")</f>
        <v/>
      </c>
      <c r="N41" s="45">
        <f>IF(AND( C19="Buy", ISBLANK(W19), B19&lt;&gt;"DIV"), D19, "")</f>
        <v/>
      </c>
      <c r="O41" s="43">
        <f>IF(AND( C19="Buy", ISBLANK(W19), B19&lt;&gt;"DIV", NOW()-A19 &lt; 365), P19/sum(F19:I19), "")</f>
        <v/>
      </c>
      <c r="P41" s="44">
        <f>IF(AND( C19="Buy", ISBLANK(W19), B19&lt;&gt;"DIV", NOW()-A19 &lt; 365), (1-Index!$F$2*2)*((J19*D19)-(E19*D19)), "")</f>
        <v/>
      </c>
      <c r="Q41" s="44">
        <f>IF(AND( C19="Buy", ISBLANK(W19), B19&lt;&gt;"DIV", NOW()-A19 &lt; 365), ((E19*D19)+P19), "")</f>
        <v/>
      </c>
      <c r="R41" s="44">
        <f>IF(AND( C19="Buy", ISBLANK(W19), B19&lt;&gt;"DIV", NOW()-A19 &lt; 365), D19, "")</f>
        <v/>
      </c>
      <c r="S41" s="46">
        <f>IF(AND( C19="Buy", ISBLANK(W19), B19&lt;&gt;"DIV", NOW()-A19 &gt; 365), T19/sum(F19:I19), "")</f>
        <v/>
      </c>
      <c r="T41" s="47">
        <f>IF(AND( C19="Buy", ISBLANK(W19), B19&lt;&gt;"DIV", NOW()-A19 &gt; 365), (1-Index!$F$2*2)*((J19*D19)-(E19*D19)), "")</f>
        <v/>
      </c>
      <c r="U41" s="47">
        <f>IF(AND( C19="Buy", ISBLANK(W19), B19&lt;&gt;"DIV", NOW()-A19 &gt; 365), ((E19*D19)+T19), "")</f>
        <v/>
      </c>
      <c r="V41" s="47">
        <f>IF(AND( C19="Buy", ISBLANK(W19), B19&lt;&gt;"DIV", NOW()-A19 &gt; 365), D19, "")</f>
        <v/>
      </c>
      <c r="W41" s="47" t="n"/>
      <c r="X41" s="47" t="n"/>
      <c r="Y41" s="46">
        <f>IF(AND( C19="Buy", W19&lt;&gt;"", AA19&lt;&gt;"", B19&lt;&gt;"DIV"), Z19/sum(F19:I19), "")</f>
        <v/>
      </c>
      <c r="Z41" s="47" t="n"/>
      <c r="AA41" s="47" t="n"/>
      <c r="AB41" s="48" t="n"/>
      <c r="AC41" s="44">
        <f>if(B19="DIV", F19,"")</f>
        <v/>
      </c>
      <c r="AD41" s="49" t="n"/>
    </row>
    <row r="42">
      <c r="A42" s="50" t="n">
        <v>45716</v>
      </c>
      <c r="B42" s="51" t="inlineStr">
        <is>
          <t>NSE</t>
        </is>
      </c>
      <c r="C42" s="51" t="inlineStr">
        <is>
          <t>Buy</t>
        </is>
      </c>
      <c r="D42" s="52" t="n">
        <v>1</v>
      </c>
      <c r="E42" s="53" t="n">
        <v>5062.5</v>
      </c>
      <c r="F42" s="53" t="n">
        <v>5062.5</v>
      </c>
      <c r="G42" s="51" t="inlineStr">
        <is>
          <t>~</t>
        </is>
      </c>
      <c r="H42" s="52" t="n">
        <v>5.02</v>
      </c>
      <c r="I42" s="52" t="n">
        <v>30.58</v>
      </c>
      <c r="J42" s="42">
        <f>Index!$C$2</f>
        <v/>
      </c>
      <c r="K42" s="43">
        <f>IF(AND( C20="Buy", ISBLANK(W20), B20&lt;&gt;"DIV"), L20/sum(F20:I20), "")</f>
        <v/>
      </c>
      <c r="L42" s="44">
        <f>IF(AND( C20="Buy", ISBLANK(W20), B20&lt;&gt;"DIV"), (1-Index!$F$2*2)*((J20*D20)-(E20*D20)), "")</f>
        <v/>
      </c>
      <c r="M42" s="44">
        <f>IF(AND( C20="Buy", ISBLANK(W20), B20&lt;&gt;"DIV"), ((E20*D20)+L20), "")</f>
        <v/>
      </c>
      <c r="N42" s="45">
        <f>IF(AND( C20="Buy", ISBLANK(W20), B20&lt;&gt;"DIV"), D20, "")</f>
        <v/>
      </c>
      <c r="O42" s="43">
        <f>IF(AND( C20="Buy", ISBLANK(W20), B20&lt;&gt;"DIV", NOW()-A20 &lt; 365), P20/sum(F20:I20), "")</f>
        <v/>
      </c>
      <c r="P42" s="44">
        <f>IF(AND( C20="Buy", ISBLANK(W20), B20&lt;&gt;"DIV", NOW()-A20 &lt; 365), (1-Index!$F$2*2)*((J20*D20)-(E20*D20)), "")</f>
        <v/>
      </c>
      <c r="Q42" s="44">
        <f>IF(AND( C20="Buy", ISBLANK(W20), B20&lt;&gt;"DIV", NOW()-A20 &lt; 365), ((E20*D20)+P20), "")</f>
        <v/>
      </c>
      <c r="R42" s="44">
        <f>IF(AND( C20="Buy", ISBLANK(W20), B20&lt;&gt;"DIV", NOW()-A20 &lt; 365), D20, "")</f>
        <v/>
      </c>
      <c r="S42" s="46">
        <f>IF(AND( C20="Buy", ISBLANK(W20), B20&lt;&gt;"DIV", NOW()-A20 &gt; 365), T20/sum(F20:I20), "")</f>
        <v/>
      </c>
      <c r="T42" s="47">
        <f>IF(AND( C20="Buy", ISBLANK(W20), B20&lt;&gt;"DIV", NOW()-A20 &gt; 365), (1-Index!$F$2*2)*((J20*D20)-(E20*D20)), "")</f>
        <v/>
      </c>
      <c r="U42" s="47">
        <f>IF(AND( C20="Buy", ISBLANK(W20), B20&lt;&gt;"DIV", NOW()-A20 &gt; 365), ((E20*D20)+T20), "")</f>
        <v/>
      </c>
      <c r="V42" s="47">
        <f>IF(AND( C20="Buy", ISBLANK(W20), B20&lt;&gt;"DIV", NOW()-A20 &gt; 365), D20, "")</f>
        <v/>
      </c>
      <c r="W42" s="47" t="n"/>
      <c r="X42" s="47" t="n"/>
      <c r="Y42" s="46">
        <f>IF(AND( C20="Buy", W20&lt;&gt;"", AA20&lt;&gt;"", B20&lt;&gt;"DIV"), Z20/sum(F20:I20), "")</f>
        <v/>
      </c>
      <c r="Z42" s="47" t="n"/>
      <c r="AA42" s="47" t="n"/>
      <c r="AB42" s="48" t="n"/>
      <c r="AC42" s="44">
        <f>if(B20="DIV", F20,"")</f>
        <v/>
      </c>
      <c r="AD42" s="49" t="n"/>
    </row>
    <row r="43">
      <c r="A43" s="50" t="n">
        <v>45712</v>
      </c>
      <c r="B43" s="51" t="inlineStr">
        <is>
          <t>NSE</t>
        </is>
      </c>
      <c r="C43" s="51" t="inlineStr">
        <is>
          <t>Buy</t>
        </is>
      </c>
      <c r="D43" s="52" t="n">
        <v>1</v>
      </c>
      <c r="E43" s="53" t="n">
        <v>5353.01</v>
      </c>
      <c r="F43" s="53" t="n">
        <v>5353.01</v>
      </c>
      <c r="G43" s="51" t="inlineStr">
        <is>
          <t>~</t>
        </is>
      </c>
      <c r="H43" s="52" t="n">
        <v>5.31</v>
      </c>
      <c r="I43" s="52" t="n">
        <v>32.35</v>
      </c>
      <c r="J43" s="42">
        <f>Index!$C$2</f>
        <v/>
      </c>
      <c r="K43" s="43">
        <f>IF(AND( C21="Buy", ISBLANK(W21), B21&lt;&gt;"DIV"), L21/sum(F21:I21), "")</f>
        <v/>
      </c>
      <c r="L43" s="44">
        <f>IF(AND( C21="Buy", ISBLANK(W21), B21&lt;&gt;"DIV"), (1-Index!$F$2*2)*((J21*D21)-(E21*D21)), "")</f>
        <v/>
      </c>
      <c r="M43" s="44">
        <f>IF(AND( C21="Buy", ISBLANK(W21), B21&lt;&gt;"DIV"), ((E21*D21)+L21), "")</f>
        <v/>
      </c>
      <c r="N43" s="45">
        <f>IF(AND( C21="Buy", ISBLANK(W21), B21&lt;&gt;"DIV"), D21, "")</f>
        <v/>
      </c>
      <c r="O43" s="43">
        <f>IF(AND( C21="Buy", ISBLANK(W21), B21&lt;&gt;"DIV", NOW()-A21 &lt; 365), P21/sum(F21:I21), "")</f>
        <v/>
      </c>
      <c r="P43" s="44">
        <f>IF(AND( C21="Buy", ISBLANK(W21), B21&lt;&gt;"DIV", NOW()-A21 &lt; 365), (1-Index!$F$2*2)*((J21*D21)-(E21*D21)), "")</f>
        <v/>
      </c>
      <c r="Q43" s="44">
        <f>IF(AND( C21="Buy", ISBLANK(W21), B21&lt;&gt;"DIV", NOW()-A21 &lt; 365), ((E21*D21)+P21), "")</f>
        <v/>
      </c>
      <c r="R43" s="44">
        <f>IF(AND( C21="Buy", ISBLANK(W21), B21&lt;&gt;"DIV", NOW()-A21 &lt; 365), D21, "")</f>
        <v/>
      </c>
      <c r="S43" s="46">
        <f>IF(AND( C21="Buy", ISBLANK(W21), B21&lt;&gt;"DIV", NOW()-A21 &gt; 365), T21/sum(F21:I21), "")</f>
        <v/>
      </c>
      <c r="T43" s="47">
        <f>IF(AND( C21="Buy", ISBLANK(W21), B21&lt;&gt;"DIV", NOW()-A21 &gt; 365), (1-Index!$F$2*2)*((J21*D21)-(E21*D21)), "")</f>
        <v/>
      </c>
      <c r="U43" s="47">
        <f>IF(AND( C21="Buy", ISBLANK(W21), B21&lt;&gt;"DIV", NOW()-A21 &gt; 365), ((E21*D21)+T21), "")</f>
        <v/>
      </c>
      <c r="V43" s="47">
        <f>IF(AND( C21="Buy", ISBLANK(W21), B21&lt;&gt;"DIV", NOW()-A21 &gt; 365), D21, "")</f>
        <v/>
      </c>
      <c r="W43" s="47" t="n"/>
      <c r="X43" s="47" t="n"/>
      <c r="Y43" s="46">
        <f>IF(AND( C21="Buy", W21&lt;&gt;"", AA21&lt;&gt;"", B21&lt;&gt;"DIV"), Z21/sum(F21:I21), "")</f>
        <v/>
      </c>
      <c r="Z43" s="47" t="n"/>
      <c r="AA43" s="47" t="n"/>
      <c r="AB43" s="48" t="n"/>
      <c r="AC43" s="44">
        <f>if(B21="DIV", F21,"")</f>
        <v/>
      </c>
      <c r="AD43" s="49" t="n"/>
    </row>
    <row r="44">
      <c r="A44" s="50" t="n">
        <v>45708</v>
      </c>
      <c r="B44" s="51" t="inlineStr">
        <is>
          <t>NSE</t>
        </is>
      </c>
      <c r="C44" s="51" t="inlineStr">
        <is>
          <t>Buy</t>
        </is>
      </c>
      <c r="D44" s="52" t="n">
        <v>1</v>
      </c>
      <c r="E44" s="53" t="n">
        <v>5226.61</v>
      </c>
      <c r="F44" s="53" t="n">
        <v>5226.61</v>
      </c>
      <c r="G44" s="51" t="inlineStr">
        <is>
          <t>~</t>
        </is>
      </c>
      <c r="H44" s="52" t="n">
        <v>5.17</v>
      </c>
      <c r="I44" s="52" t="n">
        <v>31.49</v>
      </c>
      <c r="J44" s="42">
        <f>Index!$C$2</f>
        <v/>
      </c>
      <c r="K44" s="43">
        <f>IF(AND( C22="Buy", ISBLANK(W22), B22&lt;&gt;"DIV"), L22/sum(F22:I22), "")</f>
        <v/>
      </c>
      <c r="L44" s="44">
        <f>IF(AND( C22="Buy", ISBLANK(W22), B22&lt;&gt;"DIV"), (1-Index!$F$2*2)*((J22*D22)-(E22*D22)), "")</f>
        <v/>
      </c>
      <c r="M44" s="44">
        <f>IF(AND( C22="Buy", ISBLANK(W22), B22&lt;&gt;"DIV"), ((E22*D22)+L22), "")</f>
        <v/>
      </c>
      <c r="N44" s="45">
        <f>IF(AND( C22="Buy", ISBLANK(W22), B22&lt;&gt;"DIV"), D22, "")</f>
        <v/>
      </c>
      <c r="O44" s="43">
        <f>IF(AND( C22="Buy", ISBLANK(W22), B22&lt;&gt;"DIV", NOW()-A22 &lt; 365), P22/sum(F22:I22), "")</f>
        <v/>
      </c>
      <c r="P44" s="44">
        <f>IF(AND( C22="Buy", ISBLANK(W22), B22&lt;&gt;"DIV", NOW()-A22 &lt; 365), (1-Index!$F$2*2)*((J22*D22)-(E22*D22)), "")</f>
        <v/>
      </c>
      <c r="Q44" s="44">
        <f>IF(AND( C22="Buy", ISBLANK(W22), B22&lt;&gt;"DIV", NOW()-A22 &lt; 365), ((E22*D22)+P22), "")</f>
        <v/>
      </c>
      <c r="R44" s="44">
        <f>IF(AND( C22="Buy", ISBLANK(W22), B22&lt;&gt;"DIV", NOW()-A22 &lt; 365), D22, "")</f>
        <v/>
      </c>
      <c r="S44" s="46">
        <f>IF(AND( C22="Buy", ISBLANK(W22), B22&lt;&gt;"DIV", NOW()-A22 &gt; 365), T22/sum(F22:I22), "")</f>
        <v/>
      </c>
      <c r="T44" s="47">
        <f>IF(AND( C22="Buy", ISBLANK(W22), B22&lt;&gt;"DIV", NOW()-A22 &gt; 365), (1-Index!$F$2*2)*((J22*D22)-(E22*D22)), "")</f>
        <v/>
      </c>
      <c r="U44" s="47">
        <f>IF(AND( C22="Buy", ISBLANK(W22), B22&lt;&gt;"DIV", NOW()-A22 &gt; 365), ((E22*D22)+T22), "")</f>
        <v/>
      </c>
      <c r="V44" s="47">
        <f>IF(AND( C22="Buy", ISBLANK(W22), B22&lt;&gt;"DIV", NOW()-A22 &gt; 365), D22, "")</f>
        <v/>
      </c>
      <c r="W44" s="47" t="n"/>
      <c r="X44" s="47" t="n"/>
      <c r="Y44" s="46">
        <f>IF(AND( C22="Buy", W22&lt;&gt;"", AA22&lt;&gt;"", B22&lt;&gt;"DIV"), Z22/sum(F22:I22), "")</f>
        <v/>
      </c>
      <c r="Z44" s="47" t="n"/>
      <c r="AA44" s="47" t="n"/>
      <c r="AB44" s="48" t="n"/>
      <c r="AC44" s="44">
        <f>if(B22="DIV", F22,"")</f>
        <v/>
      </c>
      <c r="AD44" s="49" t="n"/>
    </row>
    <row r="45">
      <c r="A45" s="50" t="n">
        <v>45708</v>
      </c>
      <c r="B45" s="51" t="inlineStr">
        <is>
          <t>NSE</t>
        </is>
      </c>
      <c r="C45" s="51" t="inlineStr">
        <is>
          <t>Buy</t>
        </is>
      </c>
      <c r="D45" s="52" t="n">
        <v>1</v>
      </c>
      <c r="E45" s="53" t="n">
        <v>5226.67</v>
      </c>
      <c r="F45" s="53" t="n">
        <v>5226.67</v>
      </c>
      <c r="G45" s="51" t="inlineStr">
        <is>
          <t>~</t>
        </is>
      </c>
      <c r="H45" s="52" t="n">
        <v>5.17</v>
      </c>
      <c r="I45" s="52" t="n">
        <v>31.5</v>
      </c>
      <c r="J45" s="42">
        <f>Index!$C$2</f>
        <v/>
      </c>
      <c r="K45" s="43">
        <f>IF(AND( C23="Buy", ISBLANK(W23), B23&lt;&gt;"DIV"), L23/sum(F23:I23), "")</f>
        <v/>
      </c>
      <c r="L45" s="44">
        <f>IF(AND( C23="Buy", ISBLANK(W23), B23&lt;&gt;"DIV"), (1-Index!$F$2*2)*((J23*D23)-(E23*D23)), "")</f>
        <v/>
      </c>
      <c r="M45" s="44">
        <f>IF(AND( C23="Buy", ISBLANK(W23), B23&lt;&gt;"DIV"), ((E23*D23)+L23), "")</f>
        <v/>
      </c>
      <c r="N45" s="45">
        <f>IF(AND( C23="Buy", ISBLANK(W23), B23&lt;&gt;"DIV"), D23, "")</f>
        <v/>
      </c>
      <c r="O45" s="43">
        <f>IF(AND( C23="Buy", ISBLANK(W23), B23&lt;&gt;"DIV", NOW()-A23 &lt; 365), P23/sum(F23:I23), "")</f>
        <v/>
      </c>
      <c r="P45" s="44">
        <f>IF(AND( C23="Buy", ISBLANK(W23), B23&lt;&gt;"DIV", NOW()-A23 &lt; 365), (1-Index!$F$2*2)*((J23*D23)-(E23*D23)), "")</f>
        <v/>
      </c>
      <c r="Q45" s="44">
        <f>IF(AND( C23="Buy", ISBLANK(W23), B23&lt;&gt;"DIV", NOW()-A23 &lt; 365), ((E23*D23)+P23), "")</f>
        <v/>
      </c>
      <c r="R45" s="44">
        <f>IF(AND( C23="Buy", ISBLANK(W23), B23&lt;&gt;"DIV", NOW()-A23 &lt; 365), D23, "")</f>
        <v/>
      </c>
      <c r="S45" s="46">
        <f>IF(AND( C23="Buy", ISBLANK(W23), B23&lt;&gt;"DIV", NOW()-A23 &gt; 365), T23/sum(F23:I23), "")</f>
        <v/>
      </c>
      <c r="T45" s="47">
        <f>IF(AND( C23="Buy", ISBLANK(W23), B23&lt;&gt;"DIV", NOW()-A23 &gt; 365), (1-Index!$F$2*2)*((J23*D23)-(E23*D23)), "")</f>
        <v/>
      </c>
      <c r="U45" s="47">
        <f>IF(AND( C23="Buy", ISBLANK(W23), B23&lt;&gt;"DIV", NOW()-A23 &gt; 365), ((E23*D23)+T23), "")</f>
        <v/>
      </c>
      <c r="V45" s="47">
        <f>IF(AND( C23="Buy", ISBLANK(W23), B23&lt;&gt;"DIV", NOW()-A23 &gt; 365), D23, "")</f>
        <v/>
      </c>
      <c r="W45" s="47" t="n"/>
      <c r="X45" s="47" t="n"/>
      <c r="Y45" s="46">
        <f>IF(AND( C23="Buy", W23&lt;&gt;"", AA23&lt;&gt;"", B23&lt;&gt;"DIV"), Z23/sum(F23:I23), "")</f>
        <v/>
      </c>
      <c r="Z45" s="47" t="n"/>
      <c r="AA45" s="47" t="n"/>
      <c r="AB45" s="48" t="n"/>
      <c r="AC45" s="44">
        <f>if(B23="DIV", F23,"")</f>
        <v/>
      </c>
      <c r="AD45" s="49" t="n"/>
    </row>
    <row r="46">
      <c r="A46" s="50" t="n">
        <v>45705</v>
      </c>
      <c r="B46" s="51" t="inlineStr">
        <is>
          <t>NSE</t>
        </is>
      </c>
      <c r="C46" s="51" t="inlineStr">
        <is>
          <t>Buy</t>
        </is>
      </c>
      <c r="D46" s="52" t="n">
        <v>2</v>
      </c>
      <c r="E46" s="53" t="n">
        <v>5300.31</v>
      </c>
      <c r="F46" s="53" t="n">
        <v>10600.61</v>
      </c>
      <c r="G46" s="51" t="inlineStr">
        <is>
          <t>~</t>
        </is>
      </c>
      <c r="H46" s="52" t="n">
        <v>10.52</v>
      </c>
      <c r="I46" s="52" t="n">
        <v>64.09</v>
      </c>
      <c r="J46" s="42">
        <f>Index!$C$2</f>
        <v/>
      </c>
      <c r="K46" s="43">
        <f>IF(AND( C24="Buy", ISBLANK(W24), B24&lt;&gt;"DIV"), L24/sum(F24:I24), "")</f>
        <v/>
      </c>
      <c r="L46" s="44">
        <f>IF(AND( C24="Buy", ISBLANK(W24), B24&lt;&gt;"DIV"), (1-Index!$F$2*2)*((J24*D24)-(E24*D24)), "")</f>
        <v/>
      </c>
      <c r="M46" s="44">
        <f>IF(AND( C24="Buy", ISBLANK(W24), B24&lt;&gt;"DIV"), ((E24*D24)+L24), "")</f>
        <v/>
      </c>
      <c r="N46" s="45">
        <f>IF(AND( C24="Buy", ISBLANK(W24), B24&lt;&gt;"DIV"), D24, "")</f>
        <v/>
      </c>
      <c r="O46" s="43">
        <f>IF(AND( C24="Buy", ISBLANK(W24), B24&lt;&gt;"DIV", NOW()-A24 &lt; 365), P24/sum(F24:I24), "")</f>
        <v/>
      </c>
      <c r="P46" s="44">
        <f>IF(AND( C24="Buy", ISBLANK(W24), B24&lt;&gt;"DIV", NOW()-A24 &lt; 365), (1-Index!$F$2*2)*((J24*D24)-(E24*D24)), "")</f>
        <v/>
      </c>
      <c r="Q46" s="44">
        <f>IF(AND( C24="Buy", ISBLANK(W24), B24&lt;&gt;"DIV", NOW()-A24 &lt; 365), ((E24*D24)+P24), "")</f>
        <v/>
      </c>
      <c r="R46" s="44">
        <f>IF(AND( C24="Buy", ISBLANK(W24), B24&lt;&gt;"DIV", NOW()-A24 &lt; 365), D24, "")</f>
        <v/>
      </c>
      <c r="S46" s="46">
        <f>IF(AND( C24="Buy", ISBLANK(W24), B24&lt;&gt;"DIV", NOW()-A24 &gt; 365), T24/sum(F24:I24), "")</f>
        <v/>
      </c>
      <c r="T46" s="47">
        <f>IF(AND( C24="Buy", ISBLANK(W24), B24&lt;&gt;"DIV", NOW()-A24 &gt; 365), (1-Index!$F$2*2)*((J24*D24)-(E24*D24)), "")</f>
        <v/>
      </c>
      <c r="U46" s="47">
        <f>IF(AND( C24="Buy", ISBLANK(W24), B24&lt;&gt;"DIV", NOW()-A24 &gt; 365), ((E24*D24)+T24), "")</f>
        <v/>
      </c>
      <c r="V46" s="47">
        <f>IF(AND( C24="Buy", ISBLANK(W24), B24&lt;&gt;"DIV", NOW()-A24 &gt; 365), D24, "")</f>
        <v/>
      </c>
      <c r="W46" s="47" t="n"/>
      <c r="X46" s="47" t="n"/>
      <c r="Y46" s="46">
        <f>IF(AND( C24="Buy", W24&lt;&gt;"", AA24&lt;&gt;"", B24&lt;&gt;"DIV"), Z24/sum(F24:I24), "")</f>
        <v/>
      </c>
      <c r="Z46" s="47" t="n"/>
      <c r="AA46" s="47" t="n"/>
      <c r="AB46" s="48" t="n"/>
      <c r="AC46" s="44">
        <f>if(B24="DIV", F24,"")</f>
        <v/>
      </c>
      <c r="AD46" s="49" t="n"/>
    </row>
    <row r="47">
      <c r="A47" s="50" t="n">
        <v>45699</v>
      </c>
      <c r="B47" s="51" t="inlineStr">
        <is>
          <t>NSE</t>
        </is>
      </c>
      <c r="C47" s="51" t="inlineStr">
        <is>
          <t>Buy</t>
        </is>
      </c>
      <c r="D47" s="52" t="n">
        <v>1</v>
      </c>
      <c r="E47" s="53" t="n">
        <v>5524.45</v>
      </c>
      <c r="F47" s="53" t="n">
        <v>5524.45</v>
      </c>
      <c r="G47" s="51" t="inlineStr">
        <is>
          <t>~</t>
        </is>
      </c>
      <c r="H47" s="52" t="n">
        <v>5.49</v>
      </c>
      <c r="I47" s="52" t="n">
        <v>33.41</v>
      </c>
      <c r="J47" s="42">
        <f>Index!$C$2</f>
        <v/>
      </c>
      <c r="K47" s="43">
        <f>IF(AND( C25="Buy", ISBLANK(W25), B25&lt;&gt;"DIV"), L25/sum(F25:I25), "")</f>
        <v/>
      </c>
      <c r="L47" s="44">
        <f>IF(AND( C25="Buy", ISBLANK(W25), B25&lt;&gt;"DIV"), (1-Index!$F$2*2)*((J25*D25)-(E25*D25)), "")</f>
        <v/>
      </c>
      <c r="M47" s="44">
        <f>IF(AND( C25="Buy", ISBLANK(W25), B25&lt;&gt;"DIV"), ((E25*D25)+L25), "")</f>
        <v/>
      </c>
      <c r="N47" s="45">
        <f>IF(AND( C25="Buy", ISBLANK(W25), B25&lt;&gt;"DIV"), D25, "")</f>
        <v/>
      </c>
      <c r="O47" s="43">
        <f>IF(AND( C25="Buy", ISBLANK(W25), B25&lt;&gt;"DIV", NOW()-A25 &lt; 365), P25/sum(F25:I25), "")</f>
        <v/>
      </c>
      <c r="P47" s="44">
        <f>IF(AND( C25="Buy", ISBLANK(W25), B25&lt;&gt;"DIV", NOW()-A25 &lt; 365), (1-Index!$F$2*2)*((J25*D25)-(E25*D25)), "")</f>
        <v/>
      </c>
      <c r="Q47" s="44">
        <f>IF(AND( C25="Buy", ISBLANK(W25), B25&lt;&gt;"DIV", NOW()-A25 &lt; 365), ((E25*D25)+P25), "")</f>
        <v/>
      </c>
      <c r="R47" s="44">
        <f>IF(AND( C25="Buy", ISBLANK(W25), B25&lt;&gt;"DIV", NOW()-A25 &lt; 365), D25, "")</f>
        <v/>
      </c>
      <c r="S47" s="46">
        <f>IF(AND( C25="Buy", ISBLANK(W25), B25&lt;&gt;"DIV", NOW()-A25 &gt; 365), T25/sum(F25:I25), "")</f>
        <v/>
      </c>
      <c r="T47" s="47">
        <f>IF(AND( C25="Buy", ISBLANK(W25), B25&lt;&gt;"DIV", NOW()-A25 &gt; 365), (1-Index!$F$2*2)*((J25*D25)-(E25*D25)), "")</f>
        <v/>
      </c>
      <c r="U47" s="47">
        <f>IF(AND( C25="Buy", ISBLANK(W25), B25&lt;&gt;"DIV", NOW()-A25 &gt; 365), ((E25*D25)+T25), "")</f>
        <v/>
      </c>
      <c r="V47" s="47">
        <f>IF(AND( C25="Buy", ISBLANK(W25), B25&lt;&gt;"DIV", NOW()-A25 &gt; 365), D25, "")</f>
        <v/>
      </c>
      <c r="W47" s="47" t="n"/>
      <c r="X47" s="47" t="n"/>
      <c r="Y47" s="46">
        <f>IF(AND( C25="Buy", W25&lt;&gt;"", AA25&lt;&gt;"", B25&lt;&gt;"DIV"), Z25/sum(F25:I25), "")</f>
        <v/>
      </c>
      <c r="Z47" s="47" t="n"/>
      <c r="AA47" s="47" t="n"/>
      <c r="AB47" s="48" t="n"/>
      <c r="AC47" s="44">
        <f>if(B25="DIV", F25,"")</f>
        <v/>
      </c>
      <c r="AD47" s="49" t="n"/>
    </row>
    <row r="48">
      <c r="A48" s="50" t="n">
        <v>45699</v>
      </c>
      <c r="B48" s="51" t="inlineStr">
        <is>
          <t>NSE</t>
        </is>
      </c>
      <c r="C48" s="51" t="inlineStr">
        <is>
          <t>Buy</t>
        </is>
      </c>
      <c r="D48" s="52" t="n">
        <v>1</v>
      </c>
      <c r="E48" s="53" t="n">
        <v>5524.45</v>
      </c>
      <c r="F48" s="53" t="n">
        <v>5524.45</v>
      </c>
      <c r="G48" s="51" t="inlineStr">
        <is>
          <t>~</t>
        </is>
      </c>
      <c r="H48" s="52" t="n">
        <v>5.49</v>
      </c>
      <c r="I48" s="52" t="n">
        <v>33.41</v>
      </c>
      <c r="J48" s="42">
        <f>Index!$C$2</f>
        <v/>
      </c>
      <c r="K48" s="43">
        <f>IF(AND( C26="Buy", ISBLANK(W26), B26&lt;&gt;"DIV"), L26/sum(F26:I26), "")</f>
        <v/>
      </c>
      <c r="L48" s="44">
        <f>IF(AND( C26="Buy", ISBLANK(W26), B26&lt;&gt;"DIV"), (1-Index!$F$2*2)*((J26*D26)-(E26*D26)), "")</f>
        <v/>
      </c>
      <c r="M48" s="44">
        <f>IF(AND( C26="Buy", ISBLANK(W26), B26&lt;&gt;"DIV"), ((E26*D26)+L26), "")</f>
        <v/>
      </c>
      <c r="N48" s="45">
        <f>IF(AND( C26="Buy", ISBLANK(W26), B26&lt;&gt;"DIV"), D26, "")</f>
        <v/>
      </c>
      <c r="O48" s="43">
        <f>IF(AND( C26="Buy", ISBLANK(W26), B26&lt;&gt;"DIV", NOW()-A26 &lt; 365), P26/sum(F26:I26), "")</f>
        <v/>
      </c>
      <c r="P48" s="44">
        <f>IF(AND( C26="Buy", ISBLANK(W26), B26&lt;&gt;"DIV", NOW()-A26 &lt; 365), (1-Index!$F$2*2)*((J26*D26)-(E26*D26)), "")</f>
        <v/>
      </c>
      <c r="Q48" s="44">
        <f>IF(AND( C26="Buy", ISBLANK(W26), B26&lt;&gt;"DIV", NOW()-A26 &lt; 365), ((E26*D26)+P26), "")</f>
        <v/>
      </c>
      <c r="R48" s="44">
        <f>IF(AND( C26="Buy", ISBLANK(W26), B26&lt;&gt;"DIV", NOW()-A26 &lt; 365), D26, "")</f>
        <v/>
      </c>
      <c r="S48" s="46">
        <f>IF(AND( C26="Buy", ISBLANK(W26), B26&lt;&gt;"DIV", NOW()-A26 &gt; 365), T26/sum(F26:I26), "")</f>
        <v/>
      </c>
      <c r="T48" s="47">
        <f>IF(AND( C26="Buy", ISBLANK(W26), B26&lt;&gt;"DIV", NOW()-A26 &gt; 365), (1-Index!$F$2*2)*((J26*D26)-(E26*D26)), "")</f>
        <v/>
      </c>
      <c r="U48" s="47">
        <f>IF(AND( C26="Buy", ISBLANK(W26), B26&lt;&gt;"DIV", NOW()-A26 &gt; 365), ((E26*D26)+T26), "")</f>
        <v/>
      </c>
      <c r="V48" s="47">
        <f>IF(AND( C26="Buy", ISBLANK(W26), B26&lt;&gt;"DIV", NOW()-A26 &gt; 365), D26, "")</f>
        <v/>
      </c>
      <c r="W48" s="47" t="n"/>
      <c r="X48" s="47" t="n"/>
      <c r="Y48" s="46">
        <f>IF(AND( C26="Buy", W26&lt;&gt;"", AA26&lt;&gt;"", B26&lt;&gt;"DIV"), Z26/sum(F26:I26), "")</f>
        <v/>
      </c>
      <c r="Z48" s="47" t="n"/>
      <c r="AA48" s="47" t="n"/>
      <c r="AB48" s="48" t="n"/>
      <c r="AC48" s="44">
        <f>if(B26="DIV", F26,"")</f>
        <v/>
      </c>
      <c r="AD48" s="49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M947" s="57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M948" s="57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M949" s="57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M950" s="57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M951" s="57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M952" s="57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M953" s="57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M954" s="57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M955" s="57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M956" s="57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M957" s="57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M958" s="57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M959" s="57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M960" s="57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M961" s="57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M962" s="57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M963" s="57" t="n"/>
      <c r="W963" s="54" t="n"/>
      <c r="X963" s="54" t="n"/>
      <c r="Y963" s="54" t="n"/>
      <c r="Z963" s="54" t="n"/>
      <c r="AA963" s="54" t="n"/>
      <c r="AB963" s="54" t="n"/>
      <c r="AC963" s="54" t="n"/>
    </row>
    <row r="964">
      <c r="E964" s="54" t="n"/>
      <c r="F964" s="54" t="n"/>
      <c r="G964" s="55" t="n"/>
      <c r="J964" s="54" t="n"/>
      <c r="K964" s="54" t="n"/>
      <c r="L964" s="54" t="n"/>
      <c r="M964" s="57" t="n"/>
      <c r="W964" s="54" t="n"/>
      <c r="X964" s="54" t="n"/>
      <c r="Y964" s="54" t="n"/>
      <c r="Z964" s="54" t="n"/>
      <c r="AA964" s="54" t="n"/>
      <c r="AB964" s="54" t="n"/>
      <c r="AC964" s="54" t="n"/>
    </row>
    <row r="965">
      <c r="E965" s="54" t="n"/>
      <c r="F965" s="54" t="n"/>
      <c r="G965" s="55" t="n"/>
      <c r="J965" s="54" t="n"/>
      <c r="K965" s="54" t="n"/>
      <c r="L965" s="54" t="n"/>
      <c r="M965" s="57" t="n"/>
      <c r="W965" s="54" t="n"/>
      <c r="X965" s="54" t="n"/>
      <c r="Y965" s="54" t="n"/>
      <c r="Z965" s="54" t="n"/>
      <c r="AA965" s="54" t="n"/>
      <c r="AB965" s="54" t="n"/>
      <c r="AC965" s="54" t="n"/>
    </row>
    <row r="966">
      <c r="E966" s="54" t="n"/>
      <c r="F966" s="54" t="n"/>
      <c r="G966" s="55" t="n"/>
      <c r="J966" s="54" t="n"/>
      <c r="K966" s="54" t="n"/>
      <c r="L966" s="54" t="n"/>
      <c r="M966" s="57" t="n"/>
      <c r="W966" s="54" t="n"/>
      <c r="X966" s="54" t="n"/>
      <c r="Y966" s="54" t="n"/>
      <c r="Z966" s="54" t="n"/>
      <c r="AA966" s="54" t="n"/>
      <c r="AB966" s="54" t="n"/>
      <c r="AC966" s="54" t="n"/>
    </row>
    <row r="967">
      <c r="E967" s="54" t="n"/>
      <c r="F967" s="54" t="n"/>
      <c r="G967" s="55" t="n"/>
      <c r="J967" s="54" t="n"/>
      <c r="K967" s="54" t="n"/>
      <c r="L967" s="54" t="n"/>
      <c r="M967" s="57" t="n"/>
      <c r="W967" s="54" t="n"/>
      <c r="X967" s="54" t="n"/>
      <c r="Y967" s="54" t="n"/>
      <c r="Z967" s="54" t="n"/>
      <c r="AA967" s="54" t="n"/>
      <c r="AB967" s="54" t="n"/>
      <c r="AC967" s="54" t="n"/>
    </row>
    <row r="968">
      <c r="E968" s="54" t="n"/>
      <c r="F968" s="54" t="n"/>
      <c r="G968" s="55" t="n"/>
      <c r="J968" s="54" t="n"/>
      <c r="K968" s="54" t="n"/>
      <c r="L968" s="54" t="n"/>
      <c r="M968" s="57" t="n"/>
      <c r="W968" s="54" t="n"/>
      <c r="X968" s="54" t="n"/>
      <c r="Y968" s="54" t="n"/>
      <c r="Z968" s="54" t="n"/>
      <c r="AA968" s="54" t="n"/>
      <c r="AB968" s="54" t="n"/>
      <c r="AC968" s="54" t="n"/>
    </row>
    <row r="969">
      <c r="E969" s="54" t="n"/>
      <c r="F969" s="54" t="n"/>
      <c r="G969" s="55" t="n"/>
      <c r="J969" s="54" t="n"/>
      <c r="K969" s="54" t="n"/>
      <c r="L969" s="54" t="n"/>
      <c r="M969" s="57" t="n"/>
      <c r="W969" s="54" t="n"/>
      <c r="X969" s="54" t="n"/>
      <c r="Y969" s="54" t="n"/>
      <c r="Z969" s="54" t="n"/>
      <c r="AA969" s="54" t="n"/>
      <c r="AB969" s="54" t="n"/>
      <c r="AC969" s="54" t="n"/>
    </row>
    <row r="970">
      <c r="E970" s="54" t="n"/>
      <c r="F970" s="54" t="n"/>
      <c r="G970" s="55" t="n"/>
      <c r="J970" s="54" t="n"/>
      <c r="K970" s="54" t="n"/>
      <c r="L970" s="54" t="n"/>
      <c r="M970" s="57" t="n"/>
      <c r="W970" s="54" t="n"/>
      <c r="X970" s="54" t="n"/>
      <c r="Y970" s="54" t="n"/>
      <c r="Z970" s="54" t="n"/>
      <c r="AA970" s="54" t="n"/>
      <c r="AB970" s="54" t="n"/>
      <c r="AC970" s="54" t="n"/>
    </row>
    <row r="971">
      <c r="E971" s="54" t="n"/>
      <c r="F971" s="54" t="n"/>
      <c r="G971" s="55" t="n"/>
      <c r="J971" s="54" t="n"/>
      <c r="K971" s="54" t="n"/>
      <c r="L971" s="54" t="n"/>
      <c r="M971" s="57" t="n"/>
      <c r="W971" s="54" t="n"/>
      <c r="X971" s="54" t="n"/>
      <c r="Y971" s="54" t="n"/>
      <c r="Z971" s="54" t="n"/>
      <c r="AA971" s="54" t="n"/>
      <c r="AB971" s="54" t="n"/>
      <c r="AC971" s="54" t="n"/>
    </row>
    <row r="972">
      <c r="E972" s="54" t="n"/>
      <c r="F972" s="54" t="n"/>
      <c r="G972" s="55" t="n"/>
      <c r="J972" s="54" t="n"/>
      <c r="K972" s="54" t="n"/>
      <c r="L972" s="54" t="n"/>
      <c r="M972" s="57" t="n"/>
      <c r="W972" s="54" t="n"/>
      <c r="X972" s="54" t="n"/>
      <c r="Y972" s="54" t="n"/>
      <c r="Z972" s="54" t="n"/>
      <c r="AA972" s="54" t="n"/>
      <c r="AB972" s="54" t="n"/>
      <c r="AC972" s="54" t="n"/>
    </row>
    <row r="973">
      <c r="E973" s="54" t="n"/>
      <c r="F973" s="54" t="n"/>
      <c r="G973" s="55" t="n"/>
      <c r="J973" s="54" t="n"/>
      <c r="K973" s="54" t="n"/>
      <c r="L973" s="54" t="n"/>
      <c r="M973" s="57" t="n"/>
      <c r="W973" s="54" t="n"/>
      <c r="X973" s="54" t="n"/>
      <c r="Y973" s="54" t="n"/>
      <c r="Z973" s="54" t="n"/>
      <c r="AA973" s="54" t="n"/>
      <c r="AB973" s="54" t="n"/>
      <c r="AC973" s="54" t="n"/>
    </row>
    <row r="974">
      <c r="E974" s="54" t="n"/>
      <c r="F974" s="54" t="n"/>
      <c r="G974" s="55" t="n"/>
      <c r="J974" s="54" t="n"/>
      <c r="K974" s="54" t="n"/>
      <c r="L974" s="54" t="n"/>
      <c r="M974" s="57" t="n"/>
      <c r="W974" s="54" t="n"/>
      <c r="X974" s="54" t="n"/>
      <c r="Y974" s="54" t="n"/>
      <c r="Z974" s="54" t="n"/>
      <c r="AA974" s="54" t="n"/>
      <c r="AB974" s="54" t="n"/>
      <c r="AC974" s="54" t="n"/>
    </row>
    <row r="975">
      <c r="E975" s="54" t="n"/>
      <c r="F975" s="54" t="n"/>
      <c r="G975" s="55" t="n"/>
      <c r="J975" s="54" t="n"/>
      <c r="K975" s="54" t="n"/>
      <c r="L975" s="54" t="n"/>
      <c r="M975" s="57" t="n"/>
      <c r="W975" s="54" t="n"/>
      <c r="X975" s="54" t="n"/>
      <c r="Y975" s="54" t="n"/>
      <c r="Z975" s="54" t="n"/>
      <c r="AA975" s="54" t="n"/>
      <c r="AB975" s="54" t="n"/>
      <c r="AC975" s="54" t="n"/>
    </row>
    <row r="976">
      <c r="E976" s="54" t="n"/>
      <c r="F976" s="54" t="n"/>
      <c r="G976" s="55" t="n"/>
      <c r="J976" s="54" t="n"/>
      <c r="K976" s="54" t="n"/>
      <c r="L976" s="54" t="n"/>
      <c r="M976" s="57" t="n"/>
      <c r="W976" s="54" t="n"/>
      <c r="X976" s="54" t="n"/>
      <c r="Y976" s="54" t="n"/>
      <c r="Z976" s="54" t="n"/>
      <c r="AA976" s="54" t="n"/>
      <c r="AB976" s="54" t="n"/>
      <c r="AC976" s="54" t="n"/>
    </row>
    <row r="977">
      <c r="E977" s="54" t="n"/>
      <c r="F977" s="54" t="n"/>
      <c r="G977" s="55" t="n"/>
      <c r="J977" s="54" t="n"/>
      <c r="K977" s="54" t="n"/>
      <c r="L977" s="54" t="n"/>
      <c r="M977" s="57" t="n"/>
      <c r="W977" s="54" t="n"/>
      <c r="X977" s="54" t="n"/>
      <c r="Y977" s="54" t="n"/>
      <c r="Z977" s="54" t="n"/>
      <c r="AA977" s="54" t="n"/>
      <c r="AB977" s="54" t="n"/>
      <c r="AC977" s="54" t="n"/>
    </row>
    <row r="978">
      <c r="E978" s="54" t="n"/>
      <c r="F978" s="54" t="n"/>
      <c r="G978" s="55" t="n"/>
      <c r="J978" s="54" t="n"/>
      <c r="K978" s="54" t="n"/>
      <c r="L978" s="54" t="n"/>
      <c r="M978" s="57" t="n"/>
      <c r="W978" s="54" t="n"/>
      <c r="X978" s="54" t="n"/>
      <c r="Y978" s="54" t="n"/>
      <c r="Z978" s="54" t="n"/>
      <c r="AA978" s="54" t="n"/>
      <c r="AB978" s="54" t="n"/>
      <c r="AC978" s="54" t="n"/>
    </row>
    <row r="979">
      <c r="E979" s="54" t="n"/>
      <c r="F979" s="54" t="n"/>
      <c r="G979" s="55" t="n"/>
      <c r="J979" s="54" t="n"/>
      <c r="K979" s="54" t="n"/>
      <c r="L979" s="54" t="n"/>
      <c r="M979" s="57" t="n"/>
      <c r="W979" s="54" t="n"/>
      <c r="X979" s="54" t="n"/>
      <c r="Y979" s="54" t="n"/>
      <c r="Z979" s="54" t="n"/>
      <c r="AA979" s="54" t="n"/>
      <c r="AB979" s="54" t="n"/>
      <c r="AC979" s="54" t="n"/>
    </row>
    <row r="980">
      <c r="E980" s="54" t="n"/>
      <c r="F980" s="54" t="n"/>
      <c r="G980" s="55" t="n"/>
      <c r="J980" s="54" t="n"/>
      <c r="K980" s="54" t="n"/>
      <c r="L980" s="54" t="n"/>
      <c r="M980" s="57" t="n"/>
      <c r="W980" s="54" t="n"/>
      <c r="X980" s="54" t="n"/>
      <c r="Y980" s="54" t="n"/>
      <c r="Z980" s="54" t="n"/>
      <c r="AA980" s="54" t="n"/>
      <c r="AB980" s="54" t="n"/>
      <c r="AC980" s="54" t="n"/>
    </row>
    <row r="981">
      <c r="E981" s="54" t="n"/>
      <c r="F981" s="54" t="n"/>
      <c r="G981" s="55" t="n"/>
      <c r="J981" s="54" t="n"/>
      <c r="K981" s="54" t="n"/>
      <c r="L981" s="54" t="n"/>
      <c r="M981" s="57" t="n"/>
      <c r="W981" s="54" t="n"/>
      <c r="X981" s="54" t="n"/>
      <c r="Y981" s="54" t="n"/>
      <c r="Z981" s="54" t="n"/>
      <c r="AA981" s="54" t="n"/>
      <c r="AB981" s="54" t="n"/>
      <c r="AC981" s="54" t="n"/>
    </row>
    <row r="982">
      <c r="E982" s="54" t="n"/>
      <c r="F982" s="54" t="n"/>
      <c r="G982" s="55" t="n"/>
      <c r="J982" s="54" t="n"/>
      <c r="K982" s="54" t="n"/>
      <c r="L982" s="54" t="n"/>
      <c r="M982" s="57" t="n"/>
      <c r="W982" s="54" t="n"/>
      <c r="X982" s="54" t="n"/>
      <c r="Y982" s="54" t="n"/>
      <c r="Z982" s="54" t="n"/>
      <c r="AA982" s="54" t="n"/>
      <c r="AB982" s="54" t="n"/>
      <c r="AC982" s="54" t="n"/>
    </row>
    <row r="983">
      <c r="E983" s="54" t="n"/>
      <c r="F983" s="54" t="n"/>
      <c r="G983" s="55" t="n"/>
      <c r="J983" s="54" t="n"/>
      <c r="K983" s="54" t="n"/>
      <c r="L983" s="54" t="n"/>
      <c r="M983" s="57" t="n"/>
      <c r="W983" s="54" t="n"/>
      <c r="X983" s="54" t="n"/>
      <c r="Y983" s="54" t="n"/>
      <c r="Z983" s="54" t="n"/>
      <c r="AA983" s="54" t="n"/>
      <c r="AB983" s="54" t="n"/>
      <c r="AC983" s="54" t="n"/>
    </row>
    <row r="984">
      <c r="E984" s="54" t="n"/>
      <c r="F984" s="54" t="n"/>
      <c r="G984" s="55" t="n"/>
      <c r="J984" s="54" t="n"/>
      <c r="K984" s="54" t="n"/>
      <c r="L984" s="54" t="n"/>
      <c r="M984" s="57" t="n"/>
      <c r="W984" s="54" t="n"/>
      <c r="X984" s="54" t="n"/>
      <c r="Y984" s="54" t="n"/>
      <c r="Z984" s="54" t="n"/>
      <c r="AA984" s="54" t="n"/>
      <c r="AB984" s="54" t="n"/>
      <c r="AC984" s="54" t="n"/>
    </row>
    <row r="985">
      <c r="E985" s="54" t="n"/>
      <c r="F985" s="54" t="n"/>
      <c r="G985" s="55" t="n"/>
      <c r="J985" s="54" t="n"/>
      <c r="K985" s="54" t="n"/>
      <c r="L985" s="54" t="n"/>
      <c r="W985" s="54" t="n"/>
      <c r="X985" s="54" t="n"/>
      <c r="Y985" s="54" t="n"/>
      <c r="Z985" s="54" t="n"/>
      <c r="AA985" s="54" t="n"/>
      <c r="AB985" s="54" t="n"/>
      <c r="AC985" s="54" t="n"/>
    </row>
    <row r="986">
      <c r="E986" s="54" t="n"/>
      <c r="F986" s="54" t="n"/>
      <c r="G986" s="55" t="n"/>
      <c r="J986" s="54" t="n"/>
      <c r="K986" s="54" t="n"/>
      <c r="L986" s="54" t="n"/>
      <c r="W986" s="54" t="n"/>
      <c r="X986" s="54" t="n"/>
      <c r="Y986" s="54" t="n"/>
      <c r="Z986" s="54" t="n"/>
      <c r="AA986" s="54" t="n"/>
      <c r="AB986" s="54" t="n"/>
      <c r="AC986" s="54" t="n"/>
    </row>
    <row r="987">
      <c r="E987" s="54" t="n"/>
      <c r="F987" s="54" t="n"/>
      <c r="G987" s="55" t="n"/>
      <c r="J987" s="54" t="n"/>
      <c r="K987" s="54" t="n"/>
      <c r="L987" s="54" t="n"/>
      <c r="W987" s="54" t="n"/>
      <c r="X987" s="54" t="n"/>
      <c r="Y987" s="54" t="n"/>
      <c r="Z987" s="54" t="n"/>
      <c r="AA987" s="54" t="n"/>
      <c r="AB987" s="54" t="n"/>
      <c r="AC987" s="54" t="n"/>
    </row>
    <row r="988">
      <c r="E988" s="54" t="n"/>
      <c r="F988" s="54" t="n"/>
      <c r="G988" s="55" t="n"/>
      <c r="J988" s="54" t="n"/>
      <c r="K988" s="54" t="n"/>
      <c r="L988" s="54" t="n"/>
      <c r="W988" s="54" t="n"/>
      <c r="X988" s="54" t="n"/>
      <c r="Y988" s="54" t="n"/>
      <c r="Z988" s="54" t="n"/>
      <c r="AA988" s="54" t="n"/>
      <c r="AB988" s="54" t="n"/>
      <c r="AC988" s="54" t="n"/>
    </row>
    <row r="989">
      <c r="E989" s="54" t="n"/>
      <c r="F989" s="54" t="n"/>
      <c r="G989" s="55" t="n"/>
      <c r="J989" s="54" t="n"/>
      <c r="K989" s="54" t="n"/>
      <c r="L989" s="54" t="n"/>
      <c r="W989" s="54" t="n"/>
      <c r="X989" s="54" t="n"/>
      <c r="Y989" s="54" t="n"/>
      <c r="Z989" s="54" t="n"/>
      <c r="AA989" s="54" t="n"/>
      <c r="AB989" s="54" t="n"/>
      <c r="AC989" s="54" t="n"/>
    </row>
    <row r="990">
      <c r="E990" s="54" t="n"/>
      <c r="F990" s="54" t="n"/>
      <c r="G990" s="55" t="n"/>
      <c r="J990" s="54" t="n"/>
      <c r="K990" s="54" t="n"/>
      <c r="L990" s="54" t="n"/>
      <c r="W990" s="54" t="n"/>
      <c r="X990" s="54" t="n"/>
      <c r="Y990" s="54" t="n"/>
      <c r="Z990" s="54" t="n"/>
      <c r="AA990" s="54" t="n"/>
      <c r="AB990" s="54" t="n"/>
      <c r="AC990" s="54" t="n"/>
    </row>
    <row r="991">
      <c r="E991" s="54" t="n"/>
      <c r="F991" s="54" t="n"/>
      <c r="G991" s="55" t="n"/>
      <c r="J991" s="54" t="n"/>
      <c r="K991" s="54" t="n"/>
      <c r="L991" s="54" t="n"/>
      <c r="W991" s="54" t="n"/>
      <c r="X991" s="54" t="n"/>
      <c r="Y991" s="54" t="n"/>
      <c r="Z991" s="54" t="n"/>
      <c r="AA991" s="54" t="n"/>
      <c r="AB991" s="54" t="n"/>
      <c r="AC991" s="54" t="n"/>
    </row>
    <row r="992">
      <c r="E992" s="54" t="n"/>
      <c r="F992" s="54" t="n"/>
      <c r="G992" s="55" t="n"/>
      <c r="J992" s="54" t="n"/>
      <c r="K992" s="54" t="n"/>
      <c r="L992" s="54" t="n"/>
      <c r="W992" s="54" t="n"/>
      <c r="X992" s="54" t="n"/>
      <c r="Y992" s="54" t="n"/>
      <c r="Z992" s="54" t="n"/>
      <c r="AA992" s="54" t="n"/>
      <c r="AB992" s="54" t="n"/>
      <c r="AC992" s="54" t="n"/>
    </row>
    <row r="993">
      <c r="E993" s="54" t="n"/>
      <c r="F993" s="54" t="n"/>
      <c r="G993" s="55" t="n"/>
      <c r="J993" s="54" t="n"/>
      <c r="K993" s="54" t="n"/>
      <c r="L993" s="54" t="n"/>
      <c r="W993" s="54" t="n"/>
      <c r="X993" s="54" t="n"/>
      <c r="Y993" s="54" t="n"/>
      <c r="Z993" s="54" t="n"/>
      <c r="AA993" s="54" t="n"/>
      <c r="AB993" s="54" t="n"/>
      <c r="AC993" s="54" t="n"/>
    </row>
    <row r="994">
      <c r="E994" s="54" t="n"/>
      <c r="F994" s="54" t="n"/>
      <c r="G994" s="55" t="n"/>
      <c r="J994" s="54" t="n"/>
      <c r="K994" s="54" t="n"/>
      <c r="L994" s="54" t="n"/>
      <c r="W994" s="54" t="n"/>
      <c r="X994" s="54" t="n"/>
      <c r="Y994" s="54" t="n"/>
      <c r="Z994" s="54" t="n"/>
      <c r="AA994" s="54" t="n"/>
      <c r="AB994" s="54" t="n"/>
      <c r="AC994" s="54" t="n"/>
    </row>
    <row r="995">
      <c r="E995" s="54" t="n"/>
      <c r="F995" s="54" t="n"/>
      <c r="G995" s="55" t="n"/>
      <c r="J995" s="54" t="n"/>
      <c r="K995" s="54" t="n"/>
      <c r="L995" s="54" t="n"/>
      <c r="W995" s="54" t="n"/>
      <c r="X995" s="54" t="n"/>
      <c r="Y995" s="54" t="n"/>
      <c r="Z995" s="54" t="n"/>
      <c r="AA995" s="54" t="n"/>
      <c r="AB995" s="54" t="n"/>
      <c r="AC995" s="54" t="n"/>
    </row>
    <row r="996">
      <c r="E996" s="54" t="n"/>
      <c r="F996" s="54" t="n"/>
      <c r="G996" s="55" t="n"/>
      <c r="J996" s="54" t="n"/>
      <c r="K996" s="54" t="n"/>
      <c r="L996" s="54" t="n"/>
      <c r="W996" s="54" t="n"/>
      <c r="X996" s="54" t="n"/>
      <c r="Y996" s="54" t="n"/>
      <c r="Z996" s="54" t="n"/>
      <c r="AA996" s="54" t="n"/>
      <c r="AB996" s="54" t="n"/>
      <c r="AC996" s="54" t="n"/>
    </row>
    <row r="997">
      <c r="E997" s="54" t="n"/>
      <c r="F997" s="54" t="n"/>
      <c r="G997" s="55" t="n"/>
      <c r="J997" s="54" t="n"/>
      <c r="K997" s="54" t="n"/>
      <c r="L997" s="54" t="n"/>
      <c r="W997" s="54" t="n"/>
      <c r="X997" s="54" t="n"/>
      <c r="Y997" s="54" t="n"/>
      <c r="Z997" s="54" t="n"/>
      <c r="AA997" s="54" t="n"/>
      <c r="AB997" s="54" t="n"/>
      <c r="AC997" s="54" t="n"/>
    </row>
    <row r="998">
      <c r="E998" s="54" t="n"/>
      <c r="F998" s="54" t="n"/>
      <c r="G998" s="55" t="n"/>
      <c r="J998" s="54" t="n"/>
      <c r="K998" s="54" t="n"/>
      <c r="L998" s="54" t="n"/>
      <c r="W998" s="54" t="n"/>
      <c r="X998" s="54" t="n"/>
      <c r="Y998" s="54" t="n"/>
      <c r="Z998" s="54" t="n"/>
      <c r="AA998" s="54" t="n"/>
      <c r="AB998" s="54" t="n"/>
      <c r="AC998" s="54" t="n"/>
    </row>
    <row r="999">
      <c r="E999" s="54" t="n"/>
      <c r="F999" s="54" t="n"/>
      <c r="G999" s="55" t="n"/>
      <c r="J999" s="54" t="n"/>
      <c r="K999" s="54" t="n"/>
      <c r="L999" s="54" t="n"/>
      <c r="W999" s="54" t="n"/>
      <c r="X999" s="54" t="n"/>
      <c r="Y999" s="54" t="n"/>
      <c r="Z999" s="54" t="n"/>
      <c r="AA999" s="54" t="n"/>
      <c r="AB999" s="54" t="n"/>
      <c r="AC999" s="54" t="n"/>
    </row>
    <row r="1000">
      <c r="E1000" s="54" t="n"/>
      <c r="F1000" s="54" t="n"/>
      <c r="G1000" s="55" t="n"/>
      <c r="J1000" s="54" t="n"/>
      <c r="K1000" s="54" t="n"/>
      <c r="L1000" s="54" t="n"/>
      <c r="W1000" s="54" t="n"/>
      <c r="X1000" s="54" t="n"/>
      <c r="Y1000" s="54" t="n"/>
      <c r="Z1000" s="54" t="n"/>
      <c r="AA1000" s="54" t="n"/>
      <c r="AB1000" s="54" t="n"/>
      <c r="AC1000" s="54" t="n"/>
    </row>
    <row r="1001">
      <c r="E1001" s="54" t="n"/>
      <c r="F1001" s="54" t="n"/>
      <c r="G1001" s="55" t="n"/>
      <c r="J1001" s="54" t="n"/>
      <c r="K1001" s="54" t="n"/>
      <c r="L1001" s="54" t="n"/>
      <c r="W1001" s="54" t="n"/>
      <c r="X1001" s="54" t="n"/>
      <c r="Y1001" s="54" t="n"/>
      <c r="Z1001" s="54" t="n"/>
      <c r="AA1001" s="54" t="n"/>
      <c r="AB1001" s="54" t="n"/>
      <c r="AC1001" s="54" t="n"/>
    </row>
  </sheetData>
  <autoFilter ref="$A$4:$AO$56"/>
  <mergeCells count="5">
    <mergeCell ref="W2:AC3"/>
    <mergeCell ref="S3:V3"/>
    <mergeCell ref="K2:V2"/>
    <mergeCell ref="K3:N3"/>
    <mergeCell ref="O3:R3"/>
  </mergeCells>
  <conditionalFormatting sqref="C1:C97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6">
    <cfRule type="expression" priority="5" dxfId="1">
      <formula>NOT(ISBLANK($W5))</formula>
    </cfRule>
  </conditionalFormatting>
  <conditionalFormatting sqref="K5:K26 O5:O26 S5:S2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NSE:ABB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""price"")"),5800.0)</f>
        <v/>
      </c>
      <c r="D2" s="57" t="n"/>
      <c r="E2" s="60" t="inlineStr">
        <is>
          <t>Commission</t>
        </is>
      </c>
      <c r="F2" s="59" t="n">
        <v>0.007</v>
      </c>
      <c r="G2" s="57" t="n"/>
      <c r="J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""high52"")"),6260.0)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""low52"")"),4637.5)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History'!$N$4:$N1012)</f>
        <v/>
      </c>
      <c r="D8" s="61" t="n"/>
      <c r="E8" s="66" t="inlineStr">
        <is>
          <t>ST Units</t>
        </is>
      </c>
      <c r="F8" s="65">
        <f>IFERROR(SUM('Trading History'!$R$4:$R1012), 0)</f>
        <v/>
      </c>
      <c r="G8" s="61" t="n"/>
      <c r="H8" s="67" t="inlineStr">
        <is>
          <t>LT Units</t>
        </is>
      </c>
      <c r="I8" s="65">
        <f>SUM('Trading History'!$V$4:$V1012)</f>
        <v/>
      </c>
      <c r="J8" s="61" t="n"/>
      <c r="K8" s="68" t="inlineStr">
        <is>
          <t>Units</t>
        </is>
      </c>
      <c r="L8" s="65">
        <f>SUM('Trading History'!$AB$4:$AB1012)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57" t="n"/>
      <c r="B9" s="69" t="inlineStr">
        <is>
          <t>Avg %</t>
        </is>
      </c>
      <c r="C9" s="59">
        <f>IFERROR(Index!C10/(Index!C8*Index!$C$2), 0)</f>
        <v/>
      </c>
      <c r="D9" s="61" t="n"/>
      <c r="E9" s="70" t="inlineStr">
        <is>
          <t>ST Avg %</t>
        </is>
      </c>
      <c r="F9" s="59">
        <f>IFERROR(Index!F10/(Index!F8*Index!$C$2), 0)</f>
        <v/>
      </c>
      <c r="G9" s="61" t="n"/>
      <c r="H9" s="71" t="inlineStr">
        <is>
          <t>LT Avg %</t>
        </is>
      </c>
      <c r="I9" s="59">
        <f>IFERROR(Index!I10/(Index!I8*Index!$C$2), 0)</f>
        <v/>
      </c>
      <c r="J9" s="61" t="n"/>
      <c r="K9" s="72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57" t="n"/>
      <c r="B10" s="69" t="inlineStr">
        <is>
          <t>Gain</t>
        </is>
      </c>
      <c r="C10" s="73">
        <f>SUM('Trading History'!$L$4:$L1012)</f>
        <v/>
      </c>
      <c r="D10" s="61" t="n"/>
      <c r="E10" s="70" t="inlineStr">
        <is>
          <t>ST Gain</t>
        </is>
      </c>
      <c r="F10" s="73">
        <f>SUM('Trading History'!$P$4:$P1012)</f>
        <v/>
      </c>
      <c r="G10" s="61" t="n"/>
      <c r="H10" s="71" t="inlineStr">
        <is>
          <t>LT Gain</t>
        </is>
      </c>
      <c r="I10" s="73">
        <f>SUM('Trading History'!$T$4:$T1012)</f>
        <v/>
      </c>
      <c r="J10" s="61" t="n"/>
      <c r="K10" s="72" t="inlineStr">
        <is>
          <t>Gain</t>
        </is>
      </c>
      <c r="L10" s="73">
        <f>SUM('Trading History'!$Z$4:$Z1012)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57" t="n"/>
      <c r="B11" s="69" t="inlineStr">
        <is>
          <t>Invested</t>
        </is>
      </c>
      <c r="C11" s="73">
        <f>Index!C12-Index!C10</f>
        <v/>
      </c>
      <c r="D11" s="61" t="n"/>
      <c r="E11" s="70" t="inlineStr">
        <is>
          <t>ST Invested</t>
        </is>
      </c>
      <c r="F11" s="73">
        <f>Index!F12-Index!F10</f>
        <v/>
      </c>
      <c r="G11" s="61" t="n"/>
      <c r="H11" s="71" t="inlineStr">
        <is>
          <t>LT Invested</t>
        </is>
      </c>
      <c r="I11" s="73">
        <f>Index!I12-Index!I10</f>
        <v/>
      </c>
      <c r="J11" s="61" t="n"/>
      <c r="K11" s="72" t="inlineStr">
        <is>
          <t>Invested</t>
        </is>
      </c>
      <c r="L11" s="73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57" t="n"/>
      <c r="B12" s="69" t="inlineStr">
        <is>
          <t>Gross</t>
        </is>
      </c>
      <c r="C12" s="73">
        <f>SUM('Trading History'!$M$4:$M1012)</f>
        <v/>
      </c>
      <c r="D12" s="61" t="n"/>
      <c r="E12" s="70" t="inlineStr">
        <is>
          <t>ST Gross</t>
        </is>
      </c>
      <c r="F12" s="73">
        <f>SUM('Trading History'!$Q$4:$Q1012)</f>
        <v/>
      </c>
      <c r="G12" s="61" t="n"/>
      <c r="H12" s="71" t="inlineStr">
        <is>
          <t>LT Gross</t>
        </is>
      </c>
      <c r="I12" s="73">
        <f>SUM('Trading History'!$U$4:$U1012)</f>
        <v/>
      </c>
      <c r="J12" s="61" t="n"/>
      <c r="K12" s="72" t="inlineStr">
        <is>
          <t>Gross</t>
        </is>
      </c>
      <c r="L12" s="73">
        <f>SUM('Trading History'!$AA$4:$AA1012)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72" t="inlineStr">
        <is>
          <t>Dividends</t>
        </is>
      </c>
      <c r="L13" s="73">
        <f>SUMIF('Trading History'!$B25:$B1012,"DIV",'Trading History'!$AC$4:$AC1012)</f>
        <v/>
      </c>
    </row>
    <row r="14">
      <c r="A14" s="57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</row>
    <row r="15">
      <c r="A15" s="74" t="n">
        <v>0.5</v>
      </c>
      <c r="B15" s="64" t="inlineStr">
        <is>
          <t>Units</t>
        </is>
      </c>
      <c r="C15" s="65">
        <f>SUMIFS('Trading History'!$N$4:$N1012, 'Trading History'!$K$4:$K1012, CONCAT("&gt;", $A15))</f>
        <v/>
      </c>
      <c r="D15" s="61" t="n"/>
      <c r="E15" s="66" t="inlineStr">
        <is>
          <t>ST Units</t>
        </is>
      </c>
      <c r="F15" s="65">
        <f>IFERROR(SUMIFS('Trading History'!$R$4:$R1012, 'Trading History'!$O$4:$O1012, CONCAT("&gt;", $A15)), 0)</f>
        <v/>
      </c>
      <c r="G15" s="61" t="n"/>
      <c r="H15" s="67" t="inlineStr">
        <is>
          <t>LT Units</t>
        </is>
      </c>
      <c r="I15" s="65">
        <f>SUMIFS('Trading History'!$V$4:$V1012, 'Trading History'!$S$4:$S1012, CONCAT("&gt;", $A15))</f>
        <v/>
      </c>
      <c r="J15" s="61" t="n"/>
      <c r="K15" s="68" t="inlineStr">
        <is>
          <t>Units</t>
        </is>
      </c>
      <c r="L15" s="65">
        <f>SUMIFS('Trading History'!$AB$4:$AB1012, 'Trading History'!$Y$4:$Y1012,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69" t="inlineStr">
        <is>
          <t>Avg %</t>
        </is>
      </c>
      <c r="C16" s="59">
        <f>IFERROR(Index!C17/(Index!C15*Index!$C$2), 0)</f>
        <v/>
      </c>
      <c r="D16" s="61" t="n"/>
      <c r="E16" s="70" t="inlineStr">
        <is>
          <t>ST Avg %</t>
        </is>
      </c>
      <c r="F16" s="59">
        <f>IFERROR(Index!F17/(Index!F15*Index!$C$2), 0)</f>
        <v/>
      </c>
      <c r="G16" s="61" t="n"/>
      <c r="H16" s="71" t="inlineStr">
        <is>
          <t>LT Avg %</t>
        </is>
      </c>
      <c r="I16" s="59">
        <f>IFERROR(Index!I17/(Index!I15*Index!$C$2), 0)</f>
        <v/>
      </c>
      <c r="J16" s="61" t="n"/>
      <c r="K16" s="72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69" t="inlineStr">
        <is>
          <t>Gain</t>
        </is>
      </c>
      <c r="C17" s="73">
        <f>SUMIFS('Trading History'!$L$4:$L1012, 'Trading History'!$K$4:$K1012, CONCAT("&gt;", $A15))</f>
        <v/>
      </c>
      <c r="D17" s="61" t="n"/>
      <c r="E17" s="70" t="inlineStr">
        <is>
          <t>ST Gain</t>
        </is>
      </c>
      <c r="F17" s="73">
        <f>SUMIFS('Trading History'!$P$4:$P1012, 'Trading History'!$O$4:$O1012, CONCAT("&gt;", $A15))</f>
        <v/>
      </c>
      <c r="G17" s="61" t="n"/>
      <c r="H17" s="71" t="inlineStr">
        <is>
          <t>LT Gain</t>
        </is>
      </c>
      <c r="I17" s="73">
        <f>SUMIFS('Trading History'!$T$4:$T1012, 'Trading History'!$S$4:$S1012, CONCAT("&gt;", $A15))</f>
        <v/>
      </c>
      <c r="J17" s="61" t="n"/>
      <c r="K17" s="72" t="inlineStr">
        <is>
          <t>Gain</t>
        </is>
      </c>
      <c r="L17" s="73">
        <f>SUMIFS('Trading History'!$Z$4:$Z1012, 'Trading History'!$Y$4:$Y1012,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69" t="inlineStr">
        <is>
          <t>Invested</t>
        </is>
      </c>
      <c r="C18" s="73">
        <f>Index!C19-Index!C17</f>
        <v/>
      </c>
      <c r="D18" s="61" t="n"/>
      <c r="E18" s="70" t="inlineStr">
        <is>
          <t>ST Invested</t>
        </is>
      </c>
      <c r="F18" s="73">
        <f>Index!F19-Index!F17</f>
        <v/>
      </c>
      <c r="G18" s="61" t="n"/>
      <c r="H18" s="71" t="inlineStr">
        <is>
          <t>LT Invested</t>
        </is>
      </c>
      <c r="I18" s="73">
        <f>Index!I19-Index!I17</f>
        <v/>
      </c>
      <c r="J18" s="61" t="n"/>
      <c r="K18" s="72" t="inlineStr">
        <is>
          <t>Invested</t>
        </is>
      </c>
      <c r="L18" s="73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69" t="inlineStr">
        <is>
          <t>Gross</t>
        </is>
      </c>
      <c r="C19" s="73">
        <f>SUMIFS('Trading History'!$M$4:$M1012, 'Trading History'!$K$4:$K1012, CONCAT("&gt;", $A15))</f>
        <v/>
      </c>
      <c r="D19" s="61" t="n"/>
      <c r="E19" s="70" t="inlineStr">
        <is>
          <t>ST Gross</t>
        </is>
      </c>
      <c r="F19" s="73">
        <f>SUMIFS('Trading History'!$Q$4:$Q1012, 'Trading History'!$O$4:$O1012, CONCAT("&gt;", $A15))</f>
        <v/>
      </c>
      <c r="G19" s="61" t="n"/>
      <c r="H19" s="71" t="inlineStr">
        <is>
          <t>LT Gross</t>
        </is>
      </c>
      <c r="I19" s="73">
        <f>SUMIFS('Trading History'!$U$4:$U1012, 'Trading History'!$S$4:$S1012, CONCAT("&gt;", $A15))</f>
        <v/>
      </c>
      <c r="J19" s="61" t="n"/>
      <c r="K19" s="72" t="inlineStr">
        <is>
          <t>Gross</t>
        </is>
      </c>
      <c r="L19" s="73">
        <f>SUMIFS('Trading History'!$AA$4:$AA1012, 'Trading History'!$Y$4:$Y1012,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74" t="n">
        <v>0.45</v>
      </c>
      <c r="B22" s="64" t="inlineStr">
        <is>
          <t>Units</t>
        </is>
      </c>
      <c r="C22" s="65">
        <f>SUMIFS('Trading History'!$N$4:$N1012, 'Trading History'!$K$4:$K1012, CONCAT("&gt;", $A22))</f>
        <v/>
      </c>
      <c r="D22" s="61" t="n"/>
      <c r="E22" s="66" t="inlineStr">
        <is>
          <t>ST Units</t>
        </is>
      </c>
      <c r="F22" s="65">
        <f>IFERROR(SUMIFS('Trading History'!$R$4:$R1012, 'Trading History'!$O$4:$O1012, CONCAT("&gt;", $A22)), 0)</f>
        <v/>
      </c>
      <c r="G22" s="61" t="n"/>
      <c r="H22" s="67" t="inlineStr">
        <is>
          <t>LT Units</t>
        </is>
      </c>
      <c r="I22" s="65">
        <f>SUMIFS('Trading History'!$V$4:$V1012, 'Trading History'!$S$4:$S1012, CONCAT("&gt;", $A22))</f>
        <v/>
      </c>
      <c r="J22" s="61" t="n"/>
      <c r="K22" s="68" t="inlineStr">
        <is>
          <t>Units</t>
        </is>
      </c>
      <c r="L22" s="65">
        <f>SUMIFS('Trading History'!$AB$4:$AB1012, 'Trading History'!$Y$4:$Y1012,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69" t="inlineStr">
        <is>
          <t>Avg %</t>
        </is>
      </c>
      <c r="C23" s="59">
        <f>IFERROR(Index!C24/(Index!C22*Index!$C$2), 0)</f>
        <v/>
      </c>
      <c r="D23" s="61" t="n"/>
      <c r="E23" s="70" t="inlineStr">
        <is>
          <t>ST Avg %</t>
        </is>
      </c>
      <c r="F23" s="59">
        <f>IFERROR(Index!F24/(Index!F22*Index!$C$2), 0)</f>
        <v/>
      </c>
      <c r="G23" s="61" t="n"/>
      <c r="H23" s="71" t="inlineStr">
        <is>
          <t>LT Avg %</t>
        </is>
      </c>
      <c r="I23" s="59">
        <f>IFERROR(Index!I24/(Index!I22*Index!$C$2), 0)</f>
        <v/>
      </c>
      <c r="J23" s="61" t="n"/>
      <c r="K23" s="72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69" t="inlineStr">
        <is>
          <t>Gain</t>
        </is>
      </c>
      <c r="C24" s="73">
        <f>SUMIFS('Trading History'!$L$4:$L1012, 'Trading History'!$K$4:$K1012, CONCAT("&gt;", $A22))</f>
        <v/>
      </c>
      <c r="D24" s="61" t="n"/>
      <c r="E24" s="70" t="inlineStr">
        <is>
          <t>ST Gain</t>
        </is>
      </c>
      <c r="F24" s="73">
        <f>SUMIFS('Trading History'!$P$4:$P1012, 'Trading History'!$O$4:$O1012, CONCAT("&gt;", $A22))</f>
        <v/>
      </c>
      <c r="G24" s="61" t="n"/>
      <c r="H24" s="71" t="inlineStr">
        <is>
          <t>LT Gain</t>
        </is>
      </c>
      <c r="I24" s="73">
        <f>SUMIFS('Trading History'!$T$4:$T1012, 'Trading History'!$S$4:$S1012, CONCAT("&gt;", $A22))</f>
        <v/>
      </c>
      <c r="J24" s="61" t="n"/>
      <c r="K24" s="72" t="inlineStr">
        <is>
          <t>Gain</t>
        </is>
      </c>
      <c r="L24" s="73">
        <f>SUMIFS('Trading History'!$Z$4:$Z1012, 'Trading History'!$Y$4:$Y1012,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69" t="inlineStr">
        <is>
          <t>Invested</t>
        </is>
      </c>
      <c r="C25" s="73">
        <f>Index!C26-Index!C24</f>
        <v/>
      </c>
      <c r="D25" s="61" t="n"/>
      <c r="E25" s="70" t="inlineStr">
        <is>
          <t>ST Invested</t>
        </is>
      </c>
      <c r="F25" s="73">
        <f>Index!F26-Index!F24</f>
        <v/>
      </c>
      <c r="G25" s="61" t="n"/>
      <c r="H25" s="71" t="inlineStr">
        <is>
          <t>LT Invested</t>
        </is>
      </c>
      <c r="I25" s="73">
        <f>Index!I26-Index!I24</f>
        <v/>
      </c>
      <c r="J25" s="61" t="n"/>
      <c r="K25" s="72" t="inlineStr">
        <is>
          <t>Invested</t>
        </is>
      </c>
      <c r="L25" s="73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69" t="inlineStr">
        <is>
          <t>Gross</t>
        </is>
      </c>
      <c r="C26" s="73">
        <f>SUMIFS('Trading History'!$M$4:$M1012, 'Trading History'!$K$4:$K1012, CONCAT("&gt;", $A22))</f>
        <v/>
      </c>
      <c r="D26" s="61" t="n"/>
      <c r="E26" s="70" t="inlineStr">
        <is>
          <t>ST Gross</t>
        </is>
      </c>
      <c r="F26" s="73">
        <f>SUMIFS('Trading History'!$Q$4:$Q1012, 'Trading History'!$O$4:$O1012, CONCAT("&gt;", $A22))</f>
        <v/>
      </c>
      <c r="G26" s="61" t="n"/>
      <c r="H26" s="71" t="inlineStr">
        <is>
          <t>LT Gross</t>
        </is>
      </c>
      <c r="I26" s="73">
        <f>SUMIFS('Trading History'!$U$4:$U1012, 'Trading History'!$S$4:$S1012, CONCAT("&gt;", $A22))</f>
        <v/>
      </c>
      <c r="J26" s="61" t="n"/>
      <c r="K26" s="72" t="inlineStr">
        <is>
          <t>Gross</t>
        </is>
      </c>
      <c r="L26" s="73">
        <f>SUMIFS('Trading History'!$AA$4:$AA1012, 'Trading History'!$Y$4:$Y1012,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74" t="n">
        <v>0.4</v>
      </c>
      <c r="B29" s="64" t="inlineStr">
        <is>
          <t>Units</t>
        </is>
      </c>
      <c r="C29" s="65">
        <f>SUMIFS('Trading History'!$N$4:$N1012, 'Trading History'!$K$4:$K1012, CONCAT("&gt;", $A29))</f>
        <v/>
      </c>
      <c r="D29" s="61" t="n"/>
      <c r="E29" s="66" t="inlineStr">
        <is>
          <t>ST Units</t>
        </is>
      </c>
      <c r="F29" s="65">
        <f>IFERROR(SUMIFS('Trading History'!$R$4:$R1012, 'Trading History'!$O$4:$O1012, CONCAT("&gt;", $A29)), 0)</f>
        <v/>
      </c>
      <c r="G29" s="61" t="n"/>
      <c r="H29" s="67" t="inlineStr">
        <is>
          <t>LT Units</t>
        </is>
      </c>
      <c r="I29" s="65">
        <f>SUMIFS('Trading History'!$V$4:$V1012, 'Trading History'!$S$4:$S1012, CONCAT("&gt;", $A29))</f>
        <v/>
      </c>
      <c r="J29" s="61" t="n"/>
      <c r="K29" s="68" t="inlineStr">
        <is>
          <t>Units</t>
        </is>
      </c>
      <c r="L29" s="65">
        <f>SUMIFS('Trading History'!$AB$4:$AB1012, 'Trading History'!$Y$4:$Y1012,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69" t="inlineStr">
        <is>
          <t>Avg %</t>
        </is>
      </c>
      <c r="C30" s="59">
        <f>IFERROR(Index!C31/(Index!C29*Index!$C$2), 0)</f>
        <v/>
      </c>
      <c r="D30" s="61" t="n"/>
      <c r="E30" s="70" t="inlineStr">
        <is>
          <t>ST Avg %</t>
        </is>
      </c>
      <c r="F30" s="59">
        <f>IFERROR(Index!F31/(Index!F29*Index!$C$2), 0)</f>
        <v/>
      </c>
      <c r="G30" s="61" t="n"/>
      <c r="H30" s="71" t="inlineStr">
        <is>
          <t>LT Avg %</t>
        </is>
      </c>
      <c r="I30" s="59">
        <f>IFERROR(Index!I31/(Index!I29*Index!$C$2), 0)</f>
        <v/>
      </c>
      <c r="J30" s="61" t="n"/>
      <c r="K30" s="72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69" t="inlineStr">
        <is>
          <t>Gain</t>
        </is>
      </c>
      <c r="C31" s="73">
        <f>SUMIFS('Trading History'!$L$4:$L1012, 'Trading History'!$K$4:$K1012, CONCAT("&gt;", $A29))</f>
        <v/>
      </c>
      <c r="D31" s="61" t="n"/>
      <c r="E31" s="70" t="inlineStr">
        <is>
          <t>ST Gain</t>
        </is>
      </c>
      <c r="F31" s="73">
        <f>SUMIFS('Trading History'!$P$4:$P1012, 'Trading History'!$O$4:$O1012, CONCAT("&gt;", $A29))</f>
        <v/>
      </c>
      <c r="G31" s="61" t="n"/>
      <c r="H31" s="71" t="inlineStr">
        <is>
          <t>LT Gain</t>
        </is>
      </c>
      <c r="I31" s="73">
        <f>SUMIFS('Trading History'!$T$4:$T1012, 'Trading History'!$S$4:$S1012, CONCAT("&gt;", $A29))</f>
        <v/>
      </c>
      <c r="J31" s="61" t="n"/>
      <c r="K31" s="72" t="inlineStr">
        <is>
          <t>Gain</t>
        </is>
      </c>
      <c r="L31" s="73">
        <f>SUMIFS('Trading History'!$Z$4:$Z1012, 'Trading History'!$Y$4:$Y1012,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69" t="inlineStr">
        <is>
          <t>Invested</t>
        </is>
      </c>
      <c r="C32" s="73">
        <f>Index!C33-Index!C31</f>
        <v/>
      </c>
      <c r="D32" s="61" t="n"/>
      <c r="E32" s="70" t="inlineStr">
        <is>
          <t>ST Invested</t>
        </is>
      </c>
      <c r="F32" s="73">
        <f>Index!F33-Index!F31</f>
        <v/>
      </c>
      <c r="G32" s="61" t="n"/>
      <c r="H32" s="71" t="inlineStr">
        <is>
          <t>LT Invested</t>
        </is>
      </c>
      <c r="I32" s="73">
        <f>Index!I33-Index!I31</f>
        <v/>
      </c>
      <c r="J32" s="61" t="n"/>
      <c r="K32" s="72" t="inlineStr">
        <is>
          <t>Invested</t>
        </is>
      </c>
      <c r="L32" s="73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69" t="inlineStr">
        <is>
          <t>Gross</t>
        </is>
      </c>
      <c r="C33" s="73">
        <f>SUMIFS('Trading History'!$M$4:$M1012, 'Trading History'!$K$4:$K1012, CONCAT("&gt;", $A29))</f>
        <v/>
      </c>
      <c r="D33" s="61" t="n"/>
      <c r="E33" s="70" t="inlineStr">
        <is>
          <t>ST Gross</t>
        </is>
      </c>
      <c r="F33" s="73">
        <f>SUMIFS('Trading History'!$Q$4:$Q1012, 'Trading History'!$O$4:$O1012, CONCAT("&gt;", $A29))</f>
        <v/>
      </c>
      <c r="G33" s="61" t="n"/>
      <c r="H33" s="71" t="inlineStr">
        <is>
          <t>LT Gross</t>
        </is>
      </c>
      <c r="I33" s="73">
        <f>SUMIFS('Trading History'!$U$4:$U1012, 'Trading History'!$S$4:$S1012, CONCAT("&gt;", $A29))</f>
        <v/>
      </c>
      <c r="J33" s="61" t="n"/>
      <c r="K33" s="72" t="inlineStr">
        <is>
          <t>Gross</t>
        </is>
      </c>
      <c r="L33" s="73">
        <f>SUMIFS('Trading History'!$AA$4:$AA1012, 'Trading History'!$Y$4:$Y1012,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74" t="n">
        <v>0.35</v>
      </c>
      <c r="B36" s="64" t="inlineStr">
        <is>
          <t>Units</t>
        </is>
      </c>
      <c r="C36" s="65">
        <f>SUMIFS('Trading History'!$N$4:$N1012, 'Trading History'!$K$4:$K1012, CONCAT("&gt;", $A36))</f>
        <v/>
      </c>
      <c r="D36" s="61" t="n"/>
      <c r="E36" s="66" t="inlineStr">
        <is>
          <t>ST Units</t>
        </is>
      </c>
      <c r="F36" s="65">
        <f>IFERROR(SUMIFS('Trading History'!$R$4:$R1012, 'Trading History'!$O$4:$O1012, CONCAT("&gt;", $A36)), 0)</f>
        <v/>
      </c>
      <c r="G36" s="61" t="n"/>
      <c r="H36" s="67" t="inlineStr">
        <is>
          <t>LT Units</t>
        </is>
      </c>
      <c r="I36" s="65">
        <f>SUMIFS('Trading History'!$V$4:$V1012, 'Trading History'!$S$4:$S1012, CONCAT("&gt;", $A36))</f>
        <v/>
      </c>
      <c r="J36" s="61" t="n"/>
      <c r="K36" s="68" t="inlineStr">
        <is>
          <t>Units</t>
        </is>
      </c>
      <c r="L36" s="65">
        <f>SUMIFS('Trading History'!$AB$4:$AB1012, 'Trading History'!$Y$4:$Y1012,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69" t="inlineStr">
        <is>
          <t>Avg %</t>
        </is>
      </c>
      <c r="C37" s="59">
        <f>IFERROR(Index!C38/(Index!C36*Index!$C$2), 0)</f>
        <v/>
      </c>
      <c r="D37" s="61" t="n"/>
      <c r="E37" s="70" t="inlineStr">
        <is>
          <t>ST Avg %</t>
        </is>
      </c>
      <c r="F37" s="59">
        <f>IFERROR(Index!F38/(Index!F36*Index!$C$2), 0)</f>
        <v/>
      </c>
      <c r="G37" s="61" t="n"/>
      <c r="H37" s="71" t="inlineStr">
        <is>
          <t>LT Avg %</t>
        </is>
      </c>
      <c r="I37" s="59">
        <f>IFERROR(Index!I38/(Index!I36*Index!$C$2), 0)</f>
        <v/>
      </c>
      <c r="J37" s="61" t="n"/>
      <c r="K37" s="72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69" t="inlineStr">
        <is>
          <t>Gain</t>
        </is>
      </c>
      <c r="C38" s="73">
        <f>SUMIFS('Trading History'!$L$4:$L1012, 'Trading History'!$K$4:$K1012, CONCAT("&gt;", $A36))</f>
        <v/>
      </c>
      <c r="D38" s="61" t="n"/>
      <c r="E38" s="70" t="inlineStr">
        <is>
          <t>ST Gain</t>
        </is>
      </c>
      <c r="F38" s="73">
        <f>SUMIFS('Trading History'!$P$4:$P1012, 'Trading History'!$O$4:$O1012, CONCAT("&gt;", $A36))</f>
        <v/>
      </c>
      <c r="G38" s="61" t="n"/>
      <c r="H38" s="71" t="inlineStr">
        <is>
          <t>LT Gain</t>
        </is>
      </c>
      <c r="I38" s="73">
        <f>SUMIFS('Trading History'!$T$4:$T1012, 'Trading History'!$S$4:$S1012, CONCAT("&gt;", $A36))</f>
        <v/>
      </c>
      <c r="J38" s="61" t="n"/>
      <c r="K38" s="72" t="inlineStr">
        <is>
          <t>Gain</t>
        </is>
      </c>
      <c r="L38" s="73">
        <f>SUMIFS('Trading History'!$Z$4:$Z1012, 'Trading History'!$Y$4:$Y1012,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69" t="inlineStr">
        <is>
          <t>Invested</t>
        </is>
      </c>
      <c r="C39" s="73">
        <f>Index!C40-Index!C38</f>
        <v/>
      </c>
      <c r="D39" s="61" t="n"/>
      <c r="E39" s="70" t="inlineStr">
        <is>
          <t>ST Invested</t>
        </is>
      </c>
      <c r="F39" s="73">
        <f>Index!F40-Index!F38</f>
        <v/>
      </c>
      <c r="G39" s="61" t="n"/>
      <c r="H39" s="71" t="inlineStr">
        <is>
          <t>LT Invested</t>
        </is>
      </c>
      <c r="I39" s="73">
        <f>Index!I40-Index!I38</f>
        <v/>
      </c>
      <c r="J39" s="61" t="n"/>
      <c r="K39" s="72" t="inlineStr">
        <is>
          <t>Invested</t>
        </is>
      </c>
      <c r="L39" s="73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69" t="inlineStr">
        <is>
          <t>Gross</t>
        </is>
      </c>
      <c r="C40" s="73">
        <f>SUMIFS('Trading History'!$M$4:$M1012, 'Trading History'!$K$4:$K1012, CONCAT("&gt;", $A36))</f>
        <v/>
      </c>
      <c r="D40" s="61" t="n"/>
      <c r="E40" s="70" t="inlineStr">
        <is>
          <t>ST Gross</t>
        </is>
      </c>
      <c r="F40" s="73">
        <f>SUMIFS('Trading History'!$Q$4:$Q1012, 'Trading History'!$O$4:$O1012, CONCAT("&gt;", $A36))</f>
        <v/>
      </c>
      <c r="G40" s="61" t="n"/>
      <c r="H40" s="71" t="inlineStr">
        <is>
          <t>LT Gross</t>
        </is>
      </c>
      <c r="I40" s="73">
        <f>SUMIFS('Trading History'!$U$4:$U1012, 'Trading History'!$S$4:$S1012, CONCAT("&gt;", $A36))</f>
        <v/>
      </c>
      <c r="J40" s="61" t="n"/>
      <c r="K40" s="72" t="inlineStr">
        <is>
          <t>Gross</t>
        </is>
      </c>
      <c r="L40" s="73">
        <f>SUMIFS('Trading History'!$AA$4:$AA1012, 'Trading History'!$Y$4:$Y1012,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74" t="n">
        <v>0.3</v>
      </c>
      <c r="B43" s="64" t="inlineStr">
        <is>
          <t>Units</t>
        </is>
      </c>
      <c r="C43" s="65">
        <f>SUMIFS('Trading History'!$N$4:$N1012, 'Trading History'!$K$4:$K1012, CONCAT("&gt;", $A43))</f>
        <v/>
      </c>
      <c r="D43" s="61" t="n"/>
      <c r="E43" s="66" t="inlineStr">
        <is>
          <t>ST Units</t>
        </is>
      </c>
      <c r="F43" s="65">
        <f>IFERROR(SUMIFS('Trading History'!$R$4:$R1012, 'Trading History'!$O$4:$O1012, CONCAT("&gt;", $A43)), 0)</f>
        <v/>
      </c>
      <c r="G43" s="61" t="n"/>
      <c r="H43" s="67" t="inlineStr">
        <is>
          <t>LT Units</t>
        </is>
      </c>
      <c r="I43" s="65">
        <f>SUMIFS('Trading History'!$V$4:$V1012, 'Trading History'!$S$4:$S1012, CONCAT("&gt;", $A43))</f>
        <v/>
      </c>
      <c r="J43" s="61" t="n"/>
      <c r="K43" s="68" t="inlineStr">
        <is>
          <t>Units</t>
        </is>
      </c>
      <c r="L43" s="65">
        <f>SUMIFS('Trading History'!$AB$4:$AB1012, 'Trading History'!$Y$4:$Y1012,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69" t="inlineStr">
        <is>
          <t>Avg %</t>
        </is>
      </c>
      <c r="C44" s="59">
        <f>IFERROR(Index!C45/(Index!C43*Index!$C$2), 0)</f>
        <v/>
      </c>
      <c r="D44" s="61" t="n"/>
      <c r="E44" s="70" t="inlineStr">
        <is>
          <t>ST Avg %</t>
        </is>
      </c>
      <c r="F44" s="59">
        <f>IFERROR(Index!F45/(Index!F43*Index!$C$2), 0)</f>
        <v/>
      </c>
      <c r="G44" s="61" t="n"/>
      <c r="H44" s="71" t="inlineStr">
        <is>
          <t>LT Avg %</t>
        </is>
      </c>
      <c r="I44" s="59">
        <f>IFERROR(Index!I45/(Index!I43*Index!$C$2), 0)</f>
        <v/>
      </c>
      <c r="J44" s="61" t="n"/>
      <c r="K44" s="72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69" t="inlineStr">
        <is>
          <t>Gain</t>
        </is>
      </c>
      <c r="C45" s="73">
        <f>SUMIFS('Trading History'!$L$4:$L1012, 'Trading History'!$K$4:$K1012, CONCAT("&gt;", $A43))</f>
        <v/>
      </c>
      <c r="D45" s="61" t="n"/>
      <c r="E45" s="70" t="inlineStr">
        <is>
          <t>ST Gain</t>
        </is>
      </c>
      <c r="F45" s="73">
        <f>SUMIFS('Trading History'!$P$4:$P1012, 'Trading History'!$O$4:$O1012, CONCAT("&gt;", $A43))</f>
        <v/>
      </c>
      <c r="G45" s="61" t="n"/>
      <c r="H45" s="71" t="inlineStr">
        <is>
          <t>LT Gain</t>
        </is>
      </c>
      <c r="I45" s="73">
        <f>SUMIFS('Trading History'!$T$4:$T1012, 'Trading History'!$S$4:$S1012, CONCAT("&gt;", $A43))</f>
        <v/>
      </c>
      <c r="J45" s="61" t="n"/>
      <c r="K45" s="72" t="inlineStr">
        <is>
          <t>Gain</t>
        </is>
      </c>
      <c r="L45" s="73">
        <f>SUMIFS('Trading History'!$Z$4:$Z1012, 'Trading History'!$Y$4:$Y1012,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69" t="inlineStr">
        <is>
          <t>Invested</t>
        </is>
      </c>
      <c r="C46" s="73">
        <f>Index!C47-Index!C45</f>
        <v/>
      </c>
      <c r="D46" s="61" t="n"/>
      <c r="E46" s="70" t="inlineStr">
        <is>
          <t>ST Invested</t>
        </is>
      </c>
      <c r="F46" s="73">
        <f>Index!F47-Index!F45</f>
        <v/>
      </c>
      <c r="G46" s="61" t="n"/>
      <c r="H46" s="71" t="inlineStr">
        <is>
          <t>LT Invested</t>
        </is>
      </c>
      <c r="I46" s="73">
        <f>Index!I47-Index!I45</f>
        <v/>
      </c>
      <c r="J46" s="61" t="n"/>
      <c r="K46" s="72" t="inlineStr">
        <is>
          <t>Invested</t>
        </is>
      </c>
      <c r="L46" s="73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69" t="inlineStr">
        <is>
          <t>Gross</t>
        </is>
      </c>
      <c r="C47" s="73">
        <f>SUMIFS('Trading History'!$M$4:$M1012, 'Trading History'!$K$4:$K1012, CONCAT("&gt;", $A43))</f>
        <v/>
      </c>
      <c r="D47" s="61" t="n"/>
      <c r="E47" s="70" t="inlineStr">
        <is>
          <t>ST Gross</t>
        </is>
      </c>
      <c r="F47" s="73">
        <f>SUMIFS('Trading History'!$Q$4:$Q1012, 'Trading History'!$O$4:$O1012, CONCAT("&gt;", $A43))</f>
        <v/>
      </c>
      <c r="G47" s="61" t="n"/>
      <c r="H47" s="71" t="inlineStr">
        <is>
          <t>LT Gross</t>
        </is>
      </c>
      <c r="I47" s="73">
        <f>SUMIFS('Trading History'!$U$4:$U1012, 'Trading History'!$S$4:$S1012, CONCAT("&gt;", $A43))</f>
        <v/>
      </c>
      <c r="J47" s="61" t="n"/>
      <c r="K47" s="72" t="inlineStr">
        <is>
          <t>Gross</t>
        </is>
      </c>
      <c r="L47" s="73">
        <f>SUMIFS('Trading History'!$AA$4:$AA1012, 'Trading History'!$Y$4:$Y1012,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74" t="n">
        <v>0.25</v>
      </c>
      <c r="B50" s="64" t="inlineStr">
        <is>
          <t>Units</t>
        </is>
      </c>
      <c r="C50" s="65">
        <f>SUMIFS('Trading History'!$N$4:$N1012, 'Trading History'!$K$4:$K1012, CONCAT("&gt;", $A50))</f>
        <v/>
      </c>
      <c r="D50" s="61" t="n"/>
      <c r="E50" s="66" t="inlineStr">
        <is>
          <t>ST Units</t>
        </is>
      </c>
      <c r="F50" s="65">
        <f>IFERROR(SUMIFS('Trading History'!$R$4:$R1012, 'Trading History'!$O$4:$O1012, CONCAT("&gt;", $A50)), 0)</f>
        <v/>
      </c>
      <c r="G50" s="61" t="n"/>
      <c r="H50" s="67" t="inlineStr">
        <is>
          <t>LT Units</t>
        </is>
      </c>
      <c r="I50" s="65">
        <f>SUMIFS('Trading History'!$V$4:$V1012, 'Trading History'!$S$4:$S1012, CONCAT("&gt;", $A50))</f>
        <v/>
      </c>
      <c r="J50" s="61" t="n"/>
      <c r="K50" s="68" t="inlineStr">
        <is>
          <t>Units</t>
        </is>
      </c>
      <c r="L50" s="65">
        <f>SUMIFS('Trading History'!$AB$4:$AB1012, 'Trading History'!$Y$4:$Y1012,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69" t="inlineStr">
        <is>
          <t>Avg %</t>
        </is>
      </c>
      <c r="C51" s="59">
        <f>IFERROR(Index!C52/(Index!C50*Index!$C$2), 0)</f>
        <v/>
      </c>
      <c r="D51" s="61" t="n"/>
      <c r="E51" s="70" t="inlineStr">
        <is>
          <t>ST Avg %</t>
        </is>
      </c>
      <c r="F51" s="59">
        <f>IFERROR(Index!F52/(Index!F50*Index!$C$2), 0)</f>
        <v/>
      </c>
      <c r="G51" s="61" t="n"/>
      <c r="H51" s="71" t="inlineStr">
        <is>
          <t>LT Avg %</t>
        </is>
      </c>
      <c r="I51" s="59">
        <f>IFERROR(Index!I52/(Index!I50*Index!$C$2), 0)</f>
        <v/>
      </c>
      <c r="J51" s="61" t="n"/>
      <c r="K51" s="72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69" t="inlineStr">
        <is>
          <t>Gain</t>
        </is>
      </c>
      <c r="C52" s="73">
        <f>SUMIFS('Trading History'!$L$4:$L1012, 'Trading History'!$K$4:$K1012, CONCAT("&gt;", $A50))</f>
        <v/>
      </c>
      <c r="D52" s="61" t="n"/>
      <c r="E52" s="70" t="inlineStr">
        <is>
          <t>ST Gain</t>
        </is>
      </c>
      <c r="F52" s="73">
        <f>SUMIFS('Trading History'!$P$4:$P1012, 'Trading History'!$O$4:$O1012, CONCAT("&gt;", $A50))</f>
        <v/>
      </c>
      <c r="G52" s="61" t="n"/>
      <c r="H52" s="71" t="inlineStr">
        <is>
          <t>LT Gain</t>
        </is>
      </c>
      <c r="I52" s="73">
        <f>SUMIFS('Trading History'!$T$4:$T1012, 'Trading History'!$S$4:$S1012, CONCAT("&gt;", $A50))</f>
        <v/>
      </c>
      <c r="J52" s="61" t="n"/>
      <c r="K52" s="72" t="inlineStr">
        <is>
          <t>Gain</t>
        </is>
      </c>
      <c r="L52" s="73">
        <f>SUMIFS('Trading History'!$Z$4:$Z1012, 'Trading History'!$Y$4:$Y1012,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69" t="inlineStr">
        <is>
          <t>Invested</t>
        </is>
      </c>
      <c r="C53" s="73">
        <f>Index!C54-Index!C52</f>
        <v/>
      </c>
      <c r="D53" s="61" t="n"/>
      <c r="E53" s="70" t="inlineStr">
        <is>
          <t>ST Invested</t>
        </is>
      </c>
      <c r="F53" s="73">
        <f>Index!F54-Index!F52</f>
        <v/>
      </c>
      <c r="G53" s="61" t="n"/>
      <c r="H53" s="71" t="inlineStr">
        <is>
          <t>LT Invested</t>
        </is>
      </c>
      <c r="I53" s="73">
        <f>Index!I54-Index!I52</f>
        <v/>
      </c>
      <c r="J53" s="61" t="n"/>
      <c r="K53" s="72" t="inlineStr">
        <is>
          <t>Invested</t>
        </is>
      </c>
      <c r="L53" s="73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69" t="inlineStr">
        <is>
          <t>Gross</t>
        </is>
      </c>
      <c r="C54" s="73">
        <f>SUMIFS('Trading History'!$M$4:$M1012, 'Trading History'!$K$4:$K1012, CONCAT("&gt;", $A50))</f>
        <v/>
      </c>
      <c r="D54" s="61" t="n"/>
      <c r="E54" s="70" t="inlineStr">
        <is>
          <t>ST Gross</t>
        </is>
      </c>
      <c r="F54" s="73">
        <f>SUMIFS('Trading History'!$Q$4:$Q1012, 'Trading History'!$O$4:$O1012, CONCAT("&gt;", $A50))</f>
        <v/>
      </c>
      <c r="G54" s="61" t="n"/>
      <c r="H54" s="71" t="inlineStr">
        <is>
          <t>LT Gross</t>
        </is>
      </c>
      <c r="I54" s="73">
        <f>SUMIFS('Trading History'!$U$4:$U1012, 'Trading History'!$S$4:$S1012, CONCAT("&gt;", $A50))</f>
        <v/>
      </c>
      <c r="J54" s="61" t="n"/>
      <c r="K54" s="72" t="inlineStr">
        <is>
          <t>Gross</t>
        </is>
      </c>
      <c r="L54" s="73">
        <f>SUMIFS('Trading History'!$AA$4:$AA1012, 'Trading History'!$Y$4:$Y1012,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74" t="n">
        <v>0.2</v>
      </c>
      <c r="B57" s="64" t="inlineStr">
        <is>
          <t>Units</t>
        </is>
      </c>
      <c r="C57" s="65">
        <f>SUMIFS('Trading History'!$N$4:$N1012, 'Trading History'!$K$4:$K1012, CONCAT("&gt;", $A57))</f>
        <v/>
      </c>
      <c r="D57" s="61" t="n"/>
      <c r="E57" s="66" t="inlineStr">
        <is>
          <t>ST Units</t>
        </is>
      </c>
      <c r="F57" s="65">
        <f>IFERROR(SUMIFS('Trading History'!$R$4:$R1012, 'Trading History'!$O$4:$O1012, CONCAT("&gt;", $A57)), 0)</f>
        <v/>
      </c>
      <c r="G57" s="61" t="n"/>
      <c r="H57" s="67" t="inlineStr">
        <is>
          <t>LT Units</t>
        </is>
      </c>
      <c r="I57" s="65">
        <f>SUMIFS('Trading History'!$V$4:$V1012, 'Trading History'!$S$4:$S1012, CONCAT("&gt;", $A57))</f>
        <v/>
      </c>
      <c r="J57" s="61" t="n"/>
      <c r="K57" s="68" t="inlineStr">
        <is>
          <t>Units</t>
        </is>
      </c>
      <c r="L57" s="65">
        <f>SUMIFS('Trading History'!$AB$4:$AB1012, 'Trading History'!$Y$4:$Y1012,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69" t="inlineStr">
        <is>
          <t>Avg %</t>
        </is>
      </c>
      <c r="C58" s="59">
        <f>IFERROR(Index!C59/(Index!C57*Index!$C$2), 0)</f>
        <v/>
      </c>
      <c r="D58" s="61" t="n"/>
      <c r="E58" s="70" t="inlineStr">
        <is>
          <t>ST Avg %</t>
        </is>
      </c>
      <c r="F58" s="59">
        <f>IFERROR(Index!F59/(Index!F57*Index!$C$2), 0)</f>
        <v/>
      </c>
      <c r="G58" s="61" t="n"/>
      <c r="H58" s="71" t="inlineStr">
        <is>
          <t>LT Avg %</t>
        </is>
      </c>
      <c r="I58" s="59">
        <f>IFERROR(Index!I59/(Index!I57*Index!$C$2), 0)</f>
        <v/>
      </c>
      <c r="J58" s="61" t="n"/>
      <c r="K58" s="72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69" t="inlineStr">
        <is>
          <t>Gain</t>
        </is>
      </c>
      <c r="C59" s="73">
        <f>SUMIFS('Trading History'!$L$4:$L1012, 'Trading History'!$K$4:$K1012, CONCAT("&gt;", $A57))</f>
        <v/>
      </c>
      <c r="D59" s="61" t="n"/>
      <c r="E59" s="70" t="inlineStr">
        <is>
          <t>ST Gain</t>
        </is>
      </c>
      <c r="F59" s="73">
        <f>SUMIFS('Trading History'!$P$4:$P1012, 'Trading History'!$O$4:$O1012, CONCAT("&gt;", $A57))</f>
        <v/>
      </c>
      <c r="G59" s="61" t="n"/>
      <c r="H59" s="71" t="inlineStr">
        <is>
          <t>LT Gain</t>
        </is>
      </c>
      <c r="I59" s="73">
        <f>SUMIFS('Trading History'!$T$4:$T1012, 'Trading History'!$S$4:$S1012, CONCAT("&gt;", $A57))</f>
        <v/>
      </c>
      <c r="J59" s="61" t="n"/>
      <c r="K59" s="72" t="inlineStr">
        <is>
          <t>Gain</t>
        </is>
      </c>
      <c r="L59" s="73">
        <f>SUMIFS('Trading History'!$Z$4:$Z1012, 'Trading History'!$Y$4:$Y1012,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69" t="inlineStr">
        <is>
          <t>Invested</t>
        </is>
      </c>
      <c r="C60" s="73">
        <f>Index!C61-Index!C59</f>
        <v/>
      </c>
      <c r="D60" s="61" t="n"/>
      <c r="E60" s="70" t="inlineStr">
        <is>
          <t>ST Invested</t>
        </is>
      </c>
      <c r="F60" s="73">
        <f>Index!F61-Index!F59</f>
        <v/>
      </c>
      <c r="G60" s="61" t="n"/>
      <c r="H60" s="71" t="inlineStr">
        <is>
          <t>LT Invested</t>
        </is>
      </c>
      <c r="I60" s="73">
        <f>Index!I61-Index!I59</f>
        <v/>
      </c>
      <c r="J60" s="61" t="n"/>
      <c r="K60" s="72" t="inlineStr">
        <is>
          <t>Invested</t>
        </is>
      </c>
      <c r="L60" s="73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69" t="inlineStr">
        <is>
          <t>Gross</t>
        </is>
      </c>
      <c r="C61" s="73">
        <f>SUMIFS('Trading History'!$M$4:$M1012, 'Trading History'!$K$4:$K1012, CONCAT("&gt;", $A57))</f>
        <v/>
      </c>
      <c r="D61" s="61" t="n"/>
      <c r="E61" s="70" t="inlineStr">
        <is>
          <t>ST Gross</t>
        </is>
      </c>
      <c r="F61" s="73">
        <f>SUMIFS('Trading History'!$Q$4:$Q1012, 'Trading History'!$O$4:$O1012, CONCAT("&gt;", $A57))</f>
        <v/>
      </c>
      <c r="G61" s="61" t="n"/>
      <c r="H61" s="71" t="inlineStr">
        <is>
          <t>LT Gross</t>
        </is>
      </c>
      <c r="I61" s="73">
        <f>SUMIFS('Trading History'!$U$4:$U1012, 'Trading History'!$S$4:$S1012, CONCAT("&gt;", $A57))</f>
        <v/>
      </c>
      <c r="J61" s="61" t="n"/>
      <c r="K61" s="72" t="inlineStr">
        <is>
          <t>Gross</t>
        </is>
      </c>
      <c r="L61" s="73">
        <f>SUMIFS('Trading History'!$AA$4:$AA1012, 'Trading History'!$Y$4:$Y1012,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74" t="n">
        <v>0.15</v>
      </c>
      <c r="B64" s="64" t="inlineStr">
        <is>
          <t>Units</t>
        </is>
      </c>
      <c r="C64" s="65">
        <f>SUMIFS('Trading History'!$N$4:$N1012, 'Trading History'!$K$4:$K1012, CONCAT("&gt;", $A64))</f>
        <v/>
      </c>
      <c r="D64" s="61" t="n"/>
      <c r="E64" s="66" t="inlineStr">
        <is>
          <t>ST Units</t>
        </is>
      </c>
      <c r="F64" s="65">
        <f>IFERROR(SUMIFS('Trading History'!$R$4:$R1012, 'Trading History'!$O$4:$O1012, CONCAT("&gt;", $A64)), 0)</f>
        <v/>
      </c>
      <c r="G64" s="61" t="n"/>
      <c r="H64" s="67" t="inlineStr">
        <is>
          <t>LT Units</t>
        </is>
      </c>
      <c r="I64" s="65">
        <f>SUMIFS('Trading History'!$V$4:$V1012, 'Trading History'!$S$4:$S1012, CONCAT("&gt;", $A64))</f>
        <v/>
      </c>
      <c r="J64" s="61" t="n"/>
      <c r="K64" s="68" t="inlineStr">
        <is>
          <t>Units</t>
        </is>
      </c>
      <c r="L64" s="65">
        <f>SUMIFS('Trading History'!$AB$4:$AB1012, 'Trading History'!$Y$4:$Y1012,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69" t="inlineStr">
        <is>
          <t>Avg %</t>
        </is>
      </c>
      <c r="C65" s="59">
        <f>IFERROR(Index!C66/(Index!C64*Index!$C$2), 0)</f>
        <v/>
      </c>
      <c r="D65" s="61" t="n"/>
      <c r="E65" s="70" t="inlineStr">
        <is>
          <t>ST Avg %</t>
        </is>
      </c>
      <c r="F65" s="59">
        <f>IFERROR(Index!F66/(Index!F64*Index!$C$2), 0)</f>
        <v/>
      </c>
      <c r="G65" s="61" t="n"/>
      <c r="H65" s="71" t="inlineStr">
        <is>
          <t>LT Avg %</t>
        </is>
      </c>
      <c r="I65" s="59">
        <f>IFERROR(Index!I66/(Index!I64*Index!$C$2), 0)</f>
        <v/>
      </c>
      <c r="J65" s="61" t="n"/>
      <c r="K65" s="72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69" t="inlineStr">
        <is>
          <t>Gain</t>
        </is>
      </c>
      <c r="C66" s="73">
        <f>SUMIFS('Trading History'!$L$4:$L1012, 'Trading History'!$K$4:$K1012, CONCAT("&gt;", $A64))</f>
        <v/>
      </c>
      <c r="D66" s="61" t="n"/>
      <c r="E66" s="70" t="inlineStr">
        <is>
          <t>ST Gain</t>
        </is>
      </c>
      <c r="F66" s="73">
        <f>SUMIFS('Trading History'!$P$4:$P1012, 'Trading History'!$O$4:$O1012, CONCAT("&gt;", $A64))</f>
        <v/>
      </c>
      <c r="G66" s="61" t="n"/>
      <c r="H66" s="71" t="inlineStr">
        <is>
          <t>LT Gain</t>
        </is>
      </c>
      <c r="I66" s="73">
        <f>SUMIFS('Trading History'!$T$4:$T1012, 'Trading History'!$S$4:$S1012, CONCAT("&gt;", $A64))</f>
        <v/>
      </c>
      <c r="J66" s="61" t="n"/>
      <c r="K66" s="72" t="inlineStr">
        <is>
          <t>Gain</t>
        </is>
      </c>
      <c r="L66" s="73">
        <f>SUMIFS('Trading History'!$Z$4:$Z1012, 'Trading History'!$Y$4:$Y1012,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69" t="inlineStr">
        <is>
          <t>Invested</t>
        </is>
      </c>
      <c r="C67" s="73">
        <f>Index!C68-Index!C66</f>
        <v/>
      </c>
      <c r="D67" s="61" t="n"/>
      <c r="E67" s="70" t="inlineStr">
        <is>
          <t>ST Invested</t>
        </is>
      </c>
      <c r="F67" s="73">
        <f>Index!F68-Index!F66</f>
        <v/>
      </c>
      <c r="G67" s="61" t="n"/>
      <c r="H67" s="71" t="inlineStr">
        <is>
          <t>LT Invested</t>
        </is>
      </c>
      <c r="I67" s="73">
        <f>Index!I68-Index!I66</f>
        <v/>
      </c>
      <c r="J67" s="61" t="n"/>
      <c r="K67" s="72" t="inlineStr">
        <is>
          <t>Invested</t>
        </is>
      </c>
      <c r="L67" s="73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69" t="inlineStr">
        <is>
          <t>Gross</t>
        </is>
      </c>
      <c r="C68" s="73">
        <f>SUMIFS('Trading History'!$M$4:$M1012, 'Trading History'!$K$4:$K1012, CONCAT("&gt;", $A64))</f>
        <v/>
      </c>
      <c r="D68" s="61" t="n"/>
      <c r="E68" s="70" t="inlineStr">
        <is>
          <t>ST Gross</t>
        </is>
      </c>
      <c r="F68" s="73">
        <f>SUMIFS('Trading History'!$Q$4:$Q1012, 'Trading History'!$O$4:$O1012, CONCAT("&gt;", $A64))</f>
        <v/>
      </c>
      <c r="G68" s="61" t="n"/>
      <c r="H68" s="71" t="inlineStr">
        <is>
          <t>LT Gross</t>
        </is>
      </c>
      <c r="I68" s="73">
        <f>SUMIFS('Trading History'!$U$4:$U1012, 'Trading History'!$S$4:$S1012, CONCAT("&gt;", $A64))</f>
        <v/>
      </c>
      <c r="J68" s="61" t="n"/>
      <c r="K68" s="72" t="inlineStr">
        <is>
          <t>Gross</t>
        </is>
      </c>
      <c r="L68" s="73">
        <f>SUMIFS('Trading History'!$AA$4:$AA1012, 'Trading History'!$Y$4:$Y1012,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74" t="n">
        <v>0.1</v>
      </c>
      <c r="B71" s="64" t="inlineStr">
        <is>
          <t>Units</t>
        </is>
      </c>
      <c r="C71" s="65">
        <f>SUMIFS('Trading History'!$N$4:$N1012, 'Trading History'!$K$4:$K1012, CONCAT("&gt;", $A71))</f>
        <v/>
      </c>
      <c r="D71" s="61" t="n"/>
      <c r="E71" s="66" t="inlineStr">
        <is>
          <t>ST Units</t>
        </is>
      </c>
      <c r="F71" s="65">
        <f>IFERROR(SUMIFS('Trading History'!$R$4:$R1012, 'Trading History'!$O$4:$O1012, CONCAT("&gt;", $A71)), 0)</f>
        <v/>
      </c>
      <c r="G71" s="61" t="n"/>
      <c r="H71" s="67" t="inlineStr">
        <is>
          <t>LT Units</t>
        </is>
      </c>
      <c r="I71" s="65">
        <f>SUMIFS('Trading History'!$V$4:$V1012, 'Trading History'!$S$4:$S1012, CONCAT("&gt;", $A71))</f>
        <v/>
      </c>
      <c r="J71" s="61" t="n"/>
      <c r="K71" s="68" t="inlineStr">
        <is>
          <t>Units</t>
        </is>
      </c>
      <c r="L71" s="65">
        <f>SUMIFS('Trading History'!$AB$4:$AB1012, 'Trading History'!$Y$4:$Y1012,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69" t="inlineStr">
        <is>
          <t>Avg %</t>
        </is>
      </c>
      <c r="C72" s="59">
        <f>IFERROR(Index!C73/(Index!C71*Index!$C$2), 0)</f>
        <v/>
      </c>
      <c r="D72" s="61" t="n"/>
      <c r="E72" s="70" t="inlineStr">
        <is>
          <t>ST Avg %</t>
        </is>
      </c>
      <c r="F72" s="59">
        <f>IFERROR(Index!F73/(Index!F71*Index!$C$2), 0)</f>
        <v/>
      </c>
      <c r="G72" s="61" t="n"/>
      <c r="H72" s="71" t="inlineStr">
        <is>
          <t>LT Avg %</t>
        </is>
      </c>
      <c r="I72" s="59">
        <f>IFERROR(Index!I73/(Index!I71*Index!$C$2), 0)</f>
        <v/>
      </c>
      <c r="J72" s="61" t="n"/>
      <c r="K72" s="72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69" t="inlineStr">
        <is>
          <t>Gain</t>
        </is>
      </c>
      <c r="C73" s="73">
        <f>SUMIFS('Trading History'!$L$4:$L1012, 'Trading History'!$K$4:$K1012, CONCAT("&gt;", $A71))</f>
        <v/>
      </c>
      <c r="D73" s="61" t="n"/>
      <c r="E73" s="70" t="inlineStr">
        <is>
          <t>ST Gain</t>
        </is>
      </c>
      <c r="F73" s="73">
        <f>SUMIFS('Trading History'!$P$4:$P1012, 'Trading History'!$O$4:$O1012, CONCAT("&gt;", $A71))</f>
        <v/>
      </c>
      <c r="G73" s="61" t="n"/>
      <c r="H73" s="71" t="inlineStr">
        <is>
          <t>LT Gain</t>
        </is>
      </c>
      <c r="I73" s="73">
        <f>SUMIFS('Trading History'!$T$4:$T1012, 'Trading History'!$S$4:$S1012, CONCAT("&gt;", $A71))</f>
        <v/>
      </c>
      <c r="J73" s="61" t="n"/>
      <c r="K73" s="72" t="inlineStr">
        <is>
          <t>Gain</t>
        </is>
      </c>
      <c r="L73" s="73">
        <f>SUMIFS('Trading History'!$Z$4:$Z1012, 'Trading History'!$Y$4:$Y1012,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69" t="inlineStr">
        <is>
          <t>Invested</t>
        </is>
      </c>
      <c r="C74" s="73">
        <f>Index!C75-Index!C73</f>
        <v/>
      </c>
      <c r="D74" s="61" t="n"/>
      <c r="E74" s="70" t="inlineStr">
        <is>
          <t>ST Invested</t>
        </is>
      </c>
      <c r="F74" s="73">
        <f>Index!F75-Index!F73</f>
        <v/>
      </c>
      <c r="G74" s="61" t="n"/>
      <c r="H74" s="71" t="inlineStr">
        <is>
          <t>LT Invested</t>
        </is>
      </c>
      <c r="I74" s="73">
        <f>Index!I75-Index!I73</f>
        <v/>
      </c>
      <c r="J74" s="61" t="n"/>
      <c r="K74" s="72" t="inlineStr">
        <is>
          <t>Invested</t>
        </is>
      </c>
      <c r="L74" s="73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69" t="inlineStr">
        <is>
          <t>Gross</t>
        </is>
      </c>
      <c r="C75" s="73">
        <f>SUMIFS('Trading History'!$M$4:$M1012, 'Trading History'!$K$4:$K1012, CONCAT("&gt;", $A71))</f>
        <v/>
      </c>
      <c r="D75" s="61" t="n"/>
      <c r="E75" s="70" t="inlineStr">
        <is>
          <t>ST Gross</t>
        </is>
      </c>
      <c r="F75" s="73">
        <f>SUMIFS('Trading History'!$Q$4:$Q1012, 'Trading History'!$O$4:$O1012, CONCAT("&gt;", $A71))</f>
        <v/>
      </c>
      <c r="G75" s="61" t="n"/>
      <c r="H75" s="71" t="inlineStr">
        <is>
          <t>LT Gross</t>
        </is>
      </c>
      <c r="I75" s="73">
        <f>SUMIFS('Trading History'!$U$4:$U1012, 'Trading History'!$S$4:$S1012, CONCAT("&gt;", $A71))</f>
        <v/>
      </c>
      <c r="J75" s="61" t="n"/>
      <c r="K75" s="72" t="inlineStr">
        <is>
          <t>Gross</t>
        </is>
      </c>
      <c r="L75" s="73">
        <f>SUMIFS('Trading History'!$AA$4:$AA1012, 'Trading History'!$Y$4:$Y1012,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74" t="n">
        <v>0.05</v>
      </c>
      <c r="B78" s="64" t="inlineStr">
        <is>
          <t>Units</t>
        </is>
      </c>
      <c r="C78" s="65">
        <f>SUMIFS('Trading History'!$N$4:$N1012, 'Trading History'!$K$4:$K1012, CONCAT("&gt;", $A78))</f>
        <v/>
      </c>
      <c r="D78" s="61" t="n"/>
      <c r="E78" s="66" t="inlineStr">
        <is>
          <t>ST Units</t>
        </is>
      </c>
      <c r="F78" s="65">
        <f>IFERROR(SUMIFS('Trading History'!$R$4:$R1012, 'Trading History'!$O$4:$O1012, CONCAT("&gt;", $A78)), 0)</f>
        <v/>
      </c>
      <c r="G78" s="61" t="n"/>
      <c r="H78" s="67" t="inlineStr">
        <is>
          <t>LT Units</t>
        </is>
      </c>
      <c r="I78" s="65">
        <f>SUMIFS('Trading History'!$V$4:$V1012, 'Trading History'!$S$4:$S1012, CONCAT("&gt;", $A78))</f>
        <v/>
      </c>
      <c r="J78" s="61" t="n"/>
      <c r="K78" s="68" t="inlineStr">
        <is>
          <t>Units</t>
        </is>
      </c>
      <c r="L78" s="65">
        <f>SUMIFS('Trading History'!$AB$4:$AB1012, 'Trading History'!$Y$4:$Y1012,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69" t="inlineStr">
        <is>
          <t>Avg %</t>
        </is>
      </c>
      <c r="C79" s="59">
        <f>IFERROR(Index!C80/(Index!C78*Index!$C$2), 0)</f>
        <v/>
      </c>
      <c r="D79" s="61" t="n"/>
      <c r="E79" s="70" t="inlineStr">
        <is>
          <t>ST Avg %</t>
        </is>
      </c>
      <c r="F79" s="59">
        <f>IFERROR(Index!F80/(Index!F78*Index!$C$2), 0)</f>
        <v/>
      </c>
      <c r="G79" s="61" t="n"/>
      <c r="H79" s="71" t="inlineStr">
        <is>
          <t>LT Avg %</t>
        </is>
      </c>
      <c r="I79" s="59">
        <f>IFERROR(Index!I80/(Index!I78*Index!$C$2), 0)</f>
        <v/>
      </c>
      <c r="J79" s="61" t="n"/>
      <c r="K79" s="72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69" t="inlineStr">
        <is>
          <t>Gain</t>
        </is>
      </c>
      <c r="C80" s="73">
        <f>SUMIFS('Trading History'!$L$4:$L1012, 'Trading History'!$K$4:$K1012, CONCAT("&gt;", $A78))</f>
        <v/>
      </c>
      <c r="D80" s="61" t="n"/>
      <c r="E80" s="70" t="inlineStr">
        <is>
          <t>ST Gain</t>
        </is>
      </c>
      <c r="F80" s="73">
        <f>SUMIFS('Trading History'!$P$4:$P1012, 'Trading History'!$O$4:$O1012, CONCAT("&gt;", $A78))</f>
        <v/>
      </c>
      <c r="G80" s="61" t="n"/>
      <c r="H80" s="71" t="inlineStr">
        <is>
          <t>LT Gain</t>
        </is>
      </c>
      <c r="I80" s="73">
        <f>SUMIFS('Trading History'!$T$4:$T1012, 'Trading History'!$S$4:$S1012, CONCAT("&gt;", $A78))</f>
        <v/>
      </c>
      <c r="J80" s="61" t="n"/>
      <c r="K80" s="72" t="inlineStr">
        <is>
          <t>Gain</t>
        </is>
      </c>
      <c r="L80" s="73">
        <f>SUMIFS('Trading History'!$Z$4:$Z1012, 'Trading History'!$Y$4:$Y1012,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69" t="inlineStr">
        <is>
          <t>Invested</t>
        </is>
      </c>
      <c r="C81" s="73">
        <f>Index!C82-Index!C80</f>
        <v/>
      </c>
      <c r="D81" s="61" t="n"/>
      <c r="E81" s="70" t="inlineStr">
        <is>
          <t>ST Invested</t>
        </is>
      </c>
      <c r="F81" s="73">
        <f>Index!F82-Index!F80</f>
        <v/>
      </c>
      <c r="G81" s="61" t="n"/>
      <c r="H81" s="71" t="inlineStr">
        <is>
          <t>LT Invested</t>
        </is>
      </c>
      <c r="I81" s="73">
        <f>Index!I82-Index!I80</f>
        <v/>
      </c>
      <c r="J81" s="61" t="n"/>
      <c r="K81" s="72" t="inlineStr">
        <is>
          <t>Invested</t>
        </is>
      </c>
      <c r="L81" s="73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69" t="inlineStr">
        <is>
          <t>Gross</t>
        </is>
      </c>
      <c r="C82" s="73">
        <f>SUMIFS('Trading History'!$M$4:$M1012, 'Trading History'!$K$4:$K1012, CONCAT("&gt;", $A78))</f>
        <v/>
      </c>
      <c r="D82" s="61" t="n"/>
      <c r="E82" s="70" t="inlineStr">
        <is>
          <t>ST Gross</t>
        </is>
      </c>
      <c r="F82" s="73">
        <f>SUMIFS('Trading History'!$Q$4:$Q1012, 'Trading History'!$O$4:$O1012, CONCAT("&gt;", $A78))</f>
        <v/>
      </c>
      <c r="G82" s="61" t="n"/>
      <c r="H82" s="71" t="inlineStr">
        <is>
          <t>LT Gross</t>
        </is>
      </c>
      <c r="I82" s="73">
        <f>SUMIFS('Trading History'!$U$4:$U1012, 'Trading History'!$S$4:$S1012, CONCAT("&gt;", $A78))</f>
        <v/>
      </c>
      <c r="J82" s="61" t="n"/>
      <c r="K82" s="72" t="inlineStr">
        <is>
          <t>Gross</t>
        </is>
      </c>
      <c r="L82" s="73">
        <f>SUMIFS('Trading History'!$AA$4:$AA1012, 'Trading History'!$Y$4:$Y1012,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74" t="n">
        <v>0</v>
      </c>
      <c r="B85" s="64" t="inlineStr">
        <is>
          <t>Units</t>
        </is>
      </c>
      <c r="C85" s="65">
        <f>SUMIFS('Trading History'!$N$4:$N1012, 'Trading History'!$K$4:$K1012, CONCAT("&gt;", $A85))</f>
        <v/>
      </c>
      <c r="D85" s="61" t="n"/>
      <c r="E85" s="66" t="inlineStr">
        <is>
          <t>ST Units</t>
        </is>
      </c>
      <c r="F85" s="65">
        <f>IFERROR(SUMIFS('Trading History'!$R$4:$R1012, 'Trading History'!$O$4:$O1012, CONCAT("&gt;", $A85)), 0)</f>
        <v/>
      </c>
      <c r="G85" s="61" t="n"/>
      <c r="H85" s="67" t="inlineStr">
        <is>
          <t>LT Units</t>
        </is>
      </c>
      <c r="I85" s="65">
        <f>SUMIFS('Trading History'!$V$4:$V1012, 'Trading History'!$S$4:$S1012, CONCAT("&gt;", $A85))</f>
        <v/>
      </c>
      <c r="J85" s="61" t="n"/>
      <c r="K85" s="68" t="inlineStr">
        <is>
          <t>Units</t>
        </is>
      </c>
      <c r="L85" s="65">
        <f>SUMIFS('Trading History'!$AB$4:$AB1012, 'Trading History'!$Y$4:$Y1012,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69" t="inlineStr">
        <is>
          <t>Avg %</t>
        </is>
      </c>
      <c r="C86" s="59">
        <f>IFERROR(Index!C87/(Index!C85*Index!$C$2), 0)</f>
        <v/>
      </c>
      <c r="D86" s="61" t="n"/>
      <c r="E86" s="70" t="inlineStr">
        <is>
          <t>ST Avg %</t>
        </is>
      </c>
      <c r="F86" s="59">
        <f>IFERROR(Index!F87/(Index!F85*Index!$C$2), 0)</f>
        <v/>
      </c>
      <c r="G86" s="61" t="n"/>
      <c r="H86" s="71" t="inlineStr">
        <is>
          <t>LT Avg %</t>
        </is>
      </c>
      <c r="I86" s="59">
        <f>IFERROR(Index!I87/(Index!I85*Index!$C$2), 0)</f>
        <v/>
      </c>
      <c r="J86" s="61" t="n"/>
      <c r="K86" s="72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69" t="inlineStr">
        <is>
          <t>Gain</t>
        </is>
      </c>
      <c r="C87" s="73">
        <f>SUMIFS('Trading History'!$L$4:$L1012, 'Trading History'!$K$4:$K1012, CONCAT("&gt;", $A85))</f>
        <v/>
      </c>
      <c r="D87" s="61" t="n"/>
      <c r="E87" s="70" t="inlineStr">
        <is>
          <t>ST Gain</t>
        </is>
      </c>
      <c r="F87" s="73">
        <f>SUMIFS('Trading History'!$P$4:$P1012, 'Trading History'!$O$4:$O1012, CONCAT("&gt;", $A85))</f>
        <v/>
      </c>
      <c r="G87" s="61" t="n"/>
      <c r="H87" s="71" t="inlineStr">
        <is>
          <t>LT Gain</t>
        </is>
      </c>
      <c r="I87" s="73">
        <f>SUMIFS('Trading History'!$T$4:$T1012, 'Trading History'!$S$4:$S1012, CONCAT("&gt;", $A85))</f>
        <v/>
      </c>
      <c r="J87" s="61" t="n"/>
      <c r="K87" s="72" t="inlineStr">
        <is>
          <t>Gain</t>
        </is>
      </c>
      <c r="L87" s="73">
        <f>SUMIFS('Trading History'!$Z$4:$Z1012, 'Trading History'!$Y$4:$Y1012,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69" t="inlineStr">
        <is>
          <t>Invested</t>
        </is>
      </c>
      <c r="C88" s="73">
        <f>Index!C89-Index!C87</f>
        <v/>
      </c>
      <c r="D88" s="61" t="n"/>
      <c r="E88" s="70" t="inlineStr">
        <is>
          <t>ST Invested</t>
        </is>
      </c>
      <c r="F88" s="73">
        <f>Index!F89-Index!F87</f>
        <v/>
      </c>
      <c r="G88" s="61" t="n"/>
      <c r="H88" s="71" t="inlineStr">
        <is>
          <t>LT Invested</t>
        </is>
      </c>
      <c r="I88" s="73">
        <f>Index!I89-Index!I87</f>
        <v/>
      </c>
      <c r="J88" s="61" t="n"/>
      <c r="K88" s="72" t="inlineStr">
        <is>
          <t>Invested</t>
        </is>
      </c>
      <c r="L88" s="73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69" t="inlineStr">
        <is>
          <t>Gross</t>
        </is>
      </c>
      <c r="C89" s="73">
        <f>SUMIFS('Trading History'!$M$4:$M1012, 'Trading History'!$K$4:$K1012, CONCAT("&gt;", $A85))</f>
        <v/>
      </c>
      <c r="D89" s="61" t="n"/>
      <c r="E89" s="70" t="inlineStr">
        <is>
          <t>ST Gross</t>
        </is>
      </c>
      <c r="F89" s="73">
        <f>SUMIFS('Trading History'!$Q$4:$Q1012, 'Trading History'!$O$4:$O1012, CONCAT("&gt;", $A85))</f>
        <v/>
      </c>
      <c r="G89" s="61" t="n"/>
      <c r="H89" s="71" t="inlineStr">
        <is>
          <t>LT Gross</t>
        </is>
      </c>
      <c r="I89" s="73">
        <f>SUMIFS('Trading History'!$U$4:$U1012, 'Trading History'!$S$4:$S1012, CONCAT("&gt;", $A85))</f>
        <v/>
      </c>
      <c r="J89" s="61" t="n"/>
      <c r="K89" s="72" t="inlineStr">
        <is>
          <t>Gross</t>
        </is>
      </c>
      <c r="L89" s="73">
        <f>SUMIFS('Trading History'!$AA$4:$AA1012, 'Trading History'!$Y$4:$Y1012,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2" t="n"/>
      <c r="L90" s="2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  <row r="1008">
      <c r="A1008" s="57" t="n"/>
      <c r="B1008" s="57" t="n"/>
      <c r="C1008" s="57" t="n"/>
      <c r="D1008" s="57" t="n"/>
      <c r="E1008" s="57" t="n"/>
      <c r="F1008" s="57" t="n"/>
      <c r="G1008" s="57" t="n"/>
      <c r="H1008" s="57" t="n"/>
      <c r="I1008" s="57" t="n"/>
      <c r="J1008" s="57" t="n"/>
      <c r="K1008" s="57" t="n"/>
      <c r="L1008" s="57" t="n"/>
      <c r="M1008" s="57" t="n"/>
      <c r="N1008" s="57" t="n"/>
      <c r="O1008" s="57" t="n"/>
      <c r="P1008" s="57" t="n"/>
      <c r="Q1008" s="57" t="n"/>
      <c r="R1008" s="57" t="n"/>
      <c r="S1008" s="57" t="n"/>
      <c r="T1008" s="57" t="n"/>
      <c r="U1008" s="57" t="n"/>
      <c r="V1008" s="57" t="n"/>
      <c r="W1008" s="57" t="n"/>
      <c r="X1008" s="57" t="n"/>
      <c r="Y1008" s="57" t="n"/>
    </row>
    <row r="1009">
      <c r="A1009" s="57" t="n"/>
      <c r="B1009" s="57" t="n"/>
      <c r="C1009" s="57" t="n"/>
      <c r="D1009" s="57" t="n"/>
      <c r="E1009" s="57" t="n"/>
      <c r="F1009" s="57" t="n"/>
      <c r="G1009" s="57" t="n"/>
      <c r="H1009" s="57" t="n"/>
      <c r="I1009" s="57" t="n"/>
      <c r="J1009" s="57" t="n"/>
      <c r="K1009" s="57" t="n"/>
      <c r="L1009" s="57" t="n"/>
      <c r="M1009" s="57" t="n"/>
      <c r="N1009" s="57" t="n"/>
      <c r="O1009" s="57" t="n"/>
      <c r="P1009" s="57" t="n"/>
      <c r="Q1009" s="57" t="n"/>
      <c r="R1009" s="57" t="n"/>
      <c r="S1009" s="57" t="n"/>
      <c r="T1009" s="57" t="n"/>
      <c r="U1009" s="57" t="n"/>
      <c r="V1009" s="57" t="n"/>
      <c r="W1009" s="57" t="n"/>
      <c r="X1009" s="57" t="n"/>
      <c r="Y1009" s="57" t="n"/>
    </row>
    <row r="1010">
      <c r="A1010" s="57" t="n"/>
      <c r="B1010" s="57" t="n"/>
      <c r="C1010" s="57" t="n"/>
      <c r="D1010" s="57" t="n"/>
      <c r="E1010" s="57" t="n"/>
      <c r="F1010" s="57" t="n"/>
      <c r="G1010" s="57" t="n"/>
      <c r="H1010" s="57" t="n"/>
      <c r="I1010" s="57" t="n"/>
      <c r="J1010" s="57" t="n"/>
      <c r="K1010" s="57" t="n"/>
      <c r="L1010" s="57" t="n"/>
      <c r="M1010" s="57" t="n"/>
      <c r="N1010" s="57" t="n"/>
      <c r="O1010" s="57" t="n"/>
      <c r="P1010" s="57" t="n"/>
      <c r="Q1010" s="57" t="n"/>
      <c r="R1010" s="57" t="n"/>
      <c r="S1010" s="57" t="n"/>
      <c r="T1010" s="57" t="n"/>
      <c r="U1010" s="57" t="n"/>
      <c r="V1010" s="57" t="n"/>
      <c r="W1010" s="57" t="n"/>
      <c r="X1010" s="57" t="n"/>
      <c r="Y1010" s="57" t="n"/>
    </row>
    <row r="1011">
      <c r="A1011" s="57" t="n"/>
      <c r="B1011" s="57" t="n"/>
      <c r="C1011" s="57" t="n"/>
      <c r="D1011" s="57" t="n"/>
      <c r="E1011" s="57" t="n"/>
      <c r="F1011" s="57" t="n"/>
      <c r="G1011" s="57" t="n"/>
      <c r="H1011" s="57" t="n"/>
      <c r="I1011" s="57" t="n"/>
      <c r="J1011" s="57" t="n"/>
      <c r="K1011" s="57" t="n"/>
      <c r="L1011" s="57" t="n"/>
      <c r="M1011" s="57" t="n"/>
      <c r="N1011" s="57" t="n"/>
      <c r="O1011" s="57" t="n"/>
      <c r="P1011" s="57" t="n"/>
      <c r="Q1011" s="57" t="n"/>
      <c r="R1011" s="57" t="n"/>
      <c r="S1011" s="57" t="n"/>
      <c r="T1011" s="57" t="n"/>
      <c r="U1011" s="57" t="n"/>
      <c r="V1011" s="57" t="n"/>
      <c r="W1011" s="57" t="n"/>
      <c r="X1011" s="57" t="n"/>
      <c r="Y1011" s="57" t="n"/>
    </row>
    <row r="1012">
      <c r="A1012" s="57" t="n"/>
      <c r="B1012" s="57" t="n"/>
      <c r="C1012" s="57" t="n"/>
      <c r="D1012" s="57" t="n"/>
      <c r="E1012" s="57" t="n"/>
      <c r="F1012" s="57" t="n"/>
      <c r="G1012" s="57" t="n"/>
      <c r="H1012" s="57" t="n"/>
      <c r="I1012" s="57" t="n"/>
      <c r="J1012" s="57" t="n"/>
      <c r="K1012" s="57" t="n"/>
      <c r="L1012" s="57" t="n"/>
      <c r="M1012" s="57" t="n"/>
      <c r="N1012" s="57" t="n"/>
      <c r="O1012" s="57" t="n"/>
      <c r="P1012" s="57" t="n"/>
      <c r="Q1012" s="57" t="n"/>
      <c r="R1012" s="57" t="n"/>
      <c r="S1012" s="57" t="n"/>
      <c r="T1012" s="57" t="n"/>
      <c r="U1012" s="57" t="n"/>
      <c r="V1012" s="57" t="n"/>
      <c r="W1012" s="57" t="n"/>
      <c r="X1012" s="57" t="n"/>
      <c r="Y1012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2026-02-07T07:12:12Z</dcterms:modified>
</cp:coreProperties>
</file>