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2FC8C5B_B8D7_4BB8_B39E_B49882420E9E_.wvu.FilterData" localSheetId="0" hidden="1">'Trading History'!$A$4:$AO$89</definedName>
    <definedName name="_xlnm._FilterDatabase" localSheetId="0" hidden="1">'Trading History'!$A$4:$AO$89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3" fillId="0" borderId="6" applyAlignment="1" pivotButton="0" quotePrefix="0" xfId="0">
      <alignment horizontal="right" vertical="top"/>
    </xf>
    <xf numFmtId="0" fontId="3" fillId="0" borderId="6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6" fillId="0" borderId="5" pivotButton="0" quotePrefix="0" xfId="0"/>
    <xf numFmtId="0" fontId="2" fillId="0" borderId="8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25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9.25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9.25" customWidth="1" style="85" min="21" max="21"/>
    <col width="7.63" customWidth="1" style="85" min="22" max="22"/>
    <col width="7.88" customWidth="1" style="85" min="23" max="23"/>
    <col width="11.13" customWidth="1" style="85" min="24" max="24"/>
    <col width="12.5" customWidth="1" style="85" min="25" max="26"/>
    <col width="8.380000000000001" customWidth="1" style="85" min="27" max="29"/>
    <col width="16.38" customWidth="1" style="85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6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471.15</v>
      </c>
      <c r="F5" t="n">
        <v>4744.94</v>
      </c>
      <c r="G5" t="inlineStr">
        <is>
          <t>~</t>
        </is>
      </c>
      <c r="H5" t="n">
        <v>4.72</v>
      </c>
      <c r="I5" t="n">
        <v>28.72</v>
      </c>
    </row>
    <row r="6">
      <c r="A6" s="96" t="n">
        <v>46049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505.2</v>
      </c>
      <c r="F6" t="n">
        <v>508.8</v>
      </c>
      <c r="G6" t="inlineStr">
        <is>
          <t>~</t>
        </is>
      </c>
      <c r="H6" t="n">
        <v>0.51</v>
      </c>
      <c r="I6" t="n">
        <v>3.09</v>
      </c>
    </row>
    <row r="7">
      <c r="A7" s="96" t="n">
        <v>46049</v>
      </c>
      <c r="B7" t="inlineStr">
        <is>
          <t>NSE</t>
        </is>
      </c>
      <c r="C7" t="inlineStr">
        <is>
          <t>Buy</t>
        </is>
      </c>
      <c r="D7" t="n">
        <v>9</v>
      </c>
      <c r="E7" t="n">
        <v>505.2</v>
      </c>
      <c r="F7" t="n">
        <v>4579.07</v>
      </c>
      <c r="G7" t="inlineStr">
        <is>
          <t>~</t>
        </is>
      </c>
      <c r="H7" t="n">
        <v>4.55</v>
      </c>
      <c r="I7" t="n">
        <v>27.72</v>
      </c>
    </row>
    <row r="8">
      <c r="A8" s="96" t="n">
        <v>46044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600.85</v>
      </c>
      <c r="F8" t="n">
        <v>3025.53</v>
      </c>
      <c r="G8" t="inlineStr">
        <is>
          <t>~</t>
        </is>
      </c>
      <c r="H8" t="n">
        <v>3.01</v>
      </c>
      <c r="I8" t="n">
        <v>18.27</v>
      </c>
    </row>
    <row r="9">
      <c r="A9" s="96" t="n">
        <v>46034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626.75</v>
      </c>
      <c r="F9" t="n">
        <v>3155.95</v>
      </c>
      <c r="G9" t="inlineStr">
        <is>
          <t>~</t>
        </is>
      </c>
      <c r="H9" t="n">
        <v>3.14</v>
      </c>
      <c r="I9" t="n">
        <v>19.06</v>
      </c>
    </row>
    <row r="10">
      <c r="A10" s="96" t="n">
        <v>46015</v>
      </c>
      <c r="B10" t="inlineStr">
        <is>
          <t>BSE</t>
        </is>
      </c>
      <c r="C10" t="inlineStr">
        <is>
          <t>Buy</t>
        </is>
      </c>
      <c r="D10" t="n">
        <v>5</v>
      </c>
      <c r="E10" t="n">
        <v>656.3</v>
      </c>
      <c r="F10" t="n">
        <v>3304.76</v>
      </c>
      <c r="G10" t="inlineStr">
        <is>
          <t>~</t>
        </is>
      </c>
      <c r="H10" t="n">
        <v>3.26</v>
      </c>
      <c r="I10" t="n">
        <v>20</v>
      </c>
    </row>
    <row r="11">
      <c r="A11" s="96" t="n">
        <v>46014</v>
      </c>
      <c r="B11" t="inlineStr">
        <is>
          <t>BSE</t>
        </is>
      </c>
      <c r="C11" t="inlineStr">
        <is>
          <t>Buy</t>
        </is>
      </c>
      <c r="D11" t="n">
        <v>5</v>
      </c>
      <c r="E11" t="n">
        <v>659.35</v>
      </c>
      <c r="F11" t="n">
        <v>3320.14</v>
      </c>
      <c r="G11" t="inlineStr">
        <is>
          <t>~</t>
        </is>
      </c>
      <c r="H11" t="n">
        <v>3.29</v>
      </c>
      <c r="I11" t="n">
        <v>20.1</v>
      </c>
    </row>
    <row r="12">
      <c r="A12" s="96" t="n">
        <v>45993</v>
      </c>
      <c r="B12" t="inlineStr">
        <is>
          <t>BSE</t>
        </is>
      </c>
      <c r="C12" t="inlineStr">
        <is>
          <t>Buy</t>
        </is>
      </c>
      <c r="D12" t="n">
        <v>1</v>
      </c>
      <c r="E12" t="n">
        <v>638.9</v>
      </c>
      <c r="F12" t="n">
        <v>643.4299999999999</v>
      </c>
      <c r="G12" t="inlineStr">
        <is>
          <t>~</t>
        </is>
      </c>
      <c r="H12" t="n">
        <v>0.64</v>
      </c>
      <c r="I12" t="n">
        <v>3.89</v>
      </c>
    </row>
    <row r="13">
      <c r="A13" s="96" t="n">
        <v>45993</v>
      </c>
      <c r="B13" t="inlineStr">
        <is>
          <t>BSE</t>
        </is>
      </c>
      <c r="C13" t="inlineStr">
        <is>
          <t>Buy</t>
        </is>
      </c>
      <c r="D13" t="n">
        <v>4</v>
      </c>
      <c r="E13" t="n">
        <v>638.95</v>
      </c>
      <c r="F13" t="n">
        <v>2573.92</v>
      </c>
      <c r="G13" t="inlineStr">
        <is>
          <t>~</t>
        </is>
      </c>
      <c r="H13" t="n">
        <v>2.57</v>
      </c>
      <c r="I13" t="n">
        <v>15.55</v>
      </c>
    </row>
    <row r="14">
      <c r="A14" s="96" t="n">
        <v>45989</v>
      </c>
      <c r="B14" t="inlineStr">
        <is>
          <t>BSE</t>
        </is>
      </c>
      <c r="C14" t="inlineStr">
        <is>
          <t>Buy</t>
        </is>
      </c>
      <c r="D14" t="n">
        <v>5</v>
      </c>
      <c r="E14" t="n">
        <v>646.8</v>
      </c>
      <c r="F14" t="n">
        <v>3256.92</v>
      </c>
      <c r="G14" t="inlineStr">
        <is>
          <t>~</t>
        </is>
      </c>
      <c r="H14" t="n">
        <v>3.22</v>
      </c>
      <c r="I14" t="n">
        <v>19.7</v>
      </c>
    </row>
    <row r="15">
      <c r="A15" s="96" t="n">
        <v>45982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638.5</v>
      </c>
      <c r="F15" t="n">
        <v>3215.11</v>
      </c>
      <c r="G15" t="inlineStr">
        <is>
          <t>~</t>
        </is>
      </c>
      <c r="H15" t="n">
        <v>3.19</v>
      </c>
      <c r="I15" t="n">
        <v>19.42</v>
      </c>
    </row>
    <row r="16">
      <c r="A16" s="96" t="n">
        <v>45981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634.35</v>
      </c>
      <c r="F16" t="n">
        <v>3194.23</v>
      </c>
      <c r="G16" t="inlineStr">
        <is>
          <t>~</t>
        </is>
      </c>
      <c r="H16" t="n">
        <v>3.15</v>
      </c>
      <c r="I16" t="n">
        <v>19.33</v>
      </c>
    </row>
    <row r="17">
      <c r="A17" s="96" t="n">
        <v>45978</v>
      </c>
      <c r="B17" t="inlineStr">
        <is>
          <t>NSE</t>
        </is>
      </c>
      <c r="C17" t="inlineStr">
        <is>
          <t>Buy</t>
        </is>
      </c>
      <c r="D17" t="n">
        <v>7</v>
      </c>
      <c r="E17" t="n">
        <v>656.5</v>
      </c>
      <c r="F17" t="n">
        <v>4628.06</v>
      </c>
      <c r="G17" t="inlineStr">
        <is>
          <t>~</t>
        </is>
      </c>
      <c r="H17" t="n">
        <v>4.62</v>
      </c>
      <c r="I17" t="n">
        <v>27.94</v>
      </c>
    </row>
    <row r="18">
      <c r="A18" s="96" t="n">
        <v>45978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656.5</v>
      </c>
      <c r="F18" t="n">
        <v>1322.29</v>
      </c>
      <c r="G18" t="inlineStr">
        <is>
          <t>~</t>
        </is>
      </c>
      <c r="H18" t="n">
        <v>1.31</v>
      </c>
      <c r="I18" t="n">
        <v>7.98</v>
      </c>
    </row>
    <row r="19">
      <c r="A19" s="96" t="n">
        <v>45978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656.5</v>
      </c>
      <c r="F19" t="n">
        <v>661.16</v>
      </c>
      <c r="G19" t="inlineStr">
        <is>
          <t>~</t>
        </is>
      </c>
      <c r="H19" t="n">
        <v>0.66</v>
      </c>
      <c r="I19" t="n">
        <v>4</v>
      </c>
    </row>
    <row r="20">
      <c r="A20" s="96" t="n">
        <v>45974</v>
      </c>
      <c r="B20" t="inlineStr">
        <is>
          <t>NSE</t>
        </is>
      </c>
      <c r="C20" t="inlineStr">
        <is>
          <t>Buy</t>
        </is>
      </c>
      <c r="D20" t="n">
        <v>3</v>
      </c>
      <c r="E20" t="n">
        <v>669.9</v>
      </c>
      <c r="F20" t="n">
        <v>2023.94</v>
      </c>
      <c r="G20" t="inlineStr">
        <is>
          <t>~</t>
        </is>
      </c>
      <c r="H20" t="n">
        <v>2</v>
      </c>
      <c r="I20" t="n">
        <v>12.24</v>
      </c>
    </row>
    <row r="21">
      <c r="A21" s="96" t="n">
        <v>45974</v>
      </c>
      <c r="B21" t="inlineStr">
        <is>
          <t>NSE</t>
        </is>
      </c>
      <c r="C21" t="inlineStr">
        <is>
          <t>Buy</t>
        </is>
      </c>
      <c r="D21" t="n">
        <v>1</v>
      </c>
      <c r="E21" t="n">
        <v>669.9</v>
      </c>
      <c r="F21" t="n">
        <v>674.64</v>
      </c>
      <c r="G21" t="inlineStr">
        <is>
          <t>~</t>
        </is>
      </c>
      <c r="H21" t="n">
        <v>0.67</v>
      </c>
      <c r="I21" t="n">
        <v>4.07</v>
      </c>
    </row>
    <row r="22">
      <c r="A22" s="96" t="n">
        <v>45974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669.9</v>
      </c>
      <c r="F22" t="n">
        <v>674.64</v>
      </c>
      <c r="G22" t="inlineStr">
        <is>
          <t>~</t>
        </is>
      </c>
      <c r="H22" t="n">
        <v>0.67</v>
      </c>
      <c r="I22" t="n">
        <v>4.07</v>
      </c>
    </row>
    <row r="23">
      <c r="A23" s="96" t="n">
        <v>45968</v>
      </c>
      <c r="B23" t="inlineStr">
        <is>
          <t>BSE</t>
        </is>
      </c>
      <c r="C23" t="inlineStr">
        <is>
          <t>Buy</t>
        </is>
      </c>
      <c r="D23" t="n">
        <v>5</v>
      </c>
      <c r="E23" t="n">
        <v>616.05</v>
      </c>
      <c r="F23" t="n">
        <v>3102.12</v>
      </c>
      <c r="G23" t="inlineStr">
        <is>
          <t>~</t>
        </is>
      </c>
      <c r="H23" t="n">
        <v>3.08</v>
      </c>
      <c r="I23" t="n">
        <v>18.79</v>
      </c>
    </row>
    <row r="24">
      <c r="A24" s="96" t="n">
        <v>45961</v>
      </c>
      <c r="B24" t="inlineStr">
        <is>
          <t>NSE</t>
        </is>
      </c>
      <c r="C24" t="inlineStr">
        <is>
          <t>Buy</t>
        </is>
      </c>
      <c r="D24" t="n">
        <v>5</v>
      </c>
      <c r="E24" t="n">
        <v>656</v>
      </c>
      <c r="F24" t="n">
        <v>3303.23</v>
      </c>
      <c r="G24" t="inlineStr">
        <is>
          <t>~</t>
        </is>
      </c>
      <c r="H24" t="n">
        <v>3.27</v>
      </c>
      <c r="I24" t="n">
        <v>19.96</v>
      </c>
    </row>
    <row r="25">
      <c r="A25" s="96" t="n">
        <v>45959</v>
      </c>
      <c r="B25" t="inlineStr">
        <is>
          <t>NSE</t>
        </is>
      </c>
      <c r="C25" t="inlineStr">
        <is>
          <t>Buy</t>
        </is>
      </c>
      <c r="D25" t="n">
        <v>5</v>
      </c>
      <c r="E25" t="n">
        <v>658</v>
      </c>
      <c r="F25" t="n">
        <v>3313.29</v>
      </c>
      <c r="G25" t="inlineStr">
        <is>
          <t>~</t>
        </is>
      </c>
      <c r="H25" t="n">
        <v>3.28</v>
      </c>
      <c r="I25" t="n">
        <v>20.01</v>
      </c>
    </row>
    <row r="26">
      <c r="A26" s="96" t="n">
        <v>45957</v>
      </c>
      <c r="B26" t="inlineStr">
        <is>
          <t>NSE</t>
        </is>
      </c>
      <c r="C26" t="inlineStr">
        <is>
          <t>Buy</t>
        </is>
      </c>
      <c r="D26" t="n">
        <v>1</v>
      </c>
      <c r="E26" t="n">
        <v>661.6</v>
      </c>
      <c r="F26" t="n">
        <v>666.29</v>
      </c>
      <c r="G26" t="inlineStr">
        <is>
          <t>~</t>
        </is>
      </c>
      <c r="H26" t="n">
        <v>0.66</v>
      </c>
      <c r="I26" t="n">
        <v>4.03</v>
      </c>
    </row>
    <row r="27">
      <c r="A27" s="96" t="n">
        <v>45957</v>
      </c>
      <c r="B27" t="inlineStr">
        <is>
          <t>NSE</t>
        </is>
      </c>
      <c r="C27" t="inlineStr">
        <is>
          <t>Buy</t>
        </is>
      </c>
      <c r="D27" t="n">
        <v>3</v>
      </c>
      <c r="E27" t="n">
        <v>661.5</v>
      </c>
      <c r="F27" t="n">
        <v>1998.58</v>
      </c>
      <c r="G27" t="inlineStr">
        <is>
          <t>~</t>
        </is>
      </c>
      <c r="H27" t="n">
        <v>1.99</v>
      </c>
      <c r="I27" t="n">
        <v>12.09</v>
      </c>
    </row>
    <row r="28">
      <c r="A28" s="96" t="n">
        <v>45957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661.6</v>
      </c>
      <c r="F28" t="n">
        <v>666.29</v>
      </c>
      <c r="G28" t="inlineStr">
        <is>
          <t>~</t>
        </is>
      </c>
      <c r="H28" t="n">
        <v>0.66</v>
      </c>
      <c r="I28" t="n">
        <v>4.03</v>
      </c>
    </row>
    <row r="29">
      <c r="A29" s="96" t="n">
        <v>45954</v>
      </c>
      <c r="B29" t="inlineStr">
        <is>
          <t>BSE</t>
        </is>
      </c>
      <c r="C29" t="inlineStr">
        <is>
          <t>Buy</t>
        </is>
      </c>
      <c r="D29" t="n">
        <v>5</v>
      </c>
      <c r="E29" t="n">
        <v>661.9</v>
      </c>
      <c r="F29" t="n">
        <v>3332.98</v>
      </c>
      <c r="G29" t="inlineStr">
        <is>
          <t>~</t>
        </is>
      </c>
      <c r="H29" t="n">
        <v>3.31</v>
      </c>
      <c r="I29" t="n">
        <v>20.17</v>
      </c>
    </row>
    <row r="30">
      <c r="A30" s="96" t="n">
        <v>45953</v>
      </c>
      <c r="B30" t="inlineStr">
        <is>
          <t>NSE</t>
        </is>
      </c>
      <c r="C30" t="inlineStr">
        <is>
          <t>Buy</t>
        </is>
      </c>
      <c r="D30" t="n">
        <v>5</v>
      </c>
      <c r="E30" t="n">
        <v>652.7</v>
      </c>
      <c r="F30" t="n">
        <v>3286.6</v>
      </c>
      <c r="G30" t="inlineStr">
        <is>
          <t>~</t>
        </is>
      </c>
      <c r="H30" t="n">
        <v>3.25</v>
      </c>
      <c r="I30" t="n">
        <v>19.85</v>
      </c>
    </row>
    <row r="31">
      <c r="A31" s="96" t="n">
        <v>45950</v>
      </c>
      <c r="B31" t="inlineStr">
        <is>
          <t>NSE</t>
        </is>
      </c>
      <c r="C31" t="inlineStr">
        <is>
          <t>Buy</t>
        </is>
      </c>
      <c r="D31" t="n">
        <v>10</v>
      </c>
      <c r="E31" t="n">
        <v>644</v>
      </c>
      <c r="F31" t="n">
        <v>6485.66</v>
      </c>
      <c r="G31" t="inlineStr">
        <is>
          <t>~</t>
        </is>
      </c>
      <c r="H31" t="n">
        <v>6.43</v>
      </c>
      <c r="I31" t="n">
        <v>39.23</v>
      </c>
    </row>
    <row r="32">
      <c r="A32" s="96" t="n">
        <v>45947</v>
      </c>
      <c r="B32" t="inlineStr">
        <is>
          <t>NSE</t>
        </is>
      </c>
      <c r="C32" t="inlineStr">
        <is>
          <t>Buy</t>
        </is>
      </c>
      <c r="D32" t="n">
        <v>10</v>
      </c>
      <c r="E32" t="n">
        <v>636</v>
      </c>
      <c r="F32" t="n">
        <v>6405.08</v>
      </c>
      <c r="G32" t="inlineStr">
        <is>
          <t>~</t>
        </is>
      </c>
      <c r="H32" t="n">
        <v>6.37</v>
      </c>
      <c r="I32" t="n">
        <v>38.71</v>
      </c>
    </row>
    <row r="33">
      <c r="A33" s="96" t="n">
        <v>45897</v>
      </c>
      <c r="B33" t="inlineStr">
        <is>
          <t>BSE</t>
        </is>
      </c>
      <c r="C33" t="inlineStr">
        <is>
          <t>Buy</t>
        </is>
      </c>
      <c r="D33" t="n">
        <v>5</v>
      </c>
      <c r="E33" t="n">
        <v>641.2</v>
      </c>
      <c r="F33" t="n">
        <v>3228.8</v>
      </c>
      <c r="G33" t="inlineStr">
        <is>
          <t>~</t>
        </is>
      </c>
      <c r="H33" t="n">
        <v>3.21</v>
      </c>
      <c r="I33" t="n">
        <v>19.59</v>
      </c>
    </row>
    <row r="34">
      <c r="A34" s="38" t="n">
        <v>45950</v>
      </c>
      <c r="B34" s="39" t="inlineStr">
        <is>
          <t>BSE</t>
        </is>
      </c>
      <c r="C34" s="39" t="inlineStr">
        <is>
          <t>Buy</t>
        </is>
      </c>
      <c r="D34" s="40" t="n">
        <v>10</v>
      </c>
      <c r="E34" s="41" t="n">
        <v>648.5700000000001</v>
      </c>
      <c r="F34" s="41">
        <f>D5*E5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C5="Buy", ISBLANK(W5), B5&lt;&gt;"DIV"), L5/sum(F5:I5), "")</f>
        <v/>
      </c>
      <c r="L34" s="44">
        <f>IF(AND( C5="Buy", ISBLANK(W5), B5&lt;&gt;"DIV"), (1-Index!$F$2*2)*((J5*D5)-(E5*D5)), "")</f>
        <v/>
      </c>
      <c r="M34" s="44">
        <f>IF(AND( C5="Buy", ISBLANK(W5), B5&lt;&gt;"DIV"), ((E5*D5)+L5), "")</f>
        <v/>
      </c>
      <c r="N34" s="45">
        <f>IF(AND( C5="Buy", ISBLANK(W5), B5&lt;&gt;"DIV"), D5, "")</f>
        <v/>
      </c>
      <c r="O34" s="43">
        <f>IF(AND( C5="Buy", ISBLANK(W5), B5&lt;&gt;"DIV", NOW()-A5 &lt; 365), P5/sum(F5:I5), "")</f>
        <v/>
      </c>
      <c r="P34" s="44">
        <f>IF(AND( C5="Buy", ISBLANK(W5), B5&lt;&gt;"DIV", NOW()-A5 &lt; 365), (1-Index!$F$2*2)*((J5*D5)-(E5*D5)), "")</f>
        <v/>
      </c>
      <c r="Q34" s="44">
        <f>IF(AND( C5="Buy", ISBLANK(W5), B5&lt;&gt;"DIV", NOW()-A5 &lt; 365), ((E5*D5)+P5), "")</f>
        <v/>
      </c>
      <c r="R34" s="44">
        <f>IF(AND( C5="Buy", ISBLANK(W5), B5&lt;&gt;"DIV", NOW()-A5 &lt; 365), D5, "")</f>
        <v/>
      </c>
      <c r="S34" s="46">
        <f>IF(AND( C5="Buy", ISBLANK(W5), B5&lt;&gt;"DIV", NOW()-A5 &gt; 365), T5/sum(F5:I5), "")</f>
        <v/>
      </c>
      <c r="T34" s="47">
        <f>IF(AND( C5="Buy", ISBLANK(W5), B5&lt;&gt;"DIV", NOW()-A5 &gt; 365), (1-Index!$F$2*2)*((J5*D5)-(E5*D5)), "")</f>
        <v/>
      </c>
      <c r="U34" s="47">
        <f>IF(AND( C5="Buy", ISBLANK(W5), B5&lt;&gt;"DIV", NOW()-A5 &gt; 365), ((E5*D5)+T5), "")</f>
        <v/>
      </c>
      <c r="V34" s="47">
        <f>IF(AND( C5="Buy", ISBLANK(W5), B5&lt;&gt;"DIV", NOW()-A5 &gt; 365), D5, "")</f>
        <v/>
      </c>
      <c r="W34" s="47" t="n"/>
      <c r="X34" s="47" t="n"/>
      <c r="Y34" s="46">
        <f>IF(AND( C5="Buy", W5&lt;&gt;"", AA5&lt;&gt;"", B5&lt;&gt;"DIV"), Z5/sum(F5:I5), "")</f>
        <v/>
      </c>
      <c r="Z34" s="47" t="n"/>
      <c r="AA34" s="47" t="n"/>
      <c r="AB34" s="48" t="n"/>
      <c r="AC34" s="44">
        <f>if(B5="DIV", F5,"")</f>
        <v/>
      </c>
      <c r="AD34" s="49" t="n"/>
    </row>
    <row r="35">
      <c r="A35" s="38" t="n">
        <v>45947</v>
      </c>
      <c r="B35" s="39" t="inlineStr">
        <is>
          <t>BSE</t>
        </is>
      </c>
      <c r="C35" s="39" t="inlineStr">
        <is>
          <t>Buy</t>
        </is>
      </c>
      <c r="D35" s="40" t="n">
        <v>10</v>
      </c>
      <c r="E35" s="41" t="n">
        <v>640.51</v>
      </c>
      <c r="F35" s="41">
        <f>D6*E6</f>
        <v/>
      </c>
      <c r="G35" s="39" t="inlineStr">
        <is>
          <t>~</t>
        </is>
      </c>
      <c r="H35" s="40" t="n"/>
      <c r="I35" s="40" t="n"/>
      <c r="J35" s="42">
        <f>Index!$C$2</f>
        <v/>
      </c>
      <c r="K35" s="43">
        <f>IF(AND( C6="Buy", ISBLANK(W6), B6&lt;&gt;"DIV"), L6/sum(F6:I6), "")</f>
        <v/>
      </c>
      <c r="L35" s="44">
        <f>IF(AND( C6="Buy", ISBLANK(W6), B6&lt;&gt;"DIV"), (1-Index!$F$2*2)*((J6*D6)-(E6*D6)), "")</f>
        <v/>
      </c>
      <c r="M35" s="44">
        <f>IF(AND( C6="Buy", ISBLANK(W6), B6&lt;&gt;"DIV"), ((E6*D6)+L6), "")</f>
        <v/>
      </c>
      <c r="N35" s="45">
        <f>IF(AND( C6="Buy", ISBLANK(W6), B6&lt;&gt;"DIV"), D6, "")</f>
        <v/>
      </c>
      <c r="O35" s="43">
        <f>IF(AND( C6="Buy", ISBLANK(W6), B6&lt;&gt;"DIV", NOW()-A6 &lt; 365), P6/sum(F6:I6), "")</f>
        <v/>
      </c>
      <c r="P35" s="44">
        <f>IF(AND( C6="Buy", ISBLANK(W6), B6&lt;&gt;"DIV", NOW()-A6 &lt; 365), (1-Index!$F$2*2)*((J6*D6)-(E6*D6)), "")</f>
        <v/>
      </c>
      <c r="Q35" s="44">
        <f>IF(AND( C6="Buy", ISBLANK(W6), B6&lt;&gt;"DIV", NOW()-A6 &lt; 365), ((E6*D6)+P6), "")</f>
        <v/>
      </c>
      <c r="R35" s="44">
        <f>IF(AND( C6="Buy", ISBLANK(W6), B6&lt;&gt;"DIV", NOW()-A6 &lt; 365), D6, "")</f>
        <v/>
      </c>
      <c r="S35" s="46">
        <f>IF(AND( C6="Buy", ISBLANK(W6), B6&lt;&gt;"DIV", NOW()-A6 &gt; 365), T6/sum(F6:I6), "")</f>
        <v/>
      </c>
      <c r="T35" s="47">
        <f>IF(AND( C6="Buy", ISBLANK(W6), B6&lt;&gt;"DIV", NOW()-A6 &gt; 365), (1-Index!$F$2*2)*((J6*D6)-(E6*D6)), "")</f>
        <v/>
      </c>
      <c r="U35" s="47">
        <f>IF(AND( C6="Buy", ISBLANK(W6), B6&lt;&gt;"DIV", NOW()-A6 &gt; 365), ((E6*D6)+T6), "")</f>
        <v/>
      </c>
      <c r="V35" s="47">
        <f>IF(AND( C6="Buy", ISBLANK(W6), B6&lt;&gt;"DIV", NOW()-A6 &gt; 365), D6, "")</f>
        <v/>
      </c>
      <c r="W35" s="47" t="n"/>
      <c r="X35" s="47" t="n"/>
      <c r="Y35" s="46">
        <f>IF(AND( C6="Buy", W6&lt;&gt;"", AA6&lt;&gt;"", B6&lt;&gt;"DIV"), Z6/sum(F6:I6), "")</f>
        <v/>
      </c>
      <c r="Z35" s="47" t="n"/>
      <c r="AA35" s="47" t="n"/>
      <c r="AB35" s="48" t="n"/>
      <c r="AC35" s="44">
        <f>if(B6="DIV", F6,"")</f>
        <v/>
      </c>
      <c r="AD35" s="49" t="n"/>
    </row>
    <row r="36">
      <c r="A36" s="38" t="n">
        <v>45897</v>
      </c>
      <c r="B36" s="39" t="inlineStr">
        <is>
          <t>BSE</t>
        </is>
      </c>
      <c r="C36" s="39" t="inlineStr">
        <is>
          <t>Buy</t>
        </is>
      </c>
      <c r="D36" s="40" t="n">
        <v>5</v>
      </c>
      <c r="E36" s="41" t="n">
        <v>645.76</v>
      </c>
      <c r="F36" s="41" t="n">
        <v>3228.8</v>
      </c>
      <c r="G36" s="39" t="inlineStr">
        <is>
          <t>~</t>
        </is>
      </c>
      <c r="H36" s="40" t="n">
        <v>3.21</v>
      </c>
      <c r="I36" s="40" t="n">
        <v>19.59</v>
      </c>
      <c r="J36" s="42">
        <f>Index!$C$2</f>
        <v/>
      </c>
      <c r="K36" s="43">
        <f>IF(AND( C7="Buy", ISBLANK(W7), B7&lt;&gt;"DIV"), L7/sum(F7:I7), "")</f>
        <v/>
      </c>
      <c r="L36" s="44">
        <f>IF(AND( C7="Buy", ISBLANK(W7), B7&lt;&gt;"DIV"), (1-Index!$F$2*2)*((J7*D7)-(E7*D7)), "")</f>
        <v/>
      </c>
      <c r="M36" s="44">
        <f>IF(AND( C7="Buy", ISBLANK(W7), B7&lt;&gt;"DIV"), ((E7*D7)+L7), "")</f>
        <v/>
      </c>
      <c r="N36" s="45">
        <f>IF(AND( C7="Buy", ISBLANK(W7), B7&lt;&gt;"DIV"), D7, "")</f>
        <v/>
      </c>
      <c r="O36" s="43">
        <f>IF(AND( C7="Buy", ISBLANK(W7), B7&lt;&gt;"DIV", NOW()-A7 &lt; 365), P7/sum(F7:I7), "")</f>
        <v/>
      </c>
      <c r="P36" s="44">
        <f>IF(AND( C7="Buy", ISBLANK(W7), B7&lt;&gt;"DIV", NOW()-A7 &lt; 365), (1-Index!$F$2*2)*((J7*D7)-(E7*D7)), "")</f>
        <v/>
      </c>
      <c r="Q36" s="44">
        <f>IF(AND( C7="Buy", ISBLANK(W7), B7&lt;&gt;"DIV", NOW()-A7 &lt; 365), ((E7*D7)+P7), "")</f>
        <v/>
      </c>
      <c r="R36" s="44">
        <f>IF(AND( C7="Buy", ISBLANK(W7), B7&lt;&gt;"DIV", NOW()-A7 &lt; 365), D7, "")</f>
        <v/>
      </c>
      <c r="S36" s="46">
        <f>IF(AND( C7="Buy", ISBLANK(W7), B7&lt;&gt;"DIV", NOW()-A7 &gt; 365), T7/sum(F7:I7), "")</f>
        <v/>
      </c>
      <c r="T36" s="47">
        <f>IF(AND( C7="Buy", ISBLANK(W7), B7&lt;&gt;"DIV", NOW()-A7 &gt; 365), (1-Index!$F$2*2)*((J7*D7)-(E7*D7)), "")</f>
        <v/>
      </c>
      <c r="U36" s="47">
        <f>IF(AND( C7="Buy", ISBLANK(W7), B7&lt;&gt;"DIV", NOW()-A7 &gt; 365), ((E7*D7)+T7), "")</f>
        <v/>
      </c>
      <c r="V36" s="47">
        <f>IF(AND( C7="Buy", ISBLANK(W7), B7&lt;&gt;"DIV", NOW()-A7 &gt; 365), D7, "")</f>
        <v/>
      </c>
      <c r="W36" s="47" t="n"/>
      <c r="X36" s="47" t="n"/>
      <c r="Y36" s="46">
        <f>IF(AND( C7="Buy", W7&lt;&gt;"", AA7&lt;&gt;"", B7&lt;&gt;"DIV"), Z7/sum(F7:I7), "")</f>
        <v/>
      </c>
      <c r="Z36" s="47" t="n"/>
      <c r="AA36" s="47" t="n"/>
      <c r="AB36" s="48" t="n"/>
      <c r="AC36" s="44">
        <f>if(B7="DIV", F7,"")</f>
        <v/>
      </c>
      <c r="AD36" s="49" t="n"/>
    </row>
    <row r="37">
      <c r="A37" s="38" t="n">
        <v>45855</v>
      </c>
      <c r="B37" s="39" t="inlineStr">
        <is>
          <t>BSE</t>
        </is>
      </c>
      <c r="C37" s="39" t="inlineStr">
        <is>
          <t>Buy</t>
        </is>
      </c>
      <c r="D37" s="40" t="n">
        <v>5</v>
      </c>
      <c r="E37" s="41" t="n">
        <v>680</v>
      </c>
      <c r="F37" s="41" t="n">
        <v>3399.98</v>
      </c>
      <c r="G37" s="39" t="inlineStr">
        <is>
          <t>~</t>
        </is>
      </c>
      <c r="H37" s="40" t="n">
        <v>3.38</v>
      </c>
      <c r="I37" s="40" t="n">
        <v>20.6</v>
      </c>
      <c r="J37" s="42">
        <f>Index!$C$2</f>
        <v/>
      </c>
      <c r="K37" s="43">
        <f>IF(AND( C8="Buy", ISBLANK(W8), B8&lt;&gt;"DIV"), L8/sum(F8:I8), "")</f>
        <v/>
      </c>
      <c r="L37" s="44">
        <f>IF(AND( C8="Buy", ISBLANK(W8), B8&lt;&gt;"DIV"), (1-Index!$F$2*2)*((J8*D8)-(E8*D8)), "")</f>
        <v/>
      </c>
      <c r="M37" s="44">
        <f>IF(AND( C8="Buy", ISBLANK(W8), B8&lt;&gt;"DIV"), ((E8*D8)+L8), "")</f>
        <v/>
      </c>
      <c r="N37" s="45">
        <f>IF(AND( C8="Buy", ISBLANK(W8), B8&lt;&gt;"DIV"), D8, "")</f>
        <v/>
      </c>
      <c r="O37" s="43">
        <f>IF(AND( C8="Buy", ISBLANK(W8), B8&lt;&gt;"DIV", NOW()-A8 &lt; 365), P8/sum(F8:I8), "")</f>
        <v/>
      </c>
      <c r="P37" s="44">
        <f>IF(AND( C8="Buy", ISBLANK(W8), B8&lt;&gt;"DIV", NOW()-A8 &lt; 365), (1-Index!$F$2*2)*((J8*D8)-(E8*D8)), "")</f>
        <v/>
      </c>
      <c r="Q37" s="44">
        <f>IF(AND( C8="Buy", ISBLANK(W8), B8&lt;&gt;"DIV", NOW()-A8 &lt; 365), ((E8*D8)+P8), "")</f>
        <v/>
      </c>
      <c r="R37" s="44">
        <f>IF(AND( C8="Buy", ISBLANK(W8), B8&lt;&gt;"DIV", NOW()-A8 &lt; 365), D8, "")</f>
        <v/>
      </c>
      <c r="S37" s="46">
        <f>IF(AND( C8="Buy", ISBLANK(W8), B8&lt;&gt;"DIV", NOW()-A8 &gt; 365), T8/sum(F8:I8), "")</f>
        <v/>
      </c>
      <c r="T37" s="47">
        <f>IF(AND( C8="Buy", ISBLANK(W8), B8&lt;&gt;"DIV", NOW()-A8 &gt; 365), (1-Index!$F$2*2)*((J8*D8)-(E8*D8)), "")</f>
        <v/>
      </c>
      <c r="U37" s="47">
        <f>IF(AND( C8="Buy", ISBLANK(W8), B8&lt;&gt;"DIV", NOW()-A8 &gt; 365), ((E8*D8)+T8), "")</f>
        <v/>
      </c>
      <c r="V37" s="47">
        <f>IF(AND( C8="Buy", ISBLANK(W8), B8&lt;&gt;"DIV", NOW()-A8 &gt; 365), D8, "")</f>
        <v/>
      </c>
      <c r="W37" s="47" t="n"/>
      <c r="X37" s="47" t="n"/>
      <c r="Y37" s="46">
        <f>IF(AND( C8="Buy", W8&lt;&gt;"", AA8&lt;&gt;"", B8&lt;&gt;"DIV"), Z8/sum(F8:I8), "")</f>
        <v/>
      </c>
      <c r="Z37" s="47" t="n"/>
      <c r="AA37" s="47" t="n"/>
      <c r="AB37" s="48" t="n"/>
      <c r="AC37" s="44">
        <f>if(B8="DIV", F8,"")</f>
        <v/>
      </c>
      <c r="AD37" s="49" t="n"/>
    </row>
    <row r="38">
      <c r="A38" s="38" t="n">
        <v>45835</v>
      </c>
      <c r="B38" s="39" t="inlineStr">
        <is>
          <t>DIV</t>
        </is>
      </c>
      <c r="C38" s="39" t="inlineStr">
        <is>
          <t>Buy</t>
        </is>
      </c>
      <c r="D38" s="40" t="n">
        <v>10</v>
      </c>
      <c r="E38" s="41" t="n">
        <v>1.25</v>
      </c>
      <c r="F38" s="41" t="n">
        <v>12.5</v>
      </c>
      <c r="G38" s="39" t="inlineStr">
        <is>
          <t>Annual-Dividend of Rs.1.2500/- per share on Ex-Date: 27-JUN-2025</t>
        </is>
      </c>
      <c r="H38" s="40" t="n">
        <v>0</v>
      </c>
      <c r="I38" s="40" t="n">
        <v>0</v>
      </c>
      <c r="J38" s="42">
        <f>Index!$C$2</f>
        <v/>
      </c>
      <c r="K38" s="43">
        <f>IF(AND( C9="Buy", ISBLANK(W9), B9&lt;&gt;"DIV"), L9/sum(F9:I9), "")</f>
        <v/>
      </c>
      <c r="L38" s="44">
        <f>IF(AND( C9="Buy", ISBLANK(W9), B9&lt;&gt;"DIV"), (1-Index!$F$2*2)*((J9*D9)-(E9*D9)), "")</f>
        <v/>
      </c>
      <c r="M38" s="44">
        <f>IF(AND( C9="Buy", ISBLANK(W9), B9&lt;&gt;"DIV"), ((E9*D9)+L9), "")</f>
        <v/>
      </c>
      <c r="N38" s="45">
        <f>IF(AND( C9="Buy", ISBLANK(W9), B9&lt;&gt;"DIV"), D9, "")</f>
        <v/>
      </c>
      <c r="O38" s="43">
        <f>IF(AND( C9="Buy", ISBLANK(W9), B9&lt;&gt;"DIV", NOW()-A9 &lt; 365), P9/sum(F9:I9), "")</f>
        <v/>
      </c>
      <c r="P38" s="44">
        <f>IF(AND( C9="Buy", ISBLANK(W9), B9&lt;&gt;"DIV", NOW()-A9 &lt; 365), (1-Index!$F$2*2)*((J9*D9)-(E9*D9)), "")</f>
        <v/>
      </c>
      <c r="Q38" s="44">
        <f>IF(AND( C9="Buy", ISBLANK(W9), B9&lt;&gt;"DIV", NOW()-A9 &lt; 365), ((E9*D9)+P9), "")</f>
        <v/>
      </c>
      <c r="R38" s="44">
        <f>IF(AND( C9="Buy", ISBLANK(W9), B9&lt;&gt;"DIV", NOW()-A9 &lt; 365), D9, "")</f>
        <v/>
      </c>
      <c r="S38" s="46">
        <f>IF(AND( C9="Buy", ISBLANK(W9), B9&lt;&gt;"DIV", NOW()-A9 &gt; 365), T9/sum(F9:I9), "")</f>
        <v/>
      </c>
      <c r="T38" s="47">
        <f>IF(AND( C9="Buy", ISBLANK(W9), B9&lt;&gt;"DIV", NOW()-A9 &gt; 365), (1-Index!$F$2*2)*((J9*D9)-(E9*D9)), "")</f>
        <v/>
      </c>
      <c r="U38" s="47">
        <f>IF(AND( C9="Buy", ISBLANK(W9), B9&lt;&gt;"DIV", NOW()-A9 &gt; 365), ((E9*D9)+T9), "")</f>
        <v/>
      </c>
      <c r="V38" s="47">
        <f>IF(AND( C9="Buy", ISBLANK(W9), B9&lt;&gt;"DIV", NOW()-A9 &gt; 365), D9, "")</f>
        <v/>
      </c>
      <c r="W38" s="47" t="n"/>
      <c r="X38" s="47" t="n"/>
      <c r="Y38" s="46">
        <f>IF(AND( C9="Buy", W9&lt;&gt;"", AA9&lt;&gt;"", B9&lt;&gt;"DIV"), Z9/sum(F9:I9), "")</f>
        <v/>
      </c>
      <c r="Z38" s="47" t="n"/>
      <c r="AA38" s="47" t="n"/>
      <c r="AB38" s="48" t="n"/>
      <c r="AC38" s="44">
        <f>if(B9="DIV", F9,"")</f>
        <v/>
      </c>
      <c r="AD38" s="49" t="n"/>
    </row>
    <row r="39">
      <c r="A39" s="50" t="n">
        <v>45722</v>
      </c>
      <c r="B39" s="51" t="inlineStr">
        <is>
          <t>NSE</t>
        </is>
      </c>
      <c r="C39" s="51" t="inlineStr">
        <is>
          <t>Buy</t>
        </is>
      </c>
      <c r="D39" s="52" t="n">
        <v>1</v>
      </c>
      <c r="E39" s="53" t="n">
        <v>683.97</v>
      </c>
      <c r="F39" s="53" t="n">
        <v>683.97</v>
      </c>
      <c r="G39" s="51" t="inlineStr">
        <is>
          <t>~</t>
        </is>
      </c>
      <c r="H39" s="52" t="n">
        <v>0.68</v>
      </c>
      <c r="I39" s="52" t="n">
        <v>4.14</v>
      </c>
      <c r="J39" s="42">
        <f>Index!$C$2</f>
        <v/>
      </c>
      <c r="K39" s="43">
        <f>IF(AND( C10="Buy", ISBLANK(W10), B10&lt;&gt;"DIV"), L10/sum(F10:I10), "")</f>
        <v/>
      </c>
      <c r="L39" s="44">
        <f>IF(AND( C10="Buy", ISBLANK(W10), B10&lt;&gt;"DIV"), (1-Index!$F$2*2)*((J10*D10)-(E10*D10)), "")</f>
        <v/>
      </c>
      <c r="M39" s="44">
        <f>IF(AND( C10="Buy", ISBLANK(W10), B10&lt;&gt;"DIV"), ((E10*D10)+L10), "")</f>
        <v/>
      </c>
      <c r="N39" s="45">
        <f>IF(AND( C10="Buy", ISBLANK(W10), B10&lt;&gt;"DIV"), D10, "")</f>
        <v/>
      </c>
      <c r="O39" s="43">
        <f>IF(AND( C10="Buy", ISBLANK(W10), B10&lt;&gt;"DIV", NOW()-A10 &lt; 365), P10/sum(F10:I10), "")</f>
        <v/>
      </c>
      <c r="P39" s="44">
        <f>IF(AND( C10="Buy", ISBLANK(W10), B10&lt;&gt;"DIV", NOW()-A10 &lt; 365), (1-Index!$F$2*2)*((J10*D10)-(E10*D10)), "")</f>
        <v/>
      </c>
      <c r="Q39" s="44">
        <f>IF(AND( C10="Buy", ISBLANK(W10), B10&lt;&gt;"DIV", NOW()-A10 &lt; 365), ((E10*D10)+P10), "")</f>
        <v/>
      </c>
      <c r="R39" s="44">
        <f>IF(AND( C10="Buy", ISBLANK(W10), B10&lt;&gt;"DIV", NOW()-A10 &lt; 365), D10, "")</f>
        <v/>
      </c>
      <c r="S39" s="46">
        <f>IF(AND( C10="Buy", ISBLANK(W10), B10&lt;&gt;"DIV", NOW()-A10 &gt; 365), T10/sum(F10:I10), "")</f>
        <v/>
      </c>
      <c r="T39" s="47">
        <f>IF(AND( C10="Buy", ISBLANK(W10), B10&lt;&gt;"DIV", NOW()-A10 &gt; 365), (1-Index!$F$2*2)*((J10*D10)-(E10*D10)), "")</f>
        <v/>
      </c>
      <c r="U39" s="47">
        <f>IF(AND( C10="Buy", ISBLANK(W10), B10&lt;&gt;"DIV", NOW()-A10 &gt; 365), ((E10*D10)+T10), "")</f>
        <v/>
      </c>
      <c r="V39" s="47">
        <f>IF(AND( C10="Buy", ISBLANK(W10), B10&lt;&gt;"DIV", NOW()-A10 &gt; 365), D10, "")</f>
        <v/>
      </c>
      <c r="W39" s="47" t="n"/>
      <c r="X39" s="47" t="n"/>
      <c r="Y39" s="46">
        <f>IF(AND( C10="Buy", W10&lt;&gt;"", AA10&lt;&gt;"", B10&lt;&gt;"DIV"), Z10/sum(F10:I10), "")</f>
        <v/>
      </c>
      <c r="Z39" s="47" t="n"/>
      <c r="AA39" s="47" t="n"/>
      <c r="AB39" s="48" t="n"/>
      <c r="AC39" s="44">
        <f>if(B10="DIV", F10,"")</f>
        <v/>
      </c>
      <c r="AD39" s="49" t="n"/>
    </row>
    <row r="40">
      <c r="A40" s="50" t="n">
        <v>45722</v>
      </c>
      <c r="B40" s="51" t="inlineStr">
        <is>
          <t>NSE</t>
        </is>
      </c>
      <c r="C40" s="51" t="inlineStr">
        <is>
          <t>Buy</t>
        </is>
      </c>
      <c r="D40" s="52" t="n">
        <v>2</v>
      </c>
      <c r="E40" s="53" t="n">
        <v>683.97</v>
      </c>
      <c r="F40" s="53" t="n">
        <v>1367.94</v>
      </c>
      <c r="G40" s="51" t="inlineStr">
        <is>
          <t>~</t>
        </is>
      </c>
      <c r="H40" s="52" t="n">
        <v>1.37</v>
      </c>
      <c r="I40" s="52" t="n">
        <v>8.27</v>
      </c>
      <c r="J40" s="42">
        <f>Index!$C$2</f>
        <v/>
      </c>
      <c r="K40" s="43">
        <f>IF(AND( C11="Buy", ISBLANK(W11), B11&lt;&gt;"DIV"), L11/sum(F11:I11), "")</f>
        <v/>
      </c>
      <c r="L40" s="44">
        <f>IF(AND( C11="Buy", ISBLANK(W11), B11&lt;&gt;"DIV"), (1-Index!$F$2*2)*((J11*D11)-(E11*D11)), "")</f>
        <v/>
      </c>
      <c r="M40" s="44">
        <f>IF(AND( C11="Buy", ISBLANK(W11), B11&lt;&gt;"DIV"), ((E11*D11)+L11), "")</f>
        <v/>
      </c>
      <c r="N40" s="45">
        <f>IF(AND( C11="Buy", ISBLANK(W11), B11&lt;&gt;"DIV"), D11, "")</f>
        <v/>
      </c>
      <c r="O40" s="43">
        <f>IF(AND( C11="Buy", ISBLANK(W11), B11&lt;&gt;"DIV", NOW()-A11 &lt; 365), P11/sum(F11:I11), "")</f>
        <v/>
      </c>
      <c r="P40" s="44">
        <f>IF(AND( C11="Buy", ISBLANK(W11), B11&lt;&gt;"DIV", NOW()-A11 &lt; 365), (1-Index!$F$2*2)*((J11*D11)-(E11*D11)), "")</f>
        <v/>
      </c>
      <c r="Q40" s="44">
        <f>IF(AND( C11="Buy", ISBLANK(W11), B11&lt;&gt;"DIV", NOW()-A11 &lt; 365), ((E11*D11)+P11), "")</f>
        <v/>
      </c>
      <c r="R40" s="44">
        <f>IF(AND( C11="Buy", ISBLANK(W11), B11&lt;&gt;"DIV", NOW()-A11 &lt; 365), D11, "")</f>
        <v/>
      </c>
      <c r="S40" s="46">
        <f>IF(AND( C11="Buy", ISBLANK(W11), B11&lt;&gt;"DIV", NOW()-A11 &gt; 365), T11/sum(F11:I11), "")</f>
        <v/>
      </c>
      <c r="T40" s="47">
        <f>IF(AND( C11="Buy", ISBLANK(W11), B11&lt;&gt;"DIV", NOW()-A11 &gt; 365), (1-Index!$F$2*2)*((J11*D11)-(E11*D11)), "")</f>
        <v/>
      </c>
      <c r="U40" s="47">
        <f>IF(AND( C11="Buy", ISBLANK(W11), B11&lt;&gt;"DIV", NOW()-A11 &gt; 365), ((E11*D11)+T11), "")</f>
        <v/>
      </c>
      <c r="V40" s="47">
        <f>IF(AND( C11="Buy", ISBLANK(W11), B11&lt;&gt;"DIV", NOW()-A11 &gt; 365), D11, "")</f>
        <v/>
      </c>
      <c r="W40" s="47" t="n"/>
      <c r="X40" s="47" t="n"/>
      <c r="Y40" s="46">
        <f>IF(AND( C11="Buy", W11&lt;&gt;"", AA11&lt;&gt;"", B11&lt;&gt;"DIV"), Z11/sum(F11:I11), "")</f>
        <v/>
      </c>
      <c r="Z40" s="47" t="n"/>
      <c r="AA40" s="47" t="n"/>
      <c r="AB40" s="48" t="n"/>
      <c r="AC40" s="44">
        <f>if(B11="DIV", F11,"")</f>
        <v/>
      </c>
      <c r="AD40" s="49" t="n"/>
    </row>
    <row r="41">
      <c r="A41" s="50" t="n">
        <v>45716</v>
      </c>
      <c r="B41" s="51" t="inlineStr">
        <is>
          <t>NSE</t>
        </is>
      </c>
      <c r="C41" s="51" t="inlineStr">
        <is>
          <t>Buy</t>
        </is>
      </c>
      <c r="D41" s="52" t="n">
        <v>5</v>
      </c>
      <c r="E41" s="53" t="n">
        <v>664.02</v>
      </c>
      <c r="F41" s="53" t="n">
        <v>3320.12</v>
      </c>
      <c r="G41" s="51" t="inlineStr">
        <is>
          <t>~</t>
        </is>
      </c>
      <c r="H41" s="52" t="n">
        <v>3.29</v>
      </c>
      <c r="I41" s="52" t="n">
        <v>20.08</v>
      </c>
      <c r="J41" s="42">
        <f>Index!$C$2</f>
        <v/>
      </c>
      <c r="K41" s="43">
        <f>IF(AND( C12="Buy", ISBLANK(W12), B12&lt;&gt;"DIV"), L12/sum(F12:I12), "")</f>
        <v/>
      </c>
      <c r="L41" s="44">
        <f>IF(AND( C12="Buy", ISBLANK(W12), B12&lt;&gt;"DIV"), (1-Index!$F$2*2)*((J12*D12)-(E12*D12)), "")</f>
        <v/>
      </c>
      <c r="M41" s="44">
        <f>IF(AND( C12="Buy", ISBLANK(W12), B12&lt;&gt;"DIV"), ((E12*D12)+L12), "")</f>
        <v/>
      </c>
      <c r="N41" s="45">
        <f>IF(AND( C12="Buy", ISBLANK(W12), B12&lt;&gt;"DIV"), D12, "")</f>
        <v/>
      </c>
      <c r="O41" s="43">
        <f>IF(AND( C12="Buy", ISBLANK(W12), B12&lt;&gt;"DIV", NOW()-A12 &lt; 365), P12/sum(F12:I12), "")</f>
        <v/>
      </c>
      <c r="P41" s="44">
        <f>IF(AND( C12="Buy", ISBLANK(W12), B12&lt;&gt;"DIV", NOW()-A12 &lt; 365), (1-Index!$F$2*2)*((J12*D12)-(E12*D12)), "")</f>
        <v/>
      </c>
      <c r="Q41" s="44">
        <f>IF(AND( C12="Buy", ISBLANK(W12), B12&lt;&gt;"DIV", NOW()-A12 &lt; 365), ((E12*D12)+P12), "")</f>
        <v/>
      </c>
      <c r="R41" s="44">
        <f>IF(AND( C12="Buy", ISBLANK(W12), B12&lt;&gt;"DIV", NOW()-A12 &lt; 365), D12, "")</f>
        <v/>
      </c>
      <c r="S41" s="46">
        <f>IF(AND( C12="Buy", ISBLANK(W12), B12&lt;&gt;"DIV", NOW()-A12 &gt; 365), T12/sum(F12:I12), "")</f>
        <v/>
      </c>
      <c r="T41" s="47">
        <f>IF(AND( C12="Buy", ISBLANK(W12), B12&lt;&gt;"DIV", NOW()-A12 &gt; 365), (1-Index!$F$2*2)*((J12*D12)-(E12*D12)), "")</f>
        <v/>
      </c>
      <c r="U41" s="47">
        <f>IF(AND( C12="Buy", ISBLANK(W12), B12&lt;&gt;"DIV", NOW()-A12 &gt; 365), ((E12*D12)+T12), "")</f>
        <v/>
      </c>
      <c r="V41" s="47">
        <f>IF(AND( C12="Buy", ISBLANK(W12), B12&lt;&gt;"DIV", NOW()-A12 &gt; 365), D12, "")</f>
        <v/>
      </c>
      <c r="W41" s="47" t="n"/>
      <c r="X41" s="47" t="n"/>
      <c r="Y41" s="46">
        <f>IF(AND( C12="Buy", W12&lt;&gt;"", AA12&lt;&gt;"", B12&lt;&gt;"DIV"), Z12/sum(F12:I12), "")</f>
        <v/>
      </c>
      <c r="Z41" s="47" t="n"/>
      <c r="AA41" s="47" t="n"/>
      <c r="AB41" s="48" t="n"/>
      <c r="AC41" s="44">
        <f>if(B12="DIV", F12,"")</f>
        <v/>
      </c>
      <c r="AD41" s="49" t="n"/>
    </row>
    <row r="42">
      <c r="A42" s="50" t="n">
        <v>45694</v>
      </c>
      <c r="B42" s="51" t="inlineStr">
        <is>
          <t>NSE</t>
        </is>
      </c>
      <c r="C42" s="51" t="inlineStr">
        <is>
          <t>Buy</t>
        </is>
      </c>
      <c r="D42" s="52" t="n">
        <v>2</v>
      </c>
      <c r="E42" s="53" t="n">
        <v>751.83</v>
      </c>
      <c r="F42" s="53" t="n">
        <v>1503.66</v>
      </c>
      <c r="G42" s="51" t="inlineStr">
        <is>
          <t>~</t>
        </is>
      </c>
      <c r="H42" s="52" t="n">
        <v>1.49</v>
      </c>
      <c r="I42" s="52" t="n">
        <v>9.07</v>
      </c>
      <c r="J42" s="42">
        <f>Index!$C$2</f>
        <v/>
      </c>
      <c r="K42" s="43">
        <f>IF(AND( C13="Buy", ISBLANK(W13), B13&lt;&gt;"DIV"), L13/sum(F13:I13), "")</f>
        <v/>
      </c>
      <c r="L42" s="44">
        <f>IF(AND( C13="Buy", ISBLANK(W13), B13&lt;&gt;"DIV"), (1-Index!$F$2*2)*((J13*D13)-(E13*D13)), "")</f>
        <v/>
      </c>
      <c r="M42" s="44">
        <f>IF(AND( C13="Buy", ISBLANK(W13), B13&lt;&gt;"DIV"), ((E13*D13)+L13), "")</f>
        <v/>
      </c>
      <c r="N42" s="45">
        <f>IF(AND( C13="Buy", ISBLANK(W13), B13&lt;&gt;"DIV"), D13, "")</f>
        <v/>
      </c>
      <c r="O42" s="43">
        <f>IF(AND( C13="Buy", ISBLANK(W13), B13&lt;&gt;"DIV", NOW()-A13 &lt; 365), P13/sum(F13:I13), "")</f>
        <v/>
      </c>
      <c r="P42" s="44">
        <f>IF(AND( C13="Buy", ISBLANK(W13), B13&lt;&gt;"DIV", NOW()-A13 &lt; 365), (1-Index!$F$2*2)*((J13*D13)-(E13*D13)), "")</f>
        <v/>
      </c>
      <c r="Q42" s="44">
        <f>IF(AND( C13="Buy", ISBLANK(W13), B13&lt;&gt;"DIV", NOW()-A13 &lt; 365), ((E13*D13)+P13), "")</f>
        <v/>
      </c>
      <c r="R42" s="44">
        <f>IF(AND( C13="Buy", ISBLANK(W13), B13&lt;&gt;"DIV", NOW()-A13 &lt; 365), D13, "")</f>
        <v/>
      </c>
      <c r="S42" s="46">
        <f>IF(AND( C13="Buy", ISBLANK(W13), B13&lt;&gt;"DIV", NOW()-A13 &gt; 365), T13/sum(F13:I13), "")</f>
        <v/>
      </c>
      <c r="T42" s="47">
        <f>IF(AND( C13="Buy", ISBLANK(W13), B13&lt;&gt;"DIV", NOW()-A13 &gt; 365), (1-Index!$F$2*2)*((J13*D13)-(E13*D13)), "")</f>
        <v/>
      </c>
      <c r="U42" s="47">
        <f>IF(AND( C13="Buy", ISBLANK(W13), B13&lt;&gt;"DIV", NOW()-A13 &gt; 365), ((E13*D13)+T13), "")</f>
        <v/>
      </c>
      <c r="V42" s="47">
        <f>IF(AND( C13="Buy", ISBLANK(W13), B13&lt;&gt;"DIV", NOW()-A13 &gt; 365), D13, "")</f>
        <v/>
      </c>
      <c r="W42" s="47" t="n"/>
      <c r="X42" s="47" t="n"/>
      <c r="Y42" s="46">
        <f>IF(AND( C13="Buy", W13&lt;&gt;"", AA13&lt;&gt;"", B13&lt;&gt;"DIV"), Z13/sum(F13:I13), "")</f>
        <v/>
      </c>
      <c r="Z42" s="47" t="n"/>
      <c r="AA42" s="47" t="n"/>
      <c r="AB42" s="48" t="n"/>
      <c r="AC42" s="44">
        <f>if(B13="DIV", F13,"")</f>
        <v/>
      </c>
      <c r="AD42" s="49" t="n"/>
    </row>
    <row r="43">
      <c r="A43" s="50" t="n">
        <v>44084</v>
      </c>
      <c r="B43" s="51" t="inlineStr">
        <is>
          <t>NSE</t>
        </is>
      </c>
      <c r="C43" s="51" t="inlineStr">
        <is>
          <t>Sell</t>
        </is>
      </c>
      <c r="D43" s="52" t="n">
        <v>50</v>
      </c>
      <c r="E43" s="53" t="n">
        <v>481.64</v>
      </c>
      <c r="F43" s="53" t="n">
        <v>24081.77</v>
      </c>
      <c r="G43" s="51" t="inlineStr">
        <is>
          <t>~</t>
        </is>
      </c>
      <c r="H43" s="52" t="n">
        <v>22.15</v>
      </c>
      <c r="I43" s="52" t="n">
        <v>146.08</v>
      </c>
      <c r="J43" s="42">
        <f>Index!$C$2</f>
        <v/>
      </c>
      <c r="K43" s="43">
        <f>IF(AND( C14="Buy", ISBLANK(W14), B14&lt;&gt;"DIV"), L14/sum(F14:I14), "")</f>
        <v/>
      </c>
      <c r="L43" s="44">
        <f>IF(AND( C14="Buy", ISBLANK(W14), B14&lt;&gt;"DIV"), (1-Index!$F$2*2)*((J14*D14)-(E14*D14)), "")</f>
        <v/>
      </c>
      <c r="M43" s="44">
        <f>IF(AND( C14="Buy", ISBLANK(W14), B14&lt;&gt;"DIV"), ((E14*D14)+L14), "")</f>
        <v/>
      </c>
      <c r="N43" s="45">
        <f>IF(AND( C14="Buy", ISBLANK(W14), B14&lt;&gt;"DIV"), D14, "")</f>
        <v/>
      </c>
      <c r="O43" s="43">
        <f>IF(AND( C14="Buy", ISBLANK(W14), B14&lt;&gt;"DIV", NOW()-A14 &lt; 365), P14/sum(F14:I14), "")</f>
        <v/>
      </c>
      <c r="P43" s="44">
        <f>IF(AND( C14="Buy", ISBLANK(W14), B14&lt;&gt;"DIV", NOW()-A14 &lt; 365), (1-Index!$F$2*2)*((J14*D14)-(E14*D14)), "")</f>
        <v/>
      </c>
      <c r="Q43" s="44">
        <f>IF(AND( C14="Buy", ISBLANK(W14), B14&lt;&gt;"DIV", NOW()-A14 &lt; 365), ((E14*D14)+P14), "")</f>
        <v/>
      </c>
      <c r="R43" s="44">
        <f>IF(AND( C14="Buy", ISBLANK(W14), B14&lt;&gt;"DIV", NOW()-A14 &lt; 365), D14, "")</f>
        <v/>
      </c>
      <c r="S43" s="46">
        <f>IF(AND( C14="Buy", ISBLANK(W14), B14&lt;&gt;"DIV", NOW()-A14 &gt; 365), T14/sum(F14:I14), "")</f>
        <v/>
      </c>
      <c r="T43" s="47">
        <f>IF(AND( C14="Buy", ISBLANK(W14), B14&lt;&gt;"DIV", NOW()-A14 &gt; 365), (1-Index!$F$2*2)*((J14*D14)-(E14*D14)), "")</f>
        <v/>
      </c>
      <c r="U43" s="47">
        <f>IF(AND( C14="Buy", ISBLANK(W14), B14&lt;&gt;"DIV", NOW()-A14 &gt; 365), ((E14*D14)+T14), "")</f>
        <v/>
      </c>
      <c r="V43" s="47">
        <f>IF(AND( C14="Buy", ISBLANK(W14), B14&lt;&gt;"DIV", NOW()-A14 &gt; 365), D14, "")</f>
        <v/>
      </c>
      <c r="W43" s="47" t="n"/>
      <c r="X43" s="47" t="n"/>
      <c r="Y43" s="46">
        <f>IF(AND( C14="Buy", W14&lt;&gt;"", AA14&lt;&gt;"", B14&lt;&gt;"DIV"), Z14/sum(F14:I14), "")</f>
        <v/>
      </c>
      <c r="Z43" s="47" t="n"/>
      <c r="AA43" s="47" t="n"/>
      <c r="AB43" s="48" t="n"/>
      <c r="AC43" s="44">
        <f>if(B14="DIV", F14,"")</f>
        <v/>
      </c>
      <c r="AD43" s="49" t="n"/>
    </row>
    <row r="44">
      <c r="A44" s="50" t="n">
        <v>44075</v>
      </c>
      <c r="B44" s="51" t="inlineStr">
        <is>
          <t>NSE</t>
        </is>
      </c>
      <c r="C44" s="51" t="inlineStr">
        <is>
          <t>Sell</t>
        </is>
      </c>
      <c r="D44" s="52" t="n">
        <v>60</v>
      </c>
      <c r="E44" s="53" t="n">
        <v>476.52</v>
      </c>
      <c r="F44" s="53" t="n">
        <v>28591.3</v>
      </c>
      <c r="G44" s="51" t="inlineStr">
        <is>
          <t>~</t>
        </is>
      </c>
      <c r="H44" s="52" t="n">
        <v>29</v>
      </c>
      <c r="I44" s="52" t="n">
        <v>170.7</v>
      </c>
      <c r="J44" s="42">
        <f>Index!$C$2</f>
        <v/>
      </c>
      <c r="K44" s="43">
        <f>IF(AND( C15="Buy", ISBLANK(W15), B15&lt;&gt;"DIV"), L15/sum(F15:I15), "")</f>
        <v/>
      </c>
      <c r="L44" s="44">
        <f>IF(AND( C15="Buy", ISBLANK(W15), B15&lt;&gt;"DIV"), (1-Index!$F$2*2)*((J15*D15)-(E15*D15)), "")</f>
        <v/>
      </c>
      <c r="M44" s="44">
        <f>IF(AND( C15="Buy", ISBLANK(W15), B15&lt;&gt;"DIV"), ((E15*D15)+L15), "")</f>
        <v/>
      </c>
      <c r="N44" s="45">
        <f>IF(AND( C15="Buy", ISBLANK(W15), B15&lt;&gt;"DIV"), D15, "")</f>
        <v/>
      </c>
      <c r="O44" s="43">
        <f>IF(AND( C15="Buy", ISBLANK(W15), B15&lt;&gt;"DIV", NOW()-A15 &lt; 365), P15/sum(F15:I15), "")</f>
        <v/>
      </c>
      <c r="P44" s="44">
        <f>IF(AND( C15="Buy", ISBLANK(W15), B15&lt;&gt;"DIV", NOW()-A15 &lt; 365), (1-Index!$F$2*2)*((J15*D15)-(E15*D15)), "")</f>
        <v/>
      </c>
      <c r="Q44" s="44">
        <f>IF(AND( C15="Buy", ISBLANK(W15), B15&lt;&gt;"DIV", NOW()-A15 &lt; 365), ((E15*D15)+P15), "")</f>
        <v/>
      </c>
      <c r="R44" s="44">
        <f>IF(AND( C15="Buy", ISBLANK(W15), B15&lt;&gt;"DIV", NOW()-A15 &lt; 365), D15, "")</f>
        <v/>
      </c>
      <c r="S44" s="46">
        <f>IF(AND( C15="Buy", ISBLANK(W15), B15&lt;&gt;"DIV", NOW()-A15 &gt; 365), T15/sum(F15:I15), "")</f>
        <v/>
      </c>
      <c r="T44" s="47">
        <f>IF(AND( C15="Buy", ISBLANK(W15), B15&lt;&gt;"DIV", NOW()-A15 &gt; 365), (1-Index!$F$2*2)*((J15*D15)-(E15*D15)), "")</f>
        <v/>
      </c>
      <c r="U44" s="47">
        <f>IF(AND( C15="Buy", ISBLANK(W15), B15&lt;&gt;"DIV", NOW()-A15 &gt; 365), ((E15*D15)+T15), "")</f>
        <v/>
      </c>
      <c r="V44" s="47">
        <f>IF(AND( C15="Buy", ISBLANK(W15), B15&lt;&gt;"DIV", NOW()-A15 &gt; 365), D15, "")</f>
        <v/>
      </c>
      <c r="W44" s="47" t="n"/>
      <c r="X44" s="47" t="n"/>
      <c r="Y44" s="46">
        <f>IF(AND( C15="Buy", W15&lt;&gt;"", AA15&lt;&gt;"", B15&lt;&gt;"DIV"), Z15/sum(F15:I15), "")</f>
        <v/>
      </c>
      <c r="Z44" s="47" t="n"/>
      <c r="AA44" s="47" t="n"/>
      <c r="AB44" s="48" t="n"/>
      <c r="AC44" s="44">
        <f>if(B15="DIV", F15,"")</f>
        <v/>
      </c>
      <c r="AD44" s="49" t="n"/>
    </row>
    <row r="45">
      <c r="A45" s="50" t="n">
        <v>44060</v>
      </c>
      <c r="B45" s="51" t="inlineStr">
        <is>
          <t>NSE</t>
        </is>
      </c>
      <c r="C45" s="51" t="inlineStr">
        <is>
          <t>Sell</t>
        </is>
      </c>
      <c r="D45" s="52" t="n">
        <v>50</v>
      </c>
      <c r="E45" s="54" t="n">
        <v>484.77</v>
      </c>
      <c r="F45" s="53" t="n">
        <v>24238.46</v>
      </c>
      <c r="G45" s="51" t="inlineStr">
        <is>
          <t>~</t>
        </is>
      </c>
      <c r="H45" s="52" t="n">
        <v>22.16</v>
      </c>
      <c r="I45" s="52" t="n">
        <v>146.28</v>
      </c>
      <c r="J45" s="42">
        <f>Index!$C$2</f>
        <v/>
      </c>
      <c r="K45" s="43">
        <f>IF(AND( C16="Buy", ISBLANK(W16), B16&lt;&gt;"DIV"), L16/sum(F16:I16), "")</f>
        <v/>
      </c>
      <c r="L45" s="44">
        <f>IF(AND( C16="Buy", ISBLANK(W16), B16&lt;&gt;"DIV"), (1-Index!$F$2*2)*((J16*D16)-(E16*D16)), "")</f>
        <v/>
      </c>
      <c r="M45" s="44">
        <f>IF(AND( C16="Buy", ISBLANK(W16), B16&lt;&gt;"DIV"), ((E16*D16)+L16), "")</f>
        <v/>
      </c>
      <c r="N45" s="45">
        <f>IF(AND( C16="Buy", ISBLANK(W16), B16&lt;&gt;"DIV"), D16, "")</f>
        <v/>
      </c>
      <c r="O45" s="43">
        <f>IF(AND( C16="Buy", ISBLANK(W16), B16&lt;&gt;"DIV", NOW()-A16 &lt; 365), P16/sum(F16:I16), "")</f>
        <v/>
      </c>
      <c r="P45" s="44">
        <f>IF(AND( C16="Buy", ISBLANK(W16), B16&lt;&gt;"DIV", NOW()-A16 &lt; 365), (1-Index!$F$2*2)*((J16*D16)-(E16*D16)), "")</f>
        <v/>
      </c>
      <c r="Q45" s="44">
        <f>IF(AND( C16="Buy", ISBLANK(W16), B16&lt;&gt;"DIV", NOW()-A16 &lt; 365), ((E16*D16)+P16), "")</f>
        <v/>
      </c>
      <c r="R45" s="44">
        <f>IF(AND( C16="Buy", ISBLANK(W16), B16&lt;&gt;"DIV", NOW()-A16 &lt; 365), D16, "")</f>
        <v/>
      </c>
      <c r="S45" s="46">
        <f>IF(AND( C16="Buy", ISBLANK(W16), B16&lt;&gt;"DIV", NOW()-A16 &gt; 365), T16/sum(F16:I16), "")</f>
        <v/>
      </c>
      <c r="T45" s="47">
        <f>IF(AND( C16="Buy", ISBLANK(W16), B16&lt;&gt;"DIV", NOW()-A16 &gt; 365), (1-Index!$F$2*2)*((J16*D16)-(E16*D16)), "")</f>
        <v/>
      </c>
      <c r="U45" s="47">
        <f>IF(AND( C16="Buy", ISBLANK(W16), B16&lt;&gt;"DIV", NOW()-A16 &gt; 365), ((E16*D16)+T16), "")</f>
        <v/>
      </c>
      <c r="V45" s="47">
        <f>IF(AND( C16="Buy", ISBLANK(W16), B16&lt;&gt;"DIV", NOW()-A16 &gt; 365), D16, "")</f>
        <v/>
      </c>
      <c r="W45" s="47" t="n"/>
      <c r="X45" s="47" t="n"/>
      <c r="Y45" s="46">
        <f>IF(AND( C16="Buy", W16&lt;&gt;"", AA16&lt;&gt;"", B16&lt;&gt;"DIV"), Z16/sum(F16:I16), "")</f>
        <v/>
      </c>
      <c r="Z45" s="47" t="n"/>
      <c r="AA45" s="47" t="n"/>
      <c r="AB45" s="48" t="n"/>
      <c r="AC45" s="44">
        <f>if(B16="DIV", F16,"")</f>
        <v/>
      </c>
      <c r="AD45" s="49" t="n"/>
    </row>
    <row r="46">
      <c r="A46" s="50" t="n">
        <v>44055</v>
      </c>
      <c r="B46" s="51" t="inlineStr">
        <is>
          <t>NSE</t>
        </is>
      </c>
      <c r="C46" s="51" t="inlineStr">
        <is>
          <t>Sell</t>
        </is>
      </c>
      <c r="D46" s="52" t="n">
        <v>50</v>
      </c>
      <c r="E46" s="54" t="n">
        <v>489.63</v>
      </c>
      <c r="F46" s="53" t="n">
        <v>24481.54</v>
      </c>
      <c r="G46" s="51" t="inlineStr">
        <is>
          <t>~</t>
        </is>
      </c>
      <c r="H46" s="52" t="n">
        <v>24.74</v>
      </c>
      <c r="I46" s="52" t="n">
        <v>148.72</v>
      </c>
      <c r="J46" s="42">
        <f>Index!$C$2</f>
        <v/>
      </c>
      <c r="K46" s="43">
        <f>IF(AND( C17="Buy", ISBLANK(W17), B17&lt;&gt;"DIV"), L17/sum(F17:I17), "")</f>
        <v/>
      </c>
      <c r="L46" s="44">
        <f>IF(AND( C17="Buy", ISBLANK(W17), B17&lt;&gt;"DIV"), (1-Index!$F$2*2)*((J17*D17)-(E17*D17)), "")</f>
        <v/>
      </c>
      <c r="M46" s="44">
        <f>IF(AND( C17="Buy", ISBLANK(W17), B17&lt;&gt;"DIV"), ((E17*D17)+L17), "")</f>
        <v/>
      </c>
      <c r="N46" s="45">
        <f>IF(AND( C17="Buy", ISBLANK(W17), B17&lt;&gt;"DIV"), D17, "")</f>
        <v/>
      </c>
      <c r="O46" s="43">
        <f>IF(AND( C17="Buy", ISBLANK(W17), B17&lt;&gt;"DIV", NOW()-A17 &lt; 365), P17/sum(F17:I17), "")</f>
        <v/>
      </c>
      <c r="P46" s="44">
        <f>IF(AND( C17="Buy", ISBLANK(W17), B17&lt;&gt;"DIV", NOW()-A17 &lt; 365), (1-Index!$F$2*2)*((J17*D17)-(E17*D17)), "")</f>
        <v/>
      </c>
      <c r="Q46" s="44">
        <f>IF(AND( C17="Buy", ISBLANK(W17), B17&lt;&gt;"DIV", NOW()-A17 &lt; 365), ((E17*D17)+P17), "")</f>
        <v/>
      </c>
      <c r="R46" s="44">
        <f>IF(AND( C17="Buy", ISBLANK(W17), B17&lt;&gt;"DIV", NOW()-A17 &lt; 365), D17, "")</f>
        <v/>
      </c>
      <c r="S46" s="46">
        <f>IF(AND( C17="Buy", ISBLANK(W17), B17&lt;&gt;"DIV", NOW()-A17 &gt; 365), T17/sum(F17:I17), "")</f>
        <v/>
      </c>
      <c r="T46" s="47">
        <f>IF(AND( C17="Buy", ISBLANK(W17), B17&lt;&gt;"DIV", NOW()-A17 &gt; 365), (1-Index!$F$2*2)*((J17*D17)-(E17*D17)), "")</f>
        <v/>
      </c>
      <c r="U46" s="47">
        <f>IF(AND( C17="Buy", ISBLANK(W17), B17&lt;&gt;"DIV", NOW()-A17 &gt; 365), ((E17*D17)+T17), "")</f>
        <v/>
      </c>
      <c r="V46" s="47">
        <f>IF(AND( C17="Buy", ISBLANK(W17), B17&lt;&gt;"DIV", NOW()-A17 &gt; 365), D17, "")</f>
        <v/>
      </c>
      <c r="W46" s="47" t="n"/>
      <c r="X46" s="47" t="n"/>
      <c r="Y46" s="46">
        <f>IF(AND( C17="Buy", W17&lt;&gt;"", AA17&lt;&gt;"", B17&lt;&gt;"DIV"), Z17/sum(F17:I17), "")</f>
        <v/>
      </c>
      <c r="Z46" s="47" t="n"/>
      <c r="AA46" s="47" t="n"/>
      <c r="AB46" s="48" t="n"/>
      <c r="AC46" s="44">
        <f>if(B17="DIV", F17,"")</f>
        <v/>
      </c>
      <c r="AD46" s="49" t="n"/>
    </row>
    <row r="47">
      <c r="A47" s="50" t="n">
        <v>44050</v>
      </c>
      <c r="B47" s="51" t="inlineStr">
        <is>
          <t>NSE</t>
        </is>
      </c>
      <c r="C47" s="51" t="inlineStr">
        <is>
          <t>Sell</t>
        </is>
      </c>
      <c r="D47" s="52" t="n">
        <v>50</v>
      </c>
      <c r="E47" s="54" t="n">
        <v>470.08</v>
      </c>
      <c r="F47" s="53" t="n">
        <v>23504.1</v>
      </c>
      <c r="G47" s="51" t="inlineStr">
        <is>
          <t>~</t>
        </is>
      </c>
      <c r="H47" s="52" t="n">
        <v>23.54</v>
      </c>
      <c r="I47" s="52" t="n">
        <v>142.36</v>
      </c>
      <c r="J47" s="42">
        <f>Index!$C$2</f>
        <v/>
      </c>
      <c r="K47" s="43">
        <f>IF(AND( C18="Buy", ISBLANK(W18), B18&lt;&gt;"DIV"), L18/sum(F18:I18), "")</f>
        <v/>
      </c>
      <c r="L47" s="44">
        <f>IF(AND( C18="Buy", ISBLANK(W18), B18&lt;&gt;"DIV"), (1-Index!$F$2*2)*((J18*D18)-(E18*D18)), "")</f>
        <v/>
      </c>
      <c r="M47" s="44">
        <f>IF(AND( C18="Buy", ISBLANK(W18), B18&lt;&gt;"DIV"), ((E18*D18)+L18), "")</f>
        <v/>
      </c>
      <c r="N47" s="45">
        <f>IF(AND( C18="Buy", ISBLANK(W18), B18&lt;&gt;"DIV"), D18, "")</f>
        <v/>
      </c>
      <c r="O47" s="43">
        <f>IF(AND( C18="Buy", ISBLANK(W18), B18&lt;&gt;"DIV", NOW()-A18 &lt; 365), P18/sum(F18:I18), "")</f>
        <v/>
      </c>
      <c r="P47" s="44">
        <f>IF(AND( C18="Buy", ISBLANK(W18), B18&lt;&gt;"DIV", NOW()-A18 &lt; 365), (1-Index!$F$2*2)*((J18*D18)-(E18*D18)), "")</f>
        <v/>
      </c>
      <c r="Q47" s="44">
        <f>IF(AND( C18="Buy", ISBLANK(W18), B18&lt;&gt;"DIV", NOW()-A18 &lt; 365), ((E18*D18)+P18), "")</f>
        <v/>
      </c>
      <c r="R47" s="44">
        <f>IF(AND( C18="Buy", ISBLANK(W18), B18&lt;&gt;"DIV", NOW()-A18 &lt; 365), D18, "")</f>
        <v/>
      </c>
      <c r="S47" s="46">
        <f>IF(AND( C18="Buy", ISBLANK(W18), B18&lt;&gt;"DIV", NOW()-A18 &gt; 365), T18/sum(F18:I18), "")</f>
        <v/>
      </c>
      <c r="T47" s="47">
        <f>IF(AND( C18="Buy", ISBLANK(W18), B18&lt;&gt;"DIV", NOW()-A18 &gt; 365), (1-Index!$F$2*2)*((J18*D18)-(E18*D18)), "")</f>
        <v/>
      </c>
      <c r="U47" s="47">
        <f>IF(AND( C18="Buy", ISBLANK(W18), B18&lt;&gt;"DIV", NOW()-A18 &gt; 365), ((E18*D18)+T18), "")</f>
        <v/>
      </c>
      <c r="V47" s="47">
        <f>IF(AND( C18="Buy", ISBLANK(W18), B18&lt;&gt;"DIV", NOW()-A18 &gt; 365), D18, "")</f>
        <v/>
      </c>
      <c r="W47" s="47" t="n"/>
      <c r="X47" s="47" t="n"/>
      <c r="Y47" s="46">
        <f>IF(AND( C18="Buy", W18&lt;&gt;"", AA18&lt;&gt;"", B18&lt;&gt;"DIV"), Z18/sum(F18:I18), "")</f>
        <v/>
      </c>
      <c r="Z47" s="47" t="n"/>
      <c r="AA47" s="47" t="n"/>
      <c r="AB47" s="48" t="n"/>
      <c r="AC47" s="44">
        <f>if(B18="DIV", F18,"")</f>
        <v/>
      </c>
      <c r="AD47" s="49" t="n"/>
    </row>
    <row r="48">
      <c r="A48" s="50" t="n">
        <v>44049</v>
      </c>
      <c r="B48" s="51" t="inlineStr">
        <is>
          <t>NSE</t>
        </is>
      </c>
      <c r="C48" s="51" t="inlineStr">
        <is>
          <t>Sell</t>
        </is>
      </c>
      <c r="D48" s="52" t="n">
        <v>50</v>
      </c>
      <c r="E48" s="54" t="n">
        <v>467.35</v>
      </c>
      <c r="F48" s="53" t="n">
        <v>23367.41</v>
      </c>
      <c r="G48" s="51" t="inlineStr">
        <is>
          <t>~</t>
        </is>
      </c>
      <c r="H48" s="52" t="n">
        <v>23.55</v>
      </c>
      <c r="I48" s="52" t="n">
        <v>141.54</v>
      </c>
      <c r="J48" s="42">
        <f>Index!$C$2</f>
        <v/>
      </c>
      <c r="K48" s="43">
        <f>IF(AND( C19="Buy", ISBLANK(W19), B19&lt;&gt;"DIV"), L19/sum(F19:I19), "")</f>
        <v/>
      </c>
      <c r="L48" s="44">
        <f>IF(AND( C19="Buy", ISBLANK(W19), B19&lt;&gt;"DIV"), (1-Index!$F$2*2)*((J19*D19)-(E19*D19)), "")</f>
        <v/>
      </c>
      <c r="M48" s="44">
        <f>IF(AND( C19="Buy", ISBLANK(W19), B19&lt;&gt;"DIV"), ((E19*D19)+L19), "")</f>
        <v/>
      </c>
      <c r="N48" s="45">
        <f>IF(AND( C19="Buy", ISBLANK(W19), B19&lt;&gt;"DIV"), D19, "")</f>
        <v/>
      </c>
      <c r="O48" s="43">
        <f>IF(AND( C19="Buy", ISBLANK(W19), B19&lt;&gt;"DIV", NOW()-A19 &lt; 365), P19/sum(F19:I19), "")</f>
        <v/>
      </c>
      <c r="P48" s="44">
        <f>IF(AND( C19="Buy", ISBLANK(W19), B19&lt;&gt;"DIV", NOW()-A19 &lt; 365), (1-Index!$F$2*2)*((J19*D19)-(E19*D19)), "")</f>
        <v/>
      </c>
      <c r="Q48" s="44">
        <f>IF(AND( C19="Buy", ISBLANK(W19), B19&lt;&gt;"DIV", NOW()-A19 &lt; 365), ((E19*D19)+P19), "")</f>
        <v/>
      </c>
      <c r="R48" s="44">
        <f>IF(AND( C19="Buy", ISBLANK(W19), B19&lt;&gt;"DIV", NOW()-A19 &lt; 365), D19, "")</f>
        <v/>
      </c>
      <c r="S48" s="46">
        <f>IF(AND( C19="Buy", ISBLANK(W19), B19&lt;&gt;"DIV", NOW()-A19 &gt; 365), T19/sum(F19:I19), "")</f>
        <v/>
      </c>
      <c r="T48" s="47">
        <f>IF(AND( C19="Buy", ISBLANK(W19), B19&lt;&gt;"DIV", NOW()-A19 &gt; 365), (1-Index!$F$2*2)*((J19*D19)-(E19*D19)), "")</f>
        <v/>
      </c>
      <c r="U48" s="47">
        <f>IF(AND( C19="Buy", ISBLANK(W19), B19&lt;&gt;"DIV", NOW()-A19 &gt; 365), ((E19*D19)+T19), "")</f>
        <v/>
      </c>
      <c r="V48" s="47">
        <f>IF(AND( C19="Buy", ISBLANK(W19), B19&lt;&gt;"DIV", NOW()-A19 &gt; 365), D19, "")</f>
        <v/>
      </c>
      <c r="W48" s="47" t="n"/>
      <c r="X48" s="47" t="n"/>
      <c r="Y48" s="46">
        <f>IF(AND( C19="Buy", W19&lt;&gt;"", AA19&lt;&gt;"", B19&lt;&gt;"DIV"), Z19/sum(F19:I19), "")</f>
        <v/>
      </c>
      <c r="Z48" s="47" t="n"/>
      <c r="AA48" s="47" t="n"/>
      <c r="AB48" s="48" t="n"/>
      <c r="AC48" s="44">
        <f>if(B19="DIV", F19,"")</f>
        <v/>
      </c>
      <c r="AD48" s="49" t="n"/>
    </row>
    <row r="49">
      <c r="A49" s="50" t="n">
        <v>44048</v>
      </c>
      <c r="B49" s="51" t="inlineStr">
        <is>
          <t>NSE</t>
        </is>
      </c>
      <c r="C49" s="51" t="inlineStr">
        <is>
          <t>Sell</t>
        </is>
      </c>
      <c r="D49" s="55" t="n">
        <v>50</v>
      </c>
      <c r="E49" s="54" t="n">
        <v>464.04</v>
      </c>
      <c r="F49" s="53" t="n">
        <v>23201.97</v>
      </c>
      <c r="G49" s="51" t="inlineStr">
        <is>
          <t>~</t>
        </is>
      </c>
      <c r="H49" s="52" t="n">
        <v>23.34</v>
      </c>
      <c r="I49" s="52" t="n">
        <v>139.69</v>
      </c>
      <c r="J49" s="42">
        <f>Index!$C$2</f>
        <v/>
      </c>
      <c r="K49" s="43">
        <f>IF(AND( C20="Buy", ISBLANK(W20), B20&lt;&gt;"DIV"), L20/sum(F20:I20), "")</f>
        <v/>
      </c>
      <c r="L49" s="44">
        <f>IF(AND( C20="Buy", ISBLANK(W20), B20&lt;&gt;"DIV"), (1-Index!$F$2*2)*((J20*D20)-(E20*D20)), "")</f>
        <v/>
      </c>
      <c r="M49" s="44">
        <f>IF(AND( C20="Buy", ISBLANK(W20), B20&lt;&gt;"DIV"), ((E20*D20)+L20), "")</f>
        <v/>
      </c>
      <c r="N49" s="45">
        <f>IF(AND( C20="Buy", ISBLANK(W20), B20&lt;&gt;"DIV"), D20, "")</f>
        <v/>
      </c>
      <c r="O49" s="43">
        <f>IF(AND( C20="Buy", ISBLANK(W20), B20&lt;&gt;"DIV", NOW()-A20 &lt; 365), P20/sum(F20:I20), "")</f>
        <v/>
      </c>
      <c r="P49" s="44">
        <f>IF(AND( C20="Buy", ISBLANK(W20), B20&lt;&gt;"DIV", NOW()-A20 &lt; 365), (1-Index!$F$2*2)*((J20*D20)-(E20*D20)), "")</f>
        <v/>
      </c>
      <c r="Q49" s="44">
        <f>IF(AND( C20="Buy", ISBLANK(W20), B20&lt;&gt;"DIV", NOW()-A20 &lt; 365), ((E20*D20)+P20), "")</f>
        <v/>
      </c>
      <c r="R49" s="44">
        <f>IF(AND( C20="Buy", ISBLANK(W20), B20&lt;&gt;"DIV", NOW()-A20 &lt; 365), D20, "")</f>
        <v/>
      </c>
      <c r="S49" s="46">
        <f>IF(AND( C20="Buy", ISBLANK(W20), B20&lt;&gt;"DIV", NOW()-A20 &gt; 365), T20/sum(F20:I20), "")</f>
        <v/>
      </c>
      <c r="T49" s="47">
        <f>IF(AND( C20="Buy", ISBLANK(W20), B20&lt;&gt;"DIV", NOW()-A20 &gt; 365), (1-Index!$F$2*2)*((J20*D20)-(E20*D20)), "")</f>
        <v/>
      </c>
      <c r="U49" s="47">
        <f>IF(AND( C20="Buy", ISBLANK(W20), B20&lt;&gt;"DIV", NOW()-A20 &gt; 365), ((E20*D20)+T20), "")</f>
        <v/>
      </c>
      <c r="V49" s="47">
        <f>IF(AND( C20="Buy", ISBLANK(W20), B20&lt;&gt;"DIV", NOW()-A20 &gt; 365), D20, "")</f>
        <v/>
      </c>
      <c r="W49" s="47" t="n"/>
      <c r="X49" s="47" t="n"/>
      <c r="Y49" s="46">
        <f>IF(AND( C20="Buy", W20&lt;&gt;"", AA20&lt;&gt;"", B20&lt;&gt;"DIV"), Z20/sum(F20:I20), "")</f>
        <v/>
      </c>
      <c r="Z49" s="47" t="n"/>
      <c r="AA49" s="47" t="n"/>
      <c r="AB49" s="48" t="n"/>
      <c r="AC49" s="44">
        <f>if(B20="DIV", F20,"")</f>
        <v/>
      </c>
      <c r="AD49" s="49" t="n"/>
    </row>
    <row r="50">
      <c r="A50" s="50" t="n">
        <v>44042</v>
      </c>
      <c r="B50" s="51" t="inlineStr">
        <is>
          <t>NSE</t>
        </is>
      </c>
      <c r="C50" s="51" t="inlineStr">
        <is>
          <t>Sell</t>
        </is>
      </c>
      <c r="D50" s="55" t="n">
        <v>50</v>
      </c>
      <c r="E50" s="54" t="n">
        <v>475.72</v>
      </c>
      <c r="F50" s="53" t="n">
        <v>23785.87</v>
      </c>
      <c r="G50" s="51" t="inlineStr">
        <is>
          <t>~</t>
        </is>
      </c>
      <c r="H50" s="52" t="n">
        <v>24.24</v>
      </c>
      <c r="I50" s="52" t="n">
        <v>142.39</v>
      </c>
      <c r="J50" s="42">
        <f>Index!$C$2</f>
        <v/>
      </c>
      <c r="K50" s="43">
        <f>IF(AND( C21="Buy", ISBLANK(W21), B21&lt;&gt;"DIV"), L21/sum(F21:I21), "")</f>
        <v/>
      </c>
      <c r="L50" s="44">
        <f>IF(AND( C21="Buy", ISBLANK(W21), B21&lt;&gt;"DIV"), (1-Index!$F$2*2)*((J21*D21)-(E21*D21)), "")</f>
        <v/>
      </c>
      <c r="M50" s="44">
        <f>IF(AND( C21="Buy", ISBLANK(W21), B21&lt;&gt;"DIV"), ((E21*D21)+L21), "")</f>
        <v/>
      </c>
      <c r="N50" s="45">
        <f>IF(AND( C21="Buy", ISBLANK(W21), B21&lt;&gt;"DIV"), D21, "")</f>
        <v/>
      </c>
      <c r="O50" s="43">
        <f>IF(AND( C21="Buy", ISBLANK(W21), B21&lt;&gt;"DIV", NOW()-A21 &lt; 365), P21/sum(F21:I21), "")</f>
        <v/>
      </c>
      <c r="P50" s="44">
        <f>IF(AND( C21="Buy", ISBLANK(W21), B21&lt;&gt;"DIV", NOW()-A21 &lt; 365), (1-Index!$F$2*2)*((J21*D21)-(E21*D21)), "")</f>
        <v/>
      </c>
      <c r="Q50" s="44">
        <f>IF(AND( C21="Buy", ISBLANK(W21), B21&lt;&gt;"DIV", NOW()-A21 &lt; 365), ((E21*D21)+P21), "")</f>
        <v/>
      </c>
      <c r="R50" s="44">
        <f>IF(AND( C21="Buy", ISBLANK(W21), B21&lt;&gt;"DIV", NOW()-A21 &lt; 365), D21, "")</f>
        <v/>
      </c>
      <c r="S50" s="46">
        <f>IF(AND( C21="Buy", ISBLANK(W21), B21&lt;&gt;"DIV", NOW()-A21 &gt; 365), T21/sum(F21:I21), "")</f>
        <v/>
      </c>
      <c r="T50" s="47">
        <f>IF(AND( C21="Buy", ISBLANK(W21), B21&lt;&gt;"DIV", NOW()-A21 &gt; 365), (1-Index!$F$2*2)*((J21*D21)-(E21*D21)), "")</f>
        <v/>
      </c>
      <c r="U50" s="47">
        <f>IF(AND( C21="Buy", ISBLANK(W21), B21&lt;&gt;"DIV", NOW()-A21 &gt; 365), ((E21*D21)+T21), "")</f>
        <v/>
      </c>
      <c r="V50" s="47">
        <f>IF(AND( C21="Buy", ISBLANK(W21), B21&lt;&gt;"DIV", NOW()-A21 &gt; 365), D21, "")</f>
        <v/>
      </c>
      <c r="W50" s="47" t="n"/>
      <c r="X50" s="47" t="n"/>
      <c r="Y50" s="46">
        <f>IF(AND( C21="Buy", W21&lt;&gt;"", AA21&lt;&gt;"", B21&lt;&gt;"DIV"), Z21/sum(F21:I21), "")</f>
        <v/>
      </c>
      <c r="Z50" s="47" t="n"/>
      <c r="AA50" s="47" t="n"/>
      <c r="AB50" s="48" t="n"/>
      <c r="AC50" s="44">
        <f>if(B21="DIV", F21,"")</f>
        <v/>
      </c>
      <c r="AD50" s="49" t="n"/>
    </row>
    <row r="51">
      <c r="A51" s="50" t="n">
        <v>44041</v>
      </c>
      <c r="B51" s="51" t="inlineStr">
        <is>
          <t>NSE</t>
        </is>
      </c>
      <c r="C51" s="51" t="inlineStr">
        <is>
          <t>Sell</t>
        </is>
      </c>
      <c r="D51" s="55" t="n">
        <v>50</v>
      </c>
      <c r="E51" s="54" t="n">
        <v>471.75</v>
      </c>
      <c r="F51" s="53" t="n">
        <v>23587.4</v>
      </c>
      <c r="G51" s="51" t="inlineStr">
        <is>
          <t>~</t>
        </is>
      </c>
      <c r="H51" s="52" t="n">
        <v>24</v>
      </c>
      <c r="I51" s="52" t="n">
        <v>141.1</v>
      </c>
      <c r="J51" s="42">
        <f>Index!$C$2</f>
        <v/>
      </c>
      <c r="K51" s="43">
        <f>IF(AND( C22="Buy", ISBLANK(W22), B22&lt;&gt;"DIV"), L22/sum(F22:I22), "")</f>
        <v/>
      </c>
      <c r="L51" s="44">
        <f>IF(AND( C22="Buy", ISBLANK(W22), B22&lt;&gt;"DIV"), (1-Index!$F$2*2)*((J22*D22)-(E22*D22)), "")</f>
        <v/>
      </c>
      <c r="M51" s="44">
        <f>IF(AND( C22="Buy", ISBLANK(W22), B22&lt;&gt;"DIV"), ((E22*D22)+L22), "")</f>
        <v/>
      </c>
      <c r="N51" s="45">
        <f>IF(AND( C22="Buy", ISBLANK(W22), B22&lt;&gt;"DIV"), D22, "")</f>
        <v/>
      </c>
      <c r="O51" s="43">
        <f>IF(AND( C22="Buy", ISBLANK(W22), B22&lt;&gt;"DIV", NOW()-A22 &lt; 365), P22/sum(F22:I22), "")</f>
        <v/>
      </c>
      <c r="P51" s="44">
        <f>IF(AND( C22="Buy", ISBLANK(W22), B22&lt;&gt;"DIV", NOW()-A22 &lt; 365), (1-Index!$F$2*2)*((J22*D22)-(E22*D22)), "")</f>
        <v/>
      </c>
      <c r="Q51" s="44">
        <f>IF(AND( C22="Buy", ISBLANK(W22), B22&lt;&gt;"DIV", NOW()-A22 &lt; 365), ((E22*D22)+P22), "")</f>
        <v/>
      </c>
      <c r="R51" s="44">
        <f>IF(AND( C22="Buy", ISBLANK(W22), B22&lt;&gt;"DIV", NOW()-A22 &lt; 365), D22, "")</f>
        <v/>
      </c>
      <c r="S51" s="46">
        <f>IF(AND( C22="Buy", ISBLANK(W22), B22&lt;&gt;"DIV", NOW()-A22 &gt; 365), T22/sum(F22:I22), "")</f>
        <v/>
      </c>
      <c r="T51" s="47">
        <f>IF(AND( C22="Buy", ISBLANK(W22), B22&lt;&gt;"DIV", NOW()-A22 &gt; 365), (1-Index!$F$2*2)*((J22*D22)-(E22*D22)), "")</f>
        <v/>
      </c>
      <c r="U51" s="47">
        <f>IF(AND( C22="Buy", ISBLANK(W22), B22&lt;&gt;"DIV", NOW()-A22 &gt; 365), ((E22*D22)+T22), "")</f>
        <v/>
      </c>
      <c r="V51" s="47">
        <f>IF(AND( C22="Buy", ISBLANK(W22), B22&lt;&gt;"DIV", NOW()-A22 &gt; 365), D22, "")</f>
        <v/>
      </c>
      <c r="W51" s="47" t="n"/>
      <c r="X51" s="47" t="n"/>
      <c r="Y51" s="46">
        <f>IF(AND( C22="Buy", W22&lt;&gt;"", AA22&lt;&gt;"", B22&lt;&gt;"DIV"), Z22/sum(F22:I22), "")</f>
        <v/>
      </c>
      <c r="Z51" s="47" t="n"/>
      <c r="AA51" s="47" t="n"/>
      <c r="AB51" s="48" t="n"/>
      <c r="AC51" s="44">
        <f>if(B22="DIV", F22,"")</f>
        <v/>
      </c>
      <c r="AD51" s="49" t="n"/>
    </row>
    <row r="52">
      <c r="A52" s="50" t="n">
        <v>44039</v>
      </c>
      <c r="B52" s="51" t="inlineStr">
        <is>
          <t>NSE</t>
        </is>
      </c>
      <c r="C52" s="51" t="inlineStr">
        <is>
          <t>Sell</t>
        </is>
      </c>
      <c r="D52" s="55" t="n">
        <v>50</v>
      </c>
      <c r="E52" s="54" t="n">
        <v>464.48</v>
      </c>
      <c r="F52" s="53" t="n">
        <v>23224.05</v>
      </c>
      <c r="G52" s="51" t="inlineStr">
        <is>
          <t>~</t>
        </is>
      </c>
      <c r="H52" s="52" t="n">
        <v>23</v>
      </c>
      <c r="I52" s="52" t="n">
        <v>138.9</v>
      </c>
      <c r="J52" s="42">
        <f>Index!$C$2</f>
        <v/>
      </c>
      <c r="K52" s="43">
        <f>IF(AND( C23="Buy", ISBLANK(W23), B23&lt;&gt;"DIV"), L23/sum(F23:I23), "")</f>
        <v/>
      </c>
      <c r="L52" s="44">
        <f>IF(AND( C23="Buy", ISBLANK(W23), B23&lt;&gt;"DIV"), (1-Index!$F$2*2)*((J23*D23)-(E23*D23)), "")</f>
        <v/>
      </c>
      <c r="M52" s="44">
        <f>IF(AND( C23="Buy", ISBLANK(W23), B23&lt;&gt;"DIV"), ((E23*D23)+L23), "")</f>
        <v/>
      </c>
      <c r="N52" s="45">
        <f>IF(AND( C23="Buy", ISBLANK(W23), B23&lt;&gt;"DIV"), D23, "")</f>
        <v/>
      </c>
      <c r="O52" s="43">
        <f>IF(AND( C23="Buy", ISBLANK(W23), B23&lt;&gt;"DIV", NOW()-A23 &lt; 365), P23/sum(F23:I23), "")</f>
        <v/>
      </c>
      <c r="P52" s="44">
        <f>IF(AND( C23="Buy", ISBLANK(W23), B23&lt;&gt;"DIV", NOW()-A23 &lt; 365), (1-Index!$F$2*2)*((J23*D23)-(E23*D23)), "")</f>
        <v/>
      </c>
      <c r="Q52" s="44">
        <f>IF(AND( C23="Buy", ISBLANK(W23), B23&lt;&gt;"DIV", NOW()-A23 &lt; 365), ((E23*D23)+P23), "")</f>
        <v/>
      </c>
      <c r="R52" s="44">
        <f>IF(AND( C23="Buy", ISBLANK(W23), B23&lt;&gt;"DIV", NOW()-A23 &lt; 365), D23, "")</f>
        <v/>
      </c>
      <c r="S52" s="46">
        <f>IF(AND( C23="Buy", ISBLANK(W23), B23&lt;&gt;"DIV", NOW()-A23 &gt; 365), T23/sum(F23:I23), "")</f>
        <v/>
      </c>
      <c r="T52" s="47">
        <f>IF(AND( C23="Buy", ISBLANK(W23), B23&lt;&gt;"DIV", NOW()-A23 &gt; 365), (1-Index!$F$2*2)*((J23*D23)-(E23*D23)), "")</f>
        <v/>
      </c>
      <c r="U52" s="47">
        <f>IF(AND( C23="Buy", ISBLANK(W23), B23&lt;&gt;"DIV", NOW()-A23 &gt; 365), ((E23*D23)+T23), "")</f>
        <v/>
      </c>
      <c r="V52" s="47">
        <f>IF(AND( C23="Buy", ISBLANK(W23), B23&lt;&gt;"DIV", NOW()-A23 &gt; 365), D23, "")</f>
        <v/>
      </c>
      <c r="W52" s="47" t="n"/>
      <c r="X52" s="47" t="n"/>
      <c r="Y52" s="46">
        <f>IF(AND( C23="Buy", W23&lt;&gt;"", AA23&lt;&gt;"", B23&lt;&gt;"DIV"), Z23/sum(F23:I23), "")</f>
        <v/>
      </c>
      <c r="Z52" s="47" t="n"/>
      <c r="AA52" s="47" t="n"/>
      <c r="AB52" s="48" t="n"/>
      <c r="AC52" s="44">
        <f>if(B23="DIV", F23,"")</f>
        <v/>
      </c>
      <c r="AD52" s="49" t="n"/>
    </row>
    <row r="53">
      <c r="A53" s="50" t="n">
        <v>44036</v>
      </c>
      <c r="B53" s="51" t="inlineStr">
        <is>
          <t>NSE</t>
        </is>
      </c>
      <c r="C53" s="51" t="inlineStr">
        <is>
          <t>Sell</t>
        </is>
      </c>
      <c r="D53" s="55" t="n">
        <v>50</v>
      </c>
      <c r="E53" s="54" t="n">
        <v>447.39</v>
      </c>
      <c r="F53" s="53" t="n">
        <v>22369.41</v>
      </c>
      <c r="G53" s="51" t="inlineStr">
        <is>
          <t>~</t>
        </is>
      </c>
      <c r="H53" s="52" t="n">
        <v>22.73</v>
      </c>
      <c r="I53" s="52" t="n">
        <v>135.36</v>
      </c>
      <c r="J53" s="42">
        <f>Index!$C$2</f>
        <v/>
      </c>
      <c r="K53" s="43">
        <f>IF(AND( C24="Buy", ISBLANK(W24), B24&lt;&gt;"DIV"), L24/sum(F24:I24), "")</f>
        <v/>
      </c>
      <c r="L53" s="44">
        <f>IF(AND( C24="Buy", ISBLANK(W24), B24&lt;&gt;"DIV"), (1-Index!$F$2*2)*((J24*D24)-(E24*D24)), "")</f>
        <v/>
      </c>
      <c r="M53" s="44">
        <f>IF(AND( C24="Buy", ISBLANK(W24), B24&lt;&gt;"DIV"), ((E24*D24)+L24), "")</f>
        <v/>
      </c>
      <c r="N53" s="45">
        <f>IF(AND( C24="Buy", ISBLANK(W24), B24&lt;&gt;"DIV"), D24, "")</f>
        <v/>
      </c>
      <c r="O53" s="43">
        <f>IF(AND( C24="Buy", ISBLANK(W24), B24&lt;&gt;"DIV", NOW()-A24 &lt; 365), P24/sum(F24:I24), "")</f>
        <v/>
      </c>
      <c r="P53" s="44">
        <f>IF(AND( C24="Buy", ISBLANK(W24), B24&lt;&gt;"DIV", NOW()-A24 &lt; 365), (1-Index!$F$2*2)*((J24*D24)-(E24*D24)), "")</f>
        <v/>
      </c>
      <c r="Q53" s="44">
        <f>IF(AND( C24="Buy", ISBLANK(W24), B24&lt;&gt;"DIV", NOW()-A24 &lt; 365), ((E24*D24)+P24), "")</f>
        <v/>
      </c>
      <c r="R53" s="44">
        <f>IF(AND( C24="Buy", ISBLANK(W24), B24&lt;&gt;"DIV", NOW()-A24 &lt; 365), D24, "")</f>
        <v/>
      </c>
      <c r="S53" s="46">
        <f>IF(AND( C24="Buy", ISBLANK(W24), B24&lt;&gt;"DIV", NOW()-A24 &gt; 365), T24/sum(F24:I24), "")</f>
        <v/>
      </c>
      <c r="T53" s="47">
        <f>IF(AND( C24="Buy", ISBLANK(W24), B24&lt;&gt;"DIV", NOW()-A24 &gt; 365), (1-Index!$F$2*2)*((J24*D24)-(E24*D24)), "")</f>
        <v/>
      </c>
      <c r="U53" s="47">
        <f>IF(AND( C24="Buy", ISBLANK(W24), B24&lt;&gt;"DIV", NOW()-A24 &gt; 365), ((E24*D24)+T24), "")</f>
        <v/>
      </c>
      <c r="V53" s="47">
        <f>IF(AND( C24="Buy", ISBLANK(W24), B24&lt;&gt;"DIV", NOW()-A24 &gt; 365), D24, "")</f>
        <v/>
      </c>
      <c r="W53" s="47" t="n"/>
      <c r="X53" s="47" t="n"/>
      <c r="Y53" s="46">
        <f>IF(AND( C24="Buy", W24&lt;&gt;"", AA24&lt;&gt;"", B24&lt;&gt;"DIV"), Z24/sum(F24:I24), "")</f>
        <v/>
      </c>
      <c r="Z53" s="47" t="n"/>
      <c r="AA53" s="47" t="n"/>
      <c r="AB53" s="48" t="n"/>
      <c r="AC53" s="44">
        <f>if(B24="DIV", F24,"")</f>
        <v/>
      </c>
      <c r="AD53" s="49" t="n"/>
    </row>
    <row r="54">
      <c r="A54" s="50" t="n">
        <v>44025</v>
      </c>
      <c r="B54" s="51" t="inlineStr">
        <is>
          <t>NSE</t>
        </is>
      </c>
      <c r="C54" s="51" t="inlineStr">
        <is>
          <t>Sell</t>
        </is>
      </c>
      <c r="D54" s="55" t="n">
        <v>50</v>
      </c>
      <c r="E54" s="54" t="n">
        <v>437.94</v>
      </c>
      <c r="F54" s="53" t="n">
        <v>21896.98</v>
      </c>
      <c r="G54" s="51" t="inlineStr">
        <is>
          <t>~</t>
        </is>
      </c>
      <c r="H54" s="52" t="n">
        <v>21.87</v>
      </c>
      <c r="I54" s="52" t="n">
        <v>131.15</v>
      </c>
      <c r="J54" s="42">
        <f>Index!$C$2</f>
        <v/>
      </c>
      <c r="K54" s="43">
        <f>IF(AND( C25="Buy", ISBLANK(W25), B25&lt;&gt;"DIV"), L25/sum(F25:I25), "")</f>
        <v/>
      </c>
      <c r="L54" s="44">
        <f>IF(AND( C25="Buy", ISBLANK(W25), B25&lt;&gt;"DIV"), (1-Index!$F$2*2)*((J25*D25)-(E25*D25)), "")</f>
        <v/>
      </c>
      <c r="M54" s="44">
        <f>IF(AND( C25="Buy", ISBLANK(W25), B25&lt;&gt;"DIV"), ((E25*D25)+L25), "")</f>
        <v/>
      </c>
      <c r="N54" s="45">
        <f>IF(AND( C25="Buy", ISBLANK(W25), B25&lt;&gt;"DIV"), D25, "")</f>
        <v/>
      </c>
      <c r="O54" s="43">
        <f>IF(AND( C25="Buy", ISBLANK(W25), B25&lt;&gt;"DIV", NOW()-A25 &lt; 365), P25/sum(F25:I25), "")</f>
        <v/>
      </c>
      <c r="P54" s="44">
        <f>IF(AND( C25="Buy", ISBLANK(W25), B25&lt;&gt;"DIV", NOW()-A25 &lt; 365), (1-Index!$F$2*2)*((J25*D25)-(E25*D25)), "")</f>
        <v/>
      </c>
      <c r="Q54" s="44">
        <f>IF(AND( C25="Buy", ISBLANK(W25), B25&lt;&gt;"DIV", NOW()-A25 &lt; 365), ((E25*D25)+P25), "")</f>
        <v/>
      </c>
      <c r="R54" s="44">
        <f>IF(AND( C25="Buy", ISBLANK(W25), B25&lt;&gt;"DIV", NOW()-A25 &lt; 365), D25, "")</f>
        <v/>
      </c>
      <c r="S54" s="46">
        <f>IF(AND( C25="Buy", ISBLANK(W25), B25&lt;&gt;"DIV", NOW()-A25 &gt; 365), T25/sum(F25:I25), "")</f>
        <v/>
      </c>
      <c r="T54" s="47">
        <f>IF(AND( C25="Buy", ISBLANK(W25), B25&lt;&gt;"DIV", NOW()-A25 &gt; 365), (1-Index!$F$2*2)*((J25*D25)-(E25*D25)), "")</f>
        <v/>
      </c>
      <c r="U54" s="47">
        <f>IF(AND( C25="Buy", ISBLANK(W25), B25&lt;&gt;"DIV", NOW()-A25 &gt; 365), ((E25*D25)+T25), "")</f>
        <v/>
      </c>
      <c r="V54" s="47">
        <f>IF(AND( C25="Buy", ISBLANK(W25), B25&lt;&gt;"DIV", NOW()-A25 &gt; 365), D25, "")</f>
        <v/>
      </c>
      <c r="W54" s="47" t="n"/>
      <c r="X54" s="47" t="n"/>
      <c r="Y54" s="46">
        <f>IF(AND( C25="Buy", W25&lt;&gt;"", AA25&lt;&gt;"", B25&lt;&gt;"DIV"), Z25/sum(F25:I25), "")</f>
        <v/>
      </c>
      <c r="Z54" s="47" t="n"/>
      <c r="AA54" s="47" t="n"/>
      <c r="AB54" s="48" t="n"/>
      <c r="AC54" s="44">
        <f>if(B25="DIV", F25,"")</f>
        <v/>
      </c>
      <c r="AD54" s="49" t="n"/>
    </row>
    <row r="55">
      <c r="A55" s="50" t="n">
        <v>43881</v>
      </c>
      <c r="B55" s="51" t="inlineStr">
        <is>
          <t>NSE</t>
        </is>
      </c>
      <c r="C55" s="51" t="inlineStr">
        <is>
          <t>Buy</t>
        </is>
      </c>
      <c r="D55" s="52" t="n">
        <v>10</v>
      </c>
      <c r="E55" s="53" t="n">
        <v>310.47</v>
      </c>
      <c r="F55" s="53" t="n">
        <v>3104.69</v>
      </c>
      <c r="G55" s="51" t="inlineStr">
        <is>
          <t>~</t>
        </is>
      </c>
      <c r="H55" s="52" t="n">
        <v>3.12</v>
      </c>
      <c r="I55" s="52" t="n">
        <v>18.57</v>
      </c>
      <c r="J55" s="42">
        <f>Index!$C$2</f>
        <v/>
      </c>
      <c r="K55" s="47" t="n"/>
      <c r="L55" s="47">
        <f>IF(AND( C26="Buy", ISBLANK(W26), B26&lt;&gt;"DIV"), (1-Index!$F$2*2)*((J26*D26)-(E26*D26)), "")</f>
        <v/>
      </c>
      <c r="M55" s="56">
        <f>IF(AND( C26="Buy", ISBLANK(W26), B26&lt;&gt;"DIV"), ((E26*D26)+L26), "")</f>
        <v/>
      </c>
      <c r="N55" s="57">
        <f>IF(AND( C26="Buy", ISBLANK(W26), B26&lt;&gt;"DIV"), D26, "")</f>
        <v/>
      </c>
      <c r="O55" s="56" t="n"/>
      <c r="P55" s="47">
        <f>IF(AND( C26="Buy", ISBLANK(W26), B26&lt;&gt;"DIV", NOW()-A26 &lt; 365), (1-Index!$F$2*2)*((J26*D26)-(E26*D26)), "")</f>
        <v/>
      </c>
      <c r="Q55" s="56">
        <f>IF(AND( C26="Buy", ISBLANK(W26), B26&lt;&gt;"DIV", NOW()-A26 &lt; 365), ((E26*D26)+P26), "")</f>
        <v/>
      </c>
      <c r="R55" s="56">
        <f>IF(AND( C26="Buy", ISBLANK(W26), B26&lt;&gt;"DIV", NOW()-A26 &lt; 365), D26, "")</f>
        <v/>
      </c>
      <c r="S55" s="56" t="n"/>
      <c r="T55" s="56">
        <f>IF(AND( C26="Buy", ISBLANK(W26), B26&lt;&gt;"DIV", NOW()-A26 &gt; 365), (J26*D26)-(E26*D26)-(2*sum(H26:I26)), "")</f>
        <v/>
      </c>
      <c r="U55" s="56">
        <f>IF(AND( C26="Buy", ISBLANK(W26), B26&lt;&gt;"DIV", NOW()-A26 &gt; 365), ((E26*D26)+T26), "")</f>
        <v/>
      </c>
      <c r="V55" s="56">
        <f>IF(AND( C26="Buy", ISBLANK(W26), B26&lt;&gt;"DIV", NOW()-A26 &gt; 365), D26, "")</f>
        <v/>
      </c>
      <c r="W55" s="53" t="n">
        <v>476.52</v>
      </c>
      <c r="X55" s="50" t="n">
        <v>44075</v>
      </c>
      <c r="Y55" s="46">
        <f>IF(AND( C26="Buy", W26&lt;&gt;"", AA26&lt;&gt;"", B26&lt;&gt;"DIV"), Z26/sum(F26:I26), "")</f>
        <v/>
      </c>
      <c r="Z55" s="58">
        <f>(1-Index!$F$2*2)*((W26*D26)-(E26*D26))</f>
        <v/>
      </c>
      <c r="AA55" s="58">
        <f>((E26*D26)+Z26)</f>
        <v/>
      </c>
      <c r="AB55" s="59">
        <f>D26</f>
        <v/>
      </c>
      <c r="AC55" s="44">
        <f>if(B26="DIV", F26,"")</f>
        <v/>
      </c>
      <c r="AD55" s="49" t="n"/>
      <c r="AE55" s="60" t="n"/>
      <c r="AF55" s="60" t="n"/>
      <c r="AG55" s="60" t="n"/>
      <c r="AH55" s="60" t="n"/>
      <c r="AI55" s="60" t="n"/>
      <c r="AJ55" s="60" t="n"/>
      <c r="AK55" s="60" t="n"/>
      <c r="AL55" s="60" t="n"/>
      <c r="AM55" s="60" t="n"/>
      <c r="AN55" s="60" t="n"/>
      <c r="AO55" s="60" t="n"/>
      <c r="AP55" s="60" t="n"/>
    </row>
    <row r="56">
      <c r="A56" s="50" t="n">
        <v>43865</v>
      </c>
      <c r="B56" s="51" t="inlineStr">
        <is>
          <t>NSE</t>
        </is>
      </c>
      <c r="C56" s="51" t="inlineStr">
        <is>
          <t>Buy</t>
        </is>
      </c>
      <c r="D56" s="52" t="n">
        <v>10</v>
      </c>
      <c r="E56" s="53" t="n">
        <v>315.21</v>
      </c>
      <c r="F56" s="53" t="n">
        <v>3152.1</v>
      </c>
      <c r="G56" s="51" t="inlineStr">
        <is>
          <t>~</t>
        </is>
      </c>
      <c r="H56" s="52" t="n">
        <v>3.19</v>
      </c>
      <c r="I56" s="52" t="n">
        <v>18.91</v>
      </c>
      <c r="J56" s="42">
        <f>Index!$C$2</f>
        <v/>
      </c>
      <c r="K56" s="47" t="n"/>
      <c r="L56" s="47">
        <f>IF(AND( C27="Buy", ISBLANK(W27), B27&lt;&gt;"DIV"), (1-Index!$F$2*2)*((J27*D27)-(E27*D27)), "")</f>
        <v/>
      </c>
      <c r="M56" s="56">
        <f>IF(AND( C27="Buy", ISBLANK(W27), B27&lt;&gt;"DIV"), ((E27*D27)+L27), "")</f>
        <v/>
      </c>
      <c r="N56" s="57">
        <f>IF(AND( C27="Buy", ISBLANK(W27), B27&lt;&gt;"DIV"), D27, "")</f>
        <v/>
      </c>
      <c r="O56" s="56" t="n"/>
      <c r="P56" s="47">
        <f>IF(AND( C27="Buy", ISBLANK(W27), B27&lt;&gt;"DIV", NOW()-A27 &lt; 365), (1-Index!$F$2*2)*((J27*D27)-(E27*D27)), "")</f>
        <v/>
      </c>
      <c r="Q56" s="56">
        <f>IF(AND( C27="Buy", ISBLANK(W27), B27&lt;&gt;"DIV", NOW()-A27 &lt; 365), ((E27*D27)+P27), "")</f>
        <v/>
      </c>
      <c r="R56" s="56">
        <f>IF(AND( C27="Buy", ISBLANK(W27), B27&lt;&gt;"DIV", NOW()-A27 &lt; 365), D27, "")</f>
        <v/>
      </c>
      <c r="S56" s="56" t="n"/>
      <c r="T56" s="56">
        <f>IF(AND( C27="Buy", ISBLANK(W27), B27&lt;&gt;"DIV", NOW()-A27 &gt; 365), (J27*D27)-(E27*D27)-(2*sum(H27:I27)), "")</f>
        <v/>
      </c>
      <c r="U56" s="56">
        <f>IF(AND( C27="Buy", ISBLANK(W27), B27&lt;&gt;"DIV", NOW()-A27 &gt; 365), ((E27*D27)+T27), "")</f>
        <v/>
      </c>
      <c r="V56" s="56">
        <f>IF(AND( C27="Buy", ISBLANK(W27), B27&lt;&gt;"DIV", NOW()-A27 &gt; 365), D27, "")</f>
        <v/>
      </c>
      <c r="W56" s="53" t="n">
        <v>476.52</v>
      </c>
      <c r="X56" s="50" t="n">
        <v>44075</v>
      </c>
      <c r="Y56" s="46">
        <f>IF(AND( C27="Buy", W27&lt;&gt;"", AA27&lt;&gt;"", B27&lt;&gt;"DIV"), Z27/sum(F27:I27), "")</f>
        <v/>
      </c>
      <c r="Z56" s="58">
        <f>(1-Index!$F$2*2)*((W27*D27)-(E27*D27))</f>
        <v/>
      </c>
      <c r="AA56" s="58">
        <f>((E27*D27)+Z27)</f>
        <v/>
      </c>
      <c r="AB56" s="59">
        <f>D27</f>
        <v/>
      </c>
      <c r="AC56" s="44">
        <f>if(B27="DIV", F27,"")</f>
        <v/>
      </c>
      <c r="AD56" s="49" t="n"/>
      <c r="AE56" s="60" t="n"/>
      <c r="AF56" s="60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0" t="n"/>
      <c r="AP56" s="60" t="n"/>
    </row>
    <row r="57">
      <c r="A57" s="50" t="n">
        <v>43864</v>
      </c>
      <c r="B57" s="51" t="inlineStr">
        <is>
          <t>NSE</t>
        </is>
      </c>
      <c r="C57" s="51" t="inlineStr">
        <is>
          <t>Buy</t>
        </is>
      </c>
      <c r="D57" s="52" t="n">
        <v>10</v>
      </c>
      <c r="E57" s="53" t="n">
        <v>318.07</v>
      </c>
      <c r="F57" s="53" t="n">
        <v>3180.66</v>
      </c>
      <c r="G57" s="51" t="inlineStr">
        <is>
          <t>~</t>
        </is>
      </c>
      <c r="H57" s="52" t="n">
        <v>3.16</v>
      </c>
      <c r="I57" s="52" t="n">
        <v>19</v>
      </c>
      <c r="J57" s="42">
        <f>Index!$C$2</f>
        <v/>
      </c>
      <c r="K57" s="47" t="n"/>
      <c r="L57" s="47">
        <f>IF(AND( C28="Buy", ISBLANK(W28), B28&lt;&gt;"DIV"), (1-Index!$F$2*2)*((J28*D28)-(E28*D28)), "")</f>
        <v/>
      </c>
      <c r="M57" s="56">
        <f>IF(AND( C28="Buy", ISBLANK(W28), B28&lt;&gt;"DIV"), ((E28*D28)+L28), "")</f>
        <v/>
      </c>
      <c r="N57" s="57">
        <f>IF(AND( C28="Buy", ISBLANK(W28), B28&lt;&gt;"DIV"), D28, "")</f>
        <v/>
      </c>
      <c r="O57" s="56" t="n"/>
      <c r="P57" s="47">
        <f>IF(AND( C28="Buy", ISBLANK(W28), B28&lt;&gt;"DIV", NOW()-A28 &lt; 365), (1-Index!$F$2*2)*((J28*D28)-(E28*D28)), "")</f>
        <v/>
      </c>
      <c r="Q57" s="56">
        <f>IF(AND( C28="Buy", ISBLANK(W28), B28&lt;&gt;"DIV", NOW()-A28 &lt; 365), ((E28*D28)+P28), "")</f>
        <v/>
      </c>
      <c r="R57" s="56">
        <f>IF(AND( C28="Buy", ISBLANK(W28), B28&lt;&gt;"DIV", NOW()-A28 &lt; 365), D28, "")</f>
        <v/>
      </c>
      <c r="S57" s="56" t="n"/>
      <c r="T57" s="56">
        <f>IF(AND( C28="Buy", ISBLANK(W28), B28&lt;&gt;"DIV", NOW()-A28 &gt; 365), (J28*D28)-(E28*D28)-(2*sum(H28:I28)), "")</f>
        <v/>
      </c>
      <c r="U57" s="56">
        <f>IF(AND( C28="Buy", ISBLANK(W28), B28&lt;&gt;"DIV", NOW()-A28 &gt; 365), ((E28*D28)+T28), "")</f>
        <v/>
      </c>
      <c r="V57" s="56">
        <f>IF(AND( C28="Buy", ISBLANK(W28), B28&lt;&gt;"DIV", NOW()-A28 &gt; 365), D28, "")</f>
        <v/>
      </c>
      <c r="W57" s="53" t="n">
        <v>476.52</v>
      </c>
      <c r="X57" s="50" t="n">
        <v>44075</v>
      </c>
      <c r="Y57" s="46">
        <f>IF(AND( C28="Buy", W28&lt;&gt;"", AA28&lt;&gt;"", B28&lt;&gt;"DIV"), Z28/sum(F28:I28), "")</f>
        <v/>
      </c>
      <c r="Z57" s="58">
        <f>(1-Index!$F$2*2)*((W28*D28)-(E28*D28))</f>
        <v/>
      </c>
      <c r="AA57" s="58">
        <f>((E28*D28)+Z28)</f>
        <v/>
      </c>
      <c r="AB57" s="59">
        <f>D28</f>
        <v/>
      </c>
      <c r="AC57" s="44">
        <f>if(B28="DIV", F28,"")</f>
        <v/>
      </c>
      <c r="AD57" s="49" t="n"/>
      <c r="AE57" s="60" t="n"/>
      <c r="AF57" s="60" t="n"/>
      <c r="AG57" s="60" t="n"/>
      <c r="AH57" s="60" t="n"/>
      <c r="AI57" s="60" t="n"/>
      <c r="AJ57" s="60" t="n"/>
      <c r="AK57" s="60" t="n"/>
      <c r="AL57" s="60" t="n"/>
      <c r="AM57" s="60" t="n"/>
      <c r="AN57" s="60" t="n"/>
      <c r="AO57" s="60" t="n"/>
      <c r="AP57" s="60" t="n"/>
    </row>
    <row r="58">
      <c r="A58" s="50" t="n">
        <v>43860</v>
      </c>
      <c r="B58" s="51" t="inlineStr">
        <is>
          <t>NSE</t>
        </is>
      </c>
      <c r="C58" s="51" t="inlineStr">
        <is>
          <t>Buy</t>
        </is>
      </c>
      <c r="D58" s="52" t="n">
        <v>10</v>
      </c>
      <c r="E58" s="53" t="n">
        <v>314.54</v>
      </c>
      <c r="F58" s="53" t="n">
        <v>3145.39</v>
      </c>
      <c r="G58" s="51" t="inlineStr">
        <is>
          <t>~</t>
        </is>
      </c>
      <c r="H58" s="52" t="n">
        <v>3.08</v>
      </c>
      <c r="I58" s="52" t="n">
        <v>18.81</v>
      </c>
      <c r="J58" s="42">
        <f>Index!$C$2</f>
        <v/>
      </c>
      <c r="K58" s="47" t="n"/>
      <c r="L58" s="47">
        <f>IF(AND( C29="Buy", ISBLANK(W29), B29&lt;&gt;"DIV"), (1-Index!$F$2*2)*((J29*D29)-(E29*D29)), "")</f>
        <v/>
      </c>
      <c r="M58" s="56">
        <f>IF(AND( C29="Buy", ISBLANK(W29), B29&lt;&gt;"DIV"), ((E29*D29)+L29), "")</f>
        <v/>
      </c>
      <c r="N58" s="57">
        <f>IF(AND( C29="Buy", ISBLANK(W29), B29&lt;&gt;"DIV"), D29, "")</f>
        <v/>
      </c>
      <c r="O58" s="56" t="n"/>
      <c r="P58" s="47">
        <f>IF(AND( C29="Buy", ISBLANK(W29), B29&lt;&gt;"DIV", NOW()-A29 &lt; 365), (1-Index!$F$2*2)*((J29*D29)-(E29*D29)), "")</f>
        <v/>
      </c>
      <c r="Q58" s="56">
        <f>IF(AND( C29="Buy", ISBLANK(W29), B29&lt;&gt;"DIV", NOW()-A29 &lt; 365), ((E29*D29)+P29), "")</f>
        <v/>
      </c>
      <c r="R58" s="56">
        <f>IF(AND( C29="Buy", ISBLANK(W29), B29&lt;&gt;"DIV", NOW()-A29 &lt; 365), D29, "")</f>
        <v/>
      </c>
      <c r="S58" s="56" t="n"/>
      <c r="T58" s="56">
        <f>IF(AND( C29="Buy", ISBLANK(W29), B29&lt;&gt;"DIV", NOW()-A29 &gt; 365), (J29*D29)-(E29*D29)-(2*sum(H29:I29)), "")</f>
        <v/>
      </c>
      <c r="U58" s="56">
        <f>IF(AND( C29="Buy", ISBLANK(W29), B29&lt;&gt;"DIV", NOW()-A29 &gt; 365), ((E29*D29)+T29), "")</f>
        <v/>
      </c>
      <c r="V58" s="56">
        <f>IF(AND( C29="Buy", ISBLANK(W29), B29&lt;&gt;"DIV", NOW()-A29 &gt; 365), D29, "")</f>
        <v/>
      </c>
      <c r="W58" s="53" t="n">
        <v>489.63</v>
      </c>
      <c r="X58" s="50" t="n">
        <v>44055</v>
      </c>
      <c r="Y58" s="46">
        <f>IF(AND( C29="Buy", W29&lt;&gt;"", AA29&lt;&gt;"", B29&lt;&gt;"DIV"), Z29/sum(F29:I29), "")</f>
        <v/>
      </c>
      <c r="Z58" s="58">
        <f>(1-Index!$F$2*2)*((W29*D29)-(E29*D29))</f>
        <v/>
      </c>
      <c r="AA58" s="58">
        <f>((E29*D29)+Z29)</f>
        <v/>
      </c>
      <c r="AB58" s="59">
        <f>D29</f>
        <v/>
      </c>
      <c r="AC58" s="44">
        <f>if(B29="DIV", F29,"")</f>
        <v/>
      </c>
      <c r="AD58" s="49" t="n"/>
      <c r="AE58" s="60" t="n"/>
      <c r="AF58" s="60" t="n"/>
      <c r="AG58" s="60" t="n"/>
      <c r="AH58" s="60" t="n"/>
      <c r="AI58" s="60" t="n"/>
      <c r="AJ58" s="60" t="n"/>
      <c r="AK58" s="60" t="n"/>
      <c r="AL58" s="60" t="n"/>
      <c r="AM58" s="60" t="n"/>
      <c r="AN58" s="60" t="n"/>
      <c r="AO58" s="60" t="n"/>
      <c r="AP58" s="60" t="n"/>
    </row>
    <row r="59">
      <c r="A59" s="50" t="n">
        <v>43846</v>
      </c>
      <c r="B59" s="51" t="inlineStr">
        <is>
          <t>NSE</t>
        </is>
      </c>
      <c r="C59" s="51" t="inlineStr">
        <is>
          <t>Buy</t>
        </is>
      </c>
      <c r="D59" s="52" t="n">
        <v>10</v>
      </c>
      <c r="E59" s="53" t="n">
        <v>312.23</v>
      </c>
      <c r="F59" s="53" t="n">
        <v>3122.32</v>
      </c>
      <c r="G59" s="51" t="inlineStr">
        <is>
          <t>~</t>
        </is>
      </c>
      <c r="H59" s="52" t="n">
        <v>3.16</v>
      </c>
      <c r="I59" s="52" t="n">
        <v>18.66</v>
      </c>
      <c r="J59" s="42">
        <f>Index!$C$2</f>
        <v/>
      </c>
      <c r="K59" s="47" t="n"/>
      <c r="L59" s="47">
        <f>IF(AND( C30="Buy", ISBLANK(W30), B30&lt;&gt;"DIV"), (1-Index!$F$2*2)*((J30*D30)-(E30*D30)), "")</f>
        <v/>
      </c>
      <c r="M59" s="56">
        <f>IF(AND( C30="Buy", ISBLANK(W30), B30&lt;&gt;"DIV"), ((E30*D30)+L30), "")</f>
        <v/>
      </c>
      <c r="N59" s="57">
        <f>IF(AND( C30="Buy", ISBLANK(W30), B30&lt;&gt;"DIV"), D30, "")</f>
        <v/>
      </c>
      <c r="O59" s="56" t="n"/>
      <c r="P59" s="47">
        <f>IF(AND( C30="Buy", ISBLANK(W30), B30&lt;&gt;"DIV", NOW()-A30 &lt; 365), (1-Index!$F$2*2)*((J30*D30)-(E30*D30)), "")</f>
        <v/>
      </c>
      <c r="Q59" s="56">
        <f>IF(AND( C30="Buy", ISBLANK(W30), B30&lt;&gt;"DIV", NOW()-A30 &lt; 365), ((E30*D30)+P30), "")</f>
        <v/>
      </c>
      <c r="R59" s="56">
        <f>IF(AND( C30="Buy", ISBLANK(W30), B30&lt;&gt;"DIV", NOW()-A30 &lt; 365), D30, "")</f>
        <v/>
      </c>
      <c r="S59" s="56" t="n"/>
      <c r="T59" s="56">
        <f>IF(AND( C30="Buy", ISBLANK(W30), B30&lt;&gt;"DIV", NOW()-A30 &gt; 365), (J30*D30)-(E30*D30)-(2*sum(H30:I30)), "")</f>
        <v/>
      </c>
      <c r="U59" s="56">
        <f>IF(AND( C30="Buy", ISBLANK(W30), B30&lt;&gt;"DIV", NOW()-A30 &gt; 365), ((E30*D30)+T30), "")</f>
        <v/>
      </c>
      <c r="V59" s="56">
        <f>IF(AND( C30="Buy", ISBLANK(W30), B30&lt;&gt;"DIV", NOW()-A30 &gt; 365), D30, "")</f>
        <v/>
      </c>
      <c r="W59" s="53" t="n">
        <v>470.08</v>
      </c>
      <c r="X59" s="50" t="n">
        <v>44050</v>
      </c>
      <c r="Y59" s="46">
        <f>IF(AND( C30="Buy", W30&lt;&gt;"", AA30&lt;&gt;"", B30&lt;&gt;"DIV"), Z30/sum(F30:I30), "")</f>
        <v/>
      </c>
      <c r="Z59" s="58">
        <f>(1-Index!$F$2*2)*((W30*D30)-(E30*D30))</f>
        <v/>
      </c>
      <c r="AA59" s="58">
        <f>((E30*D30)+Z30)</f>
        <v/>
      </c>
      <c r="AB59" s="59">
        <f>D30</f>
        <v/>
      </c>
      <c r="AC59" s="44">
        <f>if(B30="DIV", F30,"")</f>
        <v/>
      </c>
      <c r="AD59" s="49" t="n"/>
      <c r="AE59" s="60" t="n"/>
      <c r="AF59" s="60" t="n"/>
      <c r="AG59" s="60" t="n"/>
      <c r="AH59" s="60" t="n"/>
      <c r="AI59" s="60" t="n"/>
      <c r="AJ59" s="60" t="n"/>
      <c r="AK59" s="60" t="n"/>
      <c r="AL59" s="60" t="n"/>
      <c r="AM59" s="60" t="n"/>
      <c r="AN59" s="60" t="n"/>
      <c r="AO59" s="60" t="n"/>
      <c r="AP59" s="60" t="n"/>
    </row>
    <row r="60">
      <c r="A60" s="50" t="n">
        <v>43845</v>
      </c>
      <c r="B60" s="51" t="inlineStr">
        <is>
          <t>NSE</t>
        </is>
      </c>
      <c r="C60" s="51" t="inlineStr">
        <is>
          <t>Buy</t>
        </is>
      </c>
      <c r="D60" s="52" t="n">
        <v>20</v>
      </c>
      <c r="E60" s="53" t="n">
        <v>311.98</v>
      </c>
      <c r="F60" s="53" t="n">
        <v>6239.57</v>
      </c>
      <c r="G60" s="51" t="inlineStr">
        <is>
          <t>~</t>
        </is>
      </c>
      <c r="H60" s="52" t="n">
        <v>6.22</v>
      </c>
      <c r="I60" s="52" t="n">
        <v>37.35</v>
      </c>
      <c r="J60" s="42">
        <f>Index!$C$2</f>
        <v/>
      </c>
      <c r="K60" s="47" t="n"/>
      <c r="L60" s="47">
        <f>IF(AND( C31="Buy", ISBLANK(W31), B31&lt;&gt;"DIV"), (1-Index!$F$2*2)*((J31*D31)-(E31*D31)), "")</f>
        <v/>
      </c>
      <c r="M60" s="56">
        <f>IF(AND( C31="Buy", ISBLANK(W31), B31&lt;&gt;"DIV"), ((E31*D31)+L31), "")</f>
        <v/>
      </c>
      <c r="N60" s="57">
        <f>IF(AND( C31="Buy", ISBLANK(W31), B31&lt;&gt;"DIV"), D31, "")</f>
        <v/>
      </c>
      <c r="O60" s="56" t="n"/>
      <c r="P60" s="47">
        <f>IF(AND( C31="Buy", ISBLANK(W31), B31&lt;&gt;"DIV", NOW()-A31 &lt; 365), (1-Index!$F$2*2)*((J31*D31)-(E31*D31)), "")</f>
        <v/>
      </c>
      <c r="Q60" s="56">
        <f>IF(AND( C31="Buy", ISBLANK(W31), B31&lt;&gt;"DIV", NOW()-A31 &lt; 365), ((E31*D31)+P31), "")</f>
        <v/>
      </c>
      <c r="R60" s="56">
        <f>IF(AND( C31="Buy", ISBLANK(W31), B31&lt;&gt;"DIV", NOW()-A31 &lt; 365), D31, "")</f>
        <v/>
      </c>
      <c r="S60" s="56" t="n"/>
      <c r="T60" s="56">
        <f>IF(AND( C31="Buy", ISBLANK(W31), B31&lt;&gt;"DIV", NOW()-A31 &gt; 365), (J31*D31)-(E31*D31)-(2*sum(H31:I31)), "")</f>
        <v/>
      </c>
      <c r="U60" s="56">
        <f>IF(AND( C31="Buy", ISBLANK(W31), B31&lt;&gt;"DIV", NOW()-A31 &gt; 365), ((E31*D31)+T31), "")</f>
        <v/>
      </c>
      <c r="V60" s="56">
        <f>IF(AND( C31="Buy", ISBLANK(W31), B31&lt;&gt;"DIV", NOW()-A31 &gt; 365), D31, "")</f>
        <v/>
      </c>
      <c r="W60" s="53" t="n">
        <v>489.63</v>
      </c>
      <c r="X60" s="50" t="n">
        <v>44055</v>
      </c>
      <c r="Y60" s="46">
        <f>IF(AND( C31="Buy", W31&lt;&gt;"", AA31&lt;&gt;"", B31&lt;&gt;"DIV"), Z31/sum(F31:I31), "")</f>
        <v/>
      </c>
      <c r="Z60" s="58">
        <f>(1-Index!$F$2*2)*((W31*D31)-(E31*D31))</f>
        <v/>
      </c>
      <c r="AA60" s="58">
        <f>((E31*D31)+Z31)</f>
        <v/>
      </c>
      <c r="AB60" s="59">
        <f>D31</f>
        <v/>
      </c>
      <c r="AC60" s="44">
        <f>if(B31="DIV", F31,"")</f>
        <v/>
      </c>
      <c r="AD60" s="49" t="n"/>
      <c r="AE60" s="60" t="n"/>
      <c r="AF60" s="60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0" t="n"/>
      <c r="AP60" s="60" t="n"/>
    </row>
    <row r="61">
      <c r="A61" s="50" t="n">
        <v>43844</v>
      </c>
      <c r="B61" s="51" t="inlineStr">
        <is>
          <t>NSE</t>
        </is>
      </c>
      <c r="C61" s="51" t="inlineStr">
        <is>
          <t>Buy</t>
        </is>
      </c>
      <c r="D61" s="52" t="n">
        <v>20</v>
      </c>
      <c r="E61" s="53" t="n">
        <v>313.54</v>
      </c>
      <c r="F61" s="53" t="n">
        <v>6270.73</v>
      </c>
      <c r="G61" s="51" t="inlineStr">
        <is>
          <t>~</t>
        </is>
      </c>
      <c r="H61" s="52" t="n">
        <v>6.19</v>
      </c>
      <c r="I61" s="52" t="n">
        <v>37.54</v>
      </c>
      <c r="J61" s="42">
        <f>Index!$C$2</f>
        <v/>
      </c>
      <c r="K61" s="47" t="n"/>
      <c r="L61" s="47">
        <f>IF(AND( C32="Buy", ISBLANK(W32), B32&lt;&gt;"DIV"), (1-Index!$F$2*2)*((J32*D32)-(E32*D32)), "")</f>
        <v/>
      </c>
      <c r="M61" s="56">
        <f>IF(AND( C32="Buy", ISBLANK(W32), B32&lt;&gt;"DIV"), ((E32*D32)+L32), "")</f>
        <v/>
      </c>
      <c r="N61" s="57">
        <f>IF(AND( C32="Buy", ISBLANK(W32), B32&lt;&gt;"DIV"), D32, "")</f>
        <v/>
      </c>
      <c r="O61" s="56" t="n"/>
      <c r="P61" s="47">
        <f>IF(AND( C32="Buy", ISBLANK(W32), B32&lt;&gt;"DIV", NOW()-A32 &lt; 365), (1-Index!$F$2*2)*((J32*D32)-(E32*D32)), "")</f>
        <v/>
      </c>
      <c r="Q61" s="56">
        <f>IF(AND( C32="Buy", ISBLANK(W32), B32&lt;&gt;"DIV", NOW()-A32 &lt; 365), ((E32*D32)+P32), "")</f>
        <v/>
      </c>
      <c r="R61" s="56">
        <f>IF(AND( C32="Buy", ISBLANK(W32), B32&lt;&gt;"DIV", NOW()-A32 &lt; 365), D32, "")</f>
        <v/>
      </c>
      <c r="S61" s="56" t="n"/>
      <c r="T61" s="56">
        <f>IF(AND( C32="Buy", ISBLANK(W32), B32&lt;&gt;"DIV", NOW()-A32 &gt; 365), (J32*D32)-(E32*D32)-(2*sum(H32:I32)), "")</f>
        <v/>
      </c>
      <c r="U61" s="56">
        <f>IF(AND( C32="Buy", ISBLANK(W32), B32&lt;&gt;"DIV", NOW()-A32 &gt; 365), ((E32*D32)+T32), "")</f>
        <v/>
      </c>
      <c r="V61" s="56">
        <f>IF(AND( C32="Buy", ISBLANK(W32), B32&lt;&gt;"DIV", NOW()-A32 &gt; 365), D32, "")</f>
        <v/>
      </c>
      <c r="W61" s="53" t="n">
        <v>489.63</v>
      </c>
      <c r="X61" s="50" t="n">
        <v>44055</v>
      </c>
      <c r="Y61" s="46">
        <f>IF(AND( C32="Buy", W32&lt;&gt;"", AA32&lt;&gt;"", B32&lt;&gt;"DIV"), Z32/sum(F32:I32), "")</f>
        <v/>
      </c>
      <c r="Z61" s="58">
        <f>(1-Index!$F$2*2)*((W32*D32)-(E32*D32))</f>
        <v/>
      </c>
      <c r="AA61" s="58">
        <f>((E32*D32)+Z32)</f>
        <v/>
      </c>
      <c r="AB61" s="59">
        <f>D32</f>
        <v/>
      </c>
      <c r="AC61" s="44">
        <f>if(B32="DIV", F32,"")</f>
        <v/>
      </c>
      <c r="AD61" s="49" t="n"/>
      <c r="AE61" s="60" t="n"/>
      <c r="AF61" s="60" t="n"/>
      <c r="AG61" s="60" t="n"/>
      <c r="AH61" s="60" t="n"/>
      <c r="AI61" s="60" t="n"/>
      <c r="AJ61" s="60" t="n"/>
      <c r="AK61" s="60" t="n"/>
      <c r="AL61" s="60" t="n"/>
      <c r="AM61" s="60" t="n"/>
      <c r="AN61" s="60" t="n"/>
      <c r="AO61" s="60" t="n"/>
      <c r="AP61" s="60" t="n"/>
    </row>
    <row r="62">
      <c r="A62" s="50" t="n">
        <v>43838</v>
      </c>
      <c r="B62" s="51" t="inlineStr">
        <is>
          <t>NSE</t>
        </is>
      </c>
      <c r="C62" s="51" t="inlineStr">
        <is>
          <t>Buy</t>
        </is>
      </c>
      <c r="D62" s="52" t="n">
        <v>10</v>
      </c>
      <c r="E62" s="53" t="n">
        <v>312.31</v>
      </c>
      <c r="F62" s="53" t="n">
        <v>3123.14</v>
      </c>
      <c r="G62" s="51" t="inlineStr">
        <is>
          <t>~</t>
        </is>
      </c>
      <c r="H62" s="52" t="n">
        <v>2.51</v>
      </c>
      <c r="I62" s="52" t="n">
        <v>18.63</v>
      </c>
      <c r="J62" s="42">
        <f>Index!$C$2</f>
        <v/>
      </c>
      <c r="K62" s="47" t="n"/>
      <c r="L62" s="47">
        <f>IF(AND( C33="Buy", ISBLANK(W33), B33&lt;&gt;"DIV"), (1-Index!$F$2*2)*((J33*D33)-(E33*D33)), "")</f>
        <v/>
      </c>
      <c r="M62" s="56">
        <f>IF(AND( C33="Buy", ISBLANK(W33), B33&lt;&gt;"DIV"), ((E33*D33)+L33), "")</f>
        <v/>
      </c>
      <c r="N62" s="57">
        <f>IF(AND( C33="Buy", ISBLANK(W33), B33&lt;&gt;"DIV"), D33, "")</f>
        <v/>
      </c>
      <c r="O62" s="56" t="n"/>
      <c r="P62" s="47">
        <f>IF(AND( C33="Buy", ISBLANK(W33), B33&lt;&gt;"DIV", NOW()-A33 &lt; 365), (1-Index!$F$2*2)*((J33*D33)-(E33*D33)), "")</f>
        <v/>
      </c>
      <c r="Q62" s="56">
        <f>IF(AND( C33="Buy", ISBLANK(W33), B33&lt;&gt;"DIV", NOW()-A33 &lt; 365), ((E33*D33)+P33), "")</f>
        <v/>
      </c>
      <c r="R62" s="56">
        <f>IF(AND( C33="Buy", ISBLANK(W33), B33&lt;&gt;"DIV", NOW()-A33 &lt; 365), D33, "")</f>
        <v/>
      </c>
      <c r="S62" s="56" t="n"/>
      <c r="T62" s="56">
        <f>IF(AND( C33="Buy", ISBLANK(W33), B33&lt;&gt;"DIV", NOW()-A33 &gt; 365), (J33*D33)-(E33*D33)-(2*sum(H33:I33)), "")</f>
        <v/>
      </c>
      <c r="U62" s="56">
        <f>IF(AND( C33="Buy", ISBLANK(W33), B33&lt;&gt;"DIV", NOW()-A33 &gt; 365), ((E33*D33)+T33), "")</f>
        <v/>
      </c>
      <c r="V62" s="56">
        <f>IF(AND( C33="Buy", ISBLANK(W33), B33&lt;&gt;"DIV", NOW()-A33 &gt; 365), D33, "")</f>
        <v/>
      </c>
      <c r="W62" s="53" t="n">
        <v>470.08</v>
      </c>
      <c r="X62" s="50" t="n">
        <v>44050</v>
      </c>
      <c r="Y62" s="46">
        <f>IF(AND( C33="Buy", W33&lt;&gt;"", AA33&lt;&gt;"", B33&lt;&gt;"DIV"), Z33/sum(F33:I33), "")</f>
        <v/>
      </c>
      <c r="Z62" s="58">
        <f>(1-Index!$F$2*2)*((W33*D33)-(E33*D33))</f>
        <v/>
      </c>
      <c r="AA62" s="58">
        <f>((E33*D33)+Z33)</f>
        <v/>
      </c>
      <c r="AB62" s="59">
        <f>D33</f>
        <v/>
      </c>
      <c r="AC62" s="44">
        <f>if(B33="DIV", F33,"")</f>
        <v/>
      </c>
      <c r="AD62" s="49" t="n"/>
      <c r="AE62" s="60" t="n"/>
      <c r="AF62" s="60" t="n"/>
      <c r="AG62" s="60" t="n"/>
      <c r="AH62" s="60" t="n"/>
      <c r="AI62" s="60" t="n"/>
      <c r="AJ62" s="60" t="n"/>
      <c r="AK62" s="60" t="n"/>
      <c r="AL62" s="60" t="n"/>
      <c r="AM62" s="60" t="n"/>
      <c r="AN62" s="60" t="n"/>
      <c r="AO62" s="60" t="n"/>
      <c r="AP62" s="60" t="n"/>
    </row>
    <row r="63">
      <c r="A63" s="50" t="n">
        <v>43837</v>
      </c>
      <c r="B63" s="51" t="inlineStr">
        <is>
          <t>NSE</t>
        </is>
      </c>
      <c r="C63" s="51" t="inlineStr">
        <is>
          <t>Buy</t>
        </is>
      </c>
      <c r="D63" s="52" t="n">
        <v>20</v>
      </c>
      <c r="E63" s="53" t="n">
        <v>310.55</v>
      </c>
      <c r="F63" s="53" t="n">
        <v>6210.95</v>
      </c>
      <c r="G63" s="51" t="inlineStr">
        <is>
          <t>~</t>
        </is>
      </c>
      <c r="H63" s="52" t="n">
        <v>2.45</v>
      </c>
      <c r="I63" s="52" t="n">
        <v>37</v>
      </c>
      <c r="J63" s="42">
        <f>Index!$C$2</f>
        <v/>
      </c>
      <c r="K63" s="47" t="n"/>
      <c r="L63" s="47">
        <f>IF(AND( C34="Buy", ISBLANK(W34), B34&lt;&gt;"DIV"), (1-Index!$F$2*2)*((J34*D34)-(E34*D34)), "")</f>
        <v/>
      </c>
      <c r="M63" s="56">
        <f>IF(AND( C34="Buy", ISBLANK(W34), B34&lt;&gt;"DIV"), ((E34*D34)+L34), "")</f>
        <v/>
      </c>
      <c r="N63" s="57">
        <f>IF(AND( C34="Buy", ISBLANK(W34), B34&lt;&gt;"DIV"), D34, "")</f>
        <v/>
      </c>
      <c r="O63" s="56" t="n"/>
      <c r="P63" s="47">
        <f>IF(AND( C34="Buy", ISBLANK(W34), B34&lt;&gt;"DIV", NOW()-A34 &lt; 365), (1-Index!$F$2*2)*((J34*D34)-(E34*D34)), "")</f>
        <v/>
      </c>
      <c r="Q63" s="56">
        <f>IF(AND( C34="Buy", ISBLANK(W34), B34&lt;&gt;"DIV", NOW()-A34 &lt; 365), ((E34*D34)+P34), "")</f>
        <v/>
      </c>
      <c r="R63" s="56">
        <f>IF(AND( C34="Buy", ISBLANK(W34), B34&lt;&gt;"DIV", NOW()-A34 &lt; 365), D34, "")</f>
        <v/>
      </c>
      <c r="S63" s="56" t="n"/>
      <c r="T63" s="56">
        <f>IF(AND( C34="Buy", ISBLANK(W34), B34&lt;&gt;"DIV", NOW()-A34 &gt; 365), (J34*D34)-(E34*D34)-(2*sum(H34:I34)), "")</f>
        <v/>
      </c>
      <c r="U63" s="56">
        <f>IF(AND( C34="Buy", ISBLANK(W34), B34&lt;&gt;"DIV", NOW()-A34 &gt; 365), ((E34*D34)+T34), "")</f>
        <v/>
      </c>
      <c r="V63" s="56">
        <f>IF(AND( C34="Buy", ISBLANK(W34), B34&lt;&gt;"DIV", NOW()-A34 &gt; 365), D34, "")</f>
        <v/>
      </c>
      <c r="W63" s="53" t="n">
        <v>470.08</v>
      </c>
      <c r="X63" s="50" t="n">
        <v>44050</v>
      </c>
      <c r="Y63" s="46">
        <f>IF(AND( C34="Buy", W34&lt;&gt;"", AA34&lt;&gt;"", B34&lt;&gt;"DIV"), Z34/sum(F34:I34), "")</f>
        <v/>
      </c>
      <c r="Z63" s="58">
        <f>(1-Index!$F$2*2)*((W34*D34)-(E34*D34))</f>
        <v/>
      </c>
      <c r="AA63" s="58">
        <f>((E34*D34)+Z34)</f>
        <v/>
      </c>
      <c r="AB63" s="59">
        <f>D34</f>
        <v/>
      </c>
      <c r="AC63" s="44">
        <f>if(B34="DIV", F34,"")</f>
        <v/>
      </c>
      <c r="AD63" s="49" t="n"/>
      <c r="AE63" s="60" t="n"/>
      <c r="AF63" s="60" t="n"/>
      <c r="AG63" s="60" t="n"/>
      <c r="AH63" s="60" t="n"/>
      <c r="AI63" s="60" t="n"/>
      <c r="AJ63" s="60" t="n"/>
      <c r="AK63" s="60" t="n"/>
      <c r="AL63" s="60" t="n"/>
      <c r="AM63" s="60" t="n"/>
      <c r="AN63" s="60" t="n"/>
      <c r="AO63" s="60" t="n"/>
      <c r="AP63" s="60" t="n"/>
    </row>
    <row r="64">
      <c r="A64" s="50" t="n">
        <v>43836</v>
      </c>
      <c r="B64" s="51" t="inlineStr">
        <is>
          <t>NSE</t>
        </is>
      </c>
      <c r="C64" s="51" t="inlineStr">
        <is>
          <t>Buy</t>
        </is>
      </c>
      <c r="D64" s="52" t="n">
        <v>10</v>
      </c>
      <c r="E64" s="53" t="n">
        <v>322.16</v>
      </c>
      <c r="F64" s="53" t="n">
        <v>3221.56</v>
      </c>
      <c r="G64" s="51" t="inlineStr">
        <is>
          <t>~</t>
        </is>
      </c>
      <c r="H64" s="52" t="n">
        <v>3.15</v>
      </c>
      <c r="I64" s="52" t="n">
        <v>19.41</v>
      </c>
      <c r="J64" s="42">
        <f>Index!$C$2</f>
        <v/>
      </c>
      <c r="K64" s="47" t="n"/>
      <c r="L64" s="47">
        <f>IF(AND( C35="Buy", ISBLANK(W35), B35&lt;&gt;"DIV"), (1-Index!$F$2*2)*((J35*D35)-(E35*D35)), "")</f>
        <v/>
      </c>
      <c r="M64" s="56">
        <f>IF(AND( C35="Buy", ISBLANK(W35), B35&lt;&gt;"DIV"), ((E35*D35)+L35), "")</f>
        <v/>
      </c>
      <c r="N64" s="57">
        <f>IF(AND( C35="Buy", ISBLANK(W35), B35&lt;&gt;"DIV"), D35, "")</f>
        <v/>
      </c>
      <c r="O64" s="56" t="n"/>
      <c r="P64" s="47">
        <f>IF(AND( C35="Buy", ISBLANK(W35), B35&lt;&gt;"DIV", NOW()-A35 &lt; 365), (1-Index!$F$2*2)*((J35*D35)-(E35*D35)), "")</f>
        <v/>
      </c>
      <c r="Q64" s="56">
        <f>IF(AND( C35="Buy", ISBLANK(W35), B35&lt;&gt;"DIV", NOW()-A35 &lt; 365), ((E35*D35)+P35), "")</f>
        <v/>
      </c>
      <c r="R64" s="56">
        <f>IF(AND( C35="Buy", ISBLANK(W35), B35&lt;&gt;"DIV", NOW()-A35 &lt; 365), D35, "")</f>
        <v/>
      </c>
      <c r="S64" s="56" t="n"/>
      <c r="T64" s="56">
        <f>IF(AND( C35="Buy", ISBLANK(W35), B35&lt;&gt;"DIV", NOW()-A35 &gt; 365), (J35*D35)-(E35*D35)-(2*sum(H35:I35)), "")</f>
        <v/>
      </c>
      <c r="U64" s="56">
        <f>IF(AND( C35="Buy", ISBLANK(W35), B35&lt;&gt;"DIV", NOW()-A35 &gt; 365), ((E35*D35)+T35), "")</f>
        <v/>
      </c>
      <c r="V64" s="56">
        <f>IF(AND( C35="Buy", ISBLANK(W35), B35&lt;&gt;"DIV", NOW()-A35 &gt; 365), D35, "")</f>
        <v/>
      </c>
      <c r="W64" s="53" t="n">
        <v>470.08</v>
      </c>
      <c r="X64" s="50" t="n">
        <v>44050</v>
      </c>
      <c r="Y64" s="46">
        <f>IF(AND( C35="Buy", W35&lt;&gt;"", AA35&lt;&gt;"", B35&lt;&gt;"DIV"), Z35/sum(F35:I35), "")</f>
        <v/>
      </c>
      <c r="Z64" s="58">
        <f>(1-Index!$F$2*2)*((W35*D35)-(E35*D35))</f>
        <v/>
      </c>
      <c r="AA64" s="58">
        <f>((E35*D35)+Z35)</f>
        <v/>
      </c>
      <c r="AB64" s="59">
        <f>D35</f>
        <v/>
      </c>
      <c r="AC64" s="44">
        <f>if(B35="DIV", F35,"")</f>
        <v/>
      </c>
      <c r="AD64" s="49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</row>
    <row r="65">
      <c r="A65" s="50" t="n">
        <v>43832</v>
      </c>
      <c r="B65" s="51" t="inlineStr">
        <is>
          <t>NSE</t>
        </is>
      </c>
      <c r="C65" s="51" t="inlineStr">
        <is>
          <t>Buy</t>
        </is>
      </c>
      <c r="D65" s="52" t="n">
        <v>10</v>
      </c>
      <c r="E65" s="53" t="n">
        <v>323.7</v>
      </c>
      <c r="F65" s="53" t="n">
        <v>3237.01</v>
      </c>
      <c r="G65" s="51" t="inlineStr">
        <is>
          <t>~</t>
        </is>
      </c>
      <c r="H65" s="52" t="n">
        <v>3.17</v>
      </c>
      <c r="I65" s="52" t="n">
        <v>19.34</v>
      </c>
      <c r="J65" s="42">
        <f>Index!$C$2</f>
        <v/>
      </c>
      <c r="K65" s="47" t="n"/>
      <c r="L65" s="47">
        <f>IF(AND( C36="Buy", ISBLANK(W36), B36&lt;&gt;"DIV"), (1-Index!$F$2*2)*((J36*D36)-(E36*D36)), "")</f>
        <v/>
      </c>
      <c r="M65" s="56">
        <f>IF(AND( C36="Buy", ISBLANK(W36), B36&lt;&gt;"DIV"), ((E36*D36)+L36), "")</f>
        <v/>
      </c>
      <c r="N65" s="57">
        <f>IF(AND( C36="Buy", ISBLANK(W36), B36&lt;&gt;"DIV"), D36, "")</f>
        <v/>
      </c>
      <c r="O65" s="56" t="n"/>
      <c r="P65" s="47">
        <f>IF(AND( C36="Buy", ISBLANK(W36), B36&lt;&gt;"DIV", NOW()-A36 &lt; 365), (1-Index!$F$2*2)*((J36*D36)-(E36*D36)), "")</f>
        <v/>
      </c>
      <c r="Q65" s="56">
        <f>IF(AND( C36="Buy", ISBLANK(W36), B36&lt;&gt;"DIV", NOW()-A36 &lt; 365), ((E36*D36)+P36), "")</f>
        <v/>
      </c>
      <c r="R65" s="56">
        <f>IF(AND( C36="Buy", ISBLANK(W36), B36&lt;&gt;"DIV", NOW()-A36 &lt; 365), D36, "")</f>
        <v/>
      </c>
      <c r="S65" s="56" t="n"/>
      <c r="T65" s="56">
        <f>IF(AND( C36="Buy", ISBLANK(W36), B36&lt;&gt;"DIV", NOW()-A36 &gt; 365), (J36*D36)-(E36*D36)-(2*sum(H36:I36)), "")</f>
        <v/>
      </c>
      <c r="U65" s="56">
        <f>IF(AND( C36="Buy", ISBLANK(W36), B36&lt;&gt;"DIV", NOW()-A36 &gt; 365), ((E36*D36)+T36), "")</f>
        <v/>
      </c>
      <c r="V65" s="56">
        <f>IF(AND( C36="Buy", ISBLANK(W36), B36&lt;&gt;"DIV", NOW()-A36 &gt; 365), D36, "")</f>
        <v/>
      </c>
      <c r="W65" s="53" t="n">
        <v>467.35</v>
      </c>
      <c r="X65" s="50" t="n">
        <v>44049</v>
      </c>
      <c r="Y65" s="46">
        <f>IF(AND( C36="Buy", W36&lt;&gt;"", AA36&lt;&gt;"", B36&lt;&gt;"DIV"), Z36/sum(F36:I36), "")</f>
        <v/>
      </c>
      <c r="Z65" s="58">
        <f>(1-Index!$F$2*2)*((W36*D36)-(E36*D36))</f>
        <v/>
      </c>
      <c r="AA65" s="58">
        <f>((E36*D36)+Z36)</f>
        <v/>
      </c>
      <c r="AB65" s="59">
        <f>D36</f>
        <v/>
      </c>
      <c r="AC65" s="44">
        <f>if(B36="DIV", F36,"")</f>
        <v/>
      </c>
      <c r="AD65" s="49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</row>
    <row r="66">
      <c r="A66" s="50" t="n">
        <v>43831</v>
      </c>
      <c r="B66" s="51" t="inlineStr">
        <is>
          <t>NSE</t>
        </is>
      </c>
      <c r="C66" s="51" t="inlineStr">
        <is>
          <t>Buy</t>
        </is>
      </c>
      <c r="D66" s="52" t="n">
        <v>10</v>
      </c>
      <c r="E66" s="53" t="n">
        <v>324.56</v>
      </c>
      <c r="F66" s="53" t="n">
        <v>3245.58</v>
      </c>
      <c r="G66" s="51" t="inlineStr">
        <is>
          <t>~</t>
        </is>
      </c>
      <c r="H66" s="52" t="n">
        <v>3.24</v>
      </c>
      <c r="I66" s="52" t="n">
        <v>19.34</v>
      </c>
      <c r="J66" s="42">
        <f>Index!$C$2</f>
        <v/>
      </c>
      <c r="K66" s="47" t="n"/>
      <c r="L66" s="47">
        <f>IF(AND( C37="Buy", ISBLANK(W37), B37&lt;&gt;"DIV"), (1-Index!$F$2*2)*((J37*D37)-(E37*D37)), "")</f>
        <v/>
      </c>
      <c r="M66" s="56">
        <f>IF(AND( C37="Buy", ISBLANK(W37), B37&lt;&gt;"DIV"), ((E37*D37)+L37), "")</f>
        <v/>
      </c>
      <c r="N66" s="57">
        <f>IF(AND( C37="Buy", ISBLANK(W37), B37&lt;&gt;"DIV"), D37, "")</f>
        <v/>
      </c>
      <c r="O66" s="56" t="n"/>
      <c r="P66" s="47">
        <f>IF(AND( C37="Buy", ISBLANK(W37), B37&lt;&gt;"DIV", NOW()-A37 &lt; 365), (1-Index!$F$2*2)*((J37*D37)-(E37*D37)), "")</f>
        <v/>
      </c>
      <c r="Q66" s="56">
        <f>IF(AND( C37="Buy", ISBLANK(W37), B37&lt;&gt;"DIV", NOW()-A37 &lt; 365), ((E37*D37)+P37), "")</f>
        <v/>
      </c>
      <c r="R66" s="56">
        <f>IF(AND( C37="Buy", ISBLANK(W37), B37&lt;&gt;"DIV", NOW()-A37 &lt; 365), D37, "")</f>
        <v/>
      </c>
      <c r="S66" s="56" t="n"/>
      <c r="T66" s="56">
        <f>IF(AND( C37="Buy", ISBLANK(W37), B37&lt;&gt;"DIV", NOW()-A37 &gt; 365), (J37*D37)-(E37*D37)-(2*sum(H37:I37)), "")</f>
        <v/>
      </c>
      <c r="U66" s="56">
        <f>IF(AND( C37="Buy", ISBLANK(W37), B37&lt;&gt;"DIV", NOW()-A37 &gt; 365), ((E37*D37)+T37), "")</f>
        <v/>
      </c>
      <c r="V66" s="56">
        <f>IF(AND( C37="Buy", ISBLANK(W37), B37&lt;&gt;"DIV", NOW()-A37 &gt; 365), D37, "")</f>
        <v/>
      </c>
      <c r="W66" s="53" t="n">
        <v>467.35</v>
      </c>
      <c r="X66" s="50" t="n">
        <v>44049</v>
      </c>
      <c r="Y66" s="46">
        <f>IF(AND( C37="Buy", W37&lt;&gt;"", AA37&lt;&gt;"", B37&lt;&gt;"DIV"), Z37/sum(F37:I37), "")</f>
        <v/>
      </c>
      <c r="Z66" s="58">
        <f>(1-Index!$F$2*2)*((W37*D37)-(E37*D37))</f>
        <v/>
      </c>
      <c r="AA66" s="58">
        <f>((E37*D37)+Z37)</f>
        <v/>
      </c>
      <c r="AB66" s="59">
        <f>D37</f>
        <v/>
      </c>
      <c r="AC66" s="44">
        <f>if(B37="DIV", F37,"")</f>
        <v/>
      </c>
      <c r="AD66" s="49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</row>
    <row r="67">
      <c r="A67" s="50" t="n">
        <v>43830</v>
      </c>
      <c r="B67" s="51" t="inlineStr">
        <is>
          <t>NSE</t>
        </is>
      </c>
      <c r="C67" s="51" t="inlineStr">
        <is>
          <t>Buy</t>
        </is>
      </c>
      <c r="D67" s="52" t="n">
        <v>10</v>
      </c>
      <c r="E67" s="53" t="n">
        <v>325.67</v>
      </c>
      <c r="F67" s="53" t="n">
        <v>3256.74</v>
      </c>
      <c r="G67" s="51" t="inlineStr">
        <is>
          <t>~</t>
        </is>
      </c>
      <c r="H67" s="52" t="n">
        <v>3.23</v>
      </c>
      <c r="I67" s="52" t="n">
        <v>19.51</v>
      </c>
      <c r="J67" s="42">
        <f>Index!$C$2</f>
        <v/>
      </c>
      <c r="K67" s="47" t="n"/>
      <c r="L67" s="47">
        <f>IF(AND( C38="Buy", ISBLANK(W38), B38&lt;&gt;"DIV"), (1-Index!$F$2*2)*((J38*D38)-(E38*D38)), "")</f>
        <v/>
      </c>
      <c r="M67" s="56">
        <f>IF(AND( C38="Buy", ISBLANK(W38), B38&lt;&gt;"DIV"), ((E38*D38)+L38), "")</f>
        <v/>
      </c>
      <c r="N67" s="57">
        <f>IF(AND( C38="Buy", ISBLANK(W38), B38&lt;&gt;"DIV"), D38, "")</f>
        <v/>
      </c>
      <c r="O67" s="56" t="n"/>
      <c r="P67" s="47">
        <f>IF(AND( C38="Buy", ISBLANK(W38), B38&lt;&gt;"DIV", NOW()-A38 &lt; 365), (1-Index!$F$2*2)*((J38*D38)-(E38*D38)), "")</f>
        <v/>
      </c>
      <c r="Q67" s="56">
        <f>IF(AND( C38="Buy", ISBLANK(W38), B38&lt;&gt;"DIV", NOW()-A38 &lt; 365), ((E38*D38)+P38), "")</f>
        <v/>
      </c>
      <c r="R67" s="56">
        <f>IF(AND( C38="Buy", ISBLANK(W38), B38&lt;&gt;"DIV", NOW()-A38 &lt; 365), D38, "")</f>
        <v/>
      </c>
      <c r="S67" s="56" t="n"/>
      <c r="T67" s="56">
        <f>IF(AND( C38="Buy", ISBLANK(W38), B38&lt;&gt;"DIV", NOW()-A38 &gt; 365), (J38*D38)-(E38*D38)-(2*sum(H38:I38)), "")</f>
        <v/>
      </c>
      <c r="U67" s="56">
        <f>IF(AND( C38="Buy", ISBLANK(W38), B38&lt;&gt;"DIV", NOW()-A38 &gt; 365), ((E38*D38)+T38), "")</f>
        <v/>
      </c>
      <c r="V67" s="56">
        <f>IF(AND( C38="Buy", ISBLANK(W38), B38&lt;&gt;"DIV", NOW()-A38 &gt; 365), D38, "")</f>
        <v/>
      </c>
      <c r="W67" s="53" t="n">
        <v>467.35</v>
      </c>
      <c r="X67" s="50" t="n">
        <v>44049</v>
      </c>
      <c r="Y67" s="46">
        <f>IF(AND( C38="Buy", W38&lt;&gt;"", AA38&lt;&gt;"", B38&lt;&gt;"DIV"), Z38/sum(F38:I38), "")</f>
        <v/>
      </c>
      <c r="Z67" s="58">
        <f>(1-Index!$F$2*2)*((W38*D38)-(E38*D38))</f>
        <v/>
      </c>
      <c r="AA67" s="58">
        <f>((E38*D38)+Z38)</f>
        <v/>
      </c>
      <c r="AB67" s="59">
        <f>D38</f>
        <v/>
      </c>
      <c r="AC67" s="44">
        <f>if(B38="DIV", F38,"")</f>
        <v/>
      </c>
      <c r="AD67" s="49" t="n"/>
      <c r="AE67" s="60" t="n"/>
      <c r="AF67" s="60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0" t="n"/>
      <c r="AP67" s="60" t="n"/>
    </row>
    <row r="68">
      <c r="A68" s="50" t="n">
        <v>43823</v>
      </c>
      <c r="B68" s="51" t="inlineStr">
        <is>
          <t>NSE</t>
        </is>
      </c>
      <c r="C68" s="51" t="inlineStr">
        <is>
          <t>Buy</t>
        </is>
      </c>
      <c r="D68" s="52" t="n">
        <v>10</v>
      </c>
      <c r="E68" s="53" t="n">
        <v>307.15</v>
      </c>
      <c r="F68" s="53" t="n">
        <v>3071.47</v>
      </c>
      <c r="G68" s="51" t="inlineStr">
        <is>
          <t>~</t>
        </is>
      </c>
      <c r="H68" s="52" t="n">
        <v>3.06</v>
      </c>
      <c r="I68" s="52" t="n">
        <v>18.41</v>
      </c>
      <c r="J68" s="42">
        <f>Index!$C$2</f>
        <v/>
      </c>
      <c r="K68" s="47" t="n"/>
      <c r="L68" s="47">
        <f>IF(AND( C39="Buy", ISBLANK(W39), B39&lt;&gt;"DIV"), (1-Index!$F$2*2)*((J39*D39)-(E39*D39)), "")</f>
        <v/>
      </c>
      <c r="M68" s="56">
        <f>IF(AND( C39="Buy", ISBLANK(W39), B39&lt;&gt;"DIV"), ((E39*D39)+L39), "")</f>
        <v/>
      </c>
      <c r="N68" s="57">
        <f>IF(AND( C39="Buy", ISBLANK(W39), B39&lt;&gt;"DIV"), D39, "")</f>
        <v/>
      </c>
      <c r="O68" s="56" t="n"/>
      <c r="P68" s="47">
        <f>IF(AND( C39="Buy", ISBLANK(W39), B39&lt;&gt;"DIV", NOW()-A39 &lt; 365), (1-Index!$F$2*2)*((J39*D39)-(E39*D39)), "")</f>
        <v/>
      </c>
      <c r="Q68" s="56">
        <f>IF(AND( C39="Buy", ISBLANK(W39), B39&lt;&gt;"DIV", NOW()-A39 &lt; 365), ((E39*D39)+P39), "")</f>
        <v/>
      </c>
      <c r="R68" s="56">
        <f>IF(AND( C39="Buy", ISBLANK(W39), B39&lt;&gt;"DIV", NOW()-A39 &lt; 365), D39, "")</f>
        <v/>
      </c>
      <c r="S68" s="56" t="n"/>
      <c r="T68" s="56">
        <f>IF(AND( C39="Buy", ISBLANK(W39), B39&lt;&gt;"DIV", NOW()-A39 &gt; 365), (J39*D39)-(E39*D39)-(2*sum(H39:I39)), "")</f>
        <v/>
      </c>
      <c r="U68" s="56">
        <f>IF(AND( C39="Buy", ISBLANK(W39), B39&lt;&gt;"DIV", NOW()-A39 &gt; 365), ((E39*D39)+T39), "")</f>
        <v/>
      </c>
      <c r="V68" s="56">
        <f>IF(AND( C39="Buy", ISBLANK(W39), B39&lt;&gt;"DIV", NOW()-A39 &gt; 365), D39, "")</f>
        <v/>
      </c>
      <c r="W68" s="53" t="n">
        <v>467.35</v>
      </c>
      <c r="X68" s="50" t="n">
        <v>44049</v>
      </c>
      <c r="Y68" s="46">
        <f>IF(AND( C39="Buy", W39&lt;&gt;"", AA39&lt;&gt;"", B39&lt;&gt;"DIV"), Z39/sum(F39:I39), "")</f>
        <v/>
      </c>
      <c r="Z68" s="58">
        <f>(1-Index!$F$2*2)*((W39*D39)-(E39*D39))</f>
        <v/>
      </c>
      <c r="AA68" s="58">
        <f>((E39*D39)+Z39)</f>
        <v/>
      </c>
      <c r="AB68" s="59">
        <f>D39</f>
        <v/>
      </c>
      <c r="AC68" s="44">
        <f>if(B39="DIV", F39,"")</f>
        <v/>
      </c>
      <c r="AD68" s="49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</row>
    <row r="69">
      <c r="A69" s="50" t="n">
        <v>43822</v>
      </c>
      <c r="B69" s="51" t="inlineStr">
        <is>
          <t>NSE</t>
        </is>
      </c>
      <c r="C69" s="51" t="inlineStr">
        <is>
          <t>Buy</t>
        </is>
      </c>
      <c r="D69" s="52" t="n">
        <v>10</v>
      </c>
      <c r="E69" s="53" t="n">
        <v>312.13</v>
      </c>
      <c r="F69" s="53" t="n">
        <v>3121.27</v>
      </c>
      <c r="G69" s="51" t="inlineStr">
        <is>
          <t>~</t>
        </is>
      </c>
      <c r="H69" s="52" t="n">
        <v>3.12</v>
      </c>
      <c r="I69" s="52" t="n">
        <v>18.65</v>
      </c>
      <c r="J69" s="61" t="n"/>
      <c r="K69" s="56" t="n"/>
      <c r="L69" s="47">
        <f>IF(AND( C40="Buy", ISBLANK(W40), B40&lt;&gt;"DIV"), (1-Index!$F$2*2)*((J40*D40)-(E40*D40)), "")</f>
        <v/>
      </c>
      <c r="M69" s="56">
        <f>IF(AND( C40="Buy", ISBLANK(W40), B40&lt;&gt;"DIV"), ((E40*D40)+L40), "")</f>
        <v/>
      </c>
      <c r="N69" s="57">
        <f>IF(AND( C40="Buy", ISBLANK(W40), B40&lt;&gt;"DIV"), D40, "")</f>
        <v/>
      </c>
      <c r="O69" s="56" t="n"/>
      <c r="P69" s="47">
        <f>IF(AND( C40="Buy", ISBLANK(W40), B40&lt;&gt;"DIV", NOW()-A40 &lt; 365), (1-Index!$F$2*2)*((J40*D40)-(E40*D40)), "")</f>
        <v/>
      </c>
      <c r="Q69" s="56">
        <f>IF(AND( C40="Buy", ISBLANK(W40), B40&lt;&gt;"DIV", NOW()-A40 &lt; 365), ((E40*D40)+P40), "")</f>
        <v/>
      </c>
      <c r="R69" s="56">
        <f>IF(AND( C40="Buy", ISBLANK(W40), B40&lt;&gt;"DIV", NOW()-A40 &lt; 365), D40, "")</f>
        <v/>
      </c>
      <c r="S69" s="56" t="n"/>
      <c r="T69" s="56">
        <f>IF(AND( C40="Buy", ISBLANK(W40), B40&lt;&gt;"DIV", NOW()-A40 &gt; 365), (J40*D40)-(E40*D40)-(2*sum(H40:I40)), "")</f>
        <v/>
      </c>
      <c r="U69" s="56">
        <f>IF(AND( C40="Buy", ISBLANK(W40), B40&lt;&gt;"DIV", NOW()-A40 &gt; 365), ((E40*D40)+T40), "")</f>
        <v/>
      </c>
      <c r="V69" s="56">
        <f>IF(AND( C40="Buy", ISBLANK(W40), B40&lt;&gt;"DIV", NOW()-A40 &gt; 365), D40, "")</f>
        <v/>
      </c>
      <c r="W69" s="53" t="n">
        <v>467.35</v>
      </c>
      <c r="X69" s="50" t="n">
        <v>44049</v>
      </c>
      <c r="Y69" s="46">
        <f>IF(AND( C40="Buy", W40&lt;&gt;"", AA40&lt;&gt;"", B40&lt;&gt;"DIV"), Z40/sum(F40:I40), "")</f>
        <v/>
      </c>
      <c r="Z69" s="58">
        <f>(1-Index!$F$2*2)*((W40*D40)-(E40*D40))</f>
        <v/>
      </c>
      <c r="AA69" s="58">
        <f>((E40*D40)+Z40)</f>
        <v/>
      </c>
      <c r="AB69" s="59">
        <f>D40</f>
        <v/>
      </c>
      <c r="AC69" s="44">
        <f>if(B40="DIV", F40,"")</f>
        <v/>
      </c>
      <c r="AD69" s="49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</row>
    <row r="70">
      <c r="A70" s="50" t="n">
        <v>43819</v>
      </c>
      <c r="B70" s="51" t="inlineStr">
        <is>
          <t>NSE</t>
        </is>
      </c>
      <c r="C70" s="51" t="inlineStr">
        <is>
          <t>Buy</t>
        </is>
      </c>
      <c r="D70" s="52" t="n">
        <v>10</v>
      </c>
      <c r="E70" s="53" t="n">
        <v>312.18</v>
      </c>
      <c r="F70" s="53" t="n">
        <v>3121.82</v>
      </c>
      <c r="G70" s="51" t="inlineStr">
        <is>
          <t>~</t>
        </is>
      </c>
      <c r="H70" s="52" t="n">
        <v>3.13</v>
      </c>
      <c r="I70" s="52" t="n">
        <v>18.69</v>
      </c>
      <c r="J70" s="61" t="n"/>
      <c r="K70" s="56" t="n"/>
      <c r="L70" s="47">
        <f>IF(AND( C41="Buy", ISBLANK(W41), B41&lt;&gt;"DIV"), (1-Index!$F$2*2)*((J41*D41)-(E41*D41)), "")</f>
        <v/>
      </c>
      <c r="M70" s="56">
        <f>IF(AND( C41="Buy", ISBLANK(W41), B41&lt;&gt;"DIV"), ((E41*D41)+L41), "")</f>
        <v/>
      </c>
      <c r="N70" s="57">
        <f>IF(AND( C41="Buy", ISBLANK(W41), B41&lt;&gt;"DIV"), D41, "")</f>
        <v/>
      </c>
      <c r="O70" s="56" t="n"/>
      <c r="P70" s="47">
        <f>IF(AND( C41="Buy", ISBLANK(W41), B41&lt;&gt;"DIV", NOW()-A41 &lt; 365), (1-Index!$F$2*2)*((J41*D41)-(E41*D41)), "")</f>
        <v/>
      </c>
      <c r="Q70" s="56">
        <f>IF(AND( C41="Buy", ISBLANK(W41), B41&lt;&gt;"DIV", NOW()-A41 &lt; 365), ((E41*D41)+P41), "")</f>
        <v/>
      </c>
      <c r="R70" s="56">
        <f>IF(AND( C41="Buy", ISBLANK(W41), B41&lt;&gt;"DIV", NOW()-A41 &lt; 365), D41, "")</f>
        <v/>
      </c>
      <c r="S70" s="56" t="n"/>
      <c r="T70" s="56">
        <f>IF(AND( C41="Buy", ISBLANK(W41), B41&lt;&gt;"DIV", NOW()-A41 &gt; 365), (J41*D41)-(E41*D41)-(2*sum(H41:I41)), "")</f>
        <v/>
      </c>
      <c r="U70" s="56">
        <f>IF(AND( C41="Buy", ISBLANK(W41), B41&lt;&gt;"DIV", NOW()-A41 &gt; 365), ((E41*D41)+T41), "")</f>
        <v/>
      </c>
      <c r="V70" s="56">
        <f>IF(AND( C41="Buy", ISBLANK(W41), B41&lt;&gt;"DIV", NOW()-A41 &gt; 365), D41, "")</f>
        <v/>
      </c>
      <c r="W70" s="53" t="n">
        <v>464.04</v>
      </c>
      <c r="X70" s="50" t="n">
        <v>44048</v>
      </c>
      <c r="Y70" s="46">
        <f>IF(AND( C41="Buy", W41&lt;&gt;"", AA41&lt;&gt;"", B41&lt;&gt;"DIV"), Z41/sum(F41:I41), "")</f>
        <v/>
      </c>
      <c r="Z70" s="58">
        <f>(1-Index!$F$2*2)*((W41*D41)-(E41*D41))</f>
        <v/>
      </c>
      <c r="AA70" s="58">
        <f>((E41*D41)+Z41)</f>
        <v/>
      </c>
      <c r="AB70" s="59">
        <f>D41</f>
        <v/>
      </c>
      <c r="AC70" s="44">
        <f>if(B41="DIV", F41,"")</f>
        <v/>
      </c>
      <c r="AD70" s="49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</row>
    <row r="71">
      <c r="A71" s="50" t="n">
        <v>43818</v>
      </c>
      <c r="B71" s="51" t="inlineStr">
        <is>
          <t>NSE</t>
        </is>
      </c>
      <c r="C71" s="51" t="inlineStr">
        <is>
          <t>Buy</t>
        </is>
      </c>
      <c r="D71" s="52" t="n">
        <v>20</v>
      </c>
      <c r="E71" s="53" t="n">
        <v>307.22</v>
      </c>
      <c r="F71" s="53" t="n">
        <v>6144.32</v>
      </c>
      <c r="G71" s="51" t="inlineStr">
        <is>
          <t>~</t>
        </is>
      </c>
      <c r="H71" s="52" t="n">
        <v>4.52</v>
      </c>
      <c r="I71" s="52" t="n">
        <v>36.8</v>
      </c>
      <c r="J71" s="42">
        <f>Index!$C$2</f>
        <v/>
      </c>
      <c r="K71" s="47" t="n"/>
      <c r="L71" s="47">
        <f>IF(AND( C42="Buy", ISBLANK(W42), B42&lt;&gt;"DIV"), (1-Index!$F$2*2)*((J42*D42)-(E42*D42)), "")</f>
        <v/>
      </c>
      <c r="M71" s="56">
        <f>IF(AND( C42="Buy", ISBLANK(W42), B42&lt;&gt;"DIV"), ((E42*D42)+L42), "")</f>
        <v/>
      </c>
      <c r="N71" s="57">
        <f>IF(AND( C42="Buy", ISBLANK(W42), B42&lt;&gt;"DIV"), D42, "")</f>
        <v/>
      </c>
      <c r="O71" s="56" t="n"/>
      <c r="P71" s="47">
        <f>IF(AND( C42="Buy", ISBLANK(W42), B42&lt;&gt;"DIV", NOW()-A42 &lt; 365), (1-Index!$F$2*2)*((J42*D42)-(E42*D42)), "")</f>
        <v/>
      </c>
      <c r="Q71" s="56">
        <f>IF(AND( C42="Buy", ISBLANK(W42), B42&lt;&gt;"DIV", NOW()-A42 &lt; 365), ((E42*D42)+P42), "")</f>
        <v/>
      </c>
      <c r="R71" s="56">
        <f>IF(AND( C42="Buy", ISBLANK(W42), B42&lt;&gt;"DIV", NOW()-A42 &lt; 365), D42, "")</f>
        <v/>
      </c>
      <c r="S71" s="56" t="n"/>
      <c r="T71" s="56">
        <f>IF(AND( C42="Buy", ISBLANK(W42), B42&lt;&gt;"DIV", NOW()-A42 &gt; 365), (J42*D42)-(E42*D42)-(2*sum(H42:I42)), "")</f>
        <v/>
      </c>
      <c r="U71" s="56">
        <f>IF(AND( C42="Buy", ISBLANK(W42), B42&lt;&gt;"DIV", NOW()-A42 &gt; 365), ((E42*D42)+T42), "")</f>
        <v/>
      </c>
      <c r="V71" s="56">
        <f>IF(AND( C42="Buy", ISBLANK(W42), B42&lt;&gt;"DIV", NOW()-A42 &gt; 365), D42, "")</f>
        <v/>
      </c>
      <c r="W71" s="53" t="n">
        <v>464.04</v>
      </c>
      <c r="X71" s="50" t="n">
        <v>44048</v>
      </c>
      <c r="Y71" s="46">
        <f>IF(AND( C42="Buy", W42&lt;&gt;"", AA42&lt;&gt;"", B42&lt;&gt;"DIV"), Z42/sum(F42:I42), "")</f>
        <v/>
      </c>
      <c r="Z71" s="58">
        <f>(1-Index!$F$2*2)*((W42*D42)-(E42*D42))</f>
        <v/>
      </c>
      <c r="AA71" s="58">
        <f>((E42*D42)+Z42)</f>
        <v/>
      </c>
      <c r="AB71" s="59">
        <f>D42</f>
        <v/>
      </c>
      <c r="AC71" s="44">
        <f>if(B42="DIV", F42,"")</f>
        <v/>
      </c>
      <c r="AD71" s="62" t="inlineStr">
        <is>
          <t>SBI Securities</t>
        </is>
      </c>
      <c r="AE71" s="60" t="n"/>
      <c r="AF71" s="60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0" t="n"/>
      <c r="AP71" s="60" t="n"/>
    </row>
    <row r="72">
      <c r="A72" s="50" t="n">
        <v>43817</v>
      </c>
      <c r="B72" s="51" t="inlineStr">
        <is>
          <t>NSE</t>
        </is>
      </c>
      <c r="C72" s="51" t="inlineStr">
        <is>
          <t>Buy</t>
        </is>
      </c>
      <c r="D72" s="52" t="n">
        <v>20</v>
      </c>
      <c r="E72" s="53" t="n">
        <v>302.14</v>
      </c>
      <c r="F72" s="53" t="n">
        <v>6042.87</v>
      </c>
      <c r="G72" s="51" t="inlineStr">
        <is>
          <t>~</t>
        </is>
      </c>
      <c r="H72" s="52" t="n">
        <v>5.78</v>
      </c>
      <c r="I72" s="52" t="n">
        <v>36.09</v>
      </c>
      <c r="J72" s="42">
        <f>Index!$C$2</f>
        <v/>
      </c>
      <c r="K72" s="47" t="n"/>
      <c r="L72" s="47">
        <f>IF(AND( C43="Buy", ISBLANK(W43), B43&lt;&gt;"DIV"), (1-Index!$F$2*2)*((J43*D43)-(E43*D43)), "")</f>
        <v/>
      </c>
      <c r="M72" s="56">
        <f>IF(AND( C43="Buy", ISBLANK(W43), B43&lt;&gt;"DIV"), ((E43*D43)+L43), "")</f>
        <v/>
      </c>
      <c r="N72" s="57">
        <f>IF(AND( C43="Buy", ISBLANK(W43), B43&lt;&gt;"DIV"), D43, "")</f>
        <v/>
      </c>
      <c r="O72" s="56" t="n"/>
      <c r="P72" s="47">
        <f>IF(AND( C43="Buy", ISBLANK(W43), B43&lt;&gt;"DIV", NOW()-A43 &lt; 365), (1-Index!$F$2*2)*((J43*D43)-(E43*D43)), "")</f>
        <v/>
      </c>
      <c r="Q72" s="56">
        <f>IF(AND( C43="Buy", ISBLANK(W43), B43&lt;&gt;"DIV", NOW()-A43 &lt; 365), ((E43*D43)+P43), "")</f>
        <v/>
      </c>
      <c r="R72" s="56">
        <f>IF(AND( C43="Buy", ISBLANK(W43), B43&lt;&gt;"DIV", NOW()-A43 &lt; 365), D43, "")</f>
        <v/>
      </c>
      <c r="S72" s="56" t="n"/>
      <c r="T72" s="56">
        <f>IF(AND( C43="Buy", ISBLANK(W43), B43&lt;&gt;"DIV", NOW()-A43 &gt; 365), (J43*D43)-(E43*D43)-(2*sum(H43:I43)), "")</f>
        <v/>
      </c>
      <c r="U72" s="56">
        <f>IF(AND( C43="Buy", ISBLANK(W43), B43&lt;&gt;"DIV", NOW()-A43 &gt; 365), ((E43*D43)+T43), "")</f>
        <v/>
      </c>
      <c r="V72" s="56">
        <f>IF(AND( C43="Buy", ISBLANK(W43), B43&lt;&gt;"DIV", NOW()-A43 &gt; 365), D43, "")</f>
        <v/>
      </c>
      <c r="W72" s="53" t="n">
        <v>464.04</v>
      </c>
      <c r="X72" s="50" t="n">
        <v>44048</v>
      </c>
      <c r="Y72" s="46">
        <f>IF(AND( C43="Buy", W43&lt;&gt;"", AA43&lt;&gt;"", B43&lt;&gt;"DIV"), Z43/sum(F43:I43), "")</f>
        <v/>
      </c>
      <c r="Z72" s="58">
        <f>(1-Index!$F$2*2)*((W43*D43)-(E43*D43))</f>
        <v/>
      </c>
      <c r="AA72" s="58">
        <f>((E43*D43)+Z43)</f>
        <v/>
      </c>
      <c r="AB72" s="59">
        <f>D43</f>
        <v/>
      </c>
      <c r="AC72" s="44">
        <f>if(B43="DIV", F43,"")</f>
        <v/>
      </c>
      <c r="AD72" s="62" t="inlineStr">
        <is>
          <t>SBI Securities</t>
        </is>
      </c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</row>
    <row r="73">
      <c r="A73" s="50" t="n">
        <v>43816</v>
      </c>
      <c r="B73" s="51" t="inlineStr">
        <is>
          <t>NSE</t>
        </is>
      </c>
      <c r="C73" s="51" t="inlineStr">
        <is>
          <t>Buy</t>
        </is>
      </c>
      <c r="D73" s="52" t="n">
        <v>30</v>
      </c>
      <c r="E73" s="53" t="n">
        <v>295.51</v>
      </c>
      <c r="F73" s="53" t="n">
        <v>8865.290000000001</v>
      </c>
      <c r="G73" s="51" t="inlineStr">
        <is>
          <t>~</t>
        </is>
      </c>
      <c r="H73" s="52" t="n">
        <v>8.859999999999999</v>
      </c>
      <c r="I73" s="52" t="n">
        <v>52.93</v>
      </c>
      <c r="J73" s="42">
        <f>Index!$C$2</f>
        <v/>
      </c>
      <c r="K73" s="47" t="n"/>
      <c r="L73" s="47">
        <f>IF(AND( C44="Buy", ISBLANK(W44), B44&lt;&gt;"DIV"), (1-Index!$F$2*2)*((J44*D44)-(E44*D44)), "")</f>
        <v/>
      </c>
      <c r="M73" s="56">
        <f>IF(AND( C44="Buy", ISBLANK(W44), B44&lt;&gt;"DIV"), ((E44*D44)+L44), "")</f>
        <v/>
      </c>
      <c r="N73" s="57">
        <f>IF(AND( C44="Buy", ISBLANK(W44), B44&lt;&gt;"DIV"), D44, "")</f>
        <v/>
      </c>
      <c r="O73" s="56" t="n"/>
      <c r="P73" s="47">
        <f>IF(AND( C44="Buy", ISBLANK(W44), B44&lt;&gt;"DIV", NOW()-A44 &lt; 365), (1-Index!$F$2*2)*((J44*D44)-(E44*D44)), "")</f>
        <v/>
      </c>
      <c r="Q73" s="56">
        <f>IF(AND( C44="Buy", ISBLANK(W44), B44&lt;&gt;"DIV", NOW()-A44 &lt; 365), ((E44*D44)+P44), "")</f>
        <v/>
      </c>
      <c r="R73" s="56">
        <f>IF(AND( C44="Buy", ISBLANK(W44), B44&lt;&gt;"DIV", NOW()-A44 &lt; 365), D44, "")</f>
        <v/>
      </c>
      <c r="S73" s="56" t="n"/>
      <c r="T73" s="56">
        <f>IF(AND( C44="Buy", ISBLANK(W44), B44&lt;&gt;"DIV", NOW()-A44 &gt; 365), (J44*D44)-(E44*D44)-(2*sum(H44:I44)), "")</f>
        <v/>
      </c>
      <c r="U73" s="56">
        <f>IF(AND( C44="Buy", ISBLANK(W44), B44&lt;&gt;"DIV", NOW()-A44 &gt; 365), ((E44*D44)+T44), "")</f>
        <v/>
      </c>
      <c r="V73" s="56">
        <f>IF(AND( C44="Buy", ISBLANK(W44), B44&lt;&gt;"DIV", NOW()-A44 &gt; 365), D44, "")</f>
        <v/>
      </c>
      <c r="W73" s="53" t="n">
        <v>475.72</v>
      </c>
      <c r="X73" s="50" t="n">
        <v>44042</v>
      </c>
      <c r="Y73" s="46">
        <f>IF(AND( C44="Buy", W44&lt;&gt;"", AA44&lt;&gt;"", B44&lt;&gt;"DIV"), Z44/sum(F44:I44), "")</f>
        <v/>
      </c>
      <c r="Z73" s="58">
        <f>(1-Index!$F$2*2)*((W44*D44)-(E44*D44))</f>
        <v/>
      </c>
      <c r="AA73" s="58">
        <f>((E44*D44)+Z44)</f>
        <v/>
      </c>
      <c r="AB73" s="59">
        <f>D44</f>
        <v/>
      </c>
      <c r="AC73" s="44">
        <f>if(B44="DIV", F44,"")</f>
        <v/>
      </c>
      <c r="AD73" s="62" t="inlineStr">
        <is>
          <t>SBI Securities</t>
        </is>
      </c>
      <c r="AE73" s="60" t="n"/>
      <c r="AF73" s="60" t="n"/>
      <c r="AG73" s="60" t="n"/>
      <c r="AH73" s="60" t="n"/>
      <c r="AI73" s="60" t="n"/>
      <c r="AJ73" s="60" t="n"/>
      <c r="AK73" s="60" t="n"/>
      <c r="AL73" s="60" t="n"/>
      <c r="AM73" s="60" t="n"/>
      <c r="AN73" s="60" t="n"/>
      <c r="AO73" s="60" t="n"/>
      <c r="AP73" s="60" t="n"/>
    </row>
    <row r="74">
      <c r="A74" s="50" t="n">
        <v>43812</v>
      </c>
      <c r="B74" s="51" t="inlineStr">
        <is>
          <t>NSE</t>
        </is>
      </c>
      <c r="C74" s="51" t="inlineStr">
        <is>
          <t>Buy</t>
        </is>
      </c>
      <c r="D74" s="52" t="n">
        <v>20</v>
      </c>
      <c r="E74" s="53" t="n">
        <v>304.64</v>
      </c>
      <c r="F74" s="53" t="n">
        <v>6092.9</v>
      </c>
      <c r="G74" s="51" t="inlineStr">
        <is>
          <t>~</t>
        </is>
      </c>
      <c r="H74" s="52" t="n">
        <v>4.6</v>
      </c>
      <c r="I74" s="52" t="n">
        <v>36.3</v>
      </c>
      <c r="J74" s="42">
        <f>Index!$C$2</f>
        <v/>
      </c>
      <c r="K74" s="47" t="n"/>
      <c r="L74" s="47">
        <f>IF(AND( C45="Buy", ISBLANK(W45), B45&lt;&gt;"DIV"), (1-Index!$F$2*2)*((J45*D45)-(E45*D45)), "")</f>
        <v/>
      </c>
      <c r="M74" s="56">
        <f>IF(AND( C45="Buy", ISBLANK(W45), B45&lt;&gt;"DIV"), ((E45*D45)+L45), "")</f>
        <v/>
      </c>
      <c r="N74" s="57">
        <f>IF(AND( C45="Buy", ISBLANK(W45), B45&lt;&gt;"DIV"), D45, "")</f>
        <v/>
      </c>
      <c r="O74" s="56" t="n"/>
      <c r="P74" s="47">
        <f>IF(AND( C45="Buy", ISBLANK(W45), B45&lt;&gt;"DIV", NOW()-A45 &lt; 365), (1-Index!$F$2*2)*((J45*D45)-(E45*D45)), "")</f>
        <v/>
      </c>
      <c r="Q74" s="56">
        <f>IF(AND( C45="Buy", ISBLANK(W45), B45&lt;&gt;"DIV", NOW()-A45 &lt; 365), ((E45*D45)+P45), "")</f>
        <v/>
      </c>
      <c r="R74" s="56">
        <f>IF(AND( C45="Buy", ISBLANK(W45), B45&lt;&gt;"DIV", NOW()-A45 &lt; 365), D45, "")</f>
        <v/>
      </c>
      <c r="S74" s="56" t="n"/>
      <c r="T74" s="56">
        <f>IF(AND( C45="Buy", ISBLANK(W45), B45&lt;&gt;"DIV", NOW()-A45 &gt; 365), (J45*D45)-(E45*D45)-(2*sum(H45:I45)), "")</f>
        <v/>
      </c>
      <c r="U74" s="56">
        <f>IF(AND( C45="Buy", ISBLANK(W45), B45&lt;&gt;"DIV", NOW()-A45 &gt; 365), ((E45*D45)+T45), "")</f>
        <v/>
      </c>
      <c r="V74" s="56">
        <f>IF(AND( C45="Buy", ISBLANK(W45), B45&lt;&gt;"DIV", NOW()-A45 &gt; 365), D45, "")</f>
        <v/>
      </c>
      <c r="W74" s="53" t="n">
        <v>475.72</v>
      </c>
      <c r="X74" s="50" t="n">
        <v>44042</v>
      </c>
      <c r="Y74" s="46">
        <f>IF(AND( C45="Buy", W45&lt;&gt;"", AA45&lt;&gt;"", B45&lt;&gt;"DIV"), Z45/sum(F45:I45), "")</f>
        <v/>
      </c>
      <c r="Z74" s="58">
        <f>(1-Index!$F$2*2)*((W45*D45)-(E45*D45))</f>
        <v/>
      </c>
      <c r="AA74" s="58">
        <f>((E45*D45)+Z45)</f>
        <v/>
      </c>
      <c r="AB74" s="59">
        <f>D45</f>
        <v/>
      </c>
      <c r="AC74" s="44">
        <f>if(B45="DIV", F45,"")</f>
        <v/>
      </c>
      <c r="AD74" s="62" t="inlineStr">
        <is>
          <t>SBI Securities</t>
        </is>
      </c>
      <c r="AE74" s="60" t="n"/>
      <c r="AF74" s="60" t="n"/>
      <c r="AG74" s="60" t="n"/>
      <c r="AH74" s="60" t="n"/>
      <c r="AI74" s="60" t="n"/>
      <c r="AJ74" s="60" t="n"/>
      <c r="AK74" s="60" t="n"/>
      <c r="AL74" s="60" t="n"/>
      <c r="AM74" s="60" t="n"/>
      <c r="AN74" s="60" t="n"/>
      <c r="AO74" s="60" t="n"/>
      <c r="AP74" s="60" t="n"/>
    </row>
    <row r="75">
      <c r="A75" s="50" t="n">
        <v>43811</v>
      </c>
      <c r="B75" s="51" t="inlineStr">
        <is>
          <t>NSE</t>
        </is>
      </c>
      <c r="C75" s="51" t="inlineStr">
        <is>
          <t>Buy</t>
        </is>
      </c>
      <c r="D75" s="52" t="n">
        <v>30</v>
      </c>
      <c r="E75" s="53" t="n">
        <v>303.24</v>
      </c>
      <c r="F75" s="53" t="n">
        <v>9097.1</v>
      </c>
      <c r="G75" s="51" t="inlineStr">
        <is>
          <t>~</t>
        </is>
      </c>
      <c r="H75" s="52" t="n">
        <v>6.59</v>
      </c>
      <c r="I75" s="52" t="n">
        <v>54.51</v>
      </c>
      <c r="J75" s="42">
        <f>Index!$C$2</f>
        <v/>
      </c>
      <c r="K75" s="47" t="n"/>
      <c r="L75" s="47">
        <f>IF(AND( C46="Buy", ISBLANK(W46), B46&lt;&gt;"DIV"), (1-Index!$F$2*2)*((J46*D46)-(E46*D46)), "")</f>
        <v/>
      </c>
      <c r="M75" s="56">
        <f>IF(AND( C46="Buy", ISBLANK(W46), B46&lt;&gt;"DIV"), ((E46*D46)+L46), "")</f>
        <v/>
      </c>
      <c r="N75" s="57">
        <f>IF(AND( C46="Buy", ISBLANK(W46), B46&lt;&gt;"DIV"), D46, "")</f>
        <v/>
      </c>
      <c r="O75" s="56" t="n"/>
      <c r="P75" s="47">
        <f>IF(AND( C46="Buy", ISBLANK(W46), B46&lt;&gt;"DIV", NOW()-A46 &lt; 365), (1-Index!$F$2*2)*((J46*D46)-(E46*D46)), "")</f>
        <v/>
      </c>
      <c r="Q75" s="56">
        <f>IF(AND( C46="Buy", ISBLANK(W46), B46&lt;&gt;"DIV", NOW()-A46 &lt; 365), ((E46*D46)+P46), "")</f>
        <v/>
      </c>
      <c r="R75" s="56">
        <f>IF(AND( C46="Buy", ISBLANK(W46), B46&lt;&gt;"DIV", NOW()-A46 &lt; 365), D46, "")</f>
        <v/>
      </c>
      <c r="S75" s="56" t="n"/>
      <c r="T75" s="56">
        <f>IF(AND( C46="Buy", ISBLANK(W46), B46&lt;&gt;"DIV", NOW()-A46 &gt; 365), (J46*D46)-(E46*D46)-(2*sum(H46:I46)), "")</f>
        <v/>
      </c>
      <c r="U75" s="56">
        <f>IF(AND( C46="Buy", ISBLANK(W46), B46&lt;&gt;"DIV", NOW()-A46 &gt; 365), ((E46*D46)+T46), "")</f>
        <v/>
      </c>
      <c r="V75" s="56">
        <f>IF(AND( C46="Buy", ISBLANK(W46), B46&lt;&gt;"DIV", NOW()-A46 &gt; 365), D46, "")</f>
        <v/>
      </c>
      <c r="W75" s="53" t="n">
        <v>471.75</v>
      </c>
      <c r="X75" s="50" t="n">
        <v>44041</v>
      </c>
      <c r="Y75" s="46">
        <f>IF(AND( C46="Buy", W46&lt;&gt;"", AA46&lt;&gt;"", B46&lt;&gt;"DIV"), Z46/sum(F46:I46), "")</f>
        <v/>
      </c>
      <c r="Z75" s="58">
        <f>(1-Index!$F$2*2)*((W46*D46)-(E46*D46))</f>
        <v/>
      </c>
      <c r="AA75" s="58">
        <f>((E46*D46)+Z46)</f>
        <v/>
      </c>
      <c r="AB75" s="59">
        <f>D46</f>
        <v/>
      </c>
      <c r="AC75" s="44">
        <f>if(B46="DIV", F46,"")</f>
        <v/>
      </c>
      <c r="AD75" s="62" t="inlineStr">
        <is>
          <t>SBI Securities</t>
        </is>
      </c>
      <c r="AE75" s="60" t="n"/>
      <c r="AF75" s="60" t="n"/>
      <c r="AG75" s="60" t="n"/>
      <c r="AH75" s="60" t="n"/>
      <c r="AI75" s="60" t="n"/>
      <c r="AJ75" s="60" t="n"/>
      <c r="AK75" s="60" t="n"/>
      <c r="AL75" s="60" t="n"/>
      <c r="AM75" s="60" t="n"/>
      <c r="AN75" s="60" t="n"/>
      <c r="AO75" s="60" t="n"/>
      <c r="AP75" s="60" t="n"/>
    </row>
    <row r="76">
      <c r="A76" s="50" t="n">
        <v>43803</v>
      </c>
      <c r="B76" s="51" t="inlineStr">
        <is>
          <t>NSE</t>
        </is>
      </c>
      <c r="C76" s="51" t="inlineStr">
        <is>
          <t>Buy</t>
        </is>
      </c>
      <c r="D76" s="52" t="n">
        <v>10</v>
      </c>
      <c r="E76" s="53" t="n">
        <v>310.97</v>
      </c>
      <c r="F76" s="53" t="n">
        <v>3109.74</v>
      </c>
      <c r="G76" s="51" t="inlineStr">
        <is>
          <t>~</t>
        </is>
      </c>
      <c r="H76" s="52" t="n">
        <v>2.73</v>
      </c>
      <c r="I76" s="52" t="n">
        <v>18.51</v>
      </c>
      <c r="J76" s="42">
        <f>Index!$C$2</f>
        <v/>
      </c>
      <c r="K76" s="47" t="n"/>
      <c r="L76" s="47">
        <f>IF(AND( C47="Buy", ISBLANK(W47), B47&lt;&gt;"DIV"), (1-Index!$F$2*2)*((J47*D47)-(E47*D47)), "")</f>
        <v/>
      </c>
      <c r="M76" s="56">
        <f>IF(AND( C47="Buy", ISBLANK(W47), B47&lt;&gt;"DIV"), ((E47*D47)+L47), "")</f>
        <v/>
      </c>
      <c r="N76" s="57">
        <f>IF(AND( C47="Buy", ISBLANK(W47), B47&lt;&gt;"DIV"), D47, "")</f>
        <v/>
      </c>
      <c r="O76" s="56" t="n"/>
      <c r="P76" s="47">
        <f>IF(AND( C47="Buy", ISBLANK(W47), B47&lt;&gt;"DIV", NOW()-A47 &lt; 365), (1-Index!$F$2*2)*((J47*D47)-(E47*D47)), "")</f>
        <v/>
      </c>
      <c r="Q76" s="56">
        <f>IF(AND( C47="Buy", ISBLANK(W47), B47&lt;&gt;"DIV", NOW()-A47 &lt; 365), ((E47*D47)+P47), "")</f>
        <v/>
      </c>
      <c r="R76" s="56">
        <f>IF(AND( C47="Buy", ISBLANK(W47), B47&lt;&gt;"DIV", NOW()-A47 &lt; 365), D47, "")</f>
        <v/>
      </c>
      <c r="S76" s="56" t="n"/>
      <c r="T76" s="56">
        <f>IF(AND( C47="Buy", ISBLANK(W47), B47&lt;&gt;"DIV", NOW()-A47 &gt; 365), (J47*D47)-(E47*D47)-(2*sum(H47:I47)), "")</f>
        <v/>
      </c>
      <c r="U76" s="56">
        <f>IF(AND( C47="Buy", ISBLANK(W47), B47&lt;&gt;"DIV", NOW()-A47 &gt; 365), ((E47*D47)+T47), "")</f>
        <v/>
      </c>
      <c r="V76" s="56">
        <f>IF(AND( C47="Buy", ISBLANK(W47), B47&lt;&gt;"DIV", NOW()-A47 &gt; 365), D47, "")</f>
        <v/>
      </c>
      <c r="W76" s="53" t="n">
        <v>464.48</v>
      </c>
      <c r="X76" s="50" t="n">
        <v>44039</v>
      </c>
      <c r="Y76" s="46">
        <f>IF(AND( C47="Buy", W47&lt;&gt;"", AA47&lt;&gt;"", B47&lt;&gt;"DIV"), Z47/sum(F47:I47), "")</f>
        <v/>
      </c>
      <c r="Z76" s="58">
        <f>(1-Index!$F$2*2)*((W47*D47)-(E47*D47))</f>
        <v/>
      </c>
      <c r="AA76" s="58">
        <f>((E47*D47)+Z47)</f>
        <v/>
      </c>
      <c r="AB76" s="59">
        <f>D47</f>
        <v/>
      </c>
      <c r="AC76" s="44">
        <f>if(B47="DIV", F47,"")</f>
        <v/>
      </c>
      <c r="AD76" s="62" t="inlineStr">
        <is>
          <t>SBI Securities</t>
        </is>
      </c>
      <c r="AE76" s="60" t="n"/>
      <c r="AF76" s="60" t="n"/>
      <c r="AG76" s="60" t="n"/>
      <c r="AH76" s="60" t="n"/>
      <c r="AI76" s="60" t="n"/>
      <c r="AJ76" s="60" t="n"/>
      <c r="AK76" s="60" t="n"/>
      <c r="AL76" s="60" t="n"/>
      <c r="AM76" s="60" t="n"/>
      <c r="AN76" s="60" t="n"/>
      <c r="AO76" s="60" t="n"/>
      <c r="AP76" s="60" t="n"/>
    </row>
    <row r="77">
      <c r="A77" s="50" t="n">
        <v>43801</v>
      </c>
      <c r="B77" s="51" t="inlineStr">
        <is>
          <t>NSE</t>
        </is>
      </c>
      <c r="C77" s="51" t="inlineStr">
        <is>
          <t>Buy</t>
        </is>
      </c>
      <c r="D77" s="52" t="n">
        <v>20</v>
      </c>
      <c r="E77" s="53" t="n">
        <v>319.62</v>
      </c>
      <c r="F77" s="53" t="n">
        <v>6392.34</v>
      </c>
      <c r="G77" s="51" t="inlineStr">
        <is>
          <t>~</t>
        </is>
      </c>
      <c r="H77" s="52" t="n">
        <v>3.86</v>
      </c>
      <c r="I77" s="52" t="n">
        <v>38.48</v>
      </c>
      <c r="J77" s="42">
        <f>Index!$C$2</f>
        <v/>
      </c>
      <c r="K77" s="47" t="n"/>
      <c r="L77" s="47">
        <f>IF(AND( C48="Buy", ISBLANK(W48), B48&lt;&gt;"DIV"), (1-Index!$F$2*2)*((J48*D48)-(E48*D48)), "")</f>
        <v/>
      </c>
      <c r="M77" s="56">
        <f>IF(AND( C48="Buy", ISBLANK(W48), B48&lt;&gt;"DIV"), ((E48*D48)+L48), "")</f>
        <v/>
      </c>
      <c r="N77" s="57">
        <f>IF(AND( C48="Buy", ISBLANK(W48), B48&lt;&gt;"DIV"), D48, "")</f>
        <v/>
      </c>
      <c r="O77" s="56" t="n"/>
      <c r="P77" s="47">
        <f>IF(AND( C48="Buy", ISBLANK(W48), B48&lt;&gt;"DIV", NOW()-A48 &lt; 365), (1-Index!$F$2*2)*((J48*D48)-(E48*D48)), "")</f>
        <v/>
      </c>
      <c r="Q77" s="56">
        <f>IF(AND( C48="Buy", ISBLANK(W48), B48&lt;&gt;"DIV", NOW()-A48 &lt; 365), ((E48*D48)+P48), "")</f>
        <v/>
      </c>
      <c r="R77" s="56">
        <f>IF(AND( C48="Buy", ISBLANK(W48), B48&lt;&gt;"DIV", NOW()-A48 &lt; 365), D48, "")</f>
        <v/>
      </c>
      <c r="S77" s="56" t="n"/>
      <c r="T77" s="56">
        <f>IF(AND( C48="Buy", ISBLANK(W48), B48&lt;&gt;"DIV", NOW()-A48 &gt; 365), (J48*D48)-(E48*D48)-(2*sum(H48:I48)), "")</f>
        <v/>
      </c>
      <c r="U77" s="56">
        <f>IF(AND( C48="Buy", ISBLANK(W48), B48&lt;&gt;"DIV", NOW()-A48 &gt; 365), ((E48*D48)+T48), "")</f>
        <v/>
      </c>
      <c r="V77" s="56">
        <f>IF(AND( C48="Buy", ISBLANK(W48), B48&lt;&gt;"DIV", NOW()-A48 &gt; 365), D48, "")</f>
        <v/>
      </c>
      <c r="W77" s="53" t="n">
        <v>471.75</v>
      </c>
      <c r="X77" s="50" t="n">
        <v>44041</v>
      </c>
      <c r="Y77" s="46">
        <f>IF(AND( C48="Buy", W48&lt;&gt;"", AA48&lt;&gt;"", B48&lt;&gt;"DIV"), Z48/sum(F48:I48), "")</f>
        <v/>
      </c>
      <c r="Z77" s="58">
        <f>(1-Index!$F$2*2)*((W48*D48)-(E48*D48))</f>
        <v/>
      </c>
      <c r="AA77" s="58">
        <f>((E48*D48)+Z48)</f>
        <v/>
      </c>
      <c r="AB77" s="59">
        <f>D48</f>
        <v/>
      </c>
      <c r="AC77" s="44">
        <f>if(B48="DIV", F48,"")</f>
        <v/>
      </c>
      <c r="AD77" s="62" t="inlineStr">
        <is>
          <t>SBI Securities</t>
        </is>
      </c>
      <c r="AE77" s="60" t="n"/>
      <c r="AF77" s="60" t="n"/>
      <c r="AG77" s="60" t="n"/>
      <c r="AH77" s="60" t="n"/>
      <c r="AI77" s="60" t="n"/>
      <c r="AJ77" s="60" t="n"/>
      <c r="AK77" s="60" t="n"/>
      <c r="AL77" s="60" t="n"/>
      <c r="AM77" s="60" t="n"/>
      <c r="AN77" s="60" t="n"/>
      <c r="AO77" s="60" t="n"/>
      <c r="AP77" s="60" t="n"/>
    </row>
    <row r="78">
      <c r="A78" s="50" t="n">
        <v>43798</v>
      </c>
      <c r="B78" s="51" t="inlineStr">
        <is>
          <t>NSE</t>
        </is>
      </c>
      <c r="C78" s="51" t="inlineStr">
        <is>
          <t>Buy</t>
        </is>
      </c>
      <c r="D78" s="52" t="n">
        <v>20</v>
      </c>
      <c r="E78" s="53" t="n">
        <v>321.79</v>
      </c>
      <c r="F78" s="53" t="n">
        <v>6435.75</v>
      </c>
      <c r="G78" s="51" t="inlineStr">
        <is>
          <t>~</t>
        </is>
      </c>
      <c r="H78" s="52" t="n">
        <v>4.11</v>
      </c>
      <c r="I78" s="52" t="n">
        <v>38.64</v>
      </c>
      <c r="J78" s="42">
        <f>Index!$C$2</f>
        <v/>
      </c>
      <c r="K78" s="47" t="n"/>
      <c r="L78" s="47">
        <f>IF(AND( C49="Buy", ISBLANK(W49), B49&lt;&gt;"DIV"), (1-Index!$F$2*2)*((J49*D49)-(E49*D49)), "")</f>
        <v/>
      </c>
      <c r="M78" s="56">
        <f>IF(AND( C49="Buy", ISBLANK(W49), B49&lt;&gt;"DIV"), ((E49*D49)+L49), "")</f>
        <v/>
      </c>
      <c r="N78" s="57">
        <f>IF(AND( C49="Buy", ISBLANK(W49), B49&lt;&gt;"DIV"), D49, "")</f>
        <v/>
      </c>
      <c r="O78" s="56" t="n"/>
      <c r="P78" s="47">
        <f>IF(AND( C49="Buy", ISBLANK(W49), B49&lt;&gt;"DIV", NOW()-A49 &lt; 365), (1-Index!$F$2*2)*((J49*D49)-(E49*D49)), "")</f>
        <v/>
      </c>
      <c r="Q78" s="56">
        <f>IF(AND( C49="Buy", ISBLANK(W49), B49&lt;&gt;"DIV", NOW()-A49 &lt; 365), ((E49*D49)+P49), "")</f>
        <v/>
      </c>
      <c r="R78" s="56">
        <f>IF(AND( C49="Buy", ISBLANK(W49), B49&lt;&gt;"DIV", NOW()-A49 &lt; 365), D49, "")</f>
        <v/>
      </c>
      <c r="S78" s="56" t="n"/>
      <c r="T78" s="56">
        <f>IF(AND( C49="Buy", ISBLANK(W49), B49&lt;&gt;"DIV", NOW()-A49 &gt; 365), (J49*D49)-(E49*D49)-(2*sum(H49:I49)), "")</f>
        <v/>
      </c>
      <c r="U78" s="56">
        <f>IF(AND( C49="Buy", ISBLANK(W49), B49&lt;&gt;"DIV", NOW()-A49 &gt; 365), ((E49*D49)+T49), "")</f>
        <v/>
      </c>
      <c r="V78" s="56">
        <f>IF(AND( C49="Buy", ISBLANK(W49), B49&lt;&gt;"DIV", NOW()-A49 &gt; 365), D49, "")</f>
        <v/>
      </c>
      <c r="W78" s="53" t="n">
        <v>464.48</v>
      </c>
      <c r="X78" s="50" t="n">
        <v>44039</v>
      </c>
      <c r="Y78" s="46">
        <f>IF(AND( C49="Buy", W49&lt;&gt;"", AA49&lt;&gt;"", B49&lt;&gt;"DIV"), Z49/sum(F49:I49), "")</f>
        <v/>
      </c>
      <c r="Z78" s="58">
        <f>(1-Index!$F$2*2)*((W49*D49)-(E49*D49))</f>
        <v/>
      </c>
      <c r="AA78" s="58">
        <f>((E49*D49)+Z49)</f>
        <v/>
      </c>
      <c r="AB78" s="59">
        <f>D49</f>
        <v/>
      </c>
      <c r="AC78" s="44">
        <f>if(B49="DIV", F49,"")</f>
        <v/>
      </c>
      <c r="AD78" s="62" t="inlineStr">
        <is>
          <t>SBI Securities</t>
        </is>
      </c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</row>
    <row r="79">
      <c r="A79" s="50" t="n">
        <v>43796</v>
      </c>
      <c r="B79" s="51" t="inlineStr">
        <is>
          <t>NSE</t>
        </is>
      </c>
      <c r="C79" s="51" t="inlineStr">
        <is>
          <t>Buy</t>
        </is>
      </c>
      <c r="D79" s="52" t="n">
        <v>10</v>
      </c>
      <c r="E79" s="53" t="n">
        <v>316.81</v>
      </c>
      <c r="F79" s="53" t="n">
        <v>3168.11</v>
      </c>
      <c r="G79" s="51" t="inlineStr">
        <is>
          <t>~</t>
        </is>
      </c>
      <c r="H79" s="52" t="n">
        <v>1.77</v>
      </c>
      <c r="I79" s="52" t="n">
        <v>18.84</v>
      </c>
      <c r="J79" s="42">
        <f>Index!$C$2</f>
        <v/>
      </c>
      <c r="K79" s="47" t="n"/>
      <c r="L79" s="47">
        <f>IF(AND( C50="Buy", ISBLANK(W50), B50&lt;&gt;"DIV"), (1-Index!$F$2*2)*((J50*D50)-(E50*D50)), "")</f>
        <v/>
      </c>
      <c r="M79" s="56">
        <f>IF(AND( C50="Buy", ISBLANK(W50), B50&lt;&gt;"DIV"), ((E50*D50)+L50), "")</f>
        <v/>
      </c>
      <c r="N79" s="57">
        <f>IF(AND( C50="Buy", ISBLANK(W50), B50&lt;&gt;"DIV"), D50, "")</f>
        <v/>
      </c>
      <c r="O79" s="56" t="n"/>
      <c r="P79" s="47">
        <f>IF(AND( C50="Buy", ISBLANK(W50), B50&lt;&gt;"DIV", NOW()-A50 &lt; 365), (1-Index!$F$2*2)*((J50*D50)-(E50*D50)), "")</f>
        <v/>
      </c>
      <c r="Q79" s="56">
        <f>IF(AND( C50="Buy", ISBLANK(W50), B50&lt;&gt;"DIV", NOW()-A50 &lt; 365), ((E50*D50)+P50), "")</f>
        <v/>
      </c>
      <c r="R79" s="56">
        <f>IF(AND( C50="Buy", ISBLANK(W50), B50&lt;&gt;"DIV", NOW()-A50 &lt; 365), D50, "")</f>
        <v/>
      </c>
      <c r="S79" s="56" t="n"/>
      <c r="T79" s="56">
        <f>IF(AND( C50="Buy", ISBLANK(W50), B50&lt;&gt;"DIV", NOW()-A50 &gt; 365), (J50*D50)-(E50*D50)-(2*sum(H50:I50)), "")</f>
        <v/>
      </c>
      <c r="U79" s="56">
        <f>IF(AND( C50="Buy", ISBLANK(W50), B50&lt;&gt;"DIV", NOW()-A50 &gt; 365), ((E50*D50)+T50), "")</f>
        <v/>
      </c>
      <c r="V79" s="56">
        <f>IF(AND( C50="Buy", ISBLANK(W50), B50&lt;&gt;"DIV", NOW()-A50 &gt; 365), D50, "")</f>
        <v/>
      </c>
      <c r="W79" s="53" t="n">
        <v>464.48</v>
      </c>
      <c r="X79" s="50" t="n">
        <v>44039</v>
      </c>
      <c r="Y79" s="46">
        <f>IF(AND( C50="Buy", W50&lt;&gt;"", AA50&lt;&gt;"", B50&lt;&gt;"DIV"), Z50/sum(F50:I50), "")</f>
        <v/>
      </c>
      <c r="Z79" s="58">
        <f>(1-Index!$F$2*2)*((W50*D50)-(E50*D50))</f>
        <v/>
      </c>
      <c r="AA79" s="58">
        <f>((E50*D50)+Z50)</f>
        <v/>
      </c>
      <c r="AB79" s="59">
        <f>D50</f>
        <v/>
      </c>
      <c r="AC79" s="44">
        <f>if(B50="DIV", F50,"")</f>
        <v/>
      </c>
      <c r="AD79" s="62" t="inlineStr">
        <is>
          <t>SBI Securities</t>
        </is>
      </c>
      <c r="AE79" s="60" t="n"/>
      <c r="AF79" s="60" t="n"/>
      <c r="AG79" s="60" t="n"/>
      <c r="AH79" s="60" t="n"/>
      <c r="AI79" s="60" t="n"/>
      <c r="AJ79" s="60" t="n"/>
      <c r="AK79" s="60" t="n"/>
      <c r="AL79" s="60" t="n"/>
      <c r="AM79" s="60" t="n"/>
      <c r="AN79" s="60" t="n"/>
      <c r="AO79" s="60" t="n"/>
      <c r="AP79" s="60" t="n"/>
    </row>
    <row r="80">
      <c r="A80" s="50" t="n">
        <v>43782</v>
      </c>
      <c r="B80" s="51" t="inlineStr">
        <is>
          <t>BSE</t>
        </is>
      </c>
      <c r="C80" s="51" t="inlineStr">
        <is>
          <t>Buy</t>
        </is>
      </c>
      <c r="D80" s="52" t="n">
        <v>10</v>
      </c>
      <c r="E80" s="53" t="n">
        <v>333.25</v>
      </c>
      <c r="F80" s="53" t="n">
        <v>3332.5</v>
      </c>
      <c r="G80" s="51" t="inlineStr">
        <is>
          <t>~</t>
        </is>
      </c>
      <c r="H80" s="52" t="n">
        <v>1.86</v>
      </c>
      <c r="I80" s="52" t="n">
        <v>20.14</v>
      </c>
      <c r="J80" s="42">
        <f>Index!$C$2</f>
        <v/>
      </c>
      <c r="K80" s="47" t="n"/>
      <c r="L80" s="47">
        <f>IF(AND( C51="Buy", ISBLANK(W51), B51&lt;&gt;"DIV"), (1-Index!$F$2*2)*((J51*D51)-(E51*D51)), "")</f>
        <v/>
      </c>
      <c r="M80" s="56">
        <f>IF(AND( C51="Buy", ISBLANK(W51), B51&lt;&gt;"DIV"), ((E51*D51)+L51), "")</f>
        <v/>
      </c>
      <c r="N80" s="57">
        <f>IF(AND( C51="Buy", ISBLANK(W51), B51&lt;&gt;"DIV"), D51, "")</f>
        <v/>
      </c>
      <c r="O80" s="56" t="n"/>
      <c r="P80" s="47">
        <f>IF(AND( C51="Buy", ISBLANK(W51), B51&lt;&gt;"DIV", NOW()-A51 &lt; 365), (1-Index!$F$2*2)*((J51*D51)-(E51*D51)), "")</f>
        <v/>
      </c>
      <c r="Q80" s="56">
        <f>IF(AND( C51="Buy", ISBLANK(W51), B51&lt;&gt;"DIV", NOW()-A51 &lt; 365), ((E51*D51)+P51), "")</f>
        <v/>
      </c>
      <c r="R80" s="56">
        <f>IF(AND( C51="Buy", ISBLANK(W51), B51&lt;&gt;"DIV", NOW()-A51 &lt; 365), D51, "")</f>
        <v/>
      </c>
      <c r="S80" s="56" t="n"/>
      <c r="T80" s="56">
        <f>IF(AND( C51="Buy", ISBLANK(W51), B51&lt;&gt;"DIV", NOW()-A51 &gt; 365), (J51*D51)-(E51*D51)-(2*sum(H51:I51)), "")</f>
        <v/>
      </c>
      <c r="U80" s="56">
        <f>IF(AND( C51="Buy", ISBLANK(W51), B51&lt;&gt;"DIV", NOW()-A51 &gt; 365), ((E51*D51)+T51), "")</f>
        <v/>
      </c>
      <c r="V80" s="56">
        <f>IF(AND( C51="Buy", ISBLANK(W51), B51&lt;&gt;"DIV", NOW()-A51 &gt; 365), D51, "")</f>
        <v/>
      </c>
      <c r="W80" s="53" t="n">
        <v>464.48</v>
      </c>
      <c r="X80" s="50" t="n">
        <v>44039</v>
      </c>
      <c r="Y80" s="46">
        <f>IF(AND( C51="Buy", W51&lt;&gt;"", AA51&lt;&gt;"", B51&lt;&gt;"DIV"), Z51/sum(F51:I51), "")</f>
        <v/>
      </c>
      <c r="Z80" s="58">
        <f>(1-Index!$F$2*2)*((W51*D51)-(E51*D51))</f>
        <v/>
      </c>
      <c r="AA80" s="58">
        <f>((E51*D51)+Z51)</f>
        <v/>
      </c>
      <c r="AB80" s="59">
        <f>D51</f>
        <v/>
      </c>
      <c r="AC80" s="44">
        <f>if(B51="DIV", F51,"")</f>
        <v/>
      </c>
      <c r="AD80" s="62" t="inlineStr">
        <is>
          <t>SBI Securities</t>
        </is>
      </c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</row>
    <row r="81">
      <c r="A81" s="50" t="n">
        <v>43707</v>
      </c>
      <c r="B81" s="51" t="inlineStr">
        <is>
          <t>NSE</t>
        </is>
      </c>
      <c r="C81" s="51" t="inlineStr">
        <is>
          <t>Buy</t>
        </is>
      </c>
      <c r="D81" s="52" t="n">
        <v>20</v>
      </c>
      <c r="E81" s="53" t="n">
        <v>305.59</v>
      </c>
      <c r="F81" s="53" t="n">
        <v>6111.8</v>
      </c>
      <c r="G81" s="51" t="inlineStr">
        <is>
          <t>~</t>
        </is>
      </c>
      <c r="H81" s="52" t="n">
        <v>6.01</v>
      </c>
      <c r="I81" s="52" t="n">
        <v>36.79</v>
      </c>
      <c r="J81" s="42">
        <f>Index!$C$2</f>
        <v/>
      </c>
      <c r="K81" s="47" t="n"/>
      <c r="L81" s="47">
        <f>IF(AND( C52="Buy", ISBLANK(W52), B52&lt;&gt;"DIV"), (1-Index!$F$2*2)*((J52*D52)-(E52*D52)), "")</f>
        <v/>
      </c>
      <c r="M81" s="56">
        <f>IF(AND( C52="Buy", ISBLANK(W52), B52&lt;&gt;"DIV"), ((E52*D52)+L52), "")</f>
        <v/>
      </c>
      <c r="N81" s="57">
        <f>IF(AND( C52="Buy", ISBLANK(W52), B52&lt;&gt;"DIV"), D52, "")</f>
        <v/>
      </c>
      <c r="O81" s="56" t="n"/>
      <c r="P81" s="47">
        <f>IF(AND( C52="Buy", ISBLANK(W52), B52&lt;&gt;"DIV", NOW()-A52 &lt; 365), (1-Index!$F$2*2)*((J52*D52)-(E52*D52)), "")</f>
        <v/>
      </c>
      <c r="Q81" s="56">
        <f>IF(AND( C52="Buy", ISBLANK(W52), B52&lt;&gt;"DIV", NOW()-A52 &lt; 365), ((E52*D52)+P52), "")</f>
        <v/>
      </c>
      <c r="R81" s="56">
        <f>IF(AND( C52="Buy", ISBLANK(W52), B52&lt;&gt;"DIV", NOW()-A52 &lt; 365), D52, "")</f>
        <v/>
      </c>
      <c r="S81" s="56" t="n"/>
      <c r="T81" s="56">
        <f>IF(AND( C52="Buy", ISBLANK(W52), B52&lt;&gt;"DIV", NOW()-A52 &gt; 365), (J52*D52)-(E52*D52)-(2*sum(H52:I52)), "")</f>
        <v/>
      </c>
      <c r="U81" s="56">
        <f>IF(AND( C52="Buy", ISBLANK(W52), B52&lt;&gt;"DIV", NOW()-A52 &gt; 365), ((E52*D52)+T52), "")</f>
        <v/>
      </c>
      <c r="V81" s="56">
        <f>IF(AND( C52="Buy", ISBLANK(W52), B52&lt;&gt;"DIV", NOW()-A52 &gt; 365), D52, "")</f>
        <v/>
      </c>
      <c r="W81" s="53" t="n">
        <v>447.39</v>
      </c>
      <c r="X81" s="50" t="n">
        <v>44036</v>
      </c>
      <c r="Y81" s="46">
        <f>IF(AND( C52="Buy", W52&lt;&gt;"", AA52&lt;&gt;"", B52&lt;&gt;"DIV"), Z52/sum(F52:I52), "")</f>
        <v/>
      </c>
      <c r="Z81" s="58">
        <f>(1-Index!$F$2*2)*((W52*D52)-(E52*D52))</f>
        <v/>
      </c>
      <c r="AA81" s="58">
        <f>((E52*D52)+Z52)</f>
        <v/>
      </c>
      <c r="AB81" s="59">
        <f>D52</f>
        <v/>
      </c>
      <c r="AC81" s="44">
        <f>if(B52="DIV", F52,"")</f>
        <v/>
      </c>
      <c r="AD81" s="62" t="inlineStr">
        <is>
          <t>SBI Securities</t>
        </is>
      </c>
    </row>
    <row r="82">
      <c r="A82" s="50" t="n">
        <v>43697</v>
      </c>
      <c r="B82" s="51" t="inlineStr">
        <is>
          <t>NSE</t>
        </is>
      </c>
      <c r="C82" s="51" t="inlineStr">
        <is>
          <t>Buy</t>
        </is>
      </c>
      <c r="D82" s="52" t="n">
        <v>10</v>
      </c>
      <c r="E82" s="53" t="n">
        <v>303.43</v>
      </c>
      <c r="F82" s="53" t="n">
        <v>3034.27</v>
      </c>
      <c r="G82" s="51" t="inlineStr">
        <is>
          <t>~</t>
        </is>
      </c>
      <c r="H82" s="52" t="n">
        <v>2.86</v>
      </c>
      <c r="I82" s="52" t="n">
        <v>18.41</v>
      </c>
      <c r="J82" s="42">
        <f>Index!$C$2</f>
        <v/>
      </c>
      <c r="K82" s="47" t="n"/>
      <c r="L82" s="47">
        <f>IF(AND( C53="Buy", ISBLANK(W53), B53&lt;&gt;"DIV"), (1-Index!$F$2*2)*((J53*D53)-(E53*D53)), "")</f>
        <v/>
      </c>
      <c r="M82" s="56">
        <f>IF(AND( C53="Buy", ISBLANK(W53), B53&lt;&gt;"DIV"), ((E53*D53)+L53), "")</f>
        <v/>
      </c>
      <c r="N82" s="57">
        <f>IF(AND( C53="Buy", ISBLANK(W53), B53&lt;&gt;"DIV"), D53, "")</f>
        <v/>
      </c>
      <c r="O82" s="56" t="n"/>
      <c r="P82" s="47">
        <f>IF(AND( C53="Buy", ISBLANK(W53), B53&lt;&gt;"DIV", NOW()-A53 &lt; 365), (1-Index!$F$2*2)*((J53*D53)-(E53*D53)), "")</f>
        <v/>
      </c>
      <c r="Q82" s="56">
        <f>IF(AND( C53="Buy", ISBLANK(W53), B53&lt;&gt;"DIV", NOW()-A53 &lt; 365), ((E53*D53)+P53), "")</f>
        <v/>
      </c>
      <c r="R82" s="56">
        <f>IF(AND( C53="Buy", ISBLANK(W53), B53&lt;&gt;"DIV", NOW()-A53 &lt; 365), D53, "")</f>
        <v/>
      </c>
      <c r="S82" s="56" t="n"/>
      <c r="T82" s="56">
        <f>IF(AND( C53="Buy", ISBLANK(W53), B53&lt;&gt;"DIV", NOW()-A53 &gt; 365), (J53*D53)-(E53*D53)-(2*sum(H53:I53)), "")</f>
        <v/>
      </c>
      <c r="U82" s="56">
        <f>IF(AND( C53="Buy", ISBLANK(W53), B53&lt;&gt;"DIV", NOW()-A53 &gt; 365), ((E53*D53)+T53), "")</f>
        <v/>
      </c>
      <c r="V82" s="56">
        <f>IF(AND( C53="Buy", ISBLANK(W53), B53&lt;&gt;"DIV", NOW()-A53 &gt; 365), D53, "")</f>
        <v/>
      </c>
      <c r="W82" s="53" t="n">
        <v>447.39</v>
      </c>
      <c r="X82" s="50" t="n">
        <v>44036</v>
      </c>
      <c r="Y82" s="46">
        <f>IF(AND( C53="Buy", W53&lt;&gt;"", AA53&lt;&gt;"", B53&lt;&gt;"DIV"), Z53/sum(F53:I53), "")</f>
        <v/>
      </c>
      <c r="Z82" s="58">
        <f>(1-Index!$F$2*2)*((W53*D53)-(E53*D53))</f>
        <v/>
      </c>
      <c r="AA82" s="58">
        <f>((E53*D53)+Z53)</f>
        <v/>
      </c>
      <c r="AB82" s="59">
        <f>D53</f>
        <v/>
      </c>
      <c r="AC82" s="44">
        <f>if(B53="DIV", F53,"")</f>
        <v/>
      </c>
      <c r="AD82" s="62" t="inlineStr">
        <is>
          <t>SBI Securities</t>
        </is>
      </c>
    </row>
    <row r="83">
      <c r="A83" s="50" t="n">
        <v>43685</v>
      </c>
      <c r="B83" s="51" t="inlineStr">
        <is>
          <t>NSE</t>
        </is>
      </c>
      <c r="C83" s="51" t="inlineStr">
        <is>
          <t>Buy</t>
        </is>
      </c>
      <c r="D83" s="52" t="n">
        <v>10</v>
      </c>
      <c r="E83" s="53" t="n">
        <v>309.25</v>
      </c>
      <c r="F83" s="53" t="n">
        <v>3092.54</v>
      </c>
      <c r="G83" s="51" t="inlineStr">
        <is>
          <t>~</t>
        </is>
      </c>
      <c r="H83" s="52" t="n">
        <v>2.96</v>
      </c>
      <c r="I83" s="52" t="n">
        <v>18.58</v>
      </c>
      <c r="J83" s="42">
        <f>Index!$C$2</f>
        <v/>
      </c>
      <c r="K83" s="47" t="n"/>
      <c r="L83" s="47">
        <f>IF(AND( C54="Buy", ISBLANK(W54), B54&lt;&gt;"DIV"), (1-Index!$F$2*2)*((J54*D54)-(E54*D54)), "")</f>
        <v/>
      </c>
      <c r="M83" s="56">
        <f>IF(AND( C54="Buy", ISBLANK(W54), B54&lt;&gt;"DIV"), ((E54*D54)+L54), "")</f>
        <v/>
      </c>
      <c r="N83" s="57">
        <f>IF(AND( C54="Buy", ISBLANK(W54), B54&lt;&gt;"DIV"), D54, "")</f>
        <v/>
      </c>
      <c r="O83" s="56" t="n"/>
      <c r="P83" s="47">
        <f>IF(AND( C54="Buy", ISBLANK(W54), B54&lt;&gt;"DIV", NOW()-A54 &lt; 365), (1-Index!$F$2*2)*((J54*D54)-(E54*D54)), "")</f>
        <v/>
      </c>
      <c r="Q83" s="56">
        <f>IF(AND( C54="Buy", ISBLANK(W54), B54&lt;&gt;"DIV", NOW()-A54 &lt; 365), ((E54*D54)+P54), "")</f>
        <v/>
      </c>
      <c r="R83" s="56">
        <f>IF(AND( C54="Buy", ISBLANK(W54), B54&lt;&gt;"DIV", NOW()-A54 &lt; 365), D54, "")</f>
        <v/>
      </c>
      <c r="S83" s="56" t="n"/>
      <c r="T83" s="56">
        <f>IF(AND( C54="Buy", ISBLANK(W54), B54&lt;&gt;"DIV", NOW()-A54 &gt; 365), (J54*D54)-(E54*D54)-(2*sum(H54:I54)), "")</f>
        <v/>
      </c>
      <c r="U83" s="56">
        <f>IF(AND( C54="Buy", ISBLANK(W54), B54&lt;&gt;"DIV", NOW()-A54 &gt; 365), ((E54*D54)+T54), "")</f>
        <v/>
      </c>
      <c r="V83" s="56">
        <f>IF(AND( C54="Buy", ISBLANK(W54), B54&lt;&gt;"DIV", NOW()-A54 &gt; 365), D54, "")</f>
        <v/>
      </c>
      <c r="W83" s="53" t="n">
        <v>447.39</v>
      </c>
      <c r="X83" s="50" t="n">
        <v>44036</v>
      </c>
      <c r="Y83" s="46">
        <f>IF(AND( C54="Buy", W54&lt;&gt;"", AA54&lt;&gt;"", B54&lt;&gt;"DIV"), Z54/sum(F54:I54), "")</f>
        <v/>
      </c>
      <c r="Z83" s="58">
        <f>(1-Index!$F$2*2)*((W54*D54)-(E54*D54))</f>
        <v/>
      </c>
      <c r="AA83" s="58">
        <f>((E54*D54)+Z54)</f>
        <v/>
      </c>
      <c r="AB83" s="59">
        <f>D54</f>
        <v/>
      </c>
      <c r="AC83" s="44">
        <f>if(B54="DIV", F54,"")</f>
        <v/>
      </c>
      <c r="AD83" s="62" t="inlineStr">
        <is>
          <t>SBI Securities</t>
        </is>
      </c>
    </row>
    <row r="84">
      <c r="A84" s="50" t="n">
        <v>43682</v>
      </c>
      <c r="B84" s="51" t="inlineStr">
        <is>
          <t>NSE</t>
        </is>
      </c>
      <c r="C84" s="51" t="inlineStr">
        <is>
          <t>Buy</t>
        </is>
      </c>
      <c r="D84" s="52" t="n">
        <v>10</v>
      </c>
      <c r="E84" s="53" t="n">
        <v>301.86</v>
      </c>
      <c r="F84" s="53" t="n">
        <v>3018.58</v>
      </c>
      <c r="G84" s="51" t="inlineStr">
        <is>
          <t>~</t>
        </is>
      </c>
      <c r="H84" s="52" t="n">
        <v>2.99</v>
      </c>
      <c r="I84" s="52" t="n">
        <v>18.09</v>
      </c>
      <c r="J84" s="42">
        <f>Index!$C$2</f>
        <v/>
      </c>
      <c r="K84" s="47" t="n"/>
      <c r="L84" s="47">
        <f>IF(AND( C55="Buy", ISBLANK(W55), B55&lt;&gt;"DIV"), (1-Index!$F$2*2)*((J55*D55)-(E55*D55)), "")</f>
        <v/>
      </c>
      <c r="M84" s="56">
        <f>IF(AND( C55="Buy", ISBLANK(W55), B55&lt;&gt;"DIV"), ((E55*D55)+L55), "")</f>
        <v/>
      </c>
      <c r="N84" s="57">
        <f>IF(AND( C55="Buy", ISBLANK(W55), B55&lt;&gt;"DIV"), D55, "")</f>
        <v/>
      </c>
      <c r="O84" s="56" t="n"/>
      <c r="P84" s="47">
        <f>IF(AND( C55="Buy", ISBLANK(W55), B55&lt;&gt;"DIV", NOW()-A55 &lt; 365), (1-Index!$F$2*2)*((J55*D55)-(E55*D55)), "")</f>
        <v/>
      </c>
      <c r="Q84" s="56">
        <f>IF(AND( C55="Buy", ISBLANK(W55), B55&lt;&gt;"DIV", NOW()-A55 &lt; 365), ((E55*D55)+P55), "")</f>
        <v/>
      </c>
      <c r="R84" s="56">
        <f>IF(AND( C55="Buy", ISBLANK(W55), B55&lt;&gt;"DIV", NOW()-A55 &lt; 365), D55, "")</f>
        <v/>
      </c>
      <c r="S84" s="56" t="n"/>
      <c r="T84" s="56">
        <f>IF(AND( C55="Buy", ISBLANK(W55), B55&lt;&gt;"DIV", NOW()-A55 &gt; 365), (J55*D55)-(E55*D55)-(2*sum(H55:I55)), "")</f>
        <v/>
      </c>
      <c r="U84" s="56">
        <f>IF(AND( C55="Buy", ISBLANK(W55), B55&lt;&gt;"DIV", NOW()-A55 &gt; 365), ((E55*D55)+T55), "")</f>
        <v/>
      </c>
      <c r="V84" s="56">
        <f>IF(AND( C55="Buy", ISBLANK(W55), B55&lt;&gt;"DIV", NOW()-A55 &gt; 365), D55, "")</f>
        <v/>
      </c>
      <c r="W84" s="53" t="n">
        <v>447.39</v>
      </c>
      <c r="X84" s="50" t="n">
        <v>44036</v>
      </c>
      <c r="Y84" s="46">
        <f>IF(AND( C55="Buy", W55&lt;&gt;"", AA55&lt;&gt;"", B55&lt;&gt;"DIV"), Z55/sum(F55:I55), "")</f>
        <v/>
      </c>
      <c r="Z84" s="58">
        <f>(1-Index!$F$2*2)*((W55*D55)-(E55*D55))</f>
        <v/>
      </c>
      <c r="AA84" s="58">
        <f>((E55*D55)+Z55)</f>
        <v/>
      </c>
      <c r="AB84" s="59">
        <f>D55</f>
        <v/>
      </c>
      <c r="AC84" s="44">
        <f>if(B55="DIV", F55,"")</f>
        <v/>
      </c>
      <c r="AD84" s="62" t="inlineStr">
        <is>
          <t>SBI Securities</t>
        </is>
      </c>
    </row>
    <row r="85">
      <c r="A85" s="50" t="n">
        <v>43678</v>
      </c>
      <c r="B85" s="51" t="inlineStr">
        <is>
          <t>NSE</t>
        </is>
      </c>
      <c r="C85" s="51" t="inlineStr">
        <is>
          <t>Buy</t>
        </is>
      </c>
      <c r="D85" s="52" t="n">
        <v>20</v>
      </c>
      <c r="E85" s="53" t="n">
        <v>300.3</v>
      </c>
      <c r="F85" s="53" t="n">
        <v>6005.97</v>
      </c>
      <c r="G85" s="51" t="inlineStr">
        <is>
          <t>~</t>
        </is>
      </c>
      <c r="H85" s="52" t="n">
        <v>6.02</v>
      </c>
      <c r="I85" s="52" t="n">
        <v>35.95</v>
      </c>
      <c r="J85" s="42">
        <f>Index!$C$2</f>
        <v/>
      </c>
      <c r="K85" s="47" t="n"/>
      <c r="L85" s="47">
        <f>IF(AND( C56="Buy", ISBLANK(W56), B56&lt;&gt;"DIV"), (1-Index!$F$2*2)*((J56*D56)-(E56*D56)), "")</f>
        <v/>
      </c>
      <c r="M85" s="56">
        <f>IF(AND( C56="Buy", ISBLANK(W56), B56&lt;&gt;"DIV"), ((E56*D56)+L56), "")</f>
        <v/>
      </c>
      <c r="N85" s="57">
        <f>IF(AND( C56="Buy", ISBLANK(W56), B56&lt;&gt;"DIV"), D56, "")</f>
        <v/>
      </c>
      <c r="O85" s="56" t="n"/>
      <c r="P85" s="47">
        <f>IF(AND( C56="Buy", ISBLANK(W56), B56&lt;&gt;"DIV", NOW()-A56 &lt; 365), (1-Index!$F$2*2)*((J56*D56)-(E56*D56)), "")</f>
        <v/>
      </c>
      <c r="Q85" s="56">
        <f>IF(AND( C56="Buy", ISBLANK(W56), B56&lt;&gt;"DIV", NOW()-A56 &lt; 365), ((E56*D56)+P56), "")</f>
        <v/>
      </c>
      <c r="R85" s="56">
        <f>IF(AND( C56="Buy", ISBLANK(W56), B56&lt;&gt;"DIV", NOW()-A56 &lt; 365), D56, "")</f>
        <v/>
      </c>
      <c r="S85" s="56" t="n"/>
      <c r="T85" s="56">
        <f>IF(AND( C56="Buy", ISBLANK(W56), B56&lt;&gt;"DIV", NOW()-A56 &gt; 365), (J56*D56)-(E56*D56)-(2*sum(H56:I56)), "")</f>
        <v/>
      </c>
      <c r="U85" s="56">
        <f>IF(AND( C56="Buy", ISBLANK(W56), B56&lt;&gt;"DIV", NOW()-A56 &gt; 365), ((E56*D56)+T56), "")</f>
        <v/>
      </c>
      <c r="V85" s="56">
        <f>IF(AND( C56="Buy", ISBLANK(W56), B56&lt;&gt;"DIV", NOW()-A56 &gt; 365), D56, "")</f>
        <v/>
      </c>
      <c r="W85" s="53" t="n">
        <v>437.94</v>
      </c>
      <c r="X85" s="50" t="n">
        <v>44025</v>
      </c>
      <c r="Y85" s="46">
        <f>IF(AND( C56="Buy", W56&lt;&gt;"", AA56&lt;&gt;"", B56&lt;&gt;"DIV"), Z56/sum(F56:I56), "")</f>
        <v/>
      </c>
      <c r="Z85" s="58">
        <f>(1-Index!$F$2*2)*((W56*D56)-(E56*D56))</f>
        <v/>
      </c>
      <c r="AA85" s="58">
        <f>((E56*D56)+Z56)</f>
        <v/>
      </c>
      <c r="AB85" s="59">
        <f>D56</f>
        <v/>
      </c>
      <c r="AC85" s="44">
        <f>if(B56="DIV", F56,"")</f>
        <v/>
      </c>
      <c r="AD85" s="62" t="inlineStr">
        <is>
          <t>SBI Securities</t>
        </is>
      </c>
    </row>
    <row r="86">
      <c r="A86" s="50" t="n">
        <v>43670</v>
      </c>
      <c r="B86" s="51" t="inlineStr">
        <is>
          <t>NSE</t>
        </is>
      </c>
      <c r="C86" s="51" t="inlineStr">
        <is>
          <t>Buy</t>
        </is>
      </c>
      <c r="D86" s="52" t="n">
        <v>10</v>
      </c>
      <c r="E86" s="53" t="n">
        <v>317.82</v>
      </c>
      <c r="F86" s="53" t="n">
        <v>3178.2</v>
      </c>
      <c r="G86" s="51" t="inlineStr">
        <is>
          <t>~</t>
        </is>
      </c>
      <c r="H86" s="52" t="n">
        <v>3.13</v>
      </c>
      <c r="I86" s="52" t="n">
        <v>19.07</v>
      </c>
      <c r="J86" s="42">
        <f>Index!$C$2</f>
        <v/>
      </c>
      <c r="K86" s="47" t="n"/>
      <c r="L86" s="47">
        <f>IF(AND( C57="Buy", ISBLANK(W57), B57&lt;&gt;"DIV"), (1-Index!$F$2*2)*((J57*D57)-(E57*D57)), "")</f>
        <v/>
      </c>
      <c r="M86" s="56">
        <f>IF(AND( C57="Buy", ISBLANK(W57), B57&lt;&gt;"DIV"), ((E57*D57)+L57), "")</f>
        <v/>
      </c>
      <c r="N86" s="57">
        <f>IF(AND( C57="Buy", ISBLANK(W57), B57&lt;&gt;"DIV"), D57, "")</f>
        <v/>
      </c>
      <c r="O86" s="56" t="n"/>
      <c r="P86" s="47">
        <f>IF(AND( C57="Buy", ISBLANK(W57), B57&lt;&gt;"DIV", NOW()-A57 &lt; 365), (1-Index!$F$2*2)*((J57*D57)-(E57*D57)), "")</f>
        <v/>
      </c>
      <c r="Q86" s="56">
        <f>IF(AND( C57="Buy", ISBLANK(W57), B57&lt;&gt;"DIV", NOW()-A57 &lt; 365), ((E57*D57)+P57), "")</f>
        <v/>
      </c>
      <c r="R86" s="56">
        <f>IF(AND( C57="Buy", ISBLANK(W57), B57&lt;&gt;"DIV", NOW()-A57 &lt; 365), D57, "")</f>
        <v/>
      </c>
      <c r="S86" s="56" t="n"/>
      <c r="T86" s="56">
        <f>IF(AND( C57="Buy", ISBLANK(W57), B57&lt;&gt;"DIV", NOW()-A57 &gt; 365), (J57*D57)-(E57*D57)-(2*sum(H57:I57)), "")</f>
        <v/>
      </c>
      <c r="U86" s="56">
        <f>IF(AND( C57="Buy", ISBLANK(W57), B57&lt;&gt;"DIV", NOW()-A57 &gt; 365), ((E57*D57)+T57), "")</f>
        <v/>
      </c>
      <c r="V86" s="56">
        <f>IF(AND( C57="Buy", ISBLANK(W57), B57&lt;&gt;"DIV", NOW()-A57 &gt; 365), D57, "")</f>
        <v/>
      </c>
      <c r="W86" s="53" t="n">
        <v>437.94</v>
      </c>
      <c r="X86" s="50" t="n">
        <v>44025</v>
      </c>
      <c r="Y86" s="46">
        <f>IF(AND( C57="Buy", W57&lt;&gt;"", AA57&lt;&gt;"", B57&lt;&gt;"DIV"), Z57/sum(F57:I57), "")</f>
        <v/>
      </c>
      <c r="Z86" s="58">
        <f>(1-Index!$F$2*2)*((W57*D57)-(E57*D57))</f>
        <v/>
      </c>
      <c r="AA86" s="58">
        <f>((E57*D57)+Z57)</f>
        <v/>
      </c>
      <c r="AB86" s="59">
        <f>D57</f>
        <v/>
      </c>
      <c r="AC86" s="44">
        <f>if(B57="DIV", F57,"")</f>
        <v/>
      </c>
      <c r="AD86" s="62" t="inlineStr">
        <is>
          <t>SBI Securities</t>
        </is>
      </c>
    </row>
    <row r="87">
      <c r="A87" s="50" t="n">
        <v>43668</v>
      </c>
      <c r="B87" s="51" t="inlineStr">
        <is>
          <t>NSE</t>
        </is>
      </c>
      <c r="C87" s="51" t="inlineStr">
        <is>
          <t>Buy</t>
        </is>
      </c>
      <c r="D87" s="52" t="n">
        <v>10</v>
      </c>
      <c r="E87" s="53" t="n">
        <v>318.1</v>
      </c>
      <c r="F87" s="53" t="n">
        <v>3180.98</v>
      </c>
      <c r="G87" s="51" t="inlineStr">
        <is>
          <t>~</t>
        </is>
      </c>
      <c r="H87" s="52" t="n">
        <v>3.07</v>
      </c>
      <c r="I87" s="52" t="n">
        <v>19.11</v>
      </c>
      <c r="J87" s="42">
        <f>Index!$C$2</f>
        <v/>
      </c>
      <c r="K87" s="47" t="n"/>
      <c r="L87" s="47">
        <f>IF(AND( C58="Buy", ISBLANK(W58), B58&lt;&gt;"DIV"), (1-Index!$F$2*2)*((J58*D58)-(E58*D58)), "")</f>
        <v/>
      </c>
      <c r="M87" s="56">
        <f>IF(AND( C58="Buy", ISBLANK(W58), B58&lt;&gt;"DIV"), ((E58*D58)+L58), "")</f>
        <v/>
      </c>
      <c r="N87" s="57">
        <f>IF(AND( C58="Buy", ISBLANK(W58), B58&lt;&gt;"DIV"), D58, "")</f>
        <v/>
      </c>
      <c r="O87" s="56" t="n"/>
      <c r="P87" s="47">
        <f>IF(AND( C58="Buy", ISBLANK(W58), B58&lt;&gt;"DIV", NOW()-A58 &lt; 365), (1-Index!$F$2*2)*((J58*D58)-(E58*D58)), "")</f>
        <v/>
      </c>
      <c r="Q87" s="56">
        <f>IF(AND( C58="Buy", ISBLANK(W58), B58&lt;&gt;"DIV", NOW()-A58 &lt; 365), ((E58*D58)+P58), "")</f>
        <v/>
      </c>
      <c r="R87" s="56">
        <f>IF(AND( C58="Buy", ISBLANK(W58), B58&lt;&gt;"DIV", NOW()-A58 &lt; 365), D58, "")</f>
        <v/>
      </c>
      <c r="S87" s="56" t="n"/>
      <c r="T87" s="56">
        <f>IF(AND( C58="Buy", ISBLANK(W58), B58&lt;&gt;"DIV", NOW()-A58 &gt; 365), (J58*D58)-(E58*D58)-(2*sum(H58:I58)), "")</f>
        <v/>
      </c>
      <c r="U87" s="56">
        <f>IF(AND( C58="Buy", ISBLANK(W58), B58&lt;&gt;"DIV", NOW()-A58 &gt; 365), ((E58*D58)+T58), "")</f>
        <v/>
      </c>
      <c r="V87" s="56">
        <f>IF(AND( C58="Buy", ISBLANK(W58), B58&lt;&gt;"DIV", NOW()-A58 &gt; 365), D58, "")</f>
        <v/>
      </c>
      <c r="W87" s="53" t="n">
        <v>437.94</v>
      </c>
      <c r="X87" s="50" t="n">
        <v>44025</v>
      </c>
      <c r="Y87" s="46">
        <f>IF(AND( C58="Buy", W58&lt;&gt;"", AA58&lt;&gt;"", B58&lt;&gt;"DIV"), Z58/sum(F58:I58), "")</f>
        <v/>
      </c>
      <c r="Z87" s="58">
        <f>(1-Index!$F$2*2)*((W58*D58)-(E58*D58))</f>
        <v/>
      </c>
      <c r="AA87" s="58">
        <f>((E58*D58)+Z58)</f>
        <v/>
      </c>
      <c r="AB87" s="59">
        <f>D58</f>
        <v/>
      </c>
      <c r="AC87" s="44">
        <f>if(B58="DIV", F58,"")</f>
        <v/>
      </c>
      <c r="AD87" s="62" t="inlineStr">
        <is>
          <t>SBI Securities</t>
        </is>
      </c>
    </row>
    <row r="88">
      <c r="A88" s="50" t="n">
        <v>43665</v>
      </c>
      <c r="B88" s="51" t="inlineStr">
        <is>
          <t>NSE</t>
        </is>
      </c>
      <c r="C88" s="51" t="inlineStr">
        <is>
          <t>Buy</t>
        </is>
      </c>
      <c r="D88" s="52" t="n">
        <v>10</v>
      </c>
      <c r="E88" s="53" t="n">
        <v>324.56</v>
      </c>
      <c r="F88" s="53" t="n">
        <v>3245.64</v>
      </c>
      <c r="G88" s="51" t="inlineStr">
        <is>
          <t>~</t>
        </is>
      </c>
      <c r="H88" s="52" t="n">
        <v>3.22</v>
      </c>
      <c r="I88" s="52" t="n">
        <v>19.42</v>
      </c>
      <c r="J88" s="42">
        <f>Index!$C$2</f>
        <v/>
      </c>
      <c r="K88" s="47" t="n"/>
      <c r="L88" s="47">
        <f>IF(AND( C59="Buy", ISBLANK(W59), B59&lt;&gt;"DIV"), (1-Index!$F$2*2)*((J59*D59)-(E59*D59)), "")</f>
        <v/>
      </c>
      <c r="M88" s="56">
        <f>IF(AND( C59="Buy", ISBLANK(W59), B59&lt;&gt;"DIV"), ((E59*D59)+L59), "")</f>
        <v/>
      </c>
      <c r="N88" s="57">
        <f>IF(AND( C59="Buy", ISBLANK(W59), B59&lt;&gt;"DIV"), D59, "")</f>
        <v/>
      </c>
      <c r="O88" s="56" t="n"/>
      <c r="P88" s="47">
        <f>IF(AND( C59="Buy", ISBLANK(W59), B59&lt;&gt;"DIV", NOW()-A59 &lt; 365), (1-Index!$F$2*2)*((J59*D59)-(E59*D59)), "")</f>
        <v/>
      </c>
      <c r="Q88" s="56">
        <f>IF(AND( C59="Buy", ISBLANK(W59), B59&lt;&gt;"DIV", NOW()-A59 &lt; 365), ((E59*D59)+P59), "")</f>
        <v/>
      </c>
      <c r="R88" s="56">
        <f>IF(AND( C59="Buy", ISBLANK(W59), B59&lt;&gt;"DIV", NOW()-A59 &lt; 365), D59, "")</f>
        <v/>
      </c>
      <c r="S88" s="56" t="n"/>
      <c r="T88" s="56">
        <f>IF(AND( C59="Buy", ISBLANK(W59), B59&lt;&gt;"DIV", NOW()-A59 &gt; 365), (J59*D59)-(E59*D59)-(2*sum(H59:I59)), "")</f>
        <v/>
      </c>
      <c r="U88" s="56">
        <f>IF(AND( C59="Buy", ISBLANK(W59), B59&lt;&gt;"DIV", NOW()-A59 &gt; 365), ((E59*D59)+T59), "")</f>
        <v/>
      </c>
      <c r="V88" s="56">
        <f>IF(AND( C59="Buy", ISBLANK(W59), B59&lt;&gt;"DIV", NOW()-A59 &gt; 365), D59, "")</f>
        <v/>
      </c>
      <c r="W88" s="53" t="n">
        <v>437.94</v>
      </c>
      <c r="X88" s="50" t="n">
        <v>44025</v>
      </c>
      <c r="Y88" s="46">
        <f>IF(AND( C59="Buy", W59&lt;&gt;"", AA59&lt;&gt;"", B59&lt;&gt;"DIV"), Z59/sum(F59:I59), "")</f>
        <v/>
      </c>
      <c r="Z88" s="58">
        <f>(1-Index!$F$2*2)*((W59*D59)-(E59*D59))</f>
        <v/>
      </c>
      <c r="AA88" s="58">
        <f>((E59*D59)+Z59)</f>
        <v/>
      </c>
      <c r="AB88" s="59">
        <f>D59</f>
        <v/>
      </c>
      <c r="AC88" s="44">
        <f>if(B59="DIV", F59,"")</f>
        <v/>
      </c>
      <c r="AD88" s="62" t="inlineStr">
        <is>
          <t>SBI Securities</t>
        </is>
      </c>
    </row>
    <row r="89">
      <c r="E89" s="63" t="n"/>
      <c r="F89" s="63" t="n"/>
      <c r="G89" s="64" t="n"/>
      <c r="J89" s="63" t="n"/>
      <c r="K89" s="63" t="n"/>
      <c r="L89" s="63" t="n"/>
      <c r="M89" s="66" t="n"/>
      <c r="W89" s="63" t="n"/>
      <c r="X89" s="63" t="n"/>
      <c r="Y89" s="63" t="n"/>
      <c r="Z89" s="63" t="n"/>
      <c r="AA89" s="63" t="n"/>
      <c r="AB89" s="63" t="n"/>
      <c r="AC89" s="63" t="n"/>
    </row>
    <row r="90">
      <c r="E90" s="63" t="n"/>
      <c r="F90" s="63" t="n"/>
      <c r="G90" s="64" t="n"/>
      <c r="J90" s="63" t="n"/>
      <c r="K90" s="63" t="n"/>
      <c r="L90" s="63" t="n"/>
      <c r="M90" s="66" t="n"/>
      <c r="W90" s="63" t="n"/>
      <c r="X90" s="63" t="n"/>
      <c r="Y90" s="63" t="n"/>
      <c r="Z90" s="63" t="n"/>
      <c r="AA90" s="63" t="n"/>
      <c r="AB90" s="63" t="n"/>
      <c r="AC90" s="63" t="n"/>
    </row>
    <row r="91">
      <c r="E91" s="63" t="n"/>
      <c r="F91" s="63" t="n"/>
      <c r="G91" s="64" t="n"/>
      <c r="J91" s="63" t="n"/>
      <c r="K91" s="63" t="n"/>
      <c r="L91" s="63" t="n"/>
      <c r="M91" s="66" t="n"/>
      <c r="W91" s="63" t="n"/>
      <c r="X91" s="63" t="n"/>
      <c r="Y91" s="63" t="n"/>
      <c r="Z91" s="63" t="n"/>
      <c r="AA91" s="63" t="n"/>
      <c r="AB91" s="63" t="n"/>
      <c r="AC91" s="63" t="n"/>
    </row>
    <row r="92">
      <c r="E92" s="63" t="n"/>
      <c r="F92" s="63" t="n"/>
      <c r="G92" s="64" t="n"/>
      <c r="J92" s="63" t="n"/>
      <c r="K92" s="63" t="n"/>
      <c r="L92" s="63" t="n"/>
      <c r="M92" s="66" t="n"/>
      <c r="W92" s="63" t="n"/>
      <c r="X92" s="63" t="n"/>
      <c r="Y92" s="63" t="n"/>
      <c r="Z92" s="63" t="n"/>
      <c r="AA92" s="63" t="n"/>
      <c r="AB92" s="63" t="n"/>
      <c r="AC92" s="63" t="n"/>
    </row>
    <row r="93">
      <c r="E93" s="63" t="n"/>
      <c r="F93" s="63" t="n"/>
      <c r="G93" s="64" t="n"/>
      <c r="J93" s="63" t="n"/>
      <c r="K93" s="63" t="n"/>
      <c r="L93" s="63" t="n"/>
      <c r="M93" s="66" t="n"/>
      <c r="W93" s="63" t="n"/>
      <c r="X93" s="63" t="n"/>
      <c r="Y93" s="63" t="n"/>
      <c r="Z93" s="63" t="n"/>
      <c r="AA93" s="63" t="n"/>
      <c r="AB93" s="63" t="n"/>
      <c r="AC93" s="63" t="n"/>
    </row>
    <row r="94">
      <c r="E94" s="63" t="n"/>
      <c r="F94" s="63" t="n"/>
      <c r="G94" s="64" t="n"/>
      <c r="J94" s="63" t="n"/>
      <c r="K94" s="63" t="n"/>
      <c r="L94" s="63" t="n"/>
      <c r="M94" s="66" t="n"/>
      <c r="W94" s="63" t="n"/>
      <c r="X94" s="63" t="n"/>
      <c r="Y94" s="63" t="n"/>
      <c r="Z94" s="63" t="n"/>
      <c r="AA94" s="63" t="n"/>
      <c r="AB94" s="63" t="n"/>
      <c r="AC94" s="63" t="n"/>
    </row>
    <row r="95">
      <c r="E95" s="63" t="n"/>
      <c r="F95" s="63" t="n"/>
      <c r="G95" s="64" t="n"/>
      <c r="J95" s="63" t="n"/>
      <c r="K95" s="63" t="n"/>
      <c r="L95" s="63" t="n"/>
      <c r="M95" s="66" t="n"/>
      <c r="W95" s="63" t="n"/>
      <c r="X95" s="63" t="n"/>
      <c r="Y95" s="63" t="n"/>
      <c r="Z95" s="63" t="n"/>
      <c r="AA95" s="63" t="n"/>
      <c r="AB95" s="63" t="n"/>
      <c r="AC95" s="63" t="n"/>
    </row>
    <row r="96">
      <c r="E96" s="63" t="n"/>
      <c r="F96" s="63" t="n"/>
      <c r="G96" s="64" t="n"/>
      <c r="J96" s="63" t="n"/>
      <c r="K96" s="63" t="n"/>
      <c r="L96" s="63" t="n"/>
      <c r="M96" s="66" t="n"/>
      <c r="W96" s="63" t="n"/>
      <c r="X96" s="63" t="n"/>
      <c r="Y96" s="63" t="n"/>
      <c r="Z96" s="63" t="n"/>
      <c r="AA96" s="63" t="n"/>
      <c r="AB96" s="63" t="n"/>
      <c r="AC96" s="63" t="n"/>
    </row>
    <row r="97">
      <c r="E97" s="63" t="n"/>
      <c r="F97" s="63" t="n"/>
      <c r="G97" s="64" t="n"/>
      <c r="J97" s="63" t="n"/>
      <c r="K97" s="63" t="n"/>
      <c r="L97" s="63" t="n"/>
      <c r="M97" s="66" t="n"/>
      <c r="W97" s="63" t="n"/>
      <c r="X97" s="63" t="n"/>
      <c r="Y97" s="63" t="n"/>
      <c r="Z97" s="63" t="n"/>
      <c r="AA97" s="63" t="n"/>
      <c r="AB97" s="63" t="n"/>
      <c r="AC97" s="63" t="n"/>
    </row>
    <row r="98">
      <c r="E98" s="63" t="n"/>
      <c r="F98" s="63" t="n"/>
      <c r="G98" s="64" t="n"/>
      <c r="J98" s="63" t="n"/>
      <c r="K98" s="63" t="n"/>
      <c r="L98" s="63" t="n"/>
      <c r="M98" s="66" t="n"/>
      <c r="W98" s="63" t="n"/>
      <c r="X98" s="63" t="n"/>
      <c r="Y98" s="63" t="n"/>
      <c r="Z98" s="63" t="n"/>
      <c r="AA98" s="63" t="n"/>
      <c r="AB98" s="63" t="n"/>
      <c r="AC98" s="63" t="n"/>
    </row>
    <row r="99">
      <c r="E99" s="63" t="n"/>
      <c r="F99" s="63" t="n"/>
      <c r="G99" s="64" t="n"/>
      <c r="J99" s="63" t="n"/>
      <c r="K99" s="63" t="n"/>
      <c r="L99" s="63" t="n"/>
      <c r="M99" s="66" t="n"/>
      <c r="W99" s="63" t="n"/>
      <c r="X99" s="63" t="n"/>
      <c r="Y99" s="63" t="n"/>
      <c r="Z99" s="63" t="n"/>
      <c r="AA99" s="63" t="n"/>
      <c r="AB99" s="63" t="n"/>
      <c r="AC99" s="63" t="n"/>
    </row>
    <row r="100">
      <c r="E100" s="63" t="n"/>
      <c r="F100" s="63" t="n"/>
      <c r="G100" s="64" t="n"/>
      <c r="J100" s="63" t="n"/>
      <c r="K100" s="63" t="n"/>
      <c r="L100" s="63" t="n"/>
      <c r="M100" s="66" t="n"/>
      <c r="W100" s="63" t="n"/>
      <c r="X100" s="63" t="n"/>
      <c r="Y100" s="63" t="n"/>
      <c r="Z100" s="63" t="n"/>
      <c r="AA100" s="63" t="n"/>
      <c r="AB100" s="63" t="n"/>
      <c r="AC100" s="63" t="n"/>
    </row>
    <row r="101">
      <c r="E101" s="63" t="n"/>
      <c r="F101" s="63" t="n"/>
      <c r="G101" s="64" t="n"/>
      <c r="J101" s="63" t="n"/>
      <c r="K101" s="63" t="n"/>
      <c r="L101" s="63" t="n"/>
      <c r="M101" s="66" t="n"/>
      <c r="W101" s="63" t="n"/>
      <c r="X101" s="63" t="n"/>
      <c r="Y101" s="63" t="n"/>
      <c r="Z101" s="63" t="n"/>
      <c r="AA101" s="63" t="n"/>
      <c r="AB101" s="63" t="n"/>
      <c r="AC101" s="63" t="n"/>
    </row>
    <row r="102">
      <c r="E102" s="63" t="n"/>
      <c r="F102" s="63" t="n"/>
      <c r="G102" s="64" t="n"/>
      <c r="J102" s="63" t="n"/>
      <c r="K102" s="63" t="n"/>
      <c r="L102" s="63" t="n"/>
      <c r="M102" s="66" t="n"/>
      <c r="W102" s="63" t="n"/>
      <c r="X102" s="63" t="n"/>
      <c r="Y102" s="63" t="n"/>
      <c r="Z102" s="63" t="n"/>
      <c r="AA102" s="63" t="n"/>
      <c r="AB102" s="63" t="n"/>
      <c r="AC102" s="63" t="n"/>
    </row>
    <row r="103">
      <c r="E103" s="63" t="n"/>
      <c r="F103" s="63" t="n"/>
      <c r="G103" s="64" t="n"/>
      <c r="J103" s="63" t="n"/>
      <c r="K103" s="63" t="n"/>
      <c r="L103" s="63" t="n"/>
      <c r="M103" s="66" t="n"/>
      <c r="W103" s="63" t="n"/>
      <c r="X103" s="63" t="n"/>
      <c r="Y103" s="63" t="n"/>
      <c r="Z103" s="63" t="n"/>
      <c r="AA103" s="63" t="n"/>
      <c r="AB103" s="63" t="n"/>
      <c r="AC103" s="63" t="n"/>
    </row>
    <row r="104">
      <c r="E104" s="63" t="n"/>
      <c r="F104" s="63" t="n"/>
      <c r="G104" s="64" t="n"/>
      <c r="J104" s="63" t="n"/>
      <c r="K104" s="63" t="n"/>
      <c r="L104" s="63" t="n"/>
      <c r="M104" s="66" t="n"/>
      <c r="W104" s="63" t="n"/>
      <c r="X104" s="63" t="n"/>
      <c r="Y104" s="63" t="n"/>
      <c r="Z104" s="63" t="n"/>
      <c r="AA104" s="63" t="n"/>
      <c r="AB104" s="63" t="n"/>
      <c r="AC104" s="63" t="n"/>
    </row>
    <row r="105">
      <c r="E105" s="63" t="n"/>
      <c r="F105" s="63" t="n"/>
      <c r="G105" s="64" t="n"/>
      <c r="J105" s="63" t="n"/>
      <c r="K105" s="63" t="n"/>
      <c r="L105" s="63" t="n"/>
      <c r="M105" s="66" t="n"/>
      <c r="W105" s="63" t="n"/>
      <c r="X105" s="63" t="n"/>
      <c r="Y105" s="63" t="n"/>
      <c r="Z105" s="63" t="n"/>
      <c r="AA105" s="63" t="n"/>
      <c r="AB105" s="63" t="n"/>
      <c r="AC105" s="63" t="n"/>
    </row>
    <row r="106">
      <c r="E106" s="63" t="n"/>
      <c r="F106" s="63" t="n"/>
      <c r="G106" s="64" t="n"/>
      <c r="J106" s="63" t="n"/>
      <c r="K106" s="63" t="n"/>
      <c r="L106" s="63" t="n"/>
      <c r="M106" s="66" t="n"/>
      <c r="W106" s="63" t="n"/>
      <c r="X106" s="63" t="n"/>
      <c r="Y106" s="63" t="n"/>
      <c r="Z106" s="63" t="n"/>
      <c r="AA106" s="63" t="n"/>
      <c r="AB106" s="63" t="n"/>
      <c r="AC106" s="63" t="n"/>
    </row>
    <row r="107">
      <c r="E107" s="63" t="n"/>
      <c r="F107" s="63" t="n"/>
      <c r="G107" s="64" t="n"/>
      <c r="J107" s="63" t="n"/>
      <c r="K107" s="63" t="n"/>
      <c r="L107" s="63" t="n"/>
      <c r="M107" s="66" t="n"/>
      <c r="W107" s="63" t="n"/>
      <c r="X107" s="63" t="n"/>
      <c r="Y107" s="63" t="n"/>
      <c r="Z107" s="63" t="n"/>
      <c r="AA107" s="63" t="n"/>
      <c r="AB107" s="63" t="n"/>
      <c r="AC107" s="63" t="n"/>
    </row>
    <row r="108">
      <c r="E108" s="63" t="n"/>
      <c r="F108" s="63" t="n"/>
      <c r="G108" s="64" t="n"/>
      <c r="J108" s="63" t="n"/>
      <c r="K108" s="63" t="n"/>
      <c r="L108" s="63" t="n"/>
      <c r="M108" s="66" t="n"/>
      <c r="W108" s="63" t="n"/>
      <c r="X108" s="63" t="n"/>
      <c r="Y108" s="63" t="n"/>
      <c r="Z108" s="63" t="n"/>
      <c r="AA108" s="63" t="n"/>
      <c r="AB108" s="63" t="n"/>
      <c r="AC108" s="63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M988" s="66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M989" s="66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M990" s="66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M991" s="66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M992" s="66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M993" s="66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M994" s="66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M995" s="66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M996" s="66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M997" s="66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M998" s="66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M999" s="66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M1000" s="66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M1001" s="66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M1002" s="66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M1003" s="66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M1004" s="66" t="n"/>
      <c r="W1004" s="63" t="n"/>
      <c r="X1004" s="63" t="n"/>
      <c r="Y1004" s="63" t="n"/>
      <c r="Z1004" s="63" t="n"/>
      <c r="AA1004" s="63" t="n"/>
      <c r="AB1004" s="63" t="n"/>
      <c r="AC1004" s="63" t="n"/>
    </row>
    <row r="1005">
      <c r="E1005" s="63" t="n"/>
      <c r="F1005" s="63" t="n"/>
      <c r="G1005" s="64" t="n"/>
      <c r="J1005" s="63" t="n"/>
      <c r="K1005" s="63" t="n"/>
      <c r="L1005" s="63" t="n"/>
      <c r="M1005" s="66" t="n"/>
      <c r="W1005" s="63" t="n"/>
      <c r="X1005" s="63" t="n"/>
      <c r="Y1005" s="63" t="n"/>
      <c r="Z1005" s="63" t="n"/>
      <c r="AA1005" s="63" t="n"/>
      <c r="AB1005" s="63" t="n"/>
      <c r="AC1005" s="63" t="n"/>
    </row>
    <row r="1006">
      <c r="E1006" s="63" t="n"/>
      <c r="F1006" s="63" t="n"/>
      <c r="G1006" s="64" t="n"/>
      <c r="J1006" s="63" t="n"/>
      <c r="K1006" s="63" t="n"/>
      <c r="L1006" s="63" t="n"/>
      <c r="M1006" s="66" t="n"/>
      <c r="W1006" s="63" t="n"/>
      <c r="X1006" s="63" t="n"/>
      <c r="Y1006" s="63" t="n"/>
      <c r="Z1006" s="63" t="n"/>
      <c r="AA1006" s="63" t="n"/>
      <c r="AB1006" s="63" t="n"/>
      <c r="AC1006" s="63" t="n"/>
    </row>
    <row r="1007">
      <c r="E1007" s="63" t="n"/>
      <c r="F1007" s="63" t="n"/>
      <c r="G1007" s="64" t="n"/>
      <c r="J1007" s="63" t="n"/>
      <c r="K1007" s="63" t="n"/>
      <c r="L1007" s="63" t="n"/>
      <c r="M1007" s="66" t="n"/>
      <c r="W1007" s="63" t="n"/>
      <c r="X1007" s="63" t="n"/>
      <c r="Y1007" s="63" t="n"/>
      <c r="Z1007" s="63" t="n"/>
      <c r="AA1007" s="63" t="n"/>
      <c r="AB1007" s="63" t="n"/>
      <c r="AC1007" s="63" t="n"/>
    </row>
    <row r="1008">
      <c r="E1008" s="63" t="n"/>
      <c r="F1008" s="63" t="n"/>
      <c r="G1008" s="64" t="n"/>
      <c r="J1008" s="63" t="n"/>
      <c r="K1008" s="63" t="n"/>
      <c r="L1008" s="63" t="n"/>
      <c r="M1008" s="66" t="n"/>
      <c r="W1008" s="63" t="n"/>
      <c r="X1008" s="63" t="n"/>
      <c r="Y1008" s="63" t="n"/>
      <c r="Z1008" s="63" t="n"/>
      <c r="AA1008" s="63" t="n"/>
      <c r="AB1008" s="63" t="n"/>
      <c r="AC1008" s="63" t="n"/>
    </row>
    <row r="1009">
      <c r="E1009" s="63" t="n"/>
      <c r="F1009" s="63" t="n"/>
      <c r="G1009" s="64" t="n"/>
      <c r="J1009" s="63" t="n"/>
      <c r="K1009" s="63" t="n"/>
      <c r="L1009" s="63" t="n"/>
      <c r="M1009" s="66" t="n"/>
      <c r="W1009" s="63" t="n"/>
      <c r="X1009" s="63" t="n"/>
      <c r="Y1009" s="63" t="n"/>
      <c r="Z1009" s="63" t="n"/>
      <c r="AA1009" s="63" t="n"/>
      <c r="AB1009" s="63" t="n"/>
      <c r="AC1009" s="63" t="n"/>
    </row>
    <row r="1010">
      <c r="E1010" s="63" t="n"/>
      <c r="F1010" s="63" t="n"/>
      <c r="G1010" s="64" t="n"/>
      <c r="J1010" s="63" t="n"/>
      <c r="K1010" s="63" t="n"/>
      <c r="L1010" s="63" t="n"/>
      <c r="M1010" s="66" t="n"/>
      <c r="W1010" s="63" t="n"/>
      <c r="X1010" s="63" t="n"/>
      <c r="Y1010" s="63" t="n"/>
      <c r="Z1010" s="63" t="n"/>
      <c r="AA1010" s="63" t="n"/>
      <c r="AB1010" s="63" t="n"/>
      <c r="AC1010" s="63" t="n"/>
    </row>
    <row r="1011">
      <c r="E1011" s="63" t="n"/>
      <c r="F1011" s="63" t="n"/>
      <c r="G1011" s="64" t="n"/>
      <c r="J1011" s="63" t="n"/>
      <c r="K1011" s="63" t="n"/>
      <c r="L1011" s="63" t="n"/>
      <c r="M1011" s="66" t="n"/>
      <c r="W1011" s="63" t="n"/>
      <c r="X1011" s="63" t="n"/>
      <c r="Y1011" s="63" t="n"/>
      <c r="Z1011" s="63" t="n"/>
      <c r="AA1011" s="63" t="n"/>
      <c r="AB1011" s="63" t="n"/>
      <c r="AC1011" s="63" t="n"/>
    </row>
    <row r="1012">
      <c r="E1012" s="63" t="n"/>
      <c r="F1012" s="63" t="n"/>
      <c r="G1012" s="64" t="n"/>
      <c r="J1012" s="63" t="n"/>
      <c r="K1012" s="63" t="n"/>
      <c r="L1012" s="63" t="n"/>
      <c r="M1012" s="66" t="n"/>
      <c r="W1012" s="63" t="n"/>
      <c r="X1012" s="63" t="n"/>
      <c r="Y1012" s="63" t="n"/>
      <c r="Z1012" s="63" t="n"/>
      <c r="AA1012" s="63" t="n"/>
      <c r="AB1012" s="63" t="n"/>
      <c r="AC1012" s="63" t="n"/>
    </row>
    <row r="1013">
      <c r="E1013" s="63" t="n"/>
      <c r="F1013" s="63" t="n"/>
      <c r="G1013" s="64" t="n"/>
      <c r="J1013" s="63" t="n"/>
      <c r="K1013" s="63" t="n"/>
      <c r="L1013" s="63" t="n"/>
      <c r="M1013" s="66" t="n"/>
      <c r="W1013" s="63" t="n"/>
      <c r="X1013" s="63" t="n"/>
      <c r="Y1013" s="63" t="n"/>
      <c r="Z1013" s="63" t="n"/>
      <c r="AA1013" s="63" t="n"/>
      <c r="AB1013" s="63" t="n"/>
      <c r="AC1013" s="63" t="n"/>
    </row>
    <row r="1014">
      <c r="E1014" s="63" t="n"/>
      <c r="F1014" s="63" t="n"/>
      <c r="G1014" s="64" t="n"/>
      <c r="J1014" s="63" t="n"/>
      <c r="K1014" s="63" t="n"/>
      <c r="L1014" s="63" t="n"/>
      <c r="M1014" s="66" t="n"/>
      <c r="W1014" s="63" t="n"/>
      <c r="X1014" s="63" t="n"/>
      <c r="Y1014" s="63" t="n"/>
      <c r="Z1014" s="63" t="n"/>
      <c r="AA1014" s="63" t="n"/>
      <c r="AB1014" s="63" t="n"/>
      <c r="AC1014" s="63" t="n"/>
    </row>
    <row r="1015">
      <c r="E1015" s="63" t="n"/>
      <c r="F1015" s="63" t="n"/>
      <c r="G1015" s="64" t="n"/>
      <c r="J1015" s="63" t="n"/>
      <c r="K1015" s="63" t="n"/>
      <c r="L1015" s="63" t="n"/>
      <c r="M1015" s="66" t="n"/>
      <c r="W1015" s="63" t="n"/>
      <c r="X1015" s="63" t="n"/>
      <c r="Y1015" s="63" t="n"/>
      <c r="Z1015" s="63" t="n"/>
      <c r="AA1015" s="63" t="n"/>
      <c r="AB1015" s="63" t="n"/>
      <c r="AC1015" s="63" t="n"/>
    </row>
    <row r="1016">
      <c r="E1016" s="63" t="n"/>
      <c r="F1016" s="63" t="n"/>
      <c r="G1016" s="64" t="n"/>
      <c r="J1016" s="63" t="n"/>
      <c r="K1016" s="63" t="n"/>
      <c r="L1016" s="63" t="n"/>
      <c r="M1016" s="66" t="n"/>
      <c r="W1016" s="63" t="n"/>
      <c r="X1016" s="63" t="n"/>
      <c r="Y1016" s="63" t="n"/>
      <c r="Z1016" s="63" t="n"/>
      <c r="AA1016" s="63" t="n"/>
      <c r="AB1016" s="63" t="n"/>
      <c r="AC1016" s="63" t="n"/>
    </row>
    <row r="1017">
      <c r="E1017" s="63" t="n"/>
      <c r="F1017" s="63" t="n"/>
      <c r="G1017" s="64" t="n"/>
      <c r="J1017" s="63" t="n"/>
      <c r="K1017" s="63" t="n"/>
      <c r="L1017" s="63" t="n"/>
      <c r="M1017" s="66" t="n"/>
      <c r="W1017" s="63" t="n"/>
      <c r="X1017" s="63" t="n"/>
      <c r="Y1017" s="63" t="n"/>
      <c r="Z1017" s="63" t="n"/>
      <c r="AA1017" s="63" t="n"/>
      <c r="AB1017" s="63" t="n"/>
      <c r="AC1017" s="63" t="n"/>
    </row>
    <row r="1018">
      <c r="E1018" s="63" t="n"/>
      <c r="F1018" s="63" t="n"/>
      <c r="G1018" s="64" t="n"/>
      <c r="J1018" s="63" t="n"/>
      <c r="K1018" s="63" t="n"/>
      <c r="L1018" s="63" t="n"/>
      <c r="M1018" s="66" t="n"/>
      <c r="W1018" s="63" t="n"/>
      <c r="X1018" s="63" t="n"/>
      <c r="Y1018" s="63" t="n"/>
      <c r="Z1018" s="63" t="n"/>
      <c r="AA1018" s="63" t="n"/>
      <c r="AB1018" s="63" t="n"/>
      <c r="AC1018" s="63" t="n"/>
    </row>
    <row r="1019">
      <c r="E1019" s="63" t="n"/>
      <c r="F1019" s="63" t="n"/>
      <c r="G1019" s="64" t="n"/>
      <c r="J1019" s="63" t="n"/>
      <c r="K1019" s="63" t="n"/>
      <c r="L1019" s="63" t="n"/>
      <c r="M1019" s="66" t="n"/>
      <c r="W1019" s="63" t="n"/>
      <c r="X1019" s="63" t="n"/>
      <c r="Y1019" s="63" t="n"/>
      <c r="Z1019" s="63" t="n"/>
      <c r="AA1019" s="63" t="n"/>
      <c r="AB1019" s="63" t="n"/>
      <c r="AC1019" s="63" t="n"/>
    </row>
    <row r="1020">
      <c r="E1020" s="63" t="n"/>
      <c r="F1020" s="63" t="n"/>
      <c r="G1020" s="64" t="n"/>
      <c r="J1020" s="63" t="n"/>
      <c r="K1020" s="63" t="n"/>
      <c r="L1020" s="63" t="n"/>
      <c r="M1020" s="66" t="n"/>
      <c r="W1020" s="63" t="n"/>
      <c r="X1020" s="63" t="n"/>
      <c r="Y1020" s="63" t="n"/>
      <c r="Z1020" s="63" t="n"/>
      <c r="AA1020" s="63" t="n"/>
      <c r="AB1020" s="63" t="n"/>
      <c r="AC1020" s="63" t="n"/>
    </row>
    <row r="1021">
      <c r="E1021" s="63" t="n"/>
      <c r="F1021" s="63" t="n"/>
      <c r="G1021" s="64" t="n"/>
      <c r="J1021" s="63" t="n"/>
      <c r="K1021" s="63" t="n"/>
      <c r="L1021" s="63" t="n"/>
      <c r="M1021" s="66" t="n"/>
      <c r="W1021" s="63" t="n"/>
      <c r="X1021" s="63" t="n"/>
      <c r="Y1021" s="63" t="n"/>
      <c r="Z1021" s="63" t="n"/>
      <c r="AA1021" s="63" t="n"/>
      <c r="AB1021" s="63" t="n"/>
      <c r="AC1021" s="63" t="n"/>
    </row>
    <row r="1022">
      <c r="E1022" s="63" t="n"/>
      <c r="F1022" s="63" t="n"/>
      <c r="G1022" s="64" t="n"/>
      <c r="J1022" s="63" t="n"/>
      <c r="K1022" s="63" t="n"/>
      <c r="L1022" s="63" t="n"/>
      <c r="M1022" s="66" t="n"/>
      <c r="W1022" s="63" t="n"/>
      <c r="X1022" s="63" t="n"/>
      <c r="Y1022" s="63" t="n"/>
      <c r="Z1022" s="63" t="n"/>
      <c r="AA1022" s="63" t="n"/>
      <c r="AB1022" s="63" t="n"/>
      <c r="AC1022" s="63" t="n"/>
    </row>
    <row r="1023">
      <c r="E1023" s="63" t="n"/>
      <c r="F1023" s="63" t="n"/>
      <c r="G1023" s="64" t="n"/>
      <c r="J1023" s="63" t="n"/>
      <c r="K1023" s="63" t="n"/>
      <c r="L1023" s="63" t="n"/>
      <c r="M1023" s="66" t="n"/>
      <c r="W1023" s="63" t="n"/>
      <c r="X1023" s="63" t="n"/>
      <c r="Y1023" s="63" t="n"/>
      <c r="Z1023" s="63" t="n"/>
      <c r="AA1023" s="63" t="n"/>
      <c r="AB1023" s="63" t="n"/>
      <c r="AC1023" s="63" t="n"/>
    </row>
    <row r="1024">
      <c r="E1024" s="63" t="n"/>
      <c r="F1024" s="63" t="n"/>
      <c r="G1024" s="64" t="n"/>
      <c r="J1024" s="63" t="n"/>
      <c r="K1024" s="63" t="n"/>
      <c r="L1024" s="63" t="n"/>
      <c r="M1024" s="66" t="n"/>
      <c r="W1024" s="63" t="n"/>
      <c r="X1024" s="63" t="n"/>
      <c r="Y1024" s="63" t="n"/>
      <c r="Z1024" s="63" t="n"/>
      <c r="AA1024" s="63" t="n"/>
      <c r="AB1024" s="63" t="n"/>
      <c r="AC1024" s="63" t="n"/>
    </row>
    <row r="1025">
      <c r="E1025" s="63" t="n"/>
      <c r="F1025" s="63" t="n"/>
      <c r="G1025" s="64" t="n"/>
      <c r="J1025" s="63" t="n"/>
      <c r="K1025" s="63" t="n"/>
      <c r="L1025" s="63" t="n"/>
      <c r="W1025" s="63" t="n"/>
      <c r="X1025" s="63" t="n"/>
      <c r="Y1025" s="63" t="n"/>
      <c r="Z1025" s="63" t="n"/>
      <c r="AA1025" s="63" t="n"/>
      <c r="AB1025" s="63" t="n"/>
      <c r="AC1025" s="63" t="n"/>
    </row>
    <row r="1026">
      <c r="E1026" s="63" t="n"/>
      <c r="F1026" s="63" t="n"/>
      <c r="G1026" s="64" t="n"/>
      <c r="J1026" s="63" t="n"/>
      <c r="K1026" s="63" t="n"/>
      <c r="L1026" s="63" t="n"/>
      <c r="W1026" s="63" t="n"/>
      <c r="X1026" s="63" t="n"/>
      <c r="Y1026" s="63" t="n"/>
      <c r="Z1026" s="63" t="n"/>
      <c r="AA1026" s="63" t="n"/>
      <c r="AB1026" s="63" t="n"/>
      <c r="AC1026" s="63" t="n"/>
    </row>
    <row r="1027">
      <c r="E1027" s="63" t="n"/>
      <c r="F1027" s="63" t="n"/>
      <c r="G1027" s="64" t="n"/>
      <c r="J1027" s="63" t="n"/>
      <c r="K1027" s="63" t="n"/>
      <c r="L1027" s="63" t="n"/>
      <c r="W1027" s="63" t="n"/>
      <c r="X1027" s="63" t="n"/>
      <c r="Y1027" s="63" t="n"/>
      <c r="Z1027" s="63" t="n"/>
      <c r="AA1027" s="63" t="n"/>
      <c r="AB1027" s="63" t="n"/>
      <c r="AC1027" s="63" t="n"/>
    </row>
    <row r="1028">
      <c r="E1028" s="63" t="n"/>
      <c r="F1028" s="63" t="n"/>
      <c r="G1028" s="64" t="n"/>
      <c r="J1028" s="63" t="n"/>
      <c r="K1028" s="63" t="n"/>
      <c r="L1028" s="63" t="n"/>
      <c r="W1028" s="63" t="n"/>
      <c r="X1028" s="63" t="n"/>
      <c r="Y1028" s="63" t="n"/>
      <c r="Z1028" s="63" t="n"/>
      <c r="AA1028" s="63" t="n"/>
      <c r="AB1028" s="63" t="n"/>
      <c r="AC1028" s="63" t="n"/>
    </row>
    <row r="1029">
      <c r="E1029" s="63" t="n"/>
      <c r="F1029" s="63" t="n"/>
      <c r="G1029" s="64" t="n"/>
      <c r="J1029" s="63" t="n"/>
      <c r="K1029" s="63" t="n"/>
      <c r="L1029" s="63" t="n"/>
      <c r="W1029" s="63" t="n"/>
      <c r="X1029" s="63" t="n"/>
      <c r="Y1029" s="63" t="n"/>
      <c r="Z1029" s="63" t="n"/>
      <c r="AA1029" s="63" t="n"/>
      <c r="AB1029" s="63" t="n"/>
      <c r="AC1029" s="63" t="n"/>
    </row>
    <row r="1030">
      <c r="E1030" s="63" t="n"/>
      <c r="F1030" s="63" t="n"/>
      <c r="G1030" s="64" t="n"/>
      <c r="J1030" s="63" t="n"/>
      <c r="K1030" s="63" t="n"/>
      <c r="L1030" s="63" t="n"/>
      <c r="W1030" s="63" t="n"/>
      <c r="X1030" s="63" t="n"/>
      <c r="Y1030" s="63" t="n"/>
      <c r="Z1030" s="63" t="n"/>
      <c r="AA1030" s="63" t="n"/>
      <c r="AB1030" s="63" t="n"/>
      <c r="AC1030" s="63" t="n"/>
    </row>
    <row r="1031">
      <c r="E1031" s="63" t="n"/>
      <c r="F1031" s="63" t="n"/>
      <c r="G1031" s="64" t="n"/>
      <c r="J1031" s="63" t="n"/>
      <c r="K1031" s="63" t="n"/>
      <c r="L1031" s="63" t="n"/>
      <c r="W1031" s="63" t="n"/>
      <c r="X1031" s="63" t="n"/>
      <c r="Y1031" s="63" t="n"/>
      <c r="Z1031" s="63" t="n"/>
      <c r="AA1031" s="63" t="n"/>
      <c r="AB1031" s="63" t="n"/>
      <c r="AC1031" s="63" t="n"/>
    </row>
    <row r="1032">
      <c r="E1032" s="63" t="n"/>
      <c r="F1032" s="63" t="n"/>
      <c r="G1032" s="64" t="n"/>
      <c r="J1032" s="63" t="n"/>
      <c r="K1032" s="63" t="n"/>
      <c r="L1032" s="63" t="n"/>
      <c r="W1032" s="63" t="n"/>
      <c r="X1032" s="63" t="n"/>
      <c r="Y1032" s="63" t="n"/>
      <c r="Z1032" s="63" t="n"/>
      <c r="AA1032" s="63" t="n"/>
      <c r="AB1032" s="63" t="n"/>
      <c r="AC1032" s="63" t="n"/>
    </row>
    <row r="1033">
      <c r="E1033" s="63" t="n"/>
      <c r="F1033" s="63" t="n"/>
      <c r="G1033" s="64" t="n"/>
      <c r="J1033" s="63" t="n"/>
      <c r="K1033" s="63" t="n"/>
      <c r="L1033" s="63" t="n"/>
      <c r="W1033" s="63" t="n"/>
      <c r="X1033" s="63" t="n"/>
      <c r="Y1033" s="63" t="n"/>
      <c r="Z1033" s="63" t="n"/>
      <c r="AA1033" s="63" t="n"/>
      <c r="AB1033" s="63" t="n"/>
      <c r="AC1033" s="63" t="n"/>
    </row>
    <row r="1034">
      <c r="E1034" s="63" t="n"/>
      <c r="F1034" s="63" t="n"/>
      <c r="G1034" s="64" t="n"/>
      <c r="J1034" s="63" t="n"/>
      <c r="K1034" s="63" t="n"/>
      <c r="L1034" s="63" t="n"/>
      <c r="W1034" s="63" t="n"/>
      <c r="X1034" s="63" t="n"/>
      <c r="Y1034" s="63" t="n"/>
      <c r="Z1034" s="63" t="n"/>
      <c r="AA1034" s="63" t="n"/>
      <c r="AB1034" s="63" t="n"/>
      <c r="AC1034" s="63" t="n"/>
    </row>
    <row r="1035">
      <c r="E1035" s="63" t="n"/>
      <c r="F1035" s="63" t="n"/>
      <c r="G1035" s="64" t="n"/>
      <c r="J1035" s="63" t="n"/>
      <c r="K1035" s="63" t="n"/>
      <c r="L1035" s="63" t="n"/>
      <c r="W1035" s="63" t="n"/>
      <c r="X1035" s="63" t="n"/>
      <c r="Y1035" s="63" t="n"/>
      <c r="Z1035" s="63" t="n"/>
      <c r="AA1035" s="63" t="n"/>
      <c r="AB1035" s="63" t="n"/>
      <c r="AC1035" s="63" t="n"/>
    </row>
    <row r="1036">
      <c r="E1036" s="63" t="n"/>
      <c r="F1036" s="63" t="n"/>
      <c r="G1036" s="64" t="n"/>
      <c r="J1036" s="63" t="n"/>
      <c r="K1036" s="63" t="n"/>
      <c r="L1036" s="63" t="n"/>
      <c r="W1036" s="63" t="n"/>
      <c r="X1036" s="63" t="n"/>
      <c r="Y1036" s="63" t="n"/>
      <c r="Z1036" s="63" t="n"/>
      <c r="AA1036" s="63" t="n"/>
      <c r="AB1036" s="63" t="n"/>
      <c r="AC1036" s="63" t="n"/>
    </row>
    <row r="1037">
      <c r="E1037" s="63" t="n"/>
      <c r="F1037" s="63" t="n"/>
      <c r="G1037" s="64" t="n"/>
      <c r="J1037" s="63" t="n"/>
      <c r="K1037" s="63" t="n"/>
      <c r="L1037" s="63" t="n"/>
      <c r="W1037" s="63" t="n"/>
      <c r="X1037" s="63" t="n"/>
      <c r="Y1037" s="63" t="n"/>
      <c r="Z1037" s="63" t="n"/>
      <c r="AA1037" s="63" t="n"/>
      <c r="AB1037" s="63" t="n"/>
      <c r="AC1037" s="63" t="n"/>
    </row>
    <row r="1038">
      <c r="E1038" s="63" t="n"/>
      <c r="F1038" s="63" t="n"/>
      <c r="G1038" s="64" t="n"/>
      <c r="J1038" s="63" t="n"/>
      <c r="K1038" s="63" t="n"/>
      <c r="L1038" s="63" t="n"/>
      <c r="W1038" s="63" t="n"/>
      <c r="X1038" s="63" t="n"/>
      <c r="Y1038" s="63" t="n"/>
      <c r="Z1038" s="63" t="n"/>
      <c r="AA1038" s="63" t="n"/>
      <c r="AB1038" s="63" t="n"/>
      <c r="AC1038" s="63" t="n"/>
    </row>
    <row r="1039">
      <c r="E1039" s="63" t="n"/>
      <c r="F1039" s="63" t="n"/>
      <c r="G1039" s="64" t="n"/>
      <c r="J1039" s="63" t="n"/>
      <c r="K1039" s="63" t="n"/>
      <c r="L1039" s="63" t="n"/>
      <c r="W1039" s="63" t="n"/>
      <c r="X1039" s="63" t="n"/>
      <c r="Y1039" s="63" t="n"/>
      <c r="Z1039" s="63" t="n"/>
      <c r="AA1039" s="63" t="n"/>
      <c r="AB1039" s="63" t="n"/>
      <c r="AC1039" s="63" t="n"/>
    </row>
    <row r="1040">
      <c r="E1040" s="63" t="n"/>
      <c r="F1040" s="63" t="n"/>
      <c r="G1040" s="64" t="n"/>
      <c r="J1040" s="63" t="n"/>
      <c r="K1040" s="63" t="n"/>
      <c r="L1040" s="63" t="n"/>
      <c r="W1040" s="63" t="n"/>
      <c r="X1040" s="63" t="n"/>
      <c r="Y1040" s="63" t="n"/>
      <c r="Z1040" s="63" t="n"/>
      <c r="AA1040" s="63" t="n"/>
      <c r="AB1040" s="63" t="n"/>
      <c r="AC1040" s="63" t="n"/>
    </row>
    <row r="1041">
      <c r="E1041" s="63" t="n"/>
      <c r="F1041" s="63" t="n"/>
      <c r="G1041" s="64" t="n"/>
      <c r="J1041" s="63" t="n"/>
      <c r="K1041" s="63" t="n"/>
      <c r="L1041" s="63" t="n"/>
      <c r="W1041" s="63" t="n"/>
      <c r="X1041" s="63" t="n"/>
      <c r="Y1041" s="63" t="n"/>
      <c r="Z1041" s="63" t="n"/>
      <c r="AA1041" s="63" t="n"/>
      <c r="AB1041" s="63" t="n"/>
      <c r="AC1041" s="63" t="n"/>
    </row>
  </sheetData>
  <autoFilter ref="$A$4:$AO$89"/>
  <mergeCells count="5">
    <mergeCell ref="W2:AC3"/>
    <mergeCell ref="S3:V3"/>
    <mergeCell ref="K2:V2"/>
    <mergeCell ref="K3:N3"/>
    <mergeCell ref="O3:R3"/>
  </mergeCells>
  <conditionalFormatting sqref="C1:C101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59 AE5:AP51">
    <cfRule type="expression" priority="5" dxfId="1">
      <formula>NOT(ISBLANK($W5))</formula>
    </cfRule>
  </conditionalFormatting>
  <conditionalFormatting sqref="K5:K59 O5:O59 S5:S5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5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NSE:SYNGENE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>
        <f>IFERROR(__xludf.DUMMYFUNCTION("GOOGLEFINANCE($C$1, ""price"")"),447.95)</f>
        <v/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>
        <f>IFERROR(__xludf.DUMMYFUNCTION("GOOGLEFINANCE($C$1, ""high52"")"),760.0)</f>
        <v/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>
        <f>IFERROR(__xludf.DUMMYFUNCTION("GOOGLEFINANCE($C$1, ""low52"")"),439.0)</f>
        <v/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History'!$N$4:$N1007)</f>
        <v/>
      </c>
      <c r="D8" s="70" t="n"/>
      <c r="E8" s="75" t="inlineStr">
        <is>
          <t>ST Units</t>
        </is>
      </c>
      <c r="F8" s="74">
        <f>IFERROR(SUM('Trading History'!$R$4:$R1007), 0)</f>
        <v/>
      </c>
      <c r="G8" s="70" t="n"/>
      <c r="H8" s="76" t="inlineStr">
        <is>
          <t>LT Units</t>
        </is>
      </c>
      <c r="I8" s="74">
        <f>SUM('Trading History'!$V$4:$V1007)</f>
        <v/>
      </c>
      <c r="J8" s="70" t="n"/>
      <c r="K8" s="77" t="inlineStr">
        <is>
          <t>Units</t>
        </is>
      </c>
      <c r="L8" s="74">
        <f>SUM('Trading History'!$AB$4:$AB1007)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78" t="n"/>
      <c r="B9" s="79" t="inlineStr">
        <is>
          <t>Avg %</t>
        </is>
      </c>
      <c r="C9" s="68">
        <f>IFERROR(Index!C10/(Index!C8*Index!$C$2), 0)</f>
        <v/>
      </c>
      <c r="D9" s="70" t="n"/>
      <c r="E9" s="80" t="inlineStr">
        <is>
          <t>ST Avg %</t>
        </is>
      </c>
      <c r="F9" s="68">
        <f>IFERROR(Index!F10/(Index!F8*Index!$C$2), 0)</f>
        <v/>
      </c>
      <c r="G9" s="70" t="n"/>
      <c r="H9" s="81" t="inlineStr">
        <is>
          <t>LT Avg %</t>
        </is>
      </c>
      <c r="I9" s="68">
        <f>IFERROR(Index!I10/(Index!I8*Index!$C$2), 0)</f>
        <v/>
      </c>
      <c r="J9" s="70" t="n"/>
      <c r="K9" s="82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78" t="n"/>
      <c r="B10" s="79" t="inlineStr">
        <is>
          <t>Gain</t>
        </is>
      </c>
      <c r="C10" s="83">
        <f>SUM('Trading History'!$L$4:$L1007)</f>
        <v/>
      </c>
      <c r="D10" s="70" t="n"/>
      <c r="E10" s="80" t="inlineStr">
        <is>
          <t>ST Gain</t>
        </is>
      </c>
      <c r="F10" s="83">
        <f>SUM('Trading History'!$P$4:$P1007)</f>
        <v/>
      </c>
      <c r="G10" s="70" t="n"/>
      <c r="H10" s="81" t="inlineStr">
        <is>
          <t>LT Gain</t>
        </is>
      </c>
      <c r="I10" s="83">
        <f>SUM('Trading History'!$T$4:$T1007)</f>
        <v/>
      </c>
      <c r="J10" s="70" t="n"/>
      <c r="K10" s="82" t="inlineStr">
        <is>
          <t>Gain</t>
        </is>
      </c>
      <c r="L10" s="83">
        <f>SUM('Trading History'!$Z$4:$Z1007)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78" t="n"/>
      <c r="B12" s="79" t="inlineStr">
        <is>
          <t>Gross</t>
        </is>
      </c>
      <c r="C12" s="83">
        <f>SUM('Trading History'!$M$4:$M1007)</f>
        <v/>
      </c>
      <c r="D12" s="70" t="n"/>
      <c r="E12" s="80" t="inlineStr">
        <is>
          <t>ST Gross</t>
        </is>
      </c>
      <c r="F12" s="83">
        <f>SUM('Trading History'!$Q$4:$Q1007)</f>
        <v/>
      </c>
      <c r="G12" s="70" t="n"/>
      <c r="H12" s="81" t="inlineStr">
        <is>
          <t>LT Gross</t>
        </is>
      </c>
      <c r="I12" s="83">
        <f>SUM('Trading History'!$U$4:$U1007)</f>
        <v/>
      </c>
      <c r="J12" s="70" t="n"/>
      <c r="K12" s="82" t="inlineStr">
        <is>
          <t>Gross</t>
        </is>
      </c>
      <c r="L12" s="83">
        <f>SUM('Trading History'!$AA$4:$AA1007)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78" t="n"/>
      <c r="B13" s="66" t="n"/>
      <c r="C13" s="84" t="n"/>
      <c r="D13" s="66" t="n"/>
      <c r="E13" s="2" t="n"/>
      <c r="F13" s="84" t="n"/>
      <c r="G13" s="66" t="n"/>
      <c r="H13" s="2" t="n"/>
      <c r="I13" s="84" t="n"/>
      <c r="J13" s="66" t="n"/>
      <c r="K13" s="82" t="inlineStr">
        <is>
          <t>Dividends</t>
        </is>
      </c>
      <c r="L13" s="83">
        <f>SUMIF('Trading History'!$B17:$B1007,"DIV",'Trading History'!$AC$4:$AC1007)</f>
        <v/>
      </c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>
      <c r="A14" s="78" t="n"/>
      <c r="B14" s="66" t="n"/>
      <c r="C14" s="84" t="n"/>
      <c r="D14" s="66" t="n"/>
      <c r="E14" s="2" t="n"/>
      <c r="F14" s="84" t="n"/>
      <c r="G14" s="66" t="n"/>
      <c r="H14" s="2" t="n"/>
      <c r="I14" s="84" t="n"/>
      <c r="J14" s="66" t="n"/>
      <c r="K14" s="2" t="n"/>
      <c r="L14" s="84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72" t="n">
        <v>0.5</v>
      </c>
      <c r="B15" s="73" t="inlineStr">
        <is>
          <t>Units</t>
        </is>
      </c>
      <c r="C15" s="74">
        <f>SUMIFS('Trading History'!$N$4:$N1007, 'Trading History'!$K$4:$K1007, CONCAT("&gt;", $A15))</f>
        <v/>
      </c>
      <c r="D15" s="70" t="n"/>
      <c r="E15" s="75" t="inlineStr">
        <is>
          <t>ST Units</t>
        </is>
      </c>
      <c r="F15" s="74">
        <f>IFERROR(SUMIFS('Trading History'!$R$4:$R1007, 'Trading History'!$O$4:$O1007, CONCAT("&gt;", $A15)), 0)</f>
        <v/>
      </c>
      <c r="G15" s="70" t="n"/>
      <c r="H15" s="76" t="inlineStr">
        <is>
          <t>LT Units</t>
        </is>
      </c>
      <c r="I15" s="74">
        <f>SUMIFS('Trading History'!$V$4:$V1007, 'Trading History'!$S$4:$S1007, CONCAT("&gt;", $A15))</f>
        <v/>
      </c>
      <c r="J15" s="70" t="n"/>
      <c r="K15" s="77" t="inlineStr">
        <is>
          <t>Units</t>
        </is>
      </c>
      <c r="L15" s="74">
        <f>SUMIFS('Trading History'!$AB$4:$AB1007, 'Trading History'!$Y$4:$Y1007,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9" t="inlineStr">
        <is>
          <t>Avg %</t>
        </is>
      </c>
      <c r="C16" s="68">
        <f>IFERROR(Index!C17/(Index!C15*Index!$C$2), 0)</f>
        <v/>
      </c>
      <c r="D16" s="70" t="n"/>
      <c r="E16" s="80" t="inlineStr">
        <is>
          <t>ST Avg %</t>
        </is>
      </c>
      <c r="F16" s="68">
        <f>IFERROR(Index!F17/(Index!F15*Index!$C$2), 0)</f>
        <v/>
      </c>
      <c r="G16" s="70" t="n"/>
      <c r="H16" s="81" t="inlineStr">
        <is>
          <t>LT Avg %</t>
        </is>
      </c>
      <c r="I16" s="68">
        <f>IFERROR(Index!I17/(Index!I15*Index!$C$2), 0)</f>
        <v/>
      </c>
      <c r="J16" s="70" t="n"/>
      <c r="K16" s="82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9" t="inlineStr">
        <is>
          <t>Gain</t>
        </is>
      </c>
      <c r="C17" s="83">
        <f>SUMIFS('Trading History'!$L$4:$L1007, 'Trading History'!$K$4:$K1007, CONCAT("&gt;", $A15))</f>
        <v/>
      </c>
      <c r="D17" s="70" t="n"/>
      <c r="E17" s="80" t="inlineStr">
        <is>
          <t>ST Gain</t>
        </is>
      </c>
      <c r="F17" s="83">
        <f>SUMIFS('Trading History'!$P$4:$P1007, 'Trading History'!$O$4:$O1007, CONCAT("&gt;", $A15))</f>
        <v/>
      </c>
      <c r="G17" s="70" t="n"/>
      <c r="H17" s="81" t="inlineStr">
        <is>
          <t>LT Gain</t>
        </is>
      </c>
      <c r="I17" s="83">
        <f>SUMIFS('Trading History'!$T$4:$T1007, 'Trading History'!$S$4:$S1007, CONCAT("&gt;", $A15))</f>
        <v/>
      </c>
      <c r="J17" s="70" t="n"/>
      <c r="K17" s="82" t="inlineStr">
        <is>
          <t>Gain</t>
        </is>
      </c>
      <c r="L17" s="83">
        <f>SUMIFS('Trading History'!$Z$4:$Z1007, 'Trading History'!$Y$4:$Y1007,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9" t="inlineStr">
        <is>
          <t>Gross</t>
        </is>
      </c>
      <c r="C19" s="83">
        <f>SUMIFS('Trading History'!$M$4:$M1007, 'Trading History'!$K$4:$K1007, CONCAT("&gt;", $A15))</f>
        <v/>
      </c>
      <c r="D19" s="70" t="n"/>
      <c r="E19" s="80" t="inlineStr">
        <is>
          <t>ST Gross</t>
        </is>
      </c>
      <c r="F19" s="83">
        <f>SUMIFS('Trading History'!$Q$4:$Q1007, 'Trading History'!$O$4:$O1007, CONCAT("&gt;", $A15))</f>
        <v/>
      </c>
      <c r="G19" s="70" t="n"/>
      <c r="H19" s="81" t="inlineStr">
        <is>
          <t>LT Gross</t>
        </is>
      </c>
      <c r="I19" s="83">
        <f>SUMIFS('Trading History'!$U$4:$U1007, 'Trading History'!$S$4:$S1007, CONCAT("&gt;", $A15))</f>
        <v/>
      </c>
      <c r="J19" s="70" t="n"/>
      <c r="K19" s="82" t="inlineStr">
        <is>
          <t>Gross</t>
        </is>
      </c>
      <c r="L19" s="83">
        <f>SUMIFS('Trading History'!$AA$4:$AA1007, 'Trading History'!$Y$4:$Y1007,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</row>
    <row r="22">
      <c r="A22" s="72" t="n">
        <v>0.45</v>
      </c>
      <c r="B22" s="73" t="inlineStr">
        <is>
          <t>Units</t>
        </is>
      </c>
      <c r="C22" s="74">
        <f>SUMIFS('Trading History'!$N$4:$N1007, 'Trading History'!$K$4:$K1007, CONCAT("&gt;", $A22))</f>
        <v/>
      </c>
      <c r="D22" s="70" t="n"/>
      <c r="E22" s="75" t="inlineStr">
        <is>
          <t>ST Units</t>
        </is>
      </c>
      <c r="F22" s="74">
        <f>IFERROR(SUMIFS('Trading History'!$R$4:$R1007, 'Trading History'!$O$4:$O1007, CONCAT("&gt;", $A22)), 0)</f>
        <v/>
      </c>
      <c r="G22" s="70" t="n"/>
      <c r="H22" s="76" t="inlineStr">
        <is>
          <t>LT Units</t>
        </is>
      </c>
      <c r="I22" s="74">
        <f>SUMIFS('Trading History'!$V$4:$V1007, 'Trading History'!$S$4:$S1007, CONCAT("&gt;", $A22))</f>
        <v/>
      </c>
      <c r="J22" s="70" t="n"/>
      <c r="K22" s="77" t="inlineStr">
        <is>
          <t>Units</t>
        </is>
      </c>
      <c r="L22" s="74">
        <f>SUMIFS('Trading History'!$AB$4:$AB1007, 'Trading History'!$Y$4:$Y1007,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9" t="inlineStr">
        <is>
          <t>Avg %</t>
        </is>
      </c>
      <c r="C23" s="68">
        <f>IFERROR(Index!C24/(Index!C22*Index!$C$2), 0)</f>
        <v/>
      </c>
      <c r="D23" s="70" t="n"/>
      <c r="E23" s="80" t="inlineStr">
        <is>
          <t>ST Avg %</t>
        </is>
      </c>
      <c r="F23" s="68">
        <f>IFERROR(Index!F24/(Index!F22*Index!$C$2), 0)</f>
        <v/>
      </c>
      <c r="G23" s="70" t="n"/>
      <c r="H23" s="81" t="inlineStr">
        <is>
          <t>LT Avg %</t>
        </is>
      </c>
      <c r="I23" s="68">
        <f>IFERROR(Index!I24/(Index!I22*Index!$C$2), 0)</f>
        <v/>
      </c>
      <c r="J23" s="70" t="n"/>
      <c r="K23" s="82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9" t="inlineStr">
        <is>
          <t>Gain</t>
        </is>
      </c>
      <c r="C24" s="83">
        <f>SUMIFS('Trading History'!$L$4:$L1007, 'Trading History'!$K$4:$K1007, CONCAT("&gt;", $A22))</f>
        <v/>
      </c>
      <c r="D24" s="70" t="n"/>
      <c r="E24" s="80" t="inlineStr">
        <is>
          <t>ST Gain</t>
        </is>
      </c>
      <c r="F24" s="83">
        <f>SUMIFS('Trading History'!$P$4:$P1007, 'Trading History'!$O$4:$O1007, CONCAT("&gt;", $A22))</f>
        <v/>
      </c>
      <c r="G24" s="70" t="n"/>
      <c r="H24" s="81" t="inlineStr">
        <is>
          <t>LT Gain</t>
        </is>
      </c>
      <c r="I24" s="83">
        <f>SUMIFS('Trading History'!$T$4:$T1007, 'Trading History'!$S$4:$S1007, CONCAT("&gt;", $A22))</f>
        <v/>
      </c>
      <c r="J24" s="70" t="n"/>
      <c r="K24" s="82" t="inlineStr">
        <is>
          <t>Gain</t>
        </is>
      </c>
      <c r="L24" s="83">
        <f>SUMIFS('Trading History'!$Z$4:$Z1007, 'Trading History'!$Y$4:$Y1007,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9" t="inlineStr">
        <is>
          <t>Gross</t>
        </is>
      </c>
      <c r="C26" s="83">
        <f>SUMIFS('Trading History'!$M$4:$M1007, 'Trading History'!$K$4:$K1007, CONCAT("&gt;", $A22))</f>
        <v/>
      </c>
      <c r="D26" s="70" t="n"/>
      <c r="E26" s="80" t="inlineStr">
        <is>
          <t>ST Gross</t>
        </is>
      </c>
      <c r="F26" s="83">
        <f>SUMIFS('Trading History'!$Q$4:$Q1007, 'Trading History'!$O$4:$O1007, CONCAT("&gt;", $A22))</f>
        <v/>
      </c>
      <c r="G26" s="70" t="n"/>
      <c r="H26" s="81" t="inlineStr">
        <is>
          <t>LT Gross</t>
        </is>
      </c>
      <c r="I26" s="83">
        <f>SUMIFS('Trading History'!$U$4:$U1007, 'Trading History'!$S$4:$S1007, CONCAT("&gt;", $A22))</f>
        <v/>
      </c>
      <c r="J26" s="70" t="n"/>
      <c r="K26" s="82" t="inlineStr">
        <is>
          <t>Gross</t>
        </is>
      </c>
      <c r="L26" s="83">
        <f>SUMIFS('Trading History'!$AA$4:$AA1007, 'Trading History'!$Y$4:$Y1007,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72" t="n">
        <v>0.4</v>
      </c>
      <c r="B29" s="73" t="inlineStr">
        <is>
          <t>Units</t>
        </is>
      </c>
      <c r="C29" s="74">
        <f>SUMIFS('Trading History'!$N$4:$N1007, 'Trading History'!$K$4:$K1007, CONCAT("&gt;", $A29))</f>
        <v/>
      </c>
      <c r="D29" s="70" t="n"/>
      <c r="E29" s="75" t="inlineStr">
        <is>
          <t>ST Units</t>
        </is>
      </c>
      <c r="F29" s="74">
        <f>IFERROR(SUMIFS('Trading History'!$R$4:$R1007, 'Trading History'!$O$4:$O1007, CONCAT("&gt;", $A29)), 0)</f>
        <v/>
      </c>
      <c r="G29" s="70" t="n"/>
      <c r="H29" s="76" t="inlineStr">
        <is>
          <t>LT Units</t>
        </is>
      </c>
      <c r="I29" s="74">
        <f>SUMIFS('Trading History'!$V$4:$V1007, 'Trading History'!$S$4:$S1007, CONCAT("&gt;", $A29))</f>
        <v/>
      </c>
      <c r="J29" s="70" t="n"/>
      <c r="K29" s="77" t="inlineStr">
        <is>
          <t>Units</t>
        </is>
      </c>
      <c r="L29" s="74">
        <f>SUMIFS('Trading History'!$AB$4:$AB1007, 'Trading History'!$Y$4:$Y1007,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9" t="inlineStr">
        <is>
          <t>Avg %</t>
        </is>
      </c>
      <c r="C30" s="68">
        <f>IFERROR(Index!C31/(Index!C29*Index!$C$2), 0)</f>
        <v/>
      </c>
      <c r="D30" s="70" t="n"/>
      <c r="E30" s="80" t="inlineStr">
        <is>
          <t>ST Avg %</t>
        </is>
      </c>
      <c r="F30" s="68">
        <f>IFERROR(Index!F31/(Index!F29*Index!$C$2), 0)</f>
        <v/>
      </c>
      <c r="G30" s="70" t="n"/>
      <c r="H30" s="81" t="inlineStr">
        <is>
          <t>LT Avg %</t>
        </is>
      </c>
      <c r="I30" s="68">
        <f>IFERROR(Index!I31/(Index!I29*Index!$C$2), 0)</f>
        <v/>
      </c>
      <c r="J30" s="70" t="n"/>
      <c r="K30" s="82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9" t="inlineStr">
        <is>
          <t>Gain</t>
        </is>
      </c>
      <c r="C31" s="83">
        <f>SUMIFS('Trading History'!$L$4:$L1007, 'Trading History'!$K$4:$K1007, CONCAT("&gt;", $A29))</f>
        <v/>
      </c>
      <c r="D31" s="70" t="n"/>
      <c r="E31" s="80" t="inlineStr">
        <is>
          <t>ST Gain</t>
        </is>
      </c>
      <c r="F31" s="83">
        <f>SUMIFS('Trading History'!$P$4:$P1007, 'Trading History'!$O$4:$O1007, CONCAT("&gt;", $A29))</f>
        <v/>
      </c>
      <c r="G31" s="70" t="n"/>
      <c r="H31" s="81" t="inlineStr">
        <is>
          <t>LT Gain</t>
        </is>
      </c>
      <c r="I31" s="83">
        <f>SUMIFS('Trading History'!$T$4:$T1007, 'Trading History'!$S$4:$S1007, CONCAT("&gt;", $A29))</f>
        <v/>
      </c>
      <c r="J31" s="70" t="n"/>
      <c r="K31" s="82" t="inlineStr">
        <is>
          <t>Gain</t>
        </is>
      </c>
      <c r="L31" s="83">
        <f>SUMIFS('Trading History'!$Z$4:$Z1007, 'Trading History'!$Y$4:$Y1007,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9" t="inlineStr">
        <is>
          <t>Gross</t>
        </is>
      </c>
      <c r="C33" s="83">
        <f>SUMIFS('Trading History'!$M$4:$M1007, 'Trading History'!$K$4:$K1007, CONCAT("&gt;", $A29))</f>
        <v/>
      </c>
      <c r="D33" s="70" t="n"/>
      <c r="E33" s="80" t="inlineStr">
        <is>
          <t>ST Gross</t>
        </is>
      </c>
      <c r="F33" s="83">
        <f>SUMIFS('Trading History'!$Q$4:$Q1007, 'Trading History'!$O$4:$O1007, CONCAT("&gt;", $A29))</f>
        <v/>
      </c>
      <c r="G33" s="70" t="n"/>
      <c r="H33" s="81" t="inlineStr">
        <is>
          <t>LT Gross</t>
        </is>
      </c>
      <c r="I33" s="83">
        <f>SUMIFS('Trading History'!$U$4:$U1007, 'Trading History'!$S$4:$S1007, CONCAT("&gt;", $A29))</f>
        <v/>
      </c>
      <c r="J33" s="70" t="n"/>
      <c r="K33" s="82" t="inlineStr">
        <is>
          <t>Gross</t>
        </is>
      </c>
      <c r="L33" s="83">
        <f>SUMIFS('Trading History'!$AA$4:$AA1007, 'Trading History'!$Y$4:$Y1007,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72" t="n">
        <v>0.35</v>
      </c>
      <c r="B36" s="73" t="inlineStr">
        <is>
          <t>Units</t>
        </is>
      </c>
      <c r="C36" s="74">
        <f>SUMIFS('Trading History'!$N$4:$N1007, 'Trading History'!$K$4:$K1007, CONCAT("&gt;", $A36))</f>
        <v/>
      </c>
      <c r="D36" s="70" t="n"/>
      <c r="E36" s="75" t="inlineStr">
        <is>
          <t>ST Units</t>
        </is>
      </c>
      <c r="F36" s="74">
        <f>IFERROR(SUMIFS('Trading History'!$R$4:$R1007, 'Trading History'!$O$4:$O1007, CONCAT("&gt;", $A36)), 0)</f>
        <v/>
      </c>
      <c r="G36" s="70" t="n"/>
      <c r="H36" s="76" t="inlineStr">
        <is>
          <t>LT Units</t>
        </is>
      </c>
      <c r="I36" s="74">
        <f>SUMIFS('Trading History'!$V$4:$V1007, 'Trading History'!$S$4:$S1007, CONCAT("&gt;", $A36))</f>
        <v/>
      </c>
      <c r="J36" s="70" t="n"/>
      <c r="K36" s="77" t="inlineStr">
        <is>
          <t>Units</t>
        </is>
      </c>
      <c r="L36" s="74">
        <f>SUMIFS('Trading History'!$AB$4:$AB1007, 'Trading History'!$Y$4:$Y1007,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9" t="inlineStr">
        <is>
          <t>Avg %</t>
        </is>
      </c>
      <c r="C37" s="68">
        <f>IFERROR(Index!C38/(Index!C36*Index!$C$2), 0)</f>
        <v/>
      </c>
      <c r="D37" s="70" t="n"/>
      <c r="E37" s="80" t="inlineStr">
        <is>
          <t>ST Avg %</t>
        </is>
      </c>
      <c r="F37" s="68">
        <f>IFERROR(Index!F38/(Index!F36*Index!$C$2), 0)</f>
        <v/>
      </c>
      <c r="G37" s="70" t="n"/>
      <c r="H37" s="81" t="inlineStr">
        <is>
          <t>LT Avg %</t>
        </is>
      </c>
      <c r="I37" s="68">
        <f>IFERROR(Index!I38/(Index!I36*Index!$C$2), 0)</f>
        <v/>
      </c>
      <c r="J37" s="70" t="n"/>
      <c r="K37" s="82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9" t="inlineStr">
        <is>
          <t>Gain</t>
        </is>
      </c>
      <c r="C38" s="83">
        <f>SUMIFS('Trading History'!$L$4:$L1007, 'Trading History'!$K$4:$K1007, CONCAT("&gt;", $A36))</f>
        <v/>
      </c>
      <c r="D38" s="70" t="n"/>
      <c r="E38" s="80" t="inlineStr">
        <is>
          <t>ST Gain</t>
        </is>
      </c>
      <c r="F38" s="83">
        <f>SUMIFS('Trading History'!$P$4:$P1007, 'Trading History'!$O$4:$O1007, CONCAT("&gt;", $A36))</f>
        <v/>
      </c>
      <c r="G38" s="70" t="n"/>
      <c r="H38" s="81" t="inlineStr">
        <is>
          <t>LT Gain</t>
        </is>
      </c>
      <c r="I38" s="83">
        <f>SUMIFS('Trading History'!$T$4:$T1007, 'Trading History'!$S$4:$S1007, CONCAT("&gt;", $A36))</f>
        <v/>
      </c>
      <c r="J38" s="70" t="n"/>
      <c r="K38" s="82" t="inlineStr">
        <is>
          <t>Gain</t>
        </is>
      </c>
      <c r="L38" s="83">
        <f>SUMIFS('Trading History'!$Z$4:$Z1007, 'Trading History'!$Y$4:$Y1007,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9" t="inlineStr">
        <is>
          <t>Gross</t>
        </is>
      </c>
      <c r="C40" s="83">
        <f>SUMIFS('Trading History'!$M$4:$M1007, 'Trading History'!$K$4:$K1007, CONCAT("&gt;", $A36))</f>
        <v/>
      </c>
      <c r="D40" s="70" t="n"/>
      <c r="E40" s="80" t="inlineStr">
        <is>
          <t>ST Gross</t>
        </is>
      </c>
      <c r="F40" s="83">
        <f>SUMIFS('Trading History'!$Q$4:$Q1007, 'Trading History'!$O$4:$O1007, CONCAT("&gt;", $A36))</f>
        <v/>
      </c>
      <c r="G40" s="70" t="n"/>
      <c r="H40" s="81" t="inlineStr">
        <is>
          <t>LT Gross</t>
        </is>
      </c>
      <c r="I40" s="83">
        <f>SUMIFS('Trading History'!$U$4:$U1007, 'Trading History'!$S$4:$S1007, CONCAT("&gt;", $A36))</f>
        <v/>
      </c>
      <c r="J40" s="70" t="n"/>
      <c r="K40" s="82" t="inlineStr">
        <is>
          <t>Gross</t>
        </is>
      </c>
      <c r="L40" s="83">
        <f>SUMIFS('Trading History'!$AA$4:$AA1007, 'Trading History'!$Y$4:$Y1007,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72" t="n">
        <v>0.3</v>
      </c>
      <c r="B43" s="73" t="inlineStr">
        <is>
          <t>Units</t>
        </is>
      </c>
      <c r="C43" s="74">
        <f>SUMIFS('Trading History'!$N$4:$N1007, 'Trading History'!$K$4:$K1007, CONCAT("&gt;", $A43))</f>
        <v/>
      </c>
      <c r="D43" s="70" t="n"/>
      <c r="E43" s="75" t="inlineStr">
        <is>
          <t>ST Units</t>
        </is>
      </c>
      <c r="F43" s="74">
        <f>IFERROR(SUMIFS('Trading History'!$R$4:$R1007, 'Trading History'!$O$4:$O1007, CONCAT("&gt;", $A43)), 0)</f>
        <v/>
      </c>
      <c r="G43" s="70" t="n"/>
      <c r="H43" s="76" t="inlineStr">
        <is>
          <t>LT Units</t>
        </is>
      </c>
      <c r="I43" s="74">
        <f>SUMIFS('Trading History'!$V$4:$V1007, 'Trading History'!$S$4:$S1007, CONCAT("&gt;", $A43))</f>
        <v/>
      </c>
      <c r="J43" s="70" t="n"/>
      <c r="K43" s="77" t="inlineStr">
        <is>
          <t>Units</t>
        </is>
      </c>
      <c r="L43" s="74">
        <f>SUMIFS('Trading History'!$AB$4:$AB1007, 'Trading History'!$Y$4:$Y1007,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9" t="inlineStr">
        <is>
          <t>Avg %</t>
        </is>
      </c>
      <c r="C44" s="68">
        <f>IFERROR(Index!C45/(Index!C43*Index!$C$2), 0)</f>
        <v/>
      </c>
      <c r="D44" s="70" t="n"/>
      <c r="E44" s="80" t="inlineStr">
        <is>
          <t>ST Avg %</t>
        </is>
      </c>
      <c r="F44" s="68">
        <f>IFERROR(Index!F45/(Index!F43*Index!$C$2), 0)</f>
        <v/>
      </c>
      <c r="G44" s="70" t="n"/>
      <c r="H44" s="81" t="inlineStr">
        <is>
          <t>LT Avg %</t>
        </is>
      </c>
      <c r="I44" s="68">
        <f>IFERROR(Index!I45/(Index!I43*Index!$C$2), 0)</f>
        <v/>
      </c>
      <c r="J44" s="70" t="n"/>
      <c r="K44" s="82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9" t="inlineStr">
        <is>
          <t>Gain</t>
        </is>
      </c>
      <c r="C45" s="83">
        <f>SUMIFS('Trading History'!$L$4:$L1007, 'Trading History'!$K$4:$K1007, CONCAT("&gt;", $A43))</f>
        <v/>
      </c>
      <c r="D45" s="70" t="n"/>
      <c r="E45" s="80" t="inlineStr">
        <is>
          <t>ST Gain</t>
        </is>
      </c>
      <c r="F45" s="83">
        <f>SUMIFS('Trading History'!$P$4:$P1007, 'Trading History'!$O$4:$O1007, CONCAT("&gt;", $A43))</f>
        <v/>
      </c>
      <c r="G45" s="70" t="n"/>
      <c r="H45" s="81" t="inlineStr">
        <is>
          <t>LT Gain</t>
        </is>
      </c>
      <c r="I45" s="83">
        <f>SUMIFS('Trading History'!$T$4:$T1007, 'Trading History'!$S$4:$S1007, CONCAT("&gt;", $A43))</f>
        <v/>
      </c>
      <c r="J45" s="70" t="n"/>
      <c r="K45" s="82" t="inlineStr">
        <is>
          <t>Gain</t>
        </is>
      </c>
      <c r="L45" s="83">
        <f>SUMIFS('Trading History'!$Z$4:$Z1007, 'Trading History'!$Y$4:$Y1007,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9" t="inlineStr">
        <is>
          <t>Gross</t>
        </is>
      </c>
      <c r="C47" s="83">
        <f>SUMIFS('Trading History'!$M$4:$M1007, 'Trading History'!$K$4:$K1007, CONCAT("&gt;", $A43))</f>
        <v/>
      </c>
      <c r="D47" s="70" t="n"/>
      <c r="E47" s="80" t="inlineStr">
        <is>
          <t>ST Gross</t>
        </is>
      </c>
      <c r="F47" s="83">
        <f>SUMIFS('Trading History'!$Q$4:$Q1007, 'Trading History'!$O$4:$O1007, CONCAT("&gt;", $A43))</f>
        <v/>
      </c>
      <c r="G47" s="70" t="n"/>
      <c r="H47" s="81" t="inlineStr">
        <is>
          <t>LT Gross</t>
        </is>
      </c>
      <c r="I47" s="83">
        <f>SUMIFS('Trading History'!$U$4:$U1007, 'Trading History'!$S$4:$S1007, CONCAT("&gt;", $A43))</f>
        <v/>
      </c>
      <c r="J47" s="70" t="n"/>
      <c r="K47" s="82" t="inlineStr">
        <is>
          <t>Gross</t>
        </is>
      </c>
      <c r="L47" s="83">
        <f>SUMIFS('Trading History'!$AA$4:$AA1007, 'Trading History'!$Y$4:$Y1007,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72" t="n">
        <v>0.25</v>
      </c>
      <c r="B50" s="73" t="inlineStr">
        <is>
          <t>Units</t>
        </is>
      </c>
      <c r="C50" s="74">
        <f>SUMIFS('Trading History'!$N$4:$N1007, 'Trading History'!$K$4:$K1007, CONCAT("&gt;", $A50))</f>
        <v/>
      </c>
      <c r="D50" s="70" t="n"/>
      <c r="E50" s="75" t="inlineStr">
        <is>
          <t>ST Units</t>
        </is>
      </c>
      <c r="F50" s="74">
        <f>IFERROR(SUMIFS('Trading History'!$R$4:$R1007, 'Trading History'!$O$4:$O1007, CONCAT("&gt;", $A50)), 0)</f>
        <v/>
      </c>
      <c r="G50" s="70" t="n"/>
      <c r="H50" s="76" t="inlineStr">
        <is>
          <t>LT Units</t>
        </is>
      </c>
      <c r="I50" s="74">
        <f>SUMIFS('Trading History'!$V$4:$V1007, 'Trading History'!$S$4:$S1007, CONCAT("&gt;", $A50))</f>
        <v/>
      </c>
      <c r="J50" s="70" t="n"/>
      <c r="K50" s="77" t="inlineStr">
        <is>
          <t>Units</t>
        </is>
      </c>
      <c r="L50" s="74">
        <f>SUMIFS('Trading History'!$AB$4:$AB1007, 'Trading History'!$Y$4:$Y1007,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9" t="inlineStr">
        <is>
          <t>Avg %</t>
        </is>
      </c>
      <c r="C51" s="68">
        <f>IFERROR(Index!C52/(Index!C50*Index!$C$2), 0)</f>
        <v/>
      </c>
      <c r="D51" s="70" t="n"/>
      <c r="E51" s="80" t="inlineStr">
        <is>
          <t>ST Avg %</t>
        </is>
      </c>
      <c r="F51" s="68">
        <f>IFERROR(Index!F52/(Index!F50*Index!$C$2), 0)</f>
        <v/>
      </c>
      <c r="G51" s="70" t="n"/>
      <c r="H51" s="81" t="inlineStr">
        <is>
          <t>LT Avg %</t>
        </is>
      </c>
      <c r="I51" s="68">
        <f>IFERROR(Index!I52/(Index!I50*Index!$C$2), 0)</f>
        <v/>
      </c>
      <c r="J51" s="70" t="n"/>
      <c r="K51" s="82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9" t="inlineStr">
        <is>
          <t>Gain</t>
        </is>
      </c>
      <c r="C52" s="83">
        <f>SUMIFS('Trading History'!$L$4:$L1007, 'Trading History'!$K$4:$K1007, CONCAT("&gt;", $A50))</f>
        <v/>
      </c>
      <c r="D52" s="70" t="n"/>
      <c r="E52" s="80" t="inlineStr">
        <is>
          <t>ST Gain</t>
        </is>
      </c>
      <c r="F52" s="83">
        <f>SUMIFS('Trading History'!$P$4:$P1007, 'Trading History'!$O$4:$O1007, CONCAT("&gt;", $A50))</f>
        <v/>
      </c>
      <c r="G52" s="70" t="n"/>
      <c r="H52" s="81" t="inlineStr">
        <is>
          <t>LT Gain</t>
        </is>
      </c>
      <c r="I52" s="83">
        <f>SUMIFS('Trading History'!$T$4:$T1007, 'Trading History'!$S$4:$S1007, CONCAT("&gt;", $A50))</f>
        <v/>
      </c>
      <c r="J52" s="70" t="n"/>
      <c r="K52" s="82" t="inlineStr">
        <is>
          <t>Gain</t>
        </is>
      </c>
      <c r="L52" s="83">
        <f>SUMIFS('Trading History'!$Z$4:$Z1007, 'Trading History'!$Y$4:$Y1007,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9" t="inlineStr">
        <is>
          <t>Gross</t>
        </is>
      </c>
      <c r="C54" s="83">
        <f>SUMIFS('Trading History'!$M$4:$M1007, 'Trading History'!$K$4:$K1007, CONCAT("&gt;", $A50))</f>
        <v/>
      </c>
      <c r="D54" s="70" t="n"/>
      <c r="E54" s="80" t="inlineStr">
        <is>
          <t>ST Gross</t>
        </is>
      </c>
      <c r="F54" s="83">
        <f>SUMIFS('Trading History'!$Q$4:$Q1007, 'Trading History'!$O$4:$O1007, CONCAT("&gt;", $A50))</f>
        <v/>
      </c>
      <c r="G54" s="70" t="n"/>
      <c r="H54" s="81" t="inlineStr">
        <is>
          <t>LT Gross</t>
        </is>
      </c>
      <c r="I54" s="83">
        <f>SUMIFS('Trading History'!$U$4:$U1007, 'Trading History'!$S$4:$S1007, CONCAT("&gt;", $A50))</f>
        <v/>
      </c>
      <c r="J54" s="70" t="n"/>
      <c r="K54" s="82" t="inlineStr">
        <is>
          <t>Gross</t>
        </is>
      </c>
      <c r="L54" s="83">
        <f>SUMIFS('Trading History'!$AA$4:$AA1007, 'Trading History'!$Y$4:$Y1007,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72" t="n">
        <v>0.2</v>
      </c>
      <c r="B57" s="73" t="inlineStr">
        <is>
          <t>Units</t>
        </is>
      </c>
      <c r="C57" s="74">
        <f>SUMIFS('Trading History'!$N$4:$N1007, 'Trading History'!$K$4:$K1007, CONCAT("&gt;", $A57))</f>
        <v/>
      </c>
      <c r="D57" s="70" t="n"/>
      <c r="E57" s="75" t="inlineStr">
        <is>
          <t>ST Units</t>
        </is>
      </c>
      <c r="F57" s="74">
        <f>IFERROR(SUMIFS('Trading History'!$R$4:$R1007, 'Trading History'!$O$4:$O1007, CONCAT("&gt;", $A57)), 0)</f>
        <v/>
      </c>
      <c r="G57" s="70" t="n"/>
      <c r="H57" s="76" t="inlineStr">
        <is>
          <t>LT Units</t>
        </is>
      </c>
      <c r="I57" s="74">
        <f>SUMIFS('Trading History'!$V$4:$V1007, 'Trading History'!$S$4:$S1007, CONCAT("&gt;", $A57))</f>
        <v/>
      </c>
      <c r="J57" s="70" t="n"/>
      <c r="K57" s="77" t="inlineStr">
        <is>
          <t>Units</t>
        </is>
      </c>
      <c r="L57" s="74">
        <f>SUMIFS('Trading History'!$AB$4:$AB1007, 'Trading History'!$Y$4:$Y1007,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9" t="inlineStr">
        <is>
          <t>Avg %</t>
        </is>
      </c>
      <c r="C58" s="68">
        <f>IFERROR(Index!C59/(Index!C57*Index!$C$2), 0)</f>
        <v/>
      </c>
      <c r="D58" s="70" t="n"/>
      <c r="E58" s="80" t="inlineStr">
        <is>
          <t>ST Avg %</t>
        </is>
      </c>
      <c r="F58" s="68">
        <f>IFERROR(Index!F59/(Index!F57*Index!$C$2), 0)</f>
        <v/>
      </c>
      <c r="G58" s="70" t="n"/>
      <c r="H58" s="81" t="inlineStr">
        <is>
          <t>LT Avg %</t>
        </is>
      </c>
      <c r="I58" s="68">
        <f>IFERROR(Index!I59/(Index!I57*Index!$C$2), 0)</f>
        <v/>
      </c>
      <c r="J58" s="70" t="n"/>
      <c r="K58" s="82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9" t="inlineStr">
        <is>
          <t>Gain</t>
        </is>
      </c>
      <c r="C59" s="83">
        <f>SUMIFS('Trading History'!$L$4:$L1007, 'Trading History'!$K$4:$K1007, CONCAT("&gt;", $A57))</f>
        <v/>
      </c>
      <c r="D59" s="70" t="n"/>
      <c r="E59" s="80" t="inlineStr">
        <is>
          <t>ST Gain</t>
        </is>
      </c>
      <c r="F59" s="83">
        <f>SUMIFS('Trading History'!$P$4:$P1007, 'Trading History'!$O$4:$O1007, CONCAT("&gt;", $A57))</f>
        <v/>
      </c>
      <c r="G59" s="70" t="n"/>
      <c r="H59" s="81" t="inlineStr">
        <is>
          <t>LT Gain</t>
        </is>
      </c>
      <c r="I59" s="83">
        <f>SUMIFS('Trading History'!$T$4:$T1007, 'Trading History'!$S$4:$S1007, CONCAT("&gt;", $A57))</f>
        <v/>
      </c>
      <c r="J59" s="70" t="n"/>
      <c r="K59" s="82" t="inlineStr">
        <is>
          <t>Gain</t>
        </is>
      </c>
      <c r="L59" s="83">
        <f>SUMIFS('Trading History'!$Z$4:$Z1007, 'Trading History'!$Y$4:$Y1007,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9" t="inlineStr">
        <is>
          <t>Gross</t>
        </is>
      </c>
      <c r="C61" s="83">
        <f>SUMIFS('Trading History'!$M$4:$M1007, 'Trading History'!$K$4:$K1007, CONCAT("&gt;", $A57))</f>
        <v/>
      </c>
      <c r="D61" s="70" t="n"/>
      <c r="E61" s="80" t="inlineStr">
        <is>
          <t>ST Gross</t>
        </is>
      </c>
      <c r="F61" s="83">
        <f>SUMIFS('Trading History'!$Q$4:$Q1007, 'Trading History'!$O$4:$O1007, CONCAT("&gt;", $A57))</f>
        <v/>
      </c>
      <c r="G61" s="70" t="n"/>
      <c r="H61" s="81" t="inlineStr">
        <is>
          <t>LT Gross</t>
        </is>
      </c>
      <c r="I61" s="83">
        <f>SUMIFS('Trading History'!$U$4:$U1007, 'Trading History'!$S$4:$S1007, CONCAT("&gt;", $A57))</f>
        <v/>
      </c>
      <c r="J61" s="70" t="n"/>
      <c r="K61" s="82" t="inlineStr">
        <is>
          <t>Gross</t>
        </is>
      </c>
      <c r="L61" s="83">
        <f>SUMIFS('Trading History'!$AA$4:$AA1007, 'Trading History'!$Y$4:$Y1007,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72" t="n">
        <v>0.15</v>
      </c>
      <c r="B64" s="73" t="inlineStr">
        <is>
          <t>Units</t>
        </is>
      </c>
      <c r="C64" s="74">
        <f>SUMIFS('Trading History'!$N$4:$N1007, 'Trading History'!$K$4:$K1007, CONCAT("&gt;", $A64))</f>
        <v/>
      </c>
      <c r="D64" s="70" t="n"/>
      <c r="E64" s="75" t="inlineStr">
        <is>
          <t>ST Units</t>
        </is>
      </c>
      <c r="F64" s="74">
        <f>IFERROR(SUMIFS('Trading History'!$R$4:$R1007, 'Trading History'!$O$4:$O1007, CONCAT("&gt;", $A64)), 0)</f>
        <v/>
      </c>
      <c r="G64" s="70" t="n"/>
      <c r="H64" s="76" t="inlineStr">
        <is>
          <t>LT Units</t>
        </is>
      </c>
      <c r="I64" s="74">
        <f>SUMIFS('Trading History'!$V$4:$V1007, 'Trading History'!$S$4:$S1007, CONCAT("&gt;", $A64))</f>
        <v/>
      </c>
      <c r="J64" s="70" t="n"/>
      <c r="K64" s="77" t="inlineStr">
        <is>
          <t>Units</t>
        </is>
      </c>
      <c r="L64" s="74">
        <f>SUMIFS('Trading History'!$AB$4:$AB1007, 'Trading History'!$Y$4:$Y1007,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9" t="inlineStr">
        <is>
          <t>Avg %</t>
        </is>
      </c>
      <c r="C65" s="68">
        <f>IFERROR(Index!C66/(Index!C64*Index!$C$2), 0)</f>
        <v/>
      </c>
      <c r="D65" s="70" t="n"/>
      <c r="E65" s="80" t="inlineStr">
        <is>
          <t>ST Avg %</t>
        </is>
      </c>
      <c r="F65" s="68">
        <f>IFERROR(Index!F66/(Index!F64*Index!$C$2), 0)</f>
        <v/>
      </c>
      <c r="G65" s="70" t="n"/>
      <c r="H65" s="81" t="inlineStr">
        <is>
          <t>LT Avg %</t>
        </is>
      </c>
      <c r="I65" s="68">
        <f>IFERROR(Index!I66/(Index!I64*Index!$C$2), 0)</f>
        <v/>
      </c>
      <c r="J65" s="70" t="n"/>
      <c r="K65" s="82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9" t="inlineStr">
        <is>
          <t>Gain</t>
        </is>
      </c>
      <c r="C66" s="83">
        <f>SUMIFS('Trading History'!$L$4:$L1007, 'Trading History'!$K$4:$K1007, CONCAT("&gt;", $A64))</f>
        <v/>
      </c>
      <c r="D66" s="70" t="n"/>
      <c r="E66" s="80" t="inlineStr">
        <is>
          <t>ST Gain</t>
        </is>
      </c>
      <c r="F66" s="83">
        <f>SUMIFS('Trading History'!$P$4:$P1007, 'Trading History'!$O$4:$O1007, CONCAT("&gt;", $A64))</f>
        <v/>
      </c>
      <c r="G66" s="70" t="n"/>
      <c r="H66" s="81" t="inlineStr">
        <is>
          <t>LT Gain</t>
        </is>
      </c>
      <c r="I66" s="83">
        <f>SUMIFS('Trading History'!$T$4:$T1007, 'Trading History'!$S$4:$S1007, CONCAT("&gt;", $A64))</f>
        <v/>
      </c>
      <c r="J66" s="70" t="n"/>
      <c r="K66" s="82" t="inlineStr">
        <is>
          <t>Gain</t>
        </is>
      </c>
      <c r="L66" s="83">
        <f>SUMIFS('Trading History'!$Z$4:$Z1007, 'Trading History'!$Y$4:$Y1007,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9" t="inlineStr">
        <is>
          <t>Gross</t>
        </is>
      </c>
      <c r="C68" s="83">
        <f>SUMIFS('Trading History'!$M$4:$M1007, 'Trading History'!$K$4:$K1007, CONCAT("&gt;", $A64))</f>
        <v/>
      </c>
      <c r="D68" s="70" t="n"/>
      <c r="E68" s="80" t="inlineStr">
        <is>
          <t>ST Gross</t>
        </is>
      </c>
      <c r="F68" s="83">
        <f>SUMIFS('Trading History'!$Q$4:$Q1007, 'Trading History'!$O$4:$O1007, CONCAT("&gt;", $A64))</f>
        <v/>
      </c>
      <c r="G68" s="70" t="n"/>
      <c r="H68" s="81" t="inlineStr">
        <is>
          <t>LT Gross</t>
        </is>
      </c>
      <c r="I68" s="83">
        <f>SUMIFS('Trading History'!$U$4:$U1007, 'Trading History'!$S$4:$S1007, CONCAT("&gt;", $A64))</f>
        <v/>
      </c>
      <c r="J68" s="70" t="n"/>
      <c r="K68" s="82" t="inlineStr">
        <is>
          <t>Gross</t>
        </is>
      </c>
      <c r="L68" s="83">
        <f>SUMIFS('Trading History'!$AA$4:$AA1007, 'Trading History'!$Y$4:$Y1007,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72" t="n">
        <v>0.1</v>
      </c>
      <c r="B71" s="73" t="inlineStr">
        <is>
          <t>Units</t>
        </is>
      </c>
      <c r="C71" s="74">
        <f>SUMIFS('Trading History'!$N$4:$N1007, 'Trading History'!$K$4:$K1007, CONCAT("&gt;", $A71))</f>
        <v/>
      </c>
      <c r="D71" s="70" t="n"/>
      <c r="E71" s="75" t="inlineStr">
        <is>
          <t>ST Units</t>
        </is>
      </c>
      <c r="F71" s="74">
        <f>IFERROR(SUMIFS('Trading History'!$R$4:$R1007, 'Trading History'!$O$4:$O1007, CONCAT("&gt;", $A71)), 0)</f>
        <v/>
      </c>
      <c r="G71" s="70" t="n"/>
      <c r="H71" s="76" t="inlineStr">
        <is>
          <t>LT Units</t>
        </is>
      </c>
      <c r="I71" s="74">
        <f>SUMIFS('Trading History'!$V$4:$V1007, 'Trading History'!$S$4:$S1007, CONCAT("&gt;", $A71))</f>
        <v/>
      </c>
      <c r="J71" s="70" t="n"/>
      <c r="K71" s="77" t="inlineStr">
        <is>
          <t>Units</t>
        </is>
      </c>
      <c r="L71" s="74">
        <f>SUMIFS('Trading History'!$AB$4:$AB1007, 'Trading History'!$Y$4:$Y1007,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9" t="inlineStr">
        <is>
          <t>Avg %</t>
        </is>
      </c>
      <c r="C72" s="68">
        <f>IFERROR(Index!C73/(Index!C71*Index!$C$2), 0)</f>
        <v/>
      </c>
      <c r="D72" s="70" t="n"/>
      <c r="E72" s="80" t="inlineStr">
        <is>
          <t>ST Avg %</t>
        </is>
      </c>
      <c r="F72" s="68">
        <f>IFERROR(Index!F73/(Index!F71*Index!$C$2), 0)</f>
        <v/>
      </c>
      <c r="G72" s="70" t="n"/>
      <c r="H72" s="81" t="inlineStr">
        <is>
          <t>LT Avg %</t>
        </is>
      </c>
      <c r="I72" s="68">
        <f>IFERROR(Index!I73/(Index!I71*Index!$C$2), 0)</f>
        <v/>
      </c>
      <c r="J72" s="70" t="n"/>
      <c r="K72" s="82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9" t="inlineStr">
        <is>
          <t>Gain</t>
        </is>
      </c>
      <c r="C73" s="83">
        <f>SUMIFS('Trading History'!$L$4:$L1007, 'Trading History'!$K$4:$K1007, CONCAT("&gt;", $A71))</f>
        <v/>
      </c>
      <c r="D73" s="70" t="n"/>
      <c r="E73" s="80" t="inlineStr">
        <is>
          <t>ST Gain</t>
        </is>
      </c>
      <c r="F73" s="83">
        <f>SUMIFS('Trading History'!$P$4:$P1007, 'Trading History'!$O$4:$O1007, CONCAT("&gt;", $A71))</f>
        <v/>
      </c>
      <c r="G73" s="70" t="n"/>
      <c r="H73" s="81" t="inlineStr">
        <is>
          <t>LT Gain</t>
        </is>
      </c>
      <c r="I73" s="83">
        <f>SUMIFS('Trading History'!$T$4:$T1007, 'Trading History'!$S$4:$S1007, CONCAT("&gt;", $A71))</f>
        <v/>
      </c>
      <c r="J73" s="70" t="n"/>
      <c r="K73" s="82" t="inlineStr">
        <is>
          <t>Gain</t>
        </is>
      </c>
      <c r="L73" s="83">
        <f>SUMIFS('Trading History'!$Z$4:$Z1007, 'Trading History'!$Y$4:$Y1007,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9" t="inlineStr">
        <is>
          <t>Gross</t>
        </is>
      </c>
      <c r="C75" s="83">
        <f>SUMIFS('Trading History'!$M$4:$M1007, 'Trading History'!$K$4:$K1007, CONCAT("&gt;", $A71))</f>
        <v/>
      </c>
      <c r="D75" s="70" t="n"/>
      <c r="E75" s="80" t="inlineStr">
        <is>
          <t>ST Gross</t>
        </is>
      </c>
      <c r="F75" s="83">
        <f>SUMIFS('Trading History'!$Q$4:$Q1007, 'Trading History'!$O$4:$O1007, CONCAT("&gt;", $A71))</f>
        <v/>
      </c>
      <c r="G75" s="70" t="n"/>
      <c r="H75" s="81" t="inlineStr">
        <is>
          <t>LT Gross</t>
        </is>
      </c>
      <c r="I75" s="83">
        <f>SUMIFS('Trading History'!$U$4:$U1007, 'Trading History'!$S$4:$S1007, CONCAT("&gt;", $A71))</f>
        <v/>
      </c>
      <c r="J75" s="70" t="n"/>
      <c r="K75" s="82" t="inlineStr">
        <is>
          <t>Gross</t>
        </is>
      </c>
      <c r="L75" s="83">
        <f>SUMIFS('Trading History'!$AA$4:$AA1007, 'Trading History'!$Y$4:$Y1007,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72" t="n">
        <v>0.05</v>
      </c>
      <c r="B78" s="73" t="inlineStr">
        <is>
          <t>Units</t>
        </is>
      </c>
      <c r="C78" s="74">
        <f>SUMIFS('Trading History'!$N$4:$N1007, 'Trading History'!$K$4:$K1007, CONCAT("&gt;", $A78))</f>
        <v/>
      </c>
      <c r="D78" s="70" t="n"/>
      <c r="E78" s="75" t="inlineStr">
        <is>
          <t>ST Units</t>
        </is>
      </c>
      <c r="F78" s="74">
        <f>IFERROR(SUMIFS('Trading History'!$R$4:$R1007, 'Trading History'!$O$4:$O1007, CONCAT("&gt;", $A78)), 0)</f>
        <v/>
      </c>
      <c r="G78" s="70" t="n"/>
      <c r="H78" s="76" t="inlineStr">
        <is>
          <t>LT Units</t>
        </is>
      </c>
      <c r="I78" s="74">
        <f>SUMIFS('Trading History'!$V$4:$V1007, 'Trading History'!$S$4:$S1007, CONCAT("&gt;", $A78))</f>
        <v/>
      </c>
      <c r="J78" s="70" t="n"/>
      <c r="K78" s="77" t="inlineStr">
        <is>
          <t>Units</t>
        </is>
      </c>
      <c r="L78" s="74">
        <f>SUMIFS('Trading History'!$AB$4:$AB1007, 'Trading History'!$Y$4:$Y1007,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9" t="inlineStr">
        <is>
          <t>Avg %</t>
        </is>
      </c>
      <c r="C79" s="68">
        <f>IFERROR(Index!C80/(Index!C78*Index!$C$2), 0)</f>
        <v/>
      </c>
      <c r="D79" s="70" t="n"/>
      <c r="E79" s="80" t="inlineStr">
        <is>
          <t>ST Avg %</t>
        </is>
      </c>
      <c r="F79" s="68">
        <f>IFERROR(Index!F80/(Index!F78*Index!$C$2), 0)</f>
        <v/>
      </c>
      <c r="G79" s="70" t="n"/>
      <c r="H79" s="81" t="inlineStr">
        <is>
          <t>LT Avg %</t>
        </is>
      </c>
      <c r="I79" s="68">
        <f>IFERROR(Index!I80/(Index!I78*Index!$C$2), 0)</f>
        <v/>
      </c>
      <c r="J79" s="70" t="n"/>
      <c r="K79" s="82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9" t="inlineStr">
        <is>
          <t>Gain</t>
        </is>
      </c>
      <c r="C80" s="83">
        <f>SUMIFS('Trading History'!$L$4:$L1007, 'Trading History'!$K$4:$K1007, CONCAT("&gt;", $A78))</f>
        <v/>
      </c>
      <c r="D80" s="70" t="n"/>
      <c r="E80" s="80" t="inlineStr">
        <is>
          <t>ST Gain</t>
        </is>
      </c>
      <c r="F80" s="83">
        <f>SUMIFS('Trading History'!$P$4:$P1007, 'Trading History'!$O$4:$O1007, CONCAT("&gt;", $A78))</f>
        <v/>
      </c>
      <c r="G80" s="70" t="n"/>
      <c r="H80" s="81" t="inlineStr">
        <is>
          <t>LT Gain</t>
        </is>
      </c>
      <c r="I80" s="83">
        <f>SUMIFS('Trading History'!$T$4:$T1007, 'Trading History'!$S$4:$S1007, CONCAT("&gt;", $A78))</f>
        <v/>
      </c>
      <c r="J80" s="70" t="n"/>
      <c r="K80" s="82" t="inlineStr">
        <is>
          <t>Gain</t>
        </is>
      </c>
      <c r="L80" s="83">
        <f>SUMIFS('Trading History'!$Z$4:$Z1007, 'Trading History'!$Y$4:$Y1007,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9" t="inlineStr">
        <is>
          <t>Gross</t>
        </is>
      </c>
      <c r="C82" s="83">
        <f>SUMIFS('Trading History'!$M$4:$M1007, 'Trading History'!$K$4:$K1007, CONCAT("&gt;", $A78))</f>
        <v/>
      </c>
      <c r="D82" s="70" t="n"/>
      <c r="E82" s="80" t="inlineStr">
        <is>
          <t>ST Gross</t>
        </is>
      </c>
      <c r="F82" s="83">
        <f>SUMIFS('Trading History'!$Q$4:$Q1007, 'Trading History'!$O$4:$O1007, CONCAT("&gt;", $A78))</f>
        <v/>
      </c>
      <c r="G82" s="70" t="n"/>
      <c r="H82" s="81" t="inlineStr">
        <is>
          <t>LT Gross</t>
        </is>
      </c>
      <c r="I82" s="83">
        <f>SUMIFS('Trading History'!$U$4:$U1007, 'Trading History'!$S$4:$S1007, CONCAT("&gt;", $A78))</f>
        <v/>
      </c>
      <c r="J82" s="70" t="n"/>
      <c r="K82" s="82" t="inlineStr">
        <is>
          <t>Gross</t>
        </is>
      </c>
      <c r="L82" s="83">
        <f>SUMIFS('Trading History'!$AA$4:$AA1007, 'Trading History'!$Y$4:$Y1007,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72" t="n">
        <v>0</v>
      </c>
      <c r="B85" s="73" t="inlineStr">
        <is>
          <t>Units</t>
        </is>
      </c>
      <c r="C85" s="74">
        <f>SUMIFS('Trading History'!$N$4:$N1007, 'Trading History'!$K$4:$K1007, CONCAT("&gt;", $A85))</f>
        <v/>
      </c>
      <c r="D85" s="70" t="n"/>
      <c r="E85" s="75" t="inlineStr">
        <is>
          <t>ST Units</t>
        </is>
      </c>
      <c r="F85" s="74">
        <f>IFERROR(SUMIFS('Trading History'!$R$4:$R1007, 'Trading History'!$O$4:$O1007, CONCAT("&gt;", $A85)), 0)</f>
        <v/>
      </c>
      <c r="G85" s="70" t="n"/>
      <c r="H85" s="76" t="inlineStr">
        <is>
          <t>LT Units</t>
        </is>
      </c>
      <c r="I85" s="74">
        <f>SUMIFS('Trading History'!$V$4:$V1007, 'Trading History'!$S$4:$S1007, CONCAT("&gt;", $A85))</f>
        <v/>
      </c>
      <c r="J85" s="70" t="n"/>
      <c r="K85" s="77" t="inlineStr">
        <is>
          <t>Units</t>
        </is>
      </c>
      <c r="L85" s="74">
        <f>SUMIFS('Trading History'!$AB$4:$AB1007, 'Trading History'!$Y$4:$Y1007,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9" t="inlineStr">
        <is>
          <t>Avg %</t>
        </is>
      </c>
      <c r="C86" s="68">
        <f>IFERROR(Index!C87/(Index!C85*Index!$C$2), 0)</f>
        <v/>
      </c>
      <c r="D86" s="70" t="n"/>
      <c r="E86" s="80" t="inlineStr">
        <is>
          <t>ST Avg %</t>
        </is>
      </c>
      <c r="F86" s="68">
        <f>IFERROR(Index!F87/(Index!F85*Index!$C$2), 0)</f>
        <v/>
      </c>
      <c r="G86" s="70" t="n"/>
      <c r="H86" s="81" t="inlineStr">
        <is>
          <t>LT Avg %</t>
        </is>
      </c>
      <c r="I86" s="68">
        <f>IFERROR(Index!I87/(Index!I85*Index!$C$2), 0)</f>
        <v/>
      </c>
      <c r="J86" s="70" t="n"/>
      <c r="K86" s="82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9" t="inlineStr">
        <is>
          <t>Gain</t>
        </is>
      </c>
      <c r="C87" s="83">
        <f>SUMIFS('Trading History'!$L$4:$L1007, 'Trading History'!$K$4:$K1007, CONCAT("&gt;", $A85))</f>
        <v/>
      </c>
      <c r="D87" s="70" t="n"/>
      <c r="E87" s="80" t="inlineStr">
        <is>
          <t>ST Gain</t>
        </is>
      </c>
      <c r="F87" s="83">
        <f>SUMIFS('Trading History'!$P$4:$P1007, 'Trading History'!$O$4:$O1007, CONCAT("&gt;", $A85))</f>
        <v/>
      </c>
      <c r="G87" s="70" t="n"/>
      <c r="H87" s="81" t="inlineStr">
        <is>
          <t>LT Gain</t>
        </is>
      </c>
      <c r="I87" s="83">
        <f>SUMIFS('Trading History'!$T$4:$T1007, 'Trading History'!$S$4:$S1007, CONCAT("&gt;", $A85))</f>
        <v/>
      </c>
      <c r="J87" s="70" t="n"/>
      <c r="K87" s="82" t="inlineStr">
        <is>
          <t>Gain</t>
        </is>
      </c>
      <c r="L87" s="83">
        <f>SUMIFS('Trading History'!$Z$4:$Z1007, 'Trading History'!$Y$4:$Y1007,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9" t="inlineStr">
        <is>
          <t>Gross</t>
        </is>
      </c>
      <c r="C89" s="83">
        <f>SUMIFS('Trading History'!$M$4:$M1007, 'Trading History'!$K$4:$K1007, CONCAT("&gt;", $A85))</f>
        <v/>
      </c>
      <c r="D89" s="70" t="n"/>
      <c r="E89" s="80" t="inlineStr">
        <is>
          <t>ST Gross</t>
        </is>
      </c>
      <c r="F89" s="83">
        <f>SUMIFS('Trading History'!$Q$4:$Q1007, 'Trading History'!$O$4:$O1007, CONCAT("&gt;", $A85))</f>
        <v/>
      </c>
      <c r="G89" s="70" t="n"/>
      <c r="H89" s="81" t="inlineStr">
        <is>
          <t>LT Gross</t>
        </is>
      </c>
      <c r="I89" s="83">
        <f>SUMIFS('Trading History'!$U$4:$U1007, 'Trading History'!$S$4:$S1007, CONCAT("&gt;", $A85))</f>
        <v/>
      </c>
      <c r="J89" s="70" t="n"/>
      <c r="K89" s="82" t="inlineStr">
        <is>
          <t>Gross</t>
        </is>
      </c>
      <c r="L89" s="83">
        <f>SUMIFS('Trading History'!$AA$4:$AA1007, 'Trading History'!$Y$4:$Y1007,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  <row r="1007">
      <c r="A1007" s="66" t="n"/>
      <c r="B1007" s="66" t="n"/>
      <c r="C1007" s="66" t="n"/>
      <c r="D1007" s="66" t="n"/>
      <c r="E1007" s="66" t="n"/>
      <c r="F1007" s="66" t="n"/>
      <c r="G1007" s="66" t="n"/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2026-02-07T07:12:30Z</dcterms:created>
  <dcterms:modified xmlns:dcterms="http://purl.org/dc/terms/" xmlns:xsi="http://www.w3.org/2001/XMLSchema-instance" xsi:type="dcterms:W3CDTF">2026-02-07T07:12:30Z</dcterms:modified>
</cp:coreProperties>
</file>