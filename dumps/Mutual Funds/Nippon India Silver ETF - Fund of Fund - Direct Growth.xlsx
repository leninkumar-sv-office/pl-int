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History'!$A$4:$AA$5</definedName>
    <definedName hidden="1" localSheetId="0" name="Z_52121A8D_EC76_4718_8104_157E31C62976_.wvu.FilterData">'Trading History'!$A$4:$AL$5</definedName>
  </definedNames>
  <calcPr/>
  <customWorkbookViews>
    <customWorkbookView activeSheetId="0" maximized="1" windowHeight="0" windowWidth="0" guid="{52121A8D-EC76-4718-8104-157E31C62976}" name="Filter 1"/>
  </customWorkbookViews>
</workbook>
</file>

<file path=xl/sharedStrings.xml><?xml version="1.0" encoding="utf-8"?>
<sst xmlns="http://schemas.openxmlformats.org/spreadsheetml/2006/main" count="288" uniqueCount="44">
  <si>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</si>
  <si>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</si>
  <si>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</si>
  <si>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</si>
  <si>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</si>
  <si>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</si>
  <si>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</si>
  <si>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</si>
  <si>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Units</t>
  </si>
  <si>
    <t>NAV</t>
  </si>
  <si>
    <t>COST</t>
  </si>
  <si>
    <t>REMARKS</t>
  </si>
  <si>
    <t>STT</t>
  </si>
  <si>
    <t>ADDITIONAL CHARGES</t>
  </si>
  <si>
    <t>Current Price</t>
  </si>
  <si>
    <t>Gain %</t>
  </si>
  <si>
    <t>Gain</t>
  </si>
  <si>
    <t>Gross</t>
  </si>
  <si>
    <t>Price</t>
  </si>
  <si>
    <t>Date</t>
  </si>
  <si>
    <t>NSE</t>
  </si>
  <si>
    <t>Buy</t>
  </si>
  <si>
    <t>Online Sys. Investment (15/Perpetual)</t>
  </si>
  <si>
    <t>Code</t>
  </si>
  <si>
    <t>MUTF_IN:NIPP_INDI_SILV_ACWJQM</t>
  </si>
  <si>
    <t>Lock In Period</t>
  </si>
  <si>
    <t>Commission</t>
  </si>
  <si>
    <t>Exit Load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</si>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</sst>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d-m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</fills>
  <borders count="13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2" fillId="0" fontId="3" numFmtId="10" xfId="0" applyAlignment="1" applyBorder="1" applyFont="1" applyNumberForma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2" numFmtId="164" xfId="0" applyAlignment="1" applyBorder="1" applyFont="1" applyNumberFormat="1">
      <alignment vertical="bottom"/>
    </xf>
    <xf borderId="6" fillId="2" fontId="3" numFmtId="164" xfId="0" applyAlignment="1" applyBorder="1" applyFill="1" applyFont="1" applyNumberForma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vertical="bottom"/>
    </xf>
    <xf borderId="9" fillId="0" fontId="2" numFmtId="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10" fillId="0" fontId="2" numFmtId="0" xfId="0" applyAlignment="1" applyBorder="1" applyFont="1">
      <alignment vertical="bottom"/>
    </xf>
    <xf borderId="2" fillId="3" fontId="3" numFmtId="10" xfId="0" applyAlignment="1" applyBorder="1" applyFill="1" applyFont="1" applyNumberFormat="1">
      <alignment horizontal="center" vertical="bottom"/>
    </xf>
    <xf borderId="5" fillId="3" fontId="2" numFmtId="164" xfId="0" applyAlignment="1" applyBorder="1" applyFont="1" applyNumberFormat="1">
      <alignment vertical="bottom"/>
    </xf>
    <xf borderId="2" fillId="4" fontId="3" numFmtId="164" xfId="0" applyAlignment="1" applyBorder="1" applyFill="1" applyFont="1" applyNumberFormat="1">
      <alignment horizontal="center" vertical="bottom"/>
    </xf>
    <xf borderId="5" fillId="4" fontId="2" numFmtId="164" xfId="0" applyAlignment="1" applyBorder="1" applyFont="1" applyNumberFormat="1">
      <alignment vertical="bottom"/>
    </xf>
    <xf borderId="2" fillId="5" fontId="3" numFmtId="164" xfId="0" applyAlignment="1" applyBorder="1" applyFill="1" applyFont="1" applyNumberFormat="1">
      <alignment horizontal="center" vertical="bottom"/>
    </xf>
    <xf borderId="5" fillId="5" fontId="2" numFmtId="164" xfId="0" applyAlignment="1" applyBorder="1" applyFont="1" applyNumberFormat="1">
      <alignment vertical="bottom"/>
    </xf>
    <xf borderId="11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2" fillId="6" fontId="3" numFmtId="0" xfId="0" applyAlignment="1" applyBorder="1" applyFill="1" applyFont="1">
      <alignment horizontal="center" vertical="top"/>
    </xf>
    <xf borderId="10" fillId="6" fontId="3" numFmtId="0" xfId="0" applyAlignment="1" applyBorder="1" applyFont="1">
      <alignment horizontal="center" vertical="top"/>
    </xf>
    <xf borderId="10" fillId="6" fontId="3" numFmtId="0" xfId="0" applyAlignment="1" applyBorder="1" applyFont="1">
      <alignment horizontal="center" readingOrder="0" vertical="top"/>
    </xf>
    <xf borderId="10" fillId="6" fontId="3" numFmtId="4" xfId="0" applyAlignment="1" applyBorder="1" applyFont="1" applyNumberFormat="1">
      <alignment horizontal="center" readingOrder="0" vertical="top"/>
    </xf>
    <xf borderId="10" fillId="6" fontId="3" numFmtId="164" xfId="0" applyAlignment="1" applyBorder="1" applyFont="1" applyNumberFormat="1">
      <alignment horizontal="center" vertical="top"/>
    </xf>
    <xf borderId="10" fillId="6" fontId="3" numFmtId="0" xfId="0" applyAlignment="1" applyBorder="1" applyFont="1">
      <alignment horizontal="right" vertical="top"/>
    </xf>
    <xf borderId="4" fillId="7" fontId="3" numFmtId="164" xfId="0" applyAlignment="1" applyBorder="1" applyFill="1" applyFont="1" applyNumberFormat="1">
      <alignment horizontal="center" vertical="bottom"/>
    </xf>
    <xf borderId="5" fillId="3" fontId="3" numFmtId="10" xfId="0" applyAlignment="1" applyBorder="1" applyFont="1" applyNumberFormat="1">
      <alignment vertical="bottom"/>
    </xf>
    <xf borderId="5" fillId="3" fontId="3" numFmtId="164" xfId="0" applyAlignment="1" applyBorder="1" applyFont="1" applyNumberFormat="1">
      <alignment vertical="bottom"/>
    </xf>
    <xf borderId="5" fillId="3" fontId="3" numFmtId="0" xfId="0" applyAlignment="1" applyBorder="1" applyFont="1">
      <alignment vertical="bottom"/>
    </xf>
    <xf borderId="5" fillId="4" fontId="3" numFmtId="164" xfId="0" applyAlignment="1" applyBorder="1" applyFont="1" applyNumberFormat="1">
      <alignment vertical="bottom"/>
    </xf>
    <xf borderId="5" fillId="5" fontId="3" numFmtId="164" xfId="0" applyAlignment="1" applyBorder="1" applyFont="1" applyNumberFormat="1">
      <alignment vertical="bottom"/>
    </xf>
    <xf borderId="5" fillId="2" fontId="3" numFmtId="164" xfId="0" applyAlignment="1" applyBorder="1" applyFont="1" applyNumberFormat="1">
      <alignment vertical="bottom"/>
    </xf>
    <xf borderId="5" fillId="2" fontId="3" numFmtId="4" xfId="0" applyAlignment="1" applyBorder="1" applyFont="1" applyNumberFormat="1">
      <alignment vertical="bottom"/>
    </xf>
    <xf borderId="5" fillId="0" fontId="5" numFmtId="165" xfId="0" applyAlignment="1" applyBorder="1" applyFont="1" applyNumberFormat="1">
      <alignment readingOrder="0" vertical="top"/>
    </xf>
    <xf borderId="4" fillId="0" fontId="5" numFmtId="0" xfId="0" applyAlignment="1" applyBorder="1" applyFont="1">
      <alignment readingOrder="0" vertical="top"/>
    </xf>
    <xf borderId="4" fillId="8" fontId="5" numFmtId="0" xfId="0" applyAlignment="1" applyBorder="1" applyFill="1" applyFont="1">
      <alignment readingOrder="0" vertical="top"/>
    </xf>
    <xf borderId="5" fillId="0" fontId="5" numFmtId="2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bottom"/>
    </xf>
    <xf borderId="4" fillId="0" fontId="5" numFmtId="0" xfId="0" applyAlignment="1" applyBorder="1" applyFont="1">
      <alignment horizontal="right" vertical="top"/>
    </xf>
    <xf borderId="4" fillId="0" fontId="5" numFmtId="164" xfId="0" applyAlignment="1" applyBorder="1" applyFont="1" applyNumberFormat="1">
      <alignment horizontal="right" vertical="bottom"/>
    </xf>
    <xf borderId="5" fillId="7" fontId="1" numFmtId="10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5" fillId="0" fontId="2" numFmtId="164" xfId="0" applyAlignment="1" applyBorder="1" applyFont="1" applyNumberFormat="1">
      <alignment readingOrder="0" vertical="bottom"/>
    </xf>
    <xf borderId="5" fillId="0" fontId="2" numFmtId="166" xfId="0" applyAlignment="1" applyBorder="1" applyFont="1" applyNumberFormat="1">
      <alignment readingOrder="0" vertical="bottom"/>
    </xf>
    <xf borderId="5" fillId="9" fontId="2" numFmtId="10" xfId="0" applyAlignment="1" applyBorder="1" applyFill="1" applyFont="1" applyNumberFormat="1">
      <alignment horizontal="right" vertical="bottom"/>
    </xf>
    <xf borderId="5" fillId="9" fontId="2" numFmtId="164" xfId="0" applyAlignment="1" applyBorder="1" applyFont="1" applyNumberFormat="1">
      <alignment horizontal="right" vertical="bottom"/>
    </xf>
    <xf borderId="5" fillId="9" fontId="2" numFmtId="4" xfId="0" applyAlignment="1" applyBorder="1" applyFont="1" applyNumberFormat="1">
      <alignment horizontal="right" vertical="bottom"/>
    </xf>
    <xf borderId="0" fillId="0" fontId="6" numFmtId="164" xfId="0" applyFont="1" applyNumberFormat="1"/>
    <xf borderId="0" fillId="0" fontId="6" numFmtId="4" xfId="0" applyFont="1" applyNumberFormat="1"/>
    <xf borderId="0" fillId="0" fontId="6" numFmtId="0" xfId="0" applyAlignment="1" applyFont="1">
      <alignment horizontal="right"/>
    </xf>
    <xf borderId="0" fillId="0" fontId="6" numFmtId="10" xfId="0" applyFont="1" applyNumberFormat="1"/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4" fillId="10" fontId="7" numFmtId="164" xfId="0" applyAlignment="1" applyBorder="1" applyFill="1" applyFont="1" applyNumberFormat="1">
      <alignment vertical="bottom"/>
    </xf>
    <xf borderId="4" fillId="0" fontId="1" numFmtId="4" xfId="0" applyAlignment="1" applyBorder="1" applyFont="1" applyNumberFormat="1">
      <alignment horizontal="right" readingOrder="0" vertical="bottom"/>
    </xf>
    <xf borderId="3" fillId="0" fontId="8" numFmtId="0" xfId="0" applyAlignment="1" applyBorder="1" applyFont="1">
      <alignment horizontal="center" vertical="bottom"/>
    </xf>
    <xf borderId="0" fillId="0" fontId="7" numFmtId="164" xfId="0" applyAlignment="1" applyFont="1" applyNumberFormat="1">
      <alignment vertical="bottom"/>
    </xf>
    <xf borderId="0" fillId="7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10" fillId="10" fontId="7" numFmtId="164" xfId="0" applyAlignment="1" applyBorder="1" applyFont="1" applyNumberFormat="1">
      <alignment vertical="bottom"/>
    </xf>
    <xf borderId="10" fillId="0" fontId="1" numFmtId="4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9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2" fillId="0" fontId="7" numFmtId="164" xfId="0" applyAlignment="1" applyBorder="1" applyFont="1" applyNumberFormat="1">
      <alignment horizontal="center" vertical="bottom"/>
    </xf>
    <xf borderId="0" fillId="0" fontId="7" numFmtId="9" xfId="0" applyAlignment="1" applyFont="1" applyNumberFormat="1">
      <alignment horizontal="right" vertical="bottom"/>
    </xf>
    <xf borderId="5" fillId="3" fontId="7" numFmtId="164" xfId="0" applyAlignment="1" applyBorder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vertical="bottom"/>
    </xf>
    <xf borderId="5" fillId="4" fontId="7" numFmtId="164" xfId="0" applyAlignment="1" applyBorder="1" applyFont="1" applyNumberFormat="1">
      <alignment vertical="bottom"/>
    </xf>
    <xf borderId="5" fillId="5" fontId="7" numFmtId="164" xfId="0" applyAlignment="1" applyBorder="1" applyFont="1" applyNumberFormat="1">
      <alignment vertical="bottom"/>
    </xf>
    <xf borderId="5" fillId="2" fontId="7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10" fillId="3" fontId="7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0" fillId="4" fontId="7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0" fillId="5" fontId="7" numFmtId="164" xfId="0" applyAlignment="1" applyBorder="1" applyFont="1" applyNumberFormat="1">
      <alignment vertical="bottom"/>
    </xf>
    <xf borderId="10" fillId="2" fontId="7" numFmtId="164" xfId="0" applyAlignment="1" applyBorder="1" applyFont="1" applyNumberFormat="1">
      <alignment vertical="bottom"/>
    </xf>
    <xf borderId="10" fillId="3" fontId="7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1" fillId="0" fontId="1" numFmtId="4" xfId="0" applyAlignment="1" applyBorder="1" applyFont="1" applyNumberFormat="1">
      <alignment vertical="bottom"/>
    </xf>
    <xf borderId="1" fillId="0" fontId="1" numFmtId="10" xfId="0" applyAlignment="1" applyBorder="1" applyFont="1" applyNumberFormat="1">
      <alignment vertical="bottom"/>
    </xf>
    <xf borderId="5" fillId="3" fontId="7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13"/>
    <col customWidth="1" min="2" max="2" width="8.38"/>
    <col customWidth="1" min="3" max="3" width="10.13"/>
    <col customWidth="1" min="4" max="4" width="7.25"/>
    <col customWidth="1" min="5" max="5" width="6.88"/>
    <col customWidth="1" min="6" max="6" width="8.63"/>
    <col customWidth="1" hidden="1" min="7" max="7" width="12.0"/>
    <col customWidth="1" hidden="1" min="8" max="9" width="5.13"/>
    <col customWidth="1" min="10" max="10" width="13.38"/>
    <col customWidth="1" min="11" max="11" width="9.13"/>
    <col customWidth="1" min="12" max="12" width="8.88"/>
    <col customWidth="1" min="13" max="13" width="8.38"/>
    <col customWidth="1" min="14" max="14" width="7.25"/>
    <col customWidth="1" min="15" max="15" width="9.25"/>
    <col customWidth="1" min="16" max="16" width="7.0"/>
    <col customWidth="1" min="17" max="17" width="7.63"/>
    <col customWidth="1" min="18" max="18" width="7.25"/>
    <col customWidth="1" min="19" max="19" width="9.13"/>
    <col customWidth="1" min="20" max="20" width="7.0"/>
    <col customWidth="1" min="21" max="21" width="7.63"/>
    <col customWidth="1" min="22" max="23" width="7.25"/>
    <col customWidth="1" min="24" max="24" width="10.13"/>
    <col customWidth="1" min="25" max="25" width="9.13"/>
    <col customWidth="1" min="26" max="26" width="7.75"/>
    <col customWidth="1" min="27" max="27" width="8.63"/>
    <col customWidth="1" min="28" max="28" width="5.63"/>
  </cols>
  <sheetData>
    <row r="1">
      <c r="A1" s="1"/>
      <c r="B1" s="2"/>
      <c r="C1" s="2"/>
      <c r="D1" s="3"/>
      <c r="E1" s="4"/>
      <c r="F1" s="5"/>
      <c r="G1" s="3"/>
      <c r="H1" s="2"/>
      <c r="I1" s="2"/>
      <c r="J1" s="5"/>
      <c r="K1" s="3"/>
      <c r="L1" s="5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6"/>
      <c r="B2" s="6"/>
      <c r="C2" s="7"/>
      <c r="D2" s="8"/>
      <c r="E2" s="9"/>
      <c r="F2" s="6"/>
      <c r="G2" s="8"/>
      <c r="H2" s="7"/>
      <c r="I2" s="10"/>
      <c r="J2" s="6"/>
      <c r="K2" s="11" t="s">
        <v>0</v>
      </c>
      <c r="L2" s="12"/>
      <c r="M2" s="12"/>
      <c r="N2" s="12"/>
      <c r="O2" s="12"/>
      <c r="P2" s="12"/>
      <c r="Q2" s="12"/>
      <c r="R2" s="12"/>
      <c r="S2" s="12"/>
      <c r="T2" s="12"/>
      <c r="U2" s="13"/>
      <c r="V2" s="14"/>
      <c r="W2" s="15" t="s">
        <v>1</v>
      </c>
      <c r="X2" s="16"/>
      <c r="Y2" s="16"/>
      <c r="Z2" s="16"/>
      <c r="AA2" s="16"/>
      <c r="AB2" s="17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18"/>
      <c r="B3" s="19"/>
      <c r="C3" s="18"/>
      <c r="D3" s="19"/>
      <c r="E3" s="19"/>
      <c r="F3" s="20"/>
      <c r="G3" s="21"/>
      <c r="H3" s="18"/>
      <c r="I3" s="22"/>
      <c r="J3" s="6"/>
      <c r="K3" s="23" t="s">
        <v>2</v>
      </c>
      <c r="L3" s="12"/>
      <c r="M3" s="13"/>
      <c r="N3" s="24"/>
      <c r="O3" s="25" t="s">
        <v>3</v>
      </c>
      <c r="P3" s="12"/>
      <c r="Q3" s="13"/>
      <c r="R3" s="26"/>
      <c r="S3" s="27" t="s">
        <v>4</v>
      </c>
      <c r="T3" s="12"/>
      <c r="U3" s="13"/>
      <c r="V3" s="28"/>
      <c r="W3" s="29"/>
      <c r="X3" s="30"/>
      <c r="Y3" s="30"/>
      <c r="Z3" s="30"/>
      <c r="AA3" s="30"/>
      <c r="AB3" s="31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32" t="s">
        <v>5</v>
      </c>
      <c r="B4" s="33" t="s">
        <v>6</v>
      </c>
      <c r="C4" s="33" t="s">
        <v>7</v>
      </c>
      <c r="D4" s="34" t="s">
        <v>8</v>
      </c>
      <c r="E4" s="35" t="s">
        <v>9</v>
      </c>
      <c r="F4" s="36" t="s">
        <v>10</v>
      </c>
      <c r="G4" s="37" t="s">
        <v>11</v>
      </c>
      <c r="H4" s="33" t="s">
        <v>12</v>
      </c>
      <c r="I4" s="33" t="s">
        <v>13</v>
      </c>
      <c r="J4" s="38" t="s">
        <v>14</v>
      </c>
      <c r="K4" s="39" t="s">
        <v>15</v>
      </c>
      <c r="L4" s="40" t="s">
        <v>16</v>
      </c>
      <c r="M4" s="40" t="s">
        <v>17</v>
      </c>
      <c r="N4" s="41" t="s">
        <v>8</v>
      </c>
      <c r="O4" s="42" t="s">
        <v>15</v>
      </c>
      <c r="P4" s="42" t="s">
        <v>16</v>
      </c>
      <c r="Q4" s="42" t="s">
        <v>17</v>
      </c>
      <c r="R4" s="42" t="s">
        <v>8</v>
      </c>
      <c r="S4" s="43" t="s">
        <v>15</v>
      </c>
      <c r="T4" s="43" t="s">
        <v>16</v>
      </c>
      <c r="U4" s="43" t="s">
        <v>17</v>
      </c>
      <c r="V4" s="43" t="s">
        <v>8</v>
      </c>
      <c r="W4" s="44" t="s">
        <v>18</v>
      </c>
      <c r="X4" s="44" t="s">
        <v>19</v>
      </c>
      <c r="Y4" s="44" t="s">
        <v>15</v>
      </c>
      <c r="Z4" s="44" t="s">
        <v>16</v>
      </c>
      <c r="AA4" s="44" t="s">
        <v>17</v>
      </c>
      <c r="AB4" s="45" t="s">
        <v>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46">
        <v>45849.0</v>
      </c>
      <c r="B5" s="47" t="s">
        <v>20</v>
      </c>
      <c r="C5" s="48" t="s">
        <v>21</v>
      </c>
      <c r="D5" s="49">
        <f>F5/E5</f>
        <v>290.8979834</v>
      </c>
      <c r="E5" s="50">
        <v>17.1874</v>
      </c>
      <c r="F5" s="51">
        <v>4999.78</v>
      </c>
      <c r="G5" s="47" t="s">
        <v>22</v>
      </c>
      <c r="H5" s="52"/>
      <c r="I5" s="52"/>
      <c r="J5" s="53">
        <f>Index!$C$2</f>
        <v>37.11</v>
      </c>
      <c r="K5" s="54">
        <f>IF(AND( C5="Buy", ISBLANK(W5), B5&lt;&gt;"DIV"), L5/sum(F5:I5), "")</f>
        <v>1.159139835</v>
      </c>
      <c r="L5" s="55">
        <f>IF(AND( C5="Buy", ISBLANK(W5), B5&lt;&gt;"DIV"), (1-Index!$F$2*2)*((J5*D5)-(E5*D5)), "")</f>
        <v>5795.444164</v>
      </c>
      <c r="M5" s="55">
        <f>IF(AND( C5="Buy", ISBLANK(W5), B5&lt;&gt;"DIV"), ((E5*D5)+L5), "")</f>
        <v>10795.22416</v>
      </c>
      <c r="N5" s="56">
        <f>IF(AND( C5="Buy", ISBLANK(W5), B5&lt;&gt;"DIV"), D5, "")</f>
        <v>290.8979834</v>
      </c>
      <c r="O5" s="54">
        <f>IF(AND( C5="Buy", ISBLANK(W5), B5&lt;&gt;"DIV", NOW()-A5 &lt; 365, A5&lt;TODAY()-365*Index!$J$1), P5/sum(F5:I5), "")</f>
        <v>1.159139835</v>
      </c>
      <c r="P5" s="55">
        <f>IF(AND( C5="Buy", ISBLANK(W5), B5&lt;&gt;"DIV", NOW()-A5 &lt; 365, A5&lt;TODAY()-365*Index!$J$1), (1-Index!$F$2*2)*((J5*D5)-(E5*D5)), "")</f>
        <v>5795.444164</v>
      </c>
      <c r="Q5" s="55">
        <f>IF(AND( C5="Buy", ISBLANK(W5), B5&lt;&gt;"DIV", NOW()-A5 &lt; 365, A5&lt;TODAY()-365*Index!$J$1), ((E5*D5)+P5), "")</f>
        <v>10795.22416</v>
      </c>
      <c r="R5" s="55">
        <f>IF(AND( C5="Buy", ISBLANK(W5), B5&lt;&gt;"DIV", NOW()-A5 &lt; 365, A5&lt;TODAY()-365*Index!$J$1), D5, "")</f>
        <v>290.8979834</v>
      </c>
      <c r="S5" s="54" t="str">
        <f>IF(AND( C5="Buy", ISBLANK(W5), B5&lt;&gt;"DIV", NOW()-A5 &gt; 365, A5&lt;TODAY()-365*Index!$J$1), T5/sum(F5:I5), "")</f>
        <v/>
      </c>
      <c r="T5" s="55" t="str">
        <f>IF(AND( C5="Buy", ISBLANK(W5), B5&lt;&gt;"DIV", NOW()-A5 &gt; 365, A5&lt;TODAY()-365*Index!$J$1), (1-Index!$F$2*2)*((J5*D5)-(E5*D5)), "")</f>
        <v/>
      </c>
      <c r="U5" s="55" t="str">
        <f>IF(AND( C5="Buy", ISBLANK(W5), B5&lt;&gt;"DIV", NOW()-A5 &gt; 365, A5&lt;TODAY()-365*Index!$J$1), ((E5*D5)+T5), "")</f>
        <v/>
      </c>
      <c r="V5" s="55" t="str">
        <f>IF(AND( C5="Buy", ISBLANK(W5), B5&lt;&gt;"DIV", NOW()-A5 &gt; 365, A5&lt;TODAY()-365*Index!$J$1), D5, "")</f>
        <v/>
      </c>
      <c r="W5" s="57"/>
      <c r="X5" s="58"/>
      <c r="Y5" s="59"/>
      <c r="Z5" s="60"/>
      <c r="AA5" s="60"/>
      <c r="AB5" s="61"/>
    </row>
    <row r="6">
      <c r="D6" s="62"/>
      <c r="E6" s="63"/>
      <c r="F6" s="62"/>
      <c r="G6" s="64"/>
      <c r="J6" s="62"/>
      <c r="K6" s="65"/>
      <c r="L6" s="62"/>
      <c r="O6" s="62"/>
      <c r="P6" s="62"/>
      <c r="Q6" s="62"/>
      <c r="R6" s="62"/>
      <c r="S6" s="62"/>
      <c r="T6" s="62"/>
      <c r="U6" s="62"/>
      <c r="V6" s="62"/>
      <c r="X6" s="62"/>
      <c r="Y6" s="62"/>
      <c r="Z6" s="62"/>
      <c r="AA6" s="62"/>
      <c r="AB6" s="63"/>
    </row>
    <row r="7">
      <c r="D7" s="62"/>
      <c r="E7" s="63"/>
      <c r="F7" s="62"/>
      <c r="G7" s="64"/>
      <c r="J7" s="62"/>
      <c r="K7" s="65"/>
      <c r="L7" s="62"/>
      <c r="O7" s="62"/>
      <c r="P7" s="62"/>
      <c r="Q7" s="62"/>
      <c r="R7" s="62"/>
      <c r="S7" s="62"/>
      <c r="T7" s="62"/>
      <c r="U7" s="62"/>
      <c r="V7" s="62"/>
      <c r="X7" s="62"/>
      <c r="Y7" s="62"/>
      <c r="Z7" s="62"/>
      <c r="AA7" s="62"/>
      <c r="AB7" s="63"/>
    </row>
    <row r="8">
      <c r="D8" s="62"/>
      <c r="E8" s="63"/>
      <c r="F8" s="62"/>
      <c r="G8" s="64"/>
      <c r="J8" s="62"/>
      <c r="K8" s="65"/>
      <c r="L8" s="62"/>
      <c r="O8" s="62"/>
      <c r="P8" s="62"/>
      <c r="Q8" s="62"/>
      <c r="R8" s="62"/>
      <c r="S8" s="62"/>
      <c r="T8" s="62"/>
      <c r="U8" s="62"/>
      <c r="V8" s="62"/>
      <c r="X8" s="62"/>
      <c r="Y8" s="62"/>
      <c r="Z8" s="62"/>
      <c r="AA8" s="62"/>
      <c r="AB8" s="63"/>
    </row>
    <row r="9">
      <c r="D9" s="62"/>
      <c r="E9" s="63"/>
      <c r="F9" s="62"/>
      <c r="G9" s="64"/>
      <c r="J9" s="62"/>
      <c r="K9" s="65"/>
      <c r="L9" s="62"/>
      <c r="O9" s="62"/>
      <c r="P9" s="62"/>
      <c r="Q9" s="62"/>
      <c r="R9" s="62"/>
      <c r="S9" s="62"/>
      <c r="T9" s="62"/>
      <c r="U9" s="62"/>
      <c r="V9" s="62"/>
      <c r="X9" s="62"/>
      <c r="Y9" s="62"/>
      <c r="Z9" s="62"/>
      <c r="AA9" s="62"/>
      <c r="AB9" s="63"/>
    </row>
    <row r="10">
      <c r="D10" s="62"/>
      <c r="E10" s="63"/>
      <c r="F10" s="62"/>
      <c r="G10" s="64"/>
      <c r="J10" s="62"/>
      <c r="K10" s="65"/>
      <c r="L10" s="62"/>
      <c r="O10" s="62"/>
      <c r="P10" s="62"/>
      <c r="Q10" s="62"/>
      <c r="R10" s="62"/>
      <c r="S10" s="62"/>
      <c r="T10" s="62"/>
      <c r="U10" s="62"/>
      <c r="V10" s="62"/>
      <c r="X10" s="62"/>
      <c r="Y10" s="62"/>
      <c r="Z10" s="62"/>
      <c r="AA10" s="62"/>
      <c r="AB10" s="63"/>
    </row>
    <row r="11">
      <c r="D11" s="62"/>
      <c r="E11" s="63"/>
      <c r="F11" s="62"/>
      <c r="G11" s="64"/>
      <c r="J11" s="62"/>
      <c r="K11" s="65"/>
      <c r="L11" s="62"/>
      <c r="O11" s="62"/>
      <c r="P11" s="62"/>
      <c r="Q11" s="62"/>
      <c r="R11" s="62"/>
      <c r="S11" s="62"/>
      <c r="T11" s="62"/>
      <c r="U11" s="62"/>
      <c r="V11" s="62"/>
      <c r="X11" s="62"/>
      <c r="Y11" s="62"/>
      <c r="Z11" s="62"/>
      <c r="AA11" s="62"/>
      <c r="AB11" s="63"/>
    </row>
    <row r="12">
      <c r="D12" s="62"/>
      <c r="E12" s="63"/>
      <c r="F12" s="62"/>
      <c r="G12" s="64"/>
      <c r="J12" s="62"/>
      <c r="K12" s="65"/>
      <c r="L12" s="62"/>
      <c r="O12" s="62"/>
      <c r="P12" s="62"/>
      <c r="Q12" s="62"/>
      <c r="R12" s="62"/>
      <c r="S12" s="62"/>
      <c r="T12" s="62"/>
      <c r="U12" s="62"/>
      <c r="V12" s="62"/>
      <c r="X12" s="62"/>
      <c r="Y12" s="62"/>
      <c r="Z12" s="62"/>
      <c r="AA12" s="62"/>
      <c r="AB12" s="63"/>
    </row>
    <row r="13">
      <c r="D13" s="62"/>
      <c r="E13" s="63"/>
      <c r="F13" s="62"/>
      <c r="G13" s="64"/>
      <c r="J13" s="62"/>
      <c r="K13" s="65"/>
      <c r="L13" s="62"/>
      <c r="O13" s="62"/>
      <c r="P13" s="62"/>
      <c r="Q13" s="62"/>
      <c r="R13" s="62"/>
      <c r="S13" s="62"/>
      <c r="T13" s="62"/>
      <c r="U13" s="62"/>
      <c r="V13" s="62"/>
      <c r="X13" s="62"/>
      <c r="Y13" s="62"/>
      <c r="Z13" s="62"/>
      <c r="AA13" s="62"/>
      <c r="AB13" s="63"/>
    </row>
    <row r="14">
      <c r="D14" s="62"/>
      <c r="E14" s="63"/>
      <c r="F14" s="62"/>
      <c r="G14" s="64"/>
      <c r="J14" s="62"/>
      <c r="K14" s="65"/>
      <c r="L14" s="62"/>
      <c r="O14" s="62"/>
      <c r="P14" s="62"/>
      <c r="Q14" s="62"/>
      <c r="R14" s="62"/>
      <c r="S14" s="62"/>
      <c r="T14" s="62"/>
      <c r="U14" s="62"/>
      <c r="V14" s="62"/>
      <c r="X14" s="62"/>
      <c r="Y14" s="62"/>
      <c r="Z14" s="62"/>
      <c r="AA14" s="62"/>
      <c r="AB14" s="63"/>
    </row>
    <row r="15">
      <c r="D15" s="62"/>
      <c r="E15" s="63"/>
      <c r="F15" s="62"/>
      <c r="G15" s="64"/>
      <c r="J15" s="62"/>
      <c r="K15" s="65"/>
      <c r="L15" s="62"/>
      <c r="O15" s="62"/>
      <c r="P15" s="62"/>
      <c r="Q15" s="62"/>
      <c r="R15" s="62"/>
      <c r="S15" s="62"/>
      <c r="T15" s="62"/>
      <c r="U15" s="62"/>
      <c r="V15" s="62"/>
      <c r="X15" s="62"/>
      <c r="Y15" s="62"/>
      <c r="Z15" s="62"/>
      <c r="AA15" s="62"/>
      <c r="AB15" s="63"/>
    </row>
    <row r="16">
      <c r="D16" s="62"/>
      <c r="E16" s="63"/>
      <c r="F16" s="62"/>
      <c r="G16" s="64"/>
      <c r="J16" s="62"/>
      <c r="K16" s="65"/>
      <c r="L16" s="62"/>
      <c r="O16" s="62"/>
      <c r="P16" s="62"/>
      <c r="Q16" s="62"/>
      <c r="R16" s="62"/>
      <c r="S16" s="62"/>
      <c r="T16" s="62"/>
      <c r="U16" s="62"/>
      <c r="V16" s="62"/>
      <c r="X16" s="62"/>
      <c r="Y16" s="62"/>
      <c r="Z16" s="62"/>
      <c r="AA16" s="62"/>
      <c r="AB16" s="63"/>
    </row>
    <row r="17">
      <c r="D17" s="62"/>
      <c r="E17" s="63"/>
      <c r="F17" s="62"/>
      <c r="G17" s="64"/>
      <c r="J17" s="62"/>
      <c r="K17" s="65"/>
      <c r="L17" s="62"/>
      <c r="O17" s="62"/>
      <c r="P17" s="62"/>
      <c r="Q17" s="62"/>
      <c r="R17" s="62"/>
      <c r="S17" s="62"/>
      <c r="T17" s="62"/>
      <c r="U17" s="62"/>
      <c r="V17" s="62"/>
      <c r="X17" s="62"/>
      <c r="Y17" s="62"/>
      <c r="Z17" s="62"/>
      <c r="AA17" s="62"/>
      <c r="AB17" s="63"/>
    </row>
    <row r="18">
      <c r="D18" s="62"/>
      <c r="E18" s="63"/>
      <c r="F18" s="62"/>
      <c r="G18" s="64"/>
      <c r="J18" s="62"/>
      <c r="K18" s="65"/>
      <c r="L18" s="62"/>
      <c r="O18" s="62"/>
      <c r="P18" s="62"/>
      <c r="Q18" s="62"/>
      <c r="R18" s="62"/>
      <c r="S18" s="62"/>
      <c r="T18" s="62"/>
      <c r="U18" s="62"/>
      <c r="V18" s="62"/>
      <c r="X18" s="62"/>
      <c r="Y18" s="62"/>
      <c r="Z18" s="62"/>
      <c r="AA18" s="62"/>
      <c r="AB18" s="63"/>
    </row>
    <row r="19">
      <c r="D19" s="62"/>
      <c r="E19" s="63"/>
      <c r="F19" s="62"/>
      <c r="G19" s="64"/>
      <c r="J19" s="62"/>
      <c r="K19" s="65"/>
      <c r="L19" s="62"/>
      <c r="O19" s="62"/>
      <c r="P19" s="62"/>
      <c r="Q19" s="62"/>
      <c r="R19" s="62"/>
      <c r="S19" s="62"/>
      <c r="T19" s="62"/>
      <c r="U19" s="62"/>
      <c r="V19" s="62"/>
      <c r="X19" s="62"/>
      <c r="Y19" s="62"/>
      <c r="Z19" s="62"/>
      <c r="AA19" s="62"/>
      <c r="AB19" s="63"/>
    </row>
    <row r="20">
      <c r="D20" s="62"/>
      <c r="E20" s="63"/>
      <c r="F20" s="62"/>
      <c r="G20" s="64"/>
      <c r="J20" s="62"/>
      <c r="K20" s="65"/>
      <c r="L20" s="62"/>
      <c r="O20" s="62"/>
      <c r="P20" s="62"/>
      <c r="Q20" s="62"/>
      <c r="R20" s="62"/>
      <c r="S20" s="62"/>
      <c r="T20" s="62"/>
      <c r="U20" s="62"/>
      <c r="V20" s="62"/>
      <c r="X20" s="62"/>
      <c r="Y20" s="62"/>
      <c r="Z20" s="62"/>
      <c r="AA20" s="62"/>
      <c r="AB20" s="63"/>
    </row>
    <row r="21">
      <c r="D21" s="62"/>
      <c r="E21" s="63"/>
      <c r="F21" s="62"/>
      <c r="G21" s="64"/>
      <c r="J21" s="62"/>
      <c r="K21" s="65"/>
      <c r="L21" s="62"/>
      <c r="O21" s="62"/>
      <c r="P21" s="62"/>
      <c r="Q21" s="62"/>
      <c r="R21" s="62"/>
      <c r="S21" s="62"/>
      <c r="T21" s="62"/>
      <c r="U21" s="62"/>
      <c r="V21" s="62"/>
      <c r="X21" s="62"/>
      <c r="Y21" s="62"/>
      <c r="Z21" s="62"/>
      <c r="AA21" s="62"/>
      <c r="AB21" s="63"/>
    </row>
    <row r="22">
      <c r="D22" s="62"/>
      <c r="E22" s="63"/>
      <c r="F22" s="62"/>
      <c r="G22" s="64"/>
      <c r="J22" s="62"/>
      <c r="K22" s="65"/>
      <c r="L22" s="62"/>
      <c r="O22" s="62"/>
      <c r="P22" s="62"/>
      <c r="Q22" s="62"/>
      <c r="R22" s="62"/>
      <c r="S22" s="62"/>
      <c r="T22" s="62"/>
      <c r="U22" s="62"/>
      <c r="V22" s="62"/>
      <c r="X22" s="62"/>
      <c r="Y22" s="62"/>
      <c r="Z22" s="62"/>
      <c r="AA22" s="62"/>
      <c r="AB22" s="63"/>
    </row>
    <row r="23">
      <c r="D23" s="62"/>
      <c r="E23" s="63"/>
      <c r="F23" s="62"/>
      <c r="G23" s="64"/>
      <c r="J23" s="62"/>
      <c r="K23" s="65"/>
      <c r="L23" s="62"/>
      <c r="O23" s="62"/>
      <c r="P23" s="62"/>
      <c r="Q23" s="62"/>
      <c r="R23" s="62"/>
      <c r="S23" s="62"/>
      <c r="T23" s="62"/>
      <c r="U23" s="62"/>
      <c r="V23" s="62"/>
      <c r="X23" s="62"/>
      <c r="Y23" s="62"/>
      <c r="Z23" s="62"/>
      <c r="AA23" s="62"/>
      <c r="AB23" s="63"/>
    </row>
    <row r="24">
      <c r="E24" s="63"/>
      <c r="F24" s="62"/>
      <c r="G24" s="64"/>
      <c r="J24" s="62"/>
      <c r="K24" s="65"/>
      <c r="L24" s="62"/>
      <c r="O24" s="62"/>
      <c r="P24" s="62"/>
      <c r="Q24" s="62"/>
      <c r="R24" s="62"/>
      <c r="S24" s="62"/>
      <c r="T24" s="62"/>
      <c r="U24" s="62"/>
      <c r="V24" s="62"/>
      <c r="X24" s="62"/>
      <c r="Y24" s="62"/>
      <c r="Z24" s="62"/>
      <c r="AA24" s="62"/>
      <c r="AB24" s="63"/>
    </row>
    <row r="25">
      <c r="E25" s="63"/>
      <c r="F25" s="62"/>
      <c r="G25" s="64"/>
      <c r="J25" s="62"/>
      <c r="K25" s="65"/>
      <c r="L25" s="62"/>
      <c r="O25" s="62"/>
      <c r="P25" s="62"/>
      <c r="Q25" s="62"/>
      <c r="R25" s="62"/>
      <c r="S25" s="62"/>
      <c r="T25" s="62"/>
      <c r="U25" s="62"/>
      <c r="V25" s="62"/>
      <c r="X25" s="62"/>
      <c r="Y25" s="62"/>
      <c r="Z25" s="62"/>
      <c r="AA25" s="62"/>
      <c r="AB25" s="63"/>
    </row>
    <row r="26">
      <c r="E26" s="63"/>
      <c r="F26" s="62"/>
      <c r="G26" s="64"/>
      <c r="J26" s="62"/>
      <c r="K26" s="65"/>
      <c r="L26" s="62"/>
      <c r="O26" s="62"/>
      <c r="P26" s="62"/>
      <c r="Q26" s="62"/>
      <c r="R26" s="62"/>
      <c r="S26" s="62"/>
      <c r="T26" s="62"/>
      <c r="U26" s="62"/>
      <c r="V26" s="62"/>
      <c r="X26" s="62"/>
      <c r="Y26" s="62"/>
      <c r="Z26" s="62"/>
      <c r="AA26" s="62"/>
      <c r="AB26" s="63"/>
    </row>
    <row r="27">
      <c r="E27" s="63"/>
      <c r="F27" s="62"/>
      <c r="G27" s="64"/>
      <c r="J27" s="62"/>
      <c r="K27" s="65"/>
      <c r="L27" s="62"/>
      <c r="O27" s="62"/>
      <c r="P27" s="62"/>
      <c r="Q27" s="62"/>
      <c r="R27" s="62"/>
      <c r="S27" s="62"/>
      <c r="T27" s="62"/>
      <c r="U27" s="62"/>
      <c r="V27" s="62"/>
      <c r="X27" s="62"/>
      <c r="Y27" s="62"/>
      <c r="Z27" s="62"/>
      <c r="AA27" s="62"/>
      <c r="AB27" s="63"/>
    </row>
    <row r="28">
      <c r="E28" s="63"/>
      <c r="F28" s="62"/>
      <c r="G28" s="64"/>
      <c r="J28" s="62"/>
      <c r="K28" s="65"/>
      <c r="L28" s="62"/>
      <c r="O28" s="62"/>
      <c r="P28" s="62"/>
      <c r="Q28" s="62"/>
      <c r="R28" s="62"/>
      <c r="S28" s="62"/>
      <c r="T28" s="62"/>
      <c r="U28" s="62"/>
      <c r="V28" s="62"/>
      <c r="X28" s="62"/>
      <c r="Y28" s="62"/>
      <c r="Z28" s="62"/>
      <c r="AA28" s="62"/>
      <c r="AB28" s="63"/>
    </row>
    <row r="29">
      <c r="E29" s="63"/>
      <c r="F29" s="62"/>
      <c r="G29" s="64"/>
      <c r="J29" s="62"/>
      <c r="K29" s="65"/>
      <c r="L29" s="62"/>
      <c r="O29" s="62"/>
      <c r="P29" s="62"/>
      <c r="Q29" s="62"/>
      <c r="R29" s="62"/>
      <c r="S29" s="62"/>
      <c r="T29" s="62"/>
      <c r="U29" s="62"/>
      <c r="V29" s="62"/>
      <c r="X29" s="62"/>
      <c r="Y29" s="62"/>
      <c r="Z29" s="62"/>
      <c r="AA29" s="62"/>
      <c r="AB29" s="63"/>
    </row>
    <row r="30">
      <c r="E30" s="63"/>
      <c r="F30" s="62"/>
      <c r="G30" s="64"/>
      <c r="J30" s="62"/>
      <c r="K30" s="65"/>
      <c r="L30" s="62"/>
      <c r="O30" s="62"/>
      <c r="P30" s="62"/>
      <c r="Q30" s="62"/>
      <c r="R30" s="62"/>
      <c r="S30" s="62"/>
      <c r="T30" s="62"/>
      <c r="U30" s="62"/>
      <c r="V30" s="62"/>
      <c r="X30" s="62"/>
      <c r="Y30" s="62"/>
      <c r="Z30" s="62"/>
      <c r="AA30" s="62"/>
      <c r="AB30" s="63"/>
    </row>
    <row r="31">
      <c r="E31" s="63"/>
      <c r="F31" s="62"/>
      <c r="G31" s="64"/>
      <c r="J31" s="62"/>
      <c r="K31" s="65"/>
      <c r="L31" s="62"/>
      <c r="O31" s="62"/>
      <c r="P31" s="62"/>
      <c r="Q31" s="62"/>
      <c r="R31" s="62"/>
      <c r="S31" s="62"/>
      <c r="T31" s="62"/>
      <c r="U31" s="62"/>
      <c r="V31" s="62"/>
      <c r="X31" s="62"/>
      <c r="Y31" s="62"/>
      <c r="Z31" s="62"/>
      <c r="AA31" s="62"/>
      <c r="AB31" s="63"/>
    </row>
    <row r="32">
      <c r="E32" s="63"/>
      <c r="F32" s="62"/>
      <c r="G32" s="64"/>
      <c r="J32" s="62"/>
      <c r="K32" s="65"/>
      <c r="L32" s="62"/>
      <c r="O32" s="62"/>
      <c r="P32" s="62"/>
      <c r="Q32" s="62"/>
      <c r="R32" s="62"/>
      <c r="S32" s="62"/>
      <c r="T32" s="62"/>
      <c r="U32" s="62"/>
      <c r="V32" s="62"/>
      <c r="X32" s="62"/>
      <c r="Y32" s="62"/>
      <c r="Z32" s="62"/>
      <c r="AA32" s="62"/>
      <c r="AB32" s="63"/>
    </row>
    <row r="33">
      <c r="E33" s="63"/>
      <c r="F33" s="62"/>
      <c r="G33" s="64"/>
      <c r="J33" s="62"/>
      <c r="K33" s="65"/>
      <c r="L33" s="62"/>
      <c r="O33" s="62"/>
      <c r="P33" s="62"/>
      <c r="Q33" s="62"/>
      <c r="R33" s="62"/>
      <c r="S33" s="62"/>
      <c r="T33" s="62"/>
      <c r="U33" s="62"/>
      <c r="V33" s="62"/>
      <c r="X33" s="62"/>
      <c r="Y33" s="62"/>
      <c r="Z33" s="62"/>
      <c r="AA33" s="62"/>
      <c r="AB33" s="63"/>
    </row>
    <row r="34">
      <c r="E34" s="63"/>
      <c r="F34" s="62"/>
      <c r="G34" s="64"/>
      <c r="J34" s="62"/>
      <c r="K34" s="65"/>
      <c r="L34" s="62"/>
      <c r="O34" s="62"/>
      <c r="P34" s="62"/>
      <c r="Q34" s="62"/>
      <c r="R34" s="62"/>
      <c r="S34" s="62"/>
      <c r="T34" s="62"/>
      <c r="U34" s="62"/>
      <c r="V34" s="62"/>
      <c r="X34" s="62"/>
      <c r="Y34" s="62"/>
      <c r="Z34" s="62"/>
      <c r="AA34" s="62"/>
      <c r="AB34" s="63"/>
    </row>
    <row r="35">
      <c r="E35" s="63"/>
      <c r="F35" s="62"/>
      <c r="G35" s="64"/>
      <c r="J35" s="62"/>
      <c r="K35" s="65"/>
      <c r="L35" s="62"/>
      <c r="O35" s="62"/>
      <c r="P35" s="62"/>
      <c r="Q35" s="62"/>
      <c r="R35" s="62"/>
      <c r="S35" s="62"/>
      <c r="T35" s="62"/>
      <c r="U35" s="62"/>
      <c r="V35" s="62"/>
      <c r="X35" s="62"/>
      <c r="Y35" s="62"/>
      <c r="Z35" s="62"/>
      <c r="AA35" s="62"/>
      <c r="AB35" s="63"/>
    </row>
    <row r="36">
      <c r="E36" s="63"/>
      <c r="F36" s="62"/>
      <c r="G36" s="64"/>
      <c r="J36" s="62"/>
      <c r="K36" s="65"/>
      <c r="L36" s="62"/>
      <c r="O36" s="62"/>
      <c r="P36" s="62"/>
      <c r="Q36" s="62"/>
      <c r="R36" s="62"/>
      <c r="S36" s="62"/>
      <c r="T36" s="62"/>
      <c r="U36" s="62"/>
      <c r="V36" s="62"/>
      <c r="X36" s="62"/>
      <c r="Y36" s="62"/>
      <c r="Z36" s="62"/>
      <c r="AA36" s="62"/>
      <c r="AB36" s="63"/>
    </row>
    <row r="37">
      <c r="E37" s="63"/>
      <c r="F37" s="62"/>
      <c r="G37" s="64"/>
      <c r="J37" s="62"/>
      <c r="K37" s="65"/>
      <c r="L37" s="62"/>
      <c r="O37" s="62"/>
      <c r="P37" s="62"/>
      <c r="Q37" s="62"/>
      <c r="R37" s="62"/>
      <c r="S37" s="62"/>
      <c r="T37" s="62"/>
      <c r="U37" s="62"/>
      <c r="V37" s="62"/>
      <c r="X37" s="62"/>
      <c r="Y37" s="62"/>
      <c r="Z37" s="62"/>
      <c r="AA37" s="62"/>
      <c r="AB37" s="63"/>
    </row>
    <row r="38">
      <c r="E38" s="63"/>
      <c r="F38" s="62"/>
      <c r="G38" s="64"/>
      <c r="J38" s="62"/>
      <c r="K38" s="65"/>
      <c r="L38" s="62"/>
      <c r="O38" s="62"/>
      <c r="P38" s="62"/>
      <c r="Q38" s="62"/>
      <c r="R38" s="62"/>
      <c r="S38" s="62"/>
      <c r="T38" s="62"/>
      <c r="U38" s="62"/>
      <c r="V38" s="62"/>
      <c r="X38" s="62"/>
      <c r="Y38" s="62"/>
      <c r="Z38" s="62"/>
      <c r="AA38" s="62"/>
      <c r="AB38" s="63"/>
    </row>
    <row r="39">
      <c r="E39" s="63"/>
      <c r="F39" s="62"/>
      <c r="G39" s="64"/>
      <c r="J39" s="62"/>
      <c r="K39" s="65"/>
      <c r="L39" s="62"/>
      <c r="O39" s="62"/>
      <c r="P39" s="62"/>
      <c r="Q39" s="62"/>
      <c r="R39" s="62"/>
      <c r="S39" s="62"/>
      <c r="T39" s="62"/>
      <c r="U39" s="62"/>
      <c r="V39" s="62"/>
      <c r="X39" s="62"/>
      <c r="Y39" s="62"/>
      <c r="Z39" s="62"/>
      <c r="AA39" s="62"/>
      <c r="AB39" s="63"/>
    </row>
    <row r="40">
      <c r="E40" s="63"/>
      <c r="F40" s="62"/>
      <c r="G40" s="64"/>
      <c r="J40" s="62"/>
      <c r="K40" s="65"/>
      <c r="L40" s="62"/>
      <c r="O40" s="62"/>
      <c r="P40" s="62"/>
      <c r="Q40" s="62"/>
      <c r="R40" s="62"/>
      <c r="S40" s="62"/>
      <c r="T40" s="62"/>
      <c r="U40" s="62"/>
      <c r="V40" s="62"/>
      <c r="X40" s="62"/>
      <c r="Y40" s="62"/>
      <c r="Z40" s="62"/>
      <c r="AA40" s="62"/>
      <c r="AB40" s="63"/>
    </row>
    <row r="41">
      <c r="E41" s="63"/>
      <c r="F41" s="62"/>
      <c r="G41" s="64"/>
      <c r="J41" s="62"/>
      <c r="K41" s="65"/>
      <c r="L41" s="62"/>
      <c r="O41" s="62"/>
      <c r="P41" s="62"/>
      <c r="Q41" s="62"/>
      <c r="R41" s="62"/>
      <c r="S41" s="62"/>
      <c r="T41" s="62"/>
      <c r="U41" s="62"/>
      <c r="V41" s="62"/>
      <c r="X41" s="62"/>
      <c r="Y41" s="62"/>
      <c r="Z41" s="62"/>
      <c r="AA41" s="62"/>
      <c r="AB41" s="63"/>
    </row>
    <row r="42">
      <c r="E42" s="63"/>
      <c r="F42" s="62"/>
      <c r="G42" s="64"/>
      <c r="J42" s="62"/>
      <c r="K42" s="65"/>
      <c r="L42" s="62"/>
      <c r="O42" s="62"/>
      <c r="P42" s="62"/>
      <c r="Q42" s="62"/>
      <c r="R42" s="62"/>
      <c r="S42" s="62"/>
      <c r="T42" s="62"/>
      <c r="U42" s="62"/>
      <c r="V42" s="62"/>
      <c r="X42" s="62"/>
      <c r="Y42" s="62"/>
      <c r="Z42" s="62"/>
      <c r="AA42" s="62"/>
      <c r="AB42" s="63"/>
    </row>
    <row r="43">
      <c r="E43" s="63"/>
      <c r="F43" s="62"/>
      <c r="G43" s="64"/>
      <c r="J43" s="62"/>
      <c r="K43" s="65"/>
      <c r="L43" s="62"/>
      <c r="O43" s="62"/>
      <c r="P43" s="62"/>
      <c r="Q43" s="62"/>
      <c r="R43" s="62"/>
      <c r="S43" s="62"/>
      <c r="T43" s="62"/>
      <c r="U43" s="62"/>
      <c r="V43" s="62"/>
      <c r="X43" s="62"/>
      <c r="Y43" s="62"/>
      <c r="Z43" s="62"/>
      <c r="AA43" s="62"/>
      <c r="AB43" s="63"/>
    </row>
    <row r="44">
      <c r="E44" s="63"/>
      <c r="F44" s="62"/>
      <c r="G44" s="64"/>
      <c r="J44" s="62"/>
      <c r="K44" s="65"/>
      <c r="L44" s="62"/>
      <c r="O44" s="62"/>
      <c r="P44" s="62"/>
      <c r="Q44" s="62"/>
      <c r="R44" s="62"/>
      <c r="S44" s="62"/>
      <c r="T44" s="62"/>
      <c r="U44" s="62"/>
      <c r="V44" s="62"/>
      <c r="X44" s="62"/>
      <c r="Y44" s="62"/>
      <c r="Z44" s="62"/>
      <c r="AA44" s="62"/>
      <c r="AB44" s="63"/>
    </row>
    <row r="45">
      <c r="E45" s="63"/>
      <c r="F45" s="62"/>
      <c r="G45" s="64"/>
      <c r="J45" s="62"/>
      <c r="K45" s="65"/>
      <c r="L45" s="62"/>
      <c r="O45" s="62"/>
      <c r="P45" s="62"/>
      <c r="Q45" s="62"/>
      <c r="R45" s="62"/>
      <c r="S45" s="62"/>
      <c r="T45" s="62"/>
      <c r="U45" s="62"/>
      <c r="V45" s="62"/>
      <c r="X45" s="62"/>
      <c r="Y45" s="62"/>
      <c r="Z45" s="62"/>
      <c r="AA45" s="62"/>
      <c r="AB45" s="63"/>
    </row>
    <row r="46">
      <c r="E46" s="63"/>
      <c r="F46" s="62"/>
      <c r="G46" s="64"/>
      <c r="J46" s="62"/>
      <c r="K46" s="65"/>
      <c r="L46" s="62"/>
      <c r="O46" s="62"/>
      <c r="P46" s="62"/>
      <c r="Q46" s="62"/>
      <c r="R46" s="62"/>
      <c r="S46" s="62"/>
      <c r="T46" s="62"/>
      <c r="U46" s="62"/>
      <c r="V46" s="62"/>
      <c r="X46" s="62"/>
      <c r="Y46" s="62"/>
      <c r="Z46" s="62"/>
      <c r="AA46" s="62"/>
      <c r="AB46" s="63"/>
    </row>
    <row r="47">
      <c r="E47" s="63"/>
      <c r="F47" s="62"/>
      <c r="G47" s="64"/>
      <c r="J47" s="62"/>
      <c r="K47" s="65"/>
      <c r="L47" s="62"/>
      <c r="O47" s="62"/>
      <c r="P47" s="62"/>
      <c r="Q47" s="62"/>
      <c r="R47" s="62"/>
      <c r="S47" s="62"/>
      <c r="T47" s="62"/>
      <c r="U47" s="62"/>
      <c r="V47" s="62"/>
      <c r="X47" s="62"/>
      <c r="Y47" s="62"/>
      <c r="Z47" s="62"/>
      <c r="AA47" s="62"/>
      <c r="AB47" s="63"/>
    </row>
    <row r="48">
      <c r="E48" s="63"/>
      <c r="F48" s="62"/>
      <c r="G48" s="64"/>
      <c r="J48" s="62"/>
      <c r="K48" s="65"/>
      <c r="L48" s="62"/>
      <c r="O48" s="62"/>
      <c r="P48" s="62"/>
      <c r="Q48" s="62"/>
      <c r="R48" s="62"/>
      <c r="S48" s="62"/>
      <c r="T48" s="62"/>
      <c r="U48" s="62"/>
      <c r="V48" s="62"/>
      <c r="X48" s="62"/>
      <c r="Y48" s="62"/>
      <c r="Z48" s="62"/>
      <c r="AA48" s="62"/>
      <c r="AB48" s="63"/>
    </row>
    <row r="49">
      <c r="E49" s="63"/>
      <c r="F49" s="62"/>
      <c r="G49" s="64"/>
      <c r="J49" s="62"/>
      <c r="K49" s="65"/>
      <c r="L49" s="62"/>
      <c r="O49" s="62"/>
      <c r="P49" s="62"/>
      <c r="Q49" s="62"/>
      <c r="R49" s="62"/>
      <c r="S49" s="62"/>
      <c r="T49" s="62"/>
      <c r="U49" s="62"/>
      <c r="V49" s="62"/>
      <c r="X49" s="62"/>
      <c r="Y49" s="62"/>
      <c r="Z49" s="62"/>
      <c r="AA49" s="62"/>
      <c r="AB49" s="63"/>
    </row>
    <row r="50">
      <c r="E50" s="63"/>
      <c r="F50" s="62"/>
      <c r="G50" s="64"/>
      <c r="J50" s="62"/>
      <c r="K50" s="65"/>
      <c r="L50" s="62"/>
      <c r="O50" s="62"/>
      <c r="P50" s="62"/>
      <c r="Q50" s="62"/>
      <c r="R50" s="62"/>
      <c r="S50" s="62"/>
      <c r="T50" s="62"/>
      <c r="U50" s="62"/>
      <c r="V50" s="62"/>
      <c r="X50" s="62"/>
      <c r="Y50" s="62"/>
      <c r="Z50" s="62"/>
      <c r="AA50" s="62"/>
      <c r="AB50" s="63"/>
    </row>
    <row r="51">
      <c r="E51" s="63"/>
      <c r="F51" s="62"/>
      <c r="G51" s="64"/>
      <c r="J51" s="62"/>
      <c r="K51" s="65"/>
      <c r="L51" s="62"/>
      <c r="O51" s="62"/>
      <c r="P51" s="62"/>
      <c r="Q51" s="62"/>
      <c r="R51" s="62"/>
      <c r="S51" s="62"/>
      <c r="T51" s="62"/>
      <c r="U51" s="62"/>
      <c r="V51" s="62"/>
      <c r="X51" s="62"/>
      <c r="Y51" s="62"/>
      <c r="Z51" s="62"/>
      <c r="AA51" s="62"/>
      <c r="AB51" s="63"/>
    </row>
    <row r="52">
      <c r="E52" s="63"/>
      <c r="F52" s="62"/>
      <c r="G52" s="64"/>
      <c r="J52" s="62"/>
      <c r="K52" s="65"/>
      <c r="L52" s="62"/>
      <c r="O52" s="62"/>
      <c r="P52" s="62"/>
      <c r="Q52" s="62"/>
      <c r="R52" s="62"/>
      <c r="S52" s="62"/>
      <c r="T52" s="62"/>
      <c r="U52" s="62"/>
      <c r="V52" s="62"/>
      <c r="X52" s="62"/>
      <c r="Y52" s="62"/>
      <c r="Z52" s="62"/>
      <c r="AA52" s="62"/>
      <c r="AB52" s="63"/>
    </row>
    <row r="53">
      <c r="E53" s="63"/>
      <c r="F53" s="62"/>
      <c r="G53" s="64"/>
      <c r="J53" s="62"/>
      <c r="K53" s="65"/>
      <c r="L53" s="62"/>
      <c r="O53" s="62"/>
      <c r="P53" s="62"/>
      <c r="Q53" s="62"/>
      <c r="R53" s="62"/>
      <c r="S53" s="62"/>
      <c r="T53" s="62"/>
      <c r="U53" s="62"/>
      <c r="V53" s="62"/>
      <c r="X53" s="62"/>
      <c r="Y53" s="62"/>
      <c r="Z53" s="62"/>
      <c r="AA53" s="62"/>
      <c r="AB53" s="63"/>
    </row>
    <row r="54">
      <c r="E54" s="63"/>
      <c r="F54" s="62"/>
      <c r="G54" s="64"/>
      <c r="J54" s="62"/>
      <c r="K54" s="65"/>
      <c r="L54" s="62"/>
      <c r="O54" s="62"/>
      <c r="P54" s="62"/>
      <c r="Q54" s="62"/>
      <c r="R54" s="62"/>
      <c r="S54" s="62"/>
      <c r="T54" s="62"/>
      <c r="U54" s="62"/>
      <c r="V54" s="62"/>
      <c r="X54" s="62"/>
      <c r="Y54" s="62"/>
      <c r="Z54" s="62"/>
      <c r="AA54" s="62"/>
      <c r="AB54" s="63"/>
    </row>
    <row r="55">
      <c r="E55" s="63"/>
      <c r="F55" s="62"/>
      <c r="G55" s="64"/>
      <c r="J55" s="62"/>
      <c r="K55" s="65"/>
      <c r="L55" s="62"/>
      <c r="O55" s="62"/>
      <c r="P55" s="62"/>
      <c r="Q55" s="62"/>
      <c r="R55" s="62"/>
      <c r="S55" s="62"/>
      <c r="T55" s="62"/>
      <c r="U55" s="62"/>
      <c r="V55" s="62"/>
      <c r="X55" s="62"/>
      <c r="Y55" s="62"/>
      <c r="Z55" s="62"/>
      <c r="AA55" s="62"/>
      <c r="AB55" s="63"/>
    </row>
    <row r="56">
      <c r="E56" s="63"/>
      <c r="F56" s="62"/>
      <c r="G56" s="64"/>
      <c r="J56" s="62"/>
      <c r="K56" s="65"/>
      <c r="L56" s="62"/>
      <c r="O56" s="62"/>
      <c r="P56" s="62"/>
      <c r="Q56" s="62"/>
      <c r="R56" s="62"/>
      <c r="S56" s="62"/>
      <c r="T56" s="62"/>
      <c r="U56" s="62"/>
      <c r="V56" s="62"/>
      <c r="X56" s="62"/>
      <c r="Y56" s="62"/>
      <c r="Z56" s="62"/>
      <c r="AA56" s="62"/>
      <c r="AB56" s="63"/>
    </row>
    <row r="57">
      <c r="E57" s="63"/>
      <c r="F57" s="62"/>
      <c r="G57" s="64"/>
      <c r="J57" s="62"/>
      <c r="K57" s="65"/>
      <c r="L57" s="62"/>
      <c r="O57" s="62"/>
      <c r="P57" s="62"/>
      <c r="Q57" s="62"/>
      <c r="R57" s="62"/>
      <c r="S57" s="62"/>
      <c r="T57" s="62"/>
      <c r="U57" s="62"/>
      <c r="V57" s="62"/>
      <c r="X57" s="62"/>
      <c r="Y57" s="62"/>
      <c r="Z57" s="62"/>
      <c r="AA57" s="62"/>
      <c r="AB57" s="63"/>
    </row>
    <row r="58">
      <c r="E58" s="63"/>
      <c r="F58" s="62"/>
      <c r="G58" s="64"/>
      <c r="J58" s="62"/>
      <c r="K58" s="65"/>
      <c r="L58" s="62"/>
      <c r="O58" s="62"/>
      <c r="P58" s="62"/>
      <c r="Q58" s="62"/>
      <c r="R58" s="62"/>
      <c r="S58" s="62"/>
      <c r="T58" s="62"/>
      <c r="U58" s="62"/>
      <c r="V58" s="62"/>
      <c r="X58" s="62"/>
      <c r="Y58" s="62"/>
      <c r="Z58" s="62"/>
      <c r="AA58" s="62"/>
      <c r="AB58" s="63"/>
    </row>
    <row r="59">
      <c r="E59" s="63"/>
      <c r="F59" s="62"/>
      <c r="G59" s="64"/>
      <c r="J59" s="62"/>
      <c r="K59" s="65"/>
      <c r="L59" s="62"/>
      <c r="O59" s="62"/>
      <c r="P59" s="62"/>
      <c r="Q59" s="62"/>
      <c r="R59" s="62"/>
      <c r="S59" s="62"/>
      <c r="T59" s="62"/>
      <c r="U59" s="62"/>
      <c r="V59" s="62"/>
      <c r="X59" s="62"/>
      <c r="Y59" s="62"/>
      <c r="Z59" s="62"/>
      <c r="AA59" s="62"/>
      <c r="AB59" s="63"/>
    </row>
    <row r="60">
      <c r="E60" s="63"/>
      <c r="F60" s="62"/>
      <c r="G60" s="64"/>
      <c r="J60" s="62"/>
      <c r="K60" s="65"/>
      <c r="L60" s="62"/>
      <c r="O60" s="62"/>
      <c r="P60" s="62"/>
      <c r="Q60" s="62"/>
      <c r="R60" s="62"/>
      <c r="S60" s="62"/>
      <c r="T60" s="62"/>
      <c r="U60" s="62"/>
      <c r="V60" s="62"/>
      <c r="X60" s="62"/>
      <c r="Y60" s="62"/>
      <c r="Z60" s="62"/>
      <c r="AA60" s="62"/>
      <c r="AB60" s="63"/>
    </row>
    <row r="61">
      <c r="E61" s="63"/>
      <c r="F61" s="62"/>
      <c r="G61" s="64"/>
      <c r="J61" s="62"/>
      <c r="K61" s="65"/>
      <c r="L61" s="62"/>
      <c r="O61" s="62"/>
      <c r="P61" s="62"/>
      <c r="Q61" s="62"/>
      <c r="R61" s="62"/>
      <c r="S61" s="62"/>
      <c r="T61" s="62"/>
      <c r="U61" s="62"/>
      <c r="V61" s="62"/>
      <c r="X61" s="62"/>
      <c r="Y61" s="62"/>
      <c r="Z61" s="62"/>
      <c r="AA61" s="62"/>
      <c r="AB61" s="63"/>
    </row>
    <row r="62">
      <c r="E62" s="63"/>
      <c r="F62" s="62"/>
      <c r="G62" s="64"/>
      <c r="J62" s="62"/>
      <c r="K62" s="65"/>
      <c r="L62" s="62"/>
      <c r="O62" s="62"/>
      <c r="P62" s="62"/>
      <c r="Q62" s="62"/>
      <c r="R62" s="62"/>
      <c r="S62" s="62"/>
      <c r="T62" s="62"/>
      <c r="U62" s="62"/>
      <c r="V62" s="62"/>
      <c r="X62" s="62"/>
      <c r="Y62" s="62"/>
      <c r="Z62" s="62"/>
      <c r="AA62" s="62"/>
      <c r="AB62" s="63"/>
    </row>
    <row r="63">
      <c r="E63" s="63"/>
      <c r="F63" s="62"/>
      <c r="G63" s="64"/>
      <c r="J63" s="62"/>
      <c r="K63" s="65"/>
      <c r="L63" s="62"/>
      <c r="O63" s="62"/>
      <c r="P63" s="62"/>
      <c r="Q63" s="62"/>
      <c r="R63" s="62"/>
      <c r="S63" s="62"/>
      <c r="T63" s="62"/>
      <c r="U63" s="62"/>
      <c r="V63" s="62"/>
      <c r="X63" s="62"/>
      <c r="Y63" s="62"/>
      <c r="Z63" s="62"/>
      <c r="AA63" s="62"/>
      <c r="AB63" s="63"/>
    </row>
    <row r="64">
      <c r="E64" s="63"/>
      <c r="F64" s="62"/>
      <c r="G64" s="64"/>
      <c r="J64" s="62"/>
      <c r="K64" s="65"/>
      <c r="L64" s="62"/>
      <c r="O64" s="62"/>
      <c r="P64" s="62"/>
      <c r="Q64" s="62"/>
      <c r="R64" s="62"/>
      <c r="S64" s="62"/>
      <c r="T64" s="62"/>
      <c r="U64" s="62"/>
      <c r="V64" s="62"/>
      <c r="X64" s="62"/>
      <c r="Y64" s="62"/>
      <c r="Z64" s="62"/>
      <c r="AA64" s="62"/>
      <c r="AB64" s="63"/>
    </row>
    <row r="65">
      <c r="E65" s="63"/>
      <c r="F65" s="62"/>
      <c r="G65" s="64"/>
      <c r="J65" s="62"/>
      <c r="K65" s="65"/>
      <c r="L65" s="62"/>
      <c r="O65" s="62"/>
      <c r="P65" s="62"/>
      <c r="Q65" s="62"/>
      <c r="R65" s="62"/>
      <c r="S65" s="62"/>
      <c r="T65" s="62"/>
      <c r="U65" s="62"/>
      <c r="V65" s="62"/>
      <c r="X65" s="62"/>
      <c r="Y65" s="62"/>
      <c r="Z65" s="62"/>
      <c r="AA65" s="62"/>
      <c r="AB65" s="63"/>
    </row>
    <row r="66">
      <c r="E66" s="63"/>
      <c r="F66" s="62"/>
      <c r="G66" s="64"/>
      <c r="J66" s="62"/>
      <c r="K66" s="65"/>
      <c r="L66" s="62"/>
      <c r="O66" s="62"/>
      <c r="P66" s="62"/>
      <c r="Q66" s="62"/>
      <c r="R66" s="62"/>
      <c r="S66" s="62"/>
      <c r="T66" s="62"/>
      <c r="U66" s="62"/>
      <c r="V66" s="62"/>
      <c r="X66" s="62"/>
      <c r="Y66" s="62"/>
      <c r="Z66" s="62"/>
      <c r="AA66" s="62"/>
      <c r="AB66" s="63"/>
    </row>
    <row r="67">
      <c r="E67" s="63"/>
      <c r="F67" s="62"/>
      <c r="G67" s="64"/>
      <c r="J67" s="62"/>
      <c r="K67" s="65"/>
      <c r="L67" s="62"/>
      <c r="O67" s="62"/>
      <c r="P67" s="62"/>
      <c r="Q67" s="62"/>
      <c r="R67" s="62"/>
      <c r="S67" s="62"/>
      <c r="T67" s="62"/>
      <c r="U67" s="62"/>
      <c r="V67" s="62"/>
      <c r="X67" s="62"/>
      <c r="Y67" s="62"/>
      <c r="Z67" s="62"/>
      <c r="AA67" s="62"/>
      <c r="AB67" s="63"/>
    </row>
    <row r="68">
      <c r="E68" s="63"/>
      <c r="F68" s="62"/>
      <c r="G68" s="64"/>
      <c r="J68" s="62"/>
      <c r="K68" s="65"/>
      <c r="L68" s="62"/>
      <c r="O68" s="62"/>
      <c r="P68" s="62"/>
      <c r="Q68" s="62"/>
      <c r="R68" s="62"/>
      <c r="S68" s="62"/>
      <c r="T68" s="62"/>
      <c r="U68" s="62"/>
      <c r="V68" s="62"/>
      <c r="X68" s="62"/>
      <c r="Y68" s="62"/>
      <c r="Z68" s="62"/>
      <c r="AA68" s="62"/>
      <c r="AB68" s="63"/>
    </row>
    <row r="69">
      <c r="E69" s="63"/>
      <c r="F69" s="62"/>
      <c r="G69" s="64"/>
      <c r="J69" s="62"/>
      <c r="K69" s="65"/>
      <c r="L69" s="62"/>
      <c r="O69" s="62"/>
      <c r="P69" s="62"/>
      <c r="Q69" s="62"/>
      <c r="R69" s="62"/>
      <c r="S69" s="62"/>
      <c r="T69" s="62"/>
      <c r="U69" s="62"/>
      <c r="V69" s="62"/>
      <c r="X69" s="62"/>
      <c r="Y69" s="62"/>
      <c r="Z69" s="62"/>
      <c r="AA69" s="62"/>
      <c r="AB69" s="63"/>
    </row>
    <row r="70">
      <c r="E70" s="63"/>
      <c r="F70" s="62"/>
      <c r="G70" s="64"/>
      <c r="J70" s="62"/>
      <c r="K70" s="65"/>
      <c r="L70" s="62"/>
      <c r="O70" s="62"/>
      <c r="P70" s="62"/>
      <c r="Q70" s="62"/>
      <c r="R70" s="62"/>
      <c r="S70" s="62"/>
      <c r="T70" s="62"/>
      <c r="U70" s="62"/>
      <c r="V70" s="62"/>
      <c r="X70" s="62"/>
      <c r="Y70" s="62"/>
      <c r="Z70" s="62"/>
      <c r="AA70" s="62"/>
      <c r="AB70" s="63"/>
    </row>
    <row r="71">
      <c r="E71" s="63"/>
      <c r="F71" s="62"/>
      <c r="G71" s="64"/>
      <c r="J71" s="62"/>
      <c r="K71" s="65"/>
      <c r="L71" s="62"/>
      <c r="O71" s="62"/>
      <c r="P71" s="62"/>
      <c r="Q71" s="62"/>
      <c r="R71" s="62"/>
      <c r="S71" s="62"/>
      <c r="T71" s="62"/>
      <c r="U71" s="62"/>
      <c r="V71" s="62"/>
      <c r="X71" s="62"/>
      <c r="Y71" s="62"/>
      <c r="Z71" s="62"/>
      <c r="AA71" s="62"/>
      <c r="AB71" s="63"/>
    </row>
    <row r="72">
      <c r="E72" s="63"/>
      <c r="F72" s="62"/>
      <c r="G72" s="64"/>
      <c r="J72" s="62"/>
      <c r="K72" s="65"/>
      <c r="L72" s="62"/>
      <c r="O72" s="62"/>
      <c r="P72" s="62"/>
      <c r="Q72" s="62"/>
      <c r="R72" s="62"/>
      <c r="S72" s="62"/>
      <c r="T72" s="62"/>
      <c r="U72" s="62"/>
      <c r="V72" s="62"/>
      <c r="X72" s="62"/>
      <c r="Y72" s="62"/>
      <c r="Z72" s="62"/>
      <c r="AA72" s="62"/>
      <c r="AB72" s="63"/>
    </row>
    <row r="73">
      <c r="E73" s="63"/>
      <c r="F73" s="62"/>
      <c r="G73" s="64"/>
      <c r="J73" s="62"/>
      <c r="K73" s="65"/>
      <c r="L73" s="62"/>
      <c r="O73" s="62"/>
      <c r="P73" s="62"/>
      <c r="Q73" s="62"/>
      <c r="R73" s="62"/>
      <c r="S73" s="62"/>
      <c r="T73" s="62"/>
      <c r="U73" s="62"/>
      <c r="V73" s="62"/>
      <c r="X73" s="62"/>
      <c r="Y73" s="62"/>
      <c r="Z73" s="62"/>
      <c r="AA73" s="62"/>
      <c r="AB73" s="63"/>
    </row>
    <row r="74">
      <c r="E74" s="63"/>
      <c r="F74" s="62"/>
      <c r="G74" s="64"/>
      <c r="J74" s="62"/>
      <c r="K74" s="65"/>
      <c r="L74" s="62"/>
      <c r="O74" s="62"/>
      <c r="P74" s="62"/>
      <c r="Q74" s="62"/>
      <c r="R74" s="62"/>
      <c r="S74" s="62"/>
      <c r="T74" s="62"/>
      <c r="U74" s="62"/>
      <c r="V74" s="62"/>
      <c r="X74" s="62"/>
      <c r="Y74" s="62"/>
      <c r="Z74" s="62"/>
      <c r="AA74" s="62"/>
      <c r="AB74" s="63"/>
    </row>
    <row r="75">
      <c r="E75" s="63"/>
      <c r="F75" s="62"/>
      <c r="G75" s="64"/>
      <c r="J75" s="62"/>
      <c r="K75" s="65"/>
      <c r="L75" s="62"/>
      <c r="O75" s="62"/>
      <c r="P75" s="62"/>
      <c r="Q75" s="62"/>
      <c r="R75" s="62"/>
      <c r="S75" s="62"/>
      <c r="T75" s="62"/>
      <c r="U75" s="62"/>
      <c r="V75" s="62"/>
      <c r="X75" s="62"/>
      <c r="Y75" s="62"/>
      <c r="Z75" s="62"/>
      <c r="AA75" s="62"/>
      <c r="AB75" s="63"/>
    </row>
    <row r="76">
      <c r="E76" s="63"/>
      <c r="F76" s="62"/>
      <c r="G76" s="64"/>
      <c r="J76" s="62"/>
      <c r="K76" s="65"/>
      <c r="L76" s="62"/>
      <c r="O76" s="62"/>
      <c r="P76" s="62"/>
      <c r="Q76" s="62"/>
      <c r="R76" s="62"/>
      <c r="S76" s="62"/>
      <c r="T76" s="62"/>
      <c r="U76" s="62"/>
      <c r="V76" s="62"/>
      <c r="X76" s="62"/>
      <c r="Y76" s="62"/>
      <c r="Z76" s="62"/>
      <c r="AA76" s="62"/>
      <c r="AB76" s="63"/>
    </row>
    <row r="77">
      <c r="E77" s="63"/>
      <c r="F77" s="62"/>
      <c r="G77" s="64"/>
      <c r="J77" s="62"/>
      <c r="K77" s="65"/>
      <c r="L77" s="62"/>
      <c r="O77" s="62"/>
      <c r="P77" s="62"/>
      <c r="Q77" s="62"/>
      <c r="R77" s="62"/>
      <c r="S77" s="62"/>
      <c r="T77" s="62"/>
      <c r="U77" s="62"/>
      <c r="V77" s="62"/>
      <c r="X77" s="62"/>
      <c r="Y77" s="62"/>
      <c r="Z77" s="62"/>
      <c r="AA77" s="62"/>
      <c r="AB77" s="63"/>
    </row>
    <row r="78">
      <c r="E78" s="63"/>
      <c r="F78" s="62"/>
      <c r="G78" s="64"/>
      <c r="J78" s="62"/>
      <c r="K78" s="65"/>
      <c r="L78" s="62"/>
      <c r="O78" s="62"/>
      <c r="P78" s="62"/>
      <c r="Q78" s="62"/>
      <c r="R78" s="62"/>
      <c r="S78" s="62"/>
      <c r="T78" s="62"/>
      <c r="U78" s="62"/>
      <c r="V78" s="62"/>
      <c r="X78" s="62"/>
      <c r="Y78" s="62"/>
      <c r="Z78" s="62"/>
      <c r="AA78" s="62"/>
      <c r="AB78" s="63"/>
    </row>
    <row r="79">
      <c r="E79" s="63"/>
      <c r="F79" s="62"/>
      <c r="G79" s="64"/>
      <c r="J79" s="62"/>
      <c r="K79" s="65"/>
      <c r="L79" s="62"/>
      <c r="O79" s="62"/>
      <c r="P79" s="62"/>
      <c r="Q79" s="62"/>
      <c r="R79" s="62"/>
      <c r="S79" s="62"/>
      <c r="T79" s="62"/>
      <c r="U79" s="62"/>
      <c r="V79" s="62"/>
      <c r="X79" s="62"/>
      <c r="Y79" s="62"/>
      <c r="Z79" s="62"/>
      <c r="AA79" s="62"/>
      <c r="AB79" s="63"/>
    </row>
    <row r="80">
      <c r="E80" s="63"/>
      <c r="F80" s="62"/>
      <c r="G80" s="64"/>
      <c r="J80" s="62"/>
      <c r="K80" s="65"/>
      <c r="L80" s="62"/>
      <c r="O80" s="62"/>
      <c r="P80" s="62"/>
      <c r="Q80" s="62"/>
      <c r="R80" s="62"/>
      <c r="S80" s="62"/>
      <c r="T80" s="62"/>
      <c r="U80" s="62"/>
      <c r="V80" s="62"/>
      <c r="X80" s="62"/>
      <c r="Y80" s="62"/>
      <c r="Z80" s="62"/>
      <c r="AA80" s="62"/>
      <c r="AB80" s="63"/>
    </row>
    <row r="81">
      <c r="E81" s="63"/>
      <c r="F81" s="62"/>
      <c r="G81" s="64"/>
      <c r="J81" s="62"/>
      <c r="K81" s="65"/>
      <c r="L81" s="62"/>
      <c r="O81" s="62"/>
      <c r="P81" s="62"/>
      <c r="Q81" s="62"/>
      <c r="R81" s="62"/>
      <c r="S81" s="62"/>
      <c r="T81" s="62"/>
      <c r="U81" s="62"/>
      <c r="V81" s="62"/>
      <c r="X81" s="62"/>
      <c r="Y81" s="62"/>
      <c r="Z81" s="62"/>
      <c r="AA81" s="62"/>
      <c r="AB81" s="63"/>
    </row>
    <row r="82">
      <c r="E82" s="63"/>
      <c r="F82" s="62"/>
      <c r="G82" s="64"/>
      <c r="J82" s="62"/>
      <c r="K82" s="65"/>
      <c r="L82" s="62"/>
      <c r="O82" s="62"/>
      <c r="P82" s="62"/>
      <c r="Q82" s="62"/>
      <c r="R82" s="62"/>
      <c r="S82" s="62"/>
      <c r="T82" s="62"/>
      <c r="U82" s="62"/>
      <c r="V82" s="62"/>
      <c r="X82" s="62"/>
      <c r="Y82" s="62"/>
      <c r="Z82" s="62"/>
      <c r="AA82" s="62"/>
      <c r="AB82" s="63"/>
    </row>
    <row r="83">
      <c r="E83" s="63"/>
      <c r="F83" s="62"/>
      <c r="G83" s="64"/>
      <c r="J83" s="62"/>
      <c r="K83" s="65"/>
      <c r="L83" s="62"/>
      <c r="O83" s="62"/>
      <c r="P83" s="62"/>
      <c r="Q83" s="62"/>
      <c r="R83" s="62"/>
      <c r="S83" s="62"/>
      <c r="T83" s="62"/>
      <c r="U83" s="62"/>
      <c r="V83" s="62"/>
      <c r="X83" s="62"/>
      <c r="Y83" s="62"/>
      <c r="Z83" s="62"/>
      <c r="AA83" s="62"/>
      <c r="AB83" s="63"/>
    </row>
    <row r="84">
      <c r="E84" s="63"/>
      <c r="F84" s="62"/>
      <c r="G84" s="64"/>
      <c r="J84" s="62"/>
      <c r="K84" s="65"/>
      <c r="L84" s="62"/>
      <c r="O84" s="62"/>
      <c r="P84" s="62"/>
      <c r="Q84" s="62"/>
      <c r="R84" s="62"/>
      <c r="S84" s="62"/>
      <c r="T84" s="62"/>
      <c r="U84" s="62"/>
      <c r="V84" s="62"/>
      <c r="X84" s="62"/>
      <c r="Y84" s="62"/>
      <c r="Z84" s="62"/>
      <c r="AA84" s="62"/>
      <c r="AB84" s="63"/>
    </row>
    <row r="85">
      <c r="E85" s="63"/>
      <c r="F85" s="62"/>
      <c r="G85" s="64"/>
      <c r="J85" s="62"/>
      <c r="K85" s="65"/>
      <c r="L85" s="62"/>
      <c r="O85" s="62"/>
      <c r="P85" s="62"/>
      <c r="Q85" s="62"/>
      <c r="R85" s="62"/>
      <c r="S85" s="62"/>
      <c r="T85" s="62"/>
      <c r="U85" s="62"/>
      <c r="V85" s="62"/>
      <c r="X85" s="62"/>
      <c r="Y85" s="62"/>
      <c r="Z85" s="62"/>
      <c r="AA85" s="62"/>
      <c r="AB85" s="63"/>
    </row>
    <row r="86">
      <c r="E86" s="63"/>
      <c r="F86" s="62"/>
      <c r="G86" s="64"/>
      <c r="J86" s="62"/>
      <c r="K86" s="65"/>
      <c r="L86" s="62"/>
      <c r="O86" s="62"/>
      <c r="P86" s="62"/>
      <c r="Q86" s="62"/>
      <c r="R86" s="62"/>
      <c r="S86" s="62"/>
      <c r="T86" s="62"/>
      <c r="U86" s="62"/>
      <c r="V86" s="62"/>
      <c r="X86" s="62"/>
      <c r="Y86" s="62"/>
      <c r="Z86" s="62"/>
      <c r="AA86" s="62"/>
      <c r="AB86" s="63"/>
    </row>
    <row r="87">
      <c r="E87" s="63"/>
      <c r="F87" s="62"/>
      <c r="G87" s="64"/>
      <c r="J87" s="62"/>
      <c r="K87" s="65"/>
      <c r="L87" s="62"/>
      <c r="O87" s="62"/>
      <c r="P87" s="62"/>
      <c r="Q87" s="62"/>
      <c r="R87" s="62"/>
      <c r="S87" s="62"/>
      <c r="T87" s="62"/>
      <c r="U87" s="62"/>
      <c r="V87" s="62"/>
      <c r="X87" s="62"/>
      <c r="Y87" s="62"/>
      <c r="Z87" s="62"/>
      <c r="AA87" s="62"/>
      <c r="AB87" s="63"/>
    </row>
    <row r="88">
      <c r="E88" s="63"/>
      <c r="F88" s="62"/>
      <c r="G88" s="64"/>
      <c r="J88" s="62"/>
      <c r="K88" s="65"/>
      <c r="L88" s="62"/>
      <c r="O88" s="62"/>
      <c r="P88" s="62"/>
      <c r="Q88" s="62"/>
      <c r="R88" s="62"/>
      <c r="S88" s="62"/>
      <c r="T88" s="62"/>
      <c r="U88" s="62"/>
      <c r="V88" s="62"/>
      <c r="X88" s="62"/>
      <c r="Y88" s="62"/>
      <c r="Z88" s="62"/>
      <c r="AA88" s="62"/>
      <c r="AB88" s="63"/>
    </row>
    <row r="89">
      <c r="E89" s="63"/>
      <c r="F89" s="62"/>
      <c r="G89" s="64"/>
      <c r="J89" s="62"/>
      <c r="K89" s="65"/>
      <c r="L89" s="62"/>
      <c r="O89" s="62"/>
      <c r="P89" s="62"/>
      <c r="Q89" s="62"/>
      <c r="R89" s="62"/>
      <c r="S89" s="62"/>
      <c r="T89" s="62"/>
      <c r="U89" s="62"/>
      <c r="V89" s="62"/>
      <c r="X89" s="62"/>
      <c r="Y89" s="62"/>
      <c r="Z89" s="62"/>
      <c r="AA89" s="62"/>
      <c r="AB89" s="63"/>
    </row>
    <row r="90">
      <c r="E90" s="63"/>
      <c r="F90" s="62"/>
      <c r="G90" s="64"/>
      <c r="J90" s="62"/>
      <c r="K90" s="65"/>
      <c r="L90" s="62"/>
      <c r="O90" s="62"/>
      <c r="P90" s="62"/>
      <c r="Q90" s="62"/>
      <c r="R90" s="62"/>
      <c r="S90" s="62"/>
      <c r="T90" s="62"/>
      <c r="U90" s="62"/>
      <c r="V90" s="62"/>
      <c r="X90" s="62"/>
      <c r="Y90" s="62"/>
      <c r="Z90" s="62"/>
      <c r="AA90" s="62"/>
      <c r="AB90" s="63"/>
    </row>
    <row r="91">
      <c r="E91" s="63"/>
      <c r="F91" s="62"/>
      <c r="G91" s="64"/>
      <c r="J91" s="62"/>
      <c r="K91" s="65"/>
      <c r="L91" s="62"/>
      <c r="O91" s="62"/>
      <c r="P91" s="62"/>
      <c r="Q91" s="62"/>
      <c r="R91" s="62"/>
      <c r="S91" s="62"/>
      <c r="T91" s="62"/>
      <c r="U91" s="62"/>
      <c r="V91" s="62"/>
      <c r="X91" s="62"/>
      <c r="Y91" s="62"/>
      <c r="Z91" s="62"/>
      <c r="AA91" s="62"/>
      <c r="AB91" s="63"/>
    </row>
    <row r="92">
      <c r="E92" s="63"/>
      <c r="F92" s="62"/>
      <c r="G92" s="64"/>
      <c r="J92" s="62"/>
      <c r="K92" s="65"/>
      <c r="L92" s="62"/>
      <c r="O92" s="62"/>
      <c r="P92" s="62"/>
      <c r="Q92" s="62"/>
      <c r="R92" s="62"/>
      <c r="S92" s="62"/>
      <c r="T92" s="62"/>
      <c r="U92" s="62"/>
      <c r="V92" s="62"/>
      <c r="X92" s="62"/>
      <c r="Y92" s="62"/>
      <c r="Z92" s="62"/>
      <c r="AA92" s="62"/>
      <c r="AB92" s="63"/>
    </row>
    <row r="93">
      <c r="E93" s="63"/>
      <c r="F93" s="62"/>
      <c r="G93" s="64"/>
      <c r="J93" s="62"/>
      <c r="K93" s="65"/>
      <c r="L93" s="62"/>
      <c r="O93" s="62"/>
      <c r="P93" s="62"/>
      <c r="Q93" s="62"/>
      <c r="R93" s="62"/>
      <c r="S93" s="62"/>
      <c r="T93" s="62"/>
      <c r="U93" s="62"/>
      <c r="V93" s="62"/>
      <c r="X93" s="62"/>
      <c r="Y93" s="62"/>
      <c r="Z93" s="62"/>
      <c r="AA93" s="62"/>
      <c r="AB93" s="63"/>
    </row>
    <row r="94">
      <c r="E94" s="63"/>
      <c r="F94" s="62"/>
      <c r="G94" s="64"/>
      <c r="J94" s="62"/>
      <c r="K94" s="65"/>
      <c r="L94" s="62"/>
      <c r="O94" s="62"/>
      <c r="P94" s="62"/>
      <c r="Q94" s="62"/>
      <c r="R94" s="62"/>
      <c r="S94" s="62"/>
      <c r="T94" s="62"/>
      <c r="U94" s="62"/>
      <c r="V94" s="62"/>
      <c r="X94" s="62"/>
      <c r="Y94" s="62"/>
      <c r="Z94" s="62"/>
      <c r="AA94" s="62"/>
      <c r="AB94" s="63"/>
    </row>
    <row r="95">
      <c r="E95" s="63"/>
      <c r="F95" s="62"/>
      <c r="G95" s="64"/>
      <c r="J95" s="62"/>
      <c r="K95" s="65"/>
      <c r="L95" s="62"/>
      <c r="O95" s="62"/>
      <c r="P95" s="62"/>
      <c r="Q95" s="62"/>
      <c r="R95" s="62"/>
      <c r="S95" s="62"/>
      <c r="T95" s="62"/>
      <c r="U95" s="62"/>
      <c r="V95" s="62"/>
      <c r="X95" s="62"/>
      <c r="Y95" s="62"/>
      <c r="Z95" s="62"/>
      <c r="AA95" s="62"/>
      <c r="AB95" s="63"/>
    </row>
    <row r="96">
      <c r="E96" s="63"/>
      <c r="F96" s="62"/>
      <c r="G96" s="64"/>
      <c r="J96" s="62"/>
      <c r="K96" s="65"/>
      <c r="L96" s="62"/>
      <c r="O96" s="62"/>
      <c r="P96" s="62"/>
      <c r="Q96" s="62"/>
      <c r="R96" s="62"/>
      <c r="S96" s="62"/>
      <c r="T96" s="62"/>
      <c r="U96" s="62"/>
      <c r="V96" s="62"/>
      <c r="X96" s="62"/>
      <c r="Y96" s="62"/>
      <c r="Z96" s="62"/>
      <c r="AA96" s="62"/>
      <c r="AB96" s="63"/>
    </row>
    <row r="97">
      <c r="E97" s="63"/>
      <c r="F97" s="62"/>
      <c r="G97" s="64"/>
      <c r="J97" s="62"/>
      <c r="K97" s="65"/>
      <c r="L97" s="62"/>
      <c r="O97" s="62"/>
      <c r="P97" s="62"/>
      <c r="Q97" s="62"/>
      <c r="R97" s="62"/>
      <c r="S97" s="62"/>
      <c r="T97" s="62"/>
      <c r="U97" s="62"/>
      <c r="V97" s="62"/>
      <c r="X97" s="62"/>
      <c r="Y97" s="62"/>
      <c r="Z97" s="62"/>
      <c r="AA97" s="62"/>
      <c r="AB97" s="63"/>
    </row>
    <row r="98">
      <c r="E98" s="63"/>
      <c r="F98" s="62"/>
      <c r="G98" s="64"/>
      <c r="J98" s="62"/>
      <c r="K98" s="65"/>
      <c r="L98" s="62"/>
      <c r="O98" s="62"/>
      <c r="P98" s="62"/>
      <c r="Q98" s="62"/>
      <c r="R98" s="62"/>
      <c r="S98" s="62"/>
      <c r="T98" s="62"/>
      <c r="U98" s="62"/>
      <c r="V98" s="62"/>
      <c r="X98" s="62"/>
      <c r="Y98" s="62"/>
      <c r="Z98" s="62"/>
      <c r="AA98" s="62"/>
      <c r="AB98" s="63"/>
    </row>
    <row r="99">
      <c r="E99" s="63"/>
      <c r="F99" s="62"/>
      <c r="G99" s="64"/>
      <c r="J99" s="62"/>
      <c r="K99" s="65"/>
      <c r="L99" s="62"/>
      <c r="O99" s="62"/>
      <c r="P99" s="62"/>
      <c r="Q99" s="62"/>
      <c r="R99" s="62"/>
      <c r="S99" s="62"/>
      <c r="T99" s="62"/>
      <c r="U99" s="62"/>
      <c r="V99" s="62"/>
      <c r="X99" s="62"/>
      <c r="Y99" s="62"/>
      <c r="Z99" s="62"/>
      <c r="AA99" s="62"/>
      <c r="AB99" s="63"/>
    </row>
    <row r="100">
      <c r="E100" s="63"/>
      <c r="F100" s="62"/>
      <c r="G100" s="64"/>
      <c r="J100" s="62"/>
      <c r="K100" s="65"/>
      <c r="L100" s="62"/>
      <c r="O100" s="62"/>
      <c r="P100" s="62"/>
      <c r="Q100" s="62"/>
      <c r="R100" s="62"/>
      <c r="S100" s="62"/>
      <c r="T100" s="62"/>
      <c r="U100" s="62"/>
      <c r="V100" s="62"/>
      <c r="X100" s="62"/>
      <c r="Y100" s="62"/>
      <c r="Z100" s="62"/>
      <c r="AA100" s="62"/>
      <c r="AB100" s="63"/>
    </row>
    <row r="101">
      <c r="E101" s="63"/>
      <c r="F101" s="62"/>
      <c r="G101" s="64"/>
      <c r="J101" s="62"/>
      <c r="K101" s="65"/>
      <c r="L101" s="62"/>
      <c r="O101" s="62"/>
      <c r="P101" s="62"/>
      <c r="Q101" s="62"/>
      <c r="R101" s="62"/>
      <c r="S101" s="62"/>
      <c r="T101" s="62"/>
      <c r="U101" s="62"/>
      <c r="V101" s="62"/>
      <c r="X101" s="62"/>
      <c r="Y101" s="62"/>
      <c r="Z101" s="62"/>
      <c r="AA101" s="62"/>
      <c r="AB101" s="63"/>
    </row>
    <row r="102">
      <c r="E102" s="63"/>
      <c r="F102" s="62"/>
      <c r="G102" s="64"/>
      <c r="J102" s="62"/>
      <c r="K102" s="65"/>
      <c r="L102" s="62"/>
      <c r="O102" s="62"/>
      <c r="P102" s="62"/>
      <c r="Q102" s="62"/>
      <c r="R102" s="62"/>
      <c r="S102" s="62"/>
      <c r="T102" s="62"/>
      <c r="U102" s="62"/>
      <c r="V102" s="62"/>
      <c r="X102" s="62"/>
      <c r="Y102" s="62"/>
      <c r="Z102" s="62"/>
      <c r="AA102" s="62"/>
      <c r="AB102" s="63"/>
    </row>
    <row r="103">
      <c r="E103" s="63"/>
      <c r="F103" s="62"/>
      <c r="G103" s="64"/>
      <c r="J103" s="62"/>
      <c r="K103" s="65"/>
      <c r="L103" s="62"/>
      <c r="O103" s="62"/>
      <c r="P103" s="62"/>
      <c r="Q103" s="62"/>
      <c r="R103" s="62"/>
      <c r="S103" s="62"/>
      <c r="T103" s="62"/>
      <c r="U103" s="62"/>
      <c r="V103" s="62"/>
      <c r="X103" s="62"/>
      <c r="Y103" s="62"/>
      <c r="Z103" s="62"/>
      <c r="AA103" s="62"/>
      <c r="AB103" s="63"/>
    </row>
    <row r="104">
      <c r="E104" s="63"/>
      <c r="F104" s="62"/>
      <c r="G104" s="64"/>
      <c r="J104" s="62"/>
      <c r="K104" s="65"/>
      <c r="L104" s="62"/>
      <c r="O104" s="62"/>
      <c r="P104" s="62"/>
      <c r="Q104" s="62"/>
      <c r="R104" s="62"/>
      <c r="S104" s="62"/>
      <c r="T104" s="62"/>
      <c r="U104" s="62"/>
      <c r="V104" s="62"/>
      <c r="X104" s="62"/>
      <c r="Y104" s="62"/>
      <c r="Z104" s="62"/>
      <c r="AA104" s="62"/>
      <c r="AB104" s="63"/>
    </row>
    <row r="105">
      <c r="E105" s="63"/>
      <c r="F105" s="62"/>
      <c r="G105" s="64"/>
      <c r="J105" s="62"/>
      <c r="K105" s="65"/>
      <c r="L105" s="62"/>
      <c r="O105" s="62"/>
      <c r="P105" s="62"/>
      <c r="Q105" s="62"/>
      <c r="R105" s="62"/>
      <c r="S105" s="62"/>
      <c r="T105" s="62"/>
      <c r="U105" s="62"/>
      <c r="V105" s="62"/>
      <c r="X105" s="62"/>
      <c r="Y105" s="62"/>
      <c r="Z105" s="62"/>
      <c r="AA105" s="62"/>
      <c r="AB105" s="63"/>
    </row>
    <row r="106">
      <c r="E106" s="63"/>
      <c r="F106" s="62"/>
      <c r="G106" s="64"/>
      <c r="J106" s="62"/>
      <c r="K106" s="65"/>
      <c r="L106" s="62"/>
      <c r="O106" s="62"/>
      <c r="P106" s="62"/>
      <c r="Q106" s="62"/>
      <c r="R106" s="62"/>
      <c r="S106" s="62"/>
      <c r="T106" s="62"/>
      <c r="U106" s="62"/>
      <c r="V106" s="62"/>
      <c r="X106" s="62"/>
      <c r="Y106" s="62"/>
      <c r="Z106" s="62"/>
      <c r="AA106" s="62"/>
      <c r="AB106" s="63"/>
    </row>
    <row r="107">
      <c r="E107" s="63"/>
      <c r="F107" s="62"/>
      <c r="G107" s="64"/>
      <c r="J107" s="62"/>
      <c r="K107" s="65"/>
      <c r="L107" s="62"/>
      <c r="O107" s="62"/>
      <c r="P107" s="62"/>
      <c r="Q107" s="62"/>
      <c r="R107" s="62"/>
      <c r="S107" s="62"/>
      <c r="T107" s="62"/>
      <c r="U107" s="62"/>
      <c r="V107" s="62"/>
      <c r="X107" s="62"/>
      <c r="Y107" s="62"/>
      <c r="Z107" s="62"/>
      <c r="AA107" s="62"/>
      <c r="AB107" s="63"/>
    </row>
    <row r="108">
      <c r="E108" s="63"/>
      <c r="F108" s="62"/>
      <c r="G108" s="64"/>
      <c r="J108" s="62"/>
      <c r="K108" s="65"/>
      <c r="L108" s="62"/>
      <c r="O108" s="62"/>
      <c r="P108" s="62"/>
      <c r="Q108" s="62"/>
      <c r="R108" s="62"/>
      <c r="S108" s="62"/>
      <c r="T108" s="62"/>
      <c r="U108" s="62"/>
      <c r="V108" s="62"/>
      <c r="X108" s="62"/>
      <c r="Y108" s="62"/>
      <c r="Z108" s="62"/>
      <c r="AA108" s="62"/>
      <c r="AB108" s="63"/>
    </row>
    <row r="109">
      <c r="E109" s="63"/>
      <c r="F109" s="62"/>
      <c r="G109" s="64"/>
      <c r="J109" s="62"/>
      <c r="K109" s="65"/>
      <c r="L109" s="62"/>
      <c r="O109" s="62"/>
      <c r="P109" s="62"/>
      <c r="Q109" s="62"/>
      <c r="R109" s="62"/>
      <c r="S109" s="62"/>
      <c r="T109" s="62"/>
      <c r="U109" s="62"/>
      <c r="V109" s="62"/>
      <c r="X109" s="62"/>
      <c r="Y109" s="62"/>
      <c r="Z109" s="62"/>
      <c r="AA109" s="62"/>
      <c r="AB109" s="63"/>
    </row>
    <row r="110">
      <c r="E110" s="63"/>
      <c r="F110" s="62"/>
      <c r="G110" s="64"/>
      <c r="J110" s="62"/>
      <c r="K110" s="65"/>
      <c r="L110" s="62"/>
      <c r="O110" s="62"/>
      <c r="P110" s="62"/>
      <c r="Q110" s="62"/>
      <c r="R110" s="62"/>
      <c r="S110" s="62"/>
      <c r="T110" s="62"/>
      <c r="U110" s="62"/>
      <c r="V110" s="62"/>
      <c r="X110" s="62"/>
      <c r="Y110" s="62"/>
      <c r="Z110" s="62"/>
      <c r="AA110" s="62"/>
      <c r="AB110" s="63"/>
    </row>
    <row r="111">
      <c r="E111" s="63"/>
      <c r="F111" s="62"/>
      <c r="G111" s="64"/>
      <c r="J111" s="62"/>
      <c r="K111" s="65"/>
      <c r="L111" s="62"/>
      <c r="O111" s="62"/>
      <c r="P111" s="62"/>
      <c r="Q111" s="62"/>
      <c r="R111" s="62"/>
      <c r="S111" s="62"/>
      <c r="T111" s="62"/>
      <c r="U111" s="62"/>
      <c r="V111" s="62"/>
      <c r="X111" s="62"/>
      <c r="Y111" s="62"/>
      <c r="Z111" s="62"/>
      <c r="AA111" s="62"/>
      <c r="AB111" s="63"/>
    </row>
    <row r="112">
      <c r="E112" s="63"/>
      <c r="F112" s="62"/>
      <c r="G112" s="64"/>
      <c r="J112" s="62"/>
      <c r="K112" s="65"/>
      <c r="L112" s="62"/>
      <c r="O112" s="62"/>
      <c r="P112" s="62"/>
      <c r="Q112" s="62"/>
      <c r="R112" s="62"/>
      <c r="S112" s="62"/>
      <c r="T112" s="62"/>
      <c r="U112" s="62"/>
      <c r="V112" s="62"/>
      <c r="X112" s="62"/>
      <c r="Y112" s="62"/>
      <c r="Z112" s="62"/>
      <c r="AA112" s="62"/>
      <c r="AB112" s="63"/>
    </row>
    <row r="113">
      <c r="E113" s="63"/>
      <c r="F113" s="62"/>
      <c r="G113" s="64"/>
      <c r="J113" s="62"/>
      <c r="K113" s="65"/>
      <c r="L113" s="62"/>
      <c r="O113" s="62"/>
      <c r="P113" s="62"/>
      <c r="Q113" s="62"/>
      <c r="R113" s="62"/>
      <c r="S113" s="62"/>
      <c r="T113" s="62"/>
      <c r="U113" s="62"/>
      <c r="V113" s="62"/>
      <c r="X113" s="62"/>
      <c r="Y113" s="62"/>
      <c r="Z113" s="62"/>
      <c r="AA113" s="62"/>
      <c r="AB113" s="63"/>
    </row>
    <row r="114">
      <c r="E114" s="63"/>
      <c r="F114" s="62"/>
      <c r="G114" s="64"/>
      <c r="J114" s="62"/>
      <c r="K114" s="65"/>
      <c r="L114" s="62"/>
      <c r="O114" s="62"/>
      <c r="P114" s="62"/>
      <c r="Q114" s="62"/>
      <c r="R114" s="62"/>
      <c r="S114" s="62"/>
      <c r="T114" s="62"/>
      <c r="U114" s="62"/>
      <c r="V114" s="62"/>
      <c r="X114" s="62"/>
      <c r="Y114" s="62"/>
      <c r="Z114" s="62"/>
      <c r="AA114" s="62"/>
      <c r="AB114" s="63"/>
    </row>
    <row r="115">
      <c r="E115" s="63"/>
      <c r="F115" s="62"/>
      <c r="G115" s="64"/>
      <c r="J115" s="62"/>
      <c r="K115" s="65"/>
      <c r="L115" s="62"/>
      <c r="O115" s="62"/>
      <c r="P115" s="62"/>
      <c r="Q115" s="62"/>
      <c r="R115" s="62"/>
      <c r="S115" s="62"/>
      <c r="T115" s="62"/>
      <c r="U115" s="62"/>
      <c r="V115" s="62"/>
      <c r="X115" s="62"/>
      <c r="Y115" s="62"/>
      <c r="Z115" s="62"/>
      <c r="AA115" s="62"/>
      <c r="AB115" s="63"/>
    </row>
    <row r="116">
      <c r="E116" s="63"/>
      <c r="F116" s="62"/>
      <c r="G116" s="64"/>
      <c r="J116" s="62"/>
      <c r="K116" s="65"/>
      <c r="L116" s="62"/>
      <c r="O116" s="62"/>
      <c r="P116" s="62"/>
      <c r="Q116" s="62"/>
      <c r="R116" s="62"/>
      <c r="S116" s="62"/>
      <c r="T116" s="62"/>
      <c r="U116" s="62"/>
      <c r="V116" s="62"/>
      <c r="X116" s="62"/>
      <c r="Y116" s="62"/>
      <c r="Z116" s="62"/>
      <c r="AA116" s="62"/>
      <c r="AB116" s="63"/>
    </row>
    <row r="117">
      <c r="E117" s="63"/>
      <c r="F117" s="62"/>
      <c r="G117" s="64"/>
      <c r="J117" s="62"/>
      <c r="K117" s="65"/>
      <c r="L117" s="62"/>
      <c r="O117" s="62"/>
      <c r="P117" s="62"/>
      <c r="Q117" s="62"/>
      <c r="R117" s="62"/>
      <c r="S117" s="62"/>
      <c r="T117" s="62"/>
      <c r="U117" s="62"/>
      <c r="V117" s="62"/>
      <c r="X117" s="62"/>
      <c r="Y117" s="62"/>
      <c r="Z117" s="62"/>
      <c r="AA117" s="62"/>
      <c r="AB117" s="63"/>
    </row>
    <row r="118">
      <c r="E118" s="63"/>
      <c r="F118" s="62"/>
      <c r="G118" s="64"/>
      <c r="J118" s="62"/>
      <c r="K118" s="65"/>
      <c r="L118" s="62"/>
      <c r="O118" s="62"/>
      <c r="P118" s="62"/>
      <c r="Q118" s="62"/>
      <c r="R118" s="62"/>
      <c r="S118" s="62"/>
      <c r="T118" s="62"/>
      <c r="U118" s="62"/>
      <c r="V118" s="62"/>
      <c r="X118" s="62"/>
      <c r="Y118" s="62"/>
      <c r="Z118" s="62"/>
      <c r="AA118" s="62"/>
      <c r="AB118" s="63"/>
    </row>
    <row r="119">
      <c r="E119" s="63"/>
      <c r="F119" s="62"/>
      <c r="G119" s="64"/>
      <c r="J119" s="62"/>
      <c r="K119" s="65"/>
      <c r="L119" s="62"/>
      <c r="O119" s="62"/>
      <c r="P119" s="62"/>
      <c r="Q119" s="62"/>
      <c r="R119" s="62"/>
      <c r="S119" s="62"/>
      <c r="T119" s="62"/>
      <c r="U119" s="62"/>
      <c r="V119" s="62"/>
      <c r="X119" s="62"/>
      <c r="Y119" s="62"/>
      <c r="Z119" s="62"/>
      <c r="AA119" s="62"/>
      <c r="AB119" s="63"/>
    </row>
    <row r="120">
      <c r="E120" s="63"/>
      <c r="F120" s="62"/>
      <c r="G120" s="64"/>
      <c r="J120" s="62"/>
      <c r="K120" s="65"/>
      <c r="L120" s="62"/>
      <c r="O120" s="62"/>
      <c r="P120" s="62"/>
      <c r="Q120" s="62"/>
      <c r="R120" s="62"/>
      <c r="S120" s="62"/>
      <c r="T120" s="62"/>
      <c r="U120" s="62"/>
      <c r="V120" s="62"/>
      <c r="X120" s="62"/>
      <c r="Y120" s="62"/>
      <c r="Z120" s="62"/>
      <c r="AA120" s="62"/>
      <c r="AB120" s="63"/>
    </row>
    <row r="121">
      <c r="E121" s="63"/>
      <c r="F121" s="62"/>
      <c r="G121" s="64"/>
      <c r="J121" s="62"/>
      <c r="K121" s="65"/>
      <c r="L121" s="62"/>
      <c r="O121" s="62"/>
      <c r="P121" s="62"/>
      <c r="Q121" s="62"/>
      <c r="R121" s="62"/>
      <c r="S121" s="62"/>
      <c r="T121" s="62"/>
      <c r="U121" s="62"/>
      <c r="V121" s="62"/>
      <c r="X121" s="62"/>
      <c r="Y121" s="62"/>
      <c r="Z121" s="62"/>
      <c r="AA121" s="62"/>
      <c r="AB121" s="63"/>
    </row>
    <row r="122">
      <c r="E122" s="63"/>
      <c r="F122" s="62"/>
      <c r="G122" s="64"/>
      <c r="J122" s="62"/>
      <c r="K122" s="65"/>
      <c r="L122" s="62"/>
      <c r="O122" s="62"/>
      <c r="P122" s="62"/>
      <c r="Q122" s="62"/>
      <c r="R122" s="62"/>
      <c r="S122" s="62"/>
      <c r="T122" s="62"/>
      <c r="U122" s="62"/>
      <c r="V122" s="62"/>
      <c r="X122" s="62"/>
      <c r="Y122" s="62"/>
      <c r="Z122" s="62"/>
      <c r="AA122" s="62"/>
      <c r="AB122" s="63"/>
    </row>
    <row r="123">
      <c r="E123" s="63"/>
      <c r="F123" s="62"/>
      <c r="G123" s="64"/>
      <c r="J123" s="62"/>
      <c r="K123" s="65"/>
      <c r="L123" s="62"/>
      <c r="O123" s="62"/>
      <c r="P123" s="62"/>
      <c r="Q123" s="62"/>
      <c r="R123" s="62"/>
      <c r="S123" s="62"/>
      <c r="T123" s="62"/>
      <c r="U123" s="62"/>
      <c r="V123" s="62"/>
      <c r="X123" s="62"/>
      <c r="Y123" s="62"/>
      <c r="Z123" s="62"/>
      <c r="AA123" s="62"/>
      <c r="AB123" s="63"/>
    </row>
    <row r="124">
      <c r="E124" s="63"/>
      <c r="F124" s="62"/>
      <c r="G124" s="64"/>
      <c r="J124" s="62"/>
      <c r="K124" s="65"/>
      <c r="L124" s="62"/>
      <c r="O124" s="62"/>
      <c r="P124" s="62"/>
      <c r="Q124" s="62"/>
      <c r="R124" s="62"/>
      <c r="S124" s="62"/>
      <c r="T124" s="62"/>
      <c r="U124" s="62"/>
      <c r="V124" s="62"/>
      <c r="X124" s="62"/>
      <c r="Y124" s="62"/>
      <c r="Z124" s="62"/>
      <c r="AA124" s="62"/>
      <c r="AB124" s="63"/>
    </row>
    <row r="125">
      <c r="E125" s="63"/>
      <c r="F125" s="62"/>
      <c r="G125" s="64"/>
      <c r="J125" s="62"/>
      <c r="K125" s="65"/>
      <c r="L125" s="62"/>
      <c r="O125" s="62"/>
      <c r="P125" s="62"/>
      <c r="Q125" s="62"/>
      <c r="R125" s="62"/>
      <c r="S125" s="62"/>
      <c r="T125" s="62"/>
      <c r="U125" s="62"/>
      <c r="V125" s="62"/>
      <c r="X125" s="62"/>
      <c r="Y125" s="62"/>
      <c r="Z125" s="62"/>
      <c r="AA125" s="62"/>
      <c r="AB125" s="63"/>
    </row>
    <row r="126">
      <c r="E126" s="63"/>
      <c r="F126" s="62"/>
      <c r="G126" s="64"/>
      <c r="J126" s="62"/>
      <c r="K126" s="65"/>
      <c r="L126" s="62"/>
      <c r="O126" s="62"/>
      <c r="P126" s="62"/>
      <c r="Q126" s="62"/>
      <c r="R126" s="62"/>
      <c r="S126" s="62"/>
      <c r="T126" s="62"/>
      <c r="U126" s="62"/>
      <c r="V126" s="62"/>
      <c r="X126" s="62"/>
      <c r="Y126" s="62"/>
      <c r="Z126" s="62"/>
      <c r="AA126" s="62"/>
      <c r="AB126" s="63"/>
    </row>
    <row r="127">
      <c r="E127" s="63"/>
      <c r="F127" s="62"/>
      <c r="G127" s="64"/>
      <c r="J127" s="62"/>
      <c r="K127" s="65"/>
      <c r="L127" s="62"/>
      <c r="O127" s="62"/>
      <c r="P127" s="62"/>
      <c r="Q127" s="62"/>
      <c r="R127" s="62"/>
      <c r="S127" s="62"/>
      <c r="T127" s="62"/>
      <c r="U127" s="62"/>
      <c r="V127" s="62"/>
      <c r="X127" s="62"/>
      <c r="Y127" s="62"/>
      <c r="Z127" s="62"/>
      <c r="AA127" s="62"/>
      <c r="AB127" s="63"/>
    </row>
    <row r="128">
      <c r="E128" s="63"/>
      <c r="F128" s="62"/>
      <c r="G128" s="64"/>
      <c r="J128" s="62"/>
      <c r="K128" s="65"/>
      <c r="L128" s="62"/>
      <c r="O128" s="62"/>
      <c r="P128" s="62"/>
      <c r="Q128" s="62"/>
      <c r="R128" s="62"/>
      <c r="S128" s="62"/>
      <c r="T128" s="62"/>
      <c r="U128" s="62"/>
      <c r="V128" s="62"/>
      <c r="X128" s="62"/>
      <c r="Y128" s="62"/>
      <c r="Z128" s="62"/>
      <c r="AA128" s="62"/>
      <c r="AB128" s="63"/>
    </row>
    <row r="129">
      <c r="E129" s="63"/>
      <c r="F129" s="62"/>
      <c r="G129" s="64"/>
      <c r="J129" s="62"/>
      <c r="K129" s="65"/>
      <c r="L129" s="62"/>
      <c r="O129" s="62"/>
      <c r="P129" s="62"/>
      <c r="Q129" s="62"/>
      <c r="R129" s="62"/>
      <c r="S129" s="62"/>
      <c r="T129" s="62"/>
      <c r="U129" s="62"/>
      <c r="V129" s="62"/>
      <c r="X129" s="62"/>
      <c r="Y129" s="62"/>
      <c r="Z129" s="62"/>
      <c r="AA129" s="62"/>
      <c r="AB129" s="63"/>
    </row>
    <row r="130">
      <c r="E130" s="63"/>
      <c r="F130" s="62"/>
      <c r="G130" s="64"/>
      <c r="J130" s="62"/>
      <c r="K130" s="65"/>
      <c r="L130" s="62"/>
      <c r="O130" s="62"/>
      <c r="P130" s="62"/>
      <c r="Q130" s="62"/>
      <c r="R130" s="62"/>
      <c r="S130" s="62"/>
      <c r="T130" s="62"/>
      <c r="U130" s="62"/>
      <c r="V130" s="62"/>
      <c r="X130" s="62"/>
      <c r="Y130" s="62"/>
      <c r="Z130" s="62"/>
      <c r="AA130" s="62"/>
      <c r="AB130" s="63"/>
    </row>
    <row r="131">
      <c r="E131" s="63"/>
      <c r="F131" s="62"/>
      <c r="G131" s="64"/>
      <c r="J131" s="62"/>
      <c r="K131" s="65"/>
      <c r="L131" s="62"/>
      <c r="O131" s="62"/>
      <c r="P131" s="62"/>
      <c r="Q131" s="62"/>
      <c r="R131" s="62"/>
      <c r="S131" s="62"/>
      <c r="T131" s="62"/>
      <c r="U131" s="62"/>
      <c r="V131" s="62"/>
      <c r="X131" s="62"/>
      <c r="Y131" s="62"/>
      <c r="Z131" s="62"/>
      <c r="AA131" s="62"/>
      <c r="AB131" s="63"/>
    </row>
    <row r="132">
      <c r="E132" s="63"/>
      <c r="F132" s="62"/>
      <c r="G132" s="64"/>
      <c r="J132" s="62"/>
      <c r="K132" s="65"/>
      <c r="L132" s="62"/>
      <c r="O132" s="62"/>
      <c r="P132" s="62"/>
      <c r="Q132" s="62"/>
      <c r="R132" s="62"/>
      <c r="S132" s="62"/>
      <c r="T132" s="62"/>
      <c r="U132" s="62"/>
      <c r="V132" s="62"/>
      <c r="X132" s="62"/>
      <c r="Y132" s="62"/>
      <c r="Z132" s="62"/>
      <c r="AA132" s="62"/>
      <c r="AB132" s="63"/>
    </row>
    <row r="133">
      <c r="E133" s="63"/>
      <c r="F133" s="62"/>
      <c r="G133" s="64"/>
      <c r="J133" s="62"/>
      <c r="K133" s="65"/>
      <c r="L133" s="62"/>
      <c r="O133" s="62"/>
      <c r="P133" s="62"/>
      <c r="Q133" s="62"/>
      <c r="R133" s="62"/>
      <c r="S133" s="62"/>
      <c r="T133" s="62"/>
      <c r="U133" s="62"/>
      <c r="V133" s="62"/>
      <c r="X133" s="62"/>
      <c r="Y133" s="62"/>
      <c r="Z133" s="62"/>
      <c r="AA133" s="62"/>
      <c r="AB133" s="63"/>
    </row>
    <row r="134">
      <c r="E134" s="63"/>
      <c r="F134" s="62"/>
      <c r="G134" s="64"/>
      <c r="J134" s="62"/>
      <c r="K134" s="65"/>
      <c r="L134" s="62"/>
      <c r="O134" s="62"/>
      <c r="P134" s="62"/>
      <c r="Q134" s="62"/>
      <c r="R134" s="62"/>
      <c r="S134" s="62"/>
      <c r="T134" s="62"/>
      <c r="U134" s="62"/>
      <c r="V134" s="62"/>
      <c r="X134" s="62"/>
      <c r="Y134" s="62"/>
      <c r="Z134" s="62"/>
      <c r="AA134" s="62"/>
      <c r="AB134" s="63"/>
    </row>
    <row r="135">
      <c r="E135" s="63"/>
      <c r="F135" s="62"/>
      <c r="G135" s="64"/>
      <c r="J135" s="62"/>
      <c r="K135" s="65"/>
      <c r="L135" s="62"/>
      <c r="O135" s="62"/>
      <c r="P135" s="62"/>
      <c r="Q135" s="62"/>
      <c r="R135" s="62"/>
      <c r="S135" s="62"/>
      <c r="T135" s="62"/>
      <c r="U135" s="62"/>
      <c r="V135" s="62"/>
      <c r="X135" s="62"/>
      <c r="Y135" s="62"/>
      <c r="Z135" s="62"/>
      <c r="AA135" s="62"/>
      <c r="AB135" s="63"/>
    </row>
    <row r="136">
      <c r="E136" s="63"/>
      <c r="F136" s="62"/>
      <c r="G136" s="64"/>
      <c r="J136" s="62"/>
      <c r="K136" s="65"/>
      <c r="L136" s="62"/>
      <c r="O136" s="62"/>
      <c r="P136" s="62"/>
      <c r="Q136" s="62"/>
      <c r="R136" s="62"/>
      <c r="S136" s="62"/>
      <c r="T136" s="62"/>
      <c r="U136" s="62"/>
      <c r="V136" s="62"/>
      <c r="X136" s="62"/>
      <c r="Y136" s="62"/>
      <c r="Z136" s="62"/>
      <c r="AA136" s="62"/>
      <c r="AB136" s="63"/>
    </row>
    <row r="137">
      <c r="E137" s="63"/>
      <c r="F137" s="62"/>
      <c r="G137" s="64"/>
      <c r="J137" s="62"/>
      <c r="K137" s="65"/>
      <c r="L137" s="62"/>
      <c r="O137" s="62"/>
      <c r="P137" s="62"/>
      <c r="Q137" s="62"/>
      <c r="R137" s="62"/>
      <c r="S137" s="62"/>
      <c r="T137" s="62"/>
      <c r="U137" s="62"/>
      <c r="V137" s="62"/>
      <c r="X137" s="62"/>
      <c r="Y137" s="62"/>
      <c r="Z137" s="62"/>
      <c r="AA137" s="62"/>
      <c r="AB137" s="63"/>
    </row>
    <row r="138">
      <c r="E138" s="63"/>
      <c r="F138" s="62"/>
      <c r="G138" s="64"/>
      <c r="J138" s="62"/>
      <c r="K138" s="65"/>
      <c r="L138" s="62"/>
      <c r="O138" s="62"/>
      <c r="P138" s="62"/>
      <c r="Q138" s="62"/>
      <c r="R138" s="62"/>
      <c r="S138" s="62"/>
      <c r="T138" s="62"/>
      <c r="U138" s="62"/>
      <c r="V138" s="62"/>
      <c r="X138" s="62"/>
      <c r="Y138" s="62"/>
      <c r="Z138" s="62"/>
      <c r="AA138" s="62"/>
      <c r="AB138" s="63"/>
    </row>
    <row r="139">
      <c r="E139" s="63"/>
      <c r="F139" s="62"/>
      <c r="G139" s="64"/>
      <c r="J139" s="62"/>
      <c r="K139" s="65"/>
      <c r="L139" s="62"/>
      <c r="O139" s="62"/>
      <c r="P139" s="62"/>
      <c r="Q139" s="62"/>
      <c r="R139" s="62"/>
      <c r="S139" s="62"/>
      <c r="T139" s="62"/>
      <c r="U139" s="62"/>
      <c r="V139" s="62"/>
      <c r="X139" s="62"/>
      <c r="Y139" s="62"/>
      <c r="Z139" s="62"/>
      <c r="AA139" s="62"/>
      <c r="AB139" s="63"/>
    </row>
    <row r="140">
      <c r="E140" s="63"/>
      <c r="F140" s="62"/>
      <c r="G140" s="64"/>
      <c r="J140" s="62"/>
      <c r="K140" s="65"/>
      <c r="L140" s="62"/>
      <c r="O140" s="62"/>
      <c r="P140" s="62"/>
      <c r="Q140" s="62"/>
      <c r="R140" s="62"/>
      <c r="S140" s="62"/>
      <c r="T140" s="62"/>
      <c r="U140" s="62"/>
      <c r="V140" s="62"/>
      <c r="X140" s="62"/>
      <c r="Y140" s="62"/>
      <c r="Z140" s="62"/>
      <c r="AA140" s="62"/>
      <c r="AB140" s="63"/>
    </row>
    <row r="141">
      <c r="E141" s="63"/>
      <c r="F141" s="62"/>
      <c r="G141" s="64"/>
      <c r="J141" s="62"/>
      <c r="K141" s="65"/>
      <c r="L141" s="62"/>
      <c r="O141" s="62"/>
      <c r="P141" s="62"/>
      <c r="Q141" s="62"/>
      <c r="R141" s="62"/>
      <c r="S141" s="62"/>
      <c r="T141" s="62"/>
      <c r="U141" s="62"/>
      <c r="V141" s="62"/>
      <c r="X141" s="62"/>
      <c r="Y141" s="62"/>
      <c r="Z141" s="62"/>
      <c r="AA141" s="62"/>
      <c r="AB141" s="63"/>
    </row>
    <row r="142">
      <c r="E142" s="63"/>
      <c r="F142" s="62"/>
      <c r="G142" s="64"/>
      <c r="J142" s="62"/>
      <c r="K142" s="65"/>
      <c r="L142" s="62"/>
      <c r="O142" s="62"/>
      <c r="P142" s="62"/>
      <c r="Q142" s="62"/>
      <c r="R142" s="62"/>
      <c r="S142" s="62"/>
      <c r="T142" s="62"/>
      <c r="U142" s="62"/>
      <c r="V142" s="62"/>
      <c r="X142" s="62"/>
      <c r="Y142" s="62"/>
      <c r="Z142" s="62"/>
      <c r="AA142" s="62"/>
      <c r="AB142" s="63"/>
    </row>
    <row r="143">
      <c r="E143" s="63"/>
      <c r="F143" s="62"/>
      <c r="G143" s="64"/>
      <c r="J143" s="62"/>
      <c r="K143" s="65"/>
      <c r="L143" s="62"/>
      <c r="O143" s="62"/>
      <c r="P143" s="62"/>
      <c r="Q143" s="62"/>
      <c r="R143" s="62"/>
      <c r="S143" s="62"/>
      <c r="T143" s="62"/>
      <c r="U143" s="62"/>
      <c r="V143" s="62"/>
      <c r="X143" s="62"/>
      <c r="Y143" s="62"/>
      <c r="Z143" s="62"/>
      <c r="AA143" s="62"/>
      <c r="AB143" s="63"/>
    </row>
    <row r="144">
      <c r="E144" s="63"/>
      <c r="F144" s="62"/>
      <c r="G144" s="64"/>
      <c r="J144" s="62"/>
      <c r="K144" s="65"/>
      <c r="L144" s="62"/>
      <c r="O144" s="62"/>
      <c r="P144" s="62"/>
      <c r="Q144" s="62"/>
      <c r="R144" s="62"/>
      <c r="S144" s="62"/>
      <c r="T144" s="62"/>
      <c r="U144" s="62"/>
      <c r="V144" s="62"/>
      <c r="X144" s="62"/>
      <c r="Y144" s="62"/>
      <c r="Z144" s="62"/>
      <c r="AA144" s="62"/>
      <c r="AB144" s="63"/>
    </row>
    <row r="145">
      <c r="E145" s="63"/>
      <c r="F145" s="62"/>
      <c r="G145" s="64"/>
      <c r="J145" s="62"/>
      <c r="K145" s="65"/>
      <c r="L145" s="62"/>
      <c r="O145" s="62"/>
      <c r="P145" s="62"/>
      <c r="Q145" s="62"/>
      <c r="R145" s="62"/>
      <c r="S145" s="62"/>
      <c r="T145" s="62"/>
      <c r="U145" s="62"/>
      <c r="V145" s="62"/>
      <c r="X145" s="62"/>
      <c r="Y145" s="62"/>
      <c r="Z145" s="62"/>
      <c r="AA145" s="62"/>
      <c r="AB145" s="63"/>
    </row>
    <row r="146">
      <c r="E146" s="63"/>
      <c r="F146" s="62"/>
      <c r="G146" s="64"/>
      <c r="J146" s="62"/>
      <c r="K146" s="65"/>
      <c r="L146" s="62"/>
      <c r="O146" s="62"/>
      <c r="P146" s="62"/>
      <c r="Q146" s="62"/>
      <c r="R146" s="62"/>
      <c r="S146" s="62"/>
      <c r="T146" s="62"/>
      <c r="U146" s="62"/>
      <c r="V146" s="62"/>
      <c r="X146" s="62"/>
      <c r="Y146" s="62"/>
      <c r="Z146" s="62"/>
      <c r="AA146" s="62"/>
      <c r="AB146" s="63"/>
    </row>
    <row r="147">
      <c r="E147" s="63"/>
      <c r="F147" s="62"/>
      <c r="G147" s="64"/>
      <c r="J147" s="62"/>
      <c r="K147" s="65"/>
      <c r="L147" s="62"/>
      <c r="O147" s="62"/>
      <c r="P147" s="62"/>
      <c r="Q147" s="62"/>
      <c r="R147" s="62"/>
      <c r="S147" s="62"/>
      <c r="T147" s="62"/>
      <c r="U147" s="62"/>
      <c r="V147" s="62"/>
      <c r="X147" s="62"/>
      <c r="Y147" s="62"/>
      <c r="Z147" s="62"/>
      <c r="AA147" s="62"/>
      <c r="AB147" s="63"/>
    </row>
    <row r="148">
      <c r="E148" s="63"/>
      <c r="F148" s="62"/>
      <c r="G148" s="64"/>
      <c r="J148" s="62"/>
      <c r="K148" s="65"/>
      <c r="L148" s="62"/>
      <c r="O148" s="62"/>
      <c r="P148" s="62"/>
      <c r="Q148" s="62"/>
      <c r="R148" s="62"/>
      <c r="S148" s="62"/>
      <c r="T148" s="62"/>
      <c r="U148" s="62"/>
      <c r="V148" s="62"/>
      <c r="X148" s="62"/>
      <c r="Y148" s="62"/>
      <c r="Z148" s="62"/>
      <c r="AA148" s="62"/>
      <c r="AB148" s="63"/>
    </row>
    <row r="149">
      <c r="E149" s="63"/>
      <c r="F149" s="62"/>
      <c r="G149" s="64"/>
      <c r="J149" s="62"/>
      <c r="K149" s="65"/>
      <c r="L149" s="62"/>
      <c r="O149" s="62"/>
      <c r="P149" s="62"/>
      <c r="Q149" s="62"/>
      <c r="R149" s="62"/>
      <c r="S149" s="62"/>
      <c r="T149" s="62"/>
      <c r="U149" s="62"/>
      <c r="V149" s="62"/>
      <c r="X149" s="62"/>
      <c r="Y149" s="62"/>
      <c r="Z149" s="62"/>
      <c r="AA149" s="62"/>
      <c r="AB149" s="63"/>
    </row>
    <row r="150">
      <c r="E150" s="63"/>
      <c r="F150" s="62"/>
      <c r="G150" s="64"/>
      <c r="J150" s="62"/>
      <c r="K150" s="65"/>
      <c r="L150" s="62"/>
      <c r="O150" s="62"/>
      <c r="P150" s="62"/>
      <c r="Q150" s="62"/>
      <c r="R150" s="62"/>
      <c r="S150" s="62"/>
      <c r="T150" s="62"/>
      <c r="U150" s="62"/>
      <c r="V150" s="62"/>
      <c r="X150" s="62"/>
      <c r="Y150" s="62"/>
      <c r="Z150" s="62"/>
      <c r="AA150" s="62"/>
      <c r="AB150" s="63"/>
    </row>
    <row r="151">
      <c r="E151" s="63"/>
      <c r="F151" s="62"/>
      <c r="G151" s="64"/>
      <c r="J151" s="62"/>
      <c r="K151" s="65"/>
      <c r="L151" s="62"/>
      <c r="O151" s="62"/>
      <c r="P151" s="62"/>
      <c r="Q151" s="62"/>
      <c r="R151" s="62"/>
      <c r="S151" s="62"/>
      <c r="T151" s="62"/>
      <c r="U151" s="62"/>
      <c r="V151" s="62"/>
      <c r="X151" s="62"/>
      <c r="Y151" s="62"/>
      <c r="Z151" s="62"/>
      <c r="AA151" s="62"/>
      <c r="AB151" s="63"/>
    </row>
    <row r="152">
      <c r="E152" s="63"/>
      <c r="F152" s="62"/>
      <c r="G152" s="64"/>
      <c r="J152" s="62"/>
      <c r="K152" s="65"/>
      <c r="L152" s="62"/>
      <c r="O152" s="62"/>
      <c r="P152" s="62"/>
      <c r="Q152" s="62"/>
      <c r="R152" s="62"/>
      <c r="S152" s="62"/>
      <c r="T152" s="62"/>
      <c r="U152" s="62"/>
      <c r="V152" s="62"/>
      <c r="X152" s="62"/>
      <c r="Y152" s="62"/>
      <c r="Z152" s="62"/>
      <c r="AA152" s="62"/>
      <c r="AB152" s="63"/>
    </row>
    <row r="153">
      <c r="E153" s="63"/>
      <c r="F153" s="62"/>
      <c r="G153" s="64"/>
      <c r="J153" s="62"/>
      <c r="K153" s="65"/>
      <c r="L153" s="62"/>
      <c r="O153" s="62"/>
      <c r="P153" s="62"/>
      <c r="Q153" s="62"/>
      <c r="R153" s="62"/>
      <c r="S153" s="62"/>
      <c r="T153" s="62"/>
      <c r="U153" s="62"/>
      <c r="V153" s="62"/>
      <c r="X153" s="62"/>
      <c r="Y153" s="62"/>
      <c r="Z153" s="62"/>
      <c r="AA153" s="62"/>
      <c r="AB153" s="63"/>
    </row>
    <row r="154">
      <c r="E154" s="63"/>
      <c r="F154" s="62"/>
      <c r="G154" s="64"/>
      <c r="J154" s="62"/>
      <c r="K154" s="65"/>
      <c r="L154" s="62"/>
      <c r="O154" s="62"/>
      <c r="P154" s="62"/>
      <c r="Q154" s="62"/>
      <c r="R154" s="62"/>
      <c r="S154" s="62"/>
      <c r="T154" s="62"/>
      <c r="U154" s="62"/>
      <c r="V154" s="62"/>
      <c r="X154" s="62"/>
      <c r="Y154" s="62"/>
      <c r="Z154" s="62"/>
      <c r="AA154" s="62"/>
      <c r="AB154" s="63"/>
    </row>
    <row r="155">
      <c r="E155" s="63"/>
      <c r="F155" s="62"/>
      <c r="G155" s="64"/>
      <c r="J155" s="62"/>
      <c r="K155" s="65"/>
      <c r="L155" s="62"/>
      <c r="O155" s="62"/>
      <c r="P155" s="62"/>
      <c r="Q155" s="62"/>
      <c r="R155" s="62"/>
      <c r="S155" s="62"/>
      <c r="T155" s="62"/>
      <c r="U155" s="62"/>
      <c r="V155" s="62"/>
      <c r="X155" s="62"/>
      <c r="Y155" s="62"/>
      <c r="Z155" s="62"/>
      <c r="AA155" s="62"/>
      <c r="AB155" s="63"/>
    </row>
    <row r="156">
      <c r="E156" s="63"/>
      <c r="F156" s="62"/>
      <c r="G156" s="64"/>
      <c r="J156" s="62"/>
      <c r="K156" s="65"/>
      <c r="L156" s="62"/>
      <c r="O156" s="62"/>
      <c r="P156" s="62"/>
      <c r="Q156" s="62"/>
      <c r="R156" s="62"/>
      <c r="S156" s="62"/>
      <c r="T156" s="62"/>
      <c r="U156" s="62"/>
      <c r="V156" s="62"/>
      <c r="X156" s="62"/>
      <c r="Y156" s="62"/>
      <c r="Z156" s="62"/>
      <c r="AA156" s="62"/>
      <c r="AB156" s="63"/>
    </row>
    <row r="157">
      <c r="E157" s="63"/>
      <c r="F157" s="62"/>
      <c r="G157" s="64"/>
      <c r="J157" s="62"/>
      <c r="K157" s="65"/>
      <c r="L157" s="62"/>
      <c r="O157" s="62"/>
      <c r="P157" s="62"/>
      <c r="Q157" s="62"/>
      <c r="R157" s="62"/>
      <c r="S157" s="62"/>
      <c r="T157" s="62"/>
      <c r="U157" s="62"/>
      <c r="V157" s="62"/>
      <c r="X157" s="62"/>
      <c r="Y157" s="62"/>
      <c r="Z157" s="62"/>
      <c r="AA157" s="62"/>
      <c r="AB157" s="63"/>
    </row>
    <row r="158">
      <c r="E158" s="63"/>
      <c r="F158" s="62"/>
      <c r="G158" s="64"/>
      <c r="J158" s="62"/>
      <c r="K158" s="65"/>
      <c r="L158" s="62"/>
      <c r="O158" s="62"/>
      <c r="P158" s="62"/>
      <c r="Q158" s="62"/>
      <c r="R158" s="62"/>
      <c r="S158" s="62"/>
      <c r="T158" s="62"/>
      <c r="U158" s="62"/>
      <c r="V158" s="62"/>
      <c r="X158" s="62"/>
      <c r="Y158" s="62"/>
      <c r="Z158" s="62"/>
      <c r="AA158" s="62"/>
      <c r="AB158" s="63"/>
    </row>
    <row r="159">
      <c r="E159" s="63"/>
      <c r="F159" s="62"/>
      <c r="G159" s="64"/>
      <c r="J159" s="62"/>
      <c r="K159" s="65"/>
      <c r="L159" s="62"/>
      <c r="O159" s="62"/>
      <c r="P159" s="62"/>
      <c r="Q159" s="62"/>
      <c r="R159" s="62"/>
      <c r="S159" s="62"/>
      <c r="T159" s="62"/>
      <c r="U159" s="62"/>
      <c r="V159" s="62"/>
      <c r="X159" s="62"/>
      <c r="Y159" s="62"/>
      <c r="Z159" s="62"/>
      <c r="AA159" s="62"/>
      <c r="AB159" s="63"/>
    </row>
    <row r="160">
      <c r="E160" s="63"/>
      <c r="F160" s="62"/>
      <c r="G160" s="64"/>
      <c r="J160" s="62"/>
      <c r="K160" s="65"/>
      <c r="L160" s="62"/>
      <c r="O160" s="62"/>
      <c r="P160" s="62"/>
      <c r="Q160" s="62"/>
      <c r="R160" s="62"/>
      <c r="S160" s="62"/>
      <c r="T160" s="62"/>
      <c r="U160" s="62"/>
      <c r="V160" s="62"/>
      <c r="X160" s="62"/>
      <c r="Y160" s="62"/>
      <c r="Z160" s="62"/>
      <c r="AA160" s="62"/>
      <c r="AB160" s="63"/>
    </row>
    <row r="161">
      <c r="E161" s="63"/>
      <c r="F161" s="62"/>
      <c r="G161" s="64"/>
      <c r="J161" s="62"/>
      <c r="K161" s="65"/>
      <c r="L161" s="62"/>
      <c r="O161" s="62"/>
      <c r="P161" s="62"/>
      <c r="Q161" s="62"/>
      <c r="R161" s="62"/>
      <c r="S161" s="62"/>
      <c r="T161" s="62"/>
      <c r="U161" s="62"/>
      <c r="V161" s="62"/>
      <c r="X161" s="62"/>
      <c r="Y161" s="62"/>
      <c r="Z161" s="62"/>
      <c r="AA161" s="62"/>
      <c r="AB161" s="63"/>
    </row>
    <row r="162">
      <c r="E162" s="63"/>
      <c r="F162" s="62"/>
      <c r="G162" s="64"/>
      <c r="J162" s="62"/>
      <c r="K162" s="65"/>
      <c r="L162" s="62"/>
      <c r="O162" s="62"/>
      <c r="P162" s="62"/>
      <c r="Q162" s="62"/>
      <c r="R162" s="62"/>
      <c r="S162" s="62"/>
      <c r="T162" s="62"/>
      <c r="U162" s="62"/>
      <c r="V162" s="62"/>
      <c r="X162" s="62"/>
      <c r="Y162" s="62"/>
      <c r="Z162" s="62"/>
      <c r="AA162" s="62"/>
      <c r="AB162" s="63"/>
    </row>
    <row r="163">
      <c r="E163" s="63"/>
      <c r="F163" s="62"/>
      <c r="G163" s="64"/>
      <c r="J163" s="62"/>
      <c r="K163" s="65"/>
      <c r="L163" s="62"/>
      <c r="O163" s="62"/>
      <c r="P163" s="62"/>
      <c r="Q163" s="62"/>
      <c r="R163" s="62"/>
      <c r="S163" s="62"/>
      <c r="T163" s="62"/>
      <c r="U163" s="62"/>
      <c r="V163" s="62"/>
      <c r="X163" s="62"/>
      <c r="Y163" s="62"/>
      <c r="Z163" s="62"/>
      <c r="AA163" s="62"/>
      <c r="AB163" s="63"/>
    </row>
    <row r="164">
      <c r="E164" s="63"/>
      <c r="F164" s="62"/>
      <c r="G164" s="64"/>
      <c r="J164" s="62"/>
      <c r="K164" s="65"/>
      <c r="L164" s="62"/>
      <c r="O164" s="62"/>
      <c r="P164" s="62"/>
      <c r="Q164" s="62"/>
      <c r="R164" s="62"/>
      <c r="S164" s="62"/>
      <c r="T164" s="62"/>
      <c r="U164" s="62"/>
      <c r="V164" s="62"/>
      <c r="X164" s="62"/>
      <c r="Y164" s="62"/>
      <c r="Z164" s="62"/>
      <c r="AA164" s="62"/>
      <c r="AB164" s="63"/>
    </row>
    <row r="165">
      <c r="E165" s="63"/>
      <c r="F165" s="62"/>
      <c r="G165" s="64"/>
      <c r="J165" s="62"/>
      <c r="K165" s="65"/>
      <c r="L165" s="62"/>
      <c r="O165" s="62"/>
      <c r="P165" s="62"/>
      <c r="Q165" s="62"/>
      <c r="R165" s="62"/>
      <c r="S165" s="62"/>
      <c r="T165" s="62"/>
      <c r="U165" s="62"/>
      <c r="V165" s="62"/>
      <c r="X165" s="62"/>
      <c r="Y165" s="62"/>
      <c r="Z165" s="62"/>
      <c r="AA165" s="62"/>
      <c r="AB165" s="63"/>
    </row>
    <row r="166">
      <c r="E166" s="63"/>
      <c r="F166" s="62"/>
      <c r="G166" s="64"/>
      <c r="J166" s="62"/>
      <c r="K166" s="65"/>
      <c r="L166" s="62"/>
      <c r="O166" s="62"/>
      <c r="P166" s="62"/>
      <c r="Q166" s="62"/>
      <c r="R166" s="62"/>
      <c r="S166" s="62"/>
      <c r="T166" s="62"/>
      <c r="U166" s="62"/>
      <c r="V166" s="62"/>
      <c r="X166" s="62"/>
      <c r="Y166" s="62"/>
      <c r="Z166" s="62"/>
      <c r="AA166" s="62"/>
      <c r="AB166" s="63"/>
    </row>
    <row r="167">
      <c r="E167" s="63"/>
      <c r="F167" s="62"/>
      <c r="G167" s="64"/>
      <c r="J167" s="62"/>
      <c r="K167" s="65"/>
      <c r="L167" s="62"/>
      <c r="O167" s="62"/>
      <c r="P167" s="62"/>
      <c r="Q167" s="62"/>
      <c r="R167" s="62"/>
      <c r="S167" s="62"/>
      <c r="T167" s="62"/>
      <c r="U167" s="62"/>
      <c r="V167" s="62"/>
      <c r="X167" s="62"/>
      <c r="Y167" s="62"/>
      <c r="Z167" s="62"/>
      <c r="AA167" s="62"/>
      <c r="AB167" s="63"/>
    </row>
    <row r="168">
      <c r="E168" s="63"/>
      <c r="F168" s="62"/>
      <c r="G168" s="64"/>
      <c r="J168" s="62"/>
      <c r="K168" s="65"/>
      <c r="L168" s="62"/>
      <c r="O168" s="62"/>
      <c r="P168" s="62"/>
      <c r="Q168" s="62"/>
      <c r="R168" s="62"/>
      <c r="S168" s="62"/>
      <c r="T168" s="62"/>
      <c r="U168" s="62"/>
      <c r="V168" s="62"/>
      <c r="X168" s="62"/>
      <c r="Y168" s="62"/>
      <c r="Z168" s="62"/>
      <c r="AA168" s="62"/>
      <c r="AB168" s="63"/>
    </row>
    <row r="169">
      <c r="E169" s="63"/>
      <c r="F169" s="62"/>
      <c r="G169" s="64"/>
      <c r="J169" s="62"/>
      <c r="K169" s="65"/>
      <c r="L169" s="62"/>
      <c r="O169" s="62"/>
      <c r="P169" s="62"/>
      <c r="Q169" s="62"/>
      <c r="R169" s="62"/>
      <c r="S169" s="62"/>
      <c r="T169" s="62"/>
      <c r="U169" s="62"/>
      <c r="V169" s="62"/>
      <c r="X169" s="62"/>
      <c r="Y169" s="62"/>
      <c r="Z169" s="62"/>
      <c r="AA169" s="62"/>
      <c r="AB169" s="63"/>
    </row>
    <row r="170">
      <c r="E170" s="63"/>
      <c r="F170" s="62"/>
      <c r="G170" s="64"/>
      <c r="J170" s="62"/>
      <c r="K170" s="65"/>
      <c r="L170" s="62"/>
      <c r="O170" s="62"/>
      <c r="P170" s="62"/>
      <c r="Q170" s="62"/>
      <c r="R170" s="62"/>
      <c r="S170" s="62"/>
      <c r="T170" s="62"/>
      <c r="U170" s="62"/>
      <c r="V170" s="62"/>
      <c r="X170" s="62"/>
      <c r="Y170" s="62"/>
      <c r="Z170" s="62"/>
      <c r="AA170" s="62"/>
      <c r="AB170" s="63"/>
    </row>
    <row r="171">
      <c r="E171" s="63"/>
      <c r="F171" s="62"/>
      <c r="G171" s="64"/>
      <c r="J171" s="62"/>
      <c r="K171" s="65"/>
      <c r="L171" s="62"/>
      <c r="O171" s="62"/>
      <c r="P171" s="62"/>
      <c r="Q171" s="62"/>
      <c r="R171" s="62"/>
      <c r="S171" s="62"/>
      <c r="T171" s="62"/>
      <c r="U171" s="62"/>
      <c r="V171" s="62"/>
      <c r="X171" s="62"/>
      <c r="Y171" s="62"/>
      <c r="Z171" s="62"/>
      <c r="AA171" s="62"/>
      <c r="AB171" s="63"/>
    </row>
    <row r="172">
      <c r="E172" s="63"/>
      <c r="F172" s="62"/>
      <c r="G172" s="64"/>
      <c r="J172" s="62"/>
      <c r="K172" s="65"/>
      <c r="L172" s="62"/>
      <c r="O172" s="62"/>
      <c r="P172" s="62"/>
      <c r="Q172" s="62"/>
      <c r="R172" s="62"/>
      <c r="S172" s="62"/>
      <c r="T172" s="62"/>
      <c r="U172" s="62"/>
      <c r="V172" s="62"/>
      <c r="X172" s="62"/>
      <c r="Y172" s="62"/>
      <c r="Z172" s="62"/>
      <c r="AA172" s="62"/>
      <c r="AB172" s="63"/>
    </row>
    <row r="173">
      <c r="E173" s="63"/>
      <c r="F173" s="62"/>
      <c r="G173" s="64"/>
      <c r="J173" s="62"/>
      <c r="K173" s="65"/>
      <c r="L173" s="62"/>
      <c r="O173" s="62"/>
      <c r="P173" s="62"/>
      <c r="Q173" s="62"/>
      <c r="R173" s="62"/>
      <c r="S173" s="62"/>
      <c r="T173" s="62"/>
      <c r="U173" s="62"/>
      <c r="V173" s="62"/>
      <c r="X173" s="62"/>
      <c r="Y173" s="62"/>
      <c r="Z173" s="62"/>
      <c r="AA173" s="62"/>
      <c r="AB173" s="63"/>
    </row>
    <row r="174">
      <c r="E174" s="63"/>
      <c r="F174" s="62"/>
      <c r="G174" s="64"/>
      <c r="J174" s="62"/>
      <c r="K174" s="65"/>
      <c r="L174" s="62"/>
      <c r="O174" s="62"/>
      <c r="P174" s="62"/>
      <c r="Q174" s="62"/>
      <c r="R174" s="62"/>
      <c r="S174" s="62"/>
      <c r="T174" s="62"/>
      <c r="U174" s="62"/>
      <c r="V174" s="62"/>
      <c r="X174" s="62"/>
      <c r="Y174" s="62"/>
      <c r="Z174" s="62"/>
      <c r="AA174" s="62"/>
      <c r="AB174" s="63"/>
    </row>
    <row r="175">
      <c r="E175" s="63"/>
      <c r="F175" s="62"/>
      <c r="G175" s="64"/>
      <c r="J175" s="62"/>
      <c r="K175" s="65"/>
      <c r="L175" s="62"/>
      <c r="O175" s="62"/>
      <c r="P175" s="62"/>
      <c r="Q175" s="62"/>
      <c r="R175" s="62"/>
      <c r="S175" s="62"/>
      <c r="T175" s="62"/>
      <c r="U175" s="62"/>
      <c r="V175" s="62"/>
      <c r="X175" s="62"/>
      <c r="Y175" s="62"/>
      <c r="Z175" s="62"/>
      <c r="AA175" s="62"/>
      <c r="AB175" s="63"/>
    </row>
    <row r="176">
      <c r="E176" s="63"/>
      <c r="F176" s="62"/>
      <c r="G176" s="64"/>
      <c r="J176" s="62"/>
      <c r="K176" s="65"/>
      <c r="L176" s="62"/>
      <c r="O176" s="62"/>
      <c r="P176" s="62"/>
      <c r="Q176" s="62"/>
      <c r="R176" s="62"/>
      <c r="S176" s="62"/>
      <c r="T176" s="62"/>
      <c r="U176" s="62"/>
      <c r="V176" s="62"/>
      <c r="X176" s="62"/>
      <c r="Y176" s="62"/>
      <c r="Z176" s="62"/>
      <c r="AA176" s="62"/>
      <c r="AB176" s="63"/>
    </row>
    <row r="177">
      <c r="E177" s="63"/>
      <c r="F177" s="62"/>
      <c r="G177" s="64"/>
      <c r="J177" s="62"/>
      <c r="K177" s="65"/>
      <c r="L177" s="62"/>
      <c r="O177" s="62"/>
      <c r="P177" s="62"/>
      <c r="Q177" s="62"/>
      <c r="R177" s="62"/>
      <c r="S177" s="62"/>
      <c r="T177" s="62"/>
      <c r="U177" s="62"/>
      <c r="V177" s="62"/>
      <c r="X177" s="62"/>
      <c r="Y177" s="62"/>
      <c r="Z177" s="62"/>
      <c r="AA177" s="62"/>
      <c r="AB177" s="63"/>
    </row>
    <row r="178">
      <c r="E178" s="63"/>
      <c r="F178" s="62"/>
      <c r="G178" s="64"/>
      <c r="J178" s="62"/>
      <c r="K178" s="65"/>
      <c r="L178" s="62"/>
      <c r="O178" s="62"/>
      <c r="P178" s="62"/>
      <c r="Q178" s="62"/>
      <c r="R178" s="62"/>
      <c r="S178" s="62"/>
      <c r="T178" s="62"/>
      <c r="U178" s="62"/>
      <c r="V178" s="62"/>
      <c r="X178" s="62"/>
      <c r="Y178" s="62"/>
      <c r="Z178" s="62"/>
      <c r="AA178" s="62"/>
      <c r="AB178" s="63"/>
    </row>
    <row r="179">
      <c r="E179" s="63"/>
      <c r="F179" s="62"/>
      <c r="G179" s="64"/>
      <c r="J179" s="62"/>
      <c r="K179" s="65"/>
      <c r="L179" s="62"/>
      <c r="O179" s="62"/>
      <c r="P179" s="62"/>
      <c r="Q179" s="62"/>
      <c r="R179" s="62"/>
      <c r="S179" s="62"/>
      <c r="T179" s="62"/>
      <c r="U179" s="62"/>
      <c r="V179" s="62"/>
      <c r="X179" s="62"/>
      <c r="Y179" s="62"/>
      <c r="Z179" s="62"/>
      <c r="AA179" s="62"/>
      <c r="AB179" s="63"/>
    </row>
    <row r="180">
      <c r="E180" s="63"/>
      <c r="F180" s="62"/>
      <c r="G180" s="64"/>
      <c r="J180" s="62"/>
      <c r="K180" s="65"/>
      <c r="L180" s="62"/>
      <c r="O180" s="62"/>
      <c r="P180" s="62"/>
      <c r="Q180" s="62"/>
      <c r="R180" s="62"/>
      <c r="S180" s="62"/>
      <c r="T180" s="62"/>
      <c r="U180" s="62"/>
      <c r="V180" s="62"/>
      <c r="X180" s="62"/>
      <c r="Y180" s="62"/>
      <c r="Z180" s="62"/>
      <c r="AA180" s="62"/>
      <c r="AB180" s="63"/>
    </row>
    <row r="181">
      <c r="E181" s="63"/>
      <c r="F181" s="62"/>
      <c r="G181" s="64"/>
      <c r="J181" s="62"/>
      <c r="K181" s="65"/>
      <c r="L181" s="62"/>
      <c r="O181" s="62"/>
      <c r="P181" s="62"/>
      <c r="Q181" s="62"/>
      <c r="R181" s="62"/>
      <c r="S181" s="62"/>
      <c r="T181" s="62"/>
      <c r="U181" s="62"/>
      <c r="V181" s="62"/>
      <c r="X181" s="62"/>
      <c r="Y181" s="62"/>
      <c r="Z181" s="62"/>
      <c r="AA181" s="62"/>
      <c r="AB181" s="63"/>
    </row>
    <row r="182">
      <c r="E182" s="63"/>
      <c r="F182" s="62"/>
      <c r="G182" s="64"/>
      <c r="J182" s="62"/>
      <c r="K182" s="65"/>
      <c r="L182" s="62"/>
      <c r="O182" s="62"/>
      <c r="P182" s="62"/>
      <c r="Q182" s="62"/>
      <c r="R182" s="62"/>
      <c r="S182" s="62"/>
      <c r="T182" s="62"/>
      <c r="U182" s="62"/>
      <c r="V182" s="62"/>
      <c r="X182" s="62"/>
      <c r="Y182" s="62"/>
      <c r="Z182" s="62"/>
      <c r="AA182" s="62"/>
      <c r="AB182" s="63"/>
    </row>
    <row r="183">
      <c r="E183" s="63"/>
      <c r="F183" s="62"/>
      <c r="G183" s="64"/>
      <c r="J183" s="62"/>
      <c r="K183" s="65"/>
      <c r="L183" s="62"/>
      <c r="O183" s="62"/>
      <c r="P183" s="62"/>
      <c r="Q183" s="62"/>
      <c r="R183" s="62"/>
      <c r="S183" s="62"/>
      <c r="T183" s="62"/>
      <c r="U183" s="62"/>
      <c r="V183" s="62"/>
      <c r="X183" s="62"/>
      <c r="Y183" s="62"/>
      <c r="Z183" s="62"/>
      <c r="AA183" s="62"/>
      <c r="AB183" s="63"/>
    </row>
    <row r="184">
      <c r="E184" s="63"/>
      <c r="F184" s="62"/>
      <c r="G184" s="64"/>
      <c r="J184" s="62"/>
      <c r="K184" s="65"/>
      <c r="L184" s="62"/>
      <c r="O184" s="62"/>
      <c r="P184" s="62"/>
      <c r="Q184" s="62"/>
      <c r="R184" s="62"/>
      <c r="S184" s="62"/>
      <c r="T184" s="62"/>
      <c r="U184" s="62"/>
      <c r="V184" s="62"/>
      <c r="X184" s="62"/>
      <c r="Y184" s="62"/>
      <c r="Z184" s="62"/>
      <c r="AA184" s="62"/>
      <c r="AB184" s="63"/>
    </row>
    <row r="185">
      <c r="E185" s="63"/>
      <c r="F185" s="62"/>
      <c r="G185" s="64"/>
      <c r="J185" s="62"/>
      <c r="K185" s="65"/>
      <c r="L185" s="62"/>
      <c r="O185" s="62"/>
      <c r="P185" s="62"/>
      <c r="Q185" s="62"/>
      <c r="R185" s="62"/>
      <c r="S185" s="62"/>
      <c r="T185" s="62"/>
      <c r="U185" s="62"/>
      <c r="V185" s="62"/>
      <c r="X185" s="62"/>
      <c r="Y185" s="62"/>
      <c r="Z185" s="62"/>
      <c r="AA185" s="62"/>
      <c r="AB185" s="63"/>
    </row>
    <row r="186">
      <c r="E186" s="63"/>
      <c r="F186" s="62"/>
      <c r="G186" s="64"/>
      <c r="J186" s="62"/>
      <c r="K186" s="65"/>
      <c r="L186" s="62"/>
      <c r="O186" s="62"/>
      <c r="P186" s="62"/>
      <c r="Q186" s="62"/>
      <c r="R186" s="62"/>
      <c r="S186" s="62"/>
      <c r="T186" s="62"/>
      <c r="U186" s="62"/>
      <c r="V186" s="62"/>
      <c r="X186" s="62"/>
      <c r="Y186" s="62"/>
      <c r="Z186" s="62"/>
      <c r="AA186" s="62"/>
      <c r="AB186" s="63"/>
    </row>
    <row r="187">
      <c r="E187" s="63"/>
      <c r="F187" s="62"/>
      <c r="G187" s="64"/>
      <c r="J187" s="62"/>
      <c r="K187" s="65"/>
      <c r="L187" s="62"/>
      <c r="O187" s="62"/>
      <c r="P187" s="62"/>
      <c r="Q187" s="62"/>
      <c r="R187" s="62"/>
      <c r="S187" s="62"/>
      <c r="T187" s="62"/>
      <c r="U187" s="62"/>
      <c r="V187" s="62"/>
      <c r="X187" s="62"/>
      <c r="Y187" s="62"/>
      <c r="Z187" s="62"/>
      <c r="AA187" s="62"/>
      <c r="AB187" s="63"/>
    </row>
    <row r="188">
      <c r="E188" s="63"/>
      <c r="F188" s="62"/>
      <c r="G188" s="64"/>
      <c r="J188" s="62"/>
      <c r="K188" s="65"/>
      <c r="L188" s="62"/>
      <c r="O188" s="62"/>
      <c r="P188" s="62"/>
      <c r="Q188" s="62"/>
      <c r="R188" s="62"/>
      <c r="S188" s="62"/>
      <c r="T188" s="62"/>
      <c r="U188" s="62"/>
      <c r="V188" s="62"/>
      <c r="X188" s="62"/>
      <c r="Y188" s="62"/>
      <c r="Z188" s="62"/>
      <c r="AA188" s="62"/>
      <c r="AB188" s="63"/>
    </row>
    <row r="189">
      <c r="E189" s="63"/>
      <c r="F189" s="62"/>
      <c r="G189" s="64"/>
      <c r="J189" s="62"/>
      <c r="K189" s="65"/>
      <c r="L189" s="62"/>
      <c r="O189" s="62"/>
      <c r="P189" s="62"/>
      <c r="Q189" s="62"/>
      <c r="R189" s="62"/>
      <c r="S189" s="62"/>
      <c r="T189" s="62"/>
      <c r="U189" s="62"/>
      <c r="V189" s="62"/>
      <c r="X189" s="62"/>
      <c r="Y189" s="62"/>
      <c r="Z189" s="62"/>
      <c r="AA189" s="62"/>
      <c r="AB189" s="63"/>
    </row>
    <row r="190">
      <c r="E190" s="63"/>
      <c r="F190" s="62"/>
      <c r="G190" s="64"/>
      <c r="J190" s="62"/>
      <c r="K190" s="65"/>
      <c r="L190" s="62"/>
      <c r="O190" s="62"/>
      <c r="P190" s="62"/>
      <c r="Q190" s="62"/>
      <c r="R190" s="62"/>
      <c r="S190" s="62"/>
      <c r="T190" s="62"/>
      <c r="U190" s="62"/>
      <c r="V190" s="62"/>
      <c r="X190" s="62"/>
      <c r="Y190" s="62"/>
      <c r="Z190" s="62"/>
      <c r="AA190" s="62"/>
      <c r="AB190" s="63"/>
    </row>
    <row r="191">
      <c r="E191" s="63"/>
      <c r="F191" s="62"/>
      <c r="G191" s="64"/>
      <c r="J191" s="62"/>
      <c r="K191" s="65"/>
      <c r="L191" s="62"/>
      <c r="O191" s="62"/>
      <c r="P191" s="62"/>
      <c r="Q191" s="62"/>
      <c r="R191" s="62"/>
      <c r="S191" s="62"/>
      <c r="T191" s="62"/>
      <c r="U191" s="62"/>
      <c r="V191" s="62"/>
      <c r="X191" s="62"/>
      <c r="Y191" s="62"/>
      <c r="Z191" s="62"/>
      <c r="AA191" s="62"/>
      <c r="AB191" s="63"/>
    </row>
    <row r="192">
      <c r="E192" s="63"/>
      <c r="F192" s="62"/>
      <c r="G192" s="64"/>
      <c r="J192" s="62"/>
      <c r="K192" s="65"/>
      <c r="L192" s="62"/>
      <c r="O192" s="62"/>
      <c r="P192" s="62"/>
      <c r="Q192" s="62"/>
      <c r="R192" s="62"/>
      <c r="S192" s="62"/>
      <c r="T192" s="62"/>
      <c r="U192" s="62"/>
      <c r="V192" s="62"/>
      <c r="X192" s="62"/>
      <c r="Y192" s="62"/>
      <c r="Z192" s="62"/>
      <c r="AA192" s="62"/>
      <c r="AB192" s="63"/>
    </row>
    <row r="193">
      <c r="E193" s="63"/>
      <c r="F193" s="62"/>
      <c r="G193" s="64"/>
      <c r="J193" s="62"/>
      <c r="K193" s="65"/>
      <c r="L193" s="62"/>
      <c r="O193" s="62"/>
      <c r="P193" s="62"/>
      <c r="Q193" s="62"/>
      <c r="R193" s="62"/>
      <c r="S193" s="62"/>
      <c r="T193" s="62"/>
      <c r="U193" s="62"/>
      <c r="V193" s="62"/>
      <c r="X193" s="62"/>
      <c r="Y193" s="62"/>
      <c r="Z193" s="62"/>
      <c r="AA193" s="62"/>
      <c r="AB193" s="63"/>
    </row>
    <row r="194">
      <c r="E194" s="63"/>
      <c r="F194" s="62"/>
      <c r="G194" s="64"/>
      <c r="J194" s="62"/>
      <c r="K194" s="65"/>
      <c r="L194" s="62"/>
      <c r="O194" s="62"/>
      <c r="P194" s="62"/>
      <c r="Q194" s="62"/>
      <c r="R194" s="62"/>
      <c r="S194" s="62"/>
      <c r="T194" s="62"/>
      <c r="U194" s="62"/>
      <c r="V194" s="62"/>
      <c r="X194" s="62"/>
      <c r="Y194" s="62"/>
      <c r="Z194" s="62"/>
      <c r="AA194" s="62"/>
      <c r="AB194" s="63"/>
    </row>
    <row r="195">
      <c r="E195" s="63"/>
      <c r="F195" s="62"/>
      <c r="G195" s="64"/>
      <c r="J195" s="62"/>
      <c r="K195" s="65"/>
      <c r="L195" s="62"/>
      <c r="O195" s="62"/>
      <c r="P195" s="62"/>
      <c r="Q195" s="62"/>
      <c r="R195" s="62"/>
      <c r="S195" s="62"/>
      <c r="T195" s="62"/>
      <c r="U195" s="62"/>
      <c r="V195" s="62"/>
      <c r="X195" s="62"/>
      <c r="Y195" s="62"/>
      <c r="Z195" s="62"/>
      <c r="AA195" s="62"/>
      <c r="AB195" s="63"/>
    </row>
    <row r="196">
      <c r="E196" s="63"/>
      <c r="F196" s="62"/>
      <c r="G196" s="64"/>
      <c r="J196" s="62"/>
      <c r="K196" s="65"/>
      <c r="L196" s="62"/>
      <c r="O196" s="62"/>
      <c r="P196" s="62"/>
      <c r="Q196" s="62"/>
      <c r="R196" s="62"/>
      <c r="S196" s="62"/>
      <c r="T196" s="62"/>
      <c r="U196" s="62"/>
      <c r="V196" s="62"/>
      <c r="X196" s="62"/>
      <c r="Y196" s="62"/>
      <c r="Z196" s="62"/>
      <c r="AA196" s="62"/>
      <c r="AB196" s="63"/>
    </row>
    <row r="197">
      <c r="E197" s="63"/>
      <c r="F197" s="62"/>
      <c r="G197" s="64"/>
      <c r="J197" s="62"/>
      <c r="K197" s="65"/>
      <c r="L197" s="62"/>
      <c r="O197" s="62"/>
      <c r="P197" s="62"/>
      <c r="Q197" s="62"/>
      <c r="R197" s="62"/>
      <c r="S197" s="62"/>
      <c r="T197" s="62"/>
      <c r="U197" s="62"/>
      <c r="V197" s="62"/>
      <c r="X197" s="62"/>
      <c r="Y197" s="62"/>
      <c r="Z197" s="62"/>
      <c r="AA197" s="62"/>
      <c r="AB197" s="63"/>
    </row>
    <row r="198">
      <c r="E198" s="63"/>
      <c r="F198" s="62"/>
      <c r="G198" s="64"/>
      <c r="J198" s="62"/>
      <c r="K198" s="65"/>
      <c r="L198" s="62"/>
      <c r="O198" s="62"/>
      <c r="P198" s="62"/>
      <c r="Q198" s="62"/>
      <c r="R198" s="62"/>
      <c r="S198" s="62"/>
      <c r="T198" s="62"/>
      <c r="U198" s="62"/>
      <c r="V198" s="62"/>
      <c r="X198" s="62"/>
      <c r="Y198" s="62"/>
      <c r="Z198" s="62"/>
      <c r="AA198" s="62"/>
      <c r="AB198" s="63"/>
    </row>
    <row r="199">
      <c r="E199" s="63"/>
      <c r="F199" s="62"/>
      <c r="G199" s="64"/>
      <c r="J199" s="62"/>
      <c r="K199" s="65"/>
      <c r="L199" s="62"/>
      <c r="O199" s="62"/>
      <c r="P199" s="62"/>
      <c r="Q199" s="62"/>
      <c r="R199" s="62"/>
      <c r="S199" s="62"/>
      <c r="T199" s="62"/>
      <c r="U199" s="62"/>
      <c r="V199" s="62"/>
      <c r="X199" s="62"/>
      <c r="Y199" s="62"/>
      <c r="Z199" s="62"/>
      <c r="AA199" s="62"/>
      <c r="AB199" s="63"/>
    </row>
    <row r="200">
      <c r="E200" s="63"/>
      <c r="F200" s="62"/>
      <c r="G200" s="64"/>
      <c r="J200" s="62"/>
      <c r="K200" s="65"/>
      <c r="L200" s="62"/>
      <c r="O200" s="62"/>
      <c r="P200" s="62"/>
      <c r="Q200" s="62"/>
      <c r="R200" s="62"/>
      <c r="S200" s="62"/>
      <c r="T200" s="62"/>
      <c r="U200" s="62"/>
      <c r="V200" s="62"/>
      <c r="X200" s="62"/>
      <c r="Y200" s="62"/>
      <c r="Z200" s="62"/>
      <c r="AA200" s="62"/>
      <c r="AB200" s="63"/>
    </row>
    <row r="201">
      <c r="E201" s="63"/>
      <c r="F201" s="62"/>
      <c r="G201" s="64"/>
      <c r="J201" s="62"/>
      <c r="K201" s="65"/>
      <c r="L201" s="62"/>
      <c r="O201" s="62"/>
      <c r="P201" s="62"/>
      <c r="Q201" s="62"/>
      <c r="R201" s="62"/>
      <c r="S201" s="62"/>
      <c r="T201" s="62"/>
      <c r="U201" s="62"/>
      <c r="V201" s="62"/>
      <c r="X201" s="62"/>
      <c r="Y201" s="62"/>
      <c r="Z201" s="62"/>
      <c r="AA201" s="62"/>
      <c r="AB201" s="63"/>
    </row>
    <row r="202">
      <c r="E202" s="63"/>
      <c r="F202" s="62"/>
      <c r="G202" s="64"/>
      <c r="J202" s="62"/>
      <c r="K202" s="65"/>
      <c r="L202" s="62"/>
      <c r="O202" s="62"/>
      <c r="P202" s="62"/>
      <c r="Q202" s="62"/>
      <c r="R202" s="62"/>
      <c r="S202" s="62"/>
      <c r="T202" s="62"/>
      <c r="U202" s="62"/>
      <c r="V202" s="62"/>
      <c r="X202" s="62"/>
      <c r="Y202" s="62"/>
      <c r="Z202" s="62"/>
      <c r="AA202" s="62"/>
      <c r="AB202" s="63"/>
    </row>
    <row r="203">
      <c r="E203" s="63"/>
      <c r="F203" s="62"/>
      <c r="G203" s="64"/>
      <c r="J203" s="62"/>
      <c r="K203" s="65"/>
      <c r="L203" s="62"/>
      <c r="O203" s="62"/>
      <c r="P203" s="62"/>
      <c r="Q203" s="62"/>
      <c r="R203" s="62"/>
      <c r="S203" s="62"/>
      <c r="T203" s="62"/>
      <c r="U203" s="62"/>
      <c r="V203" s="62"/>
      <c r="X203" s="62"/>
      <c r="Y203" s="62"/>
      <c r="Z203" s="62"/>
      <c r="AA203" s="62"/>
      <c r="AB203" s="63"/>
    </row>
    <row r="204">
      <c r="E204" s="63"/>
      <c r="F204" s="62"/>
      <c r="G204" s="64"/>
      <c r="J204" s="62"/>
      <c r="K204" s="65"/>
      <c r="L204" s="62"/>
      <c r="O204" s="62"/>
      <c r="P204" s="62"/>
      <c r="Q204" s="62"/>
      <c r="R204" s="62"/>
      <c r="S204" s="62"/>
      <c r="T204" s="62"/>
      <c r="U204" s="62"/>
      <c r="V204" s="62"/>
      <c r="X204" s="62"/>
      <c r="Y204" s="62"/>
      <c r="Z204" s="62"/>
      <c r="AA204" s="62"/>
      <c r="AB204" s="63"/>
    </row>
    <row r="205">
      <c r="E205" s="63"/>
      <c r="F205" s="62"/>
      <c r="G205" s="64"/>
      <c r="J205" s="62"/>
      <c r="K205" s="65"/>
      <c r="L205" s="62"/>
      <c r="O205" s="62"/>
      <c r="P205" s="62"/>
      <c r="Q205" s="62"/>
      <c r="R205" s="62"/>
      <c r="S205" s="62"/>
      <c r="T205" s="62"/>
      <c r="U205" s="62"/>
      <c r="V205" s="62"/>
      <c r="X205" s="62"/>
      <c r="Y205" s="62"/>
      <c r="Z205" s="62"/>
      <c r="AA205" s="62"/>
      <c r="AB205" s="63"/>
    </row>
    <row r="206">
      <c r="E206" s="63"/>
      <c r="F206" s="62"/>
      <c r="G206" s="64"/>
      <c r="J206" s="62"/>
      <c r="K206" s="65"/>
      <c r="L206" s="62"/>
      <c r="O206" s="62"/>
      <c r="P206" s="62"/>
      <c r="Q206" s="62"/>
      <c r="R206" s="62"/>
      <c r="S206" s="62"/>
      <c r="T206" s="62"/>
      <c r="U206" s="62"/>
      <c r="V206" s="62"/>
      <c r="X206" s="62"/>
      <c r="Y206" s="62"/>
      <c r="Z206" s="62"/>
      <c r="AA206" s="62"/>
      <c r="AB206" s="63"/>
    </row>
    <row r="207">
      <c r="E207" s="63"/>
      <c r="F207" s="62"/>
      <c r="G207" s="64"/>
      <c r="J207" s="62"/>
      <c r="K207" s="65"/>
      <c r="L207" s="62"/>
      <c r="O207" s="62"/>
      <c r="P207" s="62"/>
      <c r="Q207" s="62"/>
      <c r="R207" s="62"/>
      <c r="S207" s="62"/>
      <c r="T207" s="62"/>
      <c r="U207" s="62"/>
      <c r="V207" s="62"/>
      <c r="X207" s="62"/>
      <c r="Y207" s="62"/>
      <c r="Z207" s="62"/>
      <c r="AA207" s="62"/>
      <c r="AB207" s="63"/>
    </row>
    <row r="208">
      <c r="E208" s="63"/>
      <c r="F208" s="62"/>
      <c r="G208" s="64"/>
      <c r="J208" s="62"/>
      <c r="K208" s="65"/>
      <c r="L208" s="62"/>
      <c r="O208" s="62"/>
      <c r="P208" s="62"/>
      <c r="Q208" s="62"/>
      <c r="R208" s="62"/>
      <c r="S208" s="62"/>
      <c r="T208" s="62"/>
      <c r="U208" s="62"/>
      <c r="V208" s="62"/>
      <c r="X208" s="62"/>
      <c r="Y208" s="62"/>
      <c r="Z208" s="62"/>
      <c r="AA208" s="62"/>
      <c r="AB208" s="63"/>
    </row>
    <row r="209">
      <c r="E209" s="63"/>
      <c r="F209" s="62"/>
      <c r="G209" s="64"/>
      <c r="J209" s="62"/>
      <c r="K209" s="65"/>
      <c r="L209" s="62"/>
      <c r="O209" s="62"/>
      <c r="P209" s="62"/>
      <c r="Q209" s="62"/>
      <c r="R209" s="62"/>
      <c r="S209" s="62"/>
      <c r="T209" s="62"/>
      <c r="U209" s="62"/>
      <c r="V209" s="62"/>
      <c r="X209" s="62"/>
      <c r="Y209" s="62"/>
      <c r="Z209" s="62"/>
      <c r="AA209" s="62"/>
      <c r="AB209" s="63"/>
    </row>
    <row r="210">
      <c r="E210" s="63"/>
      <c r="F210" s="62"/>
      <c r="G210" s="64"/>
      <c r="J210" s="62"/>
      <c r="K210" s="65"/>
      <c r="L210" s="62"/>
      <c r="O210" s="62"/>
      <c r="P210" s="62"/>
      <c r="Q210" s="62"/>
      <c r="R210" s="62"/>
      <c r="S210" s="62"/>
      <c r="T210" s="62"/>
      <c r="U210" s="62"/>
      <c r="V210" s="62"/>
      <c r="X210" s="62"/>
      <c r="Y210" s="62"/>
      <c r="Z210" s="62"/>
      <c r="AA210" s="62"/>
      <c r="AB210" s="63"/>
    </row>
    <row r="211">
      <c r="E211" s="63"/>
      <c r="F211" s="62"/>
      <c r="G211" s="64"/>
      <c r="J211" s="62"/>
      <c r="K211" s="65"/>
      <c r="L211" s="62"/>
      <c r="O211" s="62"/>
      <c r="P211" s="62"/>
      <c r="Q211" s="62"/>
      <c r="R211" s="62"/>
      <c r="S211" s="62"/>
      <c r="T211" s="62"/>
      <c r="U211" s="62"/>
      <c r="V211" s="62"/>
      <c r="X211" s="62"/>
      <c r="Y211" s="62"/>
      <c r="Z211" s="62"/>
      <c r="AA211" s="62"/>
      <c r="AB211" s="63"/>
    </row>
    <row r="212">
      <c r="E212" s="63"/>
      <c r="F212" s="62"/>
      <c r="G212" s="64"/>
      <c r="J212" s="62"/>
      <c r="K212" s="65"/>
      <c r="L212" s="62"/>
      <c r="O212" s="62"/>
      <c r="P212" s="62"/>
      <c r="Q212" s="62"/>
      <c r="R212" s="62"/>
      <c r="S212" s="62"/>
      <c r="T212" s="62"/>
      <c r="U212" s="62"/>
      <c r="V212" s="62"/>
      <c r="X212" s="62"/>
      <c r="Y212" s="62"/>
      <c r="Z212" s="62"/>
      <c r="AA212" s="62"/>
      <c r="AB212" s="63"/>
    </row>
    <row r="213">
      <c r="E213" s="63"/>
      <c r="F213" s="62"/>
      <c r="G213" s="64"/>
      <c r="J213" s="62"/>
      <c r="K213" s="65"/>
      <c r="L213" s="62"/>
      <c r="O213" s="62"/>
      <c r="P213" s="62"/>
      <c r="Q213" s="62"/>
      <c r="R213" s="62"/>
      <c r="S213" s="62"/>
      <c r="T213" s="62"/>
      <c r="U213" s="62"/>
      <c r="V213" s="62"/>
      <c r="X213" s="62"/>
      <c r="Y213" s="62"/>
      <c r="Z213" s="62"/>
      <c r="AA213" s="62"/>
      <c r="AB213" s="63"/>
    </row>
    <row r="214">
      <c r="E214" s="63"/>
      <c r="F214" s="62"/>
      <c r="G214" s="64"/>
      <c r="J214" s="62"/>
      <c r="K214" s="65"/>
      <c r="L214" s="62"/>
      <c r="O214" s="62"/>
      <c r="P214" s="62"/>
      <c r="Q214" s="62"/>
      <c r="R214" s="62"/>
      <c r="S214" s="62"/>
      <c r="T214" s="62"/>
      <c r="U214" s="62"/>
      <c r="V214" s="62"/>
      <c r="X214" s="62"/>
      <c r="Y214" s="62"/>
      <c r="Z214" s="62"/>
      <c r="AA214" s="62"/>
      <c r="AB214" s="63"/>
    </row>
    <row r="215">
      <c r="E215" s="63"/>
      <c r="F215" s="62"/>
      <c r="G215" s="64"/>
      <c r="J215" s="62"/>
      <c r="K215" s="65"/>
      <c r="L215" s="62"/>
      <c r="O215" s="62"/>
      <c r="P215" s="62"/>
      <c r="Q215" s="62"/>
      <c r="R215" s="62"/>
      <c r="S215" s="62"/>
      <c r="T215" s="62"/>
      <c r="U215" s="62"/>
      <c r="V215" s="62"/>
      <c r="X215" s="62"/>
      <c r="Y215" s="62"/>
      <c r="Z215" s="62"/>
      <c r="AA215" s="62"/>
      <c r="AB215" s="63"/>
    </row>
    <row r="216">
      <c r="E216" s="63"/>
      <c r="F216" s="62"/>
      <c r="G216" s="64"/>
      <c r="J216" s="62"/>
      <c r="K216" s="65"/>
      <c r="L216" s="62"/>
      <c r="O216" s="62"/>
      <c r="P216" s="62"/>
      <c r="Q216" s="62"/>
      <c r="R216" s="62"/>
      <c r="S216" s="62"/>
      <c r="T216" s="62"/>
      <c r="U216" s="62"/>
      <c r="V216" s="62"/>
      <c r="X216" s="62"/>
      <c r="Y216" s="62"/>
      <c r="Z216" s="62"/>
      <c r="AA216" s="62"/>
      <c r="AB216" s="63"/>
    </row>
    <row r="217">
      <c r="E217" s="63"/>
      <c r="F217" s="62"/>
      <c r="G217" s="64"/>
      <c r="J217" s="62"/>
      <c r="K217" s="65"/>
      <c r="L217" s="62"/>
      <c r="O217" s="62"/>
      <c r="P217" s="62"/>
      <c r="Q217" s="62"/>
      <c r="R217" s="62"/>
      <c r="S217" s="62"/>
      <c r="T217" s="62"/>
      <c r="U217" s="62"/>
      <c r="V217" s="62"/>
      <c r="X217" s="62"/>
      <c r="Y217" s="62"/>
      <c r="Z217" s="62"/>
      <c r="AA217" s="62"/>
      <c r="AB217" s="63"/>
    </row>
    <row r="218">
      <c r="E218" s="63"/>
      <c r="F218" s="62"/>
      <c r="G218" s="64"/>
      <c r="J218" s="62"/>
      <c r="K218" s="65"/>
      <c r="L218" s="62"/>
      <c r="O218" s="62"/>
      <c r="P218" s="62"/>
      <c r="Q218" s="62"/>
      <c r="R218" s="62"/>
      <c r="S218" s="62"/>
      <c r="T218" s="62"/>
      <c r="U218" s="62"/>
      <c r="V218" s="62"/>
      <c r="X218" s="62"/>
      <c r="Y218" s="62"/>
      <c r="Z218" s="62"/>
      <c r="AA218" s="62"/>
      <c r="AB218" s="63"/>
    </row>
    <row r="219">
      <c r="E219" s="63"/>
      <c r="F219" s="62"/>
      <c r="G219" s="64"/>
      <c r="J219" s="62"/>
      <c r="K219" s="65"/>
      <c r="L219" s="62"/>
      <c r="O219" s="62"/>
      <c r="P219" s="62"/>
      <c r="Q219" s="62"/>
      <c r="R219" s="62"/>
      <c r="S219" s="62"/>
      <c r="T219" s="62"/>
      <c r="U219" s="62"/>
      <c r="V219" s="62"/>
      <c r="X219" s="62"/>
      <c r="Y219" s="62"/>
      <c r="Z219" s="62"/>
      <c r="AA219" s="62"/>
      <c r="AB219" s="63"/>
    </row>
    <row r="220">
      <c r="E220" s="63"/>
      <c r="F220" s="62"/>
      <c r="G220" s="64"/>
      <c r="J220" s="62"/>
      <c r="K220" s="65"/>
      <c r="L220" s="62"/>
      <c r="O220" s="62"/>
      <c r="P220" s="62"/>
      <c r="Q220" s="62"/>
      <c r="R220" s="62"/>
      <c r="S220" s="62"/>
      <c r="T220" s="62"/>
      <c r="U220" s="62"/>
      <c r="V220" s="62"/>
      <c r="X220" s="62"/>
      <c r="Y220" s="62"/>
      <c r="Z220" s="62"/>
      <c r="AA220" s="62"/>
      <c r="AB220" s="63"/>
    </row>
    <row r="221">
      <c r="E221" s="63"/>
      <c r="F221" s="62"/>
      <c r="G221" s="64"/>
      <c r="J221" s="62"/>
      <c r="K221" s="65"/>
      <c r="L221" s="62"/>
      <c r="O221" s="62"/>
      <c r="P221" s="62"/>
      <c r="Q221" s="62"/>
      <c r="R221" s="62"/>
      <c r="S221" s="62"/>
      <c r="T221" s="62"/>
      <c r="U221" s="62"/>
      <c r="V221" s="62"/>
      <c r="X221" s="62"/>
      <c r="Y221" s="62"/>
      <c r="Z221" s="62"/>
      <c r="AA221" s="62"/>
      <c r="AB221" s="63"/>
    </row>
    <row r="222">
      <c r="E222" s="63"/>
      <c r="F222" s="62"/>
      <c r="G222" s="64"/>
      <c r="J222" s="62"/>
      <c r="K222" s="65"/>
      <c r="L222" s="62"/>
      <c r="O222" s="62"/>
      <c r="P222" s="62"/>
      <c r="Q222" s="62"/>
      <c r="R222" s="62"/>
      <c r="S222" s="62"/>
      <c r="T222" s="62"/>
      <c r="U222" s="62"/>
      <c r="V222" s="62"/>
      <c r="X222" s="62"/>
      <c r="Y222" s="62"/>
      <c r="Z222" s="62"/>
      <c r="AA222" s="62"/>
      <c r="AB222" s="63"/>
    </row>
    <row r="223">
      <c r="E223" s="63"/>
      <c r="F223" s="62"/>
      <c r="G223" s="64"/>
      <c r="J223" s="62"/>
      <c r="K223" s="65"/>
      <c r="L223" s="62"/>
      <c r="O223" s="62"/>
      <c r="P223" s="62"/>
      <c r="Q223" s="62"/>
      <c r="R223" s="62"/>
      <c r="S223" s="62"/>
      <c r="T223" s="62"/>
      <c r="U223" s="62"/>
      <c r="V223" s="62"/>
      <c r="X223" s="62"/>
      <c r="Y223" s="62"/>
      <c r="Z223" s="62"/>
      <c r="AA223" s="62"/>
      <c r="AB223" s="63"/>
    </row>
    <row r="224">
      <c r="E224" s="63"/>
      <c r="F224" s="62"/>
      <c r="G224" s="64"/>
      <c r="J224" s="62"/>
      <c r="K224" s="65"/>
      <c r="L224" s="62"/>
      <c r="O224" s="62"/>
      <c r="P224" s="62"/>
      <c r="Q224" s="62"/>
      <c r="R224" s="62"/>
      <c r="S224" s="62"/>
      <c r="T224" s="62"/>
      <c r="U224" s="62"/>
      <c r="V224" s="62"/>
      <c r="X224" s="62"/>
      <c r="Y224" s="62"/>
      <c r="Z224" s="62"/>
      <c r="AA224" s="62"/>
      <c r="AB224" s="63"/>
    </row>
    <row r="225">
      <c r="E225" s="63"/>
      <c r="F225" s="62"/>
      <c r="G225" s="64"/>
      <c r="J225" s="62"/>
      <c r="K225" s="65"/>
      <c r="L225" s="62"/>
      <c r="O225" s="62"/>
      <c r="P225" s="62"/>
      <c r="Q225" s="62"/>
      <c r="R225" s="62"/>
      <c r="S225" s="62"/>
      <c r="T225" s="62"/>
      <c r="U225" s="62"/>
      <c r="V225" s="62"/>
      <c r="X225" s="62"/>
      <c r="Y225" s="62"/>
      <c r="Z225" s="62"/>
      <c r="AA225" s="62"/>
      <c r="AB225" s="63"/>
    </row>
    <row r="226">
      <c r="E226" s="63"/>
      <c r="F226" s="62"/>
      <c r="G226" s="64"/>
      <c r="J226" s="62"/>
      <c r="K226" s="65"/>
      <c r="L226" s="62"/>
      <c r="O226" s="62"/>
      <c r="P226" s="62"/>
      <c r="Q226" s="62"/>
      <c r="R226" s="62"/>
      <c r="S226" s="62"/>
      <c r="T226" s="62"/>
      <c r="U226" s="62"/>
      <c r="V226" s="62"/>
      <c r="X226" s="62"/>
      <c r="Y226" s="62"/>
      <c r="Z226" s="62"/>
      <c r="AA226" s="62"/>
      <c r="AB226" s="63"/>
    </row>
    <row r="227">
      <c r="E227" s="63"/>
      <c r="F227" s="62"/>
      <c r="G227" s="64"/>
      <c r="J227" s="62"/>
      <c r="K227" s="65"/>
      <c r="L227" s="62"/>
      <c r="O227" s="62"/>
      <c r="P227" s="62"/>
      <c r="Q227" s="62"/>
      <c r="R227" s="62"/>
      <c r="S227" s="62"/>
      <c r="T227" s="62"/>
      <c r="U227" s="62"/>
      <c r="V227" s="62"/>
      <c r="X227" s="62"/>
      <c r="Y227" s="62"/>
      <c r="Z227" s="62"/>
      <c r="AA227" s="62"/>
      <c r="AB227" s="63"/>
    </row>
    <row r="228">
      <c r="E228" s="63"/>
      <c r="F228" s="62"/>
      <c r="G228" s="64"/>
      <c r="J228" s="62"/>
      <c r="K228" s="65"/>
      <c r="L228" s="62"/>
      <c r="O228" s="62"/>
      <c r="P228" s="62"/>
      <c r="Q228" s="62"/>
      <c r="R228" s="62"/>
      <c r="S228" s="62"/>
      <c r="T228" s="62"/>
      <c r="U228" s="62"/>
      <c r="V228" s="62"/>
      <c r="X228" s="62"/>
      <c r="Y228" s="62"/>
      <c r="Z228" s="62"/>
      <c r="AA228" s="62"/>
      <c r="AB228" s="63"/>
    </row>
    <row r="229">
      <c r="E229" s="63"/>
      <c r="F229" s="62"/>
      <c r="G229" s="64"/>
      <c r="J229" s="62"/>
      <c r="K229" s="65"/>
      <c r="L229" s="62"/>
      <c r="O229" s="62"/>
      <c r="P229" s="62"/>
      <c r="Q229" s="62"/>
      <c r="R229" s="62"/>
      <c r="S229" s="62"/>
      <c r="T229" s="62"/>
      <c r="U229" s="62"/>
      <c r="V229" s="62"/>
      <c r="X229" s="62"/>
      <c r="Y229" s="62"/>
      <c r="Z229" s="62"/>
      <c r="AA229" s="62"/>
      <c r="AB229" s="63"/>
    </row>
    <row r="230">
      <c r="E230" s="63"/>
      <c r="F230" s="62"/>
      <c r="G230" s="64"/>
      <c r="J230" s="62"/>
      <c r="K230" s="65"/>
      <c r="L230" s="62"/>
      <c r="O230" s="62"/>
      <c r="P230" s="62"/>
      <c r="Q230" s="62"/>
      <c r="R230" s="62"/>
      <c r="S230" s="62"/>
      <c r="T230" s="62"/>
      <c r="U230" s="62"/>
      <c r="V230" s="62"/>
      <c r="X230" s="62"/>
      <c r="Y230" s="62"/>
      <c r="Z230" s="62"/>
      <c r="AA230" s="62"/>
      <c r="AB230" s="63"/>
    </row>
    <row r="231">
      <c r="E231" s="63"/>
      <c r="F231" s="62"/>
      <c r="G231" s="64"/>
      <c r="J231" s="62"/>
      <c r="K231" s="65"/>
      <c r="L231" s="62"/>
      <c r="O231" s="62"/>
      <c r="P231" s="62"/>
      <c r="Q231" s="62"/>
      <c r="R231" s="62"/>
      <c r="S231" s="62"/>
      <c r="T231" s="62"/>
      <c r="U231" s="62"/>
      <c r="V231" s="62"/>
      <c r="X231" s="62"/>
      <c r="Y231" s="62"/>
      <c r="Z231" s="62"/>
      <c r="AA231" s="62"/>
      <c r="AB231" s="63"/>
    </row>
    <row r="232">
      <c r="E232" s="63"/>
      <c r="F232" s="62"/>
      <c r="G232" s="64"/>
      <c r="J232" s="62"/>
      <c r="K232" s="65"/>
      <c r="L232" s="62"/>
      <c r="O232" s="62"/>
      <c r="P232" s="62"/>
      <c r="Q232" s="62"/>
      <c r="R232" s="62"/>
      <c r="S232" s="62"/>
      <c r="T232" s="62"/>
      <c r="U232" s="62"/>
      <c r="V232" s="62"/>
      <c r="X232" s="62"/>
      <c r="Y232" s="62"/>
      <c r="Z232" s="62"/>
      <c r="AA232" s="62"/>
      <c r="AB232" s="63"/>
    </row>
    <row r="233">
      <c r="E233" s="63"/>
      <c r="F233" s="62"/>
      <c r="G233" s="64"/>
      <c r="J233" s="62"/>
      <c r="K233" s="65"/>
      <c r="L233" s="62"/>
      <c r="O233" s="62"/>
      <c r="P233" s="62"/>
      <c r="Q233" s="62"/>
      <c r="R233" s="62"/>
      <c r="S233" s="62"/>
      <c r="T233" s="62"/>
      <c r="U233" s="62"/>
      <c r="V233" s="62"/>
      <c r="X233" s="62"/>
      <c r="Y233" s="62"/>
      <c r="Z233" s="62"/>
      <c r="AA233" s="62"/>
      <c r="AB233" s="63"/>
    </row>
    <row r="234">
      <c r="E234" s="63"/>
      <c r="F234" s="62"/>
      <c r="G234" s="64"/>
      <c r="J234" s="62"/>
      <c r="K234" s="65"/>
      <c r="L234" s="62"/>
      <c r="O234" s="62"/>
      <c r="P234" s="62"/>
      <c r="Q234" s="62"/>
      <c r="R234" s="62"/>
      <c r="S234" s="62"/>
      <c r="T234" s="62"/>
      <c r="U234" s="62"/>
      <c r="V234" s="62"/>
      <c r="X234" s="62"/>
      <c r="Y234" s="62"/>
      <c r="Z234" s="62"/>
      <c r="AA234" s="62"/>
      <c r="AB234" s="63"/>
    </row>
    <row r="235">
      <c r="E235" s="63"/>
      <c r="F235" s="62"/>
      <c r="G235" s="64"/>
      <c r="J235" s="62"/>
      <c r="K235" s="65"/>
      <c r="L235" s="62"/>
      <c r="O235" s="62"/>
      <c r="P235" s="62"/>
      <c r="Q235" s="62"/>
      <c r="R235" s="62"/>
      <c r="S235" s="62"/>
      <c r="T235" s="62"/>
      <c r="U235" s="62"/>
      <c r="V235" s="62"/>
      <c r="X235" s="62"/>
      <c r="Y235" s="62"/>
      <c r="Z235" s="62"/>
      <c r="AA235" s="62"/>
      <c r="AB235" s="63"/>
    </row>
    <row r="236">
      <c r="E236" s="63"/>
      <c r="F236" s="62"/>
      <c r="G236" s="64"/>
      <c r="J236" s="62"/>
      <c r="K236" s="65"/>
      <c r="L236" s="62"/>
      <c r="O236" s="62"/>
      <c r="P236" s="62"/>
      <c r="Q236" s="62"/>
      <c r="R236" s="62"/>
      <c r="S236" s="62"/>
      <c r="T236" s="62"/>
      <c r="U236" s="62"/>
      <c r="V236" s="62"/>
      <c r="X236" s="62"/>
      <c r="Y236" s="62"/>
      <c r="Z236" s="62"/>
      <c r="AA236" s="62"/>
      <c r="AB236" s="63"/>
    </row>
    <row r="237">
      <c r="E237" s="63"/>
      <c r="F237" s="62"/>
      <c r="G237" s="64"/>
      <c r="J237" s="62"/>
      <c r="K237" s="65"/>
      <c r="L237" s="62"/>
      <c r="O237" s="62"/>
      <c r="P237" s="62"/>
      <c r="Q237" s="62"/>
      <c r="R237" s="62"/>
      <c r="S237" s="62"/>
      <c r="T237" s="62"/>
      <c r="U237" s="62"/>
      <c r="V237" s="62"/>
      <c r="X237" s="62"/>
      <c r="Y237" s="62"/>
      <c r="Z237" s="62"/>
      <c r="AA237" s="62"/>
      <c r="AB237" s="63"/>
    </row>
    <row r="238">
      <c r="E238" s="63"/>
      <c r="F238" s="62"/>
      <c r="G238" s="64"/>
      <c r="J238" s="62"/>
      <c r="K238" s="65"/>
      <c r="L238" s="62"/>
      <c r="O238" s="62"/>
      <c r="P238" s="62"/>
      <c r="Q238" s="62"/>
      <c r="R238" s="62"/>
      <c r="S238" s="62"/>
      <c r="T238" s="62"/>
      <c r="U238" s="62"/>
      <c r="V238" s="62"/>
      <c r="X238" s="62"/>
      <c r="Y238" s="62"/>
      <c r="Z238" s="62"/>
      <c r="AA238" s="62"/>
      <c r="AB238" s="63"/>
    </row>
    <row r="239">
      <c r="E239" s="63"/>
      <c r="F239" s="62"/>
      <c r="G239" s="64"/>
      <c r="J239" s="62"/>
      <c r="K239" s="65"/>
      <c r="L239" s="62"/>
      <c r="O239" s="62"/>
      <c r="P239" s="62"/>
      <c r="Q239" s="62"/>
      <c r="R239" s="62"/>
      <c r="S239" s="62"/>
      <c r="T239" s="62"/>
      <c r="U239" s="62"/>
      <c r="V239" s="62"/>
      <c r="X239" s="62"/>
      <c r="Y239" s="62"/>
      <c r="Z239" s="62"/>
      <c r="AA239" s="62"/>
      <c r="AB239" s="63"/>
    </row>
    <row r="240">
      <c r="E240" s="63"/>
      <c r="F240" s="62"/>
      <c r="G240" s="64"/>
      <c r="J240" s="62"/>
      <c r="K240" s="65"/>
      <c r="L240" s="62"/>
      <c r="O240" s="62"/>
      <c r="P240" s="62"/>
      <c r="Q240" s="62"/>
      <c r="R240" s="62"/>
      <c r="S240" s="62"/>
      <c r="T240" s="62"/>
      <c r="U240" s="62"/>
      <c r="V240" s="62"/>
      <c r="X240" s="62"/>
      <c r="Y240" s="62"/>
      <c r="Z240" s="62"/>
      <c r="AA240" s="62"/>
      <c r="AB240" s="63"/>
    </row>
    <row r="241">
      <c r="E241" s="63"/>
      <c r="F241" s="62"/>
      <c r="G241" s="64"/>
      <c r="J241" s="62"/>
      <c r="K241" s="65"/>
      <c r="L241" s="62"/>
      <c r="O241" s="62"/>
      <c r="P241" s="62"/>
      <c r="Q241" s="62"/>
      <c r="R241" s="62"/>
      <c r="S241" s="62"/>
      <c r="T241" s="62"/>
      <c r="U241" s="62"/>
      <c r="V241" s="62"/>
      <c r="X241" s="62"/>
      <c r="Y241" s="62"/>
      <c r="Z241" s="62"/>
      <c r="AA241" s="62"/>
      <c r="AB241" s="63"/>
    </row>
    <row r="242">
      <c r="E242" s="63"/>
      <c r="F242" s="62"/>
      <c r="G242" s="64"/>
      <c r="J242" s="62"/>
      <c r="K242" s="65"/>
      <c r="L242" s="62"/>
      <c r="O242" s="62"/>
      <c r="P242" s="62"/>
      <c r="Q242" s="62"/>
      <c r="R242" s="62"/>
      <c r="S242" s="62"/>
      <c r="T242" s="62"/>
      <c r="U242" s="62"/>
      <c r="V242" s="62"/>
      <c r="X242" s="62"/>
      <c r="Y242" s="62"/>
      <c r="Z242" s="62"/>
      <c r="AA242" s="62"/>
      <c r="AB242" s="63"/>
    </row>
    <row r="243">
      <c r="E243" s="63"/>
      <c r="F243" s="62"/>
      <c r="G243" s="64"/>
      <c r="J243" s="62"/>
      <c r="K243" s="65"/>
      <c r="L243" s="62"/>
      <c r="O243" s="62"/>
      <c r="P243" s="62"/>
      <c r="Q243" s="62"/>
      <c r="R243" s="62"/>
      <c r="S243" s="62"/>
      <c r="T243" s="62"/>
      <c r="U243" s="62"/>
      <c r="V243" s="62"/>
      <c r="X243" s="62"/>
      <c r="Y243" s="62"/>
      <c r="Z243" s="62"/>
      <c r="AA243" s="62"/>
      <c r="AB243" s="63"/>
    </row>
    <row r="244">
      <c r="E244" s="63"/>
      <c r="F244" s="62"/>
      <c r="G244" s="64"/>
      <c r="J244" s="62"/>
      <c r="K244" s="65"/>
      <c r="L244" s="62"/>
      <c r="O244" s="62"/>
      <c r="P244" s="62"/>
      <c r="Q244" s="62"/>
      <c r="R244" s="62"/>
      <c r="S244" s="62"/>
      <c r="T244" s="62"/>
      <c r="U244" s="62"/>
      <c r="V244" s="62"/>
      <c r="X244" s="62"/>
      <c r="Y244" s="62"/>
      <c r="Z244" s="62"/>
      <c r="AA244" s="62"/>
      <c r="AB244" s="63"/>
    </row>
    <row r="245">
      <c r="E245" s="63"/>
      <c r="F245" s="62"/>
      <c r="G245" s="64"/>
      <c r="J245" s="62"/>
      <c r="K245" s="65"/>
      <c r="L245" s="62"/>
      <c r="O245" s="62"/>
      <c r="P245" s="62"/>
      <c r="Q245" s="62"/>
      <c r="R245" s="62"/>
      <c r="S245" s="62"/>
      <c r="T245" s="62"/>
      <c r="U245" s="62"/>
      <c r="V245" s="62"/>
      <c r="X245" s="62"/>
      <c r="Y245" s="62"/>
      <c r="Z245" s="62"/>
      <c r="AA245" s="62"/>
      <c r="AB245" s="63"/>
    </row>
    <row r="246">
      <c r="E246" s="63"/>
      <c r="F246" s="62"/>
      <c r="G246" s="64"/>
      <c r="J246" s="62"/>
      <c r="K246" s="65"/>
      <c r="L246" s="62"/>
      <c r="O246" s="62"/>
      <c r="P246" s="62"/>
      <c r="Q246" s="62"/>
      <c r="R246" s="62"/>
      <c r="S246" s="62"/>
      <c r="T246" s="62"/>
      <c r="U246" s="62"/>
      <c r="V246" s="62"/>
      <c r="X246" s="62"/>
      <c r="Y246" s="62"/>
      <c r="Z246" s="62"/>
      <c r="AA246" s="62"/>
      <c r="AB246" s="63"/>
    </row>
    <row r="247">
      <c r="E247" s="63"/>
      <c r="F247" s="62"/>
      <c r="G247" s="64"/>
      <c r="J247" s="62"/>
      <c r="K247" s="65"/>
      <c r="L247" s="62"/>
      <c r="O247" s="62"/>
      <c r="P247" s="62"/>
      <c r="Q247" s="62"/>
      <c r="R247" s="62"/>
      <c r="S247" s="62"/>
      <c r="T247" s="62"/>
      <c r="U247" s="62"/>
      <c r="V247" s="62"/>
      <c r="X247" s="62"/>
      <c r="Y247" s="62"/>
      <c r="Z247" s="62"/>
      <c r="AA247" s="62"/>
      <c r="AB247" s="63"/>
    </row>
    <row r="248">
      <c r="E248" s="63"/>
      <c r="F248" s="62"/>
      <c r="G248" s="64"/>
      <c r="J248" s="62"/>
      <c r="K248" s="65"/>
      <c r="L248" s="62"/>
      <c r="O248" s="62"/>
      <c r="P248" s="62"/>
      <c r="Q248" s="62"/>
      <c r="R248" s="62"/>
      <c r="S248" s="62"/>
      <c r="T248" s="62"/>
      <c r="U248" s="62"/>
      <c r="V248" s="62"/>
      <c r="X248" s="62"/>
      <c r="Y248" s="62"/>
      <c r="Z248" s="62"/>
      <c r="AA248" s="62"/>
      <c r="AB248" s="63"/>
    </row>
    <row r="249">
      <c r="E249" s="63"/>
      <c r="F249" s="62"/>
      <c r="G249" s="64"/>
      <c r="J249" s="62"/>
      <c r="K249" s="65"/>
      <c r="L249" s="62"/>
      <c r="O249" s="62"/>
      <c r="P249" s="62"/>
      <c r="Q249" s="62"/>
      <c r="R249" s="62"/>
      <c r="S249" s="62"/>
      <c r="T249" s="62"/>
      <c r="U249" s="62"/>
      <c r="V249" s="62"/>
      <c r="X249" s="62"/>
      <c r="Y249" s="62"/>
      <c r="Z249" s="62"/>
      <c r="AA249" s="62"/>
      <c r="AB249" s="63"/>
    </row>
    <row r="250">
      <c r="E250" s="63"/>
      <c r="F250" s="62"/>
      <c r="G250" s="64"/>
      <c r="J250" s="62"/>
      <c r="K250" s="65"/>
      <c r="L250" s="62"/>
      <c r="O250" s="62"/>
      <c r="P250" s="62"/>
      <c r="Q250" s="62"/>
      <c r="R250" s="62"/>
      <c r="S250" s="62"/>
      <c r="T250" s="62"/>
      <c r="U250" s="62"/>
      <c r="V250" s="62"/>
      <c r="X250" s="62"/>
      <c r="Y250" s="62"/>
      <c r="Z250" s="62"/>
      <c r="AA250" s="62"/>
      <c r="AB250" s="63"/>
    </row>
    <row r="251">
      <c r="E251" s="63"/>
      <c r="F251" s="62"/>
      <c r="G251" s="64"/>
      <c r="J251" s="62"/>
      <c r="K251" s="65"/>
      <c r="L251" s="62"/>
      <c r="O251" s="62"/>
      <c r="P251" s="62"/>
      <c r="Q251" s="62"/>
      <c r="R251" s="62"/>
      <c r="S251" s="62"/>
      <c r="T251" s="62"/>
      <c r="U251" s="62"/>
      <c r="V251" s="62"/>
      <c r="X251" s="62"/>
      <c r="Y251" s="62"/>
      <c r="Z251" s="62"/>
      <c r="AA251" s="62"/>
      <c r="AB251" s="63"/>
    </row>
    <row r="252">
      <c r="E252" s="63"/>
      <c r="F252" s="62"/>
      <c r="G252" s="64"/>
      <c r="J252" s="62"/>
      <c r="K252" s="65"/>
      <c r="L252" s="62"/>
      <c r="O252" s="62"/>
      <c r="P252" s="62"/>
      <c r="Q252" s="62"/>
      <c r="R252" s="62"/>
      <c r="S252" s="62"/>
      <c r="T252" s="62"/>
      <c r="U252" s="62"/>
      <c r="V252" s="62"/>
      <c r="X252" s="62"/>
      <c r="Y252" s="62"/>
      <c r="Z252" s="62"/>
      <c r="AA252" s="62"/>
      <c r="AB252" s="63"/>
    </row>
    <row r="253">
      <c r="E253" s="63"/>
      <c r="F253" s="62"/>
      <c r="G253" s="64"/>
      <c r="J253" s="62"/>
      <c r="K253" s="65"/>
      <c r="L253" s="62"/>
      <c r="O253" s="62"/>
      <c r="P253" s="62"/>
      <c r="Q253" s="62"/>
      <c r="R253" s="62"/>
      <c r="S253" s="62"/>
      <c r="T253" s="62"/>
      <c r="U253" s="62"/>
      <c r="V253" s="62"/>
      <c r="X253" s="62"/>
      <c r="Y253" s="62"/>
      <c r="Z253" s="62"/>
      <c r="AA253" s="62"/>
      <c r="AB253" s="63"/>
    </row>
    <row r="254">
      <c r="E254" s="63"/>
      <c r="F254" s="62"/>
      <c r="G254" s="64"/>
      <c r="J254" s="62"/>
      <c r="K254" s="65"/>
      <c r="L254" s="62"/>
      <c r="O254" s="62"/>
      <c r="P254" s="62"/>
      <c r="Q254" s="62"/>
      <c r="R254" s="62"/>
      <c r="S254" s="62"/>
      <c r="T254" s="62"/>
      <c r="U254" s="62"/>
      <c r="V254" s="62"/>
      <c r="X254" s="62"/>
      <c r="Y254" s="62"/>
      <c r="Z254" s="62"/>
      <c r="AA254" s="62"/>
      <c r="AB254" s="63"/>
    </row>
    <row r="255">
      <c r="E255" s="63"/>
      <c r="F255" s="62"/>
      <c r="G255" s="64"/>
      <c r="J255" s="62"/>
      <c r="K255" s="65"/>
      <c r="L255" s="62"/>
      <c r="O255" s="62"/>
      <c r="P255" s="62"/>
      <c r="Q255" s="62"/>
      <c r="R255" s="62"/>
      <c r="S255" s="62"/>
      <c r="T255" s="62"/>
      <c r="U255" s="62"/>
      <c r="V255" s="62"/>
      <c r="X255" s="62"/>
      <c r="Y255" s="62"/>
      <c r="Z255" s="62"/>
      <c r="AA255" s="62"/>
      <c r="AB255" s="63"/>
    </row>
    <row r="256">
      <c r="E256" s="63"/>
      <c r="F256" s="62"/>
      <c r="G256" s="64"/>
      <c r="J256" s="62"/>
      <c r="K256" s="65"/>
      <c r="L256" s="62"/>
      <c r="O256" s="62"/>
      <c r="P256" s="62"/>
      <c r="Q256" s="62"/>
      <c r="R256" s="62"/>
      <c r="S256" s="62"/>
      <c r="T256" s="62"/>
      <c r="U256" s="62"/>
      <c r="V256" s="62"/>
      <c r="X256" s="62"/>
      <c r="Y256" s="62"/>
      <c r="Z256" s="62"/>
      <c r="AA256" s="62"/>
      <c r="AB256" s="63"/>
    </row>
    <row r="257">
      <c r="E257" s="63"/>
      <c r="F257" s="62"/>
      <c r="G257" s="64"/>
      <c r="J257" s="62"/>
      <c r="K257" s="65"/>
      <c r="L257" s="62"/>
      <c r="O257" s="62"/>
      <c r="P257" s="62"/>
      <c r="Q257" s="62"/>
      <c r="R257" s="62"/>
      <c r="S257" s="62"/>
      <c r="T257" s="62"/>
      <c r="U257" s="62"/>
      <c r="V257" s="62"/>
      <c r="X257" s="62"/>
      <c r="Y257" s="62"/>
      <c r="Z257" s="62"/>
      <c r="AA257" s="62"/>
      <c r="AB257" s="63"/>
    </row>
    <row r="258">
      <c r="E258" s="63"/>
      <c r="F258" s="62"/>
      <c r="G258" s="64"/>
      <c r="J258" s="62"/>
      <c r="K258" s="65"/>
      <c r="L258" s="62"/>
      <c r="O258" s="62"/>
      <c r="P258" s="62"/>
      <c r="Q258" s="62"/>
      <c r="R258" s="62"/>
      <c r="S258" s="62"/>
      <c r="T258" s="62"/>
      <c r="U258" s="62"/>
      <c r="V258" s="62"/>
      <c r="X258" s="62"/>
      <c r="Y258" s="62"/>
      <c r="Z258" s="62"/>
      <c r="AA258" s="62"/>
      <c r="AB258" s="63"/>
    </row>
    <row r="259">
      <c r="E259" s="63"/>
      <c r="F259" s="62"/>
      <c r="G259" s="64"/>
      <c r="J259" s="62"/>
      <c r="K259" s="65"/>
      <c r="L259" s="62"/>
      <c r="O259" s="62"/>
      <c r="P259" s="62"/>
      <c r="Q259" s="62"/>
      <c r="R259" s="62"/>
      <c r="S259" s="62"/>
      <c r="T259" s="62"/>
      <c r="U259" s="62"/>
      <c r="V259" s="62"/>
      <c r="X259" s="62"/>
      <c r="Y259" s="62"/>
      <c r="Z259" s="62"/>
      <c r="AA259" s="62"/>
      <c r="AB259" s="63"/>
    </row>
    <row r="260">
      <c r="E260" s="63"/>
      <c r="F260" s="62"/>
      <c r="G260" s="64"/>
      <c r="J260" s="62"/>
      <c r="K260" s="65"/>
      <c r="L260" s="62"/>
      <c r="O260" s="62"/>
      <c r="P260" s="62"/>
      <c r="Q260" s="62"/>
      <c r="R260" s="62"/>
      <c r="S260" s="62"/>
      <c r="T260" s="62"/>
      <c r="U260" s="62"/>
      <c r="V260" s="62"/>
      <c r="X260" s="62"/>
      <c r="Y260" s="62"/>
      <c r="Z260" s="62"/>
      <c r="AA260" s="62"/>
      <c r="AB260" s="63"/>
    </row>
    <row r="261">
      <c r="E261" s="63"/>
      <c r="F261" s="62"/>
      <c r="G261" s="64"/>
      <c r="J261" s="62"/>
      <c r="K261" s="65"/>
      <c r="L261" s="62"/>
      <c r="O261" s="62"/>
      <c r="P261" s="62"/>
      <c r="Q261" s="62"/>
      <c r="R261" s="62"/>
      <c r="S261" s="62"/>
      <c r="T261" s="62"/>
      <c r="U261" s="62"/>
      <c r="V261" s="62"/>
      <c r="X261" s="62"/>
      <c r="Y261" s="62"/>
      <c r="Z261" s="62"/>
      <c r="AA261" s="62"/>
      <c r="AB261" s="63"/>
    </row>
    <row r="262">
      <c r="E262" s="63"/>
      <c r="F262" s="62"/>
      <c r="G262" s="64"/>
      <c r="J262" s="62"/>
      <c r="K262" s="65"/>
      <c r="L262" s="62"/>
      <c r="O262" s="62"/>
      <c r="P262" s="62"/>
      <c r="Q262" s="62"/>
      <c r="R262" s="62"/>
      <c r="S262" s="62"/>
      <c r="T262" s="62"/>
      <c r="U262" s="62"/>
      <c r="V262" s="62"/>
      <c r="X262" s="62"/>
      <c r="Y262" s="62"/>
      <c r="Z262" s="62"/>
      <c r="AA262" s="62"/>
      <c r="AB262" s="63"/>
    </row>
    <row r="263">
      <c r="E263" s="63"/>
      <c r="F263" s="62"/>
      <c r="G263" s="64"/>
      <c r="J263" s="62"/>
      <c r="K263" s="65"/>
      <c r="L263" s="62"/>
      <c r="O263" s="62"/>
      <c r="P263" s="62"/>
      <c r="Q263" s="62"/>
      <c r="R263" s="62"/>
      <c r="S263" s="62"/>
      <c r="T263" s="62"/>
      <c r="U263" s="62"/>
      <c r="V263" s="62"/>
      <c r="X263" s="62"/>
      <c r="Y263" s="62"/>
      <c r="Z263" s="62"/>
      <c r="AA263" s="62"/>
      <c r="AB263" s="63"/>
    </row>
    <row r="264">
      <c r="E264" s="63"/>
      <c r="F264" s="62"/>
      <c r="G264" s="64"/>
      <c r="J264" s="62"/>
      <c r="K264" s="65"/>
      <c r="L264" s="62"/>
      <c r="O264" s="62"/>
      <c r="P264" s="62"/>
      <c r="Q264" s="62"/>
      <c r="R264" s="62"/>
      <c r="S264" s="62"/>
      <c r="T264" s="62"/>
      <c r="U264" s="62"/>
      <c r="V264" s="62"/>
      <c r="X264" s="62"/>
      <c r="Y264" s="62"/>
      <c r="Z264" s="62"/>
      <c r="AA264" s="62"/>
      <c r="AB264" s="63"/>
    </row>
    <row r="265">
      <c r="E265" s="63"/>
      <c r="F265" s="62"/>
      <c r="G265" s="64"/>
      <c r="J265" s="62"/>
      <c r="K265" s="65"/>
      <c r="L265" s="62"/>
      <c r="O265" s="62"/>
      <c r="P265" s="62"/>
      <c r="Q265" s="62"/>
      <c r="R265" s="62"/>
      <c r="S265" s="62"/>
      <c r="T265" s="62"/>
      <c r="U265" s="62"/>
      <c r="V265" s="62"/>
      <c r="X265" s="62"/>
      <c r="Y265" s="62"/>
      <c r="Z265" s="62"/>
      <c r="AA265" s="62"/>
      <c r="AB265" s="63"/>
    </row>
    <row r="266">
      <c r="E266" s="63"/>
      <c r="F266" s="62"/>
      <c r="G266" s="64"/>
      <c r="J266" s="62"/>
      <c r="K266" s="65"/>
      <c r="L266" s="62"/>
      <c r="O266" s="62"/>
      <c r="P266" s="62"/>
      <c r="Q266" s="62"/>
      <c r="R266" s="62"/>
      <c r="S266" s="62"/>
      <c r="T266" s="62"/>
      <c r="U266" s="62"/>
      <c r="V266" s="62"/>
      <c r="X266" s="62"/>
      <c r="Y266" s="62"/>
      <c r="Z266" s="62"/>
      <c r="AA266" s="62"/>
      <c r="AB266" s="63"/>
    </row>
    <row r="267">
      <c r="E267" s="63"/>
      <c r="F267" s="62"/>
      <c r="G267" s="64"/>
      <c r="J267" s="62"/>
      <c r="K267" s="65"/>
      <c r="L267" s="62"/>
      <c r="O267" s="62"/>
      <c r="P267" s="62"/>
      <c r="Q267" s="62"/>
      <c r="R267" s="62"/>
      <c r="S267" s="62"/>
      <c r="T267" s="62"/>
      <c r="U267" s="62"/>
      <c r="V267" s="62"/>
      <c r="X267" s="62"/>
      <c r="Y267" s="62"/>
      <c r="Z267" s="62"/>
      <c r="AA267" s="62"/>
      <c r="AB267" s="63"/>
    </row>
    <row r="268">
      <c r="E268" s="63"/>
      <c r="F268" s="62"/>
      <c r="G268" s="64"/>
      <c r="J268" s="62"/>
      <c r="K268" s="65"/>
      <c r="L268" s="62"/>
      <c r="O268" s="62"/>
      <c r="P268" s="62"/>
      <c r="Q268" s="62"/>
      <c r="R268" s="62"/>
      <c r="S268" s="62"/>
      <c r="T268" s="62"/>
      <c r="U268" s="62"/>
      <c r="V268" s="62"/>
      <c r="X268" s="62"/>
      <c r="Y268" s="62"/>
      <c r="Z268" s="62"/>
      <c r="AA268" s="62"/>
      <c r="AB268" s="63"/>
    </row>
    <row r="269">
      <c r="E269" s="63"/>
      <c r="F269" s="62"/>
      <c r="G269" s="64"/>
      <c r="J269" s="62"/>
      <c r="K269" s="65"/>
      <c r="L269" s="62"/>
      <c r="O269" s="62"/>
      <c r="P269" s="62"/>
      <c r="Q269" s="62"/>
      <c r="R269" s="62"/>
      <c r="S269" s="62"/>
      <c r="T269" s="62"/>
      <c r="U269" s="62"/>
      <c r="V269" s="62"/>
      <c r="X269" s="62"/>
      <c r="Y269" s="62"/>
      <c r="Z269" s="62"/>
      <c r="AA269" s="62"/>
      <c r="AB269" s="63"/>
    </row>
    <row r="270">
      <c r="E270" s="63"/>
      <c r="F270" s="62"/>
      <c r="G270" s="64"/>
      <c r="J270" s="62"/>
      <c r="K270" s="65"/>
      <c r="L270" s="62"/>
      <c r="O270" s="62"/>
      <c r="P270" s="62"/>
      <c r="Q270" s="62"/>
      <c r="R270" s="62"/>
      <c r="S270" s="62"/>
      <c r="T270" s="62"/>
      <c r="U270" s="62"/>
      <c r="V270" s="62"/>
      <c r="X270" s="62"/>
      <c r="Y270" s="62"/>
      <c r="Z270" s="62"/>
      <c r="AA270" s="62"/>
      <c r="AB270" s="63"/>
    </row>
    <row r="271">
      <c r="E271" s="63"/>
      <c r="F271" s="62"/>
      <c r="G271" s="64"/>
      <c r="J271" s="62"/>
      <c r="K271" s="65"/>
      <c r="L271" s="62"/>
      <c r="O271" s="62"/>
      <c r="P271" s="62"/>
      <c r="Q271" s="62"/>
      <c r="R271" s="62"/>
      <c r="S271" s="62"/>
      <c r="T271" s="62"/>
      <c r="U271" s="62"/>
      <c r="V271" s="62"/>
      <c r="X271" s="62"/>
      <c r="Y271" s="62"/>
      <c r="Z271" s="62"/>
      <c r="AA271" s="62"/>
      <c r="AB271" s="63"/>
    </row>
    <row r="272">
      <c r="E272" s="63"/>
      <c r="F272" s="62"/>
      <c r="G272" s="64"/>
      <c r="J272" s="62"/>
      <c r="K272" s="65"/>
      <c r="L272" s="62"/>
      <c r="O272" s="62"/>
      <c r="P272" s="62"/>
      <c r="Q272" s="62"/>
      <c r="R272" s="62"/>
      <c r="S272" s="62"/>
      <c r="T272" s="62"/>
      <c r="U272" s="62"/>
      <c r="V272" s="62"/>
      <c r="X272" s="62"/>
      <c r="Y272" s="62"/>
      <c r="Z272" s="62"/>
      <c r="AA272" s="62"/>
      <c r="AB272" s="63"/>
    </row>
    <row r="273">
      <c r="E273" s="63"/>
      <c r="F273" s="62"/>
      <c r="G273" s="64"/>
      <c r="J273" s="62"/>
      <c r="K273" s="65"/>
      <c r="L273" s="62"/>
      <c r="O273" s="62"/>
      <c r="P273" s="62"/>
      <c r="Q273" s="62"/>
      <c r="R273" s="62"/>
      <c r="S273" s="62"/>
      <c r="T273" s="62"/>
      <c r="U273" s="62"/>
      <c r="V273" s="62"/>
      <c r="X273" s="62"/>
      <c r="Y273" s="62"/>
      <c r="Z273" s="62"/>
      <c r="AA273" s="62"/>
      <c r="AB273" s="63"/>
    </row>
    <row r="274">
      <c r="E274" s="63"/>
      <c r="F274" s="62"/>
      <c r="G274" s="64"/>
      <c r="J274" s="62"/>
      <c r="K274" s="65"/>
      <c r="L274" s="62"/>
      <c r="O274" s="62"/>
      <c r="P274" s="62"/>
      <c r="Q274" s="62"/>
      <c r="R274" s="62"/>
      <c r="S274" s="62"/>
      <c r="T274" s="62"/>
      <c r="U274" s="62"/>
      <c r="V274" s="62"/>
      <c r="X274" s="62"/>
      <c r="Y274" s="62"/>
      <c r="Z274" s="62"/>
      <c r="AA274" s="62"/>
      <c r="AB274" s="63"/>
    </row>
    <row r="275">
      <c r="E275" s="63"/>
      <c r="F275" s="62"/>
      <c r="G275" s="64"/>
      <c r="J275" s="62"/>
      <c r="K275" s="65"/>
      <c r="L275" s="62"/>
      <c r="O275" s="62"/>
      <c r="P275" s="62"/>
      <c r="Q275" s="62"/>
      <c r="R275" s="62"/>
      <c r="S275" s="62"/>
      <c r="T275" s="62"/>
      <c r="U275" s="62"/>
      <c r="V275" s="62"/>
      <c r="X275" s="62"/>
      <c r="Y275" s="62"/>
      <c r="Z275" s="62"/>
      <c r="AA275" s="62"/>
      <c r="AB275" s="63"/>
    </row>
    <row r="276">
      <c r="E276" s="63"/>
      <c r="F276" s="62"/>
      <c r="G276" s="64"/>
      <c r="J276" s="62"/>
      <c r="K276" s="65"/>
      <c r="L276" s="62"/>
      <c r="O276" s="62"/>
      <c r="P276" s="62"/>
      <c r="Q276" s="62"/>
      <c r="R276" s="62"/>
      <c r="S276" s="62"/>
      <c r="T276" s="62"/>
      <c r="U276" s="62"/>
      <c r="V276" s="62"/>
      <c r="X276" s="62"/>
      <c r="Y276" s="62"/>
      <c r="Z276" s="62"/>
      <c r="AA276" s="62"/>
      <c r="AB276" s="63"/>
    </row>
    <row r="277">
      <c r="E277" s="63"/>
      <c r="F277" s="62"/>
      <c r="G277" s="64"/>
      <c r="J277" s="62"/>
      <c r="K277" s="65"/>
      <c r="L277" s="62"/>
      <c r="O277" s="62"/>
      <c r="P277" s="62"/>
      <c r="Q277" s="62"/>
      <c r="R277" s="62"/>
      <c r="S277" s="62"/>
      <c r="T277" s="62"/>
      <c r="U277" s="62"/>
      <c r="V277" s="62"/>
      <c r="X277" s="62"/>
      <c r="Y277" s="62"/>
      <c r="Z277" s="62"/>
      <c r="AA277" s="62"/>
      <c r="AB277" s="63"/>
    </row>
    <row r="278">
      <c r="E278" s="63"/>
      <c r="F278" s="62"/>
      <c r="G278" s="64"/>
      <c r="J278" s="62"/>
      <c r="K278" s="65"/>
      <c r="L278" s="62"/>
      <c r="O278" s="62"/>
      <c r="P278" s="62"/>
      <c r="Q278" s="62"/>
      <c r="R278" s="62"/>
      <c r="S278" s="62"/>
      <c r="T278" s="62"/>
      <c r="U278" s="62"/>
      <c r="V278" s="62"/>
      <c r="X278" s="62"/>
      <c r="Y278" s="62"/>
      <c r="Z278" s="62"/>
      <c r="AA278" s="62"/>
      <c r="AB278" s="63"/>
    </row>
    <row r="279">
      <c r="E279" s="63"/>
      <c r="F279" s="62"/>
      <c r="G279" s="64"/>
      <c r="J279" s="62"/>
      <c r="K279" s="65"/>
      <c r="L279" s="62"/>
      <c r="O279" s="62"/>
      <c r="P279" s="62"/>
      <c r="Q279" s="62"/>
      <c r="R279" s="62"/>
      <c r="S279" s="62"/>
      <c r="T279" s="62"/>
      <c r="U279" s="62"/>
      <c r="V279" s="62"/>
      <c r="X279" s="62"/>
      <c r="Y279" s="62"/>
      <c r="Z279" s="62"/>
      <c r="AA279" s="62"/>
      <c r="AB279" s="63"/>
    </row>
    <row r="280">
      <c r="E280" s="63"/>
      <c r="F280" s="62"/>
      <c r="G280" s="64"/>
      <c r="J280" s="62"/>
      <c r="K280" s="65"/>
      <c r="L280" s="62"/>
      <c r="O280" s="62"/>
      <c r="P280" s="62"/>
      <c r="Q280" s="62"/>
      <c r="R280" s="62"/>
      <c r="S280" s="62"/>
      <c r="T280" s="62"/>
      <c r="U280" s="62"/>
      <c r="V280" s="62"/>
      <c r="X280" s="62"/>
      <c r="Y280" s="62"/>
      <c r="Z280" s="62"/>
      <c r="AA280" s="62"/>
      <c r="AB280" s="63"/>
    </row>
    <row r="281">
      <c r="E281" s="63"/>
      <c r="F281" s="62"/>
      <c r="G281" s="64"/>
      <c r="J281" s="62"/>
      <c r="K281" s="65"/>
      <c r="L281" s="62"/>
      <c r="O281" s="62"/>
      <c r="P281" s="62"/>
      <c r="Q281" s="62"/>
      <c r="R281" s="62"/>
      <c r="S281" s="62"/>
      <c r="T281" s="62"/>
      <c r="U281" s="62"/>
      <c r="V281" s="62"/>
      <c r="X281" s="62"/>
      <c r="Y281" s="62"/>
      <c r="Z281" s="62"/>
      <c r="AA281" s="62"/>
      <c r="AB281" s="63"/>
    </row>
    <row r="282">
      <c r="E282" s="63"/>
      <c r="F282" s="62"/>
      <c r="G282" s="64"/>
      <c r="J282" s="62"/>
      <c r="K282" s="65"/>
      <c r="L282" s="62"/>
      <c r="O282" s="62"/>
      <c r="P282" s="62"/>
      <c r="Q282" s="62"/>
      <c r="R282" s="62"/>
      <c r="S282" s="62"/>
      <c r="T282" s="62"/>
      <c r="U282" s="62"/>
      <c r="V282" s="62"/>
      <c r="X282" s="62"/>
      <c r="Y282" s="62"/>
      <c r="Z282" s="62"/>
      <c r="AA282" s="62"/>
      <c r="AB282" s="63"/>
    </row>
    <row r="283">
      <c r="E283" s="63"/>
      <c r="F283" s="62"/>
      <c r="G283" s="64"/>
      <c r="J283" s="62"/>
      <c r="K283" s="65"/>
      <c r="L283" s="62"/>
      <c r="O283" s="62"/>
      <c r="P283" s="62"/>
      <c r="Q283" s="62"/>
      <c r="R283" s="62"/>
      <c r="S283" s="62"/>
      <c r="T283" s="62"/>
      <c r="U283" s="62"/>
      <c r="V283" s="62"/>
      <c r="X283" s="62"/>
      <c r="Y283" s="62"/>
      <c r="Z283" s="62"/>
      <c r="AA283" s="62"/>
      <c r="AB283" s="63"/>
    </row>
    <row r="284">
      <c r="E284" s="63"/>
      <c r="F284" s="62"/>
      <c r="G284" s="64"/>
      <c r="J284" s="62"/>
      <c r="K284" s="65"/>
      <c r="L284" s="62"/>
      <c r="O284" s="62"/>
      <c r="P284" s="62"/>
      <c r="Q284" s="62"/>
      <c r="R284" s="62"/>
      <c r="S284" s="62"/>
      <c r="T284" s="62"/>
      <c r="U284" s="62"/>
      <c r="V284" s="62"/>
      <c r="X284" s="62"/>
      <c r="Y284" s="62"/>
      <c r="Z284" s="62"/>
      <c r="AA284" s="62"/>
      <c r="AB284" s="63"/>
    </row>
    <row r="285">
      <c r="E285" s="63"/>
      <c r="F285" s="62"/>
      <c r="G285" s="64"/>
      <c r="J285" s="62"/>
      <c r="K285" s="65"/>
      <c r="L285" s="62"/>
      <c r="O285" s="62"/>
      <c r="P285" s="62"/>
      <c r="Q285" s="62"/>
      <c r="R285" s="62"/>
      <c r="S285" s="62"/>
      <c r="T285" s="62"/>
      <c r="U285" s="62"/>
      <c r="V285" s="62"/>
      <c r="X285" s="62"/>
      <c r="Y285" s="62"/>
      <c r="Z285" s="62"/>
      <c r="AA285" s="62"/>
      <c r="AB285" s="63"/>
    </row>
    <row r="286">
      <c r="E286" s="63"/>
      <c r="F286" s="62"/>
      <c r="G286" s="64"/>
      <c r="J286" s="62"/>
      <c r="K286" s="65"/>
      <c r="L286" s="62"/>
      <c r="O286" s="62"/>
      <c r="P286" s="62"/>
      <c r="Q286" s="62"/>
      <c r="R286" s="62"/>
      <c r="S286" s="62"/>
      <c r="T286" s="62"/>
      <c r="U286" s="62"/>
      <c r="V286" s="62"/>
      <c r="X286" s="62"/>
      <c r="Y286" s="62"/>
      <c r="Z286" s="62"/>
      <c r="AA286" s="62"/>
      <c r="AB286" s="63"/>
    </row>
    <row r="287">
      <c r="E287" s="63"/>
      <c r="F287" s="62"/>
      <c r="G287" s="64"/>
      <c r="J287" s="62"/>
      <c r="K287" s="65"/>
      <c r="L287" s="62"/>
      <c r="O287" s="62"/>
      <c r="P287" s="62"/>
      <c r="Q287" s="62"/>
      <c r="R287" s="62"/>
      <c r="S287" s="62"/>
      <c r="T287" s="62"/>
      <c r="U287" s="62"/>
      <c r="V287" s="62"/>
      <c r="X287" s="62"/>
      <c r="Y287" s="62"/>
      <c r="Z287" s="62"/>
      <c r="AA287" s="62"/>
      <c r="AB287" s="63"/>
    </row>
    <row r="288">
      <c r="E288" s="63"/>
      <c r="F288" s="62"/>
      <c r="G288" s="64"/>
      <c r="J288" s="62"/>
      <c r="K288" s="65"/>
      <c r="L288" s="62"/>
      <c r="O288" s="62"/>
      <c r="P288" s="62"/>
      <c r="Q288" s="62"/>
      <c r="R288" s="62"/>
      <c r="S288" s="62"/>
      <c r="T288" s="62"/>
      <c r="U288" s="62"/>
      <c r="V288" s="62"/>
      <c r="X288" s="62"/>
      <c r="Y288" s="62"/>
      <c r="Z288" s="62"/>
      <c r="AA288" s="62"/>
      <c r="AB288" s="63"/>
    </row>
    <row r="289">
      <c r="E289" s="63"/>
      <c r="F289" s="62"/>
      <c r="G289" s="64"/>
      <c r="J289" s="62"/>
      <c r="K289" s="65"/>
      <c r="L289" s="62"/>
      <c r="O289" s="62"/>
      <c r="P289" s="62"/>
      <c r="Q289" s="62"/>
      <c r="R289" s="62"/>
      <c r="S289" s="62"/>
      <c r="T289" s="62"/>
      <c r="U289" s="62"/>
      <c r="V289" s="62"/>
      <c r="X289" s="62"/>
      <c r="Y289" s="62"/>
      <c r="Z289" s="62"/>
      <c r="AA289" s="62"/>
      <c r="AB289" s="63"/>
    </row>
    <row r="290">
      <c r="E290" s="63"/>
      <c r="F290" s="62"/>
      <c r="G290" s="64"/>
      <c r="J290" s="62"/>
      <c r="K290" s="65"/>
      <c r="L290" s="62"/>
      <c r="O290" s="62"/>
      <c r="P290" s="62"/>
      <c r="Q290" s="62"/>
      <c r="R290" s="62"/>
      <c r="S290" s="62"/>
      <c r="T290" s="62"/>
      <c r="U290" s="62"/>
      <c r="V290" s="62"/>
      <c r="X290" s="62"/>
      <c r="Y290" s="62"/>
      <c r="Z290" s="62"/>
      <c r="AA290" s="62"/>
      <c r="AB290" s="63"/>
    </row>
    <row r="291">
      <c r="E291" s="63"/>
      <c r="F291" s="62"/>
      <c r="G291" s="64"/>
      <c r="J291" s="62"/>
      <c r="K291" s="65"/>
      <c r="L291" s="62"/>
      <c r="O291" s="62"/>
      <c r="P291" s="62"/>
      <c r="Q291" s="62"/>
      <c r="R291" s="62"/>
      <c r="S291" s="62"/>
      <c r="T291" s="62"/>
      <c r="U291" s="62"/>
      <c r="V291" s="62"/>
      <c r="X291" s="62"/>
      <c r="Y291" s="62"/>
      <c r="Z291" s="62"/>
      <c r="AA291" s="62"/>
      <c r="AB291" s="63"/>
    </row>
    <row r="292">
      <c r="E292" s="63"/>
      <c r="F292" s="62"/>
      <c r="G292" s="64"/>
      <c r="J292" s="62"/>
      <c r="K292" s="65"/>
      <c r="L292" s="62"/>
      <c r="O292" s="62"/>
      <c r="P292" s="62"/>
      <c r="Q292" s="62"/>
      <c r="R292" s="62"/>
      <c r="S292" s="62"/>
      <c r="T292" s="62"/>
      <c r="U292" s="62"/>
      <c r="V292" s="62"/>
      <c r="X292" s="62"/>
      <c r="Y292" s="62"/>
      <c r="Z292" s="62"/>
      <c r="AA292" s="62"/>
      <c r="AB292" s="63"/>
    </row>
    <row r="293">
      <c r="E293" s="63"/>
      <c r="F293" s="62"/>
      <c r="G293" s="64"/>
      <c r="J293" s="62"/>
      <c r="K293" s="65"/>
      <c r="L293" s="62"/>
      <c r="O293" s="62"/>
      <c r="P293" s="62"/>
      <c r="Q293" s="62"/>
      <c r="R293" s="62"/>
      <c r="S293" s="62"/>
      <c r="T293" s="62"/>
      <c r="U293" s="62"/>
      <c r="V293" s="62"/>
      <c r="X293" s="62"/>
      <c r="Y293" s="62"/>
      <c r="Z293" s="62"/>
      <c r="AA293" s="62"/>
      <c r="AB293" s="63"/>
    </row>
    <row r="294">
      <c r="E294" s="63"/>
      <c r="F294" s="62"/>
      <c r="G294" s="64"/>
      <c r="J294" s="62"/>
      <c r="K294" s="65"/>
      <c r="L294" s="62"/>
      <c r="O294" s="62"/>
      <c r="P294" s="62"/>
      <c r="Q294" s="62"/>
      <c r="R294" s="62"/>
      <c r="S294" s="62"/>
      <c r="T294" s="62"/>
      <c r="U294" s="62"/>
      <c r="V294" s="62"/>
      <c r="X294" s="62"/>
      <c r="Y294" s="62"/>
      <c r="Z294" s="62"/>
      <c r="AA294" s="62"/>
      <c r="AB294" s="63"/>
    </row>
    <row r="295">
      <c r="E295" s="63"/>
      <c r="F295" s="62"/>
      <c r="G295" s="64"/>
      <c r="J295" s="62"/>
      <c r="K295" s="65"/>
      <c r="L295" s="62"/>
      <c r="O295" s="62"/>
      <c r="P295" s="62"/>
      <c r="Q295" s="62"/>
      <c r="R295" s="62"/>
      <c r="S295" s="62"/>
      <c r="T295" s="62"/>
      <c r="U295" s="62"/>
      <c r="V295" s="62"/>
      <c r="X295" s="62"/>
      <c r="Y295" s="62"/>
      <c r="Z295" s="62"/>
      <c r="AA295" s="62"/>
      <c r="AB295" s="63"/>
    </row>
    <row r="296">
      <c r="E296" s="63"/>
      <c r="F296" s="62"/>
      <c r="G296" s="64"/>
      <c r="J296" s="62"/>
      <c r="K296" s="65"/>
      <c r="L296" s="62"/>
      <c r="O296" s="62"/>
      <c r="P296" s="62"/>
      <c r="Q296" s="62"/>
      <c r="R296" s="62"/>
      <c r="S296" s="62"/>
      <c r="T296" s="62"/>
      <c r="U296" s="62"/>
      <c r="V296" s="62"/>
      <c r="X296" s="62"/>
      <c r="Y296" s="62"/>
      <c r="Z296" s="62"/>
      <c r="AA296" s="62"/>
      <c r="AB296" s="63"/>
    </row>
    <row r="297">
      <c r="E297" s="63"/>
      <c r="F297" s="62"/>
      <c r="G297" s="64"/>
      <c r="J297" s="62"/>
      <c r="K297" s="65"/>
      <c r="L297" s="62"/>
      <c r="O297" s="62"/>
      <c r="P297" s="62"/>
      <c r="Q297" s="62"/>
      <c r="R297" s="62"/>
      <c r="S297" s="62"/>
      <c r="T297" s="62"/>
      <c r="U297" s="62"/>
      <c r="V297" s="62"/>
      <c r="X297" s="62"/>
      <c r="Y297" s="62"/>
      <c r="Z297" s="62"/>
      <c r="AA297" s="62"/>
      <c r="AB297" s="63"/>
    </row>
    <row r="298">
      <c r="E298" s="63"/>
      <c r="F298" s="62"/>
      <c r="G298" s="64"/>
      <c r="J298" s="62"/>
      <c r="K298" s="65"/>
      <c r="L298" s="62"/>
      <c r="O298" s="62"/>
      <c r="P298" s="62"/>
      <c r="Q298" s="62"/>
      <c r="R298" s="62"/>
      <c r="S298" s="62"/>
      <c r="T298" s="62"/>
      <c r="U298" s="62"/>
      <c r="V298" s="62"/>
      <c r="X298" s="62"/>
      <c r="Y298" s="62"/>
      <c r="Z298" s="62"/>
      <c r="AA298" s="62"/>
      <c r="AB298" s="63"/>
    </row>
    <row r="299">
      <c r="E299" s="63"/>
      <c r="F299" s="62"/>
      <c r="G299" s="64"/>
      <c r="J299" s="62"/>
      <c r="K299" s="65"/>
      <c r="L299" s="62"/>
      <c r="O299" s="62"/>
      <c r="P299" s="62"/>
      <c r="Q299" s="62"/>
      <c r="R299" s="62"/>
      <c r="S299" s="62"/>
      <c r="T299" s="62"/>
      <c r="U299" s="62"/>
      <c r="V299" s="62"/>
      <c r="X299" s="62"/>
      <c r="Y299" s="62"/>
      <c r="Z299" s="62"/>
      <c r="AA299" s="62"/>
      <c r="AB299" s="63"/>
    </row>
    <row r="300">
      <c r="E300" s="63"/>
      <c r="F300" s="62"/>
      <c r="G300" s="64"/>
      <c r="J300" s="62"/>
      <c r="K300" s="65"/>
      <c r="L300" s="62"/>
      <c r="O300" s="62"/>
      <c r="P300" s="62"/>
      <c r="Q300" s="62"/>
      <c r="R300" s="62"/>
      <c r="S300" s="62"/>
      <c r="T300" s="62"/>
      <c r="U300" s="62"/>
      <c r="V300" s="62"/>
      <c r="X300" s="62"/>
      <c r="Y300" s="62"/>
      <c r="Z300" s="62"/>
      <c r="AA300" s="62"/>
      <c r="AB300" s="63"/>
    </row>
    <row r="301">
      <c r="E301" s="63"/>
      <c r="F301" s="62"/>
      <c r="G301" s="64"/>
      <c r="J301" s="62"/>
      <c r="K301" s="65"/>
      <c r="L301" s="62"/>
      <c r="O301" s="62"/>
      <c r="P301" s="62"/>
      <c r="Q301" s="62"/>
      <c r="R301" s="62"/>
      <c r="S301" s="62"/>
      <c r="T301" s="62"/>
      <c r="U301" s="62"/>
      <c r="V301" s="62"/>
      <c r="X301" s="62"/>
      <c r="Y301" s="62"/>
      <c r="Z301" s="62"/>
      <c r="AA301" s="62"/>
      <c r="AB301" s="63"/>
    </row>
    <row r="302">
      <c r="E302" s="63"/>
      <c r="F302" s="62"/>
      <c r="G302" s="64"/>
      <c r="J302" s="62"/>
      <c r="K302" s="65"/>
      <c r="L302" s="62"/>
      <c r="O302" s="62"/>
      <c r="P302" s="62"/>
      <c r="Q302" s="62"/>
      <c r="R302" s="62"/>
      <c r="S302" s="62"/>
      <c r="T302" s="62"/>
      <c r="U302" s="62"/>
      <c r="V302" s="62"/>
      <c r="X302" s="62"/>
      <c r="Y302" s="62"/>
      <c r="Z302" s="62"/>
      <c r="AA302" s="62"/>
      <c r="AB302" s="63"/>
    </row>
    <row r="303">
      <c r="E303" s="63"/>
      <c r="F303" s="62"/>
      <c r="G303" s="64"/>
      <c r="J303" s="62"/>
      <c r="K303" s="65"/>
      <c r="L303" s="62"/>
      <c r="O303" s="62"/>
      <c r="P303" s="62"/>
      <c r="Q303" s="62"/>
      <c r="R303" s="62"/>
      <c r="S303" s="62"/>
      <c r="T303" s="62"/>
      <c r="U303" s="62"/>
      <c r="V303" s="62"/>
      <c r="X303" s="62"/>
      <c r="Y303" s="62"/>
      <c r="Z303" s="62"/>
      <c r="AA303" s="62"/>
      <c r="AB303" s="63"/>
    </row>
    <row r="304">
      <c r="E304" s="63"/>
      <c r="F304" s="62"/>
      <c r="G304" s="64"/>
      <c r="J304" s="62"/>
      <c r="K304" s="65"/>
      <c r="L304" s="62"/>
      <c r="O304" s="62"/>
      <c r="P304" s="62"/>
      <c r="Q304" s="62"/>
      <c r="R304" s="62"/>
      <c r="S304" s="62"/>
      <c r="T304" s="62"/>
      <c r="U304" s="62"/>
      <c r="V304" s="62"/>
      <c r="X304" s="62"/>
      <c r="Y304" s="62"/>
      <c r="Z304" s="62"/>
      <c r="AA304" s="62"/>
      <c r="AB304" s="63"/>
    </row>
    <row r="305">
      <c r="E305" s="63"/>
      <c r="F305" s="62"/>
      <c r="G305" s="64"/>
      <c r="J305" s="62"/>
      <c r="K305" s="65"/>
      <c r="L305" s="62"/>
      <c r="O305" s="62"/>
      <c r="P305" s="62"/>
      <c r="Q305" s="62"/>
      <c r="R305" s="62"/>
      <c r="S305" s="62"/>
      <c r="T305" s="62"/>
      <c r="U305" s="62"/>
      <c r="V305" s="62"/>
      <c r="X305" s="62"/>
      <c r="Y305" s="62"/>
      <c r="Z305" s="62"/>
      <c r="AA305" s="62"/>
      <c r="AB305" s="63"/>
    </row>
    <row r="306">
      <c r="E306" s="63"/>
      <c r="F306" s="62"/>
      <c r="G306" s="64"/>
      <c r="J306" s="62"/>
      <c r="K306" s="65"/>
      <c r="L306" s="62"/>
      <c r="O306" s="62"/>
      <c r="P306" s="62"/>
      <c r="Q306" s="62"/>
      <c r="R306" s="62"/>
      <c r="S306" s="62"/>
      <c r="T306" s="62"/>
      <c r="U306" s="62"/>
      <c r="V306" s="62"/>
      <c r="X306" s="62"/>
      <c r="Y306" s="62"/>
      <c r="Z306" s="62"/>
      <c r="AA306" s="62"/>
      <c r="AB306" s="63"/>
    </row>
    <row r="307">
      <c r="E307" s="63"/>
      <c r="F307" s="62"/>
      <c r="G307" s="64"/>
      <c r="J307" s="62"/>
      <c r="K307" s="65"/>
      <c r="L307" s="62"/>
      <c r="O307" s="62"/>
      <c r="P307" s="62"/>
      <c r="Q307" s="62"/>
      <c r="R307" s="62"/>
      <c r="S307" s="62"/>
      <c r="T307" s="62"/>
      <c r="U307" s="62"/>
      <c r="V307" s="62"/>
      <c r="X307" s="62"/>
      <c r="Y307" s="62"/>
      <c r="Z307" s="62"/>
      <c r="AA307" s="62"/>
      <c r="AB307" s="63"/>
    </row>
    <row r="308">
      <c r="E308" s="63"/>
      <c r="F308" s="62"/>
      <c r="G308" s="64"/>
      <c r="J308" s="62"/>
      <c r="K308" s="65"/>
      <c r="L308" s="62"/>
      <c r="O308" s="62"/>
      <c r="P308" s="62"/>
      <c r="Q308" s="62"/>
      <c r="R308" s="62"/>
      <c r="S308" s="62"/>
      <c r="T308" s="62"/>
      <c r="U308" s="62"/>
      <c r="V308" s="62"/>
      <c r="X308" s="62"/>
      <c r="Y308" s="62"/>
      <c r="Z308" s="62"/>
      <c r="AA308" s="62"/>
      <c r="AB308" s="63"/>
    </row>
    <row r="309">
      <c r="E309" s="63"/>
      <c r="F309" s="62"/>
      <c r="G309" s="64"/>
      <c r="J309" s="62"/>
      <c r="K309" s="65"/>
      <c r="L309" s="62"/>
      <c r="O309" s="62"/>
      <c r="P309" s="62"/>
      <c r="Q309" s="62"/>
      <c r="R309" s="62"/>
      <c r="S309" s="62"/>
      <c r="T309" s="62"/>
      <c r="U309" s="62"/>
      <c r="V309" s="62"/>
      <c r="X309" s="62"/>
      <c r="Y309" s="62"/>
      <c r="Z309" s="62"/>
      <c r="AA309" s="62"/>
      <c r="AB309" s="63"/>
    </row>
    <row r="310">
      <c r="E310" s="63"/>
      <c r="F310" s="62"/>
      <c r="G310" s="64"/>
      <c r="J310" s="62"/>
      <c r="K310" s="65"/>
      <c r="L310" s="62"/>
      <c r="O310" s="62"/>
      <c r="P310" s="62"/>
      <c r="Q310" s="62"/>
      <c r="R310" s="62"/>
      <c r="S310" s="62"/>
      <c r="T310" s="62"/>
      <c r="U310" s="62"/>
      <c r="V310" s="62"/>
      <c r="X310" s="62"/>
      <c r="Y310" s="62"/>
      <c r="Z310" s="62"/>
      <c r="AA310" s="62"/>
      <c r="AB310" s="63"/>
    </row>
    <row r="311">
      <c r="E311" s="63"/>
      <c r="F311" s="62"/>
      <c r="G311" s="64"/>
      <c r="J311" s="62"/>
      <c r="K311" s="65"/>
      <c r="L311" s="62"/>
      <c r="O311" s="62"/>
      <c r="P311" s="62"/>
      <c r="Q311" s="62"/>
      <c r="R311" s="62"/>
      <c r="S311" s="62"/>
      <c r="T311" s="62"/>
      <c r="U311" s="62"/>
      <c r="V311" s="62"/>
      <c r="X311" s="62"/>
      <c r="Y311" s="62"/>
      <c r="Z311" s="62"/>
      <c r="AA311" s="62"/>
      <c r="AB311" s="63"/>
    </row>
    <row r="312">
      <c r="E312" s="63"/>
      <c r="F312" s="62"/>
      <c r="G312" s="64"/>
      <c r="J312" s="62"/>
      <c r="K312" s="65"/>
      <c r="L312" s="62"/>
      <c r="O312" s="62"/>
      <c r="P312" s="62"/>
      <c r="Q312" s="62"/>
      <c r="R312" s="62"/>
      <c r="S312" s="62"/>
      <c r="T312" s="62"/>
      <c r="U312" s="62"/>
      <c r="V312" s="62"/>
      <c r="X312" s="62"/>
      <c r="Y312" s="62"/>
      <c r="Z312" s="62"/>
      <c r="AA312" s="62"/>
      <c r="AB312" s="63"/>
    </row>
    <row r="313">
      <c r="E313" s="63"/>
      <c r="F313" s="62"/>
      <c r="G313" s="64"/>
      <c r="J313" s="62"/>
      <c r="K313" s="65"/>
      <c r="L313" s="62"/>
      <c r="O313" s="62"/>
      <c r="P313" s="62"/>
      <c r="Q313" s="62"/>
      <c r="R313" s="62"/>
      <c r="S313" s="62"/>
      <c r="T313" s="62"/>
      <c r="U313" s="62"/>
      <c r="V313" s="62"/>
      <c r="X313" s="62"/>
      <c r="Y313" s="62"/>
      <c r="Z313" s="62"/>
      <c r="AA313" s="62"/>
      <c r="AB313" s="63"/>
    </row>
    <row r="314">
      <c r="E314" s="63"/>
      <c r="F314" s="62"/>
      <c r="G314" s="64"/>
      <c r="J314" s="62"/>
      <c r="K314" s="65"/>
      <c r="L314" s="62"/>
      <c r="O314" s="62"/>
      <c r="P314" s="62"/>
      <c r="Q314" s="62"/>
      <c r="R314" s="62"/>
      <c r="S314" s="62"/>
      <c r="T314" s="62"/>
      <c r="U314" s="62"/>
      <c r="V314" s="62"/>
      <c r="X314" s="62"/>
      <c r="Y314" s="62"/>
      <c r="Z314" s="62"/>
      <c r="AA314" s="62"/>
      <c r="AB314" s="63"/>
    </row>
    <row r="315">
      <c r="E315" s="63"/>
      <c r="F315" s="62"/>
      <c r="G315" s="64"/>
      <c r="J315" s="62"/>
      <c r="K315" s="65"/>
      <c r="L315" s="62"/>
      <c r="O315" s="62"/>
      <c r="P315" s="62"/>
      <c r="Q315" s="62"/>
      <c r="R315" s="62"/>
      <c r="S315" s="62"/>
      <c r="T315" s="62"/>
      <c r="U315" s="62"/>
      <c r="V315" s="62"/>
      <c r="X315" s="62"/>
      <c r="Y315" s="62"/>
      <c r="Z315" s="62"/>
      <c r="AA315" s="62"/>
      <c r="AB315" s="63"/>
    </row>
    <row r="316">
      <c r="E316" s="63"/>
      <c r="F316" s="62"/>
      <c r="G316" s="64"/>
      <c r="J316" s="62"/>
      <c r="K316" s="65"/>
      <c r="L316" s="62"/>
      <c r="O316" s="62"/>
      <c r="P316" s="62"/>
      <c r="Q316" s="62"/>
      <c r="R316" s="62"/>
      <c r="S316" s="62"/>
      <c r="T316" s="62"/>
      <c r="U316" s="62"/>
      <c r="V316" s="62"/>
      <c r="X316" s="62"/>
      <c r="Y316" s="62"/>
      <c r="Z316" s="62"/>
      <c r="AA316" s="62"/>
      <c r="AB316" s="63"/>
    </row>
    <row r="317">
      <c r="E317" s="63"/>
      <c r="F317" s="62"/>
      <c r="G317" s="64"/>
      <c r="J317" s="62"/>
      <c r="K317" s="65"/>
      <c r="L317" s="62"/>
      <c r="O317" s="62"/>
      <c r="P317" s="62"/>
      <c r="Q317" s="62"/>
      <c r="R317" s="62"/>
      <c r="S317" s="62"/>
      <c r="T317" s="62"/>
      <c r="U317" s="62"/>
      <c r="V317" s="62"/>
      <c r="X317" s="62"/>
      <c r="Y317" s="62"/>
      <c r="Z317" s="62"/>
      <c r="AA317" s="62"/>
      <c r="AB317" s="63"/>
    </row>
    <row r="318">
      <c r="E318" s="63"/>
      <c r="F318" s="62"/>
      <c r="G318" s="64"/>
      <c r="J318" s="62"/>
      <c r="K318" s="65"/>
      <c r="L318" s="62"/>
      <c r="O318" s="62"/>
      <c r="P318" s="62"/>
      <c r="Q318" s="62"/>
      <c r="R318" s="62"/>
      <c r="S318" s="62"/>
      <c r="T318" s="62"/>
      <c r="U318" s="62"/>
      <c r="V318" s="62"/>
      <c r="X318" s="62"/>
      <c r="Y318" s="62"/>
      <c r="Z318" s="62"/>
      <c r="AA318" s="62"/>
      <c r="AB318" s="63"/>
    </row>
    <row r="319">
      <c r="E319" s="63"/>
      <c r="F319" s="62"/>
      <c r="G319" s="64"/>
      <c r="J319" s="62"/>
      <c r="K319" s="65"/>
      <c r="L319" s="62"/>
      <c r="O319" s="62"/>
      <c r="P319" s="62"/>
      <c r="Q319" s="62"/>
      <c r="R319" s="62"/>
      <c r="S319" s="62"/>
      <c r="T319" s="62"/>
      <c r="U319" s="62"/>
      <c r="V319" s="62"/>
      <c r="X319" s="62"/>
      <c r="Y319" s="62"/>
      <c r="Z319" s="62"/>
      <c r="AA319" s="62"/>
      <c r="AB319" s="63"/>
    </row>
    <row r="320">
      <c r="E320" s="63"/>
      <c r="F320" s="62"/>
      <c r="G320" s="64"/>
      <c r="J320" s="62"/>
      <c r="K320" s="65"/>
      <c r="L320" s="62"/>
      <c r="O320" s="62"/>
      <c r="P320" s="62"/>
      <c r="Q320" s="62"/>
      <c r="R320" s="62"/>
      <c r="S320" s="62"/>
      <c r="T320" s="62"/>
      <c r="U320" s="62"/>
      <c r="V320" s="62"/>
      <c r="X320" s="62"/>
      <c r="Y320" s="62"/>
      <c r="Z320" s="62"/>
      <c r="AA320" s="62"/>
      <c r="AB320" s="63"/>
    </row>
    <row r="321">
      <c r="E321" s="63"/>
      <c r="F321" s="62"/>
      <c r="G321" s="64"/>
      <c r="J321" s="62"/>
      <c r="K321" s="65"/>
      <c r="L321" s="62"/>
      <c r="O321" s="62"/>
      <c r="P321" s="62"/>
      <c r="Q321" s="62"/>
      <c r="R321" s="62"/>
      <c r="S321" s="62"/>
      <c r="T321" s="62"/>
      <c r="U321" s="62"/>
      <c r="V321" s="62"/>
      <c r="X321" s="62"/>
      <c r="Y321" s="62"/>
      <c r="Z321" s="62"/>
      <c r="AA321" s="62"/>
      <c r="AB321" s="63"/>
    </row>
    <row r="322">
      <c r="E322" s="63"/>
      <c r="F322" s="62"/>
      <c r="G322" s="64"/>
      <c r="J322" s="62"/>
      <c r="K322" s="65"/>
      <c r="L322" s="62"/>
      <c r="O322" s="62"/>
      <c r="P322" s="62"/>
      <c r="Q322" s="62"/>
      <c r="R322" s="62"/>
      <c r="S322" s="62"/>
      <c r="T322" s="62"/>
      <c r="U322" s="62"/>
      <c r="V322" s="62"/>
      <c r="X322" s="62"/>
      <c r="Y322" s="62"/>
      <c r="Z322" s="62"/>
      <c r="AA322" s="62"/>
      <c r="AB322" s="63"/>
    </row>
    <row r="323">
      <c r="E323" s="63"/>
      <c r="F323" s="62"/>
      <c r="G323" s="64"/>
      <c r="J323" s="62"/>
      <c r="K323" s="65"/>
      <c r="L323" s="62"/>
      <c r="O323" s="62"/>
      <c r="P323" s="62"/>
      <c r="Q323" s="62"/>
      <c r="R323" s="62"/>
      <c r="S323" s="62"/>
      <c r="T323" s="62"/>
      <c r="U323" s="62"/>
      <c r="V323" s="62"/>
      <c r="X323" s="62"/>
      <c r="Y323" s="62"/>
      <c r="Z323" s="62"/>
      <c r="AA323" s="62"/>
      <c r="AB323" s="63"/>
    </row>
    <row r="324">
      <c r="E324" s="63"/>
      <c r="F324" s="62"/>
      <c r="G324" s="64"/>
      <c r="J324" s="62"/>
      <c r="K324" s="65"/>
      <c r="L324" s="62"/>
      <c r="O324" s="62"/>
      <c r="P324" s="62"/>
      <c r="Q324" s="62"/>
      <c r="R324" s="62"/>
      <c r="S324" s="62"/>
      <c r="T324" s="62"/>
      <c r="U324" s="62"/>
      <c r="V324" s="62"/>
      <c r="X324" s="62"/>
      <c r="Y324" s="62"/>
      <c r="Z324" s="62"/>
      <c r="AA324" s="62"/>
      <c r="AB324" s="63"/>
    </row>
    <row r="325">
      <c r="E325" s="63"/>
      <c r="F325" s="62"/>
      <c r="G325" s="64"/>
      <c r="J325" s="62"/>
      <c r="K325" s="65"/>
      <c r="L325" s="62"/>
      <c r="O325" s="62"/>
      <c r="P325" s="62"/>
      <c r="Q325" s="62"/>
      <c r="R325" s="62"/>
      <c r="S325" s="62"/>
      <c r="T325" s="62"/>
      <c r="U325" s="62"/>
      <c r="V325" s="62"/>
      <c r="X325" s="62"/>
      <c r="Y325" s="62"/>
      <c r="Z325" s="62"/>
      <c r="AA325" s="62"/>
      <c r="AB325" s="63"/>
    </row>
    <row r="326">
      <c r="E326" s="63"/>
      <c r="F326" s="62"/>
      <c r="G326" s="64"/>
      <c r="J326" s="62"/>
      <c r="K326" s="65"/>
      <c r="L326" s="62"/>
      <c r="O326" s="62"/>
      <c r="P326" s="62"/>
      <c r="Q326" s="62"/>
      <c r="R326" s="62"/>
      <c r="S326" s="62"/>
      <c r="T326" s="62"/>
      <c r="U326" s="62"/>
      <c r="V326" s="62"/>
      <c r="X326" s="62"/>
      <c r="Y326" s="62"/>
      <c r="Z326" s="62"/>
      <c r="AA326" s="62"/>
      <c r="AB326" s="63"/>
    </row>
    <row r="327">
      <c r="E327" s="63"/>
      <c r="F327" s="62"/>
      <c r="G327" s="64"/>
      <c r="J327" s="62"/>
      <c r="K327" s="65"/>
      <c r="L327" s="62"/>
      <c r="O327" s="62"/>
      <c r="P327" s="62"/>
      <c r="Q327" s="62"/>
      <c r="R327" s="62"/>
      <c r="S327" s="62"/>
      <c r="T327" s="62"/>
      <c r="U327" s="62"/>
      <c r="V327" s="62"/>
      <c r="X327" s="62"/>
      <c r="Y327" s="62"/>
      <c r="Z327" s="62"/>
      <c r="AA327" s="62"/>
      <c r="AB327" s="63"/>
    </row>
    <row r="328">
      <c r="E328" s="63"/>
      <c r="F328" s="62"/>
      <c r="G328" s="64"/>
      <c r="J328" s="62"/>
      <c r="K328" s="65"/>
      <c r="L328" s="62"/>
      <c r="O328" s="62"/>
      <c r="P328" s="62"/>
      <c r="Q328" s="62"/>
      <c r="R328" s="62"/>
      <c r="S328" s="62"/>
      <c r="T328" s="62"/>
      <c r="U328" s="62"/>
      <c r="V328" s="62"/>
      <c r="X328" s="62"/>
      <c r="Y328" s="62"/>
      <c r="Z328" s="62"/>
      <c r="AA328" s="62"/>
      <c r="AB328" s="63"/>
    </row>
    <row r="329">
      <c r="E329" s="63"/>
      <c r="F329" s="62"/>
      <c r="G329" s="64"/>
      <c r="J329" s="62"/>
      <c r="K329" s="65"/>
      <c r="L329" s="62"/>
      <c r="O329" s="62"/>
      <c r="P329" s="62"/>
      <c r="Q329" s="62"/>
      <c r="R329" s="62"/>
      <c r="S329" s="62"/>
      <c r="T329" s="62"/>
      <c r="U329" s="62"/>
      <c r="V329" s="62"/>
      <c r="X329" s="62"/>
      <c r="Y329" s="62"/>
      <c r="Z329" s="62"/>
      <c r="AA329" s="62"/>
      <c r="AB329" s="63"/>
    </row>
    <row r="330">
      <c r="E330" s="63"/>
      <c r="F330" s="62"/>
      <c r="G330" s="64"/>
      <c r="J330" s="62"/>
      <c r="K330" s="65"/>
      <c r="L330" s="62"/>
      <c r="O330" s="62"/>
      <c r="P330" s="62"/>
      <c r="Q330" s="62"/>
      <c r="R330" s="62"/>
      <c r="S330" s="62"/>
      <c r="T330" s="62"/>
      <c r="U330" s="62"/>
      <c r="V330" s="62"/>
      <c r="X330" s="62"/>
      <c r="Y330" s="62"/>
      <c r="Z330" s="62"/>
      <c r="AA330" s="62"/>
      <c r="AB330" s="63"/>
    </row>
    <row r="331">
      <c r="E331" s="63"/>
      <c r="F331" s="62"/>
      <c r="G331" s="64"/>
      <c r="J331" s="62"/>
      <c r="K331" s="65"/>
      <c r="L331" s="62"/>
      <c r="O331" s="62"/>
      <c r="P331" s="62"/>
      <c r="Q331" s="62"/>
      <c r="R331" s="62"/>
      <c r="S331" s="62"/>
      <c r="T331" s="62"/>
      <c r="U331" s="62"/>
      <c r="V331" s="62"/>
      <c r="X331" s="62"/>
      <c r="Y331" s="62"/>
      <c r="Z331" s="62"/>
      <c r="AA331" s="62"/>
      <c r="AB331" s="63"/>
    </row>
    <row r="332">
      <c r="E332" s="63"/>
      <c r="F332" s="62"/>
      <c r="G332" s="64"/>
      <c r="J332" s="62"/>
      <c r="K332" s="65"/>
      <c r="L332" s="62"/>
      <c r="O332" s="62"/>
      <c r="P332" s="62"/>
      <c r="Q332" s="62"/>
      <c r="R332" s="62"/>
      <c r="S332" s="62"/>
      <c r="T332" s="62"/>
      <c r="U332" s="62"/>
      <c r="V332" s="62"/>
      <c r="X332" s="62"/>
      <c r="Y332" s="62"/>
      <c r="Z332" s="62"/>
      <c r="AA332" s="62"/>
      <c r="AB332" s="63"/>
    </row>
    <row r="333">
      <c r="E333" s="63"/>
      <c r="F333" s="62"/>
      <c r="G333" s="64"/>
      <c r="J333" s="62"/>
      <c r="K333" s="65"/>
      <c r="L333" s="62"/>
      <c r="O333" s="62"/>
      <c r="P333" s="62"/>
      <c r="Q333" s="62"/>
      <c r="R333" s="62"/>
      <c r="S333" s="62"/>
      <c r="T333" s="62"/>
      <c r="U333" s="62"/>
      <c r="V333" s="62"/>
      <c r="X333" s="62"/>
      <c r="Y333" s="62"/>
      <c r="Z333" s="62"/>
      <c r="AA333" s="62"/>
      <c r="AB333" s="63"/>
    </row>
    <row r="334">
      <c r="E334" s="63"/>
      <c r="F334" s="62"/>
      <c r="G334" s="64"/>
      <c r="J334" s="62"/>
      <c r="K334" s="65"/>
      <c r="L334" s="62"/>
      <c r="O334" s="62"/>
      <c r="P334" s="62"/>
      <c r="Q334" s="62"/>
      <c r="R334" s="62"/>
      <c r="S334" s="62"/>
      <c r="T334" s="62"/>
      <c r="U334" s="62"/>
      <c r="V334" s="62"/>
      <c r="X334" s="62"/>
      <c r="Y334" s="62"/>
      <c r="Z334" s="62"/>
      <c r="AA334" s="62"/>
      <c r="AB334" s="63"/>
    </row>
    <row r="335">
      <c r="E335" s="63"/>
      <c r="F335" s="62"/>
      <c r="G335" s="64"/>
      <c r="J335" s="62"/>
      <c r="K335" s="65"/>
      <c r="L335" s="62"/>
      <c r="O335" s="62"/>
      <c r="P335" s="62"/>
      <c r="Q335" s="62"/>
      <c r="R335" s="62"/>
      <c r="S335" s="62"/>
      <c r="T335" s="62"/>
      <c r="U335" s="62"/>
      <c r="V335" s="62"/>
      <c r="X335" s="62"/>
      <c r="Y335" s="62"/>
      <c r="Z335" s="62"/>
      <c r="AA335" s="62"/>
      <c r="AB335" s="63"/>
    </row>
    <row r="336">
      <c r="E336" s="63"/>
      <c r="F336" s="62"/>
      <c r="G336" s="64"/>
      <c r="J336" s="62"/>
      <c r="K336" s="65"/>
      <c r="L336" s="62"/>
      <c r="O336" s="62"/>
      <c r="P336" s="62"/>
      <c r="Q336" s="62"/>
      <c r="R336" s="62"/>
      <c r="S336" s="62"/>
      <c r="T336" s="62"/>
      <c r="U336" s="62"/>
      <c r="V336" s="62"/>
      <c r="X336" s="62"/>
      <c r="Y336" s="62"/>
      <c r="Z336" s="62"/>
      <c r="AA336" s="62"/>
      <c r="AB336" s="63"/>
    </row>
    <row r="337">
      <c r="E337" s="63"/>
      <c r="F337" s="62"/>
      <c r="G337" s="64"/>
      <c r="J337" s="62"/>
      <c r="K337" s="65"/>
      <c r="L337" s="62"/>
      <c r="O337" s="62"/>
      <c r="P337" s="62"/>
      <c r="Q337" s="62"/>
      <c r="R337" s="62"/>
      <c r="S337" s="62"/>
      <c r="T337" s="62"/>
      <c r="U337" s="62"/>
      <c r="V337" s="62"/>
      <c r="X337" s="62"/>
      <c r="Y337" s="62"/>
      <c r="Z337" s="62"/>
      <c r="AA337" s="62"/>
      <c r="AB337" s="63"/>
    </row>
    <row r="338">
      <c r="E338" s="63"/>
      <c r="F338" s="62"/>
      <c r="G338" s="64"/>
      <c r="J338" s="62"/>
      <c r="K338" s="65"/>
      <c r="L338" s="62"/>
      <c r="O338" s="62"/>
      <c r="P338" s="62"/>
      <c r="Q338" s="62"/>
      <c r="R338" s="62"/>
      <c r="S338" s="62"/>
      <c r="T338" s="62"/>
      <c r="U338" s="62"/>
      <c r="V338" s="62"/>
      <c r="X338" s="62"/>
      <c r="Y338" s="62"/>
      <c r="Z338" s="62"/>
      <c r="AA338" s="62"/>
      <c r="AB338" s="63"/>
    </row>
    <row r="339">
      <c r="E339" s="63"/>
      <c r="F339" s="62"/>
      <c r="G339" s="64"/>
      <c r="J339" s="62"/>
      <c r="K339" s="65"/>
      <c r="L339" s="62"/>
      <c r="O339" s="62"/>
      <c r="P339" s="62"/>
      <c r="Q339" s="62"/>
      <c r="R339" s="62"/>
      <c r="S339" s="62"/>
      <c r="T339" s="62"/>
      <c r="U339" s="62"/>
      <c r="V339" s="62"/>
      <c r="X339" s="62"/>
      <c r="Y339" s="62"/>
      <c r="Z339" s="62"/>
      <c r="AA339" s="62"/>
      <c r="AB339" s="63"/>
    </row>
    <row r="340">
      <c r="E340" s="63"/>
      <c r="F340" s="62"/>
      <c r="G340" s="64"/>
      <c r="J340" s="62"/>
      <c r="K340" s="65"/>
      <c r="L340" s="62"/>
      <c r="O340" s="62"/>
      <c r="P340" s="62"/>
      <c r="Q340" s="62"/>
      <c r="R340" s="62"/>
      <c r="S340" s="62"/>
      <c r="T340" s="62"/>
      <c r="U340" s="62"/>
      <c r="V340" s="62"/>
      <c r="X340" s="62"/>
      <c r="Y340" s="62"/>
      <c r="Z340" s="62"/>
      <c r="AA340" s="62"/>
      <c r="AB340" s="63"/>
    </row>
    <row r="341">
      <c r="E341" s="63"/>
      <c r="F341" s="62"/>
      <c r="G341" s="64"/>
      <c r="J341" s="62"/>
      <c r="K341" s="65"/>
      <c r="L341" s="62"/>
      <c r="O341" s="62"/>
      <c r="P341" s="62"/>
      <c r="Q341" s="62"/>
      <c r="R341" s="62"/>
      <c r="S341" s="62"/>
      <c r="T341" s="62"/>
      <c r="U341" s="62"/>
      <c r="V341" s="62"/>
      <c r="X341" s="62"/>
      <c r="Y341" s="62"/>
      <c r="Z341" s="62"/>
      <c r="AA341" s="62"/>
      <c r="AB341" s="63"/>
    </row>
    <row r="342">
      <c r="E342" s="63"/>
      <c r="F342" s="62"/>
      <c r="G342" s="64"/>
      <c r="J342" s="62"/>
      <c r="K342" s="65"/>
      <c r="L342" s="62"/>
      <c r="O342" s="62"/>
      <c r="P342" s="62"/>
      <c r="Q342" s="62"/>
      <c r="R342" s="62"/>
      <c r="S342" s="62"/>
      <c r="T342" s="62"/>
      <c r="U342" s="62"/>
      <c r="V342" s="62"/>
      <c r="X342" s="62"/>
      <c r="Y342" s="62"/>
      <c r="Z342" s="62"/>
      <c r="AA342" s="62"/>
      <c r="AB342" s="63"/>
    </row>
    <row r="343">
      <c r="E343" s="63"/>
      <c r="F343" s="62"/>
      <c r="G343" s="64"/>
      <c r="J343" s="62"/>
      <c r="K343" s="65"/>
      <c r="L343" s="62"/>
      <c r="O343" s="62"/>
      <c r="P343" s="62"/>
      <c r="Q343" s="62"/>
      <c r="R343" s="62"/>
      <c r="S343" s="62"/>
      <c r="T343" s="62"/>
      <c r="U343" s="62"/>
      <c r="V343" s="62"/>
      <c r="X343" s="62"/>
      <c r="Y343" s="62"/>
      <c r="Z343" s="62"/>
      <c r="AA343" s="62"/>
      <c r="AB343" s="63"/>
    </row>
    <row r="344">
      <c r="E344" s="63"/>
      <c r="F344" s="62"/>
      <c r="G344" s="64"/>
      <c r="J344" s="62"/>
      <c r="K344" s="65"/>
      <c r="L344" s="62"/>
      <c r="O344" s="62"/>
      <c r="P344" s="62"/>
      <c r="Q344" s="62"/>
      <c r="R344" s="62"/>
      <c r="S344" s="62"/>
      <c r="T344" s="62"/>
      <c r="U344" s="62"/>
      <c r="V344" s="62"/>
      <c r="X344" s="62"/>
      <c r="Y344" s="62"/>
      <c r="Z344" s="62"/>
      <c r="AA344" s="62"/>
      <c r="AB344" s="63"/>
    </row>
    <row r="345">
      <c r="E345" s="63"/>
      <c r="F345" s="62"/>
      <c r="G345" s="64"/>
      <c r="J345" s="62"/>
      <c r="K345" s="65"/>
      <c r="L345" s="62"/>
      <c r="O345" s="62"/>
      <c r="P345" s="62"/>
      <c r="Q345" s="62"/>
      <c r="R345" s="62"/>
      <c r="S345" s="62"/>
      <c r="T345" s="62"/>
      <c r="U345" s="62"/>
      <c r="V345" s="62"/>
      <c r="X345" s="62"/>
      <c r="Y345" s="62"/>
      <c r="Z345" s="62"/>
      <c r="AA345" s="62"/>
      <c r="AB345" s="63"/>
    </row>
    <row r="346">
      <c r="E346" s="63"/>
      <c r="F346" s="62"/>
      <c r="G346" s="64"/>
      <c r="J346" s="62"/>
      <c r="K346" s="65"/>
      <c r="L346" s="62"/>
      <c r="O346" s="62"/>
      <c r="P346" s="62"/>
      <c r="Q346" s="62"/>
      <c r="R346" s="62"/>
      <c r="S346" s="62"/>
      <c r="T346" s="62"/>
      <c r="U346" s="62"/>
      <c r="V346" s="62"/>
      <c r="X346" s="62"/>
      <c r="Y346" s="62"/>
      <c r="Z346" s="62"/>
      <c r="AA346" s="62"/>
      <c r="AB346" s="63"/>
    </row>
    <row r="347">
      <c r="E347" s="63"/>
      <c r="F347" s="62"/>
      <c r="G347" s="64"/>
      <c r="J347" s="62"/>
      <c r="K347" s="65"/>
      <c r="L347" s="62"/>
      <c r="O347" s="62"/>
      <c r="P347" s="62"/>
      <c r="Q347" s="62"/>
      <c r="R347" s="62"/>
      <c r="S347" s="62"/>
      <c r="T347" s="62"/>
      <c r="U347" s="62"/>
      <c r="V347" s="62"/>
      <c r="X347" s="62"/>
      <c r="Y347" s="62"/>
      <c r="Z347" s="62"/>
      <c r="AA347" s="62"/>
      <c r="AB347" s="63"/>
    </row>
    <row r="348">
      <c r="E348" s="63"/>
      <c r="F348" s="62"/>
      <c r="G348" s="64"/>
      <c r="J348" s="62"/>
      <c r="K348" s="65"/>
      <c r="L348" s="62"/>
      <c r="O348" s="62"/>
      <c r="P348" s="62"/>
      <c r="Q348" s="62"/>
      <c r="R348" s="62"/>
      <c r="S348" s="62"/>
      <c r="T348" s="62"/>
      <c r="U348" s="62"/>
      <c r="V348" s="62"/>
      <c r="X348" s="62"/>
      <c r="Y348" s="62"/>
      <c r="Z348" s="62"/>
      <c r="AA348" s="62"/>
      <c r="AB348" s="63"/>
    </row>
    <row r="349">
      <c r="E349" s="63"/>
      <c r="F349" s="62"/>
      <c r="G349" s="64"/>
      <c r="J349" s="62"/>
      <c r="K349" s="65"/>
      <c r="L349" s="62"/>
      <c r="O349" s="62"/>
      <c r="P349" s="62"/>
      <c r="Q349" s="62"/>
      <c r="R349" s="62"/>
      <c r="S349" s="62"/>
      <c r="T349" s="62"/>
      <c r="U349" s="62"/>
      <c r="V349" s="62"/>
      <c r="X349" s="62"/>
      <c r="Y349" s="62"/>
      <c r="Z349" s="62"/>
      <c r="AA349" s="62"/>
      <c r="AB349" s="63"/>
    </row>
    <row r="350">
      <c r="E350" s="63"/>
      <c r="F350" s="62"/>
      <c r="G350" s="64"/>
      <c r="J350" s="62"/>
      <c r="K350" s="65"/>
      <c r="L350" s="62"/>
      <c r="O350" s="62"/>
      <c r="P350" s="62"/>
      <c r="Q350" s="62"/>
      <c r="R350" s="62"/>
      <c r="S350" s="62"/>
      <c r="T350" s="62"/>
      <c r="U350" s="62"/>
      <c r="V350" s="62"/>
      <c r="X350" s="62"/>
      <c r="Y350" s="62"/>
      <c r="Z350" s="62"/>
      <c r="AA350" s="62"/>
      <c r="AB350" s="63"/>
    </row>
    <row r="351">
      <c r="E351" s="63"/>
      <c r="F351" s="62"/>
      <c r="G351" s="64"/>
      <c r="J351" s="62"/>
      <c r="K351" s="65"/>
      <c r="L351" s="62"/>
      <c r="O351" s="62"/>
      <c r="P351" s="62"/>
      <c r="Q351" s="62"/>
      <c r="R351" s="62"/>
      <c r="S351" s="62"/>
      <c r="T351" s="62"/>
      <c r="U351" s="62"/>
      <c r="V351" s="62"/>
      <c r="X351" s="62"/>
      <c r="Y351" s="62"/>
      <c r="Z351" s="62"/>
      <c r="AA351" s="62"/>
      <c r="AB351" s="63"/>
    </row>
    <row r="352">
      <c r="E352" s="63"/>
      <c r="F352" s="62"/>
      <c r="G352" s="64"/>
      <c r="J352" s="62"/>
      <c r="K352" s="65"/>
      <c r="L352" s="62"/>
      <c r="O352" s="62"/>
      <c r="P352" s="62"/>
      <c r="Q352" s="62"/>
      <c r="R352" s="62"/>
      <c r="S352" s="62"/>
      <c r="T352" s="62"/>
      <c r="U352" s="62"/>
      <c r="V352" s="62"/>
      <c r="X352" s="62"/>
      <c r="Y352" s="62"/>
      <c r="Z352" s="62"/>
      <c r="AA352" s="62"/>
      <c r="AB352" s="63"/>
    </row>
    <row r="353">
      <c r="E353" s="63"/>
      <c r="F353" s="62"/>
      <c r="G353" s="64"/>
      <c r="J353" s="62"/>
      <c r="K353" s="65"/>
      <c r="L353" s="62"/>
      <c r="O353" s="62"/>
      <c r="P353" s="62"/>
      <c r="Q353" s="62"/>
      <c r="R353" s="62"/>
      <c r="S353" s="62"/>
      <c r="T353" s="62"/>
      <c r="U353" s="62"/>
      <c r="V353" s="62"/>
      <c r="X353" s="62"/>
      <c r="Y353" s="62"/>
      <c r="Z353" s="62"/>
      <c r="AA353" s="62"/>
      <c r="AB353" s="63"/>
    </row>
    <row r="354">
      <c r="E354" s="63"/>
      <c r="F354" s="62"/>
      <c r="G354" s="64"/>
      <c r="J354" s="62"/>
      <c r="K354" s="65"/>
      <c r="L354" s="62"/>
      <c r="O354" s="62"/>
      <c r="P354" s="62"/>
      <c r="Q354" s="62"/>
      <c r="R354" s="62"/>
      <c r="S354" s="62"/>
      <c r="T354" s="62"/>
      <c r="U354" s="62"/>
      <c r="V354" s="62"/>
      <c r="X354" s="62"/>
      <c r="Y354" s="62"/>
      <c r="Z354" s="62"/>
      <c r="AA354" s="62"/>
      <c r="AB354" s="63"/>
    </row>
    <row r="355">
      <c r="E355" s="63"/>
      <c r="F355" s="62"/>
      <c r="G355" s="64"/>
      <c r="J355" s="62"/>
      <c r="K355" s="65"/>
      <c r="L355" s="62"/>
      <c r="O355" s="62"/>
      <c r="P355" s="62"/>
      <c r="Q355" s="62"/>
      <c r="R355" s="62"/>
      <c r="S355" s="62"/>
      <c r="T355" s="62"/>
      <c r="U355" s="62"/>
      <c r="V355" s="62"/>
      <c r="X355" s="62"/>
      <c r="Y355" s="62"/>
      <c r="Z355" s="62"/>
      <c r="AA355" s="62"/>
      <c r="AB355" s="63"/>
    </row>
    <row r="356">
      <c r="E356" s="63"/>
      <c r="F356" s="62"/>
      <c r="G356" s="64"/>
      <c r="J356" s="62"/>
      <c r="K356" s="65"/>
      <c r="L356" s="62"/>
      <c r="O356" s="62"/>
      <c r="P356" s="62"/>
      <c r="Q356" s="62"/>
      <c r="R356" s="62"/>
      <c r="S356" s="62"/>
      <c r="T356" s="62"/>
      <c r="U356" s="62"/>
      <c r="V356" s="62"/>
      <c r="X356" s="62"/>
      <c r="Y356" s="62"/>
      <c r="Z356" s="62"/>
      <c r="AA356" s="62"/>
      <c r="AB356" s="63"/>
    </row>
    <row r="357">
      <c r="E357" s="63"/>
      <c r="F357" s="62"/>
      <c r="G357" s="64"/>
      <c r="J357" s="62"/>
      <c r="K357" s="65"/>
      <c r="L357" s="62"/>
      <c r="O357" s="62"/>
      <c r="P357" s="62"/>
      <c r="Q357" s="62"/>
      <c r="R357" s="62"/>
      <c r="S357" s="62"/>
      <c r="T357" s="62"/>
      <c r="U357" s="62"/>
      <c r="V357" s="62"/>
      <c r="X357" s="62"/>
      <c r="Y357" s="62"/>
      <c r="Z357" s="62"/>
      <c r="AA357" s="62"/>
      <c r="AB357" s="63"/>
    </row>
    <row r="358">
      <c r="E358" s="63"/>
      <c r="F358" s="62"/>
      <c r="G358" s="64"/>
      <c r="J358" s="62"/>
      <c r="K358" s="65"/>
      <c r="L358" s="62"/>
      <c r="O358" s="62"/>
      <c r="P358" s="62"/>
      <c r="Q358" s="62"/>
      <c r="R358" s="62"/>
      <c r="S358" s="62"/>
      <c r="T358" s="62"/>
      <c r="U358" s="62"/>
      <c r="V358" s="62"/>
      <c r="X358" s="62"/>
      <c r="Y358" s="62"/>
      <c r="Z358" s="62"/>
      <c r="AA358" s="62"/>
      <c r="AB358" s="63"/>
    </row>
    <row r="359">
      <c r="E359" s="63"/>
      <c r="F359" s="62"/>
      <c r="G359" s="64"/>
      <c r="J359" s="62"/>
      <c r="K359" s="65"/>
      <c r="L359" s="62"/>
      <c r="O359" s="62"/>
      <c r="P359" s="62"/>
      <c r="Q359" s="62"/>
      <c r="R359" s="62"/>
      <c r="S359" s="62"/>
      <c r="T359" s="62"/>
      <c r="U359" s="62"/>
      <c r="V359" s="62"/>
      <c r="X359" s="62"/>
      <c r="Y359" s="62"/>
      <c r="Z359" s="62"/>
      <c r="AA359" s="62"/>
      <c r="AB359" s="63"/>
    </row>
    <row r="360">
      <c r="E360" s="63"/>
      <c r="F360" s="62"/>
      <c r="G360" s="64"/>
      <c r="J360" s="62"/>
      <c r="K360" s="65"/>
      <c r="L360" s="62"/>
      <c r="O360" s="62"/>
      <c r="P360" s="62"/>
      <c r="Q360" s="62"/>
      <c r="R360" s="62"/>
      <c r="S360" s="62"/>
      <c r="T360" s="62"/>
      <c r="U360" s="62"/>
      <c r="V360" s="62"/>
      <c r="X360" s="62"/>
      <c r="Y360" s="62"/>
      <c r="Z360" s="62"/>
      <c r="AA360" s="62"/>
      <c r="AB360" s="63"/>
    </row>
    <row r="361">
      <c r="E361" s="63"/>
      <c r="F361" s="62"/>
      <c r="G361" s="64"/>
      <c r="J361" s="62"/>
      <c r="K361" s="65"/>
      <c r="L361" s="62"/>
      <c r="O361" s="62"/>
      <c r="P361" s="62"/>
      <c r="Q361" s="62"/>
      <c r="R361" s="62"/>
      <c r="S361" s="62"/>
      <c r="T361" s="62"/>
      <c r="U361" s="62"/>
      <c r="V361" s="62"/>
      <c r="X361" s="62"/>
      <c r="Y361" s="62"/>
      <c r="Z361" s="62"/>
      <c r="AA361" s="62"/>
      <c r="AB361" s="63"/>
    </row>
    <row r="362">
      <c r="E362" s="63"/>
      <c r="F362" s="62"/>
      <c r="G362" s="64"/>
      <c r="J362" s="62"/>
      <c r="K362" s="65"/>
      <c r="L362" s="62"/>
      <c r="O362" s="62"/>
      <c r="P362" s="62"/>
      <c r="Q362" s="62"/>
      <c r="R362" s="62"/>
      <c r="S362" s="62"/>
      <c r="T362" s="62"/>
      <c r="U362" s="62"/>
      <c r="V362" s="62"/>
      <c r="X362" s="62"/>
      <c r="Y362" s="62"/>
      <c r="Z362" s="62"/>
      <c r="AA362" s="62"/>
      <c r="AB362" s="63"/>
    </row>
    <row r="363">
      <c r="E363" s="63"/>
      <c r="F363" s="62"/>
      <c r="G363" s="64"/>
      <c r="J363" s="62"/>
      <c r="K363" s="65"/>
      <c r="L363" s="62"/>
      <c r="O363" s="62"/>
      <c r="P363" s="62"/>
      <c r="Q363" s="62"/>
      <c r="R363" s="62"/>
      <c r="S363" s="62"/>
      <c r="T363" s="62"/>
      <c r="U363" s="62"/>
      <c r="V363" s="62"/>
      <c r="X363" s="62"/>
      <c r="Y363" s="62"/>
      <c r="Z363" s="62"/>
      <c r="AA363" s="62"/>
      <c r="AB363" s="63"/>
    </row>
    <row r="364">
      <c r="E364" s="63"/>
      <c r="F364" s="62"/>
      <c r="G364" s="64"/>
      <c r="J364" s="62"/>
      <c r="K364" s="65"/>
      <c r="L364" s="62"/>
      <c r="O364" s="62"/>
      <c r="P364" s="62"/>
      <c r="Q364" s="62"/>
      <c r="R364" s="62"/>
      <c r="S364" s="62"/>
      <c r="T364" s="62"/>
      <c r="U364" s="62"/>
      <c r="V364" s="62"/>
      <c r="X364" s="62"/>
      <c r="Y364" s="62"/>
      <c r="Z364" s="62"/>
      <c r="AA364" s="62"/>
      <c r="AB364" s="63"/>
    </row>
    <row r="365">
      <c r="E365" s="63"/>
      <c r="F365" s="62"/>
      <c r="G365" s="64"/>
      <c r="J365" s="62"/>
      <c r="K365" s="65"/>
      <c r="L365" s="62"/>
      <c r="O365" s="62"/>
      <c r="P365" s="62"/>
      <c r="Q365" s="62"/>
      <c r="R365" s="62"/>
      <c r="S365" s="62"/>
      <c r="T365" s="62"/>
      <c r="U365" s="62"/>
      <c r="V365" s="62"/>
      <c r="X365" s="62"/>
      <c r="Y365" s="62"/>
      <c r="Z365" s="62"/>
      <c r="AA365" s="62"/>
      <c r="AB365" s="63"/>
    </row>
    <row r="366">
      <c r="E366" s="63"/>
      <c r="F366" s="62"/>
      <c r="G366" s="64"/>
      <c r="J366" s="62"/>
      <c r="K366" s="65"/>
      <c r="L366" s="62"/>
      <c r="O366" s="62"/>
      <c r="P366" s="62"/>
      <c r="Q366" s="62"/>
      <c r="R366" s="62"/>
      <c r="S366" s="62"/>
      <c r="T366" s="62"/>
      <c r="U366" s="62"/>
      <c r="V366" s="62"/>
      <c r="X366" s="62"/>
      <c r="Y366" s="62"/>
      <c r="Z366" s="62"/>
      <c r="AA366" s="62"/>
      <c r="AB366" s="63"/>
    </row>
    <row r="367">
      <c r="E367" s="63"/>
      <c r="F367" s="62"/>
      <c r="G367" s="64"/>
      <c r="J367" s="62"/>
      <c r="K367" s="65"/>
      <c r="L367" s="62"/>
      <c r="O367" s="62"/>
      <c r="P367" s="62"/>
      <c r="Q367" s="62"/>
      <c r="R367" s="62"/>
      <c r="S367" s="62"/>
      <c r="T367" s="62"/>
      <c r="U367" s="62"/>
      <c r="V367" s="62"/>
      <c r="X367" s="62"/>
      <c r="Y367" s="62"/>
      <c r="Z367" s="62"/>
      <c r="AA367" s="62"/>
      <c r="AB367" s="63"/>
    </row>
    <row r="368">
      <c r="E368" s="63"/>
      <c r="F368" s="62"/>
      <c r="G368" s="64"/>
      <c r="J368" s="62"/>
      <c r="K368" s="65"/>
      <c r="L368" s="62"/>
      <c r="O368" s="62"/>
      <c r="P368" s="62"/>
      <c r="Q368" s="62"/>
      <c r="R368" s="62"/>
      <c r="S368" s="62"/>
      <c r="T368" s="62"/>
      <c r="U368" s="62"/>
      <c r="V368" s="62"/>
      <c r="X368" s="62"/>
      <c r="Y368" s="62"/>
      <c r="Z368" s="62"/>
      <c r="AA368" s="62"/>
      <c r="AB368" s="63"/>
    </row>
    <row r="369">
      <c r="E369" s="63"/>
      <c r="F369" s="62"/>
      <c r="G369" s="64"/>
      <c r="J369" s="62"/>
      <c r="K369" s="65"/>
      <c r="L369" s="62"/>
      <c r="O369" s="62"/>
      <c r="P369" s="62"/>
      <c r="Q369" s="62"/>
      <c r="R369" s="62"/>
      <c r="S369" s="62"/>
      <c r="T369" s="62"/>
      <c r="U369" s="62"/>
      <c r="V369" s="62"/>
      <c r="X369" s="62"/>
      <c r="Y369" s="62"/>
      <c r="Z369" s="62"/>
      <c r="AA369" s="62"/>
      <c r="AB369" s="63"/>
    </row>
    <row r="370">
      <c r="E370" s="63"/>
      <c r="F370" s="62"/>
      <c r="G370" s="64"/>
      <c r="J370" s="62"/>
      <c r="K370" s="65"/>
      <c r="L370" s="62"/>
      <c r="O370" s="62"/>
      <c r="P370" s="62"/>
      <c r="Q370" s="62"/>
      <c r="R370" s="62"/>
      <c r="S370" s="62"/>
      <c r="T370" s="62"/>
      <c r="U370" s="62"/>
      <c r="V370" s="62"/>
      <c r="X370" s="62"/>
      <c r="Y370" s="62"/>
      <c r="Z370" s="62"/>
      <c r="AA370" s="62"/>
      <c r="AB370" s="63"/>
    </row>
    <row r="371">
      <c r="E371" s="63"/>
      <c r="F371" s="62"/>
      <c r="G371" s="64"/>
      <c r="J371" s="62"/>
      <c r="K371" s="65"/>
      <c r="L371" s="62"/>
      <c r="O371" s="62"/>
      <c r="P371" s="62"/>
      <c r="Q371" s="62"/>
      <c r="R371" s="62"/>
      <c r="S371" s="62"/>
      <c r="T371" s="62"/>
      <c r="U371" s="62"/>
      <c r="V371" s="62"/>
      <c r="X371" s="62"/>
      <c r="Y371" s="62"/>
      <c r="Z371" s="62"/>
      <c r="AA371" s="62"/>
      <c r="AB371" s="63"/>
    </row>
    <row r="372">
      <c r="E372" s="63"/>
      <c r="F372" s="62"/>
      <c r="G372" s="64"/>
      <c r="J372" s="62"/>
      <c r="K372" s="65"/>
      <c r="L372" s="62"/>
      <c r="O372" s="62"/>
      <c r="P372" s="62"/>
      <c r="Q372" s="62"/>
      <c r="R372" s="62"/>
      <c r="S372" s="62"/>
      <c r="T372" s="62"/>
      <c r="U372" s="62"/>
      <c r="V372" s="62"/>
      <c r="X372" s="62"/>
      <c r="Y372" s="62"/>
      <c r="Z372" s="62"/>
      <c r="AA372" s="62"/>
      <c r="AB372" s="63"/>
    </row>
    <row r="373">
      <c r="E373" s="63"/>
      <c r="F373" s="62"/>
      <c r="G373" s="64"/>
      <c r="J373" s="62"/>
      <c r="K373" s="65"/>
      <c r="L373" s="62"/>
      <c r="O373" s="62"/>
      <c r="P373" s="62"/>
      <c r="Q373" s="62"/>
      <c r="R373" s="62"/>
      <c r="S373" s="62"/>
      <c r="T373" s="62"/>
      <c r="U373" s="62"/>
      <c r="V373" s="62"/>
      <c r="X373" s="62"/>
      <c r="Y373" s="62"/>
      <c r="Z373" s="62"/>
      <c r="AA373" s="62"/>
      <c r="AB373" s="63"/>
    </row>
    <row r="374">
      <c r="E374" s="63"/>
      <c r="F374" s="62"/>
      <c r="G374" s="64"/>
      <c r="J374" s="62"/>
      <c r="K374" s="65"/>
      <c r="L374" s="62"/>
      <c r="O374" s="62"/>
      <c r="P374" s="62"/>
      <c r="Q374" s="62"/>
      <c r="R374" s="62"/>
      <c r="S374" s="62"/>
      <c r="T374" s="62"/>
      <c r="U374" s="62"/>
      <c r="V374" s="62"/>
      <c r="X374" s="62"/>
      <c r="Y374" s="62"/>
      <c r="Z374" s="62"/>
      <c r="AA374" s="62"/>
      <c r="AB374" s="63"/>
    </row>
    <row r="375">
      <c r="E375" s="63"/>
      <c r="F375" s="62"/>
      <c r="G375" s="64"/>
      <c r="J375" s="62"/>
      <c r="K375" s="65"/>
      <c r="L375" s="62"/>
      <c r="O375" s="62"/>
      <c r="P375" s="62"/>
      <c r="Q375" s="62"/>
      <c r="R375" s="62"/>
      <c r="S375" s="62"/>
      <c r="T375" s="62"/>
      <c r="U375" s="62"/>
      <c r="V375" s="62"/>
      <c r="X375" s="62"/>
      <c r="Y375" s="62"/>
      <c r="Z375" s="62"/>
      <c r="AA375" s="62"/>
      <c r="AB375" s="63"/>
    </row>
    <row r="376">
      <c r="E376" s="63"/>
      <c r="F376" s="62"/>
      <c r="G376" s="64"/>
      <c r="J376" s="62"/>
      <c r="K376" s="65"/>
      <c r="L376" s="62"/>
      <c r="O376" s="62"/>
      <c r="P376" s="62"/>
      <c r="Q376" s="62"/>
      <c r="R376" s="62"/>
      <c r="S376" s="62"/>
      <c r="T376" s="62"/>
      <c r="U376" s="62"/>
      <c r="V376" s="62"/>
      <c r="X376" s="62"/>
      <c r="Y376" s="62"/>
      <c r="Z376" s="62"/>
      <c r="AA376" s="62"/>
      <c r="AB376" s="63"/>
    </row>
    <row r="377">
      <c r="E377" s="63"/>
      <c r="F377" s="62"/>
      <c r="G377" s="64"/>
      <c r="J377" s="62"/>
      <c r="K377" s="65"/>
      <c r="L377" s="62"/>
      <c r="O377" s="62"/>
      <c r="P377" s="62"/>
      <c r="Q377" s="62"/>
      <c r="R377" s="62"/>
      <c r="S377" s="62"/>
      <c r="T377" s="62"/>
      <c r="U377" s="62"/>
      <c r="V377" s="62"/>
      <c r="X377" s="62"/>
      <c r="Y377" s="62"/>
      <c r="Z377" s="62"/>
      <c r="AA377" s="62"/>
      <c r="AB377" s="63"/>
    </row>
    <row r="378">
      <c r="E378" s="63"/>
      <c r="F378" s="62"/>
      <c r="G378" s="64"/>
      <c r="J378" s="62"/>
      <c r="K378" s="65"/>
      <c r="L378" s="62"/>
      <c r="O378" s="62"/>
      <c r="P378" s="62"/>
      <c r="Q378" s="62"/>
      <c r="R378" s="62"/>
      <c r="S378" s="62"/>
      <c r="T378" s="62"/>
      <c r="U378" s="62"/>
      <c r="V378" s="62"/>
      <c r="X378" s="62"/>
      <c r="Y378" s="62"/>
      <c r="Z378" s="62"/>
      <c r="AA378" s="62"/>
      <c r="AB378" s="63"/>
    </row>
    <row r="379">
      <c r="E379" s="63"/>
      <c r="F379" s="62"/>
      <c r="G379" s="64"/>
      <c r="J379" s="62"/>
      <c r="K379" s="65"/>
      <c r="L379" s="62"/>
      <c r="O379" s="62"/>
      <c r="P379" s="62"/>
      <c r="Q379" s="62"/>
      <c r="R379" s="62"/>
      <c r="S379" s="62"/>
      <c r="T379" s="62"/>
      <c r="U379" s="62"/>
      <c r="V379" s="62"/>
      <c r="X379" s="62"/>
      <c r="Y379" s="62"/>
      <c r="Z379" s="62"/>
      <c r="AA379" s="62"/>
      <c r="AB379" s="63"/>
    </row>
    <row r="380">
      <c r="E380" s="63"/>
      <c r="F380" s="62"/>
      <c r="G380" s="64"/>
      <c r="J380" s="62"/>
      <c r="K380" s="65"/>
      <c r="L380" s="62"/>
      <c r="O380" s="62"/>
      <c r="P380" s="62"/>
      <c r="Q380" s="62"/>
      <c r="R380" s="62"/>
      <c r="S380" s="62"/>
      <c r="T380" s="62"/>
      <c r="U380" s="62"/>
      <c r="V380" s="62"/>
      <c r="X380" s="62"/>
      <c r="Y380" s="62"/>
      <c r="Z380" s="62"/>
      <c r="AA380" s="62"/>
      <c r="AB380" s="63"/>
    </row>
    <row r="381">
      <c r="E381" s="63"/>
      <c r="F381" s="62"/>
      <c r="G381" s="64"/>
      <c r="J381" s="62"/>
      <c r="K381" s="65"/>
      <c r="L381" s="62"/>
      <c r="O381" s="62"/>
      <c r="P381" s="62"/>
      <c r="Q381" s="62"/>
      <c r="R381" s="62"/>
      <c r="S381" s="62"/>
      <c r="T381" s="62"/>
      <c r="U381" s="62"/>
      <c r="V381" s="62"/>
      <c r="X381" s="62"/>
      <c r="Y381" s="62"/>
      <c r="Z381" s="62"/>
      <c r="AA381" s="62"/>
      <c r="AB381" s="63"/>
    </row>
    <row r="382">
      <c r="E382" s="63"/>
      <c r="F382" s="62"/>
      <c r="G382" s="64"/>
      <c r="J382" s="62"/>
      <c r="K382" s="65"/>
      <c r="L382" s="62"/>
      <c r="O382" s="62"/>
      <c r="P382" s="62"/>
      <c r="Q382" s="62"/>
      <c r="R382" s="62"/>
      <c r="S382" s="62"/>
      <c r="T382" s="62"/>
      <c r="U382" s="62"/>
      <c r="V382" s="62"/>
      <c r="X382" s="62"/>
      <c r="Y382" s="62"/>
      <c r="Z382" s="62"/>
      <c r="AA382" s="62"/>
      <c r="AB382" s="63"/>
    </row>
    <row r="383">
      <c r="E383" s="63"/>
      <c r="F383" s="62"/>
      <c r="G383" s="64"/>
      <c r="J383" s="62"/>
      <c r="K383" s="65"/>
      <c r="L383" s="62"/>
      <c r="O383" s="62"/>
      <c r="P383" s="62"/>
      <c r="Q383" s="62"/>
      <c r="R383" s="62"/>
      <c r="S383" s="62"/>
      <c r="T383" s="62"/>
      <c r="U383" s="62"/>
      <c r="V383" s="62"/>
      <c r="X383" s="62"/>
      <c r="Y383" s="62"/>
      <c r="Z383" s="62"/>
      <c r="AA383" s="62"/>
      <c r="AB383" s="63"/>
    </row>
    <row r="384">
      <c r="E384" s="63"/>
      <c r="F384" s="62"/>
      <c r="G384" s="64"/>
      <c r="J384" s="62"/>
      <c r="K384" s="65"/>
      <c r="L384" s="62"/>
      <c r="O384" s="62"/>
      <c r="P384" s="62"/>
      <c r="Q384" s="62"/>
      <c r="R384" s="62"/>
      <c r="S384" s="62"/>
      <c r="T384" s="62"/>
      <c r="U384" s="62"/>
      <c r="V384" s="62"/>
      <c r="X384" s="62"/>
      <c r="Y384" s="62"/>
      <c r="Z384" s="62"/>
      <c r="AA384" s="62"/>
      <c r="AB384" s="63"/>
    </row>
    <row r="385">
      <c r="E385" s="63"/>
      <c r="F385" s="62"/>
      <c r="G385" s="64"/>
      <c r="J385" s="62"/>
      <c r="K385" s="65"/>
      <c r="L385" s="62"/>
      <c r="O385" s="62"/>
      <c r="P385" s="62"/>
      <c r="Q385" s="62"/>
      <c r="R385" s="62"/>
      <c r="S385" s="62"/>
      <c r="T385" s="62"/>
      <c r="U385" s="62"/>
      <c r="V385" s="62"/>
      <c r="X385" s="62"/>
      <c r="Y385" s="62"/>
      <c r="Z385" s="62"/>
      <c r="AA385" s="62"/>
      <c r="AB385" s="63"/>
    </row>
    <row r="386">
      <c r="E386" s="63"/>
      <c r="F386" s="62"/>
      <c r="G386" s="64"/>
      <c r="J386" s="62"/>
      <c r="K386" s="65"/>
      <c r="L386" s="62"/>
      <c r="O386" s="62"/>
      <c r="P386" s="62"/>
      <c r="Q386" s="62"/>
      <c r="R386" s="62"/>
      <c r="S386" s="62"/>
      <c r="T386" s="62"/>
      <c r="U386" s="62"/>
      <c r="V386" s="62"/>
      <c r="X386" s="62"/>
      <c r="Y386" s="62"/>
      <c r="Z386" s="62"/>
      <c r="AA386" s="62"/>
      <c r="AB386" s="63"/>
    </row>
    <row r="387">
      <c r="E387" s="63"/>
      <c r="F387" s="62"/>
      <c r="G387" s="64"/>
      <c r="J387" s="62"/>
      <c r="K387" s="65"/>
      <c r="L387" s="62"/>
      <c r="O387" s="62"/>
      <c r="P387" s="62"/>
      <c r="Q387" s="62"/>
      <c r="R387" s="62"/>
      <c r="S387" s="62"/>
      <c r="T387" s="62"/>
      <c r="U387" s="62"/>
      <c r="V387" s="62"/>
      <c r="X387" s="62"/>
      <c r="Y387" s="62"/>
      <c r="Z387" s="62"/>
      <c r="AA387" s="62"/>
      <c r="AB387" s="63"/>
    </row>
    <row r="388">
      <c r="E388" s="63"/>
      <c r="F388" s="62"/>
      <c r="G388" s="64"/>
      <c r="J388" s="62"/>
      <c r="K388" s="65"/>
      <c r="L388" s="62"/>
      <c r="O388" s="62"/>
      <c r="P388" s="62"/>
      <c r="Q388" s="62"/>
      <c r="R388" s="62"/>
      <c r="S388" s="62"/>
      <c r="T388" s="62"/>
      <c r="U388" s="62"/>
      <c r="V388" s="62"/>
      <c r="X388" s="62"/>
      <c r="Y388" s="62"/>
      <c r="Z388" s="62"/>
      <c r="AA388" s="62"/>
      <c r="AB388" s="63"/>
    </row>
    <row r="389">
      <c r="E389" s="63"/>
      <c r="F389" s="62"/>
      <c r="G389" s="64"/>
      <c r="J389" s="62"/>
      <c r="K389" s="65"/>
      <c r="L389" s="62"/>
      <c r="O389" s="62"/>
      <c r="P389" s="62"/>
      <c r="Q389" s="62"/>
      <c r="R389" s="62"/>
      <c r="S389" s="62"/>
      <c r="T389" s="62"/>
      <c r="U389" s="62"/>
      <c r="V389" s="62"/>
      <c r="X389" s="62"/>
      <c r="Y389" s="62"/>
      <c r="Z389" s="62"/>
      <c r="AA389" s="62"/>
      <c r="AB389" s="63"/>
    </row>
    <row r="390">
      <c r="E390" s="63"/>
      <c r="F390" s="62"/>
      <c r="G390" s="64"/>
      <c r="J390" s="62"/>
      <c r="K390" s="65"/>
      <c r="L390" s="62"/>
      <c r="O390" s="62"/>
      <c r="P390" s="62"/>
      <c r="Q390" s="62"/>
      <c r="R390" s="62"/>
      <c r="S390" s="62"/>
      <c r="T390" s="62"/>
      <c r="U390" s="62"/>
      <c r="V390" s="62"/>
      <c r="X390" s="62"/>
      <c r="Y390" s="62"/>
      <c r="Z390" s="62"/>
      <c r="AA390" s="62"/>
      <c r="AB390" s="63"/>
    </row>
    <row r="391">
      <c r="E391" s="63"/>
      <c r="F391" s="62"/>
      <c r="G391" s="64"/>
      <c r="J391" s="62"/>
      <c r="K391" s="65"/>
      <c r="L391" s="62"/>
      <c r="O391" s="62"/>
      <c r="P391" s="62"/>
      <c r="Q391" s="62"/>
      <c r="R391" s="62"/>
      <c r="S391" s="62"/>
      <c r="T391" s="62"/>
      <c r="U391" s="62"/>
      <c r="V391" s="62"/>
      <c r="X391" s="62"/>
      <c r="Y391" s="62"/>
      <c r="Z391" s="62"/>
      <c r="AA391" s="62"/>
      <c r="AB391" s="63"/>
    </row>
    <row r="392">
      <c r="E392" s="63"/>
      <c r="F392" s="62"/>
      <c r="G392" s="64"/>
      <c r="J392" s="62"/>
      <c r="K392" s="65"/>
      <c r="L392" s="62"/>
      <c r="O392" s="62"/>
      <c r="P392" s="62"/>
      <c r="Q392" s="62"/>
      <c r="R392" s="62"/>
      <c r="S392" s="62"/>
      <c r="T392" s="62"/>
      <c r="U392" s="62"/>
      <c r="V392" s="62"/>
      <c r="X392" s="62"/>
      <c r="Y392" s="62"/>
      <c r="Z392" s="62"/>
      <c r="AA392" s="62"/>
      <c r="AB392" s="63"/>
    </row>
    <row r="393">
      <c r="E393" s="63"/>
      <c r="F393" s="62"/>
      <c r="G393" s="64"/>
      <c r="J393" s="62"/>
      <c r="K393" s="65"/>
      <c r="L393" s="62"/>
      <c r="O393" s="62"/>
      <c r="P393" s="62"/>
      <c r="Q393" s="62"/>
      <c r="R393" s="62"/>
      <c r="S393" s="62"/>
      <c r="T393" s="62"/>
      <c r="U393" s="62"/>
      <c r="V393" s="62"/>
      <c r="X393" s="62"/>
      <c r="Y393" s="62"/>
      <c r="Z393" s="62"/>
      <c r="AA393" s="62"/>
      <c r="AB393" s="63"/>
    </row>
    <row r="394">
      <c r="E394" s="63"/>
      <c r="F394" s="62"/>
      <c r="G394" s="64"/>
      <c r="J394" s="62"/>
      <c r="K394" s="65"/>
      <c r="L394" s="62"/>
      <c r="O394" s="62"/>
      <c r="P394" s="62"/>
      <c r="Q394" s="62"/>
      <c r="R394" s="62"/>
      <c r="S394" s="62"/>
      <c r="T394" s="62"/>
      <c r="U394" s="62"/>
      <c r="V394" s="62"/>
      <c r="X394" s="62"/>
      <c r="Y394" s="62"/>
      <c r="Z394" s="62"/>
      <c r="AA394" s="62"/>
      <c r="AB394" s="63"/>
    </row>
    <row r="395">
      <c r="E395" s="63"/>
      <c r="F395" s="62"/>
      <c r="G395" s="64"/>
      <c r="J395" s="62"/>
      <c r="K395" s="65"/>
      <c r="L395" s="62"/>
      <c r="O395" s="62"/>
      <c r="P395" s="62"/>
      <c r="Q395" s="62"/>
      <c r="R395" s="62"/>
      <c r="S395" s="62"/>
      <c r="T395" s="62"/>
      <c r="U395" s="62"/>
      <c r="V395" s="62"/>
      <c r="X395" s="62"/>
      <c r="Y395" s="62"/>
      <c r="Z395" s="62"/>
      <c r="AA395" s="62"/>
      <c r="AB395" s="63"/>
    </row>
    <row r="396">
      <c r="E396" s="63"/>
      <c r="F396" s="62"/>
      <c r="G396" s="64"/>
      <c r="J396" s="62"/>
      <c r="K396" s="65"/>
      <c r="L396" s="62"/>
      <c r="O396" s="62"/>
      <c r="P396" s="62"/>
      <c r="Q396" s="62"/>
      <c r="R396" s="62"/>
      <c r="S396" s="62"/>
      <c r="T396" s="62"/>
      <c r="U396" s="62"/>
      <c r="V396" s="62"/>
      <c r="X396" s="62"/>
      <c r="Y396" s="62"/>
      <c r="Z396" s="62"/>
      <c r="AA396" s="62"/>
      <c r="AB396" s="63"/>
    </row>
    <row r="397">
      <c r="E397" s="63"/>
      <c r="F397" s="62"/>
      <c r="G397" s="64"/>
      <c r="J397" s="62"/>
      <c r="K397" s="65"/>
      <c r="L397" s="62"/>
      <c r="O397" s="62"/>
      <c r="P397" s="62"/>
      <c r="Q397" s="62"/>
      <c r="R397" s="62"/>
      <c r="S397" s="62"/>
      <c r="T397" s="62"/>
      <c r="U397" s="62"/>
      <c r="V397" s="62"/>
      <c r="X397" s="62"/>
      <c r="Y397" s="62"/>
      <c r="Z397" s="62"/>
      <c r="AA397" s="62"/>
      <c r="AB397" s="63"/>
    </row>
    <row r="398">
      <c r="E398" s="63"/>
      <c r="F398" s="62"/>
      <c r="G398" s="64"/>
      <c r="J398" s="62"/>
      <c r="K398" s="65"/>
      <c r="L398" s="62"/>
      <c r="O398" s="62"/>
      <c r="P398" s="62"/>
      <c r="Q398" s="62"/>
      <c r="R398" s="62"/>
      <c r="S398" s="62"/>
      <c r="T398" s="62"/>
      <c r="U398" s="62"/>
      <c r="V398" s="62"/>
      <c r="X398" s="62"/>
      <c r="Y398" s="62"/>
      <c r="Z398" s="62"/>
      <c r="AA398" s="62"/>
      <c r="AB398" s="63"/>
    </row>
    <row r="399">
      <c r="E399" s="63"/>
      <c r="F399" s="62"/>
      <c r="G399" s="64"/>
      <c r="J399" s="62"/>
      <c r="K399" s="65"/>
      <c r="L399" s="62"/>
      <c r="O399" s="62"/>
      <c r="P399" s="62"/>
      <c r="Q399" s="62"/>
      <c r="R399" s="62"/>
      <c r="S399" s="62"/>
      <c r="T399" s="62"/>
      <c r="U399" s="62"/>
      <c r="V399" s="62"/>
      <c r="X399" s="62"/>
      <c r="Y399" s="62"/>
      <c r="Z399" s="62"/>
      <c r="AA399" s="62"/>
      <c r="AB399" s="63"/>
    </row>
    <row r="400">
      <c r="E400" s="63"/>
      <c r="F400" s="62"/>
      <c r="G400" s="64"/>
      <c r="J400" s="62"/>
      <c r="K400" s="65"/>
      <c r="L400" s="62"/>
      <c r="O400" s="62"/>
      <c r="P400" s="62"/>
      <c r="Q400" s="62"/>
      <c r="R400" s="62"/>
      <c r="S400" s="62"/>
      <c r="T400" s="62"/>
      <c r="U400" s="62"/>
      <c r="V400" s="62"/>
      <c r="X400" s="62"/>
      <c r="Y400" s="62"/>
      <c r="Z400" s="62"/>
      <c r="AA400" s="62"/>
      <c r="AB400" s="63"/>
    </row>
    <row r="401">
      <c r="E401" s="63"/>
      <c r="F401" s="62"/>
      <c r="G401" s="64"/>
      <c r="J401" s="62"/>
      <c r="K401" s="65"/>
      <c r="L401" s="62"/>
      <c r="O401" s="62"/>
      <c r="P401" s="62"/>
      <c r="Q401" s="62"/>
      <c r="R401" s="62"/>
      <c r="S401" s="62"/>
      <c r="T401" s="62"/>
      <c r="U401" s="62"/>
      <c r="V401" s="62"/>
      <c r="X401" s="62"/>
      <c r="Y401" s="62"/>
      <c r="Z401" s="62"/>
      <c r="AA401" s="62"/>
      <c r="AB401" s="63"/>
    </row>
    <row r="402">
      <c r="E402" s="63"/>
      <c r="F402" s="62"/>
      <c r="G402" s="64"/>
      <c r="J402" s="62"/>
      <c r="K402" s="65"/>
      <c r="L402" s="62"/>
      <c r="O402" s="62"/>
      <c r="P402" s="62"/>
      <c r="Q402" s="62"/>
      <c r="R402" s="62"/>
      <c r="S402" s="62"/>
      <c r="T402" s="62"/>
      <c r="U402" s="62"/>
      <c r="V402" s="62"/>
      <c r="X402" s="62"/>
      <c r="Y402" s="62"/>
      <c r="Z402" s="62"/>
      <c r="AA402" s="62"/>
      <c r="AB402" s="63"/>
    </row>
    <row r="403">
      <c r="E403" s="63"/>
      <c r="F403" s="62"/>
      <c r="G403" s="64"/>
      <c r="J403" s="62"/>
      <c r="K403" s="65"/>
      <c r="L403" s="62"/>
      <c r="O403" s="62"/>
      <c r="P403" s="62"/>
      <c r="Q403" s="62"/>
      <c r="R403" s="62"/>
      <c r="S403" s="62"/>
      <c r="T403" s="62"/>
      <c r="U403" s="62"/>
      <c r="V403" s="62"/>
      <c r="X403" s="62"/>
      <c r="Y403" s="62"/>
      <c r="Z403" s="62"/>
      <c r="AA403" s="62"/>
      <c r="AB403" s="63"/>
    </row>
    <row r="404">
      <c r="E404" s="63"/>
      <c r="F404" s="62"/>
      <c r="G404" s="64"/>
      <c r="J404" s="62"/>
      <c r="K404" s="65"/>
      <c r="L404" s="62"/>
      <c r="O404" s="62"/>
      <c r="P404" s="62"/>
      <c r="Q404" s="62"/>
      <c r="R404" s="62"/>
      <c r="S404" s="62"/>
      <c r="T404" s="62"/>
      <c r="U404" s="62"/>
      <c r="V404" s="62"/>
      <c r="X404" s="62"/>
      <c r="Y404" s="62"/>
      <c r="Z404" s="62"/>
      <c r="AA404" s="62"/>
      <c r="AB404" s="63"/>
    </row>
    <row r="405">
      <c r="E405" s="63"/>
      <c r="F405" s="62"/>
      <c r="G405" s="64"/>
      <c r="J405" s="62"/>
      <c r="K405" s="65"/>
      <c r="L405" s="62"/>
      <c r="O405" s="62"/>
      <c r="P405" s="62"/>
      <c r="Q405" s="62"/>
      <c r="R405" s="62"/>
      <c r="S405" s="62"/>
      <c r="T405" s="62"/>
      <c r="U405" s="62"/>
      <c r="V405" s="62"/>
      <c r="X405" s="62"/>
      <c r="Y405" s="62"/>
      <c r="Z405" s="62"/>
      <c r="AA405" s="62"/>
      <c r="AB405" s="63"/>
    </row>
    <row r="406">
      <c r="E406" s="63"/>
      <c r="F406" s="62"/>
      <c r="G406" s="64"/>
      <c r="J406" s="62"/>
      <c r="K406" s="65"/>
      <c r="L406" s="62"/>
      <c r="O406" s="62"/>
      <c r="P406" s="62"/>
      <c r="Q406" s="62"/>
      <c r="R406" s="62"/>
      <c r="S406" s="62"/>
      <c r="T406" s="62"/>
      <c r="U406" s="62"/>
      <c r="V406" s="62"/>
      <c r="X406" s="62"/>
      <c r="Y406" s="62"/>
      <c r="Z406" s="62"/>
      <c r="AA406" s="62"/>
      <c r="AB406" s="63"/>
    </row>
    <row r="407">
      <c r="E407" s="63"/>
      <c r="F407" s="62"/>
      <c r="G407" s="64"/>
      <c r="J407" s="62"/>
      <c r="K407" s="65"/>
      <c r="L407" s="62"/>
      <c r="O407" s="62"/>
      <c r="P407" s="62"/>
      <c r="Q407" s="62"/>
      <c r="R407" s="62"/>
      <c r="S407" s="62"/>
      <c r="T407" s="62"/>
      <c r="U407" s="62"/>
      <c r="V407" s="62"/>
      <c r="X407" s="62"/>
      <c r="Y407" s="62"/>
      <c r="Z407" s="62"/>
      <c r="AA407" s="62"/>
      <c r="AB407" s="63"/>
    </row>
    <row r="408">
      <c r="E408" s="63"/>
      <c r="F408" s="62"/>
      <c r="G408" s="64"/>
      <c r="J408" s="62"/>
      <c r="K408" s="65"/>
      <c r="L408" s="62"/>
      <c r="O408" s="62"/>
      <c r="P408" s="62"/>
      <c r="Q408" s="62"/>
      <c r="R408" s="62"/>
      <c r="S408" s="62"/>
      <c r="T408" s="62"/>
      <c r="U408" s="62"/>
      <c r="V408" s="62"/>
      <c r="X408" s="62"/>
      <c r="Y408" s="62"/>
      <c r="Z408" s="62"/>
      <c r="AA408" s="62"/>
      <c r="AB408" s="63"/>
    </row>
    <row r="409">
      <c r="E409" s="63"/>
      <c r="F409" s="62"/>
      <c r="G409" s="64"/>
      <c r="J409" s="62"/>
      <c r="K409" s="65"/>
      <c r="L409" s="62"/>
      <c r="O409" s="62"/>
      <c r="P409" s="62"/>
      <c r="Q409" s="62"/>
      <c r="R409" s="62"/>
      <c r="S409" s="62"/>
      <c r="T409" s="62"/>
      <c r="U409" s="62"/>
      <c r="V409" s="62"/>
      <c r="X409" s="62"/>
      <c r="Y409" s="62"/>
      <c r="Z409" s="62"/>
      <c r="AA409" s="62"/>
      <c r="AB409" s="63"/>
    </row>
    <row r="410">
      <c r="E410" s="63"/>
      <c r="F410" s="62"/>
      <c r="G410" s="64"/>
      <c r="J410" s="62"/>
      <c r="K410" s="65"/>
      <c r="L410" s="62"/>
      <c r="O410" s="62"/>
      <c r="P410" s="62"/>
      <c r="Q410" s="62"/>
      <c r="R410" s="62"/>
      <c r="S410" s="62"/>
      <c r="T410" s="62"/>
      <c r="U410" s="62"/>
      <c r="V410" s="62"/>
      <c r="X410" s="62"/>
      <c r="Y410" s="62"/>
      <c r="Z410" s="62"/>
      <c r="AA410" s="62"/>
      <c r="AB410" s="63"/>
    </row>
    <row r="411">
      <c r="E411" s="63"/>
      <c r="F411" s="62"/>
      <c r="G411" s="64"/>
      <c r="J411" s="62"/>
      <c r="K411" s="65"/>
      <c r="L411" s="62"/>
      <c r="O411" s="62"/>
      <c r="P411" s="62"/>
      <c r="Q411" s="62"/>
      <c r="R411" s="62"/>
      <c r="S411" s="62"/>
      <c r="T411" s="62"/>
      <c r="U411" s="62"/>
      <c r="V411" s="62"/>
      <c r="X411" s="62"/>
      <c r="Y411" s="62"/>
      <c r="Z411" s="62"/>
      <c r="AA411" s="62"/>
      <c r="AB411" s="63"/>
    </row>
    <row r="412">
      <c r="E412" s="63"/>
      <c r="F412" s="62"/>
      <c r="G412" s="64"/>
      <c r="J412" s="62"/>
      <c r="K412" s="65"/>
      <c r="L412" s="62"/>
      <c r="O412" s="62"/>
      <c r="P412" s="62"/>
      <c r="Q412" s="62"/>
      <c r="R412" s="62"/>
      <c r="S412" s="62"/>
      <c r="T412" s="62"/>
      <c r="U412" s="62"/>
      <c r="V412" s="62"/>
      <c r="X412" s="62"/>
      <c r="Y412" s="62"/>
      <c r="Z412" s="62"/>
      <c r="AA412" s="62"/>
      <c r="AB412" s="63"/>
    </row>
    <row r="413">
      <c r="E413" s="63"/>
      <c r="F413" s="62"/>
      <c r="G413" s="64"/>
      <c r="J413" s="62"/>
      <c r="K413" s="65"/>
      <c r="L413" s="62"/>
      <c r="O413" s="62"/>
      <c r="P413" s="62"/>
      <c r="Q413" s="62"/>
      <c r="R413" s="62"/>
      <c r="S413" s="62"/>
      <c r="T413" s="62"/>
      <c r="U413" s="62"/>
      <c r="V413" s="62"/>
      <c r="X413" s="62"/>
      <c r="Y413" s="62"/>
      <c r="Z413" s="62"/>
      <c r="AA413" s="62"/>
      <c r="AB413" s="63"/>
    </row>
    <row r="414">
      <c r="E414" s="63"/>
      <c r="F414" s="62"/>
      <c r="G414" s="64"/>
      <c r="J414" s="62"/>
      <c r="K414" s="65"/>
      <c r="L414" s="62"/>
      <c r="O414" s="62"/>
      <c r="P414" s="62"/>
      <c r="Q414" s="62"/>
      <c r="R414" s="62"/>
      <c r="S414" s="62"/>
      <c r="T414" s="62"/>
      <c r="U414" s="62"/>
      <c r="V414" s="62"/>
      <c r="X414" s="62"/>
      <c r="Y414" s="62"/>
      <c r="Z414" s="62"/>
      <c r="AA414" s="62"/>
      <c r="AB414" s="63"/>
    </row>
    <row r="415">
      <c r="E415" s="63"/>
      <c r="F415" s="62"/>
      <c r="G415" s="64"/>
      <c r="J415" s="62"/>
      <c r="K415" s="65"/>
      <c r="L415" s="62"/>
      <c r="O415" s="62"/>
      <c r="P415" s="62"/>
      <c r="Q415" s="62"/>
      <c r="R415" s="62"/>
      <c r="S415" s="62"/>
      <c r="T415" s="62"/>
      <c r="U415" s="62"/>
      <c r="V415" s="62"/>
      <c r="X415" s="62"/>
      <c r="Y415" s="62"/>
      <c r="Z415" s="62"/>
      <c r="AA415" s="62"/>
      <c r="AB415" s="63"/>
    </row>
    <row r="416">
      <c r="E416" s="63"/>
      <c r="F416" s="62"/>
      <c r="G416" s="64"/>
      <c r="J416" s="62"/>
      <c r="K416" s="65"/>
      <c r="L416" s="62"/>
      <c r="O416" s="62"/>
      <c r="P416" s="62"/>
      <c r="Q416" s="62"/>
      <c r="R416" s="62"/>
      <c r="S416" s="62"/>
      <c r="T416" s="62"/>
      <c r="U416" s="62"/>
      <c r="V416" s="62"/>
      <c r="X416" s="62"/>
      <c r="Y416" s="62"/>
      <c r="Z416" s="62"/>
      <c r="AA416" s="62"/>
      <c r="AB416" s="63"/>
    </row>
    <row r="417">
      <c r="E417" s="63"/>
      <c r="F417" s="62"/>
      <c r="G417" s="64"/>
      <c r="J417" s="62"/>
      <c r="K417" s="65"/>
      <c r="L417" s="62"/>
      <c r="O417" s="62"/>
      <c r="P417" s="62"/>
      <c r="Q417" s="62"/>
      <c r="R417" s="62"/>
      <c r="S417" s="62"/>
      <c r="T417" s="62"/>
      <c r="U417" s="62"/>
      <c r="V417" s="62"/>
      <c r="X417" s="62"/>
      <c r="Y417" s="62"/>
      <c r="Z417" s="62"/>
      <c r="AA417" s="62"/>
      <c r="AB417" s="63"/>
    </row>
    <row r="418">
      <c r="E418" s="63"/>
      <c r="F418" s="62"/>
      <c r="G418" s="64"/>
      <c r="J418" s="62"/>
      <c r="K418" s="65"/>
      <c r="L418" s="62"/>
      <c r="O418" s="62"/>
      <c r="P418" s="62"/>
      <c r="Q418" s="62"/>
      <c r="R418" s="62"/>
      <c r="S418" s="62"/>
      <c r="T418" s="62"/>
      <c r="U418" s="62"/>
      <c r="V418" s="62"/>
      <c r="X418" s="62"/>
      <c r="Y418" s="62"/>
      <c r="Z418" s="62"/>
      <c r="AA418" s="62"/>
      <c r="AB418" s="63"/>
    </row>
    <row r="419">
      <c r="E419" s="63"/>
      <c r="F419" s="62"/>
      <c r="G419" s="64"/>
      <c r="J419" s="62"/>
      <c r="K419" s="65"/>
      <c r="L419" s="62"/>
      <c r="O419" s="62"/>
      <c r="P419" s="62"/>
      <c r="Q419" s="62"/>
      <c r="R419" s="62"/>
      <c r="S419" s="62"/>
      <c r="T419" s="62"/>
      <c r="U419" s="62"/>
      <c r="V419" s="62"/>
      <c r="X419" s="62"/>
      <c r="Y419" s="62"/>
      <c r="Z419" s="62"/>
      <c r="AA419" s="62"/>
      <c r="AB419" s="63"/>
    </row>
    <row r="420">
      <c r="E420" s="63"/>
      <c r="F420" s="62"/>
      <c r="G420" s="64"/>
      <c r="J420" s="62"/>
      <c r="K420" s="65"/>
      <c r="L420" s="62"/>
      <c r="O420" s="62"/>
      <c r="P420" s="62"/>
      <c r="Q420" s="62"/>
      <c r="R420" s="62"/>
      <c r="S420" s="62"/>
      <c r="T420" s="62"/>
      <c r="U420" s="62"/>
      <c r="V420" s="62"/>
      <c r="X420" s="62"/>
      <c r="Y420" s="62"/>
      <c r="Z420" s="62"/>
      <c r="AA420" s="62"/>
      <c r="AB420" s="63"/>
    </row>
    <row r="421">
      <c r="E421" s="63"/>
      <c r="F421" s="62"/>
      <c r="G421" s="64"/>
      <c r="J421" s="62"/>
      <c r="K421" s="65"/>
      <c r="L421" s="62"/>
      <c r="O421" s="62"/>
      <c r="P421" s="62"/>
      <c r="Q421" s="62"/>
      <c r="R421" s="62"/>
      <c r="S421" s="62"/>
      <c r="T421" s="62"/>
      <c r="U421" s="62"/>
      <c r="V421" s="62"/>
      <c r="X421" s="62"/>
      <c r="Y421" s="62"/>
      <c r="Z421" s="62"/>
      <c r="AA421" s="62"/>
      <c r="AB421" s="63"/>
    </row>
    <row r="422">
      <c r="E422" s="63"/>
      <c r="F422" s="62"/>
      <c r="G422" s="64"/>
      <c r="J422" s="62"/>
      <c r="K422" s="65"/>
      <c r="L422" s="62"/>
      <c r="O422" s="62"/>
      <c r="P422" s="62"/>
      <c r="Q422" s="62"/>
      <c r="R422" s="62"/>
      <c r="S422" s="62"/>
      <c r="T422" s="62"/>
      <c r="U422" s="62"/>
      <c r="V422" s="62"/>
      <c r="X422" s="62"/>
      <c r="Y422" s="62"/>
      <c r="Z422" s="62"/>
      <c r="AA422" s="62"/>
      <c r="AB422" s="63"/>
    </row>
    <row r="423">
      <c r="E423" s="63"/>
      <c r="F423" s="62"/>
      <c r="G423" s="64"/>
      <c r="J423" s="62"/>
      <c r="K423" s="65"/>
      <c r="L423" s="62"/>
      <c r="O423" s="62"/>
      <c r="P423" s="62"/>
      <c r="Q423" s="62"/>
      <c r="R423" s="62"/>
      <c r="S423" s="62"/>
      <c r="T423" s="62"/>
      <c r="U423" s="62"/>
      <c r="V423" s="62"/>
      <c r="X423" s="62"/>
      <c r="Y423" s="62"/>
      <c r="Z423" s="62"/>
      <c r="AA423" s="62"/>
      <c r="AB423" s="63"/>
    </row>
    <row r="424">
      <c r="E424" s="63"/>
      <c r="F424" s="62"/>
      <c r="G424" s="64"/>
      <c r="J424" s="62"/>
      <c r="K424" s="65"/>
      <c r="L424" s="62"/>
      <c r="O424" s="62"/>
      <c r="P424" s="62"/>
      <c r="Q424" s="62"/>
      <c r="R424" s="62"/>
      <c r="S424" s="62"/>
      <c r="T424" s="62"/>
      <c r="U424" s="62"/>
      <c r="V424" s="62"/>
      <c r="X424" s="62"/>
      <c r="Y424" s="62"/>
      <c r="Z424" s="62"/>
      <c r="AA424" s="62"/>
      <c r="AB424" s="63"/>
    </row>
    <row r="425">
      <c r="E425" s="63"/>
      <c r="F425" s="62"/>
      <c r="G425" s="64"/>
      <c r="J425" s="62"/>
      <c r="K425" s="65"/>
      <c r="L425" s="62"/>
      <c r="O425" s="62"/>
      <c r="P425" s="62"/>
      <c r="Q425" s="62"/>
      <c r="R425" s="62"/>
      <c r="S425" s="62"/>
      <c r="T425" s="62"/>
      <c r="U425" s="62"/>
      <c r="V425" s="62"/>
      <c r="X425" s="62"/>
      <c r="Y425" s="62"/>
      <c r="Z425" s="62"/>
      <c r="AA425" s="62"/>
      <c r="AB425" s="63"/>
    </row>
    <row r="426">
      <c r="E426" s="63"/>
      <c r="F426" s="62"/>
      <c r="G426" s="64"/>
      <c r="J426" s="62"/>
      <c r="K426" s="65"/>
      <c r="L426" s="62"/>
      <c r="O426" s="62"/>
      <c r="P426" s="62"/>
      <c r="Q426" s="62"/>
      <c r="R426" s="62"/>
      <c r="S426" s="62"/>
      <c r="T426" s="62"/>
      <c r="U426" s="62"/>
      <c r="V426" s="62"/>
      <c r="X426" s="62"/>
      <c r="Y426" s="62"/>
      <c r="Z426" s="62"/>
      <c r="AA426" s="62"/>
      <c r="AB426" s="63"/>
    </row>
    <row r="427">
      <c r="E427" s="63"/>
      <c r="F427" s="62"/>
      <c r="G427" s="64"/>
      <c r="J427" s="62"/>
      <c r="K427" s="65"/>
      <c r="L427" s="62"/>
      <c r="O427" s="62"/>
      <c r="P427" s="62"/>
      <c r="Q427" s="62"/>
      <c r="R427" s="62"/>
      <c r="S427" s="62"/>
      <c r="T427" s="62"/>
      <c r="U427" s="62"/>
      <c r="V427" s="62"/>
      <c r="X427" s="62"/>
      <c r="Y427" s="62"/>
      <c r="Z427" s="62"/>
      <c r="AA427" s="62"/>
      <c r="AB427" s="63"/>
    </row>
    <row r="428">
      <c r="E428" s="63"/>
      <c r="F428" s="62"/>
      <c r="G428" s="64"/>
      <c r="J428" s="62"/>
      <c r="K428" s="65"/>
      <c r="L428" s="62"/>
      <c r="O428" s="62"/>
      <c r="P428" s="62"/>
      <c r="Q428" s="62"/>
      <c r="R428" s="62"/>
      <c r="S428" s="62"/>
      <c r="T428" s="62"/>
      <c r="U428" s="62"/>
      <c r="V428" s="62"/>
      <c r="X428" s="62"/>
      <c r="Y428" s="62"/>
      <c r="Z428" s="62"/>
      <c r="AA428" s="62"/>
      <c r="AB428" s="63"/>
    </row>
    <row r="429">
      <c r="E429" s="63"/>
      <c r="F429" s="62"/>
      <c r="G429" s="64"/>
      <c r="J429" s="62"/>
      <c r="K429" s="65"/>
      <c r="L429" s="62"/>
      <c r="O429" s="62"/>
      <c r="P429" s="62"/>
      <c r="Q429" s="62"/>
      <c r="R429" s="62"/>
      <c r="S429" s="62"/>
      <c r="T429" s="62"/>
      <c r="U429" s="62"/>
      <c r="V429" s="62"/>
      <c r="X429" s="62"/>
      <c r="Y429" s="62"/>
      <c r="Z429" s="62"/>
      <c r="AA429" s="62"/>
      <c r="AB429" s="63"/>
    </row>
    <row r="430">
      <c r="E430" s="63"/>
      <c r="F430" s="62"/>
      <c r="G430" s="64"/>
      <c r="J430" s="62"/>
      <c r="K430" s="65"/>
      <c r="L430" s="62"/>
      <c r="O430" s="62"/>
      <c r="P430" s="62"/>
      <c r="Q430" s="62"/>
      <c r="R430" s="62"/>
      <c r="S430" s="62"/>
      <c r="T430" s="62"/>
      <c r="U430" s="62"/>
      <c r="V430" s="62"/>
      <c r="X430" s="62"/>
      <c r="Y430" s="62"/>
      <c r="Z430" s="62"/>
      <c r="AA430" s="62"/>
      <c r="AB430" s="63"/>
    </row>
    <row r="431">
      <c r="E431" s="63"/>
      <c r="F431" s="62"/>
      <c r="G431" s="64"/>
      <c r="J431" s="62"/>
      <c r="K431" s="65"/>
      <c r="L431" s="62"/>
      <c r="O431" s="62"/>
      <c r="P431" s="62"/>
      <c r="Q431" s="62"/>
      <c r="R431" s="62"/>
      <c r="S431" s="62"/>
      <c r="T431" s="62"/>
      <c r="U431" s="62"/>
      <c r="V431" s="62"/>
      <c r="X431" s="62"/>
      <c r="Y431" s="62"/>
      <c r="Z431" s="62"/>
      <c r="AA431" s="62"/>
      <c r="AB431" s="63"/>
    </row>
    <row r="432">
      <c r="E432" s="63"/>
      <c r="F432" s="62"/>
      <c r="G432" s="64"/>
      <c r="J432" s="62"/>
      <c r="K432" s="65"/>
      <c r="L432" s="62"/>
      <c r="O432" s="62"/>
      <c r="P432" s="62"/>
      <c r="Q432" s="62"/>
      <c r="R432" s="62"/>
      <c r="S432" s="62"/>
      <c r="T432" s="62"/>
      <c r="U432" s="62"/>
      <c r="V432" s="62"/>
      <c r="X432" s="62"/>
      <c r="Y432" s="62"/>
      <c r="Z432" s="62"/>
      <c r="AA432" s="62"/>
      <c r="AB432" s="63"/>
    </row>
    <row r="433">
      <c r="E433" s="63"/>
      <c r="F433" s="62"/>
      <c r="G433" s="64"/>
      <c r="J433" s="62"/>
      <c r="K433" s="65"/>
      <c r="L433" s="62"/>
      <c r="O433" s="62"/>
      <c r="P433" s="62"/>
      <c r="Q433" s="62"/>
      <c r="R433" s="62"/>
      <c r="S433" s="62"/>
      <c r="T433" s="62"/>
      <c r="U433" s="62"/>
      <c r="V433" s="62"/>
      <c r="X433" s="62"/>
      <c r="Y433" s="62"/>
      <c r="Z433" s="62"/>
      <c r="AA433" s="62"/>
      <c r="AB433" s="63"/>
    </row>
    <row r="434">
      <c r="E434" s="63"/>
      <c r="F434" s="62"/>
      <c r="G434" s="64"/>
      <c r="J434" s="62"/>
      <c r="K434" s="65"/>
      <c r="L434" s="62"/>
      <c r="O434" s="62"/>
      <c r="P434" s="62"/>
      <c r="Q434" s="62"/>
      <c r="R434" s="62"/>
      <c r="S434" s="62"/>
      <c r="T434" s="62"/>
      <c r="U434" s="62"/>
      <c r="V434" s="62"/>
      <c r="X434" s="62"/>
      <c r="Y434" s="62"/>
      <c r="Z434" s="62"/>
      <c r="AA434" s="62"/>
      <c r="AB434" s="63"/>
    </row>
    <row r="435">
      <c r="E435" s="63"/>
      <c r="F435" s="62"/>
      <c r="G435" s="64"/>
      <c r="J435" s="62"/>
      <c r="K435" s="65"/>
      <c r="L435" s="62"/>
      <c r="O435" s="62"/>
      <c r="P435" s="62"/>
      <c r="Q435" s="62"/>
      <c r="R435" s="62"/>
      <c r="S435" s="62"/>
      <c r="T435" s="62"/>
      <c r="U435" s="62"/>
      <c r="V435" s="62"/>
      <c r="X435" s="62"/>
      <c r="Y435" s="62"/>
      <c r="Z435" s="62"/>
      <c r="AA435" s="62"/>
      <c r="AB435" s="63"/>
    </row>
    <row r="436">
      <c r="E436" s="63"/>
      <c r="F436" s="62"/>
      <c r="G436" s="64"/>
      <c r="J436" s="62"/>
      <c r="K436" s="65"/>
      <c r="L436" s="62"/>
      <c r="O436" s="62"/>
      <c r="P436" s="62"/>
      <c r="Q436" s="62"/>
      <c r="R436" s="62"/>
      <c r="S436" s="62"/>
      <c r="T436" s="62"/>
      <c r="U436" s="62"/>
      <c r="V436" s="62"/>
      <c r="X436" s="62"/>
      <c r="Y436" s="62"/>
      <c r="Z436" s="62"/>
      <c r="AA436" s="62"/>
      <c r="AB436" s="63"/>
    </row>
    <row r="437">
      <c r="E437" s="63"/>
      <c r="F437" s="62"/>
      <c r="G437" s="64"/>
      <c r="J437" s="62"/>
      <c r="K437" s="65"/>
      <c r="L437" s="62"/>
      <c r="O437" s="62"/>
      <c r="P437" s="62"/>
      <c r="Q437" s="62"/>
      <c r="R437" s="62"/>
      <c r="S437" s="62"/>
      <c r="T437" s="62"/>
      <c r="U437" s="62"/>
      <c r="V437" s="62"/>
      <c r="X437" s="62"/>
      <c r="Y437" s="62"/>
      <c r="Z437" s="62"/>
      <c r="AA437" s="62"/>
      <c r="AB437" s="63"/>
    </row>
    <row r="438">
      <c r="E438" s="63"/>
      <c r="F438" s="62"/>
      <c r="G438" s="64"/>
      <c r="J438" s="62"/>
      <c r="K438" s="65"/>
      <c r="L438" s="62"/>
      <c r="O438" s="62"/>
      <c r="P438" s="62"/>
      <c r="Q438" s="62"/>
      <c r="R438" s="62"/>
      <c r="S438" s="62"/>
      <c r="T438" s="62"/>
      <c r="U438" s="62"/>
      <c r="V438" s="62"/>
      <c r="X438" s="62"/>
      <c r="Y438" s="62"/>
      <c r="Z438" s="62"/>
      <c r="AA438" s="62"/>
      <c r="AB438" s="63"/>
    </row>
    <row r="439">
      <c r="E439" s="63"/>
      <c r="F439" s="62"/>
      <c r="G439" s="64"/>
      <c r="J439" s="62"/>
      <c r="K439" s="65"/>
      <c r="L439" s="62"/>
      <c r="O439" s="62"/>
      <c r="P439" s="62"/>
      <c r="Q439" s="62"/>
      <c r="R439" s="62"/>
      <c r="S439" s="62"/>
      <c r="T439" s="62"/>
      <c r="U439" s="62"/>
      <c r="V439" s="62"/>
      <c r="X439" s="62"/>
      <c r="Y439" s="62"/>
      <c r="Z439" s="62"/>
      <c r="AA439" s="62"/>
      <c r="AB439" s="63"/>
    </row>
    <row r="440">
      <c r="E440" s="63"/>
      <c r="F440" s="62"/>
      <c r="G440" s="64"/>
      <c r="J440" s="62"/>
      <c r="K440" s="65"/>
      <c r="L440" s="62"/>
      <c r="O440" s="62"/>
      <c r="P440" s="62"/>
      <c r="Q440" s="62"/>
      <c r="R440" s="62"/>
      <c r="S440" s="62"/>
      <c r="T440" s="62"/>
      <c r="U440" s="62"/>
      <c r="V440" s="62"/>
      <c r="X440" s="62"/>
      <c r="Y440" s="62"/>
      <c r="Z440" s="62"/>
      <c r="AA440" s="62"/>
      <c r="AB440" s="63"/>
    </row>
    <row r="441">
      <c r="E441" s="63"/>
      <c r="F441" s="62"/>
      <c r="G441" s="64"/>
      <c r="J441" s="62"/>
      <c r="K441" s="65"/>
      <c r="L441" s="62"/>
      <c r="O441" s="62"/>
      <c r="P441" s="62"/>
      <c r="Q441" s="62"/>
      <c r="R441" s="62"/>
      <c r="S441" s="62"/>
      <c r="T441" s="62"/>
      <c r="U441" s="62"/>
      <c r="V441" s="62"/>
      <c r="X441" s="62"/>
      <c r="Y441" s="62"/>
      <c r="Z441" s="62"/>
      <c r="AA441" s="62"/>
      <c r="AB441" s="63"/>
    </row>
    <row r="442">
      <c r="E442" s="63"/>
      <c r="F442" s="62"/>
      <c r="G442" s="64"/>
      <c r="J442" s="62"/>
      <c r="K442" s="65"/>
      <c r="L442" s="62"/>
      <c r="O442" s="62"/>
      <c r="P442" s="62"/>
      <c r="Q442" s="62"/>
      <c r="R442" s="62"/>
      <c r="S442" s="62"/>
      <c r="T442" s="62"/>
      <c r="U442" s="62"/>
      <c r="V442" s="62"/>
      <c r="X442" s="62"/>
      <c r="Y442" s="62"/>
      <c r="Z442" s="62"/>
      <c r="AA442" s="62"/>
      <c r="AB442" s="63"/>
    </row>
    <row r="443">
      <c r="E443" s="63"/>
      <c r="F443" s="62"/>
      <c r="G443" s="64"/>
      <c r="J443" s="62"/>
      <c r="K443" s="65"/>
      <c r="L443" s="62"/>
      <c r="O443" s="62"/>
      <c r="P443" s="62"/>
      <c r="Q443" s="62"/>
      <c r="R443" s="62"/>
      <c r="S443" s="62"/>
      <c r="T443" s="62"/>
      <c r="U443" s="62"/>
      <c r="V443" s="62"/>
      <c r="X443" s="62"/>
      <c r="Y443" s="62"/>
      <c r="Z443" s="62"/>
      <c r="AA443" s="62"/>
      <c r="AB443" s="63"/>
    </row>
    <row r="444">
      <c r="E444" s="63"/>
      <c r="F444" s="62"/>
      <c r="G444" s="64"/>
      <c r="J444" s="62"/>
      <c r="K444" s="65"/>
      <c r="L444" s="62"/>
      <c r="O444" s="62"/>
      <c r="P444" s="62"/>
      <c r="Q444" s="62"/>
      <c r="R444" s="62"/>
      <c r="S444" s="62"/>
      <c r="T444" s="62"/>
      <c r="U444" s="62"/>
      <c r="V444" s="62"/>
      <c r="X444" s="62"/>
      <c r="Y444" s="62"/>
      <c r="Z444" s="62"/>
      <c r="AA444" s="62"/>
      <c r="AB444" s="63"/>
    </row>
    <row r="445">
      <c r="E445" s="63"/>
      <c r="F445" s="62"/>
      <c r="G445" s="64"/>
      <c r="J445" s="62"/>
      <c r="K445" s="65"/>
      <c r="L445" s="62"/>
      <c r="O445" s="62"/>
      <c r="P445" s="62"/>
      <c r="Q445" s="62"/>
      <c r="R445" s="62"/>
      <c r="S445" s="62"/>
      <c r="T445" s="62"/>
      <c r="U445" s="62"/>
      <c r="V445" s="62"/>
      <c r="X445" s="62"/>
      <c r="Y445" s="62"/>
      <c r="Z445" s="62"/>
      <c r="AA445" s="62"/>
      <c r="AB445" s="63"/>
    </row>
    <row r="446">
      <c r="E446" s="63"/>
      <c r="F446" s="62"/>
      <c r="G446" s="64"/>
      <c r="J446" s="62"/>
      <c r="K446" s="65"/>
      <c r="L446" s="62"/>
      <c r="O446" s="62"/>
      <c r="P446" s="62"/>
      <c r="Q446" s="62"/>
      <c r="R446" s="62"/>
      <c r="S446" s="62"/>
      <c r="T446" s="62"/>
      <c r="U446" s="62"/>
      <c r="V446" s="62"/>
      <c r="X446" s="62"/>
      <c r="Y446" s="62"/>
      <c r="Z446" s="62"/>
      <c r="AA446" s="62"/>
      <c r="AB446" s="63"/>
    </row>
    <row r="447">
      <c r="E447" s="63"/>
      <c r="F447" s="62"/>
      <c r="G447" s="64"/>
      <c r="J447" s="62"/>
      <c r="K447" s="65"/>
      <c r="L447" s="62"/>
      <c r="O447" s="62"/>
      <c r="P447" s="62"/>
      <c r="Q447" s="62"/>
      <c r="R447" s="62"/>
      <c r="S447" s="62"/>
      <c r="T447" s="62"/>
      <c r="U447" s="62"/>
      <c r="V447" s="62"/>
      <c r="X447" s="62"/>
      <c r="Y447" s="62"/>
      <c r="Z447" s="62"/>
      <c r="AA447" s="62"/>
      <c r="AB447" s="63"/>
    </row>
    <row r="448">
      <c r="E448" s="63"/>
      <c r="F448" s="62"/>
      <c r="G448" s="64"/>
      <c r="J448" s="62"/>
      <c r="K448" s="65"/>
      <c r="L448" s="62"/>
      <c r="O448" s="62"/>
      <c r="P448" s="62"/>
      <c r="Q448" s="62"/>
      <c r="R448" s="62"/>
      <c r="S448" s="62"/>
      <c r="T448" s="62"/>
      <c r="U448" s="62"/>
      <c r="V448" s="62"/>
      <c r="X448" s="62"/>
      <c r="Y448" s="62"/>
      <c r="Z448" s="62"/>
      <c r="AA448" s="62"/>
      <c r="AB448" s="63"/>
    </row>
    <row r="449">
      <c r="E449" s="63"/>
      <c r="F449" s="62"/>
      <c r="G449" s="64"/>
      <c r="J449" s="62"/>
      <c r="K449" s="65"/>
      <c r="L449" s="62"/>
      <c r="O449" s="62"/>
      <c r="P449" s="62"/>
      <c r="Q449" s="62"/>
      <c r="R449" s="62"/>
      <c r="S449" s="62"/>
      <c r="T449" s="62"/>
      <c r="U449" s="62"/>
      <c r="V449" s="62"/>
      <c r="X449" s="62"/>
      <c r="Y449" s="62"/>
      <c r="Z449" s="62"/>
      <c r="AA449" s="62"/>
      <c r="AB449" s="63"/>
    </row>
    <row r="450">
      <c r="E450" s="63"/>
      <c r="F450" s="62"/>
      <c r="G450" s="64"/>
      <c r="J450" s="62"/>
      <c r="K450" s="65"/>
      <c r="L450" s="62"/>
      <c r="O450" s="62"/>
      <c r="P450" s="62"/>
      <c r="Q450" s="62"/>
      <c r="R450" s="62"/>
      <c r="S450" s="62"/>
      <c r="T450" s="62"/>
      <c r="U450" s="62"/>
      <c r="V450" s="62"/>
      <c r="X450" s="62"/>
      <c r="Y450" s="62"/>
      <c r="Z450" s="62"/>
      <c r="AA450" s="62"/>
      <c r="AB450" s="63"/>
    </row>
    <row r="451">
      <c r="E451" s="63"/>
      <c r="F451" s="62"/>
      <c r="G451" s="64"/>
      <c r="J451" s="62"/>
      <c r="K451" s="65"/>
      <c r="L451" s="62"/>
      <c r="O451" s="62"/>
      <c r="P451" s="62"/>
      <c r="Q451" s="62"/>
      <c r="R451" s="62"/>
      <c r="S451" s="62"/>
      <c r="T451" s="62"/>
      <c r="U451" s="62"/>
      <c r="V451" s="62"/>
      <c r="X451" s="62"/>
      <c r="Y451" s="62"/>
      <c r="Z451" s="62"/>
      <c r="AA451" s="62"/>
      <c r="AB451" s="63"/>
    </row>
    <row r="452">
      <c r="E452" s="63"/>
      <c r="F452" s="62"/>
      <c r="G452" s="64"/>
      <c r="J452" s="62"/>
      <c r="K452" s="65"/>
      <c r="L452" s="62"/>
      <c r="O452" s="62"/>
      <c r="P452" s="62"/>
      <c r="Q452" s="62"/>
      <c r="R452" s="62"/>
      <c r="S452" s="62"/>
      <c r="T452" s="62"/>
      <c r="U452" s="62"/>
      <c r="V452" s="62"/>
      <c r="X452" s="62"/>
      <c r="Y452" s="62"/>
      <c r="Z452" s="62"/>
      <c r="AA452" s="62"/>
      <c r="AB452" s="63"/>
    </row>
    <row r="453">
      <c r="E453" s="63"/>
      <c r="F453" s="62"/>
      <c r="G453" s="64"/>
      <c r="J453" s="62"/>
      <c r="K453" s="65"/>
      <c r="L453" s="62"/>
      <c r="O453" s="62"/>
      <c r="P453" s="62"/>
      <c r="Q453" s="62"/>
      <c r="R453" s="62"/>
      <c r="S453" s="62"/>
      <c r="T453" s="62"/>
      <c r="U453" s="62"/>
      <c r="V453" s="62"/>
      <c r="X453" s="62"/>
      <c r="Y453" s="62"/>
      <c r="Z453" s="62"/>
      <c r="AA453" s="62"/>
      <c r="AB453" s="63"/>
    </row>
    <row r="454">
      <c r="E454" s="63"/>
      <c r="F454" s="62"/>
      <c r="G454" s="64"/>
      <c r="J454" s="62"/>
      <c r="K454" s="65"/>
      <c r="L454" s="62"/>
      <c r="O454" s="62"/>
      <c r="P454" s="62"/>
      <c r="Q454" s="62"/>
      <c r="R454" s="62"/>
      <c r="S454" s="62"/>
      <c r="T454" s="62"/>
      <c r="U454" s="62"/>
      <c r="V454" s="62"/>
      <c r="X454" s="62"/>
      <c r="Y454" s="62"/>
      <c r="Z454" s="62"/>
      <c r="AA454" s="62"/>
      <c r="AB454" s="63"/>
    </row>
    <row r="455">
      <c r="E455" s="63"/>
      <c r="F455" s="62"/>
      <c r="G455" s="64"/>
      <c r="J455" s="62"/>
      <c r="K455" s="65"/>
      <c r="L455" s="62"/>
      <c r="O455" s="62"/>
      <c r="P455" s="62"/>
      <c r="Q455" s="62"/>
      <c r="R455" s="62"/>
      <c r="S455" s="62"/>
      <c r="T455" s="62"/>
      <c r="U455" s="62"/>
      <c r="V455" s="62"/>
      <c r="X455" s="62"/>
      <c r="Y455" s="62"/>
      <c r="Z455" s="62"/>
      <c r="AA455" s="62"/>
      <c r="AB455" s="63"/>
    </row>
    <row r="456">
      <c r="E456" s="63"/>
      <c r="F456" s="62"/>
      <c r="G456" s="64"/>
      <c r="J456" s="62"/>
      <c r="K456" s="65"/>
      <c r="L456" s="62"/>
      <c r="O456" s="62"/>
      <c r="P456" s="62"/>
      <c r="Q456" s="62"/>
      <c r="R456" s="62"/>
      <c r="S456" s="62"/>
      <c r="T456" s="62"/>
      <c r="U456" s="62"/>
      <c r="V456" s="62"/>
      <c r="X456" s="62"/>
      <c r="Y456" s="62"/>
      <c r="Z456" s="62"/>
      <c r="AA456" s="62"/>
      <c r="AB456" s="63"/>
    </row>
    <row r="457">
      <c r="E457" s="63"/>
      <c r="F457" s="62"/>
      <c r="G457" s="64"/>
      <c r="J457" s="62"/>
      <c r="K457" s="65"/>
      <c r="L457" s="62"/>
      <c r="O457" s="62"/>
      <c r="P457" s="62"/>
      <c r="Q457" s="62"/>
      <c r="R457" s="62"/>
      <c r="S457" s="62"/>
      <c r="T457" s="62"/>
      <c r="U457" s="62"/>
      <c r="V457" s="62"/>
      <c r="X457" s="62"/>
      <c r="Y457" s="62"/>
      <c r="Z457" s="62"/>
      <c r="AA457" s="62"/>
      <c r="AB457" s="63"/>
    </row>
    <row r="458">
      <c r="E458" s="63"/>
      <c r="F458" s="62"/>
      <c r="G458" s="64"/>
      <c r="J458" s="62"/>
      <c r="K458" s="65"/>
      <c r="L458" s="62"/>
      <c r="O458" s="62"/>
      <c r="P458" s="62"/>
      <c r="Q458" s="62"/>
      <c r="R458" s="62"/>
      <c r="S458" s="62"/>
      <c r="T458" s="62"/>
      <c r="U458" s="62"/>
      <c r="V458" s="62"/>
      <c r="X458" s="62"/>
      <c r="Y458" s="62"/>
      <c r="Z458" s="62"/>
      <c r="AA458" s="62"/>
      <c r="AB458" s="63"/>
    </row>
    <row r="459">
      <c r="E459" s="63"/>
      <c r="F459" s="62"/>
      <c r="G459" s="64"/>
      <c r="J459" s="62"/>
      <c r="K459" s="65"/>
      <c r="L459" s="62"/>
      <c r="O459" s="62"/>
      <c r="P459" s="62"/>
      <c r="Q459" s="62"/>
      <c r="R459" s="62"/>
      <c r="S459" s="62"/>
      <c r="T459" s="62"/>
      <c r="U459" s="62"/>
      <c r="V459" s="62"/>
      <c r="X459" s="62"/>
      <c r="Y459" s="62"/>
      <c r="Z459" s="62"/>
      <c r="AA459" s="62"/>
      <c r="AB459" s="63"/>
    </row>
    <row r="460">
      <c r="E460" s="63"/>
      <c r="F460" s="62"/>
      <c r="G460" s="64"/>
      <c r="J460" s="62"/>
      <c r="K460" s="65"/>
      <c r="L460" s="62"/>
      <c r="O460" s="62"/>
      <c r="P460" s="62"/>
      <c r="Q460" s="62"/>
      <c r="R460" s="62"/>
      <c r="S460" s="62"/>
      <c r="T460" s="62"/>
      <c r="U460" s="62"/>
      <c r="V460" s="62"/>
      <c r="X460" s="62"/>
      <c r="Y460" s="62"/>
      <c r="Z460" s="62"/>
      <c r="AA460" s="62"/>
      <c r="AB460" s="63"/>
    </row>
    <row r="461">
      <c r="E461" s="63"/>
      <c r="F461" s="62"/>
      <c r="G461" s="64"/>
      <c r="J461" s="62"/>
      <c r="K461" s="65"/>
      <c r="L461" s="62"/>
      <c r="O461" s="62"/>
      <c r="P461" s="62"/>
      <c r="Q461" s="62"/>
      <c r="R461" s="62"/>
      <c r="S461" s="62"/>
      <c r="T461" s="62"/>
      <c r="U461" s="62"/>
      <c r="V461" s="62"/>
      <c r="X461" s="62"/>
      <c r="Y461" s="62"/>
      <c r="Z461" s="62"/>
      <c r="AA461" s="62"/>
      <c r="AB461" s="63"/>
    </row>
    <row r="462">
      <c r="E462" s="63"/>
      <c r="F462" s="62"/>
      <c r="G462" s="64"/>
      <c r="J462" s="62"/>
      <c r="K462" s="65"/>
      <c r="L462" s="62"/>
      <c r="O462" s="62"/>
      <c r="P462" s="62"/>
      <c r="Q462" s="62"/>
      <c r="R462" s="62"/>
      <c r="S462" s="62"/>
      <c r="T462" s="62"/>
      <c r="U462" s="62"/>
      <c r="V462" s="62"/>
      <c r="X462" s="62"/>
      <c r="Y462" s="62"/>
      <c r="Z462" s="62"/>
      <c r="AA462" s="62"/>
      <c r="AB462" s="63"/>
    </row>
    <row r="463">
      <c r="E463" s="63"/>
      <c r="F463" s="62"/>
      <c r="G463" s="64"/>
      <c r="J463" s="62"/>
      <c r="K463" s="65"/>
      <c r="L463" s="62"/>
      <c r="O463" s="62"/>
      <c r="P463" s="62"/>
      <c r="Q463" s="62"/>
      <c r="R463" s="62"/>
      <c r="S463" s="62"/>
      <c r="T463" s="62"/>
      <c r="U463" s="62"/>
      <c r="V463" s="62"/>
      <c r="X463" s="62"/>
      <c r="Y463" s="62"/>
      <c r="Z463" s="62"/>
      <c r="AA463" s="62"/>
      <c r="AB463" s="63"/>
    </row>
    <row r="464">
      <c r="E464" s="63"/>
      <c r="F464" s="62"/>
      <c r="G464" s="64"/>
      <c r="J464" s="62"/>
      <c r="K464" s="65"/>
      <c r="L464" s="62"/>
      <c r="O464" s="62"/>
      <c r="P464" s="62"/>
      <c r="Q464" s="62"/>
      <c r="R464" s="62"/>
      <c r="S464" s="62"/>
      <c r="T464" s="62"/>
      <c r="U464" s="62"/>
      <c r="V464" s="62"/>
      <c r="X464" s="62"/>
      <c r="Y464" s="62"/>
      <c r="Z464" s="62"/>
      <c r="AA464" s="62"/>
      <c r="AB464" s="63"/>
    </row>
    <row r="465">
      <c r="E465" s="63"/>
      <c r="F465" s="62"/>
      <c r="G465" s="64"/>
      <c r="J465" s="62"/>
      <c r="K465" s="65"/>
      <c r="L465" s="62"/>
      <c r="O465" s="62"/>
      <c r="P465" s="62"/>
      <c r="Q465" s="62"/>
      <c r="R465" s="62"/>
      <c r="S465" s="62"/>
      <c r="T465" s="62"/>
      <c r="U465" s="62"/>
      <c r="V465" s="62"/>
      <c r="X465" s="62"/>
      <c r="Y465" s="62"/>
      <c r="Z465" s="62"/>
      <c r="AA465" s="62"/>
      <c r="AB465" s="63"/>
    </row>
    <row r="466">
      <c r="E466" s="63"/>
      <c r="F466" s="62"/>
      <c r="G466" s="64"/>
      <c r="J466" s="62"/>
      <c r="K466" s="65"/>
      <c r="L466" s="62"/>
      <c r="O466" s="62"/>
      <c r="P466" s="62"/>
      <c r="Q466" s="62"/>
      <c r="R466" s="62"/>
      <c r="S466" s="62"/>
      <c r="T466" s="62"/>
      <c r="U466" s="62"/>
      <c r="V466" s="62"/>
      <c r="X466" s="62"/>
      <c r="Y466" s="62"/>
      <c r="Z466" s="62"/>
      <c r="AA466" s="62"/>
      <c r="AB466" s="63"/>
    </row>
    <row r="467">
      <c r="E467" s="63"/>
      <c r="F467" s="62"/>
      <c r="G467" s="64"/>
      <c r="J467" s="62"/>
      <c r="K467" s="65"/>
      <c r="L467" s="62"/>
      <c r="O467" s="62"/>
      <c r="P467" s="62"/>
      <c r="Q467" s="62"/>
      <c r="R467" s="62"/>
      <c r="S467" s="62"/>
      <c r="T467" s="62"/>
      <c r="U467" s="62"/>
      <c r="V467" s="62"/>
      <c r="X467" s="62"/>
      <c r="Y467" s="62"/>
      <c r="Z467" s="62"/>
      <c r="AA467" s="62"/>
      <c r="AB467" s="63"/>
    </row>
    <row r="468">
      <c r="E468" s="63"/>
      <c r="F468" s="62"/>
      <c r="G468" s="64"/>
      <c r="J468" s="62"/>
      <c r="K468" s="65"/>
      <c r="L468" s="62"/>
      <c r="O468" s="62"/>
      <c r="P468" s="62"/>
      <c r="Q468" s="62"/>
      <c r="R468" s="62"/>
      <c r="S468" s="62"/>
      <c r="T468" s="62"/>
      <c r="U468" s="62"/>
      <c r="V468" s="62"/>
      <c r="X468" s="62"/>
      <c r="Y468" s="62"/>
      <c r="Z468" s="62"/>
      <c r="AA468" s="62"/>
      <c r="AB468" s="63"/>
    </row>
    <row r="469">
      <c r="E469" s="63"/>
      <c r="F469" s="62"/>
      <c r="G469" s="64"/>
      <c r="J469" s="62"/>
      <c r="K469" s="65"/>
      <c r="L469" s="62"/>
      <c r="O469" s="62"/>
      <c r="P469" s="62"/>
      <c r="Q469" s="62"/>
      <c r="R469" s="62"/>
      <c r="S469" s="62"/>
      <c r="T469" s="62"/>
      <c r="U469" s="62"/>
      <c r="V469" s="62"/>
      <c r="X469" s="62"/>
      <c r="Y469" s="62"/>
      <c r="Z469" s="62"/>
      <c r="AA469" s="62"/>
      <c r="AB469" s="63"/>
    </row>
    <row r="470">
      <c r="E470" s="63"/>
      <c r="F470" s="62"/>
      <c r="G470" s="64"/>
      <c r="J470" s="62"/>
      <c r="K470" s="65"/>
      <c r="L470" s="62"/>
      <c r="O470" s="62"/>
      <c r="P470" s="62"/>
      <c r="Q470" s="62"/>
      <c r="R470" s="62"/>
      <c r="S470" s="62"/>
      <c r="T470" s="62"/>
      <c r="U470" s="62"/>
      <c r="V470" s="62"/>
      <c r="X470" s="62"/>
      <c r="Y470" s="62"/>
      <c r="Z470" s="62"/>
      <c r="AA470" s="62"/>
      <c r="AB470" s="63"/>
    </row>
    <row r="471">
      <c r="E471" s="63"/>
      <c r="F471" s="62"/>
      <c r="G471" s="64"/>
      <c r="J471" s="62"/>
      <c r="K471" s="65"/>
      <c r="L471" s="62"/>
      <c r="O471" s="62"/>
      <c r="P471" s="62"/>
      <c r="Q471" s="62"/>
      <c r="R471" s="62"/>
      <c r="S471" s="62"/>
      <c r="T471" s="62"/>
      <c r="U471" s="62"/>
      <c r="V471" s="62"/>
      <c r="X471" s="62"/>
      <c r="Y471" s="62"/>
      <c r="Z471" s="62"/>
      <c r="AA471" s="62"/>
      <c r="AB471" s="63"/>
    </row>
    <row r="472">
      <c r="E472" s="63"/>
      <c r="F472" s="62"/>
      <c r="G472" s="64"/>
      <c r="J472" s="62"/>
      <c r="K472" s="65"/>
      <c r="L472" s="62"/>
      <c r="O472" s="62"/>
      <c r="P472" s="62"/>
      <c r="Q472" s="62"/>
      <c r="R472" s="62"/>
      <c r="S472" s="62"/>
      <c r="T472" s="62"/>
      <c r="U472" s="62"/>
      <c r="V472" s="62"/>
      <c r="X472" s="62"/>
      <c r="Y472" s="62"/>
      <c r="Z472" s="62"/>
      <c r="AA472" s="62"/>
      <c r="AB472" s="63"/>
    </row>
    <row r="473">
      <c r="E473" s="63"/>
      <c r="F473" s="62"/>
      <c r="G473" s="64"/>
      <c r="J473" s="62"/>
      <c r="K473" s="65"/>
      <c r="L473" s="62"/>
      <c r="O473" s="62"/>
      <c r="P473" s="62"/>
      <c r="Q473" s="62"/>
      <c r="R473" s="62"/>
      <c r="S473" s="62"/>
      <c r="T473" s="62"/>
      <c r="U473" s="62"/>
      <c r="V473" s="62"/>
      <c r="X473" s="62"/>
      <c r="Y473" s="62"/>
      <c r="Z473" s="62"/>
      <c r="AA473" s="62"/>
      <c r="AB473" s="63"/>
    </row>
    <row r="474">
      <c r="E474" s="63"/>
      <c r="F474" s="62"/>
      <c r="G474" s="64"/>
      <c r="J474" s="62"/>
      <c r="K474" s="65"/>
      <c r="L474" s="62"/>
      <c r="O474" s="62"/>
      <c r="P474" s="62"/>
      <c r="Q474" s="62"/>
      <c r="R474" s="62"/>
      <c r="S474" s="62"/>
      <c r="T474" s="62"/>
      <c r="U474" s="62"/>
      <c r="V474" s="62"/>
      <c r="X474" s="62"/>
      <c r="Y474" s="62"/>
      <c r="Z474" s="62"/>
      <c r="AA474" s="62"/>
      <c r="AB474" s="63"/>
    </row>
    <row r="475">
      <c r="E475" s="63"/>
      <c r="F475" s="62"/>
      <c r="G475" s="64"/>
      <c r="J475" s="62"/>
      <c r="K475" s="65"/>
      <c r="L475" s="62"/>
      <c r="O475" s="62"/>
      <c r="P475" s="62"/>
      <c r="Q475" s="62"/>
      <c r="R475" s="62"/>
      <c r="S475" s="62"/>
      <c r="T475" s="62"/>
      <c r="U475" s="62"/>
      <c r="V475" s="62"/>
      <c r="X475" s="62"/>
      <c r="Y475" s="62"/>
      <c r="Z475" s="62"/>
      <c r="AA475" s="62"/>
      <c r="AB475" s="63"/>
    </row>
    <row r="476">
      <c r="E476" s="63"/>
      <c r="F476" s="62"/>
      <c r="G476" s="64"/>
      <c r="J476" s="62"/>
      <c r="K476" s="65"/>
      <c r="L476" s="62"/>
      <c r="O476" s="62"/>
      <c r="P476" s="62"/>
      <c r="Q476" s="62"/>
      <c r="R476" s="62"/>
      <c r="S476" s="62"/>
      <c r="T476" s="62"/>
      <c r="U476" s="62"/>
      <c r="V476" s="62"/>
      <c r="X476" s="62"/>
      <c r="Y476" s="62"/>
      <c r="Z476" s="62"/>
      <c r="AA476" s="62"/>
      <c r="AB476" s="63"/>
    </row>
    <row r="477">
      <c r="E477" s="63"/>
      <c r="F477" s="62"/>
      <c r="G477" s="64"/>
      <c r="J477" s="62"/>
      <c r="K477" s="65"/>
      <c r="L477" s="62"/>
      <c r="O477" s="62"/>
      <c r="P477" s="62"/>
      <c r="Q477" s="62"/>
      <c r="R477" s="62"/>
      <c r="S477" s="62"/>
      <c r="T477" s="62"/>
      <c r="U477" s="62"/>
      <c r="V477" s="62"/>
      <c r="X477" s="62"/>
      <c r="Y477" s="62"/>
      <c r="Z477" s="62"/>
      <c r="AA477" s="62"/>
      <c r="AB477" s="63"/>
    </row>
    <row r="478">
      <c r="E478" s="63"/>
      <c r="F478" s="62"/>
      <c r="G478" s="64"/>
      <c r="J478" s="62"/>
      <c r="K478" s="65"/>
      <c r="L478" s="62"/>
      <c r="O478" s="62"/>
      <c r="P478" s="62"/>
      <c r="Q478" s="62"/>
      <c r="R478" s="62"/>
      <c r="S478" s="62"/>
      <c r="T478" s="62"/>
      <c r="U478" s="62"/>
      <c r="V478" s="62"/>
      <c r="X478" s="62"/>
      <c r="Y478" s="62"/>
      <c r="Z478" s="62"/>
      <c r="AA478" s="62"/>
      <c r="AB478" s="63"/>
    </row>
    <row r="479">
      <c r="E479" s="63"/>
      <c r="F479" s="62"/>
      <c r="G479" s="64"/>
      <c r="J479" s="62"/>
      <c r="K479" s="65"/>
      <c r="L479" s="62"/>
      <c r="O479" s="62"/>
      <c r="P479" s="62"/>
      <c r="Q479" s="62"/>
      <c r="R479" s="62"/>
      <c r="S479" s="62"/>
      <c r="T479" s="62"/>
      <c r="U479" s="62"/>
      <c r="V479" s="62"/>
      <c r="X479" s="62"/>
      <c r="Y479" s="62"/>
      <c r="Z479" s="62"/>
      <c r="AA479" s="62"/>
      <c r="AB479" s="63"/>
    </row>
    <row r="480">
      <c r="E480" s="63"/>
      <c r="F480" s="62"/>
      <c r="G480" s="64"/>
      <c r="J480" s="62"/>
      <c r="K480" s="65"/>
      <c r="L480" s="62"/>
      <c r="O480" s="62"/>
      <c r="P480" s="62"/>
      <c r="Q480" s="62"/>
      <c r="R480" s="62"/>
      <c r="S480" s="62"/>
      <c r="T480" s="62"/>
      <c r="U480" s="62"/>
      <c r="V480" s="62"/>
      <c r="X480" s="62"/>
      <c r="Y480" s="62"/>
      <c r="Z480" s="62"/>
      <c r="AA480" s="62"/>
      <c r="AB480" s="63"/>
    </row>
    <row r="481">
      <c r="E481" s="63"/>
      <c r="F481" s="62"/>
      <c r="G481" s="64"/>
      <c r="J481" s="62"/>
      <c r="K481" s="65"/>
      <c r="L481" s="62"/>
      <c r="O481" s="62"/>
      <c r="P481" s="62"/>
      <c r="Q481" s="62"/>
      <c r="R481" s="62"/>
      <c r="S481" s="62"/>
      <c r="T481" s="62"/>
      <c r="U481" s="62"/>
      <c r="V481" s="62"/>
      <c r="X481" s="62"/>
      <c r="Y481" s="62"/>
      <c r="Z481" s="62"/>
      <c r="AA481" s="62"/>
      <c r="AB481" s="63"/>
    </row>
    <row r="482">
      <c r="E482" s="63"/>
      <c r="F482" s="62"/>
      <c r="G482" s="64"/>
      <c r="J482" s="62"/>
      <c r="K482" s="65"/>
      <c r="L482" s="62"/>
      <c r="O482" s="62"/>
      <c r="P482" s="62"/>
      <c r="Q482" s="62"/>
      <c r="R482" s="62"/>
      <c r="S482" s="62"/>
      <c r="T482" s="62"/>
      <c r="U482" s="62"/>
      <c r="V482" s="62"/>
      <c r="X482" s="62"/>
      <c r="Y482" s="62"/>
      <c r="Z482" s="62"/>
      <c r="AA482" s="62"/>
      <c r="AB482" s="63"/>
    </row>
    <row r="483">
      <c r="E483" s="63"/>
      <c r="F483" s="62"/>
      <c r="G483" s="64"/>
      <c r="J483" s="62"/>
      <c r="K483" s="65"/>
      <c r="L483" s="62"/>
      <c r="O483" s="62"/>
      <c r="P483" s="62"/>
      <c r="Q483" s="62"/>
      <c r="R483" s="62"/>
      <c r="S483" s="62"/>
      <c r="T483" s="62"/>
      <c r="U483" s="62"/>
      <c r="V483" s="62"/>
      <c r="X483" s="62"/>
      <c r="Y483" s="62"/>
      <c r="Z483" s="62"/>
      <c r="AA483" s="62"/>
      <c r="AB483" s="63"/>
    </row>
    <row r="484">
      <c r="E484" s="63"/>
      <c r="F484" s="62"/>
      <c r="G484" s="64"/>
      <c r="J484" s="62"/>
      <c r="K484" s="65"/>
      <c r="L484" s="62"/>
      <c r="O484" s="62"/>
      <c r="P484" s="62"/>
      <c r="Q484" s="62"/>
      <c r="R484" s="62"/>
      <c r="S484" s="62"/>
      <c r="T484" s="62"/>
      <c r="U484" s="62"/>
      <c r="V484" s="62"/>
      <c r="X484" s="62"/>
      <c r="Y484" s="62"/>
      <c r="Z484" s="62"/>
      <c r="AA484" s="62"/>
      <c r="AB484" s="63"/>
    </row>
    <row r="485">
      <c r="E485" s="63"/>
      <c r="F485" s="62"/>
      <c r="G485" s="64"/>
      <c r="J485" s="62"/>
      <c r="K485" s="65"/>
      <c r="L485" s="62"/>
      <c r="O485" s="62"/>
      <c r="P485" s="62"/>
      <c r="Q485" s="62"/>
      <c r="R485" s="62"/>
      <c r="S485" s="62"/>
      <c r="T485" s="62"/>
      <c r="U485" s="62"/>
      <c r="V485" s="62"/>
      <c r="X485" s="62"/>
      <c r="Y485" s="62"/>
      <c r="Z485" s="62"/>
      <c r="AA485" s="62"/>
      <c r="AB485" s="63"/>
    </row>
    <row r="486">
      <c r="E486" s="63"/>
      <c r="F486" s="62"/>
      <c r="G486" s="64"/>
      <c r="J486" s="62"/>
      <c r="K486" s="65"/>
      <c r="L486" s="62"/>
      <c r="O486" s="62"/>
      <c r="P486" s="62"/>
      <c r="Q486" s="62"/>
      <c r="R486" s="62"/>
      <c r="S486" s="62"/>
      <c r="T486" s="62"/>
      <c r="U486" s="62"/>
      <c r="V486" s="62"/>
      <c r="X486" s="62"/>
      <c r="Y486" s="62"/>
      <c r="Z486" s="62"/>
      <c r="AA486" s="62"/>
      <c r="AB486" s="63"/>
    </row>
    <row r="487">
      <c r="E487" s="63"/>
      <c r="F487" s="62"/>
      <c r="G487" s="64"/>
      <c r="J487" s="62"/>
      <c r="K487" s="65"/>
      <c r="L487" s="62"/>
      <c r="O487" s="62"/>
      <c r="P487" s="62"/>
      <c r="Q487" s="62"/>
      <c r="R487" s="62"/>
      <c r="S487" s="62"/>
      <c r="T487" s="62"/>
      <c r="U487" s="62"/>
      <c r="V487" s="62"/>
      <c r="X487" s="62"/>
      <c r="Y487" s="62"/>
      <c r="Z487" s="62"/>
      <c r="AA487" s="62"/>
      <c r="AB487" s="63"/>
    </row>
    <row r="488">
      <c r="E488" s="63"/>
      <c r="F488" s="62"/>
      <c r="G488" s="64"/>
      <c r="J488" s="62"/>
      <c r="K488" s="65"/>
      <c r="L488" s="62"/>
      <c r="O488" s="62"/>
      <c r="P488" s="62"/>
      <c r="Q488" s="62"/>
      <c r="R488" s="62"/>
      <c r="S488" s="62"/>
      <c r="T488" s="62"/>
      <c r="U488" s="62"/>
      <c r="V488" s="62"/>
      <c r="X488" s="62"/>
      <c r="Y488" s="62"/>
      <c r="Z488" s="62"/>
      <c r="AA488" s="62"/>
      <c r="AB488" s="63"/>
    </row>
    <row r="489">
      <c r="E489" s="63"/>
      <c r="F489" s="62"/>
      <c r="G489" s="64"/>
      <c r="J489" s="62"/>
      <c r="K489" s="65"/>
      <c r="L489" s="62"/>
      <c r="O489" s="62"/>
      <c r="P489" s="62"/>
      <c r="Q489" s="62"/>
      <c r="R489" s="62"/>
      <c r="S489" s="62"/>
      <c r="T489" s="62"/>
      <c r="U489" s="62"/>
      <c r="V489" s="62"/>
      <c r="X489" s="62"/>
      <c r="Y489" s="62"/>
      <c r="Z489" s="62"/>
      <c r="AA489" s="62"/>
      <c r="AB489" s="63"/>
    </row>
    <row r="490">
      <c r="E490" s="63"/>
      <c r="F490" s="62"/>
      <c r="G490" s="64"/>
      <c r="J490" s="62"/>
      <c r="K490" s="65"/>
      <c r="L490" s="62"/>
      <c r="O490" s="62"/>
      <c r="P490" s="62"/>
      <c r="Q490" s="62"/>
      <c r="R490" s="62"/>
      <c r="S490" s="62"/>
      <c r="T490" s="62"/>
      <c r="U490" s="62"/>
      <c r="V490" s="62"/>
      <c r="X490" s="62"/>
      <c r="Y490" s="62"/>
      <c r="Z490" s="62"/>
      <c r="AA490" s="62"/>
      <c r="AB490" s="63"/>
    </row>
    <row r="491">
      <c r="E491" s="63"/>
      <c r="F491" s="62"/>
      <c r="G491" s="64"/>
      <c r="J491" s="62"/>
      <c r="K491" s="65"/>
      <c r="L491" s="62"/>
      <c r="O491" s="62"/>
      <c r="P491" s="62"/>
      <c r="Q491" s="62"/>
      <c r="R491" s="62"/>
      <c r="S491" s="62"/>
      <c r="T491" s="62"/>
      <c r="U491" s="62"/>
      <c r="V491" s="62"/>
      <c r="X491" s="62"/>
      <c r="Y491" s="62"/>
      <c r="Z491" s="62"/>
      <c r="AA491" s="62"/>
      <c r="AB491" s="63"/>
    </row>
    <row r="492">
      <c r="E492" s="63"/>
      <c r="F492" s="62"/>
      <c r="G492" s="64"/>
      <c r="J492" s="62"/>
      <c r="K492" s="65"/>
      <c r="L492" s="62"/>
      <c r="O492" s="62"/>
      <c r="P492" s="62"/>
      <c r="Q492" s="62"/>
      <c r="R492" s="62"/>
      <c r="S492" s="62"/>
      <c r="T492" s="62"/>
      <c r="U492" s="62"/>
      <c r="V492" s="62"/>
      <c r="X492" s="62"/>
      <c r="Y492" s="62"/>
      <c r="Z492" s="62"/>
      <c r="AA492" s="62"/>
      <c r="AB492" s="63"/>
    </row>
    <row r="493">
      <c r="E493" s="63"/>
      <c r="F493" s="62"/>
      <c r="G493" s="64"/>
      <c r="J493" s="62"/>
      <c r="K493" s="65"/>
      <c r="L493" s="62"/>
      <c r="O493" s="62"/>
      <c r="P493" s="62"/>
      <c r="Q493" s="62"/>
      <c r="R493" s="62"/>
      <c r="S493" s="62"/>
      <c r="T493" s="62"/>
      <c r="U493" s="62"/>
      <c r="V493" s="62"/>
      <c r="X493" s="62"/>
      <c r="Y493" s="62"/>
      <c r="Z493" s="62"/>
      <c r="AA493" s="62"/>
      <c r="AB493" s="63"/>
    </row>
    <row r="494">
      <c r="E494" s="63"/>
      <c r="F494" s="62"/>
      <c r="G494" s="64"/>
      <c r="J494" s="62"/>
      <c r="K494" s="65"/>
      <c r="L494" s="62"/>
      <c r="O494" s="62"/>
      <c r="P494" s="62"/>
      <c r="Q494" s="62"/>
      <c r="R494" s="62"/>
      <c r="S494" s="62"/>
      <c r="T494" s="62"/>
      <c r="U494" s="62"/>
      <c r="V494" s="62"/>
      <c r="X494" s="62"/>
      <c r="Y494" s="62"/>
      <c r="Z494" s="62"/>
      <c r="AA494" s="62"/>
      <c r="AB494" s="63"/>
    </row>
    <row r="495">
      <c r="E495" s="63"/>
      <c r="F495" s="62"/>
      <c r="G495" s="64"/>
      <c r="J495" s="62"/>
      <c r="K495" s="65"/>
      <c r="L495" s="62"/>
      <c r="O495" s="62"/>
      <c r="P495" s="62"/>
      <c r="Q495" s="62"/>
      <c r="R495" s="62"/>
      <c r="S495" s="62"/>
      <c r="T495" s="62"/>
      <c r="U495" s="62"/>
      <c r="V495" s="62"/>
      <c r="X495" s="62"/>
      <c r="Y495" s="62"/>
      <c r="Z495" s="62"/>
      <c r="AA495" s="62"/>
      <c r="AB495" s="63"/>
    </row>
    <row r="496">
      <c r="E496" s="63"/>
      <c r="F496" s="62"/>
      <c r="G496" s="64"/>
      <c r="J496" s="62"/>
      <c r="K496" s="65"/>
      <c r="L496" s="62"/>
      <c r="O496" s="62"/>
      <c r="P496" s="62"/>
      <c r="Q496" s="62"/>
      <c r="R496" s="62"/>
      <c r="S496" s="62"/>
      <c r="T496" s="62"/>
      <c r="U496" s="62"/>
      <c r="V496" s="62"/>
      <c r="X496" s="62"/>
      <c r="Y496" s="62"/>
      <c r="Z496" s="62"/>
      <c r="AA496" s="62"/>
      <c r="AB496" s="63"/>
    </row>
    <row r="497">
      <c r="E497" s="63"/>
      <c r="F497" s="62"/>
      <c r="G497" s="64"/>
      <c r="J497" s="62"/>
      <c r="K497" s="65"/>
      <c r="L497" s="62"/>
      <c r="O497" s="62"/>
      <c r="P497" s="62"/>
      <c r="Q497" s="62"/>
      <c r="R497" s="62"/>
      <c r="S497" s="62"/>
      <c r="T497" s="62"/>
      <c r="U497" s="62"/>
      <c r="V497" s="62"/>
      <c r="X497" s="62"/>
      <c r="Y497" s="62"/>
      <c r="Z497" s="62"/>
      <c r="AA497" s="62"/>
      <c r="AB497" s="63"/>
    </row>
    <row r="498">
      <c r="E498" s="63"/>
      <c r="F498" s="62"/>
      <c r="G498" s="64"/>
      <c r="J498" s="62"/>
      <c r="K498" s="65"/>
      <c r="L498" s="62"/>
      <c r="O498" s="62"/>
      <c r="P498" s="62"/>
      <c r="Q498" s="62"/>
      <c r="R498" s="62"/>
      <c r="S498" s="62"/>
      <c r="T498" s="62"/>
      <c r="U498" s="62"/>
      <c r="V498" s="62"/>
      <c r="X498" s="62"/>
      <c r="Y498" s="62"/>
      <c r="Z498" s="62"/>
      <c r="AA498" s="62"/>
      <c r="AB498" s="63"/>
    </row>
    <row r="499">
      <c r="E499" s="63"/>
      <c r="F499" s="62"/>
      <c r="G499" s="64"/>
      <c r="J499" s="62"/>
      <c r="K499" s="65"/>
      <c r="L499" s="62"/>
      <c r="O499" s="62"/>
      <c r="P499" s="62"/>
      <c r="Q499" s="62"/>
      <c r="R499" s="62"/>
      <c r="S499" s="62"/>
      <c r="T499" s="62"/>
      <c r="U499" s="62"/>
      <c r="V499" s="62"/>
      <c r="X499" s="62"/>
      <c r="Y499" s="62"/>
      <c r="Z499" s="62"/>
      <c r="AA499" s="62"/>
      <c r="AB499" s="63"/>
    </row>
    <row r="500">
      <c r="E500" s="63"/>
      <c r="F500" s="62"/>
      <c r="G500" s="64"/>
      <c r="J500" s="62"/>
      <c r="K500" s="65"/>
      <c r="L500" s="62"/>
      <c r="O500" s="62"/>
      <c r="P500" s="62"/>
      <c r="Q500" s="62"/>
      <c r="R500" s="62"/>
      <c r="S500" s="62"/>
      <c r="T500" s="62"/>
      <c r="U500" s="62"/>
      <c r="V500" s="62"/>
      <c r="X500" s="62"/>
      <c r="Y500" s="62"/>
      <c r="Z500" s="62"/>
      <c r="AA500" s="62"/>
      <c r="AB500" s="63"/>
    </row>
    <row r="501">
      <c r="E501" s="63"/>
      <c r="F501" s="62"/>
      <c r="G501" s="64"/>
      <c r="J501" s="62"/>
      <c r="K501" s="65"/>
      <c r="L501" s="62"/>
      <c r="O501" s="62"/>
      <c r="P501" s="62"/>
      <c r="Q501" s="62"/>
      <c r="R501" s="62"/>
      <c r="S501" s="62"/>
      <c r="T501" s="62"/>
      <c r="U501" s="62"/>
      <c r="V501" s="62"/>
      <c r="X501" s="62"/>
      <c r="Y501" s="62"/>
      <c r="Z501" s="62"/>
      <c r="AA501" s="62"/>
      <c r="AB501" s="63"/>
    </row>
    <row r="502">
      <c r="E502" s="63"/>
      <c r="F502" s="62"/>
      <c r="G502" s="64"/>
      <c r="J502" s="62"/>
      <c r="K502" s="65"/>
      <c r="L502" s="62"/>
      <c r="O502" s="62"/>
      <c r="P502" s="62"/>
      <c r="Q502" s="62"/>
      <c r="R502" s="62"/>
      <c r="S502" s="62"/>
      <c r="T502" s="62"/>
      <c r="U502" s="62"/>
      <c r="V502" s="62"/>
      <c r="X502" s="62"/>
      <c r="Y502" s="62"/>
      <c r="Z502" s="62"/>
      <c r="AA502" s="62"/>
      <c r="AB502" s="63"/>
    </row>
    <row r="503">
      <c r="E503" s="63"/>
      <c r="F503" s="62"/>
      <c r="G503" s="64"/>
      <c r="J503" s="62"/>
      <c r="K503" s="65"/>
      <c r="L503" s="62"/>
      <c r="O503" s="62"/>
      <c r="P503" s="62"/>
      <c r="Q503" s="62"/>
      <c r="R503" s="62"/>
      <c r="S503" s="62"/>
      <c r="T503" s="62"/>
      <c r="U503" s="62"/>
      <c r="V503" s="62"/>
      <c r="X503" s="62"/>
      <c r="Y503" s="62"/>
      <c r="Z503" s="62"/>
      <c r="AA503" s="62"/>
      <c r="AB503" s="63"/>
    </row>
    <row r="504">
      <c r="E504" s="63"/>
      <c r="F504" s="62"/>
      <c r="G504" s="64"/>
      <c r="J504" s="62"/>
      <c r="K504" s="65"/>
      <c r="L504" s="62"/>
      <c r="O504" s="62"/>
      <c r="P504" s="62"/>
      <c r="Q504" s="62"/>
      <c r="R504" s="62"/>
      <c r="S504" s="62"/>
      <c r="T504" s="62"/>
      <c r="U504" s="62"/>
      <c r="V504" s="62"/>
      <c r="X504" s="62"/>
      <c r="Y504" s="62"/>
      <c r="Z504" s="62"/>
      <c r="AA504" s="62"/>
      <c r="AB504" s="63"/>
    </row>
    <row r="505">
      <c r="E505" s="63"/>
      <c r="F505" s="62"/>
      <c r="G505" s="64"/>
      <c r="J505" s="62"/>
      <c r="K505" s="65"/>
      <c r="L505" s="62"/>
      <c r="O505" s="62"/>
      <c r="P505" s="62"/>
      <c r="Q505" s="62"/>
      <c r="R505" s="62"/>
      <c r="S505" s="62"/>
      <c r="T505" s="62"/>
      <c r="U505" s="62"/>
      <c r="V505" s="62"/>
      <c r="X505" s="62"/>
      <c r="Y505" s="62"/>
      <c r="Z505" s="62"/>
      <c r="AA505" s="62"/>
      <c r="AB505" s="63"/>
    </row>
    <row r="506">
      <c r="E506" s="63"/>
      <c r="F506" s="62"/>
      <c r="G506" s="64"/>
      <c r="J506" s="62"/>
      <c r="K506" s="65"/>
      <c r="L506" s="62"/>
      <c r="O506" s="62"/>
      <c r="P506" s="62"/>
      <c r="Q506" s="62"/>
      <c r="R506" s="62"/>
      <c r="S506" s="62"/>
      <c r="T506" s="62"/>
      <c r="U506" s="62"/>
      <c r="V506" s="62"/>
      <c r="X506" s="62"/>
      <c r="Y506" s="62"/>
      <c r="Z506" s="62"/>
      <c r="AA506" s="62"/>
      <c r="AB506" s="63"/>
    </row>
    <row r="507">
      <c r="E507" s="63"/>
      <c r="F507" s="62"/>
      <c r="G507" s="64"/>
      <c r="J507" s="62"/>
      <c r="K507" s="65"/>
      <c r="L507" s="62"/>
      <c r="O507" s="62"/>
      <c r="P507" s="62"/>
      <c r="Q507" s="62"/>
      <c r="R507" s="62"/>
      <c r="S507" s="62"/>
      <c r="T507" s="62"/>
      <c r="U507" s="62"/>
      <c r="V507" s="62"/>
      <c r="X507" s="62"/>
      <c r="Y507" s="62"/>
      <c r="Z507" s="62"/>
      <c r="AA507" s="62"/>
      <c r="AB507" s="63"/>
    </row>
    <row r="508">
      <c r="E508" s="63"/>
      <c r="F508" s="62"/>
      <c r="G508" s="64"/>
      <c r="J508" s="62"/>
      <c r="K508" s="65"/>
      <c r="L508" s="62"/>
      <c r="O508" s="62"/>
      <c r="P508" s="62"/>
      <c r="Q508" s="62"/>
      <c r="R508" s="62"/>
      <c r="S508" s="62"/>
      <c r="T508" s="62"/>
      <c r="U508" s="62"/>
      <c r="V508" s="62"/>
      <c r="X508" s="62"/>
      <c r="Y508" s="62"/>
      <c r="Z508" s="62"/>
      <c r="AA508" s="62"/>
      <c r="AB508" s="63"/>
    </row>
    <row r="509">
      <c r="E509" s="63"/>
      <c r="F509" s="62"/>
      <c r="G509" s="64"/>
      <c r="J509" s="62"/>
      <c r="K509" s="65"/>
      <c r="L509" s="62"/>
      <c r="O509" s="62"/>
      <c r="P509" s="62"/>
      <c r="Q509" s="62"/>
      <c r="R509" s="62"/>
      <c r="S509" s="62"/>
      <c r="T509" s="62"/>
      <c r="U509" s="62"/>
      <c r="V509" s="62"/>
      <c r="X509" s="62"/>
      <c r="Y509" s="62"/>
      <c r="Z509" s="62"/>
      <c r="AA509" s="62"/>
      <c r="AB509" s="63"/>
    </row>
    <row r="510">
      <c r="E510" s="63"/>
      <c r="F510" s="62"/>
      <c r="G510" s="64"/>
      <c r="J510" s="62"/>
      <c r="K510" s="65"/>
      <c r="L510" s="62"/>
      <c r="O510" s="62"/>
      <c r="P510" s="62"/>
      <c r="Q510" s="62"/>
      <c r="R510" s="62"/>
      <c r="S510" s="62"/>
      <c r="T510" s="62"/>
      <c r="U510" s="62"/>
      <c r="V510" s="62"/>
      <c r="X510" s="62"/>
      <c r="Y510" s="62"/>
      <c r="Z510" s="62"/>
      <c r="AA510" s="62"/>
      <c r="AB510" s="63"/>
    </row>
    <row r="511">
      <c r="E511" s="63"/>
      <c r="F511" s="62"/>
      <c r="G511" s="64"/>
      <c r="J511" s="62"/>
      <c r="K511" s="65"/>
      <c r="L511" s="62"/>
      <c r="O511" s="62"/>
      <c r="P511" s="62"/>
      <c r="Q511" s="62"/>
      <c r="R511" s="62"/>
      <c r="S511" s="62"/>
      <c r="T511" s="62"/>
      <c r="U511" s="62"/>
      <c r="V511" s="62"/>
      <c r="X511" s="62"/>
      <c r="Y511" s="62"/>
      <c r="Z511" s="62"/>
      <c r="AA511" s="62"/>
      <c r="AB511" s="63"/>
    </row>
    <row r="512">
      <c r="E512" s="63"/>
      <c r="F512" s="62"/>
      <c r="G512" s="64"/>
      <c r="J512" s="62"/>
      <c r="K512" s="65"/>
      <c r="L512" s="62"/>
      <c r="O512" s="62"/>
      <c r="P512" s="62"/>
      <c r="Q512" s="62"/>
      <c r="R512" s="62"/>
      <c r="S512" s="62"/>
      <c r="T512" s="62"/>
      <c r="U512" s="62"/>
      <c r="V512" s="62"/>
      <c r="X512" s="62"/>
      <c r="Y512" s="62"/>
      <c r="Z512" s="62"/>
      <c r="AA512" s="62"/>
      <c r="AB512" s="63"/>
    </row>
    <row r="513">
      <c r="E513" s="63"/>
      <c r="F513" s="62"/>
      <c r="G513" s="64"/>
      <c r="J513" s="62"/>
      <c r="K513" s="65"/>
      <c r="L513" s="62"/>
      <c r="O513" s="62"/>
      <c r="P513" s="62"/>
      <c r="Q513" s="62"/>
      <c r="R513" s="62"/>
      <c r="S513" s="62"/>
      <c r="T513" s="62"/>
      <c r="U513" s="62"/>
      <c r="V513" s="62"/>
      <c r="X513" s="62"/>
      <c r="Y513" s="62"/>
      <c r="Z513" s="62"/>
      <c r="AA513" s="62"/>
      <c r="AB513" s="63"/>
    </row>
    <row r="514">
      <c r="E514" s="63"/>
      <c r="F514" s="62"/>
      <c r="G514" s="64"/>
      <c r="J514" s="62"/>
      <c r="K514" s="65"/>
      <c r="L514" s="62"/>
      <c r="O514" s="62"/>
      <c r="P514" s="62"/>
      <c r="Q514" s="62"/>
      <c r="R514" s="62"/>
      <c r="S514" s="62"/>
      <c r="T514" s="62"/>
      <c r="U514" s="62"/>
      <c r="V514" s="62"/>
      <c r="X514" s="62"/>
      <c r="Y514" s="62"/>
      <c r="Z514" s="62"/>
      <c r="AA514" s="62"/>
      <c r="AB514" s="63"/>
    </row>
    <row r="515">
      <c r="E515" s="63"/>
      <c r="F515" s="62"/>
      <c r="G515" s="64"/>
      <c r="J515" s="62"/>
      <c r="K515" s="65"/>
      <c r="L515" s="62"/>
      <c r="O515" s="62"/>
      <c r="P515" s="62"/>
      <c r="Q515" s="62"/>
      <c r="R515" s="62"/>
      <c r="S515" s="62"/>
      <c r="T515" s="62"/>
      <c r="U515" s="62"/>
      <c r="V515" s="62"/>
      <c r="X515" s="62"/>
      <c r="Y515" s="62"/>
      <c r="Z515" s="62"/>
      <c r="AA515" s="62"/>
      <c r="AB515" s="63"/>
    </row>
    <row r="516">
      <c r="E516" s="63"/>
      <c r="F516" s="62"/>
      <c r="G516" s="64"/>
      <c r="J516" s="62"/>
      <c r="K516" s="65"/>
      <c r="L516" s="62"/>
      <c r="O516" s="62"/>
      <c r="P516" s="62"/>
      <c r="Q516" s="62"/>
      <c r="R516" s="62"/>
      <c r="S516" s="62"/>
      <c r="T516" s="62"/>
      <c r="U516" s="62"/>
      <c r="V516" s="62"/>
      <c r="X516" s="62"/>
      <c r="Y516" s="62"/>
      <c r="Z516" s="62"/>
      <c r="AA516" s="62"/>
      <c r="AB516" s="63"/>
    </row>
    <row r="517">
      <c r="E517" s="63"/>
      <c r="F517" s="62"/>
      <c r="G517" s="64"/>
      <c r="J517" s="62"/>
      <c r="K517" s="65"/>
      <c r="L517" s="62"/>
      <c r="O517" s="62"/>
      <c r="P517" s="62"/>
      <c r="Q517" s="62"/>
      <c r="R517" s="62"/>
      <c r="S517" s="62"/>
      <c r="T517" s="62"/>
      <c r="U517" s="62"/>
      <c r="V517" s="62"/>
      <c r="X517" s="62"/>
      <c r="Y517" s="62"/>
      <c r="Z517" s="62"/>
      <c r="AA517" s="62"/>
      <c r="AB517" s="63"/>
    </row>
    <row r="518">
      <c r="E518" s="63"/>
      <c r="F518" s="62"/>
      <c r="G518" s="64"/>
      <c r="J518" s="62"/>
      <c r="K518" s="65"/>
      <c r="L518" s="62"/>
      <c r="O518" s="62"/>
      <c r="P518" s="62"/>
      <c r="Q518" s="62"/>
      <c r="R518" s="62"/>
      <c r="S518" s="62"/>
      <c r="T518" s="62"/>
      <c r="U518" s="62"/>
      <c r="V518" s="62"/>
      <c r="X518" s="62"/>
      <c r="Y518" s="62"/>
      <c r="Z518" s="62"/>
      <c r="AA518" s="62"/>
      <c r="AB518" s="63"/>
    </row>
    <row r="519">
      <c r="E519" s="63"/>
      <c r="F519" s="62"/>
      <c r="G519" s="64"/>
      <c r="J519" s="62"/>
      <c r="K519" s="65"/>
      <c r="L519" s="62"/>
      <c r="O519" s="62"/>
      <c r="P519" s="62"/>
      <c r="Q519" s="62"/>
      <c r="R519" s="62"/>
      <c r="S519" s="62"/>
      <c r="T519" s="62"/>
      <c r="U519" s="62"/>
      <c r="V519" s="62"/>
      <c r="X519" s="62"/>
      <c r="Y519" s="62"/>
      <c r="Z519" s="62"/>
      <c r="AA519" s="62"/>
      <c r="AB519" s="63"/>
    </row>
    <row r="520">
      <c r="E520" s="63"/>
      <c r="F520" s="62"/>
      <c r="G520" s="64"/>
      <c r="J520" s="62"/>
      <c r="K520" s="65"/>
      <c r="L520" s="62"/>
      <c r="O520" s="62"/>
      <c r="P520" s="62"/>
      <c r="Q520" s="62"/>
      <c r="R520" s="62"/>
      <c r="S520" s="62"/>
      <c r="T520" s="62"/>
      <c r="U520" s="62"/>
      <c r="V520" s="62"/>
      <c r="X520" s="62"/>
      <c r="Y520" s="62"/>
      <c r="Z520" s="62"/>
      <c r="AA520" s="62"/>
      <c r="AB520" s="63"/>
    </row>
    <row r="521">
      <c r="E521" s="63"/>
      <c r="F521" s="62"/>
      <c r="G521" s="64"/>
      <c r="J521" s="62"/>
      <c r="K521" s="65"/>
      <c r="L521" s="62"/>
      <c r="O521" s="62"/>
      <c r="P521" s="62"/>
      <c r="Q521" s="62"/>
      <c r="R521" s="62"/>
      <c r="S521" s="62"/>
      <c r="T521" s="62"/>
      <c r="U521" s="62"/>
      <c r="V521" s="62"/>
      <c r="X521" s="62"/>
      <c r="Y521" s="62"/>
      <c r="Z521" s="62"/>
      <c r="AA521" s="62"/>
      <c r="AB521" s="63"/>
    </row>
    <row r="522">
      <c r="E522" s="63"/>
      <c r="F522" s="62"/>
      <c r="G522" s="64"/>
      <c r="J522" s="62"/>
      <c r="K522" s="65"/>
      <c r="L522" s="62"/>
      <c r="O522" s="62"/>
      <c r="P522" s="62"/>
      <c r="Q522" s="62"/>
      <c r="R522" s="62"/>
      <c r="S522" s="62"/>
      <c r="T522" s="62"/>
      <c r="U522" s="62"/>
      <c r="V522" s="62"/>
      <c r="X522" s="62"/>
      <c r="Y522" s="62"/>
      <c r="Z522" s="62"/>
      <c r="AA522" s="62"/>
      <c r="AB522" s="63"/>
    </row>
    <row r="523">
      <c r="E523" s="63"/>
      <c r="F523" s="62"/>
      <c r="G523" s="64"/>
      <c r="J523" s="62"/>
      <c r="K523" s="65"/>
      <c r="L523" s="62"/>
      <c r="O523" s="62"/>
      <c r="P523" s="62"/>
      <c r="Q523" s="62"/>
      <c r="R523" s="62"/>
      <c r="S523" s="62"/>
      <c r="T523" s="62"/>
      <c r="U523" s="62"/>
      <c r="V523" s="62"/>
      <c r="X523" s="62"/>
      <c r="Y523" s="62"/>
      <c r="Z523" s="62"/>
      <c r="AA523" s="62"/>
      <c r="AB523" s="63"/>
    </row>
    <row r="524">
      <c r="E524" s="63"/>
      <c r="F524" s="62"/>
      <c r="G524" s="64"/>
      <c r="J524" s="62"/>
      <c r="K524" s="65"/>
      <c r="L524" s="62"/>
      <c r="O524" s="62"/>
      <c r="P524" s="62"/>
      <c r="Q524" s="62"/>
      <c r="R524" s="62"/>
      <c r="S524" s="62"/>
      <c r="T524" s="62"/>
      <c r="U524" s="62"/>
      <c r="V524" s="62"/>
      <c r="X524" s="62"/>
      <c r="Y524" s="62"/>
      <c r="Z524" s="62"/>
      <c r="AA524" s="62"/>
      <c r="AB524" s="63"/>
    </row>
    <row r="525">
      <c r="E525" s="63"/>
      <c r="F525" s="62"/>
      <c r="G525" s="64"/>
      <c r="J525" s="62"/>
      <c r="K525" s="65"/>
      <c r="L525" s="62"/>
      <c r="O525" s="62"/>
      <c r="P525" s="62"/>
      <c r="Q525" s="62"/>
      <c r="R525" s="62"/>
      <c r="S525" s="62"/>
      <c r="T525" s="62"/>
      <c r="U525" s="62"/>
      <c r="V525" s="62"/>
      <c r="X525" s="62"/>
      <c r="Y525" s="62"/>
      <c r="Z525" s="62"/>
      <c r="AA525" s="62"/>
      <c r="AB525" s="63"/>
    </row>
    <row r="526">
      <c r="E526" s="63"/>
      <c r="F526" s="62"/>
      <c r="G526" s="64"/>
      <c r="J526" s="62"/>
      <c r="K526" s="65"/>
      <c r="L526" s="62"/>
      <c r="O526" s="62"/>
      <c r="P526" s="62"/>
      <c r="Q526" s="62"/>
      <c r="R526" s="62"/>
      <c r="S526" s="62"/>
      <c r="T526" s="62"/>
      <c r="U526" s="62"/>
      <c r="V526" s="62"/>
      <c r="X526" s="62"/>
      <c r="Y526" s="62"/>
      <c r="Z526" s="62"/>
      <c r="AA526" s="62"/>
      <c r="AB526" s="63"/>
    </row>
    <row r="527">
      <c r="E527" s="63"/>
      <c r="F527" s="62"/>
      <c r="G527" s="64"/>
      <c r="J527" s="62"/>
      <c r="K527" s="65"/>
      <c r="L527" s="62"/>
      <c r="O527" s="62"/>
      <c r="P527" s="62"/>
      <c r="Q527" s="62"/>
      <c r="R527" s="62"/>
      <c r="S527" s="62"/>
      <c r="T527" s="62"/>
      <c r="U527" s="62"/>
      <c r="V527" s="62"/>
      <c r="X527" s="62"/>
      <c r="Y527" s="62"/>
      <c r="Z527" s="62"/>
      <c r="AA527" s="62"/>
      <c r="AB527" s="63"/>
    </row>
    <row r="528">
      <c r="E528" s="63"/>
      <c r="F528" s="62"/>
      <c r="G528" s="64"/>
      <c r="J528" s="62"/>
      <c r="K528" s="65"/>
      <c r="L528" s="62"/>
      <c r="O528" s="62"/>
      <c r="P528" s="62"/>
      <c r="Q528" s="62"/>
      <c r="R528" s="62"/>
      <c r="S528" s="62"/>
      <c r="T528" s="62"/>
      <c r="U528" s="62"/>
      <c r="V528" s="62"/>
      <c r="X528" s="62"/>
      <c r="Y528" s="62"/>
      <c r="Z528" s="62"/>
      <c r="AA528" s="62"/>
      <c r="AB528" s="63"/>
    </row>
    <row r="529">
      <c r="E529" s="63"/>
      <c r="F529" s="62"/>
      <c r="G529" s="64"/>
      <c r="J529" s="62"/>
      <c r="K529" s="65"/>
      <c r="L529" s="62"/>
      <c r="O529" s="62"/>
      <c r="P529" s="62"/>
      <c r="Q529" s="62"/>
      <c r="R529" s="62"/>
      <c r="S529" s="62"/>
      <c r="T529" s="62"/>
      <c r="U529" s="62"/>
      <c r="V529" s="62"/>
      <c r="X529" s="62"/>
      <c r="Y529" s="62"/>
      <c r="Z529" s="62"/>
      <c r="AA529" s="62"/>
      <c r="AB529" s="63"/>
    </row>
    <row r="530">
      <c r="E530" s="63"/>
      <c r="F530" s="62"/>
      <c r="G530" s="64"/>
      <c r="J530" s="62"/>
      <c r="K530" s="65"/>
      <c r="L530" s="62"/>
      <c r="O530" s="62"/>
      <c r="P530" s="62"/>
      <c r="Q530" s="62"/>
      <c r="R530" s="62"/>
      <c r="S530" s="62"/>
      <c r="T530" s="62"/>
      <c r="U530" s="62"/>
      <c r="V530" s="62"/>
      <c r="X530" s="62"/>
      <c r="Y530" s="62"/>
      <c r="Z530" s="62"/>
      <c r="AA530" s="62"/>
      <c r="AB530" s="63"/>
    </row>
    <row r="531">
      <c r="E531" s="63"/>
      <c r="F531" s="62"/>
      <c r="G531" s="64"/>
      <c r="J531" s="62"/>
      <c r="K531" s="65"/>
      <c r="L531" s="62"/>
      <c r="O531" s="62"/>
      <c r="P531" s="62"/>
      <c r="Q531" s="62"/>
      <c r="R531" s="62"/>
      <c r="S531" s="62"/>
      <c r="T531" s="62"/>
      <c r="U531" s="62"/>
      <c r="V531" s="62"/>
      <c r="X531" s="62"/>
      <c r="Y531" s="62"/>
      <c r="Z531" s="62"/>
      <c r="AA531" s="62"/>
      <c r="AB531" s="63"/>
    </row>
    <row r="532">
      <c r="E532" s="63"/>
      <c r="F532" s="62"/>
      <c r="G532" s="64"/>
      <c r="J532" s="62"/>
      <c r="K532" s="65"/>
      <c r="L532" s="62"/>
      <c r="O532" s="62"/>
      <c r="P532" s="62"/>
      <c r="Q532" s="62"/>
      <c r="R532" s="62"/>
      <c r="S532" s="62"/>
      <c r="T532" s="62"/>
      <c r="U532" s="62"/>
      <c r="V532" s="62"/>
      <c r="X532" s="62"/>
      <c r="Y532" s="62"/>
      <c r="Z532" s="62"/>
      <c r="AA532" s="62"/>
      <c r="AB532" s="63"/>
    </row>
    <row r="533">
      <c r="E533" s="63"/>
      <c r="F533" s="62"/>
      <c r="G533" s="64"/>
      <c r="J533" s="62"/>
      <c r="K533" s="65"/>
      <c r="L533" s="62"/>
      <c r="O533" s="62"/>
      <c r="P533" s="62"/>
      <c r="Q533" s="62"/>
      <c r="R533" s="62"/>
      <c r="S533" s="62"/>
      <c r="T533" s="62"/>
      <c r="U533" s="62"/>
      <c r="V533" s="62"/>
      <c r="X533" s="62"/>
      <c r="Y533" s="62"/>
      <c r="Z533" s="62"/>
      <c r="AA533" s="62"/>
      <c r="AB533" s="63"/>
    </row>
    <row r="534">
      <c r="E534" s="63"/>
      <c r="F534" s="62"/>
      <c r="G534" s="64"/>
      <c r="J534" s="62"/>
      <c r="K534" s="65"/>
      <c r="L534" s="62"/>
      <c r="O534" s="62"/>
      <c r="P534" s="62"/>
      <c r="Q534" s="62"/>
      <c r="R534" s="62"/>
      <c r="S534" s="62"/>
      <c r="T534" s="62"/>
      <c r="U534" s="62"/>
      <c r="V534" s="62"/>
      <c r="X534" s="62"/>
      <c r="Y534" s="62"/>
      <c r="Z534" s="62"/>
      <c r="AA534" s="62"/>
      <c r="AB534" s="63"/>
    </row>
    <row r="535">
      <c r="E535" s="63"/>
      <c r="F535" s="62"/>
      <c r="G535" s="64"/>
      <c r="J535" s="62"/>
      <c r="K535" s="65"/>
      <c r="L535" s="62"/>
      <c r="O535" s="62"/>
      <c r="P535" s="62"/>
      <c r="Q535" s="62"/>
      <c r="R535" s="62"/>
      <c r="S535" s="62"/>
      <c r="T535" s="62"/>
      <c r="U535" s="62"/>
      <c r="V535" s="62"/>
      <c r="X535" s="62"/>
      <c r="Y535" s="62"/>
      <c r="Z535" s="62"/>
      <c r="AA535" s="62"/>
      <c r="AB535" s="63"/>
    </row>
    <row r="536">
      <c r="E536" s="63"/>
      <c r="F536" s="62"/>
      <c r="G536" s="64"/>
      <c r="J536" s="62"/>
      <c r="K536" s="65"/>
      <c r="L536" s="62"/>
      <c r="O536" s="62"/>
      <c r="P536" s="62"/>
      <c r="Q536" s="62"/>
      <c r="R536" s="62"/>
      <c r="S536" s="62"/>
      <c r="T536" s="62"/>
      <c r="U536" s="62"/>
      <c r="V536" s="62"/>
      <c r="X536" s="62"/>
      <c r="Y536" s="62"/>
      <c r="Z536" s="62"/>
      <c r="AA536" s="62"/>
      <c r="AB536" s="63"/>
    </row>
    <row r="537">
      <c r="E537" s="63"/>
      <c r="F537" s="62"/>
      <c r="G537" s="64"/>
      <c r="J537" s="62"/>
      <c r="K537" s="65"/>
      <c r="L537" s="62"/>
      <c r="O537" s="62"/>
      <c r="P537" s="62"/>
      <c r="Q537" s="62"/>
      <c r="R537" s="62"/>
      <c r="S537" s="62"/>
      <c r="T537" s="62"/>
      <c r="U537" s="62"/>
      <c r="V537" s="62"/>
      <c r="X537" s="62"/>
      <c r="Y537" s="62"/>
      <c r="Z537" s="62"/>
      <c r="AA537" s="62"/>
      <c r="AB537" s="63"/>
    </row>
    <row r="538">
      <c r="E538" s="63"/>
      <c r="F538" s="62"/>
      <c r="G538" s="64"/>
      <c r="J538" s="62"/>
      <c r="K538" s="65"/>
      <c r="L538" s="62"/>
      <c r="O538" s="62"/>
      <c r="P538" s="62"/>
      <c r="Q538" s="62"/>
      <c r="R538" s="62"/>
      <c r="S538" s="62"/>
      <c r="T538" s="62"/>
      <c r="U538" s="62"/>
      <c r="V538" s="62"/>
      <c r="X538" s="62"/>
      <c r="Y538" s="62"/>
      <c r="Z538" s="62"/>
      <c r="AA538" s="62"/>
      <c r="AB538" s="63"/>
    </row>
    <row r="539">
      <c r="E539" s="63"/>
      <c r="F539" s="62"/>
      <c r="G539" s="64"/>
      <c r="J539" s="62"/>
      <c r="K539" s="65"/>
      <c r="L539" s="62"/>
      <c r="O539" s="62"/>
      <c r="P539" s="62"/>
      <c r="Q539" s="62"/>
      <c r="R539" s="62"/>
      <c r="S539" s="62"/>
      <c r="T539" s="62"/>
      <c r="U539" s="62"/>
      <c r="V539" s="62"/>
      <c r="X539" s="62"/>
      <c r="Y539" s="62"/>
      <c r="Z539" s="62"/>
      <c r="AA539" s="62"/>
      <c r="AB539" s="63"/>
    </row>
    <row r="540">
      <c r="E540" s="63"/>
      <c r="F540" s="62"/>
      <c r="G540" s="64"/>
      <c r="J540" s="62"/>
      <c r="K540" s="65"/>
      <c r="L540" s="62"/>
      <c r="O540" s="62"/>
      <c r="P540" s="62"/>
      <c r="Q540" s="62"/>
      <c r="R540" s="62"/>
      <c r="S540" s="62"/>
      <c r="T540" s="62"/>
      <c r="U540" s="62"/>
      <c r="V540" s="62"/>
      <c r="X540" s="62"/>
      <c r="Y540" s="62"/>
      <c r="Z540" s="62"/>
      <c r="AA540" s="62"/>
      <c r="AB540" s="63"/>
    </row>
    <row r="541">
      <c r="E541" s="63"/>
      <c r="F541" s="62"/>
      <c r="G541" s="64"/>
      <c r="J541" s="62"/>
      <c r="K541" s="65"/>
      <c r="L541" s="62"/>
      <c r="O541" s="62"/>
      <c r="P541" s="62"/>
      <c r="Q541" s="62"/>
      <c r="R541" s="62"/>
      <c r="S541" s="62"/>
      <c r="T541" s="62"/>
      <c r="U541" s="62"/>
      <c r="V541" s="62"/>
      <c r="X541" s="62"/>
      <c r="Y541" s="62"/>
      <c r="Z541" s="62"/>
      <c r="AA541" s="62"/>
      <c r="AB541" s="63"/>
    </row>
    <row r="542">
      <c r="E542" s="63"/>
      <c r="F542" s="62"/>
      <c r="G542" s="64"/>
      <c r="J542" s="62"/>
      <c r="K542" s="65"/>
      <c r="L542" s="62"/>
      <c r="O542" s="62"/>
      <c r="P542" s="62"/>
      <c r="Q542" s="62"/>
      <c r="R542" s="62"/>
      <c r="S542" s="62"/>
      <c r="T542" s="62"/>
      <c r="U542" s="62"/>
      <c r="V542" s="62"/>
      <c r="X542" s="62"/>
      <c r="Y542" s="62"/>
      <c r="Z542" s="62"/>
      <c r="AA542" s="62"/>
      <c r="AB542" s="63"/>
    </row>
    <row r="543">
      <c r="E543" s="63"/>
      <c r="F543" s="62"/>
      <c r="G543" s="64"/>
      <c r="J543" s="62"/>
      <c r="K543" s="65"/>
      <c r="L543" s="62"/>
      <c r="O543" s="62"/>
      <c r="P543" s="62"/>
      <c r="Q543" s="62"/>
      <c r="R543" s="62"/>
      <c r="S543" s="62"/>
      <c r="T543" s="62"/>
      <c r="U543" s="62"/>
      <c r="V543" s="62"/>
      <c r="X543" s="62"/>
      <c r="Y543" s="62"/>
      <c r="Z543" s="62"/>
      <c r="AA543" s="62"/>
      <c r="AB543" s="63"/>
    </row>
    <row r="544">
      <c r="E544" s="63"/>
      <c r="F544" s="62"/>
      <c r="G544" s="64"/>
      <c r="J544" s="62"/>
      <c r="K544" s="65"/>
      <c r="L544" s="62"/>
      <c r="O544" s="62"/>
      <c r="P544" s="62"/>
      <c r="Q544" s="62"/>
      <c r="R544" s="62"/>
      <c r="S544" s="62"/>
      <c r="T544" s="62"/>
      <c r="U544" s="62"/>
      <c r="V544" s="62"/>
      <c r="X544" s="62"/>
      <c r="Y544" s="62"/>
      <c r="Z544" s="62"/>
      <c r="AA544" s="62"/>
      <c r="AB544" s="63"/>
    </row>
    <row r="545">
      <c r="E545" s="63"/>
      <c r="F545" s="62"/>
      <c r="G545" s="64"/>
      <c r="J545" s="62"/>
      <c r="K545" s="65"/>
      <c r="L545" s="62"/>
      <c r="O545" s="62"/>
      <c r="P545" s="62"/>
      <c r="Q545" s="62"/>
      <c r="R545" s="62"/>
      <c r="S545" s="62"/>
      <c r="T545" s="62"/>
      <c r="U545" s="62"/>
      <c r="V545" s="62"/>
      <c r="X545" s="62"/>
      <c r="Y545" s="62"/>
      <c r="Z545" s="62"/>
      <c r="AA545" s="62"/>
      <c r="AB545" s="63"/>
    </row>
    <row r="546">
      <c r="E546" s="63"/>
      <c r="F546" s="62"/>
      <c r="G546" s="64"/>
      <c r="J546" s="62"/>
      <c r="K546" s="65"/>
      <c r="L546" s="62"/>
      <c r="O546" s="62"/>
      <c r="P546" s="62"/>
      <c r="Q546" s="62"/>
      <c r="R546" s="62"/>
      <c r="S546" s="62"/>
      <c r="T546" s="62"/>
      <c r="U546" s="62"/>
      <c r="V546" s="62"/>
      <c r="X546" s="62"/>
      <c r="Y546" s="62"/>
      <c r="Z546" s="62"/>
      <c r="AA546" s="62"/>
      <c r="AB546" s="63"/>
    </row>
    <row r="547">
      <c r="E547" s="63"/>
      <c r="F547" s="62"/>
      <c r="G547" s="64"/>
      <c r="J547" s="62"/>
      <c r="K547" s="65"/>
      <c r="L547" s="62"/>
      <c r="O547" s="62"/>
      <c r="P547" s="62"/>
      <c r="Q547" s="62"/>
      <c r="R547" s="62"/>
      <c r="S547" s="62"/>
      <c r="T547" s="62"/>
      <c r="U547" s="62"/>
      <c r="V547" s="62"/>
      <c r="X547" s="62"/>
      <c r="Y547" s="62"/>
      <c r="Z547" s="62"/>
      <c r="AA547" s="62"/>
      <c r="AB547" s="63"/>
    </row>
    <row r="548">
      <c r="E548" s="63"/>
      <c r="F548" s="62"/>
      <c r="G548" s="64"/>
      <c r="J548" s="62"/>
      <c r="K548" s="65"/>
      <c r="L548" s="62"/>
      <c r="O548" s="62"/>
      <c r="P548" s="62"/>
      <c r="Q548" s="62"/>
      <c r="R548" s="62"/>
      <c r="S548" s="62"/>
      <c r="T548" s="62"/>
      <c r="U548" s="62"/>
      <c r="V548" s="62"/>
      <c r="X548" s="62"/>
      <c r="Y548" s="62"/>
      <c r="Z548" s="62"/>
      <c r="AA548" s="62"/>
      <c r="AB548" s="63"/>
    </row>
    <row r="549">
      <c r="E549" s="63"/>
      <c r="F549" s="62"/>
      <c r="G549" s="64"/>
      <c r="J549" s="62"/>
      <c r="K549" s="65"/>
      <c r="L549" s="62"/>
      <c r="O549" s="62"/>
      <c r="P549" s="62"/>
      <c r="Q549" s="62"/>
      <c r="R549" s="62"/>
      <c r="S549" s="62"/>
      <c r="T549" s="62"/>
      <c r="U549" s="62"/>
      <c r="V549" s="62"/>
      <c r="X549" s="62"/>
      <c r="Y549" s="62"/>
      <c r="Z549" s="62"/>
      <c r="AA549" s="62"/>
      <c r="AB549" s="63"/>
    </row>
    <row r="550">
      <c r="E550" s="63"/>
      <c r="F550" s="62"/>
      <c r="G550" s="64"/>
      <c r="J550" s="62"/>
      <c r="K550" s="65"/>
      <c r="L550" s="62"/>
      <c r="O550" s="62"/>
      <c r="P550" s="62"/>
      <c r="Q550" s="62"/>
      <c r="R550" s="62"/>
      <c r="S550" s="62"/>
      <c r="T550" s="62"/>
      <c r="U550" s="62"/>
      <c r="V550" s="62"/>
      <c r="X550" s="62"/>
      <c r="Y550" s="62"/>
      <c r="Z550" s="62"/>
      <c r="AA550" s="62"/>
      <c r="AB550" s="63"/>
    </row>
    <row r="551">
      <c r="E551" s="63"/>
      <c r="F551" s="62"/>
      <c r="G551" s="64"/>
      <c r="J551" s="62"/>
      <c r="K551" s="65"/>
      <c r="L551" s="62"/>
      <c r="O551" s="62"/>
      <c r="P551" s="62"/>
      <c r="Q551" s="62"/>
      <c r="R551" s="62"/>
      <c r="S551" s="62"/>
      <c r="T551" s="62"/>
      <c r="U551" s="62"/>
      <c r="V551" s="62"/>
      <c r="X551" s="62"/>
      <c r="Y551" s="62"/>
      <c r="Z551" s="62"/>
      <c r="AA551" s="62"/>
      <c r="AB551" s="63"/>
    </row>
    <row r="552">
      <c r="E552" s="63"/>
      <c r="F552" s="62"/>
      <c r="G552" s="64"/>
      <c r="J552" s="62"/>
      <c r="K552" s="65"/>
      <c r="L552" s="62"/>
      <c r="O552" s="62"/>
      <c r="P552" s="62"/>
      <c r="Q552" s="62"/>
      <c r="R552" s="62"/>
      <c r="S552" s="62"/>
      <c r="T552" s="62"/>
      <c r="U552" s="62"/>
      <c r="V552" s="62"/>
      <c r="X552" s="62"/>
      <c r="Y552" s="62"/>
      <c r="Z552" s="62"/>
      <c r="AA552" s="62"/>
      <c r="AB552" s="63"/>
    </row>
    <row r="553">
      <c r="E553" s="63"/>
      <c r="F553" s="62"/>
      <c r="G553" s="64"/>
      <c r="J553" s="62"/>
      <c r="K553" s="65"/>
      <c r="L553" s="62"/>
      <c r="O553" s="62"/>
      <c r="P553" s="62"/>
      <c r="Q553" s="62"/>
      <c r="R553" s="62"/>
      <c r="S553" s="62"/>
      <c r="T553" s="62"/>
      <c r="U553" s="62"/>
      <c r="V553" s="62"/>
      <c r="X553" s="62"/>
      <c r="Y553" s="62"/>
      <c r="Z553" s="62"/>
      <c r="AA553" s="62"/>
      <c r="AB553" s="63"/>
    </row>
    <row r="554">
      <c r="E554" s="63"/>
      <c r="F554" s="62"/>
      <c r="G554" s="64"/>
      <c r="J554" s="62"/>
      <c r="K554" s="65"/>
      <c r="L554" s="62"/>
      <c r="O554" s="62"/>
      <c r="P554" s="62"/>
      <c r="Q554" s="62"/>
      <c r="R554" s="62"/>
      <c r="S554" s="62"/>
      <c r="T554" s="62"/>
      <c r="U554" s="62"/>
      <c r="V554" s="62"/>
      <c r="X554" s="62"/>
      <c r="Y554" s="62"/>
      <c r="Z554" s="62"/>
      <c r="AA554" s="62"/>
      <c r="AB554" s="63"/>
    </row>
    <row r="555">
      <c r="E555" s="63"/>
      <c r="F555" s="62"/>
      <c r="G555" s="64"/>
      <c r="J555" s="62"/>
      <c r="K555" s="65"/>
      <c r="L555" s="62"/>
      <c r="O555" s="62"/>
      <c r="P555" s="62"/>
      <c r="Q555" s="62"/>
      <c r="R555" s="62"/>
      <c r="S555" s="62"/>
      <c r="T555" s="62"/>
      <c r="U555" s="62"/>
      <c r="V555" s="62"/>
      <c r="X555" s="62"/>
      <c r="Y555" s="62"/>
      <c r="Z555" s="62"/>
      <c r="AA555" s="62"/>
      <c r="AB555" s="63"/>
    </row>
    <row r="556">
      <c r="E556" s="63"/>
      <c r="F556" s="62"/>
      <c r="G556" s="64"/>
      <c r="J556" s="62"/>
      <c r="K556" s="65"/>
      <c r="L556" s="62"/>
      <c r="O556" s="62"/>
      <c r="P556" s="62"/>
      <c r="Q556" s="62"/>
      <c r="R556" s="62"/>
      <c r="S556" s="62"/>
      <c r="T556" s="62"/>
      <c r="U556" s="62"/>
      <c r="V556" s="62"/>
      <c r="X556" s="62"/>
      <c r="Y556" s="62"/>
      <c r="Z556" s="62"/>
      <c r="AA556" s="62"/>
      <c r="AB556" s="63"/>
    </row>
    <row r="557">
      <c r="E557" s="63"/>
      <c r="F557" s="62"/>
      <c r="G557" s="64"/>
      <c r="J557" s="62"/>
      <c r="K557" s="65"/>
      <c r="L557" s="62"/>
      <c r="O557" s="62"/>
      <c r="P557" s="62"/>
      <c r="Q557" s="62"/>
      <c r="R557" s="62"/>
      <c r="S557" s="62"/>
      <c r="T557" s="62"/>
      <c r="U557" s="62"/>
      <c r="V557" s="62"/>
      <c r="X557" s="62"/>
      <c r="Y557" s="62"/>
      <c r="Z557" s="62"/>
      <c r="AA557" s="62"/>
      <c r="AB557" s="63"/>
    </row>
    <row r="558">
      <c r="E558" s="63"/>
      <c r="F558" s="62"/>
      <c r="G558" s="64"/>
      <c r="J558" s="62"/>
      <c r="K558" s="65"/>
      <c r="L558" s="62"/>
      <c r="O558" s="62"/>
      <c r="P558" s="62"/>
      <c r="Q558" s="62"/>
      <c r="R558" s="62"/>
      <c r="S558" s="62"/>
      <c r="T558" s="62"/>
      <c r="U558" s="62"/>
      <c r="V558" s="62"/>
      <c r="X558" s="62"/>
      <c r="Y558" s="62"/>
      <c r="Z558" s="62"/>
      <c r="AA558" s="62"/>
      <c r="AB558" s="63"/>
    </row>
    <row r="559">
      <c r="E559" s="63"/>
      <c r="F559" s="62"/>
      <c r="G559" s="64"/>
      <c r="J559" s="62"/>
      <c r="K559" s="65"/>
      <c r="L559" s="62"/>
      <c r="O559" s="62"/>
      <c r="P559" s="62"/>
      <c r="Q559" s="62"/>
      <c r="R559" s="62"/>
      <c r="S559" s="62"/>
      <c r="T559" s="62"/>
      <c r="U559" s="62"/>
      <c r="V559" s="62"/>
      <c r="X559" s="62"/>
      <c r="Y559" s="62"/>
      <c r="Z559" s="62"/>
      <c r="AA559" s="62"/>
      <c r="AB559" s="63"/>
    </row>
    <row r="560">
      <c r="E560" s="63"/>
      <c r="F560" s="62"/>
      <c r="G560" s="64"/>
      <c r="J560" s="62"/>
      <c r="K560" s="65"/>
      <c r="L560" s="62"/>
      <c r="O560" s="62"/>
      <c r="P560" s="62"/>
      <c r="Q560" s="62"/>
      <c r="R560" s="62"/>
      <c r="S560" s="62"/>
      <c r="T560" s="62"/>
      <c r="U560" s="62"/>
      <c r="V560" s="62"/>
      <c r="X560" s="62"/>
      <c r="Y560" s="62"/>
      <c r="Z560" s="62"/>
      <c r="AA560" s="62"/>
      <c r="AB560" s="63"/>
    </row>
    <row r="561">
      <c r="E561" s="63"/>
      <c r="F561" s="62"/>
      <c r="G561" s="64"/>
      <c r="J561" s="62"/>
      <c r="K561" s="65"/>
      <c r="L561" s="62"/>
      <c r="O561" s="62"/>
      <c r="P561" s="62"/>
      <c r="Q561" s="62"/>
      <c r="R561" s="62"/>
      <c r="S561" s="62"/>
      <c r="T561" s="62"/>
      <c r="U561" s="62"/>
      <c r="V561" s="62"/>
      <c r="X561" s="62"/>
      <c r="Y561" s="62"/>
      <c r="Z561" s="62"/>
      <c r="AA561" s="62"/>
      <c r="AB561" s="63"/>
    </row>
    <row r="562">
      <c r="E562" s="63"/>
      <c r="F562" s="62"/>
      <c r="G562" s="64"/>
      <c r="J562" s="62"/>
      <c r="K562" s="65"/>
      <c r="L562" s="62"/>
      <c r="O562" s="62"/>
      <c r="P562" s="62"/>
      <c r="Q562" s="62"/>
      <c r="R562" s="62"/>
      <c r="S562" s="62"/>
      <c r="T562" s="62"/>
      <c r="U562" s="62"/>
      <c r="V562" s="62"/>
      <c r="X562" s="62"/>
      <c r="Y562" s="62"/>
      <c r="Z562" s="62"/>
      <c r="AA562" s="62"/>
      <c r="AB562" s="63"/>
    </row>
    <row r="563">
      <c r="E563" s="63"/>
      <c r="F563" s="62"/>
      <c r="G563" s="64"/>
      <c r="J563" s="62"/>
      <c r="K563" s="65"/>
      <c r="L563" s="62"/>
      <c r="O563" s="62"/>
      <c r="P563" s="62"/>
      <c r="Q563" s="62"/>
      <c r="R563" s="62"/>
      <c r="S563" s="62"/>
      <c r="T563" s="62"/>
      <c r="U563" s="62"/>
      <c r="V563" s="62"/>
      <c r="X563" s="62"/>
      <c r="Y563" s="62"/>
      <c r="Z563" s="62"/>
      <c r="AA563" s="62"/>
      <c r="AB563" s="63"/>
    </row>
    <row r="564">
      <c r="E564" s="63"/>
      <c r="F564" s="62"/>
      <c r="G564" s="64"/>
      <c r="J564" s="62"/>
      <c r="K564" s="65"/>
      <c r="L564" s="62"/>
      <c r="O564" s="62"/>
      <c r="P564" s="62"/>
      <c r="Q564" s="62"/>
      <c r="R564" s="62"/>
      <c r="S564" s="62"/>
      <c r="T564" s="62"/>
      <c r="U564" s="62"/>
      <c r="V564" s="62"/>
      <c r="X564" s="62"/>
      <c r="Y564" s="62"/>
      <c r="Z564" s="62"/>
      <c r="AA564" s="62"/>
      <c r="AB564" s="63"/>
    </row>
    <row r="565">
      <c r="E565" s="63"/>
      <c r="F565" s="62"/>
      <c r="G565" s="64"/>
      <c r="J565" s="62"/>
      <c r="K565" s="65"/>
      <c r="L565" s="62"/>
      <c r="O565" s="62"/>
      <c r="P565" s="62"/>
      <c r="Q565" s="62"/>
      <c r="R565" s="62"/>
      <c r="S565" s="62"/>
      <c r="T565" s="62"/>
      <c r="U565" s="62"/>
      <c r="V565" s="62"/>
      <c r="X565" s="62"/>
      <c r="Y565" s="62"/>
      <c r="Z565" s="62"/>
      <c r="AA565" s="62"/>
      <c r="AB565" s="63"/>
    </row>
    <row r="566">
      <c r="E566" s="63"/>
      <c r="F566" s="62"/>
      <c r="G566" s="64"/>
      <c r="J566" s="62"/>
      <c r="K566" s="65"/>
      <c r="L566" s="62"/>
      <c r="O566" s="62"/>
      <c r="P566" s="62"/>
      <c r="Q566" s="62"/>
      <c r="R566" s="62"/>
      <c r="S566" s="62"/>
      <c r="T566" s="62"/>
      <c r="U566" s="62"/>
      <c r="V566" s="62"/>
      <c r="X566" s="62"/>
      <c r="Y566" s="62"/>
      <c r="Z566" s="62"/>
      <c r="AA566" s="62"/>
      <c r="AB566" s="63"/>
    </row>
    <row r="567">
      <c r="E567" s="63"/>
      <c r="F567" s="62"/>
      <c r="G567" s="64"/>
      <c r="J567" s="62"/>
      <c r="K567" s="65"/>
      <c r="L567" s="62"/>
      <c r="O567" s="62"/>
      <c r="P567" s="62"/>
      <c r="Q567" s="62"/>
      <c r="R567" s="62"/>
      <c r="S567" s="62"/>
      <c r="T567" s="62"/>
      <c r="U567" s="62"/>
      <c r="V567" s="62"/>
      <c r="X567" s="62"/>
      <c r="Y567" s="62"/>
      <c r="Z567" s="62"/>
      <c r="AA567" s="62"/>
      <c r="AB567" s="63"/>
    </row>
    <row r="568">
      <c r="E568" s="63"/>
      <c r="F568" s="62"/>
      <c r="G568" s="64"/>
      <c r="J568" s="62"/>
      <c r="K568" s="65"/>
      <c r="L568" s="62"/>
      <c r="O568" s="62"/>
      <c r="P568" s="62"/>
      <c r="Q568" s="62"/>
      <c r="R568" s="62"/>
      <c r="S568" s="62"/>
      <c r="T568" s="62"/>
      <c r="U568" s="62"/>
      <c r="V568" s="62"/>
      <c r="X568" s="62"/>
      <c r="Y568" s="62"/>
      <c r="Z568" s="62"/>
      <c r="AA568" s="62"/>
      <c r="AB568" s="63"/>
    </row>
    <row r="569">
      <c r="E569" s="63"/>
      <c r="F569" s="62"/>
      <c r="G569" s="64"/>
      <c r="J569" s="62"/>
      <c r="K569" s="65"/>
      <c r="L569" s="62"/>
      <c r="O569" s="62"/>
      <c r="P569" s="62"/>
      <c r="Q569" s="62"/>
      <c r="R569" s="62"/>
      <c r="S569" s="62"/>
      <c r="T569" s="62"/>
      <c r="U569" s="62"/>
      <c r="V569" s="62"/>
      <c r="X569" s="62"/>
      <c r="Y569" s="62"/>
      <c r="Z569" s="62"/>
      <c r="AA569" s="62"/>
      <c r="AB569" s="63"/>
    </row>
    <row r="570">
      <c r="E570" s="63"/>
      <c r="F570" s="62"/>
      <c r="G570" s="64"/>
      <c r="J570" s="62"/>
      <c r="K570" s="65"/>
      <c r="L570" s="62"/>
      <c r="O570" s="62"/>
      <c r="P570" s="62"/>
      <c r="Q570" s="62"/>
      <c r="R570" s="62"/>
      <c r="S570" s="62"/>
      <c r="T570" s="62"/>
      <c r="U570" s="62"/>
      <c r="V570" s="62"/>
      <c r="X570" s="62"/>
      <c r="Y570" s="62"/>
      <c r="Z570" s="62"/>
      <c r="AA570" s="62"/>
      <c r="AB570" s="63"/>
    </row>
    <row r="571">
      <c r="E571" s="63"/>
      <c r="F571" s="62"/>
      <c r="G571" s="64"/>
      <c r="J571" s="62"/>
      <c r="K571" s="65"/>
      <c r="L571" s="62"/>
      <c r="O571" s="62"/>
      <c r="P571" s="62"/>
      <c r="Q571" s="62"/>
      <c r="R571" s="62"/>
      <c r="S571" s="62"/>
      <c r="T571" s="62"/>
      <c r="U571" s="62"/>
      <c r="V571" s="62"/>
      <c r="X571" s="62"/>
      <c r="Y571" s="62"/>
      <c r="Z571" s="62"/>
      <c r="AA571" s="62"/>
      <c r="AB571" s="63"/>
    </row>
    <row r="572">
      <c r="E572" s="63"/>
      <c r="F572" s="62"/>
      <c r="G572" s="64"/>
      <c r="J572" s="62"/>
      <c r="K572" s="65"/>
      <c r="L572" s="62"/>
      <c r="O572" s="62"/>
      <c r="P572" s="62"/>
      <c r="Q572" s="62"/>
      <c r="R572" s="62"/>
      <c r="S572" s="62"/>
      <c r="T572" s="62"/>
      <c r="U572" s="62"/>
      <c r="V572" s="62"/>
      <c r="X572" s="62"/>
      <c r="Y572" s="62"/>
      <c r="Z572" s="62"/>
      <c r="AA572" s="62"/>
      <c r="AB572" s="63"/>
    </row>
    <row r="573">
      <c r="E573" s="63"/>
      <c r="F573" s="62"/>
      <c r="G573" s="64"/>
      <c r="J573" s="62"/>
      <c r="K573" s="65"/>
      <c r="L573" s="62"/>
      <c r="O573" s="62"/>
      <c r="P573" s="62"/>
      <c r="Q573" s="62"/>
      <c r="R573" s="62"/>
      <c r="S573" s="62"/>
      <c r="T573" s="62"/>
      <c r="U573" s="62"/>
      <c r="V573" s="62"/>
      <c r="X573" s="62"/>
      <c r="Y573" s="62"/>
      <c r="Z573" s="62"/>
      <c r="AA573" s="62"/>
      <c r="AB573" s="63"/>
    </row>
    <row r="574">
      <c r="E574" s="63"/>
      <c r="F574" s="62"/>
      <c r="G574" s="64"/>
      <c r="J574" s="62"/>
      <c r="K574" s="65"/>
      <c r="L574" s="62"/>
      <c r="O574" s="62"/>
      <c r="P574" s="62"/>
      <c r="Q574" s="62"/>
      <c r="R574" s="62"/>
      <c r="S574" s="62"/>
      <c r="T574" s="62"/>
      <c r="U574" s="62"/>
      <c r="V574" s="62"/>
      <c r="X574" s="62"/>
      <c r="Y574" s="62"/>
      <c r="Z574" s="62"/>
      <c r="AA574" s="62"/>
      <c r="AB574" s="63"/>
    </row>
    <row r="575">
      <c r="E575" s="63"/>
      <c r="F575" s="62"/>
      <c r="G575" s="64"/>
      <c r="J575" s="62"/>
      <c r="K575" s="65"/>
      <c r="L575" s="62"/>
      <c r="O575" s="62"/>
      <c r="P575" s="62"/>
      <c r="Q575" s="62"/>
      <c r="R575" s="62"/>
      <c r="S575" s="62"/>
      <c r="T575" s="62"/>
      <c r="U575" s="62"/>
      <c r="V575" s="62"/>
      <c r="X575" s="62"/>
      <c r="Y575" s="62"/>
      <c r="Z575" s="62"/>
      <c r="AA575" s="62"/>
      <c r="AB575" s="63"/>
    </row>
    <row r="576">
      <c r="E576" s="63"/>
      <c r="F576" s="62"/>
      <c r="G576" s="64"/>
      <c r="J576" s="62"/>
      <c r="K576" s="65"/>
      <c r="L576" s="62"/>
      <c r="O576" s="62"/>
      <c r="P576" s="62"/>
      <c r="Q576" s="62"/>
      <c r="R576" s="62"/>
      <c r="S576" s="62"/>
      <c r="T576" s="62"/>
      <c r="U576" s="62"/>
      <c r="V576" s="62"/>
      <c r="X576" s="62"/>
      <c r="Y576" s="62"/>
      <c r="Z576" s="62"/>
      <c r="AA576" s="62"/>
      <c r="AB576" s="63"/>
    </row>
    <row r="577">
      <c r="E577" s="63"/>
      <c r="F577" s="62"/>
      <c r="G577" s="64"/>
      <c r="J577" s="62"/>
      <c r="K577" s="65"/>
      <c r="L577" s="62"/>
      <c r="O577" s="62"/>
      <c r="P577" s="62"/>
      <c r="Q577" s="62"/>
      <c r="R577" s="62"/>
      <c r="S577" s="62"/>
      <c r="T577" s="62"/>
      <c r="U577" s="62"/>
      <c r="V577" s="62"/>
      <c r="X577" s="62"/>
      <c r="Y577" s="62"/>
      <c r="Z577" s="62"/>
      <c r="AA577" s="62"/>
      <c r="AB577" s="63"/>
    </row>
    <row r="578">
      <c r="E578" s="63"/>
      <c r="F578" s="62"/>
      <c r="G578" s="64"/>
      <c r="J578" s="62"/>
      <c r="K578" s="65"/>
      <c r="L578" s="62"/>
      <c r="O578" s="62"/>
      <c r="P578" s="62"/>
      <c r="Q578" s="62"/>
      <c r="R578" s="62"/>
      <c r="S578" s="62"/>
      <c r="T578" s="62"/>
      <c r="U578" s="62"/>
      <c r="V578" s="62"/>
      <c r="X578" s="62"/>
      <c r="Y578" s="62"/>
      <c r="Z578" s="62"/>
      <c r="AA578" s="62"/>
      <c r="AB578" s="63"/>
    </row>
    <row r="579">
      <c r="E579" s="63"/>
      <c r="F579" s="62"/>
      <c r="G579" s="64"/>
      <c r="J579" s="62"/>
      <c r="K579" s="65"/>
      <c r="L579" s="62"/>
      <c r="O579" s="62"/>
      <c r="P579" s="62"/>
      <c r="Q579" s="62"/>
      <c r="R579" s="62"/>
      <c r="S579" s="62"/>
      <c r="T579" s="62"/>
      <c r="U579" s="62"/>
      <c r="V579" s="62"/>
      <c r="X579" s="62"/>
      <c r="Y579" s="62"/>
      <c r="Z579" s="62"/>
      <c r="AA579" s="62"/>
      <c r="AB579" s="63"/>
    </row>
    <row r="580">
      <c r="E580" s="63"/>
      <c r="F580" s="62"/>
      <c r="G580" s="64"/>
      <c r="J580" s="62"/>
      <c r="K580" s="65"/>
      <c r="L580" s="62"/>
      <c r="O580" s="62"/>
      <c r="P580" s="62"/>
      <c r="Q580" s="62"/>
      <c r="R580" s="62"/>
      <c r="S580" s="62"/>
      <c r="T580" s="62"/>
      <c r="U580" s="62"/>
      <c r="V580" s="62"/>
      <c r="X580" s="62"/>
      <c r="Y580" s="62"/>
      <c r="Z580" s="62"/>
      <c r="AA580" s="62"/>
      <c r="AB580" s="63"/>
    </row>
    <row r="581">
      <c r="E581" s="63"/>
      <c r="F581" s="62"/>
      <c r="G581" s="64"/>
      <c r="J581" s="62"/>
      <c r="K581" s="65"/>
      <c r="L581" s="62"/>
      <c r="O581" s="62"/>
      <c r="P581" s="62"/>
      <c r="Q581" s="62"/>
      <c r="R581" s="62"/>
      <c r="S581" s="62"/>
      <c r="T581" s="62"/>
      <c r="U581" s="62"/>
      <c r="V581" s="62"/>
      <c r="X581" s="62"/>
      <c r="Y581" s="62"/>
      <c r="Z581" s="62"/>
      <c r="AA581" s="62"/>
      <c r="AB581" s="63"/>
    </row>
    <row r="582">
      <c r="E582" s="63"/>
      <c r="F582" s="62"/>
      <c r="G582" s="64"/>
      <c r="J582" s="62"/>
      <c r="K582" s="65"/>
      <c r="L582" s="62"/>
      <c r="O582" s="62"/>
      <c r="P582" s="62"/>
      <c r="Q582" s="62"/>
      <c r="R582" s="62"/>
      <c r="S582" s="62"/>
      <c r="T582" s="62"/>
      <c r="U582" s="62"/>
      <c r="V582" s="62"/>
      <c r="X582" s="62"/>
      <c r="Y582" s="62"/>
      <c r="Z582" s="62"/>
      <c r="AA582" s="62"/>
      <c r="AB582" s="63"/>
    </row>
    <row r="583">
      <c r="E583" s="63"/>
      <c r="F583" s="62"/>
      <c r="G583" s="64"/>
      <c r="J583" s="62"/>
      <c r="K583" s="65"/>
      <c r="L583" s="62"/>
      <c r="O583" s="62"/>
      <c r="P583" s="62"/>
      <c r="Q583" s="62"/>
      <c r="R583" s="62"/>
      <c r="S583" s="62"/>
      <c r="T583" s="62"/>
      <c r="U583" s="62"/>
      <c r="V583" s="62"/>
      <c r="X583" s="62"/>
      <c r="Y583" s="62"/>
      <c r="Z583" s="62"/>
      <c r="AA583" s="62"/>
      <c r="AB583" s="63"/>
    </row>
    <row r="584">
      <c r="E584" s="63"/>
      <c r="F584" s="62"/>
      <c r="G584" s="64"/>
      <c r="J584" s="62"/>
      <c r="K584" s="65"/>
      <c r="L584" s="62"/>
      <c r="O584" s="62"/>
      <c r="P584" s="62"/>
      <c r="Q584" s="62"/>
      <c r="R584" s="62"/>
      <c r="S584" s="62"/>
      <c r="T584" s="62"/>
      <c r="U584" s="62"/>
      <c r="V584" s="62"/>
      <c r="X584" s="62"/>
      <c r="Y584" s="62"/>
      <c r="Z584" s="62"/>
      <c r="AA584" s="62"/>
      <c r="AB584" s="63"/>
    </row>
    <row r="585">
      <c r="E585" s="63"/>
      <c r="F585" s="62"/>
      <c r="G585" s="64"/>
      <c r="J585" s="62"/>
      <c r="K585" s="65"/>
      <c r="L585" s="62"/>
      <c r="O585" s="62"/>
      <c r="P585" s="62"/>
      <c r="Q585" s="62"/>
      <c r="R585" s="62"/>
      <c r="S585" s="62"/>
      <c r="T585" s="62"/>
      <c r="U585" s="62"/>
      <c r="V585" s="62"/>
      <c r="X585" s="62"/>
      <c r="Y585" s="62"/>
      <c r="Z585" s="62"/>
      <c r="AA585" s="62"/>
      <c r="AB585" s="63"/>
    </row>
    <row r="586">
      <c r="E586" s="63"/>
      <c r="F586" s="62"/>
      <c r="G586" s="64"/>
      <c r="J586" s="62"/>
      <c r="K586" s="65"/>
      <c r="L586" s="62"/>
      <c r="O586" s="62"/>
      <c r="P586" s="62"/>
      <c r="Q586" s="62"/>
      <c r="R586" s="62"/>
      <c r="S586" s="62"/>
      <c r="T586" s="62"/>
      <c r="U586" s="62"/>
      <c r="V586" s="62"/>
      <c r="X586" s="62"/>
      <c r="Y586" s="62"/>
      <c r="Z586" s="62"/>
      <c r="AA586" s="62"/>
      <c r="AB586" s="63"/>
    </row>
    <row r="587">
      <c r="E587" s="63"/>
      <c r="F587" s="62"/>
      <c r="G587" s="64"/>
      <c r="J587" s="62"/>
      <c r="K587" s="65"/>
      <c r="L587" s="62"/>
      <c r="O587" s="62"/>
      <c r="P587" s="62"/>
      <c r="Q587" s="62"/>
      <c r="R587" s="62"/>
      <c r="S587" s="62"/>
      <c r="T587" s="62"/>
      <c r="U587" s="62"/>
      <c r="V587" s="62"/>
      <c r="X587" s="62"/>
      <c r="Y587" s="62"/>
      <c r="Z587" s="62"/>
      <c r="AA587" s="62"/>
      <c r="AB587" s="63"/>
    </row>
    <row r="588">
      <c r="E588" s="63"/>
      <c r="F588" s="62"/>
      <c r="G588" s="64"/>
      <c r="J588" s="62"/>
      <c r="K588" s="65"/>
      <c r="L588" s="62"/>
      <c r="O588" s="62"/>
      <c r="P588" s="62"/>
      <c r="Q588" s="62"/>
      <c r="R588" s="62"/>
      <c r="S588" s="62"/>
      <c r="T588" s="62"/>
      <c r="U588" s="62"/>
      <c r="V588" s="62"/>
      <c r="X588" s="62"/>
      <c r="Y588" s="62"/>
      <c r="Z588" s="62"/>
      <c r="AA588" s="62"/>
      <c r="AB588" s="63"/>
    </row>
    <row r="589">
      <c r="E589" s="63"/>
      <c r="F589" s="62"/>
      <c r="G589" s="64"/>
      <c r="J589" s="62"/>
      <c r="K589" s="65"/>
      <c r="L589" s="62"/>
      <c r="O589" s="62"/>
      <c r="P589" s="62"/>
      <c r="Q589" s="62"/>
      <c r="R589" s="62"/>
      <c r="S589" s="62"/>
      <c r="T589" s="62"/>
      <c r="U589" s="62"/>
      <c r="V589" s="62"/>
      <c r="X589" s="62"/>
      <c r="Y589" s="62"/>
      <c r="Z589" s="62"/>
      <c r="AA589" s="62"/>
      <c r="AB589" s="63"/>
    </row>
    <row r="590">
      <c r="E590" s="63"/>
      <c r="F590" s="62"/>
      <c r="G590" s="64"/>
      <c r="J590" s="62"/>
      <c r="K590" s="65"/>
      <c r="L590" s="62"/>
      <c r="O590" s="62"/>
      <c r="P590" s="62"/>
      <c r="Q590" s="62"/>
      <c r="R590" s="62"/>
      <c r="S590" s="62"/>
      <c r="T590" s="62"/>
      <c r="U590" s="62"/>
      <c r="V590" s="62"/>
      <c r="X590" s="62"/>
      <c r="Y590" s="62"/>
      <c r="Z590" s="62"/>
      <c r="AA590" s="62"/>
      <c r="AB590" s="63"/>
    </row>
    <row r="591">
      <c r="E591" s="63"/>
      <c r="F591" s="62"/>
      <c r="G591" s="64"/>
      <c r="J591" s="62"/>
      <c r="K591" s="65"/>
      <c r="L591" s="62"/>
      <c r="O591" s="62"/>
      <c r="P591" s="62"/>
      <c r="Q591" s="62"/>
      <c r="R591" s="62"/>
      <c r="S591" s="62"/>
      <c r="T591" s="62"/>
      <c r="U591" s="62"/>
      <c r="V591" s="62"/>
      <c r="X591" s="62"/>
      <c r="Y591" s="62"/>
      <c r="Z591" s="62"/>
      <c r="AA591" s="62"/>
      <c r="AB591" s="63"/>
    </row>
    <row r="592">
      <c r="E592" s="63"/>
      <c r="F592" s="62"/>
      <c r="G592" s="64"/>
      <c r="J592" s="62"/>
      <c r="K592" s="65"/>
      <c r="L592" s="62"/>
      <c r="O592" s="62"/>
      <c r="P592" s="62"/>
      <c r="Q592" s="62"/>
      <c r="R592" s="62"/>
      <c r="S592" s="62"/>
      <c r="T592" s="62"/>
      <c r="U592" s="62"/>
      <c r="V592" s="62"/>
      <c r="X592" s="62"/>
      <c r="Y592" s="62"/>
      <c r="Z592" s="62"/>
      <c r="AA592" s="62"/>
      <c r="AB592" s="63"/>
    </row>
    <row r="593">
      <c r="E593" s="63"/>
      <c r="F593" s="62"/>
      <c r="G593" s="64"/>
      <c r="J593" s="62"/>
      <c r="K593" s="65"/>
      <c r="L593" s="62"/>
      <c r="O593" s="62"/>
      <c r="P593" s="62"/>
      <c r="Q593" s="62"/>
      <c r="R593" s="62"/>
      <c r="S593" s="62"/>
      <c r="T593" s="62"/>
      <c r="U593" s="62"/>
      <c r="V593" s="62"/>
      <c r="X593" s="62"/>
      <c r="Y593" s="62"/>
      <c r="Z593" s="62"/>
      <c r="AA593" s="62"/>
      <c r="AB593" s="63"/>
    </row>
    <row r="594">
      <c r="E594" s="63"/>
      <c r="F594" s="62"/>
      <c r="G594" s="64"/>
      <c r="J594" s="62"/>
      <c r="K594" s="65"/>
      <c r="L594" s="62"/>
      <c r="O594" s="62"/>
      <c r="P594" s="62"/>
      <c r="Q594" s="62"/>
      <c r="R594" s="62"/>
      <c r="S594" s="62"/>
      <c r="T594" s="62"/>
      <c r="U594" s="62"/>
      <c r="V594" s="62"/>
      <c r="X594" s="62"/>
      <c r="Y594" s="62"/>
      <c r="Z594" s="62"/>
      <c r="AA594" s="62"/>
      <c r="AB594" s="63"/>
    </row>
    <row r="595">
      <c r="E595" s="63"/>
      <c r="F595" s="62"/>
      <c r="G595" s="64"/>
      <c r="J595" s="62"/>
      <c r="K595" s="65"/>
      <c r="L595" s="62"/>
      <c r="O595" s="62"/>
      <c r="P595" s="62"/>
      <c r="Q595" s="62"/>
      <c r="R595" s="62"/>
      <c r="S595" s="62"/>
      <c r="T595" s="62"/>
      <c r="U595" s="62"/>
      <c r="V595" s="62"/>
      <c r="X595" s="62"/>
      <c r="Y595" s="62"/>
      <c r="Z595" s="62"/>
      <c r="AA595" s="62"/>
      <c r="AB595" s="63"/>
    </row>
    <row r="596">
      <c r="E596" s="63"/>
      <c r="F596" s="62"/>
      <c r="G596" s="64"/>
      <c r="J596" s="62"/>
      <c r="K596" s="65"/>
      <c r="L596" s="62"/>
      <c r="O596" s="62"/>
      <c r="P596" s="62"/>
      <c r="Q596" s="62"/>
      <c r="R596" s="62"/>
      <c r="S596" s="62"/>
      <c r="T596" s="62"/>
      <c r="U596" s="62"/>
      <c r="V596" s="62"/>
      <c r="X596" s="62"/>
      <c r="Y596" s="62"/>
      <c r="Z596" s="62"/>
      <c r="AA596" s="62"/>
      <c r="AB596" s="63"/>
    </row>
    <row r="597">
      <c r="E597" s="63"/>
      <c r="F597" s="62"/>
      <c r="G597" s="64"/>
      <c r="J597" s="62"/>
      <c r="K597" s="65"/>
      <c r="L597" s="62"/>
      <c r="O597" s="62"/>
      <c r="P597" s="62"/>
      <c r="Q597" s="62"/>
      <c r="R597" s="62"/>
      <c r="S597" s="62"/>
      <c r="T597" s="62"/>
      <c r="U597" s="62"/>
      <c r="V597" s="62"/>
      <c r="X597" s="62"/>
      <c r="Y597" s="62"/>
      <c r="Z597" s="62"/>
      <c r="AA597" s="62"/>
      <c r="AB597" s="63"/>
    </row>
    <row r="598">
      <c r="E598" s="63"/>
      <c r="F598" s="62"/>
      <c r="G598" s="64"/>
      <c r="J598" s="62"/>
      <c r="K598" s="65"/>
      <c r="L598" s="62"/>
      <c r="O598" s="62"/>
      <c r="P598" s="62"/>
      <c r="Q598" s="62"/>
      <c r="R598" s="62"/>
      <c r="S598" s="62"/>
      <c r="T598" s="62"/>
      <c r="U598" s="62"/>
      <c r="V598" s="62"/>
      <c r="X598" s="62"/>
      <c r="Y598" s="62"/>
      <c r="Z598" s="62"/>
      <c r="AA598" s="62"/>
      <c r="AB598" s="63"/>
    </row>
    <row r="599">
      <c r="E599" s="63"/>
      <c r="F599" s="62"/>
      <c r="G599" s="64"/>
      <c r="J599" s="62"/>
      <c r="K599" s="65"/>
      <c r="L599" s="62"/>
      <c r="O599" s="62"/>
      <c r="P599" s="62"/>
      <c r="Q599" s="62"/>
      <c r="R599" s="62"/>
      <c r="S599" s="62"/>
      <c r="T599" s="62"/>
      <c r="U599" s="62"/>
      <c r="V599" s="62"/>
      <c r="X599" s="62"/>
      <c r="Y599" s="62"/>
      <c r="Z599" s="62"/>
      <c r="AA599" s="62"/>
      <c r="AB599" s="63"/>
    </row>
    <row r="600">
      <c r="E600" s="63"/>
      <c r="F600" s="62"/>
      <c r="G600" s="64"/>
      <c r="J600" s="62"/>
      <c r="K600" s="65"/>
      <c r="L600" s="62"/>
      <c r="O600" s="62"/>
      <c r="P600" s="62"/>
      <c r="Q600" s="62"/>
      <c r="R600" s="62"/>
      <c r="S600" s="62"/>
      <c r="T600" s="62"/>
      <c r="U600" s="62"/>
      <c r="V600" s="62"/>
      <c r="X600" s="62"/>
      <c r="Y600" s="62"/>
      <c r="Z600" s="62"/>
      <c r="AA600" s="62"/>
      <c r="AB600" s="63"/>
    </row>
    <row r="601">
      <c r="E601" s="63"/>
      <c r="F601" s="62"/>
      <c r="G601" s="64"/>
      <c r="J601" s="62"/>
      <c r="K601" s="65"/>
      <c r="L601" s="62"/>
      <c r="O601" s="62"/>
      <c r="P601" s="62"/>
      <c r="Q601" s="62"/>
      <c r="R601" s="62"/>
      <c r="S601" s="62"/>
      <c r="T601" s="62"/>
      <c r="U601" s="62"/>
      <c r="V601" s="62"/>
      <c r="X601" s="62"/>
      <c r="Y601" s="62"/>
      <c r="Z601" s="62"/>
      <c r="AA601" s="62"/>
      <c r="AB601" s="63"/>
    </row>
    <row r="602">
      <c r="E602" s="63"/>
      <c r="F602" s="62"/>
      <c r="G602" s="64"/>
      <c r="J602" s="62"/>
      <c r="K602" s="65"/>
      <c r="L602" s="62"/>
      <c r="O602" s="62"/>
      <c r="P602" s="62"/>
      <c r="Q602" s="62"/>
      <c r="R602" s="62"/>
      <c r="S602" s="62"/>
      <c r="T602" s="62"/>
      <c r="U602" s="62"/>
      <c r="V602" s="62"/>
      <c r="X602" s="62"/>
      <c r="Y602" s="62"/>
      <c r="Z602" s="62"/>
      <c r="AA602" s="62"/>
      <c r="AB602" s="63"/>
    </row>
    <row r="603">
      <c r="E603" s="63"/>
      <c r="F603" s="62"/>
      <c r="G603" s="64"/>
      <c r="J603" s="62"/>
      <c r="K603" s="65"/>
      <c r="L603" s="62"/>
      <c r="O603" s="62"/>
      <c r="P603" s="62"/>
      <c r="Q603" s="62"/>
      <c r="R603" s="62"/>
      <c r="S603" s="62"/>
      <c r="T603" s="62"/>
      <c r="U603" s="62"/>
      <c r="V603" s="62"/>
      <c r="X603" s="62"/>
      <c r="Y603" s="62"/>
      <c r="Z603" s="62"/>
      <c r="AA603" s="62"/>
      <c r="AB603" s="63"/>
    </row>
    <row r="604">
      <c r="E604" s="63"/>
      <c r="F604" s="62"/>
      <c r="G604" s="64"/>
      <c r="J604" s="62"/>
      <c r="K604" s="65"/>
      <c r="L604" s="62"/>
      <c r="O604" s="62"/>
      <c r="P604" s="62"/>
      <c r="Q604" s="62"/>
      <c r="R604" s="62"/>
      <c r="S604" s="62"/>
      <c r="T604" s="62"/>
      <c r="U604" s="62"/>
      <c r="V604" s="62"/>
      <c r="X604" s="62"/>
      <c r="Y604" s="62"/>
      <c r="Z604" s="62"/>
      <c r="AA604" s="62"/>
      <c r="AB604" s="63"/>
    </row>
    <row r="605">
      <c r="E605" s="63"/>
      <c r="F605" s="62"/>
      <c r="G605" s="64"/>
      <c r="J605" s="62"/>
      <c r="K605" s="65"/>
      <c r="L605" s="62"/>
      <c r="O605" s="62"/>
      <c r="P605" s="62"/>
      <c r="Q605" s="62"/>
      <c r="R605" s="62"/>
      <c r="S605" s="62"/>
      <c r="T605" s="62"/>
      <c r="U605" s="62"/>
      <c r="V605" s="62"/>
      <c r="X605" s="62"/>
      <c r="Y605" s="62"/>
      <c r="Z605" s="62"/>
      <c r="AA605" s="62"/>
      <c r="AB605" s="63"/>
    </row>
    <row r="606">
      <c r="E606" s="63"/>
      <c r="F606" s="62"/>
      <c r="G606" s="64"/>
      <c r="J606" s="62"/>
      <c r="K606" s="65"/>
      <c r="L606" s="62"/>
      <c r="O606" s="62"/>
      <c r="P606" s="62"/>
      <c r="Q606" s="62"/>
      <c r="R606" s="62"/>
      <c r="S606" s="62"/>
      <c r="T606" s="62"/>
      <c r="U606" s="62"/>
      <c r="V606" s="62"/>
      <c r="X606" s="62"/>
      <c r="Y606" s="62"/>
      <c r="Z606" s="62"/>
      <c r="AA606" s="62"/>
      <c r="AB606" s="63"/>
    </row>
    <row r="607">
      <c r="E607" s="63"/>
      <c r="F607" s="62"/>
      <c r="G607" s="64"/>
      <c r="J607" s="62"/>
      <c r="K607" s="65"/>
      <c r="L607" s="62"/>
      <c r="O607" s="62"/>
      <c r="P607" s="62"/>
      <c r="Q607" s="62"/>
      <c r="R607" s="62"/>
      <c r="S607" s="62"/>
      <c r="T607" s="62"/>
      <c r="U607" s="62"/>
      <c r="V607" s="62"/>
      <c r="X607" s="62"/>
      <c r="Y607" s="62"/>
      <c r="Z607" s="62"/>
      <c r="AA607" s="62"/>
      <c r="AB607" s="63"/>
    </row>
    <row r="608">
      <c r="E608" s="63"/>
      <c r="F608" s="62"/>
      <c r="G608" s="64"/>
      <c r="J608" s="62"/>
      <c r="K608" s="65"/>
      <c r="L608" s="62"/>
      <c r="O608" s="62"/>
      <c r="P608" s="62"/>
      <c r="Q608" s="62"/>
      <c r="R608" s="62"/>
      <c r="S608" s="62"/>
      <c r="T608" s="62"/>
      <c r="U608" s="62"/>
      <c r="V608" s="62"/>
      <c r="X608" s="62"/>
      <c r="Y608" s="62"/>
      <c r="Z608" s="62"/>
      <c r="AA608" s="62"/>
      <c r="AB608" s="63"/>
    </row>
    <row r="609">
      <c r="E609" s="63"/>
      <c r="F609" s="62"/>
      <c r="G609" s="64"/>
      <c r="J609" s="62"/>
      <c r="K609" s="65"/>
      <c r="L609" s="62"/>
      <c r="O609" s="62"/>
      <c r="P609" s="62"/>
      <c r="Q609" s="62"/>
      <c r="R609" s="62"/>
      <c r="S609" s="62"/>
      <c r="T609" s="62"/>
      <c r="U609" s="62"/>
      <c r="V609" s="62"/>
      <c r="X609" s="62"/>
      <c r="Y609" s="62"/>
      <c r="Z609" s="62"/>
      <c r="AA609" s="62"/>
      <c r="AB609" s="63"/>
    </row>
    <row r="610">
      <c r="E610" s="63"/>
      <c r="F610" s="62"/>
      <c r="G610" s="64"/>
      <c r="J610" s="62"/>
      <c r="K610" s="65"/>
      <c r="L610" s="62"/>
      <c r="O610" s="62"/>
      <c r="P610" s="62"/>
      <c r="Q610" s="62"/>
      <c r="R610" s="62"/>
      <c r="S610" s="62"/>
      <c r="T610" s="62"/>
      <c r="U610" s="62"/>
      <c r="V610" s="62"/>
      <c r="X610" s="62"/>
      <c r="Y610" s="62"/>
      <c r="Z610" s="62"/>
      <c r="AA610" s="62"/>
      <c r="AB610" s="63"/>
    </row>
    <row r="611">
      <c r="E611" s="63"/>
      <c r="F611" s="62"/>
      <c r="G611" s="64"/>
      <c r="J611" s="62"/>
      <c r="K611" s="65"/>
      <c r="L611" s="62"/>
      <c r="O611" s="62"/>
      <c r="P611" s="62"/>
      <c r="Q611" s="62"/>
      <c r="R611" s="62"/>
      <c r="S611" s="62"/>
      <c r="T611" s="62"/>
      <c r="U611" s="62"/>
      <c r="V611" s="62"/>
      <c r="X611" s="62"/>
      <c r="Y611" s="62"/>
      <c r="Z611" s="62"/>
      <c r="AA611" s="62"/>
      <c r="AB611" s="63"/>
    </row>
    <row r="612">
      <c r="E612" s="63"/>
      <c r="F612" s="62"/>
      <c r="G612" s="64"/>
      <c r="J612" s="62"/>
      <c r="K612" s="65"/>
      <c r="L612" s="62"/>
      <c r="O612" s="62"/>
      <c r="P612" s="62"/>
      <c r="Q612" s="62"/>
      <c r="R612" s="62"/>
      <c r="S612" s="62"/>
      <c r="T612" s="62"/>
      <c r="U612" s="62"/>
      <c r="V612" s="62"/>
      <c r="X612" s="62"/>
      <c r="Y612" s="62"/>
      <c r="Z612" s="62"/>
      <c r="AA612" s="62"/>
      <c r="AB612" s="63"/>
    </row>
    <row r="613">
      <c r="E613" s="63"/>
      <c r="F613" s="62"/>
      <c r="G613" s="64"/>
      <c r="J613" s="62"/>
      <c r="K613" s="65"/>
      <c r="L613" s="62"/>
      <c r="O613" s="62"/>
      <c r="P613" s="62"/>
      <c r="Q613" s="62"/>
      <c r="R613" s="62"/>
      <c r="S613" s="62"/>
      <c r="T613" s="62"/>
      <c r="U613" s="62"/>
      <c r="V613" s="62"/>
      <c r="X613" s="62"/>
      <c r="Y613" s="62"/>
      <c r="Z613" s="62"/>
      <c r="AA613" s="62"/>
      <c r="AB613" s="63"/>
    </row>
    <row r="614">
      <c r="E614" s="63"/>
      <c r="F614" s="62"/>
      <c r="G614" s="64"/>
      <c r="J614" s="62"/>
      <c r="K614" s="65"/>
      <c r="L614" s="62"/>
      <c r="O614" s="62"/>
      <c r="P614" s="62"/>
      <c r="Q614" s="62"/>
      <c r="R614" s="62"/>
      <c r="S614" s="62"/>
      <c r="T614" s="62"/>
      <c r="U614" s="62"/>
      <c r="V614" s="62"/>
      <c r="X614" s="62"/>
      <c r="Y614" s="62"/>
      <c r="Z614" s="62"/>
      <c r="AA614" s="62"/>
      <c r="AB614" s="63"/>
    </row>
    <row r="615">
      <c r="E615" s="63"/>
      <c r="F615" s="62"/>
      <c r="G615" s="64"/>
      <c r="J615" s="62"/>
      <c r="K615" s="65"/>
      <c r="L615" s="62"/>
      <c r="O615" s="62"/>
      <c r="P615" s="62"/>
      <c r="Q615" s="62"/>
      <c r="R615" s="62"/>
      <c r="S615" s="62"/>
      <c r="T615" s="62"/>
      <c r="U615" s="62"/>
      <c r="V615" s="62"/>
      <c r="X615" s="62"/>
      <c r="Y615" s="62"/>
      <c r="Z615" s="62"/>
      <c r="AA615" s="62"/>
      <c r="AB615" s="63"/>
    </row>
    <row r="616">
      <c r="E616" s="63"/>
      <c r="F616" s="62"/>
      <c r="G616" s="64"/>
      <c r="J616" s="62"/>
      <c r="K616" s="65"/>
      <c r="L616" s="62"/>
      <c r="O616" s="62"/>
      <c r="P616" s="62"/>
      <c r="Q616" s="62"/>
      <c r="R616" s="62"/>
      <c r="S616" s="62"/>
      <c r="T616" s="62"/>
      <c r="U616" s="62"/>
      <c r="V616" s="62"/>
      <c r="X616" s="62"/>
      <c r="Y616" s="62"/>
      <c r="Z616" s="62"/>
      <c r="AA616" s="62"/>
      <c r="AB616" s="63"/>
    </row>
    <row r="617">
      <c r="E617" s="63"/>
      <c r="F617" s="62"/>
      <c r="G617" s="64"/>
      <c r="J617" s="62"/>
      <c r="K617" s="65"/>
      <c r="L617" s="62"/>
      <c r="O617" s="62"/>
      <c r="P617" s="62"/>
      <c r="Q617" s="62"/>
      <c r="R617" s="62"/>
      <c r="S617" s="62"/>
      <c r="T617" s="62"/>
      <c r="U617" s="62"/>
      <c r="V617" s="62"/>
      <c r="X617" s="62"/>
      <c r="Y617" s="62"/>
      <c r="Z617" s="62"/>
      <c r="AA617" s="62"/>
      <c r="AB617" s="63"/>
    </row>
    <row r="618">
      <c r="E618" s="63"/>
      <c r="F618" s="62"/>
      <c r="G618" s="64"/>
      <c r="J618" s="62"/>
      <c r="K618" s="65"/>
      <c r="L618" s="62"/>
      <c r="O618" s="62"/>
      <c r="P618" s="62"/>
      <c r="Q618" s="62"/>
      <c r="R618" s="62"/>
      <c r="S618" s="62"/>
      <c r="T618" s="62"/>
      <c r="U618" s="62"/>
      <c r="V618" s="62"/>
      <c r="X618" s="62"/>
      <c r="Y618" s="62"/>
      <c r="Z618" s="62"/>
      <c r="AA618" s="62"/>
      <c r="AB618" s="63"/>
    </row>
    <row r="619">
      <c r="E619" s="63"/>
      <c r="F619" s="62"/>
      <c r="G619" s="64"/>
      <c r="J619" s="62"/>
      <c r="K619" s="65"/>
      <c r="L619" s="62"/>
      <c r="O619" s="62"/>
      <c r="P619" s="62"/>
      <c r="Q619" s="62"/>
      <c r="R619" s="62"/>
      <c r="S619" s="62"/>
      <c r="T619" s="62"/>
      <c r="U619" s="62"/>
      <c r="V619" s="62"/>
      <c r="X619" s="62"/>
      <c r="Y619" s="62"/>
      <c r="Z619" s="62"/>
      <c r="AA619" s="62"/>
      <c r="AB619" s="63"/>
    </row>
    <row r="620">
      <c r="E620" s="63"/>
      <c r="F620" s="62"/>
      <c r="G620" s="64"/>
      <c r="J620" s="62"/>
      <c r="K620" s="65"/>
      <c r="L620" s="62"/>
      <c r="O620" s="62"/>
      <c r="P620" s="62"/>
      <c r="Q620" s="62"/>
      <c r="R620" s="62"/>
      <c r="S620" s="62"/>
      <c r="T620" s="62"/>
      <c r="U620" s="62"/>
      <c r="V620" s="62"/>
      <c r="X620" s="62"/>
      <c r="Y620" s="62"/>
      <c r="Z620" s="62"/>
      <c r="AA620" s="62"/>
      <c r="AB620" s="63"/>
    </row>
    <row r="621">
      <c r="E621" s="63"/>
      <c r="F621" s="62"/>
      <c r="G621" s="64"/>
      <c r="J621" s="62"/>
      <c r="K621" s="65"/>
      <c r="L621" s="62"/>
      <c r="O621" s="62"/>
      <c r="P621" s="62"/>
      <c r="Q621" s="62"/>
      <c r="R621" s="62"/>
      <c r="S621" s="62"/>
      <c r="T621" s="62"/>
      <c r="U621" s="62"/>
      <c r="V621" s="62"/>
      <c r="X621" s="62"/>
      <c r="Y621" s="62"/>
      <c r="Z621" s="62"/>
      <c r="AA621" s="62"/>
      <c r="AB621" s="63"/>
    </row>
    <row r="622">
      <c r="E622" s="63"/>
      <c r="F622" s="62"/>
      <c r="G622" s="64"/>
      <c r="J622" s="62"/>
      <c r="K622" s="65"/>
      <c r="L622" s="62"/>
      <c r="O622" s="62"/>
      <c r="P622" s="62"/>
      <c r="Q622" s="62"/>
      <c r="R622" s="62"/>
      <c r="S622" s="62"/>
      <c r="T622" s="62"/>
      <c r="U622" s="62"/>
      <c r="V622" s="62"/>
      <c r="X622" s="62"/>
      <c r="Y622" s="62"/>
      <c r="Z622" s="62"/>
      <c r="AA622" s="62"/>
      <c r="AB622" s="63"/>
    </row>
    <row r="623">
      <c r="E623" s="63"/>
      <c r="F623" s="62"/>
      <c r="G623" s="64"/>
      <c r="J623" s="62"/>
      <c r="K623" s="65"/>
      <c r="L623" s="62"/>
      <c r="O623" s="62"/>
      <c r="P623" s="62"/>
      <c r="Q623" s="62"/>
      <c r="R623" s="62"/>
      <c r="S623" s="62"/>
      <c r="T623" s="62"/>
      <c r="U623" s="62"/>
      <c r="V623" s="62"/>
      <c r="X623" s="62"/>
      <c r="Y623" s="62"/>
      <c r="Z623" s="62"/>
      <c r="AA623" s="62"/>
      <c r="AB623" s="63"/>
    </row>
    <row r="624">
      <c r="E624" s="63"/>
      <c r="F624" s="62"/>
      <c r="G624" s="64"/>
      <c r="J624" s="62"/>
      <c r="K624" s="65"/>
      <c r="L624" s="62"/>
      <c r="O624" s="62"/>
      <c r="P624" s="62"/>
      <c r="Q624" s="62"/>
      <c r="R624" s="62"/>
      <c r="S624" s="62"/>
      <c r="T624" s="62"/>
      <c r="U624" s="62"/>
      <c r="V624" s="62"/>
      <c r="X624" s="62"/>
      <c r="Y624" s="62"/>
      <c r="Z624" s="62"/>
      <c r="AA624" s="62"/>
      <c r="AB624" s="63"/>
    </row>
    <row r="625">
      <c r="E625" s="63"/>
      <c r="F625" s="62"/>
      <c r="G625" s="64"/>
      <c r="J625" s="62"/>
      <c r="K625" s="65"/>
      <c r="L625" s="62"/>
      <c r="O625" s="62"/>
      <c r="P625" s="62"/>
      <c r="Q625" s="62"/>
      <c r="R625" s="62"/>
      <c r="S625" s="62"/>
      <c r="T625" s="62"/>
      <c r="U625" s="62"/>
      <c r="V625" s="62"/>
      <c r="X625" s="62"/>
      <c r="Y625" s="62"/>
      <c r="Z625" s="62"/>
      <c r="AA625" s="62"/>
      <c r="AB625" s="63"/>
    </row>
    <row r="626">
      <c r="E626" s="63"/>
      <c r="F626" s="62"/>
      <c r="G626" s="64"/>
      <c r="J626" s="62"/>
      <c r="K626" s="65"/>
      <c r="L626" s="62"/>
      <c r="O626" s="62"/>
      <c r="P626" s="62"/>
      <c r="Q626" s="62"/>
      <c r="R626" s="62"/>
      <c r="S626" s="62"/>
      <c r="T626" s="62"/>
      <c r="U626" s="62"/>
      <c r="V626" s="62"/>
      <c r="X626" s="62"/>
      <c r="Y626" s="62"/>
      <c r="Z626" s="62"/>
      <c r="AA626" s="62"/>
      <c r="AB626" s="63"/>
    </row>
    <row r="627">
      <c r="E627" s="63"/>
      <c r="F627" s="62"/>
      <c r="G627" s="64"/>
      <c r="J627" s="62"/>
      <c r="K627" s="65"/>
      <c r="L627" s="62"/>
      <c r="O627" s="62"/>
      <c r="P627" s="62"/>
      <c r="Q627" s="62"/>
      <c r="R627" s="62"/>
      <c r="S627" s="62"/>
      <c r="T627" s="62"/>
      <c r="U627" s="62"/>
      <c r="V627" s="62"/>
      <c r="X627" s="62"/>
      <c r="Y627" s="62"/>
      <c r="Z627" s="62"/>
      <c r="AA627" s="62"/>
      <c r="AB627" s="63"/>
    </row>
    <row r="628">
      <c r="E628" s="63"/>
      <c r="F628" s="62"/>
      <c r="G628" s="64"/>
      <c r="J628" s="62"/>
      <c r="K628" s="65"/>
      <c r="L628" s="62"/>
      <c r="O628" s="62"/>
      <c r="P628" s="62"/>
      <c r="Q628" s="62"/>
      <c r="R628" s="62"/>
      <c r="S628" s="62"/>
      <c r="T628" s="62"/>
      <c r="U628" s="62"/>
      <c r="V628" s="62"/>
      <c r="X628" s="62"/>
      <c r="Y628" s="62"/>
      <c r="Z628" s="62"/>
      <c r="AA628" s="62"/>
      <c r="AB628" s="63"/>
    </row>
    <row r="629">
      <c r="E629" s="63"/>
      <c r="F629" s="62"/>
      <c r="G629" s="64"/>
      <c r="J629" s="62"/>
      <c r="K629" s="65"/>
      <c r="L629" s="62"/>
      <c r="O629" s="62"/>
      <c r="P629" s="62"/>
      <c r="Q629" s="62"/>
      <c r="R629" s="62"/>
      <c r="S629" s="62"/>
      <c r="T629" s="62"/>
      <c r="U629" s="62"/>
      <c r="V629" s="62"/>
      <c r="X629" s="62"/>
      <c r="Y629" s="62"/>
      <c r="Z629" s="62"/>
      <c r="AA629" s="62"/>
      <c r="AB629" s="63"/>
    </row>
    <row r="630">
      <c r="E630" s="63"/>
      <c r="F630" s="62"/>
      <c r="G630" s="64"/>
      <c r="J630" s="62"/>
      <c r="K630" s="65"/>
      <c r="L630" s="62"/>
      <c r="O630" s="62"/>
      <c r="P630" s="62"/>
      <c r="Q630" s="62"/>
      <c r="R630" s="62"/>
      <c r="S630" s="62"/>
      <c r="T630" s="62"/>
      <c r="U630" s="62"/>
      <c r="V630" s="62"/>
      <c r="X630" s="62"/>
      <c r="Y630" s="62"/>
      <c r="Z630" s="62"/>
      <c r="AA630" s="62"/>
      <c r="AB630" s="63"/>
    </row>
    <row r="631">
      <c r="E631" s="63"/>
      <c r="F631" s="62"/>
      <c r="G631" s="64"/>
      <c r="J631" s="62"/>
      <c r="K631" s="65"/>
      <c r="L631" s="62"/>
      <c r="O631" s="62"/>
      <c r="P631" s="62"/>
      <c r="Q631" s="62"/>
      <c r="R631" s="62"/>
      <c r="S631" s="62"/>
      <c r="T631" s="62"/>
      <c r="U631" s="62"/>
      <c r="V631" s="62"/>
      <c r="X631" s="62"/>
      <c r="Y631" s="62"/>
      <c r="Z631" s="62"/>
      <c r="AA631" s="62"/>
      <c r="AB631" s="63"/>
    </row>
    <row r="632">
      <c r="E632" s="63"/>
      <c r="F632" s="62"/>
      <c r="G632" s="64"/>
      <c r="J632" s="62"/>
      <c r="K632" s="65"/>
      <c r="L632" s="62"/>
      <c r="O632" s="62"/>
      <c r="P632" s="62"/>
      <c r="Q632" s="62"/>
      <c r="R632" s="62"/>
      <c r="S632" s="62"/>
      <c r="T632" s="62"/>
      <c r="U632" s="62"/>
      <c r="V632" s="62"/>
      <c r="X632" s="62"/>
      <c r="Y632" s="62"/>
      <c r="Z632" s="62"/>
      <c r="AA632" s="62"/>
      <c r="AB632" s="63"/>
    </row>
    <row r="633">
      <c r="E633" s="63"/>
      <c r="F633" s="62"/>
      <c r="G633" s="64"/>
      <c r="J633" s="62"/>
      <c r="K633" s="65"/>
      <c r="L633" s="62"/>
      <c r="O633" s="62"/>
      <c r="P633" s="62"/>
      <c r="Q633" s="62"/>
      <c r="R633" s="62"/>
      <c r="S633" s="62"/>
      <c r="T633" s="62"/>
      <c r="U633" s="62"/>
      <c r="V633" s="62"/>
      <c r="X633" s="62"/>
      <c r="Y633" s="62"/>
      <c r="Z633" s="62"/>
      <c r="AA633" s="62"/>
      <c r="AB633" s="63"/>
    </row>
    <row r="634">
      <c r="E634" s="63"/>
      <c r="F634" s="62"/>
      <c r="G634" s="64"/>
      <c r="J634" s="62"/>
      <c r="K634" s="65"/>
      <c r="L634" s="62"/>
      <c r="O634" s="62"/>
      <c r="P634" s="62"/>
      <c r="Q634" s="62"/>
      <c r="R634" s="62"/>
      <c r="S634" s="62"/>
      <c r="T634" s="62"/>
      <c r="U634" s="62"/>
      <c r="V634" s="62"/>
      <c r="X634" s="62"/>
      <c r="Y634" s="62"/>
      <c r="Z634" s="62"/>
      <c r="AA634" s="62"/>
      <c r="AB634" s="63"/>
    </row>
    <row r="635">
      <c r="E635" s="63"/>
      <c r="F635" s="62"/>
      <c r="G635" s="64"/>
      <c r="J635" s="62"/>
      <c r="K635" s="65"/>
      <c r="L635" s="62"/>
      <c r="O635" s="62"/>
      <c r="P635" s="62"/>
      <c r="Q635" s="62"/>
      <c r="R635" s="62"/>
      <c r="S635" s="62"/>
      <c r="T635" s="62"/>
      <c r="U635" s="62"/>
      <c r="V635" s="62"/>
      <c r="X635" s="62"/>
      <c r="Y635" s="62"/>
      <c r="Z635" s="62"/>
      <c r="AA635" s="62"/>
      <c r="AB635" s="63"/>
    </row>
    <row r="636">
      <c r="E636" s="63"/>
      <c r="F636" s="62"/>
      <c r="G636" s="64"/>
      <c r="J636" s="62"/>
      <c r="K636" s="65"/>
      <c r="L636" s="62"/>
      <c r="O636" s="62"/>
      <c r="P636" s="62"/>
      <c r="Q636" s="62"/>
      <c r="R636" s="62"/>
      <c r="S636" s="62"/>
      <c r="T636" s="62"/>
      <c r="U636" s="62"/>
      <c r="V636" s="62"/>
      <c r="X636" s="62"/>
      <c r="Y636" s="62"/>
      <c r="Z636" s="62"/>
      <c r="AA636" s="62"/>
      <c r="AB636" s="63"/>
    </row>
    <row r="637">
      <c r="E637" s="63"/>
      <c r="F637" s="62"/>
      <c r="G637" s="64"/>
      <c r="J637" s="62"/>
      <c r="K637" s="65"/>
      <c r="L637" s="62"/>
      <c r="O637" s="62"/>
      <c r="P637" s="62"/>
      <c r="Q637" s="62"/>
      <c r="R637" s="62"/>
      <c r="S637" s="62"/>
      <c r="T637" s="62"/>
      <c r="U637" s="62"/>
      <c r="V637" s="62"/>
      <c r="X637" s="62"/>
      <c r="Y637" s="62"/>
      <c r="Z637" s="62"/>
      <c r="AA637" s="62"/>
      <c r="AB637" s="63"/>
    </row>
    <row r="638">
      <c r="E638" s="63"/>
      <c r="F638" s="62"/>
      <c r="G638" s="64"/>
      <c r="J638" s="62"/>
      <c r="K638" s="65"/>
      <c r="L638" s="62"/>
      <c r="O638" s="62"/>
      <c r="P638" s="62"/>
      <c r="Q638" s="62"/>
      <c r="R638" s="62"/>
      <c r="S638" s="62"/>
      <c r="T638" s="62"/>
      <c r="U638" s="62"/>
      <c r="V638" s="62"/>
      <c r="X638" s="62"/>
      <c r="Y638" s="62"/>
      <c r="Z638" s="62"/>
      <c r="AA638" s="62"/>
      <c r="AB638" s="63"/>
    </row>
    <row r="639">
      <c r="E639" s="63"/>
      <c r="F639" s="62"/>
      <c r="G639" s="64"/>
      <c r="J639" s="62"/>
      <c r="K639" s="65"/>
      <c r="L639" s="62"/>
      <c r="O639" s="62"/>
      <c r="P639" s="62"/>
      <c r="Q639" s="62"/>
      <c r="R639" s="62"/>
      <c r="S639" s="62"/>
      <c r="T639" s="62"/>
      <c r="U639" s="62"/>
      <c r="V639" s="62"/>
      <c r="X639" s="62"/>
      <c r="Y639" s="62"/>
      <c r="Z639" s="62"/>
      <c r="AA639" s="62"/>
      <c r="AB639" s="63"/>
    </row>
    <row r="640">
      <c r="E640" s="63"/>
      <c r="F640" s="62"/>
      <c r="G640" s="64"/>
      <c r="J640" s="62"/>
      <c r="K640" s="65"/>
      <c r="L640" s="62"/>
      <c r="O640" s="62"/>
      <c r="P640" s="62"/>
      <c r="Q640" s="62"/>
      <c r="R640" s="62"/>
      <c r="S640" s="62"/>
      <c r="T640" s="62"/>
      <c r="U640" s="62"/>
      <c r="V640" s="62"/>
      <c r="X640" s="62"/>
      <c r="Y640" s="62"/>
      <c r="Z640" s="62"/>
      <c r="AA640" s="62"/>
      <c r="AB640" s="63"/>
    </row>
    <row r="641">
      <c r="E641" s="63"/>
      <c r="F641" s="62"/>
      <c r="G641" s="64"/>
      <c r="J641" s="62"/>
      <c r="K641" s="65"/>
      <c r="L641" s="62"/>
      <c r="O641" s="62"/>
      <c r="P641" s="62"/>
      <c r="Q641" s="62"/>
      <c r="R641" s="62"/>
      <c r="S641" s="62"/>
      <c r="T641" s="62"/>
      <c r="U641" s="62"/>
      <c r="V641" s="62"/>
      <c r="X641" s="62"/>
      <c r="Y641" s="62"/>
      <c r="Z641" s="62"/>
      <c r="AA641" s="62"/>
      <c r="AB641" s="63"/>
    </row>
    <row r="642">
      <c r="E642" s="63"/>
      <c r="F642" s="62"/>
      <c r="G642" s="64"/>
      <c r="J642" s="62"/>
      <c r="K642" s="65"/>
      <c r="L642" s="62"/>
      <c r="O642" s="62"/>
      <c r="P642" s="62"/>
      <c r="Q642" s="62"/>
      <c r="R642" s="62"/>
      <c r="S642" s="62"/>
      <c r="T642" s="62"/>
      <c r="U642" s="62"/>
      <c r="V642" s="62"/>
      <c r="X642" s="62"/>
      <c r="Y642" s="62"/>
      <c r="Z642" s="62"/>
      <c r="AA642" s="62"/>
      <c r="AB642" s="63"/>
    </row>
    <row r="643">
      <c r="E643" s="63"/>
      <c r="F643" s="62"/>
      <c r="G643" s="64"/>
      <c r="J643" s="62"/>
      <c r="K643" s="65"/>
      <c r="L643" s="62"/>
      <c r="O643" s="62"/>
      <c r="P643" s="62"/>
      <c r="Q643" s="62"/>
      <c r="R643" s="62"/>
      <c r="S643" s="62"/>
      <c r="T643" s="62"/>
      <c r="U643" s="62"/>
      <c r="V643" s="62"/>
      <c r="X643" s="62"/>
      <c r="Y643" s="62"/>
      <c r="Z643" s="62"/>
      <c r="AA643" s="62"/>
      <c r="AB643" s="63"/>
    </row>
    <row r="644">
      <c r="E644" s="63"/>
      <c r="F644" s="62"/>
      <c r="G644" s="64"/>
      <c r="J644" s="62"/>
      <c r="K644" s="65"/>
      <c r="L644" s="62"/>
      <c r="O644" s="62"/>
      <c r="P644" s="62"/>
      <c r="Q644" s="62"/>
      <c r="R644" s="62"/>
      <c r="S644" s="62"/>
      <c r="T644" s="62"/>
      <c r="U644" s="62"/>
      <c r="V644" s="62"/>
      <c r="X644" s="62"/>
      <c r="Y644" s="62"/>
      <c r="Z644" s="62"/>
      <c r="AA644" s="62"/>
      <c r="AB644" s="63"/>
    </row>
    <row r="645">
      <c r="E645" s="63"/>
      <c r="F645" s="62"/>
      <c r="G645" s="64"/>
      <c r="J645" s="62"/>
      <c r="K645" s="65"/>
      <c r="L645" s="62"/>
      <c r="O645" s="62"/>
      <c r="P645" s="62"/>
      <c r="Q645" s="62"/>
      <c r="R645" s="62"/>
      <c r="S645" s="62"/>
      <c r="T645" s="62"/>
      <c r="U645" s="62"/>
      <c r="V645" s="62"/>
      <c r="X645" s="62"/>
      <c r="Y645" s="62"/>
      <c r="Z645" s="62"/>
      <c r="AA645" s="62"/>
      <c r="AB645" s="63"/>
    </row>
    <row r="646">
      <c r="E646" s="63"/>
      <c r="F646" s="62"/>
      <c r="G646" s="64"/>
      <c r="J646" s="62"/>
      <c r="K646" s="65"/>
      <c r="L646" s="62"/>
      <c r="O646" s="62"/>
      <c r="P646" s="62"/>
      <c r="Q646" s="62"/>
      <c r="R646" s="62"/>
      <c r="S646" s="62"/>
      <c r="T646" s="62"/>
      <c r="U646" s="62"/>
      <c r="V646" s="62"/>
      <c r="X646" s="62"/>
      <c r="Y646" s="62"/>
      <c r="Z646" s="62"/>
      <c r="AA646" s="62"/>
      <c r="AB646" s="63"/>
    </row>
    <row r="647">
      <c r="E647" s="63"/>
      <c r="F647" s="62"/>
      <c r="G647" s="64"/>
      <c r="J647" s="62"/>
      <c r="K647" s="65"/>
      <c r="L647" s="62"/>
      <c r="O647" s="62"/>
      <c r="P647" s="62"/>
      <c r="Q647" s="62"/>
      <c r="R647" s="62"/>
      <c r="S647" s="62"/>
      <c r="T647" s="62"/>
      <c r="U647" s="62"/>
      <c r="V647" s="62"/>
      <c r="X647" s="62"/>
      <c r="Y647" s="62"/>
      <c r="Z647" s="62"/>
      <c r="AA647" s="62"/>
      <c r="AB647" s="63"/>
    </row>
    <row r="648">
      <c r="E648" s="63"/>
      <c r="F648" s="62"/>
      <c r="G648" s="64"/>
      <c r="J648" s="62"/>
      <c r="K648" s="65"/>
      <c r="L648" s="62"/>
      <c r="O648" s="62"/>
      <c r="P648" s="62"/>
      <c r="Q648" s="62"/>
      <c r="R648" s="62"/>
      <c r="S648" s="62"/>
      <c r="T648" s="62"/>
      <c r="U648" s="62"/>
      <c r="V648" s="62"/>
      <c r="X648" s="62"/>
      <c r="Y648" s="62"/>
      <c r="Z648" s="62"/>
      <c r="AA648" s="62"/>
      <c r="AB648" s="63"/>
    </row>
    <row r="649">
      <c r="E649" s="63"/>
      <c r="F649" s="62"/>
      <c r="G649" s="64"/>
      <c r="J649" s="62"/>
      <c r="K649" s="65"/>
      <c r="L649" s="62"/>
      <c r="O649" s="62"/>
      <c r="P649" s="62"/>
      <c r="Q649" s="62"/>
      <c r="R649" s="62"/>
      <c r="S649" s="62"/>
      <c r="T649" s="62"/>
      <c r="U649" s="62"/>
      <c r="V649" s="62"/>
      <c r="X649" s="62"/>
      <c r="Y649" s="62"/>
      <c r="Z649" s="62"/>
      <c r="AA649" s="62"/>
      <c r="AB649" s="63"/>
    </row>
    <row r="650">
      <c r="E650" s="63"/>
      <c r="F650" s="62"/>
      <c r="G650" s="64"/>
      <c r="J650" s="62"/>
      <c r="K650" s="65"/>
      <c r="L650" s="62"/>
      <c r="O650" s="62"/>
      <c r="P650" s="62"/>
      <c r="Q650" s="62"/>
      <c r="R650" s="62"/>
      <c r="S650" s="62"/>
      <c r="T650" s="62"/>
      <c r="U650" s="62"/>
      <c r="V650" s="62"/>
      <c r="X650" s="62"/>
      <c r="Y650" s="62"/>
      <c r="Z650" s="62"/>
      <c r="AA650" s="62"/>
      <c r="AB650" s="63"/>
    </row>
    <row r="651">
      <c r="E651" s="63"/>
      <c r="F651" s="62"/>
      <c r="G651" s="64"/>
      <c r="J651" s="62"/>
      <c r="K651" s="65"/>
      <c r="L651" s="62"/>
      <c r="O651" s="62"/>
      <c r="P651" s="62"/>
      <c r="Q651" s="62"/>
      <c r="R651" s="62"/>
      <c r="S651" s="62"/>
      <c r="T651" s="62"/>
      <c r="U651" s="62"/>
      <c r="V651" s="62"/>
      <c r="X651" s="62"/>
      <c r="Y651" s="62"/>
      <c r="Z651" s="62"/>
      <c r="AA651" s="62"/>
      <c r="AB651" s="63"/>
    </row>
    <row r="652">
      <c r="E652" s="63"/>
      <c r="F652" s="62"/>
      <c r="G652" s="64"/>
      <c r="J652" s="62"/>
      <c r="K652" s="65"/>
      <c r="L652" s="62"/>
      <c r="O652" s="62"/>
      <c r="P652" s="62"/>
      <c r="Q652" s="62"/>
      <c r="R652" s="62"/>
      <c r="S652" s="62"/>
      <c r="T652" s="62"/>
      <c r="U652" s="62"/>
      <c r="V652" s="62"/>
      <c r="X652" s="62"/>
      <c r="Y652" s="62"/>
      <c r="Z652" s="62"/>
      <c r="AA652" s="62"/>
      <c r="AB652" s="63"/>
    </row>
    <row r="653">
      <c r="E653" s="63"/>
      <c r="F653" s="62"/>
      <c r="G653" s="64"/>
      <c r="J653" s="62"/>
      <c r="K653" s="65"/>
      <c r="L653" s="62"/>
      <c r="O653" s="62"/>
      <c r="P653" s="62"/>
      <c r="Q653" s="62"/>
      <c r="R653" s="62"/>
      <c r="S653" s="62"/>
      <c r="T653" s="62"/>
      <c r="U653" s="62"/>
      <c r="V653" s="62"/>
      <c r="X653" s="62"/>
      <c r="Y653" s="62"/>
      <c r="Z653" s="62"/>
      <c r="AA653" s="62"/>
      <c r="AB653" s="63"/>
    </row>
    <row r="654">
      <c r="E654" s="63"/>
      <c r="F654" s="62"/>
      <c r="G654" s="64"/>
      <c r="J654" s="62"/>
      <c r="K654" s="65"/>
      <c r="L654" s="62"/>
      <c r="O654" s="62"/>
      <c r="P654" s="62"/>
      <c r="Q654" s="62"/>
      <c r="R654" s="62"/>
      <c r="S654" s="62"/>
      <c r="T654" s="62"/>
      <c r="U654" s="62"/>
      <c r="V654" s="62"/>
      <c r="X654" s="62"/>
      <c r="Y654" s="62"/>
      <c r="Z654" s="62"/>
      <c r="AA654" s="62"/>
      <c r="AB654" s="63"/>
    </row>
    <row r="655">
      <c r="E655" s="63"/>
      <c r="F655" s="62"/>
      <c r="G655" s="64"/>
      <c r="J655" s="62"/>
      <c r="K655" s="65"/>
      <c r="L655" s="62"/>
      <c r="O655" s="62"/>
      <c r="P655" s="62"/>
      <c r="Q655" s="62"/>
      <c r="R655" s="62"/>
      <c r="S655" s="62"/>
      <c r="T655" s="62"/>
      <c r="U655" s="62"/>
      <c r="V655" s="62"/>
      <c r="X655" s="62"/>
      <c r="Y655" s="62"/>
      <c r="Z655" s="62"/>
      <c r="AA655" s="62"/>
      <c r="AB655" s="63"/>
    </row>
    <row r="656">
      <c r="E656" s="63"/>
      <c r="F656" s="62"/>
      <c r="G656" s="64"/>
      <c r="J656" s="62"/>
      <c r="K656" s="65"/>
      <c r="L656" s="62"/>
      <c r="O656" s="62"/>
      <c r="P656" s="62"/>
      <c r="Q656" s="62"/>
      <c r="R656" s="62"/>
      <c r="S656" s="62"/>
      <c r="T656" s="62"/>
      <c r="U656" s="62"/>
      <c r="V656" s="62"/>
      <c r="X656" s="62"/>
      <c r="Y656" s="62"/>
      <c r="Z656" s="62"/>
      <c r="AA656" s="62"/>
      <c r="AB656" s="63"/>
    </row>
    <row r="657">
      <c r="E657" s="63"/>
      <c r="F657" s="62"/>
      <c r="G657" s="64"/>
      <c r="J657" s="62"/>
      <c r="K657" s="65"/>
      <c r="L657" s="62"/>
      <c r="O657" s="62"/>
      <c r="P657" s="62"/>
      <c r="Q657" s="62"/>
      <c r="R657" s="62"/>
      <c r="S657" s="62"/>
      <c r="T657" s="62"/>
      <c r="U657" s="62"/>
      <c r="V657" s="62"/>
      <c r="X657" s="62"/>
      <c r="Y657" s="62"/>
      <c r="Z657" s="62"/>
      <c r="AA657" s="62"/>
      <c r="AB657" s="63"/>
    </row>
    <row r="658">
      <c r="E658" s="63"/>
      <c r="F658" s="62"/>
      <c r="G658" s="64"/>
      <c r="J658" s="62"/>
      <c r="K658" s="65"/>
      <c r="L658" s="62"/>
      <c r="O658" s="62"/>
      <c r="P658" s="62"/>
      <c r="Q658" s="62"/>
      <c r="R658" s="62"/>
      <c r="S658" s="62"/>
      <c r="T658" s="62"/>
      <c r="U658" s="62"/>
      <c r="V658" s="62"/>
      <c r="X658" s="62"/>
      <c r="Y658" s="62"/>
      <c r="Z658" s="62"/>
      <c r="AA658" s="62"/>
      <c r="AB658" s="63"/>
    </row>
    <row r="659">
      <c r="E659" s="63"/>
      <c r="F659" s="62"/>
      <c r="G659" s="64"/>
      <c r="J659" s="62"/>
      <c r="K659" s="65"/>
      <c r="L659" s="62"/>
      <c r="O659" s="62"/>
      <c r="P659" s="62"/>
      <c r="Q659" s="62"/>
      <c r="R659" s="62"/>
      <c r="S659" s="62"/>
      <c r="T659" s="62"/>
      <c r="U659" s="62"/>
      <c r="V659" s="62"/>
      <c r="X659" s="62"/>
      <c r="Y659" s="62"/>
      <c r="Z659" s="62"/>
      <c r="AA659" s="62"/>
      <c r="AB659" s="63"/>
    </row>
    <row r="660">
      <c r="E660" s="63"/>
      <c r="F660" s="62"/>
      <c r="G660" s="64"/>
      <c r="J660" s="62"/>
      <c r="K660" s="65"/>
      <c r="L660" s="62"/>
      <c r="O660" s="62"/>
      <c r="P660" s="62"/>
      <c r="Q660" s="62"/>
      <c r="R660" s="62"/>
      <c r="S660" s="62"/>
      <c r="T660" s="62"/>
      <c r="U660" s="62"/>
      <c r="V660" s="62"/>
      <c r="X660" s="62"/>
      <c r="Y660" s="62"/>
      <c r="Z660" s="62"/>
      <c r="AA660" s="62"/>
      <c r="AB660" s="63"/>
    </row>
    <row r="661">
      <c r="E661" s="63"/>
      <c r="F661" s="62"/>
      <c r="G661" s="64"/>
      <c r="J661" s="62"/>
      <c r="K661" s="65"/>
      <c r="L661" s="62"/>
      <c r="O661" s="62"/>
      <c r="P661" s="62"/>
      <c r="Q661" s="62"/>
      <c r="R661" s="62"/>
      <c r="S661" s="62"/>
      <c r="T661" s="62"/>
      <c r="U661" s="62"/>
      <c r="V661" s="62"/>
      <c r="X661" s="62"/>
      <c r="Y661" s="62"/>
      <c r="Z661" s="62"/>
      <c r="AA661" s="62"/>
      <c r="AB661" s="63"/>
    </row>
    <row r="662">
      <c r="E662" s="63"/>
      <c r="F662" s="62"/>
      <c r="G662" s="64"/>
      <c r="J662" s="62"/>
      <c r="K662" s="65"/>
      <c r="L662" s="62"/>
      <c r="O662" s="62"/>
      <c r="P662" s="62"/>
      <c r="Q662" s="62"/>
      <c r="R662" s="62"/>
      <c r="S662" s="62"/>
      <c r="T662" s="62"/>
      <c r="U662" s="62"/>
      <c r="V662" s="62"/>
      <c r="X662" s="62"/>
      <c r="Y662" s="62"/>
      <c r="Z662" s="62"/>
      <c r="AA662" s="62"/>
      <c r="AB662" s="63"/>
    </row>
    <row r="663">
      <c r="E663" s="63"/>
      <c r="F663" s="62"/>
      <c r="G663" s="64"/>
      <c r="J663" s="62"/>
      <c r="K663" s="65"/>
      <c r="L663" s="62"/>
      <c r="O663" s="62"/>
      <c r="P663" s="62"/>
      <c r="Q663" s="62"/>
      <c r="R663" s="62"/>
      <c r="S663" s="62"/>
      <c r="T663" s="62"/>
      <c r="U663" s="62"/>
      <c r="V663" s="62"/>
      <c r="X663" s="62"/>
      <c r="Y663" s="62"/>
      <c r="Z663" s="62"/>
      <c r="AA663" s="62"/>
      <c r="AB663" s="63"/>
    </row>
    <row r="664">
      <c r="E664" s="63"/>
      <c r="F664" s="62"/>
      <c r="G664" s="64"/>
      <c r="J664" s="62"/>
      <c r="K664" s="65"/>
      <c r="L664" s="62"/>
      <c r="O664" s="62"/>
      <c r="P664" s="62"/>
      <c r="Q664" s="62"/>
      <c r="R664" s="62"/>
      <c r="S664" s="62"/>
      <c r="T664" s="62"/>
      <c r="U664" s="62"/>
      <c r="V664" s="62"/>
      <c r="X664" s="62"/>
      <c r="Y664" s="62"/>
      <c r="Z664" s="62"/>
      <c r="AA664" s="62"/>
      <c r="AB664" s="63"/>
    </row>
    <row r="665">
      <c r="E665" s="63"/>
      <c r="F665" s="62"/>
      <c r="G665" s="64"/>
      <c r="J665" s="62"/>
      <c r="K665" s="65"/>
      <c r="L665" s="62"/>
      <c r="O665" s="62"/>
      <c r="P665" s="62"/>
      <c r="Q665" s="62"/>
      <c r="R665" s="62"/>
      <c r="S665" s="62"/>
      <c r="T665" s="62"/>
      <c r="U665" s="62"/>
      <c r="V665" s="62"/>
      <c r="X665" s="62"/>
      <c r="Y665" s="62"/>
      <c r="Z665" s="62"/>
      <c r="AA665" s="62"/>
      <c r="AB665" s="63"/>
    </row>
    <row r="666">
      <c r="E666" s="63"/>
      <c r="F666" s="62"/>
      <c r="G666" s="64"/>
      <c r="J666" s="62"/>
      <c r="K666" s="65"/>
      <c r="L666" s="62"/>
      <c r="O666" s="62"/>
      <c r="P666" s="62"/>
      <c r="Q666" s="62"/>
      <c r="R666" s="62"/>
      <c r="S666" s="62"/>
      <c r="T666" s="62"/>
      <c r="U666" s="62"/>
      <c r="V666" s="62"/>
      <c r="X666" s="62"/>
      <c r="Y666" s="62"/>
      <c r="Z666" s="62"/>
      <c r="AA666" s="62"/>
      <c r="AB666" s="63"/>
    </row>
    <row r="667">
      <c r="E667" s="63"/>
      <c r="F667" s="62"/>
      <c r="G667" s="64"/>
      <c r="J667" s="62"/>
      <c r="K667" s="65"/>
      <c r="L667" s="62"/>
      <c r="O667" s="62"/>
      <c r="P667" s="62"/>
      <c r="Q667" s="62"/>
      <c r="R667" s="62"/>
      <c r="S667" s="62"/>
      <c r="T667" s="62"/>
      <c r="U667" s="62"/>
      <c r="V667" s="62"/>
      <c r="X667" s="62"/>
      <c r="Y667" s="62"/>
      <c r="Z667" s="62"/>
      <c r="AA667" s="62"/>
      <c r="AB667" s="63"/>
    </row>
    <row r="668">
      <c r="E668" s="63"/>
      <c r="F668" s="62"/>
      <c r="G668" s="64"/>
      <c r="J668" s="62"/>
      <c r="K668" s="65"/>
      <c r="L668" s="62"/>
      <c r="O668" s="62"/>
      <c r="P668" s="62"/>
      <c r="Q668" s="62"/>
      <c r="R668" s="62"/>
      <c r="S668" s="62"/>
      <c r="T668" s="62"/>
      <c r="U668" s="62"/>
      <c r="V668" s="62"/>
      <c r="X668" s="62"/>
      <c r="Y668" s="62"/>
      <c r="Z668" s="62"/>
      <c r="AA668" s="62"/>
      <c r="AB668" s="63"/>
    </row>
    <row r="669">
      <c r="E669" s="63"/>
      <c r="F669" s="62"/>
      <c r="G669" s="64"/>
      <c r="J669" s="62"/>
      <c r="K669" s="65"/>
      <c r="L669" s="62"/>
      <c r="O669" s="62"/>
      <c r="P669" s="62"/>
      <c r="Q669" s="62"/>
      <c r="R669" s="62"/>
      <c r="S669" s="62"/>
      <c r="T669" s="62"/>
      <c r="U669" s="62"/>
      <c r="V669" s="62"/>
      <c r="X669" s="62"/>
      <c r="Y669" s="62"/>
      <c r="Z669" s="62"/>
      <c r="AA669" s="62"/>
      <c r="AB669" s="63"/>
    </row>
    <row r="670">
      <c r="E670" s="63"/>
      <c r="F670" s="62"/>
      <c r="G670" s="64"/>
      <c r="J670" s="62"/>
      <c r="K670" s="65"/>
      <c r="L670" s="62"/>
      <c r="O670" s="62"/>
      <c r="P670" s="62"/>
      <c r="Q670" s="62"/>
      <c r="R670" s="62"/>
      <c r="S670" s="62"/>
      <c r="T670" s="62"/>
      <c r="U670" s="62"/>
      <c r="V670" s="62"/>
      <c r="X670" s="62"/>
      <c r="Y670" s="62"/>
      <c r="Z670" s="62"/>
      <c r="AA670" s="62"/>
      <c r="AB670" s="63"/>
    </row>
    <row r="671">
      <c r="E671" s="63"/>
      <c r="F671" s="62"/>
      <c r="G671" s="64"/>
      <c r="J671" s="62"/>
      <c r="K671" s="65"/>
      <c r="L671" s="62"/>
      <c r="O671" s="62"/>
      <c r="P671" s="62"/>
      <c r="Q671" s="62"/>
      <c r="R671" s="62"/>
      <c r="S671" s="62"/>
      <c r="T671" s="62"/>
      <c r="U671" s="62"/>
      <c r="V671" s="62"/>
      <c r="X671" s="62"/>
      <c r="Y671" s="62"/>
      <c r="Z671" s="62"/>
      <c r="AA671" s="62"/>
      <c r="AB671" s="63"/>
    </row>
    <row r="672">
      <c r="E672" s="63"/>
      <c r="F672" s="62"/>
      <c r="G672" s="64"/>
      <c r="J672" s="62"/>
      <c r="K672" s="65"/>
      <c r="L672" s="62"/>
      <c r="O672" s="62"/>
      <c r="P672" s="62"/>
      <c r="Q672" s="62"/>
      <c r="R672" s="62"/>
      <c r="S672" s="62"/>
      <c r="T672" s="62"/>
      <c r="U672" s="62"/>
      <c r="V672" s="62"/>
      <c r="X672" s="62"/>
      <c r="Y672" s="62"/>
      <c r="Z672" s="62"/>
      <c r="AA672" s="62"/>
      <c r="AB672" s="63"/>
    </row>
    <row r="673">
      <c r="E673" s="63"/>
      <c r="F673" s="62"/>
      <c r="G673" s="64"/>
      <c r="J673" s="62"/>
      <c r="K673" s="65"/>
      <c r="L673" s="62"/>
      <c r="O673" s="62"/>
      <c r="P673" s="62"/>
      <c r="Q673" s="62"/>
      <c r="R673" s="62"/>
      <c r="S673" s="62"/>
      <c r="T673" s="62"/>
      <c r="U673" s="62"/>
      <c r="V673" s="62"/>
      <c r="X673" s="62"/>
      <c r="Y673" s="62"/>
      <c r="Z673" s="62"/>
      <c r="AA673" s="62"/>
      <c r="AB673" s="63"/>
    </row>
    <row r="674">
      <c r="E674" s="63"/>
      <c r="F674" s="62"/>
      <c r="G674" s="64"/>
      <c r="J674" s="62"/>
      <c r="K674" s="65"/>
      <c r="L674" s="62"/>
      <c r="O674" s="62"/>
      <c r="P674" s="62"/>
      <c r="Q674" s="62"/>
      <c r="R674" s="62"/>
      <c r="S674" s="62"/>
      <c r="T674" s="62"/>
      <c r="U674" s="62"/>
      <c r="V674" s="62"/>
      <c r="X674" s="62"/>
      <c r="Y674" s="62"/>
      <c r="Z674" s="62"/>
      <c r="AA674" s="62"/>
      <c r="AB674" s="63"/>
    </row>
    <row r="675">
      <c r="E675" s="63"/>
      <c r="F675" s="62"/>
      <c r="G675" s="64"/>
      <c r="J675" s="62"/>
      <c r="K675" s="65"/>
      <c r="L675" s="62"/>
      <c r="O675" s="62"/>
      <c r="P675" s="62"/>
      <c r="Q675" s="62"/>
      <c r="R675" s="62"/>
      <c r="S675" s="62"/>
      <c r="T675" s="62"/>
      <c r="U675" s="62"/>
      <c r="V675" s="62"/>
      <c r="X675" s="62"/>
      <c r="Y675" s="62"/>
      <c r="Z675" s="62"/>
      <c r="AA675" s="62"/>
      <c r="AB675" s="63"/>
    </row>
    <row r="676">
      <c r="E676" s="63"/>
      <c r="F676" s="62"/>
      <c r="G676" s="64"/>
      <c r="J676" s="62"/>
      <c r="K676" s="65"/>
      <c r="L676" s="62"/>
      <c r="O676" s="62"/>
      <c r="P676" s="62"/>
      <c r="Q676" s="62"/>
      <c r="R676" s="62"/>
      <c r="S676" s="62"/>
      <c r="T676" s="62"/>
      <c r="U676" s="62"/>
      <c r="V676" s="62"/>
      <c r="X676" s="62"/>
      <c r="Y676" s="62"/>
      <c r="Z676" s="62"/>
      <c r="AA676" s="62"/>
      <c r="AB676" s="63"/>
    </row>
    <row r="677">
      <c r="E677" s="63"/>
      <c r="F677" s="62"/>
      <c r="G677" s="64"/>
      <c r="J677" s="62"/>
      <c r="K677" s="65"/>
      <c r="L677" s="62"/>
      <c r="O677" s="62"/>
      <c r="P677" s="62"/>
      <c r="Q677" s="62"/>
      <c r="R677" s="62"/>
      <c r="S677" s="62"/>
      <c r="T677" s="62"/>
      <c r="U677" s="62"/>
      <c r="V677" s="62"/>
      <c r="X677" s="62"/>
      <c r="Y677" s="62"/>
      <c r="Z677" s="62"/>
      <c r="AA677" s="62"/>
      <c r="AB677" s="63"/>
    </row>
    <row r="678">
      <c r="E678" s="63"/>
      <c r="F678" s="62"/>
      <c r="G678" s="64"/>
      <c r="J678" s="62"/>
      <c r="K678" s="65"/>
      <c r="L678" s="62"/>
      <c r="O678" s="62"/>
      <c r="P678" s="62"/>
      <c r="Q678" s="62"/>
      <c r="R678" s="62"/>
      <c r="S678" s="62"/>
      <c r="T678" s="62"/>
      <c r="U678" s="62"/>
      <c r="V678" s="62"/>
      <c r="X678" s="62"/>
      <c r="Y678" s="62"/>
      <c r="Z678" s="62"/>
      <c r="AA678" s="62"/>
      <c r="AB678" s="63"/>
    </row>
    <row r="679">
      <c r="E679" s="63"/>
      <c r="F679" s="62"/>
      <c r="G679" s="64"/>
      <c r="J679" s="62"/>
      <c r="K679" s="65"/>
      <c r="L679" s="62"/>
      <c r="O679" s="62"/>
      <c r="P679" s="62"/>
      <c r="Q679" s="62"/>
      <c r="R679" s="62"/>
      <c r="S679" s="62"/>
      <c r="T679" s="62"/>
      <c r="U679" s="62"/>
      <c r="V679" s="62"/>
      <c r="X679" s="62"/>
      <c r="Y679" s="62"/>
      <c r="Z679" s="62"/>
      <c r="AA679" s="62"/>
      <c r="AB679" s="63"/>
    </row>
    <row r="680">
      <c r="E680" s="63"/>
      <c r="F680" s="62"/>
      <c r="G680" s="64"/>
      <c r="J680" s="62"/>
      <c r="K680" s="65"/>
      <c r="L680" s="62"/>
      <c r="O680" s="62"/>
      <c r="P680" s="62"/>
      <c r="Q680" s="62"/>
      <c r="R680" s="62"/>
      <c r="S680" s="62"/>
      <c r="T680" s="62"/>
      <c r="U680" s="62"/>
      <c r="V680" s="62"/>
      <c r="X680" s="62"/>
      <c r="Y680" s="62"/>
      <c r="Z680" s="62"/>
      <c r="AA680" s="62"/>
      <c r="AB680" s="63"/>
    </row>
    <row r="681">
      <c r="E681" s="63"/>
      <c r="F681" s="62"/>
      <c r="G681" s="64"/>
      <c r="J681" s="62"/>
      <c r="K681" s="65"/>
      <c r="L681" s="62"/>
      <c r="O681" s="62"/>
      <c r="P681" s="62"/>
      <c r="Q681" s="62"/>
      <c r="R681" s="62"/>
      <c r="S681" s="62"/>
      <c r="T681" s="62"/>
      <c r="U681" s="62"/>
      <c r="V681" s="62"/>
      <c r="X681" s="62"/>
      <c r="Y681" s="62"/>
      <c r="Z681" s="62"/>
      <c r="AA681" s="62"/>
      <c r="AB681" s="63"/>
    </row>
    <row r="682">
      <c r="E682" s="63"/>
      <c r="F682" s="62"/>
      <c r="G682" s="64"/>
      <c r="J682" s="62"/>
      <c r="K682" s="65"/>
      <c r="L682" s="62"/>
      <c r="O682" s="62"/>
      <c r="P682" s="62"/>
      <c r="Q682" s="62"/>
      <c r="R682" s="62"/>
      <c r="S682" s="62"/>
      <c r="T682" s="62"/>
      <c r="U682" s="62"/>
      <c r="V682" s="62"/>
      <c r="X682" s="62"/>
      <c r="Y682" s="62"/>
      <c r="Z682" s="62"/>
      <c r="AA682" s="62"/>
      <c r="AB682" s="63"/>
    </row>
    <row r="683">
      <c r="E683" s="63"/>
      <c r="F683" s="62"/>
      <c r="G683" s="64"/>
      <c r="J683" s="62"/>
      <c r="K683" s="65"/>
      <c r="L683" s="62"/>
      <c r="O683" s="62"/>
      <c r="P683" s="62"/>
      <c r="Q683" s="62"/>
      <c r="R683" s="62"/>
      <c r="S683" s="62"/>
      <c r="T683" s="62"/>
      <c r="U683" s="62"/>
      <c r="V683" s="62"/>
      <c r="X683" s="62"/>
      <c r="Y683" s="62"/>
      <c r="Z683" s="62"/>
      <c r="AA683" s="62"/>
      <c r="AB683" s="63"/>
    </row>
    <row r="684">
      <c r="E684" s="63"/>
      <c r="F684" s="62"/>
      <c r="G684" s="64"/>
      <c r="J684" s="62"/>
      <c r="K684" s="65"/>
      <c r="L684" s="62"/>
      <c r="O684" s="62"/>
      <c r="P684" s="62"/>
      <c r="Q684" s="62"/>
      <c r="R684" s="62"/>
      <c r="S684" s="62"/>
      <c r="T684" s="62"/>
      <c r="U684" s="62"/>
      <c r="V684" s="62"/>
      <c r="X684" s="62"/>
      <c r="Y684" s="62"/>
      <c r="Z684" s="62"/>
      <c r="AA684" s="62"/>
      <c r="AB684" s="63"/>
    </row>
    <row r="685">
      <c r="E685" s="63"/>
      <c r="F685" s="62"/>
      <c r="G685" s="64"/>
      <c r="J685" s="62"/>
      <c r="K685" s="65"/>
      <c r="L685" s="62"/>
      <c r="O685" s="62"/>
      <c r="P685" s="62"/>
      <c r="Q685" s="62"/>
      <c r="R685" s="62"/>
      <c r="S685" s="62"/>
      <c r="T685" s="62"/>
      <c r="U685" s="62"/>
      <c r="V685" s="62"/>
      <c r="X685" s="62"/>
      <c r="Y685" s="62"/>
      <c r="Z685" s="62"/>
      <c r="AA685" s="62"/>
      <c r="AB685" s="63"/>
    </row>
    <row r="686">
      <c r="E686" s="63"/>
      <c r="F686" s="62"/>
      <c r="G686" s="64"/>
      <c r="J686" s="62"/>
      <c r="K686" s="65"/>
      <c r="L686" s="62"/>
      <c r="O686" s="62"/>
      <c r="P686" s="62"/>
      <c r="Q686" s="62"/>
      <c r="R686" s="62"/>
      <c r="S686" s="62"/>
      <c r="T686" s="62"/>
      <c r="U686" s="62"/>
      <c r="V686" s="62"/>
      <c r="X686" s="62"/>
      <c r="Y686" s="62"/>
      <c r="Z686" s="62"/>
      <c r="AA686" s="62"/>
      <c r="AB686" s="63"/>
    </row>
    <row r="687">
      <c r="E687" s="63"/>
      <c r="F687" s="62"/>
      <c r="G687" s="64"/>
      <c r="J687" s="62"/>
      <c r="K687" s="65"/>
      <c r="L687" s="62"/>
      <c r="O687" s="62"/>
      <c r="P687" s="62"/>
      <c r="Q687" s="62"/>
      <c r="R687" s="62"/>
      <c r="S687" s="62"/>
      <c r="T687" s="62"/>
      <c r="U687" s="62"/>
      <c r="V687" s="62"/>
      <c r="X687" s="62"/>
      <c r="Y687" s="62"/>
      <c r="Z687" s="62"/>
      <c r="AA687" s="62"/>
      <c r="AB687" s="63"/>
    </row>
    <row r="688">
      <c r="E688" s="63"/>
      <c r="F688" s="62"/>
      <c r="G688" s="64"/>
      <c r="J688" s="62"/>
      <c r="K688" s="65"/>
      <c r="L688" s="62"/>
      <c r="O688" s="62"/>
      <c r="P688" s="62"/>
      <c r="Q688" s="62"/>
      <c r="R688" s="62"/>
      <c r="S688" s="62"/>
      <c r="T688" s="62"/>
      <c r="U688" s="62"/>
      <c r="V688" s="62"/>
      <c r="X688" s="62"/>
      <c r="Y688" s="62"/>
      <c r="Z688" s="62"/>
      <c r="AA688" s="62"/>
      <c r="AB688" s="63"/>
    </row>
    <row r="689">
      <c r="E689" s="63"/>
      <c r="F689" s="62"/>
      <c r="G689" s="64"/>
      <c r="J689" s="62"/>
      <c r="K689" s="65"/>
      <c r="L689" s="62"/>
      <c r="O689" s="62"/>
      <c r="P689" s="62"/>
      <c r="Q689" s="62"/>
      <c r="R689" s="62"/>
      <c r="S689" s="62"/>
      <c r="T689" s="62"/>
      <c r="U689" s="62"/>
      <c r="V689" s="62"/>
      <c r="X689" s="62"/>
      <c r="Y689" s="62"/>
      <c r="Z689" s="62"/>
      <c r="AA689" s="62"/>
      <c r="AB689" s="63"/>
    </row>
    <row r="690">
      <c r="E690" s="63"/>
      <c r="F690" s="62"/>
      <c r="G690" s="64"/>
      <c r="J690" s="62"/>
      <c r="K690" s="65"/>
      <c r="L690" s="62"/>
      <c r="O690" s="62"/>
      <c r="P690" s="62"/>
      <c r="Q690" s="62"/>
      <c r="R690" s="62"/>
      <c r="S690" s="62"/>
      <c r="T690" s="62"/>
      <c r="U690" s="62"/>
      <c r="V690" s="62"/>
      <c r="X690" s="62"/>
      <c r="Y690" s="62"/>
      <c r="Z690" s="62"/>
      <c r="AA690" s="62"/>
      <c r="AB690" s="63"/>
    </row>
    <row r="691">
      <c r="E691" s="63"/>
      <c r="F691" s="62"/>
      <c r="G691" s="64"/>
      <c r="J691" s="62"/>
      <c r="K691" s="65"/>
      <c r="L691" s="62"/>
      <c r="O691" s="62"/>
      <c r="P691" s="62"/>
      <c r="Q691" s="62"/>
      <c r="R691" s="62"/>
      <c r="S691" s="62"/>
      <c r="T691" s="62"/>
      <c r="U691" s="62"/>
      <c r="V691" s="62"/>
      <c r="X691" s="62"/>
      <c r="Y691" s="62"/>
      <c r="Z691" s="62"/>
      <c r="AA691" s="62"/>
      <c r="AB691" s="63"/>
    </row>
    <row r="692">
      <c r="E692" s="63"/>
      <c r="F692" s="62"/>
      <c r="G692" s="64"/>
      <c r="J692" s="62"/>
      <c r="K692" s="65"/>
      <c r="L692" s="62"/>
      <c r="O692" s="62"/>
      <c r="P692" s="62"/>
      <c r="Q692" s="62"/>
      <c r="R692" s="62"/>
      <c r="S692" s="62"/>
      <c r="T692" s="62"/>
      <c r="U692" s="62"/>
      <c r="V692" s="62"/>
      <c r="X692" s="62"/>
      <c r="Y692" s="62"/>
      <c r="Z692" s="62"/>
      <c r="AA692" s="62"/>
      <c r="AB692" s="63"/>
    </row>
    <row r="693">
      <c r="E693" s="63"/>
      <c r="F693" s="62"/>
      <c r="G693" s="64"/>
      <c r="J693" s="62"/>
      <c r="K693" s="65"/>
      <c r="L693" s="62"/>
      <c r="O693" s="62"/>
      <c r="P693" s="62"/>
      <c r="Q693" s="62"/>
      <c r="R693" s="62"/>
      <c r="S693" s="62"/>
      <c r="T693" s="62"/>
      <c r="U693" s="62"/>
      <c r="V693" s="62"/>
      <c r="X693" s="62"/>
      <c r="Y693" s="62"/>
      <c r="Z693" s="62"/>
      <c r="AA693" s="62"/>
      <c r="AB693" s="63"/>
    </row>
    <row r="694">
      <c r="E694" s="63"/>
      <c r="F694" s="62"/>
      <c r="G694" s="64"/>
      <c r="J694" s="62"/>
      <c r="K694" s="65"/>
      <c r="L694" s="62"/>
      <c r="O694" s="62"/>
      <c r="P694" s="62"/>
      <c r="Q694" s="62"/>
      <c r="R694" s="62"/>
      <c r="S694" s="62"/>
      <c r="T694" s="62"/>
      <c r="U694" s="62"/>
      <c r="V694" s="62"/>
      <c r="X694" s="62"/>
      <c r="Y694" s="62"/>
      <c r="Z694" s="62"/>
      <c r="AA694" s="62"/>
      <c r="AB694" s="63"/>
    </row>
    <row r="695">
      <c r="E695" s="63"/>
      <c r="F695" s="62"/>
      <c r="G695" s="64"/>
      <c r="J695" s="62"/>
      <c r="K695" s="65"/>
      <c r="L695" s="62"/>
      <c r="O695" s="62"/>
      <c r="P695" s="62"/>
      <c r="Q695" s="62"/>
      <c r="R695" s="62"/>
      <c r="S695" s="62"/>
      <c r="T695" s="62"/>
      <c r="U695" s="62"/>
      <c r="V695" s="62"/>
      <c r="X695" s="62"/>
      <c r="Y695" s="62"/>
      <c r="Z695" s="62"/>
      <c r="AA695" s="62"/>
      <c r="AB695" s="63"/>
    </row>
    <row r="696">
      <c r="E696" s="63"/>
      <c r="F696" s="62"/>
      <c r="G696" s="64"/>
      <c r="J696" s="62"/>
      <c r="K696" s="65"/>
      <c r="L696" s="62"/>
      <c r="O696" s="62"/>
      <c r="P696" s="62"/>
      <c r="Q696" s="62"/>
      <c r="R696" s="62"/>
      <c r="S696" s="62"/>
      <c r="T696" s="62"/>
      <c r="U696" s="62"/>
      <c r="V696" s="62"/>
      <c r="X696" s="62"/>
      <c r="Y696" s="62"/>
      <c r="Z696" s="62"/>
      <c r="AA696" s="62"/>
      <c r="AB696" s="63"/>
    </row>
    <row r="697">
      <c r="E697" s="63"/>
      <c r="F697" s="62"/>
      <c r="G697" s="64"/>
      <c r="J697" s="62"/>
      <c r="K697" s="65"/>
      <c r="L697" s="62"/>
      <c r="O697" s="62"/>
      <c r="P697" s="62"/>
      <c r="Q697" s="62"/>
      <c r="R697" s="62"/>
      <c r="S697" s="62"/>
      <c r="T697" s="62"/>
      <c r="U697" s="62"/>
      <c r="V697" s="62"/>
      <c r="X697" s="62"/>
      <c r="Y697" s="62"/>
      <c r="Z697" s="62"/>
      <c r="AA697" s="62"/>
      <c r="AB697" s="63"/>
    </row>
    <row r="698">
      <c r="E698" s="63"/>
      <c r="F698" s="62"/>
      <c r="G698" s="64"/>
      <c r="J698" s="62"/>
      <c r="K698" s="65"/>
      <c r="L698" s="62"/>
      <c r="O698" s="62"/>
      <c r="P698" s="62"/>
      <c r="Q698" s="62"/>
      <c r="R698" s="62"/>
      <c r="S698" s="62"/>
      <c r="T698" s="62"/>
      <c r="U698" s="62"/>
      <c r="V698" s="62"/>
      <c r="X698" s="62"/>
      <c r="Y698" s="62"/>
      <c r="Z698" s="62"/>
      <c r="AA698" s="62"/>
      <c r="AB698" s="63"/>
    </row>
    <row r="699">
      <c r="E699" s="63"/>
      <c r="F699" s="62"/>
      <c r="G699" s="64"/>
      <c r="J699" s="62"/>
      <c r="K699" s="65"/>
      <c r="L699" s="62"/>
      <c r="O699" s="62"/>
      <c r="P699" s="62"/>
      <c r="Q699" s="62"/>
      <c r="R699" s="62"/>
      <c r="S699" s="62"/>
      <c r="T699" s="62"/>
      <c r="U699" s="62"/>
      <c r="V699" s="62"/>
      <c r="X699" s="62"/>
      <c r="Y699" s="62"/>
      <c r="Z699" s="62"/>
      <c r="AA699" s="62"/>
      <c r="AB699" s="63"/>
    </row>
    <row r="700">
      <c r="E700" s="63"/>
      <c r="F700" s="62"/>
      <c r="G700" s="64"/>
      <c r="J700" s="62"/>
      <c r="K700" s="65"/>
      <c r="L700" s="62"/>
      <c r="O700" s="62"/>
      <c r="P700" s="62"/>
      <c r="Q700" s="62"/>
      <c r="R700" s="62"/>
      <c r="S700" s="62"/>
      <c r="T700" s="62"/>
      <c r="U700" s="62"/>
      <c r="V700" s="62"/>
      <c r="X700" s="62"/>
      <c r="Y700" s="62"/>
      <c r="Z700" s="62"/>
      <c r="AA700" s="62"/>
      <c r="AB700" s="63"/>
    </row>
    <row r="701">
      <c r="E701" s="63"/>
      <c r="F701" s="62"/>
      <c r="G701" s="64"/>
      <c r="J701" s="62"/>
      <c r="K701" s="65"/>
      <c r="L701" s="62"/>
      <c r="O701" s="62"/>
      <c r="P701" s="62"/>
      <c r="Q701" s="62"/>
      <c r="R701" s="62"/>
      <c r="S701" s="62"/>
      <c r="T701" s="62"/>
      <c r="U701" s="62"/>
      <c r="V701" s="62"/>
      <c r="X701" s="62"/>
      <c r="Y701" s="62"/>
      <c r="Z701" s="62"/>
      <c r="AA701" s="62"/>
      <c r="AB701" s="63"/>
    </row>
    <row r="702">
      <c r="E702" s="63"/>
      <c r="F702" s="62"/>
      <c r="G702" s="64"/>
      <c r="J702" s="62"/>
      <c r="K702" s="65"/>
      <c r="L702" s="62"/>
      <c r="O702" s="62"/>
      <c r="P702" s="62"/>
      <c r="Q702" s="62"/>
      <c r="R702" s="62"/>
      <c r="S702" s="62"/>
      <c r="T702" s="62"/>
      <c r="U702" s="62"/>
      <c r="V702" s="62"/>
      <c r="X702" s="62"/>
      <c r="Y702" s="62"/>
      <c r="Z702" s="62"/>
      <c r="AA702" s="62"/>
      <c r="AB702" s="63"/>
    </row>
    <row r="703">
      <c r="E703" s="63"/>
      <c r="F703" s="62"/>
      <c r="G703" s="64"/>
      <c r="J703" s="62"/>
      <c r="K703" s="65"/>
      <c r="L703" s="62"/>
      <c r="O703" s="62"/>
      <c r="P703" s="62"/>
      <c r="Q703" s="62"/>
      <c r="R703" s="62"/>
      <c r="S703" s="62"/>
      <c r="T703" s="62"/>
      <c r="U703" s="62"/>
      <c r="V703" s="62"/>
      <c r="X703" s="62"/>
      <c r="Y703" s="62"/>
      <c r="Z703" s="62"/>
      <c r="AA703" s="62"/>
      <c r="AB703" s="63"/>
    </row>
    <row r="704">
      <c r="E704" s="63"/>
      <c r="F704" s="62"/>
      <c r="G704" s="64"/>
      <c r="J704" s="62"/>
      <c r="K704" s="65"/>
      <c r="L704" s="62"/>
      <c r="O704" s="62"/>
      <c r="P704" s="62"/>
      <c r="Q704" s="62"/>
      <c r="R704" s="62"/>
      <c r="S704" s="62"/>
      <c r="T704" s="62"/>
      <c r="U704" s="62"/>
      <c r="V704" s="62"/>
      <c r="X704" s="62"/>
      <c r="Y704" s="62"/>
      <c r="Z704" s="62"/>
      <c r="AA704" s="62"/>
      <c r="AB704" s="63"/>
    </row>
    <row r="705">
      <c r="E705" s="63"/>
      <c r="F705" s="62"/>
      <c r="G705" s="64"/>
      <c r="J705" s="62"/>
      <c r="K705" s="65"/>
      <c r="L705" s="62"/>
      <c r="O705" s="62"/>
      <c r="P705" s="62"/>
      <c r="Q705" s="62"/>
      <c r="R705" s="62"/>
      <c r="S705" s="62"/>
      <c r="T705" s="62"/>
      <c r="U705" s="62"/>
      <c r="V705" s="62"/>
      <c r="X705" s="62"/>
      <c r="Y705" s="62"/>
      <c r="Z705" s="62"/>
      <c r="AA705" s="62"/>
      <c r="AB705" s="63"/>
    </row>
    <row r="706">
      <c r="E706" s="63"/>
      <c r="F706" s="62"/>
      <c r="G706" s="64"/>
      <c r="J706" s="62"/>
      <c r="K706" s="65"/>
      <c r="L706" s="62"/>
      <c r="O706" s="62"/>
      <c r="P706" s="62"/>
      <c r="Q706" s="62"/>
      <c r="R706" s="62"/>
      <c r="S706" s="62"/>
      <c r="T706" s="62"/>
      <c r="U706" s="62"/>
      <c r="V706" s="62"/>
      <c r="X706" s="62"/>
      <c r="Y706" s="62"/>
      <c r="Z706" s="62"/>
      <c r="AA706" s="62"/>
      <c r="AB706" s="63"/>
    </row>
    <row r="707">
      <c r="E707" s="63"/>
      <c r="F707" s="62"/>
      <c r="G707" s="64"/>
      <c r="J707" s="62"/>
      <c r="K707" s="65"/>
      <c r="L707" s="62"/>
      <c r="O707" s="62"/>
      <c r="P707" s="62"/>
      <c r="Q707" s="62"/>
      <c r="R707" s="62"/>
      <c r="S707" s="62"/>
      <c r="T707" s="62"/>
      <c r="U707" s="62"/>
      <c r="V707" s="62"/>
      <c r="X707" s="62"/>
      <c r="Y707" s="62"/>
      <c r="Z707" s="62"/>
      <c r="AA707" s="62"/>
      <c r="AB707" s="63"/>
    </row>
    <row r="708">
      <c r="E708" s="63"/>
      <c r="F708" s="62"/>
      <c r="G708" s="64"/>
      <c r="J708" s="62"/>
      <c r="K708" s="65"/>
      <c r="L708" s="62"/>
      <c r="O708" s="62"/>
      <c r="P708" s="62"/>
      <c r="Q708" s="62"/>
      <c r="R708" s="62"/>
      <c r="S708" s="62"/>
      <c r="T708" s="62"/>
      <c r="U708" s="62"/>
      <c r="V708" s="62"/>
      <c r="X708" s="62"/>
      <c r="Y708" s="62"/>
      <c r="Z708" s="62"/>
      <c r="AA708" s="62"/>
      <c r="AB708" s="63"/>
    </row>
    <row r="709">
      <c r="E709" s="63"/>
      <c r="F709" s="62"/>
      <c r="G709" s="64"/>
      <c r="J709" s="62"/>
      <c r="K709" s="65"/>
      <c r="L709" s="62"/>
      <c r="O709" s="62"/>
      <c r="P709" s="62"/>
      <c r="Q709" s="62"/>
      <c r="R709" s="62"/>
      <c r="S709" s="62"/>
      <c r="T709" s="62"/>
      <c r="U709" s="62"/>
      <c r="V709" s="62"/>
      <c r="X709" s="62"/>
      <c r="Y709" s="62"/>
      <c r="Z709" s="62"/>
      <c r="AA709" s="62"/>
      <c r="AB709" s="63"/>
    </row>
    <row r="710">
      <c r="E710" s="63"/>
      <c r="F710" s="62"/>
      <c r="G710" s="64"/>
      <c r="J710" s="62"/>
      <c r="K710" s="65"/>
      <c r="L710" s="62"/>
      <c r="O710" s="62"/>
      <c r="P710" s="62"/>
      <c r="Q710" s="62"/>
      <c r="R710" s="62"/>
      <c r="S710" s="62"/>
      <c r="T710" s="62"/>
      <c r="U710" s="62"/>
      <c r="V710" s="62"/>
      <c r="X710" s="62"/>
      <c r="Y710" s="62"/>
      <c r="Z710" s="62"/>
      <c r="AA710" s="62"/>
      <c r="AB710" s="63"/>
    </row>
    <row r="711">
      <c r="E711" s="63"/>
      <c r="F711" s="62"/>
      <c r="G711" s="64"/>
      <c r="J711" s="62"/>
      <c r="K711" s="65"/>
      <c r="L711" s="62"/>
      <c r="O711" s="62"/>
      <c r="P711" s="62"/>
      <c r="Q711" s="62"/>
      <c r="R711" s="62"/>
      <c r="S711" s="62"/>
      <c r="T711" s="62"/>
      <c r="U711" s="62"/>
      <c r="V711" s="62"/>
      <c r="X711" s="62"/>
      <c r="Y711" s="62"/>
      <c r="Z711" s="62"/>
      <c r="AA711" s="62"/>
      <c r="AB711" s="63"/>
    </row>
    <row r="712">
      <c r="E712" s="63"/>
      <c r="F712" s="62"/>
      <c r="G712" s="64"/>
      <c r="J712" s="62"/>
      <c r="K712" s="65"/>
      <c r="L712" s="62"/>
      <c r="O712" s="62"/>
      <c r="P712" s="62"/>
      <c r="Q712" s="62"/>
      <c r="R712" s="62"/>
      <c r="S712" s="62"/>
      <c r="T712" s="62"/>
      <c r="U712" s="62"/>
      <c r="V712" s="62"/>
      <c r="X712" s="62"/>
      <c r="Y712" s="62"/>
      <c r="Z712" s="62"/>
      <c r="AA712" s="62"/>
      <c r="AB712" s="63"/>
    </row>
    <row r="713">
      <c r="E713" s="63"/>
      <c r="F713" s="62"/>
      <c r="G713" s="64"/>
      <c r="J713" s="62"/>
      <c r="K713" s="65"/>
      <c r="L713" s="62"/>
      <c r="O713" s="62"/>
      <c r="P713" s="62"/>
      <c r="Q713" s="62"/>
      <c r="R713" s="62"/>
      <c r="S713" s="62"/>
      <c r="T713" s="62"/>
      <c r="U713" s="62"/>
      <c r="V713" s="62"/>
      <c r="X713" s="62"/>
      <c r="Y713" s="62"/>
      <c r="Z713" s="62"/>
      <c r="AA713" s="62"/>
      <c r="AB713" s="63"/>
    </row>
    <row r="714">
      <c r="E714" s="63"/>
      <c r="F714" s="62"/>
      <c r="G714" s="64"/>
      <c r="J714" s="62"/>
      <c r="K714" s="65"/>
      <c r="L714" s="62"/>
      <c r="O714" s="62"/>
      <c r="P714" s="62"/>
      <c r="Q714" s="62"/>
      <c r="R714" s="62"/>
      <c r="S714" s="62"/>
      <c r="T714" s="62"/>
      <c r="U714" s="62"/>
      <c r="V714" s="62"/>
      <c r="X714" s="62"/>
      <c r="Y714" s="62"/>
      <c r="Z714" s="62"/>
      <c r="AA714" s="62"/>
      <c r="AB714" s="63"/>
    </row>
    <row r="715">
      <c r="E715" s="63"/>
      <c r="F715" s="62"/>
      <c r="G715" s="64"/>
      <c r="J715" s="62"/>
      <c r="K715" s="65"/>
      <c r="L715" s="62"/>
      <c r="O715" s="62"/>
      <c r="P715" s="62"/>
      <c r="Q715" s="62"/>
      <c r="R715" s="62"/>
      <c r="S715" s="62"/>
      <c r="T715" s="62"/>
      <c r="U715" s="62"/>
      <c r="V715" s="62"/>
      <c r="X715" s="62"/>
      <c r="Y715" s="62"/>
      <c r="Z715" s="62"/>
      <c r="AA715" s="62"/>
      <c r="AB715" s="63"/>
    </row>
    <row r="716">
      <c r="E716" s="63"/>
      <c r="F716" s="62"/>
      <c r="G716" s="64"/>
      <c r="J716" s="62"/>
      <c r="K716" s="65"/>
      <c r="L716" s="62"/>
      <c r="O716" s="62"/>
      <c r="P716" s="62"/>
      <c r="Q716" s="62"/>
      <c r="R716" s="62"/>
      <c r="S716" s="62"/>
      <c r="T716" s="62"/>
      <c r="U716" s="62"/>
      <c r="V716" s="62"/>
      <c r="X716" s="62"/>
      <c r="Y716" s="62"/>
      <c r="Z716" s="62"/>
      <c r="AA716" s="62"/>
      <c r="AB716" s="63"/>
    </row>
    <row r="717">
      <c r="E717" s="63"/>
      <c r="F717" s="62"/>
      <c r="G717" s="64"/>
      <c r="J717" s="62"/>
      <c r="K717" s="65"/>
      <c r="L717" s="62"/>
      <c r="O717" s="62"/>
      <c r="P717" s="62"/>
      <c r="Q717" s="62"/>
      <c r="R717" s="62"/>
      <c r="S717" s="62"/>
      <c r="T717" s="62"/>
      <c r="U717" s="62"/>
      <c r="V717" s="62"/>
      <c r="X717" s="62"/>
      <c r="Y717" s="62"/>
      <c r="Z717" s="62"/>
      <c r="AA717" s="62"/>
      <c r="AB717" s="63"/>
    </row>
    <row r="718">
      <c r="E718" s="63"/>
      <c r="F718" s="62"/>
      <c r="G718" s="64"/>
      <c r="J718" s="62"/>
      <c r="K718" s="65"/>
      <c r="L718" s="62"/>
      <c r="O718" s="62"/>
      <c r="P718" s="62"/>
      <c r="Q718" s="62"/>
      <c r="R718" s="62"/>
      <c r="S718" s="62"/>
      <c r="T718" s="62"/>
      <c r="U718" s="62"/>
      <c r="V718" s="62"/>
      <c r="X718" s="62"/>
      <c r="Y718" s="62"/>
      <c r="Z718" s="62"/>
      <c r="AA718" s="62"/>
      <c r="AB718" s="63"/>
    </row>
    <row r="719">
      <c r="E719" s="63"/>
      <c r="F719" s="62"/>
      <c r="G719" s="64"/>
      <c r="J719" s="62"/>
      <c r="K719" s="65"/>
      <c r="L719" s="62"/>
      <c r="O719" s="62"/>
      <c r="P719" s="62"/>
      <c r="Q719" s="62"/>
      <c r="R719" s="62"/>
      <c r="S719" s="62"/>
      <c r="T719" s="62"/>
      <c r="U719" s="62"/>
      <c r="V719" s="62"/>
      <c r="X719" s="62"/>
      <c r="Y719" s="62"/>
      <c r="Z719" s="62"/>
      <c r="AA719" s="62"/>
      <c r="AB719" s="63"/>
    </row>
    <row r="720">
      <c r="E720" s="63"/>
      <c r="F720" s="62"/>
      <c r="G720" s="64"/>
      <c r="J720" s="62"/>
      <c r="K720" s="65"/>
      <c r="L720" s="62"/>
      <c r="O720" s="62"/>
      <c r="P720" s="62"/>
      <c r="Q720" s="62"/>
      <c r="R720" s="62"/>
      <c r="S720" s="62"/>
      <c r="T720" s="62"/>
      <c r="U720" s="62"/>
      <c r="V720" s="62"/>
      <c r="X720" s="62"/>
      <c r="Y720" s="62"/>
      <c r="Z720" s="62"/>
      <c r="AA720" s="62"/>
      <c r="AB720" s="63"/>
    </row>
    <row r="721">
      <c r="E721" s="63"/>
      <c r="F721" s="62"/>
      <c r="G721" s="64"/>
      <c r="J721" s="62"/>
      <c r="K721" s="65"/>
      <c r="L721" s="62"/>
      <c r="O721" s="62"/>
      <c r="P721" s="62"/>
      <c r="Q721" s="62"/>
      <c r="R721" s="62"/>
      <c r="S721" s="62"/>
      <c r="T721" s="62"/>
      <c r="U721" s="62"/>
      <c r="V721" s="62"/>
      <c r="X721" s="62"/>
      <c r="Y721" s="62"/>
      <c r="Z721" s="62"/>
      <c r="AA721" s="62"/>
      <c r="AB721" s="63"/>
    </row>
    <row r="722">
      <c r="E722" s="63"/>
      <c r="F722" s="62"/>
      <c r="G722" s="64"/>
      <c r="J722" s="62"/>
      <c r="K722" s="65"/>
      <c r="L722" s="62"/>
      <c r="O722" s="62"/>
      <c r="P722" s="62"/>
      <c r="Q722" s="62"/>
      <c r="R722" s="62"/>
      <c r="S722" s="62"/>
      <c r="T722" s="62"/>
      <c r="U722" s="62"/>
      <c r="V722" s="62"/>
      <c r="X722" s="62"/>
      <c r="Y722" s="62"/>
      <c r="Z722" s="62"/>
      <c r="AA722" s="62"/>
      <c r="AB722" s="63"/>
    </row>
    <row r="723">
      <c r="E723" s="63"/>
      <c r="F723" s="62"/>
      <c r="G723" s="64"/>
      <c r="J723" s="62"/>
      <c r="K723" s="65"/>
      <c r="L723" s="62"/>
      <c r="O723" s="62"/>
      <c r="P723" s="62"/>
      <c r="Q723" s="62"/>
      <c r="R723" s="62"/>
      <c r="S723" s="62"/>
      <c r="T723" s="62"/>
      <c r="U723" s="62"/>
      <c r="V723" s="62"/>
      <c r="X723" s="62"/>
      <c r="Y723" s="62"/>
      <c r="Z723" s="62"/>
      <c r="AA723" s="62"/>
      <c r="AB723" s="63"/>
    </row>
    <row r="724">
      <c r="E724" s="63"/>
      <c r="F724" s="62"/>
      <c r="G724" s="64"/>
      <c r="J724" s="62"/>
      <c r="K724" s="65"/>
      <c r="L724" s="62"/>
      <c r="O724" s="62"/>
      <c r="P724" s="62"/>
      <c r="Q724" s="62"/>
      <c r="R724" s="62"/>
      <c r="S724" s="62"/>
      <c r="T724" s="62"/>
      <c r="U724" s="62"/>
      <c r="V724" s="62"/>
      <c r="X724" s="62"/>
      <c r="Y724" s="62"/>
      <c r="Z724" s="62"/>
      <c r="AA724" s="62"/>
      <c r="AB724" s="63"/>
    </row>
    <row r="725">
      <c r="E725" s="63"/>
      <c r="F725" s="62"/>
      <c r="G725" s="64"/>
      <c r="J725" s="62"/>
      <c r="K725" s="65"/>
      <c r="L725" s="62"/>
      <c r="O725" s="62"/>
      <c r="P725" s="62"/>
      <c r="Q725" s="62"/>
      <c r="R725" s="62"/>
      <c r="S725" s="62"/>
      <c r="T725" s="62"/>
      <c r="U725" s="62"/>
      <c r="V725" s="62"/>
      <c r="X725" s="62"/>
      <c r="Y725" s="62"/>
      <c r="Z725" s="62"/>
      <c r="AA725" s="62"/>
      <c r="AB725" s="63"/>
    </row>
    <row r="726">
      <c r="E726" s="63"/>
      <c r="F726" s="62"/>
      <c r="G726" s="64"/>
      <c r="J726" s="62"/>
      <c r="K726" s="65"/>
      <c r="L726" s="62"/>
      <c r="O726" s="62"/>
      <c r="P726" s="62"/>
      <c r="Q726" s="62"/>
      <c r="R726" s="62"/>
      <c r="S726" s="62"/>
      <c r="T726" s="62"/>
      <c r="U726" s="62"/>
      <c r="V726" s="62"/>
      <c r="X726" s="62"/>
      <c r="Y726" s="62"/>
      <c r="Z726" s="62"/>
      <c r="AA726" s="62"/>
      <c r="AB726" s="63"/>
    </row>
    <row r="727">
      <c r="E727" s="63"/>
      <c r="F727" s="62"/>
      <c r="G727" s="64"/>
      <c r="J727" s="62"/>
      <c r="K727" s="65"/>
      <c r="L727" s="62"/>
      <c r="O727" s="62"/>
      <c r="P727" s="62"/>
      <c r="Q727" s="62"/>
      <c r="R727" s="62"/>
      <c r="S727" s="62"/>
      <c r="T727" s="62"/>
      <c r="U727" s="62"/>
      <c r="V727" s="62"/>
      <c r="X727" s="62"/>
      <c r="Y727" s="62"/>
      <c r="Z727" s="62"/>
      <c r="AA727" s="62"/>
      <c r="AB727" s="63"/>
    </row>
    <row r="728">
      <c r="E728" s="63"/>
      <c r="F728" s="62"/>
      <c r="G728" s="64"/>
      <c r="J728" s="62"/>
      <c r="K728" s="65"/>
      <c r="L728" s="62"/>
      <c r="O728" s="62"/>
      <c r="P728" s="62"/>
      <c r="Q728" s="62"/>
      <c r="R728" s="62"/>
      <c r="S728" s="62"/>
      <c r="T728" s="62"/>
      <c r="U728" s="62"/>
      <c r="V728" s="62"/>
      <c r="X728" s="62"/>
      <c r="Y728" s="62"/>
      <c r="Z728" s="62"/>
      <c r="AA728" s="62"/>
      <c r="AB728" s="63"/>
    </row>
    <row r="729">
      <c r="E729" s="63"/>
      <c r="F729" s="62"/>
      <c r="G729" s="64"/>
      <c r="J729" s="62"/>
      <c r="K729" s="65"/>
      <c r="L729" s="62"/>
      <c r="O729" s="62"/>
      <c r="P729" s="62"/>
      <c r="Q729" s="62"/>
      <c r="R729" s="62"/>
      <c r="S729" s="62"/>
      <c r="T729" s="62"/>
      <c r="U729" s="62"/>
      <c r="V729" s="62"/>
      <c r="X729" s="62"/>
      <c r="Y729" s="62"/>
      <c r="Z729" s="62"/>
      <c r="AA729" s="62"/>
      <c r="AB729" s="63"/>
    </row>
    <row r="730">
      <c r="E730" s="63"/>
      <c r="F730" s="62"/>
      <c r="G730" s="64"/>
      <c r="J730" s="62"/>
      <c r="K730" s="65"/>
      <c r="L730" s="62"/>
      <c r="O730" s="62"/>
      <c r="P730" s="62"/>
      <c r="Q730" s="62"/>
      <c r="R730" s="62"/>
      <c r="S730" s="62"/>
      <c r="T730" s="62"/>
      <c r="U730" s="62"/>
      <c r="V730" s="62"/>
      <c r="X730" s="62"/>
      <c r="Y730" s="62"/>
      <c r="Z730" s="62"/>
      <c r="AA730" s="62"/>
      <c r="AB730" s="63"/>
    </row>
    <row r="731">
      <c r="E731" s="63"/>
      <c r="F731" s="62"/>
      <c r="G731" s="64"/>
      <c r="J731" s="62"/>
      <c r="K731" s="65"/>
      <c r="L731" s="62"/>
      <c r="O731" s="62"/>
      <c r="P731" s="62"/>
      <c r="Q731" s="62"/>
      <c r="R731" s="62"/>
      <c r="S731" s="62"/>
      <c r="T731" s="62"/>
      <c r="U731" s="62"/>
      <c r="V731" s="62"/>
      <c r="X731" s="62"/>
      <c r="Y731" s="62"/>
      <c r="Z731" s="62"/>
      <c r="AA731" s="62"/>
      <c r="AB731" s="63"/>
    </row>
    <row r="732">
      <c r="E732" s="63"/>
      <c r="F732" s="62"/>
      <c r="G732" s="64"/>
      <c r="J732" s="62"/>
      <c r="K732" s="65"/>
      <c r="L732" s="62"/>
      <c r="O732" s="62"/>
      <c r="P732" s="62"/>
      <c r="Q732" s="62"/>
      <c r="R732" s="62"/>
      <c r="S732" s="62"/>
      <c r="T732" s="62"/>
      <c r="U732" s="62"/>
      <c r="V732" s="62"/>
      <c r="X732" s="62"/>
      <c r="Y732" s="62"/>
      <c r="Z732" s="62"/>
      <c r="AA732" s="62"/>
      <c r="AB732" s="63"/>
    </row>
    <row r="733">
      <c r="E733" s="63"/>
      <c r="F733" s="62"/>
      <c r="G733" s="64"/>
      <c r="J733" s="62"/>
      <c r="K733" s="65"/>
      <c r="L733" s="62"/>
      <c r="O733" s="62"/>
      <c r="P733" s="62"/>
      <c r="Q733" s="62"/>
      <c r="R733" s="62"/>
      <c r="S733" s="62"/>
      <c r="T733" s="62"/>
      <c r="U733" s="62"/>
      <c r="V733" s="62"/>
      <c r="X733" s="62"/>
      <c r="Y733" s="62"/>
      <c r="Z733" s="62"/>
      <c r="AA733" s="62"/>
      <c r="AB733" s="63"/>
    </row>
    <row r="734">
      <c r="E734" s="63"/>
      <c r="F734" s="62"/>
      <c r="G734" s="64"/>
      <c r="J734" s="62"/>
      <c r="K734" s="65"/>
      <c r="L734" s="62"/>
      <c r="O734" s="62"/>
      <c r="P734" s="62"/>
      <c r="Q734" s="62"/>
      <c r="R734" s="62"/>
      <c r="S734" s="62"/>
      <c r="T734" s="62"/>
      <c r="U734" s="62"/>
      <c r="V734" s="62"/>
      <c r="X734" s="62"/>
      <c r="Y734" s="62"/>
      <c r="Z734" s="62"/>
      <c r="AA734" s="62"/>
      <c r="AB734" s="63"/>
    </row>
    <row r="735">
      <c r="E735" s="63"/>
      <c r="F735" s="62"/>
      <c r="G735" s="64"/>
      <c r="J735" s="62"/>
      <c r="K735" s="65"/>
      <c r="L735" s="62"/>
      <c r="O735" s="62"/>
      <c r="P735" s="62"/>
      <c r="Q735" s="62"/>
      <c r="R735" s="62"/>
      <c r="S735" s="62"/>
      <c r="T735" s="62"/>
      <c r="U735" s="62"/>
      <c r="V735" s="62"/>
      <c r="X735" s="62"/>
      <c r="Y735" s="62"/>
      <c r="Z735" s="62"/>
      <c r="AA735" s="62"/>
      <c r="AB735" s="63"/>
    </row>
    <row r="736">
      <c r="E736" s="63"/>
      <c r="F736" s="62"/>
      <c r="G736" s="64"/>
      <c r="J736" s="62"/>
      <c r="K736" s="65"/>
      <c r="L736" s="62"/>
      <c r="O736" s="62"/>
      <c r="P736" s="62"/>
      <c r="Q736" s="62"/>
      <c r="R736" s="62"/>
      <c r="S736" s="62"/>
      <c r="T736" s="62"/>
      <c r="U736" s="62"/>
      <c r="V736" s="62"/>
      <c r="X736" s="62"/>
      <c r="Y736" s="62"/>
      <c r="Z736" s="62"/>
      <c r="AA736" s="62"/>
      <c r="AB736" s="63"/>
    </row>
    <row r="737">
      <c r="E737" s="63"/>
      <c r="F737" s="62"/>
      <c r="G737" s="64"/>
      <c r="J737" s="62"/>
      <c r="K737" s="65"/>
      <c r="L737" s="62"/>
      <c r="O737" s="62"/>
      <c r="P737" s="62"/>
      <c r="Q737" s="62"/>
      <c r="R737" s="62"/>
      <c r="S737" s="62"/>
      <c r="T737" s="62"/>
      <c r="U737" s="62"/>
      <c r="V737" s="62"/>
      <c r="X737" s="62"/>
      <c r="Y737" s="62"/>
      <c r="Z737" s="62"/>
      <c r="AA737" s="62"/>
      <c r="AB737" s="63"/>
    </row>
    <row r="738">
      <c r="E738" s="63"/>
      <c r="F738" s="62"/>
      <c r="G738" s="64"/>
      <c r="J738" s="62"/>
      <c r="K738" s="65"/>
      <c r="L738" s="62"/>
      <c r="O738" s="62"/>
      <c r="P738" s="62"/>
      <c r="Q738" s="62"/>
      <c r="R738" s="62"/>
      <c r="S738" s="62"/>
      <c r="T738" s="62"/>
      <c r="U738" s="62"/>
      <c r="V738" s="62"/>
      <c r="X738" s="62"/>
      <c r="Y738" s="62"/>
      <c r="Z738" s="62"/>
      <c r="AA738" s="62"/>
      <c r="AB738" s="63"/>
    </row>
    <row r="739">
      <c r="E739" s="63"/>
      <c r="F739" s="62"/>
      <c r="G739" s="64"/>
      <c r="J739" s="62"/>
      <c r="K739" s="65"/>
      <c r="L739" s="62"/>
      <c r="O739" s="62"/>
      <c r="P739" s="62"/>
      <c r="Q739" s="62"/>
      <c r="R739" s="62"/>
      <c r="S739" s="62"/>
      <c r="T739" s="62"/>
      <c r="U739" s="62"/>
      <c r="V739" s="62"/>
      <c r="X739" s="62"/>
      <c r="Y739" s="62"/>
      <c r="Z739" s="62"/>
      <c r="AA739" s="62"/>
      <c r="AB739" s="63"/>
    </row>
    <row r="740">
      <c r="E740" s="63"/>
      <c r="F740" s="62"/>
      <c r="G740" s="64"/>
      <c r="J740" s="62"/>
      <c r="K740" s="65"/>
      <c r="L740" s="62"/>
      <c r="O740" s="62"/>
      <c r="P740" s="62"/>
      <c r="Q740" s="62"/>
      <c r="R740" s="62"/>
      <c r="S740" s="62"/>
      <c r="T740" s="62"/>
      <c r="U740" s="62"/>
      <c r="V740" s="62"/>
      <c r="X740" s="62"/>
      <c r="Y740" s="62"/>
      <c r="Z740" s="62"/>
      <c r="AA740" s="62"/>
      <c r="AB740" s="63"/>
    </row>
    <row r="741">
      <c r="E741" s="63"/>
      <c r="F741" s="62"/>
      <c r="G741" s="64"/>
      <c r="J741" s="62"/>
      <c r="K741" s="65"/>
      <c r="L741" s="62"/>
      <c r="O741" s="62"/>
      <c r="P741" s="62"/>
      <c r="Q741" s="62"/>
      <c r="R741" s="62"/>
      <c r="S741" s="62"/>
      <c r="T741" s="62"/>
      <c r="U741" s="62"/>
      <c r="V741" s="62"/>
      <c r="X741" s="62"/>
      <c r="Y741" s="62"/>
      <c r="Z741" s="62"/>
      <c r="AA741" s="62"/>
      <c r="AB741" s="63"/>
    </row>
    <row r="742">
      <c r="E742" s="63"/>
      <c r="F742" s="62"/>
      <c r="G742" s="64"/>
      <c r="J742" s="62"/>
      <c r="K742" s="65"/>
      <c r="L742" s="62"/>
      <c r="O742" s="62"/>
      <c r="P742" s="62"/>
      <c r="Q742" s="62"/>
      <c r="R742" s="62"/>
      <c r="S742" s="62"/>
      <c r="T742" s="62"/>
      <c r="U742" s="62"/>
      <c r="V742" s="62"/>
      <c r="X742" s="62"/>
      <c r="Y742" s="62"/>
      <c r="Z742" s="62"/>
      <c r="AA742" s="62"/>
      <c r="AB742" s="63"/>
    </row>
    <row r="743">
      <c r="E743" s="63"/>
      <c r="F743" s="62"/>
      <c r="G743" s="64"/>
      <c r="J743" s="62"/>
      <c r="K743" s="65"/>
      <c r="L743" s="62"/>
      <c r="O743" s="62"/>
      <c r="P743" s="62"/>
      <c r="Q743" s="62"/>
      <c r="R743" s="62"/>
      <c r="S743" s="62"/>
      <c r="T743" s="62"/>
      <c r="U743" s="62"/>
      <c r="V743" s="62"/>
      <c r="X743" s="62"/>
      <c r="Y743" s="62"/>
      <c r="Z743" s="62"/>
      <c r="AA743" s="62"/>
      <c r="AB743" s="63"/>
    </row>
    <row r="744">
      <c r="E744" s="63"/>
      <c r="F744" s="62"/>
      <c r="G744" s="64"/>
      <c r="J744" s="62"/>
      <c r="K744" s="65"/>
      <c r="L744" s="62"/>
      <c r="O744" s="62"/>
      <c r="P744" s="62"/>
      <c r="Q744" s="62"/>
      <c r="R744" s="62"/>
      <c r="S744" s="62"/>
      <c r="T744" s="62"/>
      <c r="U744" s="62"/>
      <c r="V744" s="62"/>
      <c r="X744" s="62"/>
      <c r="Y744" s="62"/>
      <c r="Z744" s="62"/>
      <c r="AA744" s="62"/>
      <c r="AB744" s="63"/>
    </row>
    <row r="745">
      <c r="E745" s="63"/>
      <c r="F745" s="62"/>
      <c r="G745" s="64"/>
      <c r="J745" s="62"/>
      <c r="K745" s="65"/>
      <c r="L745" s="62"/>
      <c r="O745" s="62"/>
      <c r="P745" s="62"/>
      <c r="Q745" s="62"/>
      <c r="R745" s="62"/>
      <c r="S745" s="62"/>
      <c r="T745" s="62"/>
      <c r="U745" s="62"/>
      <c r="V745" s="62"/>
      <c r="X745" s="62"/>
      <c r="Y745" s="62"/>
      <c r="Z745" s="62"/>
      <c r="AA745" s="62"/>
      <c r="AB745" s="63"/>
    </row>
    <row r="746">
      <c r="E746" s="63"/>
      <c r="F746" s="62"/>
      <c r="G746" s="64"/>
      <c r="J746" s="62"/>
      <c r="K746" s="65"/>
      <c r="L746" s="62"/>
      <c r="O746" s="62"/>
      <c r="P746" s="62"/>
      <c r="Q746" s="62"/>
      <c r="R746" s="62"/>
      <c r="S746" s="62"/>
      <c r="T746" s="62"/>
      <c r="U746" s="62"/>
      <c r="V746" s="62"/>
      <c r="X746" s="62"/>
      <c r="Y746" s="62"/>
      <c r="Z746" s="62"/>
      <c r="AA746" s="62"/>
      <c r="AB746" s="63"/>
    </row>
    <row r="747">
      <c r="E747" s="63"/>
      <c r="F747" s="62"/>
      <c r="G747" s="64"/>
      <c r="J747" s="62"/>
      <c r="K747" s="65"/>
      <c r="L747" s="62"/>
      <c r="O747" s="62"/>
      <c r="P747" s="62"/>
      <c r="Q747" s="62"/>
      <c r="R747" s="62"/>
      <c r="S747" s="62"/>
      <c r="T747" s="62"/>
      <c r="U747" s="62"/>
      <c r="V747" s="62"/>
      <c r="X747" s="62"/>
      <c r="Y747" s="62"/>
      <c r="Z747" s="62"/>
      <c r="AA747" s="62"/>
      <c r="AB747" s="63"/>
    </row>
    <row r="748">
      <c r="E748" s="63"/>
      <c r="F748" s="62"/>
      <c r="G748" s="64"/>
      <c r="J748" s="62"/>
      <c r="K748" s="65"/>
      <c r="L748" s="62"/>
      <c r="O748" s="62"/>
      <c r="P748" s="62"/>
      <c r="Q748" s="62"/>
      <c r="R748" s="62"/>
      <c r="S748" s="62"/>
      <c r="T748" s="62"/>
      <c r="U748" s="62"/>
      <c r="V748" s="62"/>
      <c r="X748" s="62"/>
      <c r="Y748" s="62"/>
      <c r="Z748" s="62"/>
      <c r="AA748" s="62"/>
      <c r="AB748" s="63"/>
    </row>
    <row r="749">
      <c r="E749" s="63"/>
      <c r="F749" s="62"/>
      <c r="G749" s="64"/>
      <c r="J749" s="62"/>
      <c r="K749" s="65"/>
      <c r="L749" s="62"/>
      <c r="O749" s="62"/>
      <c r="P749" s="62"/>
      <c r="Q749" s="62"/>
      <c r="R749" s="62"/>
      <c r="S749" s="62"/>
      <c r="T749" s="62"/>
      <c r="U749" s="62"/>
      <c r="V749" s="62"/>
      <c r="X749" s="62"/>
      <c r="Y749" s="62"/>
      <c r="Z749" s="62"/>
      <c r="AA749" s="62"/>
      <c r="AB749" s="63"/>
    </row>
    <row r="750">
      <c r="E750" s="63"/>
      <c r="F750" s="62"/>
      <c r="G750" s="64"/>
      <c r="J750" s="62"/>
      <c r="K750" s="65"/>
      <c r="L750" s="62"/>
      <c r="O750" s="62"/>
      <c r="P750" s="62"/>
      <c r="Q750" s="62"/>
      <c r="R750" s="62"/>
      <c r="S750" s="62"/>
      <c r="T750" s="62"/>
      <c r="U750" s="62"/>
      <c r="V750" s="62"/>
      <c r="X750" s="62"/>
      <c r="Y750" s="62"/>
      <c r="Z750" s="62"/>
      <c r="AA750" s="62"/>
      <c r="AB750" s="63"/>
    </row>
    <row r="751">
      <c r="E751" s="63"/>
      <c r="F751" s="62"/>
      <c r="G751" s="64"/>
      <c r="J751" s="62"/>
      <c r="K751" s="65"/>
      <c r="L751" s="62"/>
      <c r="O751" s="62"/>
      <c r="P751" s="62"/>
      <c r="Q751" s="62"/>
      <c r="R751" s="62"/>
      <c r="S751" s="62"/>
      <c r="T751" s="62"/>
      <c r="U751" s="62"/>
      <c r="V751" s="62"/>
      <c r="X751" s="62"/>
      <c r="Y751" s="62"/>
      <c r="Z751" s="62"/>
      <c r="AA751" s="62"/>
      <c r="AB751" s="63"/>
    </row>
    <row r="752">
      <c r="E752" s="63"/>
      <c r="F752" s="62"/>
      <c r="G752" s="64"/>
      <c r="J752" s="62"/>
      <c r="K752" s="65"/>
      <c r="L752" s="62"/>
      <c r="O752" s="62"/>
      <c r="P752" s="62"/>
      <c r="Q752" s="62"/>
      <c r="R752" s="62"/>
      <c r="S752" s="62"/>
      <c r="T752" s="62"/>
      <c r="U752" s="62"/>
      <c r="V752" s="62"/>
      <c r="X752" s="62"/>
      <c r="Y752" s="62"/>
      <c r="Z752" s="62"/>
      <c r="AA752" s="62"/>
      <c r="AB752" s="63"/>
    </row>
    <row r="753">
      <c r="E753" s="63"/>
      <c r="F753" s="62"/>
      <c r="G753" s="64"/>
      <c r="J753" s="62"/>
      <c r="K753" s="65"/>
      <c r="L753" s="62"/>
      <c r="O753" s="62"/>
      <c r="P753" s="62"/>
      <c r="Q753" s="62"/>
      <c r="R753" s="62"/>
      <c r="S753" s="62"/>
      <c r="T753" s="62"/>
      <c r="U753" s="62"/>
      <c r="V753" s="62"/>
      <c r="X753" s="62"/>
      <c r="Y753" s="62"/>
      <c r="Z753" s="62"/>
      <c r="AA753" s="62"/>
      <c r="AB753" s="63"/>
    </row>
    <row r="754">
      <c r="E754" s="63"/>
      <c r="F754" s="62"/>
      <c r="G754" s="64"/>
      <c r="J754" s="62"/>
      <c r="K754" s="65"/>
      <c r="L754" s="62"/>
      <c r="O754" s="62"/>
      <c r="P754" s="62"/>
      <c r="Q754" s="62"/>
      <c r="R754" s="62"/>
      <c r="S754" s="62"/>
      <c r="T754" s="62"/>
      <c r="U754" s="62"/>
      <c r="V754" s="62"/>
      <c r="X754" s="62"/>
      <c r="Y754" s="62"/>
      <c r="Z754" s="62"/>
      <c r="AA754" s="62"/>
      <c r="AB754" s="63"/>
    </row>
    <row r="755">
      <c r="E755" s="63"/>
      <c r="F755" s="62"/>
      <c r="G755" s="64"/>
      <c r="J755" s="62"/>
      <c r="K755" s="65"/>
      <c r="L755" s="62"/>
      <c r="O755" s="62"/>
      <c r="P755" s="62"/>
      <c r="Q755" s="62"/>
      <c r="R755" s="62"/>
      <c r="S755" s="62"/>
      <c r="T755" s="62"/>
      <c r="U755" s="62"/>
      <c r="V755" s="62"/>
      <c r="X755" s="62"/>
      <c r="Y755" s="62"/>
      <c r="Z755" s="62"/>
      <c r="AA755" s="62"/>
      <c r="AB755" s="63"/>
    </row>
    <row r="756">
      <c r="E756" s="63"/>
      <c r="F756" s="62"/>
      <c r="G756" s="64"/>
      <c r="J756" s="62"/>
      <c r="K756" s="65"/>
      <c r="L756" s="62"/>
      <c r="O756" s="62"/>
      <c r="P756" s="62"/>
      <c r="Q756" s="62"/>
      <c r="R756" s="62"/>
      <c r="S756" s="62"/>
      <c r="T756" s="62"/>
      <c r="U756" s="62"/>
      <c r="V756" s="62"/>
      <c r="X756" s="62"/>
      <c r="Y756" s="62"/>
      <c r="Z756" s="62"/>
      <c r="AA756" s="62"/>
      <c r="AB756" s="63"/>
    </row>
    <row r="757">
      <c r="E757" s="63"/>
      <c r="F757" s="62"/>
      <c r="G757" s="64"/>
      <c r="J757" s="62"/>
      <c r="K757" s="65"/>
      <c r="L757" s="62"/>
      <c r="O757" s="62"/>
      <c r="P757" s="62"/>
      <c r="Q757" s="62"/>
      <c r="R757" s="62"/>
      <c r="S757" s="62"/>
      <c r="T757" s="62"/>
      <c r="U757" s="62"/>
      <c r="V757" s="62"/>
      <c r="X757" s="62"/>
      <c r="Y757" s="62"/>
      <c r="Z757" s="62"/>
      <c r="AA757" s="62"/>
      <c r="AB757" s="63"/>
    </row>
    <row r="758">
      <c r="E758" s="63"/>
      <c r="F758" s="62"/>
      <c r="G758" s="64"/>
      <c r="J758" s="62"/>
      <c r="K758" s="65"/>
      <c r="L758" s="62"/>
      <c r="O758" s="62"/>
      <c r="P758" s="62"/>
      <c r="Q758" s="62"/>
      <c r="R758" s="62"/>
      <c r="S758" s="62"/>
      <c r="T758" s="62"/>
      <c r="U758" s="62"/>
      <c r="V758" s="62"/>
      <c r="X758" s="62"/>
      <c r="Y758" s="62"/>
      <c r="Z758" s="62"/>
      <c r="AA758" s="62"/>
      <c r="AB758" s="63"/>
    </row>
    <row r="759">
      <c r="E759" s="63"/>
      <c r="F759" s="62"/>
      <c r="G759" s="64"/>
      <c r="J759" s="62"/>
      <c r="K759" s="65"/>
      <c r="L759" s="62"/>
      <c r="O759" s="62"/>
      <c r="P759" s="62"/>
      <c r="Q759" s="62"/>
      <c r="R759" s="62"/>
      <c r="S759" s="62"/>
      <c r="T759" s="62"/>
      <c r="U759" s="62"/>
      <c r="V759" s="62"/>
      <c r="X759" s="62"/>
      <c r="Y759" s="62"/>
      <c r="Z759" s="62"/>
      <c r="AA759" s="62"/>
      <c r="AB759" s="63"/>
    </row>
    <row r="760">
      <c r="E760" s="63"/>
      <c r="F760" s="62"/>
      <c r="G760" s="64"/>
      <c r="J760" s="62"/>
      <c r="K760" s="65"/>
      <c r="L760" s="62"/>
      <c r="O760" s="62"/>
      <c r="P760" s="62"/>
      <c r="Q760" s="62"/>
      <c r="R760" s="62"/>
      <c r="S760" s="62"/>
      <c r="T760" s="62"/>
      <c r="U760" s="62"/>
      <c r="V760" s="62"/>
      <c r="X760" s="62"/>
      <c r="Y760" s="62"/>
      <c r="Z760" s="62"/>
      <c r="AA760" s="62"/>
      <c r="AB760" s="63"/>
    </row>
    <row r="761">
      <c r="E761" s="63"/>
      <c r="F761" s="62"/>
      <c r="G761" s="64"/>
      <c r="J761" s="62"/>
      <c r="K761" s="65"/>
      <c r="L761" s="62"/>
      <c r="O761" s="62"/>
      <c r="P761" s="62"/>
      <c r="Q761" s="62"/>
      <c r="R761" s="62"/>
      <c r="S761" s="62"/>
      <c r="T761" s="62"/>
      <c r="U761" s="62"/>
      <c r="V761" s="62"/>
      <c r="X761" s="62"/>
      <c r="Y761" s="62"/>
      <c r="Z761" s="62"/>
      <c r="AA761" s="62"/>
      <c r="AB761" s="63"/>
    </row>
    <row r="762">
      <c r="E762" s="63"/>
      <c r="F762" s="62"/>
      <c r="G762" s="64"/>
      <c r="J762" s="62"/>
      <c r="K762" s="65"/>
      <c r="L762" s="62"/>
      <c r="O762" s="62"/>
      <c r="P762" s="62"/>
      <c r="Q762" s="62"/>
      <c r="R762" s="62"/>
      <c r="S762" s="62"/>
      <c r="T762" s="62"/>
      <c r="U762" s="62"/>
      <c r="V762" s="62"/>
      <c r="X762" s="62"/>
      <c r="Y762" s="62"/>
      <c r="Z762" s="62"/>
      <c r="AA762" s="62"/>
      <c r="AB762" s="63"/>
    </row>
    <row r="763">
      <c r="E763" s="63"/>
      <c r="F763" s="62"/>
      <c r="G763" s="64"/>
      <c r="J763" s="62"/>
      <c r="K763" s="65"/>
      <c r="L763" s="62"/>
      <c r="O763" s="62"/>
      <c r="P763" s="62"/>
      <c r="Q763" s="62"/>
      <c r="R763" s="62"/>
      <c r="S763" s="62"/>
      <c r="T763" s="62"/>
      <c r="U763" s="62"/>
      <c r="V763" s="62"/>
      <c r="X763" s="62"/>
      <c r="Y763" s="62"/>
      <c r="Z763" s="62"/>
      <c r="AA763" s="62"/>
      <c r="AB763" s="63"/>
    </row>
    <row r="764">
      <c r="E764" s="63"/>
      <c r="F764" s="62"/>
      <c r="G764" s="64"/>
      <c r="J764" s="62"/>
      <c r="K764" s="65"/>
      <c r="L764" s="62"/>
      <c r="O764" s="62"/>
      <c r="P764" s="62"/>
      <c r="Q764" s="62"/>
      <c r="R764" s="62"/>
      <c r="S764" s="62"/>
      <c r="T764" s="62"/>
      <c r="U764" s="62"/>
      <c r="V764" s="62"/>
      <c r="X764" s="62"/>
      <c r="Y764" s="62"/>
      <c r="Z764" s="62"/>
      <c r="AA764" s="62"/>
      <c r="AB764" s="63"/>
    </row>
    <row r="765">
      <c r="E765" s="63"/>
      <c r="F765" s="62"/>
      <c r="G765" s="64"/>
      <c r="J765" s="62"/>
      <c r="K765" s="65"/>
      <c r="L765" s="62"/>
      <c r="O765" s="62"/>
      <c r="P765" s="62"/>
      <c r="Q765" s="62"/>
      <c r="R765" s="62"/>
      <c r="S765" s="62"/>
      <c r="T765" s="62"/>
      <c r="U765" s="62"/>
      <c r="V765" s="62"/>
      <c r="X765" s="62"/>
      <c r="Y765" s="62"/>
      <c r="Z765" s="62"/>
      <c r="AA765" s="62"/>
      <c r="AB765" s="63"/>
    </row>
    <row r="766">
      <c r="E766" s="63"/>
      <c r="F766" s="62"/>
      <c r="G766" s="64"/>
      <c r="J766" s="62"/>
      <c r="K766" s="65"/>
      <c r="L766" s="62"/>
      <c r="O766" s="62"/>
      <c r="P766" s="62"/>
      <c r="Q766" s="62"/>
      <c r="R766" s="62"/>
      <c r="S766" s="62"/>
      <c r="T766" s="62"/>
      <c r="U766" s="62"/>
      <c r="V766" s="62"/>
      <c r="X766" s="62"/>
      <c r="Y766" s="62"/>
      <c r="Z766" s="62"/>
      <c r="AA766" s="62"/>
      <c r="AB766" s="63"/>
    </row>
    <row r="767">
      <c r="E767" s="63"/>
      <c r="F767" s="62"/>
      <c r="G767" s="64"/>
      <c r="J767" s="62"/>
      <c r="K767" s="65"/>
      <c r="L767" s="62"/>
      <c r="O767" s="62"/>
      <c r="P767" s="62"/>
      <c r="Q767" s="62"/>
      <c r="R767" s="62"/>
      <c r="S767" s="62"/>
      <c r="T767" s="62"/>
      <c r="U767" s="62"/>
      <c r="V767" s="62"/>
      <c r="X767" s="62"/>
      <c r="Y767" s="62"/>
      <c r="Z767" s="62"/>
      <c r="AA767" s="62"/>
      <c r="AB767" s="63"/>
    </row>
    <row r="768">
      <c r="E768" s="63"/>
      <c r="F768" s="62"/>
      <c r="G768" s="64"/>
      <c r="J768" s="62"/>
      <c r="K768" s="65"/>
      <c r="L768" s="62"/>
      <c r="O768" s="62"/>
      <c r="P768" s="62"/>
      <c r="Q768" s="62"/>
      <c r="R768" s="62"/>
      <c r="S768" s="62"/>
      <c r="T768" s="62"/>
      <c r="U768" s="62"/>
      <c r="V768" s="62"/>
      <c r="X768" s="62"/>
      <c r="Y768" s="62"/>
      <c r="Z768" s="62"/>
      <c r="AA768" s="62"/>
      <c r="AB768" s="63"/>
    </row>
    <row r="769">
      <c r="E769" s="63"/>
      <c r="F769" s="62"/>
      <c r="G769" s="64"/>
      <c r="J769" s="62"/>
      <c r="K769" s="65"/>
      <c r="L769" s="62"/>
      <c r="O769" s="62"/>
      <c r="P769" s="62"/>
      <c r="Q769" s="62"/>
      <c r="R769" s="62"/>
      <c r="S769" s="62"/>
      <c r="T769" s="62"/>
      <c r="U769" s="62"/>
      <c r="V769" s="62"/>
      <c r="X769" s="62"/>
      <c r="Y769" s="62"/>
      <c r="Z769" s="62"/>
      <c r="AA769" s="62"/>
      <c r="AB769" s="63"/>
    </row>
    <row r="770">
      <c r="E770" s="63"/>
      <c r="F770" s="62"/>
      <c r="G770" s="64"/>
      <c r="J770" s="62"/>
      <c r="K770" s="65"/>
      <c r="L770" s="62"/>
      <c r="O770" s="62"/>
      <c r="P770" s="62"/>
      <c r="Q770" s="62"/>
      <c r="R770" s="62"/>
      <c r="S770" s="62"/>
      <c r="T770" s="62"/>
      <c r="U770" s="62"/>
      <c r="V770" s="62"/>
      <c r="X770" s="62"/>
      <c r="Y770" s="62"/>
      <c r="Z770" s="62"/>
      <c r="AA770" s="62"/>
      <c r="AB770" s="63"/>
    </row>
    <row r="771">
      <c r="E771" s="63"/>
      <c r="F771" s="62"/>
      <c r="G771" s="64"/>
      <c r="J771" s="62"/>
      <c r="K771" s="65"/>
      <c r="L771" s="62"/>
      <c r="O771" s="62"/>
      <c r="P771" s="62"/>
      <c r="Q771" s="62"/>
      <c r="R771" s="62"/>
      <c r="S771" s="62"/>
      <c r="T771" s="62"/>
      <c r="U771" s="62"/>
      <c r="V771" s="62"/>
      <c r="X771" s="62"/>
      <c r="Y771" s="62"/>
      <c r="Z771" s="62"/>
      <c r="AA771" s="62"/>
      <c r="AB771" s="63"/>
    </row>
    <row r="772">
      <c r="E772" s="63"/>
      <c r="F772" s="62"/>
      <c r="G772" s="64"/>
      <c r="J772" s="62"/>
      <c r="K772" s="65"/>
      <c r="L772" s="62"/>
      <c r="O772" s="62"/>
      <c r="P772" s="62"/>
      <c r="Q772" s="62"/>
      <c r="R772" s="62"/>
      <c r="S772" s="62"/>
      <c r="T772" s="62"/>
      <c r="U772" s="62"/>
      <c r="V772" s="62"/>
      <c r="X772" s="62"/>
      <c r="Y772" s="62"/>
      <c r="Z772" s="62"/>
      <c r="AA772" s="62"/>
      <c r="AB772" s="63"/>
    </row>
    <row r="773">
      <c r="E773" s="63"/>
      <c r="F773" s="62"/>
      <c r="G773" s="64"/>
      <c r="J773" s="62"/>
      <c r="K773" s="65"/>
      <c r="L773" s="62"/>
      <c r="O773" s="62"/>
      <c r="P773" s="62"/>
      <c r="Q773" s="62"/>
      <c r="R773" s="62"/>
      <c r="S773" s="62"/>
      <c r="T773" s="62"/>
      <c r="U773" s="62"/>
      <c r="V773" s="62"/>
      <c r="X773" s="62"/>
      <c r="Y773" s="62"/>
      <c r="Z773" s="62"/>
      <c r="AA773" s="62"/>
      <c r="AB773" s="63"/>
    </row>
    <row r="774">
      <c r="E774" s="63"/>
      <c r="F774" s="62"/>
      <c r="G774" s="64"/>
      <c r="J774" s="62"/>
      <c r="K774" s="65"/>
      <c r="L774" s="62"/>
      <c r="O774" s="62"/>
      <c r="P774" s="62"/>
      <c r="Q774" s="62"/>
      <c r="R774" s="62"/>
      <c r="S774" s="62"/>
      <c r="T774" s="62"/>
      <c r="U774" s="62"/>
      <c r="V774" s="62"/>
      <c r="X774" s="62"/>
      <c r="Y774" s="62"/>
      <c r="Z774" s="62"/>
      <c r="AA774" s="62"/>
      <c r="AB774" s="63"/>
    </row>
    <row r="775">
      <c r="E775" s="63"/>
      <c r="F775" s="62"/>
      <c r="G775" s="64"/>
      <c r="J775" s="62"/>
      <c r="K775" s="65"/>
      <c r="L775" s="62"/>
      <c r="O775" s="62"/>
      <c r="P775" s="62"/>
      <c r="Q775" s="62"/>
      <c r="R775" s="62"/>
      <c r="S775" s="62"/>
      <c r="T775" s="62"/>
      <c r="U775" s="62"/>
      <c r="V775" s="62"/>
      <c r="X775" s="62"/>
      <c r="Y775" s="62"/>
      <c r="Z775" s="62"/>
      <c r="AA775" s="62"/>
      <c r="AB775" s="63"/>
    </row>
    <row r="776">
      <c r="E776" s="63"/>
      <c r="F776" s="62"/>
      <c r="G776" s="64"/>
      <c r="J776" s="62"/>
      <c r="K776" s="65"/>
      <c r="L776" s="62"/>
      <c r="O776" s="62"/>
      <c r="P776" s="62"/>
      <c r="Q776" s="62"/>
      <c r="R776" s="62"/>
      <c r="S776" s="62"/>
      <c r="T776" s="62"/>
      <c r="U776" s="62"/>
      <c r="V776" s="62"/>
      <c r="X776" s="62"/>
      <c r="Y776" s="62"/>
      <c r="Z776" s="62"/>
      <c r="AA776" s="62"/>
      <c r="AB776" s="63"/>
    </row>
    <row r="777">
      <c r="E777" s="63"/>
      <c r="F777" s="62"/>
      <c r="G777" s="64"/>
      <c r="J777" s="62"/>
      <c r="K777" s="65"/>
      <c r="L777" s="62"/>
      <c r="O777" s="62"/>
      <c r="P777" s="62"/>
      <c r="Q777" s="62"/>
      <c r="R777" s="62"/>
      <c r="S777" s="62"/>
      <c r="T777" s="62"/>
      <c r="U777" s="62"/>
      <c r="V777" s="62"/>
      <c r="X777" s="62"/>
      <c r="Y777" s="62"/>
      <c r="Z777" s="62"/>
      <c r="AA777" s="62"/>
      <c r="AB777" s="63"/>
    </row>
    <row r="778">
      <c r="E778" s="63"/>
      <c r="F778" s="62"/>
      <c r="G778" s="64"/>
      <c r="J778" s="62"/>
      <c r="K778" s="65"/>
      <c r="L778" s="62"/>
      <c r="O778" s="62"/>
      <c r="P778" s="62"/>
      <c r="Q778" s="62"/>
      <c r="R778" s="62"/>
      <c r="S778" s="62"/>
      <c r="T778" s="62"/>
      <c r="U778" s="62"/>
      <c r="V778" s="62"/>
      <c r="X778" s="62"/>
      <c r="Y778" s="62"/>
      <c r="Z778" s="62"/>
      <c r="AA778" s="62"/>
      <c r="AB778" s="63"/>
    </row>
    <row r="779">
      <c r="E779" s="63"/>
      <c r="F779" s="62"/>
      <c r="G779" s="64"/>
      <c r="J779" s="62"/>
      <c r="K779" s="65"/>
      <c r="L779" s="62"/>
      <c r="O779" s="62"/>
      <c r="P779" s="62"/>
      <c r="Q779" s="62"/>
      <c r="R779" s="62"/>
      <c r="S779" s="62"/>
      <c r="T779" s="62"/>
      <c r="U779" s="62"/>
      <c r="V779" s="62"/>
      <c r="X779" s="62"/>
      <c r="Y779" s="62"/>
      <c r="Z779" s="62"/>
      <c r="AA779" s="62"/>
      <c r="AB779" s="63"/>
    </row>
    <row r="780">
      <c r="E780" s="63"/>
      <c r="F780" s="62"/>
      <c r="G780" s="64"/>
      <c r="J780" s="62"/>
      <c r="K780" s="65"/>
      <c r="L780" s="62"/>
      <c r="O780" s="62"/>
      <c r="P780" s="62"/>
      <c r="Q780" s="62"/>
      <c r="R780" s="62"/>
      <c r="S780" s="62"/>
      <c r="T780" s="62"/>
      <c r="U780" s="62"/>
      <c r="V780" s="62"/>
      <c r="X780" s="62"/>
      <c r="Y780" s="62"/>
      <c r="Z780" s="62"/>
      <c r="AA780" s="62"/>
      <c r="AB780" s="63"/>
    </row>
    <row r="781">
      <c r="E781" s="63"/>
      <c r="F781" s="62"/>
      <c r="G781" s="64"/>
      <c r="J781" s="62"/>
      <c r="K781" s="65"/>
      <c r="L781" s="62"/>
      <c r="O781" s="62"/>
      <c r="P781" s="62"/>
      <c r="Q781" s="62"/>
      <c r="R781" s="62"/>
      <c r="S781" s="62"/>
      <c r="T781" s="62"/>
      <c r="U781" s="62"/>
      <c r="V781" s="62"/>
      <c r="X781" s="62"/>
      <c r="Y781" s="62"/>
      <c r="Z781" s="62"/>
      <c r="AA781" s="62"/>
      <c r="AB781" s="63"/>
    </row>
    <row r="782">
      <c r="E782" s="63"/>
      <c r="F782" s="62"/>
      <c r="G782" s="64"/>
      <c r="J782" s="62"/>
      <c r="K782" s="65"/>
      <c r="L782" s="62"/>
      <c r="O782" s="62"/>
      <c r="P782" s="62"/>
      <c r="Q782" s="62"/>
      <c r="R782" s="62"/>
      <c r="S782" s="62"/>
      <c r="T782" s="62"/>
      <c r="U782" s="62"/>
      <c r="V782" s="62"/>
      <c r="X782" s="62"/>
      <c r="Y782" s="62"/>
      <c r="Z782" s="62"/>
      <c r="AA782" s="62"/>
      <c r="AB782" s="63"/>
    </row>
    <row r="783">
      <c r="E783" s="63"/>
      <c r="F783" s="62"/>
      <c r="G783" s="64"/>
      <c r="J783" s="62"/>
      <c r="K783" s="65"/>
      <c r="L783" s="62"/>
      <c r="O783" s="62"/>
      <c r="P783" s="62"/>
      <c r="Q783" s="62"/>
      <c r="R783" s="62"/>
      <c r="S783" s="62"/>
      <c r="T783" s="62"/>
      <c r="U783" s="62"/>
      <c r="V783" s="62"/>
      <c r="X783" s="62"/>
      <c r="Y783" s="62"/>
      <c r="Z783" s="62"/>
      <c r="AA783" s="62"/>
      <c r="AB783" s="63"/>
    </row>
    <row r="784">
      <c r="E784" s="63"/>
      <c r="F784" s="62"/>
      <c r="G784" s="64"/>
      <c r="J784" s="62"/>
      <c r="K784" s="65"/>
      <c r="L784" s="62"/>
      <c r="O784" s="62"/>
      <c r="P784" s="62"/>
      <c r="Q784" s="62"/>
      <c r="R784" s="62"/>
      <c r="S784" s="62"/>
      <c r="T784" s="62"/>
      <c r="U784" s="62"/>
      <c r="V784" s="62"/>
      <c r="X784" s="62"/>
      <c r="Y784" s="62"/>
      <c r="Z784" s="62"/>
      <c r="AA784" s="62"/>
      <c r="AB784" s="63"/>
    </row>
    <row r="785">
      <c r="E785" s="63"/>
      <c r="F785" s="62"/>
      <c r="G785" s="64"/>
      <c r="J785" s="62"/>
      <c r="K785" s="65"/>
      <c r="L785" s="62"/>
      <c r="O785" s="62"/>
      <c r="P785" s="62"/>
      <c r="Q785" s="62"/>
      <c r="R785" s="62"/>
      <c r="S785" s="62"/>
      <c r="T785" s="62"/>
      <c r="U785" s="62"/>
      <c r="V785" s="62"/>
      <c r="X785" s="62"/>
      <c r="Y785" s="62"/>
      <c r="Z785" s="62"/>
      <c r="AA785" s="62"/>
      <c r="AB785" s="63"/>
    </row>
    <row r="786">
      <c r="E786" s="63"/>
      <c r="F786" s="62"/>
      <c r="G786" s="64"/>
      <c r="J786" s="62"/>
      <c r="K786" s="65"/>
      <c r="L786" s="62"/>
      <c r="O786" s="62"/>
      <c r="P786" s="62"/>
      <c r="Q786" s="62"/>
      <c r="R786" s="62"/>
      <c r="S786" s="62"/>
      <c r="T786" s="62"/>
      <c r="U786" s="62"/>
      <c r="V786" s="62"/>
      <c r="X786" s="62"/>
      <c r="Y786" s="62"/>
      <c r="Z786" s="62"/>
      <c r="AA786" s="62"/>
      <c r="AB786" s="63"/>
    </row>
    <row r="787">
      <c r="E787" s="63"/>
      <c r="F787" s="62"/>
      <c r="G787" s="64"/>
      <c r="J787" s="62"/>
      <c r="K787" s="65"/>
      <c r="L787" s="62"/>
      <c r="O787" s="62"/>
      <c r="P787" s="62"/>
      <c r="Q787" s="62"/>
      <c r="R787" s="62"/>
      <c r="S787" s="62"/>
      <c r="T787" s="62"/>
      <c r="U787" s="62"/>
      <c r="V787" s="62"/>
      <c r="X787" s="62"/>
      <c r="Y787" s="62"/>
      <c r="Z787" s="62"/>
      <c r="AA787" s="62"/>
      <c r="AB787" s="63"/>
    </row>
    <row r="788">
      <c r="E788" s="63"/>
      <c r="F788" s="62"/>
      <c r="G788" s="64"/>
      <c r="J788" s="62"/>
      <c r="K788" s="65"/>
      <c r="L788" s="62"/>
      <c r="O788" s="62"/>
      <c r="P788" s="62"/>
      <c r="Q788" s="62"/>
      <c r="R788" s="62"/>
      <c r="S788" s="62"/>
      <c r="T788" s="62"/>
      <c r="U788" s="62"/>
      <c r="V788" s="62"/>
      <c r="X788" s="62"/>
      <c r="Y788" s="62"/>
      <c r="Z788" s="62"/>
      <c r="AA788" s="62"/>
      <c r="AB788" s="63"/>
    </row>
    <row r="789">
      <c r="E789" s="63"/>
      <c r="F789" s="62"/>
      <c r="G789" s="64"/>
      <c r="J789" s="62"/>
      <c r="K789" s="65"/>
      <c r="L789" s="62"/>
      <c r="O789" s="62"/>
      <c r="P789" s="62"/>
      <c r="Q789" s="62"/>
      <c r="R789" s="62"/>
      <c r="S789" s="62"/>
      <c r="T789" s="62"/>
      <c r="U789" s="62"/>
      <c r="V789" s="62"/>
      <c r="X789" s="62"/>
      <c r="Y789" s="62"/>
      <c r="Z789" s="62"/>
      <c r="AA789" s="62"/>
      <c r="AB789" s="63"/>
    </row>
    <row r="790">
      <c r="E790" s="63"/>
      <c r="F790" s="62"/>
      <c r="G790" s="64"/>
      <c r="J790" s="62"/>
      <c r="K790" s="65"/>
      <c r="L790" s="62"/>
      <c r="O790" s="62"/>
      <c r="P790" s="62"/>
      <c r="Q790" s="62"/>
      <c r="R790" s="62"/>
      <c r="S790" s="62"/>
      <c r="T790" s="62"/>
      <c r="U790" s="62"/>
      <c r="V790" s="62"/>
      <c r="X790" s="62"/>
      <c r="Y790" s="62"/>
      <c r="Z790" s="62"/>
      <c r="AA790" s="62"/>
      <c r="AB790" s="63"/>
    </row>
    <row r="791">
      <c r="E791" s="63"/>
      <c r="F791" s="62"/>
      <c r="G791" s="64"/>
      <c r="J791" s="62"/>
      <c r="K791" s="65"/>
      <c r="L791" s="62"/>
      <c r="O791" s="62"/>
      <c r="P791" s="62"/>
      <c r="Q791" s="62"/>
      <c r="R791" s="62"/>
      <c r="S791" s="62"/>
      <c r="T791" s="62"/>
      <c r="U791" s="62"/>
      <c r="V791" s="62"/>
      <c r="X791" s="62"/>
      <c r="Y791" s="62"/>
      <c r="Z791" s="62"/>
      <c r="AA791" s="62"/>
      <c r="AB791" s="63"/>
    </row>
    <row r="792">
      <c r="E792" s="63"/>
      <c r="F792" s="62"/>
      <c r="G792" s="64"/>
      <c r="J792" s="62"/>
      <c r="K792" s="65"/>
      <c r="L792" s="62"/>
      <c r="O792" s="62"/>
      <c r="P792" s="62"/>
      <c r="Q792" s="62"/>
      <c r="R792" s="62"/>
      <c r="S792" s="62"/>
      <c r="T792" s="62"/>
      <c r="U792" s="62"/>
      <c r="V792" s="62"/>
      <c r="X792" s="62"/>
      <c r="Y792" s="62"/>
      <c r="Z792" s="62"/>
      <c r="AA792" s="62"/>
      <c r="AB792" s="63"/>
    </row>
    <row r="793">
      <c r="E793" s="63"/>
      <c r="F793" s="62"/>
      <c r="G793" s="64"/>
      <c r="J793" s="62"/>
      <c r="K793" s="65"/>
      <c r="L793" s="62"/>
      <c r="O793" s="62"/>
      <c r="P793" s="62"/>
      <c r="Q793" s="62"/>
      <c r="R793" s="62"/>
      <c r="S793" s="62"/>
      <c r="T793" s="62"/>
      <c r="U793" s="62"/>
      <c r="V793" s="62"/>
      <c r="X793" s="62"/>
      <c r="Y793" s="62"/>
      <c r="Z793" s="62"/>
      <c r="AA793" s="62"/>
      <c r="AB793" s="63"/>
    </row>
    <row r="794">
      <c r="E794" s="63"/>
      <c r="F794" s="62"/>
      <c r="G794" s="64"/>
      <c r="J794" s="62"/>
      <c r="K794" s="65"/>
      <c r="L794" s="62"/>
      <c r="O794" s="62"/>
      <c r="P794" s="62"/>
      <c r="Q794" s="62"/>
      <c r="R794" s="62"/>
      <c r="S794" s="62"/>
      <c r="T794" s="62"/>
      <c r="U794" s="62"/>
      <c r="V794" s="62"/>
      <c r="X794" s="62"/>
      <c r="Y794" s="62"/>
      <c r="Z794" s="62"/>
      <c r="AA794" s="62"/>
      <c r="AB794" s="63"/>
    </row>
    <row r="795">
      <c r="E795" s="63"/>
      <c r="F795" s="62"/>
      <c r="G795" s="64"/>
      <c r="J795" s="62"/>
      <c r="K795" s="65"/>
      <c r="L795" s="62"/>
      <c r="O795" s="62"/>
      <c r="P795" s="62"/>
      <c r="Q795" s="62"/>
      <c r="R795" s="62"/>
      <c r="S795" s="62"/>
      <c r="T795" s="62"/>
      <c r="U795" s="62"/>
      <c r="V795" s="62"/>
      <c r="X795" s="62"/>
      <c r="Y795" s="62"/>
      <c r="Z795" s="62"/>
      <c r="AA795" s="62"/>
      <c r="AB795" s="63"/>
    </row>
    <row r="796">
      <c r="E796" s="63"/>
      <c r="F796" s="62"/>
      <c r="G796" s="64"/>
      <c r="J796" s="62"/>
      <c r="K796" s="65"/>
      <c r="L796" s="62"/>
      <c r="O796" s="62"/>
      <c r="P796" s="62"/>
      <c r="Q796" s="62"/>
      <c r="R796" s="62"/>
      <c r="S796" s="62"/>
      <c r="T796" s="62"/>
      <c r="U796" s="62"/>
      <c r="V796" s="62"/>
      <c r="X796" s="62"/>
      <c r="Y796" s="62"/>
      <c r="Z796" s="62"/>
      <c r="AA796" s="62"/>
      <c r="AB796" s="63"/>
    </row>
    <row r="797">
      <c r="E797" s="63"/>
      <c r="F797" s="62"/>
      <c r="G797" s="64"/>
      <c r="J797" s="62"/>
      <c r="K797" s="65"/>
      <c r="L797" s="62"/>
      <c r="O797" s="62"/>
      <c r="P797" s="62"/>
      <c r="Q797" s="62"/>
      <c r="R797" s="62"/>
      <c r="S797" s="62"/>
      <c r="T797" s="62"/>
      <c r="U797" s="62"/>
      <c r="V797" s="62"/>
      <c r="X797" s="62"/>
      <c r="Y797" s="62"/>
      <c r="Z797" s="62"/>
      <c r="AA797" s="62"/>
      <c r="AB797" s="63"/>
    </row>
    <row r="798">
      <c r="E798" s="63"/>
      <c r="F798" s="62"/>
      <c r="G798" s="64"/>
      <c r="J798" s="62"/>
      <c r="K798" s="65"/>
      <c r="L798" s="62"/>
      <c r="O798" s="62"/>
      <c r="P798" s="62"/>
      <c r="Q798" s="62"/>
      <c r="R798" s="62"/>
      <c r="S798" s="62"/>
      <c r="T798" s="62"/>
      <c r="U798" s="62"/>
      <c r="V798" s="62"/>
      <c r="X798" s="62"/>
      <c r="Y798" s="62"/>
      <c r="Z798" s="62"/>
      <c r="AA798" s="62"/>
      <c r="AB798" s="63"/>
    </row>
    <row r="799">
      <c r="E799" s="63"/>
      <c r="F799" s="62"/>
      <c r="G799" s="64"/>
      <c r="J799" s="62"/>
      <c r="K799" s="65"/>
      <c r="L799" s="62"/>
      <c r="O799" s="62"/>
      <c r="P799" s="62"/>
      <c r="Q799" s="62"/>
      <c r="R799" s="62"/>
      <c r="S799" s="62"/>
      <c r="T799" s="62"/>
      <c r="U799" s="62"/>
      <c r="V799" s="62"/>
      <c r="X799" s="62"/>
      <c r="Y799" s="62"/>
      <c r="Z799" s="62"/>
      <c r="AA799" s="62"/>
      <c r="AB799" s="63"/>
    </row>
    <row r="800">
      <c r="E800" s="63"/>
      <c r="F800" s="62"/>
      <c r="G800" s="64"/>
      <c r="J800" s="62"/>
      <c r="K800" s="65"/>
      <c r="L800" s="62"/>
      <c r="O800" s="62"/>
      <c r="P800" s="62"/>
      <c r="Q800" s="62"/>
      <c r="R800" s="62"/>
      <c r="S800" s="62"/>
      <c r="T800" s="62"/>
      <c r="U800" s="62"/>
      <c r="V800" s="62"/>
      <c r="X800" s="62"/>
      <c r="Y800" s="62"/>
      <c r="Z800" s="62"/>
      <c r="AA800" s="62"/>
      <c r="AB800" s="63"/>
    </row>
    <row r="801">
      <c r="E801" s="63"/>
      <c r="F801" s="62"/>
      <c r="G801" s="64"/>
      <c r="J801" s="62"/>
      <c r="K801" s="65"/>
      <c r="L801" s="62"/>
      <c r="O801" s="62"/>
      <c r="P801" s="62"/>
      <c r="Q801" s="62"/>
      <c r="R801" s="62"/>
      <c r="S801" s="62"/>
      <c r="T801" s="62"/>
      <c r="U801" s="62"/>
      <c r="V801" s="62"/>
      <c r="X801" s="62"/>
      <c r="Y801" s="62"/>
      <c r="Z801" s="62"/>
      <c r="AA801" s="62"/>
      <c r="AB801" s="63"/>
    </row>
    <row r="802">
      <c r="E802" s="63"/>
      <c r="F802" s="62"/>
      <c r="G802" s="64"/>
      <c r="J802" s="62"/>
      <c r="K802" s="65"/>
      <c r="L802" s="62"/>
      <c r="O802" s="62"/>
      <c r="P802" s="62"/>
      <c r="Q802" s="62"/>
      <c r="R802" s="62"/>
      <c r="S802" s="62"/>
      <c r="T802" s="62"/>
      <c r="U802" s="62"/>
      <c r="V802" s="62"/>
      <c r="X802" s="62"/>
      <c r="Y802" s="62"/>
      <c r="Z802" s="62"/>
      <c r="AA802" s="62"/>
      <c r="AB802" s="63"/>
    </row>
    <row r="803">
      <c r="E803" s="63"/>
      <c r="F803" s="62"/>
      <c r="G803" s="64"/>
      <c r="J803" s="62"/>
      <c r="K803" s="65"/>
      <c r="L803" s="62"/>
      <c r="O803" s="62"/>
      <c r="P803" s="62"/>
      <c r="Q803" s="62"/>
      <c r="R803" s="62"/>
      <c r="S803" s="62"/>
      <c r="T803" s="62"/>
      <c r="U803" s="62"/>
      <c r="V803" s="62"/>
      <c r="X803" s="62"/>
      <c r="Y803" s="62"/>
      <c r="Z803" s="62"/>
      <c r="AA803" s="62"/>
      <c r="AB803" s="63"/>
    </row>
    <row r="804">
      <c r="E804" s="63"/>
      <c r="F804" s="62"/>
      <c r="G804" s="64"/>
      <c r="J804" s="62"/>
      <c r="K804" s="65"/>
      <c r="L804" s="62"/>
      <c r="O804" s="62"/>
      <c r="P804" s="62"/>
      <c r="Q804" s="62"/>
      <c r="R804" s="62"/>
      <c r="S804" s="62"/>
      <c r="T804" s="62"/>
      <c r="U804" s="62"/>
      <c r="V804" s="62"/>
      <c r="X804" s="62"/>
      <c r="Y804" s="62"/>
      <c r="Z804" s="62"/>
      <c r="AA804" s="62"/>
      <c r="AB804" s="63"/>
    </row>
    <row r="805">
      <c r="E805" s="63"/>
      <c r="F805" s="62"/>
      <c r="G805" s="64"/>
      <c r="J805" s="62"/>
      <c r="K805" s="65"/>
      <c r="L805" s="62"/>
      <c r="O805" s="62"/>
      <c r="P805" s="62"/>
      <c r="Q805" s="62"/>
      <c r="R805" s="62"/>
      <c r="S805" s="62"/>
      <c r="T805" s="62"/>
      <c r="U805" s="62"/>
      <c r="V805" s="62"/>
      <c r="X805" s="62"/>
      <c r="Y805" s="62"/>
      <c r="Z805" s="62"/>
      <c r="AA805" s="62"/>
      <c r="AB805" s="63"/>
    </row>
    <row r="806">
      <c r="E806" s="63"/>
      <c r="F806" s="62"/>
      <c r="G806" s="64"/>
      <c r="J806" s="62"/>
      <c r="K806" s="65"/>
      <c r="L806" s="62"/>
      <c r="O806" s="62"/>
      <c r="P806" s="62"/>
      <c r="Q806" s="62"/>
      <c r="R806" s="62"/>
      <c r="S806" s="62"/>
      <c r="T806" s="62"/>
      <c r="U806" s="62"/>
      <c r="V806" s="62"/>
      <c r="X806" s="62"/>
      <c r="Y806" s="62"/>
      <c r="Z806" s="62"/>
      <c r="AA806" s="62"/>
      <c r="AB806" s="63"/>
    </row>
    <row r="807">
      <c r="E807" s="63"/>
      <c r="F807" s="62"/>
      <c r="G807" s="64"/>
      <c r="J807" s="62"/>
      <c r="K807" s="65"/>
      <c r="L807" s="62"/>
      <c r="O807" s="62"/>
      <c r="P807" s="62"/>
      <c r="Q807" s="62"/>
      <c r="R807" s="62"/>
      <c r="S807" s="62"/>
      <c r="T807" s="62"/>
      <c r="U807" s="62"/>
      <c r="V807" s="62"/>
      <c r="X807" s="62"/>
      <c r="Y807" s="62"/>
      <c r="Z807" s="62"/>
      <c r="AA807" s="62"/>
      <c r="AB807" s="63"/>
    </row>
    <row r="808">
      <c r="E808" s="63"/>
      <c r="F808" s="62"/>
      <c r="G808" s="64"/>
      <c r="J808" s="62"/>
      <c r="K808" s="65"/>
      <c r="L808" s="62"/>
      <c r="O808" s="62"/>
      <c r="P808" s="62"/>
      <c r="Q808" s="62"/>
      <c r="R808" s="62"/>
      <c r="S808" s="62"/>
      <c r="T808" s="62"/>
      <c r="U808" s="62"/>
      <c r="V808" s="62"/>
      <c r="X808" s="62"/>
      <c r="Y808" s="62"/>
      <c r="Z808" s="62"/>
      <c r="AA808" s="62"/>
      <c r="AB808" s="63"/>
    </row>
    <row r="809">
      <c r="E809" s="63"/>
      <c r="F809" s="62"/>
      <c r="G809" s="64"/>
      <c r="J809" s="62"/>
      <c r="K809" s="65"/>
      <c r="L809" s="62"/>
      <c r="O809" s="62"/>
      <c r="P809" s="62"/>
      <c r="Q809" s="62"/>
      <c r="R809" s="62"/>
      <c r="S809" s="62"/>
      <c r="T809" s="62"/>
      <c r="U809" s="62"/>
      <c r="V809" s="62"/>
      <c r="X809" s="62"/>
      <c r="Y809" s="62"/>
      <c r="Z809" s="62"/>
      <c r="AA809" s="62"/>
      <c r="AB809" s="63"/>
    </row>
    <row r="810">
      <c r="E810" s="63"/>
      <c r="F810" s="62"/>
      <c r="G810" s="64"/>
      <c r="J810" s="62"/>
      <c r="K810" s="65"/>
      <c r="L810" s="62"/>
      <c r="O810" s="62"/>
      <c r="P810" s="62"/>
      <c r="Q810" s="62"/>
      <c r="R810" s="62"/>
      <c r="S810" s="62"/>
      <c r="T810" s="62"/>
      <c r="U810" s="62"/>
      <c r="V810" s="62"/>
      <c r="X810" s="62"/>
      <c r="Y810" s="62"/>
      <c r="Z810" s="62"/>
      <c r="AA810" s="62"/>
      <c r="AB810" s="63"/>
    </row>
    <row r="811">
      <c r="E811" s="63"/>
      <c r="F811" s="62"/>
      <c r="G811" s="64"/>
      <c r="J811" s="62"/>
      <c r="K811" s="65"/>
      <c r="L811" s="62"/>
      <c r="O811" s="62"/>
      <c r="P811" s="62"/>
      <c r="Q811" s="62"/>
      <c r="R811" s="62"/>
      <c r="S811" s="62"/>
      <c r="T811" s="62"/>
      <c r="U811" s="62"/>
      <c r="V811" s="62"/>
      <c r="X811" s="62"/>
      <c r="Y811" s="62"/>
      <c r="Z811" s="62"/>
      <c r="AA811" s="62"/>
      <c r="AB811" s="63"/>
    </row>
    <row r="812">
      <c r="E812" s="63"/>
      <c r="F812" s="62"/>
      <c r="G812" s="64"/>
      <c r="J812" s="62"/>
      <c r="K812" s="65"/>
      <c r="L812" s="62"/>
      <c r="O812" s="62"/>
      <c r="P812" s="62"/>
      <c r="Q812" s="62"/>
      <c r="R812" s="62"/>
      <c r="S812" s="62"/>
      <c r="T812" s="62"/>
      <c r="U812" s="62"/>
      <c r="V812" s="62"/>
      <c r="X812" s="62"/>
      <c r="Y812" s="62"/>
      <c r="Z812" s="62"/>
      <c r="AA812" s="62"/>
      <c r="AB812" s="63"/>
    </row>
    <row r="813">
      <c r="E813" s="63"/>
      <c r="F813" s="62"/>
      <c r="G813" s="64"/>
      <c r="J813" s="62"/>
      <c r="K813" s="65"/>
      <c r="L813" s="62"/>
      <c r="O813" s="62"/>
      <c r="P813" s="62"/>
      <c r="Q813" s="62"/>
      <c r="R813" s="62"/>
      <c r="S813" s="62"/>
      <c r="T813" s="62"/>
      <c r="U813" s="62"/>
      <c r="V813" s="62"/>
      <c r="X813" s="62"/>
      <c r="Y813" s="62"/>
      <c r="Z813" s="62"/>
      <c r="AA813" s="62"/>
      <c r="AB813" s="63"/>
    </row>
    <row r="814">
      <c r="E814" s="63"/>
      <c r="F814" s="62"/>
      <c r="G814" s="64"/>
      <c r="J814" s="62"/>
      <c r="K814" s="65"/>
      <c r="L814" s="62"/>
      <c r="O814" s="62"/>
      <c r="P814" s="62"/>
      <c r="Q814" s="62"/>
      <c r="R814" s="62"/>
      <c r="S814" s="62"/>
      <c r="T814" s="62"/>
      <c r="U814" s="62"/>
      <c r="V814" s="62"/>
      <c r="X814" s="62"/>
      <c r="Y814" s="62"/>
      <c r="Z814" s="62"/>
      <c r="AA814" s="62"/>
      <c r="AB814" s="63"/>
    </row>
    <row r="815">
      <c r="E815" s="63"/>
      <c r="F815" s="62"/>
      <c r="G815" s="64"/>
      <c r="J815" s="62"/>
      <c r="K815" s="65"/>
      <c r="L815" s="62"/>
      <c r="O815" s="62"/>
      <c r="P815" s="62"/>
      <c r="Q815" s="62"/>
      <c r="R815" s="62"/>
      <c r="S815" s="62"/>
      <c r="T815" s="62"/>
      <c r="U815" s="62"/>
      <c r="V815" s="62"/>
      <c r="X815" s="62"/>
      <c r="Y815" s="62"/>
      <c r="Z815" s="62"/>
      <c r="AA815" s="62"/>
      <c r="AB815" s="63"/>
    </row>
    <row r="816">
      <c r="E816" s="63"/>
      <c r="F816" s="62"/>
      <c r="G816" s="64"/>
      <c r="J816" s="62"/>
      <c r="K816" s="65"/>
      <c r="L816" s="62"/>
      <c r="O816" s="62"/>
      <c r="P816" s="62"/>
      <c r="Q816" s="62"/>
      <c r="R816" s="62"/>
      <c r="S816" s="62"/>
      <c r="T816" s="62"/>
      <c r="U816" s="62"/>
      <c r="V816" s="62"/>
      <c r="X816" s="62"/>
      <c r="Y816" s="62"/>
      <c r="Z816" s="62"/>
      <c r="AA816" s="62"/>
      <c r="AB816" s="63"/>
    </row>
    <row r="817">
      <c r="E817" s="63"/>
      <c r="F817" s="62"/>
      <c r="G817" s="64"/>
      <c r="J817" s="62"/>
      <c r="K817" s="65"/>
      <c r="L817" s="62"/>
      <c r="O817" s="62"/>
      <c r="P817" s="62"/>
      <c r="Q817" s="62"/>
      <c r="R817" s="62"/>
      <c r="S817" s="62"/>
      <c r="T817" s="62"/>
      <c r="U817" s="62"/>
      <c r="V817" s="62"/>
      <c r="X817" s="62"/>
      <c r="Y817" s="62"/>
      <c r="Z817" s="62"/>
      <c r="AA817" s="62"/>
      <c r="AB817" s="63"/>
    </row>
    <row r="818">
      <c r="E818" s="63"/>
      <c r="F818" s="62"/>
      <c r="G818" s="64"/>
      <c r="J818" s="62"/>
      <c r="K818" s="65"/>
      <c r="L818" s="62"/>
      <c r="O818" s="62"/>
      <c r="P818" s="62"/>
      <c r="Q818" s="62"/>
      <c r="R818" s="62"/>
      <c r="S818" s="62"/>
      <c r="T818" s="62"/>
      <c r="U818" s="62"/>
      <c r="V818" s="62"/>
      <c r="X818" s="62"/>
      <c r="Y818" s="62"/>
      <c r="Z818" s="62"/>
      <c r="AA818" s="62"/>
      <c r="AB818" s="63"/>
    </row>
    <row r="819">
      <c r="E819" s="63"/>
      <c r="F819" s="62"/>
      <c r="G819" s="64"/>
      <c r="J819" s="62"/>
      <c r="K819" s="65"/>
      <c r="L819" s="62"/>
      <c r="O819" s="62"/>
      <c r="P819" s="62"/>
      <c r="Q819" s="62"/>
      <c r="R819" s="62"/>
      <c r="S819" s="62"/>
      <c r="T819" s="62"/>
      <c r="U819" s="62"/>
      <c r="V819" s="62"/>
      <c r="X819" s="62"/>
      <c r="Y819" s="62"/>
      <c r="Z819" s="62"/>
      <c r="AA819" s="62"/>
      <c r="AB819" s="63"/>
    </row>
    <row r="820">
      <c r="E820" s="63"/>
      <c r="F820" s="62"/>
      <c r="G820" s="64"/>
      <c r="J820" s="62"/>
      <c r="K820" s="65"/>
      <c r="L820" s="62"/>
      <c r="O820" s="62"/>
      <c r="P820" s="62"/>
      <c r="Q820" s="62"/>
      <c r="R820" s="62"/>
      <c r="S820" s="62"/>
      <c r="T820" s="62"/>
      <c r="U820" s="62"/>
      <c r="V820" s="62"/>
      <c r="X820" s="62"/>
      <c r="Y820" s="62"/>
      <c r="Z820" s="62"/>
      <c r="AA820" s="62"/>
      <c r="AB820" s="63"/>
    </row>
    <row r="821">
      <c r="E821" s="63"/>
      <c r="F821" s="62"/>
      <c r="G821" s="64"/>
      <c r="J821" s="62"/>
      <c r="K821" s="65"/>
      <c r="L821" s="62"/>
      <c r="O821" s="62"/>
      <c r="P821" s="62"/>
      <c r="Q821" s="62"/>
      <c r="R821" s="62"/>
      <c r="S821" s="62"/>
      <c r="T821" s="62"/>
      <c r="U821" s="62"/>
      <c r="V821" s="62"/>
      <c r="X821" s="62"/>
      <c r="Y821" s="62"/>
      <c r="Z821" s="62"/>
      <c r="AA821" s="62"/>
      <c r="AB821" s="63"/>
    </row>
    <row r="822">
      <c r="E822" s="63"/>
      <c r="F822" s="62"/>
      <c r="G822" s="64"/>
      <c r="J822" s="62"/>
      <c r="K822" s="65"/>
      <c r="L822" s="62"/>
      <c r="O822" s="62"/>
      <c r="P822" s="62"/>
      <c r="Q822" s="62"/>
      <c r="R822" s="62"/>
      <c r="S822" s="62"/>
      <c r="T822" s="62"/>
      <c r="U822" s="62"/>
      <c r="V822" s="62"/>
      <c r="X822" s="62"/>
      <c r="Y822" s="62"/>
      <c r="Z822" s="62"/>
      <c r="AA822" s="62"/>
      <c r="AB822" s="63"/>
    </row>
    <row r="823">
      <c r="E823" s="63"/>
      <c r="F823" s="62"/>
      <c r="G823" s="64"/>
      <c r="J823" s="62"/>
      <c r="K823" s="65"/>
      <c r="L823" s="62"/>
      <c r="O823" s="62"/>
      <c r="P823" s="62"/>
      <c r="Q823" s="62"/>
      <c r="R823" s="62"/>
      <c r="S823" s="62"/>
      <c r="T823" s="62"/>
      <c r="U823" s="62"/>
      <c r="V823" s="62"/>
      <c r="X823" s="62"/>
      <c r="Y823" s="62"/>
      <c r="Z823" s="62"/>
      <c r="AA823" s="62"/>
      <c r="AB823" s="63"/>
    </row>
    <row r="824">
      <c r="E824" s="63"/>
      <c r="F824" s="62"/>
      <c r="G824" s="64"/>
      <c r="J824" s="62"/>
      <c r="K824" s="65"/>
      <c r="L824" s="62"/>
      <c r="O824" s="62"/>
      <c r="P824" s="62"/>
      <c r="Q824" s="62"/>
      <c r="R824" s="62"/>
      <c r="S824" s="62"/>
      <c r="T824" s="62"/>
      <c r="U824" s="62"/>
      <c r="V824" s="62"/>
      <c r="X824" s="62"/>
      <c r="Y824" s="62"/>
      <c r="Z824" s="62"/>
      <c r="AA824" s="62"/>
      <c r="AB824" s="63"/>
    </row>
    <row r="825">
      <c r="E825" s="63"/>
      <c r="F825" s="62"/>
      <c r="G825" s="64"/>
      <c r="J825" s="62"/>
      <c r="K825" s="65"/>
      <c r="L825" s="62"/>
      <c r="O825" s="62"/>
      <c r="P825" s="62"/>
      <c r="Q825" s="62"/>
      <c r="R825" s="62"/>
      <c r="S825" s="62"/>
      <c r="T825" s="62"/>
      <c r="U825" s="62"/>
      <c r="V825" s="62"/>
      <c r="X825" s="62"/>
      <c r="Y825" s="62"/>
      <c r="Z825" s="62"/>
      <c r="AA825" s="62"/>
      <c r="AB825" s="63"/>
    </row>
    <row r="826">
      <c r="E826" s="63"/>
      <c r="F826" s="62"/>
      <c r="G826" s="64"/>
      <c r="J826" s="62"/>
      <c r="K826" s="65"/>
      <c r="L826" s="62"/>
      <c r="O826" s="62"/>
      <c r="P826" s="62"/>
      <c r="Q826" s="62"/>
      <c r="R826" s="62"/>
      <c r="S826" s="62"/>
      <c r="T826" s="62"/>
      <c r="U826" s="62"/>
      <c r="V826" s="62"/>
      <c r="X826" s="62"/>
      <c r="Y826" s="62"/>
      <c r="Z826" s="62"/>
      <c r="AA826" s="62"/>
      <c r="AB826" s="63"/>
    </row>
    <row r="827">
      <c r="E827" s="63"/>
      <c r="F827" s="62"/>
      <c r="G827" s="64"/>
      <c r="J827" s="62"/>
      <c r="K827" s="65"/>
      <c r="L827" s="62"/>
      <c r="O827" s="62"/>
      <c r="P827" s="62"/>
      <c r="Q827" s="62"/>
      <c r="R827" s="62"/>
      <c r="S827" s="62"/>
      <c r="T827" s="62"/>
      <c r="U827" s="62"/>
      <c r="V827" s="62"/>
      <c r="X827" s="62"/>
      <c r="Y827" s="62"/>
      <c r="Z827" s="62"/>
      <c r="AA827" s="62"/>
      <c r="AB827" s="63"/>
    </row>
    <row r="828">
      <c r="E828" s="63"/>
      <c r="F828" s="62"/>
      <c r="G828" s="64"/>
      <c r="J828" s="62"/>
      <c r="K828" s="65"/>
      <c r="L828" s="62"/>
      <c r="O828" s="62"/>
      <c r="P828" s="62"/>
      <c r="Q828" s="62"/>
      <c r="R828" s="62"/>
      <c r="S828" s="62"/>
      <c r="T828" s="62"/>
      <c r="U828" s="62"/>
      <c r="V828" s="62"/>
      <c r="X828" s="62"/>
      <c r="Y828" s="62"/>
      <c r="Z828" s="62"/>
      <c r="AA828" s="62"/>
      <c r="AB828" s="63"/>
    </row>
    <row r="829">
      <c r="E829" s="63"/>
      <c r="F829" s="62"/>
      <c r="G829" s="64"/>
      <c r="J829" s="62"/>
      <c r="K829" s="65"/>
      <c r="L829" s="62"/>
      <c r="O829" s="62"/>
      <c r="P829" s="62"/>
      <c r="Q829" s="62"/>
      <c r="R829" s="62"/>
      <c r="S829" s="62"/>
      <c r="T829" s="62"/>
      <c r="U829" s="62"/>
      <c r="V829" s="62"/>
      <c r="X829" s="62"/>
      <c r="Y829" s="62"/>
      <c r="Z829" s="62"/>
      <c r="AA829" s="62"/>
      <c r="AB829" s="63"/>
    </row>
    <row r="830">
      <c r="E830" s="63"/>
      <c r="F830" s="62"/>
      <c r="G830" s="64"/>
      <c r="J830" s="62"/>
      <c r="K830" s="65"/>
      <c r="L830" s="62"/>
      <c r="O830" s="62"/>
      <c r="P830" s="62"/>
      <c r="Q830" s="62"/>
      <c r="R830" s="62"/>
      <c r="S830" s="62"/>
      <c r="T830" s="62"/>
      <c r="U830" s="62"/>
      <c r="V830" s="62"/>
      <c r="X830" s="62"/>
      <c r="Y830" s="62"/>
      <c r="Z830" s="62"/>
      <c r="AA830" s="62"/>
      <c r="AB830" s="63"/>
    </row>
    <row r="831">
      <c r="E831" s="63"/>
      <c r="F831" s="62"/>
      <c r="G831" s="64"/>
      <c r="J831" s="62"/>
      <c r="K831" s="65"/>
      <c r="L831" s="62"/>
      <c r="O831" s="62"/>
      <c r="P831" s="62"/>
      <c r="Q831" s="62"/>
      <c r="R831" s="62"/>
      <c r="S831" s="62"/>
      <c r="T831" s="62"/>
      <c r="U831" s="62"/>
      <c r="V831" s="62"/>
      <c r="X831" s="62"/>
      <c r="Y831" s="62"/>
      <c r="Z831" s="62"/>
      <c r="AA831" s="62"/>
      <c r="AB831" s="63"/>
    </row>
    <row r="832">
      <c r="E832" s="63"/>
      <c r="F832" s="62"/>
      <c r="G832" s="64"/>
      <c r="J832" s="62"/>
      <c r="K832" s="65"/>
      <c r="L832" s="62"/>
      <c r="O832" s="62"/>
      <c r="P832" s="62"/>
      <c r="Q832" s="62"/>
      <c r="R832" s="62"/>
      <c r="S832" s="62"/>
      <c r="T832" s="62"/>
      <c r="U832" s="62"/>
      <c r="V832" s="62"/>
      <c r="X832" s="62"/>
      <c r="Y832" s="62"/>
      <c r="Z832" s="62"/>
      <c r="AA832" s="62"/>
      <c r="AB832" s="63"/>
    </row>
    <row r="833">
      <c r="E833" s="63"/>
      <c r="F833" s="62"/>
      <c r="G833" s="64"/>
      <c r="J833" s="62"/>
      <c r="K833" s="65"/>
      <c r="L833" s="62"/>
      <c r="O833" s="62"/>
      <c r="P833" s="62"/>
      <c r="Q833" s="62"/>
      <c r="R833" s="62"/>
      <c r="S833" s="62"/>
      <c r="T833" s="62"/>
      <c r="U833" s="62"/>
      <c r="V833" s="62"/>
      <c r="X833" s="62"/>
      <c r="Y833" s="62"/>
      <c r="Z833" s="62"/>
      <c r="AA833" s="62"/>
      <c r="AB833" s="63"/>
    </row>
    <row r="834">
      <c r="E834" s="63"/>
      <c r="F834" s="62"/>
      <c r="G834" s="64"/>
      <c r="J834" s="62"/>
      <c r="K834" s="65"/>
      <c r="L834" s="62"/>
      <c r="O834" s="62"/>
      <c r="P834" s="62"/>
      <c r="Q834" s="62"/>
      <c r="R834" s="62"/>
      <c r="S834" s="62"/>
      <c r="T834" s="62"/>
      <c r="U834" s="62"/>
      <c r="V834" s="62"/>
      <c r="X834" s="62"/>
      <c r="Y834" s="62"/>
      <c r="Z834" s="62"/>
      <c r="AA834" s="62"/>
      <c r="AB834" s="63"/>
    </row>
    <row r="835">
      <c r="E835" s="63"/>
      <c r="F835" s="62"/>
      <c r="G835" s="64"/>
      <c r="J835" s="62"/>
      <c r="K835" s="65"/>
      <c r="L835" s="62"/>
      <c r="O835" s="62"/>
      <c r="P835" s="62"/>
      <c r="Q835" s="62"/>
      <c r="R835" s="62"/>
      <c r="S835" s="62"/>
      <c r="T835" s="62"/>
      <c r="U835" s="62"/>
      <c r="V835" s="62"/>
      <c r="X835" s="62"/>
      <c r="Y835" s="62"/>
      <c r="Z835" s="62"/>
      <c r="AA835" s="62"/>
      <c r="AB835" s="63"/>
    </row>
    <row r="836">
      <c r="E836" s="63"/>
      <c r="F836" s="62"/>
      <c r="G836" s="64"/>
      <c r="J836" s="62"/>
      <c r="K836" s="65"/>
      <c r="L836" s="62"/>
      <c r="O836" s="62"/>
      <c r="P836" s="62"/>
      <c r="Q836" s="62"/>
      <c r="R836" s="62"/>
      <c r="S836" s="62"/>
      <c r="T836" s="62"/>
      <c r="U836" s="62"/>
      <c r="V836" s="62"/>
      <c r="X836" s="62"/>
      <c r="Y836" s="62"/>
      <c r="Z836" s="62"/>
      <c r="AA836" s="62"/>
      <c r="AB836" s="63"/>
    </row>
    <row r="837">
      <c r="E837" s="63"/>
      <c r="F837" s="62"/>
      <c r="G837" s="64"/>
      <c r="J837" s="62"/>
      <c r="K837" s="65"/>
      <c r="L837" s="62"/>
      <c r="O837" s="62"/>
      <c r="P837" s="62"/>
      <c r="Q837" s="62"/>
      <c r="R837" s="62"/>
      <c r="S837" s="62"/>
      <c r="T837" s="62"/>
      <c r="U837" s="62"/>
      <c r="V837" s="62"/>
      <c r="X837" s="62"/>
      <c r="Y837" s="62"/>
      <c r="Z837" s="62"/>
      <c r="AA837" s="62"/>
      <c r="AB837" s="63"/>
    </row>
    <row r="838">
      <c r="E838" s="63"/>
      <c r="F838" s="62"/>
      <c r="G838" s="64"/>
      <c r="J838" s="62"/>
      <c r="K838" s="65"/>
      <c r="L838" s="62"/>
      <c r="O838" s="62"/>
      <c r="P838" s="62"/>
      <c r="Q838" s="62"/>
      <c r="R838" s="62"/>
      <c r="S838" s="62"/>
      <c r="T838" s="62"/>
      <c r="U838" s="62"/>
      <c r="V838" s="62"/>
      <c r="X838" s="62"/>
      <c r="Y838" s="62"/>
      <c r="Z838" s="62"/>
      <c r="AA838" s="62"/>
      <c r="AB838" s="63"/>
    </row>
    <row r="839">
      <c r="E839" s="63"/>
      <c r="F839" s="62"/>
      <c r="G839" s="64"/>
      <c r="J839" s="62"/>
      <c r="K839" s="65"/>
      <c r="L839" s="62"/>
      <c r="O839" s="62"/>
      <c r="P839" s="62"/>
      <c r="Q839" s="62"/>
      <c r="R839" s="62"/>
      <c r="S839" s="62"/>
      <c r="T839" s="62"/>
      <c r="U839" s="62"/>
      <c r="V839" s="62"/>
      <c r="X839" s="62"/>
      <c r="Y839" s="62"/>
      <c r="Z839" s="62"/>
      <c r="AA839" s="62"/>
      <c r="AB839" s="63"/>
    </row>
    <row r="840">
      <c r="E840" s="63"/>
      <c r="F840" s="62"/>
      <c r="G840" s="64"/>
      <c r="J840" s="62"/>
      <c r="K840" s="65"/>
      <c r="L840" s="62"/>
      <c r="O840" s="62"/>
      <c r="P840" s="62"/>
      <c r="Q840" s="62"/>
      <c r="R840" s="62"/>
      <c r="S840" s="62"/>
      <c r="T840" s="62"/>
      <c r="U840" s="62"/>
      <c r="V840" s="62"/>
      <c r="X840" s="62"/>
      <c r="Y840" s="62"/>
      <c r="Z840" s="62"/>
      <c r="AA840" s="62"/>
      <c r="AB840" s="63"/>
    </row>
    <row r="841">
      <c r="E841" s="63"/>
      <c r="F841" s="62"/>
      <c r="G841" s="64"/>
      <c r="J841" s="62"/>
      <c r="K841" s="65"/>
      <c r="L841" s="62"/>
      <c r="O841" s="62"/>
      <c r="P841" s="62"/>
      <c r="Q841" s="62"/>
      <c r="R841" s="62"/>
      <c r="S841" s="62"/>
      <c r="T841" s="62"/>
      <c r="U841" s="62"/>
      <c r="V841" s="62"/>
      <c r="X841" s="62"/>
      <c r="Y841" s="62"/>
      <c r="Z841" s="62"/>
      <c r="AA841" s="62"/>
      <c r="AB841" s="63"/>
    </row>
    <row r="842">
      <c r="E842" s="63"/>
      <c r="F842" s="62"/>
      <c r="G842" s="64"/>
      <c r="J842" s="62"/>
      <c r="K842" s="65"/>
      <c r="L842" s="62"/>
      <c r="O842" s="62"/>
      <c r="P842" s="62"/>
      <c r="Q842" s="62"/>
      <c r="R842" s="62"/>
      <c r="S842" s="62"/>
      <c r="T842" s="62"/>
      <c r="U842" s="62"/>
      <c r="V842" s="62"/>
      <c r="X842" s="62"/>
      <c r="Y842" s="62"/>
      <c r="Z842" s="62"/>
      <c r="AA842" s="62"/>
      <c r="AB842" s="63"/>
    </row>
    <row r="843">
      <c r="E843" s="63"/>
      <c r="F843" s="62"/>
      <c r="G843" s="64"/>
      <c r="J843" s="62"/>
      <c r="K843" s="65"/>
      <c r="L843" s="62"/>
      <c r="O843" s="62"/>
      <c r="P843" s="62"/>
      <c r="Q843" s="62"/>
      <c r="R843" s="62"/>
      <c r="S843" s="62"/>
      <c r="T843" s="62"/>
      <c r="U843" s="62"/>
      <c r="V843" s="62"/>
      <c r="X843" s="62"/>
      <c r="Y843" s="62"/>
      <c r="Z843" s="62"/>
      <c r="AA843" s="62"/>
      <c r="AB843" s="63"/>
    </row>
    <row r="844">
      <c r="E844" s="63"/>
      <c r="F844" s="62"/>
      <c r="G844" s="64"/>
      <c r="J844" s="62"/>
      <c r="K844" s="65"/>
      <c r="L844" s="62"/>
      <c r="O844" s="62"/>
      <c r="P844" s="62"/>
      <c r="Q844" s="62"/>
      <c r="R844" s="62"/>
      <c r="S844" s="62"/>
      <c r="T844" s="62"/>
      <c r="U844" s="62"/>
      <c r="V844" s="62"/>
      <c r="X844" s="62"/>
      <c r="Y844" s="62"/>
      <c r="Z844" s="62"/>
      <c r="AA844" s="62"/>
      <c r="AB844" s="63"/>
    </row>
    <row r="845">
      <c r="E845" s="63"/>
      <c r="F845" s="62"/>
      <c r="G845" s="64"/>
      <c r="J845" s="62"/>
      <c r="K845" s="65"/>
      <c r="L845" s="62"/>
      <c r="O845" s="62"/>
      <c r="P845" s="62"/>
      <c r="Q845" s="62"/>
      <c r="R845" s="62"/>
      <c r="S845" s="62"/>
      <c r="T845" s="62"/>
      <c r="U845" s="62"/>
      <c r="V845" s="62"/>
      <c r="X845" s="62"/>
      <c r="Y845" s="62"/>
      <c r="Z845" s="62"/>
      <c r="AA845" s="62"/>
      <c r="AB845" s="63"/>
    </row>
    <row r="846">
      <c r="E846" s="63"/>
      <c r="F846" s="62"/>
      <c r="G846" s="64"/>
      <c r="J846" s="62"/>
      <c r="K846" s="65"/>
      <c r="L846" s="62"/>
      <c r="O846" s="62"/>
      <c r="P846" s="62"/>
      <c r="Q846" s="62"/>
      <c r="R846" s="62"/>
      <c r="S846" s="62"/>
      <c r="T846" s="62"/>
      <c r="U846" s="62"/>
      <c r="V846" s="62"/>
      <c r="X846" s="62"/>
      <c r="Y846" s="62"/>
      <c r="Z846" s="62"/>
      <c r="AA846" s="62"/>
      <c r="AB846" s="63"/>
    </row>
    <row r="847">
      <c r="E847" s="63"/>
      <c r="F847" s="62"/>
      <c r="G847" s="64"/>
      <c r="J847" s="62"/>
      <c r="K847" s="65"/>
      <c r="L847" s="62"/>
      <c r="O847" s="62"/>
      <c r="P847" s="62"/>
      <c r="Q847" s="62"/>
      <c r="R847" s="62"/>
      <c r="S847" s="62"/>
      <c r="T847" s="62"/>
      <c r="U847" s="62"/>
      <c r="V847" s="62"/>
      <c r="X847" s="62"/>
      <c r="Y847" s="62"/>
      <c r="Z847" s="62"/>
      <c r="AA847" s="62"/>
      <c r="AB847" s="63"/>
    </row>
    <row r="848">
      <c r="E848" s="63"/>
      <c r="F848" s="62"/>
      <c r="G848" s="64"/>
      <c r="J848" s="62"/>
      <c r="K848" s="65"/>
      <c r="L848" s="62"/>
      <c r="O848" s="62"/>
      <c r="P848" s="62"/>
      <c r="Q848" s="62"/>
      <c r="R848" s="62"/>
      <c r="S848" s="62"/>
      <c r="T848" s="62"/>
      <c r="U848" s="62"/>
      <c r="V848" s="62"/>
      <c r="X848" s="62"/>
      <c r="Y848" s="62"/>
      <c r="Z848" s="62"/>
      <c r="AA848" s="62"/>
      <c r="AB848" s="63"/>
    </row>
    <row r="849">
      <c r="E849" s="63"/>
      <c r="F849" s="62"/>
      <c r="G849" s="64"/>
      <c r="J849" s="62"/>
      <c r="K849" s="65"/>
      <c r="L849" s="62"/>
      <c r="O849" s="62"/>
      <c r="P849" s="62"/>
      <c r="Q849" s="62"/>
      <c r="R849" s="62"/>
      <c r="S849" s="62"/>
      <c r="T849" s="62"/>
      <c r="U849" s="62"/>
      <c r="V849" s="62"/>
      <c r="X849" s="62"/>
      <c r="Y849" s="62"/>
      <c r="Z849" s="62"/>
      <c r="AA849" s="62"/>
      <c r="AB849" s="63"/>
    </row>
    <row r="850">
      <c r="E850" s="63"/>
      <c r="F850" s="62"/>
      <c r="G850" s="64"/>
      <c r="J850" s="62"/>
      <c r="K850" s="65"/>
      <c r="L850" s="62"/>
      <c r="O850" s="62"/>
      <c r="P850" s="62"/>
      <c r="Q850" s="62"/>
      <c r="R850" s="62"/>
      <c r="S850" s="62"/>
      <c r="T850" s="62"/>
      <c r="U850" s="62"/>
      <c r="V850" s="62"/>
      <c r="X850" s="62"/>
      <c r="Y850" s="62"/>
      <c r="Z850" s="62"/>
      <c r="AA850" s="62"/>
      <c r="AB850" s="63"/>
    </row>
    <row r="851">
      <c r="E851" s="63"/>
      <c r="F851" s="62"/>
      <c r="G851" s="64"/>
      <c r="J851" s="62"/>
      <c r="K851" s="65"/>
      <c r="L851" s="62"/>
      <c r="O851" s="62"/>
      <c r="P851" s="62"/>
      <c r="Q851" s="62"/>
      <c r="R851" s="62"/>
      <c r="S851" s="62"/>
      <c r="T851" s="62"/>
      <c r="U851" s="62"/>
      <c r="V851" s="62"/>
      <c r="X851" s="62"/>
      <c r="Y851" s="62"/>
      <c r="Z851" s="62"/>
      <c r="AA851" s="62"/>
      <c r="AB851" s="63"/>
    </row>
    <row r="852">
      <c r="E852" s="63"/>
      <c r="F852" s="62"/>
      <c r="G852" s="64"/>
      <c r="J852" s="62"/>
      <c r="K852" s="65"/>
      <c r="L852" s="62"/>
      <c r="O852" s="62"/>
      <c r="P852" s="62"/>
      <c r="Q852" s="62"/>
      <c r="R852" s="62"/>
      <c r="S852" s="62"/>
      <c r="T852" s="62"/>
      <c r="U852" s="62"/>
      <c r="V852" s="62"/>
      <c r="X852" s="62"/>
      <c r="Y852" s="62"/>
      <c r="Z852" s="62"/>
      <c r="AA852" s="62"/>
      <c r="AB852" s="63"/>
    </row>
    <row r="853">
      <c r="E853" s="63"/>
      <c r="F853" s="62"/>
      <c r="G853" s="64"/>
      <c r="J853" s="62"/>
      <c r="K853" s="65"/>
      <c r="L853" s="62"/>
      <c r="O853" s="62"/>
      <c r="P853" s="62"/>
      <c r="Q853" s="62"/>
      <c r="R853" s="62"/>
      <c r="S853" s="62"/>
      <c r="T853" s="62"/>
      <c r="U853" s="62"/>
      <c r="V853" s="62"/>
      <c r="X853" s="62"/>
      <c r="Y853" s="62"/>
      <c r="Z853" s="62"/>
      <c r="AA853" s="62"/>
      <c r="AB853" s="63"/>
    </row>
    <row r="854">
      <c r="E854" s="63"/>
      <c r="F854" s="62"/>
      <c r="G854" s="64"/>
      <c r="J854" s="62"/>
      <c r="K854" s="65"/>
      <c r="L854" s="62"/>
      <c r="O854" s="62"/>
      <c r="P854" s="62"/>
      <c r="Q854" s="62"/>
      <c r="R854" s="62"/>
      <c r="S854" s="62"/>
      <c r="T854" s="62"/>
      <c r="U854" s="62"/>
      <c r="V854" s="62"/>
      <c r="X854" s="62"/>
      <c r="Y854" s="62"/>
      <c r="Z854" s="62"/>
      <c r="AA854" s="62"/>
      <c r="AB854" s="63"/>
    </row>
    <row r="855">
      <c r="E855" s="63"/>
      <c r="F855" s="62"/>
      <c r="G855" s="64"/>
      <c r="J855" s="62"/>
      <c r="K855" s="65"/>
      <c r="L855" s="62"/>
      <c r="O855" s="62"/>
      <c r="P855" s="62"/>
      <c r="Q855" s="62"/>
      <c r="R855" s="62"/>
      <c r="S855" s="62"/>
      <c r="T855" s="62"/>
      <c r="U855" s="62"/>
      <c r="V855" s="62"/>
      <c r="X855" s="62"/>
      <c r="Y855" s="62"/>
      <c r="Z855" s="62"/>
      <c r="AA855" s="62"/>
      <c r="AB855" s="63"/>
    </row>
    <row r="856">
      <c r="E856" s="63"/>
      <c r="F856" s="62"/>
      <c r="G856" s="64"/>
      <c r="J856" s="62"/>
      <c r="K856" s="65"/>
      <c r="L856" s="62"/>
      <c r="O856" s="62"/>
      <c r="P856" s="62"/>
      <c r="Q856" s="62"/>
      <c r="R856" s="62"/>
      <c r="S856" s="62"/>
      <c r="T856" s="62"/>
      <c r="U856" s="62"/>
      <c r="V856" s="62"/>
      <c r="X856" s="62"/>
      <c r="Y856" s="62"/>
      <c r="Z856" s="62"/>
      <c r="AA856" s="62"/>
      <c r="AB856" s="63"/>
    </row>
    <row r="857">
      <c r="E857" s="63"/>
      <c r="F857" s="62"/>
      <c r="G857" s="64"/>
      <c r="J857" s="62"/>
      <c r="K857" s="65"/>
      <c r="L857" s="62"/>
      <c r="O857" s="62"/>
      <c r="P857" s="62"/>
      <c r="Q857" s="62"/>
      <c r="R857" s="62"/>
      <c r="S857" s="62"/>
      <c r="T857" s="62"/>
      <c r="U857" s="62"/>
      <c r="V857" s="62"/>
      <c r="X857" s="62"/>
      <c r="Y857" s="62"/>
      <c r="Z857" s="62"/>
      <c r="AA857" s="62"/>
      <c r="AB857" s="63"/>
    </row>
    <row r="858">
      <c r="E858" s="63"/>
      <c r="F858" s="62"/>
      <c r="G858" s="64"/>
      <c r="J858" s="62"/>
      <c r="K858" s="65"/>
      <c r="L858" s="62"/>
      <c r="O858" s="62"/>
      <c r="P858" s="62"/>
      <c r="Q858" s="62"/>
      <c r="R858" s="62"/>
      <c r="S858" s="62"/>
      <c r="T858" s="62"/>
      <c r="U858" s="62"/>
      <c r="V858" s="62"/>
      <c r="X858" s="62"/>
      <c r="Y858" s="62"/>
      <c r="Z858" s="62"/>
      <c r="AA858" s="62"/>
      <c r="AB858" s="63"/>
    </row>
    <row r="859">
      <c r="E859" s="63"/>
      <c r="F859" s="62"/>
      <c r="G859" s="64"/>
      <c r="J859" s="62"/>
      <c r="K859" s="65"/>
      <c r="L859" s="62"/>
      <c r="O859" s="62"/>
      <c r="P859" s="62"/>
      <c r="Q859" s="62"/>
      <c r="R859" s="62"/>
      <c r="S859" s="62"/>
      <c r="T859" s="62"/>
      <c r="U859" s="62"/>
      <c r="V859" s="62"/>
      <c r="X859" s="62"/>
      <c r="Y859" s="62"/>
      <c r="Z859" s="62"/>
      <c r="AA859" s="62"/>
      <c r="AB859" s="63"/>
    </row>
    <row r="860">
      <c r="E860" s="63"/>
      <c r="F860" s="62"/>
      <c r="G860" s="64"/>
      <c r="J860" s="62"/>
      <c r="K860" s="65"/>
      <c r="L860" s="62"/>
      <c r="O860" s="62"/>
      <c r="P860" s="62"/>
      <c r="Q860" s="62"/>
      <c r="R860" s="62"/>
      <c r="S860" s="62"/>
      <c r="T860" s="62"/>
      <c r="U860" s="62"/>
      <c r="V860" s="62"/>
      <c r="X860" s="62"/>
      <c r="Y860" s="62"/>
      <c r="Z860" s="62"/>
      <c r="AA860" s="62"/>
      <c r="AB860" s="63"/>
    </row>
    <row r="861">
      <c r="E861" s="63"/>
      <c r="F861" s="62"/>
      <c r="G861" s="64"/>
      <c r="J861" s="62"/>
      <c r="K861" s="65"/>
      <c r="L861" s="62"/>
      <c r="O861" s="62"/>
      <c r="P861" s="62"/>
      <c r="Q861" s="62"/>
      <c r="R861" s="62"/>
      <c r="S861" s="62"/>
      <c r="T861" s="62"/>
      <c r="U861" s="62"/>
      <c r="V861" s="62"/>
      <c r="X861" s="62"/>
      <c r="Y861" s="62"/>
      <c r="Z861" s="62"/>
      <c r="AA861" s="62"/>
      <c r="AB861" s="63"/>
    </row>
    <row r="862">
      <c r="E862" s="63"/>
      <c r="F862" s="62"/>
      <c r="G862" s="64"/>
      <c r="J862" s="62"/>
      <c r="K862" s="65"/>
      <c r="L862" s="62"/>
      <c r="O862" s="62"/>
      <c r="P862" s="62"/>
      <c r="Q862" s="62"/>
      <c r="R862" s="62"/>
      <c r="S862" s="62"/>
      <c r="T862" s="62"/>
      <c r="U862" s="62"/>
      <c r="V862" s="62"/>
      <c r="X862" s="62"/>
      <c r="Y862" s="62"/>
      <c r="Z862" s="62"/>
      <c r="AA862" s="62"/>
      <c r="AB862" s="63"/>
    </row>
    <row r="863">
      <c r="E863" s="63"/>
      <c r="F863" s="62"/>
      <c r="G863" s="64"/>
      <c r="J863" s="62"/>
      <c r="K863" s="65"/>
      <c r="L863" s="62"/>
      <c r="O863" s="62"/>
      <c r="P863" s="62"/>
      <c r="Q863" s="62"/>
      <c r="R863" s="62"/>
      <c r="S863" s="62"/>
      <c r="T863" s="62"/>
      <c r="U863" s="62"/>
      <c r="V863" s="62"/>
      <c r="X863" s="62"/>
      <c r="Y863" s="62"/>
      <c r="Z863" s="62"/>
      <c r="AA863" s="62"/>
      <c r="AB863" s="63"/>
    </row>
    <row r="864">
      <c r="E864" s="63"/>
      <c r="F864" s="62"/>
      <c r="G864" s="64"/>
      <c r="J864" s="62"/>
      <c r="K864" s="65"/>
      <c r="L864" s="62"/>
      <c r="O864" s="62"/>
      <c r="P864" s="62"/>
      <c r="Q864" s="62"/>
      <c r="R864" s="62"/>
      <c r="S864" s="62"/>
      <c r="T864" s="62"/>
      <c r="U864" s="62"/>
      <c r="V864" s="62"/>
      <c r="X864" s="62"/>
      <c r="Y864" s="62"/>
      <c r="Z864" s="62"/>
      <c r="AA864" s="62"/>
      <c r="AB864" s="63"/>
    </row>
    <row r="865">
      <c r="E865" s="63"/>
      <c r="F865" s="62"/>
      <c r="G865" s="64"/>
      <c r="J865" s="62"/>
      <c r="K865" s="65"/>
      <c r="L865" s="62"/>
      <c r="O865" s="62"/>
      <c r="P865" s="62"/>
      <c r="Q865" s="62"/>
      <c r="R865" s="62"/>
      <c r="S865" s="62"/>
      <c r="T865" s="62"/>
      <c r="U865" s="62"/>
      <c r="V865" s="62"/>
      <c r="X865" s="62"/>
      <c r="Y865" s="62"/>
      <c r="Z865" s="62"/>
      <c r="AA865" s="62"/>
      <c r="AB865" s="63"/>
    </row>
    <row r="866">
      <c r="E866" s="63"/>
      <c r="F866" s="62"/>
      <c r="G866" s="64"/>
      <c r="J866" s="62"/>
      <c r="K866" s="65"/>
      <c r="L866" s="62"/>
      <c r="O866" s="62"/>
      <c r="P866" s="62"/>
      <c r="Q866" s="62"/>
      <c r="R866" s="62"/>
      <c r="S866" s="62"/>
      <c r="T866" s="62"/>
      <c r="U866" s="62"/>
      <c r="V866" s="62"/>
      <c r="X866" s="62"/>
      <c r="Y866" s="62"/>
      <c r="Z866" s="62"/>
      <c r="AA866" s="62"/>
      <c r="AB866" s="63"/>
    </row>
    <row r="867">
      <c r="E867" s="63"/>
      <c r="F867" s="62"/>
      <c r="G867" s="64"/>
      <c r="J867" s="62"/>
      <c r="K867" s="65"/>
      <c r="L867" s="62"/>
      <c r="O867" s="62"/>
      <c r="P867" s="62"/>
      <c r="Q867" s="62"/>
      <c r="R867" s="62"/>
      <c r="S867" s="62"/>
      <c r="T867" s="62"/>
      <c r="U867" s="62"/>
      <c r="V867" s="62"/>
      <c r="X867" s="62"/>
      <c r="Y867" s="62"/>
      <c r="Z867" s="62"/>
      <c r="AA867" s="62"/>
      <c r="AB867" s="63"/>
    </row>
    <row r="868">
      <c r="E868" s="63"/>
      <c r="F868" s="62"/>
      <c r="G868" s="64"/>
      <c r="J868" s="62"/>
      <c r="K868" s="65"/>
      <c r="L868" s="62"/>
      <c r="O868" s="62"/>
      <c r="P868" s="62"/>
      <c r="Q868" s="62"/>
      <c r="R868" s="62"/>
      <c r="S868" s="62"/>
      <c r="T868" s="62"/>
      <c r="U868" s="62"/>
      <c r="V868" s="62"/>
      <c r="X868" s="62"/>
      <c r="Y868" s="62"/>
      <c r="Z868" s="62"/>
      <c r="AA868" s="62"/>
      <c r="AB868" s="63"/>
    </row>
    <row r="869">
      <c r="E869" s="63"/>
      <c r="F869" s="62"/>
      <c r="G869" s="64"/>
      <c r="J869" s="62"/>
      <c r="K869" s="65"/>
      <c r="L869" s="62"/>
      <c r="O869" s="62"/>
      <c r="P869" s="62"/>
      <c r="Q869" s="62"/>
      <c r="R869" s="62"/>
      <c r="S869" s="62"/>
      <c r="T869" s="62"/>
      <c r="U869" s="62"/>
      <c r="V869" s="62"/>
      <c r="X869" s="62"/>
      <c r="Y869" s="62"/>
      <c r="Z869" s="62"/>
      <c r="AA869" s="62"/>
      <c r="AB869" s="63"/>
    </row>
    <row r="870">
      <c r="E870" s="63"/>
      <c r="F870" s="62"/>
      <c r="G870" s="64"/>
      <c r="J870" s="62"/>
      <c r="K870" s="65"/>
      <c r="L870" s="62"/>
      <c r="O870" s="62"/>
      <c r="P870" s="62"/>
      <c r="Q870" s="62"/>
      <c r="R870" s="62"/>
      <c r="S870" s="62"/>
      <c r="T870" s="62"/>
      <c r="U870" s="62"/>
      <c r="V870" s="62"/>
      <c r="X870" s="62"/>
      <c r="Y870" s="62"/>
      <c r="Z870" s="62"/>
      <c r="AA870" s="62"/>
      <c r="AB870" s="63"/>
    </row>
    <row r="871">
      <c r="E871" s="63"/>
      <c r="F871" s="62"/>
      <c r="G871" s="64"/>
      <c r="J871" s="62"/>
      <c r="K871" s="65"/>
      <c r="L871" s="62"/>
      <c r="O871" s="62"/>
      <c r="P871" s="62"/>
      <c r="Q871" s="62"/>
      <c r="R871" s="62"/>
      <c r="S871" s="62"/>
      <c r="T871" s="62"/>
      <c r="U871" s="62"/>
      <c r="V871" s="62"/>
      <c r="X871" s="62"/>
      <c r="Y871" s="62"/>
      <c r="Z871" s="62"/>
      <c r="AA871" s="62"/>
      <c r="AB871" s="63"/>
    </row>
    <row r="872">
      <c r="E872" s="63"/>
      <c r="F872" s="62"/>
      <c r="G872" s="64"/>
      <c r="J872" s="62"/>
      <c r="K872" s="65"/>
      <c r="L872" s="62"/>
      <c r="O872" s="62"/>
      <c r="P872" s="62"/>
      <c r="Q872" s="62"/>
      <c r="R872" s="62"/>
      <c r="S872" s="62"/>
      <c r="T872" s="62"/>
      <c r="U872" s="62"/>
      <c r="V872" s="62"/>
      <c r="X872" s="62"/>
      <c r="Y872" s="62"/>
      <c r="Z872" s="62"/>
      <c r="AA872" s="62"/>
      <c r="AB872" s="63"/>
    </row>
    <row r="873">
      <c r="E873" s="63"/>
      <c r="F873" s="62"/>
      <c r="G873" s="64"/>
      <c r="J873" s="62"/>
      <c r="K873" s="65"/>
      <c r="L873" s="62"/>
      <c r="O873" s="62"/>
      <c r="P873" s="62"/>
      <c r="Q873" s="62"/>
      <c r="R873" s="62"/>
      <c r="S873" s="62"/>
      <c r="T873" s="62"/>
      <c r="U873" s="62"/>
      <c r="V873" s="62"/>
      <c r="X873" s="62"/>
      <c r="Y873" s="62"/>
      <c r="Z873" s="62"/>
      <c r="AA873" s="62"/>
      <c r="AB873" s="63"/>
    </row>
    <row r="874">
      <c r="E874" s="63"/>
      <c r="F874" s="62"/>
      <c r="G874" s="64"/>
      <c r="J874" s="62"/>
      <c r="K874" s="65"/>
      <c r="L874" s="62"/>
      <c r="O874" s="62"/>
      <c r="P874" s="62"/>
      <c r="Q874" s="62"/>
      <c r="R874" s="62"/>
      <c r="S874" s="62"/>
      <c r="T874" s="62"/>
      <c r="U874" s="62"/>
      <c r="V874" s="62"/>
      <c r="X874" s="62"/>
      <c r="Y874" s="62"/>
      <c r="Z874" s="62"/>
      <c r="AA874" s="62"/>
      <c r="AB874" s="63"/>
    </row>
    <row r="875">
      <c r="E875" s="63"/>
      <c r="F875" s="62"/>
      <c r="G875" s="64"/>
      <c r="J875" s="62"/>
      <c r="K875" s="65"/>
      <c r="L875" s="62"/>
      <c r="O875" s="62"/>
      <c r="P875" s="62"/>
      <c r="Q875" s="62"/>
      <c r="R875" s="62"/>
      <c r="S875" s="62"/>
      <c r="T875" s="62"/>
      <c r="U875" s="62"/>
      <c r="V875" s="62"/>
      <c r="X875" s="62"/>
      <c r="Y875" s="62"/>
      <c r="Z875" s="62"/>
      <c r="AA875" s="62"/>
      <c r="AB875" s="63"/>
    </row>
    <row r="876">
      <c r="E876" s="63"/>
      <c r="F876" s="62"/>
      <c r="G876" s="64"/>
      <c r="J876" s="62"/>
      <c r="K876" s="65"/>
      <c r="L876" s="62"/>
      <c r="O876" s="62"/>
      <c r="P876" s="62"/>
      <c r="Q876" s="62"/>
      <c r="R876" s="62"/>
      <c r="S876" s="62"/>
      <c r="T876" s="62"/>
      <c r="U876" s="62"/>
      <c r="V876" s="62"/>
      <c r="X876" s="62"/>
      <c r="Y876" s="62"/>
      <c r="Z876" s="62"/>
      <c r="AA876" s="62"/>
      <c r="AB876" s="63"/>
    </row>
    <row r="877">
      <c r="E877" s="63"/>
      <c r="F877" s="62"/>
      <c r="G877" s="64"/>
      <c r="J877" s="62"/>
      <c r="K877" s="65"/>
      <c r="L877" s="62"/>
      <c r="O877" s="62"/>
      <c r="P877" s="62"/>
      <c r="Q877" s="62"/>
      <c r="R877" s="62"/>
      <c r="S877" s="62"/>
      <c r="T877" s="62"/>
      <c r="U877" s="62"/>
      <c r="V877" s="62"/>
      <c r="X877" s="62"/>
      <c r="Y877" s="62"/>
      <c r="Z877" s="62"/>
      <c r="AA877" s="62"/>
      <c r="AB877" s="63"/>
    </row>
    <row r="878">
      <c r="E878" s="63"/>
      <c r="F878" s="62"/>
      <c r="G878" s="64"/>
      <c r="J878" s="62"/>
      <c r="K878" s="65"/>
      <c r="L878" s="62"/>
      <c r="O878" s="62"/>
      <c r="P878" s="62"/>
      <c r="Q878" s="62"/>
      <c r="R878" s="62"/>
      <c r="S878" s="62"/>
      <c r="T878" s="62"/>
      <c r="U878" s="62"/>
      <c r="V878" s="62"/>
      <c r="X878" s="62"/>
      <c r="Y878" s="62"/>
      <c r="Z878" s="62"/>
      <c r="AA878" s="62"/>
      <c r="AB878" s="63"/>
    </row>
  </sheetData>
  <autoFilter ref="$A$4:$AA$5">
    <sortState ref="A4:AA5">
      <sortCondition descending="1" ref="A4:A5"/>
    </sortState>
  </autoFilter>
  <customSheetViews>
    <customSheetView guid="{52121A8D-EC76-4718-8104-157E31C62976}" filter="1" showAutoFilter="1">
      <autoFilter ref="$A$4:$AL$5"/>
    </customSheetView>
  </customSheetViews>
  <mergeCells count="5">
    <mergeCell ref="K2:U2"/>
    <mergeCell ref="W2:AB3"/>
    <mergeCell ref="K3:M3"/>
    <mergeCell ref="O3:Q3"/>
    <mergeCell ref="S3:U3"/>
  </mergeCells>
  <conditionalFormatting sqref="C1:C878 D5">
    <cfRule type="containsText" dxfId="0" priority="1" operator="containsText" text="Buy">
      <formula>NOT(ISERROR(SEARCH(("Buy"),(C1))))</formula>
    </cfRule>
  </conditionalFormatting>
  <conditionalFormatting sqref="C1:C878 D5">
    <cfRule type="containsText" dxfId="1" priority="2" operator="containsText" text="Sell">
      <formula>NOT(ISERROR(SEARCH(("Sell"),(C1))))</formula>
    </cfRule>
  </conditionalFormatting>
  <conditionalFormatting sqref="B2:B878 J3">
    <cfRule type="containsText" dxfId="2" priority="3" operator="containsText" text="DIV">
      <formula>NOT(ISERROR(SEARCH(("DIV"),(B2))))</formula>
    </cfRule>
  </conditionalFormatting>
  <conditionalFormatting sqref="A5:AB5">
    <cfRule type="expression" dxfId="1" priority="4">
      <formula>NOT(ISBLANK($W5))</formula>
    </cfRule>
  </conditionalFormatting>
  <conditionalFormatting sqref="O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S5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K5">
    <cfRule type="colorScale" priority="7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</cols>
  <sheetData>
    <row r="1">
      <c r="A1" s="2"/>
      <c r="B1" s="66" t="s">
        <v>23</v>
      </c>
      <c r="C1" s="67" t="s">
        <v>24</v>
      </c>
      <c r="D1" s="2"/>
      <c r="E1" s="2"/>
      <c r="F1" s="2"/>
      <c r="G1" s="2"/>
      <c r="H1" s="2"/>
      <c r="I1" s="68" t="s">
        <v>25</v>
      </c>
      <c r="J1" s="69">
        <v>0.0</v>
      </c>
      <c r="K1" s="2"/>
      <c r="L1" s="2"/>
      <c r="M1" s="70" t="str">
        <f>HYPERLINK(CONCATENATE("https://www.google.com/finance/quote/", #REF!, ":", #REF!, "?hl=en&amp;window=1M"), "Google Finance Link")</f>
        <v>Google Finance Link</v>
      </c>
      <c r="N1" s="1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71" t="s">
        <v>14</v>
      </c>
      <c r="C2" s="72">
        <f>IFERROR(__xludf.DUMMYFUNCTION("GOOGLEFINANCE($C$1, ""price"")"),37.11)</f>
        <v>37.11</v>
      </c>
      <c r="D2" s="2"/>
      <c r="E2" s="71" t="s">
        <v>26</v>
      </c>
      <c r="F2" s="73">
        <v>0.0</v>
      </c>
      <c r="G2" s="4"/>
      <c r="H2" s="2"/>
      <c r="I2" s="74" t="s">
        <v>27</v>
      </c>
      <c r="J2" s="75">
        <v>0.08</v>
      </c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71" t="s">
        <v>28</v>
      </c>
      <c r="C3" s="72">
        <f>IFERROR(__xludf.DUMMYFUNCTION("MAX(INDEX(GOOGLEFINANCE($C$1, ""price"", TODAY()-(366), TODAY()), ,2))"),56.4363)</f>
        <v>56.4363</v>
      </c>
      <c r="D3" s="2"/>
      <c r="E3" s="5"/>
      <c r="F3" s="5"/>
      <c r="G3" s="5"/>
      <c r="H3" s="2"/>
      <c r="I3" s="5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66" t="s">
        <v>29</v>
      </c>
      <c r="C4" s="72">
        <f>IFERROR(__xludf.DUMMYFUNCTION("MIN(INDEX(GOOGLEFINANCE($C$1, ""price"", TODAY()-(366), TODAY()), ,2))"),14.0329)</f>
        <v>14.0329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76"/>
      <c r="C5" s="77"/>
      <c r="D5" s="76"/>
      <c r="E5" s="77"/>
      <c r="F5" s="77"/>
      <c r="G5" s="76"/>
      <c r="H5" s="77"/>
      <c r="I5" s="77"/>
      <c r="J5" s="2"/>
      <c r="K5" s="5"/>
      <c r="L5" s="7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9"/>
      <c r="B6" s="80" t="s">
        <v>0</v>
      </c>
      <c r="C6" s="12"/>
      <c r="D6" s="12"/>
      <c r="E6" s="12"/>
      <c r="F6" s="12"/>
      <c r="G6" s="12"/>
      <c r="H6" s="12"/>
      <c r="I6" s="13"/>
      <c r="J6" s="2"/>
      <c r="K6" s="81" t="s">
        <v>1</v>
      </c>
      <c r="L6" s="1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2"/>
      <c r="E7" s="5"/>
      <c r="F7" s="4"/>
      <c r="G7" s="2"/>
      <c r="H7" s="5"/>
      <c r="I7" s="4"/>
      <c r="J7" s="2"/>
      <c r="K7" s="5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2" t="s">
        <v>30</v>
      </c>
      <c r="B8" s="83" t="s">
        <v>8</v>
      </c>
      <c r="C8" s="84">
        <f>SUM('Trading History'!$N$4:$N1003)</f>
        <v>290.8979834</v>
      </c>
      <c r="D8" s="85"/>
      <c r="E8" s="86" t="s">
        <v>31</v>
      </c>
      <c r="F8" s="84">
        <f>IFERROR(SUM('Trading History'!$R$4:$R1003), 0)</f>
        <v>290.8979834</v>
      </c>
      <c r="G8" s="85"/>
      <c r="H8" s="87" t="s">
        <v>32</v>
      </c>
      <c r="I8" s="84">
        <f>SUM('Trading History'!$V$4:$V1003)</f>
        <v>0</v>
      </c>
      <c r="J8" s="85"/>
      <c r="K8" s="88" t="s">
        <v>8</v>
      </c>
      <c r="L8" s="84">
        <f>SUM('Trading History'!$AB$4:$AB1003)</f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9"/>
      <c r="B9" s="90" t="s">
        <v>33</v>
      </c>
      <c r="C9" s="91">
        <f>IFERROR(Index!C10/(Index!C8*Index!$J$1), 0)</f>
        <v>0</v>
      </c>
      <c r="D9" s="85"/>
      <c r="E9" s="92" t="s">
        <v>34</v>
      </c>
      <c r="F9" s="91">
        <f>IFERROR(Index!F10/(Index!F8*Index!$J$1), 0)</f>
        <v>0</v>
      </c>
      <c r="G9" s="93"/>
      <c r="H9" s="94" t="s">
        <v>35</v>
      </c>
      <c r="I9" s="91">
        <f>IFERROR(Index!I10/(Index!I8*Index!$J$1), 0)</f>
        <v>0</v>
      </c>
      <c r="J9" s="85"/>
      <c r="K9" s="95" t="s">
        <v>33</v>
      </c>
      <c r="L9" s="91">
        <f>IFERROR(Index!L10/(Index!L8*Index!$J$1), 0)</f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9"/>
      <c r="B10" s="96" t="s">
        <v>16</v>
      </c>
      <c r="C10" s="97">
        <f>SUM('Trading History'!$L$4:$L1003)</f>
        <v>5795.444164</v>
      </c>
      <c r="D10" s="79"/>
      <c r="E10" s="92" t="s">
        <v>36</v>
      </c>
      <c r="F10" s="97">
        <f>SUM('Trading History'!$P$4:$P1003)</f>
        <v>5795.444164</v>
      </c>
      <c r="G10" s="98"/>
      <c r="H10" s="94" t="s">
        <v>37</v>
      </c>
      <c r="I10" s="97">
        <f>SUM('Trading History'!$T$4:$T1003)</f>
        <v>0</v>
      </c>
      <c r="J10" s="79"/>
      <c r="K10" s="95" t="s">
        <v>16</v>
      </c>
      <c r="L10" s="97">
        <f>SUM('Trading History'!$Z$4:$Z1003)</f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9"/>
      <c r="B11" s="96" t="s">
        <v>38</v>
      </c>
      <c r="C11" s="97">
        <f>Index!C12-Index!C10</f>
        <v>4999.78</v>
      </c>
      <c r="D11" s="79"/>
      <c r="E11" s="92" t="s">
        <v>39</v>
      </c>
      <c r="F11" s="97">
        <f>Index!F12-Index!F10</f>
        <v>4999.78</v>
      </c>
      <c r="G11" s="99"/>
      <c r="H11" s="94" t="s">
        <v>40</v>
      </c>
      <c r="I11" s="97">
        <f>Index!I12-Index!I10</f>
        <v>0</v>
      </c>
      <c r="J11" s="79"/>
      <c r="K11" s="95" t="s">
        <v>38</v>
      </c>
      <c r="L11" s="97">
        <f>Index!L12-Index!L10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9"/>
      <c r="B12" s="96" t="s">
        <v>17</v>
      </c>
      <c r="C12" s="97">
        <f>SUM('Trading History'!$M$4:$M1003)</f>
        <v>10795.22416</v>
      </c>
      <c r="D12" s="79"/>
      <c r="E12" s="92" t="s">
        <v>41</v>
      </c>
      <c r="F12" s="97">
        <f>SUM('Trading History'!$Q$4:$Q1003)</f>
        <v>10795.22416</v>
      </c>
      <c r="G12" s="85"/>
      <c r="H12" s="94" t="s">
        <v>42</v>
      </c>
      <c r="I12" s="97">
        <f>SUM('Trading History'!$U$4:$U1003)</f>
        <v>0</v>
      </c>
      <c r="J12" s="79"/>
      <c r="K12" s="95" t="s">
        <v>17</v>
      </c>
      <c r="L12" s="97">
        <f>SUM('Trading History'!$AA$4:$AA1003)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9"/>
      <c r="B13" s="2"/>
      <c r="C13" s="4"/>
      <c r="D13" s="2"/>
      <c r="E13" s="5"/>
      <c r="F13" s="4"/>
      <c r="G13" s="78"/>
      <c r="H13" s="5"/>
      <c r="I13" s="4"/>
      <c r="J13" s="2"/>
      <c r="K13" s="95" t="s">
        <v>43</v>
      </c>
      <c r="L13" s="97" t="str">
        <f>SUMIF('Trading History'!$B6:$B1003,"DIV",#REF!)</f>
        <v>#N/A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9"/>
      <c r="B14" s="2"/>
      <c r="C14" s="4"/>
      <c r="D14" s="2"/>
      <c r="E14" s="5"/>
      <c r="F14" s="4"/>
      <c r="G14" s="5"/>
      <c r="H14" s="5"/>
      <c r="I14" s="4"/>
      <c r="J14" s="2"/>
      <c r="K14" s="5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2">
        <v>0.5</v>
      </c>
      <c r="B15" s="100" t="s">
        <v>8</v>
      </c>
      <c r="C15" s="84">
        <f>SUMIFS('Trading History'!$N$4:$N1003, 'Trading History'!$K$4:$K1003, CONCAT("&gt;", $A15))</f>
        <v>290.8979834</v>
      </c>
      <c r="D15" s="79"/>
      <c r="E15" s="86" t="s">
        <v>31</v>
      </c>
      <c r="F15" s="84">
        <f>IFERROR(SUMIFS('Trading History'!$R$4:$R1003, 'Trading History'!$O$4:$O1003, CONCAT("&gt;", $A15)), 0)</f>
        <v>290.8979834</v>
      </c>
      <c r="G15" s="93"/>
      <c r="H15" s="87" t="s">
        <v>32</v>
      </c>
      <c r="I15" s="84">
        <f>SUMIFS('Trading History'!$V$4:$V1003, 'Trading History'!$S$4:$S1003, CONCAT("&gt;", $A15))</f>
        <v>0</v>
      </c>
      <c r="J15" s="79"/>
      <c r="K15" s="88" t="s">
        <v>8</v>
      </c>
      <c r="L15" s="84">
        <f>SUMIFS('Trading History'!$AB$4:$AB1003, 'Trading History'!$Y$4:$Y1003, CONCAT("&gt;", $A15))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9"/>
      <c r="B16" s="96" t="s">
        <v>33</v>
      </c>
      <c r="C16" s="91">
        <f>IFERROR(Index!C17/(Index!C15*Index!$J$1), 0)</f>
        <v>0</v>
      </c>
      <c r="D16" s="79"/>
      <c r="E16" s="92" t="s">
        <v>34</v>
      </c>
      <c r="F16" s="91">
        <f>IFERROR(Index!F17/(Index!F15*Index!$J$1), 0)</f>
        <v>0</v>
      </c>
      <c r="G16" s="98"/>
      <c r="H16" s="94" t="s">
        <v>35</v>
      </c>
      <c r="I16" s="91">
        <f>IFERROR(Index!I17/(Index!I15*Index!$J$1), 0)</f>
        <v>0</v>
      </c>
      <c r="J16" s="79"/>
      <c r="K16" s="95" t="s">
        <v>33</v>
      </c>
      <c r="L16" s="91">
        <f>IFERROR(Index!L17/(Index!L15*Index!$J$1), 0)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9"/>
      <c r="B17" s="96" t="s">
        <v>16</v>
      </c>
      <c r="C17" s="97">
        <f>SUMIFS('Trading History'!$L$4:$L1003, 'Trading History'!$K$4:$K1003, CONCAT("&gt;", $A15))</f>
        <v>5795.444164</v>
      </c>
      <c r="D17" s="79"/>
      <c r="E17" s="92" t="s">
        <v>36</v>
      </c>
      <c r="F17" s="97">
        <f>SUMIFS('Trading History'!$P$4:$P1003, 'Trading History'!$O$4:$O1003, CONCAT("&gt;", $A15))</f>
        <v>5795.444164</v>
      </c>
      <c r="G17" s="99"/>
      <c r="H17" s="94" t="s">
        <v>37</v>
      </c>
      <c r="I17" s="97">
        <f>SUMIFS('Trading History'!$T$4:$T1003, 'Trading History'!$S$4:$S1003, CONCAT("&gt;", $A15))</f>
        <v>0</v>
      </c>
      <c r="J17" s="79"/>
      <c r="K17" s="95" t="s">
        <v>16</v>
      </c>
      <c r="L17" s="97">
        <f>SUMIFS('Trading History'!$Z$4:$Z1003, 'Trading History'!$Y$4:$Y1003, CONCAT("&gt;", $A15))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9"/>
      <c r="B18" s="96" t="s">
        <v>38</v>
      </c>
      <c r="C18" s="97">
        <f>Index!C19-Index!C17</f>
        <v>4999.78</v>
      </c>
      <c r="D18" s="79"/>
      <c r="E18" s="92" t="s">
        <v>39</v>
      </c>
      <c r="F18" s="97">
        <f>Index!F19-Index!F17</f>
        <v>4999.78</v>
      </c>
      <c r="G18" s="85"/>
      <c r="H18" s="94" t="s">
        <v>40</v>
      </c>
      <c r="I18" s="97">
        <f>Index!I19-Index!I17</f>
        <v>0</v>
      </c>
      <c r="J18" s="79"/>
      <c r="K18" s="95" t="s">
        <v>38</v>
      </c>
      <c r="L18" s="97">
        <f>Index!L19-Index!L17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9"/>
      <c r="B19" s="96" t="s">
        <v>17</v>
      </c>
      <c r="C19" s="97">
        <f>SUMIFS('Trading History'!$M$4:$M1003, 'Trading History'!$K$4:$K1003, CONCAT("&gt;", $A15))</f>
        <v>10795.22416</v>
      </c>
      <c r="D19" s="79"/>
      <c r="E19" s="92" t="s">
        <v>41</v>
      </c>
      <c r="F19" s="97">
        <f>SUMIFS('Trading History'!$Q$4:$Q1003, 'Trading History'!$O$4:$O1003, CONCAT("&gt;", $A15))</f>
        <v>10795.22416</v>
      </c>
      <c r="G19" s="85"/>
      <c r="H19" s="94" t="s">
        <v>42</v>
      </c>
      <c r="I19" s="97">
        <f>SUMIFS('Trading History'!$U$4:$U1003, 'Trading History'!$S$4:$S1003, CONCAT("&gt;", $A15))</f>
        <v>0</v>
      </c>
      <c r="J19" s="79"/>
      <c r="K19" s="95" t="s">
        <v>17</v>
      </c>
      <c r="L19" s="97">
        <f>SUMIFS('Trading History'!$AA$4:$AA1003, 'Trading History'!$Y$4:$Y1003, CONCAT("&gt;", $A15))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9"/>
      <c r="B20" s="2"/>
      <c r="C20" s="4"/>
      <c r="D20" s="2"/>
      <c r="E20" s="5"/>
      <c r="F20" s="4"/>
      <c r="G20" s="5"/>
      <c r="H20" s="5"/>
      <c r="I20" s="4"/>
      <c r="J20" s="2"/>
      <c r="K20" s="5"/>
      <c r="L20" s="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9"/>
      <c r="B21" s="2"/>
      <c r="C21" s="4"/>
      <c r="D21" s="2"/>
      <c r="E21" s="5"/>
      <c r="F21" s="4"/>
      <c r="G21" s="5"/>
      <c r="H21" s="5"/>
      <c r="I21" s="4"/>
      <c r="J21" s="2"/>
      <c r="K21" s="5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2">
        <v>0.45</v>
      </c>
      <c r="B22" s="100" t="s">
        <v>8</v>
      </c>
      <c r="C22" s="84">
        <f>SUMIFS('Trading History'!$N$4:$N1003, 'Trading History'!$K$4:$K1003, CONCAT("&gt;", $A22))</f>
        <v>290.8979834</v>
      </c>
      <c r="D22" s="79"/>
      <c r="E22" s="86" t="s">
        <v>31</v>
      </c>
      <c r="F22" s="84">
        <f>IFERROR(SUMIFS('Trading History'!$R$4:$R1003, 'Trading History'!$O$4:$O1003, CONCAT("&gt;", $A22)), 0)</f>
        <v>290.8979834</v>
      </c>
      <c r="G22" s="79"/>
      <c r="H22" s="87" t="s">
        <v>32</v>
      </c>
      <c r="I22" s="84">
        <f>SUMIFS('Trading History'!$V$4:$V1003, 'Trading History'!$S$4:$S1003, CONCAT("&gt;", $A22))</f>
        <v>0</v>
      </c>
      <c r="J22" s="79"/>
      <c r="K22" s="88" t="s">
        <v>8</v>
      </c>
      <c r="L22" s="84">
        <f>SUMIFS('Trading History'!$AB$4:$AB1003, 'Trading History'!$Y$4:$Y1003, CONCAT("&gt;", $A22))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96" t="s">
        <v>33</v>
      </c>
      <c r="C23" s="91">
        <f>IFERROR(Index!C24/(Index!C22*Index!$J$1), 0)</f>
        <v>0</v>
      </c>
      <c r="D23" s="79"/>
      <c r="E23" s="92" t="s">
        <v>34</v>
      </c>
      <c r="F23" s="91">
        <f>IFERROR(Index!F24/(Index!F22*Index!$J$1), 0)</f>
        <v>0</v>
      </c>
      <c r="G23" s="79"/>
      <c r="H23" s="94" t="s">
        <v>35</v>
      </c>
      <c r="I23" s="91">
        <f>IFERROR(Index!I24/(Index!I22*Index!$J$1), 0)</f>
        <v>0</v>
      </c>
      <c r="J23" s="79"/>
      <c r="K23" s="95" t="s">
        <v>33</v>
      </c>
      <c r="L23" s="91">
        <f>IFERROR(Index!L24/(Index!L22*Index!$J$1), 0)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96" t="s">
        <v>16</v>
      </c>
      <c r="C24" s="97">
        <f>SUMIFS('Trading History'!$L$4:$L1003, 'Trading History'!$K$4:$K1003, CONCAT("&gt;", $A22))</f>
        <v>5795.444164</v>
      </c>
      <c r="D24" s="79"/>
      <c r="E24" s="92" t="s">
        <v>36</v>
      </c>
      <c r="F24" s="97">
        <f>SUMIFS('Trading History'!$P$4:$P1003, 'Trading History'!$O$4:$O1003, CONCAT("&gt;", $A22))</f>
        <v>5795.444164</v>
      </c>
      <c r="G24" s="79"/>
      <c r="H24" s="94" t="s">
        <v>37</v>
      </c>
      <c r="I24" s="97">
        <f>SUMIFS('Trading History'!$T$4:$T1003, 'Trading History'!$S$4:$S1003, CONCAT("&gt;", $A22))</f>
        <v>0</v>
      </c>
      <c r="J24" s="79"/>
      <c r="K24" s="95" t="s">
        <v>16</v>
      </c>
      <c r="L24" s="97">
        <f>SUMIFS('Trading History'!$Z$4:$Z1003, 'Trading History'!$Y$4:$Y1003, CONCAT("&gt;", $A22))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96" t="s">
        <v>38</v>
      </c>
      <c r="C25" s="97">
        <f>Index!C26-Index!C24</f>
        <v>4999.78</v>
      </c>
      <c r="D25" s="79"/>
      <c r="E25" s="92" t="s">
        <v>39</v>
      </c>
      <c r="F25" s="97">
        <f>Index!F26-Index!F24</f>
        <v>4999.78</v>
      </c>
      <c r="G25" s="79"/>
      <c r="H25" s="94" t="s">
        <v>40</v>
      </c>
      <c r="I25" s="97">
        <f>Index!I26-Index!I24</f>
        <v>0</v>
      </c>
      <c r="J25" s="79"/>
      <c r="K25" s="95" t="s">
        <v>38</v>
      </c>
      <c r="L25" s="97">
        <f>Index!L26-Index!L24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96" t="s">
        <v>17</v>
      </c>
      <c r="C26" s="97">
        <f>SUMIFS('Trading History'!$M$4:$M1003, 'Trading History'!$K$4:$K1003, CONCAT("&gt;", $A22))</f>
        <v>10795.22416</v>
      </c>
      <c r="D26" s="79"/>
      <c r="E26" s="92" t="s">
        <v>41</v>
      </c>
      <c r="F26" s="97">
        <f>SUMIFS('Trading History'!$Q$4:$Q1003, 'Trading History'!$O$4:$O1003, CONCAT("&gt;", $A22))</f>
        <v>10795.22416</v>
      </c>
      <c r="G26" s="79"/>
      <c r="H26" s="94" t="s">
        <v>42</v>
      </c>
      <c r="I26" s="97">
        <f>SUMIFS('Trading History'!$U$4:$U1003, 'Trading History'!$S$4:$S1003, CONCAT("&gt;", $A22))</f>
        <v>0</v>
      </c>
      <c r="J26" s="79"/>
      <c r="K26" s="95" t="s">
        <v>17</v>
      </c>
      <c r="L26" s="97">
        <f>SUMIFS('Trading History'!$AA$4:$AA1003, 'Trading History'!$Y$4:$Y1003, CONCAT("&gt;", $A22))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9"/>
      <c r="B28" s="2"/>
      <c r="C28" s="4"/>
      <c r="D28" s="2"/>
      <c r="E28" s="5"/>
      <c r="F28" s="4"/>
      <c r="G28" s="2"/>
      <c r="H28" s="5"/>
      <c r="I28" s="4"/>
      <c r="J28" s="2"/>
      <c r="K28" s="5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2">
        <v>0.4</v>
      </c>
      <c r="B29" s="100" t="s">
        <v>8</v>
      </c>
      <c r="C29" s="84">
        <f>SUMIFS('Trading History'!$N$4:$N1003, 'Trading History'!$K$4:$K1003, CONCAT("&gt;", $A29))</f>
        <v>290.8979834</v>
      </c>
      <c r="D29" s="79"/>
      <c r="E29" s="86" t="s">
        <v>31</v>
      </c>
      <c r="F29" s="84">
        <f>IFERROR(SUMIFS('Trading History'!$R$4:$R1003, 'Trading History'!$O$4:$O1003, CONCAT("&gt;", $A29)), 0)</f>
        <v>290.8979834</v>
      </c>
      <c r="G29" s="79"/>
      <c r="H29" s="87" t="s">
        <v>32</v>
      </c>
      <c r="I29" s="84">
        <f>SUMIFS('Trading History'!$V$4:$V1003, 'Trading History'!$S$4:$S1003, CONCAT("&gt;", $A29))</f>
        <v>0</v>
      </c>
      <c r="J29" s="79"/>
      <c r="K29" s="88" t="s">
        <v>8</v>
      </c>
      <c r="L29" s="84">
        <f>SUMIFS('Trading History'!$AB$4:$AB1003, 'Trading History'!$Y$4:$Y1003, CONCAT("&gt;", $A29))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96" t="s">
        <v>33</v>
      </c>
      <c r="C30" s="91">
        <f>IFERROR(Index!C31/(Index!C29*Index!$J$1), 0)</f>
        <v>0</v>
      </c>
      <c r="D30" s="79"/>
      <c r="E30" s="92" t="s">
        <v>34</v>
      </c>
      <c r="F30" s="91">
        <f>IFERROR(Index!F31/(Index!F29*Index!$J$1), 0)</f>
        <v>0</v>
      </c>
      <c r="G30" s="79"/>
      <c r="H30" s="94" t="s">
        <v>35</v>
      </c>
      <c r="I30" s="91">
        <f>IFERROR(Index!I31/(Index!I29*Index!$J$1), 0)</f>
        <v>0</v>
      </c>
      <c r="J30" s="79"/>
      <c r="K30" s="95" t="s">
        <v>33</v>
      </c>
      <c r="L30" s="91">
        <f>IFERROR(Index!L31/(Index!L29*Index!$J$1), 0)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96" t="s">
        <v>16</v>
      </c>
      <c r="C31" s="97">
        <f>SUMIFS('Trading History'!$L$4:$L1003, 'Trading History'!$K$4:$K1003, CONCAT("&gt;", $A29))</f>
        <v>5795.444164</v>
      </c>
      <c r="D31" s="79"/>
      <c r="E31" s="92" t="s">
        <v>36</v>
      </c>
      <c r="F31" s="97">
        <f>SUMIFS('Trading History'!$P$4:$P1003, 'Trading History'!$O$4:$O1003, CONCAT("&gt;", $A29))</f>
        <v>5795.444164</v>
      </c>
      <c r="G31" s="79"/>
      <c r="H31" s="94" t="s">
        <v>37</v>
      </c>
      <c r="I31" s="97">
        <f>SUMIFS('Trading History'!$T$4:$T1003, 'Trading History'!$S$4:$S1003, CONCAT("&gt;", $A29))</f>
        <v>0</v>
      </c>
      <c r="J31" s="79"/>
      <c r="K31" s="95" t="s">
        <v>16</v>
      </c>
      <c r="L31" s="97">
        <f>SUMIFS('Trading History'!$Z$4:$Z1003, 'Trading History'!$Y$4:$Y1003, CONCAT("&gt;", $A29))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96" t="s">
        <v>38</v>
      </c>
      <c r="C32" s="97">
        <f>Index!C33-Index!C31</f>
        <v>4999.78</v>
      </c>
      <c r="D32" s="79"/>
      <c r="E32" s="92" t="s">
        <v>39</v>
      </c>
      <c r="F32" s="97">
        <f>Index!F33-Index!F31</f>
        <v>4999.78</v>
      </c>
      <c r="G32" s="79"/>
      <c r="H32" s="94" t="s">
        <v>40</v>
      </c>
      <c r="I32" s="97">
        <f>Index!I33-Index!I31</f>
        <v>0</v>
      </c>
      <c r="J32" s="79"/>
      <c r="K32" s="95" t="s">
        <v>38</v>
      </c>
      <c r="L32" s="97">
        <f>Index!L33-Index!L31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96" t="s">
        <v>17</v>
      </c>
      <c r="C33" s="97">
        <f>SUMIFS('Trading History'!$M$4:$M1003, 'Trading History'!$K$4:$K1003, CONCAT("&gt;", $A29))</f>
        <v>10795.22416</v>
      </c>
      <c r="D33" s="79"/>
      <c r="E33" s="92" t="s">
        <v>41</v>
      </c>
      <c r="F33" s="97">
        <f>SUMIFS('Trading History'!$Q$4:$Q1003, 'Trading History'!$O$4:$O1003, CONCAT("&gt;", $A29))</f>
        <v>10795.22416</v>
      </c>
      <c r="G33" s="79"/>
      <c r="H33" s="94" t="s">
        <v>42</v>
      </c>
      <c r="I33" s="97">
        <f>SUMIFS('Trading History'!$U$4:$U1003, 'Trading History'!$S$4:$S1003, CONCAT("&gt;", $A29))</f>
        <v>0</v>
      </c>
      <c r="J33" s="79"/>
      <c r="K33" s="95" t="s">
        <v>17</v>
      </c>
      <c r="L33" s="97">
        <f>SUMIFS('Trading History'!$AA$4:$AA1003, 'Trading History'!$Y$4:$Y1003, CONCAT("&gt;", $A29))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9"/>
      <c r="B35" s="2"/>
      <c r="C35" s="4"/>
      <c r="D35" s="2"/>
      <c r="E35" s="5"/>
      <c r="F35" s="4"/>
      <c r="G35" s="2"/>
      <c r="H35" s="5"/>
      <c r="I35" s="4"/>
      <c r="J35" s="2"/>
      <c r="K35" s="5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2">
        <v>0.35</v>
      </c>
      <c r="B36" s="100" t="s">
        <v>8</v>
      </c>
      <c r="C36" s="84">
        <f>SUMIFS('Trading History'!$N$4:$N1003, 'Trading History'!$K$4:$K1003, CONCAT("&gt;", $A36))</f>
        <v>290.8979834</v>
      </c>
      <c r="D36" s="79"/>
      <c r="E36" s="86" t="s">
        <v>31</v>
      </c>
      <c r="F36" s="84">
        <f>IFERROR(SUMIFS('Trading History'!$R$4:$R1003, 'Trading History'!$O$4:$O1003, CONCAT("&gt;", $A36)), 0)</f>
        <v>290.8979834</v>
      </c>
      <c r="G36" s="79"/>
      <c r="H36" s="87" t="s">
        <v>32</v>
      </c>
      <c r="I36" s="84">
        <f>SUMIFS('Trading History'!$V$4:$V1003, 'Trading History'!$S$4:$S1003, CONCAT("&gt;", $A36))</f>
        <v>0</v>
      </c>
      <c r="J36" s="79"/>
      <c r="K36" s="88" t="s">
        <v>8</v>
      </c>
      <c r="L36" s="84">
        <f>SUMIFS('Trading History'!$AB$4:$AB1003, 'Trading History'!$Y$4:$Y1003, CONCAT("&gt;", $A36))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96" t="s">
        <v>33</v>
      </c>
      <c r="C37" s="91">
        <f>IFERROR(Index!C38/(Index!C36*Index!$J$1), 0)</f>
        <v>0</v>
      </c>
      <c r="D37" s="79"/>
      <c r="E37" s="92" t="s">
        <v>34</v>
      </c>
      <c r="F37" s="91">
        <f>IFERROR(Index!F38/(Index!F36*Index!$J$1), 0)</f>
        <v>0</v>
      </c>
      <c r="G37" s="79"/>
      <c r="H37" s="94" t="s">
        <v>35</v>
      </c>
      <c r="I37" s="91">
        <f>IFERROR(Index!I38/(Index!I36*Index!$J$1), 0)</f>
        <v>0</v>
      </c>
      <c r="J37" s="79"/>
      <c r="K37" s="95" t="s">
        <v>33</v>
      </c>
      <c r="L37" s="91">
        <f>IFERROR(Index!L38/(Index!L36*Index!$J$1), 0)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96" t="s">
        <v>16</v>
      </c>
      <c r="C38" s="97">
        <f>SUMIFS('Trading History'!$L$4:$L1003, 'Trading History'!$K$4:$K1003, CONCAT("&gt;", $A36))</f>
        <v>5795.444164</v>
      </c>
      <c r="D38" s="79"/>
      <c r="E38" s="92" t="s">
        <v>36</v>
      </c>
      <c r="F38" s="97">
        <f>SUMIFS('Trading History'!$P$4:$P1003, 'Trading History'!$O$4:$O1003, CONCAT("&gt;", $A36))</f>
        <v>5795.444164</v>
      </c>
      <c r="G38" s="79"/>
      <c r="H38" s="94" t="s">
        <v>37</v>
      </c>
      <c r="I38" s="97">
        <f>SUMIFS('Trading History'!$T$4:$T1003, 'Trading History'!$S$4:$S1003, CONCAT("&gt;", $A36))</f>
        <v>0</v>
      </c>
      <c r="J38" s="79"/>
      <c r="K38" s="95" t="s">
        <v>16</v>
      </c>
      <c r="L38" s="97">
        <f>SUMIFS('Trading History'!$Z$4:$Z1003, 'Trading History'!$Y$4:$Y1003, CONCAT("&gt;", $A36))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96" t="s">
        <v>38</v>
      </c>
      <c r="C39" s="97">
        <f>Index!C40-Index!C38</f>
        <v>4999.78</v>
      </c>
      <c r="D39" s="79"/>
      <c r="E39" s="92" t="s">
        <v>39</v>
      </c>
      <c r="F39" s="97">
        <f>Index!F40-Index!F38</f>
        <v>4999.78</v>
      </c>
      <c r="G39" s="79"/>
      <c r="H39" s="94" t="s">
        <v>40</v>
      </c>
      <c r="I39" s="97">
        <f>Index!I40-Index!I38</f>
        <v>0</v>
      </c>
      <c r="J39" s="79"/>
      <c r="K39" s="95" t="s">
        <v>38</v>
      </c>
      <c r="L39" s="97">
        <f>Index!L40-Index!L38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96" t="s">
        <v>17</v>
      </c>
      <c r="C40" s="97">
        <f>SUMIFS('Trading History'!$M$4:$M1003, 'Trading History'!$K$4:$K1003, CONCAT("&gt;", $A36))</f>
        <v>10795.22416</v>
      </c>
      <c r="D40" s="79"/>
      <c r="E40" s="92" t="s">
        <v>41</v>
      </c>
      <c r="F40" s="97">
        <f>SUMIFS('Trading History'!$Q$4:$Q1003, 'Trading History'!$O$4:$O1003, CONCAT("&gt;", $A36))</f>
        <v>10795.22416</v>
      </c>
      <c r="G40" s="79"/>
      <c r="H40" s="94" t="s">
        <v>42</v>
      </c>
      <c r="I40" s="97">
        <f>SUMIFS('Trading History'!$U$4:$U1003, 'Trading History'!$S$4:$S1003, CONCAT("&gt;", $A36))</f>
        <v>0</v>
      </c>
      <c r="J40" s="79"/>
      <c r="K40" s="95" t="s">
        <v>17</v>
      </c>
      <c r="L40" s="97">
        <f>SUMIFS('Trading History'!$AA$4:$AA1003, 'Trading History'!$Y$4:$Y1003, CONCAT("&gt;", $A36))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9"/>
      <c r="B42" s="2"/>
      <c r="C42" s="4"/>
      <c r="D42" s="2"/>
      <c r="E42" s="5"/>
      <c r="F42" s="4"/>
      <c r="G42" s="2"/>
      <c r="H42" s="5"/>
      <c r="I42" s="4"/>
      <c r="J42" s="2"/>
      <c r="K42" s="5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2">
        <v>0.3</v>
      </c>
      <c r="B43" s="100" t="s">
        <v>8</v>
      </c>
      <c r="C43" s="84">
        <f>SUMIFS('Trading History'!$N$4:$N1003, 'Trading History'!$K$4:$K1003, CONCAT("&gt;", $A43))</f>
        <v>290.8979834</v>
      </c>
      <c r="D43" s="79"/>
      <c r="E43" s="86" t="s">
        <v>31</v>
      </c>
      <c r="F43" s="84">
        <f>IFERROR(SUMIFS('Trading History'!$R$4:$R1003, 'Trading History'!$O$4:$O1003, CONCAT("&gt;", $A43)), 0)</f>
        <v>290.8979834</v>
      </c>
      <c r="G43" s="79"/>
      <c r="H43" s="87" t="s">
        <v>32</v>
      </c>
      <c r="I43" s="84">
        <f>SUMIFS('Trading History'!$V$4:$V1003, 'Trading History'!$S$4:$S1003, CONCAT("&gt;", $A43))</f>
        <v>0</v>
      </c>
      <c r="J43" s="79"/>
      <c r="K43" s="88" t="s">
        <v>8</v>
      </c>
      <c r="L43" s="84">
        <f>SUMIFS('Trading History'!$AB$4:$AB1003, 'Trading History'!$Y$4:$Y1003, CONCAT("&gt;", $A43))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6" t="s">
        <v>33</v>
      </c>
      <c r="C44" s="91">
        <f>IFERROR(Index!C45/(Index!C43*Index!$J$1), 0)</f>
        <v>0</v>
      </c>
      <c r="D44" s="79"/>
      <c r="E44" s="92" t="s">
        <v>34</v>
      </c>
      <c r="F44" s="91">
        <f>IFERROR(Index!F45/(Index!F43*Index!$J$1), 0)</f>
        <v>0</v>
      </c>
      <c r="G44" s="79"/>
      <c r="H44" s="94" t="s">
        <v>35</v>
      </c>
      <c r="I44" s="91">
        <f>IFERROR(Index!I45/(Index!I43*Index!$J$1), 0)</f>
        <v>0</v>
      </c>
      <c r="J44" s="79"/>
      <c r="K44" s="95" t="s">
        <v>33</v>
      </c>
      <c r="L44" s="91">
        <f>IFERROR(Index!L45/(Index!L43*Index!$J$1), 0)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96" t="s">
        <v>16</v>
      </c>
      <c r="C45" s="97">
        <f>SUMIFS('Trading History'!$L$4:$L1003, 'Trading History'!$K$4:$K1003, CONCAT("&gt;", $A43))</f>
        <v>5795.444164</v>
      </c>
      <c r="D45" s="79"/>
      <c r="E45" s="92" t="s">
        <v>36</v>
      </c>
      <c r="F45" s="97">
        <f>SUMIFS('Trading History'!$P$4:$P1003, 'Trading History'!$O$4:$O1003, CONCAT("&gt;", $A43))</f>
        <v>5795.444164</v>
      </c>
      <c r="G45" s="79"/>
      <c r="H45" s="94" t="s">
        <v>37</v>
      </c>
      <c r="I45" s="97">
        <f>SUMIFS('Trading History'!$T$4:$T1003, 'Trading History'!$S$4:$S1003, CONCAT("&gt;", $A43))</f>
        <v>0</v>
      </c>
      <c r="J45" s="79"/>
      <c r="K45" s="95" t="s">
        <v>16</v>
      </c>
      <c r="L45" s="97">
        <f>SUMIFS('Trading History'!$Z$4:$Z1003, 'Trading History'!$Y$4:$Y1003, CONCAT("&gt;", $A43))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96" t="s">
        <v>38</v>
      </c>
      <c r="C46" s="97">
        <f>Index!C47-Index!C45</f>
        <v>4999.78</v>
      </c>
      <c r="D46" s="79"/>
      <c r="E46" s="92" t="s">
        <v>39</v>
      </c>
      <c r="F46" s="97">
        <f>Index!F47-Index!F45</f>
        <v>4999.78</v>
      </c>
      <c r="G46" s="79"/>
      <c r="H46" s="94" t="s">
        <v>40</v>
      </c>
      <c r="I46" s="97">
        <f>Index!I47-Index!I45</f>
        <v>0</v>
      </c>
      <c r="J46" s="79"/>
      <c r="K46" s="95" t="s">
        <v>38</v>
      </c>
      <c r="L46" s="97">
        <f>Index!L47-Index!L45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96" t="s">
        <v>17</v>
      </c>
      <c r="C47" s="97">
        <f>SUMIFS('Trading History'!$M$4:$M1003, 'Trading History'!$K$4:$K1003, CONCAT("&gt;", $A43))</f>
        <v>10795.22416</v>
      </c>
      <c r="D47" s="79"/>
      <c r="E47" s="92" t="s">
        <v>41</v>
      </c>
      <c r="F47" s="97">
        <f>SUMIFS('Trading History'!$Q$4:$Q1003, 'Trading History'!$O$4:$O1003, CONCAT("&gt;", $A43))</f>
        <v>10795.22416</v>
      </c>
      <c r="G47" s="79"/>
      <c r="H47" s="94" t="s">
        <v>42</v>
      </c>
      <c r="I47" s="97">
        <f>SUMIFS('Trading History'!$U$4:$U1003, 'Trading History'!$S$4:$S1003, CONCAT("&gt;", $A43))</f>
        <v>0</v>
      </c>
      <c r="J47" s="79"/>
      <c r="K47" s="95" t="s">
        <v>17</v>
      </c>
      <c r="L47" s="97">
        <f>SUMIFS('Trading History'!$AA$4:$AA1003, 'Trading History'!$Y$4:$Y1003, CONCAT("&gt;", $A43))</f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9"/>
      <c r="B49" s="2"/>
      <c r="C49" s="4"/>
      <c r="D49" s="2"/>
      <c r="E49" s="5"/>
      <c r="F49" s="4"/>
      <c r="G49" s="2"/>
      <c r="H49" s="5"/>
      <c r="I49" s="4"/>
      <c r="J49" s="2"/>
      <c r="K49" s="5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2">
        <v>0.25</v>
      </c>
      <c r="B50" s="100" t="s">
        <v>8</v>
      </c>
      <c r="C50" s="84">
        <f>SUMIFS('Trading History'!$N$4:$N1003, 'Trading History'!$K$4:$K1003, CONCAT("&gt;", $A50))</f>
        <v>290.8979834</v>
      </c>
      <c r="D50" s="79"/>
      <c r="E50" s="86" t="s">
        <v>31</v>
      </c>
      <c r="F50" s="84">
        <f>IFERROR(SUMIFS('Trading History'!$R$4:$R1003, 'Trading History'!$O$4:$O1003, CONCAT("&gt;", $A50)), 0)</f>
        <v>290.8979834</v>
      </c>
      <c r="G50" s="79"/>
      <c r="H50" s="87" t="s">
        <v>32</v>
      </c>
      <c r="I50" s="84">
        <f>SUMIFS('Trading History'!$V$4:$V1003, 'Trading History'!$S$4:$S1003, CONCAT("&gt;", $A50))</f>
        <v>0</v>
      </c>
      <c r="J50" s="79"/>
      <c r="K50" s="88" t="s">
        <v>8</v>
      </c>
      <c r="L50" s="84">
        <f>SUMIFS('Trading History'!$AB$4:$AB1003, 'Trading History'!$Y$4:$Y1003, CONCAT("&gt;", $A50))</f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96" t="s">
        <v>33</v>
      </c>
      <c r="C51" s="91">
        <f>IFERROR(Index!C52/(Index!C50*Index!$J$1), 0)</f>
        <v>0</v>
      </c>
      <c r="D51" s="79"/>
      <c r="E51" s="92" t="s">
        <v>34</v>
      </c>
      <c r="F51" s="91">
        <f>IFERROR(Index!F52/(Index!F50*Index!$J$1), 0)</f>
        <v>0</v>
      </c>
      <c r="G51" s="79"/>
      <c r="H51" s="94" t="s">
        <v>35</v>
      </c>
      <c r="I51" s="91">
        <f>IFERROR(Index!I52/(Index!I50*Index!$J$1), 0)</f>
        <v>0</v>
      </c>
      <c r="J51" s="79"/>
      <c r="K51" s="95" t="s">
        <v>33</v>
      </c>
      <c r="L51" s="91">
        <f>IFERROR(Index!L52/(Index!L50*Index!$J$1), 0)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96" t="s">
        <v>16</v>
      </c>
      <c r="C52" s="97">
        <f>SUMIFS('Trading History'!$L$4:$L1003, 'Trading History'!$K$4:$K1003, CONCAT("&gt;", $A50))</f>
        <v>5795.444164</v>
      </c>
      <c r="D52" s="79"/>
      <c r="E52" s="92" t="s">
        <v>36</v>
      </c>
      <c r="F52" s="97">
        <f>SUMIFS('Trading History'!$P$4:$P1003, 'Trading History'!$O$4:$O1003, CONCAT("&gt;", $A50))</f>
        <v>5795.444164</v>
      </c>
      <c r="G52" s="79"/>
      <c r="H52" s="94" t="s">
        <v>37</v>
      </c>
      <c r="I52" s="97">
        <f>SUMIFS('Trading History'!$T$4:$T1003, 'Trading History'!$S$4:$S1003, CONCAT("&gt;", $A50))</f>
        <v>0</v>
      </c>
      <c r="J52" s="79"/>
      <c r="K52" s="95" t="s">
        <v>16</v>
      </c>
      <c r="L52" s="97">
        <f>SUMIFS('Trading History'!$Z$4:$Z1003, 'Trading History'!$Y$4:$Y1003, CONCAT("&gt;", $A50))</f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96" t="s">
        <v>38</v>
      </c>
      <c r="C53" s="97">
        <f>Index!C54-Index!C52</f>
        <v>4999.78</v>
      </c>
      <c r="D53" s="79"/>
      <c r="E53" s="92" t="s">
        <v>39</v>
      </c>
      <c r="F53" s="97">
        <f>Index!F54-Index!F52</f>
        <v>4999.78</v>
      </c>
      <c r="G53" s="79"/>
      <c r="H53" s="94" t="s">
        <v>40</v>
      </c>
      <c r="I53" s="97">
        <f>Index!I54-Index!I52</f>
        <v>0</v>
      </c>
      <c r="J53" s="79"/>
      <c r="K53" s="95" t="s">
        <v>38</v>
      </c>
      <c r="L53" s="97">
        <f>Index!L54-Index!L52</f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96" t="s">
        <v>17</v>
      </c>
      <c r="C54" s="97">
        <f>SUMIFS('Trading History'!$M$4:$M1003, 'Trading History'!$K$4:$K1003, CONCAT("&gt;", $A50))</f>
        <v>10795.22416</v>
      </c>
      <c r="D54" s="79"/>
      <c r="E54" s="92" t="s">
        <v>41</v>
      </c>
      <c r="F54" s="97">
        <f>SUMIFS('Trading History'!$Q$4:$Q1003, 'Trading History'!$O$4:$O1003, CONCAT("&gt;", $A50))</f>
        <v>10795.22416</v>
      </c>
      <c r="G54" s="79"/>
      <c r="H54" s="94" t="s">
        <v>42</v>
      </c>
      <c r="I54" s="97">
        <f>SUMIFS('Trading History'!$U$4:$U1003, 'Trading History'!$S$4:$S1003, CONCAT("&gt;", $A50))</f>
        <v>0</v>
      </c>
      <c r="J54" s="79"/>
      <c r="K54" s="95" t="s">
        <v>17</v>
      </c>
      <c r="L54" s="97">
        <f>SUMIFS('Trading History'!$AA$4:$AA1003, 'Trading History'!$Y$4:$Y1003, CONCAT("&gt;", $A50))</f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5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9"/>
      <c r="B56" s="2"/>
      <c r="C56" s="4"/>
      <c r="D56" s="2"/>
      <c r="E56" s="5"/>
      <c r="F56" s="4"/>
      <c r="G56" s="2"/>
      <c r="H56" s="5"/>
      <c r="I56" s="4"/>
      <c r="J56" s="2"/>
      <c r="K56" s="5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2">
        <v>0.2</v>
      </c>
      <c r="B57" s="100" t="s">
        <v>8</v>
      </c>
      <c r="C57" s="84">
        <f>SUMIFS('Trading History'!$N$4:$N1003, 'Trading History'!$K$4:$K1003, CONCAT("&gt;", $A57))</f>
        <v>290.8979834</v>
      </c>
      <c r="D57" s="79"/>
      <c r="E57" s="86" t="s">
        <v>31</v>
      </c>
      <c r="F57" s="84">
        <f>IFERROR(SUMIFS('Trading History'!$R$4:$R1003, 'Trading History'!$O$4:$O1003, CONCAT("&gt;", $A57)), 0)</f>
        <v>290.8979834</v>
      </c>
      <c r="G57" s="79"/>
      <c r="H57" s="87" t="s">
        <v>32</v>
      </c>
      <c r="I57" s="84">
        <f>SUMIFS('Trading History'!$V$4:$V1003, 'Trading History'!$S$4:$S1003, CONCAT("&gt;", $A57))</f>
        <v>0</v>
      </c>
      <c r="J57" s="79"/>
      <c r="K57" s="88" t="s">
        <v>8</v>
      </c>
      <c r="L57" s="84">
        <f>SUMIFS('Trading History'!$AB$4:$AB1003, 'Trading History'!$Y$4:$Y1003, CONCAT("&gt;", $A57))</f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96" t="s">
        <v>33</v>
      </c>
      <c r="C58" s="91">
        <f>IFERROR(Index!C59/(Index!C57*Index!$J$1), 0)</f>
        <v>0</v>
      </c>
      <c r="D58" s="79"/>
      <c r="E58" s="92" t="s">
        <v>34</v>
      </c>
      <c r="F58" s="91">
        <f>IFERROR(Index!F59/(Index!F57*Index!$J$1), 0)</f>
        <v>0</v>
      </c>
      <c r="G58" s="79"/>
      <c r="H58" s="94" t="s">
        <v>35</v>
      </c>
      <c r="I58" s="91">
        <f>IFERROR(Index!I59/(Index!I57*Index!$J$1), 0)</f>
        <v>0</v>
      </c>
      <c r="J58" s="79"/>
      <c r="K58" s="95" t="s">
        <v>33</v>
      </c>
      <c r="L58" s="91">
        <f>IFERROR(Index!L59/(Index!L57*Index!$J$1), 0)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96" t="s">
        <v>16</v>
      </c>
      <c r="C59" s="97">
        <f>SUMIFS('Trading History'!$L$4:$L1003, 'Trading History'!$K$4:$K1003, CONCAT("&gt;", $A57))</f>
        <v>5795.444164</v>
      </c>
      <c r="D59" s="79"/>
      <c r="E59" s="92" t="s">
        <v>36</v>
      </c>
      <c r="F59" s="97">
        <f>SUMIFS('Trading History'!$P$4:$P1003, 'Trading History'!$O$4:$O1003, CONCAT("&gt;", $A57))</f>
        <v>5795.444164</v>
      </c>
      <c r="G59" s="79"/>
      <c r="H59" s="94" t="s">
        <v>37</v>
      </c>
      <c r="I59" s="97">
        <f>SUMIFS('Trading History'!$T$4:$T1003, 'Trading History'!$S$4:$S1003, CONCAT("&gt;", $A57))</f>
        <v>0</v>
      </c>
      <c r="J59" s="79"/>
      <c r="K59" s="95" t="s">
        <v>16</v>
      </c>
      <c r="L59" s="97">
        <f>SUMIFS('Trading History'!$Z$4:$Z1003, 'Trading History'!$Y$4:$Y1003, CONCAT("&gt;", $A57))</f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96" t="s">
        <v>38</v>
      </c>
      <c r="C60" s="97">
        <f>Index!C61-Index!C59</f>
        <v>4999.78</v>
      </c>
      <c r="D60" s="79"/>
      <c r="E60" s="92" t="s">
        <v>39</v>
      </c>
      <c r="F60" s="97">
        <f>Index!F61-Index!F59</f>
        <v>4999.78</v>
      </c>
      <c r="G60" s="79"/>
      <c r="H60" s="94" t="s">
        <v>40</v>
      </c>
      <c r="I60" s="97">
        <f>Index!I61-Index!I59</f>
        <v>0</v>
      </c>
      <c r="J60" s="79"/>
      <c r="K60" s="95" t="s">
        <v>38</v>
      </c>
      <c r="L60" s="97">
        <f>Index!L61-Index!L59</f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96" t="s">
        <v>17</v>
      </c>
      <c r="C61" s="97">
        <f>SUMIFS('Trading History'!$M$4:$M1003, 'Trading History'!$K$4:$K1003, CONCAT("&gt;", $A57))</f>
        <v>10795.22416</v>
      </c>
      <c r="D61" s="79"/>
      <c r="E61" s="92" t="s">
        <v>41</v>
      </c>
      <c r="F61" s="97">
        <f>SUMIFS('Trading History'!$Q$4:$Q1003, 'Trading History'!$O$4:$O1003, CONCAT("&gt;", $A57))</f>
        <v>10795.22416</v>
      </c>
      <c r="G61" s="79"/>
      <c r="H61" s="94" t="s">
        <v>42</v>
      </c>
      <c r="I61" s="97">
        <f>SUMIFS('Trading History'!$U$4:$U1003, 'Trading History'!$S$4:$S1003, CONCAT("&gt;", $A57))</f>
        <v>0</v>
      </c>
      <c r="J61" s="79"/>
      <c r="K61" s="95" t="s">
        <v>17</v>
      </c>
      <c r="L61" s="97">
        <f>SUMIFS('Trading History'!$AA$4:$AA1003, 'Trading History'!$Y$4:$Y1003, CONCAT("&gt;", $A57))</f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9"/>
      <c r="B63" s="2"/>
      <c r="C63" s="4"/>
      <c r="D63" s="2"/>
      <c r="E63" s="5"/>
      <c r="F63" s="4"/>
      <c r="G63" s="2"/>
      <c r="H63" s="5"/>
      <c r="I63" s="4"/>
      <c r="J63" s="2"/>
      <c r="K63" s="5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2">
        <v>0.15</v>
      </c>
      <c r="B64" s="100" t="s">
        <v>8</v>
      </c>
      <c r="C64" s="84">
        <f>SUMIFS('Trading History'!$N$4:$N1003, 'Trading History'!$K$4:$K1003, CONCAT("&gt;", $A64))</f>
        <v>290.8979834</v>
      </c>
      <c r="D64" s="79"/>
      <c r="E64" s="86" t="s">
        <v>31</v>
      </c>
      <c r="F64" s="84">
        <f>IFERROR(SUMIFS('Trading History'!$R$4:$R1003, 'Trading History'!$O$4:$O1003, CONCAT("&gt;", $A64)), 0)</f>
        <v>290.8979834</v>
      </c>
      <c r="G64" s="79"/>
      <c r="H64" s="87" t="s">
        <v>32</v>
      </c>
      <c r="I64" s="84">
        <f>SUMIFS('Trading History'!$V$4:$V1003, 'Trading History'!$S$4:$S1003, CONCAT("&gt;", $A64))</f>
        <v>0</v>
      </c>
      <c r="J64" s="79"/>
      <c r="K64" s="88" t="s">
        <v>8</v>
      </c>
      <c r="L64" s="84">
        <f>SUMIFS('Trading History'!$AB$4:$AB1003, 'Trading History'!$Y$4:$Y1003, CONCAT("&gt;", $A64))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96" t="s">
        <v>33</v>
      </c>
      <c r="C65" s="91">
        <f>IFERROR(Index!C66/(Index!C64*Index!$J$1), 0)</f>
        <v>0</v>
      </c>
      <c r="D65" s="79"/>
      <c r="E65" s="92" t="s">
        <v>34</v>
      </c>
      <c r="F65" s="91">
        <f>IFERROR(Index!F66/(Index!F64*Index!$J$1), 0)</f>
        <v>0</v>
      </c>
      <c r="G65" s="79"/>
      <c r="H65" s="94" t="s">
        <v>35</v>
      </c>
      <c r="I65" s="91">
        <f>IFERROR(Index!I66/(Index!I64*Index!$J$1), 0)</f>
        <v>0</v>
      </c>
      <c r="J65" s="79"/>
      <c r="K65" s="95" t="s">
        <v>33</v>
      </c>
      <c r="L65" s="91">
        <f>IFERROR(Index!L66/(Index!L64*Index!$J$1), 0)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96" t="s">
        <v>16</v>
      </c>
      <c r="C66" s="97">
        <f>SUMIFS('Trading History'!$L$4:$L1003, 'Trading History'!$K$4:$K1003, CONCAT("&gt;", $A64))</f>
        <v>5795.444164</v>
      </c>
      <c r="D66" s="79"/>
      <c r="E66" s="92" t="s">
        <v>36</v>
      </c>
      <c r="F66" s="97">
        <f>SUMIFS('Trading History'!$P$4:$P1003, 'Trading History'!$O$4:$O1003, CONCAT("&gt;", $A64))</f>
        <v>5795.444164</v>
      </c>
      <c r="G66" s="79"/>
      <c r="H66" s="94" t="s">
        <v>37</v>
      </c>
      <c r="I66" s="97">
        <f>SUMIFS('Trading History'!$T$4:$T1003, 'Trading History'!$S$4:$S1003, CONCAT("&gt;", $A64))</f>
        <v>0</v>
      </c>
      <c r="J66" s="79"/>
      <c r="K66" s="95" t="s">
        <v>16</v>
      </c>
      <c r="L66" s="97">
        <f>SUMIFS('Trading History'!$Z$4:$Z1003, 'Trading History'!$Y$4:$Y1003, CONCAT("&gt;", $A64))</f>
        <v>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96" t="s">
        <v>38</v>
      </c>
      <c r="C67" s="97">
        <f>Index!C68-Index!C66</f>
        <v>4999.78</v>
      </c>
      <c r="D67" s="79"/>
      <c r="E67" s="92" t="s">
        <v>39</v>
      </c>
      <c r="F67" s="97">
        <f>Index!F68-Index!F66</f>
        <v>4999.78</v>
      </c>
      <c r="G67" s="79"/>
      <c r="H67" s="94" t="s">
        <v>40</v>
      </c>
      <c r="I67" s="97">
        <f>Index!I68-Index!I66</f>
        <v>0</v>
      </c>
      <c r="J67" s="79"/>
      <c r="K67" s="95" t="s">
        <v>38</v>
      </c>
      <c r="L67" s="97">
        <f>Index!L68-Index!L66</f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96" t="s">
        <v>17</v>
      </c>
      <c r="C68" s="97">
        <f>SUMIFS('Trading History'!$M$4:$M1003, 'Trading History'!$K$4:$K1003, CONCAT("&gt;", $A64))</f>
        <v>10795.22416</v>
      </c>
      <c r="D68" s="79"/>
      <c r="E68" s="92" t="s">
        <v>41</v>
      </c>
      <c r="F68" s="97">
        <f>SUMIFS('Trading History'!$Q$4:$Q1003, 'Trading History'!$O$4:$O1003, CONCAT("&gt;", $A64))</f>
        <v>10795.22416</v>
      </c>
      <c r="G68" s="79"/>
      <c r="H68" s="94" t="s">
        <v>42</v>
      </c>
      <c r="I68" s="97">
        <f>SUMIFS('Trading History'!$U$4:$U1003, 'Trading History'!$S$4:$S1003, CONCAT("&gt;", $A64))</f>
        <v>0</v>
      </c>
      <c r="J68" s="79"/>
      <c r="K68" s="95" t="s">
        <v>17</v>
      </c>
      <c r="L68" s="97">
        <f>SUMIFS('Trading History'!$AA$4:$AA1003, 'Trading History'!$Y$4:$Y1003, CONCAT("&gt;", $A64))</f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9"/>
      <c r="B70" s="2"/>
      <c r="C70" s="4"/>
      <c r="D70" s="2"/>
      <c r="E70" s="5"/>
      <c r="F70" s="4"/>
      <c r="G70" s="2"/>
      <c r="H70" s="5"/>
      <c r="I70" s="4"/>
      <c r="J70" s="2"/>
      <c r="K70" s="5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2">
        <v>0.1</v>
      </c>
      <c r="B71" s="100" t="s">
        <v>8</v>
      </c>
      <c r="C71" s="84">
        <f>SUMIFS('Trading History'!$N$4:$N1003, 'Trading History'!$K$4:$K1003, CONCAT("&gt;", $A71))</f>
        <v>290.8979834</v>
      </c>
      <c r="D71" s="79"/>
      <c r="E71" s="86" t="s">
        <v>31</v>
      </c>
      <c r="F71" s="84">
        <f>IFERROR(SUMIFS('Trading History'!$R$4:$R1003, 'Trading History'!$O$4:$O1003, CONCAT("&gt;", $A71)), 0)</f>
        <v>290.8979834</v>
      </c>
      <c r="G71" s="79"/>
      <c r="H71" s="87" t="s">
        <v>32</v>
      </c>
      <c r="I71" s="84">
        <f>SUMIFS('Trading History'!$V$4:$V1003, 'Trading History'!$S$4:$S1003, CONCAT("&gt;", $A71))</f>
        <v>0</v>
      </c>
      <c r="J71" s="79"/>
      <c r="K71" s="88" t="s">
        <v>8</v>
      </c>
      <c r="L71" s="84">
        <f>SUMIFS('Trading History'!$AB$4:$AB1003, 'Trading History'!$Y$4:$Y1003, CONCAT("&gt;", $A71))</f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96" t="s">
        <v>33</v>
      </c>
      <c r="C72" s="91">
        <f>IFERROR(Index!C73/(Index!C71*Index!$J$1), 0)</f>
        <v>0</v>
      </c>
      <c r="D72" s="79"/>
      <c r="E72" s="92" t="s">
        <v>34</v>
      </c>
      <c r="F72" s="91">
        <f>IFERROR(Index!F73/(Index!F71*Index!$J$1), 0)</f>
        <v>0</v>
      </c>
      <c r="G72" s="79"/>
      <c r="H72" s="94" t="s">
        <v>35</v>
      </c>
      <c r="I72" s="91">
        <f>IFERROR(Index!I73/(Index!I71*Index!$J$1), 0)</f>
        <v>0</v>
      </c>
      <c r="J72" s="79"/>
      <c r="K72" s="95" t="s">
        <v>33</v>
      </c>
      <c r="L72" s="91">
        <f>IFERROR(Index!L73/(Index!L71*Index!$J$1), 0)</f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96" t="s">
        <v>16</v>
      </c>
      <c r="C73" s="97">
        <f>SUMIFS('Trading History'!$L$4:$L1003, 'Trading History'!$K$4:$K1003, CONCAT("&gt;", $A71))</f>
        <v>5795.444164</v>
      </c>
      <c r="D73" s="79"/>
      <c r="E73" s="92" t="s">
        <v>36</v>
      </c>
      <c r="F73" s="97">
        <f>SUMIFS('Trading History'!$P$4:$P1003, 'Trading History'!$O$4:$O1003, CONCAT("&gt;", $A71))</f>
        <v>5795.444164</v>
      </c>
      <c r="G73" s="79"/>
      <c r="H73" s="94" t="s">
        <v>37</v>
      </c>
      <c r="I73" s="97">
        <f>SUMIFS('Trading History'!$T$4:$T1003, 'Trading History'!$S$4:$S1003, CONCAT("&gt;", $A71))</f>
        <v>0</v>
      </c>
      <c r="J73" s="79"/>
      <c r="K73" s="95" t="s">
        <v>16</v>
      </c>
      <c r="L73" s="97">
        <f>SUMIFS('Trading History'!$Z$4:$Z1003, 'Trading History'!$Y$4:$Y1003, CONCAT("&gt;", $A71))</f>
        <v>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96" t="s">
        <v>38</v>
      </c>
      <c r="C74" s="97">
        <f>Index!C75-Index!C73</f>
        <v>4999.78</v>
      </c>
      <c r="D74" s="79"/>
      <c r="E74" s="92" t="s">
        <v>39</v>
      </c>
      <c r="F74" s="97">
        <f>Index!F75-Index!F73</f>
        <v>4999.78</v>
      </c>
      <c r="G74" s="79"/>
      <c r="H74" s="94" t="s">
        <v>40</v>
      </c>
      <c r="I74" s="97">
        <f>Index!I75-Index!I73</f>
        <v>0</v>
      </c>
      <c r="J74" s="79"/>
      <c r="K74" s="95" t="s">
        <v>38</v>
      </c>
      <c r="L74" s="97">
        <f>Index!L75-Index!L73</f>
        <v>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96" t="s">
        <v>17</v>
      </c>
      <c r="C75" s="97">
        <f>SUMIFS('Trading History'!$M$4:$M1003, 'Trading History'!$K$4:$K1003, CONCAT("&gt;", $A71))</f>
        <v>10795.22416</v>
      </c>
      <c r="D75" s="79"/>
      <c r="E75" s="92" t="s">
        <v>41</v>
      </c>
      <c r="F75" s="97">
        <f>SUMIFS('Trading History'!$Q$4:$Q1003, 'Trading History'!$O$4:$O1003, CONCAT("&gt;", $A71))</f>
        <v>10795.22416</v>
      </c>
      <c r="G75" s="79"/>
      <c r="H75" s="94" t="s">
        <v>42</v>
      </c>
      <c r="I75" s="97">
        <f>SUMIFS('Trading History'!$U$4:$U1003, 'Trading History'!$S$4:$S1003, CONCAT("&gt;", $A71))</f>
        <v>0</v>
      </c>
      <c r="J75" s="79"/>
      <c r="K75" s="95" t="s">
        <v>17</v>
      </c>
      <c r="L75" s="97">
        <f>SUMIFS('Trading History'!$AA$4:$AA1003, 'Trading History'!$Y$4:$Y1003, CONCAT("&gt;", $A71))</f>
        <v>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9"/>
      <c r="B77" s="2"/>
      <c r="C77" s="4"/>
      <c r="D77" s="2"/>
      <c r="E77" s="5"/>
      <c r="F77" s="4"/>
      <c r="G77" s="2"/>
      <c r="H77" s="5"/>
      <c r="I77" s="4"/>
      <c r="J77" s="2"/>
      <c r="K77" s="5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2">
        <v>0.05</v>
      </c>
      <c r="B78" s="100" t="s">
        <v>8</v>
      </c>
      <c r="C78" s="84">
        <f>SUMIFS('Trading History'!$N$4:$N1003, 'Trading History'!$K$4:$K1003, CONCAT("&gt;", $A78))</f>
        <v>290.8979834</v>
      </c>
      <c r="D78" s="79"/>
      <c r="E78" s="86" t="s">
        <v>31</v>
      </c>
      <c r="F78" s="84">
        <f>IFERROR(SUMIFS('Trading History'!$R$4:$R1003, 'Trading History'!$O$4:$O1003, CONCAT("&gt;", $A78)), 0)</f>
        <v>290.8979834</v>
      </c>
      <c r="G78" s="79"/>
      <c r="H78" s="87" t="s">
        <v>32</v>
      </c>
      <c r="I78" s="84">
        <f>SUMIFS('Trading History'!$V$4:$V1003, 'Trading History'!$S$4:$S1003, CONCAT("&gt;", $A78))</f>
        <v>0</v>
      </c>
      <c r="J78" s="79"/>
      <c r="K78" s="88" t="s">
        <v>8</v>
      </c>
      <c r="L78" s="84">
        <f>SUMIFS('Trading History'!$AB$4:$AB1003, 'Trading History'!$Y$4:$Y1003, CONCAT("&gt;", $A78))</f>
        <v>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96" t="s">
        <v>33</v>
      </c>
      <c r="C79" s="91">
        <f>IFERROR(Index!C80/(Index!C78*Index!$J$1), 0)</f>
        <v>0</v>
      </c>
      <c r="D79" s="79"/>
      <c r="E79" s="92" t="s">
        <v>34</v>
      </c>
      <c r="F79" s="91">
        <f>IFERROR(Index!F80/(Index!F78*Index!$J$1), 0)</f>
        <v>0</v>
      </c>
      <c r="G79" s="79"/>
      <c r="H79" s="94" t="s">
        <v>35</v>
      </c>
      <c r="I79" s="91">
        <f>IFERROR(Index!I80/(Index!I78*Index!$J$1), 0)</f>
        <v>0</v>
      </c>
      <c r="J79" s="79"/>
      <c r="K79" s="95" t="s">
        <v>33</v>
      </c>
      <c r="L79" s="91">
        <f>IFERROR(Index!L80/(Index!L78*Index!$J$1), 0)</f>
        <v>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96" t="s">
        <v>16</v>
      </c>
      <c r="C80" s="97">
        <f>SUMIFS('Trading History'!$L$4:$L1003, 'Trading History'!$K$4:$K1003, CONCAT("&gt;", $A78))</f>
        <v>5795.444164</v>
      </c>
      <c r="D80" s="79"/>
      <c r="E80" s="92" t="s">
        <v>36</v>
      </c>
      <c r="F80" s="97">
        <f>SUMIFS('Trading History'!$P$4:$P1003, 'Trading History'!$O$4:$O1003, CONCAT("&gt;", $A78))</f>
        <v>5795.444164</v>
      </c>
      <c r="G80" s="79"/>
      <c r="H80" s="94" t="s">
        <v>37</v>
      </c>
      <c r="I80" s="97">
        <f>SUMIFS('Trading History'!$T$4:$T1003, 'Trading History'!$S$4:$S1003, CONCAT("&gt;", $A78))</f>
        <v>0</v>
      </c>
      <c r="J80" s="79"/>
      <c r="K80" s="95" t="s">
        <v>16</v>
      </c>
      <c r="L80" s="97">
        <f>SUMIFS('Trading History'!$Z$4:$Z1003, 'Trading History'!$Y$4:$Y1003, CONCAT("&gt;", $A78))</f>
        <v>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96" t="s">
        <v>38</v>
      </c>
      <c r="C81" s="97">
        <f>Index!C82-Index!C80</f>
        <v>4999.78</v>
      </c>
      <c r="D81" s="79"/>
      <c r="E81" s="92" t="s">
        <v>39</v>
      </c>
      <c r="F81" s="97">
        <f>Index!F82-Index!F80</f>
        <v>4999.78</v>
      </c>
      <c r="G81" s="79"/>
      <c r="H81" s="94" t="s">
        <v>40</v>
      </c>
      <c r="I81" s="97">
        <f>Index!I82-Index!I80</f>
        <v>0</v>
      </c>
      <c r="J81" s="79"/>
      <c r="K81" s="95" t="s">
        <v>38</v>
      </c>
      <c r="L81" s="97">
        <f>Index!L82-Index!L80</f>
        <v>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96" t="s">
        <v>17</v>
      </c>
      <c r="C82" s="97">
        <f>SUMIFS('Trading History'!$M$4:$M1003, 'Trading History'!$K$4:$K1003, CONCAT("&gt;", $A78))</f>
        <v>10795.22416</v>
      </c>
      <c r="D82" s="79"/>
      <c r="E82" s="92" t="s">
        <v>41</v>
      </c>
      <c r="F82" s="97">
        <f>SUMIFS('Trading History'!$Q$4:$Q1003, 'Trading History'!$O$4:$O1003, CONCAT("&gt;", $A78))</f>
        <v>10795.22416</v>
      </c>
      <c r="G82" s="79"/>
      <c r="H82" s="94" t="s">
        <v>42</v>
      </c>
      <c r="I82" s="97">
        <f>SUMIFS('Trading History'!$U$4:$U1003, 'Trading History'!$S$4:$S1003, CONCAT("&gt;", $A78))</f>
        <v>0</v>
      </c>
      <c r="J82" s="79"/>
      <c r="K82" s="95" t="s">
        <v>17</v>
      </c>
      <c r="L82" s="97">
        <f>SUMIFS('Trading History'!$AA$4:$AA1003, 'Trading History'!$Y$4:$Y1003, CONCAT("&gt;", $A78))</f>
        <v>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9"/>
      <c r="B84" s="2"/>
      <c r="C84" s="4"/>
      <c r="D84" s="2"/>
      <c r="E84" s="5"/>
      <c r="F84" s="4"/>
      <c r="G84" s="2"/>
      <c r="H84" s="5"/>
      <c r="I84" s="4"/>
      <c r="J84" s="2"/>
      <c r="K84" s="5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2">
        <v>0.0</v>
      </c>
      <c r="B85" s="100" t="s">
        <v>8</v>
      </c>
      <c r="C85" s="84">
        <f>SUMIFS('Trading History'!$N$4:$N1003, 'Trading History'!$K$4:$K1003, CONCAT("&gt;", $A85))</f>
        <v>290.8979834</v>
      </c>
      <c r="D85" s="79"/>
      <c r="E85" s="86" t="s">
        <v>31</v>
      </c>
      <c r="F85" s="84">
        <f>IFERROR(SUMIFS('Trading History'!$R$4:$R1003, 'Trading History'!$O$4:$O1003, CONCAT("&gt;", $A85)), 0)</f>
        <v>290.8979834</v>
      </c>
      <c r="G85" s="79"/>
      <c r="H85" s="87" t="s">
        <v>32</v>
      </c>
      <c r="I85" s="84">
        <f>SUMIFS('Trading History'!$V$4:$V1003, 'Trading History'!$S$4:$S1003, CONCAT("&gt;", $A85))</f>
        <v>0</v>
      </c>
      <c r="J85" s="79"/>
      <c r="K85" s="88" t="s">
        <v>8</v>
      </c>
      <c r="L85" s="84">
        <f>SUMIFS('Trading History'!$AB$4:$AB1003, 'Trading History'!$Y$4:$Y1003, CONCAT("&gt;", $A85))</f>
        <v>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96" t="s">
        <v>33</v>
      </c>
      <c r="C86" s="91">
        <f>IFERROR(Index!C87/(Index!C85*Index!$J$1), 0)</f>
        <v>0</v>
      </c>
      <c r="D86" s="79"/>
      <c r="E86" s="92" t="s">
        <v>34</v>
      </c>
      <c r="F86" s="91">
        <f>IFERROR(Index!F87/(Index!F85*Index!$J$1), 0)</f>
        <v>0</v>
      </c>
      <c r="G86" s="79"/>
      <c r="H86" s="94" t="s">
        <v>35</v>
      </c>
      <c r="I86" s="91">
        <f>IFERROR(Index!I87/(Index!I85*Index!$J$1), 0)</f>
        <v>0</v>
      </c>
      <c r="J86" s="79"/>
      <c r="K86" s="95" t="s">
        <v>33</v>
      </c>
      <c r="L86" s="91">
        <f>IFERROR(Index!L87/(Index!L85*Index!$J$1), 0)</f>
        <v>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96" t="s">
        <v>16</v>
      </c>
      <c r="C87" s="97">
        <f>SUMIFS('Trading History'!$L$4:$L1003, 'Trading History'!$K$4:$K1003, CONCAT("&gt;", $A85))</f>
        <v>5795.444164</v>
      </c>
      <c r="D87" s="79"/>
      <c r="E87" s="92" t="s">
        <v>36</v>
      </c>
      <c r="F87" s="97">
        <f>SUMIFS('Trading History'!$P$4:$P1003, 'Trading History'!$O$4:$O1003, CONCAT("&gt;", $A85))</f>
        <v>5795.444164</v>
      </c>
      <c r="G87" s="79"/>
      <c r="H87" s="94" t="s">
        <v>37</v>
      </c>
      <c r="I87" s="97">
        <f>SUMIFS('Trading History'!$T$4:$T1003, 'Trading History'!$S$4:$S1003, CONCAT("&gt;", $A85))</f>
        <v>0</v>
      </c>
      <c r="J87" s="79"/>
      <c r="K87" s="95" t="s">
        <v>16</v>
      </c>
      <c r="L87" s="97">
        <f>SUMIFS('Trading History'!$Z$4:$Z1003, 'Trading History'!$Y$4:$Y1003, CONCAT("&gt;", $A85))</f>
        <v>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96" t="s">
        <v>38</v>
      </c>
      <c r="C88" s="97">
        <f>Index!C89-Index!C87</f>
        <v>4999.78</v>
      </c>
      <c r="D88" s="79"/>
      <c r="E88" s="92" t="s">
        <v>39</v>
      </c>
      <c r="F88" s="97">
        <f>Index!F89-Index!F87</f>
        <v>4999.78</v>
      </c>
      <c r="G88" s="79"/>
      <c r="H88" s="94" t="s">
        <v>40</v>
      </c>
      <c r="I88" s="97">
        <f>Index!I89-Index!I87</f>
        <v>0</v>
      </c>
      <c r="J88" s="79"/>
      <c r="K88" s="95" t="s">
        <v>38</v>
      </c>
      <c r="L88" s="97">
        <f>Index!L89-Index!L87</f>
        <v>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96" t="s">
        <v>17</v>
      </c>
      <c r="C89" s="97">
        <f>SUMIFS('Trading History'!$M$4:$M1003, 'Trading History'!$K$4:$K1003, CONCAT("&gt;", $A85))</f>
        <v>10795.22416</v>
      </c>
      <c r="D89" s="79"/>
      <c r="E89" s="92" t="s">
        <v>41</v>
      </c>
      <c r="F89" s="97">
        <f>SUMIFS('Trading History'!$Q$4:$Q1003, 'Trading History'!$O$4:$O1003, CONCAT("&gt;", $A85))</f>
        <v>10795.22416</v>
      </c>
      <c r="G89" s="79"/>
      <c r="H89" s="94" t="s">
        <v>42</v>
      </c>
      <c r="I89" s="97">
        <f>SUMIFS('Trading History'!$U$4:$U1003, 'Trading History'!$S$4:$S1003, CONCAT("&gt;", $A85))</f>
        <v>0</v>
      </c>
      <c r="J89" s="79"/>
      <c r="K89" s="95" t="s">
        <v>17</v>
      </c>
      <c r="L89" s="97">
        <f>SUMIFS('Trading History'!$AA$4:$AA1003, 'Trading History'!$Y$4:$Y1003, CONCAT("&gt;", $A85))</f>
        <v>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9"/>
      <c r="B91" s="2"/>
      <c r="C91" s="4"/>
      <c r="D91" s="2"/>
      <c r="E91" s="5"/>
      <c r="F91" s="4"/>
      <c r="G91" s="2"/>
      <c r="H91" s="5"/>
      <c r="I91" s="4"/>
      <c r="J91" s="2"/>
      <c r="K91" s="5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2"/>
      <c r="E92" s="5"/>
      <c r="F92" s="3"/>
      <c r="G92" s="2"/>
      <c r="H92" s="5"/>
      <c r="I92" s="3"/>
      <c r="J92" s="2"/>
      <c r="K92" s="5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5"/>
      <c r="D93" s="2"/>
      <c r="E93" s="5"/>
      <c r="F93" s="5"/>
      <c r="G93" s="2"/>
      <c r="H93" s="5"/>
      <c r="I93" s="5"/>
      <c r="J93" s="2"/>
      <c r="K93" s="5"/>
      <c r="L93" s="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5"/>
      <c r="D94" s="2"/>
      <c r="E94" s="5"/>
      <c r="F94" s="5"/>
      <c r="G94" s="2"/>
      <c r="H94" s="5"/>
      <c r="I94" s="5"/>
      <c r="J94" s="2"/>
      <c r="K94" s="5"/>
      <c r="L94" s="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5"/>
      <c r="D95" s="2"/>
      <c r="E95" s="5"/>
      <c r="F95" s="5"/>
      <c r="G95" s="2"/>
      <c r="H95" s="5"/>
      <c r="I95" s="5"/>
      <c r="J95" s="2"/>
      <c r="K95" s="5"/>
      <c r="L95" s="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">
    <mergeCell ref="M1:N1"/>
    <mergeCell ref="B6:I6"/>
    <mergeCell ref="K6:L6"/>
  </mergeCells>
  <drawing r:id="rId1"/>
</worksheet>
</file>