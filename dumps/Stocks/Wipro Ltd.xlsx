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D82FADFD_0600_4F91_A2CA_5E720CFE369E_.wvu.FilterData" localSheetId="1" hidden="1">'Trading History'!$A$4:$AR$75</definedName>
    <definedName name="_xlnm._FilterDatabase" localSheetId="1" hidden="1">'Trading History'!$A$4:$AR$75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\-mmm\-yyyy"/>
    <numFmt numFmtId="166" formatCode="yyyy\-mm\-dd\ h:mm:ss"/>
    <numFmt numFmtId="167" formatCode="yyyy-mm-dd h:mm:ss"/>
  </numFmts>
  <fonts count="5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3" borderId="3" pivotButton="0" quotePrefix="0" xfId="0"/>
    <xf numFmtId="164" fontId="1" fillId="0" borderId="0" applyAlignment="1" pivotButton="0" quotePrefix="0" xfId="0">
      <alignment horizontal="right"/>
    </xf>
    <xf numFmtId="164" fontId="2" fillId="4" borderId="3" pivotButton="0" quotePrefix="0" xfId="0"/>
    <xf numFmtId="164" fontId="2" fillId="5" borderId="3" pivotButton="0" quotePrefix="0" xfId="0"/>
    <xf numFmtId="164" fontId="2" fillId="6" borderId="3" pivotButton="0" quotePrefix="0" xfId="0"/>
    <xf numFmtId="4" fontId="1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164" fontId="1" fillId="0" borderId="2" pivotButton="0" quotePrefix="0" xfId="0"/>
    <xf numFmtId="10" fontId="1" fillId="0" borderId="1" pivotButton="0" quotePrefix="0" xfId="0"/>
    <xf numFmtId="0" fontId="2" fillId="7" borderId="4" applyAlignment="1" pivotButton="0" quotePrefix="0" xfId="0">
      <alignment horizontal="center" vertical="top"/>
    </xf>
    <xf numFmtId="0" fontId="2" fillId="7" borderId="5" applyAlignment="1" pivotButton="0" quotePrefix="0" xfId="0">
      <alignment horizontal="center" vertical="top"/>
    </xf>
    <xf numFmtId="164" fontId="2" fillId="7" borderId="5" applyAlignment="1" pivotButton="0" quotePrefix="0" xfId="0">
      <alignment horizontal="center" vertical="top"/>
    </xf>
    <xf numFmtId="164" fontId="2" fillId="3" borderId="5" applyAlignment="1" pivotButton="0" quotePrefix="0" xfId="0">
      <alignment horizontal="center"/>
    </xf>
    <xf numFmtId="0" fontId="2" fillId="7" borderId="3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/>
    </xf>
    <xf numFmtId="164" fontId="2" fillId="4" borderId="5" applyAlignment="1" pivotButton="0" quotePrefix="0" xfId="0">
      <alignment horizontal="center"/>
    </xf>
    <xf numFmtId="164" fontId="2" fillId="5" borderId="5" applyAlignment="1" pivotButton="0" quotePrefix="0" xfId="0">
      <alignment horizontal="center"/>
    </xf>
    <xf numFmtId="164" fontId="2" fillId="6" borderId="5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164" fontId="2" fillId="8" borderId="5" applyAlignment="1" pivotButton="0" quotePrefix="0" xfId="0">
      <alignment horizontal="center"/>
    </xf>
    <xf numFmtId="165" fontId="3" fillId="0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right" vertical="top"/>
    </xf>
    <xf numFmtId="164" fontId="3" fillId="0" borderId="4" pivotButton="0" quotePrefix="0" xfId="0"/>
    <xf numFmtId="164" fontId="3" fillId="0" borderId="6" pivotButton="0" quotePrefix="0" xfId="0"/>
    <xf numFmtId="0" fontId="3" fillId="0" borderId="4" pivotButton="0" quotePrefix="0" xfId="0"/>
    <xf numFmtId="4" fontId="3" fillId="0" borderId="4" pivotButton="0" quotePrefix="0" xfId="0"/>
    <xf numFmtId="164" fontId="1" fillId="0" borderId="5" applyAlignment="1" pivotButton="0" quotePrefix="0" xfId="0">
      <alignment horizontal="right"/>
    </xf>
    <xf numFmtId="4" fontId="1" fillId="0" borderId="5" applyAlignment="1" pivotButton="0" quotePrefix="0" xfId="0">
      <alignment horizontal="right"/>
    </xf>
    <xf numFmtId="164" fontId="1" fillId="0" borderId="5" pivotButton="0" quotePrefix="0" xfId="0"/>
    <xf numFmtId="4" fontId="1" fillId="0" borderId="5" pivotButton="0" quotePrefix="0" xfId="0"/>
    <xf numFmtId="0" fontId="1" fillId="0" borderId="6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166" fontId="3" fillId="0" borderId="4" pivotButton="0" quotePrefix="0" xfId="0"/>
    <xf numFmtId="0" fontId="2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164" fontId="2" fillId="3" borderId="3" applyAlignment="1" pivotButton="0" quotePrefix="0" xfId="0">
      <alignment horizontal="center"/>
    </xf>
    <xf numFmtId="164" fontId="2" fillId="4" borderId="3" applyAlignment="1" pivotButton="0" quotePrefix="0" xfId="0">
      <alignment horizontal="center"/>
    </xf>
    <xf numFmtId="164" fontId="2" fillId="5" borderId="3" applyAlignment="1" pivotButton="0" quotePrefix="0" xfId="0">
      <alignment horizontal="center"/>
    </xf>
    <xf numFmtId="164" fontId="2" fillId="0" borderId="3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167" fontId="0" fillId="0" borderId="0" pivotButton="0" quotePrefix="0" xfId="0"/>
    <xf numFmtId="167" fontId="3" fillId="0" borderId="4" pivotButton="0" quotePrefix="0" xfId="0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5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50">
      <c r="A2" s="1" t="n"/>
      <c r="B2" s="1" t="inlineStr">
        <is>
          <t>Current Price</t>
        </is>
      </c>
      <c r="C2" s="2">
        <f>IFERROR(__xludf.DUMMYFUNCTION("GOOGLEFINANCE(""NSE:WIPRO"", ""price"")"),229.9)</f>
        <v/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50">
      <c r="A3" s="1" t="n"/>
      <c r="B3" s="3" t="n"/>
      <c r="C3" s="3" t="n"/>
      <c r="D3" s="3" t="n"/>
      <c r="E3" s="3" t="n"/>
      <c r="F3" s="3" t="n"/>
      <c r="G3" s="3" t="n"/>
      <c r="H3" s="3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50">
      <c r="A4" s="4" t="n"/>
      <c r="B4" s="43" t="inlineStr">
        <is>
          <t>UnRealised</t>
        </is>
      </c>
      <c r="C4" s="44" t="n"/>
      <c r="D4" s="44" t="n"/>
      <c r="E4" s="44" t="n"/>
      <c r="F4" s="44" t="n"/>
      <c r="G4" s="44" t="n"/>
      <c r="H4" s="44" t="n"/>
      <c r="I4" s="45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50">
      <c r="A5" s="1" t="n"/>
      <c r="B5" s="3" t="n"/>
      <c r="C5" s="1" t="n"/>
      <c r="D5" s="1" t="n"/>
      <c r="E5" s="3" t="n"/>
      <c r="F5" s="1" t="n"/>
      <c r="G5" s="1" t="n"/>
      <c r="H5" s="3" t="n"/>
      <c r="I5" s="1" t="n"/>
      <c r="J5" s="1" t="n"/>
      <c r="K5" s="3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50">
      <c r="A6" s="4" t="n"/>
      <c r="B6" s="5" t="inlineStr">
        <is>
          <t>Gain</t>
        </is>
      </c>
      <c r="C6" s="6">
        <f>SUM('Trading History'!K4:K1001)</f>
        <v/>
      </c>
      <c r="D6" s="4" t="n"/>
      <c r="E6" s="7" t="inlineStr">
        <is>
          <t>ST Gain</t>
        </is>
      </c>
      <c r="F6" s="6">
        <f>SUM('Trading History'!P4:P1001)</f>
        <v/>
      </c>
      <c r="G6" s="4" t="n"/>
      <c r="H6" s="8" t="inlineStr">
        <is>
          <t>LT Gain</t>
        </is>
      </c>
      <c r="I6" s="6">
        <f>SUM('Trading History'!U4:U1001)</f>
        <v/>
      </c>
      <c r="J6" s="4" t="n"/>
      <c r="K6" s="9" t="inlineStr">
        <is>
          <t>Gain</t>
        </is>
      </c>
      <c r="L6" s="6">
        <f>SUM('Trading History'!AC4:AC1001)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50">
      <c r="A7" s="4" t="n"/>
      <c r="B7" s="5" t="inlineStr">
        <is>
          <t>Units</t>
        </is>
      </c>
      <c r="C7" s="10">
        <f>SUM('Trading History'!M4:M1001)</f>
        <v/>
      </c>
      <c r="D7" s="4" t="n"/>
      <c r="E7" s="7" t="inlineStr">
        <is>
          <t>ST Units</t>
        </is>
      </c>
      <c r="F7" s="10">
        <f>SUM('Trading History'!R4:R1001)</f>
        <v/>
      </c>
      <c r="G7" s="4" t="n"/>
      <c r="H7" s="8" t="inlineStr">
        <is>
          <t>LT Units</t>
        </is>
      </c>
      <c r="I7" s="10">
        <f>SUM('Trading History'!W4:W1001)</f>
        <v/>
      </c>
      <c r="J7" s="4" t="n"/>
      <c r="K7" s="9" t="inlineStr">
        <is>
          <t>Units</t>
        </is>
      </c>
      <c r="L7" s="10">
        <f>SUM('Trading History'!AB4:AB1001)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50">
      <c r="A8" s="4" t="n"/>
      <c r="B8" s="5" t="inlineStr">
        <is>
          <t>Gross</t>
        </is>
      </c>
      <c r="C8" s="6">
        <f>SUM('Trading History'!L4:L1001)</f>
        <v/>
      </c>
      <c r="D8" s="4" t="n"/>
      <c r="E8" s="7" t="inlineStr">
        <is>
          <t>ST Gross</t>
        </is>
      </c>
      <c r="F8" s="6">
        <f>SUM('Trading History'!Q4:Q1001)</f>
        <v/>
      </c>
      <c r="G8" s="4" t="n"/>
      <c r="H8" s="8" t="inlineStr">
        <is>
          <t>LT Gross</t>
        </is>
      </c>
      <c r="I8" s="6">
        <f>SUM('Trading History'!V4:V1001)</f>
        <v/>
      </c>
      <c r="J8" s="4" t="n"/>
      <c r="K8" s="9" t="inlineStr">
        <is>
          <t>Gross</t>
        </is>
      </c>
      <c r="L8" s="6">
        <f>SUM('Trading History'!AD4:AD1001)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50">
      <c r="A9" s="4" t="n"/>
      <c r="B9" s="5" t="inlineStr">
        <is>
          <t>Avg %</t>
        </is>
      </c>
      <c r="C9" s="11">
        <f>Index!C6/(Index!C7*Index!$C$2)</f>
        <v/>
      </c>
      <c r="D9" s="4" t="n"/>
      <c r="E9" s="7" t="inlineStr">
        <is>
          <t>ST Avg %</t>
        </is>
      </c>
      <c r="F9" s="11">
        <f>Index!F6/(Index!F7*Index!$C$2)</f>
        <v/>
      </c>
      <c r="G9" s="4" t="n"/>
      <c r="H9" s="8" t="inlineStr">
        <is>
          <t>LT Avg %</t>
        </is>
      </c>
      <c r="I9" s="11">
        <f>IFERROR(Index!I6/(Index!I7*Index!$C$2), 0)</f>
        <v/>
      </c>
      <c r="J9" s="4" t="n"/>
      <c r="K9" s="9" t="inlineStr">
        <is>
          <t>Avg %</t>
        </is>
      </c>
      <c r="L9" s="11">
        <f>IFERROR(Index!L6/(Index!L7*AVERAGE('Trading History'!Z4:Z1001)),0)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50">
      <c r="A10" s="4" t="n"/>
      <c r="B10" s="5" t="inlineStr">
        <is>
          <t>TPF</t>
        </is>
      </c>
      <c r="C10" s="6">
        <f>AVERAGE('Trading History'!N4:N1001)</f>
        <v/>
      </c>
      <c r="D10" s="4" t="n"/>
      <c r="E10" s="7" t="inlineStr">
        <is>
          <t>ST TPF</t>
        </is>
      </c>
      <c r="F10" s="6">
        <f>AVERAGE('Trading History'!S4:S1001)</f>
        <v/>
      </c>
      <c r="G10" s="4" t="n"/>
      <c r="H10" s="8" t="inlineStr">
        <is>
          <t>LT TPF</t>
        </is>
      </c>
      <c r="I10" s="6">
        <f>IFERROR(AVERAGE('Trading History'!X4:X1001), 0)</f>
        <v/>
      </c>
      <c r="J10" s="4" t="n"/>
      <c r="K10" s="9" t="inlineStr">
        <is>
          <t>TPF</t>
        </is>
      </c>
      <c r="L10" s="6">
        <f>IFERROR(AVERAGE('Trading History'!AE4:AE1001), 0)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50">
      <c r="A11" s="4" t="n"/>
      <c r="B11" s="5" t="inlineStr">
        <is>
          <t>UPF</t>
        </is>
      </c>
      <c r="C11" s="6">
        <f>AVERAGE('Trading History'!O4:O1001)</f>
        <v/>
      </c>
      <c r="D11" s="4" t="n"/>
      <c r="E11" s="7" t="inlineStr">
        <is>
          <t>ST UPF</t>
        </is>
      </c>
      <c r="F11" s="6">
        <f>AVERAGE('Trading History'!T4:T1001)</f>
        <v/>
      </c>
      <c r="G11" s="4" t="n"/>
      <c r="H11" s="8" t="inlineStr">
        <is>
          <t>LT UPF</t>
        </is>
      </c>
      <c r="I11" s="6">
        <f>IFERROR(AVERAGE('Trading History'!Y4:Y1001), 0)</f>
        <v/>
      </c>
      <c r="J11" s="4" t="n"/>
      <c r="K11" s="9" t="inlineStr">
        <is>
          <t>Invested</t>
        </is>
      </c>
      <c r="L11" s="6">
        <f>Index!L8-Index!L6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50">
      <c r="A12" s="4" t="n"/>
      <c r="B12" s="5" t="inlineStr">
        <is>
          <t>Invested</t>
        </is>
      </c>
      <c r="C12" s="6">
        <f>Index!C8-Index!C6</f>
        <v/>
      </c>
      <c r="D12" s="4" t="n"/>
      <c r="E12" s="7" t="inlineStr">
        <is>
          <t>ST Invested</t>
        </is>
      </c>
      <c r="F12" s="6">
        <f>Index!F8-Index!F6</f>
        <v/>
      </c>
      <c r="G12" s="4" t="n"/>
      <c r="H12" s="8" t="inlineStr">
        <is>
          <t>LT Invested</t>
        </is>
      </c>
      <c r="I12" s="6">
        <f>Index!I8-Index!I6</f>
        <v/>
      </c>
      <c r="J12" s="4" t="n"/>
      <c r="K12" s="9" t="inlineStr">
        <is>
          <t>Dividends</t>
        </is>
      </c>
      <c r="L12" s="6">
        <f>SUMIF('Trading History'!B4:B1001,"DIV",'Trading History'!AF:AF)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5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50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50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50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50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50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5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5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50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50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50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50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50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50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50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50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50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5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50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50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50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50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5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50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50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50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50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5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50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5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5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5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50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50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50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5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5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50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5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50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50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5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50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5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50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50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5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50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5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5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50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5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5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5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5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5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5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5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5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5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5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5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5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5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5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5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5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5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5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5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5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5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5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5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5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5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5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5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5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5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5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5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5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5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5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5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5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5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5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5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5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5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5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5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5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5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5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5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5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5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5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5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5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5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5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5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5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5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5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5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5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5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5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5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5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5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5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5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5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5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5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5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5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5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5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5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5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5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5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5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5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5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5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5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5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5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5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5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5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5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5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5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5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5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5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5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5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5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5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5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5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5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5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5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5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5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5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5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5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5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5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5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5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5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5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5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5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5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5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5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5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5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5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5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5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5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5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5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5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5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5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5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5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5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5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5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5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5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5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5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5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5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5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5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5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5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5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5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5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5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5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5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5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5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5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5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5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5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5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5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5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5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5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5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5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5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5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5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5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5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5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5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5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5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5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5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5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5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5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5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5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5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5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5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5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5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5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5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5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5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5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5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5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5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5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5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5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5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5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5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5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5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5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5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5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5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5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5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5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5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5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5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5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5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5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5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5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5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5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5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5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5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5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5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5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5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5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5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5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5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5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5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5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5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5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5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5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5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5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5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5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5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5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5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5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5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5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5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5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5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5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5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5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5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5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5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5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5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5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5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5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5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5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5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5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5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5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5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5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5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5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5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5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5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5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5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5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5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5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5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5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5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5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5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5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5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5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5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5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5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5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5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5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5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5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5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5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5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5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5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5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5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5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5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5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5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5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5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5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5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5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5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5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5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5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5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5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5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5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5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5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5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5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5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5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5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5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5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5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5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5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5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5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5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5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5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5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5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5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5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5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5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5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5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5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5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5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5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5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5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5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5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5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5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5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5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5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5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5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5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5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5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5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5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5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5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5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5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5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5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5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5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5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5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5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5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5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5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5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5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5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5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5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5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5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5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5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5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5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5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5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5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5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5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5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5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5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5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5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5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5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5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5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5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5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5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5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5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5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5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5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5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5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5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5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5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5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5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5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5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5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5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5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5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5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5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5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5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5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5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5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5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5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5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5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5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5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5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5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5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5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5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5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5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5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5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5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5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5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5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5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5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5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5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5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5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5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5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5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5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5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5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5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5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5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5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5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5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5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5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5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5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5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5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5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5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5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5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5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5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5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5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5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5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5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5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5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5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5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5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5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5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5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5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5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5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5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5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5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5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5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5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5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5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5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5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5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5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5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5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5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5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5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5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5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5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5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5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5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5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5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5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5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5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5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5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5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5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5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5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5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5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5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5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5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5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5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5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5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5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5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5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5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5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5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5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5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5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5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5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5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5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5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5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5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5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5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5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5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5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5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5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5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5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5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5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5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5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5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5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5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5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5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5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5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5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5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5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5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5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5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5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5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5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5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5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5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5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5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5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5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5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5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5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5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5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5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5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5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5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5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5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5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5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5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5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5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5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5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5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5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5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5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5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5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5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5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5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5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5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5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5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5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5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5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5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5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5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5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5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5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5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5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5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5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5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5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5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5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5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5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5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5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5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5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5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5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5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5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5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5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5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5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5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5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5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5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5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5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5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5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5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5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5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5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5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5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5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5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5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5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5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5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5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5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5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5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5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5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5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5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5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5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5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5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5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5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5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5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5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5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5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5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5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5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5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5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5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5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5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5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5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5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5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5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5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5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5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5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5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5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5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5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5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5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5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5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5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5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5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5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5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5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5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5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5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5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5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5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5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5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5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5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5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5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5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5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5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5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5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5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5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5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5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5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5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5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5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5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5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5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5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5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5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5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5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5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5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5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5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5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5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5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5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5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5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5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5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5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5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5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5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5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5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5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5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5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5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5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5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5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5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5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5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5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5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5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5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5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5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5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5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5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5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5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5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5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5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5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5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5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5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5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5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5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5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5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5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5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5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5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5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5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5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5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5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5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5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5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5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5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5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5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5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5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5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5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5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5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5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5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5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5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5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5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5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5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5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5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5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5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5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5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5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5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5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5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5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5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5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5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5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5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5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5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5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5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5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5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5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5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5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5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5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5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5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5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5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5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5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5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5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5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5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5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5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5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5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5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5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5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5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5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5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5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5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5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5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5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5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5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5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5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5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5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5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5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5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5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5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5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5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5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5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5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5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5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5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5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5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5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5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5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5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5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5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5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5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5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5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5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5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5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5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5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5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5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5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50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50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50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</sheetData>
  <mergeCells count="1">
    <mergeCell ref="B4:I4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1011"/>
  <sheetViews>
    <sheetView tabSelected="1" workbookViewId="0">
      <pane xSplit="7" ySplit="4" topLeftCell="K5" activePane="bottomRight" state="frozen"/>
      <selection pane="topRight" activeCell="H1" sqref="H1"/>
      <selection pane="bottomLeft" activeCell="A5" sqref="A5"/>
      <selection pane="bottomRight" activeCell="AC19" sqref="AC19"/>
    </sheetView>
  </sheetViews>
  <sheetFormatPr baseColWidth="10" defaultColWidth="12.6640625" defaultRowHeight="15.75" customHeight="1"/>
  <cols>
    <col width="10.6640625" customWidth="1" style="50" min="1" max="1"/>
    <col width="8.1640625" customWidth="1" style="50" min="2" max="2"/>
    <col width="9.83203125" customWidth="1" style="50" min="3" max="3"/>
    <col width="6.83203125" customWidth="1" style="50" min="4" max="4"/>
    <col width="8.6640625" customWidth="1" style="50" min="5" max="5"/>
    <col width="14" customWidth="1" style="50" min="6" max="6"/>
    <col width="8.33203125" customWidth="1" style="50" min="7" max="7"/>
    <col width="7.1640625" customWidth="1" style="50" min="8" max="8"/>
    <col width="6.6640625" customWidth="1" style="50" min="9" max="9"/>
    <col width="12.5" customWidth="1" style="50" min="10" max="10"/>
    <col width="10.1640625" customWidth="1" style="50" min="11" max="11"/>
    <col width="8.33203125" customWidth="1" style="50" min="12" max="12"/>
    <col width="7.6640625" customWidth="1" style="50" min="13" max="13"/>
    <col width="6.6640625" customWidth="1" style="50" min="14" max="14"/>
    <col width="6.83203125" customWidth="1" style="50" min="15" max="15"/>
    <col width="9.6640625" customWidth="1" style="50" min="16" max="16"/>
    <col width="8.6640625" customWidth="1" style="50" min="17" max="17"/>
    <col width="8.1640625" customWidth="1" style="50" min="18" max="18"/>
    <col width="7.1640625" customWidth="1" style="50" min="19" max="20"/>
    <col width="9.5" customWidth="1" style="50" min="21" max="21"/>
    <col width="8.33203125" customWidth="1" style="50" min="22" max="22"/>
    <col width="7.6640625" customWidth="1" style="50" min="23" max="23"/>
    <col width="6.6640625" customWidth="1" style="50" min="24" max="24"/>
    <col width="6.83203125" customWidth="1" style="50" min="25" max="25"/>
    <col width="7.83203125" customWidth="1" style="50" min="26" max="26"/>
    <col width="16.83203125" bestFit="1" customWidth="1" style="50" min="27" max="27"/>
    <col width="7.6640625" customWidth="1" style="50" min="28" max="28"/>
    <col width="7.1640625" customWidth="1" style="50" min="29" max="29"/>
    <col width="8.33203125" customWidth="1" style="50" min="30" max="30"/>
    <col width="6.6640625" customWidth="1" style="50" min="31" max="31"/>
    <col width="6.1640625" customWidth="1" style="50" min="32" max="32"/>
    <col width="16.33203125" customWidth="1" style="50" min="33" max="33"/>
  </cols>
  <sheetData>
    <row r="1" ht="15.75" customHeight="1" s="50">
      <c r="A1" s="1" t="n"/>
      <c r="B1" s="12" t="n"/>
      <c r="C1" s="1" t="n"/>
      <c r="D1" s="13" t="n"/>
      <c r="E1" s="12" t="n"/>
      <c r="F1" s="12" t="n"/>
      <c r="G1" s="12" t="n"/>
      <c r="H1" s="12" t="n"/>
      <c r="I1" s="12" t="n"/>
      <c r="J1" s="12" t="n"/>
      <c r="K1" s="14" t="n"/>
      <c r="L1" s="3" t="n"/>
      <c r="M1" s="3" t="n"/>
      <c r="N1" s="14" t="n"/>
      <c r="O1" s="14" t="n"/>
      <c r="P1" s="14" t="n"/>
      <c r="Q1" s="3" t="n"/>
      <c r="R1" s="3" t="n"/>
      <c r="S1" s="14" t="n"/>
      <c r="T1" s="14" t="n"/>
      <c r="U1" s="14" t="n"/>
      <c r="V1" s="3" t="n"/>
      <c r="W1" s="3" t="n"/>
      <c r="X1" s="14" t="n"/>
      <c r="Y1" s="14" t="n"/>
      <c r="Z1" s="14" t="n"/>
      <c r="AA1" s="14" t="n"/>
      <c r="AB1" s="3" t="n"/>
      <c r="AC1" s="14" t="n"/>
      <c r="AD1" s="14" t="n"/>
      <c r="AE1" s="14" t="n"/>
      <c r="AF1" s="14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 ht="15.75" customHeight="1" s="50">
      <c r="A2" s="1" t="n"/>
      <c r="B2" s="12" t="n"/>
      <c r="C2" s="1" t="n"/>
      <c r="D2" s="13" t="n"/>
      <c r="E2" s="12" t="n"/>
      <c r="F2" s="12" t="n"/>
      <c r="G2" s="12" t="n"/>
      <c r="H2" s="12" t="n"/>
      <c r="I2" s="12" t="n"/>
      <c r="J2" s="15" t="n"/>
      <c r="K2" s="49" t="inlineStr">
        <is>
          <t>UnRealised</t>
        </is>
      </c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5" t="n"/>
      <c r="Z2" s="49" t="inlineStr">
        <is>
          <t>Realised</t>
        </is>
      </c>
      <c r="AF2" s="5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</row>
    <row r="3" ht="15.75" customHeight="1" s="50">
      <c r="A3" s="3" t="n"/>
      <c r="B3" s="3" t="n"/>
      <c r="C3" s="3" t="n"/>
      <c r="D3" s="16" t="n"/>
      <c r="E3" s="14" t="n"/>
      <c r="F3" s="14" t="n"/>
      <c r="G3" s="14" t="n"/>
      <c r="H3" s="14" t="n"/>
      <c r="I3" s="14" t="n"/>
      <c r="J3" s="15" t="n"/>
      <c r="K3" s="46" t="inlineStr">
        <is>
          <t>Total</t>
        </is>
      </c>
      <c r="L3" s="44" t="n"/>
      <c r="M3" s="44" t="n"/>
      <c r="N3" s="44" t="n"/>
      <c r="O3" s="45" t="n"/>
      <c r="P3" s="47" t="inlineStr">
        <is>
          <t>Short Term</t>
        </is>
      </c>
      <c r="Q3" s="44" t="n"/>
      <c r="R3" s="44" t="n"/>
      <c r="S3" s="44" t="n"/>
      <c r="T3" s="45" t="n"/>
      <c r="U3" s="48" t="inlineStr">
        <is>
          <t>Long Term</t>
        </is>
      </c>
      <c r="V3" s="44" t="n"/>
      <c r="W3" s="44" t="n"/>
      <c r="X3" s="44" t="n"/>
      <c r="Y3" s="45" t="n"/>
      <c r="Z3" s="44" t="n"/>
      <c r="AA3" s="44" t="n"/>
      <c r="AB3" s="44" t="n"/>
      <c r="AC3" s="44" t="n"/>
      <c r="AD3" s="44" t="n"/>
      <c r="AE3" s="44" t="n"/>
      <c r="AF3" s="45" t="n"/>
      <c r="AG3" s="3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</row>
    <row r="4" ht="15.75" customHeight="1" s="50">
      <c r="A4" s="17" t="inlineStr">
        <is>
          <t>DATE</t>
        </is>
      </c>
      <c r="B4" s="18" t="inlineStr">
        <is>
          <t>EXCH</t>
        </is>
      </c>
      <c r="C4" s="18" t="inlineStr">
        <is>
          <t>ACTION</t>
        </is>
      </c>
      <c r="D4" s="18" t="inlineStr">
        <is>
          <t>QTY</t>
        </is>
      </c>
      <c r="E4" s="19" t="inlineStr">
        <is>
          <t>PRICE</t>
        </is>
      </c>
      <c r="F4" s="20" t="inlineStr">
        <is>
          <t>Current Price</t>
        </is>
      </c>
      <c r="G4" s="19" t="inlineStr">
        <is>
          <t>COST</t>
        </is>
      </c>
      <c r="H4" s="18" t="inlineStr">
        <is>
          <t>REMARKS</t>
        </is>
      </c>
      <c r="I4" s="19" t="inlineStr">
        <is>
          <t>STT</t>
        </is>
      </c>
      <c r="J4" s="21" t="inlineStr">
        <is>
          <t>ADD CHRG</t>
        </is>
      </c>
      <c r="K4" s="20" t="inlineStr">
        <is>
          <t>Gain</t>
        </is>
      </c>
      <c r="L4" s="20" t="inlineStr">
        <is>
          <t>Gross</t>
        </is>
      </c>
      <c r="M4" s="22" t="inlineStr">
        <is>
          <t>Units</t>
        </is>
      </c>
      <c r="N4" s="20" t="inlineStr">
        <is>
          <t>TPF</t>
        </is>
      </c>
      <c r="O4" s="20" t="inlineStr">
        <is>
          <t>UPF</t>
        </is>
      </c>
      <c r="P4" s="23" t="inlineStr">
        <is>
          <t xml:space="preserve"> Gain</t>
        </is>
      </c>
      <c r="Q4" s="23" t="inlineStr">
        <is>
          <t xml:space="preserve"> Gross</t>
        </is>
      </c>
      <c r="R4" s="23" t="inlineStr">
        <is>
          <t xml:space="preserve"> Units</t>
        </is>
      </c>
      <c r="S4" s="23" t="inlineStr">
        <is>
          <t xml:space="preserve"> TPF</t>
        </is>
      </c>
      <c r="T4" s="23" t="inlineStr">
        <is>
          <t xml:space="preserve"> UPF</t>
        </is>
      </c>
      <c r="U4" s="24" t="inlineStr">
        <is>
          <t>Gain</t>
        </is>
      </c>
      <c r="V4" s="24" t="inlineStr">
        <is>
          <t>Gross</t>
        </is>
      </c>
      <c r="W4" s="24" t="inlineStr">
        <is>
          <t>Units</t>
        </is>
      </c>
      <c r="X4" s="24" t="inlineStr">
        <is>
          <t>TPF</t>
        </is>
      </c>
      <c r="Y4" s="24" t="inlineStr">
        <is>
          <t>UPF</t>
        </is>
      </c>
      <c r="Z4" s="25" t="inlineStr">
        <is>
          <t>Price</t>
        </is>
      </c>
      <c r="AA4" s="25" t="inlineStr">
        <is>
          <t>Date</t>
        </is>
      </c>
      <c r="AB4" s="26" t="inlineStr">
        <is>
          <t>Units</t>
        </is>
      </c>
      <c r="AC4" s="25" t="inlineStr">
        <is>
          <t>Gain</t>
        </is>
      </c>
      <c r="AD4" s="25" t="inlineStr">
        <is>
          <t>Gross</t>
        </is>
      </c>
      <c r="AE4" s="25" t="inlineStr">
        <is>
          <t>TPF</t>
        </is>
      </c>
      <c r="AF4" s="27" t="inlineStr">
        <is>
          <t>DIV</t>
        </is>
      </c>
      <c r="AG4" s="19" t="inlineStr">
        <is>
          <t>Broker</t>
        </is>
      </c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</row>
    <row r="5" ht="15.75" customHeight="1" s="50">
      <c r="A5" s="52" t="n">
        <v>46065</v>
      </c>
      <c r="B5" t="inlineStr">
        <is>
          <t>BSE</t>
        </is>
      </c>
      <c r="C5" t="inlineStr">
        <is>
          <t>Sell</t>
        </is>
      </c>
      <c r="D5" t="n">
        <v>20</v>
      </c>
      <c r="E5" t="n">
        <v>700</v>
      </c>
      <c r="F5" t="n">
        <v>14000</v>
      </c>
      <c r="G5" t="inlineStr">
        <is>
          <t>~</t>
        </is>
      </c>
    </row>
    <row r="6" ht="15.75" customHeight="1" s="50">
      <c r="A6" s="52" t="n">
        <v>46065</v>
      </c>
      <c r="B6" t="inlineStr">
        <is>
          <t>NSE</t>
        </is>
      </c>
      <c r="C6" t="inlineStr">
        <is>
          <t>Sell</t>
        </is>
      </c>
      <c r="D6" t="n">
        <v>10</v>
      </c>
      <c r="E6" t="n">
        <v>700</v>
      </c>
      <c r="F6" t="n">
        <v>7000</v>
      </c>
      <c r="G6" t="inlineStr">
        <is>
          <t>~</t>
        </is>
      </c>
    </row>
    <row r="7" ht="15.75" customHeight="1" s="50">
      <c r="A7" s="52" t="n">
        <v>46065</v>
      </c>
      <c r="B7" t="inlineStr">
        <is>
          <t>BSE</t>
        </is>
      </c>
      <c r="C7" t="inlineStr">
        <is>
          <t>Sell</t>
        </is>
      </c>
      <c r="D7" t="n">
        <v>10</v>
      </c>
      <c r="E7" t="n">
        <v>700</v>
      </c>
      <c r="F7" t="n">
        <v>7000</v>
      </c>
      <c r="G7" t="inlineStr">
        <is>
          <t>~</t>
        </is>
      </c>
    </row>
    <row r="8" ht="15.75" customHeight="1" s="50">
      <c r="A8" s="52" t="n">
        <v>46065</v>
      </c>
      <c r="B8" t="inlineStr">
        <is>
          <t>BSE</t>
        </is>
      </c>
      <c r="C8" t="inlineStr">
        <is>
          <t>Sell</t>
        </is>
      </c>
      <c r="D8" t="n">
        <v>10</v>
      </c>
      <c r="E8" t="n">
        <v>700</v>
      </c>
      <c r="F8" t="n">
        <v>7000</v>
      </c>
      <c r="G8" t="inlineStr">
        <is>
          <t>~</t>
        </is>
      </c>
    </row>
    <row r="9" ht="15.75" customHeight="1" s="50">
      <c r="A9" s="52" t="n">
        <v>46065</v>
      </c>
      <c r="B9" t="inlineStr">
        <is>
          <t>BSE</t>
        </is>
      </c>
      <c r="C9" t="inlineStr">
        <is>
          <t>Sell</t>
        </is>
      </c>
      <c r="D9" t="n">
        <v>5</v>
      </c>
      <c r="E9" t="n">
        <v>700</v>
      </c>
      <c r="F9" t="n">
        <v>3500</v>
      </c>
      <c r="G9" t="inlineStr">
        <is>
          <t>~</t>
        </is>
      </c>
    </row>
    <row r="10" ht="15.75" customHeight="1" s="50">
      <c r="A10" s="52" t="n">
        <v>46065</v>
      </c>
      <c r="B10" t="inlineStr">
        <is>
          <t>BSE</t>
        </is>
      </c>
      <c r="C10" t="inlineStr">
        <is>
          <t>Sell</t>
        </is>
      </c>
      <c r="D10" t="n">
        <v>10</v>
      </c>
      <c r="E10" t="n">
        <v>700</v>
      </c>
      <c r="F10" t="n">
        <v>7000</v>
      </c>
      <c r="G10" t="inlineStr">
        <is>
          <t>~</t>
        </is>
      </c>
    </row>
    <row r="11" ht="15.75" customHeight="1" s="50">
      <c r="A11" s="52" t="n">
        <v>46065</v>
      </c>
      <c r="B11" t="inlineStr">
        <is>
          <t>NSE</t>
        </is>
      </c>
      <c r="C11" t="inlineStr">
        <is>
          <t>Sell</t>
        </is>
      </c>
      <c r="D11" t="n">
        <v>4</v>
      </c>
      <c r="E11" t="n">
        <v>700</v>
      </c>
      <c r="F11" t="n">
        <v>2800</v>
      </c>
      <c r="G11" t="inlineStr">
        <is>
          <t>~</t>
        </is>
      </c>
    </row>
    <row r="12" ht="15.75" customHeight="1" s="50">
      <c r="A12" s="52" t="n">
        <v>46065</v>
      </c>
      <c r="B12" t="inlineStr">
        <is>
          <t>NSE</t>
        </is>
      </c>
      <c r="C12" t="inlineStr">
        <is>
          <t>Sell</t>
        </is>
      </c>
      <c r="D12" t="n">
        <v>2</v>
      </c>
      <c r="E12" t="n">
        <v>700</v>
      </c>
      <c r="F12" t="n">
        <v>1400</v>
      </c>
      <c r="G12" t="inlineStr">
        <is>
          <t>~</t>
        </is>
      </c>
    </row>
    <row r="13" ht="15.75" customHeight="1" s="50">
      <c r="A13" s="52" t="n">
        <v>46065</v>
      </c>
      <c r="B13" t="inlineStr">
        <is>
          <t>NSE</t>
        </is>
      </c>
      <c r="C13" t="inlineStr">
        <is>
          <t>Sell</t>
        </is>
      </c>
      <c r="D13" t="n">
        <v>9</v>
      </c>
      <c r="E13" t="n">
        <v>700</v>
      </c>
      <c r="F13" t="n">
        <v>6300</v>
      </c>
      <c r="G13" t="inlineStr">
        <is>
          <t>~</t>
        </is>
      </c>
    </row>
    <row r="14" ht="15.75" customHeight="1" s="50">
      <c r="A14" s="52" t="n">
        <v>46065</v>
      </c>
      <c r="B14" t="inlineStr">
        <is>
          <t>NSE</t>
        </is>
      </c>
      <c r="C14" t="inlineStr">
        <is>
          <t>Sell</t>
        </is>
      </c>
      <c r="D14" t="n">
        <v>5</v>
      </c>
      <c r="E14" t="n">
        <v>700</v>
      </c>
      <c r="F14" t="n">
        <v>3500</v>
      </c>
      <c r="G14" t="inlineStr">
        <is>
          <t>~</t>
        </is>
      </c>
    </row>
    <row r="15" ht="15.75" customHeight="1" s="50">
      <c r="A15" s="52" t="n">
        <v>46065</v>
      </c>
      <c r="B15" t="inlineStr">
        <is>
          <t>NSE</t>
        </is>
      </c>
      <c r="C15" t="inlineStr">
        <is>
          <t>Sell</t>
        </is>
      </c>
      <c r="D15" t="n">
        <v>5</v>
      </c>
      <c r="E15" t="n">
        <v>700</v>
      </c>
      <c r="F15" t="n">
        <v>3500</v>
      </c>
      <c r="G15" t="inlineStr">
        <is>
          <t>~</t>
        </is>
      </c>
    </row>
    <row r="16" ht="15.75" customHeight="1" s="50">
      <c r="A16" s="28" t="n">
        <v>45225</v>
      </c>
      <c r="B16" s="29" t="inlineStr">
        <is>
          <t>NSE</t>
        </is>
      </c>
      <c r="C16" s="29" t="inlineStr">
        <is>
          <t>Buy</t>
        </is>
      </c>
      <c r="D16" s="30" t="n">
        <v>5</v>
      </c>
      <c r="E16" s="31" t="n">
        <v>377.752</v>
      </c>
      <c r="F16" s="31">
        <f>Index!$C$2</f>
        <v/>
      </c>
      <c r="G16" s="31" t="n">
        <v>1902.19</v>
      </c>
      <c r="H16" s="30" t="inlineStr">
        <is>
          <t>~</t>
        </is>
      </c>
      <c r="I16" s="30" t="n">
        <v>1.91</v>
      </c>
      <c r="J16" s="30" t="n">
        <v>11.53</v>
      </c>
      <c r="K16" s="31">
        <f>IF(AND(#REF!= "Buy", ISBLANK(#REF!),#REF!&lt;&gt; "DIV"), (#REF!*#REF!)-(#REF!*#REF!), "")</f>
        <v/>
      </c>
      <c r="L16" s="32">
        <f>IF(AND(#REF!= "Buy", ISBLANK(#REF!),#REF!&lt;&gt; "DIV"),#REF! *#REF!, "")</f>
        <v/>
      </c>
      <c r="M16" s="33">
        <f>IF(AND(#REF!= "Buy", ISBLANK(#REF!),#REF!&lt;&gt; "DIV"),#REF!, "")</f>
        <v/>
      </c>
      <c r="N16" s="34">
        <f>IF(AND(#REF!&lt;&gt;"DIV",#REF!= "Buy", ISBLANK(#REF!)),#REF!/( NOW()-#REF!),"")</f>
        <v/>
      </c>
      <c r="O16" s="31">
        <f>IF(AND(#REF!&lt;&gt;"DIV",#REF!= "Buy", ISBLANK(#REF!)),#REF! /#REF!,"")</f>
        <v/>
      </c>
      <c r="P16" s="31">
        <f>IF(AND(#REF!= "Buy", ISBLANK(#REF!),#REF!&lt;&gt; "DIV", NOW()-#REF! &lt; 365), (#REF!*#REF!)-(#REF!*#REF!), "")</f>
        <v/>
      </c>
      <c r="Q16" s="35">
        <f>IF(AND(#REF!= "Buy", ISBLANK(#REF!),#REF!&lt;&gt; "DIV", NOW()-#REF! &lt; 365),#REF! *#REF!, "")</f>
        <v/>
      </c>
      <c r="R16" s="35">
        <f>IF(AND(#REF!= "Buy", ISBLANK(#REF!),#REF!&lt;&gt; "DIV", NOW()-#REF! &lt; 365),#REF!, "")</f>
        <v/>
      </c>
      <c r="S16" s="36">
        <f>IF(AND(#REF!&lt;&gt;"DIV",#REF!= "Buy", ISBLANK(#REF!), NOW()-#REF! &lt; 365),#REF!/( NOW()-#REF!),"")</f>
        <v/>
      </c>
      <c r="T16" s="35">
        <f>IF(AND(#REF!&lt;&gt;"DIV",#REF!= "Buy", ISBLANK(#REF!), NOW()-#REF! &lt; 365),#REF! /#REF!,"")</f>
        <v/>
      </c>
      <c r="U16" s="37">
        <f>IF(AND(#REF!= "Buy", ISBLANK(#REF!),#REF!&lt;&gt; "DIV", NOW()-#REF! &gt; 365), (#REF!*#REF!)-(#REF!*#REF!), "")</f>
        <v/>
      </c>
      <c r="V16" s="37">
        <f>IF(AND(#REF!= "Buy", ISBLANK(#REF!),#REF!&lt;&gt; "DIV", NOW()-#REF! &gt; 365),#REF! *#REF!, "")</f>
        <v/>
      </c>
      <c r="W16" s="37">
        <f>IF(AND(#REF!= "Buy", ISBLANK(#REF!),#REF!&lt;&gt; "DIV", NOW()-#REF! &gt; 365),#REF!, "")</f>
        <v/>
      </c>
      <c r="X16" s="38">
        <f>IF(AND(#REF!&lt;&gt;"DIV",#REF!= "Buy", ISBLANK(#REF!), NOW()-#REF! &gt; 365),#REF!/( NOW()-#REF!),"")</f>
        <v/>
      </c>
      <c r="Y16" s="37">
        <f>IF(AND(#REF!&lt;&gt;"DIV",#REF!= "Buy", ISBLANK(#REF!), NOW()-#REF! &gt; 365),#REF! /#REF!,"")</f>
        <v/>
      </c>
      <c r="Z16" s="31" t="n">
        <v>700</v>
      </c>
      <c r="AA16" s="53" t="n">
        <v>46065</v>
      </c>
      <c r="AB16" s="33" t="n">
        <v>5</v>
      </c>
      <c r="AC16" s="31" t="n">
        <v>1588.68</v>
      </c>
      <c r="AD16" s="31" t="n"/>
      <c r="AE16" s="31" t="n"/>
      <c r="AF16" s="35">
        <f>IF(#REF!="DIV",#REF!, "")</f>
        <v/>
      </c>
      <c r="AG16" s="39" t="inlineStr">
        <is>
          <t>SBI Securities</t>
        </is>
      </c>
    </row>
    <row r="17" ht="15.75" customHeight="1" s="50">
      <c r="A17" s="28" t="n">
        <v>45181</v>
      </c>
      <c r="B17" s="29" t="inlineStr">
        <is>
          <t>NSE</t>
        </is>
      </c>
      <c r="C17" s="29" t="inlineStr">
        <is>
          <t>Buy</t>
        </is>
      </c>
      <c r="D17" s="30" t="n">
        <v>5</v>
      </c>
      <c r="E17" s="31" t="n">
        <v>431.702</v>
      </c>
      <c r="F17" s="31">
        <f>Index!$C$2</f>
        <v/>
      </c>
      <c r="G17" s="31" t="n">
        <v>2173.79</v>
      </c>
      <c r="H17" s="30" t="inlineStr">
        <is>
          <t>~</t>
        </is>
      </c>
      <c r="I17" s="30" t="n">
        <v>2.16</v>
      </c>
      <c r="J17" s="30" t="n">
        <v>13.13</v>
      </c>
      <c r="K17" s="31">
        <f>IF(AND(#REF!= "Buy", ISBLANK(#REF!),#REF!&lt;&gt; "DIV"), (#REF!*#REF!)-(#REF!*#REF!), "")</f>
        <v/>
      </c>
      <c r="L17" s="32">
        <f>IF(AND(#REF!= "Buy", ISBLANK(#REF!),#REF!&lt;&gt; "DIV"),#REF! *#REF!, "")</f>
        <v/>
      </c>
      <c r="M17" s="33">
        <f>IF(AND(#REF!= "Buy", ISBLANK(#REF!),#REF!&lt;&gt; "DIV"),#REF!, "")</f>
        <v/>
      </c>
      <c r="N17" s="34">
        <f>IF(AND(#REF!&lt;&gt;"DIV",#REF!= "Buy", ISBLANK(#REF!)),#REF!/( NOW()-#REF!),"")</f>
        <v/>
      </c>
      <c r="O17" s="31">
        <f>IF(AND(#REF!&lt;&gt;"DIV",#REF!= "Buy", ISBLANK(#REF!)),#REF! /#REF!,"")</f>
        <v/>
      </c>
      <c r="P17" s="31">
        <f>IF(AND(#REF!= "Buy", ISBLANK(#REF!),#REF!&lt;&gt; "DIV", NOW()-#REF! &lt; 365), (#REF!*#REF!)-(#REF!*#REF!), "")</f>
        <v/>
      </c>
      <c r="Q17" s="35">
        <f>IF(AND(#REF!= "Buy", ISBLANK(#REF!),#REF!&lt;&gt; "DIV", NOW()-#REF! &lt; 365),#REF! *#REF!, "")</f>
        <v/>
      </c>
      <c r="R17" s="35">
        <f>IF(AND(#REF!= "Buy", ISBLANK(#REF!),#REF!&lt;&gt; "DIV", NOW()-#REF! &lt; 365),#REF!, "")</f>
        <v/>
      </c>
      <c r="S17" s="36">
        <f>IF(AND(#REF!&lt;&gt;"DIV",#REF!= "Buy", ISBLANK(#REF!), NOW()-#REF! &lt; 365),#REF!/( NOW()-#REF!),"")</f>
        <v/>
      </c>
      <c r="T17" s="35">
        <f>IF(AND(#REF!&lt;&gt;"DIV",#REF!= "Buy", ISBLANK(#REF!), NOW()-#REF! &lt; 365),#REF! /#REF!,"")</f>
        <v/>
      </c>
      <c r="U17" s="37">
        <f>IF(AND(#REF!= "Buy", ISBLANK(#REF!),#REF!&lt;&gt; "DIV", NOW()-#REF! &gt; 365), (#REF!*#REF!)-(#REF!*#REF!), "")</f>
        <v/>
      </c>
      <c r="V17" s="37">
        <f>IF(AND(#REF!= "Buy", ISBLANK(#REF!),#REF!&lt;&gt; "DIV", NOW()-#REF! &gt; 365),#REF! *#REF!, "")</f>
        <v/>
      </c>
      <c r="W17" s="37">
        <f>IF(AND(#REF!= "Buy", ISBLANK(#REF!),#REF!&lt;&gt; "DIV", NOW()-#REF! &gt; 365),#REF!, "")</f>
        <v/>
      </c>
      <c r="X17" s="38">
        <f>IF(AND(#REF!&lt;&gt;"DIV",#REF!= "Buy", ISBLANK(#REF!), NOW()-#REF! &gt; 365),#REF!/( NOW()-#REF!),"")</f>
        <v/>
      </c>
      <c r="Y17" s="37">
        <f>IF(AND(#REF!&lt;&gt;"DIV",#REF!= "Buy", ISBLANK(#REF!), NOW()-#REF! &gt; 365),#REF! /#REF!,"")</f>
        <v/>
      </c>
      <c r="Z17" s="31" t="n">
        <v>700</v>
      </c>
      <c r="AA17" s="53" t="n">
        <v>46065</v>
      </c>
      <c r="AB17" s="33" t="n">
        <v>5</v>
      </c>
      <c r="AC17" s="31" t="n">
        <v>1322.71</v>
      </c>
      <c r="AD17" s="31" t="n"/>
      <c r="AE17" s="31" t="n"/>
      <c r="AF17" s="35">
        <f>IF(#REF!="DIV",#REF!, "")</f>
        <v/>
      </c>
      <c r="AG17" s="39" t="inlineStr">
        <is>
          <t>SBI Securities</t>
        </is>
      </c>
    </row>
    <row r="18" ht="15.75" customHeight="1" s="50">
      <c r="A18" s="28" t="n">
        <v>45162</v>
      </c>
      <c r="B18" s="29" t="inlineStr">
        <is>
          <t>NSE</t>
        </is>
      </c>
      <c r="C18" s="29" t="inlineStr">
        <is>
          <t>Buy</t>
        </is>
      </c>
      <c r="D18" s="30" t="n">
        <v>9</v>
      </c>
      <c r="E18" s="31" t="n">
        <v>418.198889</v>
      </c>
      <c r="F18" s="31">
        <f>Index!$C$2</f>
        <v/>
      </c>
      <c r="G18" s="31" t="n">
        <v>3790.45</v>
      </c>
      <c r="H18" s="30" t="inlineStr">
        <is>
          <t>~</t>
        </is>
      </c>
      <c r="I18" s="30" t="n">
        <v>3.73</v>
      </c>
      <c r="J18" s="30" t="n">
        <v>22.92</v>
      </c>
      <c r="K18" s="31">
        <f>IF(AND( C5="Buy", ISBLANK(Z5), B5&lt;&gt;"DIV"), (F5*D5)-(E5*D5), "")</f>
        <v/>
      </c>
      <c r="L18" s="32">
        <f>IF(AND( C5="Buy", ISBLANK(Z5), B5&lt;&gt;"DIV"), F5*D5, "")</f>
        <v/>
      </c>
      <c r="M18" s="33">
        <f>IF(AND( C5="Buy", ISBLANK(Z5), B5&lt;&gt;"DIV"), D5, "")</f>
        <v/>
      </c>
      <c r="N18" s="34">
        <f>IF(AND(B5&lt;&gt;"DIV", C5="Buy", ISBLANK(Z5)), K5/(NOW()-A5),"")</f>
        <v/>
      </c>
      <c r="O18" s="31">
        <f>IF(AND(B5&lt;&gt;"DIV", C5="Buy", ISBLANK(Z5)), K5/D5,"")</f>
        <v/>
      </c>
      <c r="P18" s="31">
        <f>IF(AND( C5="Buy", ISBLANK(Z5), B5&lt;&gt;"DIV", NOW()-A5 &lt; 365), (F5*D5)-(E5*D5), "")</f>
        <v/>
      </c>
      <c r="Q18" s="35">
        <f>IF(AND( C5="Buy", ISBLANK(Z5), B5&lt;&gt;"DIV", NOW()-A5 &lt; 365), F5*D5, "")</f>
        <v/>
      </c>
      <c r="R18" s="35">
        <f>IF(AND( C5="Buy", ISBLANK(Z5), B5&lt;&gt;"DIV", NOW()-A5 &lt; 365), D5, "")</f>
        <v/>
      </c>
      <c r="S18" s="36">
        <f>IF(AND(B5&lt;&gt;"DIV", C5="Buy", ISBLANK(Z5), NOW()-A5 &lt; 365), K5/(NOW()-A5),"")</f>
        <v/>
      </c>
      <c r="T18" s="35">
        <f>IF(AND(B5&lt;&gt;"DIV", C5="Buy", ISBLANK(Z5), NOW()-A5 &lt; 365), K5/D5,"")</f>
        <v/>
      </c>
      <c r="U18" s="37">
        <f>IF(AND( C5="Buy", ISBLANK(Z5), B5&lt;&gt;"DIV", NOW()-A5 &gt; 365), (F5*D5)-(E5*D5), "")</f>
        <v/>
      </c>
      <c r="V18" s="37">
        <f>IF(AND( C5="Buy", ISBLANK(Z5), B5&lt;&gt;"DIV", NOW()-A5 &gt; 365), F5*D5, "")</f>
        <v/>
      </c>
      <c r="W18" s="37">
        <f>IF(AND( C5="Buy", ISBLANK(Z5), B5&lt;&gt;"DIV", NOW()-A5 &gt; 365), D5, "")</f>
        <v/>
      </c>
      <c r="X18" s="38">
        <f>IF(AND(B5&lt;&gt;"DIV", C5="Buy", ISBLANK(Z5), NOW()-A5 &gt; 365), K5/(NOW()-A5),"")</f>
        <v/>
      </c>
      <c r="Y18" s="37">
        <f>IF(AND(B5&lt;&gt;"DIV", C5="Buy", ISBLANK(Z5), NOW()-A5 &gt; 365), K5/D5,"")</f>
        <v/>
      </c>
      <c r="Z18" s="31" t="n">
        <v>700</v>
      </c>
      <c r="AA18" s="53" t="n">
        <v>46065</v>
      </c>
      <c r="AB18" s="33" t="n">
        <v>9</v>
      </c>
      <c r="AC18" s="31" t="n">
        <v>2500.7</v>
      </c>
      <c r="AD18" s="31" t="n"/>
      <c r="AE18" s="31" t="n"/>
      <c r="AF18" s="35">
        <f>IF(B5="DIV", G5,"")</f>
        <v/>
      </c>
      <c r="AG18" s="39" t="inlineStr">
        <is>
          <t>SBI Securities</t>
        </is>
      </c>
    </row>
    <row r="19" ht="15.75" customHeight="1" s="50">
      <c r="A19" s="28" t="n">
        <v>45131</v>
      </c>
      <c r="B19" s="29" t="inlineStr">
        <is>
          <t>NSE</t>
        </is>
      </c>
      <c r="C19" s="29" t="inlineStr">
        <is>
          <t>Buy</t>
        </is>
      </c>
      <c r="D19" s="30" t="n">
        <v>2</v>
      </c>
      <c r="E19" s="31" t="n">
        <v>406.995</v>
      </c>
      <c r="F19" s="31">
        <f>Index!$C$2</f>
        <v/>
      </c>
      <c r="G19" s="31" t="n">
        <v>819.77</v>
      </c>
      <c r="H19" s="30" t="inlineStr">
        <is>
          <t>~</t>
        </is>
      </c>
      <c r="I19" s="30" t="n">
        <v>0.8100000000000001</v>
      </c>
      <c r="J19" s="30" t="n">
        <v>4.96</v>
      </c>
      <c r="K19" s="31">
        <f>IF(AND( C6="Buy", ISBLANK(Z6), B6&lt;&gt;"DIV"), (F6*D6)-(E6*D6), "")</f>
        <v/>
      </c>
      <c r="L19" s="32">
        <f>IF(AND( C6="Buy", ISBLANK(Z6), B6&lt;&gt;"DIV"), F6*D6, "")</f>
        <v/>
      </c>
      <c r="M19" s="33">
        <f>IF(AND( C6="Buy", ISBLANK(Z6), B6&lt;&gt;"DIV"), D6, "")</f>
        <v/>
      </c>
      <c r="N19" s="34">
        <f>IF(AND(B6&lt;&gt;"DIV", C6="Buy", ISBLANK(Z6)), K6/(NOW()-A6),"")</f>
        <v/>
      </c>
      <c r="O19" s="31">
        <f>IF(AND(B6&lt;&gt;"DIV", C6="Buy", ISBLANK(Z6)), K6/D6,"")</f>
        <v/>
      </c>
      <c r="P19" s="31">
        <f>IF(AND( C6="Buy", ISBLANK(Z6), B6&lt;&gt;"DIV", NOW()-A6 &lt; 365), (F6*D6)-(E6*D6), "")</f>
        <v/>
      </c>
      <c r="Q19" s="35">
        <f>IF(AND( C6="Buy", ISBLANK(Z6), B6&lt;&gt;"DIV", NOW()-A6 &lt; 365), F6*D6, "")</f>
        <v/>
      </c>
      <c r="R19" s="35">
        <f>IF(AND( C6="Buy", ISBLANK(Z6), B6&lt;&gt;"DIV", NOW()-A6 &lt; 365), D6, "")</f>
        <v/>
      </c>
      <c r="S19" s="36">
        <f>IF(AND(B6&lt;&gt;"DIV", C6="Buy", ISBLANK(Z6), NOW()-A6 &lt; 365), K6/(NOW()-A6),"")</f>
        <v/>
      </c>
      <c r="T19" s="35">
        <f>IF(AND(B6&lt;&gt;"DIV", C6="Buy", ISBLANK(Z6), NOW()-A6 &lt; 365), K6/D6,"")</f>
        <v/>
      </c>
      <c r="U19" s="37">
        <f>IF(AND( C6="Buy", ISBLANK(Z6), B6&lt;&gt;"DIV", NOW()-A6 &gt; 365), (F6*D6)-(E6*D6), "")</f>
        <v/>
      </c>
      <c r="V19" s="37">
        <f>IF(AND( C6="Buy", ISBLANK(Z6), B6&lt;&gt;"DIV", NOW()-A6 &gt; 365), F6*D6, "")</f>
        <v/>
      </c>
      <c r="W19" s="37">
        <f>IF(AND( C6="Buy", ISBLANK(Z6), B6&lt;&gt;"DIV", NOW()-A6 &gt; 365), D6, "")</f>
        <v/>
      </c>
      <c r="X19" s="38">
        <f>IF(AND(B6&lt;&gt;"DIV", C6="Buy", ISBLANK(Z6), NOW()-A6 &gt; 365), K6/(NOW()-A6),"")</f>
        <v/>
      </c>
      <c r="Y19" s="37">
        <f>IF(AND(B6&lt;&gt;"DIV", C6="Buy", ISBLANK(Z6), NOW()-A6 &gt; 365), K6/D6,"")</f>
        <v/>
      </c>
      <c r="Z19" s="31" t="n">
        <v>700</v>
      </c>
      <c r="AA19" s="53" t="n">
        <v>46065</v>
      </c>
      <c r="AB19" s="33" t="n">
        <v>2</v>
      </c>
      <c r="AC19" s="31" t="n">
        <v>577.8099999999999</v>
      </c>
      <c r="AD19" s="31" t="n"/>
      <c r="AE19" s="31" t="n"/>
      <c r="AF19" s="35">
        <f>IF(B6="DIV", G6,"")</f>
        <v/>
      </c>
      <c r="AG19" s="39" t="inlineStr">
        <is>
          <t>SBI Securities</t>
        </is>
      </c>
    </row>
    <row r="20" ht="15.75" customHeight="1" s="50">
      <c r="A20" s="28" t="n">
        <v>45131</v>
      </c>
      <c r="B20" s="29" t="inlineStr">
        <is>
          <t>NSE</t>
        </is>
      </c>
      <c r="C20" s="29" t="inlineStr">
        <is>
          <t>Buy</t>
        </is>
      </c>
      <c r="D20" s="30" t="n">
        <v>4</v>
      </c>
      <c r="E20" s="31" t="n">
        <v>407</v>
      </c>
      <c r="F20" s="31">
        <f>Index!$C$2</f>
        <v/>
      </c>
      <c r="G20" s="31" t="n">
        <v>1639.52</v>
      </c>
      <c r="H20" s="30" t="inlineStr">
        <is>
          <t>~</t>
        </is>
      </c>
      <c r="I20" s="30" t="n">
        <v>1.62</v>
      </c>
      <c r="J20" s="30" t="n">
        <v>9.9</v>
      </c>
      <c r="K20" s="31">
        <f>IF(AND( C7="Buy", ISBLANK(Z7), B7&lt;&gt;"DIV"), (F7*D7)-(E7*D7), "")</f>
        <v/>
      </c>
      <c r="L20" s="32">
        <f>IF(AND( C7="Buy", ISBLANK(Z7), B7&lt;&gt;"DIV"), F7*D7, "")</f>
        <v/>
      </c>
      <c r="M20" s="33">
        <f>IF(AND( C7="Buy", ISBLANK(Z7), B7&lt;&gt;"DIV"), D7, "")</f>
        <v/>
      </c>
      <c r="N20" s="34">
        <f>IF(AND(B7&lt;&gt;"DIV", C7="Buy", ISBLANK(Z7)), K7/(NOW()-A7),"")</f>
        <v/>
      </c>
      <c r="O20" s="31">
        <f>IF(AND(B7&lt;&gt;"DIV", C7="Buy", ISBLANK(Z7)), K7/D7,"")</f>
        <v/>
      </c>
      <c r="P20" s="31">
        <f>IF(AND( C7="Buy", ISBLANK(Z7), B7&lt;&gt;"DIV", NOW()-A7 &lt; 365), (F7*D7)-(E7*D7), "")</f>
        <v/>
      </c>
      <c r="Q20" s="35">
        <f>IF(AND( C7="Buy", ISBLANK(Z7), B7&lt;&gt;"DIV", NOW()-A7 &lt; 365), F7*D7, "")</f>
        <v/>
      </c>
      <c r="R20" s="35">
        <f>IF(AND( C7="Buy", ISBLANK(Z7), B7&lt;&gt;"DIV", NOW()-A7 &lt; 365), D7, "")</f>
        <v/>
      </c>
      <c r="S20" s="36">
        <f>IF(AND(B7&lt;&gt;"DIV", C7="Buy", ISBLANK(Z7), NOW()-A7 &lt; 365), K7/(NOW()-A7),"")</f>
        <v/>
      </c>
      <c r="T20" s="35">
        <f>IF(AND(B7&lt;&gt;"DIV", C7="Buy", ISBLANK(Z7), NOW()-A7 &lt; 365), K7/D7,"")</f>
        <v/>
      </c>
      <c r="U20" s="37">
        <f>IF(AND( C7="Buy", ISBLANK(Z7), B7&lt;&gt;"DIV", NOW()-A7 &gt; 365), (F7*D7)-(E7*D7), "")</f>
        <v/>
      </c>
      <c r="V20" s="37">
        <f>IF(AND( C7="Buy", ISBLANK(Z7), B7&lt;&gt;"DIV", NOW()-A7 &gt; 365), F7*D7, "")</f>
        <v/>
      </c>
      <c r="W20" s="37">
        <f>IF(AND( C7="Buy", ISBLANK(Z7), B7&lt;&gt;"DIV", NOW()-A7 &gt; 365), D7, "")</f>
        <v/>
      </c>
      <c r="X20" s="38">
        <f>IF(AND(B7&lt;&gt;"DIV", C7="Buy", ISBLANK(Z7), NOW()-A7 &gt; 365), K7/(NOW()-A7),"")</f>
        <v/>
      </c>
      <c r="Y20" s="37">
        <f>IF(AND(B7&lt;&gt;"DIV", C7="Buy", ISBLANK(Z7), NOW()-A7 &gt; 365), K7/D7,"")</f>
        <v/>
      </c>
      <c r="Z20" s="31" t="n">
        <v>700</v>
      </c>
      <c r="AA20" s="53" t="n">
        <v>46065</v>
      </c>
      <c r="AB20" s="33" t="n">
        <v>1</v>
      </c>
      <c r="AC20" s="31" t="n">
        <v>288.9</v>
      </c>
      <c r="AD20" s="31" t="n"/>
      <c r="AE20" s="31" t="n"/>
      <c r="AF20" s="35">
        <f>IF(B7="DIV", G7,"")</f>
        <v/>
      </c>
      <c r="AG20" s="39" t="inlineStr">
        <is>
          <t>SBI Securities</t>
        </is>
      </c>
    </row>
    <row r="21" ht="15.75" customHeight="1" s="50">
      <c r="A21" s="28" t="n">
        <v>45034</v>
      </c>
      <c r="B21" s="29" t="inlineStr">
        <is>
          <t>BSE</t>
        </is>
      </c>
      <c r="C21" s="29" t="inlineStr">
        <is>
          <t>Buy</t>
        </is>
      </c>
      <c r="D21" s="30" t="n">
        <v>10</v>
      </c>
      <c r="E21" s="31" t="n">
        <v>364.403</v>
      </c>
      <c r="F21" s="31">
        <f>Index!$C$2</f>
        <v/>
      </c>
      <c r="G21" s="31" t="n">
        <v>3669.87</v>
      </c>
      <c r="H21" s="30" t="inlineStr">
        <is>
          <t>~</t>
        </is>
      </c>
      <c r="I21" s="30" t="n">
        <v>3.65</v>
      </c>
      <c r="J21" s="30" t="n">
        <v>22.22</v>
      </c>
      <c r="K21" s="31">
        <f>IF(AND( C8="Buy", ISBLANK(Z8), B8&lt;&gt;"DIV"), (F8*D8)-(E8*D8), "")</f>
        <v/>
      </c>
      <c r="L21" s="32">
        <f>IF(AND( C8="Buy", ISBLANK(Z8), B8&lt;&gt;"DIV"), F8*D8, "")</f>
        <v/>
      </c>
      <c r="M21" s="33">
        <f>IF(AND( C8="Buy", ISBLANK(Z8), B8&lt;&gt;"DIV"), D8, "")</f>
        <v/>
      </c>
      <c r="N21" s="34">
        <f>IF(AND(B8&lt;&gt;"DIV", C8="Buy", ISBLANK(Z8)), K8/(NOW()-A8),"")</f>
        <v/>
      </c>
      <c r="O21" s="31">
        <f>IF(AND(B8&lt;&gt;"DIV", C8="Buy", ISBLANK(Z8)), K8/D8,"")</f>
        <v/>
      </c>
      <c r="P21" s="31">
        <f>IF(AND( C8="Buy", ISBLANK(Z8), B8&lt;&gt;"DIV", NOW()-A8 &lt; 365), (F8*D8)-(E8*D8), "")</f>
        <v/>
      </c>
      <c r="Q21" s="35">
        <f>IF(AND( C8="Buy", ISBLANK(Z8), B8&lt;&gt;"DIV", NOW()-A8 &lt; 365), F8*D8, "")</f>
        <v/>
      </c>
      <c r="R21" s="35">
        <f>IF(AND( C8="Buy", ISBLANK(Z8), B8&lt;&gt;"DIV", NOW()-A8 &lt; 365), D8, "")</f>
        <v/>
      </c>
      <c r="S21" s="36">
        <f>IF(AND(B8&lt;&gt;"DIV", C8="Buy", ISBLANK(Z8), NOW()-A8 &lt; 365), K8/(NOW()-A8),"")</f>
        <v/>
      </c>
      <c r="T21" s="35">
        <f>IF(AND(B8&lt;&gt;"DIV", C8="Buy", ISBLANK(Z8), NOW()-A8 &lt; 365), K8/D8,"")</f>
        <v/>
      </c>
      <c r="U21" s="37">
        <f>IF(AND( C8="Buy", ISBLANK(Z8), B8&lt;&gt;"DIV", NOW()-A8 &gt; 365), (F8*D8)-(E8*D8), "")</f>
        <v/>
      </c>
      <c r="V21" s="37">
        <f>IF(AND( C8="Buy", ISBLANK(Z8), B8&lt;&gt;"DIV", NOW()-A8 &gt; 365), F8*D8, "")</f>
        <v/>
      </c>
      <c r="W21" s="37">
        <f>IF(AND( C8="Buy", ISBLANK(Z8), B8&lt;&gt;"DIV", NOW()-A8 &gt; 365), D8, "")</f>
        <v/>
      </c>
      <c r="X21" s="38">
        <f>IF(AND(B8&lt;&gt;"DIV", C8="Buy", ISBLANK(Z8), NOW()-A8 &gt; 365), K8/(NOW()-A8),"")</f>
        <v/>
      </c>
      <c r="Y21" s="37">
        <f>IF(AND(B8&lt;&gt;"DIV", C8="Buy", ISBLANK(Z8), NOW()-A8 &gt; 365), K8/D8,"")</f>
        <v/>
      </c>
      <c r="Z21" s="31" t="n">
        <v>700</v>
      </c>
      <c r="AA21" s="53" t="n">
        <v>46065</v>
      </c>
      <c r="AB21" s="33" t="n">
        <v>5</v>
      </c>
      <c r="AC21" s="31" t="n">
        <v>1654.49</v>
      </c>
      <c r="AD21" s="31" t="n"/>
      <c r="AE21" s="31" t="n"/>
      <c r="AF21" s="35">
        <f>IF(B8="DIV", G8,"")</f>
        <v/>
      </c>
      <c r="AG21" s="39" t="inlineStr">
        <is>
          <t>SBI Securities</t>
        </is>
      </c>
    </row>
    <row r="22" ht="15.75" customHeight="1" s="50">
      <c r="A22" s="28" t="n">
        <v>44950</v>
      </c>
      <c r="B22" s="29" t="inlineStr">
        <is>
          <t>BSE</t>
        </is>
      </c>
      <c r="C22" s="29" t="inlineStr">
        <is>
          <t>Buy</t>
        </is>
      </c>
      <c r="D22" s="30" t="n">
        <v>5</v>
      </c>
      <c r="E22" s="31" t="n">
        <v>407.5</v>
      </c>
      <c r="F22" s="31">
        <f>Index!$C$2</f>
        <v/>
      </c>
      <c r="G22" s="31" t="n">
        <v>2051.95</v>
      </c>
      <c r="H22" s="30" t="inlineStr">
        <is>
          <t>~</t>
        </is>
      </c>
      <c r="I22" s="30" t="n">
        <v>2.03</v>
      </c>
      <c r="J22" s="30" t="n">
        <v>12.42</v>
      </c>
      <c r="K22" s="31">
        <f>IF(AND( C9="Buy", ISBLANK(Z9), B9&lt;&gt;"DIV"), (F9*D9)-(E9*D9), "")</f>
        <v/>
      </c>
      <c r="L22" s="32">
        <f>IF(AND( C9="Buy", ISBLANK(Z9), B9&lt;&gt;"DIV"), F9*D9, "")</f>
        <v/>
      </c>
      <c r="M22" s="33">
        <f>IF(AND( C9="Buy", ISBLANK(Z9), B9&lt;&gt;"DIV"), D9, "")</f>
        <v/>
      </c>
      <c r="N22" s="34">
        <f>IF(AND(B9&lt;&gt;"DIV", C9="Buy", ISBLANK(Z9)), K9/(NOW()-A9),"")</f>
        <v/>
      </c>
      <c r="O22" s="31">
        <f>IF(AND(B9&lt;&gt;"DIV", C9="Buy", ISBLANK(Z9)), K9/D9,"")</f>
        <v/>
      </c>
      <c r="P22" s="31">
        <f>IF(AND( C9="Buy", ISBLANK(Z9), B9&lt;&gt;"DIV", NOW()-A9 &lt; 365), (F9*D9)-(E9*D9), "")</f>
        <v/>
      </c>
      <c r="Q22" s="35">
        <f>IF(AND( C9="Buy", ISBLANK(Z9), B9&lt;&gt;"DIV", NOW()-A9 &lt; 365), F9*D9, "")</f>
        <v/>
      </c>
      <c r="R22" s="35">
        <f>IF(AND( C9="Buy", ISBLANK(Z9), B9&lt;&gt;"DIV", NOW()-A9 &lt; 365), D9, "")</f>
        <v/>
      </c>
      <c r="S22" s="36">
        <f>IF(AND(B9&lt;&gt;"DIV", C9="Buy", ISBLANK(Z9), NOW()-A9 &lt; 365), K9/(NOW()-A9),"")</f>
        <v/>
      </c>
      <c r="T22" s="35">
        <f>IF(AND(B9&lt;&gt;"DIV", C9="Buy", ISBLANK(Z9), NOW()-A9 &lt; 365), K9/D9,"")</f>
        <v/>
      </c>
      <c r="U22" s="37">
        <f>IF(AND( C9="Buy", ISBLANK(Z9), B9&lt;&gt;"DIV", NOW()-A9 &gt; 365), (F9*D9)-(E9*D9), "")</f>
        <v/>
      </c>
      <c r="V22" s="37">
        <f>IF(AND( C9="Buy", ISBLANK(Z9), B9&lt;&gt;"DIV", NOW()-A9 &gt; 365), F9*D9, "")</f>
        <v/>
      </c>
      <c r="W22" s="37">
        <f>IF(AND( C9="Buy", ISBLANK(Z9), B9&lt;&gt;"DIV", NOW()-A9 &gt; 365), D9, "")</f>
        <v/>
      </c>
      <c r="X22" s="38">
        <f>IF(AND(B9&lt;&gt;"DIV", C9="Buy", ISBLANK(Z9), NOW()-A9 &gt; 365), K9/(NOW()-A9),"")</f>
        <v/>
      </c>
      <c r="Y22" s="37">
        <f>IF(AND(B9&lt;&gt;"DIV", C9="Buy", ISBLANK(Z9), NOW()-A9 &gt; 365), K9/D9,"")</f>
        <v/>
      </c>
      <c r="Z22" s="31" t="n">
        <v>700</v>
      </c>
      <c r="AA22" s="53" t="n">
        <v>46065</v>
      </c>
      <c r="AB22" s="33" t="n">
        <v>5</v>
      </c>
      <c r="AC22" s="31" t="n">
        <v>1442.03</v>
      </c>
      <c r="AD22" s="31" t="n"/>
      <c r="AE22" s="31" t="n"/>
      <c r="AF22" s="35">
        <f>IF(B9="DIV", G9,"")</f>
        <v/>
      </c>
      <c r="AG22" s="39" t="inlineStr">
        <is>
          <t>SBI Securities</t>
        </is>
      </c>
    </row>
    <row r="23" ht="15.75" customHeight="1" s="50">
      <c r="A23" s="28" t="n">
        <v>44950</v>
      </c>
      <c r="B23" s="29" t="inlineStr">
        <is>
          <t>DIV</t>
        </is>
      </c>
      <c r="C23" s="29" t="inlineStr">
        <is>
          <t>Buy</t>
        </is>
      </c>
      <c r="D23" s="30" t="n">
        <v>10</v>
      </c>
      <c r="E23" s="31" t="n">
        <v>1</v>
      </c>
      <c r="F23" s="31">
        <f>Index!$C$2</f>
        <v/>
      </c>
      <c r="G23" s="31" t="n">
        <v>10</v>
      </c>
      <c r="H23" s="30" t="inlineStr">
        <is>
          <t>Dividend of Rs.1.0000/- per share on 24-JAN-2023</t>
        </is>
      </c>
      <c r="I23" s="30" t="n">
        <v>0</v>
      </c>
      <c r="J23" s="30" t="n">
        <v>0</v>
      </c>
      <c r="K23" s="31">
        <f>IF(AND( C10="Buy", ISBLANK(Z10), B10&lt;&gt;"DIV"), (F10*D10)-(E10*D10), "")</f>
        <v/>
      </c>
      <c r="L23" s="32">
        <f>IF(AND( C10="Buy", ISBLANK(Z10), B10&lt;&gt;"DIV"), F10*D10, "")</f>
        <v/>
      </c>
      <c r="M23" s="33">
        <f>IF(AND( C10="Buy", ISBLANK(Z10), B10&lt;&gt;"DIV"), D10, "")</f>
        <v/>
      </c>
      <c r="N23" s="34">
        <f>IF(AND(B10&lt;&gt;"DIV", C10="Buy", ISBLANK(Z10)), K10/(NOW()-A10),"")</f>
        <v/>
      </c>
      <c r="O23" s="31">
        <f>IF(AND(B10&lt;&gt;"DIV", C10="Buy", ISBLANK(Z10)), K10/D10,"")</f>
        <v/>
      </c>
      <c r="P23" s="31">
        <f>IF(C10="DIV", H10,"")</f>
        <v/>
      </c>
      <c r="Q23" s="35">
        <f>IF(D10="DIV", I10,"")</f>
        <v/>
      </c>
      <c r="R23" s="35">
        <f>IF(E10="DIV", J10,"")</f>
        <v/>
      </c>
      <c r="S23" s="36">
        <f>IF(F10="DIV", K10,"")</f>
        <v/>
      </c>
      <c r="T23" s="35">
        <f>IF(G10="DIV", L10,"")</f>
        <v/>
      </c>
      <c r="U23" s="37">
        <f>IF(H10="DIV", M10,"")</f>
        <v/>
      </c>
      <c r="V23" s="37">
        <f>IF(I10="DIV", N10,"")</f>
        <v/>
      </c>
      <c r="W23" s="37">
        <f>IF(J10="DIV", O10,"")</f>
        <v/>
      </c>
      <c r="X23" s="38">
        <f>IF(K10="DIV", Z10,"")</f>
        <v/>
      </c>
      <c r="Y23" s="37">
        <f>IF(L10="DIV", AA10,"")</f>
        <v/>
      </c>
      <c r="Z23" s="31" t="n"/>
      <c r="AA23" s="31" t="n"/>
      <c r="AB23" s="33" t="n"/>
      <c r="AC23" s="31" t="n"/>
      <c r="AD23" s="31" t="n"/>
      <c r="AE23" s="31" t="n"/>
      <c r="AF23" s="35">
        <f>IF(B10="DIV", G10,"")</f>
        <v/>
      </c>
      <c r="AG23" s="39" t="inlineStr">
        <is>
          <t>SBI Securities</t>
        </is>
      </c>
    </row>
    <row r="24" ht="15.75" customHeight="1" s="50">
      <c r="A24" s="28" t="n">
        <v>44950</v>
      </c>
      <c r="B24" s="29" t="inlineStr">
        <is>
          <t>DIV</t>
        </is>
      </c>
      <c r="C24" s="29" t="inlineStr">
        <is>
          <t>Buy</t>
        </is>
      </c>
      <c r="D24" s="30" t="n">
        <v>40</v>
      </c>
      <c r="E24" s="31" t="n">
        <v>1</v>
      </c>
      <c r="F24" s="31">
        <f>Index!$C$2</f>
        <v/>
      </c>
      <c r="G24" s="31" t="n">
        <v>40</v>
      </c>
      <c r="H24" s="30" t="inlineStr">
        <is>
          <t>Dividend of Rs.1.0000/- per share on 24-JAN-2023</t>
        </is>
      </c>
      <c r="I24" s="30" t="n">
        <v>0</v>
      </c>
      <c r="J24" s="30" t="n">
        <v>0</v>
      </c>
      <c r="K24" s="31">
        <f>IF(AND( C11="Buy", ISBLANK(Z11), B11&lt;&gt;"DIV"), (F11*D11)-(E11*D11), "")</f>
        <v/>
      </c>
      <c r="L24" s="32">
        <f>IF(AND( C11="Buy", ISBLANK(Z11), B11&lt;&gt;"DIV"), F11*D11, "")</f>
        <v/>
      </c>
      <c r="M24" s="33">
        <f>IF(AND( C11="Buy", ISBLANK(Z11), B11&lt;&gt;"DIV"), D11, "")</f>
        <v/>
      </c>
      <c r="N24" s="34">
        <f>IF(AND(B11&lt;&gt;"DIV", C11="Buy", ISBLANK(Z11)), K11/(NOW()-A11),"")</f>
        <v/>
      </c>
      <c r="O24" s="31">
        <f>IF(AND(B11&lt;&gt;"DIV", C11="Buy", ISBLANK(Z11)), K11/D11,"")</f>
        <v/>
      </c>
      <c r="P24" s="31">
        <f>IF(C11="DIV", H11,"")</f>
        <v/>
      </c>
      <c r="Q24" s="35">
        <f>IF(D11="DIV", I11,"")</f>
        <v/>
      </c>
      <c r="R24" s="35">
        <f>IF(E11="DIV", J11,"")</f>
        <v/>
      </c>
      <c r="S24" s="36">
        <f>IF(F11="DIV", K11,"")</f>
        <v/>
      </c>
      <c r="T24" s="35">
        <f>IF(G11="DIV", L11,"")</f>
        <v/>
      </c>
      <c r="U24" s="37">
        <f>IF(H11="DIV", M11,"")</f>
        <v/>
      </c>
      <c r="V24" s="37">
        <f>IF(I11="DIV", N11,"")</f>
        <v/>
      </c>
      <c r="W24" s="37">
        <f>IF(J11="DIV", O11,"")</f>
        <v/>
      </c>
      <c r="X24" s="38">
        <f>IF(K11="DIV", Z11,"")</f>
        <v/>
      </c>
      <c r="Y24" s="37">
        <f>IF(L11="DIV", AA11,"")</f>
        <v/>
      </c>
      <c r="Z24" s="31" t="n"/>
      <c r="AA24" s="31" t="n"/>
      <c r="AB24" s="33" t="n"/>
      <c r="AC24" s="31" t="n"/>
      <c r="AD24" s="31" t="n"/>
      <c r="AE24" s="31" t="n"/>
      <c r="AF24" s="35">
        <f>IF(B11="DIV", G11,"")</f>
        <v/>
      </c>
      <c r="AG24" s="39" t="inlineStr">
        <is>
          <t>SBI Securities</t>
        </is>
      </c>
    </row>
    <row r="25" ht="15.75" customHeight="1" s="50">
      <c r="A25" s="28" t="n">
        <v>44911</v>
      </c>
      <c r="B25" s="29" t="inlineStr">
        <is>
          <t>BSE</t>
        </is>
      </c>
      <c r="C25" s="29" t="inlineStr">
        <is>
          <t>Buy</t>
        </is>
      </c>
      <c r="D25" s="30" t="n">
        <v>10</v>
      </c>
      <c r="E25" s="31" t="n">
        <v>393.554</v>
      </c>
      <c r="F25" s="31">
        <f>Index!$C$2</f>
        <v/>
      </c>
      <c r="G25" s="31" t="n">
        <v>3963.36</v>
      </c>
      <c r="H25" s="30" t="inlineStr">
        <is>
          <t>~</t>
        </is>
      </c>
      <c r="I25" s="30" t="n">
        <v>3.89</v>
      </c>
      <c r="J25" s="30" t="n">
        <v>23.97</v>
      </c>
      <c r="K25" s="31">
        <f>IF(AND( C12="Buy", ISBLANK(Z12), B12&lt;&gt;"DIV"), (F12*D12)-(E12*D12), "")</f>
        <v/>
      </c>
      <c r="L25" s="32">
        <f>IF(AND( C12="Buy", ISBLANK(Z12), B12&lt;&gt;"DIV"), F12*D12, "")</f>
        <v/>
      </c>
      <c r="M25" s="33">
        <f>IF(AND( C12="Buy", ISBLANK(Z12), B12&lt;&gt;"DIV"), D12, "")</f>
        <v/>
      </c>
      <c r="N25" s="34">
        <f>IF(AND(B12&lt;&gt;"DIV", C12="Buy", ISBLANK(Z12)), K12/(NOW()-A12),"")</f>
        <v/>
      </c>
      <c r="O25" s="31">
        <f>IF(AND(B12&lt;&gt;"DIV", C12="Buy", ISBLANK(Z12)), K12/D12,"")</f>
        <v/>
      </c>
      <c r="P25" s="31">
        <f>IF(AND( C12="Buy", ISBLANK(Z12), B12&lt;&gt;"DIV", NOW()-A12 &lt; 365), (F12*D12)-(E12*D12), "")</f>
        <v/>
      </c>
      <c r="Q25" s="35">
        <f>IF(AND( C12="Buy", ISBLANK(Z12), B12&lt;&gt;"DIV", NOW()-A12 &lt; 365), F12*D12, "")</f>
        <v/>
      </c>
      <c r="R25" s="35">
        <f>IF(AND( C12="Buy", ISBLANK(Z12), B12&lt;&gt;"DIV", NOW()-A12 &lt; 365), D12, "")</f>
        <v/>
      </c>
      <c r="S25" s="36">
        <f>IF(AND(B12&lt;&gt;"DIV", C12="Buy", ISBLANK(Z12), NOW()-A12 &lt; 365), K12/(NOW()-A12),"")</f>
        <v/>
      </c>
      <c r="T25" s="35">
        <f>IF(AND(B12&lt;&gt;"DIV", C12="Buy", ISBLANK(Z12), NOW()-A12 &lt; 365), K12/D12,"")</f>
        <v/>
      </c>
      <c r="U25" s="37">
        <f>IF(AND( C12="Buy", ISBLANK(Z12), B12&lt;&gt;"DIV", NOW()-A12 &gt; 365), (F12*D12)-(E12*D12), "")</f>
        <v/>
      </c>
      <c r="V25" s="37">
        <f>IF(AND( C12="Buy", ISBLANK(Z12), B12&lt;&gt;"DIV", NOW()-A12 &gt; 365), F12*D12, "")</f>
        <v/>
      </c>
      <c r="W25" s="37">
        <f>IF(AND( C12="Buy", ISBLANK(Z12), B12&lt;&gt;"DIV", NOW()-A12 &gt; 365), D12, "")</f>
        <v/>
      </c>
      <c r="X25" s="38">
        <f>IF(AND(B12&lt;&gt;"DIV", C12="Buy", ISBLANK(Z12), NOW()-A12 &gt; 365), K12/(NOW()-A12),"")</f>
        <v/>
      </c>
      <c r="Y25" s="37">
        <f>IF(AND(B12&lt;&gt;"DIV", C12="Buy", ISBLANK(Z12), NOW()-A12 &gt; 365), K12/D12,"")</f>
        <v/>
      </c>
      <c r="Z25" s="31" t="n">
        <v>700</v>
      </c>
      <c r="AA25" s="53" t="n">
        <v>46065</v>
      </c>
      <c r="AB25" s="33" t="n">
        <v>10</v>
      </c>
      <c r="AC25" s="31" t="n">
        <v>3021.56</v>
      </c>
      <c r="AD25" s="31" t="n"/>
      <c r="AE25" s="31" t="n"/>
      <c r="AF25" s="35">
        <f>IF(B12="DIV", G12,"")</f>
        <v/>
      </c>
      <c r="AG25" s="39" t="inlineStr">
        <is>
          <t>SBI Securities</t>
        </is>
      </c>
    </row>
    <row r="26" ht="15.75" customHeight="1" s="50">
      <c r="A26" s="28" t="n">
        <v>44890</v>
      </c>
      <c r="B26" s="29" t="inlineStr">
        <is>
          <t>BSE</t>
        </is>
      </c>
      <c r="C26" s="29" t="inlineStr">
        <is>
          <t>Buy</t>
        </is>
      </c>
      <c r="D26" s="30" t="n">
        <v>10</v>
      </c>
      <c r="E26" s="31" t="n">
        <v>397.451</v>
      </c>
      <c r="F26" s="31">
        <f>Index!$C$2</f>
        <v/>
      </c>
      <c r="G26" s="31" t="n">
        <v>4002.69</v>
      </c>
      <c r="H26" s="30" t="inlineStr">
        <is>
          <t>~</t>
        </is>
      </c>
      <c r="I26" s="30" t="n">
        <v>3.99</v>
      </c>
      <c r="J26" s="30" t="n">
        <v>24.2</v>
      </c>
      <c r="K26" s="31">
        <f>IF(AND( C13="Buy", ISBLANK(Z13), B13&lt;&gt;"DIV"), (F13*D13)-(E13*D13), "")</f>
        <v/>
      </c>
      <c r="L26" s="32">
        <f>IF(AND( C13="Buy", ISBLANK(Z13), B13&lt;&gt;"DIV"), F13*D13, "")</f>
        <v/>
      </c>
      <c r="M26" s="33">
        <f>IF(AND( C13="Buy", ISBLANK(Z13), B13&lt;&gt;"DIV"), D13, "")</f>
        <v/>
      </c>
      <c r="N26" s="34">
        <f>IF(AND(B13&lt;&gt;"DIV", C13="Buy", ISBLANK(Z13)), K13/(NOW()-A13),"")</f>
        <v/>
      </c>
      <c r="O26" s="31">
        <f>IF(AND(B13&lt;&gt;"DIV", C13="Buy", ISBLANK(Z13)), K13/D13,"")</f>
        <v/>
      </c>
      <c r="P26" s="31">
        <f>IF(AND( C13="Buy", ISBLANK(Z13), B13&lt;&gt;"DIV", NOW()-A13 &lt; 365), (F13*D13)-(E13*D13), "")</f>
        <v/>
      </c>
      <c r="Q26" s="35">
        <f>IF(AND( C13="Buy", ISBLANK(Z13), B13&lt;&gt;"DIV", NOW()-A13 &lt; 365), F13*D13, "")</f>
        <v/>
      </c>
      <c r="R26" s="35">
        <f>IF(AND( C13="Buy", ISBLANK(Z13), B13&lt;&gt;"DIV", NOW()-A13 &lt; 365), D13, "")</f>
        <v/>
      </c>
      <c r="S26" s="36">
        <f>IF(AND(B13&lt;&gt;"DIV", C13="Buy", ISBLANK(Z13), NOW()-A13 &lt; 365), K13/(NOW()-A13),"")</f>
        <v/>
      </c>
      <c r="T26" s="35">
        <f>IF(AND(B13&lt;&gt;"DIV", C13="Buy", ISBLANK(Z13), NOW()-A13 &lt; 365), K13/D13,"")</f>
        <v/>
      </c>
      <c r="U26" s="37">
        <f>IF(AND( C13="Buy", ISBLANK(Z13), B13&lt;&gt;"DIV", NOW()-A13 &gt; 365), (F13*D13)-(E13*D13), "")</f>
        <v/>
      </c>
      <c r="V26" s="37">
        <f>IF(AND( C13="Buy", ISBLANK(Z13), B13&lt;&gt;"DIV", NOW()-A13 &gt; 365), F13*D13, "")</f>
        <v/>
      </c>
      <c r="W26" s="37">
        <f>IF(AND( C13="Buy", ISBLANK(Z13), B13&lt;&gt;"DIV", NOW()-A13 &gt; 365), D13, "")</f>
        <v/>
      </c>
      <c r="X26" s="38">
        <f>IF(AND(B13&lt;&gt;"DIV", C13="Buy", ISBLANK(Z13), NOW()-A13 &gt; 365), K13/(NOW()-A13),"")</f>
        <v/>
      </c>
      <c r="Y26" s="37">
        <f>IF(AND(B13&lt;&gt;"DIV", C13="Buy", ISBLANK(Z13), NOW()-A13 &gt; 365), K13/D13,"")</f>
        <v/>
      </c>
      <c r="Z26" s="31" t="n">
        <v>700</v>
      </c>
      <c r="AA26" s="53" t="n">
        <v>46065</v>
      </c>
      <c r="AB26" s="33" t="n">
        <v>5</v>
      </c>
      <c r="AC26" s="31" t="n">
        <v>1491.57</v>
      </c>
      <c r="AD26" s="31" t="n"/>
      <c r="AE26" s="31" t="n"/>
      <c r="AF26" s="35">
        <f>IF(B13="DIV", G13,"")</f>
        <v/>
      </c>
      <c r="AG26" s="39" t="inlineStr">
        <is>
          <t>SBI Securities</t>
        </is>
      </c>
    </row>
    <row r="27" ht="15.75" customHeight="1" s="50">
      <c r="A27" s="28" t="n">
        <v>44853</v>
      </c>
      <c r="B27" s="29" t="inlineStr">
        <is>
          <t>NSE</t>
        </is>
      </c>
      <c r="C27" s="29" t="inlineStr">
        <is>
          <t>Buy</t>
        </is>
      </c>
      <c r="D27" s="30" t="n">
        <v>10</v>
      </c>
      <c r="E27" s="31" t="n">
        <v>379.505</v>
      </c>
      <c r="F27" s="31">
        <f>Index!$C$2</f>
        <v/>
      </c>
      <c r="G27" s="31" t="n">
        <v>3821.85</v>
      </c>
      <c r="H27" s="30" t="inlineStr">
        <is>
          <t>~</t>
        </is>
      </c>
      <c r="I27" s="30" t="n">
        <v>3.75</v>
      </c>
      <c r="J27" s="30" t="n">
        <v>23.1</v>
      </c>
      <c r="K27" s="31">
        <f>IF(AND( C14="Buy", ISBLANK(Z14), B14&lt;&gt;"DIV"), (F14*D14)-(E14*D14), "")</f>
        <v/>
      </c>
      <c r="L27" s="32">
        <f>IF(AND( C14="Buy", ISBLANK(Z14), B14&lt;&gt;"DIV"), F14*D14, "")</f>
        <v/>
      </c>
      <c r="M27" s="33">
        <f>IF(AND( C14="Buy", ISBLANK(Z14), B14&lt;&gt;"DIV"), D14, "")</f>
        <v/>
      </c>
      <c r="N27" s="34">
        <f>IF(AND(B14&lt;&gt;"DIV", C14="Buy", ISBLANK(Z14)), K14/(NOW()-A14),"")</f>
        <v/>
      </c>
      <c r="O27" s="31">
        <f>IF(AND(B14&lt;&gt;"DIV", C14="Buy", ISBLANK(Z14)), K14/D14,"")</f>
        <v/>
      </c>
      <c r="P27" s="31">
        <f>IF(AND( C14="Buy", ISBLANK(Z14), B14&lt;&gt;"DIV", NOW()-A14 &lt; 365), (F14*D14)-(E14*D14), "")</f>
        <v/>
      </c>
      <c r="Q27" s="35">
        <f>IF(AND( C14="Buy", ISBLANK(Z14), B14&lt;&gt;"DIV", NOW()-A14 &lt; 365), F14*D14, "")</f>
        <v/>
      </c>
      <c r="R27" s="35">
        <f>IF(AND( C14="Buy", ISBLANK(Z14), B14&lt;&gt;"DIV", NOW()-A14 &lt; 365), D14, "")</f>
        <v/>
      </c>
      <c r="S27" s="36">
        <f>IF(AND(B14&lt;&gt;"DIV", C14="Buy", ISBLANK(Z14), NOW()-A14 &lt; 365), K14/(NOW()-A14),"")</f>
        <v/>
      </c>
      <c r="T27" s="35">
        <f>IF(AND(B14&lt;&gt;"DIV", C14="Buy", ISBLANK(Z14), NOW()-A14 &lt; 365), K14/D14,"")</f>
        <v/>
      </c>
      <c r="U27" s="37">
        <f>IF(AND( C14="Buy", ISBLANK(Z14), B14&lt;&gt;"DIV", NOW()-A14 &gt; 365), (F14*D14)-(E14*D14), "")</f>
        <v/>
      </c>
      <c r="V27" s="37">
        <f>IF(AND( C14="Buy", ISBLANK(Z14), B14&lt;&gt;"DIV", NOW()-A14 &gt; 365), F14*D14, "")</f>
        <v/>
      </c>
      <c r="W27" s="37">
        <f>IF(AND( C14="Buy", ISBLANK(Z14), B14&lt;&gt;"DIV", NOW()-A14 &gt; 365), D14, "")</f>
        <v/>
      </c>
      <c r="X27" s="38">
        <f>IF(AND(B14&lt;&gt;"DIV", C14="Buy", ISBLANK(Z14), NOW()-A14 &gt; 365), K14/(NOW()-A14),"")</f>
        <v/>
      </c>
      <c r="Y27" s="37">
        <f>IF(AND(B14&lt;&gt;"DIV", C14="Buy", ISBLANK(Z14), NOW()-A14 &gt; 365), K14/D14,"")</f>
        <v/>
      </c>
      <c r="Z27" s="31" t="n">
        <v>700</v>
      </c>
      <c r="AA27" s="53" t="n">
        <v>46065</v>
      </c>
      <c r="AB27" s="33" t="n">
        <v>5</v>
      </c>
      <c r="AC27" s="31" t="n">
        <v>1580.04</v>
      </c>
      <c r="AD27" s="31" t="n"/>
      <c r="AE27" s="31" t="n"/>
      <c r="AF27" s="35">
        <f>IF(B14="DIV", G14,"")</f>
        <v/>
      </c>
      <c r="AG27" s="39" t="inlineStr">
        <is>
          <t>SBI Securities</t>
        </is>
      </c>
    </row>
    <row r="28" ht="15.75" customHeight="1" s="50">
      <c r="A28" s="28" t="n">
        <v>44827</v>
      </c>
      <c r="B28" s="29" t="inlineStr">
        <is>
          <t>BSE</t>
        </is>
      </c>
      <c r="C28" s="29" t="inlineStr">
        <is>
          <t>Buy</t>
        </is>
      </c>
      <c r="D28" s="30" t="n">
        <v>20</v>
      </c>
      <c r="E28" s="31" t="n">
        <v>398.7975</v>
      </c>
      <c r="F28" s="31">
        <f>Index!$C$2</f>
        <v/>
      </c>
      <c r="G28" s="31" t="n">
        <v>8032.25</v>
      </c>
      <c r="H28" s="30" t="inlineStr">
        <is>
          <t>~</t>
        </is>
      </c>
      <c r="I28" s="30" t="n">
        <v>7.8</v>
      </c>
      <c r="J28" s="30" t="n">
        <v>48.45</v>
      </c>
      <c r="K28" s="31">
        <f>IF(AND( C15="Buy", ISBLANK(Z15), B15&lt;&gt;"DIV"), (F15*D15)-(E15*D15), "")</f>
        <v/>
      </c>
      <c r="L28" s="32">
        <f>IF(AND( C15="Buy", ISBLANK(Z15), B15&lt;&gt;"DIV"), F15*D15, "")</f>
        <v/>
      </c>
      <c r="M28" s="33">
        <f>IF(AND( C15="Buy", ISBLANK(Z15), B15&lt;&gt;"DIV"), D15, "")</f>
        <v/>
      </c>
      <c r="N28" s="34">
        <f>IF(AND(B15&lt;&gt;"DIV", C15="Buy", ISBLANK(Z15)), K15/(NOW()-A15),"")</f>
        <v/>
      </c>
      <c r="O28" s="31">
        <f>IF(AND(B15&lt;&gt;"DIV", C15="Buy", ISBLANK(Z15)), K15/D15,"")</f>
        <v/>
      </c>
      <c r="P28" s="31">
        <f>IF(AND( C15="Buy", ISBLANK(Z15), B15&lt;&gt;"DIV", NOW()-A15 &lt; 365), (F15*D15)-(E15*D15), "")</f>
        <v/>
      </c>
      <c r="Q28" s="35">
        <f>IF(AND( C15="Buy", ISBLANK(Z15), B15&lt;&gt;"DIV", NOW()-A15 &lt; 365), F15*D15, "")</f>
        <v/>
      </c>
      <c r="R28" s="35">
        <f>IF(AND( C15="Buy", ISBLANK(Z15), B15&lt;&gt;"DIV", NOW()-A15 &lt; 365), D15, "")</f>
        <v/>
      </c>
      <c r="S28" s="36">
        <f>IF(AND(B15&lt;&gt;"DIV", C15="Buy", ISBLANK(Z15), NOW()-A15 &lt; 365), K15/(NOW()-A15),"")</f>
        <v/>
      </c>
      <c r="T28" s="35">
        <f>IF(AND(B15&lt;&gt;"DIV", C15="Buy", ISBLANK(Z15), NOW()-A15 &lt; 365), K15/D15,"")</f>
        <v/>
      </c>
      <c r="U28" s="37">
        <f>IF(AND( C15="Buy", ISBLANK(Z15), B15&lt;&gt;"DIV", NOW()-A15 &gt; 365), (F15*D15)-(E15*D15), "")</f>
        <v/>
      </c>
      <c r="V28" s="37">
        <f>IF(AND( C15="Buy", ISBLANK(Z15), B15&lt;&gt;"DIV", NOW()-A15 &gt; 365), F15*D15, "")</f>
        <v/>
      </c>
      <c r="W28" s="37">
        <f>IF(AND( C15="Buy", ISBLANK(Z15), B15&lt;&gt;"DIV", NOW()-A15 &gt; 365), D15, "")</f>
        <v/>
      </c>
      <c r="X28" s="38">
        <f>IF(AND(B15&lt;&gt;"DIV", C15="Buy", ISBLANK(Z15), NOW()-A15 &gt; 365), K15/(NOW()-A15),"")</f>
        <v/>
      </c>
      <c r="Y28" s="37">
        <f>IF(AND(B15&lt;&gt;"DIV", C15="Buy", ISBLANK(Z15), NOW()-A15 &gt; 365), K15/D15,"")</f>
        <v/>
      </c>
      <c r="Z28" s="31" t="n">
        <v>700</v>
      </c>
      <c r="AA28" s="42" t="n">
        <v>46065</v>
      </c>
      <c r="AB28" s="33" t="n">
        <v>1</v>
      </c>
      <c r="AC28" s="31" t="n">
        <v>296.99</v>
      </c>
      <c r="AD28" s="31" t="n"/>
      <c r="AE28" s="31" t="n"/>
      <c r="AF28" s="35" t="n"/>
      <c r="AG28" s="39" t="inlineStr">
        <is>
          <t>SBI Securities</t>
        </is>
      </c>
    </row>
    <row r="29" ht="15.75" customHeight="1" s="50">
      <c r="E29" s="40" t="n"/>
      <c r="F29" s="40" t="n"/>
      <c r="G29" s="40" t="n"/>
      <c r="H29" s="41" t="n"/>
      <c r="K29" s="40" t="n"/>
      <c r="L29" s="1" t="n"/>
      <c r="N29" s="40" t="n"/>
      <c r="O29" s="40" t="n"/>
      <c r="Z29" s="40" t="n"/>
      <c r="AA29" s="40" t="n"/>
      <c r="AC29" s="40" t="n"/>
      <c r="AD29" s="40" t="n"/>
      <c r="AE29" s="40" t="n"/>
      <c r="AF29" s="40" t="n"/>
    </row>
    <row r="30" ht="15.75" customHeight="1" s="50">
      <c r="E30" s="40" t="n"/>
      <c r="F30" s="40" t="n"/>
      <c r="G30" s="40" t="n"/>
      <c r="H30" s="41" t="n"/>
      <c r="K30" s="40" t="n"/>
      <c r="L30" s="1" t="n"/>
      <c r="N30" s="40" t="n"/>
      <c r="O30" s="40" t="n"/>
      <c r="Z30" s="40" t="n"/>
      <c r="AA30" s="40" t="n"/>
      <c r="AC30" s="40" t="n"/>
      <c r="AD30" s="40" t="n"/>
      <c r="AE30" s="40" t="n"/>
      <c r="AF30" s="40" t="n"/>
    </row>
    <row r="31" ht="15.75" customHeight="1" s="50">
      <c r="E31" s="40" t="n"/>
      <c r="F31" s="40" t="n"/>
      <c r="G31" s="40" t="n"/>
      <c r="H31" s="41" t="n"/>
      <c r="K31" s="40" t="n"/>
      <c r="L31" s="1" t="n"/>
      <c r="N31" s="40" t="n"/>
      <c r="O31" s="40" t="n"/>
      <c r="Z31" s="40" t="n"/>
      <c r="AA31" s="40" t="n"/>
      <c r="AC31" s="40" t="n"/>
      <c r="AD31" s="40" t="n"/>
      <c r="AE31" s="40" t="n"/>
      <c r="AF31" s="40" t="n"/>
    </row>
    <row r="32" ht="15.75" customHeight="1" s="50">
      <c r="E32" s="40" t="n"/>
      <c r="F32" s="40" t="n"/>
      <c r="G32" s="40" t="n"/>
      <c r="H32" s="41" t="n"/>
      <c r="K32" s="40" t="n"/>
      <c r="L32" s="1" t="n"/>
      <c r="N32" s="40" t="n"/>
      <c r="O32" s="40" t="n"/>
      <c r="Z32" s="40" t="n"/>
      <c r="AA32" s="40" t="n"/>
      <c r="AC32" s="40" t="n"/>
      <c r="AD32" s="40" t="n"/>
      <c r="AE32" s="40" t="n"/>
      <c r="AF32" s="40" t="n"/>
    </row>
    <row r="33" ht="15.75" customHeight="1" s="50">
      <c r="E33" s="40" t="n"/>
      <c r="F33" s="40" t="n"/>
      <c r="G33" s="40" t="n"/>
      <c r="H33" s="41" t="n"/>
      <c r="K33" s="40" t="n"/>
      <c r="L33" s="1" t="n"/>
      <c r="N33" s="40" t="n"/>
      <c r="O33" s="40" t="n"/>
      <c r="Z33" s="40" t="n"/>
      <c r="AA33" s="40" t="n"/>
      <c r="AC33" s="40" t="n"/>
      <c r="AD33" s="40" t="n"/>
      <c r="AE33" s="40" t="n"/>
      <c r="AF33" s="40" t="n"/>
    </row>
    <row r="34" ht="15.75" customHeight="1" s="50">
      <c r="E34" s="40" t="n"/>
      <c r="F34" s="40" t="n"/>
      <c r="G34" s="40" t="n"/>
      <c r="H34" s="41" t="n"/>
      <c r="K34" s="40" t="n"/>
      <c r="L34" s="1" t="n"/>
      <c r="N34" s="40" t="n"/>
      <c r="O34" s="40" t="n"/>
      <c r="Z34" s="40" t="n"/>
      <c r="AA34" s="40" t="n"/>
      <c r="AC34" s="40" t="n"/>
      <c r="AD34" s="40" t="n"/>
      <c r="AE34" s="40" t="n"/>
      <c r="AF34" s="40" t="n"/>
    </row>
    <row r="35" ht="15.75" customHeight="1" s="50">
      <c r="E35" s="40" t="n"/>
      <c r="F35" s="40" t="n"/>
      <c r="G35" s="40" t="n"/>
      <c r="H35" s="41" t="n"/>
      <c r="K35" s="40" t="n"/>
      <c r="L35" s="1" t="n"/>
      <c r="N35" s="40" t="n"/>
      <c r="O35" s="40" t="n"/>
      <c r="Z35" s="40" t="n"/>
      <c r="AA35" s="40" t="n"/>
      <c r="AC35" s="40" t="n"/>
      <c r="AD35" s="40" t="n"/>
      <c r="AE35" s="40" t="n"/>
      <c r="AF35" s="40" t="n"/>
    </row>
    <row r="36" ht="15.75" customHeight="1" s="50">
      <c r="E36" s="40" t="n"/>
      <c r="F36" s="40" t="n"/>
      <c r="G36" s="40" t="n"/>
      <c r="H36" s="41" t="n"/>
      <c r="K36" s="40" t="n"/>
      <c r="L36" s="1" t="n"/>
      <c r="N36" s="40" t="n"/>
      <c r="O36" s="40" t="n"/>
      <c r="Z36" s="40" t="n"/>
      <c r="AA36" s="40" t="n"/>
      <c r="AC36" s="40" t="n"/>
      <c r="AD36" s="40" t="n"/>
      <c r="AE36" s="40" t="n"/>
      <c r="AF36" s="40" t="n"/>
    </row>
    <row r="37" ht="15.75" customHeight="1" s="50">
      <c r="E37" s="40" t="n"/>
      <c r="F37" s="40" t="n"/>
      <c r="G37" s="40" t="n"/>
      <c r="H37" s="41" t="n"/>
      <c r="K37" s="40" t="n"/>
      <c r="L37" s="1" t="n"/>
      <c r="N37" s="40" t="n"/>
      <c r="O37" s="40" t="n"/>
      <c r="Z37" s="40" t="n"/>
      <c r="AA37" s="40" t="n"/>
      <c r="AC37" s="40" t="n"/>
      <c r="AD37" s="40" t="n"/>
      <c r="AE37" s="40" t="n"/>
      <c r="AF37" s="40" t="n"/>
    </row>
    <row r="38" ht="15.75" customHeight="1" s="50">
      <c r="E38" s="40" t="n"/>
      <c r="F38" s="40" t="n"/>
      <c r="G38" s="40" t="n"/>
      <c r="H38" s="41" t="n"/>
      <c r="K38" s="40" t="n"/>
      <c r="L38" s="1" t="n"/>
      <c r="N38" s="40" t="n"/>
      <c r="O38" s="40" t="n"/>
      <c r="Z38" s="40" t="n"/>
      <c r="AA38" s="40" t="n"/>
      <c r="AC38" s="40" t="n"/>
      <c r="AD38" s="40" t="n"/>
      <c r="AE38" s="40" t="n"/>
      <c r="AF38" s="40" t="n"/>
    </row>
    <row r="39" ht="15.75" customHeight="1" s="50">
      <c r="E39" s="40" t="n"/>
      <c r="F39" s="40" t="n"/>
      <c r="G39" s="40" t="n"/>
      <c r="H39" s="41" t="n"/>
      <c r="K39" s="40" t="n"/>
      <c r="L39" s="1" t="n"/>
      <c r="N39" s="40" t="n"/>
      <c r="O39" s="40" t="n"/>
      <c r="Z39" s="40" t="n"/>
      <c r="AA39" s="40" t="n"/>
      <c r="AC39" s="40" t="n"/>
      <c r="AD39" s="40" t="n"/>
      <c r="AE39" s="40" t="n"/>
      <c r="AF39" s="40" t="n"/>
    </row>
    <row r="40" ht="15.75" customHeight="1" s="50">
      <c r="E40" s="40" t="n"/>
      <c r="F40" s="40" t="n"/>
      <c r="G40" s="40" t="n"/>
      <c r="H40" s="41" t="n"/>
      <c r="K40" s="40" t="n"/>
      <c r="L40" s="1" t="n"/>
      <c r="N40" s="40" t="n"/>
      <c r="O40" s="40" t="n"/>
      <c r="Z40" s="40" t="n"/>
      <c r="AA40" s="40" t="n"/>
      <c r="AC40" s="40" t="n"/>
      <c r="AD40" s="40" t="n"/>
      <c r="AE40" s="40" t="n"/>
      <c r="AF40" s="40" t="n"/>
    </row>
    <row r="41" ht="15.75" customHeight="1" s="50">
      <c r="E41" s="40" t="n"/>
      <c r="F41" s="40" t="n"/>
      <c r="G41" s="40" t="n"/>
      <c r="H41" s="41" t="n"/>
      <c r="K41" s="40" t="n"/>
      <c r="L41" s="1" t="n"/>
      <c r="N41" s="40" t="n"/>
      <c r="O41" s="40" t="n"/>
      <c r="Z41" s="40" t="n"/>
      <c r="AA41" s="40" t="n"/>
      <c r="AC41" s="40" t="n"/>
      <c r="AD41" s="40" t="n"/>
      <c r="AE41" s="40" t="n"/>
      <c r="AF41" s="40" t="n"/>
    </row>
    <row r="42" ht="15.75" customHeight="1" s="50">
      <c r="E42" s="40" t="n"/>
      <c r="F42" s="40" t="n"/>
      <c r="G42" s="40" t="n"/>
      <c r="H42" s="41" t="n"/>
      <c r="K42" s="40" t="n"/>
      <c r="L42" s="1" t="n"/>
      <c r="N42" s="40" t="n"/>
      <c r="O42" s="40" t="n"/>
      <c r="Z42" s="40" t="n"/>
      <c r="AA42" s="40" t="n"/>
      <c r="AC42" s="40" t="n"/>
      <c r="AD42" s="40" t="n"/>
      <c r="AE42" s="40" t="n"/>
      <c r="AF42" s="40" t="n"/>
    </row>
    <row r="43" ht="15.75" customHeight="1" s="50">
      <c r="E43" s="40" t="n"/>
      <c r="F43" s="40" t="n"/>
      <c r="G43" s="40" t="n"/>
      <c r="H43" s="41" t="n"/>
      <c r="K43" s="40" t="n"/>
      <c r="L43" s="1" t="n"/>
      <c r="N43" s="40" t="n"/>
      <c r="O43" s="40" t="n"/>
      <c r="Z43" s="40" t="n"/>
      <c r="AA43" s="40" t="n"/>
      <c r="AC43" s="40" t="n"/>
      <c r="AD43" s="40" t="n"/>
      <c r="AE43" s="40" t="n"/>
      <c r="AF43" s="40" t="n"/>
    </row>
    <row r="44" ht="15.75" customHeight="1" s="50">
      <c r="E44" s="40" t="n"/>
      <c r="F44" s="40" t="n"/>
      <c r="G44" s="40" t="n"/>
      <c r="H44" s="41" t="n"/>
      <c r="K44" s="40" t="n"/>
      <c r="L44" s="1" t="n"/>
      <c r="N44" s="40" t="n"/>
      <c r="O44" s="40" t="n"/>
      <c r="Z44" s="40" t="n"/>
      <c r="AA44" s="40" t="n"/>
      <c r="AC44" s="40" t="n"/>
      <c r="AD44" s="40" t="n"/>
      <c r="AE44" s="40" t="n"/>
      <c r="AF44" s="40" t="n"/>
    </row>
    <row r="45" ht="15.75" customHeight="1" s="50">
      <c r="E45" s="40" t="n"/>
      <c r="F45" s="40" t="n"/>
      <c r="G45" s="40" t="n"/>
      <c r="H45" s="41" t="n"/>
      <c r="K45" s="40" t="n"/>
      <c r="L45" s="1" t="n"/>
      <c r="N45" s="40" t="n"/>
      <c r="O45" s="40" t="n"/>
      <c r="Z45" s="40" t="n"/>
      <c r="AA45" s="40" t="n"/>
      <c r="AC45" s="40" t="n"/>
      <c r="AD45" s="40" t="n"/>
      <c r="AE45" s="40" t="n"/>
      <c r="AF45" s="40" t="n"/>
    </row>
    <row r="46" ht="15.75" customHeight="1" s="50">
      <c r="E46" s="40" t="n"/>
      <c r="F46" s="40" t="n"/>
      <c r="G46" s="40" t="n"/>
      <c r="H46" s="41" t="n"/>
      <c r="K46" s="40" t="n"/>
      <c r="L46" s="1" t="n"/>
      <c r="N46" s="40" t="n"/>
      <c r="O46" s="40" t="n"/>
      <c r="Z46" s="40" t="n"/>
      <c r="AA46" s="40" t="n"/>
      <c r="AC46" s="40" t="n"/>
      <c r="AD46" s="40" t="n"/>
      <c r="AE46" s="40" t="n"/>
      <c r="AF46" s="40" t="n"/>
    </row>
    <row r="47" ht="15.75" customHeight="1" s="50">
      <c r="E47" s="40" t="n"/>
      <c r="F47" s="40" t="n"/>
      <c r="G47" s="40" t="n"/>
      <c r="H47" s="41" t="n"/>
      <c r="K47" s="40" t="n"/>
      <c r="L47" s="1" t="n"/>
      <c r="N47" s="40" t="n"/>
      <c r="O47" s="40" t="n"/>
      <c r="Z47" s="40" t="n"/>
      <c r="AA47" s="40" t="n"/>
      <c r="AC47" s="40" t="n"/>
      <c r="AD47" s="40" t="n"/>
      <c r="AE47" s="40" t="n"/>
      <c r="AF47" s="40" t="n"/>
    </row>
    <row r="48" ht="15.75" customHeight="1" s="50">
      <c r="E48" s="40" t="n"/>
      <c r="F48" s="40" t="n"/>
      <c r="G48" s="40" t="n"/>
      <c r="H48" s="41" t="n"/>
      <c r="K48" s="40" t="n"/>
      <c r="L48" s="1" t="n"/>
      <c r="N48" s="40" t="n"/>
      <c r="O48" s="40" t="n"/>
      <c r="Z48" s="40" t="n"/>
      <c r="AA48" s="40" t="n"/>
      <c r="AC48" s="40" t="n"/>
      <c r="AD48" s="40" t="n"/>
      <c r="AE48" s="40" t="n"/>
      <c r="AF48" s="40" t="n"/>
    </row>
    <row r="49" ht="15.75" customHeight="1" s="50">
      <c r="E49" s="40" t="n"/>
      <c r="F49" s="40" t="n"/>
      <c r="G49" s="40" t="n"/>
      <c r="H49" s="41" t="n"/>
      <c r="K49" s="40" t="n"/>
      <c r="L49" s="1" t="n"/>
      <c r="N49" s="40" t="n"/>
      <c r="O49" s="40" t="n"/>
      <c r="Z49" s="40" t="n"/>
      <c r="AA49" s="40" t="n"/>
      <c r="AC49" s="40" t="n"/>
      <c r="AD49" s="40" t="n"/>
      <c r="AE49" s="40" t="n"/>
      <c r="AF49" s="40" t="n"/>
    </row>
    <row r="50" ht="15.75" customHeight="1" s="50">
      <c r="E50" s="40" t="n"/>
      <c r="F50" s="40" t="n"/>
      <c r="G50" s="40" t="n"/>
      <c r="H50" s="41" t="n"/>
      <c r="K50" s="40" t="n"/>
      <c r="L50" s="1" t="n"/>
      <c r="N50" s="40" t="n"/>
      <c r="O50" s="40" t="n"/>
      <c r="Z50" s="40" t="n"/>
      <c r="AA50" s="40" t="n"/>
      <c r="AC50" s="40" t="n"/>
      <c r="AD50" s="40" t="n"/>
      <c r="AE50" s="40" t="n"/>
      <c r="AF50" s="40" t="n"/>
    </row>
    <row r="51" ht="15.75" customHeight="1" s="50">
      <c r="E51" s="40" t="n"/>
      <c r="F51" s="40" t="n"/>
      <c r="G51" s="40" t="n"/>
      <c r="H51" s="41" t="n"/>
      <c r="K51" s="40" t="n"/>
      <c r="L51" s="1" t="n"/>
      <c r="N51" s="40" t="n"/>
      <c r="O51" s="40" t="n"/>
      <c r="Z51" s="40" t="n"/>
      <c r="AA51" s="40" t="n"/>
      <c r="AC51" s="40" t="n"/>
      <c r="AD51" s="40" t="n"/>
      <c r="AE51" s="40" t="n"/>
      <c r="AF51" s="40" t="n"/>
    </row>
    <row r="52" ht="15.75" customHeight="1" s="50">
      <c r="E52" s="40" t="n"/>
      <c r="F52" s="40" t="n"/>
      <c r="G52" s="40" t="n"/>
      <c r="H52" s="41" t="n"/>
      <c r="K52" s="40" t="n"/>
      <c r="L52" s="1" t="n"/>
      <c r="N52" s="40" t="n"/>
      <c r="O52" s="40" t="n"/>
      <c r="Z52" s="40" t="n"/>
      <c r="AA52" s="40" t="n"/>
      <c r="AC52" s="40" t="n"/>
      <c r="AD52" s="40" t="n"/>
      <c r="AE52" s="40" t="n"/>
      <c r="AF52" s="40" t="n"/>
    </row>
    <row r="53" ht="15.75" customHeight="1" s="50">
      <c r="E53" s="40" t="n"/>
      <c r="F53" s="40" t="n"/>
      <c r="G53" s="40" t="n"/>
      <c r="H53" s="41" t="n"/>
      <c r="K53" s="40" t="n"/>
      <c r="L53" s="1" t="n"/>
      <c r="N53" s="40" t="n"/>
      <c r="O53" s="40" t="n"/>
      <c r="Z53" s="40" t="n"/>
      <c r="AA53" s="40" t="n"/>
      <c r="AC53" s="40" t="n"/>
      <c r="AD53" s="40" t="n"/>
      <c r="AE53" s="40" t="n"/>
      <c r="AF53" s="40" t="n"/>
    </row>
    <row r="54" ht="15.75" customHeight="1" s="50">
      <c r="E54" s="40" t="n"/>
      <c r="F54" s="40" t="n"/>
      <c r="G54" s="40" t="n"/>
      <c r="H54" s="41" t="n"/>
      <c r="K54" s="40" t="n"/>
      <c r="L54" s="1" t="n"/>
      <c r="N54" s="40" t="n"/>
      <c r="O54" s="40" t="n"/>
      <c r="Z54" s="40" t="n"/>
      <c r="AA54" s="40" t="n"/>
      <c r="AC54" s="40" t="n"/>
      <c r="AD54" s="40" t="n"/>
      <c r="AE54" s="40" t="n"/>
      <c r="AF54" s="40" t="n"/>
    </row>
    <row r="55" ht="15.75" customHeight="1" s="50">
      <c r="E55" s="40" t="n"/>
      <c r="F55" s="40" t="n"/>
      <c r="G55" s="40" t="n"/>
      <c r="H55" s="41" t="n"/>
      <c r="K55" s="40" t="n"/>
      <c r="L55" s="1" t="n"/>
      <c r="N55" s="40" t="n"/>
      <c r="O55" s="40" t="n"/>
      <c r="Z55" s="40" t="n"/>
      <c r="AA55" s="40" t="n"/>
      <c r="AC55" s="40" t="n"/>
      <c r="AD55" s="40" t="n"/>
      <c r="AE55" s="40" t="n"/>
      <c r="AF55" s="40" t="n"/>
    </row>
    <row r="56" ht="15.75" customHeight="1" s="50">
      <c r="E56" s="40" t="n"/>
      <c r="F56" s="40" t="n"/>
      <c r="G56" s="40" t="n"/>
      <c r="H56" s="41" t="n"/>
      <c r="K56" s="40" t="n"/>
      <c r="L56" s="1" t="n"/>
      <c r="N56" s="40" t="n"/>
      <c r="O56" s="40" t="n"/>
      <c r="Z56" s="40" t="n"/>
      <c r="AA56" s="40" t="n"/>
      <c r="AC56" s="40" t="n"/>
      <c r="AD56" s="40" t="n"/>
      <c r="AE56" s="40" t="n"/>
      <c r="AF56" s="40" t="n"/>
    </row>
    <row r="57" ht="15.75" customHeight="1" s="50">
      <c r="E57" s="40" t="n"/>
      <c r="F57" s="40" t="n"/>
      <c r="G57" s="40" t="n"/>
      <c r="H57" s="41" t="n"/>
      <c r="K57" s="40" t="n"/>
      <c r="L57" s="1" t="n"/>
      <c r="N57" s="40" t="n"/>
      <c r="O57" s="40" t="n"/>
      <c r="Z57" s="40" t="n"/>
      <c r="AA57" s="40" t="n"/>
      <c r="AC57" s="40" t="n"/>
      <c r="AD57" s="40" t="n"/>
      <c r="AE57" s="40" t="n"/>
      <c r="AF57" s="40" t="n"/>
    </row>
    <row r="58" ht="15.75" customHeight="1" s="50">
      <c r="E58" s="40" t="n"/>
      <c r="F58" s="40" t="n"/>
      <c r="G58" s="40" t="n"/>
      <c r="H58" s="41" t="n"/>
      <c r="K58" s="40" t="n"/>
      <c r="L58" s="1" t="n"/>
      <c r="N58" s="40" t="n"/>
      <c r="O58" s="40" t="n"/>
      <c r="Z58" s="40" t="n"/>
      <c r="AA58" s="40" t="n"/>
      <c r="AC58" s="40" t="n"/>
      <c r="AD58" s="40" t="n"/>
      <c r="AE58" s="40" t="n"/>
      <c r="AF58" s="40" t="n"/>
    </row>
    <row r="59" ht="15.75" customHeight="1" s="50">
      <c r="E59" s="40" t="n"/>
      <c r="F59" s="40" t="n"/>
      <c r="G59" s="40" t="n"/>
      <c r="H59" s="41" t="n"/>
      <c r="K59" s="40" t="n"/>
      <c r="L59" s="1" t="n"/>
      <c r="N59" s="40" t="n"/>
      <c r="O59" s="40" t="n"/>
      <c r="Z59" s="40" t="n"/>
      <c r="AA59" s="40" t="n"/>
      <c r="AC59" s="40" t="n"/>
      <c r="AD59" s="40" t="n"/>
      <c r="AE59" s="40" t="n"/>
      <c r="AF59" s="40" t="n"/>
    </row>
    <row r="60" ht="15.75" customHeight="1" s="50">
      <c r="E60" s="40" t="n"/>
      <c r="F60" s="40" t="n"/>
      <c r="G60" s="40" t="n"/>
      <c r="H60" s="41" t="n"/>
      <c r="K60" s="40" t="n"/>
      <c r="L60" s="1" t="n"/>
      <c r="N60" s="40" t="n"/>
      <c r="O60" s="40" t="n"/>
      <c r="Z60" s="40" t="n"/>
      <c r="AA60" s="40" t="n"/>
      <c r="AC60" s="40" t="n"/>
      <c r="AD60" s="40" t="n"/>
      <c r="AE60" s="40" t="n"/>
      <c r="AF60" s="40" t="n"/>
    </row>
    <row r="61" ht="15.75" customHeight="1" s="50">
      <c r="E61" s="40" t="n"/>
      <c r="F61" s="40" t="n"/>
      <c r="G61" s="40" t="n"/>
      <c r="H61" s="41" t="n"/>
      <c r="K61" s="40" t="n"/>
      <c r="L61" s="1" t="n"/>
      <c r="N61" s="40" t="n"/>
      <c r="O61" s="40" t="n"/>
      <c r="Z61" s="40" t="n"/>
      <c r="AA61" s="40" t="n"/>
      <c r="AC61" s="40" t="n"/>
      <c r="AD61" s="40" t="n"/>
      <c r="AE61" s="40" t="n"/>
      <c r="AF61" s="40" t="n"/>
    </row>
    <row r="62" ht="13" customHeight="1" s="50">
      <c r="E62" s="40" t="n"/>
      <c r="F62" s="40" t="n"/>
      <c r="G62" s="40" t="n"/>
      <c r="H62" s="41" t="n"/>
      <c r="K62" s="40" t="n"/>
      <c r="L62" s="1" t="n"/>
      <c r="N62" s="40" t="n"/>
      <c r="O62" s="40" t="n"/>
      <c r="Z62" s="40" t="n"/>
      <c r="AA62" s="40" t="n"/>
      <c r="AC62" s="40" t="n"/>
      <c r="AD62" s="40" t="n"/>
      <c r="AE62" s="40" t="n"/>
      <c r="AF62" s="40" t="n"/>
    </row>
    <row r="63" ht="13" customHeight="1" s="50">
      <c r="E63" s="40" t="n"/>
      <c r="F63" s="40" t="n"/>
      <c r="G63" s="40" t="n"/>
      <c r="H63" s="41" t="n"/>
      <c r="K63" s="40" t="n"/>
      <c r="L63" s="1" t="n"/>
      <c r="N63" s="40" t="n"/>
      <c r="O63" s="40" t="n"/>
      <c r="Z63" s="40" t="n"/>
      <c r="AA63" s="40" t="n"/>
      <c r="AC63" s="40" t="n"/>
      <c r="AD63" s="40" t="n"/>
      <c r="AE63" s="40" t="n"/>
      <c r="AF63" s="40" t="n"/>
    </row>
    <row r="64" ht="13" customHeight="1" s="50">
      <c r="E64" s="40" t="n"/>
      <c r="F64" s="40" t="n"/>
      <c r="G64" s="40" t="n"/>
      <c r="H64" s="41" t="n"/>
      <c r="K64" s="40" t="n"/>
      <c r="L64" s="1" t="n"/>
      <c r="N64" s="40" t="n"/>
      <c r="O64" s="40" t="n"/>
      <c r="Z64" s="40" t="n"/>
      <c r="AA64" s="40" t="n"/>
      <c r="AC64" s="40" t="n"/>
      <c r="AD64" s="40" t="n"/>
      <c r="AE64" s="40" t="n"/>
      <c r="AF64" s="40" t="n"/>
    </row>
    <row r="65" ht="13" customHeight="1" s="50">
      <c r="E65" s="40" t="n"/>
      <c r="F65" s="40" t="n"/>
      <c r="G65" s="40" t="n"/>
      <c r="H65" s="41" t="n"/>
      <c r="K65" s="40" t="n"/>
      <c r="L65" s="1" t="n"/>
      <c r="N65" s="40" t="n"/>
      <c r="O65" s="40" t="n"/>
      <c r="Z65" s="40" t="n"/>
      <c r="AA65" s="40" t="n"/>
      <c r="AC65" s="40" t="n"/>
      <c r="AD65" s="40" t="n"/>
      <c r="AE65" s="40" t="n"/>
      <c r="AF65" s="40" t="n"/>
    </row>
    <row r="66" ht="13" customHeight="1" s="50">
      <c r="E66" s="40" t="n"/>
      <c r="F66" s="40" t="n"/>
      <c r="G66" s="40" t="n"/>
      <c r="H66" s="41" t="n"/>
      <c r="K66" s="40" t="n"/>
      <c r="L66" s="1" t="n"/>
      <c r="N66" s="40" t="n"/>
      <c r="O66" s="40" t="n"/>
      <c r="Z66" s="40" t="n"/>
      <c r="AA66" s="40" t="n"/>
      <c r="AC66" s="40" t="n"/>
      <c r="AD66" s="40" t="n"/>
      <c r="AE66" s="40" t="n"/>
      <c r="AF66" s="40" t="n"/>
    </row>
    <row r="67" ht="13" customHeight="1" s="50">
      <c r="E67" s="40" t="n"/>
      <c r="F67" s="40" t="n"/>
      <c r="G67" s="40" t="n"/>
      <c r="H67" s="41" t="n"/>
      <c r="K67" s="40" t="n"/>
      <c r="L67" s="1" t="n"/>
      <c r="N67" s="40" t="n"/>
      <c r="O67" s="40" t="n"/>
      <c r="Z67" s="40" t="n"/>
      <c r="AA67" s="40" t="n"/>
      <c r="AC67" s="40" t="n"/>
      <c r="AD67" s="40" t="n"/>
      <c r="AE67" s="40" t="n"/>
      <c r="AF67" s="40" t="n"/>
    </row>
    <row r="68" ht="13" customHeight="1" s="50">
      <c r="E68" s="40" t="n"/>
      <c r="F68" s="40" t="n"/>
      <c r="G68" s="40" t="n"/>
      <c r="H68" s="41" t="n"/>
      <c r="K68" s="40" t="n"/>
      <c r="L68" s="1" t="n"/>
      <c r="N68" s="40" t="n"/>
      <c r="O68" s="40" t="n"/>
      <c r="Z68" s="40" t="n"/>
      <c r="AA68" s="40" t="n"/>
      <c r="AC68" s="40" t="n"/>
      <c r="AD68" s="40" t="n"/>
      <c r="AE68" s="40" t="n"/>
      <c r="AF68" s="40" t="n"/>
    </row>
    <row r="69" ht="13" customHeight="1" s="50">
      <c r="E69" s="40" t="n"/>
      <c r="F69" s="40" t="n"/>
      <c r="G69" s="40" t="n"/>
      <c r="H69" s="41" t="n"/>
      <c r="K69" s="40" t="n"/>
      <c r="L69" s="1" t="n"/>
      <c r="N69" s="40" t="n"/>
      <c r="O69" s="40" t="n"/>
      <c r="Z69" s="40" t="n"/>
      <c r="AA69" s="40" t="n"/>
      <c r="AC69" s="40" t="n"/>
      <c r="AD69" s="40" t="n"/>
      <c r="AE69" s="40" t="n"/>
      <c r="AF69" s="40" t="n"/>
    </row>
    <row r="70" ht="13" customHeight="1" s="50">
      <c r="E70" s="40" t="n"/>
      <c r="F70" s="40" t="n"/>
      <c r="G70" s="40" t="n"/>
      <c r="H70" s="41" t="n"/>
      <c r="K70" s="40" t="n"/>
      <c r="L70" s="1" t="n"/>
      <c r="N70" s="40" t="n"/>
      <c r="O70" s="40" t="n"/>
      <c r="Z70" s="40" t="n"/>
      <c r="AA70" s="40" t="n"/>
      <c r="AC70" s="40" t="n"/>
      <c r="AD70" s="40" t="n"/>
      <c r="AE70" s="40" t="n"/>
      <c r="AF70" s="40" t="n"/>
    </row>
    <row r="71" ht="13" customHeight="1" s="50">
      <c r="E71" s="40" t="n"/>
      <c r="F71" s="40" t="n"/>
      <c r="G71" s="40" t="n"/>
      <c r="H71" s="41" t="n"/>
      <c r="K71" s="40" t="n"/>
      <c r="L71" s="1" t="n"/>
      <c r="N71" s="40" t="n"/>
      <c r="O71" s="40" t="n"/>
      <c r="Z71" s="40" t="n"/>
      <c r="AA71" s="40" t="n"/>
      <c r="AC71" s="40" t="n"/>
      <c r="AD71" s="40" t="n"/>
      <c r="AE71" s="40" t="n"/>
      <c r="AF71" s="40" t="n"/>
    </row>
    <row r="72" ht="13" customHeight="1" s="50">
      <c r="E72" s="40" t="n"/>
      <c r="F72" s="40" t="n"/>
      <c r="G72" s="40" t="n"/>
      <c r="H72" s="41" t="n"/>
      <c r="K72" s="40" t="n"/>
      <c r="L72" s="1" t="n"/>
      <c r="N72" s="40" t="n"/>
      <c r="O72" s="40" t="n"/>
      <c r="Z72" s="40" t="n"/>
      <c r="AA72" s="40" t="n"/>
      <c r="AC72" s="40" t="n"/>
      <c r="AD72" s="40" t="n"/>
      <c r="AE72" s="40" t="n"/>
      <c r="AF72" s="40" t="n"/>
    </row>
    <row r="73" ht="13" customHeight="1" s="50">
      <c r="E73" s="40" t="n"/>
      <c r="F73" s="40" t="n"/>
      <c r="G73" s="40" t="n"/>
      <c r="H73" s="41" t="n"/>
      <c r="K73" s="40" t="n"/>
      <c r="L73" s="1" t="n"/>
      <c r="N73" s="40" t="n"/>
      <c r="O73" s="40" t="n"/>
      <c r="Z73" s="40" t="n"/>
      <c r="AA73" s="40" t="n"/>
      <c r="AC73" s="40" t="n"/>
      <c r="AD73" s="40" t="n"/>
      <c r="AE73" s="40" t="n"/>
      <c r="AF73" s="40" t="n"/>
    </row>
    <row r="74" ht="13" customHeight="1" s="50">
      <c r="E74" s="40" t="n"/>
      <c r="F74" s="40" t="n"/>
      <c r="G74" s="40" t="n"/>
      <c r="H74" s="41" t="n"/>
      <c r="K74" s="40" t="n"/>
      <c r="L74" s="1" t="n"/>
      <c r="N74" s="40" t="n"/>
      <c r="O74" s="40" t="n"/>
      <c r="Z74" s="40" t="n"/>
      <c r="AA74" s="40" t="n"/>
      <c r="AC74" s="40" t="n"/>
      <c r="AD74" s="40" t="n"/>
      <c r="AE74" s="40" t="n"/>
      <c r="AF74" s="40" t="n"/>
    </row>
    <row r="75" ht="13" customHeight="1" s="50">
      <c r="E75" s="40" t="n"/>
      <c r="F75" s="40" t="n"/>
      <c r="G75" s="40" t="n"/>
      <c r="H75" s="41" t="n"/>
      <c r="K75" s="40" t="n"/>
      <c r="L75" s="1" t="n"/>
      <c r="N75" s="40" t="n"/>
      <c r="O75" s="40" t="n"/>
      <c r="Z75" s="40" t="n"/>
      <c r="AA75" s="40" t="n"/>
      <c r="AC75" s="40" t="n"/>
      <c r="AD75" s="40" t="n"/>
      <c r="AE75" s="40" t="n"/>
      <c r="AF75" s="40" t="n"/>
    </row>
    <row r="76" ht="13" customHeight="1" s="50">
      <c r="E76" s="40" t="n"/>
      <c r="F76" s="40" t="n"/>
      <c r="G76" s="40" t="n"/>
      <c r="H76" s="41" t="n"/>
      <c r="K76" s="40" t="n"/>
      <c r="L76" s="1" t="n"/>
      <c r="N76" s="40" t="n"/>
      <c r="O76" s="40" t="n"/>
      <c r="Z76" s="40" t="n"/>
      <c r="AA76" s="40" t="n"/>
      <c r="AC76" s="40" t="n"/>
      <c r="AD76" s="40" t="n"/>
      <c r="AE76" s="40" t="n"/>
      <c r="AF76" s="40" t="n"/>
    </row>
    <row r="77" ht="13" customHeight="1" s="50">
      <c r="E77" s="40" t="n"/>
      <c r="F77" s="40" t="n"/>
      <c r="G77" s="40" t="n"/>
      <c r="H77" s="41" t="n"/>
      <c r="K77" s="40" t="n"/>
      <c r="L77" s="1" t="n"/>
      <c r="N77" s="40" t="n"/>
      <c r="O77" s="40" t="n"/>
      <c r="Z77" s="40" t="n"/>
      <c r="AA77" s="40" t="n"/>
      <c r="AC77" s="40" t="n"/>
      <c r="AD77" s="40" t="n"/>
      <c r="AE77" s="40" t="n"/>
      <c r="AF77" s="40" t="n"/>
    </row>
    <row r="78" ht="13" customHeight="1" s="50">
      <c r="E78" s="40" t="n"/>
      <c r="F78" s="40" t="n"/>
      <c r="G78" s="40" t="n"/>
      <c r="H78" s="41" t="n"/>
      <c r="K78" s="40" t="n"/>
      <c r="L78" s="1" t="n"/>
      <c r="N78" s="40" t="n"/>
      <c r="O78" s="40" t="n"/>
      <c r="Z78" s="40" t="n"/>
      <c r="AA78" s="40" t="n"/>
      <c r="AC78" s="40" t="n"/>
      <c r="AD78" s="40" t="n"/>
      <c r="AE78" s="40" t="n"/>
      <c r="AF78" s="40" t="n"/>
    </row>
    <row r="79" ht="13" customHeight="1" s="50">
      <c r="E79" s="40" t="n"/>
      <c r="F79" s="40" t="n"/>
      <c r="G79" s="40" t="n"/>
      <c r="H79" s="41" t="n"/>
      <c r="K79" s="40" t="n"/>
      <c r="L79" s="1" t="n"/>
      <c r="N79" s="40" t="n"/>
      <c r="O79" s="40" t="n"/>
      <c r="Z79" s="40" t="n"/>
      <c r="AA79" s="40" t="n"/>
      <c r="AC79" s="40" t="n"/>
      <c r="AD79" s="40" t="n"/>
      <c r="AE79" s="40" t="n"/>
      <c r="AF79" s="40" t="n"/>
    </row>
    <row r="80" ht="13" customHeight="1" s="50">
      <c r="E80" s="40" t="n"/>
      <c r="F80" s="40" t="n"/>
      <c r="G80" s="40" t="n"/>
      <c r="H80" s="41" t="n"/>
      <c r="K80" s="40" t="n"/>
      <c r="L80" s="1" t="n"/>
      <c r="N80" s="40" t="n"/>
      <c r="O80" s="40" t="n"/>
      <c r="Z80" s="40" t="n"/>
      <c r="AA80" s="40" t="n"/>
      <c r="AC80" s="40" t="n"/>
      <c r="AD80" s="40" t="n"/>
      <c r="AE80" s="40" t="n"/>
      <c r="AF80" s="40" t="n"/>
    </row>
    <row r="81" ht="13" customHeight="1" s="50">
      <c r="E81" s="40" t="n"/>
      <c r="F81" s="40" t="n"/>
      <c r="G81" s="40" t="n"/>
      <c r="H81" s="41" t="n"/>
      <c r="K81" s="40" t="n"/>
      <c r="L81" s="1" t="n"/>
      <c r="N81" s="40" t="n"/>
      <c r="O81" s="40" t="n"/>
      <c r="Z81" s="40" t="n"/>
      <c r="AA81" s="40" t="n"/>
      <c r="AC81" s="40" t="n"/>
      <c r="AD81" s="40" t="n"/>
      <c r="AE81" s="40" t="n"/>
      <c r="AF81" s="40" t="n"/>
    </row>
    <row r="82" ht="13" customHeight="1" s="50">
      <c r="E82" s="40" t="n"/>
      <c r="F82" s="40" t="n"/>
      <c r="G82" s="40" t="n"/>
      <c r="H82" s="41" t="n"/>
      <c r="K82" s="40" t="n"/>
      <c r="L82" s="1" t="n"/>
      <c r="N82" s="40" t="n"/>
      <c r="O82" s="40" t="n"/>
      <c r="Z82" s="40" t="n"/>
      <c r="AA82" s="40" t="n"/>
      <c r="AC82" s="40" t="n"/>
      <c r="AD82" s="40" t="n"/>
      <c r="AE82" s="40" t="n"/>
      <c r="AF82" s="40" t="n"/>
    </row>
    <row r="83" ht="13" customHeight="1" s="50">
      <c r="E83" s="40" t="n"/>
      <c r="F83" s="40" t="n"/>
      <c r="G83" s="40" t="n"/>
      <c r="H83" s="41" t="n"/>
      <c r="K83" s="40" t="n"/>
      <c r="L83" s="1" t="n"/>
      <c r="N83" s="40" t="n"/>
      <c r="O83" s="40" t="n"/>
      <c r="Z83" s="40" t="n"/>
      <c r="AA83" s="40" t="n"/>
      <c r="AC83" s="40" t="n"/>
      <c r="AD83" s="40" t="n"/>
      <c r="AE83" s="40" t="n"/>
      <c r="AF83" s="40" t="n"/>
    </row>
    <row r="84" ht="13" customHeight="1" s="50">
      <c r="E84" s="40" t="n"/>
      <c r="F84" s="40" t="n"/>
      <c r="G84" s="40" t="n"/>
      <c r="H84" s="41" t="n"/>
      <c r="K84" s="40" t="n"/>
      <c r="L84" s="1" t="n"/>
      <c r="N84" s="40" t="n"/>
      <c r="O84" s="40" t="n"/>
      <c r="Z84" s="40" t="n"/>
      <c r="AA84" s="40" t="n"/>
      <c r="AC84" s="40" t="n"/>
      <c r="AD84" s="40" t="n"/>
      <c r="AE84" s="40" t="n"/>
      <c r="AF84" s="40" t="n"/>
    </row>
    <row r="85" ht="13" customHeight="1" s="50">
      <c r="E85" s="40" t="n"/>
      <c r="F85" s="40" t="n"/>
      <c r="G85" s="40" t="n"/>
      <c r="H85" s="41" t="n"/>
      <c r="K85" s="40" t="n"/>
      <c r="L85" s="1" t="n"/>
      <c r="N85" s="40" t="n"/>
      <c r="O85" s="40" t="n"/>
      <c r="Z85" s="40" t="n"/>
      <c r="AA85" s="40" t="n"/>
      <c r="AC85" s="40" t="n"/>
      <c r="AD85" s="40" t="n"/>
      <c r="AE85" s="40" t="n"/>
      <c r="AF85" s="40" t="n"/>
    </row>
    <row r="86" ht="13" customHeight="1" s="50">
      <c r="E86" s="40" t="n"/>
      <c r="F86" s="40" t="n"/>
      <c r="G86" s="40" t="n"/>
      <c r="H86" s="41" t="n"/>
      <c r="K86" s="40" t="n"/>
      <c r="L86" s="1" t="n"/>
      <c r="N86" s="40" t="n"/>
      <c r="O86" s="40" t="n"/>
      <c r="Z86" s="40" t="n"/>
      <c r="AA86" s="40" t="n"/>
      <c r="AC86" s="40" t="n"/>
      <c r="AD86" s="40" t="n"/>
      <c r="AE86" s="40" t="n"/>
      <c r="AF86" s="40" t="n"/>
    </row>
    <row r="87" ht="13" customHeight="1" s="50">
      <c r="E87" s="40" t="n"/>
      <c r="F87" s="40" t="n"/>
      <c r="G87" s="40" t="n"/>
      <c r="H87" s="41" t="n"/>
      <c r="K87" s="40" t="n"/>
      <c r="L87" s="1" t="n"/>
      <c r="N87" s="40" t="n"/>
      <c r="O87" s="40" t="n"/>
      <c r="Z87" s="40" t="n"/>
      <c r="AA87" s="40" t="n"/>
      <c r="AC87" s="40" t="n"/>
      <c r="AD87" s="40" t="n"/>
      <c r="AE87" s="40" t="n"/>
      <c r="AF87" s="40" t="n"/>
    </row>
    <row r="88" ht="13" customHeight="1" s="50">
      <c r="E88" s="40" t="n"/>
      <c r="F88" s="40" t="n"/>
      <c r="G88" s="40" t="n"/>
      <c r="H88" s="41" t="n"/>
      <c r="K88" s="40" t="n"/>
      <c r="L88" s="1" t="n"/>
      <c r="N88" s="40" t="n"/>
      <c r="O88" s="40" t="n"/>
      <c r="Z88" s="40" t="n"/>
      <c r="AA88" s="40" t="n"/>
      <c r="AC88" s="40" t="n"/>
      <c r="AD88" s="40" t="n"/>
      <c r="AE88" s="40" t="n"/>
      <c r="AF88" s="40" t="n"/>
    </row>
    <row r="89" ht="13" customHeight="1" s="50">
      <c r="E89" s="40" t="n"/>
      <c r="F89" s="40" t="n"/>
      <c r="G89" s="40" t="n"/>
      <c r="H89" s="41" t="n"/>
      <c r="K89" s="40" t="n"/>
      <c r="L89" s="1" t="n"/>
      <c r="N89" s="40" t="n"/>
      <c r="O89" s="40" t="n"/>
      <c r="Z89" s="40" t="n"/>
      <c r="AA89" s="40" t="n"/>
      <c r="AC89" s="40" t="n"/>
      <c r="AD89" s="40" t="n"/>
      <c r="AE89" s="40" t="n"/>
      <c r="AF89" s="40" t="n"/>
    </row>
    <row r="90" ht="13" customHeight="1" s="50">
      <c r="E90" s="40" t="n"/>
      <c r="F90" s="40" t="n"/>
      <c r="G90" s="40" t="n"/>
      <c r="H90" s="41" t="n"/>
      <c r="K90" s="40" t="n"/>
      <c r="L90" s="1" t="n"/>
      <c r="N90" s="40" t="n"/>
      <c r="O90" s="40" t="n"/>
      <c r="Z90" s="40" t="n"/>
      <c r="AA90" s="40" t="n"/>
      <c r="AC90" s="40" t="n"/>
      <c r="AD90" s="40" t="n"/>
      <c r="AE90" s="40" t="n"/>
      <c r="AF90" s="40" t="n"/>
    </row>
    <row r="91" ht="13" customHeight="1" s="50">
      <c r="E91" s="40" t="n"/>
      <c r="F91" s="40" t="n"/>
      <c r="G91" s="40" t="n"/>
      <c r="H91" s="41" t="n"/>
      <c r="K91" s="40" t="n"/>
      <c r="L91" s="1" t="n"/>
      <c r="N91" s="40" t="n"/>
      <c r="O91" s="40" t="n"/>
      <c r="Z91" s="40" t="n"/>
      <c r="AA91" s="40" t="n"/>
      <c r="AC91" s="40" t="n"/>
      <c r="AD91" s="40" t="n"/>
      <c r="AE91" s="40" t="n"/>
      <c r="AF91" s="40" t="n"/>
    </row>
    <row r="92" ht="13" customHeight="1" s="50">
      <c r="E92" s="40" t="n"/>
      <c r="F92" s="40" t="n"/>
      <c r="G92" s="40" t="n"/>
      <c r="H92" s="41" t="n"/>
      <c r="K92" s="40" t="n"/>
      <c r="L92" s="1" t="n"/>
      <c r="N92" s="40" t="n"/>
      <c r="O92" s="40" t="n"/>
      <c r="Z92" s="40" t="n"/>
      <c r="AA92" s="40" t="n"/>
      <c r="AC92" s="40" t="n"/>
      <c r="AD92" s="40" t="n"/>
      <c r="AE92" s="40" t="n"/>
      <c r="AF92" s="40" t="n"/>
    </row>
    <row r="93" ht="13" customHeight="1" s="50">
      <c r="E93" s="40" t="n"/>
      <c r="F93" s="40" t="n"/>
      <c r="G93" s="40" t="n"/>
      <c r="H93" s="41" t="n"/>
      <c r="K93" s="40" t="n"/>
      <c r="L93" s="1" t="n"/>
      <c r="N93" s="40" t="n"/>
      <c r="O93" s="40" t="n"/>
      <c r="Z93" s="40" t="n"/>
      <c r="AA93" s="40" t="n"/>
      <c r="AC93" s="40" t="n"/>
      <c r="AD93" s="40" t="n"/>
      <c r="AE93" s="40" t="n"/>
      <c r="AF93" s="40" t="n"/>
    </row>
    <row r="94" ht="13" customHeight="1" s="50">
      <c r="E94" s="40" t="n"/>
      <c r="F94" s="40" t="n"/>
      <c r="G94" s="40" t="n"/>
      <c r="H94" s="41" t="n"/>
      <c r="K94" s="40" t="n"/>
      <c r="L94" s="1" t="n"/>
      <c r="N94" s="40" t="n"/>
      <c r="O94" s="40" t="n"/>
      <c r="Z94" s="40" t="n"/>
      <c r="AA94" s="40" t="n"/>
      <c r="AC94" s="40" t="n"/>
      <c r="AD94" s="40" t="n"/>
      <c r="AE94" s="40" t="n"/>
      <c r="AF94" s="40" t="n"/>
    </row>
    <row r="95" ht="13" customHeight="1" s="50">
      <c r="E95" s="40" t="n"/>
      <c r="F95" s="40" t="n"/>
      <c r="G95" s="40" t="n"/>
      <c r="H95" s="41" t="n"/>
      <c r="K95" s="40" t="n"/>
      <c r="L95" s="1" t="n"/>
      <c r="N95" s="40" t="n"/>
      <c r="O95" s="40" t="n"/>
      <c r="Z95" s="40" t="n"/>
      <c r="AA95" s="40" t="n"/>
      <c r="AC95" s="40" t="n"/>
      <c r="AD95" s="40" t="n"/>
      <c r="AE95" s="40" t="n"/>
      <c r="AF95" s="40" t="n"/>
    </row>
    <row r="96" ht="13" customHeight="1" s="50">
      <c r="E96" s="40" t="n"/>
      <c r="F96" s="40" t="n"/>
      <c r="G96" s="40" t="n"/>
      <c r="H96" s="41" t="n"/>
      <c r="K96" s="40" t="n"/>
      <c r="L96" s="1" t="n"/>
      <c r="N96" s="40" t="n"/>
      <c r="O96" s="40" t="n"/>
      <c r="Z96" s="40" t="n"/>
      <c r="AA96" s="40" t="n"/>
      <c r="AC96" s="40" t="n"/>
      <c r="AD96" s="40" t="n"/>
      <c r="AE96" s="40" t="n"/>
      <c r="AF96" s="40" t="n"/>
    </row>
    <row r="97" ht="13" customHeight="1" s="50">
      <c r="E97" s="40" t="n"/>
      <c r="F97" s="40" t="n"/>
      <c r="G97" s="40" t="n"/>
      <c r="H97" s="41" t="n"/>
      <c r="K97" s="40" t="n"/>
      <c r="L97" s="1" t="n"/>
      <c r="N97" s="40" t="n"/>
      <c r="O97" s="40" t="n"/>
      <c r="Z97" s="40" t="n"/>
      <c r="AA97" s="40" t="n"/>
      <c r="AC97" s="40" t="n"/>
      <c r="AD97" s="40" t="n"/>
      <c r="AE97" s="40" t="n"/>
      <c r="AF97" s="40" t="n"/>
    </row>
    <row r="98" ht="13" customHeight="1" s="50">
      <c r="E98" s="40" t="n"/>
      <c r="F98" s="40" t="n"/>
      <c r="G98" s="40" t="n"/>
      <c r="H98" s="41" t="n"/>
      <c r="K98" s="40" t="n"/>
      <c r="L98" s="1" t="n"/>
      <c r="N98" s="40" t="n"/>
      <c r="O98" s="40" t="n"/>
      <c r="Z98" s="40" t="n"/>
      <c r="AA98" s="40" t="n"/>
      <c r="AC98" s="40" t="n"/>
      <c r="AD98" s="40" t="n"/>
      <c r="AE98" s="40" t="n"/>
      <c r="AF98" s="40" t="n"/>
    </row>
    <row r="99" ht="13" customHeight="1" s="50">
      <c r="E99" s="40" t="n"/>
      <c r="F99" s="40" t="n"/>
      <c r="G99" s="40" t="n"/>
      <c r="H99" s="41" t="n"/>
      <c r="K99" s="40" t="n"/>
      <c r="L99" s="1" t="n"/>
      <c r="N99" s="40" t="n"/>
      <c r="O99" s="40" t="n"/>
      <c r="Z99" s="40" t="n"/>
      <c r="AA99" s="40" t="n"/>
      <c r="AC99" s="40" t="n"/>
      <c r="AD99" s="40" t="n"/>
      <c r="AE99" s="40" t="n"/>
      <c r="AF99" s="40" t="n"/>
    </row>
    <row r="100" ht="13" customHeight="1" s="50">
      <c r="E100" s="40" t="n"/>
      <c r="F100" s="40" t="n"/>
      <c r="G100" s="40" t="n"/>
      <c r="H100" s="41" t="n"/>
      <c r="K100" s="40" t="n"/>
      <c r="L100" s="1" t="n"/>
      <c r="N100" s="40" t="n"/>
      <c r="O100" s="40" t="n"/>
      <c r="Z100" s="40" t="n"/>
      <c r="AA100" s="40" t="n"/>
      <c r="AC100" s="40" t="n"/>
      <c r="AD100" s="40" t="n"/>
      <c r="AE100" s="40" t="n"/>
      <c r="AF100" s="40" t="n"/>
    </row>
    <row r="101" ht="13" customHeight="1" s="50">
      <c r="E101" s="40" t="n"/>
      <c r="F101" s="40" t="n"/>
      <c r="G101" s="40" t="n"/>
      <c r="H101" s="41" t="n"/>
      <c r="K101" s="40" t="n"/>
      <c r="L101" s="1" t="n"/>
      <c r="N101" s="40" t="n"/>
      <c r="O101" s="40" t="n"/>
      <c r="Z101" s="40" t="n"/>
      <c r="AA101" s="40" t="n"/>
      <c r="AC101" s="40" t="n"/>
      <c r="AD101" s="40" t="n"/>
      <c r="AE101" s="40" t="n"/>
      <c r="AF101" s="40" t="n"/>
    </row>
    <row r="102" ht="13" customHeight="1" s="50">
      <c r="E102" s="40" t="n"/>
      <c r="F102" s="40" t="n"/>
      <c r="G102" s="40" t="n"/>
      <c r="H102" s="41" t="n"/>
      <c r="K102" s="40" t="n"/>
      <c r="L102" s="1" t="n"/>
      <c r="N102" s="40" t="n"/>
      <c r="O102" s="40" t="n"/>
      <c r="Z102" s="40" t="n"/>
      <c r="AA102" s="40" t="n"/>
      <c r="AC102" s="40" t="n"/>
      <c r="AD102" s="40" t="n"/>
      <c r="AE102" s="40" t="n"/>
      <c r="AF102" s="40" t="n"/>
    </row>
    <row r="103" ht="13" customHeight="1" s="50">
      <c r="E103" s="40" t="n"/>
      <c r="F103" s="40" t="n"/>
      <c r="G103" s="40" t="n"/>
      <c r="H103" s="41" t="n"/>
      <c r="K103" s="40" t="n"/>
      <c r="L103" s="1" t="n"/>
      <c r="N103" s="40" t="n"/>
      <c r="O103" s="40" t="n"/>
      <c r="Z103" s="40" t="n"/>
      <c r="AA103" s="40" t="n"/>
      <c r="AC103" s="40" t="n"/>
      <c r="AD103" s="40" t="n"/>
      <c r="AE103" s="40" t="n"/>
      <c r="AF103" s="40" t="n"/>
    </row>
    <row r="104" ht="13" customHeight="1" s="50">
      <c r="E104" s="40" t="n"/>
      <c r="F104" s="40" t="n"/>
      <c r="G104" s="40" t="n"/>
      <c r="H104" s="41" t="n"/>
      <c r="K104" s="40" t="n"/>
      <c r="L104" s="1" t="n"/>
      <c r="N104" s="40" t="n"/>
      <c r="O104" s="40" t="n"/>
      <c r="Z104" s="40" t="n"/>
      <c r="AA104" s="40" t="n"/>
      <c r="AC104" s="40" t="n"/>
      <c r="AD104" s="40" t="n"/>
      <c r="AE104" s="40" t="n"/>
      <c r="AF104" s="40" t="n"/>
    </row>
    <row r="105" ht="13" customHeight="1" s="50">
      <c r="E105" s="40" t="n"/>
      <c r="F105" s="40" t="n"/>
      <c r="G105" s="40" t="n"/>
      <c r="H105" s="41" t="n"/>
      <c r="K105" s="40" t="n"/>
      <c r="L105" s="1" t="n"/>
      <c r="N105" s="40" t="n"/>
      <c r="O105" s="40" t="n"/>
      <c r="Z105" s="40" t="n"/>
      <c r="AA105" s="40" t="n"/>
      <c r="AC105" s="40" t="n"/>
      <c r="AD105" s="40" t="n"/>
      <c r="AE105" s="40" t="n"/>
      <c r="AF105" s="40" t="n"/>
    </row>
    <row r="106" ht="13" customHeight="1" s="50">
      <c r="E106" s="40" t="n"/>
      <c r="F106" s="40" t="n"/>
      <c r="G106" s="40" t="n"/>
      <c r="H106" s="41" t="n"/>
      <c r="K106" s="40" t="n"/>
      <c r="L106" s="1" t="n"/>
      <c r="N106" s="40" t="n"/>
      <c r="O106" s="40" t="n"/>
      <c r="Z106" s="40" t="n"/>
      <c r="AA106" s="40" t="n"/>
      <c r="AC106" s="40" t="n"/>
      <c r="AD106" s="40" t="n"/>
      <c r="AE106" s="40" t="n"/>
      <c r="AF106" s="40" t="n"/>
    </row>
    <row r="107" ht="13" customHeight="1" s="50">
      <c r="E107" s="40" t="n"/>
      <c r="F107" s="40" t="n"/>
      <c r="G107" s="40" t="n"/>
      <c r="H107" s="41" t="n"/>
      <c r="K107" s="40" t="n"/>
      <c r="L107" s="1" t="n"/>
      <c r="N107" s="40" t="n"/>
      <c r="O107" s="40" t="n"/>
      <c r="Z107" s="40" t="n"/>
      <c r="AA107" s="40" t="n"/>
      <c r="AC107" s="40" t="n"/>
      <c r="AD107" s="40" t="n"/>
      <c r="AE107" s="40" t="n"/>
      <c r="AF107" s="40" t="n"/>
    </row>
    <row r="108" ht="13" customHeight="1" s="50">
      <c r="E108" s="40" t="n"/>
      <c r="F108" s="40" t="n"/>
      <c r="G108" s="40" t="n"/>
      <c r="H108" s="41" t="n"/>
      <c r="K108" s="40" t="n"/>
      <c r="L108" s="1" t="n"/>
      <c r="N108" s="40" t="n"/>
      <c r="O108" s="40" t="n"/>
      <c r="Z108" s="40" t="n"/>
      <c r="AA108" s="40" t="n"/>
      <c r="AC108" s="40" t="n"/>
      <c r="AD108" s="40" t="n"/>
      <c r="AE108" s="40" t="n"/>
      <c r="AF108" s="40" t="n"/>
    </row>
    <row r="109" ht="13" customHeight="1" s="50">
      <c r="E109" s="40" t="n"/>
      <c r="F109" s="40" t="n"/>
      <c r="G109" s="40" t="n"/>
      <c r="H109" s="41" t="n"/>
      <c r="K109" s="40" t="n"/>
      <c r="L109" s="1" t="n"/>
      <c r="N109" s="40" t="n"/>
      <c r="O109" s="40" t="n"/>
      <c r="Z109" s="40" t="n"/>
      <c r="AA109" s="40" t="n"/>
      <c r="AC109" s="40" t="n"/>
      <c r="AD109" s="40" t="n"/>
      <c r="AE109" s="40" t="n"/>
      <c r="AF109" s="40" t="n"/>
    </row>
    <row r="110" ht="13" customHeight="1" s="50">
      <c r="E110" s="40" t="n"/>
      <c r="F110" s="40" t="n"/>
      <c r="G110" s="40" t="n"/>
      <c r="H110" s="41" t="n"/>
      <c r="K110" s="40" t="n"/>
      <c r="L110" s="1" t="n"/>
      <c r="N110" s="40" t="n"/>
      <c r="O110" s="40" t="n"/>
      <c r="Z110" s="40" t="n"/>
      <c r="AA110" s="40" t="n"/>
      <c r="AC110" s="40" t="n"/>
      <c r="AD110" s="40" t="n"/>
      <c r="AE110" s="40" t="n"/>
      <c r="AF110" s="40" t="n"/>
    </row>
    <row r="111" ht="13" customHeight="1" s="50">
      <c r="E111" s="40" t="n"/>
      <c r="F111" s="40" t="n"/>
      <c r="G111" s="40" t="n"/>
      <c r="H111" s="41" t="n"/>
      <c r="K111" s="40" t="n"/>
      <c r="L111" s="1" t="n"/>
      <c r="N111" s="40" t="n"/>
      <c r="O111" s="40" t="n"/>
      <c r="Z111" s="40" t="n"/>
      <c r="AA111" s="40" t="n"/>
      <c r="AC111" s="40" t="n"/>
      <c r="AD111" s="40" t="n"/>
      <c r="AE111" s="40" t="n"/>
      <c r="AF111" s="40" t="n"/>
    </row>
    <row r="112" ht="13" customHeight="1" s="50">
      <c r="E112" s="40" t="n"/>
      <c r="F112" s="40" t="n"/>
      <c r="G112" s="40" t="n"/>
      <c r="H112" s="41" t="n"/>
      <c r="K112" s="40" t="n"/>
      <c r="L112" s="1" t="n"/>
      <c r="N112" s="40" t="n"/>
      <c r="O112" s="40" t="n"/>
      <c r="Z112" s="40" t="n"/>
      <c r="AA112" s="40" t="n"/>
      <c r="AC112" s="40" t="n"/>
      <c r="AD112" s="40" t="n"/>
      <c r="AE112" s="40" t="n"/>
      <c r="AF112" s="40" t="n"/>
    </row>
    <row r="113" ht="13" customHeight="1" s="50">
      <c r="E113" s="40" t="n"/>
      <c r="F113" s="40" t="n"/>
      <c r="G113" s="40" t="n"/>
      <c r="H113" s="41" t="n"/>
      <c r="K113" s="40" t="n"/>
      <c r="L113" s="1" t="n"/>
      <c r="N113" s="40" t="n"/>
      <c r="O113" s="40" t="n"/>
      <c r="Z113" s="40" t="n"/>
      <c r="AA113" s="40" t="n"/>
      <c r="AC113" s="40" t="n"/>
      <c r="AD113" s="40" t="n"/>
      <c r="AE113" s="40" t="n"/>
      <c r="AF113" s="40" t="n"/>
    </row>
    <row r="114" ht="13" customHeight="1" s="50">
      <c r="E114" s="40" t="n"/>
      <c r="F114" s="40" t="n"/>
      <c r="G114" s="40" t="n"/>
      <c r="H114" s="41" t="n"/>
      <c r="K114" s="40" t="n"/>
      <c r="L114" s="1" t="n"/>
      <c r="N114" s="40" t="n"/>
      <c r="O114" s="40" t="n"/>
      <c r="Z114" s="40" t="n"/>
      <c r="AA114" s="40" t="n"/>
      <c r="AC114" s="40" t="n"/>
      <c r="AD114" s="40" t="n"/>
      <c r="AE114" s="40" t="n"/>
      <c r="AF114" s="40" t="n"/>
    </row>
    <row r="115" ht="13" customHeight="1" s="50">
      <c r="E115" s="40" t="n"/>
      <c r="F115" s="40" t="n"/>
      <c r="G115" s="40" t="n"/>
      <c r="H115" s="41" t="n"/>
      <c r="K115" s="40" t="n"/>
      <c r="L115" s="1" t="n"/>
      <c r="N115" s="40" t="n"/>
      <c r="O115" s="40" t="n"/>
      <c r="Z115" s="40" t="n"/>
      <c r="AA115" s="40" t="n"/>
      <c r="AC115" s="40" t="n"/>
      <c r="AD115" s="40" t="n"/>
      <c r="AE115" s="40" t="n"/>
      <c r="AF115" s="40" t="n"/>
    </row>
    <row r="116" ht="13" customHeight="1" s="50">
      <c r="E116" s="40" t="n"/>
      <c r="F116" s="40" t="n"/>
      <c r="G116" s="40" t="n"/>
      <c r="H116" s="41" t="n"/>
      <c r="K116" s="40" t="n"/>
      <c r="L116" s="1" t="n"/>
      <c r="N116" s="40" t="n"/>
      <c r="O116" s="40" t="n"/>
      <c r="Z116" s="40" t="n"/>
      <c r="AA116" s="40" t="n"/>
      <c r="AC116" s="40" t="n"/>
      <c r="AD116" s="40" t="n"/>
      <c r="AE116" s="40" t="n"/>
      <c r="AF116" s="40" t="n"/>
    </row>
    <row r="117" ht="13" customHeight="1" s="50">
      <c r="E117" s="40" t="n"/>
      <c r="F117" s="40" t="n"/>
      <c r="G117" s="40" t="n"/>
      <c r="H117" s="41" t="n"/>
      <c r="K117" s="40" t="n"/>
      <c r="L117" s="1" t="n"/>
      <c r="N117" s="40" t="n"/>
      <c r="O117" s="40" t="n"/>
      <c r="Z117" s="40" t="n"/>
      <c r="AA117" s="40" t="n"/>
      <c r="AC117" s="40" t="n"/>
      <c r="AD117" s="40" t="n"/>
      <c r="AE117" s="40" t="n"/>
      <c r="AF117" s="40" t="n"/>
    </row>
    <row r="118" ht="13" customHeight="1" s="50">
      <c r="E118" s="40" t="n"/>
      <c r="F118" s="40" t="n"/>
      <c r="G118" s="40" t="n"/>
      <c r="H118" s="41" t="n"/>
      <c r="K118" s="40" t="n"/>
      <c r="L118" s="1" t="n"/>
      <c r="N118" s="40" t="n"/>
      <c r="O118" s="40" t="n"/>
      <c r="Z118" s="40" t="n"/>
      <c r="AA118" s="40" t="n"/>
      <c r="AC118" s="40" t="n"/>
      <c r="AD118" s="40" t="n"/>
      <c r="AE118" s="40" t="n"/>
      <c r="AF118" s="40" t="n"/>
    </row>
    <row r="119" ht="13" customHeight="1" s="50">
      <c r="E119" s="40" t="n"/>
      <c r="F119" s="40" t="n"/>
      <c r="G119" s="40" t="n"/>
      <c r="H119" s="41" t="n"/>
      <c r="K119" s="40" t="n"/>
      <c r="L119" s="1" t="n"/>
      <c r="N119" s="40" t="n"/>
      <c r="O119" s="40" t="n"/>
      <c r="Z119" s="40" t="n"/>
      <c r="AA119" s="40" t="n"/>
      <c r="AC119" s="40" t="n"/>
      <c r="AD119" s="40" t="n"/>
      <c r="AE119" s="40" t="n"/>
      <c r="AF119" s="40" t="n"/>
    </row>
    <row r="120" ht="13" customHeight="1" s="50">
      <c r="E120" s="40" t="n"/>
      <c r="F120" s="40" t="n"/>
      <c r="G120" s="40" t="n"/>
      <c r="H120" s="41" t="n"/>
      <c r="K120" s="40" t="n"/>
      <c r="L120" s="1" t="n"/>
      <c r="N120" s="40" t="n"/>
      <c r="O120" s="40" t="n"/>
      <c r="Z120" s="40" t="n"/>
      <c r="AA120" s="40" t="n"/>
      <c r="AC120" s="40" t="n"/>
      <c r="AD120" s="40" t="n"/>
      <c r="AE120" s="40" t="n"/>
      <c r="AF120" s="40" t="n"/>
    </row>
    <row r="121" ht="13" customHeight="1" s="50">
      <c r="E121" s="40" t="n"/>
      <c r="F121" s="40" t="n"/>
      <c r="G121" s="40" t="n"/>
      <c r="H121" s="41" t="n"/>
      <c r="K121" s="40" t="n"/>
      <c r="L121" s="1" t="n"/>
      <c r="N121" s="40" t="n"/>
      <c r="O121" s="40" t="n"/>
      <c r="Z121" s="40" t="n"/>
      <c r="AA121" s="40" t="n"/>
      <c r="AC121" s="40" t="n"/>
      <c r="AD121" s="40" t="n"/>
      <c r="AE121" s="40" t="n"/>
      <c r="AF121" s="40" t="n"/>
    </row>
    <row r="122" ht="13" customHeight="1" s="50">
      <c r="E122" s="40" t="n"/>
      <c r="F122" s="40" t="n"/>
      <c r="G122" s="40" t="n"/>
      <c r="H122" s="41" t="n"/>
      <c r="K122" s="40" t="n"/>
      <c r="L122" s="1" t="n"/>
      <c r="N122" s="40" t="n"/>
      <c r="O122" s="40" t="n"/>
      <c r="Z122" s="40" t="n"/>
      <c r="AA122" s="40" t="n"/>
      <c r="AC122" s="40" t="n"/>
      <c r="AD122" s="40" t="n"/>
      <c r="AE122" s="40" t="n"/>
      <c r="AF122" s="40" t="n"/>
    </row>
    <row r="123" ht="13" customHeight="1" s="50">
      <c r="E123" s="40" t="n"/>
      <c r="F123" s="40" t="n"/>
      <c r="G123" s="40" t="n"/>
      <c r="H123" s="41" t="n"/>
      <c r="K123" s="40" t="n"/>
      <c r="L123" s="1" t="n"/>
      <c r="N123" s="40" t="n"/>
      <c r="O123" s="40" t="n"/>
      <c r="Z123" s="40" t="n"/>
      <c r="AA123" s="40" t="n"/>
      <c r="AC123" s="40" t="n"/>
      <c r="AD123" s="40" t="n"/>
      <c r="AE123" s="40" t="n"/>
      <c r="AF123" s="40" t="n"/>
    </row>
    <row r="124" ht="13" customHeight="1" s="50">
      <c r="E124" s="40" t="n"/>
      <c r="F124" s="40" t="n"/>
      <c r="G124" s="40" t="n"/>
      <c r="H124" s="41" t="n"/>
      <c r="K124" s="40" t="n"/>
      <c r="L124" s="1" t="n"/>
      <c r="N124" s="40" t="n"/>
      <c r="O124" s="40" t="n"/>
      <c r="Z124" s="40" t="n"/>
      <c r="AA124" s="40" t="n"/>
      <c r="AC124" s="40" t="n"/>
      <c r="AD124" s="40" t="n"/>
      <c r="AE124" s="40" t="n"/>
      <c r="AF124" s="40" t="n"/>
    </row>
    <row r="125" ht="13" customHeight="1" s="50">
      <c r="E125" s="40" t="n"/>
      <c r="F125" s="40" t="n"/>
      <c r="G125" s="40" t="n"/>
      <c r="H125" s="41" t="n"/>
      <c r="K125" s="40" t="n"/>
      <c r="L125" s="1" t="n"/>
      <c r="N125" s="40" t="n"/>
      <c r="O125" s="40" t="n"/>
      <c r="Z125" s="40" t="n"/>
      <c r="AA125" s="40" t="n"/>
      <c r="AC125" s="40" t="n"/>
      <c r="AD125" s="40" t="n"/>
      <c r="AE125" s="40" t="n"/>
      <c r="AF125" s="40" t="n"/>
    </row>
    <row r="126" ht="13" customHeight="1" s="50">
      <c r="E126" s="40" t="n"/>
      <c r="F126" s="40" t="n"/>
      <c r="G126" s="40" t="n"/>
      <c r="H126" s="41" t="n"/>
      <c r="K126" s="40" t="n"/>
      <c r="L126" s="1" t="n"/>
      <c r="N126" s="40" t="n"/>
      <c r="O126" s="40" t="n"/>
      <c r="Z126" s="40" t="n"/>
      <c r="AA126" s="40" t="n"/>
      <c r="AC126" s="40" t="n"/>
      <c r="AD126" s="40" t="n"/>
      <c r="AE126" s="40" t="n"/>
      <c r="AF126" s="40" t="n"/>
    </row>
    <row r="127" ht="13" customHeight="1" s="50">
      <c r="E127" s="40" t="n"/>
      <c r="F127" s="40" t="n"/>
      <c r="G127" s="40" t="n"/>
      <c r="H127" s="41" t="n"/>
      <c r="K127" s="40" t="n"/>
      <c r="L127" s="1" t="n"/>
      <c r="N127" s="40" t="n"/>
      <c r="O127" s="40" t="n"/>
      <c r="Z127" s="40" t="n"/>
      <c r="AA127" s="40" t="n"/>
      <c r="AC127" s="40" t="n"/>
      <c r="AD127" s="40" t="n"/>
      <c r="AE127" s="40" t="n"/>
      <c r="AF127" s="40" t="n"/>
    </row>
    <row r="128" ht="13" customHeight="1" s="50">
      <c r="E128" s="40" t="n"/>
      <c r="F128" s="40" t="n"/>
      <c r="G128" s="40" t="n"/>
      <c r="H128" s="41" t="n"/>
      <c r="K128" s="40" t="n"/>
      <c r="L128" s="1" t="n"/>
      <c r="N128" s="40" t="n"/>
      <c r="O128" s="40" t="n"/>
      <c r="Z128" s="40" t="n"/>
      <c r="AA128" s="40" t="n"/>
      <c r="AC128" s="40" t="n"/>
      <c r="AD128" s="40" t="n"/>
      <c r="AE128" s="40" t="n"/>
      <c r="AF128" s="40" t="n"/>
    </row>
    <row r="129" ht="13" customHeight="1" s="50">
      <c r="E129" s="40" t="n"/>
      <c r="F129" s="40" t="n"/>
      <c r="G129" s="40" t="n"/>
      <c r="H129" s="41" t="n"/>
      <c r="K129" s="40" t="n"/>
      <c r="L129" s="1" t="n"/>
      <c r="N129" s="40" t="n"/>
      <c r="O129" s="40" t="n"/>
      <c r="Z129" s="40" t="n"/>
      <c r="AA129" s="40" t="n"/>
      <c r="AC129" s="40" t="n"/>
      <c r="AD129" s="40" t="n"/>
      <c r="AE129" s="40" t="n"/>
      <c r="AF129" s="40" t="n"/>
    </row>
    <row r="130" ht="13" customHeight="1" s="50">
      <c r="E130" s="40" t="n"/>
      <c r="F130" s="40" t="n"/>
      <c r="G130" s="40" t="n"/>
      <c r="H130" s="41" t="n"/>
      <c r="K130" s="40" t="n"/>
      <c r="L130" s="1" t="n"/>
      <c r="N130" s="40" t="n"/>
      <c r="O130" s="40" t="n"/>
      <c r="Z130" s="40" t="n"/>
      <c r="AA130" s="40" t="n"/>
      <c r="AC130" s="40" t="n"/>
      <c r="AD130" s="40" t="n"/>
      <c r="AE130" s="40" t="n"/>
      <c r="AF130" s="40" t="n"/>
    </row>
    <row r="131" ht="13" customHeight="1" s="50">
      <c r="E131" s="40" t="n"/>
      <c r="F131" s="40" t="n"/>
      <c r="G131" s="40" t="n"/>
      <c r="H131" s="41" t="n"/>
      <c r="K131" s="40" t="n"/>
      <c r="L131" s="1" t="n"/>
      <c r="N131" s="40" t="n"/>
      <c r="O131" s="40" t="n"/>
      <c r="Z131" s="40" t="n"/>
      <c r="AA131" s="40" t="n"/>
      <c r="AC131" s="40" t="n"/>
      <c r="AD131" s="40" t="n"/>
      <c r="AE131" s="40" t="n"/>
      <c r="AF131" s="40" t="n"/>
    </row>
    <row r="132" ht="13" customHeight="1" s="50">
      <c r="E132" s="40" t="n"/>
      <c r="F132" s="40" t="n"/>
      <c r="G132" s="40" t="n"/>
      <c r="H132" s="41" t="n"/>
      <c r="K132" s="40" t="n"/>
      <c r="L132" s="1" t="n"/>
      <c r="N132" s="40" t="n"/>
      <c r="O132" s="40" t="n"/>
      <c r="Z132" s="40" t="n"/>
      <c r="AA132" s="40" t="n"/>
      <c r="AC132" s="40" t="n"/>
      <c r="AD132" s="40" t="n"/>
      <c r="AE132" s="40" t="n"/>
      <c r="AF132" s="40" t="n"/>
    </row>
    <row r="133" ht="13" customHeight="1" s="50">
      <c r="E133" s="40" t="n"/>
      <c r="F133" s="40" t="n"/>
      <c r="G133" s="40" t="n"/>
      <c r="H133" s="41" t="n"/>
      <c r="K133" s="40" t="n"/>
      <c r="L133" s="1" t="n"/>
      <c r="N133" s="40" t="n"/>
      <c r="O133" s="40" t="n"/>
      <c r="Z133" s="40" t="n"/>
      <c r="AA133" s="40" t="n"/>
      <c r="AC133" s="40" t="n"/>
      <c r="AD133" s="40" t="n"/>
      <c r="AE133" s="40" t="n"/>
      <c r="AF133" s="40" t="n"/>
    </row>
    <row r="134" ht="13" customHeight="1" s="50">
      <c r="E134" s="40" t="n"/>
      <c r="F134" s="40" t="n"/>
      <c r="G134" s="40" t="n"/>
      <c r="H134" s="41" t="n"/>
      <c r="K134" s="40" t="n"/>
      <c r="L134" s="1" t="n"/>
      <c r="N134" s="40" t="n"/>
      <c r="O134" s="40" t="n"/>
      <c r="Z134" s="40" t="n"/>
      <c r="AA134" s="40" t="n"/>
      <c r="AC134" s="40" t="n"/>
      <c r="AD134" s="40" t="n"/>
      <c r="AE134" s="40" t="n"/>
      <c r="AF134" s="40" t="n"/>
    </row>
    <row r="135" ht="13" customHeight="1" s="50">
      <c r="E135" s="40" t="n"/>
      <c r="F135" s="40" t="n"/>
      <c r="G135" s="40" t="n"/>
      <c r="H135" s="41" t="n"/>
      <c r="K135" s="40" t="n"/>
      <c r="L135" s="1" t="n"/>
      <c r="N135" s="40" t="n"/>
      <c r="O135" s="40" t="n"/>
      <c r="Z135" s="40" t="n"/>
      <c r="AA135" s="40" t="n"/>
      <c r="AC135" s="40" t="n"/>
      <c r="AD135" s="40" t="n"/>
      <c r="AE135" s="40" t="n"/>
      <c r="AF135" s="40" t="n"/>
    </row>
    <row r="136" ht="13" customHeight="1" s="50">
      <c r="E136" s="40" t="n"/>
      <c r="F136" s="40" t="n"/>
      <c r="G136" s="40" t="n"/>
      <c r="H136" s="41" t="n"/>
      <c r="K136" s="40" t="n"/>
      <c r="L136" s="1" t="n"/>
      <c r="N136" s="40" t="n"/>
      <c r="O136" s="40" t="n"/>
      <c r="Z136" s="40" t="n"/>
      <c r="AA136" s="40" t="n"/>
      <c r="AC136" s="40" t="n"/>
      <c r="AD136" s="40" t="n"/>
      <c r="AE136" s="40" t="n"/>
      <c r="AF136" s="40" t="n"/>
    </row>
    <row r="137" ht="13" customHeight="1" s="50">
      <c r="E137" s="40" t="n"/>
      <c r="F137" s="40" t="n"/>
      <c r="G137" s="40" t="n"/>
      <c r="H137" s="41" t="n"/>
      <c r="K137" s="40" t="n"/>
      <c r="L137" s="1" t="n"/>
      <c r="N137" s="40" t="n"/>
      <c r="O137" s="40" t="n"/>
      <c r="Z137" s="40" t="n"/>
      <c r="AA137" s="40" t="n"/>
      <c r="AC137" s="40" t="n"/>
      <c r="AD137" s="40" t="n"/>
      <c r="AE137" s="40" t="n"/>
      <c r="AF137" s="40" t="n"/>
    </row>
    <row r="138" ht="13" customHeight="1" s="50">
      <c r="E138" s="40" t="n"/>
      <c r="F138" s="40" t="n"/>
      <c r="G138" s="40" t="n"/>
      <c r="H138" s="41" t="n"/>
      <c r="K138" s="40" t="n"/>
      <c r="L138" s="1" t="n"/>
      <c r="N138" s="40" t="n"/>
      <c r="O138" s="40" t="n"/>
      <c r="Z138" s="40" t="n"/>
      <c r="AA138" s="40" t="n"/>
      <c r="AC138" s="40" t="n"/>
      <c r="AD138" s="40" t="n"/>
      <c r="AE138" s="40" t="n"/>
      <c r="AF138" s="40" t="n"/>
    </row>
    <row r="139" ht="13" customHeight="1" s="50">
      <c r="E139" s="40" t="n"/>
      <c r="F139" s="40" t="n"/>
      <c r="G139" s="40" t="n"/>
      <c r="H139" s="41" t="n"/>
      <c r="K139" s="40" t="n"/>
      <c r="L139" s="1" t="n"/>
      <c r="N139" s="40" t="n"/>
      <c r="O139" s="40" t="n"/>
      <c r="Z139" s="40" t="n"/>
      <c r="AA139" s="40" t="n"/>
      <c r="AC139" s="40" t="n"/>
      <c r="AD139" s="40" t="n"/>
      <c r="AE139" s="40" t="n"/>
      <c r="AF139" s="40" t="n"/>
    </row>
    <row r="140" ht="13" customHeight="1" s="50">
      <c r="E140" s="40" t="n"/>
      <c r="F140" s="40" t="n"/>
      <c r="G140" s="40" t="n"/>
      <c r="H140" s="41" t="n"/>
      <c r="K140" s="40" t="n"/>
      <c r="L140" s="1" t="n"/>
      <c r="N140" s="40" t="n"/>
      <c r="O140" s="40" t="n"/>
      <c r="Z140" s="40" t="n"/>
      <c r="AA140" s="40" t="n"/>
      <c r="AC140" s="40" t="n"/>
      <c r="AD140" s="40" t="n"/>
      <c r="AE140" s="40" t="n"/>
      <c r="AF140" s="40" t="n"/>
    </row>
    <row r="141" ht="13" customHeight="1" s="50">
      <c r="E141" s="40" t="n"/>
      <c r="F141" s="40" t="n"/>
      <c r="G141" s="40" t="n"/>
      <c r="H141" s="41" t="n"/>
      <c r="K141" s="40" t="n"/>
      <c r="L141" s="1" t="n"/>
      <c r="N141" s="40" t="n"/>
      <c r="O141" s="40" t="n"/>
      <c r="Z141" s="40" t="n"/>
      <c r="AA141" s="40" t="n"/>
      <c r="AC141" s="40" t="n"/>
      <c r="AD141" s="40" t="n"/>
      <c r="AE141" s="40" t="n"/>
      <c r="AF141" s="40" t="n"/>
    </row>
    <row r="142" ht="13" customHeight="1" s="50">
      <c r="E142" s="40" t="n"/>
      <c r="F142" s="40" t="n"/>
      <c r="G142" s="40" t="n"/>
      <c r="H142" s="41" t="n"/>
      <c r="K142" s="40" t="n"/>
      <c r="L142" s="1" t="n"/>
      <c r="N142" s="40" t="n"/>
      <c r="O142" s="40" t="n"/>
      <c r="Z142" s="40" t="n"/>
      <c r="AA142" s="40" t="n"/>
      <c r="AC142" s="40" t="n"/>
      <c r="AD142" s="40" t="n"/>
      <c r="AE142" s="40" t="n"/>
      <c r="AF142" s="40" t="n"/>
    </row>
    <row r="143" ht="13" customHeight="1" s="50">
      <c r="E143" s="40" t="n"/>
      <c r="F143" s="40" t="n"/>
      <c r="G143" s="40" t="n"/>
      <c r="H143" s="41" t="n"/>
      <c r="K143" s="40" t="n"/>
      <c r="L143" s="1" t="n"/>
      <c r="N143" s="40" t="n"/>
      <c r="O143" s="40" t="n"/>
      <c r="Z143" s="40" t="n"/>
      <c r="AA143" s="40" t="n"/>
      <c r="AC143" s="40" t="n"/>
      <c r="AD143" s="40" t="n"/>
      <c r="AE143" s="40" t="n"/>
      <c r="AF143" s="40" t="n"/>
    </row>
    <row r="144" ht="13" customHeight="1" s="50">
      <c r="E144" s="40" t="n"/>
      <c r="F144" s="40" t="n"/>
      <c r="G144" s="40" t="n"/>
      <c r="H144" s="41" t="n"/>
      <c r="K144" s="40" t="n"/>
      <c r="L144" s="1" t="n"/>
      <c r="N144" s="40" t="n"/>
      <c r="O144" s="40" t="n"/>
      <c r="Z144" s="40" t="n"/>
      <c r="AA144" s="40" t="n"/>
      <c r="AC144" s="40" t="n"/>
      <c r="AD144" s="40" t="n"/>
      <c r="AE144" s="40" t="n"/>
      <c r="AF144" s="40" t="n"/>
    </row>
    <row r="145" ht="13" customHeight="1" s="50">
      <c r="E145" s="40" t="n"/>
      <c r="F145" s="40" t="n"/>
      <c r="G145" s="40" t="n"/>
      <c r="H145" s="41" t="n"/>
      <c r="K145" s="40" t="n"/>
      <c r="L145" s="1" t="n"/>
      <c r="N145" s="40" t="n"/>
      <c r="O145" s="40" t="n"/>
      <c r="Z145" s="40" t="n"/>
      <c r="AA145" s="40" t="n"/>
      <c r="AC145" s="40" t="n"/>
      <c r="AD145" s="40" t="n"/>
      <c r="AE145" s="40" t="n"/>
      <c r="AF145" s="40" t="n"/>
    </row>
    <row r="146" ht="13" customHeight="1" s="50">
      <c r="E146" s="40" t="n"/>
      <c r="F146" s="40" t="n"/>
      <c r="G146" s="40" t="n"/>
      <c r="H146" s="41" t="n"/>
      <c r="K146" s="40" t="n"/>
      <c r="L146" s="1" t="n"/>
      <c r="N146" s="40" t="n"/>
      <c r="O146" s="40" t="n"/>
      <c r="Z146" s="40" t="n"/>
      <c r="AA146" s="40" t="n"/>
      <c r="AC146" s="40" t="n"/>
      <c r="AD146" s="40" t="n"/>
      <c r="AE146" s="40" t="n"/>
      <c r="AF146" s="40" t="n"/>
    </row>
    <row r="147" ht="13" customHeight="1" s="50">
      <c r="E147" s="40" t="n"/>
      <c r="F147" s="40" t="n"/>
      <c r="G147" s="40" t="n"/>
      <c r="H147" s="41" t="n"/>
      <c r="K147" s="40" t="n"/>
      <c r="L147" s="1" t="n"/>
      <c r="N147" s="40" t="n"/>
      <c r="O147" s="40" t="n"/>
      <c r="Z147" s="40" t="n"/>
      <c r="AA147" s="40" t="n"/>
      <c r="AC147" s="40" t="n"/>
      <c r="AD147" s="40" t="n"/>
      <c r="AE147" s="40" t="n"/>
      <c r="AF147" s="40" t="n"/>
    </row>
    <row r="148" ht="13" customHeight="1" s="50">
      <c r="E148" s="40" t="n"/>
      <c r="F148" s="40" t="n"/>
      <c r="G148" s="40" t="n"/>
      <c r="H148" s="41" t="n"/>
      <c r="K148" s="40" t="n"/>
      <c r="L148" s="1" t="n"/>
      <c r="N148" s="40" t="n"/>
      <c r="O148" s="40" t="n"/>
      <c r="Z148" s="40" t="n"/>
      <c r="AA148" s="40" t="n"/>
      <c r="AC148" s="40" t="n"/>
      <c r="AD148" s="40" t="n"/>
      <c r="AE148" s="40" t="n"/>
      <c r="AF148" s="40" t="n"/>
    </row>
    <row r="149" ht="13" customHeight="1" s="50">
      <c r="E149" s="40" t="n"/>
      <c r="F149" s="40" t="n"/>
      <c r="G149" s="40" t="n"/>
      <c r="H149" s="41" t="n"/>
      <c r="K149" s="40" t="n"/>
      <c r="L149" s="1" t="n"/>
      <c r="N149" s="40" t="n"/>
      <c r="O149" s="40" t="n"/>
      <c r="Z149" s="40" t="n"/>
      <c r="AA149" s="40" t="n"/>
      <c r="AC149" s="40" t="n"/>
      <c r="AD149" s="40" t="n"/>
      <c r="AE149" s="40" t="n"/>
      <c r="AF149" s="40" t="n"/>
    </row>
    <row r="150" ht="13" customHeight="1" s="50">
      <c r="E150" s="40" t="n"/>
      <c r="F150" s="40" t="n"/>
      <c r="G150" s="40" t="n"/>
      <c r="H150" s="41" t="n"/>
      <c r="K150" s="40" t="n"/>
      <c r="L150" s="1" t="n"/>
      <c r="N150" s="40" t="n"/>
      <c r="O150" s="40" t="n"/>
      <c r="Z150" s="40" t="n"/>
      <c r="AA150" s="40" t="n"/>
      <c r="AC150" s="40" t="n"/>
      <c r="AD150" s="40" t="n"/>
      <c r="AE150" s="40" t="n"/>
      <c r="AF150" s="40" t="n"/>
    </row>
    <row r="151" ht="13" customHeight="1" s="50">
      <c r="E151" s="40" t="n"/>
      <c r="F151" s="40" t="n"/>
      <c r="G151" s="40" t="n"/>
      <c r="H151" s="41" t="n"/>
      <c r="K151" s="40" t="n"/>
      <c r="L151" s="1" t="n"/>
      <c r="N151" s="40" t="n"/>
      <c r="O151" s="40" t="n"/>
      <c r="Z151" s="40" t="n"/>
      <c r="AA151" s="40" t="n"/>
      <c r="AC151" s="40" t="n"/>
      <c r="AD151" s="40" t="n"/>
      <c r="AE151" s="40" t="n"/>
      <c r="AF151" s="40" t="n"/>
    </row>
    <row r="152" ht="13" customHeight="1" s="50">
      <c r="E152" s="40" t="n"/>
      <c r="F152" s="40" t="n"/>
      <c r="G152" s="40" t="n"/>
      <c r="H152" s="41" t="n"/>
      <c r="K152" s="40" t="n"/>
      <c r="L152" s="1" t="n"/>
      <c r="N152" s="40" t="n"/>
      <c r="O152" s="40" t="n"/>
      <c r="Z152" s="40" t="n"/>
      <c r="AA152" s="40" t="n"/>
      <c r="AC152" s="40" t="n"/>
      <c r="AD152" s="40" t="n"/>
      <c r="AE152" s="40" t="n"/>
      <c r="AF152" s="40" t="n"/>
    </row>
    <row r="153" ht="13" customHeight="1" s="50">
      <c r="E153" s="40" t="n"/>
      <c r="F153" s="40" t="n"/>
      <c r="G153" s="40" t="n"/>
      <c r="H153" s="41" t="n"/>
      <c r="K153" s="40" t="n"/>
      <c r="L153" s="1" t="n"/>
      <c r="N153" s="40" t="n"/>
      <c r="O153" s="40" t="n"/>
      <c r="Z153" s="40" t="n"/>
      <c r="AA153" s="40" t="n"/>
      <c r="AC153" s="40" t="n"/>
      <c r="AD153" s="40" t="n"/>
      <c r="AE153" s="40" t="n"/>
      <c r="AF153" s="40" t="n"/>
    </row>
    <row r="154" ht="13" customHeight="1" s="50">
      <c r="E154" s="40" t="n"/>
      <c r="F154" s="40" t="n"/>
      <c r="G154" s="40" t="n"/>
      <c r="H154" s="41" t="n"/>
      <c r="K154" s="40" t="n"/>
      <c r="L154" s="1" t="n"/>
      <c r="N154" s="40" t="n"/>
      <c r="O154" s="40" t="n"/>
      <c r="Z154" s="40" t="n"/>
      <c r="AA154" s="40" t="n"/>
      <c r="AC154" s="40" t="n"/>
      <c r="AD154" s="40" t="n"/>
      <c r="AE154" s="40" t="n"/>
      <c r="AF154" s="40" t="n"/>
    </row>
    <row r="155" ht="13" customHeight="1" s="50">
      <c r="E155" s="40" t="n"/>
      <c r="F155" s="40" t="n"/>
      <c r="G155" s="40" t="n"/>
      <c r="H155" s="41" t="n"/>
      <c r="K155" s="40" t="n"/>
      <c r="L155" s="1" t="n"/>
      <c r="N155" s="40" t="n"/>
      <c r="O155" s="40" t="n"/>
      <c r="Z155" s="40" t="n"/>
      <c r="AA155" s="40" t="n"/>
      <c r="AC155" s="40" t="n"/>
      <c r="AD155" s="40" t="n"/>
      <c r="AE155" s="40" t="n"/>
      <c r="AF155" s="40" t="n"/>
    </row>
    <row r="156" ht="13" customHeight="1" s="50">
      <c r="E156" s="40" t="n"/>
      <c r="F156" s="40" t="n"/>
      <c r="G156" s="40" t="n"/>
      <c r="H156" s="41" t="n"/>
      <c r="K156" s="40" t="n"/>
      <c r="L156" s="1" t="n"/>
      <c r="N156" s="40" t="n"/>
      <c r="O156" s="40" t="n"/>
      <c r="Z156" s="40" t="n"/>
      <c r="AA156" s="40" t="n"/>
      <c r="AC156" s="40" t="n"/>
      <c r="AD156" s="40" t="n"/>
      <c r="AE156" s="40" t="n"/>
      <c r="AF156" s="40" t="n"/>
    </row>
    <row r="157" ht="13" customHeight="1" s="50">
      <c r="E157" s="40" t="n"/>
      <c r="F157" s="40" t="n"/>
      <c r="G157" s="40" t="n"/>
      <c r="H157" s="41" t="n"/>
      <c r="K157" s="40" t="n"/>
      <c r="L157" s="1" t="n"/>
      <c r="N157" s="40" t="n"/>
      <c r="O157" s="40" t="n"/>
      <c r="Z157" s="40" t="n"/>
      <c r="AA157" s="40" t="n"/>
      <c r="AC157" s="40" t="n"/>
      <c r="AD157" s="40" t="n"/>
      <c r="AE157" s="40" t="n"/>
      <c r="AF157" s="40" t="n"/>
    </row>
    <row r="158" ht="13" customHeight="1" s="50">
      <c r="E158" s="40" t="n"/>
      <c r="F158" s="40" t="n"/>
      <c r="G158" s="40" t="n"/>
      <c r="H158" s="41" t="n"/>
      <c r="K158" s="40" t="n"/>
      <c r="L158" s="1" t="n"/>
      <c r="N158" s="40" t="n"/>
      <c r="O158" s="40" t="n"/>
      <c r="Z158" s="40" t="n"/>
      <c r="AA158" s="40" t="n"/>
      <c r="AC158" s="40" t="n"/>
      <c r="AD158" s="40" t="n"/>
      <c r="AE158" s="40" t="n"/>
      <c r="AF158" s="40" t="n"/>
    </row>
    <row r="159" ht="13" customHeight="1" s="50">
      <c r="E159" s="40" t="n"/>
      <c r="F159" s="40" t="n"/>
      <c r="G159" s="40" t="n"/>
      <c r="H159" s="41" t="n"/>
      <c r="K159" s="40" t="n"/>
      <c r="L159" s="1" t="n"/>
      <c r="N159" s="40" t="n"/>
      <c r="O159" s="40" t="n"/>
      <c r="Z159" s="40" t="n"/>
      <c r="AA159" s="40" t="n"/>
      <c r="AC159" s="40" t="n"/>
      <c r="AD159" s="40" t="n"/>
      <c r="AE159" s="40" t="n"/>
      <c r="AF159" s="40" t="n"/>
    </row>
    <row r="160" ht="13" customHeight="1" s="50">
      <c r="E160" s="40" t="n"/>
      <c r="F160" s="40" t="n"/>
      <c r="G160" s="40" t="n"/>
      <c r="H160" s="41" t="n"/>
      <c r="K160" s="40" t="n"/>
      <c r="L160" s="1" t="n"/>
      <c r="N160" s="40" t="n"/>
      <c r="O160" s="40" t="n"/>
      <c r="Z160" s="40" t="n"/>
      <c r="AA160" s="40" t="n"/>
      <c r="AC160" s="40" t="n"/>
      <c r="AD160" s="40" t="n"/>
      <c r="AE160" s="40" t="n"/>
      <c r="AF160" s="40" t="n"/>
    </row>
    <row r="161" ht="13" customHeight="1" s="50">
      <c r="E161" s="40" t="n"/>
      <c r="F161" s="40" t="n"/>
      <c r="G161" s="40" t="n"/>
      <c r="H161" s="41" t="n"/>
      <c r="K161" s="40" t="n"/>
      <c r="L161" s="1" t="n"/>
      <c r="N161" s="40" t="n"/>
      <c r="O161" s="40" t="n"/>
      <c r="Z161" s="40" t="n"/>
      <c r="AA161" s="40" t="n"/>
      <c r="AC161" s="40" t="n"/>
      <c r="AD161" s="40" t="n"/>
      <c r="AE161" s="40" t="n"/>
      <c r="AF161" s="40" t="n"/>
    </row>
    <row r="162" ht="13" customHeight="1" s="50">
      <c r="E162" s="40" t="n"/>
      <c r="F162" s="40" t="n"/>
      <c r="G162" s="40" t="n"/>
      <c r="H162" s="41" t="n"/>
      <c r="K162" s="40" t="n"/>
      <c r="L162" s="1" t="n"/>
      <c r="N162" s="40" t="n"/>
      <c r="O162" s="40" t="n"/>
      <c r="Z162" s="40" t="n"/>
      <c r="AA162" s="40" t="n"/>
      <c r="AC162" s="40" t="n"/>
      <c r="AD162" s="40" t="n"/>
      <c r="AE162" s="40" t="n"/>
      <c r="AF162" s="40" t="n"/>
    </row>
    <row r="163" ht="13" customHeight="1" s="50">
      <c r="E163" s="40" t="n"/>
      <c r="F163" s="40" t="n"/>
      <c r="G163" s="40" t="n"/>
      <c r="H163" s="41" t="n"/>
      <c r="K163" s="40" t="n"/>
      <c r="L163" s="1" t="n"/>
      <c r="N163" s="40" t="n"/>
      <c r="O163" s="40" t="n"/>
      <c r="Z163" s="40" t="n"/>
      <c r="AA163" s="40" t="n"/>
      <c r="AC163" s="40" t="n"/>
      <c r="AD163" s="40" t="n"/>
      <c r="AE163" s="40" t="n"/>
      <c r="AF163" s="40" t="n"/>
    </row>
    <row r="164" ht="13" customHeight="1" s="50">
      <c r="E164" s="40" t="n"/>
      <c r="F164" s="40" t="n"/>
      <c r="G164" s="40" t="n"/>
      <c r="H164" s="41" t="n"/>
      <c r="K164" s="40" t="n"/>
      <c r="L164" s="1" t="n"/>
      <c r="N164" s="40" t="n"/>
      <c r="O164" s="40" t="n"/>
      <c r="Z164" s="40" t="n"/>
      <c r="AA164" s="40" t="n"/>
      <c r="AC164" s="40" t="n"/>
      <c r="AD164" s="40" t="n"/>
      <c r="AE164" s="40" t="n"/>
      <c r="AF164" s="40" t="n"/>
    </row>
    <row r="165" ht="13" customHeight="1" s="50">
      <c r="E165" s="40" t="n"/>
      <c r="F165" s="40" t="n"/>
      <c r="G165" s="40" t="n"/>
      <c r="H165" s="41" t="n"/>
      <c r="K165" s="40" t="n"/>
      <c r="L165" s="1" t="n"/>
      <c r="N165" s="40" t="n"/>
      <c r="O165" s="40" t="n"/>
      <c r="Z165" s="40" t="n"/>
      <c r="AA165" s="40" t="n"/>
      <c r="AC165" s="40" t="n"/>
      <c r="AD165" s="40" t="n"/>
      <c r="AE165" s="40" t="n"/>
      <c r="AF165" s="40" t="n"/>
    </row>
    <row r="166" ht="13" customHeight="1" s="50">
      <c r="E166" s="40" t="n"/>
      <c r="F166" s="40" t="n"/>
      <c r="G166" s="40" t="n"/>
      <c r="H166" s="41" t="n"/>
      <c r="K166" s="40" t="n"/>
      <c r="L166" s="1" t="n"/>
      <c r="N166" s="40" t="n"/>
      <c r="O166" s="40" t="n"/>
      <c r="Z166" s="40" t="n"/>
      <c r="AA166" s="40" t="n"/>
      <c r="AC166" s="40" t="n"/>
      <c r="AD166" s="40" t="n"/>
      <c r="AE166" s="40" t="n"/>
      <c r="AF166" s="40" t="n"/>
    </row>
    <row r="167" ht="13" customHeight="1" s="50">
      <c r="E167" s="40" t="n"/>
      <c r="F167" s="40" t="n"/>
      <c r="G167" s="40" t="n"/>
      <c r="H167" s="41" t="n"/>
      <c r="K167" s="40" t="n"/>
      <c r="L167" s="1" t="n"/>
      <c r="N167" s="40" t="n"/>
      <c r="O167" s="40" t="n"/>
      <c r="Z167" s="40" t="n"/>
      <c r="AA167" s="40" t="n"/>
      <c r="AC167" s="40" t="n"/>
      <c r="AD167" s="40" t="n"/>
      <c r="AE167" s="40" t="n"/>
      <c r="AF167" s="40" t="n"/>
    </row>
    <row r="168" ht="13" customHeight="1" s="50">
      <c r="E168" s="40" t="n"/>
      <c r="F168" s="40" t="n"/>
      <c r="G168" s="40" t="n"/>
      <c r="H168" s="41" t="n"/>
      <c r="K168" s="40" t="n"/>
      <c r="L168" s="1" t="n"/>
      <c r="N168" s="40" t="n"/>
      <c r="O168" s="40" t="n"/>
      <c r="Z168" s="40" t="n"/>
      <c r="AA168" s="40" t="n"/>
      <c r="AC168" s="40" t="n"/>
      <c r="AD168" s="40" t="n"/>
      <c r="AE168" s="40" t="n"/>
      <c r="AF168" s="40" t="n"/>
    </row>
    <row r="169" ht="13" customHeight="1" s="50">
      <c r="E169" s="40" t="n"/>
      <c r="F169" s="40" t="n"/>
      <c r="G169" s="40" t="n"/>
      <c r="H169" s="41" t="n"/>
      <c r="K169" s="40" t="n"/>
      <c r="L169" s="1" t="n"/>
      <c r="N169" s="40" t="n"/>
      <c r="O169" s="40" t="n"/>
      <c r="Z169" s="40" t="n"/>
      <c r="AA169" s="40" t="n"/>
      <c r="AC169" s="40" t="n"/>
      <c r="AD169" s="40" t="n"/>
      <c r="AE169" s="40" t="n"/>
      <c r="AF169" s="40" t="n"/>
    </row>
    <row r="170" ht="13" customHeight="1" s="50">
      <c r="E170" s="40" t="n"/>
      <c r="F170" s="40" t="n"/>
      <c r="G170" s="40" t="n"/>
      <c r="H170" s="41" t="n"/>
      <c r="K170" s="40" t="n"/>
      <c r="L170" s="1" t="n"/>
      <c r="N170" s="40" t="n"/>
      <c r="O170" s="40" t="n"/>
      <c r="Z170" s="40" t="n"/>
      <c r="AA170" s="40" t="n"/>
      <c r="AC170" s="40" t="n"/>
      <c r="AD170" s="40" t="n"/>
      <c r="AE170" s="40" t="n"/>
      <c r="AF170" s="40" t="n"/>
    </row>
    <row r="171" ht="13" customHeight="1" s="50">
      <c r="E171" s="40" t="n"/>
      <c r="F171" s="40" t="n"/>
      <c r="G171" s="40" t="n"/>
      <c r="H171" s="41" t="n"/>
      <c r="K171" s="40" t="n"/>
      <c r="L171" s="1" t="n"/>
      <c r="N171" s="40" t="n"/>
      <c r="O171" s="40" t="n"/>
      <c r="Z171" s="40" t="n"/>
      <c r="AA171" s="40" t="n"/>
      <c r="AC171" s="40" t="n"/>
      <c r="AD171" s="40" t="n"/>
      <c r="AE171" s="40" t="n"/>
      <c r="AF171" s="40" t="n"/>
    </row>
    <row r="172" ht="13" customHeight="1" s="50">
      <c r="E172" s="40" t="n"/>
      <c r="F172" s="40" t="n"/>
      <c r="G172" s="40" t="n"/>
      <c r="H172" s="41" t="n"/>
      <c r="K172" s="40" t="n"/>
      <c r="L172" s="1" t="n"/>
      <c r="N172" s="40" t="n"/>
      <c r="O172" s="40" t="n"/>
      <c r="Z172" s="40" t="n"/>
      <c r="AA172" s="40" t="n"/>
      <c r="AC172" s="40" t="n"/>
      <c r="AD172" s="40" t="n"/>
      <c r="AE172" s="40" t="n"/>
      <c r="AF172" s="40" t="n"/>
    </row>
    <row r="173" ht="13" customHeight="1" s="50">
      <c r="E173" s="40" t="n"/>
      <c r="F173" s="40" t="n"/>
      <c r="G173" s="40" t="n"/>
      <c r="H173" s="41" t="n"/>
      <c r="K173" s="40" t="n"/>
      <c r="L173" s="1" t="n"/>
      <c r="N173" s="40" t="n"/>
      <c r="O173" s="40" t="n"/>
      <c r="Z173" s="40" t="n"/>
      <c r="AA173" s="40" t="n"/>
      <c r="AC173" s="40" t="n"/>
      <c r="AD173" s="40" t="n"/>
      <c r="AE173" s="40" t="n"/>
      <c r="AF173" s="40" t="n"/>
    </row>
    <row r="174" ht="13" customHeight="1" s="50">
      <c r="E174" s="40" t="n"/>
      <c r="F174" s="40" t="n"/>
      <c r="G174" s="40" t="n"/>
      <c r="H174" s="41" t="n"/>
      <c r="K174" s="40" t="n"/>
      <c r="L174" s="1" t="n"/>
      <c r="N174" s="40" t="n"/>
      <c r="O174" s="40" t="n"/>
      <c r="Z174" s="40" t="n"/>
      <c r="AA174" s="40" t="n"/>
      <c r="AC174" s="40" t="n"/>
      <c r="AD174" s="40" t="n"/>
      <c r="AE174" s="40" t="n"/>
      <c r="AF174" s="40" t="n"/>
    </row>
    <row r="175" ht="13" customHeight="1" s="50">
      <c r="E175" s="40" t="n"/>
      <c r="F175" s="40" t="n"/>
      <c r="G175" s="40" t="n"/>
      <c r="H175" s="41" t="n"/>
      <c r="K175" s="40" t="n"/>
      <c r="L175" s="1" t="n"/>
      <c r="N175" s="40" t="n"/>
      <c r="O175" s="40" t="n"/>
      <c r="Z175" s="40" t="n"/>
      <c r="AA175" s="40" t="n"/>
      <c r="AC175" s="40" t="n"/>
      <c r="AD175" s="40" t="n"/>
      <c r="AE175" s="40" t="n"/>
      <c r="AF175" s="40" t="n"/>
    </row>
    <row r="176" ht="13" customHeight="1" s="50">
      <c r="E176" s="40" t="n"/>
      <c r="F176" s="40" t="n"/>
      <c r="G176" s="40" t="n"/>
      <c r="H176" s="41" t="n"/>
      <c r="K176" s="40" t="n"/>
      <c r="L176" s="1" t="n"/>
      <c r="N176" s="40" t="n"/>
      <c r="O176" s="40" t="n"/>
      <c r="Z176" s="40" t="n"/>
      <c r="AA176" s="40" t="n"/>
      <c r="AC176" s="40" t="n"/>
      <c r="AD176" s="40" t="n"/>
      <c r="AE176" s="40" t="n"/>
      <c r="AF176" s="40" t="n"/>
    </row>
    <row r="177" ht="13" customHeight="1" s="50">
      <c r="E177" s="40" t="n"/>
      <c r="F177" s="40" t="n"/>
      <c r="G177" s="40" t="n"/>
      <c r="H177" s="41" t="n"/>
      <c r="K177" s="40" t="n"/>
      <c r="L177" s="1" t="n"/>
      <c r="N177" s="40" t="n"/>
      <c r="O177" s="40" t="n"/>
      <c r="Z177" s="40" t="n"/>
      <c r="AA177" s="40" t="n"/>
      <c r="AC177" s="40" t="n"/>
      <c r="AD177" s="40" t="n"/>
      <c r="AE177" s="40" t="n"/>
      <c r="AF177" s="40" t="n"/>
    </row>
    <row r="178" ht="13" customHeight="1" s="50">
      <c r="E178" s="40" t="n"/>
      <c r="F178" s="40" t="n"/>
      <c r="G178" s="40" t="n"/>
      <c r="H178" s="41" t="n"/>
      <c r="K178" s="40" t="n"/>
      <c r="L178" s="1" t="n"/>
      <c r="N178" s="40" t="n"/>
      <c r="O178" s="40" t="n"/>
      <c r="Z178" s="40" t="n"/>
      <c r="AA178" s="40" t="n"/>
      <c r="AC178" s="40" t="n"/>
      <c r="AD178" s="40" t="n"/>
      <c r="AE178" s="40" t="n"/>
      <c r="AF178" s="40" t="n"/>
    </row>
    <row r="179" ht="13" customHeight="1" s="50">
      <c r="E179" s="40" t="n"/>
      <c r="F179" s="40" t="n"/>
      <c r="G179" s="40" t="n"/>
      <c r="H179" s="41" t="n"/>
      <c r="K179" s="40" t="n"/>
      <c r="L179" s="1" t="n"/>
      <c r="N179" s="40" t="n"/>
      <c r="O179" s="40" t="n"/>
      <c r="Z179" s="40" t="n"/>
      <c r="AA179" s="40" t="n"/>
      <c r="AC179" s="40" t="n"/>
      <c r="AD179" s="40" t="n"/>
      <c r="AE179" s="40" t="n"/>
      <c r="AF179" s="40" t="n"/>
    </row>
    <row r="180" ht="13" customHeight="1" s="50">
      <c r="E180" s="40" t="n"/>
      <c r="F180" s="40" t="n"/>
      <c r="G180" s="40" t="n"/>
      <c r="H180" s="41" t="n"/>
      <c r="K180" s="40" t="n"/>
      <c r="L180" s="1" t="n"/>
      <c r="N180" s="40" t="n"/>
      <c r="O180" s="40" t="n"/>
      <c r="Z180" s="40" t="n"/>
      <c r="AA180" s="40" t="n"/>
      <c r="AC180" s="40" t="n"/>
      <c r="AD180" s="40" t="n"/>
      <c r="AE180" s="40" t="n"/>
      <c r="AF180" s="40" t="n"/>
    </row>
    <row r="181" ht="13" customHeight="1" s="50">
      <c r="E181" s="40" t="n"/>
      <c r="F181" s="40" t="n"/>
      <c r="G181" s="40" t="n"/>
      <c r="H181" s="41" t="n"/>
      <c r="K181" s="40" t="n"/>
      <c r="L181" s="1" t="n"/>
      <c r="N181" s="40" t="n"/>
      <c r="O181" s="40" t="n"/>
      <c r="Z181" s="40" t="n"/>
      <c r="AA181" s="40" t="n"/>
      <c r="AC181" s="40" t="n"/>
      <c r="AD181" s="40" t="n"/>
      <c r="AE181" s="40" t="n"/>
      <c r="AF181" s="40" t="n"/>
    </row>
    <row r="182" ht="13" customHeight="1" s="50">
      <c r="E182" s="40" t="n"/>
      <c r="F182" s="40" t="n"/>
      <c r="G182" s="40" t="n"/>
      <c r="H182" s="41" t="n"/>
      <c r="K182" s="40" t="n"/>
      <c r="L182" s="1" t="n"/>
      <c r="N182" s="40" t="n"/>
      <c r="O182" s="40" t="n"/>
      <c r="Z182" s="40" t="n"/>
      <c r="AA182" s="40" t="n"/>
      <c r="AC182" s="40" t="n"/>
      <c r="AD182" s="40" t="n"/>
      <c r="AE182" s="40" t="n"/>
      <c r="AF182" s="40" t="n"/>
    </row>
    <row r="183" ht="13" customHeight="1" s="50">
      <c r="E183" s="40" t="n"/>
      <c r="F183" s="40" t="n"/>
      <c r="G183" s="40" t="n"/>
      <c r="H183" s="41" t="n"/>
      <c r="K183" s="40" t="n"/>
      <c r="L183" s="1" t="n"/>
      <c r="N183" s="40" t="n"/>
      <c r="O183" s="40" t="n"/>
      <c r="Z183" s="40" t="n"/>
      <c r="AA183" s="40" t="n"/>
      <c r="AC183" s="40" t="n"/>
      <c r="AD183" s="40" t="n"/>
      <c r="AE183" s="40" t="n"/>
      <c r="AF183" s="40" t="n"/>
    </row>
    <row r="184" ht="13" customHeight="1" s="50">
      <c r="E184" s="40" t="n"/>
      <c r="F184" s="40" t="n"/>
      <c r="G184" s="40" t="n"/>
      <c r="H184" s="41" t="n"/>
      <c r="K184" s="40" t="n"/>
      <c r="L184" s="1" t="n"/>
      <c r="N184" s="40" t="n"/>
      <c r="O184" s="40" t="n"/>
      <c r="Z184" s="40" t="n"/>
      <c r="AA184" s="40" t="n"/>
      <c r="AC184" s="40" t="n"/>
      <c r="AD184" s="40" t="n"/>
      <c r="AE184" s="40" t="n"/>
      <c r="AF184" s="40" t="n"/>
    </row>
    <row r="185" ht="13" customHeight="1" s="50">
      <c r="E185" s="40" t="n"/>
      <c r="F185" s="40" t="n"/>
      <c r="G185" s="40" t="n"/>
      <c r="H185" s="41" t="n"/>
      <c r="K185" s="40" t="n"/>
      <c r="L185" s="1" t="n"/>
      <c r="N185" s="40" t="n"/>
      <c r="O185" s="40" t="n"/>
      <c r="Z185" s="40" t="n"/>
      <c r="AA185" s="40" t="n"/>
      <c r="AC185" s="40" t="n"/>
      <c r="AD185" s="40" t="n"/>
      <c r="AE185" s="40" t="n"/>
      <c r="AF185" s="40" t="n"/>
    </row>
    <row r="186" ht="13" customHeight="1" s="50">
      <c r="E186" s="40" t="n"/>
      <c r="F186" s="40" t="n"/>
      <c r="G186" s="40" t="n"/>
      <c r="H186" s="41" t="n"/>
      <c r="K186" s="40" t="n"/>
      <c r="L186" s="1" t="n"/>
      <c r="N186" s="40" t="n"/>
      <c r="O186" s="40" t="n"/>
      <c r="Z186" s="40" t="n"/>
      <c r="AA186" s="40" t="n"/>
      <c r="AC186" s="40" t="n"/>
      <c r="AD186" s="40" t="n"/>
      <c r="AE186" s="40" t="n"/>
      <c r="AF186" s="40" t="n"/>
    </row>
    <row r="187" ht="13" customHeight="1" s="50">
      <c r="E187" s="40" t="n"/>
      <c r="F187" s="40" t="n"/>
      <c r="G187" s="40" t="n"/>
      <c r="H187" s="41" t="n"/>
      <c r="K187" s="40" t="n"/>
      <c r="L187" s="1" t="n"/>
      <c r="N187" s="40" t="n"/>
      <c r="O187" s="40" t="n"/>
      <c r="Z187" s="40" t="n"/>
      <c r="AA187" s="40" t="n"/>
      <c r="AC187" s="40" t="n"/>
      <c r="AD187" s="40" t="n"/>
      <c r="AE187" s="40" t="n"/>
      <c r="AF187" s="40" t="n"/>
    </row>
    <row r="188" ht="13" customHeight="1" s="50">
      <c r="E188" s="40" t="n"/>
      <c r="F188" s="40" t="n"/>
      <c r="G188" s="40" t="n"/>
      <c r="H188" s="41" t="n"/>
      <c r="K188" s="40" t="n"/>
      <c r="L188" s="1" t="n"/>
      <c r="N188" s="40" t="n"/>
      <c r="O188" s="40" t="n"/>
      <c r="Z188" s="40" t="n"/>
      <c r="AA188" s="40" t="n"/>
      <c r="AC188" s="40" t="n"/>
      <c r="AD188" s="40" t="n"/>
      <c r="AE188" s="40" t="n"/>
      <c r="AF188" s="40" t="n"/>
    </row>
    <row r="189" ht="13" customHeight="1" s="50">
      <c r="E189" s="40" t="n"/>
      <c r="F189" s="40" t="n"/>
      <c r="G189" s="40" t="n"/>
      <c r="H189" s="41" t="n"/>
      <c r="K189" s="40" t="n"/>
      <c r="L189" s="1" t="n"/>
      <c r="N189" s="40" t="n"/>
      <c r="O189" s="40" t="n"/>
      <c r="Z189" s="40" t="n"/>
      <c r="AA189" s="40" t="n"/>
      <c r="AC189" s="40" t="n"/>
      <c r="AD189" s="40" t="n"/>
      <c r="AE189" s="40" t="n"/>
      <c r="AF189" s="40" t="n"/>
    </row>
    <row r="190" ht="13" customHeight="1" s="50">
      <c r="E190" s="40" t="n"/>
      <c r="F190" s="40" t="n"/>
      <c r="G190" s="40" t="n"/>
      <c r="H190" s="41" t="n"/>
      <c r="K190" s="40" t="n"/>
      <c r="L190" s="1" t="n"/>
      <c r="N190" s="40" t="n"/>
      <c r="O190" s="40" t="n"/>
      <c r="Z190" s="40" t="n"/>
      <c r="AA190" s="40" t="n"/>
      <c r="AC190" s="40" t="n"/>
      <c r="AD190" s="40" t="n"/>
      <c r="AE190" s="40" t="n"/>
      <c r="AF190" s="40" t="n"/>
    </row>
    <row r="191" ht="13" customHeight="1" s="50">
      <c r="E191" s="40" t="n"/>
      <c r="F191" s="40" t="n"/>
      <c r="G191" s="40" t="n"/>
      <c r="H191" s="41" t="n"/>
      <c r="K191" s="40" t="n"/>
      <c r="L191" s="1" t="n"/>
      <c r="N191" s="40" t="n"/>
      <c r="O191" s="40" t="n"/>
      <c r="Z191" s="40" t="n"/>
      <c r="AA191" s="40" t="n"/>
      <c r="AC191" s="40" t="n"/>
      <c r="AD191" s="40" t="n"/>
      <c r="AE191" s="40" t="n"/>
      <c r="AF191" s="40" t="n"/>
    </row>
    <row r="192" ht="13" customHeight="1" s="50">
      <c r="E192" s="40" t="n"/>
      <c r="F192" s="40" t="n"/>
      <c r="G192" s="40" t="n"/>
      <c r="H192" s="41" t="n"/>
      <c r="K192" s="40" t="n"/>
      <c r="L192" s="1" t="n"/>
      <c r="N192" s="40" t="n"/>
      <c r="O192" s="40" t="n"/>
      <c r="Z192" s="40" t="n"/>
      <c r="AA192" s="40" t="n"/>
      <c r="AC192" s="40" t="n"/>
      <c r="AD192" s="40" t="n"/>
      <c r="AE192" s="40" t="n"/>
      <c r="AF192" s="40" t="n"/>
    </row>
    <row r="193" ht="13" customHeight="1" s="50">
      <c r="E193" s="40" t="n"/>
      <c r="F193" s="40" t="n"/>
      <c r="G193" s="40" t="n"/>
      <c r="H193" s="41" t="n"/>
      <c r="K193" s="40" t="n"/>
      <c r="L193" s="1" t="n"/>
      <c r="N193" s="40" t="n"/>
      <c r="O193" s="40" t="n"/>
      <c r="Z193" s="40" t="n"/>
      <c r="AA193" s="40" t="n"/>
      <c r="AC193" s="40" t="n"/>
      <c r="AD193" s="40" t="n"/>
      <c r="AE193" s="40" t="n"/>
      <c r="AF193" s="40" t="n"/>
    </row>
    <row r="194" ht="13" customHeight="1" s="50">
      <c r="E194" s="40" t="n"/>
      <c r="F194" s="40" t="n"/>
      <c r="G194" s="40" t="n"/>
      <c r="H194" s="41" t="n"/>
      <c r="K194" s="40" t="n"/>
      <c r="L194" s="1" t="n"/>
      <c r="N194" s="40" t="n"/>
      <c r="O194" s="40" t="n"/>
      <c r="Z194" s="40" t="n"/>
      <c r="AA194" s="40" t="n"/>
      <c r="AC194" s="40" t="n"/>
      <c r="AD194" s="40" t="n"/>
      <c r="AE194" s="40" t="n"/>
      <c r="AF194" s="40" t="n"/>
    </row>
    <row r="195" ht="13" customHeight="1" s="50">
      <c r="E195" s="40" t="n"/>
      <c r="F195" s="40" t="n"/>
      <c r="G195" s="40" t="n"/>
      <c r="H195" s="41" t="n"/>
      <c r="K195" s="40" t="n"/>
      <c r="L195" s="1" t="n"/>
      <c r="N195" s="40" t="n"/>
      <c r="O195" s="40" t="n"/>
      <c r="Z195" s="40" t="n"/>
      <c r="AA195" s="40" t="n"/>
      <c r="AC195" s="40" t="n"/>
      <c r="AD195" s="40" t="n"/>
      <c r="AE195" s="40" t="n"/>
      <c r="AF195" s="40" t="n"/>
    </row>
    <row r="196" ht="13" customHeight="1" s="50">
      <c r="E196" s="40" t="n"/>
      <c r="F196" s="40" t="n"/>
      <c r="G196" s="40" t="n"/>
      <c r="H196" s="41" t="n"/>
      <c r="K196" s="40" t="n"/>
      <c r="L196" s="1" t="n"/>
      <c r="N196" s="40" t="n"/>
      <c r="O196" s="40" t="n"/>
      <c r="Z196" s="40" t="n"/>
      <c r="AA196" s="40" t="n"/>
      <c r="AC196" s="40" t="n"/>
      <c r="AD196" s="40" t="n"/>
      <c r="AE196" s="40" t="n"/>
      <c r="AF196" s="40" t="n"/>
    </row>
    <row r="197" ht="13" customHeight="1" s="50">
      <c r="E197" s="40" t="n"/>
      <c r="F197" s="40" t="n"/>
      <c r="G197" s="40" t="n"/>
      <c r="H197" s="41" t="n"/>
      <c r="K197" s="40" t="n"/>
      <c r="L197" s="1" t="n"/>
      <c r="N197" s="40" t="n"/>
      <c r="O197" s="40" t="n"/>
      <c r="Z197" s="40" t="n"/>
      <c r="AA197" s="40" t="n"/>
      <c r="AC197" s="40" t="n"/>
      <c r="AD197" s="40" t="n"/>
      <c r="AE197" s="40" t="n"/>
      <c r="AF197" s="40" t="n"/>
    </row>
    <row r="198" ht="13" customHeight="1" s="50">
      <c r="E198" s="40" t="n"/>
      <c r="F198" s="40" t="n"/>
      <c r="G198" s="40" t="n"/>
      <c r="H198" s="41" t="n"/>
      <c r="K198" s="40" t="n"/>
      <c r="L198" s="1" t="n"/>
      <c r="N198" s="40" t="n"/>
      <c r="O198" s="40" t="n"/>
      <c r="Z198" s="40" t="n"/>
      <c r="AA198" s="40" t="n"/>
      <c r="AC198" s="40" t="n"/>
      <c r="AD198" s="40" t="n"/>
      <c r="AE198" s="40" t="n"/>
      <c r="AF198" s="40" t="n"/>
    </row>
    <row r="199" ht="13" customHeight="1" s="50">
      <c r="E199" s="40" t="n"/>
      <c r="F199" s="40" t="n"/>
      <c r="G199" s="40" t="n"/>
      <c r="H199" s="41" t="n"/>
      <c r="K199" s="40" t="n"/>
      <c r="L199" s="1" t="n"/>
      <c r="N199" s="40" t="n"/>
      <c r="O199" s="40" t="n"/>
      <c r="Z199" s="40" t="n"/>
      <c r="AA199" s="40" t="n"/>
      <c r="AC199" s="40" t="n"/>
      <c r="AD199" s="40" t="n"/>
      <c r="AE199" s="40" t="n"/>
      <c r="AF199" s="40" t="n"/>
    </row>
    <row r="200" ht="13" customHeight="1" s="50">
      <c r="E200" s="40" t="n"/>
      <c r="F200" s="40" t="n"/>
      <c r="G200" s="40" t="n"/>
      <c r="H200" s="41" t="n"/>
      <c r="K200" s="40" t="n"/>
      <c r="L200" s="1" t="n"/>
      <c r="N200" s="40" t="n"/>
      <c r="O200" s="40" t="n"/>
      <c r="Z200" s="40" t="n"/>
      <c r="AA200" s="40" t="n"/>
      <c r="AC200" s="40" t="n"/>
      <c r="AD200" s="40" t="n"/>
      <c r="AE200" s="40" t="n"/>
      <c r="AF200" s="40" t="n"/>
    </row>
    <row r="201" ht="13" customHeight="1" s="50">
      <c r="E201" s="40" t="n"/>
      <c r="F201" s="40" t="n"/>
      <c r="G201" s="40" t="n"/>
      <c r="H201" s="41" t="n"/>
      <c r="K201" s="40" t="n"/>
      <c r="L201" s="1" t="n"/>
      <c r="N201" s="40" t="n"/>
      <c r="O201" s="40" t="n"/>
      <c r="Z201" s="40" t="n"/>
      <c r="AA201" s="40" t="n"/>
      <c r="AC201" s="40" t="n"/>
      <c r="AD201" s="40" t="n"/>
      <c r="AE201" s="40" t="n"/>
      <c r="AF201" s="40" t="n"/>
    </row>
    <row r="202" ht="13" customHeight="1" s="50">
      <c r="E202" s="40" t="n"/>
      <c r="F202" s="40" t="n"/>
      <c r="G202" s="40" t="n"/>
      <c r="H202" s="41" t="n"/>
      <c r="K202" s="40" t="n"/>
      <c r="L202" s="1" t="n"/>
      <c r="N202" s="40" t="n"/>
      <c r="O202" s="40" t="n"/>
      <c r="Z202" s="40" t="n"/>
      <c r="AA202" s="40" t="n"/>
      <c r="AC202" s="40" t="n"/>
      <c r="AD202" s="40" t="n"/>
      <c r="AE202" s="40" t="n"/>
      <c r="AF202" s="40" t="n"/>
    </row>
    <row r="203" ht="13" customHeight="1" s="50">
      <c r="E203" s="40" t="n"/>
      <c r="F203" s="40" t="n"/>
      <c r="G203" s="40" t="n"/>
      <c r="H203" s="41" t="n"/>
      <c r="K203" s="40" t="n"/>
      <c r="L203" s="1" t="n"/>
      <c r="N203" s="40" t="n"/>
      <c r="O203" s="40" t="n"/>
      <c r="Z203" s="40" t="n"/>
      <c r="AA203" s="40" t="n"/>
      <c r="AC203" s="40" t="n"/>
      <c r="AD203" s="40" t="n"/>
      <c r="AE203" s="40" t="n"/>
      <c r="AF203" s="40" t="n"/>
    </row>
    <row r="204" ht="13" customHeight="1" s="50">
      <c r="E204" s="40" t="n"/>
      <c r="F204" s="40" t="n"/>
      <c r="G204" s="40" t="n"/>
      <c r="H204" s="41" t="n"/>
      <c r="K204" s="40" t="n"/>
      <c r="L204" s="1" t="n"/>
      <c r="N204" s="40" t="n"/>
      <c r="O204" s="40" t="n"/>
      <c r="Z204" s="40" t="n"/>
      <c r="AA204" s="40" t="n"/>
      <c r="AC204" s="40" t="n"/>
      <c r="AD204" s="40" t="n"/>
      <c r="AE204" s="40" t="n"/>
      <c r="AF204" s="40" t="n"/>
    </row>
    <row r="205" ht="13" customHeight="1" s="50">
      <c r="E205" s="40" t="n"/>
      <c r="F205" s="40" t="n"/>
      <c r="G205" s="40" t="n"/>
      <c r="H205" s="41" t="n"/>
      <c r="K205" s="40" t="n"/>
      <c r="L205" s="1" t="n"/>
      <c r="N205" s="40" t="n"/>
      <c r="O205" s="40" t="n"/>
      <c r="Z205" s="40" t="n"/>
      <c r="AA205" s="40" t="n"/>
      <c r="AC205" s="40" t="n"/>
      <c r="AD205" s="40" t="n"/>
      <c r="AE205" s="40" t="n"/>
      <c r="AF205" s="40" t="n"/>
    </row>
    <row r="206" ht="13" customHeight="1" s="50">
      <c r="E206" s="40" t="n"/>
      <c r="F206" s="40" t="n"/>
      <c r="G206" s="40" t="n"/>
      <c r="H206" s="41" t="n"/>
      <c r="K206" s="40" t="n"/>
      <c r="L206" s="1" t="n"/>
      <c r="N206" s="40" t="n"/>
      <c r="O206" s="40" t="n"/>
      <c r="Z206" s="40" t="n"/>
      <c r="AA206" s="40" t="n"/>
      <c r="AC206" s="40" t="n"/>
      <c r="AD206" s="40" t="n"/>
      <c r="AE206" s="40" t="n"/>
      <c r="AF206" s="40" t="n"/>
    </row>
    <row r="207" ht="13" customHeight="1" s="50">
      <c r="E207" s="40" t="n"/>
      <c r="F207" s="40" t="n"/>
      <c r="G207" s="40" t="n"/>
      <c r="H207" s="41" t="n"/>
      <c r="K207" s="40" t="n"/>
      <c r="L207" s="1" t="n"/>
      <c r="N207" s="40" t="n"/>
      <c r="O207" s="40" t="n"/>
      <c r="Z207" s="40" t="n"/>
      <c r="AA207" s="40" t="n"/>
      <c r="AC207" s="40" t="n"/>
      <c r="AD207" s="40" t="n"/>
      <c r="AE207" s="40" t="n"/>
      <c r="AF207" s="40" t="n"/>
    </row>
    <row r="208" ht="13" customHeight="1" s="50">
      <c r="E208" s="40" t="n"/>
      <c r="F208" s="40" t="n"/>
      <c r="G208" s="40" t="n"/>
      <c r="H208" s="41" t="n"/>
      <c r="K208" s="40" t="n"/>
      <c r="L208" s="1" t="n"/>
      <c r="N208" s="40" t="n"/>
      <c r="O208" s="40" t="n"/>
      <c r="Z208" s="40" t="n"/>
      <c r="AA208" s="40" t="n"/>
      <c r="AC208" s="40" t="n"/>
      <c r="AD208" s="40" t="n"/>
      <c r="AE208" s="40" t="n"/>
      <c r="AF208" s="40" t="n"/>
    </row>
    <row r="209" ht="13" customHeight="1" s="50">
      <c r="E209" s="40" t="n"/>
      <c r="F209" s="40" t="n"/>
      <c r="G209" s="40" t="n"/>
      <c r="H209" s="41" t="n"/>
      <c r="K209" s="40" t="n"/>
      <c r="L209" s="1" t="n"/>
      <c r="N209" s="40" t="n"/>
      <c r="O209" s="40" t="n"/>
      <c r="Z209" s="40" t="n"/>
      <c r="AA209" s="40" t="n"/>
      <c r="AC209" s="40" t="n"/>
      <c r="AD209" s="40" t="n"/>
      <c r="AE209" s="40" t="n"/>
      <c r="AF209" s="40" t="n"/>
    </row>
    <row r="210" ht="13" customHeight="1" s="50">
      <c r="E210" s="40" t="n"/>
      <c r="F210" s="40" t="n"/>
      <c r="G210" s="40" t="n"/>
      <c r="H210" s="41" t="n"/>
      <c r="K210" s="40" t="n"/>
      <c r="L210" s="1" t="n"/>
      <c r="N210" s="40" t="n"/>
      <c r="O210" s="40" t="n"/>
      <c r="Z210" s="40" t="n"/>
      <c r="AA210" s="40" t="n"/>
      <c r="AC210" s="40" t="n"/>
      <c r="AD210" s="40" t="n"/>
      <c r="AE210" s="40" t="n"/>
      <c r="AF210" s="40" t="n"/>
    </row>
    <row r="211" ht="13" customHeight="1" s="50">
      <c r="E211" s="40" t="n"/>
      <c r="F211" s="40" t="n"/>
      <c r="G211" s="40" t="n"/>
      <c r="H211" s="41" t="n"/>
      <c r="K211" s="40" t="n"/>
      <c r="L211" s="1" t="n"/>
      <c r="N211" s="40" t="n"/>
      <c r="O211" s="40" t="n"/>
      <c r="Z211" s="40" t="n"/>
      <c r="AA211" s="40" t="n"/>
      <c r="AC211" s="40" t="n"/>
      <c r="AD211" s="40" t="n"/>
      <c r="AE211" s="40" t="n"/>
      <c r="AF211" s="40" t="n"/>
    </row>
    <row r="212" ht="13" customHeight="1" s="50">
      <c r="E212" s="40" t="n"/>
      <c r="F212" s="40" t="n"/>
      <c r="G212" s="40" t="n"/>
      <c r="H212" s="41" t="n"/>
      <c r="K212" s="40" t="n"/>
      <c r="L212" s="1" t="n"/>
      <c r="N212" s="40" t="n"/>
      <c r="O212" s="40" t="n"/>
      <c r="Z212" s="40" t="n"/>
      <c r="AA212" s="40" t="n"/>
      <c r="AC212" s="40" t="n"/>
      <c r="AD212" s="40" t="n"/>
      <c r="AE212" s="40" t="n"/>
      <c r="AF212" s="40" t="n"/>
    </row>
    <row r="213" ht="13" customHeight="1" s="50">
      <c r="E213" s="40" t="n"/>
      <c r="F213" s="40" t="n"/>
      <c r="G213" s="40" t="n"/>
      <c r="H213" s="41" t="n"/>
      <c r="K213" s="40" t="n"/>
      <c r="L213" s="1" t="n"/>
      <c r="N213" s="40" t="n"/>
      <c r="O213" s="40" t="n"/>
      <c r="Z213" s="40" t="n"/>
      <c r="AA213" s="40" t="n"/>
      <c r="AC213" s="40" t="n"/>
      <c r="AD213" s="40" t="n"/>
      <c r="AE213" s="40" t="n"/>
      <c r="AF213" s="40" t="n"/>
    </row>
    <row r="214" ht="13" customHeight="1" s="50">
      <c r="E214" s="40" t="n"/>
      <c r="F214" s="40" t="n"/>
      <c r="G214" s="40" t="n"/>
      <c r="H214" s="41" t="n"/>
      <c r="K214" s="40" t="n"/>
      <c r="L214" s="1" t="n"/>
      <c r="N214" s="40" t="n"/>
      <c r="O214" s="40" t="n"/>
      <c r="Z214" s="40" t="n"/>
      <c r="AA214" s="40" t="n"/>
      <c r="AC214" s="40" t="n"/>
      <c r="AD214" s="40" t="n"/>
      <c r="AE214" s="40" t="n"/>
      <c r="AF214" s="40" t="n"/>
    </row>
    <row r="215" ht="13" customHeight="1" s="50">
      <c r="E215" s="40" t="n"/>
      <c r="F215" s="40" t="n"/>
      <c r="G215" s="40" t="n"/>
      <c r="H215" s="41" t="n"/>
      <c r="K215" s="40" t="n"/>
      <c r="L215" s="1" t="n"/>
      <c r="N215" s="40" t="n"/>
      <c r="O215" s="40" t="n"/>
      <c r="Z215" s="40" t="n"/>
      <c r="AA215" s="40" t="n"/>
      <c r="AC215" s="40" t="n"/>
      <c r="AD215" s="40" t="n"/>
      <c r="AE215" s="40" t="n"/>
      <c r="AF215" s="40" t="n"/>
    </row>
    <row r="216" ht="13" customHeight="1" s="50">
      <c r="E216" s="40" t="n"/>
      <c r="F216" s="40" t="n"/>
      <c r="G216" s="40" t="n"/>
      <c r="H216" s="41" t="n"/>
      <c r="K216" s="40" t="n"/>
      <c r="L216" s="1" t="n"/>
      <c r="N216" s="40" t="n"/>
      <c r="O216" s="40" t="n"/>
      <c r="Z216" s="40" t="n"/>
      <c r="AA216" s="40" t="n"/>
      <c r="AC216" s="40" t="n"/>
      <c r="AD216" s="40" t="n"/>
      <c r="AE216" s="40" t="n"/>
      <c r="AF216" s="40" t="n"/>
    </row>
    <row r="217" ht="13" customHeight="1" s="50">
      <c r="E217" s="40" t="n"/>
      <c r="F217" s="40" t="n"/>
      <c r="G217" s="40" t="n"/>
      <c r="H217" s="41" t="n"/>
      <c r="K217" s="40" t="n"/>
      <c r="L217" s="1" t="n"/>
      <c r="N217" s="40" t="n"/>
      <c r="O217" s="40" t="n"/>
      <c r="Z217" s="40" t="n"/>
      <c r="AA217" s="40" t="n"/>
      <c r="AC217" s="40" t="n"/>
      <c r="AD217" s="40" t="n"/>
      <c r="AE217" s="40" t="n"/>
      <c r="AF217" s="40" t="n"/>
    </row>
    <row r="218" ht="13" customHeight="1" s="50">
      <c r="E218" s="40" t="n"/>
      <c r="F218" s="40" t="n"/>
      <c r="G218" s="40" t="n"/>
      <c r="H218" s="41" t="n"/>
      <c r="K218" s="40" t="n"/>
      <c r="L218" s="1" t="n"/>
      <c r="N218" s="40" t="n"/>
      <c r="O218" s="40" t="n"/>
      <c r="Z218" s="40" t="n"/>
      <c r="AA218" s="40" t="n"/>
      <c r="AC218" s="40" t="n"/>
      <c r="AD218" s="40" t="n"/>
      <c r="AE218" s="40" t="n"/>
      <c r="AF218" s="40" t="n"/>
    </row>
    <row r="219" ht="13" customHeight="1" s="50">
      <c r="E219" s="40" t="n"/>
      <c r="F219" s="40" t="n"/>
      <c r="G219" s="40" t="n"/>
      <c r="H219" s="41" t="n"/>
      <c r="K219" s="40" t="n"/>
      <c r="L219" s="1" t="n"/>
      <c r="N219" s="40" t="n"/>
      <c r="O219" s="40" t="n"/>
      <c r="Z219" s="40" t="n"/>
      <c r="AA219" s="40" t="n"/>
      <c r="AC219" s="40" t="n"/>
      <c r="AD219" s="40" t="n"/>
      <c r="AE219" s="40" t="n"/>
      <c r="AF219" s="40" t="n"/>
    </row>
    <row r="220" ht="13" customHeight="1" s="50">
      <c r="E220" s="40" t="n"/>
      <c r="F220" s="40" t="n"/>
      <c r="G220" s="40" t="n"/>
      <c r="H220" s="41" t="n"/>
      <c r="K220" s="40" t="n"/>
      <c r="L220" s="1" t="n"/>
      <c r="N220" s="40" t="n"/>
      <c r="O220" s="40" t="n"/>
      <c r="Z220" s="40" t="n"/>
      <c r="AA220" s="40" t="n"/>
      <c r="AC220" s="40" t="n"/>
      <c r="AD220" s="40" t="n"/>
      <c r="AE220" s="40" t="n"/>
      <c r="AF220" s="40" t="n"/>
    </row>
    <row r="221" ht="13" customHeight="1" s="50">
      <c r="E221" s="40" t="n"/>
      <c r="F221" s="40" t="n"/>
      <c r="G221" s="40" t="n"/>
      <c r="H221" s="41" t="n"/>
      <c r="K221" s="40" t="n"/>
      <c r="L221" s="1" t="n"/>
      <c r="N221" s="40" t="n"/>
      <c r="O221" s="40" t="n"/>
      <c r="Z221" s="40" t="n"/>
      <c r="AA221" s="40" t="n"/>
      <c r="AC221" s="40" t="n"/>
      <c r="AD221" s="40" t="n"/>
      <c r="AE221" s="40" t="n"/>
      <c r="AF221" s="40" t="n"/>
    </row>
    <row r="222" ht="13" customHeight="1" s="50">
      <c r="E222" s="40" t="n"/>
      <c r="F222" s="40" t="n"/>
      <c r="G222" s="40" t="n"/>
      <c r="H222" s="41" t="n"/>
      <c r="K222" s="40" t="n"/>
      <c r="L222" s="1" t="n"/>
      <c r="N222" s="40" t="n"/>
      <c r="O222" s="40" t="n"/>
      <c r="Z222" s="40" t="n"/>
      <c r="AA222" s="40" t="n"/>
      <c r="AC222" s="40" t="n"/>
      <c r="AD222" s="40" t="n"/>
      <c r="AE222" s="40" t="n"/>
      <c r="AF222" s="40" t="n"/>
    </row>
    <row r="223" ht="13" customHeight="1" s="50">
      <c r="E223" s="40" t="n"/>
      <c r="F223" s="40" t="n"/>
      <c r="G223" s="40" t="n"/>
      <c r="H223" s="41" t="n"/>
      <c r="K223" s="40" t="n"/>
      <c r="L223" s="1" t="n"/>
      <c r="N223" s="40" t="n"/>
      <c r="O223" s="40" t="n"/>
      <c r="Z223" s="40" t="n"/>
      <c r="AA223" s="40" t="n"/>
      <c r="AC223" s="40" t="n"/>
      <c r="AD223" s="40" t="n"/>
      <c r="AE223" s="40" t="n"/>
      <c r="AF223" s="40" t="n"/>
    </row>
    <row r="224" ht="13" customHeight="1" s="50">
      <c r="E224" s="40" t="n"/>
      <c r="F224" s="40" t="n"/>
      <c r="G224" s="40" t="n"/>
      <c r="H224" s="41" t="n"/>
      <c r="K224" s="40" t="n"/>
      <c r="L224" s="1" t="n"/>
      <c r="N224" s="40" t="n"/>
      <c r="O224" s="40" t="n"/>
      <c r="Z224" s="40" t="n"/>
      <c r="AA224" s="40" t="n"/>
      <c r="AC224" s="40" t="n"/>
      <c r="AD224" s="40" t="n"/>
      <c r="AE224" s="40" t="n"/>
      <c r="AF224" s="40" t="n"/>
    </row>
    <row r="225" ht="13" customHeight="1" s="50">
      <c r="E225" s="40" t="n"/>
      <c r="F225" s="40" t="n"/>
      <c r="G225" s="40" t="n"/>
      <c r="H225" s="41" t="n"/>
      <c r="K225" s="40" t="n"/>
      <c r="L225" s="1" t="n"/>
      <c r="N225" s="40" t="n"/>
      <c r="O225" s="40" t="n"/>
      <c r="Z225" s="40" t="n"/>
      <c r="AA225" s="40" t="n"/>
      <c r="AC225" s="40" t="n"/>
      <c r="AD225" s="40" t="n"/>
      <c r="AE225" s="40" t="n"/>
      <c r="AF225" s="40" t="n"/>
    </row>
    <row r="226" ht="13" customHeight="1" s="50">
      <c r="E226" s="40" t="n"/>
      <c r="F226" s="40" t="n"/>
      <c r="G226" s="40" t="n"/>
      <c r="H226" s="41" t="n"/>
      <c r="K226" s="40" t="n"/>
      <c r="L226" s="1" t="n"/>
      <c r="N226" s="40" t="n"/>
      <c r="O226" s="40" t="n"/>
      <c r="Z226" s="40" t="n"/>
      <c r="AA226" s="40" t="n"/>
      <c r="AC226" s="40" t="n"/>
      <c r="AD226" s="40" t="n"/>
      <c r="AE226" s="40" t="n"/>
      <c r="AF226" s="40" t="n"/>
    </row>
    <row r="227" ht="13" customHeight="1" s="50">
      <c r="E227" s="40" t="n"/>
      <c r="F227" s="40" t="n"/>
      <c r="G227" s="40" t="n"/>
      <c r="H227" s="41" t="n"/>
      <c r="K227" s="40" t="n"/>
      <c r="L227" s="1" t="n"/>
      <c r="N227" s="40" t="n"/>
      <c r="O227" s="40" t="n"/>
      <c r="Z227" s="40" t="n"/>
      <c r="AA227" s="40" t="n"/>
      <c r="AC227" s="40" t="n"/>
      <c r="AD227" s="40" t="n"/>
      <c r="AE227" s="40" t="n"/>
      <c r="AF227" s="40" t="n"/>
    </row>
    <row r="228" ht="13" customHeight="1" s="50">
      <c r="E228" s="40" t="n"/>
      <c r="F228" s="40" t="n"/>
      <c r="G228" s="40" t="n"/>
      <c r="H228" s="41" t="n"/>
      <c r="K228" s="40" t="n"/>
      <c r="L228" s="1" t="n"/>
      <c r="N228" s="40" t="n"/>
      <c r="O228" s="40" t="n"/>
      <c r="Z228" s="40" t="n"/>
      <c r="AA228" s="40" t="n"/>
      <c r="AC228" s="40" t="n"/>
      <c r="AD228" s="40" t="n"/>
      <c r="AE228" s="40" t="n"/>
      <c r="AF228" s="40" t="n"/>
    </row>
    <row r="229" ht="13" customHeight="1" s="50">
      <c r="E229" s="40" t="n"/>
      <c r="F229" s="40" t="n"/>
      <c r="G229" s="40" t="n"/>
      <c r="H229" s="41" t="n"/>
      <c r="K229" s="40" t="n"/>
      <c r="L229" s="1" t="n"/>
      <c r="N229" s="40" t="n"/>
      <c r="O229" s="40" t="n"/>
      <c r="Z229" s="40" t="n"/>
      <c r="AA229" s="40" t="n"/>
      <c r="AC229" s="40" t="n"/>
      <c r="AD229" s="40" t="n"/>
      <c r="AE229" s="40" t="n"/>
      <c r="AF229" s="40" t="n"/>
    </row>
    <row r="230" ht="13" customHeight="1" s="50">
      <c r="E230" s="40" t="n"/>
      <c r="F230" s="40" t="n"/>
      <c r="G230" s="40" t="n"/>
      <c r="H230" s="41" t="n"/>
      <c r="K230" s="40" t="n"/>
      <c r="L230" s="1" t="n"/>
      <c r="N230" s="40" t="n"/>
      <c r="O230" s="40" t="n"/>
      <c r="Z230" s="40" t="n"/>
      <c r="AA230" s="40" t="n"/>
      <c r="AC230" s="40" t="n"/>
      <c r="AD230" s="40" t="n"/>
      <c r="AE230" s="40" t="n"/>
      <c r="AF230" s="40" t="n"/>
    </row>
    <row r="231" ht="13" customHeight="1" s="50">
      <c r="E231" s="40" t="n"/>
      <c r="F231" s="40" t="n"/>
      <c r="G231" s="40" t="n"/>
      <c r="H231" s="41" t="n"/>
      <c r="K231" s="40" t="n"/>
      <c r="L231" s="1" t="n"/>
      <c r="N231" s="40" t="n"/>
      <c r="O231" s="40" t="n"/>
      <c r="Z231" s="40" t="n"/>
      <c r="AA231" s="40" t="n"/>
      <c r="AC231" s="40" t="n"/>
      <c r="AD231" s="40" t="n"/>
      <c r="AE231" s="40" t="n"/>
      <c r="AF231" s="40" t="n"/>
    </row>
    <row r="232" ht="13" customHeight="1" s="50">
      <c r="E232" s="40" t="n"/>
      <c r="F232" s="40" t="n"/>
      <c r="G232" s="40" t="n"/>
      <c r="H232" s="41" t="n"/>
      <c r="K232" s="40" t="n"/>
      <c r="L232" s="1" t="n"/>
      <c r="N232" s="40" t="n"/>
      <c r="O232" s="40" t="n"/>
      <c r="Z232" s="40" t="n"/>
      <c r="AA232" s="40" t="n"/>
      <c r="AC232" s="40" t="n"/>
      <c r="AD232" s="40" t="n"/>
      <c r="AE232" s="40" t="n"/>
      <c r="AF232" s="40" t="n"/>
    </row>
    <row r="233" ht="13" customHeight="1" s="50">
      <c r="E233" s="40" t="n"/>
      <c r="F233" s="40" t="n"/>
      <c r="G233" s="40" t="n"/>
      <c r="H233" s="41" t="n"/>
      <c r="K233" s="40" t="n"/>
      <c r="L233" s="1" t="n"/>
      <c r="N233" s="40" t="n"/>
      <c r="O233" s="40" t="n"/>
      <c r="Z233" s="40" t="n"/>
      <c r="AA233" s="40" t="n"/>
      <c r="AC233" s="40" t="n"/>
      <c r="AD233" s="40" t="n"/>
      <c r="AE233" s="40" t="n"/>
      <c r="AF233" s="40" t="n"/>
    </row>
    <row r="234" ht="13" customHeight="1" s="50">
      <c r="E234" s="40" t="n"/>
      <c r="F234" s="40" t="n"/>
      <c r="G234" s="40" t="n"/>
      <c r="H234" s="41" t="n"/>
      <c r="K234" s="40" t="n"/>
      <c r="L234" s="1" t="n"/>
      <c r="N234" s="40" t="n"/>
      <c r="O234" s="40" t="n"/>
      <c r="Z234" s="40" t="n"/>
      <c r="AA234" s="40" t="n"/>
      <c r="AC234" s="40" t="n"/>
      <c r="AD234" s="40" t="n"/>
      <c r="AE234" s="40" t="n"/>
      <c r="AF234" s="40" t="n"/>
    </row>
    <row r="235" ht="13" customHeight="1" s="50">
      <c r="E235" s="40" t="n"/>
      <c r="F235" s="40" t="n"/>
      <c r="G235" s="40" t="n"/>
      <c r="H235" s="41" t="n"/>
      <c r="K235" s="40" t="n"/>
      <c r="L235" s="1" t="n"/>
      <c r="N235" s="40" t="n"/>
      <c r="O235" s="40" t="n"/>
      <c r="Z235" s="40" t="n"/>
      <c r="AA235" s="40" t="n"/>
      <c r="AC235" s="40" t="n"/>
      <c r="AD235" s="40" t="n"/>
      <c r="AE235" s="40" t="n"/>
      <c r="AF235" s="40" t="n"/>
    </row>
    <row r="236" ht="13" customHeight="1" s="50">
      <c r="E236" s="40" t="n"/>
      <c r="F236" s="40" t="n"/>
      <c r="G236" s="40" t="n"/>
      <c r="H236" s="41" t="n"/>
      <c r="K236" s="40" t="n"/>
      <c r="L236" s="1" t="n"/>
      <c r="N236" s="40" t="n"/>
      <c r="O236" s="40" t="n"/>
      <c r="Z236" s="40" t="n"/>
      <c r="AA236" s="40" t="n"/>
      <c r="AC236" s="40" t="n"/>
      <c r="AD236" s="40" t="n"/>
      <c r="AE236" s="40" t="n"/>
      <c r="AF236" s="40" t="n"/>
    </row>
    <row r="237" ht="13" customHeight="1" s="50">
      <c r="E237" s="40" t="n"/>
      <c r="F237" s="40" t="n"/>
      <c r="G237" s="40" t="n"/>
      <c r="H237" s="41" t="n"/>
      <c r="K237" s="40" t="n"/>
      <c r="L237" s="1" t="n"/>
      <c r="N237" s="40" t="n"/>
      <c r="O237" s="40" t="n"/>
      <c r="Z237" s="40" t="n"/>
      <c r="AA237" s="40" t="n"/>
      <c r="AC237" s="40" t="n"/>
      <c r="AD237" s="40" t="n"/>
      <c r="AE237" s="40" t="n"/>
      <c r="AF237" s="40" t="n"/>
    </row>
    <row r="238" ht="13" customHeight="1" s="50">
      <c r="E238" s="40" t="n"/>
      <c r="F238" s="40" t="n"/>
      <c r="G238" s="40" t="n"/>
      <c r="H238" s="41" t="n"/>
      <c r="K238" s="40" t="n"/>
      <c r="L238" s="1" t="n"/>
      <c r="N238" s="40" t="n"/>
      <c r="O238" s="40" t="n"/>
      <c r="Z238" s="40" t="n"/>
      <c r="AA238" s="40" t="n"/>
      <c r="AC238" s="40" t="n"/>
      <c r="AD238" s="40" t="n"/>
      <c r="AE238" s="40" t="n"/>
      <c r="AF238" s="40" t="n"/>
    </row>
    <row r="239" ht="13" customHeight="1" s="50">
      <c r="E239" s="40" t="n"/>
      <c r="F239" s="40" t="n"/>
      <c r="G239" s="40" t="n"/>
      <c r="H239" s="41" t="n"/>
      <c r="K239" s="40" t="n"/>
      <c r="L239" s="1" t="n"/>
      <c r="N239" s="40" t="n"/>
      <c r="O239" s="40" t="n"/>
      <c r="Z239" s="40" t="n"/>
      <c r="AA239" s="40" t="n"/>
      <c r="AC239" s="40" t="n"/>
      <c r="AD239" s="40" t="n"/>
      <c r="AE239" s="40" t="n"/>
      <c r="AF239" s="40" t="n"/>
    </row>
    <row r="240" ht="13" customHeight="1" s="50">
      <c r="E240" s="40" t="n"/>
      <c r="F240" s="40" t="n"/>
      <c r="G240" s="40" t="n"/>
      <c r="H240" s="41" t="n"/>
      <c r="K240" s="40" t="n"/>
      <c r="L240" s="1" t="n"/>
      <c r="N240" s="40" t="n"/>
      <c r="O240" s="40" t="n"/>
      <c r="Z240" s="40" t="n"/>
      <c r="AA240" s="40" t="n"/>
      <c r="AC240" s="40" t="n"/>
      <c r="AD240" s="40" t="n"/>
      <c r="AE240" s="40" t="n"/>
      <c r="AF240" s="40" t="n"/>
    </row>
    <row r="241" ht="13" customHeight="1" s="50">
      <c r="E241" s="40" t="n"/>
      <c r="F241" s="40" t="n"/>
      <c r="G241" s="40" t="n"/>
      <c r="H241" s="41" t="n"/>
      <c r="K241" s="40" t="n"/>
      <c r="L241" s="1" t="n"/>
      <c r="N241" s="40" t="n"/>
      <c r="O241" s="40" t="n"/>
      <c r="Z241" s="40" t="n"/>
      <c r="AA241" s="40" t="n"/>
      <c r="AC241" s="40" t="n"/>
      <c r="AD241" s="40" t="n"/>
      <c r="AE241" s="40" t="n"/>
      <c r="AF241" s="40" t="n"/>
    </row>
    <row r="242" ht="13" customHeight="1" s="50">
      <c r="E242" s="40" t="n"/>
      <c r="F242" s="40" t="n"/>
      <c r="G242" s="40" t="n"/>
      <c r="H242" s="41" t="n"/>
      <c r="K242" s="40" t="n"/>
      <c r="L242" s="1" t="n"/>
      <c r="N242" s="40" t="n"/>
      <c r="O242" s="40" t="n"/>
      <c r="Z242" s="40" t="n"/>
      <c r="AA242" s="40" t="n"/>
      <c r="AC242" s="40" t="n"/>
      <c r="AD242" s="40" t="n"/>
      <c r="AE242" s="40" t="n"/>
      <c r="AF242" s="40" t="n"/>
    </row>
    <row r="243" ht="13" customHeight="1" s="50">
      <c r="E243" s="40" t="n"/>
      <c r="F243" s="40" t="n"/>
      <c r="G243" s="40" t="n"/>
      <c r="H243" s="41" t="n"/>
      <c r="K243" s="40" t="n"/>
      <c r="L243" s="1" t="n"/>
      <c r="N243" s="40" t="n"/>
      <c r="O243" s="40" t="n"/>
      <c r="Z243" s="40" t="n"/>
      <c r="AA243" s="40" t="n"/>
      <c r="AC243" s="40" t="n"/>
      <c r="AD243" s="40" t="n"/>
      <c r="AE243" s="40" t="n"/>
      <c r="AF243" s="40" t="n"/>
    </row>
    <row r="244" ht="13" customHeight="1" s="50">
      <c r="E244" s="40" t="n"/>
      <c r="F244" s="40" t="n"/>
      <c r="G244" s="40" t="n"/>
      <c r="H244" s="41" t="n"/>
      <c r="K244" s="40" t="n"/>
      <c r="L244" s="1" t="n"/>
      <c r="N244" s="40" t="n"/>
      <c r="O244" s="40" t="n"/>
      <c r="Z244" s="40" t="n"/>
      <c r="AA244" s="40" t="n"/>
      <c r="AC244" s="40" t="n"/>
      <c r="AD244" s="40" t="n"/>
      <c r="AE244" s="40" t="n"/>
      <c r="AF244" s="40" t="n"/>
    </row>
    <row r="245" ht="13" customHeight="1" s="50">
      <c r="E245" s="40" t="n"/>
      <c r="F245" s="40" t="n"/>
      <c r="G245" s="40" t="n"/>
      <c r="H245" s="41" t="n"/>
      <c r="K245" s="40" t="n"/>
      <c r="L245" s="1" t="n"/>
      <c r="N245" s="40" t="n"/>
      <c r="O245" s="40" t="n"/>
      <c r="Z245" s="40" t="n"/>
      <c r="AA245" s="40" t="n"/>
      <c r="AC245" s="40" t="n"/>
      <c r="AD245" s="40" t="n"/>
      <c r="AE245" s="40" t="n"/>
      <c r="AF245" s="40" t="n"/>
    </row>
    <row r="246" ht="13" customHeight="1" s="50">
      <c r="E246" s="40" t="n"/>
      <c r="F246" s="40" t="n"/>
      <c r="G246" s="40" t="n"/>
      <c r="H246" s="41" t="n"/>
      <c r="K246" s="40" t="n"/>
      <c r="L246" s="1" t="n"/>
      <c r="N246" s="40" t="n"/>
      <c r="O246" s="40" t="n"/>
      <c r="Z246" s="40" t="n"/>
      <c r="AA246" s="40" t="n"/>
      <c r="AC246" s="40" t="n"/>
      <c r="AD246" s="40" t="n"/>
      <c r="AE246" s="40" t="n"/>
      <c r="AF246" s="40" t="n"/>
    </row>
    <row r="247" ht="13" customHeight="1" s="50">
      <c r="E247" s="40" t="n"/>
      <c r="F247" s="40" t="n"/>
      <c r="G247" s="40" t="n"/>
      <c r="H247" s="41" t="n"/>
      <c r="K247" s="40" t="n"/>
      <c r="L247" s="1" t="n"/>
      <c r="N247" s="40" t="n"/>
      <c r="O247" s="40" t="n"/>
      <c r="Z247" s="40" t="n"/>
      <c r="AA247" s="40" t="n"/>
      <c r="AC247" s="40" t="n"/>
      <c r="AD247" s="40" t="n"/>
      <c r="AE247" s="40" t="n"/>
      <c r="AF247" s="40" t="n"/>
    </row>
    <row r="248" ht="13" customHeight="1" s="50">
      <c r="E248" s="40" t="n"/>
      <c r="F248" s="40" t="n"/>
      <c r="G248" s="40" t="n"/>
      <c r="H248" s="41" t="n"/>
      <c r="K248" s="40" t="n"/>
      <c r="L248" s="1" t="n"/>
      <c r="N248" s="40" t="n"/>
      <c r="O248" s="40" t="n"/>
      <c r="Z248" s="40" t="n"/>
      <c r="AA248" s="40" t="n"/>
      <c r="AC248" s="40" t="n"/>
      <c r="AD248" s="40" t="n"/>
      <c r="AE248" s="40" t="n"/>
      <c r="AF248" s="40" t="n"/>
    </row>
    <row r="249" ht="13" customHeight="1" s="50">
      <c r="E249" s="40" t="n"/>
      <c r="F249" s="40" t="n"/>
      <c r="G249" s="40" t="n"/>
      <c r="H249" s="41" t="n"/>
      <c r="K249" s="40" t="n"/>
      <c r="L249" s="1" t="n"/>
      <c r="N249" s="40" t="n"/>
      <c r="O249" s="40" t="n"/>
      <c r="Z249" s="40" t="n"/>
      <c r="AA249" s="40" t="n"/>
      <c r="AC249" s="40" t="n"/>
      <c r="AD249" s="40" t="n"/>
      <c r="AE249" s="40" t="n"/>
      <c r="AF249" s="40" t="n"/>
    </row>
    <row r="250" ht="13" customHeight="1" s="50">
      <c r="E250" s="40" t="n"/>
      <c r="F250" s="40" t="n"/>
      <c r="G250" s="40" t="n"/>
      <c r="H250" s="41" t="n"/>
      <c r="K250" s="40" t="n"/>
      <c r="L250" s="1" t="n"/>
      <c r="N250" s="40" t="n"/>
      <c r="O250" s="40" t="n"/>
      <c r="Z250" s="40" t="n"/>
      <c r="AA250" s="40" t="n"/>
      <c r="AC250" s="40" t="n"/>
      <c r="AD250" s="40" t="n"/>
      <c r="AE250" s="40" t="n"/>
      <c r="AF250" s="40" t="n"/>
    </row>
    <row r="251" ht="13" customHeight="1" s="50">
      <c r="E251" s="40" t="n"/>
      <c r="F251" s="40" t="n"/>
      <c r="G251" s="40" t="n"/>
      <c r="H251" s="41" t="n"/>
      <c r="K251" s="40" t="n"/>
      <c r="L251" s="1" t="n"/>
      <c r="N251" s="40" t="n"/>
      <c r="O251" s="40" t="n"/>
      <c r="Z251" s="40" t="n"/>
      <c r="AA251" s="40" t="n"/>
      <c r="AC251" s="40" t="n"/>
      <c r="AD251" s="40" t="n"/>
      <c r="AE251" s="40" t="n"/>
      <c r="AF251" s="40" t="n"/>
    </row>
    <row r="252" ht="13" customHeight="1" s="50">
      <c r="E252" s="40" t="n"/>
      <c r="F252" s="40" t="n"/>
      <c r="G252" s="40" t="n"/>
      <c r="H252" s="41" t="n"/>
      <c r="K252" s="40" t="n"/>
      <c r="L252" s="1" t="n"/>
      <c r="N252" s="40" t="n"/>
      <c r="O252" s="40" t="n"/>
      <c r="Z252" s="40" t="n"/>
      <c r="AA252" s="40" t="n"/>
      <c r="AC252" s="40" t="n"/>
      <c r="AD252" s="40" t="n"/>
      <c r="AE252" s="40" t="n"/>
      <c r="AF252" s="40" t="n"/>
    </row>
    <row r="253" ht="13" customHeight="1" s="50">
      <c r="E253" s="40" t="n"/>
      <c r="F253" s="40" t="n"/>
      <c r="G253" s="40" t="n"/>
      <c r="H253" s="41" t="n"/>
      <c r="K253" s="40" t="n"/>
      <c r="L253" s="1" t="n"/>
      <c r="N253" s="40" t="n"/>
      <c r="O253" s="40" t="n"/>
      <c r="Z253" s="40" t="n"/>
      <c r="AA253" s="40" t="n"/>
      <c r="AC253" s="40" t="n"/>
      <c r="AD253" s="40" t="n"/>
      <c r="AE253" s="40" t="n"/>
      <c r="AF253" s="40" t="n"/>
    </row>
    <row r="254" ht="13" customHeight="1" s="50">
      <c r="E254" s="40" t="n"/>
      <c r="F254" s="40" t="n"/>
      <c r="G254" s="40" t="n"/>
      <c r="H254" s="41" t="n"/>
      <c r="K254" s="40" t="n"/>
      <c r="L254" s="1" t="n"/>
      <c r="N254" s="40" t="n"/>
      <c r="O254" s="40" t="n"/>
      <c r="Z254" s="40" t="n"/>
      <c r="AA254" s="40" t="n"/>
      <c r="AC254" s="40" t="n"/>
      <c r="AD254" s="40" t="n"/>
      <c r="AE254" s="40" t="n"/>
      <c r="AF254" s="40" t="n"/>
    </row>
    <row r="255" ht="13" customHeight="1" s="50">
      <c r="E255" s="40" t="n"/>
      <c r="F255" s="40" t="n"/>
      <c r="G255" s="40" t="n"/>
      <c r="H255" s="41" t="n"/>
      <c r="K255" s="40" t="n"/>
      <c r="L255" s="1" t="n"/>
      <c r="N255" s="40" t="n"/>
      <c r="O255" s="40" t="n"/>
      <c r="Z255" s="40" t="n"/>
      <c r="AA255" s="40" t="n"/>
      <c r="AC255" s="40" t="n"/>
      <c r="AD255" s="40" t="n"/>
      <c r="AE255" s="40" t="n"/>
      <c r="AF255" s="40" t="n"/>
    </row>
    <row r="256" ht="13" customHeight="1" s="50">
      <c r="E256" s="40" t="n"/>
      <c r="F256" s="40" t="n"/>
      <c r="G256" s="40" t="n"/>
      <c r="H256" s="41" t="n"/>
      <c r="K256" s="40" t="n"/>
      <c r="L256" s="1" t="n"/>
      <c r="N256" s="40" t="n"/>
      <c r="O256" s="40" t="n"/>
      <c r="Z256" s="40" t="n"/>
      <c r="AA256" s="40" t="n"/>
      <c r="AC256" s="40" t="n"/>
      <c r="AD256" s="40" t="n"/>
      <c r="AE256" s="40" t="n"/>
      <c r="AF256" s="40" t="n"/>
    </row>
    <row r="257" ht="13" customHeight="1" s="50">
      <c r="E257" s="40" t="n"/>
      <c r="F257" s="40" t="n"/>
      <c r="G257" s="40" t="n"/>
      <c r="H257" s="41" t="n"/>
      <c r="K257" s="40" t="n"/>
      <c r="L257" s="1" t="n"/>
      <c r="N257" s="40" t="n"/>
      <c r="O257" s="40" t="n"/>
      <c r="Z257" s="40" t="n"/>
      <c r="AA257" s="40" t="n"/>
      <c r="AC257" s="40" t="n"/>
      <c r="AD257" s="40" t="n"/>
      <c r="AE257" s="40" t="n"/>
      <c r="AF257" s="40" t="n"/>
    </row>
    <row r="258" ht="13" customHeight="1" s="50">
      <c r="E258" s="40" t="n"/>
      <c r="F258" s="40" t="n"/>
      <c r="G258" s="40" t="n"/>
      <c r="H258" s="41" t="n"/>
      <c r="K258" s="40" t="n"/>
      <c r="L258" s="1" t="n"/>
      <c r="N258" s="40" t="n"/>
      <c r="O258" s="40" t="n"/>
      <c r="Z258" s="40" t="n"/>
      <c r="AA258" s="40" t="n"/>
      <c r="AC258" s="40" t="n"/>
      <c r="AD258" s="40" t="n"/>
      <c r="AE258" s="40" t="n"/>
      <c r="AF258" s="40" t="n"/>
    </row>
    <row r="259" ht="13" customHeight="1" s="50">
      <c r="E259" s="40" t="n"/>
      <c r="F259" s="40" t="n"/>
      <c r="G259" s="40" t="n"/>
      <c r="H259" s="41" t="n"/>
      <c r="K259" s="40" t="n"/>
      <c r="L259" s="1" t="n"/>
      <c r="N259" s="40" t="n"/>
      <c r="O259" s="40" t="n"/>
      <c r="Z259" s="40" t="n"/>
      <c r="AA259" s="40" t="n"/>
      <c r="AC259" s="40" t="n"/>
      <c r="AD259" s="40" t="n"/>
      <c r="AE259" s="40" t="n"/>
      <c r="AF259" s="40" t="n"/>
    </row>
    <row r="260" ht="13" customHeight="1" s="50">
      <c r="E260" s="40" t="n"/>
      <c r="F260" s="40" t="n"/>
      <c r="G260" s="40" t="n"/>
      <c r="H260" s="41" t="n"/>
      <c r="K260" s="40" t="n"/>
      <c r="L260" s="1" t="n"/>
      <c r="N260" s="40" t="n"/>
      <c r="O260" s="40" t="n"/>
      <c r="Z260" s="40" t="n"/>
      <c r="AA260" s="40" t="n"/>
      <c r="AC260" s="40" t="n"/>
      <c r="AD260" s="40" t="n"/>
      <c r="AE260" s="40" t="n"/>
      <c r="AF260" s="40" t="n"/>
    </row>
    <row r="261" ht="13" customHeight="1" s="50">
      <c r="E261" s="40" t="n"/>
      <c r="F261" s="40" t="n"/>
      <c r="G261" s="40" t="n"/>
      <c r="H261" s="41" t="n"/>
      <c r="K261" s="40" t="n"/>
      <c r="L261" s="1" t="n"/>
      <c r="N261" s="40" t="n"/>
      <c r="O261" s="40" t="n"/>
      <c r="Z261" s="40" t="n"/>
      <c r="AA261" s="40" t="n"/>
      <c r="AC261" s="40" t="n"/>
      <c r="AD261" s="40" t="n"/>
      <c r="AE261" s="40" t="n"/>
      <c r="AF261" s="40" t="n"/>
    </row>
    <row r="262" ht="13" customHeight="1" s="50">
      <c r="E262" s="40" t="n"/>
      <c r="F262" s="40" t="n"/>
      <c r="G262" s="40" t="n"/>
      <c r="H262" s="41" t="n"/>
      <c r="K262" s="40" t="n"/>
      <c r="L262" s="1" t="n"/>
      <c r="N262" s="40" t="n"/>
      <c r="O262" s="40" t="n"/>
      <c r="Z262" s="40" t="n"/>
      <c r="AA262" s="40" t="n"/>
      <c r="AC262" s="40" t="n"/>
      <c r="AD262" s="40" t="n"/>
      <c r="AE262" s="40" t="n"/>
      <c r="AF262" s="40" t="n"/>
    </row>
    <row r="263" ht="13" customHeight="1" s="50">
      <c r="E263" s="40" t="n"/>
      <c r="F263" s="40" t="n"/>
      <c r="G263" s="40" t="n"/>
      <c r="H263" s="41" t="n"/>
      <c r="K263" s="40" t="n"/>
      <c r="L263" s="1" t="n"/>
      <c r="N263" s="40" t="n"/>
      <c r="O263" s="40" t="n"/>
      <c r="Z263" s="40" t="n"/>
      <c r="AA263" s="40" t="n"/>
      <c r="AC263" s="40" t="n"/>
      <c r="AD263" s="40" t="n"/>
      <c r="AE263" s="40" t="n"/>
      <c r="AF263" s="40" t="n"/>
    </row>
    <row r="264" ht="13" customHeight="1" s="50">
      <c r="E264" s="40" t="n"/>
      <c r="F264" s="40" t="n"/>
      <c r="G264" s="40" t="n"/>
      <c r="H264" s="41" t="n"/>
      <c r="K264" s="40" t="n"/>
      <c r="L264" s="1" t="n"/>
      <c r="N264" s="40" t="n"/>
      <c r="O264" s="40" t="n"/>
      <c r="Z264" s="40" t="n"/>
      <c r="AA264" s="40" t="n"/>
      <c r="AC264" s="40" t="n"/>
      <c r="AD264" s="40" t="n"/>
      <c r="AE264" s="40" t="n"/>
      <c r="AF264" s="40" t="n"/>
    </row>
    <row r="265" ht="13" customHeight="1" s="50">
      <c r="E265" s="40" t="n"/>
      <c r="F265" s="40" t="n"/>
      <c r="G265" s="40" t="n"/>
      <c r="H265" s="41" t="n"/>
      <c r="K265" s="40" t="n"/>
      <c r="L265" s="1" t="n"/>
      <c r="N265" s="40" t="n"/>
      <c r="O265" s="40" t="n"/>
      <c r="Z265" s="40" t="n"/>
      <c r="AA265" s="40" t="n"/>
      <c r="AC265" s="40" t="n"/>
      <c r="AD265" s="40" t="n"/>
      <c r="AE265" s="40" t="n"/>
      <c r="AF265" s="40" t="n"/>
    </row>
    <row r="266" ht="13" customHeight="1" s="50">
      <c r="E266" s="40" t="n"/>
      <c r="F266" s="40" t="n"/>
      <c r="G266" s="40" t="n"/>
      <c r="H266" s="41" t="n"/>
      <c r="K266" s="40" t="n"/>
      <c r="L266" s="1" t="n"/>
      <c r="N266" s="40" t="n"/>
      <c r="O266" s="40" t="n"/>
      <c r="Z266" s="40" t="n"/>
      <c r="AA266" s="40" t="n"/>
      <c r="AC266" s="40" t="n"/>
      <c r="AD266" s="40" t="n"/>
      <c r="AE266" s="40" t="n"/>
      <c r="AF266" s="40" t="n"/>
    </row>
    <row r="267" ht="13" customHeight="1" s="50">
      <c r="E267" s="40" t="n"/>
      <c r="F267" s="40" t="n"/>
      <c r="G267" s="40" t="n"/>
      <c r="H267" s="41" t="n"/>
      <c r="K267" s="40" t="n"/>
      <c r="L267" s="1" t="n"/>
      <c r="N267" s="40" t="n"/>
      <c r="O267" s="40" t="n"/>
      <c r="Z267" s="40" t="n"/>
      <c r="AA267" s="40" t="n"/>
      <c r="AC267" s="40" t="n"/>
      <c r="AD267" s="40" t="n"/>
      <c r="AE267" s="40" t="n"/>
      <c r="AF267" s="40" t="n"/>
    </row>
    <row r="268" ht="13" customHeight="1" s="50">
      <c r="E268" s="40" t="n"/>
      <c r="F268" s="40" t="n"/>
      <c r="G268" s="40" t="n"/>
      <c r="H268" s="41" t="n"/>
      <c r="K268" s="40" t="n"/>
      <c r="L268" s="1" t="n"/>
      <c r="N268" s="40" t="n"/>
      <c r="O268" s="40" t="n"/>
      <c r="Z268" s="40" t="n"/>
      <c r="AA268" s="40" t="n"/>
      <c r="AC268" s="40" t="n"/>
      <c r="AD268" s="40" t="n"/>
      <c r="AE268" s="40" t="n"/>
      <c r="AF268" s="40" t="n"/>
    </row>
    <row r="269" ht="13" customHeight="1" s="50">
      <c r="E269" s="40" t="n"/>
      <c r="F269" s="40" t="n"/>
      <c r="G269" s="40" t="n"/>
      <c r="H269" s="41" t="n"/>
      <c r="K269" s="40" t="n"/>
      <c r="L269" s="1" t="n"/>
      <c r="N269" s="40" t="n"/>
      <c r="O269" s="40" t="n"/>
      <c r="Z269" s="40" t="n"/>
      <c r="AA269" s="40" t="n"/>
      <c r="AC269" s="40" t="n"/>
      <c r="AD269" s="40" t="n"/>
      <c r="AE269" s="40" t="n"/>
      <c r="AF269" s="40" t="n"/>
    </row>
    <row r="270" ht="13" customHeight="1" s="50">
      <c r="E270" s="40" t="n"/>
      <c r="F270" s="40" t="n"/>
      <c r="G270" s="40" t="n"/>
      <c r="H270" s="41" t="n"/>
      <c r="K270" s="40" t="n"/>
      <c r="L270" s="1" t="n"/>
      <c r="N270" s="40" t="n"/>
      <c r="O270" s="40" t="n"/>
      <c r="Z270" s="40" t="n"/>
      <c r="AA270" s="40" t="n"/>
      <c r="AC270" s="40" t="n"/>
      <c r="AD270" s="40" t="n"/>
      <c r="AE270" s="40" t="n"/>
      <c r="AF270" s="40" t="n"/>
    </row>
    <row r="271" ht="13" customHeight="1" s="50">
      <c r="E271" s="40" t="n"/>
      <c r="F271" s="40" t="n"/>
      <c r="G271" s="40" t="n"/>
      <c r="H271" s="41" t="n"/>
      <c r="K271" s="40" t="n"/>
      <c r="L271" s="1" t="n"/>
      <c r="N271" s="40" t="n"/>
      <c r="O271" s="40" t="n"/>
      <c r="Z271" s="40" t="n"/>
      <c r="AA271" s="40" t="n"/>
      <c r="AC271" s="40" t="n"/>
      <c r="AD271" s="40" t="n"/>
      <c r="AE271" s="40" t="n"/>
      <c r="AF271" s="40" t="n"/>
    </row>
    <row r="272" ht="13" customHeight="1" s="50">
      <c r="E272" s="40" t="n"/>
      <c r="F272" s="40" t="n"/>
      <c r="G272" s="40" t="n"/>
      <c r="H272" s="41" t="n"/>
      <c r="K272" s="40" t="n"/>
      <c r="L272" s="1" t="n"/>
      <c r="N272" s="40" t="n"/>
      <c r="O272" s="40" t="n"/>
      <c r="Z272" s="40" t="n"/>
      <c r="AA272" s="40" t="n"/>
      <c r="AC272" s="40" t="n"/>
      <c r="AD272" s="40" t="n"/>
      <c r="AE272" s="40" t="n"/>
      <c r="AF272" s="40" t="n"/>
    </row>
    <row r="273" ht="13" customHeight="1" s="50">
      <c r="E273" s="40" t="n"/>
      <c r="F273" s="40" t="n"/>
      <c r="G273" s="40" t="n"/>
      <c r="H273" s="41" t="n"/>
      <c r="K273" s="40" t="n"/>
      <c r="L273" s="1" t="n"/>
      <c r="N273" s="40" t="n"/>
      <c r="O273" s="40" t="n"/>
      <c r="Z273" s="40" t="n"/>
      <c r="AA273" s="40" t="n"/>
      <c r="AC273" s="40" t="n"/>
      <c r="AD273" s="40" t="n"/>
      <c r="AE273" s="40" t="n"/>
      <c r="AF273" s="40" t="n"/>
    </row>
    <row r="274" ht="13" customHeight="1" s="50">
      <c r="E274" s="40" t="n"/>
      <c r="F274" s="40" t="n"/>
      <c r="G274" s="40" t="n"/>
      <c r="H274" s="41" t="n"/>
      <c r="K274" s="40" t="n"/>
      <c r="L274" s="1" t="n"/>
      <c r="N274" s="40" t="n"/>
      <c r="O274" s="40" t="n"/>
      <c r="Z274" s="40" t="n"/>
      <c r="AA274" s="40" t="n"/>
      <c r="AC274" s="40" t="n"/>
      <c r="AD274" s="40" t="n"/>
      <c r="AE274" s="40" t="n"/>
      <c r="AF274" s="40" t="n"/>
    </row>
    <row r="275" ht="13" customHeight="1" s="50">
      <c r="E275" s="40" t="n"/>
      <c r="F275" s="40" t="n"/>
      <c r="G275" s="40" t="n"/>
      <c r="H275" s="41" t="n"/>
      <c r="K275" s="40" t="n"/>
      <c r="L275" s="1" t="n"/>
      <c r="N275" s="40" t="n"/>
      <c r="O275" s="40" t="n"/>
      <c r="Z275" s="40" t="n"/>
      <c r="AA275" s="40" t="n"/>
      <c r="AC275" s="40" t="n"/>
      <c r="AD275" s="40" t="n"/>
      <c r="AE275" s="40" t="n"/>
      <c r="AF275" s="40" t="n"/>
    </row>
    <row r="276" ht="13" customHeight="1" s="50">
      <c r="E276" s="40" t="n"/>
      <c r="F276" s="40" t="n"/>
      <c r="G276" s="40" t="n"/>
      <c r="H276" s="41" t="n"/>
      <c r="K276" s="40" t="n"/>
      <c r="L276" s="1" t="n"/>
      <c r="N276" s="40" t="n"/>
      <c r="O276" s="40" t="n"/>
      <c r="Z276" s="40" t="n"/>
      <c r="AA276" s="40" t="n"/>
      <c r="AC276" s="40" t="n"/>
      <c r="AD276" s="40" t="n"/>
      <c r="AE276" s="40" t="n"/>
      <c r="AF276" s="40" t="n"/>
    </row>
    <row r="277" ht="13" customHeight="1" s="50">
      <c r="E277" s="40" t="n"/>
      <c r="F277" s="40" t="n"/>
      <c r="G277" s="40" t="n"/>
      <c r="H277" s="41" t="n"/>
      <c r="K277" s="40" t="n"/>
      <c r="L277" s="1" t="n"/>
      <c r="N277" s="40" t="n"/>
      <c r="O277" s="40" t="n"/>
      <c r="Z277" s="40" t="n"/>
      <c r="AA277" s="40" t="n"/>
      <c r="AC277" s="40" t="n"/>
      <c r="AD277" s="40" t="n"/>
      <c r="AE277" s="40" t="n"/>
      <c r="AF277" s="40" t="n"/>
    </row>
    <row r="278" ht="13" customHeight="1" s="50">
      <c r="E278" s="40" t="n"/>
      <c r="F278" s="40" t="n"/>
      <c r="G278" s="40" t="n"/>
      <c r="H278" s="41" t="n"/>
      <c r="K278" s="40" t="n"/>
      <c r="L278" s="1" t="n"/>
      <c r="N278" s="40" t="n"/>
      <c r="O278" s="40" t="n"/>
      <c r="Z278" s="40" t="n"/>
      <c r="AA278" s="40" t="n"/>
      <c r="AC278" s="40" t="n"/>
      <c r="AD278" s="40" t="n"/>
      <c r="AE278" s="40" t="n"/>
      <c r="AF278" s="40" t="n"/>
    </row>
    <row r="279" ht="13" customHeight="1" s="50">
      <c r="E279" s="40" t="n"/>
      <c r="F279" s="40" t="n"/>
      <c r="G279" s="40" t="n"/>
      <c r="H279" s="41" t="n"/>
      <c r="K279" s="40" t="n"/>
      <c r="L279" s="1" t="n"/>
      <c r="N279" s="40" t="n"/>
      <c r="O279" s="40" t="n"/>
      <c r="Z279" s="40" t="n"/>
      <c r="AA279" s="40" t="n"/>
      <c r="AC279" s="40" t="n"/>
      <c r="AD279" s="40" t="n"/>
      <c r="AE279" s="40" t="n"/>
      <c r="AF279" s="40" t="n"/>
    </row>
    <row r="280" ht="13" customHeight="1" s="50">
      <c r="E280" s="40" t="n"/>
      <c r="F280" s="40" t="n"/>
      <c r="G280" s="40" t="n"/>
      <c r="H280" s="41" t="n"/>
      <c r="K280" s="40" t="n"/>
      <c r="L280" s="1" t="n"/>
      <c r="N280" s="40" t="n"/>
      <c r="O280" s="40" t="n"/>
      <c r="Z280" s="40" t="n"/>
      <c r="AA280" s="40" t="n"/>
      <c r="AC280" s="40" t="n"/>
      <c r="AD280" s="40" t="n"/>
      <c r="AE280" s="40" t="n"/>
      <c r="AF280" s="40" t="n"/>
    </row>
    <row r="281" ht="13" customHeight="1" s="50">
      <c r="E281" s="40" t="n"/>
      <c r="F281" s="40" t="n"/>
      <c r="G281" s="40" t="n"/>
      <c r="H281" s="41" t="n"/>
      <c r="K281" s="40" t="n"/>
      <c r="L281" s="1" t="n"/>
      <c r="N281" s="40" t="n"/>
      <c r="O281" s="40" t="n"/>
      <c r="Z281" s="40" t="n"/>
      <c r="AA281" s="40" t="n"/>
      <c r="AC281" s="40" t="n"/>
      <c r="AD281" s="40" t="n"/>
      <c r="AE281" s="40" t="n"/>
      <c r="AF281" s="40" t="n"/>
    </row>
    <row r="282" ht="13" customHeight="1" s="50">
      <c r="E282" s="40" t="n"/>
      <c r="F282" s="40" t="n"/>
      <c r="G282" s="40" t="n"/>
      <c r="H282" s="41" t="n"/>
      <c r="K282" s="40" t="n"/>
      <c r="L282" s="1" t="n"/>
      <c r="N282" s="40" t="n"/>
      <c r="O282" s="40" t="n"/>
      <c r="Z282" s="40" t="n"/>
      <c r="AA282" s="40" t="n"/>
      <c r="AC282" s="40" t="n"/>
      <c r="AD282" s="40" t="n"/>
      <c r="AE282" s="40" t="n"/>
      <c r="AF282" s="40" t="n"/>
    </row>
    <row r="283" ht="13" customHeight="1" s="50">
      <c r="E283" s="40" t="n"/>
      <c r="F283" s="40" t="n"/>
      <c r="G283" s="40" t="n"/>
      <c r="H283" s="41" t="n"/>
      <c r="K283" s="40" t="n"/>
      <c r="L283" s="1" t="n"/>
      <c r="N283" s="40" t="n"/>
      <c r="O283" s="40" t="n"/>
      <c r="Z283" s="40" t="n"/>
      <c r="AA283" s="40" t="n"/>
      <c r="AC283" s="40" t="n"/>
      <c r="AD283" s="40" t="n"/>
      <c r="AE283" s="40" t="n"/>
      <c r="AF283" s="40" t="n"/>
    </row>
    <row r="284" ht="13" customHeight="1" s="50">
      <c r="E284" s="40" t="n"/>
      <c r="F284" s="40" t="n"/>
      <c r="G284" s="40" t="n"/>
      <c r="H284" s="41" t="n"/>
      <c r="K284" s="40" t="n"/>
      <c r="L284" s="1" t="n"/>
      <c r="N284" s="40" t="n"/>
      <c r="O284" s="40" t="n"/>
      <c r="Z284" s="40" t="n"/>
      <c r="AA284" s="40" t="n"/>
      <c r="AC284" s="40" t="n"/>
      <c r="AD284" s="40" t="n"/>
      <c r="AE284" s="40" t="n"/>
      <c r="AF284" s="40" t="n"/>
    </row>
    <row r="285" ht="13" customHeight="1" s="50">
      <c r="E285" s="40" t="n"/>
      <c r="F285" s="40" t="n"/>
      <c r="G285" s="40" t="n"/>
      <c r="H285" s="41" t="n"/>
      <c r="K285" s="40" t="n"/>
      <c r="L285" s="1" t="n"/>
      <c r="N285" s="40" t="n"/>
      <c r="O285" s="40" t="n"/>
      <c r="Z285" s="40" t="n"/>
      <c r="AA285" s="40" t="n"/>
      <c r="AC285" s="40" t="n"/>
      <c r="AD285" s="40" t="n"/>
      <c r="AE285" s="40" t="n"/>
      <c r="AF285" s="40" t="n"/>
    </row>
    <row r="286" ht="13" customHeight="1" s="50">
      <c r="E286" s="40" t="n"/>
      <c r="F286" s="40" t="n"/>
      <c r="G286" s="40" t="n"/>
      <c r="H286" s="41" t="n"/>
      <c r="K286" s="40" t="n"/>
      <c r="L286" s="1" t="n"/>
      <c r="N286" s="40" t="n"/>
      <c r="O286" s="40" t="n"/>
      <c r="Z286" s="40" t="n"/>
      <c r="AA286" s="40" t="n"/>
      <c r="AC286" s="40" t="n"/>
      <c r="AD286" s="40" t="n"/>
      <c r="AE286" s="40" t="n"/>
      <c r="AF286" s="40" t="n"/>
    </row>
    <row r="287" ht="13" customHeight="1" s="50">
      <c r="E287" s="40" t="n"/>
      <c r="F287" s="40" t="n"/>
      <c r="G287" s="40" t="n"/>
      <c r="H287" s="41" t="n"/>
      <c r="K287" s="40" t="n"/>
      <c r="L287" s="1" t="n"/>
      <c r="N287" s="40" t="n"/>
      <c r="O287" s="40" t="n"/>
      <c r="Z287" s="40" t="n"/>
      <c r="AA287" s="40" t="n"/>
      <c r="AC287" s="40" t="n"/>
      <c r="AD287" s="40" t="n"/>
      <c r="AE287" s="40" t="n"/>
      <c r="AF287" s="40" t="n"/>
    </row>
    <row r="288" ht="13" customHeight="1" s="50">
      <c r="E288" s="40" t="n"/>
      <c r="F288" s="40" t="n"/>
      <c r="G288" s="40" t="n"/>
      <c r="H288" s="41" t="n"/>
      <c r="K288" s="40" t="n"/>
      <c r="L288" s="1" t="n"/>
      <c r="N288" s="40" t="n"/>
      <c r="O288" s="40" t="n"/>
      <c r="Z288" s="40" t="n"/>
      <c r="AA288" s="40" t="n"/>
      <c r="AC288" s="40" t="n"/>
      <c r="AD288" s="40" t="n"/>
      <c r="AE288" s="40" t="n"/>
      <c r="AF288" s="40" t="n"/>
    </row>
    <row r="289" ht="13" customHeight="1" s="50">
      <c r="E289" s="40" t="n"/>
      <c r="F289" s="40" t="n"/>
      <c r="G289" s="40" t="n"/>
      <c r="H289" s="41" t="n"/>
      <c r="K289" s="40" t="n"/>
      <c r="L289" s="1" t="n"/>
      <c r="N289" s="40" t="n"/>
      <c r="O289" s="40" t="n"/>
      <c r="Z289" s="40" t="n"/>
      <c r="AA289" s="40" t="n"/>
      <c r="AC289" s="40" t="n"/>
      <c r="AD289" s="40" t="n"/>
      <c r="AE289" s="40" t="n"/>
      <c r="AF289" s="40" t="n"/>
    </row>
    <row r="290" ht="13" customHeight="1" s="50">
      <c r="E290" s="40" t="n"/>
      <c r="F290" s="40" t="n"/>
      <c r="G290" s="40" t="n"/>
      <c r="H290" s="41" t="n"/>
      <c r="K290" s="40" t="n"/>
      <c r="L290" s="1" t="n"/>
      <c r="N290" s="40" t="n"/>
      <c r="O290" s="40" t="n"/>
      <c r="Z290" s="40" t="n"/>
      <c r="AA290" s="40" t="n"/>
      <c r="AC290" s="40" t="n"/>
      <c r="AD290" s="40" t="n"/>
      <c r="AE290" s="40" t="n"/>
      <c r="AF290" s="40" t="n"/>
    </row>
    <row r="291" ht="13" customHeight="1" s="50">
      <c r="E291" s="40" t="n"/>
      <c r="F291" s="40" t="n"/>
      <c r="G291" s="40" t="n"/>
      <c r="H291" s="41" t="n"/>
      <c r="K291" s="40" t="n"/>
      <c r="L291" s="1" t="n"/>
      <c r="N291" s="40" t="n"/>
      <c r="O291" s="40" t="n"/>
      <c r="Z291" s="40" t="n"/>
      <c r="AA291" s="40" t="n"/>
      <c r="AC291" s="40" t="n"/>
      <c r="AD291" s="40" t="n"/>
      <c r="AE291" s="40" t="n"/>
      <c r="AF291" s="40" t="n"/>
    </row>
    <row r="292" ht="13" customHeight="1" s="50">
      <c r="E292" s="40" t="n"/>
      <c r="F292" s="40" t="n"/>
      <c r="G292" s="40" t="n"/>
      <c r="H292" s="41" t="n"/>
      <c r="K292" s="40" t="n"/>
      <c r="L292" s="1" t="n"/>
      <c r="N292" s="40" t="n"/>
      <c r="O292" s="40" t="n"/>
      <c r="Z292" s="40" t="n"/>
      <c r="AA292" s="40" t="n"/>
      <c r="AC292" s="40" t="n"/>
      <c r="AD292" s="40" t="n"/>
      <c r="AE292" s="40" t="n"/>
      <c r="AF292" s="40" t="n"/>
    </row>
    <row r="293" ht="13" customHeight="1" s="50">
      <c r="E293" s="40" t="n"/>
      <c r="F293" s="40" t="n"/>
      <c r="G293" s="40" t="n"/>
      <c r="H293" s="41" t="n"/>
      <c r="K293" s="40" t="n"/>
      <c r="L293" s="1" t="n"/>
      <c r="N293" s="40" t="n"/>
      <c r="O293" s="40" t="n"/>
      <c r="Z293" s="40" t="n"/>
      <c r="AA293" s="40" t="n"/>
      <c r="AC293" s="40" t="n"/>
      <c r="AD293" s="40" t="n"/>
      <c r="AE293" s="40" t="n"/>
      <c r="AF293" s="40" t="n"/>
    </row>
    <row r="294" ht="13" customHeight="1" s="50">
      <c r="E294" s="40" t="n"/>
      <c r="F294" s="40" t="n"/>
      <c r="G294" s="40" t="n"/>
      <c r="H294" s="41" t="n"/>
      <c r="K294" s="40" t="n"/>
      <c r="L294" s="1" t="n"/>
      <c r="N294" s="40" t="n"/>
      <c r="O294" s="40" t="n"/>
      <c r="Z294" s="40" t="n"/>
      <c r="AA294" s="40" t="n"/>
      <c r="AC294" s="40" t="n"/>
      <c r="AD294" s="40" t="n"/>
      <c r="AE294" s="40" t="n"/>
      <c r="AF294" s="40" t="n"/>
    </row>
    <row r="295" ht="13" customHeight="1" s="50">
      <c r="E295" s="40" t="n"/>
      <c r="F295" s="40" t="n"/>
      <c r="G295" s="40" t="n"/>
      <c r="H295" s="41" t="n"/>
      <c r="K295" s="40" t="n"/>
      <c r="L295" s="1" t="n"/>
      <c r="N295" s="40" t="n"/>
      <c r="O295" s="40" t="n"/>
      <c r="Z295" s="40" t="n"/>
      <c r="AA295" s="40" t="n"/>
      <c r="AC295" s="40" t="n"/>
      <c r="AD295" s="40" t="n"/>
      <c r="AE295" s="40" t="n"/>
      <c r="AF295" s="40" t="n"/>
    </row>
    <row r="296" ht="13" customHeight="1" s="50">
      <c r="E296" s="40" t="n"/>
      <c r="F296" s="40" t="n"/>
      <c r="G296" s="40" t="n"/>
      <c r="H296" s="41" t="n"/>
      <c r="K296" s="40" t="n"/>
      <c r="L296" s="1" t="n"/>
      <c r="N296" s="40" t="n"/>
      <c r="O296" s="40" t="n"/>
      <c r="Z296" s="40" t="n"/>
      <c r="AA296" s="40" t="n"/>
      <c r="AC296" s="40" t="n"/>
      <c r="AD296" s="40" t="n"/>
      <c r="AE296" s="40" t="n"/>
      <c r="AF296" s="40" t="n"/>
    </row>
    <row r="297" ht="13" customHeight="1" s="50">
      <c r="E297" s="40" t="n"/>
      <c r="F297" s="40" t="n"/>
      <c r="G297" s="40" t="n"/>
      <c r="H297" s="41" t="n"/>
      <c r="K297" s="40" t="n"/>
      <c r="L297" s="1" t="n"/>
      <c r="N297" s="40" t="n"/>
      <c r="O297" s="40" t="n"/>
      <c r="Z297" s="40" t="n"/>
      <c r="AA297" s="40" t="n"/>
      <c r="AC297" s="40" t="n"/>
      <c r="AD297" s="40" t="n"/>
      <c r="AE297" s="40" t="n"/>
      <c r="AF297" s="40" t="n"/>
    </row>
    <row r="298" ht="13" customHeight="1" s="50">
      <c r="E298" s="40" t="n"/>
      <c r="F298" s="40" t="n"/>
      <c r="G298" s="40" t="n"/>
      <c r="H298" s="41" t="n"/>
      <c r="K298" s="40" t="n"/>
      <c r="L298" s="1" t="n"/>
      <c r="N298" s="40" t="n"/>
      <c r="O298" s="40" t="n"/>
      <c r="Z298" s="40" t="n"/>
      <c r="AA298" s="40" t="n"/>
      <c r="AC298" s="40" t="n"/>
      <c r="AD298" s="40" t="n"/>
      <c r="AE298" s="40" t="n"/>
      <c r="AF298" s="40" t="n"/>
    </row>
    <row r="299" ht="13" customHeight="1" s="50">
      <c r="E299" s="40" t="n"/>
      <c r="F299" s="40" t="n"/>
      <c r="G299" s="40" t="n"/>
      <c r="H299" s="41" t="n"/>
      <c r="K299" s="40" t="n"/>
      <c r="L299" s="1" t="n"/>
      <c r="N299" s="40" t="n"/>
      <c r="O299" s="40" t="n"/>
      <c r="Z299" s="40" t="n"/>
      <c r="AA299" s="40" t="n"/>
      <c r="AC299" s="40" t="n"/>
      <c r="AD299" s="40" t="n"/>
      <c r="AE299" s="40" t="n"/>
      <c r="AF299" s="40" t="n"/>
    </row>
    <row r="300" ht="13" customHeight="1" s="50">
      <c r="E300" s="40" t="n"/>
      <c r="F300" s="40" t="n"/>
      <c r="G300" s="40" t="n"/>
      <c r="H300" s="41" t="n"/>
      <c r="K300" s="40" t="n"/>
      <c r="L300" s="1" t="n"/>
      <c r="N300" s="40" t="n"/>
      <c r="O300" s="40" t="n"/>
      <c r="Z300" s="40" t="n"/>
      <c r="AA300" s="40" t="n"/>
      <c r="AC300" s="40" t="n"/>
      <c r="AD300" s="40" t="n"/>
      <c r="AE300" s="40" t="n"/>
      <c r="AF300" s="40" t="n"/>
    </row>
    <row r="301" ht="13" customHeight="1" s="50">
      <c r="E301" s="40" t="n"/>
      <c r="F301" s="40" t="n"/>
      <c r="G301" s="40" t="n"/>
      <c r="H301" s="41" t="n"/>
      <c r="K301" s="40" t="n"/>
      <c r="L301" s="1" t="n"/>
      <c r="N301" s="40" t="n"/>
      <c r="O301" s="40" t="n"/>
      <c r="Z301" s="40" t="n"/>
      <c r="AA301" s="40" t="n"/>
      <c r="AC301" s="40" t="n"/>
      <c r="AD301" s="40" t="n"/>
      <c r="AE301" s="40" t="n"/>
      <c r="AF301" s="40" t="n"/>
    </row>
    <row r="302" ht="13" customHeight="1" s="50">
      <c r="E302" s="40" t="n"/>
      <c r="F302" s="40" t="n"/>
      <c r="G302" s="40" t="n"/>
      <c r="H302" s="41" t="n"/>
      <c r="K302" s="40" t="n"/>
      <c r="L302" s="1" t="n"/>
      <c r="N302" s="40" t="n"/>
      <c r="O302" s="40" t="n"/>
      <c r="Z302" s="40" t="n"/>
      <c r="AA302" s="40" t="n"/>
      <c r="AC302" s="40" t="n"/>
      <c r="AD302" s="40" t="n"/>
      <c r="AE302" s="40" t="n"/>
      <c r="AF302" s="40" t="n"/>
    </row>
    <row r="303" ht="13" customHeight="1" s="50">
      <c r="E303" s="40" t="n"/>
      <c r="F303" s="40" t="n"/>
      <c r="G303" s="40" t="n"/>
      <c r="H303" s="41" t="n"/>
      <c r="K303" s="40" t="n"/>
      <c r="L303" s="1" t="n"/>
      <c r="N303" s="40" t="n"/>
      <c r="O303" s="40" t="n"/>
      <c r="Z303" s="40" t="n"/>
      <c r="AA303" s="40" t="n"/>
      <c r="AC303" s="40" t="n"/>
      <c r="AD303" s="40" t="n"/>
      <c r="AE303" s="40" t="n"/>
      <c r="AF303" s="40" t="n"/>
    </row>
    <row r="304" ht="13" customHeight="1" s="50">
      <c r="E304" s="40" t="n"/>
      <c r="F304" s="40" t="n"/>
      <c r="G304" s="40" t="n"/>
      <c r="H304" s="41" t="n"/>
      <c r="K304" s="40" t="n"/>
      <c r="L304" s="1" t="n"/>
      <c r="N304" s="40" t="n"/>
      <c r="O304" s="40" t="n"/>
      <c r="Z304" s="40" t="n"/>
      <c r="AA304" s="40" t="n"/>
      <c r="AC304" s="40" t="n"/>
      <c r="AD304" s="40" t="n"/>
      <c r="AE304" s="40" t="n"/>
      <c r="AF304" s="40" t="n"/>
    </row>
    <row r="305" ht="13" customHeight="1" s="50">
      <c r="E305" s="40" t="n"/>
      <c r="F305" s="40" t="n"/>
      <c r="G305" s="40" t="n"/>
      <c r="H305" s="41" t="n"/>
      <c r="K305" s="40" t="n"/>
      <c r="L305" s="1" t="n"/>
      <c r="N305" s="40" t="n"/>
      <c r="O305" s="40" t="n"/>
      <c r="Z305" s="40" t="n"/>
      <c r="AA305" s="40" t="n"/>
      <c r="AC305" s="40" t="n"/>
      <c r="AD305" s="40" t="n"/>
      <c r="AE305" s="40" t="n"/>
      <c r="AF305" s="40" t="n"/>
    </row>
    <row r="306" ht="13" customHeight="1" s="50">
      <c r="E306" s="40" t="n"/>
      <c r="F306" s="40" t="n"/>
      <c r="G306" s="40" t="n"/>
      <c r="H306" s="41" t="n"/>
      <c r="K306" s="40" t="n"/>
      <c r="L306" s="1" t="n"/>
      <c r="N306" s="40" t="n"/>
      <c r="O306" s="40" t="n"/>
      <c r="Z306" s="40" t="n"/>
      <c r="AA306" s="40" t="n"/>
      <c r="AC306" s="40" t="n"/>
      <c r="AD306" s="40" t="n"/>
      <c r="AE306" s="40" t="n"/>
      <c r="AF306" s="40" t="n"/>
    </row>
    <row r="307" ht="13" customHeight="1" s="50">
      <c r="E307" s="40" t="n"/>
      <c r="F307" s="40" t="n"/>
      <c r="G307" s="40" t="n"/>
      <c r="H307" s="41" t="n"/>
      <c r="K307" s="40" t="n"/>
      <c r="L307" s="1" t="n"/>
      <c r="N307" s="40" t="n"/>
      <c r="O307" s="40" t="n"/>
      <c r="Z307" s="40" t="n"/>
      <c r="AA307" s="40" t="n"/>
      <c r="AC307" s="40" t="n"/>
      <c r="AD307" s="40" t="n"/>
      <c r="AE307" s="40" t="n"/>
      <c r="AF307" s="40" t="n"/>
    </row>
    <row r="308" ht="13" customHeight="1" s="50">
      <c r="E308" s="40" t="n"/>
      <c r="F308" s="40" t="n"/>
      <c r="G308" s="40" t="n"/>
      <c r="H308" s="41" t="n"/>
      <c r="K308" s="40" t="n"/>
      <c r="L308" s="1" t="n"/>
      <c r="N308" s="40" t="n"/>
      <c r="O308" s="40" t="n"/>
      <c r="Z308" s="40" t="n"/>
      <c r="AA308" s="40" t="n"/>
      <c r="AC308" s="40" t="n"/>
      <c r="AD308" s="40" t="n"/>
      <c r="AE308" s="40" t="n"/>
      <c r="AF308" s="40" t="n"/>
    </row>
    <row r="309" ht="13" customHeight="1" s="50">
      <c r="E309" s="40" t="n"/>
      <c r="F309" s="40" t="n"/>
      <c r="G309" s="40" t="n"/>
      <c r="H309" s="41" t="n"/>
      <c r="K309" s="40" t="n"/>
      <c r="L309" s="1" t="n"/>
      <c r="N309" s="40" t="n"/>
      <c r="O309" s="40" t="n"/>
      <c r="Z309" s="40" t="n"/>
      <c r="AA309" s="40" t="n"/>
      <c r="AC309" s="40" t="n"/>
      <c r="AD309" s="40" t="n"/>
      <c r="AE309" s="40" t="n"/>
      <c r="AF309" s="40" t="n"/>
    </row>
    <row r="310" ht="13" customHeight="1" s="50">
      <c r="E310" s="40" t="n"/>
      <c r="F310" s="40" t="n"/>
      <c r="G310" s="40" t="n"/>
      <c r="H310" s="41" t="n"/>
      <c r="K310" s="40" t="n"/>
      <c r="L310" s="1" t="n"/>
      <c r="N310" s="40" t="n"/>
      <c r="O310" s="40" t="n"/>
      <c r="Z310" s="40" t="n"/>
      <c r="AA310" s="40" t="n"/>
      <c r="AC310" s="40" t="n"/>
      <c r="AD310" s="40" t="n"/>
      <c r="AE310" s="40" t="n"/>
      <c r="AF310" s="40" t="n"/>
    </row>
    <row r="311" ht="13" customHeight="1" s="50">
      <c r="E311" s="40" t="n"/>
      <c r="F311" s="40" t="n"/>
      <c r="G311" s="40" t="n"/>
      <c r="H311" s="41" t="n"/>
      <c r="K311" s="40" t="n"/>
      <c r="L311" s="1" t="n"/>
      <c r="N311" s="40" t="n"/>
      <c r="O311" s="40" t="n"/>
      <c r="Z311" s="40" t="n"/>
      <c r="AA311" s="40" t="n"/>
      <c r="AC311" s="40" t="n"/>
      <c r="AD311" s="40" t="n"/>
      <c r="AE311" s="40" t="n"/>
      <c r="AF311" s="40" t="n"/>
    </row>
    <row r="312" ht="13" customHeight="1" s="50">
      <c r="E312" s="40" t="n"/>
      <c r="F312" s="40" t="n"/>
      <c r="G312" s="40" t="n"/>
      <c r="H312" s="41" t="n"/>
      <c r="K312" s="40" t="n"/>
      <c r="L312" s="1" t="n"/>
      <c r="N312" s="40" t="n"/>
      <c r="O312" s="40" t="n"/>
      <c r="Z312" s="40" t="n"/>
      <c r="AA312" s="40" t="n"/>
      <c r="AC312" s="40" t="n"/>
      <c r="AD312" s="40" t="n"/>
      <c r="AE312" s="40" t="n"/>
      <c r="AF312" s="40" t="n"/>
    </row>
    <row r="313" ht="13" customHeight="1" s="50">
      <c r="E313" s="40" t="n"/>
      <c r="F313" s="40" t="n"/>
      <c r="G313" s="40" t="n"/>
      <c r="H313" s="41" t="n"/>
      <c r="K313" s="40" t="n"/>
      <c r="L313" s="1" t="n"/>
      <c r="N313" s="40" t="n"/>
      <c r="O313" s="40" t="n"/>
      <c r="Z313" s="40" t="n"/>
      <c r="AA313" s="40" t="n"/>
      <c r="AC313" s="40" t="n"/>
      <c r="AD313" s="40" t="n"/>
      <c r="AE313" s="40" t="n"/>
      <c r="AF313" s="40" t="n"/>
    </row>
    <row r="314" ht="13" customHeight="1" s="50">
      <c r="E314" s="40" t="n"/>
      <c r="F314" s="40" t="n"/>
      <c r="G314" s="40" t="n"/>
      <c r="H314" s="41" t="n"/>
      <c r="K314" s="40" t="n"/>
      <c r="L314" s="1" t="n"/>
      <c r="N314" s="40" t="n"/>
      <c r="O314" s="40" t="n"/>
      <c r="Z314" s="40" t="n"/>
      <c r="AA314" s="40" t="n"/>
      <c r="AC314" s="40" t="n"/>
      <c r="AD314" s="40" t="n"/>
      <c r="AE314" s="40" t="n"/>
      <c r="AF314" s="40" t="n"/>
    </row>
    <row r="315" ht="13" customHeight="1" s="50">
      <c r="E315" s="40" t="n"/>
      <c r="F315" s="40" t="n"/>
      <c r="G315" s="40" t="n"/>
      <c r="H315" s="41" t="n"/>
      <c r="K315" s="40" t="n"/>
      <c r="L315" s="1" t="n"/>
      <c r="N315" s="40" t="n"/>
      <c r="O315" s="40" t="n"/>
      <c r="Z315" s="40" t="n"/>
      <c r="AA315" s="40" t="n"/>
      <c r="AC315" s="40" t="n"/>
      <c r="AD315" s="40" t="n"/>
      <c r="AE315" s="40" t="n"/>
      <c r="AF315" s="40" t="n"/>
    </row>
    <row r="316" ht="13" customHeight="1" s="50">
      <c r="E316" s="40" t="n"/>
      <c r="F316" s="40" t="n"/>
      <c r="G316" s="40" t="n"/>
      <c r="H316" s="41" t="n"/>
      <c r="K316" s="40" t="n"/>
      <c r="L316" s="1" t="n"/>
      <c r="N316" s="40" t="n"/>
      <c r="O316" s="40" t="n"/>
      <c r="Z316" s="40" t="n"/>
      <c r="AA316" s="40" t="n"/>
      <c r="AC316" s="40" t="n"/>
      <c r="AD316" s="40" t="n"/>
      <c r="AE316" s="40" t="n"/>
      <c r="AF316" s="40" t="n"/>
    </row>
    <row r="317" ht="13" customHeight="1" s="50">
      <c r="E317" s="40" t="n"/>
      <c r="F317" s="40" t="n"/>
      <c r="G317" s="40" t="n"/>
      <c r="H317" s="41" t="n"/>
      <c r="K317" s="40" t="n"/>
      <c r="L317" s="1" t="n"/>
      <c r="N317" s="40" t="n"/>
      <c r="O317" s="40" t="n"/>
      <c r="Z317" s="40" t="n"/>
      <c r="AA317" s="40" t="n"/>
      <c r="AC317" s="40" t="n"/>
      <c r="AD317" s="40" t="n"/>
      <c r="AE317" s="40" t="n"/>
      <c r="AF317" s="40" t="n"/>
    </row>
    <row r="318" ht="13" customHeight="1" s="50">
      <c r="E318" s="40" t="n"/>
      <c r="F318" s="40" t="n"/>
      <c r="G318" s="40" t="n"/>
      <c r="H318" s="41" t="n"/>
      <c r="K318" s="40" t="n"/>
      <c r="L318" s="1" t="n"/>
      <c r="N318" s="40" t="n"/>
      <c r="O318" s="40" t="n"/>
      <c r="Z318" s="40" t="n"/>
      <c r="AA318" s="40" t="n"/>
      <c r="AC318" s="40" t="n"/>
      <c r="AD318" s="40" t="n"/>
      <c r="AE318" s="40" t="n"/>
      <c r="AF318" s="40" t="n"/>
    </row>
    <row r="319" ht="13" customHeight="1" s="50">
      <c r="E319" s="40" t="n"/>
      <c r="F319" s="40" t="n"/>
      <c r="G319" s="40" t="n"/>
      <c r="H319" s="41" t="n"/>
      <c r="K319" s="40" t="n"/>
      <c r="L319" s="1" t="n"/>
      <c r="N319" s="40" t="n"/>
      <c r="O319" s="40" t="n"/>
      <c r="Z319" s="40" t="n"/>
      <c r="AA319" s="40" t="n"/>
      <c r="AC319" s="40" t="n"/>
      <c r="AD319" s="40" t="n"/>
      <c r="AE319" s="40" t="n"/>
      <c r="AF319" s="40" t="n"/>
    </row>
    <row r="320" ht="13" customHeight="1" s="50">
      <c r="E320" s="40" t="n"/>
      <c r="F320" s="40" t="n"/>
      <c r="G320" s="40" t="n"/>
      <c r="H320" s="41" t="n"/>
      <c r="K320" s="40" t="n"/>
      <c r="L320" s="1" t="n"/>
      <c r="N320" s="40" t="n"/>
      <c r="O320" s="40" t="n"/>
      <c r="Z320" s="40" t="n"/>
      <c r="AA320" s="40" t="n"/>
      <c r="AC320" s="40" t="n"/>
      <c r="AD320" s="40" t="n"/>
      <c r="AE320" s="40" t="n"/>
      <c r="AF320" s="40" t="n"/>
    </row>
    <row r="321" ht="13" customHeight="1" s="50">
      <c r="E321" s="40" t="n"/>
      <c r="F321" s="40" t="n"/>
      <c r="G321" s="40" t="n"/>
      <c r="H321" s="41" t="n"/>
      <c r="K321" s="40" t="n"/>
      <c r="L321" s="1" t="n"/>
      <c r="N321" s="40" t="n"/>
      <c r="O321" s="40" t="n"/>
      <c r="Z321" s="40" t="n"/>
      <c r="AA321" s="40" t="n"/>
      <c r="AC321" s="40" t="n"/>
      <c r="AD321" s="40" t="n"/>
      <c r="AE321" s="40" t="n"/>
      <c r="AF321" s="40" t="n"/>
    </row>
    <row r="322" ht="13" customHeight="1" s="50">
      <c r="E322" s="40" t="n"/>
      <c r="F322" s="40" t="n"/>
      <c r="G322" s="40" t="n"/>
      <c r="H322" s="41" t="n"/>
      <c r="K322" s="40" t="n"/>
      <c r="L322" s="1" t="n"/>
      <c r="N322" s="40" t="n"/>
      <c r="O322" s="40" t="n"/>
      <c r="Z322" s="40" t="n"/>
      <c r="AA322" s="40" t="n"/>
      <c r="AC322" s="40" t="n"/>
      <c r="AD322" s="40" t="n"/>
      <c r="AE322" s="40" t="n"/>
      <c r="AF322" s="40" t="n"/>
    </row>
    <row r="323" ht="13" customHeight="1" s="50">
      <c r="E323" s="40" t="n"/>
      <c r="F323" s="40" t="n"/>
      <c r="G323" s="40" t="n"/>
      <c r="H323" s="41" t="n"/>
      <c r="K323" s="40" t="n"/>
      <c r="L323" s="1" t="n"/>
      <c r="N323" s="40" t="n"/>
      <c r="O323" s="40" t="n"/>
      <c r="Z323" s="40" t="n"/>
      <c r="AA323" s="40" t="n"/>
      <c r="AC323" s="40" t="n"/>
      <c r="AD323" s="40" t="n"/>
      <c r="AE323" s="40" t="n"/>
      <c r="AF323" s="40" t="n"/>
    </row>
    <row r="324" ht="13" customHeight="1" s="50">
      <c r="E324" s="40" t="n"/>
      <c r="F324" s="40" t="n"/>
      <c r="G324" s="40" t="n"/>
      <c r="H324" s="41" t="n"/>
      <c r="K324" s="40" t="n"/>
      <c r="L324" s="1" t="n"/>
      <c r="N324" s="40" t="n"/>
      <c r="O324" s="40" t="n"/>
      <c r="Z324" s="40" t="n"/>
      <c r="AA324" s="40" t="n"/>
      <c r="AC324" s="40" t="n"/>
      <c r="AD324" s="40" t="n"/>
      <c r="AE324" s="40" t="n"/>
      <c r="AF324" s="40" t="n"/>
    </row>
    <row r="325" ht="13" customHeight="1" s="50">
      <c r="E325" s="40" t="n"/>
      <c r="F325" s="40" t="n"/>
      <c r="G325" s="40" t="n"/>
      <c r="H325" s="41" t="n"/>
      <c r="K325" s="40" t="n"/>
      <c r="L325" s="1" t="n"/>
      <c r="N325" s="40" t="n"/>
      <c r="O325" s="40" t="n"/>
      <c r="Z325" s="40" t="n"/>
      <c r="AA325" s="40" t="n"/>
      <c r="AC325" s="40" t="n"/>
      <c r="AD325" s="40" t="n"/>
      <c r="AE325" s="40" t="n"/>
      <c r="AF325" s="40" t="n"/>
    </row>
    <row r="326" ht="13" customHeight="1" s="50">
      <c r="E326" s="40" t="n"/>
      <c r="F326" s="40" t="n"/>
      <c r="G326" s="40" t="n"/>
      <c r="H326" s="41" t="n"/>
      <c r="K326" s="40" t="n"/>
      <c r="L326" s="1" t="n"/>
      <c r="N326" s="40" t="n"/>
      <c r="O326" s="40" t="n"/>
      <c r="Z326" s="40" t="n"/>
      <c r="AA326" s="40" t="n"/>
      <c r="AC326" s="40" t="n"/>
      <c r="AD326" s="40" t="n"/>
      <c r="AE326" s="40" t="n"/>
      <c r="AF326" s="40" t="n"/>
    </row>
    <row r="327" ht="13" customHeight="1" s="50">
      <c r="E327" s="40" t="n"/>
      <c r="F327" s="40" t="n"/>
      <c r="G327" s="40" t="n"/>
      <c r="H327" s="41" t="n"/>
      <c r="K327" s="40" t="n"/>
      <c r="L327" s="1" t="n"/>
      <c r="N327" s="40" t="n"/>
      <c r="O327" s="40" t="n"/>
      <c r="Z327" s="40" t="n"/>
      <c r="AA327" s="40" t="n"/>
      <c r="AC327" s="40" t="n"/>
      <c r="AD327" s="40" t="n"/>
      <c r="AE327" s="40" t="n"/>
      <c r="AF327" s="40" t="n"/>
    </row>
    <row r="328" ht="13" customHeight="1" s="50">
      <c r="E328" s="40" t="n"/>
      <c r="F328" s="40" t="n"/>
      <c r="G328" s="40" t="n"/>
      <c r="H328" s="41" t="n"/>
      <c r="K328" s="40" t="n"/>
      <c r="L328" s="1" t="n"/>
      <c r="N328" s="40" t="n"/>
      <c r="O328" s="40" t="n"/>
      <c r="Z328" s="40" t="n"/>
      <c r="AA328" s="40" t="n"/>
      <c r="AC328" s="40" t="n"/>
      <c r="AD328" s="40" t="n"/>
      <c r="AE328" s="40" t="n"/>
      <c r="AF328" s="40" t="n"/>
    </row>
    <row r="329" ht="13" customHeight="1" s="50">
      <c r="E329" s="40" t="n"/>
      <c r="F329" s="40" t="n"/>
      <c r="G329" s="40" t="n"/>
      <c r="H329" s="41" t="n"/>
      <c r="K329" s="40" t="n"/>
      <c r="L329" s="1" t="n"/>
      <c r="N329" s="40" t="n"/>
      <c r="O329" s="40" t="n"/>
      <c r="Z329" s="40" t="n"/>
      <c r="AA329" s="40" t="n"/>
      <c r="AC329" s="40" t="n"/>
      <c r="AD329" s="40" t="n"/>
      <c r="AE329" s="40" t="n"/>
      <c r="AF329" s="40" t="n"/>
    </row>
    <row r="330" ht="13" customHeight="1" s="50">
      <c r="E330" s="40" t="n"/>
      <c r="F330" s="40" t="n"/>
      <c r="G330" s="40" t="n"/>
      <c r="H330" s="41" t="n"/>
      <c r="K330" s="40" t="n"/>
      <c r="L330" s="1" t="n"/>
      <c r="N330" s="40" t="n"/>
      <c r="O330" s="40" t="n"/>
      <c r="Z330" s="40" t="n"/>
      <c r="AA330" s="40" t="n"/>
      <c r="AC330" s="40" t="n"/>
      <c r="AD330" s="40" t="n"/>
      <c r="AE330" s="40" t="n"/>
      <c r="AF330" s="40" t="n"/>
    </row>
    <row r="331" ht="13" customHeight="1" s="50">
      <c r="E331" s="40" t="n"/>
      <c r="F331" s="40" t="n"/>
      <c r="G331" s="40" t="n"/>
      <c r="H331" s="41" t="n"/>
      <c r="K331" s="40" t="n"/>
      <c r="L331" s="1" t="n"/>
      <c r="N331" s="40" t="n"/>
      <c r="O331" s="40" t="n"/>
      <c r="Z331" s="40" t="n"/>
      <c r="AA331" s="40" t="n"/>
      <c r="AC331" s="40" t="n"/>
      <c r="AD331" s="40" t="n"/>
      <c r="AE331" s="40" t="n"/>
      <c r="AF331" s="40" t="n"/>
    </row>
    <row r="332" ht="13" customHeight="1" s="50">
      <c r="E332" s="40" t="n"/>
      <c r="F332" s="40" t="n"/>
      <c r="G332" s="40" t="n"/>
      <c r="H332" s="41" t="n"/>
      <c r="K332" s="40" t="n"/>
      <c r="L332" s="1" t="n"/>
      <c r="N332" s="40" t="n"/>
      <c r="O332" s="40" t="n"/>
      <c r="Z332" s="40" t="n"/>
      <c r="AA332" s="40" t="n"/>
      <c r="AC332" s="40" t="n"/>
      <c r="AD332" s="40" t="n"/>
      <c r="AE332" s="40" t="n"/>
      <c r="AF332" s="40" t="n"/>
    </row>
    <row r="333" ht="13" customHeight="1" s="50">
      <c r="E333" s="40" t="n"/>
      <c r="F333" s="40" t="n"/>
      <c r="G333" s="40" t="n"/>
      <c r="H333" s="41" t="n"/>
      <c r="K333" s="40" t="n"/>
      <c r="L333" s="1" t="n"/>
      <c r="N333" s="40" t="n"/>
      <c r="O333" s="40" t="n"/>
      <c r="Z333" s="40" t="n"/>
      <c r="AA333" s="40" t="n"/>
      <c r="AC333" s="40" t="n"/>
      <c r="AD333" s="40" t="n"/>
      <c r="AE333" s="40" t="n"/>
      <c r="AF333" s="40" t="n"/>
    </row>
    <row r="334" ht="13" customHeight="1" s="50">
      <c r="E334" s="40" t="n"/>
      <c r="F334" s="40" t="n"/>
      <c r="G334" s="40" t="n"/>
      <c r="H334" s="41" t="n"/>
      <c r="K334" s="40" t="n"/>
      <c r="L334" s="1" t="n"/>
      <c r="N334" s="40" t="n"/>
      <c r="O334" s="40" t="n"/>
      <c r="Z334" s="40" t="n"/>
      <c r="AA334" s="40" t="n"/>
      <c r="AC334" s="40" t="n"/>
      <c r="AD334" s="40" t="n"/>
      <c r="AE334" s="40" t="n"/>
      <c r="AF334" s="40" t="n"/>
    </row>
    <row r="335" ht="13" customHeight="1" s="50">
      <c r="E335" s="40" t="n"/>
      <c r="F335" s="40" t="n"/>
      <c r="G335" s="40" t="n"/>
      <c r="H335" s="41" t="n"/>
      <c r="K335" s="40" t="n"/>
      <c r="L335" s="1" t="n"/>
      <c r="N335" s="40" t="n"/>
      <c r="O335" s="40" t="n"/>
      <c r="Z335" s="40" t="n"/>
      <c r="AA335" s="40" t="n"/>
      <c r="AC335" s="40" t="n"/>
      <c r="AD335" s="40" t="n"/>
      <c r="AE335" s="40" t="n"/>
      <c r="AF335" s="40" t="n"/>
    </row>
    <row r="336" ht="13" customHeight="1" s="50">
      <c r="E336" s="40" t="n"/>
      <c r="F336" s="40" t="n"/>
      <c r="G336" s="40" t="n"/>
      <c r="H336" s="41" t="n"/>
      <c r="K336" s="40" t="n"/>
      <c r="L336" s="1" t="n"/>
      <c r="N336" s="40" t="n"/>
      <c r="O336" s="40" t="n"/>
      <c r="Z336" s="40" t="n"/>
      <c r="AA336" s="40" t="n"/>
      <c r="AC336" s="40" t="n"/>
      <c r="AD336" s="40" t="n"/>
      <c r="AE336" s="40" t="n"/>
      <c r="AF336" s="40" t="n"/>
    </row>
    <row r="337" ht="13" customHeight="1" s="50">
      <c r="E337" s="40" t="n"/>
      <c r="F337" s="40" t="n"/>
      <c r="G337" s="40" t="n"/>
      <c r="H337" s="41" t="n"/>
      <c r="K337" s="40" t="n"/>
      <c r="L337" s="1" t="n"/>
      <c r="N337" s="40" t="n"/>
      <c r="O337" s="40" t="n"/>
      <c r="Z337" s="40" t="n"/>
      <c r="AA337" s="40" t="n"/>
      <c r="AC337" s="40" t="n"/>
      <c r="AD337" s="40" t="n"/>
      <c r="AE337" s="40" t="n"/>
      <c r="AF337" s="40" t="n"/>
    </row>
    <row r="338" ht="13" customHeight="1" s="50">
      <c r="E338" s="40" t="n"/>
      <c r="F338" s="40" t="n"/>
      <c r="G338" s="40" t="n"/>
      <c r="H338" s="41" t="n"/>
      <c r="K338" s="40" t="n"/>
      <c r="L338" s="1" t="n"/>
      <c r="N338" s="40" t="n"/>
      <c r="O338" s="40" t="n"/>
      <c r="Z338" s="40" t="n"/>
      <c r="AA338" s="40" t="n"/>
      <c r="AC338" s="40" t="n"/>
      <c r="AD338" s="40" t="n"/>
      <c r="AE338" s="40" t="n"/>
      <c r="AF338" s="40" t="n"/>
    </row>
    <row r="339" ht="13" customHeight="1" s="50">
      <c r="E339" s="40" t="n"/>
      <c r="F339" s="40" t="n"/>
      <c r="G339" s="40" t="n"/>
      <c r="H339" s="41" t="n"/>
      <c r="K339" s="40" t="n"/>
      <c r="L339" s="1" t="n"/>
      <c r="N339" s="40" t="n"/>
      <c r="O339" s="40" t="n"/>
      <c r="Z339" s="40" t="n"/>
      <c r="AA339" s="40" t="n"/>
      <c r="AC339" s="40" t="n"/>
      <c r="AD339" s="40" t="n"/>
      <c r="AE339" s="40" t="n"/>
      <c r="AF339" s="40" t="n"/>
    </row>
    <row r="340" ht="13" customHeight="1" s="50">
      <c r="E340" s="40" t="n"/>
      <c r="F340" s="40" t="n"/>
      <c r="G340" s="40" t="n"/>
      <c r="H340" s="41" t="n"/>
      <c r="K340" s="40" t="n"/>
      <c r="L340" s="1" t="n"/>
      <c r="N340" s="40" t="n"/>
      <c r="O340" s="40" t="n"/>
      <c r="Z340" s="40" t="n"/>
      <c r="AA340" s="40" t="n"/>
      <c r="AC340" s="40" t="n"/>
      <c r="AD340" s="40" t="n"/>
      <c r="AE340" s="40" t="n"/>
      <c r="AF340" s="40" t="n"/>
    </row>
    <row r="341" ht="13" customHeight="1" s="50">
      <c r="E341" s="40" t="n"/>
      <c r="F341" s="40" t="n"/>
      <c r="G341" s="40" t="n"/>
      <c r="H341" s="41" t="n"/>
      <c r="K341" s="40" t="n"/>
      <c r="L341" s="1" t="n"/>
      <c r="N341" s="40" t="n"/>
      <c r="O341" s="40" t="n"/>
      <c r="Z341" s="40" t="n"/>
      <c r="AA341" s="40" t="n"/>
      <c r="AC341" s="40" t="n"/>
      <c r="AD341" s="40" t="n"/>
      <c r="AE341" s="40" t="n"/>
      <c r="AF341" s="40" t="n"/>
    </row>
    <row r="342" ht="13" customHeight="1" s="50">
      <c r="E342" s="40" t="n"/>
      <c r="F342" s="40" t="n"/>
      <c r="G342" s="40" t="n"/>
      <c r="H342" s="41" t="n"/>
      <c r="K342" s="40" t="n"/>
      <c r="L342" s="1" t="n"/>
      <c r="N342" s="40" t="n"/>
      <c r="O342" s="40" t="n"/>
      <c r="Z342" s="40" t="n"/>
      <c r="AA342" s="40" t="n"/>
      <c r="AC342" s="40" t="n"/>
      <c r="AD342" s="40" t="n"/>
      <c r="AE342" s="40" t="n"/>
      <c r="AF342" s="40" t="n"/>
    </row>
    <row r="343" ht="13" customHeight="1" s="50">
      <c r="E343" s="40" t="n"/>
      <c r="F343" s="40" t="n"/>
      <c r="G343" s="40" t="n"/>
      <c r="H343" s="41" t="n"/>
      <c r="K343" s="40" t="n"/>
      <c r="L343" s="1" t="n"/>
      <c r="N343" s="40" t="n"/>
      <c r="O343" s="40" t="n"/>
      <c r="Z343" s="40" t="n"/>
      <c r="AA343" s="40" t="n"/>
      <c r="AC343" s="40" t="n"/>
      <c r="AD343" s="40" t="n"/>
      <c r="AE343" s="40" t="n"/>
      <c r="AF343" s="40" t="n"/>
    </row>
    <row r="344" ht="13" customHeight="1" s="50">
      <c r="E344" s="40" t="n"/>
      <c r="F344" s="40" t="n"/>
      <c r="G344" s="40" t="n"/>
      <c r="H344" s="41" t="n"/>
      <c r="K344" s="40" t="n"/>
      <c r="L344" s="1" t="n"/>
      <c r="N344" s="40" t="n"/>
      <c r="O344" s="40" t="n"/>
      <c r="Z344" s="40" t="n"/>
      <c r="AA344" s="40" t="n"/>
      <c r="AC344" s="40" t="n"/>
      <c r="AD344" s="40" t="n"/>
      <c r="AE344" s="40" t="n"/>
      <c r="AF344" s="40" t="n"/>
    </row>
    <row r="345" ht="13" customHeight="1" s="50">
      <c r="E345" s="40" t="n"/>
      <c r="F345" s="40" t="n"/>
      <c r="G345" s="40" t="n"/>
      <c r="H345" s="41" t="n"/>
      <c r="K345" s="40" t="n"/>
      <c r="L345" s="1" t="n"/>
      <c r="N345" s="40" t="n"/>
      <c r="O345" s="40" t="n"/>
      <c r="Z345" s="40" t="n"/>
      <c r="AA345" s="40" t="n"/>
      <c r="AC345" s="40" t="n"/>
      <c r="AD345" s="40" t="n"/>
      <c r="AE345" s="40" t="n"/>
      <c r="AF345" s="40" t="n"/>
    </row>
    <row r="346" ht="13" customHeight="1" s="50">
      <c r="E346" s="40" t="n"/>
      <c r="F346" s="40" t="n"/>
      <c r="G346" s="40" t="n"/>
      <c r="H346" s="41" t="n"/>
      <c r="K346" s="40" t="n"/>
      <c r="L346" s="1" t="n"/>
      <c r="N346" s="40" t="n"/>
      <c r="O346" s="40" t="n"/>
      <c r="Z346" s="40" t="n"/>
      <c r="AA346" s="40" t="n"/>
      <c r="AC346" s="40" t="n"/>
      <c r="AD346" s="40" t="n"/>
      <c r="AE346" s="40" t="n"/>
      <c r="AF346" s="40" t="n"/>
    </row>
    <row r="347" ht="13" customHeight="1" s="50">
      <c r="E347" s="40" t="n"/>
      <c r="F347" s="40" t="n"/>
      <c r="G347" s="40" t="n"/>
      <c r="H347" s="41" t="n"/>
      <c r="K347" s="40" t="n"/>
      <c r="L347" s="1" t="n"/>
      <c r="N347" s="40" t="n"/>
      <c r="O347" s="40" t="n"/>
      <c r="Z347" s="40" t="n"/>
      <c r="AA347" s="40" t="n"/>
      <c r="AC347" s="40" t="n"/>
      <c r="AD347" s="40" t="n"/>
      <c r="AE347" s="40" t="n"/>
      <c r="AF347" s="40" t="n"/>
    </row>
    <row r="348" ht="13" customHeight="1" s="50">
      <c r="E348" s="40" t="n"/>
      <c r="F348" s="40" t="n"/>
      <c r="G348" s="40" t="n"/>
      <c r="H348" s="41" t="n"/>
      <c r="K348" s="40" t="n"/>
      <c r="L348" s="1" t="n"/>
      <c r="N348" s="40" t="n"/>
      <c r="O348" s="40" t="n"/>
      <c r="Z348" s="40" t="n"/>
      <c r="AA348" s="40" t="n"/>
      <c r="AC348" s="40" t="n"/>
      <c r="AD348" s="40" t="n"/>
      <c r="AE348" s="40" t="n"/>
      <c r="AF348" s="40" t="n"/>
    </row>
    <row r="349" ht="13" customHeight="1" s="50">
      <c r="E349" s="40" t="n"/>
      <c r="F349" s="40" t="n"/>
      <c r="G349" s="40" t="n"/>
      <c r="H349" s="41" t="n"/>
      <c r="K349" s="40" t="n"/>
      <c r="L349" s="1" t="n"/>
      <c r="N349" s="40" t="n"/>
      <c r="O349" s="40" t="n"/>
      <c r="Z349" s="40" t="n"/>
      <c r="AA349" s="40" t="n"/>
      <c r="AC349" s="40" t="n"/>
      <c r="AD349" s="40" t="n"/>
      <c r="AE349" s="40" t="n"/>
      <c r="AF349" s="40" t="n"/>
    </row>
    <row r="350" ht="13" customHeight="1" s="50">
      <c r="E350" s="40" t="n"/>
      <c r="F350" s="40" t="n"/>
      <c r="G350" s="40" t="n"/>
      <c r="H350" s="41" t="n"/>
      <c r="K350" s="40" t="n"/>
      <c r="L350" s="1" t="n"/>
      <c r="N350" s="40" t="n"/>
      <c r="O350" s="40" t="n"/>
      <c r="Z350" s="40" t="n"/>
      <c r="AA350" s="40" t="n"/>
      <c r="AC350" s="40" t="n"/>
      <c r="AD350" s="40" t="n"/>
      <c r="AE350" s="40" t="n"/>
      <c r="AF350" s="40" t="n"/>
    </row>
    <row r="351" ht="13" customHeight="1" s="50">
      <c r="E351" s="40" t="n"/>
      <c r="F351" s="40" t="n"/>
      <c r="G351" s="40" t="n"/>
      <c r="H351" s="41" t="n"/>
      <c r="K351" s="40" t="n"/>
      <c r="L351" s="1" t="n"/>
      <c r="N351" s="40" t="n"/>
      <c r="O351" s="40" t="n"/>
      <c r="Z351" s="40" t="n"/>
      <c r="AA351" s="40" t="n"/>
      <c r="AC351" s="40" t="n"/>
      <c r="AD351" s="40" t="n"/>
      <c r="AE351" s="40" t="n"/>
      <c r="AF351" s="40" t="n"/>
    </row>
    <row r="352" ht="13" customHeight="1" s="50">
      <c r="E352" s="40" t="n"/>
      <c r="F352" s="40" t="n"/>
      <c r="G352" s="40" t="n"/>
      <c r="H352" s="41" t="n"/>
      <c r="K352" s="40" t="n"/>
      <c r="L352" s="1" t="n"/>
      <c r="N352" s="40" t="n"/>
      <c r="O352" s="40" t="n"/>
      <c r="Z352" s="40" t="n"/>
      <c r="AA352" s="40" t="n"/>
      <c r="AC352" s="40" t="n"/>
      <c r="AD352" s="40" t="n"/>
      <c r="AE352" s="40" t="n"/>
      <c r="AF352" s="40" t="n"/>
    </row>
    <row r="353" ht="13" customHeight="1" s="50">
      <c r="E353" s="40" t="n"/>
      <c r="F353" s="40" t="n"/>
      <c r="G353" s="40" t="n"/>
      <c r="H353" s="41" t="n"/>
      <c r="K353" s="40" t="n"/>
      <c r="L353" s="1" t="n"/>
      <c r="N353" s="40" t="n"/>
      <c r="O353" s="40" t="n"/>
      <c r="Z353" s="40" t="n"/>
      <c r="AA353" s="40" t="n"/>
      <c r="AC353" s="40" t="n"/>
      <c r="AD353" s="40" t="n"/>
      <c r="AE353" s="40" t="n"/>
      <c r="AF353" s="40" t="n"/>
    </row>
    <row r="354" ht="13" customHeight="1" s="50">
      <c r="E354" s="40" t="n"/>
      <c r="F354" s="40" t="n"/>
      <c r="G354" s="40" t="n"/>
      <c r="H354" s="41" t="n"/>
      <c r="K354" s="40" t="n"/>
      <c r="L354" s="1" t="n"/>
      <c r="N354" s="40" t="n"/>
      <c r="O354" s="40" t="n"/>
      <c r="Z354" s="40" t="n"/>
      <c r="AA354" s="40" t="n"/>
      <c r="AC354" s="40" t="n"/>
      <c r="AD354" s="40" t="n"/>
      <c r="AE354" s="40" t="n"/>
      <c r="AF354" s="40" t="n"/>
    </row>
    <row r="355" ht="13" customHeight="1" s="50">
      <c r="E355" s="40" t="n"/>
      <c r="F355" s="40" t="n"/>
      <c r="G355" s="40" t="n"/>
      <c r="H355" s="41" t="n"/>
      <c r="K355" s="40" t="n"/>
      <c r="L355" s="1" t="n"/>
      <c r="N355" s="40" t="n"/>
      <c r="O355" s="40" t="n"/>
      <c r="Z355" s="40" t="n"/>
      <c r="AA355" s="40" t="n"/>
      <c r="AC355" s="40" t="n"/>
      <c r="AD355" s="40" t="n"/>
      <c r="AE355" s="40" t="n"/>
      <c r="AF355" s="40" t="n"/>
    </row>
    <row r="356" ht="13" customHeight="1" s="50">
      <c r="E356" s="40" t="n"/>
      <c r="F356" s="40" t="n"/>
      <c r="G356" s="40" t="n"/>
      <c r="H356" s="41" t="n"/>
      <c r="K356" s="40" t="n"/>
      <c r="L356" s="1" t="n"/>
      <c r="N356" s="40" t="n"/>
      <c r="O356" s="40" t="n"/>
      <c r="Z356" s="40" t="n"/>
      <c r="AA356" s="40" t="n"/>
      <c r="AC356" s="40" t="n"/>
      <c r="AD356" s="40" t="n"/>
      <c r="AE356" s="40" t="n"/>
      <c r="AF356" s="40" t="n"/>
    </row>
    <row r="357" ht="13" customHeight="1" s="50">
      <c r="E357" s="40" t="n"/>
      <c r="F357" s="40" t="n"/>
      <c r="G357" s="40" t="n"/>
      <c r="H357" s="41" t="n"/>
      <c r="K357" s="40" t="n"/>
      <c r="L357" s="1" t="n"/>
      <c r="N357" s="40" t="n"/>
      <c r="O357" s="40" t="n"/>
      <c r="Z357" s="40" t="n"/>
      <c r="AA357" s="40" t="n"/>
      <c r="AC357" s="40" t="n"/>
      <c r="AD357" s="40" t="n"/>
      <c r="AE357" s="40" t="n"/>
      <c r="AF357" s="40" t="n"/>
    </row>
    <row r="358" ht="13" customHeight="1" s="50">
      <c r="E358" s="40" t="n"/>
      <c r="F358" s="40" t="n"/>
      <c r="G358" s="40" t="n"/>
      <c r="H358" s="41" t="n"/>
      <c r="K358" s="40" t="n"/>
      <c r="L358" s="1" t="n"/>
      <c r="N358" s="40" t="n"/>
      <c r="O358" s="40" t="n"/>
      <c r="Z358" s="40" t="n"/>
      <c r="AA358" s="40" t="n"/>
      <c r="AC358" s="40" t="n"/>
      <c r="AD358" s="40" t="n"/>
      <c r="AE358" s="40" t="n"/>
      <c r="AF358" s="40" t="n"/>
    </row>
    <row r="359" ht="13" customHeight="1" s="50">
      <c r="E359" s="40" t="n"/>
      <c r="F359" s="40" t="n"/>
      <c r="G359" s="40" t="n"/>
      <c r="H359" s="41" t="n"/>
      <c r="K359" s="40" t="n"/>
      <c r="L359" s="1" t="n"/>
      <c r="N359" s="40" t="n"/>
      <c r="O359" s="40" t="n"/>
      <c r="Z359" s="40" t="n"/>
      <c r="AA359" s="40" t="n"/>
      <c r="AC359" s="40" t="n"/>
      <c r="AD359" s="40" t="n"/>
      <c r="AE359" s="40" t="n"/>
      <c r="AF359" s="40" t="n"/>
    </row>
    <row r="360" ht="13" customHeight="1" s="50">
      <c r="E360" s="40" t="n"/>
      <c r="F360" s="40" t="n"/>
      <c r="G360" s="40" t="n"/>
      <c r="H360" s="41" t="n"/>
      <c r="K360" s="40" t="n"/>
      <c r="L360" s="1" t="n"/>
      <c r="N360" s="40" t="n"/>
      <c r="O360" s="40" t="n"/>
      <c r="Z360" s="40" t="n"/>
      <c r="AA360" s="40" t="n"/>
      <c r="AC360" s="40" t="n"/>
      <c r="AD360" s="40" t="n"/>
      <c r="AE360" s="40" t="n"/>
      <c r="AF360" s="40" t="n"/>
    </row>
    <row r="361" ht="13" customHeight="1" s="50">
      <c r="E361" s="40" t="n"/>
      <c r="F361" s="40" t="n"/>
      <c r="G361" s="40" t="n"/>
      <c r="H361" s="41" t="n"/>
      <c r="K361" s="40" t="n"/>
      <c r="L361" s="1" t="n"/>
      <c r="N361" s="40" t="n"/>
      <c r="O361" s="40" t="n"/>
      <c r="Z361" s="40" t="n"/>
      <c r="AA361" s="40" t="n"/>
      <c r="AC361" s="40" t="n"/>
      <c r="AD361" s="40" t="n"/>
      <c r="AE361" s="40" t="n"/>
      <c r="AF361" s="40" t="n"/>
    </row>
    <row r="362" ht="13" customHeight="1" s="50">
      <c r="E362" s="40" t="n"/>
      <c r="F362" s="40" t="n"/>
      <c r="G362" s="40" t="n"/>
      <c r="H362" s="41" t="n"/>
      <c r="K362" s="40" t="n"/>
      <c r="L362" s="1" t="n"/>
      <c r="N362" s="40" t="n"/>
      <c r="O362" s="40" t="n"/>
      <c r="Z362" s="40" t="n"/>
      <c r="AA362" s="40" t="n"/>
      <c r="AC362" s="40" t="n"/>
      <c r="AD362" s="40" t="n"/>
      <c r="AE362" s="40" t="n"/>
      <c r="AF362" s="40" t="n"/>
    </row>
    <row r="363" ht="13" customHeight="1" s="50">
      <c r="E363" s="40" t="n"/>
      <c r="F363" s="40" t="n"/>
      <c r="G363" s="40" t="n"/>
      <c r="H363" s="41" t="n"/>
      <c r="K363" s="40" t="n"/>
      <c r="L363" s="1" t="n"/>
      <c r="N363" s="40" t="n"/>
      <c r="O363" s="40" t="n"/>
      <c r="Z363" s="40" t="n"/>
      <c r="AA363" s="40" t="n"/>
      <c r="AC363" s="40" t="n"/>
      <c r="AD363" s="40" t="n"/>
      <c r="AE363" s="40" t="n"/>
      <c r="AF363" s="40" t="n"/>
    </row>
    <row r="364" ht="13" customHeight="1" s="50">
      <c r="E364" s="40" t="n"/>
      <c r="F364" s="40" t="n"/>
      <c r="G364" s="40" t="n"/>
      <c r="H364" s="41" t="n"/>
      <c r="K364" s="40" t="n"/>
      <c r="L364" s="1" t="n"/>
      <c r="N364" s="40" t="n"/>
      <c r="O364" s="40" t="n"/>
      <c r="Z364" s="40" t="n"/>
      <c r="AA364" s="40" t="n"/>
      <c r="AC364" s="40" t="n"/>
      <c r="AD364" s="40" t="n"/>
      <c r="AE364" s="40" t="n"/>
      <c r="AF364" s="40" t="n"/>
    </row>
    <row r="365" ht="13" customHeight="1" s="50">
      <c r="E365" s="40" t="n"/>
      <c r="F365" s="40" t="n"/>
      <c r="G365" s="40" t="n"/>
      <c r="H365" s="41" t="n"/>
      <c r="K365" s="40" t="n"/>
      <c r="L365" s="1" t="n"/>
      <c r="N365" s="40" t="n"/>
      <c r="O365" s="40" t="n"/>
      <c r="Z365" s="40" t="n"/>
      <c r="AA365" s="40" t="n"/>
      <c r="AC365" s="40" t="n"/>
      <c r="AD365" s="40" t="n"/>
      <c r="AE365" s="40" t="n"/>
      <c r="AF365" s="40" t="n"/>
    </row>
    <row r="366" ht="13" customHeight="1" s="50">
      <c r="E366" s="40" t="n"/>
      <c r="F366" s="40" t="n"/>
      <c r="G366" s="40" t="n"/>
      <c r="H366" s="41" t="n"/>
      <c r="K366" s="40" t="n"/>
      <c r="L366" s="1" t="n"/>
      <c r="N366" s="40" t="n"/>
      <c r="O366" s="40" t="n"/>
      <c r="Z366" s="40" t="n"/>
      <c r="AA366" s="40" t="n"/>
      <c r="AC366" s="40" t="n"/>
      <c r="AD366" s="40" t="n"/>
      <c r="AE366" s="40" t="n"/>
      <c r="AF366" s="40" t="n"/>
    </row>
    <row r="367" ht="13" customHeight="1" s="50">
      <c r="E367" s="40" t="n"/>
      <c r="F367" s="40" t="n"/>
      <c r="G367" s="40" t="n"/>
      <c r="H367" s="41" t="n"/>
      <c r="K367" s="40" t="n"/>
      <c r="L367" s="1" t="n"/>
      <c r="N367" s="40" t="n"/>
      <c r="O367" s="40" t="n"/>
      <c r="Z367" s="40" t="n"/>
      <c r="AA367" s="40" t="n"/>
      <c r="AC367" s="40" t="n"/>
      <c r="AD367" s="40" t="n"/>
      <c r="AE367" s="40" t="n"/>
      <c r="AF367" s="40" t="n"/>
    </row>
    <row r="368" ht="13" customHeight="1" s="50">
      <c r="E368" s="40" t="n"/>
      <c r="F368" s="40" t="n"/>
      <c r="G368" s="40" t="n"/>
      <c r="H368" s="41" t="n"/>
      <c r="K368" s="40" t="n"/>
      <c r="L368" s="1" t="n"/>
      <c r="N368" s="40" t="n"/>
      <c r="O368" s="40" t="n"/>
      <c r="Z368" s="40" t="n"/>
      <c r="AA368" s="40" t="n"/>
      <c r="AC368" s="40" t="n"/>
      <c r="AD368" s="40" t="n"/>
      <c r="AE368" s="40" t="n"/>
      <c r="AF368" s="40" t="n"/>
    </row>
    <row r="369" ht="13" customHeight="1" s="50">
      <c r="E369" s="40" t="n"/>
      <c r="F369" s="40" t="n"/>
      <c r="G369" s="40" t="n"/>
      <c r="H369" s="41" t="n"/>
      <c r="K369" s="40" t="n"/>
      <c r="L369" s="1" t="n"/>
      <c r="N369" s="40" t="n"/>
      <c r="O369" s="40" t="n"/>
      <c r="Z369" s="40" t="n"/>
      <c r="AA369" s="40" t="n"/>
      <c r="AC369" s="40" t="n"/>
      <c r="AD369" s="40" t="n"/>
      <c r="AE369" s="40" t="n"/>
      <c r="AF369" s="40" t="n"/>
    </row>
    <row r="370" ht="13" customHeight="1" s="50">
      <c r="E370" s="40" t="n"/>
      <c r="F370" s="40" t="n"/>
      <c r="G370" s="40" t="n"/>
      <c r="H370" s="41" t="n"/>
      <c r="K370" s="40" t="n"/>
      <c r="L370" s="1" t="n"/>
      <c r="N370" s="40" t="n"/>
      <c r="O370" s="40" t="n"/>
      <c r="Z370" s="40" t="n"/>
      <c r="AA370" s="40" t="n"/>
      <c r="AC370" s="40" t="n"/>
      <c r="AD370" s="40" t="n"/>
      <c r="AE370" s="40" t="n"/>
      <c r="AF370" s="40" t="n"/>
    </row>
    <row r="371" ht="13" customHeight="1" s="50">
      <c r="E371" s="40" t="n"/>
      <c r="F371" s="40" t="n"/>
      <c r="G371" s="40" t="n"/>
      <c r="H371" s="41" t="n"/>
      <c r="K371" s="40" t="n"/>
      <c r="L371" s="1" t="n"/>
      <c r="N371" s="40" t="n"/>
      <c r="O371" s="40" t="n"/>
      <c r="Z371" s="40" t="n"/>
      <c r="AA371" s="40" t="n"/>
      <c r="AC371" s="40" t="n"/>
      <c r="AD371" s="40" t="n"/>
      <c r="AE371" s="40" t="n"/>
      <c r="AF371" s="40" t="n"/>
    </row>
    <row r="372" ht="13" customHeight="1" s="50">
      <c r="E372" s="40" t="n"/>
      <c r="F372" s="40" t="n"/>
      <c r="G372" s="40" t="n"/>
      <c r="H372" s="41" t="n"/>
      <c r="K372" s="40" t="n"/>
      <c r="L372" s="1" t="n"/>
      <c r="N372" s="40" t="n"/>
      <c r="O372" s="40" t="n"/>
      <c r="Z372" s="40" t="n"/>
      <c r="AA372" s="40" t="n"/>
      <c r="AC372" s="40" t="n"/>
      <c r="AD372" s="40" t="n"/>
      <c r="AE372" s="40" t="n"/>
      <c r="AF372" s="40" t="n"/>
    </row>
    <row r="373" ht="13" customHeight="1" s="50">
      <c r="E373" s="40" t="n"/>
      <c r="F373" s="40" t="n"/>
      <c r="G373" s="40" t="n"/>
      <c r="H373" s="41" t="n"/>
      <c r="K373" s="40" t="n"/>
      <c r="L373" s="1" t="n"/>
      <c r="N373" s="40" t="n"/>
      <c r="O373" s="40" t="n"/>
      <c r="Z373" s="40" t="n"/>
      <c r="AA373" s="40" t="n"/>
      <c r="AC373" s="40" t="n"/>
      <c r="AD373" s="40" t="n"/>
      <c r="AE373" s="40" t="n"/>
      <c r="AF373" s="40" t="n"/>
    </row>
    <row r="374" ht="13" customHeight="1" s="50">
      <c r="E374" s="40" t="n"/>
      <c r="F374" s="40" t="n"/>
      <c r="G374" s="40" t="n"/>
      <c r="H374" s="41" t="n"/>
      <c r="K374" s="40" t="n"/>
      <c r="L374" s="1" t="n"/>
      <c r="N374" s="40" t="n"/>
      <c r="O374" s="40" t="n"/>
      <c r="Z374" s="40" t="n"/>
      <c r="AA374" s="40" t="n"/>
      <c r="AC374" s="40" t="n"/>
      <c r="AD374" s="40" t="n"/>
      <c r="AE374" s="40" t="n"/>
      <c r="AF374" s="40" t="n"/>
    </row>
    <row r="375" ht="13" customHeight="1" s="50">
      <c r="E375" s="40" t="n"/>
      <c r="F375" s="40" t="n"/>
      <c r="G375" s="40" t="n"/>
      <c r="H375" s="41" t="n"/>
      <c r="K375" s="40" t="n"/>
      <c r="L375" s="1" t="n"/>
      <c r="N375" s="40" t="n"/>
      <c r="O375" s="40" t="n"/>
      <c r="Z375" s="40" t="n"/>
      <c r="AA375" s="40" t="n"/>
      <c r="AC375" s="40" t="n"/>
      <c r="AD375" s="40" t="n"/>
      <c r="AE375" s="40" t="n"/>
      <c r="AF375" s="40" t="n"/>
    </row>
    <row r="376" ht="13" customHeight="1" s="50">
      <c r="E376" s="40" t="n"/>
      <c r="F376" s="40" t="n"/>
      <c r="G376" s="40" t="n"/>
      <c r="H376" s="41" t="n"/>
      <c r="K376" s="40" t="n"/>
      <c r="L376" s="1" t="n"/>
      <c r="N376" s="40" t="n"/>
      <c r="O376" s="40" t="n"/>
      <c r="Z376" s="40" t="n"/>
      <c r="AA376" s="40" t="n"/>
      <c r="AC376" s="40" t="n"/>
      <c r="AD376" s="40" t="n"/>
      <c r="AE376" s="40" t="n"/>
      <c r="AF376" s="40" t="n"/>
    </row>
    <row r="377" ht="13" customHeight="1" s="50">
      <c r="E377" s="40" t="n"/>
      <c r="F377" s="40" t="n"/>
      <c r="G377" s="40" t="n"/>
      <c r="H377" s="41" t="n"/>
      <c r="K377" s="40" t="n"/>
      <c r="L377" s="1" t="n"/>
      <c r="N377" s="40" t="n"/>
      <c r="O377" s="40" t="n"/>
      <c r="Z377" s="40" t="n"/>
      <c r="AA377" s="40" t="n"/>
      <c r="AC377" s="40" t="n"/>
      <c r="AD377" s="40" t="n"/>
      <c r="AE377" s="40" t="n"/>
      <c r="AF377" s="40" t="n"/>
    </row>
    <row r="378" ht="13" customHeight="1" s="50">
      <c r="E378" s="40" t="n"/>
      <c r="F378" s="40" t="n"/>
      <c r="G378" s="40" t="n"/>
      <c r="H378" s="41" t="n"/>
      <c r="K378" s="40" t="n"/>
      <c r="L378" s="1" t="n"/>
      <c r="N378" s="40" t="n"/>
      <c r="O378" s="40" t="n"/>
      <c r="Z378" s="40" t="n"/>
      <c r="AA378" s="40" t="n"/>
      <c r="AC378" s="40" t="n"/>
      <c r="AD378" s="40" t="n"/>
      <c r="AE378" s="40" t="n"/>
      <c r="AF378" s="40" t="n"/>
    </row>
    <row r="379" ht="13" customHeight="1" s="50">
      <c r="E379" s="40" t="n"/>
      <c r="F379" s="40" t="n"/>
      <c r="G379" s="40" t="n"/>
      <c r="H379" s="41" t="n"/>
      <c r="K379" s="40" t="n"/>
      <c r="L379" s="1" t="n"/>
      <c r="N379" s="40" t="n"/>
      <c r="O379" s="40" t="n"/>
      <c r="Z379" s="40" t="n"/>
      <c r="AA379" s="40" t="n"/>
      <c r="AC379" s="40" t="n"/>
      <c r="AD379" s="40" t="n"/>
      <c r="AE379" s="40" t="n"/>
      <c r="AF379" s="40" t="n"/>
    </row>
    <row r="380" ht="13" customHeight="1" s="50">
      <c r="E380" s="40" t="n"/>
      <c r="F380" s="40" t="n"/>
      <c r="G380" s="40" t="n"/>
      <c r="H380" s="41" t="n"/>
      <c r="K380" s="40" t="n"/>
      <c r="L380" s="1" t="n"/>
      <c r="N380" s="40" t="n"/>
      <c r="O380" s="40" t="n"/>
      <c r="Z380" s="40" t="n"/>
      <c r="AA380" s="40" t="n"/>
      <c r="AC380" s="40" t="n"/>
      <c r="AD380" s="40" t="n"/>
      <c r="AE380" s="40" t="n"/>
      <c r="AF380" s="40" t="n"/>
    </row>
    <row r="381" ht="13" customHeight="1" s="50">
      <c r="E381" s="40" t="n"/>
      <c r="F381" s="40" t="n"/>
      <c r="G381" s="40" t="n"/>
      <c r="H381" s="41" t="n"/>
      <c r="K381" s="40" t="n"/>
      <c r="L381" s="1" t="n"/>
      <c r="N381" s="40" t="n"/>
      <c r="O381" s="40" t="n"/>
      <c r="Z381" s="40" t="n"/>
      <c r="AA381" s="40" t="n"/>
      <c r="AC381" s="40" t="n"/>
      <c r="AD381" s="40" t="n"/>
      <c r="AE381" s="40" t="n"/>
      <c r="AF381" s="40" t="n"/>
    </row>
    <row r="382" ht="13" customHeight="1" s="50">
      <c r="E382" s="40" t="n"/>
      <c r="F382" s="40" t="n"/>
      <c r="G382" s="40" t="n"/>
      <c r="H382" s="41" t="n"/>
      <c r="K382" s="40" t="n"/>
      <c r="L382" s="1" t="n"/>
      <c r="N382" s="40" t="n"/>
      <c r="O382" s="40" t="n"/>
      <c r="Z382" s="40" t="n"/>
      <c r="AA382" s="40" t="n"/>
      <c r="AC382" s="40" t="n"/>
      <c r="AD382" s="40" t="n"/>
      <c r="AE382" s="40" t="n"/>
      <c r="AF382" s="40" t="n"/>
    </row>
    <row r="383" ht="13" customHeight="1" s="50">
      <c r="E383" s="40" t="n"/>
      <c r="F383" s="40" t="n"/>
      <c r="G383" s="40" t="n"/>
      <c r="H383" s="41" t="n"/>
      <c r="K383" s="40" t="n"/>
      <c r="L383" s="1" t="n"/>
      <c r="N383" s="40" t="n"/>
      <c r="O383" s="40" t="n"/>
      <c r="Z383" s="40" t="n"/>
      <c r="AA383" s="40" t="n"/>
      <c r="AC383" s="40" t="n"/>
      <c r="AD383" s="40" t="n"/>
      <c r="AE383" s="40" t="n"/>
      <c r="AF383" s="40" t="n"/>
    </row>
    <row r="384" ht="13" customHeight="1" s="50">
      <c r="E384" s="40" t="n"/>
      <c r="F384" s="40" t="n"/>
      <c r="G384" s="40" t="n"/>
      <c r="H384" s="41" t="n"/>
      <c r="K384" s="40" t="n"/>
      <c r="L384" s="1" t="n"/>
      <c r="N384" s="40" t="n"/>
      <c r="O384" s="40" t="n"/>
      <c r="Z384" s="40" t="n"/>
      <c r="AA384" s="40" t="n"/>
      <c r="AC384" s="40" t="n"/>
      <c r="AD384" s="40" t="n"/>
      <c r="AE384" s="40" t="n"/>
      <c r="AF384" s="40" t="n"/>
    </row>
    <row r="385" ht="13" customHeight="1" s="50">
      <c r="E385" s="40" t="n"/>
      <c r="F385" s="40" t="n"/>
      <c r="G385" s="40" t="n"/>
      <c r="H385" s="41" t="n"/>
      <c r="K385" s="40" t="n"/>
      <c r="L385" s="1" t="n"/>
      <c r="N385" s="40" t="n"/>
      <c r="O385" s="40" t="n"/>
      <c r="Z385" s="40" t="n"/>
      <c r="AA385" s="40" t="n"/>
      <c r="AC385" s="40" t="n"/>
      <c r="AD385" s="40" t="n"/>
      <c r="AE385" s="40" t="n"/>
      <c r="AF385" s="40" t="n"/>
    </row>
    <row r="386" ht="13" customHeight="1" s="50">
      <c r="E386" s="40" t="n"/>
      <c r="F386" s="40" t="n"/>
      <c r="G386" s="40" t="n"/>
      <c r="H386" s="41" t="n"/>
      <c r="K386" s="40" t="n"/>
      <c r="L386" s="1" t="n"/>
      <c r="N386" s="40" t="n"/>
      <c r="O386" s="40" t="n"/>
      <c r="Z386" s="40" t="n"/>
      <c r="AA386" s="40" t="n"/>
      <c r="AC386" s="40" t="n"/>
      <c r="AD386" s="40" t="n"/>
      <c r="AE386" s="40" t="n"/>
      <c r="AF386" s="40" t="n"/>
    </row>
    <row r="387" ht="13" customHeight="1" s="50">
      <c r="E387" s="40" t="n"/>
      <c r="F387" s="40" t="n"/>
      <c r="G387" s="40" t="n"/>
      <c r="H387" s="41" t="n"/>
      <c r="K387" s="40" t="n"/>
      <c r="L387" s="1" t="n"/>
      <c r="N387" s="40" t="n"/>
      <c r="O387" s="40" t="n"/>
      <c r="Z387" s="40" t="n"/>
      <c r="AA387" s="40" t="n"/>
      <c r="AC387" s="40" t="n"/>
      <c r="AD387" s="40" t="n"/>
      <c r="AE387" s="40" t="n"/>
      <c r="AF387" s="40" t="n"/>
    </row>
    <row r="388" ht="13" customHeight="1" s="50">
      <c r="E388" s="40" t="n"/>
      <c r="F388" s="40" t="n"/>
      <c r="G388" s="40" t="n"/>
      <c r="H388" s="41" t="n"/>
      <c r="K388" s="40" t="n"/>
      <c r="L388" s="1" t="n"/>
      <c r="N388" s="40" t="n"/>
      <c r="O388" s="40" t="n"/>
      <c r="Z388" s="40" t="n"/>
      <c r="AA388" s="40" t="n"/>
      <c r="AC388" s="40" t="n"/>
      <c r="AD388" s="40" t="n"/>
      <c r="AE388" s="40" t="n"/>
      <c r="AF388" s="40" t="n"/>
    </row>
    <row r="389" ht="13" customHeight="1" s="50">
      <c r="E389" s="40" t="n"/>
      <c r="F389" s="40" t="n"/>
      <c r="G389" s="40" t="n"/>
      <c r="H389" s="41" t="n"/>
      <c r="K389" s="40" t="n"/>
      <c r="L389" s="1" t="n"/>
      <c r="N389" s="40" t="n"/>
      <c r="O389" s="40" t="n"/>
      <c r="Z389" s="40" t="n"/>
      <c r="AA389" s="40" t="n"/>
      <c r="AC389" s="40" t="n"/>
      <c r="AD389" s="40" t="n"/>
      <c r="AE389" s="40" t="n"/>
      <c r="AF389" s="40" t="n"/>
    </row>
    <row r="390" ht="13" customHeight="1" s="50">
      <c r="E390" s="40" t="n"/>
      <c r="F390" s="40" t="n"/>
      <c r="G390" s="40" t="n"/>
      <c r="H390" s="41" t="n"/>
      <c r="K390" s="40" t="n"/>
      <c r="L390" s="1" t="n"/>
      <c r="N390" s="40" t="n"/>
      <c r="O390" s="40" t="n"/>
      <c r="Z390" s="40" t="n"/>
      <c r="AA390" s="40" t="n"/>
      <c r="AC390" s="40" t="n"/>
      <c r="AD390" s="40" t="n"/>
      <c r="AE390" s="40" t="n"/>
      <c r="AF390" s="40" t="n"/>
    </row>
    <row r="391" ht="13" customHeight="1" s="50">
      <c r="E391" s="40" t="n"/>
      <c r="F391" s="40" t="n"/>
      <c r="G391" s="40" t="n"/>
      <c r="H391" s="41" t="n"/>
      <c r="K391" s="40" t="n"/>
      <c r="L391" s="1" t="n"/>
      <c r="N391" s="40" t="n"/>
      <c r="O391" s="40" t="n"/>
      <c r="Z391" s="40" t="n"/>
      <c r="AA391" s="40" t="n"/>
      <c r="AC391" s="40" t="n"/>
      <c r="AD391" s="40" t="n"/>
      <c r="AE391" s="40" t="n"/>
      <c r="AF391" s="40" t="n"/>
    </row>
    <row r="392" ht="13" customHeight="1" s="50">
      <c r="E392" s="40" t="n"/>
      <c r="F392" s="40" t="n"/>
      <c r="G392" s="40" t="n"/>
      <c r="H392" s="41" t="n"/>
      <c r="K392" s="40" t="n"/>
      <c r="L392" s="1" t="n"/>
      <c r="N392" s="40" t="n"/>
      <c r="O392" s="40" t="n"/>
      <c r="Z392" s="40" t="n"/>
      <c r="AA392" s="40" t="n"/>
      <c r="AC392" s="40" t="n"/>
      <c r="AD392" s="40" t="n"/>
      <c r="AE392" s="40" t="n"/>
      <c r="AF392" s="40" t="n"/>
    </row>
    <row r="393" ht="13" customHeight="1" s="50">
      <c r="E393" s="40" t="n"/>
      <c r="F393" s="40" t="n"/>
      <c r="G393" s="40" t="n"/>
      <c r="H393" s="41" t="n"/>
      <c r="K393" s="40" t="n"/>
      <c r="L393" s="1" t="n"/>
      <c r="N393" s="40" t="n"/>
      <c r="O393" s="40" t="n"/>
      <c r="Z393" s="40" t="n"/>
      <c r="AA393" s="40" t="n"/>
      <c r="AC393" s="40" t="n"/>
      <c r="AD393" s="40" t="n"/>
      <c r="AE393" s="40" t="n"/>
      <c r="AF393" s="40" t="n"/>
    </row>
    <row r="394" ht="13" customHeight="1" s="50">
      <c r="E394" s="40" t="n"/>
      <c r="F394" s="40" t="n"/>
      <c r="G394" s="40" t="n"/>
      <c r="H394" s="41" t="n"/>
      <c r="K394" s="40" t="n"/>
      <c r="L394" s="1" t="n"/>
      <c r="N394" s="40" t="n"/>
      <c r="O394" s="40" t="n"/>
      <c r="Z394" s="40" t="n"/>
      <c r="AA394" s="40" t="n"/>
      <c r="AC394" s="40" t="n"/>
      <c r="AD394" s="40" t="n"/>
      <c r="AE394" s="40" t="n"/>
      <c r="AF394" s="40" t="n"/>
    </row>
    <row r="395" ht="13" customHeight="1" s="50">
      <c r="E395" s="40" t="n"/>
      <c r="F395" s="40" t="n"/>
      <c r="G395" s="40" t="n"/>
      <c r="H395" s="41" t="n"/>
      <c r="K395" s="40" t="n"/>
      <c r="L395" s="1" t="n"/>
      <c r="N395" s="40" t="n"/>
      <c r="O395" s="40" t="n"/>
      <c r="Z395" s="40" t="n"/>
      <c r="AA395" s="40" t="n"/>
      <c r="AC395" s="40" t="n"/>
      <c r="AD395" s="40" t="n"/>
      <c r="AE395" s="40" t="n"/>
      <c r="AF395" s="40" t="n"/>
    </row>
    <row r="396" ht="13" customHeight="1" s="50">
      <c r="E396" s="40" t="n"/>
      <c r="F396" s="40" t="n"/>
      <c r="G396" s="40" t="n"/>
      <c r="H396" s="41" t="n"/>
      <c r="K396" s="40" t="n"/>
      <c r="L396" s="1" t="n"/>
      <c r="N396" s="40" t="n"/>
      <c r="O396" s="40" t="n"/>
      <c r="Z396" s="40" t="n"/>
      <c r="AA396" s="40" t="n"/>
      <c r="AC396" s="40" t="n"/>
      <c r="AD396" s="40" t="n"/>
      <c r="AE396" s="40" t="n"/>
      <c r="AF396" s="40" t="n"/>
    </row>
    <row r="397" ht="13" customHeight="1" s="50">
      <c r="E397" s="40" t="n"/>
      <c r="F397" s="40" t="n"/>
      <c r="G397" s="40" t="n"/>
      <c r="H397" s="41" t="n"/>
      <c r="K397" s="40" t="n"/>
      <c r="L397" s="1" t="n"/>
      <c r="N397" s="40" t="n"/>
      <c r="O397" s="40" t="n"/>
      <c r="Z397" s="40" t="n"/>
      <c r="AA397" s="40" t="n"/>
      <c r="AC397" s="40" t="n"/>
      <c r="AD397" s="40" t="n"/>
      <c r="AE397" s="40" t="n"/>
      <c r="AF397" s="40" t="n"/>
    </row>
    <row r="398" ht="13" customHeight="1" s="50">
      <c r="E398" s="40" t="n"/>
      <c r="F398" s="40" t="n"/>
      <c r="G398" s="40" t="n"/>
      <c r="H398" s="41" t="n"/>
      <c r="K398" s="40" t="n"/>
      <c r="L398" s="1" t="n"/>
      <c r="N398" s="40" t="n"/>
      <c r="O398" s="40" t="n"/>
      <c r="Z398" s="40" t="n"/>
      <c r="AA398" s="40" t="n"/>
      <c r="AC398" s="40" t="n"/>
      <c r="AD398" s="40" t="n"/>
      <c r="AE398" s="40" t="n"/>
      <c r="AF398" s="40" t="n"/>
    </row>
    <row r="399" ht="13" customHeight="1" s="50">
      <c r="E399" s="40" t="n"/>
      <c r="F399" s="40" t="n"/>
      <c r="G399" s="40" t="n"/>
      <c r="H399" s="41" t="n"/>
      <c r="K399" s="40" t="n"/>
      <c r="L399" s="1" t="n"/>
      <c r="N399" s="40" t="n"/>
      <c r="O399" s="40" t="n"/>
      <c r="Z399" s="40" t="n"/>
      <c r="AA399" s="40" t="n"/>
      <c r="AC399" s="40" t="n"/>
      <c r="AD399" s="40" t="n"/>
      <c r="AE399" s="40" t="n"/>
      <c r="AF399" s="40" t="n"/>
    </row>
    <row r="400" ht="13" customHeight="1" s="50">
      <c r="E400" s="40" t="n"/>
      <c r="F400" s="40" t="n"/>
      <c r="G400" s="40" t="n"/>
      <c r="H400" s="41" t="n"/>
      <c r="K400" s="40" t="n"/>
      <c r="L400" s="1" t="n"/>
      <c r="N400" s="40" t="n"/>
      <c r="O400" s="40" t="n"/>
      <c r="Z400" s="40" t="n"/>
      <c r="AA400" s="40" t="n"/>
      <c r="AC400" s="40" t="n"/>
      <c r="AD400" s="40" t="n"/>
      <c r="AE400" s="40" t="n"/>
      <c r="AF400" s="40" t="n"/>
    </row>
    <row r="401" ht="13" customHeight="1" s="50">
      <c r="E401" s="40" t="n"/>
      <c r="F401" s="40" t="n"/>
      <c r="G401" s="40" t="n"/>
      <c r="H401" s="41" t="n"/>
      <c r="K401" s="40" t="n"/>
      <c r="L401" s="1" t="n"/>
      <c r="N401" s="40" t="n"/>
      <c r="O401" s="40" t="n"/>
      <c r="Z401" s="40" t="n"/>
      <c r="AA401" s="40" t="n"/>
      <c r="AC401" s="40" t="n"/>
      <c r="AD401" s="40" t="n"/>
      <c r="AE401" s="40" t="n"/>
      <c r="AF401" s="40" t="n"/>
    </row>
    <row r="402" ht="13" customHeight="1" s="50">
      <c r="E402" s="40" t="n"/>
      <c r="F402" s="40" t="n"/>
      <c r="G402" s="40" t="n"/>
      <c r="H402" s="41" t="n"/>
      <c r="K402" s="40" t="n"/>
      <c r="L402" s="1" t="n"/>
      <c r="N402" s="40" t="n"/>
      <c r="O402" s="40" t="n"/>
      <c r="Z402" s="40" t="n"/>
      <c r="AA402" s="40" t="n"/>
      <c r="AC402" s="40" t="n"/>
      <c r="AD402" s="40" t="n"/>
      <c r="AE402" s="40" t="n"/>
      <c r="AF402" s="40" t="n"/>
    </row>
    <row r="403" ht="13" customHeight="1" s="50">
      <c r="E403" s="40" t="n"/>
      <c r="F403" s="40" t="n"/>
      <c r="G403" s="40" t="n"/>
      <c r="H403" s="41" t="n"/>
      <c r="K403" s="40" t="n"/>
      <c r="L403" s="1" t="n"/>
      <c r="N403" s="40" t="n"/>
      <c r="O403" s="40" t="n"/>
      <c r="Z403" s="40" t="n"/>
      <c r="AA403" s="40" t="n"/>
      <c r="AC403" s="40" t="n"/>
      <c r="AD403" s="40" t="n"/>
      <c r="AE403" s="40" t="n"/>
      <c r="AF403" s="40" t="n"/>
    </row>
    <row r="404" ht="13" customHeight="1" s="50">
      <c r="E404" s="40" t="n"/>
      <c r="F404" s="40" t="n"/>
      <c r="G404" s="40" t="n"/>
      <c r="H404" s="41" t="n"/>
      <c r="K404" s="40" t="n"/>
      <c r="L404" s="1" t="n"/>
      <c r="N404" s="40" t="n"/>
      <c r="O404" s="40" t="n"/>
      <c r="Z404" s="40" t="n"/>
      <c r="AA404" s="40" t="n"/>
      <c r="AC404" s="40" t="n"/>
      <c r="AD404" s="40" t="n"/>
      <c r="AE404" s="40" t="n"/>
      <c r="AF404" s="40" t="n"/>
    </row>
    <row r="405" ht="13" customHeight="1" s="50">
      <c r="E405" s="40" t="n"/>
      <c r="F405" s="40" t="n"/>
      <c r="G405" s="40" t="n"/>
      <c r="H405" s="41" t="n"/>
      <c r="K405" s="40" t="n"/>
      <c r="L405" s="1" t="n"/>
      <c r="N405" s="40" t="n"/>
      <c r="O405" s="40" t="n"/>
      <c r="Z405" s="40" t="n"/>
      <c r="AA405" s="40" t="n"/>
      <c r="AC405" s="40" t="n"/>
      <c r="AD405" s="40" t="n"/>
      <c r="AE405" s="40" t="n"/>
      <c r="AF405" s="40" t="n"/>
    </row>
    <row r="406" ht="13" customHeight="1" s="50">
      <c r="E406" s="40" t="n"/>
      <c r="F406" s="40" t="n"/>
      <c r="G406" s="40" t="n"/>
      <c r="H406" s="41" t="n"/>
      <c r="K406" s="40" t="n"/>
      <c r="L406" s="1" t="n"/>
      <c r="N406" s="40" t="n"/>
      <c r="O406" s="40" t="n"/>
      <c r="Z406" s="40" t="n"/>
      <c r="AA406" s="40" t="n"/>
      <c r="AC406" s="40" t="n"/>
      <c r="AD406" s="40" t="n"/>
      <c r="AE406" s="40" t="n"/>
      <c r="AF406" s="40" t="n"/>
    </row>
    <row r="407" ht="13" customHeight="1" s="50">
      <c r="E407" s="40" t="n"/>
      <c r="F407" s="40" t="n"/>
      <c r="G407" s="40" t="n"/>
      <c r="H407" s="41" t="n"/>
      <c r="K407" s="40" t="n"/>
      <c r="L407" s="1" t="n"/>
      <c r="N407" s="40" t="n"/>
      <c r="O407" s="40" t="n"/>
      <c r="Z407" s="40" t="n"/>
      <c r="AA407" s="40" t="n"/>
      <c r="AC407" s="40" t="n"/>
      <c r="AD407" s="40" t="n"/>
      <c r="AE407" s="40" t="n"/>
      <c r="AF407" s="40" t="n"/>
    </row>
    <row r="408" ht="13" customHeight="1" s="50">
      <c r="E408" s="40" t="n"/>
      <c r="F408" s="40" t="n"/>
      <c r="G408" s="40" t="n"/>
      <c r="H408" s="41" t="n"/>
      <c r="K408" s="40" t="n"/>
      <c r="L408" s="1" t="n"/>
      <c r="N408" s="40" t="n"/>
      <c r="O408" s="40" t="n"/>
      <c r="Z408" s="40" t="n"/>
      <c r="AA408" s="40" t="n"/>
      <c r="AC408" s="40" t="n"/>
      <c r="AD408" s="40" t="n"/>
      <c r="AE408" s="40" t="n"/>
      <c r="AF408" s="40" t="n"/>
    </row>
    <row r="409" ht="13" customHeight="1" s="50">
      <c r="E409" s="40" t="n"/>
      <c r="F409" s="40" t="n"/>
      <c r="G409" s="40" t="n"/>
      <c r="H409" s="41" t="n"/>
      <c r="K409" s="40" t="n"/>
      <c r="L409" s="1" t="n"/>
      <c r="N409" s="40" t="n"/>
      <c r="O409" s="40" t="n"/>
      <c r="Z409" s="40" t="n"/>
      <c r="AA409" s="40" t="n"/>
      <c r="AC409" s="40" t="n"/>
      <c r="AD409" s="40" t="n"/>
      <c r="AE409" s="40" t="n"/>
      <c r="AF409" s="40" t="n"/>
    </row>
    <row r="410" ht="13" customHeight="1" s="50">
      <c r="E410" s="40" t="n"/>
      <c r="F410" s="40" t="n"/>
      <c r="G410" s="40" t="n"/>
      <c r="H410" s="41" t="n"/>
      <c r="K410" s="40" t="n"/>
      <c r="L410" s="1" t="n"/>
      <c r="N410" s="40" t="n"/>
      <c r="O410" s="40" t="n"/>
      <c r="Z410" s="40" t="n"/>
      <c r="AA410" s="40" t="n"/>
      <c r="AC410" s="40" t="n"/>
      <c r="AD410" s="40" t="n"/>
      <c r="AE410" s="40" t="n"/>
      <c r="AF410" s="40" t="n"/>
    </row>
    <row r="411" ht="13" customHeight="1" s="50">
      <c r="E411" s="40" t="n"/>
      <c r="F411" s="40" t="n"/>
      <c r="G411" s="40" t="n"/>
      <c r="H411" s="41" t="n"/>
      <c r="K411" s="40" t="n"/>
      <c r="L411" s="1" t="n"/>
      <c r="N411" s="40" t="n"/>
      <c r="O411" s="40" t="n"/>
      <c r="Z411" s="40" t="n"/>
      <c r="AA411" s="40" t="n"/>
      <c r="AC411" s="40" t="n"/>
      <c r="AD411" s="40" t="n"/>
      <c r="AE411" s="40" t="n"/>
      <c r="AF411" s="40" t="n"/>
    </row>
    <row r="412" ht="13" customHeight="1" s="50">
      <c r="E412" s="40" t="n"/>
      <c r="F412" s="40" t="n"/>
      <c r="G412" s="40" t="n"/>
      <c r="H412" s="41" t="n"/>
      <c r="K412" s="40" t="n"/>
      <c r="L412" s="1" t="n"/>
      <c r="N412" s="40" t="n"/>
      <c r="O412" s="40" t="n"/>
      <c r="Z412" s="40" t="n"/>
      <c r="AA412" s="40" t="n"/>
      <c r="AC412" s="40" t="n"/>
      <c r="AD412" s="40" t="n"/>
      <c r="AE412" s="40" t="n"/>
      <c r="AF412" s="40" t="n"/>
    </row>
    <row r="413" ht="13" customHeight="1" s="50">
      <c r="E413" s="40" t="n"/>
      <c r="F413" s="40" t="n"/>
      <c r="G413" s="40" t="n"/>
      <c r="H413" s="41" t="n"/>
      <c r="K413" s="40" t="n"/>
      <c r="L413" s="1" t="n"/>
      <c r="N413" s="40" t="n"/>
      <c r="O413" s="40" t="n"/>
      <c r="Z413" s="40" t="n"/>
      <c r="AA413" s="40" t="n"/>
      <c r="AC413" s="40" t="n"/>
      <c r="AD413" s="40" t="n"/>
      <c r="AE413" s="40" t="n"/>
      <c r="AF413" s="40" t="n"/>
    </row>
    <row r="414" ht="13" customHeight="1" s="50">
      <c r="E414" s="40" t="n"/>
      <c r="F414" s="40" t="n"/>
      <c r="G414" s="40" t="n"/>
      <c r="H414" s="41" t="n"/>
      <c r="K414" s="40" t="n"/>
      <c r="L414" s="1" t="n"/>
      <c r="N414" s="40" t="n"/>
      <c r="O414" s="40" t="n"/>
      <c r="Z414" s="40" t="n"/>
      <c r="AA414" s="40" t="n"/>
      <c r="AC414" s="40" t="n"/>
      <c r="AD414" s="40" t="n"/>
      <c r="AE414" s="40" t="n"/>
      <c r="AF414" s="40" t="n"/>
    </row>
    <row r="415" ht="13" customHeight="1" s="50">
      <c r="E415" s="40" t="n"/>
      <c r="F415" s="40" t="n"/>
      <c r="G415" s="40" t="n"/>
      <c r="H415" s="41" t="n"/>
      <c r="K415" s="40" t="n"/>
      <c r="L415" s="1" t="n"/>
      <c r="N415" s="40" t="n"/>
      <c r="O415" s="40" t="n"/>
      <c r="Z415" s="40" t="n"/>
      <c r="AA415" s="40" t="n"/>
      <c r="AC415" s="40" t="n"/>
      <c r="AD415" s="40" t="n"/>
      <c r="AE415" s="40" t="n"/>
      <c r="AF415" s="40" t="n"/>
    </row>
    <row r="416" ht="13" customHeight="1" s="50">
      <c r="E416" s="40" t="n"/>
      <c r="F416" s="40" t="n"/>
      <c r="G416" s="40" t="n"/>
      <c r="H416" s="41" t="n"/>
      <c r="K416" s="40" t="n"/>
      <c r="L416" s="1" t="n"/>
      <c r="N416" s="40" t="n"/>
      <c r="O416" s="40" t="n"/>
      <c r="Z416" s="40" t="n"/>
      <c r="AA416" s="40" t="n"/>
      <c r="AC416" s="40" t="n"/>
      <c r="AD416" s="40" t="n"/>
      <c r="AE416" s="40" t="n"/>
      <c r="AF416" s="40" t="n"/>
    </row>
    <row r="417" ht="13" customHeight="1" s="50">
      <c r="E417" s="40" t="n"/>
      <c r="F417" s="40" t="n"/>
      <c r="G417" s="40" t="n"/>
      <c r="H417" s="41" t="n"/>
      <c r="K417" s="40" t="n"/>
      <c r="L417" s="1" t="n"/>
      <c r="N417" s="40" t="n"/>
      <c r="O417" s="40" t="n"/>
      <c r="Z417" s="40" t="n"/>
      <c r="AA417" s="40" t="n"/>
      <c r="AC417" s="40" t="n"/>
      <c r="AD417" s="40" t="n"/>
      <c r="AE417" s="40" t="n"/>
      <c r="AF417" s="40" t="n"/>
    </row>
    <row r="418" ht="13" customHeight="1" s="50">
      <c r="E418" s="40" t="n"/>
      <c r="F418" s="40" t="n"/>
      <c r="G418" s="40" t="n"/>
      <c r="H418" s="41" t="n"/>
      <c r="K418" s="40" t="n"/>
      <c r="L418" s="1" t="n"/>
      <c r="N418" s="40" t="n"/>
      <c r="O418" s="40" t="n"/>
      <c r="Z418" s="40" t="n"/>
      <c r="AA418" s="40" t="n"/>
      <c r="AC418" s="40" t="n"/>
      <c r="AD418" s="40" t="n"/>
      <c r="AE418" s="40" t="n"/>
      <c r="AF418" s="40" t="n"/>
    </row>
    <row r="419" ht="13" customHeight="1" s="50">
      <c r="E419" s="40" t="n"/>
      <c r="F419" s="40" t="n"/>
      <c r="G419" s="40" t="n"/>
      <c r="H419" s="41" t="n"/>
      <c r="K419" s="40" t="n"/>
      <c r="L419" s="1" t="n"/>
      <c r="N419" s="40" t="n"/>
      <c r="O419" s="40" t="n"/>
      <c r="Z419" s="40" t="n"/>
      <c r="AA419" s="40" t="n"/>
      <c r="AC419" s="40" t="n"/>
      <c r="AD419" s="40" t="n"/>
      <c r="AE419" s="40" t="n"/>
      <c r="AF419" s="40" t="n"/>
    </row>
    <row r="420" ht="13" customHeight="1" s="50">
      <c r="E420" s="40" t="n"/>
      <c r="F420" s="40" t="n"/>
      <c r="G420" s="40" t="n"/>
      <c r="H420" s="41" t="n"/>
      <c r="K420" s="40" t="n"/>
      <c r="L420" s="1" t="n"/>
      <c r="N420" s="40" t="n"/>
      <c r="O420" s="40" t="n"/>
      <c r="Z420" s="40" t="n"/>
      <c r="AA420" s="40" t="n"/>
      <c r="AC420" s="40" t="n"/>
      <c r="AD420" s="40" t="n"/>
      <c r="AE420" s="40" t="n"/>
      <c r="AF420" s="40" t="n"/>
    </row>
    <row r="421" ht="13" customHeight="1" s="50">
      <c r="E421" s="40" t="n"/>
      <c r="F421" s="40" t="n"/>
      <c r="G421" s="40" t="n"/>
      <c r="H421" s="41" t="n"/>
      <c r="K421" s="40" t="n"/>
      <c r="L421" s="1" t="n"/>
      <c r="N421" s="40" t="n"/>
      <c r="O421" s="40" t="n"/>
      <c r="Z421" s="40" t="n"/>
      <c r="AA421" s="40" t="n"/>
      <c r="AC421" s="40" t="n"/>
      <c r="AD421" s="40" t="n"/>
      <c r="AE421" s="40" t="n"/>
      <c r="AF421" s="40" t="n"/>
    </row>
    <row r="422" ht="13" customHeight="1" s="50">
      <c r="E422" s="40" t="n"/>
      <c r="F422" s="40" t="n"/>
      <c r="G422" s="40" t="n"/>
      <c r="H422" s="41" t="n"/>
      <c r="K422" s="40" t="n"/>
      <c r="L422" s="1" t="n"/>
      <c r="N422" s="40" t="n"/>
      <c r="O422" s="40" t="n"/>
      <c r="Z422" s="40" t="n"/>
      <c r="AA422" s="40" t="n"/>
      <c r="AC422" s="40" t="n"/>
      <c r="AD422" s="40" t="n"/>
      <c r="AE422" s="40" t="n"/>
      <c r="AF422" s="40" t="n"/>
    </row>
    <row r="423" ht="13" customHeight="1" s="50">
      <c r="E423" s="40" t="n"/>
      <c r="F423" s="40" t="n"/>
      <c r="G423" s="40" t="n"/>
      <c r="H423" s="41" t="n"/>
      <c r="K423" s="40" t="n"/>
      <c r="L423" s="1" t="n"/>
      <c r="N423" s="40" t="n"/>
      <c r="O423" s="40" t="n"/>
      <c r="Z423" s="40" t="n"/>
      <c r="AA423" s="40" t="n"/>
      <c r="AC423" s="40" t="n"/>
      <c r="AD423" s="40" t="n"/>
      <c r="AE423" s="40" t="n"/>
      <c r="AF423" s="40" t="n"/>
    </row>
    <row r="424" ht="13" customHeight="1" s="50">
      <c r="E424" s="40" t="n"/>
      <c r="F424" s="40" t="n"/>
      <c r="G424" s="40" t="n"/>
      <c r="H424" s="41" t="n"/>
      <c r="K424" s="40" t="n"/>
      <c r="L424" s="1" t="n"/>
      <c r="N424" s="40" t="n"/>
      <c r="O424" s="40" t="n"/>
      <c r="Z424" s="40" t="n"/>
      <c r="AA424" s="40" t="n"/>
      <c r="AC424" s="40" t="n"/>
      <c r="AD424" s="40" t="n"/>
      <c r="AE424" s="40" t="n"/>
      <c r="AF424" s="40" t="n"/>
    </row>
    <row r="425" ht="13" customHeight="1" s="50">
      <c r="E425" s="40" t="n"/>
      <c r="F425" s="40" t="n"/>
      <c r="G425" s="40" t="n"/>
      <c r="H425" s="41" t="n"/>
      <c r="K425" s="40" t="n"/>
      <c r="L425" s="1" t="n"/>
      <c r="N425" s="40" t="n"/>
      <c r="O425" s="40" t="n"/>
      <c r="Z425" s="40" t="n"/>
      <c r="AA425" s="40" t="n"/>
      <c r="AC425" s="40" t="n"/>
      <c r="AD425" s="40" t="n"/>
      <c r="AE425" s="40" t="n"/>
      <c r="AF425" s="40" t="n"/>
    </row>
    <row r="426" ht="13" customHeight="1" s="50">
      <c r="E426" s="40" t="n"/>
      <c r="F426" s="40" t="n"/>
      <c r="G426" s="40" t="n"/>
      <c r="H426" s="41" t="n"/>
      <c r="K426" s="40" t="n"/>
      <c r="L426" s="1" t="n"/>
      <c r="N426" s="40" t="n"/>
      <c r="O426" s="40" t="n"/>
      <c r="Z426" s="40" t="n"/>
      <c r="AA426" s="40" t="n"/>
      <c r="AC426" s="40" t="n"/>
      <c r="AD426" s="40" t="n"/>
      <c r="AE426" s="40" t="n"/>
      <c r="AF426" s="40" t="n"/>
    </row>
    <row r="427" ht="13" customHeight="1" s="50">
      <c r="E427" s="40" t="n"/>
      <c r="F427" s="40" t="n"/>
      <c r="G427" s="40" t="n"/>
      <c r="H427" s="41" t="n"/>
      <c r="K427" s="40" t="n"/>
      <c r="L427" s="1" t="n"/>
      <c r="N427" s="40" t="n"/>
      <c r="O427" s="40" t="n"/>
      <c r="Z427" s="40" t="n"/>
      <c r="AA427" s="40" t="n"/>
      <c r="AC427" s="40" t="n"/>
      <c r="AD427" s="40" t="n"/>
      <c r="AE427" s="40" t="n"/>
      <c r="AF427" s="40" t="n"/>
    </row>
    <row r="428" ht="13" customHeight="1" s="50">
      <c r="E428" s="40" t="n"/>
      <c r="F428" s="40" t="n"/>
      <c r="G428" s="40" t="n"/>
      <c r="H428" s="41" t="n"/>
      <c r="K428" s="40" t="n"/>
      <c r="L428" s="1" t="n"/>
      <c r="N428" s="40" t="n"/>
      <c r="O428" s="40" t="n"/>
      <c r="Z428" s="40" t="n"/>
      <c r="AA428" s="40" t="n"/>
      <c r="AC428" s="40" t="n"/>
      <c r="AD428" s="40" t="n"/>
      <c r="AE428" s="40" t="n"/>
      <c r="AF428" s="40" t="n"/>
    </row>
    <row r="429" ht="13" customHeight="1" s="50">
      <c r="E429" s="40" t="n"/>
      <c r="F429" s="40" t="n"/>
      <c r="G429" s="40" t="n"/>
      <c r="H429" s="41" t="n"/>
      <c r="K429" s="40" t="n"/>
      <c r="L429" s="1" t="n"/>
      <c r="N429" s="40" t="n"/>
      <c r="O429" s="40" t="n"/>
      <c r="Z429" s="40" t="n"/>
      <c r="AA429" s="40" t="n"/>
      <c r="AC429" s="40" t="n"/>
      <c r="AD429" s="40" t="n"/>
      <c r="AE429" s="40" t="n"/>
      <c r="AF429" s="40" t="n"/>
    </row>
    <row r="430" ht="13" customHeight="1" s="50">
      <c r="E430" s="40" t="n"/>
      <c r="F430" s="40" t="n"/>
      <c r="G430" s="40" t="n"/>
      <c r="H430" s="41" t="n"/>
      <c r="K430" s="40" t="n"/>
      <c r="L430" s="1" t="n"/>
      <c r="N430" s="40" t="n"/>
      <c r="O430" s="40" t="n"/>
      <c r="Z430" s="40" t="n"/>
      <c r="AA430" s="40" t="n"/>
      <c r="AC430" s="40" t="n"/>
      <c r="AD430" s="40" t="n"/>
      <c r="AE430" s="40" t="n"/>
      <c r="AF430" s="40" t="n"/>
    </row>
    <row r="431" ht="13" customHeight="1" s="50">
      <c r="E431" s="40" t="n"/>
      <c r="F431" s="40" t="n"/>
      <c r="G431" s="40" t="n"/>
      <c r="H431" s="41" t="n"/>
      <c r="K431" s="40" t="n"/>
      <c r="L431" s="1" t="n"/>
      <c r="N431" s="40" t="n"/>
      <c r="O431" s="40" t="n"/>
      <c r="Z431" s="40" t="n"/>
      <c r="AA431" s="40" t="n"/>
      <c r="AC431" s="40" t="n"/>
      <c r="AD431" s="40" t="n"/>
      <c r="AE431" s="40" t="n"/>
      <c r="AF431" s="40" t="n"/>
    </row>
    <row r="432" ht="13" customHeight="1" s="50">
      <c r="E432" s="40" t="n"/>
      <c r="F432" s="40" t="n"/>
      <c r="G432" s="40" t="n"/>
      <c r="H432" s="41" t="n"/>
      <c r="K432" s="40" t="n"/>
      <c r="L432" s="1" t="n"/>
      <c r="N432" s="40" t="n"/>
      <c r="O432" s="40" t="n"/>
      <c r="Z432" s="40" t="n"/>
      <c r="AA432" s="40" t="n"/>
      <c r="AC432" s="40" t="n"/>
      <c r="AD432" s="40" t="n"/>
      <c r="AE432" s="40" t="n"/>
      <c r="AF432" s="40" t="n"/>
    </row>
    <row r="433" ht="13" customHeight="1" s="50">
      <c r="E433" s="40" t="n"/>
      <c r="F433" s="40" t="n"/>
      <c r="G433" s="40" t="n"/>
      <c r="H433" s="41" t="n"/>
      <c r="K433" s="40" t="n"/>
      <c r="L433" s="1" t="n"/>
      <c r="N433" s="40" t="n"/>
      <c r="O433" s="40" t="n"/>
      <c r="Z433" s="40" t="n"/>
      <c r="AA433" s="40" t="n"/>
      <c r="AC433" s="40" t="n"/>
      <c r="AD433" s="40" t="n"/>
      <c r="AE433" s="40" t="n"/>
      <c r="AF433" s="40" t="n"/>
    </row>
    <row r="434" ht="13" customHeight="1" s="50">
      <c r="E434" s="40" t="n"/>
      <c r="F434" s="40" t="n"/>
      <c r="G434" s="40" t="n"/>
      <c r="H434" s="41" t="n"/>
      <c r="K434" s="40" t="n"/>
      <c r="L434" s="1" t="n"/>
      <c r="N434" s="40" t="n"/>
      <c r="O434" s="40" t="n"/>
      <c r="Z434" s="40" t="n"/>
      <c r="AA434" s="40" t="n"/>
      <c r="AC434" s="40" t="n"/>
      <c r="AD434" s="40" t="n"/>
      <c r="AE434" s="40" t="n"/>
      <c r="AF434" s="40" t="n"/>
    </row>
    <row r="435" ht="13" customHeight="1" s="50">
      <c r="E435" s="40" t="n"/>
      <c r="F435" s="40" t="n"/>
      <c r="G435" s="40" t="n"/>
      <c r="H435" s="41" t="n"/>
      <c r="K435" s="40" t="n"/>
      <c r="L435" s="1" t="n"/>
      <c r="N435" s="40" t="n"/>
      <c r="O435" s="40" t="n"/>
      <c r="Z435" s="40" t="n"/>
      <c r="AA435" s="40" t="n"/>
      <c r="AC435" s="40" t="n"/>
      <c r="AD435" s="40" t="n"/>
      <c r="AE435" s="40" t="n"/>
      <c r="AF435" s="40" t="n"/>
    </row>
    <row r="436" ht="13" customHeight="1" s="50">
      <c r="E436" s="40" t="n"/>
      <c r="F436" s="40" t="n"/>
      <c r="G436" s="40" t="n"/>
      <c r="H436" s="41" t="n"/>
      <c r="K436" s="40" t="n"/>
      <c r="L436" s="1" t="n"/>
      <c r="N436" s="40" t="n"/>
      <c r="O436" s="40" t="n"/>
      <c r="Z436" s="40" t="n"/>
      <c r="AA436" s="40" t="n"/>
      <c r="AC436" s="40" t="n"/>
      <c r="AD436" s="40" t="n"/>
      <c r="AE436" s="40" t="n"/>
      <c r="AF436" s="40" t="n"/>
    </row>
    <row r="437" ht="13" customHeight="1" s="50">
      <c r="E437" s="40" t="n"/>
      <c r="F437" s="40" t="n"/>
      <c r="G437" s="40" t="n"/>
      <c r="H437" s="41" t="n"/>
      <c r="K437" s="40" t="n"/>
      <c r="L437" s="1" t="n"/>
      <c r="N437" s="40" t="n"/>
      <c r="O437" s="40" t="n"/>
      <c r="Z437" s="40" t="n"/>
      <c r="AA437" s="40" t="n"/>
      <c r="AC437" s="40" t="n"/>
      <c r="AD437" s="40" t="n"/>
      <c r="AE437" s="40" t="n"/>
      <c r="AF437" s="40" t="n"/>
    </row>
    <row r="438" ht="13" customHeight="1" s="50">
      <c r="E438" s="40" t="n"/>
      <c r="F438" s="40" t="n"/>
      <c r="G438" s="40" t="n"/>
      <c r="H438" s="41" t="n"/>
      <c r="K438" s="40" t="n"/>
      <c r="L438" s="1" t="n"/>
      <c r="N438" s="40" t="n"/>
      <c r="O438" s="40" t="n"/>
      <c r="Z438" s="40" t="n"/>
      <c r="AA438" s="40" t="n"/>
      <c r="AC438" s="40" t="n"/>
      <c r="AD438" s="40" t="n"/>
      <c r="AE438" s="40" t="n"/>
      <c r="AF438" s="40" t="n"/>
    </row>
    <row r="439" ht="13" customHeight="1" s="50">
      <c r="E439" s="40" t="n"/>
      <c r="F439" s="40" t="n"/>
      <c r="G439" s="40" t="n"/>
      <c r="H439" s="41" t="n"/>
      <c r="K439" s="40" t="n"/>
      <c r="L439" s="1" t="n"/>
      <c r="N439" s="40" t="n"/>
      <c r="O439" s="40" t="n"/>
      <c r="Z439" s="40" t="n"/>
      <c r="AA439" s="40" t="n"/>
      <c r="AC439" s="40" t="n"/>
      <c r="AD439" s="40" t="n"/>
      <c r="AE439" s="40" t="n"/>
      <c r="AF439" s="40" t="n"/>
    </row>
    <row r="440" ht="13" customHeight="1" s="50">
      <c r="E440" s="40" t="n"/>
      <c r="F440" s="40" t="n"/>
      <c r="G440" s="40" t="n"/>
      <c r="H440" s="41" t="n"/>
      <c r="K440" s="40" t="n"/>
      <c r="L440" s="1" t="n"/>
      <c r="N440" s="40" t="n"/>
      <c r="O440" s="40" t="n"/>
      <c r="Z440" s="40" t="n"/>
      <c r="AA440" s="40" t="n"/>
      <c r="AC440" s="40" t="n"/>
      <c r="AD440" s="40" t="n"/>
      <c r="AE440" s="40" t="n"/>
      <c r="AF440" s="40" t="n"/>
    </row>
    <row r="441" ht="13" customHeight="1" s="50">
      <c r="E441" s="40" t="n"/>
      <c r="F441" s="40" t="n"/>
      <c r="G441" s="40" t="n"/>
      <c r="H441" s="41" t="n"/>
      <c r="K441" s="40" t="n"/>
      <c r="L441" s="1" t="n"/>
      <c r="N441" s="40" t="n"/>
      <c r="O441" s="40" t="n"/>
      <c r="Z441" s="40" t="n"/>
      <c r="AA441" s="40" t="n"/>
      <c r="AC441" s="40" t="n"/>
      <c r="AD441" s="40" t="n"/>
      <c r="AE441" s="40" t="n"/>
      <c r="AF441" s="40" t="n"/>
    </row>
    <row r="442" ht="13" customHeight="1" s="50">
      <c r="E442" s="40" t="n"/>
      <c r="F442" s="40" t="n"/>
      <c r="G442" s="40" t="n"/>
      <c r="H442" s="41" t="n"/>
      <c r="K442" s="40" t="n"/>
      <c r="L442" s="1" t="n"/>
      <c r="N442" s="40" t="n"/>
      <c r="O442" s="40" t="n"/>
      <c r="Z442" s="40" t="n"/>
      <c r="AA442" s="40" t="n"/>
      <c r="AC442" s="40" t="n"/>
      <c r="AD442" s="40" t="n"/>
      <c r="AE442" s="40" t="n"/>
      <c r="AF442" s="40" t="n"/>
    </row>
    <row r="443" ht="13" customHeight="1" s="50">
      <c r="E443" s="40" t="n"/>
      <c r="F443" s="40" t="n"/>
      <c r="G443" s="40" t="n"/>
      <c r="H443" s="41" t="n"/>
      <c r="K443" s="40" t="n"/>
      <c r="L443" s="1" t="n"/>
      <c r="N443" s="40" t="n"/>
      <c r="O443" s="40" t="n"/>
      <c r="Z443" s="40" t="n"/>
      <c r="AA443" s="40" t="n"/>
      <c r="AC443" s="40" t="n"/>
      <c r="AD443" s="40" t="n"/>
      <c r="AE443" s="40" t="n"/>
      <c r="AF443" s="40" t="n"/>
    </row>
    <row r="444" ht="13" customHeight="1" s="50">
      <c r="E444" s="40" t="n"/>
      <c r="F444" s="40" t="n"/>
      <c r="G444" s="40" t="n"/>
      <c r="H444" s="41" t="n"/>
      <c r="K444" s="40" t="n"/>
      <c r="L444" s="1" t="n"/>
      <c r="N444" s="40" t="n"/>
      <c r="O444" s="40" t="n"/>
      <c r="Z444" s="40" t="n"/>
      <c r="AA444" s="40" t="n"/>
      <c r="AC444" s="40" t="n"/>
      <c r="AD444" s="40" t="n"/>
      <c r="AE444" s="40" t="n"/>
      <c r="AF444" s="40" t="n"/>
    </row>
    <row r="445" ht="13" customHeight="1" s="50">
      <c r="E445" s="40" t="n"/>
      <c r="F445" s="40" t="n"/>
      <c r="G445" s="40" t="n"/>
      <c r="H445" s="41" t="n"/>
      <c r="K445" s="40" t="n"/>
      <c r="L445" s="1" t="n"/>
      <c r="N445" s="40" t="n"/>
      <c r="O445" s="40" t="n"/>
      <c r="Z445" s="40" t="n"/>
      <c r="AA445" s="40" t="n"/>
      <c r="AC445" s="40" t="n"/>
      <c r="AD445" s="40" t="n"/>
      <c r="AE445" s="40" t="n"/>
      <c r="AF445" s="40" t="n"/>
    </row>
    <row r="446" ht="13" customHeight="1" s="50">
      <c r="E446" s="40" t="n"/>
      <c r="F446" s="40" t="n"/>
      <c r="G446" s="40" t="n"/>
      <c r="H446" s="41" t="n"/>
      <c r="K446" s="40" t="n"/>
      <c r="L446" s="1" t="n"/>
      <c r="N446" s="40" t="n"/>
      <c r="O446" s="40" t="n"/>
      <c r="Z446" s="40" t="n"/>
      <c r="AA446" s="40" t="n"/>
      <c r="AC446" s="40" t="n"/>
      <c r="AD446" s="40" t="n"/>
      <c r="AE446" s="40" t="n"/>
      <c r="AF446" s="40" t="n"/>
    </row>
    <row r="447" ht="13" customHeight="1" s="50">
      <c r="E447" s="40" t="n"/>
      <c r="F447" s="40" t="n"/>
      <c r="G447" s="40" t="n"/>
      <c r="H447" s="41" t="n"/>
      <c r="K447" s="40" t="n"/>
      <c r="L447" s="1" t="n"/>
      <c r="N447" s="40" t="n"/>
      <c r="O447" s="40" t="n"/>
      <c r="Z447" s="40" t="n"/>
      <c r="AA447" s="40" t="n"/>
      <c r="AC447" s="40" t="n"/>
      <c r="AD447" s="40" t="n"/>
      <c r="AE447" s="40" t="n"/>
      <c r="AF447" s="40" t="n"/>
    </row>
    <row r="448" ht="13" customHeight="1" s="50">
      <c r="E448" s="40" t="n"/>
      <c r="F448" s="40" t="n"/>
      <c r="G448" s="40" t="n"/>
      <c r="H448" s="41" t="n"/>
      <c r="K448" s="40" t="n"/>
      <c r="L448" s="1" t="n"/>
      <c r="N448" s="40" t="n"/>
      <c r="O448" s="40" t="n"/>
      <c r="Z448" s="40" t="n"/>
      <c r="AA448" s="40" t="n"/>
      <c r="AC448" s="40" t="n"/>
      <c r="AD448" s="40" t="n"/>
      <c r="AE448" s="40" t="n"/>
      <c r="AF448" s="40" t="n"/>
    </row>
    <row r="449" ht="13" customHeight="1" s="50">
      <c r="E449" s="40" t="n"/>
      <c r="F449" s="40" t="n"/>
      <c r="G449" s="40" t="n"/>
      <c r="H449" s="41" t="n"/>
      <c r="K449" s="40" t="n"/>
      <c r="L449" s="1" t="n"/>
      <c r="N449" s="40" t="n"/>
      <c r="O449" s="40" t="n"/>
      <c r="Z449" s="40" t="n"/>
      <c r="AA449" s="40" t="n"/>
      <c r="AC449" s="40" t="n"/>
      <c r="AD449" s="40" t="n"/>
      <c r="AE449" s="40" t="n"/>
      <c r="AF449" s="40" t="n"/>
    </row>
    <row r="450" ht="13" customHeight="1" s="50">
      <c r="E450" s="40" t="n"/>
      <c r="F450" s="40" t="n"/>
      <c r="G450" s="40" t="n"/>
      <c r="H450" s="41" t="n"/>
      <c r="K450" s="40" t="n"/>
      <c r="L450" s="1" t="n"/>
      <c r="N450" s="40" t="n"/>
      <c r="O450" s="40" t="n"/>
      <c r="Z450" s="40" t="n"/>
      <c r="AA450" s="40" t="n"/>
      <c r="AC450" s="40" t="n"/>
      <c r="AD450" s="40" t="n"/>
      <c r="AE450" s="40" t="n"/>
      <c r="AF450" s="40" t="n"/>
    </row>
    <row r="451" ht="13" customHeight="1" s="50">
      <c r="E451" s="40" t="n"/>
      <c r="F451" s="40" t="n"/>
      <c r="G451" s="40" t="n"/>
      <c r="H451" s="41" t="n"/>
      <c r="K451" s="40" t="n"/>
      <c r="L451" s="1" t="n"/>
      <c r="N451" s="40" t="n"/>
      <c r="O451" s="40" t="n"/>
      <c r="Z451" s="40" t="n"/>
      <c r="AA451" s="40" t="n"/>
      <c r="AC451" s="40" t="n"/>
      <c r="AD451" s="40" t="n"/>
      <c r="AE451" s="40" t="n"/>
      <c r="AF451" s="40" t="n"/>
    </row>
    <row r="452" ht="13" customHeight="1" s="50">
      <c r="E452" s="40" t="n"/>
      <c r="F452" s="40" t="n"/>
      <c r="G452" s="40" t="n"/>
      <c r="H452" s="41" t="n"/>
      <c r="K452" s="40" t="n"/>
      <c r="L452" s="1" t="n"/>
      <c r="N452" s="40" t="n"/>
      <c r="O452" s="40" t="n"/>
      <c r="Z452" s="40" t="n"/>
      <c r="AA452" s="40" t="n"/>
      <c r="AC452" s="40" t="n"/>
      <c r="AD452" s="40" t="n"/>
      <c r="AE452" s="40" t="n"/>
      <c r="AF452" s="40" t="n"/>
    </row>
    <row r="453" ht="13" customHeight="1" s="50">
      <c r="E453" s="40" t="n"/>
      <c r="F453" s="40" t="n"/>
      <c r="G453" s="40" t="n"/>
      <c r="H453" s="41" t="n"/>
      <c r="K453" s="40" t="n"/>
      <c r="L453" s="1" t="n"/>
      <c r="N453" s="40" t="n"/>
      <c r="O453" s="40" t="n"/>
      <c r="Z453" s="40" t="n"/>
      <c r="AA453" s="40" t="n"/>
      <c r="AC453" s="40" t="n"/>
      <c r="AD453" s="40" t="n"/>
      <c r="AE453" s="40" t="n"/>
      <c r="AF453" s="40" t="n"/>
    </row>
    <row r="454" ht="13" customHeight="1" s="50">
      <c r="E454" s="40" t="n"/>
      <c r="F454" s="40" t="n"/>
      <c r="G454" s="40" t="n"/>
      <c r="H454" s="41" t="n"/>
      <c r="K454" s="40" t="n"/>
      <c r="L454" s="1" t="n"/>
      <c r="N454" s="40" t="n"/>
      <c r="O454" s="40" t="n"/>
      <c r="Z454" s="40" t="n"/>
      <c r="AA454" s="40" t="n"/>
      <c r="AC454" s="40" t="n"/>
      <c r="AD454" s="40" t="n"/>
      <c r="AE454" s="40" t="n"/>
      <c r="AF454" s="40" t="n"/>
    </row>
    <row r="455" ht="13" customHeight="1" s="50">
      <c r="E455" s="40" t="n"/>
      <c r="F455" s="40" t="n"/>
      <c r="G455" s="40" t="n"/>
      <c r="H455" s="41" t="n"/>
      <c r="K455" s="40" t="n"/>
      <c r="L455" s="1" t="n"/>
      <c r="N455" s="40" t="n"/>
      <c r="O455" s="40" t="n"/>
      <c r="Z455" s="40" t="n"/>
      <c r="AA455" s="40" t="n"/>
      <c r="AC455" s="40" t="n"/>
      <c r="AD455" s="40" t="n"/>
      <c r="AE455" s="40" t="n"/>
      <c r="AF455" s="40" t="n"/>
    </row>
    <row r="456" ht="13" customHeight="1" s="50">
      <c r="E456" s="40" t="n"/>
      <c r="F456" s="40" t="n"/>
      <c r="G456" s="40" t="n"/>
      <c r="H456" s="41" t="n"/>
      <c r="K456" s="40" t="n"/>
      <c r="L456" s="1" t="n"/>
      <c r="N456" s="40" t="n"/>
      <c r="O456" s="40" t="n"/>
      <c r="Z456" s="40" t="n"/>
      <c r="AA456" s="40" t="n"/>
      <c r="AC456" s="40" t="n"/>
      <c r="AD456" s="40" t="n"/>
      <c r="AE456" s="40" t="n"/>
      <c r="AF456" s="40" t="n"/>
    </row>
    <row r="457" ht="13" customHeight="1" s="50">
      <c r="E457" s="40" t="n"/>
      <c r="F457" s="40" t="n"/>
      <c r="G457" s="40" t="n"/>
      <c r="H457" s="41" t="n"/>
      <c r="K457" s="40" t="n"/>
      <c r="L457" s="1" t="n"/>
      <c r="N457" s="40" t="n"/>
      <c r="O457" s="40" t="n"/>
      <c r="Z457" s="40" t="n"/>
      <c r="AA457" s="40" t="n"/>
      <c r="AC457" s="40" t="n"/>
      <c r="AD457" s="40" t="n"/>
      <c r="AE457" s="40" t="n"/>
      <c r="AF457" s="40" t="n"/>
    </row>
    <row r="458" ht="13" customHeight="1" s="50">
      <c r="E458" s="40" t="n"/>
      <c r="F458" s="40" t="n"/>
      <c r="G458" s="40" t="n"/>
      <c r="H458" s="41" t="n"/>
      <c r="K458" s="40" t="n"/>
      <c r="L458" s="1" t="n"/>
      <c r="N458" s="40" t="n"/>
      <c r="O458" s="40" t="n"/>
      <c r="Z458" s="40" t="n"/>
      <c r="AA458" s="40" t="n"/>
      <c r="AC458" s="40" t="n"/>
      <c r="AD458" s="40" t="n"/>
      <c r="AE458" s="40" t="n"/>
      <c r="AF458" s="40" t="n"/>
    </row>
    <row r="459" ht="13" customHeight="1" s="50">
      <c r="E459" s="40" t="n"/>
      <c r="F459" s="40" t="n"/>
      <c r="G459" s="40" t="n"/>
      <c r="H459" s="41" t="n"/>
      <c r="K459" s="40" t="n"/>
      <c r="L459" s="1" t="n"/>
      <c r="N459" s="40" t="n"/>
      <c r="O459" s="40" t="n"/>
      <c r="Z459" s="40" t="n"/>
      <c r="AA459" s="40" t="n"/>
      <c r="AC459" s="40" t="n"/>
      <c r="AD459" s="40" t="n"/>
      <c r="AE459" s="40" t="n"/>
      <c r="AF459" s="40" t="n"/>
    </row>
    <row r="460" ht="13" customHeight="1" s="50">
      <c r="E460" s="40" t="n"/>
      <c r="F460" s="40" t="n"/>
      <c r="G460" s="40" t="n"/>
      <c r="H460" s="41" t="n"/>
      <c r="K460" s="40" t="n"/>
      <c r="L460" s="1" t="n"/>
      <c r="N460" s="40" t="n"/>
      <c r="O460" s="40" t="n"/>
      <c r="Z460" s="40" t="n"/>
      <c r="AA460" s="40" t="n"/>
      <c r="AC460" s="40" t="n"/>
      <c r="AD460" s="40" t="n"/>
      <c r="AE460" s="40" t="n"/>
      <c r="AF460" s="40" t="n"/>
    </row>
    <row r="461" ht="13" customHeight="1" s="50">
      <c r="E461" s="40" t="n"/>
      <c r="F461" s="40" t="n"/>
      <c r="G461" s="40" t="n"/>
      <c r="H461" s="41" t="n"/>
      <c r="K461" s="40" t="n"/>
      <c r="L461" s="1" t="n"/>
      <c r="N461" s="40" t="n"/>
      <c r="O461" s="40" t="n"/>
      <c r="Z461" s="40" t="n"/>
      <c r="AA461" s="40" t="n"/>
      <c r="AC461" s="40" t="n"/>
      <c r="AD461" s="40" t="n"/>
      <c r="AE461" s="40" t="n"/>
      <c r="AF461" s="40" t="n"/>
    </row>
    <row r="462" ht="13" customHeight="1" s="50">
      <c r="E462" s="40" t="n"/>
      <c r="F462" s="40" t="n"/>
      <c r="G462" s="40" t="n"/>
      <c r="H462" s="41" t="n"/>
      <c r="K462" s="40" t="n"/>
      <c r="L462" s="1" t="n"/>
      <c r="N462" s="40" t="n"/>
      <c r="O462" s="40" t="n"/>
      <c r="Z462" s="40" t="n"/>
      <c r="AA462" s="40" t="n"/>
      <c r="AC462" s="40" t="n"/>
      <c r="AD462" s="40" t="n"/>
      <c r="AE462" s="40" t="n"/>
      <c r="AF462" s="40" t="n"/>
    </row>
    <row r="463" ht="13" customHeight="1" s="50">
      <c r="E463" s="40" t="n"/>
      <c r="F463" s="40" t="n"/>
      <c r="G463" s="40" t="n"/>
      <c r="H463" s="41" t="n"/>
      <c r="K463" s="40" t="n"/>
      <c r="L463" s="1" t="n"/>
      <c r="N463" s="40" t="n"/>
      <c r="O463" s="40" t="n"/>
      <c r="Z463" s="40" t="n"/>
      <c r="AA463" s="40" t="n"/>
      <c r="AC463" s="40" t="n"/>
      <c r="AD463" s="40" t="n"/>
      <c r="AE463" s="40" t="n"/>
      <c r="AF463" s="40" t="n"/>
    </row>
    <row r="464" ht="13" customHeight="1" s="50">
      <c r="E464" s="40" t="n"/>
      <c r="F464" s="40" t="n"/>
      <c r="G464" s="40" t="n"/>
      <c r="H464" s="41" t="n"/>
      <c r="K464" s="40" t="n"/>
      <c r="L464" s="1" t="n"/>
      <c r="N464" s="40" t="n"/>
      <c r="O464" s="40" t="n"/>
      <c r="Z464" s="40" t="n"/>
      <c r="AA464" s="40" t="n"/>
      <c r="AC464" s="40" t="n"/>
      <c r="AD464" s="40" t="n"/>
      <c r="AE464" s="40" t="n"/>
      <c r="AF464" s="40" t="n"/>
    </row>
    <row r="465" ht="13" customHeight="1" s="50">
      <c r="E465" s="40" t="n"/>
      <c r="F465" s="40" t="n"/>
      <c r="G465" s="40" t="n"/>
      <c r="H465" s="41" t="n"/>
      <c r="K465" s="40" t="n"/>
      <c r="L465" s="1" t="n"/>
      <c r="N465" s="40" t="n"/>
      <c r="O465" s="40" t="n"/>
      <c r="Z465" s="40" t="n"/>
      <c r="AA465" s="40" t="n"/>
      <c r="AC465" s="40" t="n"/>
      <c r="AD465" s="40" t="n"/>
      <c r="AE465" s="40" t="n"/>
      <c r="AF465" s="40" t="n"/>
    </row>
    <row r="466" ht="13" customHeight="1" s="50">
      <c r="E466" s="40" t="n"/>
      <c r="F466" s="40" t="n"/>
      <c r="G466" s="40" t="n"/>
      <c r="H466" s="41" t="n"/>
      <c r="K466" s="40" t="n"/>
      <c r="L466" s="1" t="n"/>
      <c r="N466" s="40" t="n"/>
      <c r="O466" s="40" t="n"/>
      <c r="Z466" s="40" t="n"/>
      <c r="AA466" s="40" t="n"/>
      <c r="AC466" s="40" t="n"/>
      <c r="AD466" s="40" t="n"/>
      <c r="AE466" s="40" t="n"/>
      <c r="AF466" s="40" t="n"/>
    </row>
    <row r="467" ht="13" customHeight="1" s="50">
      <c r="E467" s="40" t="n"/>
      <c r="F467" s="40" t="n"/>
      <c r="G467" s="40" t="n"/>
      <c r="H467" s="41" t="n"/>
      <c r="K467" s="40" t="n"/>
      <c r="L467" s="1" t="n"/>
      <c r="N467" s="40" t="n"/>
      <c r="O467" s="40" t="n"/>
      <c r="Z467" s="40" t="n"/>
      <c r="AA467" s="40" t="n"/>
      <c r="AC467" s="40" t="n"/>
      <c r="AD467" s="40" t="n"/>
      <c r="AE467" s="40" t="n"/>
      <c r="AF467" s="40" t="n"/>
    </row>
    <row r="468" ht="13" customHeight="1" s="50">
      <c r="E468" s="40" t="n"/>
      <c r="F468" s="40" t="n"/>
      <c r="G468" s="40" t="n"/>
      <c r="H468" s="41" t="n"/>
      <c r="K468" s="40" t="n"/>
      <c r="L468" s="1" t="n"/>
      <c r="N468" s="40" t="n"/>
      <c r="O468" s="40" t="n"/>
      <c r="Z468" s="40" t="n"/>
      <c r="AA468" s="40" t="n"/>
      <c r="AC468" s="40" t="n"/>
      <c r="AD468" s="40" t="n"/>
      <c r="AE468" s="40" t="n"/>
      <c r="AF468" s="40" t="n"/>
    </row>
    <row r="469" ht="13" customHeight="1" s="50">
      <c r="E469" s="40" t="n"/>
      <c r="F469" s="40" t="n"/>
      <c r="G469" s="40" t="n"/>
      <c r="H469" s="41" t="n"/>
      <c r="K469" s="40" t="n"/>
      <c r="L469" s="1" t="n"/>
      <c r="N469" s="40" t="n"/>
      <c r="O469" s="40" t="n"/>
      <c r="Z469" s="40" t="n"/>
      <c r="AA469" s="40" t="n"/>
      <c r="AC469" s="40" t="n"/>
      <c r="AD469" s="40" t="n"/>
      <c r="AE469" s="40" t="n"/>
      <c r="AF469" s="40" t="n"/>
    </row>
    <row r="470" ht="13" customHeight="1" s="50">
      <c r="E470" s="40" t="n"/>
      <c r="F470" s="40" t="n"/>
      <c r="G470" s="40" t="n"/>
      <c r="H470" s="41" t="n"/>
      <c r="K470" s="40" t="n"/>
      <c r="L470" s="1" t="n"/>
      <c r="N470" s="40" t="n"/>
      <c r="O470" s="40" t="n"/>
      <c r="Z470" s="40" t="n"/>
      <c r="AA470" s="40" t="n"/>
      <c r="AC470" s="40" t="n"/>
      <c r="AD470" s="40" t="n"/>
      <c r="AE470" s="40" t="n"/>
      <c r="AF470" s="40" t="n"/>
    </row>
    <row r="471" ht="13" customHeight="1" s="50">
      <c r="E471" s="40" t="n"/>
      <c r="F471" s="40" t="n"/>
      <c r="G471" s="40" t="n"/>
      <c r="H471" s="41" t="n"/>
      <c r="K471" s="40" t="n"/>
      <c r="L471" s="1" t="n"/>
      <c r="N471" s="40" t="n"/>
      <c r="O471" s="40" t="n"/>
      <c r="Z471" s="40" t="n"/>
      <c r="AA471" s="40" t="n"/>
      <c r="AC471" s="40" t="n"/>
      <c r="AD471" s="40" t="n"/>
      <c r="AE471" s="40" t="n"/>
      <c r="AF471" s="40" t="n"/>
    </row>
    <row r="472" ht="13" customHeight="1" s="50">
      <c r="E472" s="40" t="n"/>
      <c r="F472" s="40" t="n"/>
      <c r="G472" s="40" t="n"/>
      <c r="H472" s="41" t="n"/>
      <c r="K472" s="40" t="n"/>
      <c r="L472" s="1" t="n"/>
      <c r="N472" s="40" t="n"/>
      <c r="O472" s="40" t="n"/>
      <c r="Z472" s="40" t="n"/>
      <c r="AA472" s="40" t="n"/>
      <c r="AC472" s="40" t="n"/>
      <c r="AD472" s="40" t="n"/>
      <c r="AE472" s="40" t="n"/>
      <c r="AF472" s="40" t="n"/>
    </row>
    <row r="473" ht="13" customHeight="1" s="50">
      <c r="E473" s="40" t="n"/>
      <c r="F473" s="40" t="n"/>
      <c r="G473" s="40" t="n"/>
      <c r="H473" s="41" t="n"/>
      <c r="K473" s="40" t="n"/>
      <c r="L473" s="1" t="n"/>
      <c r="N473" s="40" t="n"/>
      <c r="O473" s="40" t="n"/>
      <c r="Z473" s="40" t="n"/>
      <c r="AA473" s="40" t="n"/>
      <c r="AC473" s="40" t="n"/>
      <c r="AD473" s="40" t="n"/>
      <c r="AE473" s="40" t="n"/>
      <c r="AF473" s="40" t="n"/>
    </row>
    <row r="474" ht="13" customHeight="1" s="50">
      <c r="E474" s="40" t="n"/>
      <c r="F474" s="40" t="n"/>
      <c r="G474" s="40" t="n"/>
      <c r="H474" s="41" t="n"/>
      <c r="K474" s="40" t="n"/>
      <c r="L474" s="1" t="n"/>
      <c r="N474" s="40" t="n"/>
      <c r="O474" s="40" t="n"/>
      <c r="Z474" s="40" t="n"/>
      <c r="AA474" s="40" t="n"/>
      <c r="AC474" s="40" t="n"/>
      <c r="AD474" s="40" t="n"/>
      <c r="AE474" s="40" t="n"/>
      <c r="AF474" s="40" t="n"/>
    </row>
    <row r="475" ht="13" customHeight="1" s="50">
      <c r="E475" s="40" t="n"/>
      <c r="F475" s="40" t="n"/>
      <c r="G475" s="40" t="n"/>
      <c r="H475" s="41" t="n"/>
      <c r="K475" s="40" t="n"/>
      <c r="L475" s="1" t="n"/>
      <c r="N475" s="40" t="n"/>
      <c r="O475" s="40" t="n"/>
      <c r="Z475" s="40" t="n"/>
      <c r="AA475" s="40" t="n"/>
      <c r="AC475" s="40" t="n"/>
      <c r="AD475" s="40" t="n"/>
      <c r="AE475" s="40" t="n"/>
      <c r="AF475" s="40" t="n"/>
    </row>
    <row r="476" ht="13" customHeight="1" s="50">
      <c r="E476" s="40" t="n"/>
      <c r="F476" s="40" t="n"/>
      <c r="G476" s="40" t="n"/>
      <c r="H476" s="41" t="n"/>
      <c r="K476" s="40" t="n"/>
      <c r="L476" s="1" t="n"/>
      <c r="N476" s="40" t="n"/>
      <c r="O476" s="40" t="n"/>
      <c r="Z476" s="40" t="n"/>
      <c r="AA476" s="40" t="n"/>
      <c r="AC476" s="40" t="n"/>
      <c r="AD476" s="40" t="n"/>
      <c r="AE476" s="40" t="n"/>
      <c r="AF476" s="40" t="n"/>
    </row>
    <row r="477" ht="13" customHeight="1" s="50">
      <c r="E477" s="40" t="n"/>
      <c r="F477" s="40" t="n"/>
      <c r="G477" s="40" t="n"/>
      <c r="H477" s="41" t="n"/>
      <c r="K477" s="40" t="n"/>
      <c r="L477" s="1" t="n"/>
      <c r="N477" s="40" t="n"/>
      <c r="O477" s="40" t="n"/>
      <c r="Z477" s="40" t="n"/>
      <c r="AA477" s="40" t="n"/>
      <c r="AC477" s="40" t="n"/>
      <c r="AD477" s="40" t="n"/>
      <c r="AE477" s="40" t="n"/>
      <c r="AF477" s="40" t="n"/>
    </row>
    <row r="478" ht="13" customHeight="1" s="50">
      <c r="E478" s="40" t="n"/>
      <c r="F478" s="40" t="n"/>
      <c r="G478" s="40" t="n"/>
      <c r="H478" s="41" t="n"/>
      <c r="K478" s="40" t="n"/>
      <c r="L478" s="1" t="n"/>
      <c r="N478" s="40" t="n"/>
      <c r="O478" s="40" t="n"/>
      <c r="Z478" s="40" t="n"/>
      <c r="AA478" s="40" t="n"/>
      <c r="AC478" s="40" t="n"/>
      <c r="AD478" s="40" t="n"/>
      <c r="AE478" s="40" t="n"/>
      <c r="AF478" s="40" t="n"/>
    </row>
    <row r="479" ht="13" customHeight="1" s="50">
      <c r="E479" s="40" t="n"/>
      <c r="F479" s="40" t="n"/>
      <c r="G479" s="40" t="n"/>
      <c r="H479" s="41" t="n"/>
      <c r="K479" s="40" t="n"/>
      <c r="L479" s="1" t="n"/>
      <c r="N479" s="40" t="n"/>
      <c r="O479" s="40" t="n"/>
      <c r="Z479" s="40" t="n"/>
      <c r="AA479" s="40" t="n"/>
      <c r="AC479" s="40" t="n"/>
      <c r="AD479" s="40" t="n"/>
      <c r="AE479" s="40" t="n"/>
      <c r="AF479" s="40" t="n"/>
    </row>
    <row r="480" ht="13" customHeight="1" s="50">
      <c r="E480" s="40" t="n"/>
      <c r="F480" s="40" t="n"/>
      <c r="G480" s="40" t="n"/>
      <c r="H480" s="41" t="n"/>
      <c r="K480" s="40" t="n"/>
      <c r="L480" s="1" t="n"/>
      <c r="N480" s="40" t="n"/>
      <c r="O480" s="40" t="n"/>
      <c r="Z480" s="40" t="n"/>
      <c r="AA480" s="40" t="n"/>
      <c r="AC480" s="40" t="n"/>
      <c r="AD480" s="40" t="n"/>
      <c r="AE480" s="40" t="n"/>
      <c r="AF480" s="40" t="n"/>
    </row>
    <row r="481" ht="13" customHeight="1" s="50">
      <c r="E481" s="40" t="n"/>
      <c r="F481" s="40" t="n"/>
      <c r="G481" s="40" t="n"/>
      <c r="H481" s="41" t="n"/>
      <c r="K481" s="40" t="n"/>
      <c r="L481" s="1" t="n"/>
      <c r="N481" s="40" t="n"/>
      <c r="O481" s="40" t="n"/>
      <c r="Z481" s="40" t="n"/>
      <c r="AA481" s="40" t="n"/>
      <c r="AC481" s="40" t="n"/>
      <c r="AD481" s="40" t="n"/>
      <c r="AE481" s="40" t="n"/>
      <c r="AF481" s="40" t="n"/>
    </row>
    <row r="482" ht="13" customHeight="1" s="50">
      <c r="E482" s="40" t="n"/>
      <c r="F482" s="40" t="n"/>
      <c r="G482" s="40" t="n"/>
      <c r="H482" s="41" t="n"/>
      <c r="K482" s="40" t="n"/>
      <c r="L482" s="1" t="n"/>
      <c r="N482" s="40" t="n"/>
      <c r="O482" s="40" t="n"/>
      <c r="Z482" s="40" t="n"/>
      <c r="AA482" s="40" t="n"/>
      <c r="AC482" s="40" t="n"/>
      <c r="AD482" s="40" t="n"/>
      <c r="AE482" s="40" t="n"/>
      <c r="AF482" s="40" t="n"/>
    </row>
    <row r="483" ht="13" customHeight="1" s="50">
      <c r="E483" s="40" t="n"/>
      <c r="F483" s="40" t="n"/>
      <c r="G483" s="40" t="n"/>
      <c r="H483" s="41" t="n"/>
      <c r="K483" s="40" t="n"/>
      <c r="L483" s="1" t="n"/>
      <c r="N483" s="40" t="n"/>
      <c r="O483" s="40" t="n"/>
      <c r="Z483" s="40" t="n"/>
      <c r="AA483" s="40" t="n"/>
      <c r="AC483" s="40" t="n"/>
      <c r="AD483" s="40" t="n"/>
      <c r="AE483" s="40" t="n"/>
      <c r="AF483" s="40" t="n"/>
    </row>
    <row r="484" ht="13" customHeight="1" s="50">
      <c r="E484" s="40" t="n"/>
      <c r="F484" s="40" t="n"/>
      <c r="G484" s="40" t="n"/>
      <c r="H484" s="41" t="n"/>
      <c r="K484" s="40" t="n"/>
      <c r="L484" s="1" t="n"/>
      <c r="N484" s="40" t="n"/>
      <c r="O484" s="40" t="n"/>
      <c r="Z484" s="40" t="n"/>
      <c r="AA484" s="40" t="n"/>
      <c r="AC484" s="40" t="n"/>
      <c r="AD484" s="40" t="n"/>
      <c r="AE484" s="40" t="n"/>
      <c r="AF484" s="40" t="n"/>
    </row>
    <row r="485" ht="13" customHeight="1" s="50">
      <c r="E485" s="40" t="n"/>
      <c r="F485" s="40" t="n"/>
      <c r="G485" s="40" t="n"/>
      <c r="H485" s="41" t="n"/>
      <c r="K485" s="40" t="n"/>
      <c r="L485" s="1" t="n"/>
      <c r="N485" s="40" t="n"/>
      <c r="O485" s="40" t="n"/>
      <c r="Z485" s="40" t="n"/>
      <c r="AA485" s="40" t="n"/>
      <c r="AC485" s="40" t="n"/>
      <c r="AD485" s="40" t="n"/>
      <c r="AE485" s="40" t="n"/>
      <c r="AF485" s="40" t="n"/>
    </row>
    <row r="486" ht="13" customHeight="1" s="50">
      <c r="E486" s="40" t="n"/>
      <c r="F486" s="40" t="n"/>
      <c r="G486" s="40" t="n"/>
      <c r="H486" s="41" t="n"/>
      <c r="K486" s="40" t="n"/>
      <c r="L486" s="1" t="n"/>
      <c r="N486" s="40" t="n"/>
      <c r="O486" s="40" t="n"/>
      <c r="Z486" s="40" t="n"/>
      <c r="AA486" s="40" t="n"/>
      <c r="AC486" s="40" t="n"/>
      <c r="AD486" s="40" t="n"/>
      <c r="AE486" s="40" t="n"/>
      <c r="AF486" s="40" t="n"/>
    </row>
    <row r="487" ht="13" customHeight="1" s="50">
      <c r="E487" s="40" t="n"/>
      <c r="F487" s="40" t="n"/>
      <c r="G487" s="40" t="n"/>
      <c r="H487" s="41" t="n"/>
      <c r="K487" s="40" t="n"/>
      <c r="L487" s="1" t="n"/>
      <c r="N487" s="40" t="n"/>
      <c r="O487" s="40" t="n"/>
      <c r="Z487" s="40" t="n"/>
      <c r="AA487" s="40" t="n"/>
      <c r="AC487" s="40" t="n"/>
      <c r="AD487" s="40" t="n"/>
      <c r="AE487" s="40" t="n"/>
      <c r="AF487" s="40" t="n"/>
    </row>
    <row r="488" ht="13" customHeight="1" s="50">
      <c r="E488" s="40" t="n"/>
      <c r="F488" s="40" t="n"/>
      <c r="G488" s="40" t="n"/>
      <c r="H488" s="41" t="n"/>
      <c r="K488" s="40" t="n"/>
      <c r="L488" s="1" t="n"/>
      <c r="N488" s="40" t="n"/>
      <c r="O488" s="40" t="n"/>
      <c r="Z488" s="40" t="n"/>
      <c r="AA488" s="40" t="n"/>
      <c r="AC488" s="40" t="n"/>
      <c r="AD488" s="40" t="n"/>
      <c r="AE488" s="40" t="n"/>
      <c r="AF488" s="40" t="n"/>
    </row>
    <row r="489" ht="13" customHeight="1" s="50">
      <c r="E489" s="40" t="n"/>
      <c r="F489" s="40" t="n"/>
      <c r="G489" s="40" t="n"/>
      <c r="H489" s="41" t="n"/>
      <c r="K489" s="40" t="n"/>
      <c r="L489" s="1" t="n"/>
      <c r="N489" s="40" t="n"/>
      <c r="O489" s="40" t="n"/>
      <c r="Z489" s="40" t="n"/>
      <c r="AA489" s="40" t="n"/>
      <c r="AC489" s="40" t="n"/>
      <c r="AD489" s="40" t="n"/>
      <c r="AE489" s="40" t="n"/>
      <c r="AF489" s="40" t="n"/>
    </row>
    <row r="490" ht="13" customHeight="1" s="50">
      <c r="E490" s="40" t="n"/>
      <c r="F490" s="40" t="n"/>
      <c r="G490" s="40" t="n"/>
      <c r="H490" s="41" t="n"/>
      <c r="K490" s="40" t="n"/>
      <c r="L490" s="1" t="n"/>
      <c r="N490" s="40" t="n"/>
      <c r="O490" s="40" t="n"/>
      <c r="Z490" s="40" t="n"/>
      <c r="AA490" s="40" t="n"/>
      <c r="AC490" s="40" t="n"/>
      <c r="AD490" s="40" t="n"/>
      <c r="AE490" s="40" t="n"/>
      <c r="AF490" s="40" t="n"/>
    </row>
    <row r="491" ht="13" customHeight="1" s="50">
      <c r="E491" s="40" t="n"/>
      <c r="F491" s="40" t="n"/>
      <c r="G491" s="40" t="n"/>
      <c r="H491" s="41" t="n"/>
      <c r="K491" s="40" t="n"/>
      <c r="L491" s="1" t="n"/>
      <c r="N491" s="40" t="n"/>
      <c r="O491" s="40" t="n"/>
      <c r="Z491" s="40" t="n"/>
      <c r="AA491" s="40" t="n"/>
      <c r="AC491" s="40" t="n"/>
      <c r="AD491" s="40" t="n"/>
      <c r="AE491" s="40" t="n"/>
      <c r="AF491" s="40" t="n"/>
    </row>
    <row r="492" ht="13" customHeight="1" s="50">
      <c r="E492" s="40" t="n"/>
      <c r="F492" s="40" t="n"/>
      <c r="G492" s="40" t="n"/>
      <c r="H492" s="41" t="n"/>
      <c r="K492" s="40" t="n"/>
      <c r="L492" s="1" t="n"/>
      <c r="N492" s="40" t="n"/>
      <c r="O492" s="40" t="n"/>
      <c r="Z492" s="40" t="n"/>
      <c r="AA492" s="40" t="n"/>
      <c r="AC492" s="40" t="n"/>
      <c r="AD492" s="40" t="n"/>
      <c r="AE492" s="40" t="n"/>
      <c r="AF492" s="40" t="n"/>
    </row>
    <row r="493" ht="13" customHeight="1" s="50">
      <c r="E493" s="40" t="n"/>
      <c r="F493" s="40" t="n"/>
      <c r="G493" s="40" t="n"/>
      <c r="H493" s="41" t="n"/>
      <c r="K493" s="40" t="n"/>
      <c r="L493" s="1" t="n"/>
      <c r="N493" s="40" t="n"/>
      <c r="O493" s="40" t="n"/>
      <c r="Z493" s="40" t="n"/>
      <c r="AA493" s="40" t="n"/>
      <c r="AC493" s="40" t="n"/>
      <c r="AD493" s="40" t="n"/>
      <c r="AE493" s="40" t="n"/>
      <c r="AF493" s="40" t="n"/>
    </row>
    <row r="494" ht="13" customHeight="1" s="50">
      <c r="E494" s="40" t="n"/>
      <c r="F494" s="40" t="n"/>
      <c r="G494" s="40" t="n"/>
      <c r="H494" s="41" t="n"/>
      <c r="K494" s="40" t="n"/>
      <c r="L494" s="1" t="n"/>
      <c r="N494" s="40" t="n"/>
      <c r="O494" s="40" t="n"/>
      <c r="Z494" s="40" t="n"/>
      <c r="AA494" s="40" t="n"/>
      <c r="AC494" s="40" t="n"/>
      <c r="AD494" s="40" t="n"/>
      <c r="AE494" s="40" t="n"/>
      <c r="AF494" s="40" t="n"/>
    </row>
    <row r="495" ht="13" customHeight="1" s="50">
      <c r="E495" s="40" t="n"/>
      <c r="F495" s="40" t="n"/>
      <c r="G495" s="40" t="n"/>
      <c r="H495" s="41" t="n"/>
      <c r="K495" s="40" t="n"/>
      <c r="L495" s="1" t="n"/>
      <c r="N495" s="40" t="n"/>
      <c r="O495" s="40" t="n"/>
      <c r="Z495" s="40" t="n"/>
      <c r="AA495" s="40" t="n"/>
      <c r="AC495" s="40" t="n"/>
      <c r="AD495" s="40" t="n"/>
      <c r="AE495" s="40" t="n"/>
      <c r="AF495" s="40" t="n"/>
    </row>
    <row r="496" ht="13" customHeight="1" s="50">
      <c r="E496" s="40" t="n"/>
      <c r="F496" s="40" t="n"/>
      <c r="G496" s="40" t="n"/>
      <c r="H496" s="41" t="n"/>
      <c r="K496" s="40" t="n"/>
      <c r="L496" s="1" t="n"/>
      <c r="N496" s="40" t="n"/>
      <c r="O496" s="40" t="n"/>
      <c r="Z496" s="40" t="n"/>
      <c r="AA496" s="40" t="n"/>
      <c r="AC496" s="40" t="n"/>
      <c r="AD496" s="40" t="n"/>
      <c r="AE496" s="40" t="n"/>
      <c r="AF496" s="40" t="n"/>
    </row>
    <row r="497" ht="13" customHeight="1" s="50">
      <c r="E497" s="40" t="n"/>
      <c r="F497" s="40" t="n"/>
      <c r="G497" s="40" t="n"/>
      <c r="H497" s="41" t="n"/>
      <c r="K497" s="40" t="n"/>
      <c r="L497" s="1" t="n"/>
      <c r="N497" s="40" t="n"/>
      <c r="O497" s="40" t="n"/>
      <c r="Z497" s="40" t="n"/>
      <c r="AA497" s="40" t="n"/>
      <c r="AC497" s="40" t="n"/>
      <c r="AD497" s="40" t="n"/>
      <c r="AE497" s="40" t="n"/>
      <c r="AF497" s="40" t="n"/>
    </row>
    <row r="498" ht="13" customHeight="1" s="50">
      <c r="E498" s="40" t="n"/>
      <c r="F498" s="40" t="n"/>
      <c r="G498" s="40" t="n"/>
      <c r="H498" s="41" t="n"/>
      <c r="K498" s="40" t="n"/>
      <c r="L498" s="1" t="n"/>
      <c r="N498" s="40" t="n"/>
      <c r="O498" s="40" t="n"/>
      <c r="Z498" s="40" t="n"/>
      <c r="AA498" s="40" t="n"/>
      <c r="AC498" s="40" t="n"/>
      <c r="AD498" s="40" t="n"/>
      <c r="AE498" s="40" t="n"/>
      <c r="AF498" s="40" t="n"/>
    </row>
    <row r="499" ht="13" customHeight="1" s="50">
      <c r="E499" s="40" t="n"/>
      <c r="F499" s="40" t="n"/>
      <c r="G499" s="40" t="n"/>
      <c r="H499" s="41" t="n"/>
      <c r="K499" s="40" t="n"/>
      <c r="L499" s="1" t="n"/>
      <c r="N499" s="40" t="n"/>
      <c r="O499" s="40" t="n"/>
      <c r="Z499" s="40" t="n"/>
      <c r="AA499" s="40" t="n"/>
      <c r="AC499" s="40" t="n"/>
      <c r="AD499" s="40" t="n"/>
      <c r="AE499" s="40" t="n"/>
      <c r="AF499" s="40" t="n"/>
    </row>
    <row r="500" ht="13" customHeight="1" s="50">
      <c r="E500" s="40" t="n"/>
      <c r="F500" s="40" t="n"/>
      <c r="G500" s="40" t="n"/>
      <c r="H500" s="41" t="n"/>
      <c r="K500" s="40" t="n"/>
      <c r="L500" s="1" t="n"/>
      <c r="N500" s="40" t="n"/>
      <c r="O500" s="40" t="n"/>
      <c r="Z500" s="40" t="n"/>
      <c r="AA500" s="40" t="n"/>
      <c r="AC500" s="40" t="n"/>
      <c r="AD500" s="40" t="n"/>
      <c r="AE500" s="40" t="n"/>
      <c r="AF500" s="40" t="n"/>
    </row>
    <row r="501" ht="13" customHeight="1" s="50">
      <c r="E501" s="40" t="n"/>
      <c r="F501" s="40" t="n"/>
      <c r="G501" s="40" t="n"/>
      <c r="H501" s="41" t="n"/>
      <c r="K501" s="40" t="n"/>
      <c r="L501" s="1" t="n"/>
      <c r="N501" s="40" t="n"/>
      <c r="O501" s="40" t="n"/>
      <c r="Z501" s="40" t="n"/>
      <c r="AA501" s="40" t="n"/>
      <c r="AC501" s="40" t="n"/>
      <c r="AD501" s="40" t="n"/>
      <c r="AE501" s="40" t="n"/>
      <c r="AF501" s="40" t="n"/>
    </row>
    <row r="502" ht="13" customHeight="1" s="50">
      <c r="E502" s="40" t="n"/>
      <c r="F502" s="40" t="n"/>
      <c r="G502" s="40" t="n"/>
      <c r="H502" s="41" t="n"/>
      <c r="K502" s="40" t="n"/>
      <c r="L502" s="1" t="n"/>
      <c r="N502" s="40" t="n"/>
      <c r="O502" s="40" t="n"/>
      <c r="Z502" s="40" t="n"/>
      <c r="AA502" s="40" t="n"/>
      <c r="AC502" s="40" t="n"/>
      <c r="AD502" s="40" t="n"/>
      <c r="AE502" s="40" t="n"/>
      <c r="AF502" s="40" t="n"/>
    </row>
    <row r="503" ht="13" customHeight="1" s="50">
      <c r="E503" s="40" t="n"/>
      <c r="F503" s="40" t="n"/>
      <c r="G503" s="40" t="n"/>
      <c r="H503" s="41" t="n"/>
      <c r="K503" s="40" t="n"/>
      <c r="L503" s="1" t="n"/>
      <c r="N503" s="40" t="n"/>
      <c r="O503" s="40" t="n"/>
      <c r="Z503" s="40" t="n"/>
      <c r="AA503" s="40" t="n"/>
      <c r="AC503" s="40" t="n"/>
      <c r="AD503" s="40" t="n"/>
      <c r="AE503" s="40" t="n"/>
      <c r="AF503" s="40" t="n"/>
    </row>
    <row r="504" ht="13" customHeight="1" s="50">
      <c r="E504" s="40" t="n"/>
      <c r="F504" s="40" t="n"/>
      <c r="G504" s="40" t="n"/>
      <c r="H504" s="41" t="n"/>
      <c r="K504" s="40" t="n"/>
      <c r="L504" s="1" t="n"/>
      <c r="N504" s="40" t="n"/>
      <c r="O504" s="40" t="n"/>
      <c r="Z504" s="40" t="n"/>
      <c r="AA504" s="40" t="n"/>
      <c r="AC504" s="40" t="n"/>
      <c r="AD504" s="40" t="n"/>
      <c r="AE504" s="40" t="n"/>
      <c r="AF504" s="40" t="n"/>
    </row>
    <row r="505" ht="13" customHeight="1" s="50">
      <c r="E505" s="40" t="n"/>
      <c r="F505" s="40" t="n"/>
      <c r="G505" s="40" t="n"/>
      <c r="H505" s="41" t="n"/>
      <c r="K505" s="40" t="n"/>
      <c r="L505" s="1" t="n"/>
      <c r="N505" s="40" t="n"/>
      <c r="O505" s="40" t="n"/>
      <c r="Z505" s="40" t="n"/>
      <c r="AA505" s="40" t="n"/>
      <c r="AC505" s="40" t="n"/>
      <c r="AD505" s="40" t="n"/>
      <c r="AE505" s="40" t="n"/>
      <c r="AF505" s="40" t="n"/>
    </row>
    <row r="506" ht="13" customHeight="1" s="50">
      <c r="E506" s="40" t="n"/>
      <c r="F506" s="40" t="n"/>
      <c r="G506" s="40" t="n"/>
      <c r="H506" s="41" t="n"/>
      <c r="K506" s="40" t="n"/>
      <c r="L506" s="1" t="n"/>
      <c r="N506" s="40" t="n"/>
      <c r="O506" s="40" t="n"/>
      <c r="Z506" s="40" t="n"/>
      <c r="AA506" s="40" t="n"/>
      <c r="AC506" s="40" t="n"/>
      <c r="AD506" s="40" t="n"/>
      <c r="AE506" s="40" t="n"/>
      <c r="AF506" s="40" t="n"/>
    </row>
    <row r="507" ht="13" customHeight="1" s="50">
      <c r="E507" s="40" t="n"/>
      <c r="F507" s="40" t="n"/>
      <c r="G507" s="40" t="n"/>
      <c r="H507" s="41" t="n"/>
      <c r="K507" s="40" t="n"/>
      <c r="L507" s="1" t="n"/>
      <c r="N507" s="40" t="n"/>
      <c r="O507" s="40" t="n"/>
      <c r="Z507" s="40" t="n"/>
      <c r="AA507" s="40" t="n"/>
      <c r="AC507" s="40" t="n"/>
      <c r="AD507" s="40" t="n"/>
      <c r="AE507" s="40" t="n"/>
      <c r="AF507" s="40" t="n"/>
    </row>
    <row r="508" ht="13" customHeight="1" s="50">
      <c r="E508" s="40" t="n"/>
      <c r="F508" s="40" t="n"/>
      <c r="G508" s="40" t="n"/>
      <c r="H508" s="41" t="n"/>
      <c r="K508" s="40" t="n"/>
      <c r="L508" s="1" t="n"/>
      <c r="N508" s="40" t="n"/>
      <c r="O508" s="40" t="n"/>
      <c r="Z508" s="40" t="n"/>
      <c r="AA508" s="40" t="n"/>
      <c r="AC508" s="40" t="n"/>
      <c r="AD508" s="40" t="n"/>
      <c r="AE508" s="40" t="n"/>
      <c r="AF508" s="40" t="n"/>
    </row>
    <row r="509" ht="13" customHeight="1" s="50">
      <c r="E509" s="40" t="n"/>
      <c r="F509" s="40" t="n"/>
      <c r="G509" s="40" t="n"/>
      <c r="H509" s="41" t="n"/>
      <c r="K509" s="40" t="n"/>
      <c r="L509" s="1" t="n"/>
      <c r="N509" s="40" t="n"/>
      <c r="O509" s="40" t="n"/>
      <c r="Z509" s="40" t="n"/>
      <c r="AA509" s="40" t="n"/>
      <c r="AC509" s="40" t="n"/>
      <c r="AD509" s="40" t="n"/>
      <c r="AE509" s="40" t="n"/>
      <c r="AF509" s="40" t="n"/>
    </row>
    <row r="510" ht="13" customHeight="1" s="50">
      <c r="E510" s="40" t="n"/>
      <c r="F510" s="40" t="n"/>
      <c r="G510" s="40" t="n"/>
      <c r="H510" s="41" t="n"/>
      <c r="K510" s="40" t="n"/>
      <c r="L510" s="1" t="n"/>
      <c r="N510" s="40" t="n"/>
      <c r="O510" s="40" t="n"/>
      <c r="Z510" s="40" t="n"/>
      <c r="AA510" s="40" t="n"/>
      <c r="AC510" s="40" t="n"/>
      <c r="AD510" s="40" t="n"/>
      <c r="AE510" s="40" t="n"/>
      <c r="AF510" s="40" t="n"/>
    </row>
    <row r="511" ht="13" customHeight="1" s="50">
      <c r="E511" s="40" t="n"/>
      <c r="F511" s="40" t="n"/>
      <c r="G511" s="40" t="n"/>
      <c r="H511" s="41" t="n"/>
      <c r="K511" s="40" t="n"/>
      <c r="L511" s="1" t="n"/>
      <c r="N511" s="40" t="n"/>
      <c r="O511" s="40" t="n"/>
      <c r="Z511" s="40" t="n"/>
      <c r="AA511" s="40" t="n"/>
      <c r="AC511" s="40" t="n"/>
      <c r="AD511" s="40" t="n"/>
      <c r="AE511" s="40" t="n"/>
      <c r="AF511" s="40" t="n"/>
    </row>
    <row r="512" ht="13" customHeight="1" s="50">
      <c r="E512" s="40" t="n"/>
      <c r="F512" s="40" t="n"/>
      <c r="G512" s="40" t="n"/>
      <c r="H512" s="41" t="n"/>
      <c r="K512" s="40" t="n"/>
      <c r="L512" s="1" t="n"/>
      <c r="N512" s="40" t="n"/>
      <c r="O512" s="40" t="n"/>
      <c r="Z512" s="40" t="n"/>
      <c r="AA512" s="40" t="n"/>
      <c r="AC512" s="40" t="n"/>
      <c r="AD512" s="40" t="n"/>
      <c r="AE512" s="40" t="n"/>
      <c r="AF512" s="40" t="n"/>
    </row>
    <row r="513" ht="13" customHeight="1" s="50">
      <c r="E513" s="40" t="n"/>
      <c r="F513" s="40" t="n"/>
      <c r="G513" s="40" t="n"/>
      <c r="H513" s="41" t="n"/>
      <c r="K513" s="40" t="n"/>
      <c r="L513" s="1" t="n"/>
      <c r="N513" s="40" t="n"/>
      <c r="O513" s="40" t="n"/>
      <c r="Z513" s="40" t="n"/>
      <c r="AA513" s="40" t="n"/>
      <c r="AC513" s="40" t="n"/>
      <c r="AD513" s="40" t="n"/>
      <c r="AE513" s="40" t="n"/>
      <c r="AF513" s="40" t="n"/>
    </row>
    <row r="514" ht="13" customHeight="1" s="50">
      <c r="E514" s="40" t="n"/>
      <c r="F514" s="40" t="n"/>
      <c r="G514" s="40" t="n"/>
      <c r="H514" s="41" t="n"/>
      <c r="K514" s="40" t="n"/>
      <c r="L514" s="1" t="n"/>
      <c r="N514" s="40" t="n"/>
      <c r="O514" s="40" t="n"/>
      <c r="Z514" s="40" t="n"/>
      <c r="AA514" s="40" t="n"/>
      <c r="AC514" s="40" t="n"/>
      <c r="AD514" s="40" t="n"/>
      <c r="AE514" s="40" t="n"/>
      <c r="AF514" s="40" t="n"/>
    </row>
    <row r="515" ht="13" customHeight="1" s="50">
      <c r="E515" s="40" t="n"/>
      <c r="F515" s="40" t="n"/>
      <c r="G515" s="40" t="n"/>
      <c r="H515" s="41" t="n"/>
      <c r="K515" s="40" t="n"/>
      <c r="L515" s="1" t="n"/>
      <c r="N515" s="40" t="n"/>
      <c r="O515" s="40" t="n"/>
      <c r="Z515" s="40" t="n"/>
      <c r="AA515" s="40" t="n"/>
      <c r="AC515" s="40" t="n"/>
      <c r="AD515" s="40" t="n"/>
      <c r="AE515" s="40" t="n"/>
      <c r="AF515" s="40" t="n"/>
    </row>
    <row r="516" ht="13" customHeight="1" s="50">
      <c r="E516" s="40" t="n"/>
      <c r="F516" s="40" t="n"/>
      <c r="G516" s="40" t="n"/>
      <c r="H516" s="41" t="n"/>
      <c r="K516" s="40" t="n"/>
      <c r="L516" s="1" t="n"/>
      <c r="N516" s="40" t="n"/>
      <c r="O516" s="40" t="n"/>
      <c r="Z516" s="40" t="n"/>
      <c r="AA516" s="40" t="n"/>
      <c r="AC516" s="40" t="n"/>
      <c r="AD516" s="40" t="n"/>
      <c r="AE516" s="40" t="n"/>
      <c r="AF516" s="40" t="n"/>
    </row>
    <row r="517" ht="13" customHeight="1" s="50">
      <c r="E517" s="40" t="n"/>
      <c r="F517" s="40" t="n"/>
      <c r="G517" s="40" t="n"/>
      <c r="H517" s="41" t="n"/>
      <c r="K517" s="40" t="n"/>
      <c r="L517" s="1" t="n"/>
      <c r="N517" s="40" t="n"/>
      <c r="O517" s="40" t="n"/>
      <c r="Z517" s="40" t="n"/>
      <c r="AA517" s="40" t="n"/>
      <c r="AC517" s="40" t="n"/>
      <c r="AD517" s="40" t="n"/>
      <c r="AE517" s="40" t="n"/>
      <c r="AF517" s="40" t="n"/>
    </row>
    <row r="518" ht="13" customHeight="1" s="50">
      <c r="E518" s="40" t="n"/>
      <c r="F518" s="40" t="n"/>
      <c r="G518" s="40" t="n"/>
      <c r="H518" s="41" t="n"/>
      <c r="K518" s="40" t="n"/>
      <c r="L518" s="1" t="n"/>
      <c r="N518" s="40" t="n"/>
      <c r="O518" s="40" t="n"/>
      <c r="Z518" s="40" t="n"/>
      <c r="AA518" s="40" t="n"/>
      <c r="AC518" s="40" t="n"/>
      <c r="AD518" s="40" t="n"/>
      <c r="AE518" s="40" t="n"/>
      <c r="AF518" s="40" t="n"/>
    </row>
    <row r="519" ht="13" customHeight="1" s="50">
      <c r="E519" s="40" t="n"/>
      <c r="F519" s="40" t="n"/>
      <c r="G519" s="40" t="n"/>
      <c r="H519" s="41" t="n"/>
      <c r="K519" s="40" t="n"/>
      <c r="L519" s="1" t="n"/>
      <c r="N519" s="40" t="n"/>
      <c r="O519" s="40" t="n"/>
      <c r="Z519" s="40" t="n"/>
      <c r="AA519" s="40" t="n"/>
      <c r="AC519" s="40" t="n"/>
      <c r="AD519" s="40" t="n"/>
      <c r="AE519" s="40" t="n"/>
      <c r="AF519" s="40" t="n"/>
    </row>
    <row r="520" ht="13" customHeight="1" s="50">
      <c r="E520" s="40" t="n"/>
      <c r="F520" s="40" t="n"/>
      <c r="G520" s="40" t="n"/>
      <c r="H520" s="41" t="n"/>
      <c r="K520" s="40" t="n"/>
      <c r="L520" s="1" t="n"/>
      <c r="N520" s="40" t="n"/>
      <c r="O520" s="40" t="n"/>
      <c r="Z520" s="40" t="n"/>
      <c r="AA520" s="40" t="n"/>
      <c r="AC520" s="40" t="n"/>
      <c r="AD520" s="40" t="n"/>
      <c r="AE520" s="40" t="n"/>
      <c r="AF520" s="40" t="n"/>
    </row>
    <row r="521" ht="13" customHeight="1" s="50">
      <c r="E521" s="40" t="n"/>
      <c r="F521" s="40" t="n"/>
      <c r="G521" s="40" t="n"/>
      <c r="H521" s="41" t="n"/>
      <c r="K521" s="40" t="n"/>
      <c r="L521" s="1" t="n"/>
      <c r="N521" s="40" t="n"/>
      <c r="O521" s="40" t="n"/>
      <c r="Z521" s="40" t="n"/>
      <c r="AA521" s="40" t="n"/>
      <c r="AC521" s="40" t="n"/>
      <c r="AD521" s="40" t="n"/>
      <c r="AE521" s="40" t="n"/>
      <c r="AF521" s="40" t="n"/>
    </row>
    <row r="522" ht="13" customHeight="1" s="50">
      <c r="E522" s="40" t="n"/>
      <c r="F522" s="40" t="n"/>
      <c r="G522" s="40" t="n"/>
      <c r="H522" s="41" t="n"/>
      <c r="K522" s="40" t="n"/>
      <c r="L522" s="1" t="n"/>
      <c r="N522" s="40" t="n"/>
      <c r="O522" s="40" t="n"/>
      <c r="Z522" s="40" t="n"/>
      <c r="AA522" s="40" t="n"/>
      <c r="AC522" s="40" t="n"/>
      <c r="AD522" s="40" t="n"/>
      <c r="AE522" s="40" t="n"/>
      <c r="AF522" s="40" t="n"/>
    </row>
    <row r="523" ht="13" customHeight="1" s="50">
      <c r="E523" s="40" t="n"/>
      <c r="F523" s="40" t="n"/>
      <c r="G523" s="40" t="n"/>
      <c r="H523" s="41" t="n"/>
      <c r="K523" s="40" t="n"/>
      <c r="L523" s="1" t="n"/>
      <c r="N523" s="40" t="n"/>
      <c r="O523" s="40" t="n"/>
      <c r="Z523" s="40" t="n"/>
      <c r="AA523" s="40" t="n"/>
      <c r="AC523" s="40" t="n"/>
      <c r="AD523" s="40" t="n"/>
      <c r="AE523" s="40" t="n"/>
      <c r="AF523" s="40" t="n"/>
    </row>
    <row r="524" ht="13" customHeight="1" s="50">
      <c r="E524" s="40" t="n"/>
      <c r="F524" s="40" t="n"/>
      <c r="G524" s="40" t="n"/>
      <c r="H524" s="41" t="n"/>
      <c r="K524" s="40" t="n"/>
      <c r="L524" s="1" t="n"/>
      <c r="N524" s="40" t="n"/>
      <c r="O524" s="40" t="n"/>
      <c r="Z524" s="40" t="n"/>
      <c r="AA524" s="40" t="n"/>
      <c r="AC524" s="40" t="n"/>
      <c r="AD524" s="40" t="n"/>
      <c r="AE524" s="40" t="n"/>
      <c r="AF524" s="40" t="n"/>
    </row>
    <row r="525" ht="13" customHeight="1" s="50">
      <c r="E525" s="40" t="n"/>
      <c r="F525" s="40" t="n"/>
      <c r="G525" s="40" t="n"/>
      <c r="H525" s="41" t="n"/>
      <c r="K525" s="40" t="n"/>
      <c r="L525" s="1" t="n"/>
      <c r="N525" s="40" t="n"/>
      <c r="O525" s="40" t="n"/>
      <c r="Z525" s="40" t="n"/>
      <c r="AA525" s="40" t="n"/>
      <c r="AC525" s="40" t="n"/>
      <c r="AD525" s="40" t="n"/>
      <c r="AE525" s="40" t="n"/>
      <c r="AF525" s="40" t="n"/>
    </row>
    <row r="526" ht="13" customHeight="1" s="50">
      <c r="E526" s="40" t="n"/>
      <c r="F526" s="40" t="n"/>
      <c r="G526" s="40" t="n"/>
      <c r="H526" s="41" t="n"/>
      <c r="K526" s="40" t="n"/>
      <c r="L526" s="1" t="n"/>
      <c r="N526" s="40" t="n"/>
      <c r="O526" s="40" t="n"/>
      <c r="Z526" s="40" t="n"/>
      <c r="AA526" s="40" t="n"/>
      <c r="AC526" s="40" t="n"/>
      <c r="AD526" s="40" t="n"/>
      <c r="AE526" s="40" t="n"/>
      <c r="AF526" s="40" t="n"/>
    </row>
    <row r="527" ht="13" customHeight="1" s="50">
      <c r="E527" s="40" t="n"/>
      <c r="F527" s="40" t="n"/>
      <c r="G527" s="40" t="n"/>
      <c r="H527" s="41" t="n"/>
      <c r="K527" s="40" t="n"/>
      <c r="L527" s="1" t="n"/>
      <c r="N527" s="40" t="n"/>
      <c r="O527" s="40" t="n"/>
      <c r="Z527" s="40" t="n"/>
      <c r="AA527" s="40" t="n"/>
      <c r="AC527" s="40" t="n"/>
      <c r="AD527" s="40" t="n"/>
      <c r="AE527" s="40" t="n"/>
      <c r="AF527" s="40" t="n"/>
    </row>
    <row r="528" ht="13" customHeight="1" s="50">
      <c r="E528" s="40" t="n"/>
      <c r="F528" s="40" t="n"/>
      <c r="G528" s="40" t="n"/>
      <c r="H528" s="41" t="n"/>
      <c r="K528" s="40" t="n"/>
      <c r="L528" s="1" t="n"/>
      <c r="N528" s="40" t="n"/>
      <c r="O528" s="40" t="n"/>
      <c r="Z528" s="40" t="n"/>
      <c r="AA528" s="40" t="n"/>
      <c r="AC528" s="40" t="n"/>
      <c r="AD528" s="40" t="n"/>
      <c r="AE528" s="40" t="n"/>
      <c r="AF528" s="40" t="n"/>
    </row>
    <row r="529" ht="13" customHeight="1" s="50">
      <c r="E529" s="40" t="n"/>
      <c r="F529" s="40" t="n"/>
      <c r="G529" s="40" t="n"/>
      <c r="H529" s="41" t="n"/>
      <c r="K529" s="40" t="n"/>
      <c r="L529" s="1" t="n"/>
      <c r="N529" s="40" t="n"/>
      <c r="O529" s="40" t="n"/>
      <c r="Z529" s="40" t="n"/>
      <c r="AA529" s="40" t="n"/>
      <c r="AC529" s="40" t="n"/>
      <c r="AD529" s="40" t="n"/>
      <c r="AE529" s="40" t="n"/>
      <c r="AF529" s="40" t="n"/>
    </row>
    <row r="530" ht="13" customHeight="1" s="50">
      <c r="E530" s="40" t="n"/>
      <c r="F530" s="40" t="n"/>
      <c r="G530" s="40" t="n"/>
      <c r="H530" s="41" t="n"/>
      <c r="K530" s="40" t="n"/>
      <c r="L530" s="1" t="n"/>
      <c r="N530" s="40" t="n"/>
      <c r="O530" s="40" t="n"/>
      <c r="Z530" s="40" t="n"/>
      <c r="AA530" s="40" t="n"/>
      <c r="AC530" s="40" t="n"/>
      <c r="AD530" s="40" t="n"/>
      <c r="AE530" s="40" t="n"/>
      <c r="AF530" s="40" t="n"/>
    </row>
    <row r="531" ht="13" customHeight="1" s="50">
      <c r="E531" s="40" t="n"/>
      <c r="F531" s="40" t="n"/>
      <c r="G531" s="40" t="n"/>
      <c r="H531" s="41" t="n"/>
      <c r="K531" s="40" t="n"/>
      <c r="L531" s="1" t="n"/>
      <c r="N531" s="40" t="n"/>
      <c r="O531" s="40" t="n"/>
      <c r="Z531" s="40" t="n"/>
      <c r="AA531" s="40" t="n"/>
      <c r="AC531" s="40" t="n"/>
      <c r="AD531" s="40" t="n"/>
      <c r="AE531" s="40" t="n"/>
      <c r="AF531" s="40" t="n"/>
    </row>
    <row r="532" ht="13" customHeight="1" s="50">
      <c r="E532" s="40" t="n"/>
      <c r="F532" s="40" t="n"/>
      <c r="G532" s="40" t="n"/>
      <c r="H532" s="41" t="n"/>
      <c r="K532" s="40" t="n"/>
      <c r="L532" s="1" t="n"/>
      <c r="N532" s="40" t="n"/>
      <c r="O532" s="40" t="n"/>
      <c r="Z532" s="40" t="n"/>
      <c r="AA532" s="40" t="n"/>
      <c r="AC532" s="40" t="n"/>
      <c r="AD532" s="40" t="n"/>
      <c r="AE532" s="40" t="n"/>
      <c r="AF532" s="40" t="n"/>
    </row>
    <row r="533" ht="13" customHeight="1" s="50">
      <c r="E533" s="40" t="n"/>
      <c r="F533" s="40" t="n"/>
      <c r="G533" s="40" t="n"/>
      <c r="H533" s="41" t="n"/>
      <c r="K533" s="40" t="n"/>
      <c r="L533" s="1" t="n"/>
      <c r="N533" s="40" t="n"/>
      <c r="O533" s="40" t="n"/>
      <c r="Z533" s="40" t="n"/>
      <c r="AA533" s="40" t="n"/>
      <c r="AC533" s="40" t="n"/>
      <c r="AD533" s="40" t="n"/>
      <c r="AE533" s="40" t="n"/>
      <c r="AF533" s="40" t="n"/>
    </row>
    <row r="534" ht="13" customHeight="1" s="50">
      <c r="E534" s="40" t="n"/>
      <c r="F534" s="40" t="n"/>
      <c r="G534" s="40" t="n"/>
      <c r="H534" s="41" t="n"/>
      <c r="K534" s="40" t="n"/>
      <c r="L534" s="1" t="n"/>
      <c r="N534" s="40" t="n"/>
      <c r="O534" s="40" t="n"/>
      <c r="Z534" s="40" t="n"/>
      <c r="AA534" s="40" t="n"/>
      <c r="AC534" s="40" t="n"/>
      <c r="AD534" s="40" t="n"/>
      <c r="AE534" s="40" t="n"/>
      <c r="AF534" s="40" t="n"/>
    </row>
    <row r="535" ht="13" customHeight="1" s="50">
      <c r="E535" s="40" t="n"/>
      <c r="F535" s="40" t="n"/>
      <c r="G535" s="40" t="n"/>
      <c r="H535" s="41" t="n"/>
      <c r="K535" s="40" t="n"/>
      <c r="L535" s="1" t="n"/>
      <c r="N535" s="40" t="n"/>
      <c r="O535" s="40" t="n"/>
      <c r="Z535" s="40" t="n"/>
      <c r="AA535" s="40" t="n"/>
      <c r="AC535" s="40" t="n"/>
      <c r="AD535" s="40" t="n"/>
      <c r="AE535" s="40" t="n"/>
      <c r="AF535" s="40" t="n"/>
    </row>
    <row r="536" ht="13" customHeight="1" s="50">
      <c r="E536" s="40" t="n"/>
      <c r="F536" s="40" t="n"/>
      <c r="G536" s="40" t="n"/>
      <c r="H536" s="41" t="n"/>
      <c r="K536" s="40" t="n"/>
      <c r="L536" s="1" t="n"/>
      <c r="N536" s="40" t="n"/>
      <c r="O536" s="40" t="n"/>
      <c r="Z536" s="40" t="n"/>
      <c r="AA536" s="40" t="n"/>
      <c r="AC536" s="40" t="n"/>
      <c r="AD536" s="40" t="n"/>
      <c r="AE536" s="40" t="n"/>
      <c r="AF536" s="40" t="n"/>
    </row>
    <row r="537" ht="13" customHeight="1" s="50">
      <c r="E537" s="40" t="n"/>
      <c r="F537" s="40" t="n"/>
      <c r="G537" s="40" t="n"/>
      <c r="H537" s="41" t="n"/>
      <c r="K537" s="40" t="n"/>
      <c r="L537" s="1" t="n"/>
      <c r="N537" s="40" t="n"/>
      <c r="O537" s="40" t="n"/>
      <c r="Z537" s="40" t="n"/>
      <c r="AA537" s="40" t="n"/>
      <c r="AC537" s="40" t="n"/>
      <c r="AD537" s="40" t="n"/>
      <c r="AE537" s="40" t="n"/>
      <c r="AF537" s="40" t="n"/>
    </row>
    <row r="538" ht="13" customHeight="1" s="50">
      <c r="E538" s="40" t="n"/>
      <c r="F538" s="40" t="n"/>
      <c r="G538" s="40" t="n"/>
      <c r="H538" s="41" t="n"/>
      <c r="K538" s="40" t="n"/>
      <c r="L538" s="1" t="n"/>
      <c r="N538" s="40" t="n"/>
      <c r="O538" s="40" t="n"/>
      <c r="Z538" s="40" t="n"/>
      <c r="AA538" s="40" t="n"/>
      <c r="AC538" s="40" t="n"/>
      <c r="AD538" s="40" t="n"/>
      <c r="AE538" s="40" t="n"/>
      <c r="AF538" s="40" t="n"/>
    </row>
    <row r="539" ht="13" customHeight="1" s="50">
      <c r="E539" s="40" t="n"/>
      <c r="F539" s="40" t="n"/>
      <c r="G539" s="40" t="n"/>
      <c r="H539" s="41" t="n"/>
      <c r="K539" s="40" t="n"/>
      <c r="L539" s="1" t="n"/>
      <c r="N539" s="40" t="n"/>
      <c r="O539" s="40" t="n"/>
      <c r="Z539" s="40" t="n"/>
      <c r="AA539" s="40" t="n"/>
      <c r="AC539" s="40" t="n"/>
      <c r="AD539" s="40" t="n"/>
      <c r="AE539" s="40" t="n"/>
      <c r="AF539" s="40" t="n"/>
    </row>
    <row r="540" ht="13" customHeight="1" s="50">
      <c r="E540" s="40" t="n"/>
      <c r="F540" s="40" t="n"/>
      <c r="G540" s="40" t="n"/>
      <c r="H540" s="41" t="n"/>
      <c r="K540" s="40" t="n"/>
      <c r="L540" s="1" t="n"/>
      <c r="N540" s="40" t="n"/>
      <c r="O540" s="40" t="n"/>
      <c r="Z540" s="40" t="n"/>
      <c r="AA540" s="40" t="n"/>
      <c r="AC540" s="40" t="n"/>
      <c r="AD540" s="40" t="n"/>
      <c r="AE540" s="40" t="n"/>
      <c r="AF540" s="40" t="n"/>
    </row>
    <row r="541" ht="13" customHeight="1" s="50">
      <c r="E541" s="40" t="n"/>
      <c r="F541" s="40" t="n"/>
      <c r="G541" s="40" t="n"/>
      <c r="H541" s="41" t="n"/>
      <c r="K541" s="40" t="n"/>
      <c r="L541" s="1" t="n"/>
      <c r="N541" s="40" t="n"/>
      <c r="O541" s="40" t="n"/>
      <c r="Z541" s="40" t="n"/>
      <c r="AA541" s="40" t="n"/>
      <c r="AC541" s="40" t="n"/>
      <c r="AD541" s="40" t="n"/>
      <c r="AE541" s="40" t="n"/>
      <c r="AF541" s="40" t="n"/>
    </row>
    <row r="542" ht="13" customHeight="1" s="50">
      <c r="E542" s="40" t="n"/>
      <c r="F542" s="40" t="n"/>
      <c r="G542" s="40" t="n"/>
      <c r="H542" s="41" t="n"/>
      <c r="K542" s="40" t="n"/>
      <c r="L542" s="1" t="n"/>
      <c r="N542" s="40" t="n"/>
      <c r="O542" s="40" t="n"/>
      <c r="Z542" s="40" t="n"/>
      <c r="AA542" s="40" t="n"/>
      <c r="AC542" s="40" t="n"/>
      <c r="AD542" s="40" t="n"/>
      <c r="AE542" s="40" t="n"/>
      <c r="AF542" s="40" t="n"/>
    </row>
    <row r="543" ht="13" customHeight="1" s="50">
      <c r="E543" s="40" t="n"/>
      <c r="F543" s="40" t="n"/>
      <c r="G543" s="40" t="n"/>
      <c r="H543" s="41" t="n"/>
      <c r="K543" s="40" t="n"/>
      <c r="L543" s="1" t="n"/>
      <c r="N543" s="40" t="n"/>
      <c r="O543" s="40" t="n"/>
      <c r="Z543" s="40" t="n"/>
      <c r="AA543" s="40" t="n"/>
      <c r="AC543" s="40" t="n"/>
      <c r="AD543" s="40" t="n"/>
      <c r="AE543" s="40" t="n"/>
      <c r="AF543" s="40" t="n"/>
    </row>
    <row r="544" ht="13" customHeight="1" s="50">
      <c r="E544" s="40" t="n"/>
      <c r="F544" s="40" t="n"/>
      <c r="G544" s="40" t="n"/>
      <c r="H544" s="41" t="n"/>
      <c r="K544" s="40" t="n"/>
      <c r="L544" s="1" t="n"/>
      <c r="N544" s="40" t="n"/>
      <c r="O544" s="40" t="n"/>
      <c r="Z544" s="40" t="n"/>
      <c r="AA544" s="40" t="n"/>
      <c r="AC544" s="40" t="n"/>
      <c r="AD544" s="40" t="n"/>
      <c r="AE544" s="40" t="n"/>
      <c r="AF544" s="40" t="n"/>
    </row>
    <row r="545" ht="13" customHeight="1" s="50">
      <c r="E545" s="40" t="n"/>
      <c r="F545" s="40" t="n"/>
      <c r="G545" s="40" t="n"/>
      <c r="H545" s="41" t="n"/>
      <c r="K545" s="40" t="n"/>
      <c r="L545" s="1" t="n"/>
      <c r="N545" s="40" t="n"/>
      <c r="O545" s="40" t="n"/>
      <c r="Z545" s="40" t="n"/>
      <c r="AA545" s="40" t="n"/>
      <c r="AC545" s="40" t="n"/>
      <c r="AD545" s="40" t="n"/>
      <c r="AE545" s="40" t="n"/>
      <c r="AF545" s="40" t="n"/>
    </row>
    <row r="546" ht="13" customHeight="1" s="50">
      <c r="E546" s="40" t="n"/>
      <c r="F546" s="40" t="n"/>
      <c r="G546" s="40" t="n"/>
      <c r="H546" s="41" t="n"/>
      <c r="K546" s="40" t="n"/>
      <c r="L546" s="1" t="n"/>
      <c r="N546" s="40" t="n"/>
      <c r="O546" s="40" t="n"/>
      <c r="Z546" s="40" t="n"/>
      <c r="AA546" s="40" t="n"/>
      <c r="AC546" s="40" t="n"/>
      <c r="AD546" s="40" t="n"/>
      <c r="AE546" s="40" t="n"/>
      <c r="AF546" s="40" t="n"/>
    </row>
    <row r="547" ht="13" customHeight="1" s="50">
      <c r="E547" s="40" t="n"/>
      <c r="F547" s="40" t="n"/>
      <c r="G547" s="40" t="n"/>
      <c r="H547" s="41" t="n"/>
      <c r="K547" s="40" t="n"/>
      <c r="L547" s="1" t="n"/>
      <c r="N547" s="40" t="n"/>
      <c r="O547" s="40" t="n"/>
      <c r="Z547" s="40" t="n"/>
      <c r="AA547" s="40" t="n"/>
      <c r="AC547" s="40" t="n"/>
      <c r="AD547" s="40" t="n"/>
      <c r="AE547" s="40" t="n"/>
      <c r="AF547" s="40" t="n"/>
    </row>
    <row r="548" ht="13" customHeight="1" s="50">
      <c r="E548" s="40" t="n"/>
      <c r="F548" s="40" t="n"/>
      <c r="G548" s="40" t="n"/>
      <c r="H548" s="41" t="n"/>
      <c r="K548" s="40" t="n"/>
      <c r="L548" s="1" t="n"/>
      <c r="N548" s="40" t="n"/>
      <c r="O548" s="40" t="n"/>
      <c r="Z548" s="40" t="n"/>
      <c r="AA548" s="40" t="n"/>
      <c r="AC548" s="40" t="n"/>
      <c r="AD548" s="40" t="n"/>
      <c r="AE548" s="40" t="n"/>
      <c r="AF548" s="40" t="n"/>
    </row>
    <row r="549" ht="13" customHeight="1" s="50">
      <c r="E549" s="40" t="n"/>
      <c r="F549" s="40" t="n"/>
      <c r="G549" s="40" t="n"/>
      <c r="H549" s="41" t="n"/>
      <c r="K549" s="40" t="n"/>
      <c r="L549" s="1" t="n"/>
      <c r="N549" s="40" t="n"/>
      <c r="O549" s="40" t="n"/>
      <c r="Z549" s="40" t="n"/>
      <c r="AA549" s="40" t="n"/>
      <c r="AC549" s="40" t="n"/>
      <c r="AD549" s="40" t="n"/>
      <c r="AE549" s="40" t="n"/>
      <c r="AF549" s="40" t="n"/>
    </row>
    <row r="550" ht="13" customHeight="1" s="50">
      <c r="E550" s="40" t="n"/>
      <c r="F550" s="40" t="n"/>
      <c r="G550" s="40" t="n"/>
      <c r="H550" s="41" t="n"/>
      <c r="K550" s="40" t="n"/>
      <c r="L550" s="1" t="n"/>
      <c r="N550" s="40" t="n"/>
      <c r="O550" s="40" t="n"/>
      <c r="Z550" s="40" t="n"/>
      <c r="AA550" s="40" t="n"/>
      <c r="AC550" s="40" t="n"/>
      <c r="AD550" s="40" t="n"/>
      <c r="AE550" s="40" t="n"/>
      <c r="AF550" s="40" t="n"/>
    </row>
    <row r="551" ht="13" customHeight="1" s="50">
      <c r="E551" s="40" t="n"/>
      <c r="F551" s="40" t="n"/>
      <c r="G551" s="40" t="n"/>
      <c r="H551" s="41" t="n"/>
      <c r="K551" s="40" t="n"/>
      <c r="L551" s="1" t="n"/>
      <c r="N551" s="40" t="n"/>
      <c r="O551" s="40" t="n"/>
      <c r="Z551" s="40" t="n"/>
      <c r="AA551" s="40" t="n"/>
      <c r="AC551" s="40" t="n"/>
      <c r="AD551" s="40" t="n"/>
      <c r="AE551" s="40" t="n"/>
      <c r="AF551" s="40" t="n"/>
    </row>
    <row r="552" ht="13" customHeight="1" s="50">
      <c r="E552" s="40" t="n"/>
      <c r="F552" s="40" t="n"/>
      <c r="G552" s="40" t="n"/>
      <c r="H552" s="41" t="n"/>
      <c r="K552" s="40" t="n"/>
      <c r="L552" s="1" t="n"/>
      <c r="N552" s="40" t="n"/>
      <c r="O552" s="40" t="n"/>
      <c r="Z552" s="40" t="n"/>
      <c r="AA552" s="40" t="n"/>
      <c r="AC552" s="40" t="n"/>
      <c r="AD552" s="40" t="n"/>
      <c r="AE552" s="40" t="n"/>
      <c r="AF552" s="40" t="n"/>
    </row>
    <row r="553" ht="13" customHeight="1" s="50">
      <c r="E553" s="40" t="n"/>
      <c r="F553" s="40" t="n"/>
      <c r="G553" s="40" t="n"/>
      <c r="H553" s="41" t="n"/>
      <c r="K553" s="40" t="n"/>
      <c r="L553" s="1" t="n"/>
      <c r="N553" s="40" t="n"/>
      <c r="O553" s="40" t="n"/>
      <c r="Z553" s="40" t="n"/>
      <c r="AA553" s="40" t="n"/>
      <c r="AC553" s="40" t="n"/>
      <c r="AD553" s="40" t="n"/>
      <c r="AE553" s="40" t="n"/>
      <c r="AF553" s="40" t="n"/>
    </row>
    <row r="554" ht="13" customHeight="1" s="50">
      <c r="E554" s="40" t="n"/>
      <c r="F554" s="40" t="n"/>
      <c r="G554" s="40" t="n"/>
      <c r="H554" s="41" t="n"/>
      <c r="K554" s="40" t="n"/>
      <c r="L554" s="1" t="n"/>
      <c r="N554" s="40" t="n"/>
      <c r="O554" s="40" t="n"/>
      <c r="Z554" s="40" t="n"/>
      <c r="AA554" s="40" t="n"/>
      <c r="AC554" s="40" t="n"/>
      <c r="AD554" s="40" t="n"/>
      <c r="AE554" s="40" t="n"/>
      <c r="AF554" s="40" t="n"/>
    </row>
    <row r="555" ht="13" customHeight="1" s="50">
      <c r="E555" s="40" t="n"/>
      <c r="F555" s="40" t="n"/>
      <c r="G555" s="40" t="n"/>
      <c r="H555" s="41" t="n"/>
      <c r="K555" s="40" t="n"/>
      <c r="L555" s="1" t="n"/>
      <c r="N555" s="40" t="n"/>
      <c r="O555" s="40" t="n"/>
      <c r="Z555" s="40" t="n"/>
      <c r="AA555" s="40" t="n"/>
      <c r="AC555" s="40" t="n"/>
      <c r="AD555" s="40" t="n"/>
      <c r="AE555" s="40" t="n"/>
      <c r="AF555" s="40" t="n"/>
    </row>
    <row r="556" ht="13" customHeight="1" s="50">
      <c r="E556" s="40" t="n"/>
      <c r="F556" s="40" t="n"/>
      <c r="G556" s="40" t="n"/>
      <c r="H556" s="41" t="n"/>
      <c r="K556" s="40" t="n"/>
      <c r="L556" s="1" t="n"/>
      <c r="N556" s="40" t="n"/>
      <c r="O556" s="40" t="n"/>
      <c r="Z556" s="40" t="n"/>
      <c r="AA556" s="40" t="n"/>
      <c r="AC556" s="40" t="n"/>
      <c r="AD556" s="40" t="n"/>
      <c r="AE556" s="40" t="n"/>
      <c r="AF556" s="40" t="n"/>
    </row>
    <row r="557" ht="13" customHeight="1" s="50">
      <c r="E557" s="40" t="n"/>
      <c r="F557" s="40" t="n"/>
      <c r="G557" s="40" t="n"/>
      <c r="H557" s="41" t="n"/>
      <c r="K557" s="40" t="n"/>
      <c r="L557" s="1" t="n"/>
      <c r="N557" s="40" t="n"/>
      <c r="O557" s="40" t="n"/>
      <c r="Z557" s="40" t="n"/>
      <c r="AA557" s="40" t="n"/>
      <c r="AC557" s="40" t="n"/>
      <c r="AD557" s="40" t="n"/>
      <c r="AE557" s="40" t="n"/>
      <c r="AF557" s="40" t="n"/>
    </row>
    <row r="558" ht="13" customHeight="1" s="50">
      <c r="E558" s="40" t="n"/>
      <c r="F558" s="40" t="n"/>
      <c r="G558" s="40" t="n"/>
      <c r="H558" s="41" t="n"/>
      <c r="K558" s="40" t="n"/>
      <c r="L558" s="1" t="n"/>
      <c r="N558" s="40" t="n"/>
      <c r="O558" s="40" t="n"/>
      <c r="Z558" s="40" t="n"/>
      <c r="AA558" s="40" t="n"/>
      <c r="AC558" s="40" t="n"/>
      <c r="AD558" s="40" t="n"/>
      <c r="AE558" s="40" t="n"/>
      <c r="AF558" s="40" t="n"/>
    </row>
    <row r="559" ht="13" customHeight="1" s="50">
      <c r="E559" s="40" t="n"/>
      <c r="F559" s="40" t="n"/>
      <c r="G559" s="40" t="n"/>
      <c r="H559" s="41" t="n"/>
      <c r="K559" s="40" t="n"/>
      <c r="L559" s="1" t="n"/>
      <c r="N559" s="40" t="n"/>
      <c r="O559" s="40" t="n"/>
      <c r="Z559" s="40" t="n"/>
      <c r="AA559" s="40" t="n"/>
      <c r="AC559" s="40" t="n"/>
      <c r="AD559" s="40" t="n"/>
      <c r="AE559" s="40" t="n"/>
      <c r="AF559" s="40" t="n"/>
    </row>
    <row r="560" ht="13" customHeight="1" s="50">
      <c r="E560" s="40" t="n"/>
      <c r="F560" s="40" t="n"/>
      <c r="G560" s="40" t="n"/>
      <c r="H560" s="41" t="n"/>
      <c r="K560" s="40" t="n"/>
      <c r="L560" s="1" t="n"/>
      <c r="N560" s="40" t="n"/>
      <c r="O560" s="40" t="n"/>
      <c r="Z560" s="40" t="n"/>
      <c r="AA560" s="40" t="n"/>
      <c r="AC560" s="40" t="n"/>
      <c r="AD560" s="40" t="n"/>
      <c r="AE560" s="40" t="n"/>
      <c r="AF560" s="40" t="n"/>
    </row>
    <row r="561" ht="13" customHeight="1" s="50">
      <c r="E561" s="40" t="n"/>
      <c r="F561" s="40" t="n"/>
      <c r="G561" s="40" t="n"/>
      <c r="H561" s="41" t="n"/>
      <c r="K561" s="40" t="n"/>
      <c r="L561" s="1" t="n"/>
      <c r="N561" s="40" t="n"/>
      <c r="O561" s="40" t="n"/>
      <c r="Z561" s="40" t="n"/>
      <c r="AA561" s="40" t="n"/>
      <c r="AC561" s="40" t="n"/>
      <c r="AD561" s="40" t="n"/>
      <c r="AE561" s="40" t="n"/>
      <c r="AF561" s="40" t="n"/>
    </row>
    <row r="562" ht="13" customHeight="1" s="50">
      <c r="E562" s="40" t="n"/>
      <c r="F562" s="40" t="n"/>
      <c r="G562" s="40" t="n"/>
      <c r="H562" s="41" t="n"/>
      <c r="K562" s="40" t="n"/>
      <c r="L562" s="1" t="n"/>
      <c r="N562" s="40" t="n"/>
      <c r="O562" s="40" t="n"/>
      <c r="Z562" s="40" t="n"/>
      <c r="AA562" s="40" t="n"/>
      <c r="AC562" s="40" t="n"/>
      <c r="AD562" s="40" t="n"/>
      <c r="AE562" s="40" t="n"/>
      <c r="AF562" s="40" t="n"/>
    </row>
    <row r="563" ht="13" customHeight="1" s="50">
      <c r="E563" s="40" t="n"/>
      <c r="F563" s="40" t="n"/>
      <c r="G563" s="40" t="n"/>
      <c r="H563" s="41" t="n"/>
      <c r="K563" s="40" t="n"/>
      <c r="L563" s="1" t="n"/>
      <c r="N563" s="40" t="n"/>
      <c r="O563" s="40" t="n"/>
      <c r="Z563" s="40" t="n"/>
      <c r="AA563" s="40" t="n"/>
      <c r="AC563" s="40" t="n"/>
      <c r="AD563" s="40" t="n"/>
      <c r="AE563" s="40" t="n"/>
      <c r="AF563" s="40" t="n"/>
    </row>
    <row r="564" ht="13" customHeight="1" s="50">
      <c r="E564" s="40" t="n"/>
      <c r="F564" s="40" t="n"/>
      <c r="G564" s="40" t="n"/>
      <c r="H564" s="41" t="n"/>
      <c r="K564" s="40" t="n"/>
      <c r="L564" s="1" t="n"/>
      <c r="N564" s="40" t="n"/>
      <c r="O564" s="40" t="n"/>
      <c r="Z564" s="40" t="n"/>
      <c r="AA564" s="40" t="n"/>
      <c r="AC564" s="40" t="n"/>
      <c r="AD564" s="40" t="n"/>
      <c r="AE564" s="40" t="n"/>
      <c r="AF564" s="40" t="n"/>
    </row>
    <row r="565" ht="13" customHeight="1" s="50">
      <c r="E565" s="40" t="n"/>
      <c r="F565" s="40" t="n"/>
      <c r="G565" s="40" t="n"/>
      <c r="H565" s="41" t="n"/>
      <c r="K565" s="40" t="n"/>
      <c r="L565" s="1" t="n"/>
      <c r="N565" s="40" t="n"/>
      <c r="O565" s="40" t="n"/>
      <c r="Z565" s="40" t="n"/>
      <c r="AA565" s="40" t="n"/>
      <c r="AC565" s="40" t="n"/>
      <c r="AD565" s="40" t="n"/>
      <c r="AE565" s="40" t="n"/>
      <c r="AF565" s="40" t="n"/>
    </row>
    <row r="566" ht="13" customHeight="1" s="50">
      <c r="E566" s="40" t="n"/>
      <c r="F566" s="40" t="n"/>
      <c r="G566" s="40" t="n"/>
      <c r="H566" s="41" t="n"/>
      <c r="K566" s="40" t="n"/>
      <c r="L566" s="1" t="n"/>
      <c r="N566" s="40" t="n"/>
      <c r="O566" s="40" t="n"/>
      <c r="Z566" s="40" t="n"/>
      <c r="AA566" s="40" t="n"/>
      <c r="AC566" s="40" t="n"/>
      <c r="AD566" s="40" t="n"/>
      <c r="AE566" s="40" t="n"/>
      <c r="AF566" s="40" t="n"/>
    </row>
    <row r="567" ht="13" customHeight="1" s="50">
      <c r="E567" s="40" t="n"/>
      <c r="F567" s="40" t="n"/>
      <c r="G567" s="40" t="n"/>
      <c r="H567" s="41" t="n"/>
      <c r="K567" s="40" t="n"/>
      <c r="L567" s="1" t="n"/>
      <c r="N567" s="40" t="n"/>
      <c r="O567" s="40" t="n"/>
      <c r="Z567" s="40" t="n"/>
      <c r="AA567" s="40" t="n"/>
      <c r="AC567" s="40" t="n"/>
      <c r="AD567" s="40" t="n"/>
      <c r="AE567" s="40" t="n"/>
      <c r="AF567" s="40" t="n"/>
    </row>
    <row r="568" ht="13" customHeight="1" s="50">
      <c r="E568" s="40" t="n"/>
      <c r="F568" s="40" t="n"/>
      <c r="G568" s="40" t="n"/>
      <c r="H568" s="41" t="n"/>
      <c r="K568" s="40" t="n"/>
      <c r="L568" s="1" t="n"/>
      <c r="N568" s="40" t="n"/>
      <c r="O568" s="40" t="n"/>
      <c r="Z568" s="40" t="n"/>
      <c r="AA568" s="40" t="n"/>
      <c r="AC568" s="40" t="n"/>
      <c r="AD568" s="40" t="n"/>
      <c r="AE568" s="40" t="n"/>
      <c r="AF568" s="40" t="n"/>
    </row>
    <row r="569" ht="13" customHeight="1" s="50">
      <c r="E569" s="40" t="n"/>
      <c r="F569" s="40" t="n"/>
      <c r="G569" s="40" t="n"/>
      <c r="H569" s="41" t="n"/>
      <c r="K569" s="40" t="n"/>
      <c r="L569" s="1" t="n"/>
      <c r="N569" s="40" t="n"/>
      <c r="O569" s="40" t="n"/>
      <c r="Z569" s="40" t="n"/>
      <c r="AA569" s="40" t="n"/>
      <c r="AC569" s="40" t="n"/>
      <c r="AD569" s="40" t="n"/>
      <c r="AE569" s="40" t="n"/>
      <c r="AF569" s="40" t="n"/>
    </row>
    <row r="570" ht="13" customHeight="1" s="50">
      <c r="E570" s="40" t="n"/>
      <c r="F570" s="40" t="n"/>
      <c r="G570" s="40" t="n"/>
      <c r="H570" s="41" t="n"/>
      <c r="K570" s="40" t="n"/>
      <c r="L570" s="1" t="n"/>
      <c r="N570" s="40" t="n"/>
      <c r="O570" s="40" t="n"/>
      <c r="Z570" s="40" t="n"/>
      <c r="AA570" s="40" t="n"/>
      <c r="AC570" s="40" t="n"/>
      <c r="AD570" s="40" t="n"/>
      <c r="AE570" s="40" t="n"/>
      <c r="AF570" s="40" t="n"/>
    </row>
    <row r="571" ht="13" customHeight="1" s="50">
      <c r="E571" s="40" t="n"/>
      <c r="F571" s="40" t="n"/>
      <c r="G571" s="40" t="n"/>
      <c r="H571" s="41" t="n"/>
      <c r="K571" s="40" t="n"/>
      <c r="L571" s="1" t="n"/>
      <c r="N571" s="40" t="n"/>
      <c r="O571" s="40" t="n"/>
      <c r="Z571" s="40" t="n"/>
      <c r="AA571" s="40" t="n"/>
      <c r="AC571" s="40" t="n"/>
      <c r="AD571" s="40" t="n"/>
      <c r="AE571" s="40" t="n"/>
      <c r="AF571" s="40" t="n"/>
    </row>
    <row r="572" ht="13" customHeight="1" s="50">
      <c r="E572" s="40" t="n"/>
      <c r="F572" s="40" t="n"/>
      <c r="G572" s="40" t="n"/>
      <c r="H572" s="41" t="n"/>
      <c r="K572" s="40" t="n"/>
      <c r="L572" s="1" t="n"/>
      <c r="N572" s="40" t="n"/>
      <c r="O572" s="40" t="n"/>
      <c r="Z572" s="40" t="n"/>
      <c r="AA572" s="40" t="n"/>
      <c r="AC572" s="40" t="n"/>
      <c r="AD572" s="40" t="n"/>
      <c r="AE572" s="40" t="n"/>
      <c r="AF572" s="40" t="n"/>
    </row>
    <row r="573" ht="13" customHeight="1" s="50">
      <c r="E573" s="40" t="n"/>
      <c r="F573" s="40" t="n"/>
      <c r="G573" s="40" t="n"/>
      <c r="H573" s="41" t="n"/>
      <c r="K573" s="40" t="n"/>
      <c r="L573" s="1" t="n"/>
      <c r="N573" s="40" t="n"/>
      <c r="O573" s="40" t="n"/>
      <c r="Z573" s="40" t="n"/>
      <c r="AA573" s="40" t="n"/>
      <c r="AC573" s="40" t="n"/>
      <c r="AD573" s="40" t="n"/>
      <c r="AE573" s="40" t="n"/>
      <c r="AF573" s="40" t="n"/>
    </row>
    <row r="574" ht="13" customHeight="1" s="50">
      <c r="E574" s="40" t="n"/>
      <c r="F574" s="40" t="n"/>
      <c r="G574" s="40" t="n"/>
      <c r="H574" s="41" t="n"/>
      <c r="K574" s="40" t="n"/>
      <c r="L574" s="1" t="n"/>
      <c r="N574" s="40" t="n"/>
      <c r="O574" s="40" t="n"/>
      <c r="Z574" s="40" t="n"/>
      <c r="AA574" s="40" t="n"/>
      <c r="AC574" s="40" t="n"/>
      <c r="AD574" s="40" t="n"/>
      <c r="AE574" s="40" t="n"/>
      <c r="AF574" s="40" t="n"/>
    </row>
    <row r="575" ht="13" customHeight="1" s="50">
      <c r="E575" s="40" t="n"/>
      <c r="F575" s="40" t="n"/>
      <c r="G575" s="40" t="n"/>
      <c r="H575" s="41" t="n"/>
      <c r="K575" s="40" t="n"/>
      <c r="L575" s="1" t="n"/>
      <c r="N575" s="40" t="n"/>
      <c r="O575" s="40" t="n"/>
      <c r="Z575" s="40" t="n"/>
      <c r="AA575" s="40" t="n"/>
      <c r="AC575" s="40" t="n"/>
      <c r="AD575" s="40" t="n"/>
      <c r="AE575" s="40" t="n"/>
      <c r="AF575" s="40" t="n"/>
    </row>
    <row r="576" ht="13" customHeight="1" s="50">
      <c r="E576" s="40" t="n"/>
      <c r="F576" s="40" t="n"/>
      <c r="G576" s="40" t="n"/>
      <c r="H576" s="41" t="n"/>
      <c r="K576" s="40" t="n"/>
      <c r="L576" s="1" t="n"/>
      <c r="N576" s="40" t="n"/>
      <c r="O576" s="40" t="n"/>
      <c r="Z576" s="40" t="n"/>
      <c r="AA576" s="40" t="n"/>
      <c r="AC576" s="40" t="n"/>
      <c r="AD576" s="40" t="n"/>
      <c r="AE576" s="40" t="n"/>
      <c r="AF576" s="40" t="n"/>
    </row>
    <row r="577" ht="13" customHeight="1" s="50">
      <c r="E577" s="40" t="n"/>
      <c r="F577" s="40" t="n"/>
      <c r="G577" s="40" t="n"/>
      <c r="H577" s="41" t="n"/>
      <c r="K577" s="40" t="n"/>
      <c r="L577" s="1" t="n"/>
      <c r="N577" s="40" t="n"/>
      <c r="O577" s="40" t="n"/>
      <c r="Z577" s="40" t="n"/>
      <c r="AA577" s="40" t="n"/>
      <c r="AC577" s="40" t="n"/>
      <c r="AD577" s="40" t="n"/>
      <c r="AE577" s="40" t="n"/>
      <c r="AF577" s="40" t="n"/>
    </row>
    <row r="578" ht="13" customHeight="1" s="50">
      <c r="E578" s="40" t="n"/>
      <c r="F578" s="40" t="n"/>
      <c r="G578" s="40" t="n"/>
      <c r="H578" s="41" t="n"/>
      <c r="K578" s="40" t="n"/>
      <c r="L578" s="1" t="n"/>
      <c r="N578" s="40" t="n"/>
      <c r="O578" s="40" t="n"/>
      <c r="Z578" s="40" t="n"/>
      <c r="AA578" s="40" t="n"/>
      <c r="AC578" s="40" t="n"/>
      <c r="AD578" s="40" t="n"/>
      <c r="AE578" s="40" t="n"/>
      <c r="AF578" s="40" t="n"/>
    </row>
    <row r="579" ht="13" customHeight="1" s="50">
      <c r="E579" s="40" t="n"/>
      <c r="F579" s="40" t="n"/>
      <c r="G579" s="40" t="n"/>
      <c r="H579" s="41" t="n"/>
      <c r="K579" s="40" t="n"/>
      <c r="L579" s="1" t="n"/>
      <c r="N579" s="40" t="n"/>
      <c r="O579" s="40" t="n"/>
      <c r="Z579" s="40" t="n"/>
      <c r="AA579" s="40" t="n"/>
      <c r="AC579" s="40" t="n"/>
      <c r="AD579" s="40" t="n"/>
      <c r="AE579" s="40" t="n"/>
      <c r="AF579" s="40" t="n"/>
    </row>
    <row r="580" ht="13" customHeight="1" s="50">
      <c r="E580" s="40" t="n"/>
      <c r="F580" s="40" t="n"/>
      <c r="G580" s="40" t="n"/>
      <c r="H580" s="41" t="n"/>
      <c r="K580" s="40" t="n"/>
      <c r="L580" s="1" t="n"/>
      <c r="N580" s="40" t="n"/>
      <c r="O580" s="40" t="n"/>
      <c r="Z580" s="40" t="n"/>
      <c r="AA580" s="40" t="n"/>
      <c r="AC580" s="40" t="n"/>
      <c r="AD580" s="40" t="n"/>
      <c r="AE580" s="40" t="n"/>
      <c r="AF580" s="40" t="n"/>
    </row>
    <row r="581" ht="13" customHeight="1" s="50">
      <c r="E581" s="40" t="n"/>
      <c r="F581" s="40" t="n"/>
      <c r="G581" s="40" t="n"/>
      <c r="H581" s="41" t="n"/>
      <c r="K581" s="40" t="n"/>
      <c r="L581" s="1" t="n"/>
      <c r="N581" s="40" t="n"/>
      <c r="O581" s="40" t="n"/>
      <c r="Z581" s="40" t="n"/>
      <c r="AA581" s="40" t="n"/>
      <c r="AC581" s="40" t="n"/>
      <c r="AD581" s="40" t="n"/>
      <c r="AE581" s="40" t="n"/>
      <c r="AF581" s="40" t="n"/>
    </row>
    <row r="582" ht="13" customHeight="1" s="50">
      <c r="E582" s="40" t="n"/>
      <c r="F582" s="40" t="n"/>
      <c r="G582" s="40" t="n"/>
      <c r="H582" s="41" t="n"/>
      <c r="K582" s="40" t="n"/>
      <c r="L582" s="1" t="n"/>
      <c r="N582" s="40" t="n"/>
      <c r="O582" s="40" t="n"/>
      <c r="Z582" s="40" t="n"/>
      <c r="AA582" s="40" t="n"/>
      <c r="AC582" s="40" t="n"/>
      <c r="AD582" s="40" t="n"/>
      <c r="AE582" s="40" t="n"/>
      <c r="AF582" s="40" t="n"/>
    </row>
    <row r="583" ht="13" customHeight="1" s="50">
      <c r="E583" s="40" t="n"/>
      <c r="F583" s="40" t="n"/>
      <c r="G583" s="40" t="n"/>
      <c r="H583" s="41" t="n"/>
      <c r="K583" s="40" t="n"/>
      <c r="L583" s="1" t="n"/>
      <c r="N583" s="40" t="n"/>
      <c r="O583" s="40" t="n"/>
      <c r="Z583" s="40" t="n"/>
      <c r="AA583" s="40" t="n"/>
      <c r="AC583" s="40" t="n"/>
      <c r="AD583" s="40" t="n"/>
      <c r="AE583" s="40" t="n"/>
      <c r="AF583" s="40" t="n"/>
    </row>
    <row r="584" ht="13" customHeight="1" s="50">
      <c r="E584" s="40" t="n"/>
      <c r="F584" s="40" t="n"/>
      <c r="G584" s="40" t="n"/>
      <c r="H584" s="41" t="n"/>
      <c r="K584" s="40" t="n"/>
      <c r="L584" s="1" t="n"/>
      <c r="N584" s="40" t="n"/>
      <c r="O584" s="40" t="n"/>
      <c r="Z584" s="40" t="n"/>
      <c r="AA584" s="40" t="n"/>
      <c r="AC584" s="40" t="n"/>
      <c r="AD584" s="40" t="n"/>
      <c r="AE584" s="40" t="n"/>
      <c r="AF584" s="40" t="n"/>
    </row>
    <row r="585" ht="13" customHeight="1" s="50">
      <c r="E585" s="40" t="n"/>
      <c r="F585" s="40" t="n"/>
      <c r="G585" s="40" t="n"/>
      <c r="H585" s="41" t="n"/>
      <c r="K585" s="40" t="n"/>
      <c r="L585" s="1" t="n"/>
      <c r="N585" s="40" t="n"/>
      <c r="O585" s="40" t="n"/>
      <c r="Z585" s="40" t="n"/>
      <c r="AA585" s="40" t="n"/>
      <c r="AC585" s="40" t="n"/>
      <c r="AD585" s="40" t="n"/>
      <c r="AE585" s="40" t="n"/>
      <c r="AF585" s="40" t="n"/>
    </row>
    <row r="586" ht="13" customHeight="1" s="50">
      <c r="E586" s="40" t="n"/>
      <c r="F586" s="40" t="n"/>
      <c r="G586" s="40" t="n"/>
      <c r="H586" s="41" t="n"/>
      <c r="K586" s="40" t="n"/>
      <c r="L586" s="1" t="n"/>
      <c r="N586" s="40" t="n"/>
      <c r="O586" s="40" t="n"/>
      <c r="Z586" s="40" t="n"/>
      <c r="AA586" s="40" t="n"/>
      <c r="AC586" s="40" t="n"/>
      <c r="AD586" s="40" t="n"/>
      <c r="AE586" s="40" t="n"/>
      <c r="AF586" s="40" t="n"/>
    </row>
    <row r="587" ht="13" customHeight="1" s="50">
      <c r="E587" s="40" t="n"/>
      <c r="F587" s="40" t="n"/>
      <c r="G587" s="40" t="n"/>
      <c r="H587" s="41" t="n"/>
      <c r="K587" s="40" t="n"/>
      <c r="L587" s="1" t="n"/>
      <c r="N587" s="40" t="n"/>
      <c r="O587" s="40" t="n"/>
      <c r="Z587" s="40" t="n"/>
      <c r="AA587" s="40" t="n"/>
      <c r="AC587" s="40" t="n"/>
      <c r="AD587" s="40" t="n"/>
      <c r="AE587" s="40" t="n"/>
      <c r="AF587" s="40" t="n"/>
    </row>
    <row r="588" ht="13" customHeight="1" s="50">
      <c r="E588" s="40" t="n"/>
      <c r="F588" s="40" t="n"/>
      <c r="G588" s="40" t="n"/>
      <c r="H588" s="41" t="n"/>
      <c r="K588" s="40" t="n"/>
      <c r="L588" s="1" t="n"/>
      <c r="N588" s="40" t="n"/>
      <c r="O588" s="40" t="n"/>
      <c r="Z588" s="40" t="n"/>
      <c r="AA588" s="40" t="n"/>
      <c r="AC588" s="40" t="n"/>
      <c r="AD588" s="40" t="n"/>
      <c r="AE588" s="40" t="n"/>
      <c r="AF588" s="40" t="n"/>
    </row>
    <row r="589" ht="13" customHeight="1" s="50">
      <c r="E589" s="40" t="n"/>
      <c r="F589" s="40" t="n"/>
      <c r="G589" s="40" t="n"/>
      <c r="H589" s="41" t="n"/>
      <c r="K589" s="40" t="n"/>
      <c r="L589" s="1" t="n"/>
      <c r="N589" s="40" t="n"/>
      <c r="O589" s="40" t="n"/>
      <c r="Z589" s="40" t="n"/>
      <c r="AA589" s="40" t="n"/>
      <c r="AC589" s="40" t="n"/>
      <c r="AD589" s="40" t="n"/>
      <c r="AE589" s="40" t="n"/>
      <c r="AF589" s="40" t="n"/>
    </row>
    <row r="590" ht="13" customHeight="1" s="50">
      <c r="E590" s="40" t="n"/>
      <c r="F590" s="40" t="n"/>
      <c r="G590" s="40" t="n"/>
      <c r="H590" s="41" t="n"/>
      <c r="K590" s="40" t="n"/>
      <c r="L590" s="1" t="n"/>
      <c r="N590" s="40" t="n"/>
      <c r="O590" s="40" t="n"/>
      <c r="Z590" s="40" t="n"/>
      <c r="AA590" s="40" t="n"/>
      <c r="AC590" s="40" t="n"/>
      <c r="AD590" s="40" t="n"/>
      <c r="AE590" s="40" t="n"/>
      <c r="AF590" s="40" t="n"/>
    </row>
    <row r="591" ht="13" customHeight="1" s="50">
      <c r="E591" s="40" t="n"/>
      <c r="F591" s="40" t="n"/>
      <c r="G591" s="40" t="n"/>
      <c r="H591" s="41" t="n"/>
      <c r="K591" s="40" t="n"/>
      <c r="L591" s="1" t="n"/>
      <c r="N591" s="40" t="n"/>
      <c r="O591" s="40" t="n"/>
      <c r="Z591" s="40" t="n"/>
      <c r="AA591" s="40" t="n"/>
      <c r="AC591" s="40" t="n"/>
      <c r="AD591" s="40" t="n"/>
      <c r="AE591" s="40" t="n"/>
      <c r="AF591" s="40" t="n"/>
    </row>
    <row r="592" ht="13" customHeight="1" s="50">
      <c r="E592" s="40" t="n"/>
      <c r="F592" s="40" t="n"/>
      <c r="G592" s="40" t="n"/>
      <c r="H592" s="41" t="n"/>
      <c r="K592" s="40" t="n"/>
      <c r="L592" s="1" t="n"/>
      <c r="N592" s="40" t="n"/>
      <c r="O592" s="40" t="n"/>
      <c r="Z592" s="40" t="n"/>
      <c r="AA592" s="40" t="n"/>
      <c r="AC592" s="40" t="n"/>
      <c r="AD592" s="40" t="n"/>
      <c r="AE592" s="40" t="n"/>
      <c r="AF592" s="40" t="n"/>
    </row>
    <row r="593" ht="13" customHeight="1" s="50">
      <c r="E593" s="40" t="n"/>
      <c r="F593" s="40" t="n"/>
      <c r="G593" s="40" t="n"/>
      <c r="H593" s="41" t="n"/>
      <c r="K593" s="40" t="n"/>
      <c r="L593" s="1" t="n"/>
      <c r="N593" s="40" t="n"/>
      <c r="O593" s="40" t="n"/>
      <c r="Z593" s="40" t="n"/>
      <c r="AA593" s="40" t="n"/>
      <c r="AC593" s="40" t="n"/>
      <c r="AD593" s="40" t="n"/>
      <c r="AE593" s="40" t="n"/>
      <c r="AF593" s="40" t="n"/>
    </row>
    <row r="594" ht="13" customHeight="1" s="50">
      <c r="E594" s="40" t="n"/>
      <c r="F594" s="40" t="n"/>
      <c r="G594" s="40" t="n"/>
      <c r="H594" s="41" t="n"/>
      <c r="K594" s="40" t="n"/>
      <c r="L594" s="1" t="n"/>
      <c r="N594" s="40" t="n"/>
      <c r="O594" s="40" t="n"/>
      <c r="Z594" s="40" t="n"/>
      <c r="AA594" s="40" t="n"/>
      <c r="AC594" s="40" t="n"/>
      <c r="AD594" s="40" t="n"/>
      <c r="AE594" s="40" t="n"/>
      <c r="AF594" s="40" t="n"/>
    </row>
    <row r="595" ht="13" customHeight="1" s="50">
      <c r="E595" s="40" t="n"/>
      <c r="F595" s="40" t="n"/>
      <c r="G595" s="40" t="n"/>
      <c r="H595" s="41" t="n"/>
      <c r="K595" s="40" t="n"/>
      <c r="L595" s="1" t="n"/>
      <c r="N595" s="40" t="n"/>
      <c r="O595" s="40" t="n"/>
      <c r="Z595" s="40" t="n"/>
      <c r="AA595" s="40" t="n"/>
      <c r="AC595" s="40" t="n"/>
      <c r="AD595" s="40" t="n"/>
      <c r="AE595" s="40" t="n"/>
      <c r="AF595" s="40" t="n"/>
    </row>
    <row r="596" ht="13" customHeight="1" s="50">
      <c r="E596" s="40" t="n"/>
      <c r="F596" s="40" t="n"/>
      <c r="G596" s="40" t="n"/>
      <c r="H596" s="41" t="n"/>
      <c r="K596" s="40" t="n"/>
      <c r="L596" s="1" t="n"/>
      <c r="N596" s="40" t="n"/>
      <c r="O596" s="40" t="n"/>
      <c r="Z596" s="40" t="n"/>
      <c r="AA596" s="40" t="n"/>
      <c r="AC596" s="40" t="n"/>
      <c r="AD596" s="40" t="n"/>
      <c r="AE596" s="40" t="n"/>
      <c r="AF596" s="40" t="n"/>
    </row>
    <row r="597" ht="13" customHeight="1" s="50">
      <c r="E597" s="40" t="n"/>
      <c r="F597" s="40" t="n"/>
      <c r="G597" s="40" t="n"/>
      <c r="H597" s="41" t="n"/>
      <c r="K597" s="40" t="n"/>
      <c r="L597" s="1" t="n"/>
      <c r="N597" s="40" t="n"/>
      <c r="O597" s="40" t="n"/>
      <c r="Z597" s="40" t="n"/>
      <c r="AA597" s="40" t="n"/>
      <c r="AC597" s="40" t="n"/>
      <c r="AD597" s="40" t="n"/>
      <c r="AE597" s="40" t="n"/>
      <c r="AF597" s="40" t="n"/>
    </row>
    <row r="598" ht="13" customHeight="1" s="50">
      <c r="E598" s="40" t="n"/>
      <c r="F598" s="40" t="n"/>
      <c r="G598" s="40" t="n"/>
      <c r="H598" s="41" t="n"/>
      <c r="K598" s="40" t="n"/>
      <c r="L598" s="1" t="n"/>
      <c r="N598" s="40" t="n"/>
      <c r="O598" s="40" t="n"/>
      <c r="Z598" s="40" t="n"/>
      <c r="AA598" s="40" t="n"/>
      <c r="AC598" s="40" t="n"/>
      <c r="AD598" s="40" t="n"/>
      <c r="AE598" s="40" t="n"/>
      <c r="AF598" s="40" t="n"/>
    </row>
    <row r="599" ht="13" customHeight="1" s="50">
      <c r="E599" s="40" t="n"/>
      <c r="F599" s="40" t="n"/>
      <c r="G599" s="40" t="n"/>
      <c r="H599" s="41" t="n"/>
      <c r="K599" s="40" t="n"/>
      <c r="L599" s="1" t="n"/>
      <c r="N599" s="40" t="n"/>
      <c r="O599" s="40" t="n"/>
      <c r="Z599" s="40" t="n"/>
      <c r="AA599" s="40" t="n"/>
      <c r="AC599" s="40" t="n"/>
      <c r="AD599" s="40" t="n"/>
      <c r="AE599" s="40" t="n"/>
      <c r="AF599" s="40" t="n"/>
    </row>
    <row r="600" ht="13" customHeight="1" s="50">
      <c r="E600" s="40" t="n"/>
      <c r="F600" s="40" t="n"/>
      <c r="G600" s="40" t="n"/>
      <c r="H600" s="41" t="n"/>
      <c r="K600" s="40" t="n"/>
      <c r="L600" s="1" t="n"/>
      <c r="N600" s="40" t="n"/>
      <c r="O600" s="40" t="n"/>
      <c r="Z600" s="40" t="n"/>
      <c r="AA600" s="40" t="n"/>
      <c r="AC600" s="40" t="n"/>
      <c r="AD600" s="40" t="n"/>
      <c r="AE600" s="40" t="n"/>
      <c r="AF600" s="40" t="n"/>
    </row>
    <row r="601" ht="13" customHeight="1" s="50">
      <c r="E601" s="40" t="n"/>
      <c r="F601" s="40" t="n"/>
      <c r="G601" s="40" t="n"/>
      <c r="H601" s="41" t="n"/>
      <c r="K601" s="40" t="n"/>
      <c r="L601" s="1" t="n"/>
      <c r="N601" s="40" t="n"/>
      <c r="O601" s="40" t="n"/>
      <c r="Z601" s="40" t="n"/>
      <c r="AA601" s="40" t="n"/>
      <c r="AC601" s="40" t="n"/>
      <c r="AD601" s="40" t="n"/>
      <c r="AE601" s="40" t="n"/>
      <c r="AF601" s="40" t="n"/>
    </row>
    <row r="602" ht="13" customHeight="1" s="50">
      <c r="E602" s="40" t="n"/>
      <c r="F602" s="40" t="n"/>
      <c r="G602" s="40" t="n"/>
      <c r="H602" s="41" t="n"/>
      <c r="K602" s="40" t="n"/>
      <c r="L602" s="1" t="n"/>
      <c r="N602" s="40" t="n"/>
      <c r="O602" s="40" t="n"/>
      <c r="Z602" s="40" t="n"/>
      <c r="AA602" s="40" t="n"/>
      <c r="AC602" s="40" t="n"/>
      <c r="AD602" s="40" t="n"/>
      <c r="AE602" s="40" t="n"/>
      <c r="AF602" s="40" t="n"/>
    </row>
    <row r="603" ht="13" customHeight="1" s="50">
      <c r="E603" s="40" t="n"/>
      <c r="F603" s="40" t="n"/>
      <c r="G603" s="40" t="n"/>
      <c r="H603" s="41" t="n"/>
      <c r="K603" s="40" t="n"/>
      <c r="L603" s="1" t="n"/>
      <c r="N603" s="40" t="n"/>
      <c r="O603" s="40" t="n"/>
      <c r="Z603" s="40" t="n"/>
      <c r="AA603" s="40" t="n"/>
      <c r="AC603" s="40" t="n"/>
      <c r="AD603" s="40" t="n"/>
      <c r="AE603" s="40" t="n"/>
      <c r="AF603" s="40" t="n"/>
    </row>
    <row r="604" ht="13" customHeight="1" s="50">
      <c r="E604" s="40" t="n"/>
      <c r="F604" s="40" t="n"/>
      <c r="G604" s="40" t="n"/>
      <c r="H604" s="41" t="n"/>
      <c r="K604" s="40" t="n"/>
      <c r="L604" s="1" t="n"/>
      <c r="N604" s="40" t="n"/>
      <c r="O604" s="40" t="n"/>
      <c r="Z604" s="40" t="n"/>
      <c r="AA604" s="40" t="n"/>
      <c r="AC604" s="40" t="n"/>
      <c r="AD604" s="40" t="n"/>
      <c r="AE604" s="40" t="n"/>
      <c r="AF604" s="40" t="n"/>
    </row>
    <row r="605" ht="13" customHeight="1" s="50">
      <c r="E605" s="40" t="n"/>
      <c r="F605" s="40" t="n"/>
      <c r="G605" s="40" t="n"/>
      <c r="H605" s="41" t="n"/>
      <c r="K605" s="40" t="n"/>
      <c r="L605" s="1" t="n"/>
      <c r="N605" s="40" t="n"/>
      <c r="O605" s="40" t="n"/>
      <c r="Z605" s="40" t="n"/>
      <c r="AA605" s="40" t="n"/>
      <c r="AC605" s="40" t="n"/>
      <c r="AD605" s="40" t="n"/>
      <c r="AE605" s="40" t="n"/>
      <c r="AF605" s="40" t="n"/>
    </row>
    <row r="606" ht="13" customHeight="1" s="50">
      <c r="E606" s="40" t="n"/>
      <c r="F606" s="40" t="n"/>
      <c r="G606" s="40" t="n"/>
      <c r="H606" s="41" t="n"/>
      <c r="K606" s="40" t="n"/>
      <c r="L606" s="1" t="n"/>
      <c r="N606" s="40" t="n"/>
      <c r="O606" s="40" t="n"/>
      <c r="Z606" s="40" t="n"/>
      <c r="AA606" s="40" t="n"/>
      <c r="AC606" s="40" t="n"/>
      <c r="AD606" s="40" t="n"/>
      <c r="AE606" s="40" t="n"/>
      <c r="AF606" s="40" t="n"/>
    </row>
    <row r="607" ht="13" customHeight="1" s="50">
      <c r="E607" s="40" t="n"/>
      <c r="F607" s="40" t="n"/>
      <c r="G607" s="40" t="n"/>
      <c r="H607" s="41" t="n"/>
      <c r="K607" s="40" t="n"/>
      <c r="L607" s="1" t="n"/>
      <c r="N607" s="40" t="n"/>
      <c r="O607" s="40" t="n"/>
      <c r="Z607" s="40" t="n"/>
      <c r="AA607" s="40" t="n"/>
      <c r="AC607" s="40" t="n"/>
      <c r="AD607" s="40" t="n"/>
      <c r="AE607" s="40" t="n"/>
      <c r="AF607" s="40" t="n"/>
    </row>
    <row r="608" ht="13" customHeight="1" s="50">
      <c r="E608" s="40" t="n"/>
      <c r="F608" s="40" t="n"/>
      <c r="G608" s="40" t="n"/>
      <c r="H608" s="41" t="n"/>
      <c r="K608" s="40" t="n"/>
      <c r="L608" s="1" t="n"/>
      <c r="N608" s="40" t="n"/>
      <c r="O608" s="40" t="n"/>
      <c r="Z608" s="40" t="n"/>
      <c r="AA608" s="40" t="n"/>
      <c r="AC608" s="40" t="n"/>
      <c r="AD608" s="40" t="n"/>
      <c r="AE608" s="40" t="n"/>
      <c r="AF608" s="40" t="n"/>
    </row>
    <row r="609" ht="13" customHeight="1" s="50">
      <c r="E609" s="40" t="n"/>
      <c r="F609" s="40" t="n"/>
      <c r="G609" s="40" t="n"/>
      <c r="H609" s="41" t="n"/>
      <c r="K609" s="40" t="n"/>
      <c r="L609" s="1" t="n"/>
      <c r="N609" s="40" t="n"/>
      <c r="O609" s="40" t="n"/>
      <c r="Z609" s="40" t="n"/>
      <c r="AA609" s="40" t="n"/>
      <c r="AC609" s="40" t="n"/>
      <c r="AD609" s="40" t="n"/>
      <c r="AE609" s="40" t="n"/>
      <c r="AF609" s="40" t="n"/>
    </row>
    <row r="610" ht="13" customHeight="1" s="50">
      <c r="E610" s="40" t="n"/>
      <c r="F610" s="40" t="n"/>
      <c r="G610" s="40" t="n"/>
      <c r="H610" s="41" t="n"/>
      <c r="K610" s="40" t="n"/>
      <c r="L610" s="1" t="n"/>
      <c r="N610" s="40" t="n"/>
      <c r="O610" s="40" t="n"/>
      <c r="Z610" s="40" t="n"/>
      <c r="AA610" s="40" t="n"/>
      <c r="AC610" s="40" t="n"/>
      <c r="AD610" s="40" t="n"/>
      <c r="AE610" s="40" t="n"/>
      <c r="AF610" s="40" t="n"/>
    </row>
    <row r="611" ht="13" customHeight="1" s="50">
      <c r="E611" s="40" t="n"/>
      <c r="F611" s="40" t="n"/>
      <c r="G611" s="40" t="n"/>
      <c r="H611" s="41" t="n"/>
      <c r="K611" s="40" t="n"/>
      <c r="L611" s="1" t="n"/>
      <c r="N611" s="40" t="n"/>
      <c r="O611" s="40" t="n"/>
      <c r="Z611" s="40" t="n"/>
      <c r="AA611" s="40" t="n"/>
      <c r="AC611" s="40" t="n"/>
      <c r="AD611" s="40" t="n"/>
      <c r="AE611" s="40" t="n"/>
      <c r="AF611" s="40" t="n"/>
    </row>
    <row r="612" ht="13" customHeight="1" s="50">
      <c r="E612" s="40" t="n"/>
      <c r="F612" s="40" t="n"/>
      <c r="G612" s="40" t="n"/>
      <c r="H612" s="41" t="n"/>
      <c r="K612" s="40" t="n"/>
      <c r="L612" s="1" t="n"/>
      <c r="N612" s="40" t="n"/>
      <c r="O612" s="40" t="n"/>
      <c r="Z612" s="40" t="n"/>
      <c r="AA612" s="40" t="n"/>
      <c r="AC612" s="40" t="n"/>
      <c r="AD612" s="40" t="n"/>
      <c r="AE612" s="40" t="n"/>
      <c r="AF612" s="40" t="n"/>
    </row>
    <row r="613" ht="13" customHeight="1" s="50">
      <c r="E613" s="40" t="n"/>
      <c r="F613" s="40" t="n"/>
      <c r="G613" s="40" t="n"/>
      <c r="H613" s="41" t="n"/>
      <c r="K613" s="40" t="n"/>
      <c r="L613" s="1" t="n"/>
      <c r="N613" s="40" t="n"/>
      <c r="O613" s="40" t="n"/>
      <c r="Z613" s="40" t="n"/>
      <c r="AA613" s="40" t="n"/>
      <c r="AC613" s="40" t="n"/>
      <c r="AD613" s="40" t="n"/>
      <c r="AE613" s="40" t="n"/>
      <c r="AF613" s="40" t="n"/>
    </row>
    <row r="614" ht="13" customHeight="1" s="50">
      <c r="E614" s="40" t="n"/>
      <c r="F614" s="40" t="n"/>
      <c r="G614" s="40" t="n"/>
      <c r="H614" s="41" t="n"/>
      <c r="K614" s="40" t="n"/>
      <c r="L614" s="1" t="n"/>
      <c r="N614" s="40" t="n"/>
      <c r="O614" s="40" t="n"/>
      <c r="Z614" s="40" t="n"/>
      <c r="AA614" s="40" t="n"/>
      <c r="AC614" s="40" t="n"/>
      <c r="AD614" s="40" t="n"/>
      <c r="AE614" s="40" t="n"/>
      <c r="AF614" s="40" t="n"/>
    </row>
    <row r="615" ht="13" customHeight="1" s="50">
      <c r="E615" s="40" t="n"/>
      <c r="F615" s="40" t="n"/>
      <c r="G615" s="40" t="n"/>
      <c r="H615" s="41" t="n"/>
      <c r="K615" s="40" t="n"/>
      <c r="L615" s="1" t="n"/>
      <c r="N615" s="40" t="n"/>
      <c r="O615" s="40" t="n"/>
      <c r="Z615" s="40" t="n"/>
      <c r="AA615" s="40" t="n"/>
      <c r="AC615" s="40" t="n"/>
      <c r="AD615" s="40" t="n"/>
      <c r="AE615" s="40" t="n"/>
      <c r="AF615" s="40" t="n"/>
    </row>
    <row r="616" ht="13" customHeight="1" s="50">
      <c r="E616" s="40" t="n"/>
      <c r="F616" s="40" t="n"/>
      <c r="G616" s="40" t="n"/>
      <c r="H616" s="41" t="n"/>
      <c r="K616" s="40" t="n"/>
      <c r="L616" s="1" t="n"/>
      <c r="N616" s="40" t="n"/>
      <c r="O616" s="40" t="n"/>
      <c r="Z616" s="40" t="n"/>
      <c r="AA616" s="40" t="n"/>
      <c r="AC616" s="40" t="n"/>
      <c r="AD616" s="40" t="n"/>
      <c r="AE616" s="40" t="n"/>
      <c r="AF616" s="40" t="n"/>
    </row>
    <row r="617" ht="13" customHeight="1" s="50">
      <c r="E617" s="40" t="n"/>
      <c r="F617" s="40" t="n"/>
      <c r="G617" s="40" t="n"/>
      <c r="H617" s="41" t="n"/>
      <c r="K617" s="40" t="n"/>
      <c r="L617" s="1" t="n"/>
      <c r="N617" s="40" t="n"/>
      <c r="O617" s="40" t="n"/>
      <c r="Z617" s="40" t="n"/>
      <c r="AA617" s="40" t="n"/>
      <c r="AC617" s="40" t="n"/>
      <c r="AD617" s="40" t="n"/>
      <c r="AE617" s="40" t="n"/>
      <c r="AF617" s="40" t="n"/>
    </row>
    <row r="618" ht="13" customHeight="1" s="50">
      <c r="E618" s="40" t="n"/>
      <c r="F618" s="40" t="n"/>
      <c r="G618" s="40" t="n"/>
      <c r="H618" s="41" t="n"/>
      <c r="K618" s="40" t="n"/>
      <c r="L618" s="1" t="n"/>
      <c r="N618" s="40" t="n"/>
      <c r="O618" s="40" t="n"/>
      <c r="Z618" s="40" t="n"/>
      <c r="AA618" s="40" t="n"/>
      <c r="AC618" s="40" t="n"/>
      <c r="AD618" s="40" t="n"/>
      <c r="AE618" s="40" t="n"/>
      <c r="AF618" s="40" t="n"/>
    </row>
    <row r="619" ht="13" customHeight="1" s="50">
      <c r="E619" s="40" t="n"/>
      <c r="F619" s="40" t="n"/>
      <c r="G619" s="40" t="n"/>
      <c r="H619" s="41" t="n"/>
      <c r="K619" s="40" t="n"/>
      <c r="L619" s="1" t="n"/>
      <c r="N619" s="40" t="n"/>
      <c r="O619" s="40" t="n"/>
      <c r="Z619" s="40" t="n"/>
      <c r="AA619" s="40" t="n"/>
      <c r="AC619" s="40" t="n"/>
      <c r="AD619" s="40" t="n"/>
      <c r="AE619" s="40" t="n"/>
      <c r="AF619" s="40" t="n"/>
    </row>
    <row r="620" ht="13" customHeight="1" s="50">
      <c r="E620" s="40" t="n"/>
      <c r="F620" s="40" t="n"/>
      <c r="G620" s="40" t="n"/>
      <c r="H620" s="41" t="n"/>
      <c r="K620" s="40" t="n"/>
      <c r="L620" s="1" t="n"/>
      <c r="N620" s="40" t="n"/>
      <c r="O620" s="40" t="n"/>
      <c r="Z620" s="40" t="n"/>
      <c r="AA620" s="40" t="n"/>
      <c r="AC620" s="40" t="n"/>
      <c r="AD620" s="40" t="n"/>
      <c r="AE620" s="40" t="n"/>
      <c r="AF620" s="40" t="n"/>
    </row>
    <row r="621" ht="13" customHeight="1" s="50">
      <c r="E621" s="40" t="n"/>
      <c r="F621" s="40" t="n"/>
      <c r="G621" s="40" t="n"/>
      <c r="H621" s="41" t="n"/>
      <c r="K621" s="40" t="n"/>
      <c r="L621" s="1" t="n"/>
      <c r="N621" s="40" t="n"/>
      <c r="O621" s="40" t="n"/>
      <c r="Z621" s="40" t="n"/>
      <c r="AA621" s="40" t="n"/>
      <c r="AC621" s="40" t="n"/>
      <c r="AD621" s="40" t="n"/>
      <c r="AE621" s="40" t="n"/>
      <c r="AF621" s="40" t="n"/>
    </row>
    <row r="622" ht="13" customHeight="1" s="50">
      <c r="E622" s="40" t="n"/>
      <c r="F622" s="40" t="n"/>
      <c r="G622" s="40" t="n"/>
      <c r="H622" s="41" t="n"/>
      <c r="K622" s="40" t="n"/>
      <c r="L622" s="1" t="n"/>
      <c r="N622" s="40" t="n"/>
      <c r="O622" s="40" t="n"/>
      <c r="Z622" s="40" t="n"/>
      <c r="AA622" s="40" t="n"/>
      <c r="AC622" s="40" t="n"/>
      <c r="AD622" s="40" t="n"/>
      <c r="AE622" s="40" t="n"/>
      <c r="AF622" s="40" t="n"/>
    </row>
    <row r="623" ht="13" customHeight="1" s="50">
      <c r="E623" s="40" t="n"/>
      <c r="F623" s="40" t="n"/>
      <c r="G623" s="40" t="n"/>
      <c r="H623" s="41" t="n"/>
      <c r="K623" s="40" t="n"/>
      <c r="L623" s="1" t="n"/>
      <c r="N623" s="40" t="n"/>
      <c r="O623" s="40" t="n"/>
      <c r="Z623" s="40" t="n"/>
      <c r="AA623" s="40" t="n"/>
      <c r="AC623" s="40" t="n"/>
      <c r="AD623" s="40" t="n"/>
      <c r="AE623" s="40" t="n"/>
      <c r="AF623" s="40" t="n"/>
    </row>
    <row r="624" ht="13" customHeight="1" s="50">
      <c r="E624" s="40" t="n"/>
      <c r="F624" s="40" t="n"/>
      <c r="G624" s="40" t="n"/>
      <c r="H624" s="41" t="n"/>
      <c r="K624" s="40" t="n"/>
      <c r="L624" s="1" t="n"/>
      <c r="N624" s="40" t="n"/>
      <c r="O624" s="40" t="n"/>
      <c r="Z624" s="40" t="n"/>
      <c r="AA624" s="40" t="n"/>
      <c r="AC624" s="40" t="n"/>
      <c r="AD624" s="40" t="n"/>
      <c r="AE624" s="40" t="n"/>
      <c r="AF624" s="40" t="n"/>
    </row>
    <row r="625" ht="13" customHeight="1" s="50">
      <c r="E625" s="40" t="n"/>
      <c r="F625" s="40" t="n"/>
      <c r="G625" s="40" t="n"/>
      <c r="H625" s="41" t="n"/>
      <c r="K625" s="40" t="n"/>
      <c r="L625" s="1" t="n"/>
      <c r="N625" s="40" t="n"/>
      <c r="O625" s="40" t="n"/>
      <c r="Z625" s="40" t="n"/>
      <c r="AA625" s="40" t="n"/>
      <c r="AC625" s="40" t="n"/>
      <c r="AD625" s="40" t="n"/>
      <c r="AE625" s="40" t="n"/>
      <c r="AF625" s="40" t="n"/>
    </row>
    <row r="626" ht="13" customHeight="1" s="50">
      <c r="E626" s="40" t="n"/>
      <c r="F626" s="40" t="n"/>
      <c r="G626" s="40" t="n"/>
      <c r="H626" s="41" t="n"/>
      <c r="K626" s="40" t="n"/>
      <c r="L626" s="1" t="n"/>
      <c r="N626" s="40" t="n"/>
      <c r="O626" s="40" t="n"/>
      <c r="Z626" s="40" t="n"/>
      <c r="AA626" s="40" t="n"/>
      <c r="AC626" s="40" t="n"/>
      <c r="AD626" s="40" t="n"/>
      <c r="AE626" s="40" t="n"/>
      <c r="AF626" s="40" t="n"/>
    </row>
    <row r="627" ht="13" customHeight="1" s="50">
      <c r="E627" s="40" t="n"/>
      <c r="F627" s="40" t="n"/>
      <c r="G627" s="40" t="n"/>
      <c r="H627" s="41" t="n"/>
      <c r="K627" s="40" t="n"/>
      <c r="L627" s="1" t="n"/>
      <c r="N627" s="40" t="n"/>
      <c r="O627" s="40" t="n"/>
      <c r="Z627" s="40" t="n"/>
      <c r="AA627" s="40" t="n"/>
      <c r="AC627" s="40" t="n"/>
      <c r="AD627" s="40" t="n"/>
      <c r="AE627" s="40" t="n"/>
      <c r="AF627" s="40" t="n"/>
    </row>
    <row r="628" ht="13" customHeight="1" s="50">
      <c r="E628" s="40" t="n"/>
      <c r="F628" s="40" t="n"/>
      <c r="G628" s="40" t="n"/>
      <c r="H628" s="41" t="n"/>
      <c r="K628" s="40" t="n"/>
      <c r="L628" s="1" t="n"/>
      <c r="N628" s="40" t="n"/>
      <c r="O628" s="40" t="n"/>
      <c r="Z628" s="40" t="n"/>
      <c r="AA628" s="40" t="n"/>
      <c r="AC628" s="40" t="n"/>
      <c r="AD628" s="40" t="n"/>
      <c r="AE628" s="40" t="n"/>
      <c r="AF628" s="40" t="n"/>
    </row>
    <row r="629" ht="13" customHeight="1" s="50">
      <c r="E629" s="40" t="n"/>
      <c r="F629" s="40" t="n"/>
      <c r="G629" s="40" t="n"/>
      <c r="H629" s="41" t="n"/>
      <c r="K629" s="40" t="n"/>
      <c r="L629" s="1" t="n"/>
      <c r="N629" s="40" t="n"/>
      <c r="O629" s="40" t="n"/>
      <c r="Z629" s="40" t="n"/>
      <c r="AA629" s="40" t="n"/>
      <c r="AC629" s="40" t="n"/>
      <c r="AD629" s="40" t="n"/>
      <c r="AE629" s="40" t="n"/>
      <c r="AF629" s="40" t="n"/>
    </row>
    <row r="630" ht="13" customHeight="1" s="50">
      <c r="E630" s="40" t="n"/>
      <c r="F630" s="40" t="n"/>
      <c r="G630" s="40" t="n"/>
      <c r="H630" s="41" t="n"/>
      <c r="K630" s="40" t="n"/>
      <c r="L630" s="1" t="n"/>
      <c r="N630" s="40" t="n"/>
      <c r="O630" s="40" t="n"/>
      <c r="Z630" s="40" t="n"/>
      <c r="AA630" s="40" t="n"/>
      <c r="AC630" s="40" t="n"/>
      <c r="AD630" s="40" t="n"/>
      <c r="AE630" s="40" t="n"/>
      <c r="AF630" s="40" t="n"/>
    </row>
    <row r="631" ht="13" customHeight="1" s="50">
      <c r="E631" s="40" t="n"/>
      <c r="F631" s="40" t="n"/>
      <c r="G631" s="40" t="n"/>
      <c r="H631" s="41" t="n"/>
      <c r="K631" s="40" t="n"/>
      <c r="L631" s="1" t="n"/>
      <c r="N631" s="40" t="n"/>
      <c r="O631" s="40" t="n"/>
      <c r="Z631" s="40" t="n"/>
      <c r="AA631" s="40" t="n"/>
      <c r="AC631" s="40" t="n"/>
      <c r="AD631" s="40" t="n"/>
      <c r="AE631" s="40" t="n"/>
      <c r="AF631" s="40" t="n"/>
    </row>
    <row r="632" ht="13" customHeight="1" s="50">
      <c r="E632" s="40" t="n"/>
      <c r="F632" s="40" t="n"/>
      <c r="G632" s="40" t="n"/>
      <c r="H632" s="41" t="n"/>
      <c r="K632" s="40" t="n"/>
      <c r="L632" s="1" t="n"/>
      <c r="N632" s="40" t="n"/>
      <c r="O632" s="40" t="n"/>
      <c r="Z632" s="40" t="n"/>
      <c r="AA632" s="40" t="n"/>
      <c r="AC632" s="40" t="n"/>
      <c r="AD632" s="40" t="n"/>
      <c r="AE632" s="40" t="n"/>
      <c r="AF632" s="40" t="n"/>
    </row>
    <row r="633" ht="13" customHeight="1" s="50">
      <c r="E633" s="40" t="n"/>
      <c r="F633" s="40" t="n"/>
      <c r="G633" s="40" t="n"/>
      <c r="H633" s="41" t="n"/>
      <c r="K633" s="40" t="n"/>
      <c r="L633" s="1" t="n"/>
      <c r="N633" s="40" t="n"/>
      <c r="O633" s="40" t="n"/>
      <c r="Z633" s="40" t="n"/>
      <c r="AA633" s="40" t="n"/>
      <c r="AC633" s="40" t="n"/>
      <c r="AD633" s="40" t="n"/>
      <c r="AE633" s="40" t="n"/>
      <c r="AF633" s="40" t="n"/>
    </row>
    <row r="634" ht="13" customHeight="1" s="50">
      <c r="E634" s="40" t="n"/>
      <c r="F634" s="40" t="n"/>
      <c r="G634" s="40" t="n"/>
      <c r="H634" s="41" t="n"/>
      <c r="K634" s="40" t="n"/>
      <c r="L634" s="1" t="n"/>
      <c r="N634" s="40" t="n"/>
      <c r="O634" s="40" t="n"/>
      <c r="Z634" s="40" t="n"/>
      <c r="AA634" s="40" t="n"/>
      <c r="AC634" s="40" t="n"/>
      <c r="AD634" s="40" t="n"/>
      <c r="AE634" s="40" t="n"/>
      <c r="AF634" s="40" t="n"/>
    </row>
    <row r="635" ht="13" customHeight="1" s="50">
      <c r="E635" s="40" t="n"/>
      <c r="F635" s="40" t="n"/>
      <c r="G635" s="40" t="n"/>
      <c r="H635" s="41" t="n"/>
      <c r="K635" s="40" t="n"/>
      <c r="L635" s="1" t="n"/>
      <c r="N635" s="40" t="n"/>
      <c r="O635" s="40" t="n"/>
      <c r="Z635" s="40" t="n"/>
      <c r="AA635" s="40" t="n"/>
      <c r="AC635" s="40" t="n"/>
      <c r="AD635" s="40" t="n"/>
      <c r="AE635" s="40" t="n"/>
      <c r="AF635" s="40" t="n"/>
    </row>
    <row r="636" ht="13" customHeight="1" s="50">
      <c r="E636" s="40" t="n"/>
      <c r="F636" s="40" t="n"/>
      <c r="G636" s="40" t="n"/>
      <c r="H636" s="41" t="n"/>
      <c r="K636" s="40" t="n"/>
      <c r="L636" s="1" t="n"/>
      <c r="N636" s="40" t="n"/>
      <c r="O636" s="40" t="n"/>
      <c r="Z636" s="40" t="n"/>
      <c r="AA636" s="40" t="n"/>
      <c r="AC636" s="40" t="n"/>
      <c r="AD636" s="40" t="n"/>
      <c r="AE636" s="40" t="n"/>
      <c r="AF636" s="40" t="n"/>
    </row>
    <row r="637" ht="13" customHeight="1" s="50">
      <c r="E637" s="40" t="n"/>
      <c r="F637" s="40" t="n"/>
      <c r="G637" s="40" t="n"/>
      <c r="H637" s="41" t="n"/>
      <c r="K637" s="40" t="n"/>
      <c r="L637" s="1" t="n"/>
      <c r="N637" s="40" t="n"/>
      <c r="O637" s="40" t="n"/>
      <c r="Z637" s="40" t="n"/>
      <c r="AA637" s="40" t="n"/>
      <c r="AC637" s="40" t="n"/>
      <c r="AD637" s="40" t="n"/>
      <c r="AE637" s="40" t="n"/>
      <c r="AF637" s="40" t="n"/>
    </row>
    <row r="638" ht="13" customHeight="1" s="50">
      <c r="E638" s="40" t="n"/>
      <c r="F638" s="40" t="n"/>
      <c r="G638" s="40" t="n"/>
      <c r="H638" s="41" t="n"/>
      <c r="K638" s="40" t="n"/>
      <c r="L638" s="1" t="n"/>
      <c r="N638" s="40" t="n"/>
      <c r="O638" s="40" t="n"/>
      <c r="Z638" s="40" t="n"/>
      <c r="AA638" s="40" t="n"/>
      <c r="AC638" s="40" t="n"/>
      <c r="AD638" s="40" t="n"/>
      <c r="AE638" s="40" t="n"/>
      <c r="AF638" s="40" t="n"/>
    </row>
    <row r="639" ht="13" customHeight="1" s="50">
      <c r="E639" s="40" t="n"/>
      <c r="F639" s="40" t="n"/>
      <c r="G639" s="40" t="n"/>
      <c r="H639" s="41" t="n"/>
      <c r="K639" s="40" t="n"/>
      <c r="L639" s="1" t="n"/>
      <c r="N639" s="40" t="n"/>
      <c r="O639" s="40" t="n"/>
      <c r="Z639" s="40" t="n"/>
      <c r="AA639" s="40" t="n"/>
      <c r="AC639" s="40" t="n"/>
      <c r="AD639" s="40" t="n"/>
      <c r="AE639" s="40" t="n"/>
      <c r="AF639" s="40" t="n"/>
    </row>
    <row r="640" ht="13" customHeight="1" s="50">
      <c r="E640" s="40" t="n"/>
      <c r="F640" s="40" t="n"/>
      <c r="G640" s="40" t="n"/>
      <c r="H640" s="41" t="n"/>
      <c r="K640" s="40" t="n"/>
      <c r="L640" s="1" t="n"/>
      <c r="N640" s="40" t="n"/>
      <c r="O640" s="40" t="n"/>
      <c r="Z640" s="40" t="n"/>
      <c r="AA640" s="40" t="n"/>
      <c r="AC640" s="40" t="n"/>
      <c r="AD640" s="40" t="n"/>
      <c r="AE640" s="40" t="n"/>
      <c r="AF640" s="40" t="n"/>
    </row>
    <row r="641" ht="13" customHeight="1" s="50">
      <c r="E641" s="40" t="n"/>
      <c r="F641" s="40" t="n"/>
      <c r="G641" s="40" t="n"/>
      <c r="H641" s="41" t="n"/>
      <c r="K641" s="40" t="n"/>
      <c r="L641" s="1" t="n"/>
      <c r="N641" s="40" t="n"/>
      <c r="O641" s="40" t="n"/>
      <c r="Z641" s="40" t="n"/>
      <c r="AA641" s="40" t="n"/>
      <c r="AC641" s="40" t="n"/>
      <c r="AD641" s="40" t="n"/>
      <c r="AE641" s="40" t="n"/>
      <c r="AF641" s="40" t="n"/>
    </row>
    <row r="642" ht="13" customHeight="1" s="50">
      <c r="E642" s="40" t="n"/>
      <c r="F642" s="40" t="n"/>
      <c r="G642" s="40" t="n"/>
      <c r="H642" s="41" t="n"/>
      <c r="K642" s="40" t="n"/>
      <c r="L642" s="1" t="n"/>
      <c r="N642" s="40" t="n"/>
      <c r="O642" s="40" t="n"/>
      <c r="Z642" s="40" t="n"/>
      <c r="AA642" s="40" t="n"/>
      <c r="AC642" s="40" t="n"/>
      <c r="AD642" s="40" t="n"/>
      <c r="AE642" s="40" t="n"/>
      <c r="AF642" s="40" t="n"/>
    </row>
    <row r="643" ht="13" customHeight="1" s="50">
      <c r="E643" s="40" t="n"/>
      <c r="F643" s="40" t="n"/>
      <c r="G643" s="40" t="n"/>
      <c r="H643" s="41" t="n"/>
      <c r="K643" s="40" t="n"/>
      <c r="L643" s="1" t="n"/>
      <c r="N643" s="40" t="n"/>
      <c r="O643" s="40" t="n"/>
      <c r="Z643" s="40" t="n"/>
      <c r="AA643" s="40" t="n"/>
      <c r="AC643" s="40" t="n"/>
      <c r="AD643" s="40" t="n"/>
      <c r="AE643" s="40" t="n"/>
      <c r="AF643" s="40" t="n"/>
    </row>
    <row r="644" ht="13" customHeight="1" s="50">
      <c r="E644" s="40" t="n"/>
      <c r="F644" s="40" t="n"/>
      <c r="G644" s="40" t="n"/>
      <c r="H644" s="41" t="n"/>
      <c r="K644" s="40" t="n"/>
      <c r="L644" s="1" t="n"/>
      <c r="N644" s="40" t="n"/>
      <c r="O644" s="40" t="n"/>
      <c r="Z644" s="40" t="n"/>
      <c r="AA644" s="40" t="n"/>
      <c r="AC644" s="40" t="n"/>
      <c r="AD644" s="40" t="n"/>
      <c r="AE644" s="40" t="n"/>
      <c r="AF644" s="40" t="n"/>
    </row>
    <row r="645" ht="13" customHeight="1" s="50">
      <c r="E645" s="40" t="n"/>
      <c r="F645" s="40" t="n"/>
      <c r="G645" s="40" t="n"/>
      <c r="H645" s="41" t="n"/>
      <c r="K645" s="40" t="n"/>
      <c r="L645" s="1" t="n"/>
      <c r="N645" s="40" t="n"/>
      <c r="O645" s="40" t="n"/>
      <c r="Z645" s="40" t="n"/>
      <c r="AA645" s="40" t="n"/>
      <c r="AC645" s="40" t="n"/>
      <c r="AD645" s="40" t="n"/>
      <c r="AE645" s="40" t="n"/>
      <c r="AF645" s="40" t="n"/>
    </row>
    <row r="646" ht="13" customHeight="1" s="50">
      <c r="E646" s="40" t="n"/>
      <c r="F646" s="40" t="n"/>
      <c r="G646" s="40" t="n"/>
      <c r="H646" s="41" t="n"/>
      <c r="K646" s="40" t="n"/>
      <c r="L646" s="1" t="n"/>
      <c r="N646" s="40" t="n"/>
      <c r="O646" s="40" t="n"/>
      <c r="Z646" s="40" t="n"/>
      <c r="AA646" s="40" t="n"/>
      <c r="AC646" s="40" t="n"/>
      <c r="AD646" s="40" t="n"/>
      <c r="AE646" s="40" t="n"/>
      <c r="AF646" s="40" t="n"/>
    </row>
    <row r="647" ht="13" customHeight="1" s="50">
      <c r="E647" s="40" t="n"/>
      <c r="F647" s="40" t="n"/>
      <c r="G647" s="40" t="n"/>
      <c r="H647" s="41" t="n"/>
      <c r="K647" s="40" t="n"/>
      <c r="L647" s="1" t="n"/>
      <c r="N647" s="40" t="n"/>
      <c r="O647" s="40" t="n"/>
      <c r="Z647" s="40" t="n"/>
      <c r="AA647" s="40" t="n"/>
      <c r="AC647" s="40" t="n"/>
      <c r="AD647" s="40" t="n"/>
      <c r="AE647" s="40" t="n"/>
      <c r="AF647" s="40" t="n"/>
    </row>
    <row r="648" ht="13" customHeight="1" s="50">
      <c r="E648" s="40" t="n"/>
      <c r="F648" s="40" t="n"/>
      <c r="G648" s="40" t="n"/>
      <c r="H648" s="41" t="n"/>
      <c r="K648" s="40" t="n"/>
      <c r="L648" s="1" t="n"/>
      <c r="N648" s="40" t="n"/>
      <c r="O648" s="40" t="n"/>
      <c r="Z648" s="40" t="n"/>
      <c r="AA648" s="40" t="n"/>
      <c r="AC648" s="40" t="n"/>
      <c r="AD648" s="40" t="n"/>
      <c r="AE648" s="40" t="n"/>
      <c r="AF648" s="40" t="n"/>
    </row>
    <row r="649" ht="13" customHeight="1" s="50">
      <c r="E649" s="40" t="n"/>
      <c r="F649" s="40" t="n"/>
      <c r="G649" s="40" t="n"/>
      <c r="H649" s="41" t="n"/>
      <c r="K649" s="40" t="n"/>
      <c r="L649" s="1" t="n"/>
      <c r="N649" s="40" t="n"/>
      <c r="O649" s="40" t="n"/>
      <c r="Z649" s="40" t="n"/>
      <c r="AA649" s="40" t="n"/>
      <c r="AC649" s="40" t="n"/>
      <c r="AD649" s="40" t="n"/>
      <c r="AE649" s="40" t="n"/>
      <c r="AF649" s="40" t="n"/>
    </row>
    <row r="650" ht="13" customHeight="1" s="50">
      <c r="E650" s="40" t="n"/>
      <c r="F650" s="40" t="n"/>
      <c r="G650" s="40" t="n"/>
      <c r="H650" s="41" t="n"/>
      <c r="K650" s="40" t="n"/>
      <c r="L650" s="1" t="n"/>
      <c r="N650" s="40" t="n"/>
      <c r="O650" s="40" t="n"/>
      <c r="Z650" s="40" t="n"/>
      <c r="AA650" s="40" t="n"/>
      <c r="AC650" s="40" t="n"/>
      <c r="AD650" s="40" t="n"/>
      <c r="AE650" s="40" t="n"/>
      <c r="AF650" s="40" t="n"/>
    </row>
    <row r="651" ht="13" customHeight="1" s="50">
      <c r="E651" s="40" t="n"/>
      <c r="F651" s="40" t="n"/>
      <c r="G651" s="40" t="n"/>
      <c r="H651" s="41" t="n"/>
      <c r="K651" s="40" t="n"/>
      <c r="L651" s="1" t="n"/>
      <c r="N651" s="40" t="n"/>
      <c r="O651" s="40" t="n"/>
      <c r="Z651" s="40" t="n"/>
      <c r="AA651" s="40" t="n"/>
      <c r="AC651" s="40" t="n"/>
      <c r="AD651" s="40" t="n"/>
      <c r="AE651" s="40" t="n"/>
      <c r="AF651" s="40" t="n"/>
    </row>
    <row r="652" ht="13" customHeight="1" s="50">
      <c r="E652" s="40" t="n"/>
      <c r="F652" s="40" t="n"/>
      <c r="G652" s="40" t="n"/>
      <c r="H652" s="41" t="n"/>
      <c r="K652" s="40" t="n"/>
      <c r="L652" s="1" t="n"/>
      <c r="N652" s="40" t="n"/>
      <c r="O652" s="40" t="n"/>
      <c r="Z652" s="40" t="n"/>
      <c r="AA652" s="40" t="n"/>
      <c r="AC652" s="40" t="n"/>
      <c r="AD652" s="40" t="n"/>
      <c r="AE652" s="40" t="n"/>
      <c r="AF652" s="40" t="n"/>
    </row>
    <row r="653" ht="13" customHeight="1" s="50">
      <c r="E653" s="40" t="n"/>
      <c r="F653" s="40" t="n"/>
      <c r="G653" s="40" t="n"/>
      <c r="H653" s="41" t="n"/>
      <c r="K653" s="40" t="n"/>
      <c r="L653" s="1" t="n"/>
      <c r="N653" s="40" t="n"/>
      <c r="O653" s="40" t="n"/>
      <c r="Z653" s="40" t="n"/>
      <c r="AA653" s="40" t="n"/>
      <c r="AC653" s="40" t="n"/>
      <c r="AD653" s="40" t="n"/>
      <c r="AE653" s="40" t="n"/>
      <c r="AF653" s="40" t="n"/>
    </row>
    <row r="654" ht="13" customHeight="1" s="50">
      <c r="E654" s="40" t="n"/>
      <c r="F654" s="40" t="n"/>
      <c r="G654" s="40" t="n"/>
      <c r="H654" s="41" t="n"/>
      <c r="K654" s="40" t="n"/>
      <c r="L654" s="1" t="n"/>
      <c r="N654" s="40" t="n"/>
      <c r="O654" s="40" t="n"/>
      <c r="Z654" s="40" t="n"/>
      <c r="AA654" s="40" t="n"/>
      <c r="AC654" s="40" t="n"/>
      <c r="AD654" s="40" t="n"/>
      <c r="AE654" s="40" t="n"/>
      <c r="AF654" s="40" t="n"/>
    </row>
    <row r="655" ht="13" customHeight="1" s="50">
      <c r="E655" s="40" t="n"/>
      <c r="F655" s="40" t="n"/>
      <c r="G655" s="40" t="n"/>
      <c r="H655" s="41" t="n"/>
      <c r="K655" s="40" t="n"/>
      <c r="L655" s="1" t="n"/>
      <c r="N655" s="40" t="n"/>
      <c r="O655" s="40" t="n"/>
      <c r="Z655" s="40" t="n"/>
      <c r="AA655" s="40" t="n"/>
      <c r="AC655" s="40" t="n"/>
      <c r="AD655" s="40" t="n"/>
      <c r="AE655" s="40" t="n"/>
      <c r="AF655" s="40" t="n"/>
    </row>
    <row r="656" ht="13" customHeight="1" s="50">
      <c r="E656" s="40" t="n"/>
      <c r="F656" s="40" t="n"/>
      <c r="G656" s="40" t="n"/>
      <c r="H656" s="41" t="n"/>
      <c r="K656" s="40" t="n"/>
      <c r="L656" s="1" t="n"/>
      <c r="N656" s="40" t="n"/>
      <c r="O656" s="40" t="n"/>
      <c r="Z656" s="40" t="n"/>
      <c r="AA656" s="40" t="n"/>
      <c r="AC656" s="40" t="n"/>
      <c r="AD656" s="40" t="n"/>
      <c r="AE656" s="40" t="n"/>
      <c r="AF656" s="40" t="n"/>
    </row>
    <row r="657" ht="13" customHeight="1" s="50">
      <c r="E657" s="40" t="n"/>
      <c r="F657" s="40" t="n"/>
      <c r="G657" s="40" t="n"/>
      <c r="H657" s="41" t="n"/>
      <c r="K657" s="40" t="n"/>
      <c r="L657" s="1" t="n"/>
      <c r="N657" s="40" t="n"/>
      <c r="O657" s="40" t="n"/>
      <c r="Z657" s="40" t="n"/>
      <c r="AA657" s="40" t="n"/>
      <c r="AC657" s="40" t="n"/>
      <c r="AD657" s="40" t="n"/>
      <c r="AE657" s="40" t="n"/>
      <c r="AF657" s="40" t="n"/>
    </row>
    <row r="658" ht="13" customHeight="1" s="50">
      <c r="E658" s="40" t="n"/>
      <c r="F658" s="40" t="n"/>
      <c r="G658" s="40" t="n"/>
      <c r="H658" s="41" t="n"/>
      <c r="K658" s="40" t="n"/>
      <c r="L658" s="1" t="n"/>
      <c r="N658" s="40" t="n"/>
      <c r="O658" s="40" t="n"/>
      <c r="Z658" s="40" t="n"/>
      <c r="AA658" s="40" t="n"/>
      <c r="AC658" s="40" t="n"/>
      <c r="AD658" s="40" t="n"/>
      <c r="AE658" s="40" t="n"/>
      <c r="AF658" s="40" t="n"/>
    </row>
    <row r="659" ht="13" customHeight="1" s="50">
      <c r="E659" s="40" t="n"/>
      <c r="F659" s="40" t="n"/>
      <c r="G659" s="40" t="n"/>
      <c r="H659" s="41" t="n"/>
      <c r="K659" s="40" t="n"/>
      <c r="L659" s="1" t="n"/>
      <c r="N659" s="40" t="n"/>
      <c r="O659" s="40" t="n"/>
      <c r="Z659" s="40" t="n"/>
      <c r="AA659" s="40" t="n"/>
      <c r="AC659" s="40" t="n"/>
      <c r="AD659" s="40" t="n"/>
      <c r="AE659" s="40" t="n"/>
      <c r="AF659" s="40" t="n"/>
    </row>
    <row r="660" ht="13" customHeight="1" s="50">
      <c r="E660" s="40" t="n"/>
      <c r="F660" s="40" t="n"/>
      <c r="G660" s="40" t="n"/>
      <c r="H660" s="41" t="n"/>
      <c r="K660" s="40" t="n"/>
      <c r="L660" s="1" t="n"/>
      <c r="N660" s="40" t="n"/>
      <c r="O660" s="40" t="n"/>
      <c r="Z660" s="40" t="n"/>
      <c r="AA660" s="40" t="n"/>
      <c r="AC660" s="40" t="n"/>
      <c r="AD660" s="40" t="n"/>
      <c r="AE660" s="40" t="n"/>
      <c r="AF660" s="40" t="n"/>
    </row>
    <row r="661" ht="13" customHeight="1" s="50">
      <c r="E661" s="40" t="n"/>
      <c r="F661" s="40" t="n"/>
      <c r="G661" s="40" t="n"/>
      <c r="H661" s="41" t="n"/>
      <c r="K661" s="40" t="n"/>
      <c r="L661" s="1" t="n"/>
      <c r="N661" s="40" t="n"/>
      <c r="O661" s="40" t="n"/>
      <c r="Z661" s="40" t="n"/>
      <c r="AA661" s="40" t="n"/>
      <c r="AC661" s="40" t="n"/>
      <c r="AD661" s="40" t="n"/>
      <c r="AE661" s="40" t="n"/>
      <c r="AF661" s="40" t="n"/>
    </row>
    <row r="662" ht="13" customHeight="1" s="50">
      <c r="E662" s="40" t="n"/>
      <c r="F662" s="40" t="n"/>
      <c r="G662" s="40" t="n"/>
      <c r="H662" s="41" t="n"/>
      <c r="K662" s="40" t="n"/>
      <c r="L662" s="1" t="n"/>
      <c r="N662" s="40" t="n"/>
      <c r="O662" s="40" t="n"/>
      <c r="Z662" s="40" t="n"/>
      <c r="AA662" s="40" t="n"/>
      <c r="AC662" s="40" t="n"/>
      <c r="AD662" s="40" t="n"/>
      <c r="AE662" s="40" t="n"/>
      <c r="AF662" s="40" t="n"/>
    </row>
    <row r="663" ht="13" customHeight="1" s="50">
      <c r="E663" s="40" t="n"/>
      <c r="F663" s="40" t="n"/>
      <c r="G663" s="40" t="n"/>
      <c r="H663" s="41" t="n"/>
      <c r="K663" s="40" t="n"/>
      <c r="L663" s="1" t="n"/>
      <c r="N663" s="40" t="n"/>
      <c r="O663" s="40" t="n"/>
      <c r="Z663" s="40" t="n"/>
      <c r="AA663" s="40" t="n"/>
      <c r="AC663" s="40" t="n"/>
      <c r="AD663" s="40" t="n"/>
      <c r="AE663" s="40" t="n"/>
      <c r="AF663" s="40" t="n"/>
    </row>
    <row r="664" ht="13" customHeight="1" s="50">
      <c r="E664" s="40" t="n"/>
      <c r="F664" s="40" t="n"/>
      <c r="G664" s="40" t="n"/>
      <c r="H664" s="41" t="n"/>
      <c r="K664" s="40" t="n"/>
      <c r="L664" s="1" t="n"/>
      <c r="N664" s="40" t="n"/>
      <c r="O664" s="40" t="n"/>
      <c r="Z664" s="40" t="n"/>
      <c r="AA664" s="40" t="n"/>
      <c r="AC664" s="40" t="n"/>
      <c r="AD664" s="40" t="n"/>
      <c r="AE664" s="40" t="n"/>
      <c r="AF664" s="40" t="n"/>
    </row>
    <row r="665" ht="13" customHeight="1" s="50">
      <c r="E665" s="40" t="n"/>
      <c r="F665" s="40" t="n"/>
      <c r="G665" s="40" t="n"/>
      <c r="H665" s="41" t="n"/>
      <c r="K665" s="40" t="n"/>
      <c r="L665" s="1" t="n"/>
      <c r="N665" s="40" t="n"/>
      <c r="O665" s="40" t="n"/>
      <c r="Z665" s="40" t="n"/>
      <c r="AA665" s="40" t="n"/>
      <c r="AC665" s="40" t="n"/>
      <c r="AD665" s="40" t="n"/>
      <c r="AE665" s="40" t="n"/>
      <c r="AF665" s="40" t="n"/>
    </row>
    <row r="666" ht="13" customHeight="1" s="50">
      <c r="E666" s="40" t="n"/>
      <c r="F666" s="40" t="n"/>
      <c r="G666" s="40" t="n"/>
      <c r="H666" s="41" t="n"/>
      <c r="K666" s="40" t="n"/>
      <c r="L666" s="1" t="n"/>
      <c r="N666" s="40" t="n"/>
      <c r="O666" s="40" t="n"/>
      <c r="Z666" s="40" t="n"/>
      <c r="AA666" s="40" t="n"/>
      <c r="AC666" s="40" t="n"/>
      <c r="AD666" s="40" t="n"/>
      <c r="AE666" s="40" t="n"/>
      <c r="AF666" s="40" t="n"/>
    </row>
    <row r="667" ht="13" customHeight="1" s="50">
      <c r="E667" s="40" t="n"/>
      <c r="F667" s="40" t="n"/>
      <c r="G667" s="40" t="n"/>
      <c r="H667" s="41" t="n"/>
      <c r="K667" s="40" t="n"/>
      <c r="L667" s="1" t="n"/>
      <c r="N667" s="40" t="n"/>
      <c r="O667" s="40" t="n"/>
      <c r="Z667" s="40" t="n"/>
      <c r="AA667" s="40" t="n"/>
      <c r="AC667" s="40" t="n"/>
      <c r="AD667" s="40" t="n"/>
      <c r="AE667" s="40" t="n"/>
      <c r="AF667" s="40" t="n"/>
    </row>
    <row r="668" ht="13" customHeight="1" s="50">
      <c r="E668" s="40" t="n"/>
      <c r="F668" s="40" t="n"/>
      <c r="G668" s="40" t="n"/>
      <c r="H668" s="41" t="n"/>
      <c r="K668" s="40" t="n"/>
      <c r="L668" s="1" t="n"/>
      <c r="N668" s="40" t="n"/>
      <c r="O668" s="40" t="n"/>
      <c r="Z668" s="40" t="n"/>
      <c r="AA668" s="40" t="n"/>
      <c r="AC668" s="40" t="n"/>
      <c r="AD668" s="40" t="n"/>
      <c r="AE668" s="40" t="n"/>
      <c r="AF668" s="40" t="n"/>
    </row>
    <row r="669" ht="13" customHeight="1" s="50">
      <c r="E669" s="40" t="n"/>
      <c r="F669" s="40" t="n"/>
      <c r="G669" s="40" t="n"/>
      <c r="H669" s="41" t="n"/>
      <c r="K669" s="40" t="n"/>
      <c r="L669" s="1" t="n"/>
      <c r="N669" s="40" t="n"/>
      <c r="O669" s="40" t="n"/>
      <c r="Z669" s="40" t="n"/>
      <c r="AA669" s="40" t="n"/>
      <c r="AC669" s="40" t="n"/>
      <c r="AD669" s="40" t="n"/>
      <c r="AE669" s="40" t="n"/>
      <c r="AF669" s="40" t="n"/>
    </row>
    <row r="670" ht="13" customHeight="1" s="50">
      <c r="E670" s="40" t="n"/>
      <c r="F670" s="40" t="n"/>
      <c r="G670" s="40" t="n"/>
      <c r="H670" s="41" t="n"/>
      <c r="K670" s="40" t="n"/>
      <c r="L670" s="1" t="n"/>
      <c r="N670" s="40" t="n"/>
      <c r="O670" s="40" t="n"/>
      <c r="Z670" s="40" t="n"/>
      <c r="AA670" s="40" t="n"/>
      <c r="AC670" s="40" t="n"/>
      <c r="AD670" s="40" t="n"/>
      <c r="AE670" s="40" t="n"/>
      <c r="AF670" s="40" t="n"/>
    </row>
    <row r="671" ht="13" customHeight="1" s="50">
      <c r="E671" s="40" t="n"/>
      <c r="F671" s="40" t="n"/>
      <c r="G671" s="40" t="n"/>
      <c r="H671" s="41" t="n"/>
      <c r="K671" s="40" t="n"/>
      <c r="L671" s="1" t="n"/>
      <c r="N671" s="40" t="n"/>
      <c r="O671" s="40" t="n"/>
      <c r="Z671" s="40" t="n"/>
      <c r="AA671" s="40" t="n"/>
      <c r="AC671" s="40" t="n"/>
      <c r="AD671" s="40" t="n"/>
      <c r="AE671" s="40" t="n"/>
      <c r="AF671" s="40" t="n"/>
    </row>
    <row r="672" ht="13" customHeight="1" s="50">
      <c r="E672" s="40" t="n"/>
      <c r="F672" s="40" t="n"/>
      <c r="G672" s="40" t="n"/>
      <c r="H672" s="41" t="n"/>
      <c r="K672" s="40" t="n"/>
      <c r="L672" s="1" t="n"/>
      <c r="N672" s="40" t="n"/>
      <c r="O672" s="40" t="n"/>
      <c r="Z672" s="40" t="n"/>
      <c r="AA672" s="40" t="n"/>
      <c r="AC672" s="40" t="n"/>
      <c r="AD672" s="40" t="n"/>
      <c r="AE672" s="40" t="n"/>
      <c r="AF672" s="40" t="n"/>
    </row>
    <row r="673" ht="13" customHeight="1" s="50">
      <c r="E673" s="40" t="n"/>
      <c r="F673" s="40" t="n"/>
      <c r="G673" s="40" t="n"/>
      <c r="H673" s="41" t="n"/>
      <c r="K673" s="40" t="n"/>
      <c r="L673" s="1" t="n"/>
      <c r="N673" s="40" t="n"/>
      <c r="O673" s="40" t="n"/>
      <c r="Z673" s="40" t="n"/>
      <c r="AA673" s="40" t="n"/>
      <c r="AC673" s="40" t="n"/>
      <c r="AD673" s="40" t="n"/>
      <c r="AE673" s="40" t="n"/>
      <c r="AF673" s="40" t="n"/>
    </row>
    <row r="674" ht="13" customHeight="1" s="50">
      <c r="E674" s="40" t="n"/>
      <c r="F674" s="40" t="n"/>
      <c r="G674" s="40" t="n"/>
      <c r="H674" s="41" t="n"/>
      <c r="K674" s="40" t="n"/>
      <c r="L674" s="1" t="n"/>
      <c r="N674" s="40" t="n"/>
      <c r="O674" s="40" t="n"/>
      <c r="Z674" s="40" t="n"/>
      <c r="AA674" s="40" t="n"/>
      <c r="AC674" s="40" t="n"/>
      <c r="AD674" s="40" t="n"/>
      <c r="AE674" s="40" t="n"/>
      <c r="AF674" s="40" t="n"/>
    </row>
    <row r="675" ht="13" customHeight="1" s="50">
      <c r="E675" s="40" t="n"/>
      <c r="F675" s="40" t="n"/>
      <c r="G675" s="40" t="n"/>
      <c r="H675" s="41" t="n"/>
      <c r="K675" s="40" t="n"/>
      <c r="L675" s="1" t="n"/>
      <c r="N675" s="40" t="n"/>
      <c r="O675" s="40" t="n"/>
      <c r="Z675" s="40" t="n"/>
      <c r="AA675" s="40" t="n"/>
      <c r="AC675" s="40" t="n"/>
      <c r="AD675" s="40" t="n"/>
      <c r="AE675" s="40" t="n"/>
      <c r="AF675" s="40" t="n"/>
    </row>
    <row r="676" ht="13" customHeight="1" s="50">
      <c r="E676" s="40" t="n"/>
      <c r="F676" s="40" t="n"/>
      <c r="G676" s="40" t="n"/>
      <c r="H676" s="41" t="n"/>
      <c r="K676" s="40" t="n"/>
      <c r="L676" s="1" t="n"/>
      <c r="N676" s="40" t="n"/>
      <c r="O676" s="40" t="n"/>
      <c r="Z676" s="40" t="n"/>
      <c r="AA676" s="40" t="n"/>
      <c r="AC676" s="40" t="n"/>
      <c r="AD676" s="40" t="n"/>
      <c r="AE676" s="40" t="n"/>
      <c r="AF676" s="40" t="n"/>
    </row>
    <row r="677" ht="13" customHeight="1" s="50">
      <c r="E677" s="40" t="n"/>
      <c r="F677" s="40" t="n"/>
      <c r="G677" s="40" t="n"/>
      <c r="H677" s="41" t="n"/>
      <c r="K677" s="40" t="n"/>
      <c r="L677" s="1" t="n"/>
      <c r="N677" s="40" t="n"/>
      <c r="O677" s="40" t="n"/>
      <c r="Z677" s="40" t="n"/>
      <c r="AA677" s="40" t="n"/>
      <c r="AC677" s="40" t="n"/>
      <c r="AD677" s="40" t="n"/>
      <c r="AE677" s="40" t="n"/>
      <c r="AF677" s="40" t="n"/>
    </row>
    <row r="678" ht="13" customHeight="1" s="50">
      <c r="E678" s="40" t="n"/>
      <c r="F678" s="40" t="n"/>
      <c r="G678" s="40" t="n"/>
      <c r="H678" s="41" t="n"/>
      <c r="K678" s="40" t="n"/>
      <c r="L678" s="1" t="n"/>
      <c r="N678" s="40" t="n"/>
      <c r="O678" s="40" t="n"/>
      <c r="Z678" s="40" t="n"/>
      <c r="AA678" s="40" t="n"/>
      <c r="AC678" s="40" t="n"/>
      <c r="AD678" s="40" t="n"/>
      <c r="AE678" s="40" t="n"/>
      <c r="AF678" s="40" t="n"/>
    </row>
    <row r="679" ht="13" customHeight="1" s="50">
      <c r="E679" s="40" t="n"/>
      <c r="F679" s="40" t="n"/>
      <c r="G679" s="40" t="n"/>
      <c r="H679" s="41" t="n"/>
      <c r="K679" s="40" t="n"/>
      <c r="L679" s="1" t="n"/>
      <c r="N679" s="40" t="n"/>
      <c r="O679" s="40" t="n"/>
      <c r="Z679" s="40" t="n"/>
      <c r="AA679" s="40" t="n"/>
      <c r="AC679" s="40" t="n"/>
      <c r="AD679" s="40" t="n"/>
      <c r="AE679" s="40" t="n"/>
      <c r="AF679" s="40" t="n"/>
    </row>
    <row r="680" ht="13" customHeight="1" s="50">
      <c r="E680" s="40" t="n"/>
      <c r="F680" s="40" t="n"/>
      <c r="G680" s="40" t="n"/>
      <c r="H680" s="41" t="n"/>
      <c r="K680" s="40" t="n"/>
      <c r="L680" s="1" t="n"/>
      <c r="N680" s="40" t="n"/>
      <c r="O680" s="40" t="n"/>
      <c r="Z680" s="40" t="n"/>
      <c r="AA680" s="40" t="n"/>
      <c r="AC680" s="40" t="n"/>
      <c r="AD680" s="40" t="n"/>
      <c r="AE680" s="40" t="n"/>
      <c r="AF680" s="40" t="n"/>
    </row>
    <row r="681" ht="13" customHeight="1" s="50">
      <c r="E681" s="40" t="n"/>
      <c r="F681" s="40" t="n"/>
      <c r="G681" s="40" t="n"/>
      <c r="H681" s="41" t="n"/>
      <c r="K681" s="40" t="n"/>
      <c r="L681" s="1" t="n"/>
      <c r="N681" s="40" t="n"/>
      <c r="O681" s="40" t="n"/>
      <c r="Z681" s="40" t="n"/>
      <c r="AA681" s="40" t="n"/>
      <c r="AC681" s="40" t="n"/>
      <c r="AD681" s="40" t="n"/>
      <c r="AE681" s="40" t="n"/>
      <c r="AF681" s="40" t="n"/>
    </row>
    <row r="682" ht="13" customHeight="1" s="50">
      <c r="E682" s="40" t="n"/>
      <c r="F682" s="40" t="n"/>
      <c r="G682" s="40" t="n"/>
      <c r="H682" s="41" t="n"/>
      <c r="K682" s="40" t="n"/>
      <c r="L682" s="1" t="n"/>
      <c r="N682" s="40" t="n"/>
      <c r="O682" s="40" t="n"/>
      <c r="Z682" s="40" t="n"/>
      <c r="AA682" s="40" t="n"/>
      <c r="AC682" s="40" t="n"/>
      <c r="AD682" s="40" t="n"/>
      <c r="AE682" s="40" t="n"/>
      <c r="AF682" s="40" t="n"/>
    </row>
    <row r="683" ht="13" customHeight="1" s="50">
      <c r="E683" s="40" t="n"/>
      <c r="F683" s="40" t="n"/>
      <c r="G683" s="40" t="n"/>
      <c r="H683" s="41" t="n"/>
      <c r="K683" s="40" t="n"/>
      <c r="L683" s="1" t="n"/>
      <c r="N683" s="40" t="n"/>
      <c r="O683" s="40" t="n"/>
      <c r="Z683" s="40" t="n"/>
      <c r="AA683" s="40" t="n"/>
      <c r="AC683" s="40" t="n"/>
      <c r="AD683" s="40" t="n"/>
      <c r="AE683" s="40" t="n"/>
      <c r="AF683" s="40" t="n"/>
    </row>
    <row r="684" ht="13" customHeight="1" s="50">
      <c r="E684" s="40" t="n"/>
      <c r="F684" s="40" t="n"/>
      <c r="G684" s="40" t="n"/>
      <c r="H684" s="41" t="n"/>
      <c r="K684" s="40" t="n"/>
      <c r="L684" s="1" t="n"/>
      <c r="N684" s="40" t="n"/>
      <c r="O684" s="40" t="n"/>
      <c r="Z684" s="40" t="n"/>
      <c r="AA684" s="40" t="n"/>
      <c r="AC684" s="40" t="n"/>
      <c r="AD684" s="40" t="n"/>
      <c r="AE684" s="40" t="n"/>
      <c r="AF684" s="40" t="n"/>
    </row>
    <row r="685" ht="13" customHeight="1" s="50">
      <c r="E685" s="40" t="n"/>
      <c r="F685" s="40" t="n"/>
      <c r="G685" s="40" t="n"/>
      <c r="H685" s="41" t="n"/>
      <c r="K685" s="40" t="n"/>
      <c r="L685" s="1" t="n"/>
      <c r="N685" s="40" t="n"/>
      <c r="O685" s="40" t="n"/>
      <c r="Z685" s="40" t="n"/>
      <c r="AA685" s="40" t="n"/>
      <c r="AC685" s="40" t="n"/>
      <c r="AD685" s="40" t="n"/>
      <c r="AE685" s="40" t="n"/>
      <c r="AF685" s="40" t="n"/>
    </row>
    <row r="686" ht="13" customHeight="1" s="50">
      <c r="E686" s="40" t="n"/>
      <c r="F686" s="40" t="n"/>
      <c r="G686" s="40" t="n"/>
      <c r="H686" s="41" t="n"/>
      <c r="K686" s="40" t="n"/>
      <c r="L686" s="1" t="n"/>
      <c r="N686" s="40" t="n"/>
      <c r="O686" s="40" t="n"/>
      <c r="Z686" s="40" t="n"/>
      <c r="AA686" s="40" t="n"/>
      <c r="AC686" s="40" t="n"/>
      <c r="AD686" s="40" t="n"/>
      <c r="AE686" s="40" t="n"/>
      <c r="AF686" s="40" t="n"/>
    </row>
    <row r="687" ht="13" customHeight="1" s="50">
      <c r="E687" s="40" t="n"/>
      <c r="F687" s="40" t="n"/>
      <c r="G687" s="40" t="n"/>
      <c r="H687" s="41" t="n"/>
      <c r="K687" s="40" t="n"/>
      <c r="L687" s="1" t="n"/>
      <c r="N687" s="40" t="n"/>
      <c r="O687" s="40" t="n"/>
      <c r="Z687" s="40" t="n"/>
      <c r="AA687" s="40" t="n"/>
      <c r="AC687" s="40" t="n"/>
      <c r="AD687" s="40" t="n"/>
      <c r="AE687" s="40" t="n"/>
      <c r="AF687" s="40" t="n"/>
    </row>
    <row r="688" ht="13" customHeight="1" s="50">
      <c r="E688" s="40" t="n"/>
      <c r="F688" s="40" t="n"/>
      <c r="G688" s="40" t="n"/>
      <c r="H688" s="41" t="n"/>
      <c r="K688" s="40" t="n"/>
      <c r="L688" s="1" t="n"/>
      <c r="N688" s="40" t="n"/>
      <c r="O688" s="40" t="n"/>
      <c r="Z688" s="40" t="n"/>
      <c r="AA688" s="40" t="n"/>
      <c r="AC688" s="40" t="n"/>
      <c r="AD688" s="40" t="n"/>
      <c r="AE688" s="40" t="n"/>
      <c r="AF688" s="40" t="n"/>
    </row>
    <row r="689" ht="13" customHeight="1" s="50">
      <c r="E689" s="40" t="n"/>
      <c r="F689" s="40" t="n"/>
      <c r="G689" s="40" t="n"/>
      <c r="H689" s="41" t="n"/>
      <c r="K689" s="40" t="n"/>
      <c r="L689" s="1" t="n"/>
      <c r="N689" s="40" t="n"/>
      <c r="O689" s="40" t="n"/>
      <c r="Z689" s="40" t="n"/>
      <c r="AA689" s="40" t="n"/>
      <c r="AC689" s="40" t="n"/>
      <c r="AD689" s="40" t="n"/>
      <c r="AE689" s="40" t="n"/>
      <c r="AF689" s="40" t="n"/>
    </row>
    <row r="690" ht="13" customHeight="1" s="50">
      <c r="E690" s="40" t="n"/>
      <c r="F690" s="40" t="n"/>
      <c r="G690" s="40" t="n"/>
      <c r="H690" s="41" t="n"/>
      <c r="K690" s="40" t="n"/>
      <c r="L690" s="1" t="n"/>
      <c r="N690" s="40" t="n"/>
      <c r="O690" s="40" t="n"/>
      <c r="Z690" s="40" t="n"/>
      <c r="AA690" s="40" t="n"/>
      <c r="AC690" s="40" t="n"/>
      <c r="AD690" s="40" t="n"/>
      <c r="AE690" s="40" t="n"/>
      <c r="AF690" s="40" t="n"/>
    </row>
    <row r="691" ht="13" customHeight="1" s="50">
      <c r="E691" s="40" t="n"/>
      <c r="F691" s="40" t="n"/>
      <c r="G691" s="40" t="n"/>
      <c r="H691" s="41" t="n"/>
      <c r="K691" s="40" t="n"/>
      <c r="L691" s="1" t="n"/>
      <c r="N691" s="40" t="n"/>
      <c r="O691" s="40" t="n"/>
      <c r="Z691" s="40" t="n"/>
      <c r="AA691" s="40" t="n"/>
      <c r="AC691" s="40" t="n"/>
      <c r="AD691" s="40" t="n"/>
      <c r="AE691" s="40" t="n"/>
      <c r="AF691" s="40" t="n"/>
    </row>
    <row r="692" ht="13" customHeight="1" s="50">
      <c r="E692" s="40" t="n"/>
      <c r="F692" s="40" t="n"/>
      <c r="G692" s="40" t="n"/>
      <c r="H692" s="41" t="n"/>
      <c r="K692" s="40" t="n"/>
      <c r="L692" s="1" t="n"/>
      <c r="N692" s="40" t="n"/>
      <c r="O692" s="40" t="n"/>
      <c r="Z692" s="40" t="n"/>
      <c r="AA692" s="40" t="n"/>
      <c r="AC692" s="40" t="n"/>
      <c r="AD692" s="40" t="n"/>
      <c r="AE692" s="40" t="n"/>
      <c r="AF692" s="40" t="n"/>
    </row>
    <row r="693" ht="13" customHeight="1" s="50">
      <c r="E693" s="40" t="n"/>
      <c r="F693" s="40" t="n"/>
      <c r="G693" s="40" t="n"/>
      <c r="H693" s="41" t="n"/>
      <c r="K693" s="40" t="n"/>
      <c r="L693" s="1" t="n"/>
      <c r="N693" s="40" t="n"/>
      <c r="O693" s="40" t="n"/>
      <c r="Z693" s="40" t="n"/>
      <c r="AA693" s="40" t="n"/>
      <c r="AC693" s="40" t="n"/>
      <c r="AD693" s="40" t="n"/>
      <c r="AE693" s="40" t="n"/>
      <c r="AF693" s="40" t="n"/>
    </row>
    <row r="694" ht="13" customHeight="1" s="50">
      <c r="E694" s="40" t="n"/>
      <c r="F694" s="40" t="n"/>
      <c r="G694" s="40" t="n"/>
      <c r="H694" s="41" t="n"/>
      <c r="K694" s="40" t="n"/>
      <c r="L694" s="1" t="n"/>
      <c r="N694" s="40" t="n"/>
      <c r="O694" s="40" t="n"/>
      <c r="Z694" s="40" t="n"/>
      <c r="AA694" s="40" t="n"/>
      <c r="AC694" s="40" t="n"/>
      <c r="AD694" s="40" t="n"/>
      <c r="AE694" s="40" t="n"/>
      <c r="AF694" s="40" t="n"/>
    </row>
    <row r="695" ht="13" customHeight="1" s="50">
      <c r="E695" s="40" t="n"/>
      <c r="F695" s="40" t="n"/>
      <c r="G695" s="40" t="n"/>
      <c r="H695" s="41" t="n"/>
      <c r="K695" s="40" t="n"/>
      <c r="L695" s="1" t="n"/>
      <c r="N695" s="40" t="n"/>
      <c r="O695" s="40" t="n"/>
      <c r="Z695" s="40" t="n"/>
      <c r="AA695" s="40" t="n"/>
      <c r="AC695" s="40" t="n"/>
      <c r="AD695" s="40" t="n"/>
      <c r="AE695" s="40" t="n"/>
      <c r="AF695" s="40" t="n"/>
    </row>
    <row r="696" ht="13" customHeight="1" s="50">
      <c r="E696" s="40" t="n"/>
      <c r="F696" s="40" t="n"/>
      <c r="G696" s="40" t="n"/>
      <c r="H696" s="41" t="n"/>
      <c r="K696" s="40" t="n"/>
      <c r="L696" s="1" t="n"/>
      <c r="N696" s="40" t="n"/>
      <c r="O696" s="40" t="n"/>
      <c r="Z696" s="40" t="n"/>
      <c r="AA696" s="40" t="n"/>
      <c r="AC696" s="40" t="n"/>
      <c r="AD696" s="40" t="n"/>
      <c r="AE696" s="40" t="n"/>
      <c r="AF696" s="40" t="n"/>
    </row>
    <row r="697" ht="13" customHeight="1" s="50">
      <c r="E697" s="40" t="n"/>
      <c r="F697" s="40" t="n"/>
      <c r="G697" s="40" t="n"/>
      <c r="H697" s="41" t="n"/>
      <c r="K697" s="40" t="n"/>
      <c r="L697" s="1" t="n"/>
      <c r="N697" s="40" t="n"/>
      <c r="O697" s="40" t="n"/>
      <c r="Z697" s="40" t="n"/>
      <c r="AA697" s="40" t="n"/>
      <c r="AC697" s="40" t="n"/>
      <c r="AD697" s="40" t="n"/>
      <c r="AE697" s="40" t="n"/>
      <c r="AF697" s="40" t="n"/>
    </row>
    <row r="698" ht="13" customHeight="1" s="50">
      <c r="E698" s="40" t="n"/>
      <c r="F698" s="40" t="n"/>
      <c r="G698" s="40" t="n"/>
      <c r="H698" s="41" t="n"/>
      <c r="K698" s="40" t="n"/>
      <c r="L698" s="1" t="n"/>
      <c r="N698" s="40" t="n"/>
      <c r="O698" s="40" t="n"/>
      <c r="Z698" s="40" t="n"/>
      <c r="AA698" s="40" t="n"/>
      <c r="AC698" s="40" t="n"/>
      <c r="AD698" s="40" t="n"/>
      <c r="AE698" s="40" t="n"/>
      <c r="AF698" s="40" t="n"/>
    </row>
    <row r="699" ht="13" customHeight="1" s="50">
      <c r="E699" s="40" t="n"/>
      <c r="F699" s="40" t="n"/>
      <c r="G699" s="40" t="n"/>
      <c r="H699" s="41" t="n"/>
      <c r="K699" s="40" t="n"/>
      <c r="L699" s="1" t="n"/>
      <c r="N699" s="40" t="n"/>
      <c r="O699" s="40" t="n"/>
      <c r="Z699" s="40" t="n"/>
      <c r="AA699" s="40" t="n"/>
      <c r="AC699" s="40" t="n"/>
      <c r="AD699" s="40" t="n"/>
      <c r="AE699" s="40" t="n"/>
      <c r="AF699" s="40" t="n"/>
    </row>
    <row r="700" ht="13" customHeight="1" s="50">
      <c r="E700" s="40" t="n"/>
      <c r="F700" s="40" t="n"/>
      <c r="G700" s="40" t="n"/>
      <c r="H700" s="41" t="n"/>
      <c r="K700" s="40" t="n"/>
      <c r="L700" s="1" t="n"/>
      <c r="N700" s="40" t="n"/>
      <c r="O700" s="40" t="n"/>
      <c r="Z700" s="40" t="n"/>
      <c r="AA700" s="40" t="n"/>
      <c r="AC700" s="40" t="n"/>
      <c r="AD700" s="40" t="n"/>
      <c r="AE700" s="40" t="n"/>
      <c r="AF700" s="40" t="n"/>
    </row>
    <row r="701" ht="13" customHeight="1" s="50">
      <c r="E701" s="40" t="n"/>
      <c r="F701" s="40" t="n"/>
      <c r="G701" s="40" t="n"/>
      <c r="H701" s="41" t="n"/>
      <c r="K701" s="40" t="n"/>
      <c r="L701" s="1" t="n"/>
      <c r="N701" s="40" t="n"/>
      <c r="O701" s="40" t="n"/>
      <c r="Z701" s="40" t="n"/>
      <c r="AA701" s="40" t="n"/>
      <c r="AC701" s="40" t="n"/>
      <c r="AD701" s="40" t="n"/>
      <c r="AE701" s="40" t="n"/>
      <c r="AF701" s="40" t="n"/>
    </row>
    <row r="702" ht="13" customHeight="1" s="50">
      <c r="E702" s="40" t="n"/>
      <c r="F702" s="40" t="n"/>
      <c r="G702" s="40" t="n"/>
      <c r="H702" s="41" t="n"/>
      <c r="K702" s="40" t="n"/>
      <c r="L702" s="1" t="n"/>
      <c r="N702" s="40" t="n"/>
      <c r="O702" s="40" t="n"/>
      <c r="Z702" s="40" t="n"/>
      <c r="AA702" s="40" t="n"/>
      <c r="AC702" s="40" t="n"/>
      <c r="AD702" s="40" t="n"/>
      <c r="AE702" s="40" t="n"/>
      <c r="AF702" s="40" t="n"/>
    </row>
    <row r="703" ht="13" customHeight="1" s="50">
      <c r="E703" s="40" t="n"/>
      <c r="F703" s="40" t="n"/>
      <c r="G703" s="40" t="n"/>
      <c r="H703" s="41" t="n"/>
      <c r="K703" s="40" t="n"/>
      <c r="L703" s="1" t="n"/>
      <c r="N703" s="40" t="n"/>
      <c r="O703" s="40" t="n"/>
      <c r="Z703" s="40" t="n"/>
      <c r="AA703" s="40" t="n"/>
      <c r="AC703" s="40" t="n"/>
      <c r="AD703" s="40" t="n"/>
      <c r="AE703" s="40" t="n"/>
      <c r="AF703" s="40" t="n"/>
    </row>
    <row r="704" ht="13" customHeight="1" s="50">
      <c r="E704" s="40" t="n"/>
      <c r="F704" s="40" t="n"/>
      <c r="G704" s="40" t="n"/>
      <c r="H704" s="41" t="n"/>
      <c r="K704" s="40" t="n"/>
      <c r="L704" s="1" t="n"/>
      <c r="N704" s="40" t="n"/>
      <c r="O704" s="40" t="n"/>
      <c r="Z704" s="40" t="n"/>
      <c r="AA704" s="40" t="n"/>
      <c r="AC704" s="40" t="n"/>
      <c r="AD704" s="40" t="n"/>
      <c r="AE704" s="40" t="n"/>
      <c r="AF704" s="40" t="n"/>
    </row>
    <row r="705" ht="13" customHeight="1" s="50">
      <c r="E705" s="40" t="n"/>
      <c r="F705" s="40" t="n"/>
      <c r="G705" s="40" t="n"/>
      <c r="H705" s="41" t="n"/>
      <c r="K705" s="40" t="n"/>
      <c r="L705" s="1" t="n"/>
      <c r="N705" s="40" t="n"/>
      <c r="O705" s="40" t="n"/>
      <c r="Z705" s="40" t="n"/>
      <c r="AA705" s="40" t="n"/>
      <c r="AC705" s="40" t="n"/>
      <c r="AD705" s="40" t="n"/>
      <c r="AE705" s="40" t="n"/>
      <c r="AF705" s="40" t="n"/>
    </row>
    <row r="706" ht="13" customHeight="1" s="50">
      <c r="E706" s="40" t="n"/>
      <c r="F706" s="40" t="n"/>
      <c r="G706" s="40" t="n"/>
      <c r="H706" s="41" t="n"/>
      <c r="K706" s="40" t="n"/>
      <c r="L706" s="1" t="n"/>
      <c r="N706" s="40" t="n"/>
      <c r="O706" s="40" t="n"/>
      <c r="Z706" s="40" t="n"/>
      <c r="AA706" s="40" t="n"/>
      <c r="AC706" s="40" t="n"/>
      <c r="AD706" s="40" t="n"/>
      <c r="AE706" s="40" t="n"/>
      <c r="AF706" s="40" t="n"/>
    </row>
    <row r="707" ht="13" customHeight="1" s="50">
      <c r="E707" s="40" t="n"/>
      <c r="F707" s="40" t="n"/>
      <c r="G707" s="40" t="n"/>
      <c r="H707" s="41" t="n"/>
      <c r="K707" s="40" t="n"/>
      <c r="L707" s="1" t="n"/>
      <c r="N707" s="40" t="n"/>
      <c r="O707" s="40" t="n"/>
      <c r="Z707" s="40" t="n"/>
      <c r="AA707" s="40" t="n"/>
      <c r="AC707" s="40" t="n"/>
      <c r="AD707" s="40" t="n"/>
      <c r="AE707" s="40" t="n"/>
      <c r="AF707" s="40" t="n"/>
    </row>
    <row r="708" ht="13" customHeight="1" s="50">
      <c r="E708" s="40" t="n"/>
      <c r="F708" s="40" t="n"/>
      <c r="G708" s="40" t="n"/>
      <c r="H708" s="41" t="n"/>
      <c r="K708" s="40" t="n"/>
      <c r="L708" s="1" t="n"/>
      <c r="N708" s="40" t="n"/>
      <c r="O708" s="40" t="n"/>
      <c r="Z708" s="40" t="n"/>
      <c r="AA708" s="40" t="n"/>
      <c r="AC708" s="40" t="n"/>
      <c r="AD708" s="40" t="n"/>
      <c r="AE708" s="40" t="n"/>
      <c r="AF708" s="40" t="n"/>
    </row>
    <row r="709" ht="13" customHeight="1" s="50">
      <c r="E709" s="40" t="n"/>
      <c r="F709" s="40" t="n"/>
      <c r="G709" s="40" t="n"/>
      <c r="H709" s="41" t="n"/>
      <c r="K709" s="40" t="n"/>
      <c r="L709" s="1" t="n"/>
      <c r="N709" s="40" t="n"/>
      <c r="O709" s="40" t="n"/>
      <c r="Z709" s="40" t="n"/>
      <c r="AA709" s="40" t="n"/>
      <c r="AC709" s="40" t="n"/>
      <c r="AD709" s="40" t="n"/>
      <c r="AE709" s="40" t="n"/>
      <c r="AF709" s="40" t="n"/>
    </row>
    <row r="710" ht="13" customHeight="1" s="50">
      <c r="E710" s="40" t="n"/>
      <c r="F710" s="40" t="n"/>
      <c r="G710" s="40" t="n"/>
      <c r="H710" s="41" t="n"/>
      <c r="K710" s="40" t="n"/>
      <c r="L710" s="1" t="n"/>
      <c r="N710" s="40" t="n"/>
      <c r="O710" s="40" t="n"/>
      <c r="Z710" s="40" t="n"/>
      <c r="AA710" s="40" t="n"/>
      <c r="AC710" s="40" t="n"/>
      <c r="AD710" s="40" t="n"/>
      <c r="AE710" s="40" t="n"/>
      <c r="AF710" s="40" t="n"/>
    </row>
    <row r="711" ht="13" customHeight="1" s="50">
      <c r="E711" s="40" t="n"/>
      <c r="F711" s="40" t="n"/>
      <c r="G711" s="40" t="n"/>
      <c r="H711" s="41" t="n"/>
      <c r="K711" s="40" t="n"/>
      <c r="L711" s="1" t="n"/>
      <c r="N711" s="40" t="n"/>
      <c r="O711" s="40" t="n"/>
      <c r="Z711" s="40" t="n"/>
      <c r="AA711" s="40" t="n"/>
      <c r="AC711" s="40" t="n"/>
      <c r="AD711" s="40" t="n"/>
      <c r="AE711" s="40" t="n"/>
      <c r="AF711" s="40" t="n"/>
    </row>
    <row r="712" ht="13" customHeight="1" s="50">
      <c r="E712" s="40" t="n"/>
      <c r="F712" s="40" t="n"/>
      <c r="G712" s="40" t="n"/>
      <c r="H712" s="41" t="n"/>
      <c r="K712" s="40" t="n"/>
      <c r="L712" s="1" t="n"/>
      <c r="N712" s="40" t="n"/>
      <c r="O712" s="40" t="n"/>
      <c r="Z712" s="40" t="n"/>
      <c r="AA712" s="40" t="n"/>
      <c r="AC712" s="40" t="n"/>
      <c r="AD712" s="40" t="n"/>
      <c r="AE712" s="40" t="n"/>
      <c r="AF712" s="40" t="n"/>
    </row>
    <row r="713" ht="13" customHeight="1" s="50">
      <c r="E713" s="40" t="n"/>
      <c r="F713" s="40" t="n"/>
      <c r="G713" s="40" t="n"/>
      <c r="H713" s="41" t="n"/>
      <c r="K713" s="40" t="n"/>
      <c r="L713" s="1" t="n"/>
      <c r="N713" s="40" t="n"/>
      <c r="O713" s="40" t="n"/>
      <c r="Z713" s="40" t="n"/>
      <c r="AA713" s="40" t="n"/>
      <c r="AC713" s="40" t="n"/>
      <c r="AD713" s="40" t="n"/>
      <c r="AE713" s="40" t="n"/>
      <c r="AF713" s="40" t="n"/>
    </row>
    <row r="714" ht="13" customHeight="1" s="50">
      <c r="E714" s="40" t="n"/>
      <c r="F714" s="40" t="n"/>
      <c r="G714" s="40" t="n"/>
      <c r="H714" s="41" t="n"/>
      <c r="K714" s="40" t="n"/>
      <c r="L714" s="1" t="n"/>
      <c r="N714" s="40" t="n"/>
      <c r="O714" s="40" t="n"/>
      <c r="Z714" s="40" t="n"/>
      <c r="AA714" s="40" t="n"/>
      <c r="AC714" s="40" t="n"/>
      <c r="AD714" s="40" t="n"/>
      <c r="AE714" s="40" t="n"/>
      <c r="AF714" s="40" t="n"/>
    </row>
    <row r="715" ht="13" customHeight="1" s="50">
      <c r="E715" s="40" t="n"/>
      <c r="F715" s="40" t="n"/>
      <c r="G715" s="40" t="n"/>
      <c r="H715" s="41" t="n"/>
      <c r="K715" s="40" t="n"/>
      <c r="L715" s="1" t="n"/>
      <c r="N715" s="40" t="n"/>
      <c r="O715" s="40" t="n"/>
      <c r="Z715" s="40" t="n"/>
      <c r="AA715" s="40" t="n"/>
      <c r="AC715" s="40" t="n"/>
      <c r="AD715" s="40" t="n"/>
      <c r="AE715" s="40" t="n"/>
      <c r="AF715" s="40" t="n"/>
    </row>
    <row r="716" ht="13" customHeight="1" s="50">
      <c r="E716" s="40" t="n"/>
      <c r="F716" s="40" t="n"/>
      <c r="G716" s="40" t="n"/>
      <c r="H716" s="41" t="n"/>
      <c r="K716" s="40" t="n"/>
      <c r="L716" s="1" t="n"/>
      <c r="N716" s="40" t="n"/>
      <c r="O716" s="40" t="n"/>
      <c r="Z716" s="40" t="n"/>
      <c r="AA716" s="40" t="n"/>
      <c r="AC716" s="40" t="n"/>
      <c r="AD716" s="40" t="n"/>
      <c r="AE716" s="40" t="n"/>
      <c r="AF716" s="40" t="n"/>
    </row>
    <row r="717" ht="13" customHeight="1" s="50">
      <c r="E717" s="40" t="n"/>
      <c r="F717" s="40" t="n"/>
      <c r="G717" s="40" t="n"/>
      <c r="H717" s="41" t="n"/>
      <c r="K717" s="40" t="n"/>
      <c r="L717" s="1" t="n"/>
      <c r="N717" s="40" t="n"/>
      <c r="O717" s="40" t="n"/>
      <c r="Z717" s="40" t="n"/>
      <c r="AA717" s="40" t="n"/>
      <c r="AC717" s="40" t="n"/>
      <c r="AD717" s="40" t="n"/>
      <c r="AE717" s="40" t="n"/>
      <c r="AF717" s="40" t="n"/>
    </row>
    <row r="718" ht="13" customHeight="1" s="50">
      <c r="E718" s="40" t="n"/>
      <c r="F718" s="40" t="n"/>
      <c r="G718" s="40" t="n"/>
      <c r="H718" s="41" t="n"/>
      <c r="K718" s="40" t="n"/>
      <c r="L718" s="1" t="n"/>
      <c r="N718" s="40" t="n"/>
      <c r="O718" s="40" t="n"/>
      <c r="Z718" s="40" t="n"/>
      <c r="AA718" s="40" t="n"/>
      <c r="AC718" s="40" t="n"/>
      <c r="AD718" s="40" t="n"/>
      <c r="AE718" s="40" t="n"/>
      <c r="AF718" s="40" t="n"/>
    </row>
    <row r="719" ht="13" customHeight="1" s="50">
      <c r="E719" s="40" t="n"/>
      <c r="F719" s="40" t="n"/>
      <c r="G719" s="40" t="n"/>
      <c r="H719" s="41" t="n"/>
      <c r="K719" s="40" t="n"/>
      <c r="L719" s="1" t="n"/>
      <c r="N719" s="40" t="n"/>
      <c r="O719" s="40" t="n"/>
      <c r="Z719" s="40" t="n"/>
      <c r="AA719" s="40" t="n"/>
      <c r="AC719" s="40" t="n"/>
      <c r="AD719" s="40" t="n"/>
      <c r="AE719" s="40" t="n"/>
      <c r="AF719" s="40" t="n"/>
    </row>
    <row r="720" ht="13" customHeight="1" s="50">
      <c r="E720" s="40" t="n"/>
      <c r="F720" s="40" t="n"/>
      <c r="G720" s="40" t="n"/>
      <c r="H720" s="41" t="n"/>
      <c r="K720" s="40" t="n"/>
      <c r="L720" s="1" t="n"/>
      <c r="N720" s="40" t="n"/>
      <c r="O720" s="40" t="n"/>
      <c r="Z720" s="40" t="n"/>
      <c r="AA720" s="40" t="n"/>
      <c r="AC720" s="40" t="n"/>
      <c r="AD720" s="40" t="n"/>
      <c r="AE720" s="40" t="n"/>
      <c r="AF720" s="40" t="n"/>
    </row>
    <row r="721" ht="13" customHeight="1" s="50">
      <c r="E721" s="40" t="n"/>
      <c r="F721" s="40" t="n"/>
      <c r="G721" s="40" t="n"/>
      <c r="H721" s="41" t="n"/>
      <c r="K721" s="40" t="n"/>
      <c r="L721" s="1" t="n"/>
      <c r="N721" s="40" t="n"/>
      <c r="O721" s="40" t="n"/>
      <c r="Z721" s="40" t="n"/>
      <c r="AA721" s="40" t="n"/>
      <c r="AC721" s="40" t="n"/>
      <c r="AD721" s="40" t="n"/>
      <c r="AE721" s="40" t="n"/>
      <c r="AF721" s="40" t="n"/>
    </row>
    <row r="722" ht="13" customHeight="1" s="50">
      <c r="E722" s="40" t="n"/>
      <c r="F722" s="40" t="n"/>
      <c r="G722" s="40" t="n"/>
      <c r="H722" s="41" t="n"/>
      <c r="K722" s="40" t="n"/>
      <c r="L722" s="1" t="n"/>
      <c r="N722" s="40" t="n"/>
      <c r="O722" s="40" t="n"/>
      <c r="Z722" s="40" t="n"/>
      <c r="AA722" s="40" t="n"/>
      <c r="AC722" s="40" t="n"/>
      <c r="AD722" s="40" t="n"/>
      <c r="AE722" s="40" t="n"/>
      <c r="AF722" s="40" t="n"/>
    </row>
    <row r="723" ht="13" customHeight="1" s="50">
      <c r="E723" s="40" t="n"/>
      <c r="F723" s="40" t="n"/>
      <c r="G723" s="40" t="n"/>
      <c r="H723" s="41" t="n"/>
      <c r="K723" s="40" t="n"/>
      <c r="L723" s="1" t="n"/>
      <c r="N723" s="40" t="n"/>
      <c r="O723" s="40" t="n"/>
      <c r="Z723" s="40" t="n"/>
      <c r="AA723" s="40" t="n"/>
      <c r="AC723" s="40" t="n"/>
      <c r="AD723" s="40" t="n"/>
      <c r="AE723" s="40" t="n"/>
      <c r="AF723" s="40" t="n"/>
    </row>
    <row r="724" ht="13" customHeight="1" s="50">
      <c r="E724" s="40" t="n"/>
      <c r="F724" s="40" t="n"/>
      <c r="G724" s="40" t="n"/>
      <c r="H724" s="41" t="n"/>
      <c r="K724" s="40" t="n"/>
      <c r="L724" s="1" t="n"/>
      <c r="N724" s="40" t="n"/>
      <c r="O724" s="40" t="n"/>
      <c r="Z724" s="40" t="n"/>
      <c r="AA724" s="40" t="n"/>
      <c r="AC724" s="40" t="n"/>
      <c r="AD724" s="40" t="n"/>
      <c r="AE724" s="40" t="n"/>
      <c r="AF724" s="40" t="n"/>
    </row>
    <row r="725" ht="13" customHeight="1" s="50">
      <c r="E725" s="40" t="n"/>
      <c r="F725" s="40" t="n"/>
      <c r="G725" s="40" t="n"/>
      <c r="H725" s="41" t="n"/>
      <c r="K725" s="40" t="n"/>
      <c r="L725" s="1" t="n"/>
      <c r="N725" s="40" t="n"/>
      <c r="O725" s="40" t="n"/>
      <c r="Z725" s="40" t="n"/>
      <c r="AA725" s="40" t="n"/>
      <c r="AC725" s="40" t="n"/>
      <c r="AD725" s="40" t="n"/>
      <c r="AE725" s="40" t="n"/>
      <c r="AF725" s="40" t="n"/>
    </row>
    <row r="726" ht="13" customHeight="1" s="50">
      <c r="E726" s="40" t="n"/>
      <c r="F726" s="40" t="n"/>
      <c r="G726" s="40" t="n"/>
      <c r="H726" s="41" t="n"/>
      <c r="K726" s="40" t="n"/>
      <c r="L726" s="1" t="n"/>
      <c r="N726" s="40" t="n"/>
      <c r="O726" s="40" t="n"/>
      <c r="Z726" s="40" t="n"/>
      <c r="AA726" s="40" t="n"/>
      <c r="AC726" s="40" t="n"/>
      <c r="AD726" s="40" t="n"/>
      <c r="AE726" s="40" t="n"/>
      <c r="AF726" s="40" t="n"/>
    </row>
    <row r="727" ht="13" customHeight="1" s="50">
      <c r="E727" s="40" t="n"/>
      <c r="F727" s="40" t="n"/>
      <c r="G727" s="40" t="n"/>
      <c r="H727" s="41" t="n"/>
      <c r="K727" s="40" t="n"/>
      <c r="L727" s="1" t="n"/>
      <c r="N727" s="40" t="n"/>
      <c r="O727" s="40" t="n"/>
      <c r="Z727" s="40" t="n"/>
      <c r="AA727" s="40" t="n"/>
      <c r="AC727" s="40" t="n"/>
      <c r="AD727" s="40" t="n"/>
      <c r="AE727" s="40" t="n"/>
      <c r="AF727" s="40" t="n"/>
    </row>
    <row r="728" ht="13" customHeight="1" s="50">
      <c r="E728" s="40" t="n"/>
      <c r="F728" s="40" t="n"/>
      <c r="G728" s="40" t="n"/>
      <c r="H728" s="41" t="n"/>
      <c r="K728" s="40" t="n"/>
      <c r="L728" s="1" t="n"/>
      <c r="N728" s="40" t="n"/>
      <c r="O728" s="40" t="n"/>
      <c r="Z728" s="40" t="n"/>
      <c r="AA728" s="40" t="n"/>
      <c r="AC728" s="40" t="n"/>
      <c r="AD728" s="40" t="n"/>
      <c r="AE728" s="40" t="n"/>
      <c r="AF728" s="40" t="n"/>
    </row>
    <row r="729" ht="13" customHeight="1" s="50">
      <c r="E729" s="40" t="n"/>
      <c r="F729" s="40" t="n"/>
      <c r="G729" s="40" t="n"/>
      <c r="H729" s="41" t="n"/>
      <c r="K729" s="40" t="n"/>
      <c r="L729" s="1" t="n"/>
      <c r="N729" s="40" t="n"/>
      <c r="O729" s="40" t="n"/>
      <c r="Z729" s="40" t="n"/>
      <c r="AA729" s="40" t="n"/>
      <c r="AC729" s="40" t="n"/>
      <c r="AD729" s="40" t="n"/>
      <c r="AE729" s="40" t="n"/>
      <c r="AF729" s="40" t="n"/>
    </row>
    <row r="730" ht="13" customHeight="1" s="50">
      <c r="E730" s="40" t="n"/>
      <c r="F730" s="40" t="n"/>
      <c r="G730" s="40" t="n"/>
      <c r="H730" s="41" t="n"/>
      <c r="K730" s="40" t="n"/>
      <c r="L730" s="1" t="n"/>
      <c r="N730" s="40" t="n"/>
      <c r="O730" s="40" t="n"/>
      <c r="Z730" s="40" t="n"/>
      <c r="AA730" s="40" t="n"/>
      <c r="AC730" s="40" t="n"/>
      <c r="AD730" s="40" t="n"/>
      <c r="AE730" s="40" t="n"/>
      <c r="AF730" s="40" t="n"/>
    </row>
    <row r="731" ht="13" customHeight="1" s="50">
      <c r="E731" s="40" t="n"/>
      <c r="F731" s="40" t="n"/>
      <c r="G731" s="40" t="n"/>
      <c r="H731" s="41" t="n"/>
      <c r="K731" s="40" t="n"/>
      <c r="L731" s="1" t="n"/>
      <c r="N731" s="40" t="n"/>
      <c r="O731" s="40" t="n"/>
      <c r="Z731" s="40" t="n"/>
      <c r="AA731" s="40" t="n"/>
      <c r="AC731" s="40" t="n"/>
      <c r="AD731" s="40" t="n"/>
      <c r="AE731" s="40" t="n"/>
      <c r="AF731" s="40" t="n"/>
    </row>
    <row r="732" ht="13" customHeight="1" s="50">
      <c r="E732" s="40" t="n"/>
      <c r="F732" s="40" t="n"/>
      <c r="G732" s="40" t="n"/>
      <c r="H732" s="41" t="n"/>
      <c r="K732" s="40" t="n"/>
      <c r="L732" s="1" t="n"/>
      <c r="N732" s="40" t="n"/>
      <c r="O732" s="40" t="n"/>
      <c r="Z732" s="40" t="n"/>
      <c r="AA732" s="40" t="n"/>
      <c r="AC732" s="40" t="n"/>
      <c r="AD732" s="40" t="n"/>
      <c r="AE732" s="40" t="n"/>
      <c r="AF732" s="40" t="n"/>
    </row>
    <row r="733" ht="13" customHeight="1" s="50">
      <c r="E733" s="40" t="n"/>
      <c r="F733" s="40" t="n"/>
      <c r="G733" s="40" t="n"/>
      <c r="H733" s="41" t="n"/>
      <c r="K733" s="40" t="n"/>
      <c r="L733" s="1" t="n"/>
      <c r="N733" s="40" t="n"/>
      <c r="O733" s="40" t="n"/>
      <c r="Z733" s="40" t="n"/>
      <c r="AA733" s="40" t="n"/>
      <c r="AC733" s="40" t="n"/>
      <c r="AD733" s="40" t="n"/>
      <c r="AE733" s="40" t="n"/>
      <c r="AF733" s="40" t="n"/>
    </row>
    <row r="734" ht="13" customHeight="1" s="50">
      <c r="E734" s="40" t="n"/>
      <c r="F734" s="40" t="n"/>
      <c r="G734" s="40" t="n"/>
      <c r="H734" s="41" t="n"/>
      <c r="K734" s="40" t="n"/>
      <c r="L734" s="1" t="n"/>
      <c r="N734" s="40" t="n"/>
      <c r="O734" s="40" t="n"/>
      <c r="Z734" s="40" t="n"/>
      <c r="AA734" s="40" t="n"/>
      <c r="AC734" s="40" t="n"/>
      <c r="AD734" s="40" t="n"/>
      <c r="AE734" s="40" t="n"/>
      <c r="AF734" s="40" t="n"/>
    </row>
    <row r="735" ht="13" customHeight="1" s="50">
      <c r="E735" s="40" t="n"/>
      <c r="F735" s="40" t="n"/>
      <c r="G735" s="40" t="n"/>
      <c r="H735" s="41" t="n"/>
      <c r="K735" s="40" t="n"/>
      <c r="L735" s="1" t="n"/>
      <c r="N735" s="40" t="n"/>
      <c r="O735" s="40" t="n"/>
      <c r="Z735" s="40" t="n"/>
      <c r="AA735" s="40" t="n"/>
      <c r="AC735" s="40" t="n"/>
      <c r="AD735" s="40" t="n"/>
      <c r="AE735" s="40" t="n"/>
      <c r="AF735" s="40" t="n"/>
    </row>
    <row r="736" ht="13" customHeight="1" s="50">
      <c r="E736" s="40" t="n"/>
      <c r="F736" s="40" t="n"/>
      <c r="G736" s="40" t="n"/>
      <c r="H736" s="41" t="n"/>
      <c r="K736" s="40" t="n"/>
      <c r="L736" s="1" t="n"/>
      <c r="N736" s="40" t="n"/>
      <c r="O736" s="40" t="n"/>
      <c r="Z736" s="40" t="n"/>
      <c r="AA736" s="40" t="n"/>
      <c r="AC736" s="40" t="n"/>
      <c r="AD736" s="40" t="n"/>
      <c r="AE736" s="40" t="n"/>
      <c r="AF736" s="40" t="n"/>
    </row>
    <row r="737" ht="13" customHeight="1" s="50">
      <c r="E737" s="40" t="n"/>
      <c r="F737" s="40" t="n"/>
      <c r="G737" s="40" t="n"/>
      <c r="H737" s="41" t="n"/>
      <c r="K737" s="40" t="n"/>
      <c r="L737" s="1" t="n"/>
      <c r="N737" s="40" t="n"/>
      <c r="O737" s="40" t="n"/>
      <c r="Z737" s="40" t="n"/>
      <c r="AA737" s="40" t="n"/>
      <c r="AC737" s="40" t="n"/>
      <c r="AD737" s="40" t="n"/>
      <c r="AE737" s="40" t="n"/>
      <c r="AF737" s="40" t="n"/>
    </row>
    <row r="738" ht="13" customHeight="1" s="50">
      <c r="E738" s="40" t="n"/>
      <c r="F738" s="40" t="n"/>
      <c r="G738" s="40" t="n"/>
      <c r="H738" s="41" t="n"/>
      <c r="K738" s="40" t="n"/>
      <c r="L738" s="1" t="n"/>
      <c r="N738" s="40" t="n"/>
      <c r="O738" s="40" t="n"/>
      <c r="Z738" s="40" t="n"/>
      <c r="AA738" s="40" t="n"/>
      <c r="AC738" s="40" t="n"/>
      <c r="AD738" s="40" t="n"/>
      <c r="AE738" s="40" t="n"/>
      <c r="AF738" s="40" t="n"/>
    </row>
    <row r="739" ht="13" customHeight="1" s="50">
      <c r="E739" s="40" t="n"/>
      <c r="F739" s="40" t="n"/>
      <c r="G739" s="40" t="n"/>
      <c r="H739" s="41" t="n"/>
      <c r="K739" s="40" t="n"/>
      <c r="L739" s="1" t="n"/>
      <c r="N739" s="40" t="n"/>
      <c r="O739" s="40" t="n"/>
      <c r="Z739" s="40" t="n"/>
      <c r="AA739" s="40" t="n"/>
      <c r="AC739" s="40" t="n"/>
      <c r="AD739" s="40" t="n"/>
      <c r="AE739" s="40" t="n"/>
      <c r="AF739" s="40" t="n"/>
    </row>
    <row r="740" ht="13" customHeight="1" s="50">
      <c r="E740" s="40" t="n"/>
      <c r="F740" s="40" t="n"/>
      <c r="G740" s="40" t="n"/>
      <c r="H740" s="41" t="n"/>
      <c r="K740" s="40" t="n"/>
      <c r="L740" s="1" t="n"/>
      <c r="N740" s="40" t="n"/>
      <c r="O740" s="40" t="n"/>
      <c r="Z740" s="40" t="n"/>
      <c r="AA740" s="40" t="n"/>
      <c r="AC740" s="40" t="n"/>
      <c r="AD740" s="40" t="n"/>
      <c r="AE740" s="40" t="n"/>
      <c r="AF740" s="40" t="n"/>
    </row>
    <row r="741" ht="13" customHeight="1" s="50">
      <c r="E741" s="40" t="n"/>
      <c r="F741" s="40" t="n"/>
      <c r="G741" s="40" t="n"/>
      <c r="H741" s="41" t="n"/>
      <c r="K741" s="40" t="n"/>
      <c r="L741" s="1" t="n"/>
      <c r="N741" s="40" t="n"/>
      <c r="O741" s="40" t="n"/>
      <c r="Z741" s="40" t="n"/>
      <c r="AA741" s="40" t="n"/>
      <c r="AC741" s="40" t="n"/>
      <c r="AD741" s="40" t="n"/>
      <c r="AE741" s="40" t="n"/>
      <c r="AF741" s="40" t="n"/>
    </row>
    <row r="742" ht="13" customHeight="1" s="50">
      <c r="E742" s="40" t="n"/>
      <c r="F742" s="40" t="n"/>
      <c r="G742" s="40" t="n"/>
      <c r="H742" s="41" t="n"/>
      <c r="K742" s="40" t="n"/>
      <c r="L742" s="1" t="n"/>
      <c r="N742" s="40" t="n"/>
      <c r="O742" s="40" t="n"/>
      <c r="Z742" s="40" t="n"/>
      <c r="AA742" s="40" t="n"/>
      <c r="AC742" s="40" t="n"/>
      <c r="AD742" s="40" t="n"/>
      <c r="AE742" s="40" t="n"/>
      <c r="AF742" s="40" t="n"/>
    </row>
    <row r="743" ht="13" customHeight="1" s="50">
      <c r="E743" s="40" t="n"/>
      <c r="F743" s="40" t="n"/>
      <c r="G743" s="40" t="n"/>
      <c r="H743" s="41" t="n"/>
      <c r="K743" s="40" t="n"/>
      <c r="L743" s="1" t="n"/>
      <c r="N743" s="40" t="n"/>
      <c r="O743" s="40" t="n"/>
      <c r="Z743" s="40" t="n"/>
      <c r="AA743" s="40" t="n"/>
      <c r="AC743" s="40" t="n"/>
      <c r="AD743" s="40" t="n"/>
      <c r="AE743" s="40" t="n"/>
      <c r="AF743" s="40" t="n"/>
    </row>
    <row r="744" ht="13" customHeight="1" s="50">
      <c r="E744" s="40" t="n"/>
      <c r="F744" s="40" t="n"/>
      <c r="G744" s="40" t="n"/>
      <c r="H744" s="41" t="n"/>
      <c r="K744" s="40" t="n"/>
      <c r="L744" s="1" t="n"/>
      <c r="N744" s="40" t="n"/>
      <c r="O744" s="40" t="n"/>
      <c r="Z744" s="40" t="n"/>
      <c r="AA744" s="40" t="n"/>
      <c r="AC744" s="40" t="n"/>
      <c r="AD744" s="40" t="n"/>
      <c r="AE744" s="40" t="n"/>
      <c r="AF744" s="40" t="n"/>
    </row>
    <row r="745" ht="13" customHeight="1" s="50">
      <c r="E745" s="40" t="n"/>
      <c r="F745" s="40" t="n"/>
      <c r="G745" s="40" t="n"/>
      <c r="H745" s="41" t="n"/>
      <c r="K745" s="40" t="n"/>
      <c r="L745" s="1" t="n"/>
      <c r="N745" s="40" t="n"/>
      <c r="O745" s="40" t="n"/>
      <c r="Z745" s="40" t="n"/>
      <c r="AA745" s="40" t="n"/>
      <c r="AC745" s="40" t="n"/>
      <c r="AD745" s="40" t="n"/>
      <c r="AE745" s="40" t="n"/>
      <c r="AF745" s="40" t="n"/>
    </row>
    <row r="746" ht="13" customHeight="1" s="50">
      <c r="E746" s="40" t="n"/>
      <c r="F746" s="40" t="n"/>
      <c r="G746" s="40" t="n"/>
      <c r="H746" s="41" t="n"/>
      <c r="K746" s="40" t="n"/>
      <c r="L746" s="1" t="n"/>
      <c r="N746" s="40" t="n"/>
      <c r="O746" s="40" t="n"/>
      <c r="Z746" s="40" t="n"/>
      <c r="AA746" s="40" t="n"/>
      <c r="AC746" s="40" t="n"/>
      <c r="AD746" s="40" t="n"/>
      <c r="AE746" s="40" t="n"/>
      <c r="AF746" s="40" t="n"/>
    </row>
    <row r="747" ht="13" customHeight="1" s="50">
      <c r="E747" s="40" t="n"/>
      <c r="F747" s="40" t="n"/>
      <c r="G747" s="40" t="n"/>
      <c r="H747" s="41" t="n"/>
      <c r="K747" s="40" t="n"/>
      <c r="L747" s="1" t="n"/>
      <c r="N747" s="40" t="n"/>
      <c r="O747" s="40" t="n"/>
      <c r="Z747" s="40" t="n"/>
      <c r="AA747" s="40" t="n"/>
      <c r="AC747" s="40" t="n"/>
      <c r="AD747" s="40" t="n"/>
      <c r="AE747" s="40" t="n"/>
      <c r="AF747" s="40" t="n"/>
    </row>
    <row r="748" ht="13" customHeight="1" s="50">
      <c r="E748" s="40" t="n"/>
      <c r="F748" s="40" t="n"/>
      <c r="G748" s="40" t="n"/>
      <c r="H748" s="41" t="n"/>
      <c r="K748" s="40" t="n"/>
      <c r="L748" s="1" t="n"/>
      <c r="N748" s="40" t="n"/>
      <c r="O748" s="40" t="n"/>
      <c r="Z748" s="40" t="n"/>
      <c r="AA748" s="40" t="n"/>
      <c r="AC748" s="40" t="n"/>
      <c r="AD748" s="40" t="n"/>
      <c r="AE748" s="40" t="n"/>
      <c r="AF748" s="40" t="n"/>
    </row>
    <row r="749" ht="13" customHeight="1" s="50">
      <c r="E749" s="40" t="n"/>
      <c r="F749" s="40" t="n"/>
      <c r="G749" s="40" t="n"/>
      <c r="H749" s="41" t="n"/>
      <c r="K749" s="40" t="n"/>
      <c r="L749" s="1" t="n"/>
      <c r="N749" s="40" t="n"/>
      <c r="O749" s="40" t="n"/>
      <c r="Z749" s="40" t="n"/>
      <c r="AA749" s="40" t="n"/>
      <c r="AC749" s="40" t="n"/>
      <c r="AD749" s="40" t="n"/>
      <c r="AE749" s="40" t="n"/>
      <c r="AF749" s="40" t="n"/>
    </row>
    <row r="750" ht="13" customHeight="1" s="50">
      <c r="E750" s="40" t="n"/>
      <c r="F750" s="40" t="n"/>
      <c r="G750" s="40" t="n"/>
      <c r="H750" s="41" t="n"/>
      <c r="K750" s="40" t="n"/>
      <c r="L750" s="1" t="n"/>
      <c r="N750" s="40" t="n"/>
      <c r="O750" s="40" t="n"/>
      <c r="Z750" s="40" t="n"/>
      <c r="AA750" s="40" t="n"/>
      <c r="AC750" s="40" t="n"/>
      <c r="AD750" s="40" t="n"/>
      <c r="AE750" s="40" t="n"/>
      <c r="AF750" s="40" t="n"/>
    </row>
    <row r="751" ht="13" customHeight="1" s="50">
      <c r="E751" s="40" t="n"/>
      <c r="F751" s="40" t="n"/>
      <c r="G751" s="40" t="n"/>
      <c r="H751" s="41" t="n"/>
      <c r="K751" s="40" t="n"/>
      <c r="L751" s="1" t="n"/>
      <c r="N751" s="40" t="n"/>
      <c r="O751" s="40" t="n"/>
      <c r="Z751" s="40" t="n"/>
      <c r="AA751" s="40" t="n"/>
      <c r="AC751" s="40" t="n"/>
      <c r="AD751" s="40" t="n"/>
      <c r="AE751" s="40" t="n"/>
      <c r="AF751" s="40" t="n"/>
    </row>
    <row r="752" ht="13" customHeight="1" s="50">
      <c r="E752" s="40" t="n"/>
      <c r="F752" s="40" t="n"/>
      <c r="G752" s="40" t="n"/>
      <c r="H752" s="41" t="n"/>
      <c r="K752" s="40" t="n"/>
      <c r="L752" s="1" t="n"/>
      <c r="N752" s="40" t="n"/>
      <c r="O752" s="40" t="n"/>
      <c r="Z752" s="40" t="n"/>
      <c r="AA752" s="40" t="n"/>
      <c r="AC752" s="40" t="n"/>
      <c r="AD752" s="40" t="n"/>
      <c r="AE752" s="40" t="n"/>
      <c r="AF752" s="40" t="n"/>
    </row>
    <row r="753" ht="13" customHeight="1" s="50">
      <c r="E753" s="40" t="n"/>
      <c r="F753" s="40" t="n"/>
      <c r="G753" s="40" t="n"/>
      <c r="H753" s="41" t="n"/>
      <c r="K753" s="40" t="n"/>
      <c r="L753" s="1" t="n"/>
      <c r="N753" s="40" t="n"/>
      <c r="O753" s="40" t="n"/>
      <c r="Z753" s="40" t="n"/>
      <c r="AA753" s="40" t="n"/>
      <c r="AC753" s="40" t="n"/>
      <c r="AD753" s="40" t="n"/>
      <c r="AE753" s="40" t="n"/>
      <c r="AF753" s="40" t="n"/>
    </row>
    <row r="754" ht="13" customHeight="1" s="50">
      <c r="E754" s="40" t="n"/>
      <c r="F754" s="40" t="n"/>
      <c r="G754" s="40" t="n"/>
      <c r="H754" s="41" t="n"/>
      <c r="K754" s="40" t="n"/>
      <c r="L754" s="1" t="n"/>
      <c r="N754" s="40" t="n"/>
      <c r="O754" s="40" t="n"/>
      <c r="Z754" s="40" t="n"/>
      <c r="AA754" s="40" t="n"/>
      <c r="AC754" s="40" t="n"/>
      <c r="AD754" s="40" t="n"/>
      <c r="AE754" s="40" t="n"/>
      <c r="AF754" s="40" t="n"/>
    </row>
    <row r="755" ht="13" customHeight="1" s="50">
      <c r="E755" s="40" t="n"/>
      <c r="F755" s="40" t="n"/>
      <c r="G755" s="40" t="n"/>
      <c r="H755" s="41" t="n"/>
      <c r="K755" s="40" t="n"/>
      <c r="L755" s="1" t="n"/>
      <c r="N755" s="40" t="n"/>
      <c r="O755" s="40" t="n"/>
      <c r="Z755" s="40" t="n"/>
      <c r="AA755" s="40" t="n"/>
      <c r="AC755" s="40" t="n"/>
      <c r="AD755" s="40" t="n"/>
      <c r="AE755" s="40" t="n"/>
      <c r="AF755" s="40" t="n"/>
    </row>
    <row r="756" ht="13" customHeight="1" s="50">
      <c r="E756" s="40" t="n"/>
      <c r="F756" s="40" t="n"/>
      <c r="G756" s="40" t="n"/>
      <c r="H756" s="41" t="n"/>
      <c r="K756" s="40" t="n"/>
      <c r="L756" s="1" t="n"/>
      <c r="N756" s="40" t="n"/>
      <c r="O756" s="40" t="n"/>
      <c r="Z756" s="40" t="n"/>
      <c r="AA756" s="40" t="n"/>
      <c r="AC756" s="40" t="n"/>
      <c r="AD756" s="40" t="n"/>
      <c r="AE756" s="40" t="n"/>
      <c r="AF756" s="40" t="n"/>
    </row>
    <row r="757" ht="13" customHeight="1" s="50">
      <c r="E757" s="40" t="n"/>
      <c r="F757" s="40" t="n"/>
      <c r="G757" s="40" t="n"/>
      <c r="H757" s="41" t="n"/>
      <c r="K757" s="40" t="n"/>
      <c r="L757" s="1" t="n"/>
      <c r="N757" s="40" t="n"/>
      <c r="O757" s="40" t="n"/>
      <c r="Z757" s="40" t="n"/>
      <c r="AA757" s="40" t="n"/>
      <c r="AC757" s="40" t="n"/>
      <c r="AD757" s="40" t="n"/>
      <c r="AE757" s="40" t="n"/>
      <c r="AF757" s="40" t="n"/>
    </row>
    <row r="758" ht="13" customHeight="1" s="50">
      <c r="E758" s="40" t="n"/>
      <c r="F758" s="40" t="n"/>
      <c r="G758" s="40" t="n"/>
      <c r="H758" s="41" t="n"/>
      <c r="K758" s="40" t="n"/>
      <c r="L758" s="1" t="n"/>
      <c r="N758" s="40" t="n"/>
      <c r="O758" s="40" t="n"/>
      <c r="Z758" s="40" t="n"/>
      <c r="AA758" s="40" t="n"/>
      <c r="AC758" s="40" t="n"/>
      <c r="AD758" s="40" t="n"/>
      <c r="AE758" s="40" t="n"/>
      <c r="AF758" s="40" t="n"/>
    </row>
    <row r="759" ht="13" customHeight="1" s="50">
      <c r="E759" s="40" t="n"/>
      <c r="F759" s="40" t="n"/>
      <c r="G759" s="40" t="n"/>
      <c r="H759" s="41" t="n"/>
      <c r="K759" s="40" t="n"/>
      <c r="L759" s="1" t="n"/>
      <c r="N759" s="40" t="n"/>
      <c r="O759" s="40" t="n"/>
      <c r="Z759" s="40" t="n"/>
      <c r="AA759" s="40" t="n"/>
      <c r="AC759" s="40" t="n"/>
      <c r="AD759" s="40" t="n"/>
      <c r="AE759" s="40" t="n"/>
      <c r="AF759" s="40" t="n"/>
    </row>
    <row r="760" ht="13" customHeight="1" s="50">
      <c r="E760" s="40" t="n"/>
      <c r="F760" s="40" t="n"/>
      <c r="G760" s="40" t="n"/>
      <c r="H760" s="41" t="n"/>
      <c r="K760" s="40" t="n"/>
      <c r="L760" s="1" t="n"/>
      <c r="N760" s="40" t="n"/>
      <c r="O760" s="40" t="n"/>
      <c r="Z760" s="40" t="n"/>
      <c r="AA760" s="40" t="n"/>
      <c r="AC760" s="40" t="n"/>
      <c r="AD760" s="40" t="n"/>
      <c r="AE760" s="40" t="n"/>
      <c r="AF760" s="40" t="n"/>
    </row>
    <row r="761" ht="13" customHeight="1" s="50">
      <c r="E761" s="40" t="n"/>
      <c r="F761" s="40" t="n"/>
      <c r="G761" s="40" t="n"/>
      <c r="H761" s="41" t="n"/>
      <c r="K761" s="40" t="n"/>
      <c r="L761" s="1" t="n"/>
      <c r="N761" s="40" t="n"/>
      <c r="O761" s="40" t="n"/>
      <c r="Z761" s="40" t="n"/>
      <c r="AA761" s="40" t="n"/>
      <c r="AC761" s="40" t="n"/>
      <c r="AD761" s="40" t="n"/>
      <c r="AE761" s="40" t="n"/>
      <c r="AF761" s="40" t="n"/>
    </row>
    <row r="762" ht="13" customHeight="1" s="50">
      <c r="E762" s="40" t="n"/>
      <c r="F762" s="40" t="n"/>
      <c r="G762" s="40" t="n"/>
      <c r="H762" s="41" t="n"/>
      <c r="K762" s="40" t="n"/>
      <c r="L762" s="1" t="n"/>
      <c r="N762" s="40" t="n"/>
      <c r="O762" s="40" t="n"/>
      <c r="Z762" s="40" t="n"/>
      <c r="AA762" s="40" t="n"/>
      <c r="AC762" s="40" t="n"/>
      <c r="AD762" s="40" t="n"/>
      <c r="AE762" s="40" t="n"/>
      <c r="AF762" s="40" t="n"/>
    </row>
    <row r="763" ht="13" customHeight="1" s="50">
      <c r="E763" s="40" t="n"/>
      <c r="F763" s="40" t="n"/>
      <c r="G763" s="40" t="n"/>
      <c r="H763" s="41" t="n"/>
      <c r="K763" s="40" t="n"/>
      <c r="L763" s="1" t="n"/>
      <c r="N763" s="40" t="n"/>
      <c r="O763" s="40" t="n"/>
      <c r="Z763" s="40" t="n"/>
      <c r="AA763" s="40" t="n"/>
      <c r="AC763" s="40" t="n"/>
      <c r="AD763" s="40" t="n"/>
      <c r="AE763" s="40" t="n"/>
      <c r="AF763" s="40" t="n"/>
    </row>
    <row r="764" ht="13" customHeight="1" s="50">
      <c r="E764" s="40" t="n"/>
      <c r="F764" s="40" t="n"/>
      <c r="G764" s="40" t="n"/>
      <c r="H764" s="41" t="n"/>
      <c r="K764" s="40" t="n"/>
      <c r="L764" s="1" t="n"/>
      <c r="N764" s="40" t="n"/>
      <c r="O764" s="40" t="n"/>
      <c r="Z764" s="40" t="n"/>
      <c r="AA764" s="40" t="n"/>
      <c r="AC764" s="40" t="n"/>
      <c r="AD764" s="40" t="n"/>
      <c r="AE764" s="40" t="n"/>
      <c r="AF764" s="40" t="n"/>
    </row>
    <row r="765" ht="13" customHeight="1" s="50">
      <c r="E765" s="40" t="n"/>
      <c r="F765" s="40" t="n"/>
      <c r="G765" s="40" t="n"/>
      <c r="H765" s="41" t="n"/>
      <c r="K765" s="40" t="n"/>
      <c r="L765" s="1" t="n"/>
      <c r="N765" s="40" t="n"/>
      <c r="O765" s="40" t="n"/>
      <c r="Z765" s="40" t="n"/>
      <c r="AA765" s="40" t="n"/>
      <c r="AC765" s="40" t="n"/>
      <c r="AD765" s="40" t="n"/>
      <c r="AE765" s="40" t="n"/>
      <c r="AF765" s="40" t="n"/>
    </row>
    <row r="766" ht="13" customHeight="1" s="50">
      <c r="E766" s="40" t="n"/>
      <c r="F766" s="40" t="n"/>
      <c r="G766" s="40" t="n"/>
      <c r="H766" s="41" t="n"/>
      <c r="K766" s="40" t="n"/>
      <c r="L766" s="1" t="n"/>
      <c r="N766" s="40" t="n"/>
      <c r="O766" s="40" t="n"/>
      <c r="Z766" s="40" t="n"/>
      <c r="AA766" s="40" t="n"/>
      <c r="AC766" s="40" t="n"/>
      <c r="AD766" s="40" t="n"/>
      <c r="AE766" s="40" t="n"/>
      <c r="AF766" s="40" t="n"/>
    </row>
    <row r="767" ht="13" customHeight="1" s="50">
      <c r="E767" s="40" t="n"/>
      <c r="F767" s="40" t="n"/>
      <c r="G767" s="40" t="n"/>
      <c r="H767" s="41" t="n"/>
      <c r="K767" s="40" t="n"/>
      <c r="L767" s="1" t="n"/>
      <c r="N767" s="40" t="n"/>
      <c r="O767" s="40" t="n"/>
      <c r="Z767" s="40" t="n"/>
      <c r="AA767" s="40" t="n"/>
      <c r="AC767" s="40" t="n"/>
      <c r="AD767" s="40" t="n"/>
      <c r="AE767" s="40" t="n"/>
      <c r="AF767" s="40" t="n"/>
    </row>
    <row r="768" ht="13" customHeight="1" s="50">
      <c r="E768" s="40" t="n"/>
      <c r="F768" s="40" t="n"/>
      <c r="G768" s="40" t="n"/>
      <c r="H768" s="41" t="n"/>
      <c r="K768" s="40" t="n"/>
      <c r="L768" s="1" t="n"/>
      <c r="N768" s="40" t="n"/>
      <c r="O768" s="40" t="n"/>
      <c r="Z768" s="40" t="n"/>
      <c r="AA768" s="40" t="n"/>
      <c r="AC768" s="40" t="n"/>
      <c r="AD768" s="40" t="n"/>
      <c r="AE768" s="40" t="n"/>
      <c r="AF768" s="40" t="n"/>
    </row>
    <row r="769" ht="13" customHeight="1" s="50">
      <c r="E769" s="40" t="n"/>
      <c r="F769" s="40" t="n"/>
      <c r="G769" s="40" t="n"/>
      <c r="H769" s="41" t="n"/>
      <c r="K769" s="40" t="n"/>
      <c r="L769" s="1" t="n"/>
      <c r="N769" s="40" t="n"/>
      <c r="O769" s="40" t="n"/>
      <c r="Z769" s="40" t="n"/>
      <c r="AA769" s="40" t="n"/>
      <c r="AC769" s="40" t="n"/>
      <c r="AD769" s="40" t="n"/>
      <c r="AE769" s="40" t="n"/>
      <c r="AF769" s="40" t="n"/>
    </row>
    <row r="770" ht="13" customHeight="1" s="50">
      <c r="E770" s="40" t="n"/>
      <c r="F770" s="40" t="n"/>
      <c r="G770" s="40" t="n"/>
      <c r="H770" s="41" t="n"/>
      <c r="K770" s="40" t="n"/>
      <c r="L770" s="1" t="n"/>
      <c r="N770" s="40" t="n"/>
      <c r="O770" s="40" t="n"/>
      <c r="Z770" s="40" t="n"/>
      <c r="AA770" s="40" t="n"/>
      <c r="AC770" s="40" t="n"/>
      <c r="AD770" s="40" t="n"/>
      <c r="AE770" s="40" t="n"/>
      <c r="AF770" s="40" t="n"/>
    </row>
    <row r="771" ht="13" customHeight="1" s="50">
      <c r="E771" s="40" t="n"/>
      <c r="F771" s="40" t="n"/>
      <c r="G771" s="40" t="n"/>
      <c r="H771" s="41" t="n"/>
      <c r="K771" s="40" t="n"/>
      <c r="L771" s="1" t="n"/>
      <c r="N771" s="40" t="n"/>
      <c r="O771" s="40" t="n"/>
      <c r="Z771" s="40" t="n"/>
      <c r="AA771" s="40" t="n"/>
      <c r="AC771" s="40" t="n"/>
      <c r="AD771" s="40" t="n"/>
      <c r="AE771" s="40" t="n"/>
      <c r="AF771" s="40" t="n"/>
    </row>
    <row r="772" ht="13" customHeight="1" s="50">
      <c r="E772" s="40" t="n"/>
      <c r="F772" s="40" t="n"/>
      <c r="G772" s="40" t="n"/>
      <c r="H772" s="41" t="n"/>
      <c r="K772" s="40" t="n"/>
      <c r="L772" s="1" t="n"/>
      <c r="N772" s="40" t="n"/>
      <c r="O772" s="40" t="n"/>
      <c r="Z772" s="40" t="n"/>
      <c r="AA772" s="40" t="n"/>
      <c r="AC772" s="40" t="n"/>
      <c r="AD772" s="40" t="n"/>
      <c r="AE772" s="40" t="n"/>
      <c r="AF772" s="40" t="n"/>
    </row>
    <row r="773" ht="13" customHeight="1" s="50">
      <c r="E773" s="40" t="n"/>
      <c r="F773" s="40" t="n"/>
      <c r="G773" s="40" t="n"/>
      <c r="H773" s="41" t="n"/>
      <c r="K773" s="40" t="n"/>
      <c r="L773" s="1" t="n"/>
      <c r="N773" s="40" t="n"/>
      <c r="O773" s="40" t="n"/>
      <c r="Z773" s="40" t="n"/>
      <c r="AA773" s="40" t="n"/>
      <c r="AC773" s="40" t="n"/>
      <c r="AD773" s="40" t="n"/>
      <c r="AE773" s="40" t="n"/>
      <c r="AF773" s="40" t="n"/>
    </row>
    <row r="774" ht="13" customHeight="1" s="50">
      <c r="E774" s="40" t="n"/>
      <c r="F774" s="40" t="n"/>
      <c r="G774" s="40" t="n"/>
      <c r="H774" s="41" t="n"/>
      <c r="K774" s="40" t="n"/>
      <c r="L774" s="1" t="n"/>
      <c r="N774" s="40" t="n"/>
      <c r="O774" s="40" t="n"/>
      <c r="Z774" s="40" t="n"/>
      <c r="AA774" s="40" t="n"/>
      <c r="AC774" s="40" t="n"/>
      <c r="AD774" s="40" t="n"/>
      <c r="AE774" s="40" t="n"/>
      <c r="AF774" s="40" t="n"/>
    </row>
    <row r="775" ht="13" customHeight="1" s="50">
      <c r="E775" s="40" t="n"/>
      <c r="F775" s="40" t="n"/>
      <c r="G775" s="40" t="n"/>
      <c r="H775" s="41" t="n"/>
      <c r="K775" s="40" t="n"/>
      <c r="L775" s="1" t="n"/>
      <c r="N775" s="40" t="n"/>
      <c r="O775" s="40" t="n"/>
      <c r="Z775" s="40" t="n"/>
      <c r="AA775" s="40" t="n"/>
      <c r="AC775" s="40" t="n"/>
      <c r="AD775" s="40" t="n"/>
      <c r="AE775" s="40" t="n"/>
      <c r="AF775" s="40" t="n"/>
    </row>
    <row r="776" ht="13" customHeight="1" s="50">
      <c r="E776" s="40" t="n"/>
      <c r="F776" s="40" t="n"/>
      <c r="G776" s="40" t="n"/>
      <c r="H776" s="41" t="n"/>
      <c r="K776" s="40" t="n"/>
      <c r="L776" s="1" t="n"/>
      <c r="N776" s="40" t="n"/>
      <c r="O776" s="40" t="n"/>
      <c r="Z776" s="40" t="n"/>
      <c r="AA776" s="40" t="n"/>
      <c r="AC776" s="40" t="n"/>
      <c r="AD776" s="40" t="n"/>
      <c r="AE776" s="40" t="n"/>
      <c r="AF776" s="40" t="n"/>
    </row>
    <row r="777" ht="13" customHeight="1" s="50">
      <c r="E777" s="40" t="n"/>
      <c r="F777" s="40" t="n"/>
      <c r="G777" s="40" t="n"/>
      <c r="H777" s="41" t="n"/>
      <c r="K777" s="40" t="n"/>
      <c r="L777" s="1" t="n"/>
      <c r="N777" s="40" t="n"/>
      <c r="O777" s="40" t="n"/>
      <c r="Z777" s="40" t="n"/>
      <c r="AA777" s="40" t="n"/>
      <c r="AC777" s="40" t="n"/>
      <c r="AD777" s="40" t="n"/>
      <c r="AE777" s="40" t="n"/>
      <c r="AF777" s="40" t="n"/>
    </row>
    <row r="778" ht="13" customHeight="1" s="50">
      <c r="E778" s="40" t="n"/>
      <c r="F778" s="40" t="n"/>
      <c r="G778" s="40" t="n"/>
      <c r="H778" s="41" t="n"/>
      <c r="K778" s="40" t="n"/>
      <c r="L778" s="1" t="n"/>
      <c r="N778" s="40" t="n"/>
      <c r="O778" s="40" t="n"/>
      <c r="Z778" s="40" t="n"/>
      <c r="AA778" s="40" t="n"/>
      <c r="AC778" s="40" t="n"/>
      <c r="AD778" s="40" t="n"/>
      <c r="AE778" s="40" t="n"/>
      <c r="AF778" s="40" t="n"/>
    </row>
    <row r="779" ht="13" customHeight="1" s="50">
      <c r="E779" s="40" t="n"/>
      <c r="F779" s="40" t="n"/>
      <c r="G779" s="40" t="n"/>
      <c r="H779" s="41" t="n"/>
      <c r="K779" s="40" t="n"/>
      <c r="L779" s="1" t="n"/>
      <c r="N779" s="40" t="n"/>
      <c r="O779" s="40" t="n"/>
      <c r="Z779" s="40" t="n"/>
      <c r="AA779" s="40" t="n"/>
      <c r="AC779" s="40" t="n"/>
      <c r="AD779" s="40" t="n"/>
      <c r="AE779" s="40" t="n"/>
      <c r="AF779" s="40" t="n"/>
    </row>
    <row r="780" ht="13" customHeight="1" s="50">
      <c r="E780" s="40" t="n"/>
      <c r="F780" s="40" t="n"/>
      <c r="G780" s="40" t="n"/>
      <c r="H780" s="41" t="n"/>
      <c r="K780" s="40" t="n"/>
      <c r="L780" s="1" t="n"/>
      <c r="N780" s="40" t="n"/>
      <c r="O780" s="40" t="n"/>
      <c r="Z780" s="40" t="n"/>
      <c r="AA780" s="40" t="n"/>
      <c r="AC780" s="40" t="n"/>
      <c r="AD780" s="40" t="n"/>
      <c r="AE780" s="40" t="n"/>
      <c r="AF780" s="40" t="n"/>
    </row>
    <row r="781" ht="13" customHeight="1" s="50">
      <c r="E781" s="40" t="n"/>
      <c r="F781" s="40" t="n"/>
      <c r="G781" s="40" t="n"/>
      <c r="H781" s="41" t="n"/>
      <c r="K781" s="40" t="n"/>
      <c r="L781" s="1" t="n"/>
      <c r="N781" s="40" t="n"/>
      <c r="O781" s="40" t="n"/>
      <c r="Z781" s="40" t="n"/>
      <c r="AA781" s="40" t="n"/>
      <c r="AC781" s="40" t="n"/>
      <c r="AD781" s="40" t="n"/>
      <c r="AE781" s="40" t="n"/>
      <c r="AF781" s="40" t="n"/>
    </row>
    <row r="782" ht="13" customHeight="1" s="50">
      <c r="E782" s="40" t="n"/>
      <c r="F782" s="40" t="n"/>
      <c r="G782" s="40" t="n"/>
      <c r="H782" s="41" t="n"/>
      <c r="K782" s="40" t="n"/>
      <c r="L782" s="1" t="n"/>
      <c r="N782" s="40" t="n"/>
      <c r="O782" s="40" t="n"/>
      <c r="Z782" s="40" t="n"/>
      <c r="AA782" s="40" t="n"/>
      <c r="AC782" s="40" t="n"/>
      <c r="AD782" s="40" t="n"/>
      <c r="AE782" s="40" t="n"/>
      <c r="AF782" s="40" t="n"/>
    </row>
    <row r="783" ht="13" customHeight="1" s="50">
      <c r="E783" s="40" t="n"/>
      <c r="F783" s="40" t="n"/>
      <c r="G783" s="40" t="n"/>
      <c r="H783" s="41" t="n"/>
      <c r="K783" s="40" t="n"/>
      <c r="L783" s="1" t="n"/>
      <c r="N783" s="40" t="n"/>
      <c r="O783" s="40" t="n"/>
      <c r="Z783" s="40" t="n"/>
      <c r="AA783" s="40" t="n"/>
      <c r="AC783" s="40" t="n"/>
      <c r="AD783" s="40" t="n"/>
      <c r="AE783" s="40" t="n"/>
      <c r="AF783" s="40" t="n"/>
    </row>
    <row r="784" ht="13" customHeight="1" s="50">
      <c r="E784" s="40" t="n"/>
      <c r="F784" s="40" t="n"/>
      <c r="G784" s="40" t="n"/>
      <c r="H784" s="41" t="n"/>
      <c r="K784" s="40" t="n"/>
      <c r="L784" s="1" t="n"/>
      <c r="N784" s="40" t="n"/>
      <c r="O784" s="40" t="n"/>
      <c r="Z784" s="40" t="n"/>
      <c r="AA784" s="40" t="n"/>
      <c r="AC784" s="40" t="n"/>
      <c r="AD784" s="40" t="n"/>
      <c r="AE784" s="40" t="n"/>
      <c r="AF784" s="40" t="n"/>
    </row>
    <row r="785" ht="13" customHeight="1" s="50">
      <c r="E785" s="40" t="n"/>
      <c r="F785" s="40" t="n"/>
      <c r="G785" s="40" t="n"/>
      <c r="H785" s="41" t="n"/>
      <c r="K785" s="40" t="n"/>
      <c r="L785" s="1" t="n"/>
      <c r="N785" s="40" t="n"/>
      <c r="O785" s="40" t="n"/>
      <c r="Z785" s="40" t="n"/>
      <c r="AA785" s="40" t="n"/>
      <c r="AC785" s="40" t="n"/>
      <c r="AD785" s="40" t="n"/>
      <c r="AE785" s="40" t="n"/>
      <c r="AF785" s="40" t="n"/>
    </row>
    <row r="786" ht="13" customHeight="1" s="50">
      <c r="E786" s="40" t="n"/>
      <c r="F786" s="40" t="n"/>
      <c r="G786" s="40" t="n"/>
      <c r="H786" s="41" t="n"/>
      <c r="K786" s="40" t="n"/>
      <c r="L786" s="1" t="n"/>
      <c r="N786" s="40" t="n"/>
      <c r="O786" s="40" t="n"/>
      <c r="Z786" s="40" t="n"/>
      <c r="AA786" s="40" t="n"/>
      <c r="AC786" s="40" t="n"/>
      <c r="AD786" s="40" t="n"/>
      <c r="AE786" s="40" t="n"/>
      <c r="AF786" s="40" t="n"/>
    </row>
    <row r="787" ht="13" customHeight="1" s="50">
      <c r="E787" s="40" t="n"/>
      <c r="F787" s="40" t="n"/>
      <c r="G787" s="40" t="n"/>
      <c r="H787" s="41" t="n"/>
      <c r="K787" s="40" t="n"/>
      <c r="L787" s="1" t="n"/>
      <c r="N787" s="40" t="n"/>
      <c r="O787" s="40" t="n"/>
      <c r="Z787" s="40" t="n"/>
      <c r="AA787" s="40" t="n"/>
      <c r="AC787" s="40" t="n"/>
      <c r="AD787" s="40" t="n"/>
      <c r="AE787" s="40" t="n"/>
      <c r="AF787" s="40" t="n"/>
    </row>
    <row r="788" ht="13" customHeight="1" s="50">
      <c r="E788" s="40" t="n"/>
      <c r="F788" s="40" t="n"/>
      <c r="G788" s="40" t="n"/>
      <c r="H788" s="41" t="n"/>
      <c r="K788" s="40" t="n"/>
      <c r="L788" s="1" t="n"/>
      <c r="N788" s="40" t="n"/>
      <c r="O788" s="40" t="n"/>
      <c r="Z788" s="40" t="n"/>
      <c r="AA788" s="40" t="n"/>
      <c r="AC788" s="40" t="n"/>
      <c r="AD788" s="40" t="n"/>
      <c r="AE788" s="40" t="n"/>
      <c r="AF788" s="40" t="n"/>
    </row>
    <row r="789" ht="13" customHeight="1" s="50">
      <c r="E789" s="40" t="n"/>
      <c r="F789" s="40" t="n"/>
      <c r="G789" s="40" t="n"/>
      <c r="H789" s="41" t="n"/>
      <c r="K789" s="40" t="n"/>
      <c r="L789" s="1" t="n"/>
      <c r="N789" s="40" t="n"/>
      <c r="O789" s="40" t="n"/>
      <c r="Z789" s="40" t="n"/>
      <c r="AA789" s="40" t="n"/>
      <c r="AC789" s="40" t="n"/>
      <c r="AD789" s="40" t="n"/>
      <c r="AE789" s="40" t="n"/>
      <c r="AF789" s="40" t="n"/>
    </row>
    <row r="790" ht="13" customHeight="1" s="50">
      <c r="E790" s="40" t="n"/>
      <c r="F790" s="40" t="n"/>
      <c r="G790" s="40" t="n"/>
      <c r="H790" s="41" t="n"/>
      <c r="K790" s="40" t="n"/>
      <c r="L790" s="1" t="n"/>
      <c r="N790" s="40" t="n"/>
      <c r="O790" s="40" t="n"/>
      <c r="Z790" s="40" t="n"/>
      <c r="AA790" s="40" t="n"/>
      <c r="AC790" s="40" t="n"/>
      <c r="AD790" s="40" t="n"/>
      <c r="AE790" s="40" t="n"/>
      <c r="AF790" s="40" t="n"/>
    </row>
    <row r="791" ht="13" customHeight="1" s="50">
      <c r="E791" s="40" t="n"/>
      <c r="F791" s="40" t="n"/>
      <c r="G791" s="40" t="n"/>
      <c r="H791" s="41" t="n"/>
      <c r="K791" s="40" t="n"/>
      <c r="L791" s="1" t="n"/>
      <c r="N791" s="40" t="n"/>
      <c r="O791" s="40" t="n"/>
      <c r="Z791" s="40" t="n"/>
      <c r="AA791" s="40" t="n"/>
      <c r="AC791" s="40" t="n"/>
      <c r="AD791" s="40" t="n"/>
      <c r="AE791" s="40" t="n"/>
      <c r="AF791" s="40" t="n"/>
    </row>
    <row r="792" ht="13" customHeight="1" s="50">
      <c r="E792" s="40" t="n"/>
      <c r="F792" s="40" t="n"/>
      <c r="G792" s="40" t="n"/>
      <c r="H792" s="41" t="n"/>
      <c r="K792" s="40" t="n"/>
      <c r="L792" s="1" t="n"/>
      <c r="N792" s="40" t="n"/>
      <c r="O792" s="40" t="n"/>
      <c r="Z792" s="40" t="n"/>
      <c r="AA792" s="40" t="n"/>
      <c r="AC792" s="40" t="n"/>
      <c r="AD792" s="40" t="n"/>
      <c r="AE792" s="40" t="n"/>
      <c r="AF792" s="40" t="n"/>
    </row>
    <row r="793" ht="13" customHeight="1" s="50">
      <c r="E793" s="40" t="n"/>
      <c r="F793" s="40" t="n"/>
      <c r="G793" s="40" t="n"/>
      <c r="H793" s="41" t="n"/>
      <c r="K793" s="40" t="n"/>
      <c r="L793" s="1" t="n"/>
      <c r="N793" s="40" t="n"/>
      <c r="O793" s="40" t="n"/>
      <c r="Z793" s="40" t="n"/>
      <c r="AA793" s="40" t="n"/>
      <c r="AC793" s="40" t="n"/>
      <c r="AD793" s="40" t="n"/>
      <c r="AE793" s="40" t="n"/>
      <c r="AF793" s="40" t="n"/>
    </row>
    <row r="794" ht="13" customHeight="1" s="50">
      <c r="E794" s="40" t="n"/>
      <c r="F794" s="40" t="n"/>
      <c r="G794" s="40" t="n"/>
      <c r="H794" s="41" t="n"/>
      <c r="K794" s="40" t="n"/>
      <c r="L794" s="1" t="n"/>
      <c r="N794" s="40" t="n"/>
      <c r="O794" s="40" t="n"/>
      <c r="Z794" s="40" t="n"/>
      <c r="AA794" s="40" t="n"/>
      <c r="AC794" s="40" t="n"/>
      <c r="AD794" s="40" t="n"/>
      <c r="AE794" s="40" t="n"/>
      <c r="AF794" s="40" t="n"/>
    </row>
    <row r="795" ht="13" customHeight="1" s="50">
      <c r="E795" s="40" t="n"/>
      <c r="F795" s="40" t="n"/>
      <c r="G795" s="40" t="n"/>
      <c r="H795" s="41" t="n"/>
      <c r="K795" s="40" t="n"/>
      <c r="L795" s="1" t="n"/>
      <c r="N795" s="40" t="n"/>
      <c r="O795" s="40" t="n"/>
      <c r="Z795" s="40" t="n"/>
      <c r="AA795" s="40" t="n"/>
      <c r="AC795" s="40" t="n"/>
      <c r="AD795" s="40" t="n"/>
      <c r="AE795" s="40" t="n"/>
      <c r="AF795" s="40" t="n"/>
    </row>
    <row r="796" ht="13" customHeight="1" s="50">
      <c r="E796" s="40" t="n"/>
      <c r="F796" s="40" t="n"/>
      <c r="G796" s="40" t="n"/>
      <c r="H796" s="41" t="n"/>
      <c r="K796" s="40" t="n"/>
      <c r="L796" s="1" t="n"/>
      <c r="N796" s="40" t="n"/>
      <c r="O796" s="40" t="n"/>
      <c r="Z796" s="40" t="n"/>
      <c r="AA796" s="40" t="n"/>
      <c r="AC796" s="40" t="n"/>
      <c r="AD796" s="40" t="n"/>
      <c r="AE796" s="40" t="n"/>
      <c r="AF796" s="40" t="n"/>
    </row>
    <row r="797" ht="13" customHeight="1" s="50">
      <c r="E797" s="40" t="n"/>
      <c r="F797" s="40" t="n"/>
      <c r="G797" s="40" t="n"/>
      <c r="H797" s="41" t="n"/>
      <c r="K797" s="40" t="n"/>
      <c r="L797" s="1" t="n"/>
      <c r="N797" s="40" t="n"/>
      <c r="O797" s="40" t="n"/>
      <c r="Z797" s="40" t="n"/>
      <c r="AA797" s="40" t="n"/>
      <c r="AC797" s="40" t="n"/>
      <c r="AD797" s="40" t="n"/>
      <c r="AE797" s="40" t="n"/>
      <c r="AF797" s="40" t="n"/>
    </row>
    <row r="798" ht="13" customHeight="1" s="50">
      <c r="E798" s="40" t="n"/>
      <c r="F798" s="40" t="n"/>
      <c r="G798" s="40" t="n"/>
      <c r="H798" s="41" t="n"/>
      <c r="K798" s="40" t="n"/>
      <c r="L798" s="1" t="n"/>
      <c r="N798" s="40" t="n"/>
      <c r="O798" s="40" t="n"/>
      <c r="Z798" s="40" t="n"/>
      <c r="AA798" s="40" t="n"/>
      <c r="AC798" s="40" t="n"/>
      <c r="AD798" s="40" t="n"/>
      <c r="AE798" s="40" t="n"/>
      <c r="AF798" s="40" t="n"/>
    </row>
    <row r="799" ht="13" customHeight="1" s="50">
      <c r="E799" s="40" t="n"/>
      <c r="F799" s="40" t="n"/>
      <c r="G799" s="40" t="n"/>
      <c r="H799" s="41" t="n"/>
      <c r="K799" s="40" t="n"/>
      <c r="L799" s="1" t="n"/>
      <c r="N799" s="40" t="n"/>
      <c r="O799" s="40" t="n"/>
      <c r="Z799" s="40" t="n"/>
      <c r="AA799" s="40" t="n"/>
      <c r="AC799" s="40" t="n"/>
      <c r="AD799" s="40" t="n"/>
      <c r="AE799" s="40" t="n"/>
      <c r="AF799" s="40" t="n"/>
    </row>
    <row r="800" ht="13" customHeight="1" s="50">
      <c r="E800" s="40" t="n"/>
      <c r="F800" s="40" t="n"/>
      <c r="G800" s="40" t="n"/>
      <c r="H800" s="41" t="n"/>
      <c r="K800" s="40" t="n"/>
      <c r="L800" s="1" t="n"/>
      <c r="N800" s="40" t="n"/>
      <c r="O800" s="40" t="n"/>
      <c r="Z800" s="40" t="n"/>
      <c r="AA800" s="40" t="n"/>
      <c r="AC800" s="40" t="n"/>
      <c r="AD800" s="40" t="n"/>
      <c r="AE800" s="40" t="n"/>
      <c r="AF800" s="40" t="n"/>
    </row>
    <row r="801" ht="13" customHeight="1" s="50">
      <c r="E801" s="40" t="n"/>
      <c r="F801" s="40" t="n"/>
      <c r="G801" s="40" t="n"/>
      <c r="H801" s="41" t="n"/>
      <c r="K801" s="40" t="n"/>
      <c r="L801" s="1" t="n"/>
      <c r="N801" s="40" t="n"/>
      <c r="O801" s="40" t="n"/>
      <c r="Z801" s="40" t="n"/>
      <c r="AA801" s="40" t="n"/>
      <c r="AC801" s="40" t="n"/>
      <c r="AD801" s="40" t="n"/>
      <c r="AE801" s="40" t="n"/>
      <c r="AF801" s="40" t="n"/>
    </row>
    <row r="802" ht="13" customHeight="1" s="50">
      <c r="E802" s="40" t="n"/>
      <c r="F802" s="40" t="n"/>
      <c r="G802" s="40" t="n"/>
      <c r="H802" s="41" t="n"/>
      <c r="K802" s="40" t="n"/>
      <c r="L802" s="1" t="n"/>
      <c r="N802" s="40" t="n"/>
      <c r="O802" s="40" t="n"/>
      <c r="Z802" s="40" t="n"/>
      <c r="AA802" s="40" t="n"/>
      <c r="AC802" s="40" t="n"/>
      <c r="AD802" s="40" t="n"/>
      <c r="AE802" s="40" t="n"/>
      <c r="AF802" s="40" t="n"/>
    </row>
    <row r="803" ht="13" customHeight="1" s="50">
      <c r="E803" s="40" t="n"/>
      <c r="F803" s="40" t="n"/>
      <c r="G803" s="40" t="n"/>
      <c r="H803" s="41" t="n"/>
      <c r="K803" s="40" t="n"/>
      <c r="L803" s="1" t="n"/>
      <c r="N803" s="40" t="n"/>
      <c r="O803" s="40" t="n"/>
      <c r="Z803" s="40" t="n"/>
      <c r="AA803" s="40" t="n"/>
      <c r="AC803" s="40" t="n"/>
      <c r="AD803" s="40" t="n"/>
      <c r="AE803" s="40" t="n"/>
      <c r="AF803" s="40" t="n"/>
    </row>
    <row r="804" ht="13" customHeight="1" s="50">
      <c r="E804" s="40" t="n"/>
      <c r="F804" s="40" t="n"/>
      <c r="G804" s="40" t="n"/>
      <c r="H804" s="41" t="n"/>
      <c r="K804" s="40" t="n"/>
      <c r="L804" s="1" t="n"/>
      <c r="N804" s="40" t="n"/>
      <c r="O804" s="40" t="n"/>
      <c r="Z804" s="40" t="n"/>
      <c r="AA804" s="40" t="n"/>
      <c r="AC804" s="40" t="n"/>
      <c r="AD804" s="40" t="n"/>
      <c r="AE804" s="40" t="n"/>
      <c r="AF804" s="40" t="n"/>
    </row>
    <row r="805" ht="13" customHeight="1" s="50">
      <c r="E805" s="40" t="n"/>
      <c r="F805" s="40" t="n"/>
      <c r="G805" s="40" t="n"/>
      <c r="H805" s="41" t="n"/>
      <c r="K805" s="40" t="n"/>
      <c r="L805" s="1" t="n"/>
      <c r="N805" s="40" t="n"/>
      <c r="O805" s="40" t="n"/>
      <c r="Z805" s="40" t="n"/>
      <c r="AA805" s="40" t="n"/>
      <c r="AC805" s="40" t="n"/>
      <c r="AD805" s="40" t="n"/>
      <c r="AE805" s="40" t="n"/>
      <c r="AF805" s="40" t="n"/>
    </row>
    <row r="806" ht="13" customHeight="1" s="50">
      <c r="E806" s="40" t="n"/>
      <c r="F806" s="40" t="n"/>
      <c r="G806" s="40" t="n"/>
      <c r="H806" s="41" t="n"/>
      <c r="K806" s="40" t="n"/>
      <c r="L806" s="1" t="n"/>
      <c r="N806" s="40" t="n"/>
      <c r="O806" s="40" t="n"/>
      <c r="Z806" s="40" t="n"/>
      <c r="AA806" s="40" t="n"/>
      <c r="AC806" s="40" t="n"/>
      <c r="AD806" s="40" t="n"/>
      <c r="AE806" s="40" t="n"/>
      <c r="AF806" s="40" t="n"/>
    </row>
    <row r="807" ht="13" customHeight="1" s="50">
      <c r="E807" s="40" t="n"/>
      <c r="F807" s="40" t="n"/>
      <c r="G807" s="40" t="n"/>
      <c r="H807" s="41" t="n"/>
      <c r="K807" s="40" t="n"/>
      <c r="L807" s="1" t="n"/>
      <c r="N807" s="40" t="n"/>
      <c r="O807" s="40" t="n"/>
      <c r="Z807" s="40" t="n"/>
      <c r="AA807" s="40" t="n"/>
      <c r="AC807" s="40" t="n"/>
      <c r="AD807" s="40" t="n"/>
      <c r="AE807" s="40" t="n"/>
      <c r="AF807" s="40" t="n"/>
    </row>
    <row r="808" ht="13" customHeight="1" s="50">
      <c r="E808" s="40" t="n"/>
      <c r="F808" s="40" t="n"/>
      <c r="G808" s="40" t="n"/>
      <c r="H808" s="41" t="n"/>
      <c r="K808" s="40" t="n"/>
      <c r="L808" s="1" t="n"/>
      <c r="N808" s="40" t="n"/>
      <c r="O808" s="40" t="n"/>
      <c r="Z808" s="40" t="n"/>
      <c r="AA808" s="40" t="n"/>
      <c r="AC808" s="40" t="n"/>
      <c r="AD808" s="40" t="n"/>
      <c r="AE808" s="40" t="n"/>
      <c r="AF808" s="40" t="n"/>
    </row>
    <row r="809" ht="13" customHeight="1" s="50">
      <c r="E809" s="40" t="n"/>
      <c r="F809" s="40" t="n"/>
      <c r="G809" s="40" t="n"/>
      <c r="H809" s="41" t="n"/>
      <c r="K809" s="40" t="n"/>
      <c r="L809" s="1" t="n"/>
      <c r="N809" s="40" t="n"/>
      <c r="O809" s="40" t="n"/>
      <c r="Z809" s="40" t="n"/>
      <c r="AA809" s="40" t="n"/>
      <c r="AC809" s="40" t="n"/>
      <c r="AD809" s="40" t="n"/>
      <c r="AE809" s="40" t="n"/>
      <c r="AF809" s="40" t="n"/>
    </row>
    <row r="810" ht="13" customHeight="1" s="50">
      <c r="E810" s="40" t="n"/>
      <c r="F810" s="40" t="n"/>
      <c r="G810" s="40" t="n"/>
      <c r="H810" s="41" t="n"/>
      <c r="K810" s="40" t="n"/>
      <c r="L810" s="1" t="n"/>
      <c r="N810" s="40" t="n"/>
      <c r="O810" s="40" t="n"/>
      <c r="Z810" s="40" t="n"/>
      <c r="AA810" s="40" t="n"/>
      <c r="AC810" s="40" t="n"/>
      <c r="AD810" s="40" t="n"/>
      <c r="AE810" s="40" t="n"/>
      <c r="AF810" s="40" t="n"/>
    </row>
    <row r="811" ht="13" customHeight="1" s="50">
      <c r="E811" s="40" t="n"/>
      <c r="F811" s="40" t="n"/>
      <c r="G811" s="40" t="n"/>
      <c r="H811" s="41" t="n"/>
      <c r="K811" s="40" t="n"/>
      <c r="L811" s="1" t="n"/>
      <c r="N811" s="40" t="n"/>
      <c r="O811" s="40" t="n"/>
      <c r="Z811" s="40" t="n"/>
      <c r="AA811" s="40" t="n"/>
      <c r="AC811" s="40" t="n"/>
      <c r="AD811" s="40" t="n"/>
      <c r="AE811" s="40" t="n"/>
      <c r="AF811" s="40" t="n"/>
    </row>
    <row r="812" ht="13" customHeight="1" s="50">
      <c r="E812" s="40" t="n"/>
      <c r="F812" s="40" t="n"/>
      <c r="G812" s="40" t="n"/>
      <c r="H812" s="41" t="n"/>
      <c r="K812" s="40" t="n"/>
      <c r="L812" s="1" t="n"/>
      <c r="N812" s="40" t="n"/>
      <c r="O812" s="40" t="n"/>
      <c r="Z812" s="40" t="n"/>
      <c r="AA812" s="40" t="n"/>
      <c r="AC812" s="40" t="n"/>
      <c r="AD812" s="40" t="n"/>
      <c r="AE812" s="40" t="n"/>
      <c r="AF812" s="40" t="n"/>
    </row>
    <row r="813" ht="13" customHeight="1" s="50">
      <c r="E813" s="40" t="n"/>
      <c r="F813" s="40" t="n"/>
      <c r="G813" s="40" t="n"/>
      <c r="H813" s="41" t="n"/>
      <c r="K813" s="40" t="n"/>
      <c r="L813" s="1" t="n"/>
      <c r="N813" s="40" t="n"/>
      <c r="O813" s="40" t="n"/>
      <c r="Z813" s="40" t="n"/>
      <c r="AA813" s="40" t="n"/>
      <c r="AC813" s="40" t="n"/>
      <c r="AD813" s="40" t="n"/>
      <c r="AE813" s="40" t="n"/>
      <c r="AF813" s="40" t="n"/>
    </row>
    <row r="814" ht="13" customHeight="1" s="50">
      <c r="E814" s="40" t="n"/>
      <c r="F814" s="40" t="n"/>
      <c r="G814" s="40" t="n"/>
      <c r="H814" s="41" t="n"/>
      <c r="K814" s="40" t="n"/>
      <c r="L814" s="1" t="n"/>
      <c r="N814" s="40" t="n"/>
      <c r="O814" s="40" t="n"/>
      <c r="Z814" s="40" t="n"/>
      <c r="AA814" s="40" t="n"/>
      <c r="AC814" s="40" t="n"/>
      <c r="AD814" s="40" t="n"/>
      <c r="AE814" s="40" t="n"/>
      <c r="AF814" s="40" t="n"/>
    </row>
    <row r="815" ht="13" customHeight="1" s="50">
      <c r="E815" s="40" t="n"/>
      <c r="F815" s="40" t="n"/>
      <c r="G815" s="40" t="n"/>
      <c r="H815" s="41" t="n"/>
      <c r="K815" s="40" t="n"/>
      <c r="L815" s="1" t="n"/>
      <c r="N815" s="40" t="n"/>
      <c r="O815" s="40" t="n"/>
      <c r="Z815" s="40" t="n"/>
      <c r="AA815" s="40" t="n"/>
      <c r="AC815" s="40" t="n"/>
      <c r="AD815" s="40" t="n"/>
      <c r="AE815" s="40" t="n"/>
      <c r="AF815" s="40" t="n"/>
    </row>
    <row r="816" ht="13" customHeight="1" s="50">
      <c r="E816" s="40" t="n"/>
      <c r="F816" s="40" t="n"/>
      <c r="G816" s="40" t="n"/>
      <c r="H816" s="41" t="n"/>
      <c r="K816" s="40" t="n"/>
      <c r="L816" s="1" t="n"/>
      <c r="N816" s="40" t="n"/>
      <c r="O816" s="40" t="n"/>
      <c r="Z816" s="40" t="n"/>
      <c r="AA816" s="40" t="n"/>
      <c r="AC816" s="40" t="n"/>
      <c r="AD816" s="40" t="n"/>
      <c r="AE816" s="40" t="n"/>
      <c r="AF816" s="40" t="n"/>
    </row>
    <row r="817" ht="13" customHeight="1" s="50">
      <c r="E817" s="40" t="n"/>
      <c r="F817" s="40" t="n"/>
      <c r="G817" s="40" t="n"/>
      <c r="H817" s="41" t="n"/>
      <c r="K817" s="40" t="n"/>
      <c r="L817" s="1" t="n"/>
      <c r="N817" s="40" t="n"/>
      <c r="O817" s="40" t="n"/>
      <c r="Z817" s="40" t="n"/>
      <c r="AA817" s="40" t="n"/>
      <c r="AC817" s="40" t="n"/>
      <c r="AD817" s="40" t="n"/>
      <c r="AE817" s="40" t="n"/>
      <c r="AF817" s="40" t="n"/>
    </row>
    <row r="818" ht="13" customHeight="1" s="50">
      <c r="E818" s="40" t="n"/>
      <c r="F818" s="40" t="n"/>
      <c r="G818" s="40" t="n"/>
      <c r="H818" s="41" t="n"/>
      <c r="K818" s="40" t="n"/>
      <c r="L818" s="1" t="n"/>
      <c r="N818" s="40" t="n"/>
      <c r="O818" s="40" t="n"/>
      <c r="Z818" s="40" t="n"/>
      <c r="AA818" s="40" t="n"/>
      <c r="AC818" s="40" t="n"/>
      <c r="AD818" s="40" t="n"/>
      <c r="AE818" s="40" t="n"/>
      <c r="AF818" s="40" t="n"/>
    </row>
    <row r="819" ht="13" customHeight="1" s="50">
      <c r="E819" s="40" t="n"/>
      <c r="F819" s="40" t="n"/>
      <c r="G819" s="40" t="n"/>
      <c r="H819" s="41" t="n"/>
      <c r="K819" s="40" t="n"/>
      <c r="L819" s="1" t="n"/>
      <c r="N819" s="40" t="n"/>
      <c r="O819" s="40" t="n"/>
      <c r="Z819" s="40" t="n"/>
      <c r="AA819" s="40" t="n"/>
      <c r="AC819" s="40" t="n"/>
      <c r="AD819" s="40" t="n"/>
      <c r="AE819" s="40" t="n"/>
      <c r="AF819" s="40" t="n"/>
    </row>
    <row r="820" ht="13" customHeight="1" s="50">
      <c r="E820" s="40" t="n"/>
      <c r="F820" s="40" t="n"/>
      <c r="G820" s="40" t="n"/>
      <c r="H820" s="41" t="n"/>
      <c r="K820" s="40" t="n"/>
      <c r="L820" s="1" t="n"/>
      <c r="N820" s="40" t="n"/>
      <c r="O820" s="40" t="n"/>
      <c r="Z820" s="40" t="n"/>
      <c r="AA820" s="40" t="n"/>
      <c r="AC820" s="40" t="n"/>
      <c r="AD820" s="40" t="n"/>
      <c r="AE820" s="40" t="n"/>
      <c r="AF820" s="40" t="n"/>
    </row>
    <row r="821" ht="13" customHeight="1" s="50">
      <c r="E821" s="40" t="n"/>
      <c r="F821" s="40" t="n"/>
      <c r="G821" s="40" t="n"/>
      <c r="H821" s="41" t="n"/>
      <c r="K821" s="40" t="n"/>
      <c r="L821" s="1" t="n"/>
      <c r="N821" s="40" t="n"/>
      <c r="O821" s="40" t="n"/>
      <c r="Z821" s="40" t="n"/>
      <c r="AA821" s="40" t="n"/>
      <c r="AC821" s="40" t="n"/>
      <c r="AD821" s="40" t="n"/>
      <c r="AE821" s="40" t="n"/>
      <c r="AF821" s="40" t="n"/>
    </row>
    <row r="822" ht="13" customHeight="1" s="50">
      <c r="E822" s="40" t="n"/>
      <c r="F822" s="40" t="n"/>
      <c r="G822" s="40" t="n"/>
      <c r="H822" s="41" t="n"/>
      <c r="K822" s="40" t="n"/>
      <c r="L822" s="1" t="n"/>
      <c r="N822" s="40" t="n"/>
      <c r="O822" s="40" t="n"/>
      <c r="Z822" s="40" t="n"/>
      <c r="AA822" s="40" t="n"/>
      <c r="AC822" s="40" t="n"/>
      <c r="AD822" s="40" t="n"/>
      <c r="AE822" s="40" t="n"/>
      <c r="AF822" s="40" t="n"/>
    </row>
    <row r="823" ht="13" customHeight="1" s="50">
      <c r="E823" s="40" t="n"/>
      <c r="F823" s="40" t="n"/>
      <c r="G823" s="40" t="n"/>
      <c r="H823" s="41" t="n"/>
      <c r="K823" s="40" t="n"/>
      <c r="L823" s="1" t="n"/>
      <c r="N823" s="40" t="n"/>
      <c r="O823" s="40" t="n"/>
      <c r="Z823" s="40" t="n"/>
      <c r="AA823" s="40" t="n"/>
      <c r="AC823" s="40" t="n"/>
      <c r="AD823" s="40" t="n"/>
      <c r="AE823" s="40" t="n"/>
      <c r="AF823" s="40" t="n"/>
    </row>
    <row r="824" ht="13" customHeight="1" s="50">
      <c r="E824" s="40" t="n"/>
      <c r="F824" s="40" t="n"/>
      <c r="G824" s="40" t="n"/>
      <c r="H824" s="41" t="n"/>
      <c r="K824" s="40" t="n"/>
      <c r="L824" s="1" t="n"/>
      <c r="N824" s="40" t="n"/>
      <c r="O824" s="40" t="n"/>
      <c r="Z824" s="40" t="n"/>
      <c r="AA824" s="40" t="n"/>
      <c r="AC824" s="40" t="n"/>
      <c r="AD824" s="40" t="n"/>
      <c r="AE824" s="40" t="n"/>
      <c r="AF824" s="40" t="n"/>
    </row>
    <row r="825" ht="13" customHeight="1" s="50">
      <c r="E825" s="40" t="n"/>
      <c r="F825" s="40" t="n"/>
      <c r="G825" s="40" t="n"/>
      <c r="H825" s="41" t="n"/>
      <c r="K825" s="40" t="n"/>
      <c r="L825" s="1" t="n"/>
      <c r="N825" s="40" t="n"/>
      <c r="O825" s="40" t="n"/>
      <c r="Z825" s="40" t="n"/>
      <c r="AA825" s="40" t="n"/>
      <c r="AC825" s="40" t="n"/>
      <c r="AD825" s="40" t="n"/>
      <c r="AE825" s="40" t="n"/>
      <c r="AF825" s="40" t="n"/>
    </row>
    <row r="826" ht="13" customHeight="1" s="50">
      <c r="E826" s="40" t="n"/>
      <c r="F826" s="40" t="n"/>
      <c r="G826" s="40" t="n"/>
      <c r="H826" s="41" t="n"/>
      <c r="K826" s="40" t="n"/>
      <c r="L826" s="1" t="n"/>
      <c r="N826" s="40" t="n"/>
      <c r="O826" s="40" t="n"/>
      <c r="Z826" s="40" t="n"/>
      <c r="AA826" s="40" t="n"/>
      <c r="AC826" s="40" t="n"/>
      <c r="AD826" s="40" t="n"/>
      <c r="AE826" s="40" t="n"/>
      <c r="AF826" s="40" t="n"/>
    </row>
    <row r="827" ht="13" customHeight="1" s="50">
      <c r="E827" s="40" t="n"/>
      <c r="F827" s="40" t="n"/>
      <c r="G827" s="40" t="n"/>
      <c r="H827" s="41" t="n"/>
      <c r="K827" s="40" t="n"/>
      <c r="L827" s="1" t="n"/>
      <c r="N827" s="40" t="n"/>
      <c r="O827" s="40" t="n"/>
      <c r="Z827" s="40" t="n"/>
      <c r="AA827" s="40" t="n"/>
      <c r="AC827" s="40" t="n"/>
      <c r="AD827" s="40" t="n"/>
      <c r="AE827" s="40" t="n"/>
      <c r="AF827" s="40" t="n"/>
    </row>
    <row r="828" ht="13" customHeight="1" s="50">
      <c r="E828" s="40" t="n"/>
      <c r="F828" s="40" t="n"/>
      <c r="G828" s="40" t="n"/>
      <c r="H828" s="41" t="n"/>
      <c r="K828" s="40" t="n"/>
      <c r="L828" s="1" t="n"/>
      <c r="N828" s="40" t="n"/>
      <c r="O828" s="40" t="n"/>
      <c r="Z828" s="40" t="n"/>
      <c r="AA828" s="40" t="n"/>
      <c r="AC828" s="40" t="n"/>
      <c r="AD828" s="40" t="n"/>
      <c r="AE828" s="40" t="n"/>
      <c r="AF828" s="40" t="n"/>
    </row>
    <row r="829" ht="13" customHeight="1" s="50">
      <c r="E829" s="40" t="n"/>
      <c r="F829" s="40" t="n"/>
      <c r="G829" s="40" t="n"/>
      <c r="H829" s="41" t="n"/>
      <c r="K829" s="40" t="n"/>
      <c r="L829" s="1" t="n"/>
      <c r="N829" s="40" t="n"/>
      <c r="O829" s="40" t="n"/>
      <c r="Z829" s="40" t="n"/>
      <c r="AA829" s="40" t="n"/>
      <c r="AC829" s="40" t="n"/>
      <c r="AD829" s="40" t="n"/>
      <c r="AE829" s="40" t="n"/>
      <c r="AF829" s="40" t="n"/>
    </row>
    <row r="830" ht="13" customHeight="1" s="50">
      <c r="E830" s="40" t="n"/>
      <c r="F830" s="40" t="n"/>
      <c r="G830" s="40" t="n"/>
      <c r="H830" s="41" t="n"/>
      <c r="K830" s="40" t="n"/>
      <c r="L830" s="1" t="n"/>
      <c r="N830" s="40" t="n"/>
      <c r="O830" s="40" t="n"/>
      <c r="Z830" s="40" t="n"/>
      <c r="AA830" s="40" t="n"/>
      <c r="AC830" s="40" t="n"/>
      <c r="AD830" s="40" t="n"/>
      <c r="AE830" s="40" t="n"/>
      <c r="AF830" s="40" t="n"/>
    </row>
    <row r="831" ht="13" customHeight="1" s="50">
      <c r="E831" s="40" t="n"/>
      <c r="F831" s="40" t="n"/>
      <c r="G831" s="40" t="n"/>
      <c r="H831" s="41" t="n"/>
      <c r="K831" s="40" t="n"/>
      <c r="L831" s="1" t="n"/>
      <c r="N831" s="40" t="n"/>
      <c r="O831" s="40" t="n"/>
      <c r="Z831" s="40" t="n"/>
      <c r="AA831" s="40" t="n"/>
      <c r="AC831" s="40" t="n"/>
      <c r="AD831" s="40" t="n"/>
      <c r="AE831" s="40" t="n"/>
      <c r="AF831" s="40" t="n"/>
    </row>
    <row r="832" ht="13" customHeight="1" s="50">
      <c r="E832" s="40" t="n"/>
      <c r="F832" s="40" t="n"/>
      <c r="G832" s="40" t="n"/>
      <c r="H832" s="41" t="n"/>
      <c r="K832" s="40" t="n"/>
      <c r="L832" s="1" t="n"/>
      <c r="N832" s="40" t="n"/>
      <c r="O832" s="40" t="n"/>
      <c r="Z832" s="40" t="n"/>
      <c r="AA832" s="40" t="n"/>
      <c r="AC832" s="40" t="n"/>
      <c r="AD832" s="40" t="n"/>
      <c r="AE832" s="40" t="n"/>
      <c r="AF832" s="40" t="n"/>
    </row>
    <row r="833" ht="13" customHeight="1" s="50">
      <c r="E833" s="40" t="n"/>
      <c r="F833" s="40" t="n"/>
      <c r="G833" s="40" t="n"/>
      <c r="H833" s="41" t="n"/>
      <c r="K833" s="40" t="n"/>
      <c r="L833" s="1" t="n"/>
      <c r="N833" s="40" t="n"/>
      <c r="O833" s="40" t="n"/>
      <c r="Z833" s="40" t="n"/>
      <c r="AA833" s="40" t="n"/>
      <c r="AC833" s="40" t="n"/>
      <c r="AD833" s="40" t="n"/>
      <c r="AE833" s="40" t="n"/>
      <c r="AF833" s="40" t="n"/>
    </row>
    <row r="834" ht="13" customHeight="1" s="50">
      <c r="E834" s="40" t="n"/>
      <c r="F834" s="40" t="n"/>
      <c r="G834" s="40" t="n"/>
      <c r="H834" s="41" t="n"/>
      <c r="K834" s="40" t="n"/>
      <c r="L834" s="1" t="n"/>
      <c r="N834" s="40" t="n"/>
      <c r="O834" s="40" t="n"/>
      <c r="Z834" s="40" t="n"/>
      <c r="AA834" s="40" t="n"/>
      <c r="AC834" s="40" t="n"/>
      <c r="AD834" s="40" t="n"/>
      <c r="AE834" s="40" t="n"/>
      <c r="AF834" s="40" t="n"/>
    </row>
    <row r="835" ht="13" customHeight="1" s="50">
      <c r="E835" s="40" t="n"/>
      <c r="F835" s="40" t="n"/>
      <c r="G835" s="40" t="n"/>
      <c r="H835" s="41" t="n"/>
      <c r="K835" s="40" t="n"/>
      <c r="L835" s="1" t="n"/>
      <c r="N835" s="40" t="n"/>
      <c r="O835" s="40" t="n"/>
      <c r="Z835" s="40" t="n"/>
      <c r="AA835" s="40" t="n"/>
      <c r="AC835" s="40" t="n"/>
      <c r="AD835" s="40" t="n"/>
      <c r="AE835" s="40" t="n"/>
      <c r="AF835" s="40" t="n"/>
    </row>
    <row r="836" ht="13" customHeight="1" s="50">
      <c r="E836" s="40" t="n"/>
      <c r="F836" s="40" t="n"/>
      <c r="G836" s="40" t="n"/>
      <c r="H836" s="41" t="n"/>
      <c r="K836" s="40" t="n"/>
      <c r="L836" s="1" t="n"/>
      <c r="N836" s="40" t="n"/>
      <c r="O836" s="40" t="n"/>
      <c r="Z836" s="40" t="n"/>
      <c r="AA836" s="40" t="n"/>
      <c r="AC836" s="40" t="n"/>
      <c r="AD836" s="40" t="n"/>
      <c r="AE836" s="40" t="n"/>
      <c r="AF836" s="40" t="n"/>
    </row>
    <row r="837" ht="13" customHeight="1" s="50">
      <c r="E837" s="40" t="n"/>
      <c r="F837" s="40" t="n"/>
      <c r="G837" s="40" t="n"/>
      <c r="H837" s="41" t="n"/>
      <c r="K837" s="40" t="n"/>
      <c r="L837" s="1" t="n"/>
      <c r="N837" s="40" t="n"/>
      <c r="O837" s="40" t="n"/>
      <c r="Z837" s="40" t="n"/>
      <c r="AA837" s="40" t="n"/>
      <c r="AC837" s="40" t="n"/>
      <c r="AD837" s="40" t="n"/>
      <c r="AE837" s="40" t="n"/>
      <c r="AF837" s="40" t="n"/>
    </row>
    <row r="838" ht="13" customHeight="1" s="50">
      <c r="E838" s="40" t="n"/>
      <c r="F838" s="40" t="n"/>
      <c r="G838" s="40" t="n"/>
      <c r="H838" s="41" t="n"/>
      <c r="K838" s="40" t="n"/>
      <c r="L838" s="1" t="n"/>
      <c r="N838" s="40" t="n"/>
      <c r="O838" s="40" t="n"/>
      <c r="Z838" s="40" t="n"/>
      <c r="AA838" s="40" t="n"/>
      <c r="AC838" s="40" t="n"/>
      <c r="AD838" s="40" t="n"/>
      <c r="AE838" s="40" t="n"/>
      <c r="AF838" s="40" t="n"/>
    </row>
    <row r="839" ht="13" customHeight="1" s="50">
      <c r="E839" s="40" t="n"/>
      <c r="F839" s="40" t="n"/>
      <c r="G839" s="40" t="n"/>
      <c r="H839" s="41" t="n"/>
      <c r="K839" s="40" t="n"/>
      <c r="L839" s="1" t="n"/>
      <c r="N839" s="40" t="n"/>
      <c r="O839" s="40" t="n"/>
      <c r="Z839" s="40" t="n"/>
      <c r="AA839" s="40" t="n"/>
      <c r="AC839" s="40" t="n"/>
      <c r="AD839" s="40" t="n"/>
      <c r="AE839" s="40" t="n"/>
      <c r="AF839" s="40" t="n"/>
    </row>
    <row r="840" ht="13" customHeight="1" s="50">
      <c r="E840" s="40" t="n"/>
      <c r="F840" s="40" t="n"/>
      <c r="G840" s="40" t="n"/>
      <c r="H840" s="41" t="n"/>
      <c r="K840" s="40" t="n"/>
      <c r="L840" s="1" t="n"/>
      <c r="N840" s="40" t="n"/>
      <c r="O840" s="40" t="n"/>
      <c r="Z840" s="40" t="n"/>
      <c r="AA840" s="40" t="n"/>
      <c r="AC840" s="40" t="n"/>
      <c r="AD840" s="40" t="n"/>
      <c r="AE840" s="40" t="n"/>
      <c r="AF840" s="40" t="n"/>
    </row>
    <row r="841" ht="13" customHeight="1" s="50">
      <c r="E841" s="40" t="n"/>
      <c r="F841" s="40" t="n"/>
      <c r="G841" s="40" t="n"/>
      <c r="H841" s="41" t="n"/>
      <c r="K841" s="40" t="n"/>
      <c r="L841" s="1" t="n"/>
      <c r="N841" s="40" t="n"/>
      <c r="O841" s="40" t="n"/>
      <c r="Z841" s="40" t="n"/>
      <c r="AA841" s="40" t="n"/>
      <c r="AC841" s="40" t="n"/>
      <c r="AD841" s="40" t="n"/>
      <c r="AE841" s="40" t="n"/>
      <c r="AF841" s="40" t="n"/>
    </row>
    <row r="842" ht="13" customHeight="1" s="50">
      <c r="E842" s="40" t="n"/>
      <c r="F842" s="40" t="n"/>
      <c r="G842" s="40" t="n"/>
      <c r="H842" s="41" t="n"/>
      <c r="K842" s="40" t="n"/>
      <c r="L842" s="1" t="n"/>
      <c r="N842" s="40" t="n"/>
      <c r="O842" s="40" t="n"/>
      <c r="Z842" s="40" t="n"/>
      <c r="AA842" s="40" t="n"/>
      <c r="AC842" s="40" t="n"/>
      <c r="AD842" s="40" t="n"/>
      <c r="AE842" s="40" t="n"/>
      <c r="AF842" s="40" t="n"/>
    </row>
    <row r="843" ht="13" customHeight="1" s="50">
      <c r="E843" s="40" t="n"/>
      <c r="F843" s="40" t="n"/>
      <c r="G843" s="40" t="n"/>
      <c r="H843" s="41" t="n"/>
      <c r="K843" s="40" t="n"/>
      <c r="L843" s="1" t="n"/>
      <c r="N843" s="40" t="n"/>
      <c r="O843" s="40" t="n"/>
      <c r="Z843" s="40" t="n"/>
      <c r="AA843" s="40" t="n"/>
      <c r="AC843" s="40" t="n"/>
      <c r="AD843" s="40" t="n"/>
      <c r="AE843" s="40" t="n"/>
      <c r="AF843" s="40" t="n"/>
    </row>
    <row r="844" ht="13" customHeight="1" s="50">
      <c r="E844" s="40" t="n"/>
      <c r="F844" s="40" t="n"/>
      <c r="G844" s="40" t="n"/>
      <c r="H844" s="41" t="n"/>
      <c r="K844" s="40" t="n"/>
      <c r="L844" s="1" t="n"/>
      <c r="N844" s="40" t="n"/>
      <c r="O844" s="40" t="n"/>
      <c r="Z844" s="40" t="n"/>
      <c r="AA844" s="40" t="n"/>
      <c r="AC844" s="40" t="n"/>
      <c r="AD844" s="40" t="n"/>
      <c r="AE844" s="40" t="n"/>
      <c r="AF844" s="40" t="n"/>
    </row>
    <row r="845" ht="13" customHeight="1" s="50">
      <c r="E845" s="40" t="n"/>
      <c r="F845" s="40" t="n"/>
      <c r="G845" s="40" t="n"/>
      <c r="H845" s="41" t="n"/>
      <c r="K845" s="40" t="n"/>
      <c r="L845" s="1" t="n"/>
      <c r="N845" s="40" t="n"/>
      <c r="O845" s="40" t="n"/>
      <c r="Z845" s="40" t="n"/>
      <c r="AA845" s="40" t="n"/>
      <c r="AC845" s="40" t="n"/>
      <c r="AD845" s="40" t="n"/>
      <c r="AE845" s="40" t="n"/>
      <c r="AF845" s="40" t="n"/>
    </row>
    <row r="846" ht="13" customHeight="1" s="50">
      <c r="E846" s="40" t="n"/>
      <c r="F846" s="40" t="n"/>
      <c r="G846" s="40" t="n"/>
      <c r="H846" s="41" t="n"/>
      <c r="K846" s="40" t="n"/>
      <c r="L846" s="1" t="n"/>
      <c r="N846" s="40" t="n"/>
      <c r="O846" s="40" t="n"/>
      <c r="Z846" s="40" t="n"/>
      <c r="AA846" s="40" t="n"/>
      <c r="AC846" s="40" t="n"/>
      <c r="AD846" s="40" t="n"/>
      <c r="AE846" s="40" t="n"/>
      <c r="AF846" s="40" t="n"/>
    </row>
    <row r="847" ht="13" customHeight="1" s="50">
      <c r="E847" s="40" t="n"/>
      <c r="F847" s="40" t="n"/>
      <c r="G847" s="40" t="n"/>
      <c r="H847" s="41" t="n"/>
      <c r="K847" s="40" t="n"/>
      <c r="L847" s="1" t="n"/>
      <c r="N847" s="40" t="n"/>
      <c r="O847" s="40" t="n"/>
      <c r="Z847" s="40" t="n"/>
      <c r="AA847" s="40" t="n"/>
      <c r="AC847" s="40" t="n"/>
      <c r="AD847" s="40" t="n"/>
      <c r="AE847" s="40" t="n"/>
      <c r="AF847" s="40" t="n"/>
    </row>
    <row r="848" ht="13" customHeight="1" s="50">
      <c r="E848" s="40" t="n"/>
      <c r="F848" s="40" t="n"/>
      <c r="G848" s="40" t="n"/>
      <c r="H848" s="41" t="n"/>
      <c r="K848" s="40" t="n"/>
      <c r="L848" s="1" t="n"/>
      <c r="N848" s="40" t="n"/>
      <c r="O848" s="40" t="n"/>
      <c r="Z848" s="40" t="n"/>
      <c r="AA848" s="40" t="n"/>
      <c r="AC848" s="40" t="n"/>
      <c r="AD848" s="40" t="n"/>
      <c r="AE848" s="40" t="n"/>
      <c r="AF848" s="40" t="n"/>
    </row>
    <row r="849" ht="13" customHeight="1" s="50">
      <c r="E849" s="40" t="n"/>
      <c r="F849" s="40" t="n"/>
      <c r="G849" s="40" t="n"/>
      <c r="H849" s="41" t="n"/>
      <c r="K849" s="40" t="n"/>
      <c r="L849" s="1" t="n"/>
      <c r="N849" s="40" t="n"/>
      <c r="O849" s="40" t="n"/>
      <c r="Z849" s="40" t="n"/>
      <c r="AA849" s="40" t="n"/>
      <c r="AC849" s="40" t="n"/>
      <c r="AD849" s="40" t="n"/>
      <c r="AE849" s="40" t="n"/>
      <c r="AF849" s="40" t="n"/>
    </row>
    <row r="850" ht="13" customHeight="1" s="50">
      <c r="E850" s="40" t="n"/>
      <c r="F850" s="40" t="n"/>
      <c r="G850" s="40" t="n"/>
      <c r="H850" s="41" t="n"/>
      <c r="K850" s="40" t="n"/>
      <c r="L850" s="1" t="n"/>
      <c r="N850" s="40" t="n"/>
      <c r="O850" s="40" t="n"/>
      <c r="Z850" s="40" t="n"/>
      <c r="AA850" s="40" t="n"/>
      <c r="AC850" s="40" t="n"/>
      <c r="AD850" s="40" t="n"/>
      <c r="AE850" s="40" t="n"/>
      <c r="AF850" s="40" t="n"/>
    </row>
    <row r="851" ht="13" customHeight="1" s="50">
      <c r="E851" s="40" t="n"/>
      <c r="F851" s="40" t="n"/>
      <c r="G851" s="40" t="n"/>
      <c r="H851" s="41" t="n"/>
      <c r="K851" s="40" t="n"/>
      <c r="L851" s="1" t="n"/>
      <c r="N851" s="40" t="n"/>
      <c r="O851" s="40" t="n"/>
      <c r="Z851" s="40" t="n"/>
      <c r="AA851" s="40" t="n"/>
      <c r="AC851" s="40" t="n"/>
      <c r="AD851" s="40" t="n"/>
      <c r="AE851" s="40" t="n"/>
      <c r="AF851" s="40" t="n"/>
    </row>
    <row r="852" ht="13" customHeight="1" s="50">
      <c r="E852" s="40" t="n"/>
      <c r="F852" s="40" t="n"/>
      <c r="G852" s="40" t="n"/>
      <c r="H852" s="41" t="n"/>
      <c r="K852" s="40" t="n"/>
      <c r="L852" s="1" t="n"/>
      <c r="N852" s="40" t="n"/>
      <c r="O852" s="40" t="n"/>
      <c r="Z852" s="40" t="n"/>
      <c r="AA852" s="40" t="n"/>
      <c r="AC852" s="40" t="n"/>
      <c r="AD852" s="40" t="n"/>
      <c r="AE852" s="40" t="n"/>
      <c r="AF852" s="40" t="n"/>
    </row>
    <row r="853" ht="13" customHeight="1" s="50">
      <c r="E853" s="40" t="n"/>
      <c r="F853" s="40" t="n"/>
      <c r="G853" s="40" t="n"/>
      <c r="H853" s="41" t="n"/>
      <c r="K853" s="40" t="n"/>
      <c r="L853" s="1" t="n"/>
      <c r="N853" s="40" t="n"/>
      <c r="O853" s="40" t="n"/>
      <c r="Z853" s="40" t="n"/>
      <c r="AA853" s="40" t="n"/>
      <c r="AC853" s="40" t="n"/>
      <c r="AD853" s="40" t="n"/>
      <c r="AE853" s="40" t="n"/>
      <c r="AF853" s="40" t="n"/>
    </row>
    <row r="854" ht="13" customHeight="1" s="50">
      <c r="E854" s="40" t="n"/>
      <c r="F854" s="40" t="n"/>
      <c r="G854" s="40" t="n"/>
      <c r="H854" s="41" t="n"/>
      <c r="K854" s="40" t="n"/>
      <c r="L854" s="1" t="n"/>
      <c r="N854" s="40" t="n"/>
      <c r="O854" s="40" t="n"/>
      <c r="Z854" s="40" t="n"/>
      <c r="AA854" s="40" t="n"/>
      <c r="AC854" s="40" t="n"/>
      <c r="AD854" s="40" t="n"/>
      <c r="AE854" s="40" t="n"/>
      <c r="AF854" s="40" t="n"/>
    </row>
    <row r="855" ht="13" customHeight="1" s="50">
      <c r="E855" s="40" t="n"/>
      <c r="F855" s="40" t="n"/>
      <c r="G855" s="40" t="n"/>
      <c r="H855" s="41" t="n"/>
      <c r="K855" s="40" t="n"/>
      <c r="L855" s="1" t="n"/>
      <c r="N855" s="40" t="n"/>
      <c r="O855" s="40" t="n"/>
      <c r="Z855" s="40" t="n"/>
      <c r="AA855" s="40" t="n"/>
      <c r="AC855" s="40" t="n"/>
      <c r="AD855" s="40" t="n"/>
      <c r="AE855" s="40" t="n"/>
      <c r="AF855" s="40" t="n"/>
    </row>
    <row r="856" ht="13" customHeight="1" s="50">
      <c r="E856" s="40" t="n"/>
      <c r="F856" s="40" t="n"/>
      <c r="G856" s="40" t="n"/>
      <c r="H856" s="41" t="n"/>
      <c r="K856" s="40" t="n"/>
      <c r="L856" s="1" t="n"/>
      <c r="N856" s="40" t="n"/>
      <c r="O856" s="40" t="n"/>
      <c r="Z856" s="40" t="n"/>
      <c r="AA856" s="40" t="n"/>
      <c r="AC856" s="40" t="n"/>
      <c r="AD856" s="40" t="n"/>
      <c r="AE856" s="40" t="n"/>
      <c r="AF856" s="40" t="n"/>
    </row>
    <row r="857" ht="13" customHeight="1" s="50">
      <c r="E857" s="40" t="n"/>
      <c r="F857" s="40" t="n"/>
      <c r="G857" s="40" t="n"/>
      <c r="H857" s="41" t="n"/>
      <c r="K857" s="40" t="n"/>
      <c r="L857" s="1" t="n"/>
      <c r="N857" s="40" t="n"/>
      <c r="O857" s="40" t="n"/>
      <c r="Z857" s="40" t="n"/>
      <c r="AA857" s="40" t="n"/>
      <c r="AC857" s="40" t="n"/>
      <c r="AD857" s="40" t="n"/>
      <c r="AE857" s="40" t="n"/>
      <c r="AF857" s="40" t="n"/>
    </row>
    <row r="858" ht="13" customHeight="1" s="50">
      <c r="E858" s="40" t="n"/>
      <c r="F858" s="40" t="n"/>
      <c r="G858" s="40" t="n"/>
      <c r="H858" s="41" t="n"/>
      <c r="K858" s="40" t="n"/>
      <c r="L858" s="1" t="n"/>
      <c r="N858" s="40" t="n"/>
      <c r="O858" s="40" t="n"/>
      <c r="Z858" s="40" t="n"/>
      <c r="AA858" s="40" t="n"/>
      <c r="AC858" s="40" t="n"/>
      <c r="AD858" s="40" t="n"/>
      <c r="AE858" s="40" t="n"/>
      <c r="AF858" s="40" t="n"/>
    </row>
    <row r="859" ht="13" customHeight="1" s="50">
      <c r="E859" s="40" t="n"/>
      <c r="F859" s="40" t="n"/>
      <c r="G859" s="40" t="n"/>
      <c r="H859" s="41" t="n"/>
      <c r="K859" s="40" t="n"/>
      <c r="L859" s="1" t="n"/>
      <c r="N859" s="40" t="n"/>
      <c r="O859" s="40" t="n"/>
      <c r="Z859" s="40" t="n"/>
      <c r="AA859" s="40" t="n"/>
      <c r="AC859" s="40" t="n"/>
      <c r="AD859" s="40" t="n"/>
      <c r="AE859" s="40" t="n"/>
      <c r="AF859" s="40" t="n"/>
    </row>
    <row r="860" ht="13" customHeight="1" s="50">
      <c r="E860" s="40" t="n"/>
      <c r="F860" s="40" t="n"/>
      <c r="G860" s="40" t="n"/>
      <c r="H860" s="41" t="n"/>
      <c r="K860" s="40" t="n"/>
      <c r="L860" s="1" t="n"/>
      <c r="N860" s="40" t="n"/>
      <c r="O860" s="40" t="n"/>
      <c r="Z860" s="40" t="n"/>
      <c r="AA860" s="40" t="n"/>
      <c r="AC860" s="40" t="n"/>
      <c r="AD860" s="40" t="n"/>
      <c r="AE860" s="40" t="n"/>
      <c r="AF860" s="40" t="n"/>
    </row>
    <row r="861" ht="13" customHeight="1" s="50">
      <c r="E861" s="40" t="n"/>
      <c r="F861" s="40" t="n"/>
      <c r="G861" s="40" t="n"/>
      <c r="H861" s="41" t="n"/>
      <c r="K861" s="40" t="n"/>
      <c r="L861" s="1" t="n"/>
      <c r="N861" s="40" t="n"/>
      <c r="O861" s="40" t="n"/>
      <c r="Z861" s="40" t="n"/>
      <c r="AA861" s="40" t="n"/>
      <c r="AC861" s="40" t="n"/>
      <c r="AD861" s="40" t="n"/>
      <c r="AE861" s="40" t="n"/>
      <c r="AF861" s="40" t="n"/>
    </row>
    <row r="862" ht="13" customHeight="1" s="50">
      <c r="E862" s="40" t="n"/>
      <c r="F862" s="40" t="n"/>
      <c r="G862" s="40" t="n"/>
      <c r="H862" s="41" t="n"/>
      <c r="K862" s="40" t="n"/>
      <c r="L862" s="1" t="n"/>
      <c r="N862" s="40" t="n"/>
      <c r="O862" s="40" t="n"/>
      <c r="Z862" s="40" t="n"/>
      <c r="AA862" s="40" t="n"/>
      <c r="AC862" s="40" t="n"/>
      <c r="AD862" s="40" t="n"/>
      <c r="AE862" s="40" t="n"/>
      <c r="AF862" s="40" t="n"/>
    </row>
    <row r="863" ht="13" customHeight="1" s="50">
      <c r="E863" s="40" t="n"/>
      <c r="F863" s="40" t="n"/>
      <c r="G863" s="40" t="n"/>
      <c r="H863" s="41" t="n"/>
      <c r="K863" s="40" t="n"/>
      <c r="L863" s="1" t="n"/>
      <c r="N863" s="40" t="n"/>
      <c r="O863" s="40" t="n"/>
      <c r="Z863" s="40" t="n"/>
      <c r="AA863" s="40" t="n"/>
      <c r="AC863" s="40" t="n"/>
      <c r="AD863" s="40" t="n"/>
      <c r="AE863" s="40" t="n"/>
      <c r="AF863" s="40" t="n"/>
    </row>
    <row r="864" ht="13" customHeight="1" s="50">
      <c r="E864" s="40" t="n"/>
      <c r="F864" s="40" t="n"/>
      <c r="G864" s="40" t="n"/>
      <c r="H864" s="41" t="n"/>
      <c r="K864" s="40" t="n"/>
      <c r="L864" s="1" t="n"/>
      <c r="N864" s="40" t="n"/>
      <c r="O864" s="40" t="n"/>
      <c r="Z864" s="40" t="n"/>
      <c r="AA864" s="40" t="n"/>
      <c r="AC864" s="40" t="n"/>
      <c r="AD864" s="40" t="n"/>
      <c r="AE864" s="40" t="n"/>
      <c r="AF864" s="40" t="n"/>
    </row>
    <row r="865" ht="13" customHeight="1" s="50">
      <c r="E865" s="40" t="n"/>
      <c r="F865" s="40" t="n"/>
      <c r="G865" s="40" t="n"/>
      <c r="H865" s="41" t="n"/>
      <c r="K865" s="40" t="n"/>
      <c r="L865" s="1" t="n"/>
      <c r="N865" s="40" t="n"/>
      <c r="O865" s="40" t="n"/>
      <c r="Z865" s="40" t="n"/>
      <c r="AA865" s="40" t="n"/>
      <c r="AC865" s="40" t="n"/>
      <c r="AD865" s="40" t="n"/>
      <c r="AE865" s="40" t="n"/>
      <c r="AF865" s="40" t="n"/>
    </row>
    <row r="866" ht="13" customHeight="1" s="50">
      <c r="E866" s="40" t="n"/>
      <c r="F866" s="40" t="n"/>
      <c r="G866" s="40" t="n"/>
      <c r="H866" s="41" t="n"/>
      <c r="K866" s="40" t="n"/>
      <c r="L866" s="1" t="n"/>
      <c r="N866" s="40" t="n"/>
      <c r="O866" s="40" t="n"/>
      <c r="Z866" s="40" t="n"/>
      <c r="AA866" s="40" t="n"/>
      <c r="AC866" s="40" t="n"/>
      <c r="AD866" s="40" t="n"/>
      <c r="AE866" s="40" t="n"/>
      <c r="AF866" s="40" t="n"/>
    </row>
    <row r="867" ht="13" customHeight="1" s="50">
      <c r="E867" s="40" t="n"/>
      <c r="F867" s="40" t="n"/>
      <c r="G867" s="40" t="n"/>
      <c r="H867" s="41" t="n"/>
      <c r="K867" s="40" t="n"/>
      <c r="L867" s="1" t="n"/>
      <c r="N867" s="40" t="n"/>
      <c r="O867" s="40" t="n"/>
      <c r="Z867" s="40" t="n"/>
      <c r="AA867" s="40" t="n"/>
      <c r="AC867" s="40" t="n"/>
      <c r="AD867" s="40" t="n"/>
      <c r="AE867" s="40" t="n"/>
      <c r="AF867" s="40" t="n"/>
    </row>
    <row r="868" ht="13" customHeight="1" s="50">
      <c r="E868" s="40" t="n"/>
      <c r="F868" s="40" t="n"/>
      <c r="G868" s="40" t="n"/>
      <c r="H868" s="41" t="n"/>
      <c r="K868" s="40" t="n"/>
      <c r="L868" s="1" t="n"/>
      <c r="N868" s="40" t="n"/>
      <c r="O868" s="40" t="n"/>
      <c r="Z868" s="40" t="n"/>
      <c r="AA868" s="40" t="n"/>
      <c r="AC868" s="40" t="n"/>
      <c r="AD868" s="40" t="n"/>
      <c r="AE868" s="40" t="n"/>
      <c r="AF868" s="40" t="n"/>
    </row>
    <row r="869" ht="13" customHeight="1" s="50">
      <c r="E869" s="40" t="n"/>
      <c r="F869" s="40" t="n"/>
      <c r="G869" s="40" t="n"/>
      <c r="H869" s="41" t="n"/>
      <c r="K869" s="40" t="n"/>
      <c r="L869" s="1" t="n"/>
      <c r="N869" s="40" t="n"/>
      <c r="O869" s="40" t="n"/>
      <c r="Z869" s="40" t="n"/>
      <c r="AA869" s="40" t="n"/>
      <c r="AC869" s="40" t="n"/>
      <c r="AD869" s="40" t="n"/>
      <c r="AE869" s="40" t="n"/>
      <c r="AF869" s="40" t="n"/>
    </row>
    <row r="870" ht="13" customHeight="1" s="50">
      <c r="E870" s="40" t="n"/>
      <c r="F870" s="40" t="n"/>
      <c r="G870" s="40" t="n"/>
      <c r="H870" s="41" t="n"/>
      <c r="K870" s="40" t="n"/>
      <c r="L870" s="1" t="n"/>
      <c r="N870" s="40" t="n"/>
      <c r="O870" s="40" t="n"/>
      <c r="Z870" s="40" t="n"/>
      <c r="AA870" s="40" t="n"/>
      <c r="AC870" s="40" t="n"/>
      <c r="AD870" s="40" t="n"/>
      <c r="AE870" s="40" t="n"/>
      <c r="AF870" s="40" t="n"/>
    </row>
    <row r="871" ht="13" customHeight="1" s="50">
      <c r="E871" s="40" t="n"/>
      <c r="F871" s="40" t="n"/>
      <c r="G871" s="40" t="n"/>
      <c r="H871" s="41" t="n"/>
      <c r="K871" s="40" t="n"/>
      <c r="L871" s="1" t="n"/>
      <c r="N871" s="40" t="n"/>
      <c r="O871" s="40" t="n"/>
      <c r="Z871" s="40" t="n"/>
      <c r="AA871" s="40" t="n"/>
      <c r="AC871" s="40" t="n"/>
      <c r="AD871" s="40" t="n"/>
      <c r="AE871" s="40" t="n"/>
      <c r="AF871" s="40" t="n"/>
    </row>
    <row r="872" ht="13" customHeight="1" s="50">
      <c r="E872" s="40" t="n"/>
      <c r="F872" s="40" t="n"/>
      <c r="G872" s="40" t="n"/>
      <c r="H872" s="41" t="n"/>
      <c r="K872" s="40" t="n"/>
      <c r="L872" s="1" t="n"/>
      <c r="N872" s="40" t="n"/>
      <c r="O872" s="40" t="n"/>
      <c r="Z872" s="40" t="n"/>
      <c r="AA872" s="40" t="n"/>
      <c r="AC872" s="40" t="n"/>
      <c r="AD872" s="40" t="n"/>
      <c r="AE872" s="40" t="n"/>
      <c r="AF872" s="40" t="n"/>
    </row>
    <row r="873" ht="13" customHeight="1" s="50">
      <c r="E873" s="40" t="n"/>
      <c r="F873" s="40" t="n"/>
      <c r="G873" s="40" t="n"/>
      <c r="H873" s="41" t="n"/>
      <c r="K873" s="40" t="n"/>
      <c r="L873" s="1" t="n"/>
      <c r="N873" s="40" t="n"/>
      <c r="O873" s="40" t="n"/>
      <c r="Z873" s="40" t="n"/>
      <c r="AA873" s="40" t="n"/>
      <c r="AC873" s="40" t="n"/>
      <c r="AD873" s="40" t="n"/>
      <c r="AE873" s="40" t="n"/>
      <c r="AF873" s="40" t="n"/>
    </row>
    <row r="874" ht="13" customHeight="1" s="50">
      <c r="E874" s="40" t="n"/>
      <c r="F874" s="40" t="n"/>
      <c r="G874" s="40" t="n"/>
      <c r="H874" s="41" t="n"/>
      <c r="K874" s="40" t="n"/>
      <c r="L874" s="1" t="n"/>
      <c r="N874" s="40" t="n"/>
      <c r="O874" s="40" t="n"/>
      <c r="Z874" s="40" t="n"/>
      <c r="AA874" s="40" t="n"/>
      <c r="AC874" s="40" t="n"/>
      <c r="AD874" s="40" t="n"/>
      <c r="AE874" s="40" t="n"/>
      <c r="AF874" s="40" t="n"/>
    </row>
    <row r="875" ht="13" customHeight="1" s="50">
      <c r="E875" s="40" t="n"/>
      <c r="F875" s="40" t="n"/>
      <c r="G875" s="40" t="n"/>
      <c r="H875" s="41" t="n"/>
      <c r="K875" s="40" t="n"/>
      <c r="L875" s="1" t="n"/>
      <c r="N875" s="40" t="n"/>
      <c r="O875" s="40" t="n"/>
      <c r="Z875" s="40" t="n"/>
      <c r="AA875" s="40" t="n"/>
      <c r="AC875" s="40" t="n"/>
      <c r="AD875" s="40" t="n"/>
      <c r="AE875" s="40" t="n"/>
      <c r="AF875" s="40" t="n"/>
    </row>
    <row r="876" ht="13" customHeight="1" s="50">
      <c r="E876" s="40" t="n"/>
      <c r="F876" s="40" t="n"/>
      <c r="G876" s="40" t="n"/>
      <c r="H876" s="41" t="n"/>
      <c r="K876" s="40" t="n"/>
      <c r="L876" s="1" t="n"/>
      <c r="N876" s="40" t="n"/>
      <c r="O876" s="40" t="n"/>
      <c r="Z876" s="40" t="n"/>
      <c r="AA876" s="40" t="n"/>
      <c r="AC876" s="40" t="n"/>
      <c r="AD876" s="40" t="n"/>
      <c r="AE876" s="40" t="n"/>
      <c r="AF876" s="40" t="n"/>
    </row>
    <row r="877" ht="13" customHeight="1" s="50">
      <c r="E877" s="40" t="n"/>
      <c r="F877" s="40" t="n"/>
      <c r="G877" s="40" t="n"/>
      <c r="H877" s="41" t="n"/>
      <c r="K877" s="40" t="n"/>
      <c r="L877" s="1" t="n"/>
      <c r="N877" s="40" t="n"/>
      <c r="O877" s="40" t="n"/>
      <c r="Z877" s="40" t="n"/>
      <c r="AA877" s="40" t="n"/>
      <c r="AC877" s="40" t="n"/>
      <c r="AD877" s="40" t="n"/>
      <c r="AE877" s="40" t="n"/>
      <c r="AF877" s="40" t="n"/>
    </row>
    <row r="878" ht="13" customHeight="1" s="50">
      <c r="E878" s="40" t="n"/>
      <c r="F878" s="40" t="n"/>
      <c r="G878" s="40" t="n"/>
      <c r="H878" s="41" t="n"/>
      <c r="K878" s="40" t="n"/>
      <c r="L878" s="1" t="n"/>
      <c r="N878" s="40" t="n"/>
      <c r="O878" s="40" t="n"/>
      <c r="Z878" s="40" t="n"/>
      <c r="AA878" s="40" t="n"/>
      <c r="AC878" s="40" t="n"/>
      <c r="AD878" s="40" t="n"/>
      <c r="AE878" s="40" t="n"/>
      <c r="AF878" s="40" t="n"/>
    </row>
    <row r="879" ht="13" customHeight="1" s="50">
      <c r="E879" s="40" t="n"/>
      <c r="F879" s="40" t="n"/>
      <c r="G879" s="40" t="n"/>
      <c r="H879" s="41" t="n"/>
      <c r="K879" s="40" t="n"/>
      <c r="L879" s="1" t="n"/>
      <c r="N879" s="40" t="n"/>
      <c r="O879" s="40" t="n"/>
      <c r="Z879" s="40" t="n"/>
      <c r="AA879" s="40" t="n"/>
      <c r="AC879" s="40" t="n"/>
      <c r="AD879" s="40" t="n"/>
      <c r="AE879" s="40" t="n"/>
      <c r="AF879" s="40" t="n"/>
    </row>
    <row r="880" ht="13" customHeight="1" s="50">
      <c r="E880" s="40" t="n"/>
      <c r="F880" s="40" t="n"/>
      <c r="G880" s="40" t="n"/>
      <c r="H880" s="41" t="n"/>
      <c r="K880" s="40" t="n"/>
      <c r="L880" s="1" t="n"/>
      <c r="N880" s="40" t="n"/>
      <c r="O880" s="40" t="n"/>
      <c r="Z880" s="40" t="n"/>
      <c r="AA880" s="40" t="n"/>
      <c r="AC880" s="40" t="n"/>
      <c r="AD880" s="40" t="n"/>
      <c r="AE880" s="40" t="n"/>
      <c r="AF880" s="40" t="n"/>
    </row>
    <row r="881" ht="13" customHeight="1" s="50">
      <c r="E881" s="40" t="n"/>
      <c r="F881" s="40" t="n"/>
      <c r="G881" s="40" t="n"/>
      <c r="H881" s="41" t="n"/>
      <c r="K881" s="40" t="n"/>
      <c r="L881" s="1" t="n"/>
      <c r="N881" s="40" t="n"/>
      <c r="O881" s="40" t="n"/>
      <c r="Z881" s="40" t="n"/>
      <c r="AA881" s="40" t="n"/>
      <c r="AC881" s="40" t="n"/>
      <c r="AD881" s="40" t="n"/>
      <c r="AE881" s="40" t="n"/>
      <c r="AF881" s="40" t="n"/>
    </row>
    <row r="882" ht="13" customHeight="1" s="50">
      <c r="E882" s="40" t="n"/>
      <c r="F882" s="40" t="n"/>
      <c r="G882" s="40" t="n"/>
      <c r="H882" s="41" t="n"/>
      <c r="K882" s="40" t="n"/>
      <c r="L882" s="1" t="n"/>
      <c r="N882" s="40" t="n"/>
      <c r="O882" s="40" t="n"/>
      <c r="Z882" s="40" t="n"/>
      <c r="AA882" s="40" t="n"/>
      <c r="AC882" s="40" t="n"/>
      <c r="AD882" s="40" t="n"/>
      <c r="AE882" s="40" t="n"/>
      <c r="AF882" s="40" t="n"/>
    </row>
    <row r="883" ht="13" customHeight="1" s="50">
      <c r="E883" s="40" t="n"/>
      <c r="F883" s="40" t="n"/>
      <c r="G883" s="40" t="n"/>
      <c r="H883" s="41" t="n"/>
      <c r="K883" s="40" t="n"/>
      <c r="L883" s="1" t="n"/>
      <c r="N883" s="40" t="n"/>
      <c r="O883" s="40" t="n"/>
      <c r="Z883" s="40" t="n"/>
      <c r="AA883" s="40" t="n"/>
      <c r="AC883" s="40" t="n"/>
      <c r="AD883" s="40" t="n"/>
      <c r="AE883" s="40" t="n"/>
      <c r="AF883" s="40" t="n"/>
    </row>
    <row r="884" ht="13" customHeight="1" s="50">
      <c r="E884" s="40" t="n"/>
      <c r="F884" s="40" t="n"/>
      <c r="G884" s="40" t="n"/>
      <c r="H884" s="41" t="n"/>
      <c r="K884" s="40" t="n"/>
      <c r="L884" s="1" t="n"/>
      <c r="N884" s="40" t="n"/>
      <c r="O884" s="40" t="n"/>
      <c r="Z884" s="40" t="n"/>
      <c r="AA884" s="40" t="n"/>
      <c r="AC884" s="40" t="n"/>
      <c r="AD884" s="40" t="n"/>
      <c r="AE884" s="40" t="n"/>
      <c r="AF884" s="40" t="n"/>
    </row>
    <row r="885" ht="13" customHeight="1" s="50">
      <c r="E885" s="40" t="n"/>
      <c r="F885" s="40" t="n"/>
      <c r="G885" s="40" t="n"/>
      <c r="H885" s="41" t="n"/>
      <c r="K885" s="40" t="n"/>
      <c r="L885" s="1" t="n"/>
      <c r="N885" s="40" t="n"/>
      <c r="O885" s="40" t="n"/>
      <c r="Z885" s="40" t="n"/>
      <c r="AA885" s="40" t="n"/>
      <c r="AC885" s="40" t="n"/>
      <c r="AD885" s="40" t="n"/>
      <c r="AE885" s="40" t="n"/>
      <c r="AF885" s="40" t="n"/>
    </row>
    <row r="886" ht="13" customHeight="1" s="50">
      <c r="E886" s="40" t="n"/>
      <c r="F886" s="40" t="n"/>
      <c r="G886" s="40" t="n"/>
      <c r="H886" s="41" t="n"/>
      <c r="K886" s="40" t="n"/>
      <c r="L886" s="1" t="n"/>
      <c r="N886" s="40" t="n"/>
      <c r="O886" s="40" t="n"/>
      <c r="Z886" s="40" t="n"/>
      <c r="AA886" s="40" t="n"/>
      <c r="AC886" s="40" t="n"/>
      <c r="AD886" s="40" t="n"/>
      <c r="AE886" s="40" t="n"/>
      <c r="AF886" s="40" t="n"/>
    </row>
    <row r="887" ht="13" customHeight="1" s="50">
      <c r="E887" s="40" t="n"/>
      <c r="F887" s="40" t="n"/>
      <c r="G887" s="40" t="n"/>
      <c r="H887" s="41" t="n"/>
      <c r="K887" s="40" t="n"/>
      <c r="L887" s="1" t="n"/>
      <c r="N887" s="40" t="n"/>
      <c r="O887" s="40" t="n"/>
      <c r="Z887" s="40" t="n"/>
      <c r="AA887" s="40" t="n"/>
      <c r="AC887" s="40" t="n"/>
      <c r="AD887" s="40" t="n"/>
      <c r="AE887" s="40" t="n"/>
      <c r="AF887" s="40" t="n"/>
    </row>
    <row r="888" ht="13" customHeight="1" s="50">
      <c r="E888" s="40" t="n"/>
      <c r="F888" s="40" t="n"/>
      <c r="G888" s="40" t="n"/>
      <c r="H888" s="41" t="n"/>
      <c r="K888" s="40" t="n"/>
      <c r="L888" s="1" t="n"/>
      <c r="N888" s="40" t="n"/>
      <c r="O888" s="40" t="n"/>
      <c r="Z888" s="40" t="n"/>
      <c r="AA888" s="40" t="n"/>
      <c r="AC888" s="40" t="n"/>
      <c r="AD888" s="40" t="n"/>
      <c r="AE888" s="40" t="n"/>
      <c r="AF888" s="40" t="n"/>
    </row>
    <row r="889" ht="13" customHeight="1" s="50">
      <c r="E889" s="40" t="n"/>
      <c r="F889" s="40" t="n"/>
      <c r="G889" s="40" t="n"/>
      <c r="H889" s="41" t="n"/>
      <c r="K889" s="40" t="n"/>
      <c r="L889" s="1" t="n"/>
      <c r="N889" s="40" t="n"/>
      <c r="O889" s="40" t="n"/>
      <c r="Z889" s="40" t="n"/>
      <c r="AA889" s="40" t="n"/>
      <c r="AC889" s="40" t="n"/>
      <c r="AD889" s="40" t="n"/>
      <c r="AE889" s="40" t="n"/>
      <c r="AF889" s="40" t="n"/>
    </row>
    <row r="890" ht="13" customHeight="1" s="50">
      <c r="E890" s="40" t="n"/>
      <c r="F890" s="40" t="n"/>
      <c r="G890" s="40" t="n"/>
      <c r="H890" s="41" t="n"/>
      <c r="K890" s="40" t="n"/>
      <c r="L890" s="1" t="n"/>
      <c r="N890" s="40" t="n"/>
      <c r="O890" s="40" t="n"/>
      <c r="Z890" s="40" t="n"/>
      <c r="AA890" s="40" t="n"/>
      <c r="AC890" s="40" t="n"/>
      <c r="AD890" s="40" t="n"/>
      <c r="AE890" s="40" t="n"/>
      <c r="AF890" s="40" t="n"/>
    </row>
    <row r="891" ht="13" customHeight="1" s="50">
      <c r="E891" s="40" t="n"/>
      <c r="F891" s="40" t="n"/>
      <c r="G891" s="40" t="n"/>
      <c r="H891" s="41" t="n"/>
      <c r="K891" s="40" t="n"/>
      <c r="L891" s="1" t="n"/>
      <c r="N891" s="40" t="n"/>
      <c r="O891" s="40" t="n"/>
      <c r="Z891" s="40" t="n"/>
      <c r="AA891" s="40" t="n"/>
      <c r="AC891" s="40" t="n"/>
      <c r="AD891" s="40" t="n"/>
      <c r="AE891" s="40" t="n"/>
      <c r="AF891" s="40" t="n"/>
    </row>
    <row r="892" ht="13" customHeight="1" s="50">
      <c r="E892" s="40" t="n"/>
      <c r="F892" s="40" t="n"/>
      <c r="G892" s="40" t="n"/>
      <c r="H892" s="41" t="n"/>
      <c r="K892" s="40" t="n"/>
      <c r="L892" s="1" t="n"/>
      <c r="N892" s="40" t="n"/>
      <c r="O892" s="40" t="n"/>
      <c r="Z892" s="40" t="n"/>
      <c r="AA892" s="40" t="n"/>
      <c r="AC892" s="40" t="n"/>
      <c r="AD892" s="40" t="n"/>
      <c r="AE892" s="40" t="n"/>
      <c r="AF892" s="40" t="n"/>
    </row>
    <row r="893" ht="13" customHeight="1" s="50">
      <c r="E893" s="40" t="n"/>
      <c r="F893" s="40" t="n"/>
      <c r="G893" s="40" t="n"/>
      <c r="H893" s="41" t="n"/>
      <c r="K893" s="40" t="n"/>
      <c r="L893" s="1" t="n"/>
      <c r="N893" s="40" t="n"/>
      <c r="O893" s="40" t="n"/>
      <c r="Z893" s="40" t="n"/>
      <c r="AA893" s="40" t="n"/>
      <c r="AC893" s="40" t="n"/>
      <c r="AD893" s="40" t="n"/>
      <c r="AE893" s="40" t="n"/>
      <c r="AF893" s="40" t="n"/>
    </row>
    <row r="894" ht="13" customHeight="1" s="50">
      <c r="E894" s="40" t="n"/>
      <c r="F894" s="40" t="n"/>
      <c r="G894" s="40" t="n"/>
      <c r="H894" s="41" t="n"/>
      <c r="K894" s="40" t="n"/>
      <c r="L894" s="1" t="n"/>
      <c r="N894" s="40" t="n"/>
      <c r="O894" s="40" t="n"/>
      <c r="Z894" s="40" t="n"/>
      <c r="AA894" s="40" t="n"/>
      <c r="AC894" s="40" t="n"/>
      <c r="AD894" s="40" t="n"/>
      <c r="AE894" s="40" t="n"/>
      <c r="AF894" s="40" t="n"/>
    </row>
    <row r="895" ht="13" customHeight="1" s="50">
      <c r="E895" s="40" t="n"/>
      <c r="F895" s="40" t="n"/>
      <c r="G895" s="40" t="n"/>
      <c r="H895" s="41" t="n"/>
      <c r="K895" s="40" t="n"/>
      <c r="L895" s="1" t="n"/>
      <c r="N895" s="40" t="n"/>
      <c r="O895" s="40" t="n"/>
      <c r="Z895" s="40" t="n"/>
      <c r="AA895" s="40" t="n"/>
      <c r="AC895" s="40" t="n"/>
      <c r="AD895" s="40" t="n"/>
      <c r="AE895" s="40" t="n"/>
      <c r="AF895" s="40" t="n"/>
    </row>
    <row r="896" ht="13" customHeight="1" s="50">
      <c r="E896" s="40" t="n"/>
      <c r="F896" s="40" t="n"/>
      <c r="G896" s="40" t="n"/>
      <c r="H896" s="41" t="n"/>
      <c r="K896" s="40" t="n"/>
      <c r="L896" s="1" t="n"/>
      <c r="N896" s="40" t="n"/>
      <c r="O896" s="40" t="n"/>
      <c r="Z896" s="40" t="n"/>
      <c r="AA896" s="40" t="n"/>
      <c r="AC896" s="40" t="n"/>
      <c r="AD896" s="40" t="n"/>
      <c r="AE896" s="40" t="n"/>
      <c r="AF896" s="40" t="n"/>
    </row>
    <row r="897" ht="13" customHeight="1" s="50">
      <c r="E897" s="40" t="n"/>
      <c r="F897" s="40" t="n"/>
      <c r="G897" s="40" t="n"/>
      <c r="H897" s="41" t="n"/>
      <c r="K897" s="40" t="n"/>
      <c r="L897" s="1" t="n"/>
      <c r="N897" s="40" t="n"/>
      <c r="O897" s="40" t="n"/>
      <c r="Z897" s="40" t="n"/>
      <c r="AA897" s="40" t="n"/>
      <c r="AC897" s="40" t="n"/>
      <c r="AD897" s="40" t="n"/>
      <c r="AE897" s="40" t="n"/>
      <c r="AF897" s="40" t="n"/>
    </row>
    <row r="898" ht="13" customHeight="1" s="50">
      <c r="E898" s="40" t="n"/>
      <c r="F898" s="40" t="n"/>
      <c r="G898" s="40" t="n"/>
      <c r="H898" s="41" t="n"/>
      <c r="K898" s="40" t="n"/>
      <c r="L898" s="1" t="n"/>
      <c r="N898" s="40" t="n"/>
      <c r="O898" s="40" t="n"/>
      <c r="Z898" s="40" t="n"/>
      <c r="AA898" s="40" t="n"/>
      <c r="AC898" s="40" t="n"/>
      <c r="AD898" s="40" t="n"/>
      <c r="AE898" s="40" t="n"/>
      <c r="AF898" s="40" t="n"/>
    </row>
    <row r="899" ht="13" customHeight="1" s="50">
      <c r="E899" s="40" t="n"/>
      <c r="F899" s="40" t="n"/>
      <c r="G899" s="40" t="n"/>
      <c r="H899" s="41" t="n"/>
      <c r="K899" s="40" t="n"/>
      <c r="L899" s="1" t="n"/>
      <c r="N899" s="40" t="n"/>
      <c r="O899" s="40" t="n"/>
      <c r="Z899" s="40" t="n"/>
      <c r="AA899" s="40" t="n"/>
      <c r="AC899" s="40" t="n"/>
      <c r="AD899" s="40" t="n"/>
      <c r="AE899" s="40" t="n"/>
      <c r="AF899" s="40" t="n"/>
    </row>
    <row r="900" ht="13" customHeight="1" s="50">
      <c r="E900" s="40" t="n"/>
      <c r="F900" s="40" t="n"/>
      <c r="G900" s="40" t="n"/>
      <c r="H900" s="41" t="n"/>
      <c r="K900" s="40" t="n"/>
      <c r="L900" s="1" t="n"/>
      <c r="N900" s="40" t="n"/>
      <c r="O900" s="40" t="n"/>
      <c r="Z900" s="40" t="n"/>
      <c r="AA900" s="40" t="n"/>
      <c r="AC900" s="40" t="n"/>
      <c r="AD900" s="40" t="n"/>
      <c r="AE900" s="40" t="n"/>
      <c r="AF900" s="40" t="n"/>
    </row>
    <row r="901" ht="13" customHeight="1" s="50">
      <c r="E901" s="40" t="n"/>
      <c r="F901" s="40" t="n"/>
      <c r="G901" s="40" t="n"/>
      <c r="H901" s="41" t="n"/>
      <c r="K901" s="40" t="n"/>
      <c r="L901" s="1" t="n"/>
      <c r="N901" s="40" t="n"/>
      <c r="O901" s="40" t="n"/>
      <c r="Z901" s="40" t="n"/>
      <c r="AA901" s="40" t="n"/>
      <c r="AC901" s="40" t="n"/>
      <c r="AD901" s="40" t="n"/>
      <c r="AE901" s="40" t="n"/>
      <c r="AF901" s="40" t="n"/>
    </row>
    <row r="902" ht="13" customHeight="1" s="50">
      <c r="E902" s="40" t="n"/>
      <c r="F902" s="40" t="n"/>
      <c r="G902" s="40" t="n"/>
      <c r="H902" s="41" t="n"/>
      <c r="K902" s="40" t="n"/>
      <c r="L902" s="1" t="n"/>
      <c r="N902" s="40" t="n"/>
      <c r="O902" s="40" t="n"/>
      <c r="Z902" s="40" t="n"/>
      <c r="AA902" s="40" t="n"/>
      <c r="AC902" s="40" t="n"/>
      <c r="AD902" s="40" t="n"/>
      <c r="AE902" s="40" t="n"/>
      <c r="AF902" s="40" t="n"/>
    </row>
    <row r="903" ht="13" customHeight="1" s="50">
      <c r="E903" s="40" t="n"/>
      <c r="F903" s="40" t="n"/>
      <c r="G903" s="40" t="n"/>
      <c r="H903" s="41" t="n"/>
      <c r="K903" s="40" t="n"/>
      <c r="L903" s="1" t="n"/>
      <c r="N903" s="40" t="n"/>
      <c r="O903" s="40" t="n"/>
      <c r="Z903" s="40" t="n"/>
      <c r="AA903" s="40" t="n"/>
      <c r="AC903" s="40" t="n"/>
      <c r="AD903" s="40" t="n"/>
      <c r="AE903" s="40" t="n"/>
      <c r="AF903" s="40" t="n"/>
    </row>
    <row r="904" ht="13" customHeight="1" s="50">
      <c r="E904" s="40" t="n"/>
      <c r="F904" s="40" t="n"/>
      <c r="G904" s="40" t="n"/>
      <c r="H904" s="41" t="n"/>
      <c r="K904" s="40" t="n"/>
      <c r="L904" s="1" t="n"/>
      <c r="N904" s="40" t="n"/>
      <c r="O904" s="40" t="n"/>
      <c r="Z904" s="40" t="n"/>
      <c r="AA904" s="40" t="n"/>
      <c r="AC904" s="40" t="n"/>
      <c r="AD904" s="40" t="n"/>
      <c r="AE904" s="40" t="n"/>
      <c r="AF904" s="40" t="n"/>
    </row>
    <row r="905" ht="13" customHeight="1" s="50">
      <c r="E905" s="40" t="n"/>
      <c r="F905" s="40" t="n"/>
      <c r="G905" s="40" t="n"/>
      <c r="H905" s="41" t="n"/>
      <c r="K905" s="40" t="n"/>
      <c r="L905" s="1" t="n"/>
      <c r="N905" s="40" t="n"/>
      <c r="O905" s="40" t="n"/>
      <c r="Z905" s="40" t="n"/>
      <c r="AA905" s="40" t="n"/>
      <c r="AC905" s="40" t="n"/>
      <c r="AD905" s="40" t="n"/>
      <c r="AE905" s="40" t="n"/>
      <c r="AF905" s="40" t="n"/>
    </row>
    <row r="906" ht="13" customHeight="1" s="50">
      <c r="E906" s="40" t="n"/>
      <c r="F906" s="40" t="n"/>
      <c r="G906" s="40" t="n"/>
      <c r="H906" s="41" t="n"/>
      <c r="K906" s="40" t="n"/>
      <c r="L906" s="1" t="n"/>
      <c r="N906" s="40" t="n"/>
      <c r="O906" s="40" t="n"/>
      <c r="Z906" s="40" t="n"/>
      <c r="AA906" s="40" t="n"/>
      <c r="AC906" s="40" t="n"/>
      <c r="AD906" s="40" t="n"/>
      <c r="AE906" s="40" t="n"/>
      <c r="AF906" s="40" t="n"/>
    </row>
    <row r="907" ht="13" customHeight="1" s="50">
      <c r="E907" s="40" t="n"/>
      <c r="F907" s="40" t="n"/>
      <c r="G907" s="40" t="n"/>
      <c r="H907" s="41" t="n"/>
      <c r="K907" s="40" t="n"/>
      <c r="L907" s="1" t="n"/>
      <c r="N907" s="40" t="n"/>
      <c r="O907" s="40" t="n"/>
      <c r="Z907" s="40" t="n"/>
      <c r="AA907" s="40" t="n"/>
      <c r="AC907" s="40" t="n"/>
      <c r="AD907" s="40" t="n"/>
      <c r="AE907" s="40" t="n"/>
      <c r="AF907" s="40" t="n"/>
    </row>
    <row r="908" ht="13" customHeight="1" s="50">
      <c r="E908" s="40" t="n"/>
      <c r="F908" s="40" t="n"/>
      <c r="G908" s="40" t="n"/>
      <c r="H908" s="41" t="n"/>
      <c r="K908" s="40" t="n"/>
      <c r="L908" s="1" t="n"/>
      <c r="N908" s="40" t="n"/>
      <c r="O908" s="40" t="n"/>
      <c r="Z908" s="40" t="n"/>
      <c r="AA908" s="40" t="n"/>
      <c r="AC908" s="40" t="n"/>
      <c r="AD908" s="40" t="n"/>
      <c r="AE908" s="40" t="n"/>
      <c r="AF908" s="40" t="n"/>
    </row>
    <row r="909" ht="13" customHeight="1" s="50">
      <c r="E909" s="40" t="n"/>
      <c r="F909" s="40" t="n"/>
      <c r="G909" s="40" t="n"/>
      <c r="H909" s="41" t="n"/>
      <c r="K909" s="40" t="n"/>
      <c r="L909" s="1" t="n"/>
      <c r="N909" s="40" t="n"/>
      <c r="O909" s="40" t="n"/>
      <c r="Z909" s="40" t="n"/>
      <c r="AA909" s="40" t="n"/>
      <c r="AC909" s="40" t="n"/>
      <c r="AD909" s="40" t="n"/>
      <c r="AE909" s="40" t="n"/>
      <c r="AF909" s="40" t="n"/>
    </row>
    <row r="910" ht="13" customHeight="1" s="50">
      <c r="E910" s="40" t="n"/>
      <c r="F910" s="40" t="n"/>
      <c r="G910" s="40" t="n"/>
      <c r="H910" s="41" t="n"/>
      <c r="K910" s="40" t="n"/>
      <c r="L910" s="1" t="n"/>
      <c r="N910" s="40" t="n"/>
      <c r="O910" s="40" t="n"/>
      <c r="Z910" s="40" t="n"/>
      <c r="AA910" s="40" t="n"/>
      <c r="AC910" s="40" t="n"/>
      <c r="AD910" s="40" t="n"/>
      <c r="AE910" s="40" t="n"/>
      <c r="AF910" s="40" t="n"/>
    </row>
    <row r="911" ht="13" customHeight="1" s="50">
      <c r="E911" s="40" t="n"/>
      <c r="F911" s="40" t="n"/>
      <c r="G911" s="40" t="n"/>
      <c r="H911" s="41" t="n"/>
      <c r="K911" s="40" t="n"/>
      <c r="L911" s="1" t="n"/>
      <c r="N911" s="40" t="n"/>
      <c r="O911" s="40" t="n"/>
      <c r="Z911" s="40" t="n"/>
      <c r="AA911" s="40" t="n"/>
      <c r="AC911" s="40" t="n"/>
      <c r="AD911" s="40" t="n"/>
      <c r="AE911" s="40" t="n"/>
      <c r="AF911" s="40" t="n"/>
    </row>
    <row r="912" ht="13" customHeight="1" s="50">
      <c r="E912" s="40" t="n"/>
      <c r="F912" s="40" t="n"/>
      <c r="G912" s="40" t="n"/>
      <c r="H912" s="41" t="n"/>
      <c r="K912" s="40" t="n"/>
      <c r="L912" s="1" t="n"/>
      <c r="N912" s="40" t="n"/>
      <c r="O912" s="40" t="n"/>
      <c r="Z912" s="40" t="n"/>
      <c r="AA912" s="40" t="n"/>
      <c r="AC912" s="40" t="n"/>
      <c r="AD912" s="40" t="n"/>
      <c r="AE912" s="40" t="n"/>
      <c r="AF912" s="40" t="n"/>
    </row>
    <row r="913" ht="13" customHeight="1" s="50">
      <c r="E913" s="40" t="n"/>
      <c r="F913" s="40" t="n"/>
      <c r="G913" s="40" t="n"/>
      <c r="H913" s="41" t="n"/>
      <c r="K913" s="40" t="n"/>
      <c r="L913" s="1" t="n"/>
      <c r="N913" s="40" t="n"/>
      <c r="O913" s="40" t="n"/>
      <c r="Z913" s="40" t="n"/>
      <c r="AA913" s="40" t="n"/>
      <c r="AC913" s="40" t="n"/>
      <c r="AD913" s="40" t="n"/>
      <c r="AE913" s="40" t="n"/>
      <c r="AF913" s="40" t="n"/>
    </row>
    <row r="914" ht="13" customHeight="1" s="50">
      <c r="E914" s="40" t="n"/>
      <c r="F914" s="40" t="n"/>
      <c r="G914" s="40" t="n"/>
      <c r="H914" s="41" t="n"/>
      <c r="K914" s="40" t="n"/>
      <c r="L914" s="1" t="n"/>
      <c r="N914" s="40" t="n"/>
      <c r="O914" s="40" t="n"/>
      <c r="Z914" s="40" t="n"/>
      <c r="AA914" s="40" t="n"/>
      <c r="AC914" s="40" t="n"/>
      <c r="AD914" s="40" t="n"/>
      <c r="AE914" s="40" t="n"/>
      <c r="AF914" s="40" t="n"/>
    </row>
    <row r="915" ht="13" customHeight="1" s="50">
      <c r="E915" s="40" t="n"/>
      <c r="F915" s="40" t="n"/>
      <c r="G915" s="40" t="n"/>
      <c r="H915" s="41" t="n"/>
      <c r="K915" s="40" t="n"/>
      <c r="L915" s="1" t="n"/>
      <c r="N915" s="40" t="n"/>
      <c r="O915" s="40" t="n"/>
      <c r="Z915" s="40" t="n"/>
      <c r="AA915" s="40" t="n"/>
      <c r="AC915" s="40" t="n"/>
      <c r="AD915" s="40" t="n"/>
      <c r="AE915" s="40" t="n"/>
      <c r="AF915" s="40" t="n"/>
    </row>
    <row r="916" ht="13" customHeight="1" s="50">
      <c r="E916" s="40" t="n"/>
      <c r="F916" s="40" t="n"/>
      <c r="G916" s="40" t="n"/>
      <c r="H916" s="41" t="n"/>
      <c r="K916" s="40" t="n"/>
      <c r="L916" s="1" t="n"/>
      <c r="N916" s="40" t="n"/>
      <c r="O916" s="40" t="n"/>
      <c r="Z916" s="40" t="n"/>
      <c r="AA916" s="40" t="n"/>
      <c r="AC916" s="40" t="n"/>
      <c r="AD916" s="40" t="n"/>
      <c r="AE916" s="40" t="n"/>
      <c r="AF916" s="40" t="n"/>
    </row>
    <row r="917" ht="13" customHeight="1" s="50">
      <c r="E917" s="40" t="n"/>
      <c r="F917" s="40" t="n"/>
      <c r="G917" s="40" t="n"/>
      <c r="H917" s="41" t="n"/>
      <c r="K917" s="40" t="n"/>
      <c r="L917" s="1" t="n"/>
      <c r="N917" s="40" t="n"/>
      <c r="O917" s="40" t="n"/>
      <c r="Z917" s="40" t="n"/>
      <c r="AA917" s="40" t="n"/>
      <c r="AC917" s="40" t="n"/>
      <c r="AD917" s="40" t="n"/>
      <c r="AE917" s="40" t="n"/>
      <c r="AF917" s="40" t="n"/>
    </row>
    <row r="918" ht="13" customHeight="1" s="50">
      <c r="E918" s="40" t="n"/>
      <c r="F918" s="40" t="n"/>
      <c r="G918" s="40" t="n"/>
      <c r="H918" s="41" t="n"/>
      <c r="K918" s="40" t="n"/>
      <c r="L918" s="1" t="n"/>
      <c r="N918" s="40" t="n"/>
      <c r="O918" s="40" t="n"/>
      <c r="Z918" s="40" t="n"/>
      <c r="AA918" s="40" t="n"/>
      <c r="AC918" s="40" t="n"/>
      <c r="AD918" s="40" t="n"/>
      <c r="AE918" s="40" t="n"/>
      <c r="AF918" s="40" t="n"/>
    </row>
    <row r="919" ht="13" customHeight="1" s="50">
      <c r="E919" s="40" t="n"/>
      <c r="F919" s="40" t="n"/>
      <c r="G919" s="40" t="n"/>
      <c r="H919" s="41" t="n"/>
      <c r="K919" s="40" t="n"/>
      <c r="L919" s="1" t="n"/>
      <c r="N919" s="40" t="n"/>
      <c r="O919" s="40" t="n"/>
      <c r="Z919" s="40" t="n"/>
      <c r="AA919" s="40" t="n"/>
      <c r="AC919" s="40" t="n"/>
      <c r="AD919" s="40" t="n"/>
      <c r="AE919" s="40" t="n"/>
      <c r="AF919" s="40" t="n"/>
    </row>
    <row r="920" ht="13" customHeight="1" s="50">
      <c r="E920" s="40" t="n"/>
      <c r="F920" s="40" t="n"/>
      <c r="G920" s="40" t="n"/>
      <c r="H920" s="41" t="n"/>
      <c r="K920" s="40" t="n"/>
      <c r="L920" s="1" t="n"/>
      <c r="N920" s="40" t="n"/>
      <c r="O920" s="40" t="n"/>
      <c r="Z920" s="40" t="n"/>
      <c r="AA920" s="40" t="n"/>
      <c r="AC920" s="40" t="n"/>
      <c r="AD920" s="40" t="n"/>
      <c r="AE920" s="40" t="n"/>
      <c r="AF920" s="40" t="n"/>
    </row>
    <row r="921" ht="13" customHeight="1" s="50">
      <c r="E921" s="40" t="n"/>
      <c r="F921" s="40" t="n"/>
      <c r="G921" s="40" t="n"/>
      <c r="H921" s="41" t="n"/>
      <c r="K921" s="40" t="n"/>
      <c r="L921" s="1" t="n"/>
      <c r="N921" s="40" t="n"/>
      <c r="O921" s="40" t="n"/>
      <c r="Z921" s="40" t="n"/>
      <c r="AA921" s="40" t="n"/>
      <c r="AC921" s="40" t="n"/>
      <c r="AD921" s="40" t="n"/>
      <c r="AE921" s="40" t="n"/>
      <c r="AF921" s="40" t="n"/>
    </row>
    <row r="922" ht="13" customHeight="1" s="50">
      <c r="E922" s="40" t="n"/>
      <c r="F922" s="40" t="n"/>
      <c r="G922" s="40" t="n"/>
      <c r="H922" s="41" t="n"/>
      <c r="K922" s="40" t="n"/>
      <c r="L922" s="1" t="n"/>
      <c r="N922" s="40" t="n"/>
      <c r="O922" s="40" t="n"/>
      <c r="Z922" s="40" t="n"/>
      <c r="AA922" s="40" t="n"/>
      <c r="AC922" s="40" t="n"/>
      <c r="AD922" s="40" t="n"/>
      <c r="AE922" s="40" t="n"/>
      <c r="AF922" s="40" t="n"/>
    </row>
    <row r="923" ht="13" customHeight="1" s="50">
      <c r="E923" s="40" t="n"/>
      <c r="F923" s="40" t="n"/>
      <c r="G923" s="40" t="n"/>
      <c r="H923" s="41" t="n"/>
      <c r="K923" s="40" t="n"/>
      <c r="L923" s="1" t="n"/>
      <c r="N923" s="40" t="n"/>
      <c r="O923" s="40" t="n"/>
      <c r="Z923" s="40" t="n"/>
      <c r="AA923" s="40" t="n"/>
      <c r="AC923" s="40" t="n"/>
      <c r="AD923" s="40" t="n"/>
      <c r="AE923" s="40" t="n"/>
      <c r="AF923" s="40" t="n"/>
    </row>
    <row r="924" ht="13" customHeight="1" s="50">
      <c r="E924" s="40" t="n"/>
      <c r="F924" s="40" t="n"/>
      <c r="G924" s="40" t="n"/>
      <c r="H924" s="41" t="n"/>
      <c r="K924" s="40" t="n"/>
      <c r="L924" s="1" t="n"/>
      <c r="N924" s="40" t="n"/>
      <c r="O924" s="40" t="n"/>
      <c r="Z924" s="40" t="n"/>
      <c r="AA924" s="40" t="n"/>
      <c r="AC924" s="40" t="n"/>
      <c r="AD924" s="40" t="n"/>
      <c r="AE924" s="40" t="n"/>
      <c r="AF924" s="40" t="n"/>
    </row>
    <row r="925" ht="13" customHeight="1" s="50">
      <c r="E925" s="40" t="n"/>
      <c r="F925" s="40" t="n"/>
      <c r="G925" s="40" t="n"/>
      <c r="H925" s="41" t="n"/>
      <c r="K925" s="40" t="n"/>
      <c r="L925" s="1" t="n"/>
      <c r="N925" s="40" t="n"/>
      <c r="O925" s="40" t="n"/>
      <c r="Z925" s="40" t="n"/>
      <c r="AA925" s="40" t="n"/>
      <c r="AC925" s="40" t="n"/>
      <c r="AD925" s="40" t="n"/>
      <c r="AE925" s="40" t="n"/>
      <c r="AF925" s="40" t="n"/>
    </row>
    <row r="926" ht="13" customHeight="1" s="50">
      <c r="E926" s="40" t="n"/>
      <c r="F926" s="40" t="n"/>
      <c r="G926" s="40" t="n"/>
      <c r="H926" s="41" t="n"/>
      <c r="K926" s="40" t="n"/>
      <c r="L926" s="1" t="n"/>
      <c r="N926" s="40" t="n"/>
      <c r="O926" s="40" t="n"/>
      <c r="Z926" s="40" t="n"/>
      <c r="AA926" s="40" t="n"/>
      <c r="AC926" s="40" t="n"/>
      <c r="AD926" s="40" t="n"/>
      <c r="AE926" s="40" t="n"/>
      <c r="AF926" s="40" t="n"/>
    </row>
    <row r="927" ht="13" customHeight="1" s="50">
      <c r="E927" s="40" t="n"/>
      <c r="F927" s="40" t="n"/>
      <c r="G927" s="40" t="n"/>
      <c r="H927" s="41" t="n"/>
      <c r="K927" s="40" t="n"/>
      <c r="L927" s="1" t="n"/>
      <c r="N927" s="40" t="n"/>
      <c r="O927" s="40" t="n"/>
      <c r="Z927" s="40" t="n"/>
      <c r="AA927" s="40" t="n"/>
      <c r="AC927" s="40" t="n"/>
      <c r="AD927" s="40" t="n"/>
      <c r="AE927" s="40" t="n"/>
      <c r="AF927" s="40" t="n"/>
    </row>
    <row r="928" ht="13" customHeight="1" s="50">
      <c r="E928" s="40" t="n"/>
      <c r="F928" s="40" t="n"/>
      <c r="G928" s="40" t="n"/>
      <c r="H928" s="41" t="n"/>
      <c r="K928" s="40" t="n"/>
      <c r="L928" s="1" t="n"/>
      <c r="N928" s="40" t="n"/>
      <c r="O928" s="40" t="n"/>
      <c r="Z928" s="40" t="n"/>
      <c r="AA928" s="40" t="n"/>
      <c r="AC928" s="40" t="n"/>
      <c r="AD928" s="40" t="n"/>
      <c r="AE928" s="40" t="n"/>
      <c r="AF928" s="40" t="n"/>
    </row>
    <row r="929" ht="13" customHeight="1" s="50">
      <c r="E929" s="40" t="n"/>
      <c r="F929" s="40" t="n"/>
      <c r="G929" s="40" t="n"/>
      <c r="H929" s="41" t="n"/>
      <c r="K929" s="40" t="n"/>
      <c r="L929" s="1" t="n"/>
      <c r="N929" s="40" t="n"/>
      <c r="O929" s="40" t="n"/>
      <c r="Z929" s="40" t="n"/>
      <c r="AA929" s="40" t="n"/>
      <c r="AC929" s="40" t="n"/>
      <c r="AD929" s="40" t="n"/>
      <c r="AE929" s="40" t="n"/>
      <c r="AF929" s="40" t="n"/>
    </row>
    <row r="930" ht="13" customHeight="1" s="50">
      <c r="E930" s="40" t="n"/>
      <c r="F930" s="40" t="n"/>
      <c r="G930" s="40" t="n"/>
      <c r="H930" s="41" t="n"/>
      <c r="K930" s="40" t="n"/>
      <c r="L930" s="1" t="n"/>
      <c r="N930" s="40" t="n"/>
      <c r="O930" s="40" t="n"/>
      <c r="Z930" s="40" t="n"/>
      <c r="AA930" s="40" t="n"/>
      <c r="AC930" s="40" t="n"/>
      <c r="AD930" s="40" t="n"/>
      <c r="AE930" s="40" t="n"/>
      <c r="AF930" s="40" t="n"/>
    </row>
    <row r="931" ht="13" customHeight="1" s="50">
      <c r="E931" s="40" t="n"/>
      <c r="F931" s="40" t="n"/>
      <c r="G931" s="40" t="n"/>
      <c r="H931" s="41" t="n"/>
      <c r="K931" s="40" t="n"/>
      <c r="L931" s="1" t="n"/>
      <c r="N931" s="40" t="n"/>
      <c r="O931" s="40" t="n"/>
      <c r="Z931" s="40" t="n"/>
      <c r="AA931" s="40" t="n"/>
      <c r="AC931" s="40" t="n"/>
      <c r="AD931" s="40" t="n"/>
      <c r="AE931" s="40" t="n"/>
      <c r="AF931" s="40" t="n"/>
    </row>
    <row r="932" ht="13" customHeight="1" s="50">
      <c r="E932" s="40" t="n"/>
      <c r="F932" s="40" t="n"/>
      <c r="G932" s="40" t="n"/>
      <c r="H932" s="41" t="n"/>
      <c r="K932" s="40" t="n"/>
      <c r="L932" s="1" t="n"/>
      <c r="N932" s="40" t="n"/>
      <c r="O932" s="40" t="n"/>
      <c r="Z932" s="40" t="n"/>
      <c r="AA932" s="40" t="n"/>
      <c r="AC932" s="40" t="n"/>
      <c r="AD932" s="40" t="n"/>
      <c r="AE932" s="40" t="n"/>
      <c r="AF932" s="40" t="n"/>
    </row>
    <row r="933" ht="13" customHeight="1" s="50">
      <c r="E933" s="40" t="n"/>
      <c r="F933" s="40" t="n"/>
      <c r="G933" s="40" t="n"/>
      <c r="H933" s="41" t="n"/>
      <c r="K933" s="40" t="n"/>
      <c r="L933" s="1" t="n"/>
      <c r="N933" s="40" t="n"/>
      <c r="O933" s="40" t="n"/>
      <c r="Z933" s="40" t="n"/>
      <c r="AA933" s="40" t="n"/>
      <c r="AC933" s="40" t="n"/>
      <c r="AD933" s="40" t="n"/>
      <c r="AE933" s="40" t="n"/>
      <c r="AF933" s="40" t="n"/>
    </row>
    <row r="934" ht="13" customHeight="1" s="50">
      <c r="E934" s="40" t="n"/>
      <c r="F934" s="40" t="n"/>
      <c r="G934" s="40" t="n"/>
      <c r="H934" s="41" t="n"/>
      <c r="K934" s="40" t="n"/>
      <c r="L934" s="1" t="n"/>
      <c r="N934" s="40" t="n"/>
      <c r="O934" s="40" t="n"/>
      <c r="Z934" s="40" t="n"/>
      <c r="AA934" s="40" t="n"/>
      <c r="AC934" s="40" t="n"/>
      <c r="AD934" s="40" t="n"/>
      <c r="AE934" s="40" t="n"/>
      <c r="AF934" s="40" t="n"/>
    </row>
    <row r="935" ht="13" customHeight="1" s="50">
      <c r="E935" s="40" t="n"/>
      <c r="F935" s="40" t="n"/>
      <c r="G935" s="40" t="n"/>
      <c r="H935" s="41" t="n"/>
      <c r="K935" s="40" t="n"/>
      <c r="L935" s="1" t="n"/>
      <c r="N935" s="40" t="n"/>
      <c r="O935" s="40" t="n"/>
      <c r="Z935" s="40" t="n"/>
      <c r="AA935" s="40" t="n"/>
      <c r="AC935" s="40" t="n"/>
      <c r="AD935" s="40" t="n"/>
      <c r="AE935" s="40" t="n"/>
      <c r="AF935" s="40" t="n"/>
    </row>
    <row r="936" ht="13" customHeight="1" s="50">
      <c r="E936" s="40" t="n"/>
      <c r="F936" s="40" t="n"/>
      <c r="G936" s="40" t="n"/>
      <c r="H936" s="41" t="n"/>
      <c r="K936" s="40" t="n"/>
      <c r="L936" s="1" t="n"/>
      <c r="N936" s="40" t="n"/>
      <c r="O936" s="40" t="n"/>
      <c r="Z936" s="40" t="n"/>
      <c r="AA936" s="40" t="n"/>
      <c r="AC936" s="40" t="n"/>
      <c r="AD936" s="40" t="n"/>
      <c r="AE936" s="40" t="n"/>
      <c r="AF936" s="40" t="n"/>
    </row>
    <row r="937" ht="13" customHeight="1" s="50">
      <c r="E937" s="40" t="n"/>
      <c r="F937" s="40" t="n"/>
      <c r="G937" s="40" t="n"/>
      <c r="H937" s="41" t="n"/>
      <c r="K937" s="40" t="n"/>
      <c r="L937" s="1" t="n"/>
      <c r="N937" s="40" t="n"/>
      <c r="O937" s="40" t="n"/>
      <c r="Z937" s="40" t="n"/>
      <c r="AA937" s="40" t="n"/>
      <c r="AC937" s="40" t="n"/>
      <c r="AD937" s="40" t="n"/>
      <c r="AE937" s="40" t="n"/>
      <c r="AF937" s="40" t="n"/>
    </row>
    <row r="938" ht="13" customHeight="1" s="50">
      <c r="E938" s="40" t="n"/>
      <c r="F938" s="40" t="n"/>
      <c r="G938" s="40" t="n"/>
      <c r="H938" s="41" t="n"/>
      <c r="K938" s="40" t="n"/>
      <c r="L938" s="1" t="n"/>
      <c r="N938" s="40" t="n"/>
      <c r="O938" s="40" t="n"/>
      <c r="Z938" s="40" t="n"/>
      <c r="AA938" s="40" t="n"/>
      <c r="AC938" s="40" t="n"/>
      <c r="AD938" s="40" t="n"/>
      <c r="AE938" s="40" t="n"/>
      <c r="AF938" s="40" t="n"/>
    </row>
    <row r="939" ht="13" customHeight="1" s="50">
      <c r="E939" s="40" t="n"/>
      <c r="F939" s="40" t="n"/>
      <c r="G939" s="40" t="n"/>
      <c r="H939" s="41" t="n"/>
      <c r="K939" s="40" t="n"/>
      <c r="L939" s="1" t="n"/>
      <c r="N939" s="40" t="n"/>
      <c r="O939" s="40" t="n"/>
      <c r="Z939" s="40" t="n"/>
      <c r="AA939" s="40" t="n"/>
      <c r="AC939" s="40" t="n"/>
      <c r="AD939" s="40" t="n"/>
      <c r="AE939" s="40" t="n"/>
      <c r="AF939" s="40" t="n"/>
    </row>
    <row r="940" ht="13" customHeight="1" s="50">
      <c r="E940" s="40" t="n"/>
      <c r="F940" s="40" t="n"/>
      <c r="G940" s="40" t="n"/>
      <c r="H940" s="41" t="n"/>
      <c r="K940" s="40" t="n"/>
      <c r="L940" s="1" t="n"/>
      <c r="N940" s="40" t="n"/>
      <c r="O940" s="40" t="n"/>
      <c r="Z940" s="40" t="n"/>
      <c r="AA940" s="40" t="n"/>
      <c r="AC940" s="40" t="n"/>
      <c r="AD940" s="40" t="n"/>
      <c r="AE940" s="40" t="n"/>
      <c r="AF940" s="40" t="n"/>
    </row>
    <row r="941" ht="13" customHeight="1" s="50">
      <c r="E941" s="40" t="n"/>
      <c r="F941" s="40" t="n"/>
      <c r="G941" s="40" t="n"/>
      <c r="H941" s="41" t="n"/>
      <c r="K941" s="40" t="n"/>
      <c r="L941" s="1" t="n"/>
      <c r="N941" s="40" t="n"/>
      <c r="O941" s="40" t="n"/>
      <c r="Z941" s="40" t="n"/>
      <c r="AA941" s="40" t="n"/>
      <c r="AC941" s="40" t="n"/>
      <c r="AD941" s="40" t="n"/>
      <c r="AE941" s="40" t="n"/>
      <c r="AF941" s="40" t="n"/>
    </row>
    <row r="942" ht="13" customHeight="1" s="50">
      <c r="E942" s="40" t="n"/>
      <c r="F942" s="40" t="n"/>
      <c r="G942" s="40" t="n"/>
      <c r="H942" s="41" t="n"/>
      <c r="K942" s="40" t="n"/>
      <c r="L942" s="1" t="n"/>
      <c r="N942" s="40" t="n"/>
      <c r="O942" s="40" t="n"/>
      <c r="Z942" s="40" t="n"/>
      <c r="AA942" s="40" t="n"/>
      <c r="AC942" s="40" t="n"/>
      <c r="AD942" s="40" t="n"/>
      <c r="AE942" s="40" t="n"/>
      <c r="AF942" s="40" t="n"/>
    </row>
    <row r="943" ht="13" customHeight="1" s="50">
      <c r="E943" s="40" t="n"/>
      <c r="F943" s="40" t="n"/>
      <c r="G943" s="40" t="n"/>
      <c r="H943" s="41" t="n"/>
      <c r="K943" s="40" t="n"/>
      <c r="L943" s="1" t="n"/>
      <c r="N943" s="40" t="n"/>
      <c r="O943" s="40" t="n"/>
      <c r="Z943" s="40" t="n"/>
      <c r="AA943" s="40" t="n"/>
      <c r="AC943" s="40" t="n"/>
      <c r="AD943" s="40" t="n"/>
      <c r="AE943" s="40" t="n"/>
      <c r="AF943" s="40" t="n"/>
    </row>
    <row r="944" ht="13" customHeight="1" s="50">
      <c r="E944" s="40" t="n"/>
      <c r="F944" s="40" t="n"/>
      <c r="G944" s="40" t="n"/>
      <c r="H944" s="41" t="n"/>
      <c r="K944" s="40" t="n"/>
      <c r="L944" s="1" t="n"/>
      <c r="N944" s="40" t="n"/>
      <c r="O944" s="40" t="n"/>
      <c r="Z944" s="40" t="n"/>
      <c r="AA944" s="40" t="n"/>
      <c r="AC944" s="40" t="n"/>
      <c r="AD944" s="40" t="n"/>
      <c r="AE944" s="40" t="n"/>
      <c r="AF944" s="40" t="n"/>
    </row>
    <row r="945" ht="13" customHeight="1" s="50">
      <c r="E945" s="40" t="n"/>
      <c r="F945" s="40" t="n"/>
      <c r="G945" s="40" t="n"/>
      <c r="H945" s="41" t="n"/>
      <c r="K945" s="40" t="n"/>
      <c r="L945" s="1" t="n"/>
      <c r="N945" s="40" t="n"/>
      <c r="O945" s="40" t="n"/>
      <c r="Z945" s="40" t="n"/>
      <c r="AA945" s="40" t="n"/>
      <c r="AC945" s="40" t="n"/>
      <c r="AD945" s="40" t="n"/>
      <c r="AE945" s="40" t="n"/>
      <c r="AF945" s="40" t="n"/>
    </row>
    <row r="946" ht="13" customHeight="1" s="50">
      <c r="E946" s="40" t="n"/>
      <c r="F946" s="40" t="n"/>
      <c r="G946" s="40" t="n"/>
      <c r="H946" s="41" t="n"/>
      <c r="K946" s="40" t="n"/>
      <c r="L946" s="1" t="n"/>
      <c r="N946" s="40" t="n"/>
      <c r="O946" s="40" t="n"/>
      <c r="Z946" s="40" t="n"/>
      <c r="AA946" s="40" t="n"/>
      <c r="AC946" s="40" t="n"/>
      <c r="AD946" s="40" t="n"/>
      <c r="AE946" s="40" t="n"/>
      <c r="AF946" s="40" t="n"/>
    </row>
    <row r="947" ht="13" customHeight="1" s="50">
      <c r="E947" s="40" t="n"/>
      <c r="F947" s="40" t="n"/>
      <c r="G947" s="40" t="n"/>
      <c r="H947" s="41" t="n"/>
      <c r="K947" s="40" t="n"/>
      <c r="L947" s="1" t="n"/>
      <c r="N947" s="40" t="n"/>
      <c r="O947" s="40" t="n"/>
      <c r="Z947" s="40" t="n"/>
      <c r="AA947" s="40" t="n"/>
      <c r="AC947" s="40" t="n"/>
      <c r="AD947" s="40" t="n"/>
      <c r="AE947" s="40" t="n"/>
      <c r="AF947" s="40" t="n"/>
    </row>
    <row r="948" ht="13" customHeight="1" s="50">
      <c r="E948" s="40" t="n"/>
      <c r="F948" s="40" t="n"/>
      <c r="G948" s="40" t="n"/>
      <c r="H948" s="41" t="n"/>
      <c r="K948" s="40" t="n"/>
      <c r="L948" s="1" t="n"/>
      <c r="N948" s="40" t="n"/>
      <c r="O948" s="40" t="n"/>
      <c r="Z948" s="40" t="n"/>
      <c r="AA948" s="40" t="n"/>
      <c r="AC948" s="40" t="n"/>
      <c r="AD948" s="40" t="n"/>
      <c r="AE948" s="40" t="n"/>
      <c r="AF948" s="40" t="n"/>
    </row>
    <row r="949" ht="13" customHeight="1" s="50">
      <c r="E949" s="40" t="n"/>
      <c r="F949" s="40" t="n"/>
      <c r="G949" s="40" t="n"/>
      <c r="H949" s="41" t="n"/>
      <c r="K949" s="40" t="n"/>
      <c r="L949" s="1" t="n"/>
      <c r="N949" s="40" t="n"/>
      <c r="O949" s="40" t="n"/>
      <c r="Z949" s="40" t="n"/>
      <c r="AA949" s="40" t="n"/>
      <c r="AC949" s="40" t="n"/>
      <c r="AD949" s="40" t="n"/>
      <c r="AE949" s="40" t="n"/>
      <c r="AF949" s="40" t="n"/>
    </row>
    <row r="950" ht="13" customHeight="1" s="50">
      <c r="E950" s="40" t="n"/>
      <c r="F950" s="40" t="n"/>
      <c r="G950" s="40" t="n"/>
      <c r="H950" s="41" t="n"/>
      <c r="K950" s="40" t="n"/>
      <c r="L950" s="1" t="n"/>
      <c r="N950" s="40" t="n"/>
      <c r="O950" s="40" t="n"/>
      <c r="Z950" s="40" t="n"/>
      <c r="AA950" s="40" t="n"/>
      <c r="AC950" s="40" t="n"/>
      <c r="AD950" s="40" t="n"/>
      <c r="AE950" s="40" t="n"/>
      <c r="AF950" s="40" t="n"/>
    </row>
    <row r="951" ht="13" customHeight="1" s="50">
      <c r="E951" s="40" t="n"/>
      <c r="F951" s="40" t="n"/>
      <c r="G951" s="40" t="n"/>
      <c r="H951" s="41" t="n"/>
      <c r="K951" s="40" t="n"/>
      <c r="L951" s="1" t="n"/>
      <c r="N951" s="40" t="n"/>
      <c r="O951" s="40" t="n"/>
      <c r="Z951" s="40" t="n"/>
      <c r="AA951" s="40" t="n"/>
      <c r="AC951" s="40" t="n"/>
      <c r="AD951" s="40" t="n"/>
      <c r="AE951" s="40" t="n"/>
      <c r="AF951" s="40" t="n"/>
    </row>
    <row r="952" ht="13" customHeight="1" s="50">
      <c r="E952" s="40" t="n"/>
      <c r="F952" s="40" t="n"/>
      <c r="G952" s="40" t="n"/>
      <c r="H952" s="41" t="n"/>
      <c r="K952" s="40" t="n"/>
      <c r="L952" s="1" t="n"/>
      <c r="N952" s="40" t="n"/>
      <c r="O952" s="40" t="n"/>
      <c r="Z952" s="40" t="n"/>
      <c r="AA952" s="40" t="n"/>
      <c r="AC952" s="40" t="n"/>
      <c r="AD952" s="40" t="n"/>
      <c r="AE952" s="40" t="n"/>
      <c r="AF952" s="40" t="n"/>
    </row>
    <row r="953" ht="13" customHeight="1" s="50">
      <c r="E953" s="40" t="n"/>
      <c r="F953" s="40" t="n"/>
      <c r="G953" s="40" t="n"/>
      <c r="H953" s="41" t="n"/>
      <c r="K953" s="40" t="n"/>
      <c r="L953" s="1" t="n"/>
      <c r="N953" s="40" t="n"/>
      <c r="O953" s="40" t="n"/>
      <c r="Z953" s="40" t="n"/>
      <c r="AA953" s="40" t="n"/>
      <c r="AC953" s="40" t="n"/>
      <c r="AD953" s="40" t="n"/>
      <c r="AE953" s="40" t="n"/>
      <c r="AF953" s="40" t="n"/>
    </row>
    <row r="954" ht="13" customHeight="1" s="50">
      <c r="E954" s="40" t="n"/>
      <c r="F954" s="40" t="n"/>
      <c r="G954" s="40" t="n"/>
      <c r="H954" s="41" t="n"/>
      <c r="K954" s="40" t="n"/>
      <c r="L954" s="1" t="n"/>
      <c r="N954" s="40" t="n"/>
      <c r="O954" s="40" t="n"/>
      <c r="Z954" s="40" t="n"/>
      <c r="AA954" s="40" t="n"/>
      <c r="AC954" s="40" t="n"/>
      <c r="AD954" s="40" t="n"/>
      <c r="AE954" s="40" t="n"/>
      <c r="AF954" s="40" t="n"/>
    </row>
    <row r="955" ht="13" customHeight="1" s="50">
      <c r="E955" s="40" t="n"/>
      <c r="F955" s="40" t="n"/>
      <c r="G955" s="40" t="n"/>
      <c r="H955" s="41" t="n"/>
      <c r="K955" s="40" t="n"/>
      <c r="L955" s="1" t="n"/>
      <c r="N955" s="40" t="n"/>
      <c r="O955" s="40" t="n"/>
      <c r="Z955" s="40" t="n"/>
      <c r="AA955" s="40" t="n"/>
      <c r="AC955" s="40" t="n"/>
      <c r="AD955" s="40" t="n"/>
      <c r="AE955" s="40" t="n"/>
      <c r="AF955" s="40" t="n"/>
    </row>
    <row r="956" ht="13" customHeight="1" s="50">
      <c r="E956" s="40" t="n"/>
      <c r="F956" s="40" t="n"/>
      <c r="G956" s="40" t="n"/>
      <c r="H956" s="41" t="n"/>
      <c r="K956" s="40" t="n"/>
      <c r="L956" s="1" t="n"/>
      <c r="N956" s="40" t="n"/>
      <c r="O956" s="40" t="n"/>
      <c r="Z956" s="40" t="n"/>
      <c r="AA956" s="40" t="n"/>
      <c r="AC956" s="40" t="n"/>
      <c r="AD956" s="40" t="n"/>
      <c r="AE956" s="40" t="n"/>
      <c r="AF956" s="40" t="n"/>
    </row>
    <row r="957" ht="13" customHeight="1" s="50">
      <c r="E957" s="40" t="n"/>
      <c r="F957" s="40" t="n"/>
      <c r="G957" s="40" t="n"/>
      <c r="H957" s="41" t="n"/>
      <c r="K957" s="40" t="n"/>
      <c r="L957" s="1" t="n"/>
      <c r="N957" s="40" t="n"/>
      <c r="O957" s="40" t="n"/>
      <c r="Z957" s="40" t="n"/>
      <c r="AA957" s="40" t="n"/>
      <c r="AC957" s="40" t="n"/>
      <c r="AD957" s="40" t="n"/>
      <c r="AE957" s="40" t="n"/>
      <c r="AF957" s="40" t="n"/>
    </row>
    <row r="958" ht="13" customHeight="1" s="50">
      <c r="E958" s="40" t="n"/>
      <c r="F958" s="40" t="n"/>
      <c r="G958" s="40" t="n"/>
      <c r="H958" s="41" t="n"/>
      <c r="K958" s="40" t="n"/>
      <c r="L958" s="1" t="n"/>
      <c r="N958" s="40" t="n"/>
      <c r="O958" s="40" t="n"/>
      <c r="Z958" s="40" t="n"/>
      <c r="AA958" s="40" t="n"/>
      <c r="AC958" s="40" t="n"/>
      <c r="AD958" s="40" t="n"/>
      <c r="AE958" s="40" t="n"/>
      <c r="AF958" s="40" t="n"/>
    </row>
    <row r="959" ht="13" customHeight="1" s="50">
      <c r="E959" s="40" t="n"/>
      <c r="F959" s="40" t="n"/>
      <c r="G959" s="40" t="n"/>
      <c r="H959" s="41" t="n"/>
      <c r="K959" s="40" t="n"/>
      <c r="L959" s="1" t="n"/>
      <c r="N959" s="40" t="n"/>
      <c r="O959" s="40" t="n"/>
      <c r="Z959" s="40" t="n"/>
      <c r="AA959" s="40" t="n"/>
      <c r="AC959" s="40" t="n"/>
      <c r="AD959" s="40" t="n"/>
      <c r="AE959" s="40" t="n"/>
      <c r="AF959" s="40" t="n"/>
    </row>
    <row r="960" ht="13" customHeight="1" s="50">
      <c r="E960" s="40" t="n"/>
      <c r="F960" s="40" t="n"/>
      <c r="G960" s="40" t="n"/>
      <c r="H960" s="41" t="n"/>
      <c r="K960" s="40" t="n"/>
      <c r="L960" s="1" t="n"/>
      <c r="N960" s="40" t="n"/>
      <c r="O960" s="40" t="n"/>
      <c r="Z960" s="40" t="n"/>
      <c r="AA960" s="40" t="n"/>
      <c r="AC960" s="40" t="n"/>
      <c r="AD960" s="40" t="n"/>
      <c r="AE960" s="40" t="n"/>
      <c r="AF960" s="40" t="n"/>
    </row>
    <row r="961" ht="13" customHeight="1" s="50">
      <c r="E961" s="40" t="n"/>
      <c r="F961" s="40" t="n"/>
      <c r="G961" s="40" t="n"/>
      <c r="H961" s="41" t="n"/>
      <c r="K961" s="40" t="n"/>
      <c r="L961" s="1" t="n"/>
      <c r="N961" s="40" t="n"/>
      <c r="O961" s="40" t="n"/>
      <c r="Z961" s="40" t="n"/>
      <c r="AA961" s="40" t="n"/>
      <c r="AC961" s="40" t="n"/>
      <c r="AD961" s="40" t="n"/>
      <c r="AE961" s="40" t="n"/>
      <c r="AF961" s="40" t="n"/>
    </row>
    <row r="962" ht="13" customHeight="1" s="50">
      <c r="E962" s="40" t="n"/>
      <c r="F962" s="40" t="n"/>
      <c r="G962" s="40" t="n"/>
      <c r="H962" s="41" t="n"/>
      <c r="K962" s="40" t="n"/>
      <c r="L962" s="1" t="n"/>
      <c r="N962" s="40" t="n"/>
      <c r="O962" s="40" t="n"/>
      <c r="Z962" s="40" t="n"/>
      <c r="AA962" s="40" t="n"/>
      <c r="AC962" s="40" t="n"/>
      <c r="AD962" s="40" t="n"/>
      <c r="AE962" s="40" t="n"/>
      <c r="AF962" s="40" t="n"/>
    </row>
    <row r="963" ht="13" customHeight="1" s="50">
      <c r="E963" s="40" t="n"/>
      <c r="F963" s="40" t="n"/>
      <c r="G963" s="40" t="n"/>
      <c r="H963" s="41" t="n"/>
      <c r="K963" s="40" t="n"/>
      <c r="L963" s="1" t="n"/>
      <c r="N963" s="40" t="n"/>
      <c r="O963" s="40" t="n"/>
      <c r="Z963" s="40" t="n"/>
      <c r="AA963" s="40" t="n"/>
      <c r="AC963" s="40" t="n"/>
      <c r="AD963" s="40" t="n"/>
      <c r="AE963" s="40" t="n"/>
      <c r="AF963" s="40" t="n"/>
    </row>
    <row r="964" ht="13" customHeight="1" s="50">
      <c r="E964" s="40" t="n"/>
      <c r="F964" s="40" t="n"/>
      <c r="G964" s="40" t="n"/>
      <c r="H964" s="41" t="n"/>
      <c r="K964" s="40" t="n"/>
      <c r="L964" s="1" t="n"/>
      <c r="N964" s="40" t="n"/>
      <c r="O964" s="40" t="n"/>
      <c r="Z964" s="40" t="n"/>
      <c r="AA964" s="40" t="n"/>
      <c r="AC964" s="40" t="n"/>
      <c r="AD964" s="40" t="n"/>
      <c r="AE964" s="40" t="n"/>
      <c r="AF964" s="40" t="n"/>
    </row>
    <row r="965" ht="13" customHeight="1" s="50">
      <c r="E965" s="40" t="n"/>
      <c r="F965" s="40" t="n"/>
      <c r="G965" s="40" t="n"/>
      <c r="H965" s="41" t="n"/>
      <c r="K965" s="40" t="n"/>
      <c r="L965" s="1" t="n"/>
      <c r="N965" s="40" t="n"/>
      <c r="O965" s="40" t="n"/>
      <c r="Z965" s="40" t="n"/>
      <c r="AA965" s="40" t="n"/>
      <c r="AC965" s="40" t="n"/>
      <c r="AD965" s="40" t="n"/>
      <c r="AE965" s="40" t="n"/>
      <c r="AF965" s="40" t="n"/>
    </row>
    <row r="966" ht="13" customHeight="1" s="50">
      <c r="E966" s="40" t="n"/>
      <c r="F966" s="40" t="n"/>
      <c r="G966" s="40" t="n"/>
      <c r="H966" s="41" t="n"/>
      <c r="K966" s="40" t="n"/>
      <c r="L966" s="1" t="n"/>
      <c r="N966" s="40" t="n"/>
      <c r="O966" s="40" t="n"/>
      <c r="Z966" s="40" t="n"/>
      <c r="AA966" s="40" t="n"/>
      <c r="AC966" s="40" t="n"/>
      <c r="AD966" s="40" t="n"/>
      <c r="AE966" s="40" t="n"/>
      <c r="AF966" s="40" t="n"/>
    </row>
    <row r="967" ht="13" customHeight="1" s="50">
      <c r="E967" s="40" t="n"/>
      <c r="F967" s="40" t="n"/>
      <c r="G967" s="40" t="n"/>
      <c r="H967" s="41" t="n"/>
      <c r="K967" s="40" t="n"/>
      <c r="L967" s="1" t="n"/>
      <c r="N967" s="40" t="n"/>
      <c r="O967" s="40" t="n"/>
      <c r="Z967" s="40" t="n"/>
      <c r="AA967" s="40" t="n"/>
      <c r="AC967" s="40" t="n"/>
      <c r="AD967" s="40" t="n"/>
      <c r="AE967" s="40" t="n"/>
      <c r="AF967" s="40" t="n"/>
    </row>
    <row r="968" ht="13" customHeight="1" s="50">
      <c r="E968" s="40" t="n"/>
      <c r="F968" s="40" t="n"/>
      <c r="G968" s="40" t="n"/>
      <c r="H968" s="41" t="n"/>
      <c r="K968" s="40" t="n"/>
      <c r="L968" s="1" t="n"/>
      <c r="N968" s="40" t="n"/>
      <c r="O968" s="40" t="n"/>
      <c r="Z968" s="40" t="n"/>
      <c r="AA968" s="40" t="n"/>
      <c r="AC968" s="40" t="n"/>
      <c r="AD968" s="40" t="n"/>
      <c r="AE968" s="40" t="n"/>
      <c r="AF968" s="40" t="n"/>
    </row>
    <row r="969" ht="13" customHeight="1" s="50">
      <c r="E969" s="40" t="n"/>
      <c r="F969" s="40" t="n"/>
      <c r="G969" s="40" t="n"/>
      <c r="H969" s="41" t="n"/>
      <c r="K969" s="40" t="n"/>
      <c r="L969" s="1" t="n"/>
      <c r="N969" s="40" t="n"/>
      <c r="O969" s="40" t="n"/>
      <c r="Z969" s="40" t="n"/>
      <c r="AA969" s="40" t="n"/>
      <c r="AC969" s="40" t="n"/>
      <c r="AD969" s="40" t="n"/>
      <c r="AE969" s="40" t="n"/>
      <c r="AF969" s="40" t="n"/>
    </row>
    <row r="970" ht="13" customHeight="1" s="50">
      <c r="E970" s="40" t="n"/>
      <c r="F970" s="40" t="n"/>
      <c r="G970" s="40" t="n"/>
      <c r="H970" s="41" t="n"/>
      <c r="K970" s="40" t="n"/>
      <c r="L970" s="1" t="n"/>
      <c r="N970" s="40" t="n"/>
      <c r="O970" s="40" t="n"/>
      <c r="Z970" s="40" t="n"/>
      <c r="AA970" s="40" t="n"/>
      <c r="AC970" s="40" t="n"/>
      <c r="AD970" s="40" t="n"/>
      <c r="AE970" s="40" t="n"/>
      <c r="AF970" s="40" t="n"/>
    </row>
    <row r="971" ht="13" customHeight="1" s="50">
      <c r="E971" s="40" t="n"/>
      <c r="F971" s="40" t="n"/>
      <c r="G971" s="40" t="n"/>
      <c r="H971" s="41" t="n"/>
      <c r="K971" s="40" t="n"/>
      <c r="L971" s="1" t="n"/>
      <c r="N971" s="40" t="n"/>
      <c r="O971" s="40" t="n"/>
      <c r="Z971" s="40" t="n"/>
      <c r="AA971" s="40" t="n"/>
      <c r="AC971" s="40" t="n"/>
      <c r="AD971" s="40" t="n"/>
      <c r="AE971" s="40" t="n"/>
      <c r="AF971" s="40" t="n"/>
    </row>
    <row r="972" ht="13" customHeight="1" s="50">
      <c r="E972" s="40" t="n"/>
      <c r="F972" s="40" t="n"/>
      <c r="G972" s="40" t="n"/>
      <c r="H972" s="41" t="n"/>
      <c r="K972" s="40" t="n"/>
      <c r="L972" s="1" t="n"/>
      <c r="N972" s="40" t="n"/>
      <c r="O972" s="40" t="n"/>
      <c r="Z972" s="40" t="n"/>
      <c r="AA972" s="40" t="n"/>
      <c r="AC972" s="40" t="n"/>
      <c r="AD972" s="40" t="n"/>
      <c r="AE972" s="40" t="n"/>
      <c r="AF972" s="40" t="n"/>
    </row>
    <row r="973" ht="13" customHeight="1" s="50">
      <c r="E973" s="40" t="n"/>
      <c r="F973" s="40" t="n"/>
      <c r="G973" s="40" t="n"/>
      <c r="H973" s="41" t="n"/>
      <c r="K973" s="40" t="n"/>
      <c r="L973" s="1" t="n"/>
      <c r="N973" s="40" t="n"/>
      <c r="O973" s="40" t="n"/>
      <c r="Z973" s="40" t="n"/>
      <c r="AA973" s="40" t="n"/>
      <c r="AC973" s="40" t="n"/>
      <c r="AD973" s="40" t="n"/>
      <c r="AE973" s="40" t="n"/>
      <c r="AF973" s="40" t="n"/>
    </row>
    <row r="974" ht="13" customHeight="1" s="50">
      <c r="E974" s="40" t="n"/>
      <c r="F974" s="40" t="n"/>
      <c r="G974" s="40" t="n"/>
      <c r="H974" s="41" t="n"/>
      <c r="K974" s="40" t="n"/>
      <c r="L974" s="1" t="n"/>
      <c r="N974" s="40" t="n"/>
      <c r="O974" s="40" t="n"/>
      <c r="Z974" s="40" t="n"/>
      <c r="AA974" s="40" t="n"/>
      <c r="AC974" s="40" t="n"/>
      <c r="AD974" s="40" t="n"/>
      <c r="AE974" s="40" t="n"/>
      <c r="AF974" s="40" t="n"/>
    </row>
    <row r="975" ht="13" customHeight="1" s="50">
      <c r="E975" s="40" t="n"/>
      <c r="F975" s="40" t="n"/>
      <c r="G975" s="40" t="n"/>
      <c r="H975" s="41" t="n"/>
      <c r="K975" s="40" t="n"/>
      <c r="L975" s="1" t="n"/>
      <c r="N975" s="40" t="n"/>
      <c r="O975" s="40" t="n"/>
      <c r="Z975" s="40" t="n"/>
      <c r="AA975" s="40" t="n"/>
      <c r="AC975" s="40" t="n"/>
      <c r="AD975" s="40" t="n"/>
      <c r="AE975" s="40" t="n"/>
      <c r="AF975" s="40" t="n"/>
    </row>
    <row r="976" ht="13" customHeight="1" s="50">
      <c r="E976" s="40" t="n"/>
      <c r="F976" s="40" t="n"/>
      <c r="G976" s="40" t="n"/>
      <c r="H976" s="41" t="n"/>
      <c r="K976" s="40" t="n"/>
      <c r="L976" s="1" t="n"/>
      <c r="N976" s="40" t="n"/>
      <c r="O976" s="40" t="n"/>
      <c r="Z976" s="40" t="n"/>
      <c r="AA976" s="40" t="n"/>
      <c r="AC976" s="40" t="n"/>
      <c r="AD976" s="40" t="n"/>
      <c r="AE976" s="40" t="n"/>
      <c r="AF976" s="40" t="n"/>
    </row>
    <row r="977" ht="13" customHeight="1" s="50">
      <c r="E977" s="40" t="n"/>
      <c r="F977" s="40" t="n"/>
      <c r="G977" s="40" t="n"/>
      <c r="H977" s="41" t="n"/>
      <c r="K977" s="40" t="n"/>
      <c r="L977" s="1" t="n"/>
      <c r="N977" s="40" t="n"/>
      <c r="O977" s="40" t="n"/>
      <c r="Z977" s="40" t="n"/>
      <c r="AA977" s="40" t="n"/>
      <c r="AC977" s="40" t="n"/>
      <c r="AD977" s="40" t="n"/>
      <c r="AE977" s="40" t="n"/>
      <c r="AF977" s="40" t="n"/>
    </row>
    <row r="978" ht="13" customHeight="1" s="50">
      <c r="E978" s="40" t="n"/>
      <c r="F978" s="40" t="n"/>
      <c r="G978" s="40" t="n"/>
      <c r="H978" s="41" t="n"/>
      <c r="K978" s="40" t="n"/>
      <c r="L978" s="1" t="n"/>
      <c r="N978" s="40" t="n"/>
      <c r="O978" s="40" t="n"/>
      <c r="Z978" s="40" t="n"/>
      <c r="AA978" s="40" t="n"/>
      <c r="AC978" s="40" t="n"/>
      <c r="AD978" s="40" t="n"/>
      <c r="AE978" s="40" t="n"/>
      <c r="AF978" s="40" t="n"/>
    </row>
    <row r="979" ht="13" customHeight="1" s="50">
      <c r="E979" s="40" t="n"/>
      <c r="F979" s="40" t="n"/>
      <c r="G979" s="40" t="n"/>
      <c r="H979" s="41" t="n"/>
      <c r="K979" s="40" t="n"/>
      <c r="L979" s="1" t="n"/>
      <c r="N979" s="40" t="n"/>
      <c r="O979" s="40" t="n"/>
      <c r="Z979" s="40" t="n"/>
      <c r="AA979" s="40" t="n"/>
      <c r="AC979" s="40" t="n"/>
      <c r="AD979" s="40" t="n"/>
      <c r="AE979" s="40" t="n"/>
      <c r="AF979" s="40" t="n"/>
    </row>
    <row r="980" ht="13" customHeight="1" s="50">
      <c r="E980" s="40" t="n"/>
      <c r="F980" s="40" t="n"/>
      <c r="G980" s="40" t="n"/>
      <c r="H980" s="41" t="n"/>
      <c r="K980" s="40" t="n"/>
      <c r="L980" s="1" t="n"/>
      <c r="N980" s="40" t="n"/>
      <c r="O980" s="40" t="n"/>
      <c r="Z980" s="40" t="n"/>
      <c r="AA980" s="40" t="n"/>
      <c r="AC980" s="40" t="n"/>
      <c r="AD980" s="40" t="n"/>
      <c r="AE980" s="40" t="n"/>
      <c r="AF980" s="40" t="n"/>
    </row>
    <row r="981" ht="13" customHeight="1" s="50">
      <c r="E981" s="40" t="n"/>
      <c r="F981" s="40" t="n"/>
      <c r="G981" s="40" t="n"/>
      <c r="H981" s="41" t="n"/>
      <c r="K981" s="40" t="n"/>
      <c r="L981" s="1" t="n"/>
      <c r="N981" s="40" t="n"/>
      <c r="O981" s="40" t="n"/>
      <c r="Z981" s="40" t="n"/>
      <c r="AA981" s="40" t="n"/>
      <c r="AC981" s="40" t="n"/>
      <c r="AD981" s="40" t="n"/>
      <c r="AE981" s="40" t="n"/>
      <c r="AF981" s="40" t="n"/>
    </row>
    <row r="982" ht="13" customHeight="1" s="50">
      <c r="E982" s="40" t="n"/>
      <c r="F982" s="40" t="n"/>
      <c r="G982" s="40" t="n"/>
      <c r="H982" s="41" t="n"/>
      <c r="K982" s="40" t="n"/>
      <c r="L982" s="1" t="n"/>
      <c r="N982" s="40" t="n"/>
      <c r="O982" s="40" t="n"/>
      <c r="Z982" s="40" t="n"/>
      <c r="AA982" s="40" t="n"/>
      <c r="AC982" s="40" t="n"/>
      <c r="AD982" s="40" t="n"/>
      <c r="AE982" s="40" t="n"/>
      <c r="AF982" s="40" t="n"/>
    </row>
    <row r="983" ht="13" customHeight="1" s="50">
      <c r="E983" s="40" t="n"/>
      <c r="F983" s="40" t="n"/>
      <c r="G983" s="40" t="n"/>
      <c r="H983" s="41" t="n"/>
      <c r="K983" s="40" t="n"/>
      <c r="L983" s="1" t="n"/>
      <c r="N983" s="40" t="n"/>
      <c r="O983" s="40" t="n"/>
      <c r="Z983" s="40" t="n"/>
      <c r="AA983" s="40" t="n"/>
      <c r="AC983" s="40" t="n"/>
      <c r="AD983" s="40" t="n"/>
      <c r="AE983" s="40" t="n"/>
      <c r="AF983" s="40" t="n"/>
    </row>
    <row r="984" ht="13" customHeight="1" s="50">
      <c r="E984" s="40" t="n"/>
      <c r="F984" s="40" t="n"/>
      <c r="G984" s="40" t="n"/>
      <c r="H984" s="41" t="n"/>
      <c r="K984" s="40" t="n"/>
      <c r="L984" s="1" t="n"/>
      <c r="N984" s="40" t="n"/>
      <c r="O984" s="40" t="n"/>
      <c r="Z984" s="40" t="n"/>
      <c r="AA984" s="40" t="n"/>
      <c r="AC984" s="40" t="n"/>
      <c r="AD984" s="40" t="n"/>
      <c r="AE984" s="40" t="n"/>
      <c r="AF984" s="40" t="n"/>
    </row>
    <row r="985" ht="13" customHeight="1" s="50">
      <c r="E985" s="40" t="n"/>
      <c r="F985" s="40" t="n"/>
      <c r="G985" s="40" t="n"/>
      <c r="H985" s="41" t="n"/>
      <c r="K985" s="40" t="n"/>
      <c r="L985" s="1" t="n"/>
      <c r="N985" s="40" t="n"/>
      <c r="O985" s="40" t="n"/>
      <c r="Z985" s="40" t="n"/>
      <c r="AA985" s="40" t="n"/>
      <c r="AC985" s="40" t="n"/>
      <c r="AD985" s="40" t="n"/>
      <c r="AE985" s="40" t="n"/>
      <c r="AF985" s="40" t="n"/>
    </row>
    <row r="986" ht="13" customHeight="1" s="50">
      <c r="E986" s="40" t="n"/>
      <c r="F986" s="40" t="n"/>
      <c r="G986" s="40" t="n"/>
      <c r="H986" s="41" t="n"/>
      <c r="K986" s="40" t="n"/>
      <c r="L986" s="1" t="n"/>
      <c r="N986" s="40" t="n"/>
      <c r="O986" s="40" t="n"/>
      <c r="Z986" s="40" t="n"/>
      <c r="AA986" s="40" t="n"/>
      <c r="AC986" s="40" t="n"/>
      <c r="AD986" s="40" t="n"/>
      <c r="AE986" s="40" t="n"/>
      <c r="AF986" s="40" t="n"/>
    </row>
    <row r="987" ht="13" customHeight="1" s="50">
      <c r="E987" s="40" t="n"/>
      <c r="F987" s="40" t="n"/>
      <c r="G987" s="40" t="n"/>
      <c r="H987" s="41" t="n"/>
      <c r="K987" s="40" t="n"/>
      <c r="L987" s="1" t="n"/>
      <c r="N987" s="40" t="n"/>
      <c r="O987" s="40" t="n"/>
      <c r="Z987" s="40" t="n"/>
      <c r="AA987" s="40" t="n"/>
      <c r="AC987" s="40" t="n"/>
      <c r="AD987" s="40" t="n"/>
      <c r="AE987" s="40" t="n"/>
      <c r="AF987" s="40" t="n"/>
    </row>
    <row r="988" ht="13" customHeight="1" s="50">
      <c r="E988" s="40" t="n"/>
      <c r="F988" s="40" t="n"/>
      <c r="G988" s="40" t="n"/>
      <c r="H988" s="41" t="n"/>
      <c r="K988" s="40" t="n"/>
      <c r="L988" s="1" t="n"/>
      <c r="N988" s="40" t="n"/>
      <c r="O988" s="40" t="n"/>
      <c r="Z988" s="40" t="n"/>
      <c r="AA988" s="40" t="n"/>
      <c r="AC988" s="40" t="n"/>
      <c r="AD988" s="40" t="n"/>
      <c r="AE988" s="40" t="n"/>
      <c r="AF988" s="40" t="n"/>
    </row>
    <row r="989" ht="13" customHeight="1" s="50">
      <c r="E989" s="40" t="n"/>
      <c r="F989" s="40" t="n"/>
      <c r="G989" s="40" t="n"/>
      <c r="H989" s="41" t="n"/>
      <c r="K989" s="40" t="n"/>
      <c r="L989" s="1" t="n"/>
      <c r="N989" s="40" t="n"/>
      <c r="O989" s="40" t="n"/>
      <c r="Z989" s="40" t="n"/>
      <c r="AA989" s="40" t="n"/>
      <c r="AC989" s="40" t="n"/>
      <c r="AD989" s="40" t="n"/>
      <c r="AE989" s="40" t="n"/>
      <c r="AF989" s="40" t="n"/>
    </row>
    <row r="990" ht="13" customHeight="1" s="50">
      <c r="E990" s="40" t="n"/>
      <c r="F990" s="40" t="n"/>
      <c r="G990" s="40" t="n"/>
      <c r="H990" s="41" t="n"/>
      <c r="K990" s="40" t="n"/>
      <c r="L990" s="1" t="n"/>
      <c r="N990" s="40" t="n"/>
      <c r="O990" s="40" t="n"/>
      <c r="Z990" s="40" t="n"/>
      <c r="AA990" s="40" t="n"/>
      <c r="AC990" s="40" t="n"/>
      <c r="AD990" s="40" t="n"/>
      <c r="AE990" s="40" t="n"/>
      <c r="AF990" s="40" t="n"/>
    </row>
    <row r="991" ht="13" customHeight="1" s="50">
      <c r="E991" s="40" t="n"/>
      <c r="F991" s="40" t="n"/>
      <c r="G991" s="40" t="n"/>
      <c r="H991" s="41" t="n"/>
      <c r="K991" s="40" t="n"/>
      <c r="L991" s="1" t="n"/>
      <c r="N991" s="40" t="n"/>
      <c r="O991" s="40" t="n"/>
      <c r="Z991" s="40" t="n"/>
      <c r="AA991" s="40" t="n"/>
      <c r="AC991" s="40" t="n"/>
      <c r="AD991" s="40" t="n"/>
      <c r="AE991" s="40" t="n"/>
      <c r="AF991" s="40" t="n"/>
    </row>
    <row r="992" ht="13" customHeight="1" s="50">
      <c r="E992" s="40" t="n"/>
      <c r="F992" s="40" t="n"/>
      <c r="G992" s="40" t="n"/>
      <c r="H992" s="41" t="n"/>
      <c r="K992" s="40" t="n"/>
      <c r="L992" s="1" t="n"/>
      <c r="N992" s="40" t="n"/>
      <c r="O992" s="40" t="n"/>
      <c r="Z992" s="40" t="n"/>
      <c r="AA992" s="40" t="n"/>
      <c r="AC992" s="40" t="n"/>
      <c r="AD992" s="40" t="n"/>
      <c r="AE992" s="40" t="n"/>
      <c r="AF992" s="40" t="n"/>
    </row>
    <row r="993" ht="13" customHeight="1" s="50">
      <c r="E993" s="40" t="n"/>
      <c r="F993" s="40" t="n"/>
      <c r="G993" s="40" t="n"/>
      <c r="H993" s="41" t="n"/>
      <c r="K993" s="40" t="n"/>
      <c r="L993" s="1" t="n"/>
      <c r="N993" s="40" t="n"/>
      <c r="O993" s="40" t="n"/>
      <c r="Z993" s="40" t="n"/>
      <c r="AA993" s="40" t="n"/>
      <c r="AC993" s="40" t="n"/>
      <c r="AD993" s="40" t="n"/>
      <c r="AE993" s="40" t="n"/>
      <c r="AF993" s="40" t="n"/>
    </row>
    <row r="994" ht="13" customHeight="1" s="50">
      <c r="E994" s="40" t="n"/>
      <c r="F994" s="40" t="n"/>
      <c r="G994" s="40" t="n"/>
      <c r="H994" s="41" t="n"/>
      <c r="K994" s="40" t="n"/>
      <c r="L994" s="1" t="n"/>
      <c r="N994" s="40" t="n"/>
      <c r="O994" s="40" t="n"/>
      <c r="Z994" s="40" t="n"/>
      <c r="AA994" s="40" t="n"/>
      <c r="AC994" s="40" t="n"/>
      <c r="AD994" s="40" t="n"/>
      <c r="AE994" s="40" t="n"/>
      <c r="AF994" s="40" t="n"/>
    </row>
    <row r="995" ht="13" customHeight="1" s="50">
      <c r="E995" s="40" t="n"/>
      <c r="F995" s="40" t="n"/>
      <c r="G995" s="40" t="n"/>
      <c r="H995" s="41" t="n"/>
      <c r="K995" s="40" t="n"/>
      <c r="N995" s="40" t="n"/>
      <c r="O995" s="40" t="n"/>
      <c r="Z995" s="40" t="n"/>
      <c r="AA995" s="40" t="n"/>
      <c r="AC995" s="40" t="n"/>
      <c r="AD995" s="40" t="n"/>
      <c r="AE995" s="40" t="n"/>
      <c r="AF995" s="40" t="n"/>
    </row>
    <row r="996" ht="13" customHeight="1" s="50">
      <c r="E996" s="40" t="n"/>
      <c r="F996" s="40" t="n"/>
      <c r="G996" s="40" t="n"/>
      <c r="H996" s="41" t="n"/>
      <c r="K996" s="40" t="n"/>
      <c r="N996" s="40" t="n"/>
      <c r="O996" s="40" t="n"/>
      <c r="Z996" s="40" t="n"/>
      <c r="AA996" s="40" t="n"/>
      <c r="AC996" s="40" t="n"/>
      <c r="AD996" s="40" t="n"/>
      <c r="AE996" s="40" t="n"/>
      <c r="AF996" s="40" t="n"/>
    </row>
    <row r="997" ht="13" customHeight="1" s="50">
      <c r="E997" s="40" t="n"/>
      <c r="F997" s="40" t="n"/>
      <c r="G997" s="40" t="n"/>
      <c r="H997" s="41" t="n"/>
      <c r="K997" s="40" t="n"/>
      <c r="N997" s="40" t="n"/>
      <c r="O997" s="40" t="n"/>
      <c r="Z997" s="40" t="n"/>
      <c r="AA997" s="40" t="n"/>
      <c r="AC997" s="40" t="n"/>
      <c r="AD997" s="40" t="n"/>
      <c r="AE997" s="40" t="n"/>
      <c r="AF997" s="40" t="n"/>
    </row>
    <row r="998" ht="13" customHeight="1" s="50">
      <c r="E998" s="40" t="n"/>
      <c r="F998" s="40" t="n"/>
      <c r="G998" s="40" t="n"/>
      <c r="H998" s="41" t="n"/>
      <c r="K998" s="40" t="n"/>
      <c r="N998" s="40" t="n"/>
      <c r="O998" s="40" t="n"/>
      <c r="Z998" s="40" t="n"/>
      <c r="AA998" s="40" t="n"/>
      <c r="AC998" s="40" t="n"/>
      <c r="AD998" s="40" t="n"/>
      <c r="AE998" s="40" t="n"/>
      <c r="AF998" s="40" t="n"/>
    </row>
    <row r="999" ht="13" customHeight="1" s="50">
      <c r="E999" s="40" t="n"/>
      <c r="F999" s="40" t="n"/>
      <c r="G999" s="40" t="n"/>
      <c r="H999" s="41" t="n"/>
      <c r="K999" s="40" t="n"/>
      <c r="N999" s="40" t="n"/>
      <c r="O999" s="40" t="n"/>
      <c r="Z999" s="40" t="n"/>
      <c r="AA999" s="40" t="n"/>
      <c r="AC999" s="40" t="n"/>
      <c r="AD999" s="40" t="n"/>
      <c r="AE999" s="40" t="n"/>
      <c r="AF999" s="40" t="n"/>
    </row>
    <row r="1000" ht="13" customHeight="1" s="50">
      <c r="E1000" s="40" t="n"/>
      <c r="F1000" s="40" t="n"/>
      <c r="G1000" s="40" t="n"/>
      <c r="H1000" s="41" t="n"/>
      <c r="K1000" s="40" t="n"/>
      <c r="N1000" s="40" t="n"/>
      <c r="O1000" s="40" t="n"/>
      <c r="Z1000" s="40" t="n"/>
      <c r="AA1000" s="40" t="n"/>
      <c r="AC1000" s="40" t="n"/>
      <c r="AD1000" s="40" t="n"/>
      <c r="AE1000" s="40" t="n"/>
      <c r="AF1000" s="40" t="n"/>
    </row>
    <row r="1001">
      <c r="E1001" s="40" t="n"/>
      <c r="F1001" s="40" t="n"/>
      <c r="G1001" s="40" t="n"/>
      <c r="H1001" s="41" t="n"/>
      <c r="K1001" s="40" t="n"/>
      <c r="N1001" s="40" t="n"/>
      <c r="O1001" s="40" t="n"/>
      <c r="Z1001" s="40" t="n"/>
      <c r="AA1001" s="40" t="n"/>
      <c r="AC1001" s="40" t="n"/>
      <c r="AD1001" s="40" t="n"/>
      <c r="AE1001" s="40" t="n"/>
      <c r="AF1001" s="40" t="n"/>
    </row>
    <row r="1002">
      <c r="E1002" s="40" t="n"/>
      <c r="F1002" s="40" t="n"/>
      <c r="G1002" s="40" t="n"/>
      <c r="H1002" s="41" t="n"/>
      <c r="K1002" s="40" t="n"/>
      <c r="N1002" s="40" t="n"/>
      <c r="O1002" s="40" t="n"/>
      <c r="Z1002" s="40" t="n"/>
      <c r="AA1002" s="40" t="n"/>
      <c r="AC1002" s="40" t="n"/>
      <c r="AD1002" s="40" t="n"/>
      <c r="AE1002" s="40" t="n"/>
      <c r="AF1002" s="40" t="n"/>
    </row>
    <row r="1003">
      <c r="E1003" s="40" t="n"/>
      <c r="F1003" s="40" t="n"/>
      <c r="G1003" s="40" t="n"/>
      <c r="H1003" s="41" t="n"/>
      <c r="K1003" s="40" t="n"/>
      <c r="N1003" s="40" t="n"/>
      <c r="O1003" s="40" t="n"/>
      <c r="Z1003" s="40" t="n"/>
      <c r="AA1003" s="40" t="n"/>
      <c r="AC1003" s="40" t="n"/>
      <c r="AD1003" s="40" t="n"/>
      <c r="AE1003" s="40" t="n"/>
      <c r="AF1003" s="40" t="n"/>
    </row>
    <row r="1004">
      <c r="E1004" s="40" t="n"/>
      <c r="F1004" s="40" t="n"/>
      <c r="G1004" s="40" t="n"/>
      <c r="H1004" s="41" t="n"/>
      <c r="K1004" s="40" t="n"/>
      <c r="N1004" s="40" t="n"/>
      <c r="O1004" s="40" t="n"/>
      <c r="Z1004" s="40" t="n"/>
      <c r="AA1004" s="40" t="n"/>
      <c r="AC1004" s="40" t="n"/>
      <c r="AD1004" s="40" t="n"/>
      <c r="AE1004" s="40" t="n"/>
      <c r="AF1004" s="40" t="n"/>
    </row>
    <row r="1005">
      <c r="E1005" s="40" t="n"/>
      <c r="F1005" s="40" t="n"/>
      <c r="G1005" s="40" t="n"/>
      <c r="H1005" s="41" t="n"/>
      <c r="K1005" s="40" t="n"/>
      <c r="N1005" s="40" t="n"/>
      <c r="O1005" s="40" t="n"/>
      <c r="Z1005" s="40" t="n"/>
      <c r="AA1005" s="40" t="n"/>
      <c r="AC1005" s="40" t="n"/>
      <c r="AD1005" s="40" t="n"/>
      <c r="AE1005" s="40" t="n"/>
      <c r="AF1005" s="40" t="n"/>
    </row>
    <row r="1006">
      <c r="E1006" s="40" t="n"/>
      <c r="F1006" s="40" t="n"/>
      <c r="G1006" s="40" t="n"/>
      <c r="H1006" s="41" t="n"/>
      <c r="K1006" s="40" t="n"/>
      <c r="N1006" s="40" t="n"/>
      <c r="O1006" s="40" t="n"/>
      <c r="Z1006" s="40" t="n"/>
      <c r="AA1006" s="40" t="n"/>
      <c r="AC1006" s="40" t="n"/>
      <c r="AD1006" s="40" t="n"/>
      <c r="AE1006" s="40" t="n"/>
      <c r="AF1006" s="40" t="n"/>
    </row>
    <row r="1007">
      <c r="E1007" s="40" t="n"/>
      <c r="F1007" s="40" t="n"/>
      <c r="G1007" s="40" t="n"/>
      <c r="H1007" s="41" t="n"/>
      <c r="K1007" s="40" t="n"/>
      <c r="N1007" s="40" t="n"/>
      <c r="O1007" s="40" t="n"/>
      <c r="Z1007" s="40" t="n"/>
      <c r="AA1007" s="40" t="n"/>
      <c r="AC1007" s="40" t="n"/>
      <c r="AD1007" s="40" t="n"/>
      <c r="AE1007" s="40" t="n"/>
      <c r="AF1007" s="40" t="n"/>
    </row>
    <row r="1008">
      <c r="E1008" s="40" t="n"/>
      <c r="F1008" s="40" t="n"/>
      <c r="G1008" s="40" t="n"/>
      <c r="H1008" s="41" t="n"/>
      <c r="K1008" s="40" t="n"/>
      <c r="N1008" s="40" t="n"/>
      <c r="O1008" s="40" t="n"/>
      <c r="Z1008" s="40" t="n"/>
      <c r="AA1008" s="40" t="n"/>
      <c r="AC1008" s="40" t="n"/>
      <c r="AD1008" s="40" t="n"/>
      <c r="AE1008" s="40" t="n"/>
      <c r="AF1008" s="40" t="n"/>
    </row>
    <row r="1009">
      <c r="E1009" s="40" t="n"/>
      <c r="F1009" s="40" t="n"/>
      <c r="G1009" s="40" t="n"/>
      <c r="H1009" s="41" t="n"/>
      <c r="K1009" s="40" t="n"/>
      <c r="N1009" s="40" t="n"/>
      <c r="O1009" s="40" t="n"/>
      <c r="Z1009" s="40" t="n"/>
      <c r="AA1009" s="40" t="n"/>
      <c r="AC1009" s="40" t="n"/>
      <c r="AD1009" s="40" t="n"/>
      <c r="AE1009" s="40" t="n"/>
      <c r="AF1009" s="40" t="n"/>
    </row>
    <row r="1010">
      <c r="E1010" s="40" t="n"/>
      <c r="F1010" s="40" t="n"/>
      <c r="G1010" s="40" t="n"/>
      <c r="H1010" s="41" t="n"/>
      <c r="K1010" s="40" t="n"/>
      <c r="N1010" s="40" t="n"/>
      <c r="O1010" s="40" t="n"/>
      <c r="Z1010" s="40" t="n"/>
      <c r="AA1010" s="40" t="n"/>
      <c r="AC1010" s="40" t="n"/>
      <c r="AD1010" s="40" t="n"/>
      <c r="AE1010" s="40" t="n"/>
      <c r="AF1010" s="40" t="n"/>
    </row>
    <row r="1011">
      <c r="E1011" s="40" t="n"/>
      <c r="F1011" s="40" t="n"/>
      <c r="G1011" s="40" t="n"/>
      <c r="H1011" s="41" t="n"/>
      <c r="K1011" s="40" t="n"/>
      <c r="N1011" s="40" t="n"/>
      <c r="O1011" s="40" t="n"/>
      <c r="Z1011" s="40" t="n"/>
      <c r="AA1011" s="40" t="n"/>
      <c r="AC1011" s="40" t="n"/>
      <c r="AD1011" s="40" t="n"/>
      <c r="AE1011" s="40" t="n"/>
      <c r="AF1011" s="40" t="n"/>
    </row>
  </sheetData>
  <autoFilter ref="A4:AR75"/>
  <mergeCells count="5">
    <mergeCell ref="K3:O3"/>
    <mergeCell ref="P3:T3"/>
    <mergeCell ref="U3:Y3"/>
    <mergeCell ref="K2:Y2"/>
    <mergeCell ref="Z2:AF3"/>
  </mergeCells>
  <conditionalFormatting sqref="A5:AG15">
    <cfRule type="expression" priority="5" dxfId="0">
      <formula>NOT(ISBLANK($Z5))</formula>
    </cfRule>
  </conditionalFormatting>
  <conditionalFormatting sqref="B1:B2 B4:B998">
    <cfRule type="containsText" priority="3" operator="containsText" dxfId="2" text="DIV">
      <formula>NOT(ISERROR(SEARCH(("DIV"),(B1))))</formula>
    </cfRule>
  </conditionalFormatting>
  <conditionalFormatting sqref="C1:C998">
    <cfRule type="containsText" priority="1" operator="containsText" dxfId="1" text="Buy">
      <formula>NOT(ISERROR(SEARCH(("Buy"),(C1))))</formula>
    </cfRule>
    <cfRule type="containsText" priority="2" operator="containsText" dxfId="0" text="Sell">
      <formula>NOT(ISERROR(SEARCH(("Sell"),(C1))))</formula>
    </cfRule>
  </conditionalFormatting>
  <conditionalFormatting sqref="K1:K998 P5:P15">
    <cfRule type="colorScale" priority="13">
      <colorScale>
        <cfvo type="min"/>
        <cfvo type="percentile" val="50"/>
        <cfvo type="max"/>
        <color rgb="FFE06666"/>
        <color rgb="FFFFD966"/>
        <color rgb="FF00FF00"/>
      </colorScale>
    </cfRule>
  </conditionalFormatting>
  <dataValidations count="1">
    <dataValidation sqref="AG5:AG1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2026-02-12T07:54:03Z</dcterms:created>
  <dcterms:modified xmlns:dcterms="http://purl.org/dc/terms/" xmlns:xsi="http://www.w3.org/2001/XMLSchema-instance" xsi:type="dcterms:W3CDTF">2026-02-12T07:55:32Z</dcterms:modified>
  <cp:lastModifiedBy>Lenin Soundararajan Vijaya</cp:lastModifiedBy>
</cp:coreProperties>
</file>