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B5985DF7_4A6F_41DE_83F8_00FE505C5814_.wvu.FilterData" localSheetId="0" hidden="1">'Trading History'!$A$4:$AO$49</definedName>
    <definedName name="_xlnm._FilterDatabase" localSheetId="0" hidden="1">'Trading History'!$A$4:$AO$49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₹]#,##0.00"/>
    <numFmt numFmtId="165" formatCode="dd\-mmm\-yyyy"/>
    <numFmt numFmtId="166" formatCode="d\-mmm\-yyyy"/>
    <numFmt numFmtId="167" formatCode="d\-mmmm\-yyyy"/>
    <numFmt numFmtId="168" formatCode="dd\-mmmm\-yyyy"/>
    <numFmt numFmtId="169" formatCode="yyyy\-mm\-dd"/>
    <numFmt numFmtId="170" formatCode="yyyy-mm-dd h:mm:ss"/>
  </numFmts>
  <fonts count="8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5" fillId="0" borderId="6" pivotButton="0" quotePrefix="0" xfId="0"/>
    <xf numFmtId="10" fontId="2" fillId="0" borderId="6" applyAlignment="1" pivotButton="0" quotePrefix="0" xfId="0">
      <alignment horizontal="right"/>
    </xf>
    <xf numFmtId="164" fontId="2" fillId="0" borderId="6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0" fontId="2" fillId="0" borderId="5" pivotButton="0" quotePrefix="0" xfId="0"/>
    <xf numFmtId="10" fontId="2" fillId="9" borderId="6" applyAlignment="1" pivotButton="0" quotePrefix="0" xfId="0">
      <alignment horizontal="right"/>
    </xf>
    <xf numFmtId="164" fontId="2" fillId="9" borderId="6" applyAlignment="1" pivotButton="0" quotePrefix="0" xfId="0">
      <alignment horizontal="right"/>
    </xf>
    <xf numFmtId="0" fontId="2" fillId="9" borderId="6" applyAlignment="1" pivotButton="0" quotePrefix="0" xfId="0">
      <alignment horizontal="right"/>
    </xf>
    <xf numFmtId="164" fontId="1" fillId="9" borderId="6" pivotButton="0" quotePrefix="0" xfId="0"/>
    <xf numFmtId="0" fontId="6" fillId="0" borderId="0" pivotButton="0" quotePrefix="0" xfId="0"/>
    <xf numFmtId="166" fontId="4" fillId="0" borderId="7" applyAlignment="1" pivotButton="0" quotePrefix="0" xfId="0">
      <alignment horizontal="left" vertical="top"/>
    </xf>
    <xf numFmtId="164" fontId="1" fillId="9" borderId="6" applyAlignment="1" pivotButton="0" quotePrefix="0" xfId="0">
      <alignment horizontal="right"/>
    </xf>
    <xf numFmtId="166" fontId="2" fillId="9" borderId="7" applyAlignment="1" pivotButton="0" quotePrefix="0" xfId="0">
      <alignment vertical="top"/>
    </xf>
    <xf numFmtId="164" fontId="1" fillId="0" borderId="6" pivotButton="0" quotePrefix="0" xfId="0"/>
    <xf numFmtId="167" fontId="4" fillId="0" borderId="7" applyAlignment="1" pivotButton="0" quotePrefix="0" xfId="0">
      <alignment horizontal="left" vertical="top"/>
    </xf>
    <xf numFmtId="168" fontId="4" fillId="0" borderId="7" applyAlignment="1" pivotButton="0" quotePrefix="0" xfId="0">
      <alignment horizontal="lef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0" fontId="7" fillId="0" borderId="0" applyAlignment="1" pivotButton="0" quotePrefix="0" xfId="0">
      <alignment horizontal="right"/>
    </xf>
    <xf numFmtId="0" fontId="7" fillId="2" borderId="6" pivotButton="0" quotePrefix="0" xfId="0"/>
    <xf numFmtId="4" fontId="1" fillId="0" borderId="0" applyAlignment="1" pivotButton="0" quotePrefix="0" xfId="0">
      <alignment horizontal="right"/>
    </xf>
    <xf numFmtId="164" fontId="7" fillId="3" borderId="6" pivotButton="0" quotePrefix="0" xfId="0"/>
    <xf numFmtId="164" fontId="7" fillId="4" borderId="6" pivotButton="0" quotePrefix="0" xfId="0"/>
    <xf numFmtId="164" fontId="7" fillId="7" borderId="6" pivotButton="0" quotePrefix="0" xfId="0"/>
    <xf numFmtId="0" fontId="7" fillId="2" borderId="5" pivotButton="0" quotePrefix="0" xfId="0"/>
    <xf numFmtId="164" fontId="7" fillId="3" borderId="5" pivotButton="0" quotePrefix="0" xfId="0"/>
    <xf numFmtId="164" fontId="7" fillId="4" borderId="5" pivotButton="0" quotePrefix="0" xfId="0"/>
    <xf numFmtId="164" fontId="7" fillId="7" borderId="5" pivotButton="0" quotePrefix="0" xfId="0"/>
    <xf numFmtId="164" fontId="1" fillId="0" borderId="0" applyAlignment="1" pivotButton="0" quotePrefix="0" xfId="0">
      <alignment horizontal="right"/>
    </xf>
    <xf numFmtId="9" fontId="7" fillId="0" borderId="0" applyAlignment="1" pivotButton="0" quotePrefix="0" xfId="0">
      <alignment horizontal="right"/>
    </xf>
    <xf numFmtId="169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70" fontId="0" fillId="0" borderId="0" pivotButton="0" quotePrefix="0" xfId="0"/>
    <xf numFmtId="170" fontId="2" fillId="0" borderId="6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0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41" sqref="A28:XFD41"/>
    </sheetView>
  </sheetViews>
  <sheetFormatPr baseColWidth="10" defaultColWidth="12.6640625" defaultRowHeight="15.75" customHeight="1"/>
  <cols>
    <col width="10.83203125" customWidth="1" style="68" min="1" max="1"/>
    <col width="8.1640625" customWidth="1" style="68" min="2" max="2"/>
    <col width="9.83203125" customWidth="1" style="68" min="3" max="3"/>
    <col width="6.83203125" customWidth="1" style="68" min="4" max="4"/>
    <col width="8.6640625" customWidth="1" style="68" min="5" max="5"/>
    <col width="9.1640625" customWidth="1" style="68" min="6" max="6"/>
    <col width="6.5" customWidth="1" style="68" min="7" max="7"/>
    <col width="8.33203125" customWidth="1" style="68" min="8" max="8"/>
    <col width="12.5" customWidth="1" style="68" min="9" max="9"/>
    <col width="14" customWidth="1" style="68" min="10" max="10"/>
    <col width="10.1640625" customWidth="1" style="68" min="11" max="12"/>
    <col width="9.1640625" customWidth="1" style="68" min="13" max="13"/>
    <col width="7.6640625" customWidth="1" style="68" min="14" max="14"/>
    <col width="9.6640625" customWidth="1" style="68" min="15" max="16"/>
    <col width="8.6640625" customWidth="1" style="68" min="17" max="17"/>
    <col width="8.1640625" customWidth="1" style="68" min="18" max="18"/>
    <col width="9.5" customWidth="1" style="68" min="19" max="20"/>
    <col width="9.1640625" customWidth="1" style="68" min="21" max="21"/>
    <col width="7.6640625" customWidth="1" style="68" min="22" max="22"/>
    <col width="7.83203125" customWidth="1" style="68" min="23" max="23"/>
    <col width="11.1640625" customWidth="1" style="68" min="24" max="24"/>
    <col width="12.5" customWidth="1" style="68" min="25" max="26"/>
    <col width="8.33203125" customWidth="1" style="68" min="27" max="29"/>
    <col width="16.33203125" customWidth="1" style="68" min="30" max="30"/>
  </cols>
  <sheetData>
    <row r="1" ht="15.75" customHeight="1" s="68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68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73" t="inlineStr">
        <is>
          <t>UnRealised</t>
        </is>
      </c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67" t="inlineStr">
        <is>
          <t>Realised</t>
        </is>
      </c>
      <c r="AC2" s="69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68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76" t="inlineStr">
        <is>
          <t>Total</t>
        </is>
      </c>
      <c r="L3" s="74" t="n"/>
      <c r="M3" s="74" t="n"/>
      <c r="N3" s="75" t="n"/>
      <c r="O3" s="77" t="inlineStr">
        <is>
          <t>Short Term</t>
        </is>
      </c>
      <c r="P3" s="70" t="n"/>
      <c r="Q3" s="70" t="n"/>
      <c r="R3" s="71" t="n"/>
      <c r="S3" s="72" t="inlineStr">
        <is>
          <t>Long Term</t>
        </is>
      </c>
      <c r="T3" s="70" t="n"/>
      <c r="U3" s="70" t="n"/>
      <c r="V3" s="71" t="n"/>
      <c r="W3" s="70" t="n"/>
      <c r="X3" s="70" t="n"/>
      <c r="Y3" s="70" t="n"/>
      <c r="Z3" s="70" t="n"/>
      <c r="AA3" s="70" t="n"/>
      <c r="AB3" s="70" t="n"/>
      <c r="AC3" s="71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68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68">
      <c r="A5" s="79" t="n">
        <v>46063</v>
      </c>
      <c r="B5" t="inlineStr">
        <is>
          <t>NSE</t>
        </is>
      </c>
      <c r="C5" t="inlineStr">
        <is>
          <t>Sell</t>
        </is>
      </c>
      <c r="D5" t="n">
        <v>20</v>
      </c>
      <c r="E5" t="n">
        <v>1129.6785</v>
      </c>
      <c r="F5" t="n">
        <v>22593.57</v>
      </c>
      <c r="G5" t="inlineStr">
        <is>
          <t>CN#252611730667</t>
        </is>
      </c>
      <c r="H5" t="n">
        <v>22.73</v>
      </c>
      <c r="I5" t="n">
        <v>135.15</v>
      </c>
    </row>
    <row r="6" ht="15.75" customHeight="1" s="68">
      <c r="A6" s="79" t="n">
        <v>46062</v>
      </c>
      <c r="B6" t="inlineStr">
        <is>
          <t>NSE</t>
        </is>
      </c>
      <c r="C6" t="inlineStr">
        <is>
          <t>Sell</t>
        </is>
      </c>
      <c r="D6" t="n">
        <v>50</v>
      </c>
      <c r="E6" t="n">
        <v>1076.4808</v>
      </c>
      <c r="F6" t="n">
        <v>53824.04</v>
      </c>
      <c r="G6" t="inlineStr">
        <is>
          <t>CN#252611665409</t>
        </is>
      </c>
      <c r="H6" t="n">
        <v>54.13</v>
      </c>
      <c r="I6" t="n">
        <v>321.83</v>
      </c>
    </row>
    <row r="7" ht="15.75" customHeight="1" s="68">
      <c r="A7" s="79" t="n">
        <v>46059</v>
      </c>
      <c r="B7" t="inlineStr">
        <is>
          <t>NSE</t>
        </is>
      </c>
      <c r="C7" t="inlineStr">
        <is>
          <t>Sell</t>
        </is>
      </c>
      <c r="D7" t="n">
        <v>10</v>
      </c>
      <c r="E7" t="n">
        <v>1008.15</v>
      </c>
      <c r="F7" t="n">
        <v>10081.5</v>
      </c>
      <c r="G7" t="inlineStr">
        <is>
          <t>~</t>
        </is>
      </c>
    </row>
    <row r="8" ht="15.75" customHeight="1" s="68">
      <c r="A8" s="79" t="n">
        <v>46059</v>
      </c>
      <c r="B8" t="inlineStr">
        <is>
          <t>BSE</t>
        </is>
      </c>
      <c r="C8" t="inlineStr">
        <is>
          <t>Sell</t>
        </is>
      </c>
      <c r="D8" t="n">
        <v>10</v>
      </c>
      <c r="E8" t="n">
        <v>1008.15</v>
      </c>
      <c r="F8" t="n">
        <v>10081.5</v>
      </c>
      <c r="G8" t="inlineStr">
        <is>
          <t>~</t>
        </is>
      </c>
    </row>
    <row r="9" ht="15.75" customHeight="1" s="68">
      <c r="A9" s="79" t="n">
        <v>46059</v>
      </c>
      <c r="B9" t="inlineStr">
        <is>
          <t>NSE</t>
        </is>
      </c>
      <c r="C9" t="inlineStr">
        <is>
          <t>Sell</t>
        </is>
      </c>
      <c r="D9" t="n">
        <v>5</v>
      </c>
      <c r="E9" t="n">
        <v>1008.15</v>
      </c>
      <c r="F9" t="n">
        <v>5040.75</v>
      </c>
      <c r="G9" t="inlineStr">
        <is>
          <t>~</t>
        </is>
      </c>
    </row>
    <row r="10" ht="15.75" customHeight="1" s="68">
      <c r="A10" s="79" t="n">
        <v>46059</v>
      </c>
      <c r="B10" t="inlineStr">
        <is>
          <t>NSE</t>
        </is>
      </c>
      <c r="C10" t="inlineStr">
        <is>
          <t>Sell</t>
        </is>
      </c>
      <c r="D10" t="n">
        <v>5</v>
      </c>
      <c r="E10" t="n">
        <v>1008.15</v>
      </c>
      <c r="F10" t="n">
        <v>5040.75</v>
      </c>
      <c r="G10" t="inlineStr">
        <is>
          <t>~</t>
        </is>
      </c>
    </row>
    <row r="11" ht="15.75" customHeight="1" s="68">
      <c r="A11" s="79" t="n">
        <v>46059</v>
      </c>
      <c r="B11" t="inlineStr">
        <is>
          <t>BSE</t>
        </is>
      </c>
      <c r="C11" t="inlineStr">
        <is>
          <t>Sell</t>
        </is>
      </c>
      <c r="D11" t="n">
        <v>10</v>
      </c>
      <c r="E11" t="n">
        <v>1008.15</v>
      </c>
      <c r="F11" t="n">
        <v>10081.5</v>
      </c>
      <c r="G11" t="inlineStr">
        <is>
          <t>~</t>
        </is>
      </c>
    </row>
    <row r="12" ht="15.75" customHeight="1" s="68">
      <c r="A12" s="79" t="n">
        <v>46059</v>
      </c>
      <c r="B12" t="inlineStr">
        <is>
          <t>NSE</t>
        </is>
      </c>
      <c r="C12" t="inlineStr">
        <is>
          <t>Sell</t>
        </is>
      </c>
      <c r="D12" t="n">
        <v>1</v>
      </c>
      <c r="E12" t="n">
        <v>1008.15</v>
      </c>
      <c r="F12" t="n">
        <v>1008.15</v>
      </c>
      <c r="G12" t="inlineStr">
        <is>
          <t>~</t>
        </is>
      </c>
    </row>
    <row r="13" ht="15.75" customHeight="1" s="68">
      <c r="A13" s="79" t="n">
        <v>46059</v>
      </c>
      <c r="B13" t="inlineStr">
        <is>
          <t>NSE</t>
        </is>
      </c>
      <c r="C13" t="inlineStr">
        <is>
          <t>Sell</t>
        </is>
      </c>
      <c r="D13" t="n">
        <v>1</v>
      </c>
      <c r="E13" t="n">
        <v>1108.25</v>
      </c>
      <c r="F13" t="n">
        <v>1108.25</v>
      </c>
      <c r="G13" t="inlineStr">
        <is>
          <t>~</t>
        </is>
      </c>
    </row>
    <row r="14" ht="15.75" customHeight="1" s="68">
      <c r="A14" s="79" t="n">
        <v>46059</v>
      </c>
      <c r="B14" t="inlineStr">
        <is>
          <t>NSE</t>
        </is>
      </c>
      <c r="C14" t="inlineStr">
        <is>
          <t>Sell</t>
        </is>
      </c>
      <c r="D14" t="n">
        <v>8</v>
      </c>
      <c r="E14" t="n">
        <v>1108.25</v>
      </c>
      <c r="F14" t="n">
        <v>8866</v>
      </c>
      <c r="G14" t="inlineStr">
        <is>
          <t>~</t>
        </is>
      </c>
    </row>
    <row r="15" ht="15.75" customHeight="1" s="68">
      <c r="A15" s="66" t="n">
        <v>46049</v>
      </c>
      <c r="B15" t="inlineStr">
        <is>
          <t>NSE</t>
        </is>
      </c>
      <c r="C15" t="inlineStr">
        <is>
          <t>Buy</t>
        </is>
      </c>
      <c r="D15" t="n">
        <v>3</v>
      </c>
      <c r="E15" t="n">
        <v>777.55</v>
      </c>
      <c r="F15" t="n">
        <v>2349.2</v>
      </c>
      <c r="G15" t="inlineStr">
        <is>
          <t>~</t>
        </is>
      </c>
      <c r="H15" t="n">
        <v>2.33</v>
      </c>
      <c r="I15" t="n">
        <v>14.22</v>
      </c>
    </row>
    <row r="16" ht="15.75" customHeight="1" s="68">
      <c r="A16" s="66" t="n">
        <v>46049</v>
      </c>
      <c r="B16" t="inlineStr">
        <is>
          <t>NSE</t>
        </is>
      </c>
      <c r="C16" t="inlineStr">
        <is>
          <t>Buy</t>
        </is>
      </c>
      <c r="D16" t="n">
        <v>2</v>
      </c>
      <c r="E16" t="n">
        <v>777.55</v>
      </c>
      <c r="F16" t="n">
        <v>1566.12</v>
      </c>
      <c r="G16" t="inlineStr">
        <is>
          <t>~</t>
        </is>
      </c>
      <c r="H16" t="n">
        <v>1.56</v>
      </c>
      <c r="I16" t="n">
        <v>9.460000000000001</v>
      </c>
    </row>
    <row r="17" ht="15.75" customHeight="1" s="68">
      <c r="A17" s="66" t="n">
        <v>46034</v>
      </c>
      <c r="B17" t="inlineStr">
        <is>
          <t>NSE</t>
        </is>
      </c>
      <c r="C17" t="inlineStr">
        <is>
          <t>Buy</t>
        </is>
      </c>
      <c r="D17" t="n">
        <v>5</v>
      </c>
      <c r="E17" t="n">
        <v>794.9</v>
      </c>
      <c r="F17" t="n">
        <v>4002.64</v>
      </c>
      <c r="G17" t="inlineStr">
        <is>
          <t>~</t>
        </is>
      </c>
      <c r="H17" t="n">
        <v>3.98</v>
      </c>
      <c r="I17" t="n">
        <v>24.16</v>
      </c>
    </row>
    <row r="18" ht="15.75" customHeight="1" s="68">
      <c r="A18" s="66" t="n">
        <v>46030</v>
      </c>
      <c r="B18" t="inlineStr">
        <is>
          <t>NSE</t>
        </is>
      </c>
      <c r="C18" t="inlineStr">
        <is>
          <t>Buy</t>
        </is>
      </c>
      <c r="D18" t="n">
        <v>5</v>
      </c>
      <c r="E18" t="n">
        <v>807.2</v>
      </c>
      <c r="F18" t="n">
        <v>4064.61</v>
      </c>
      <c r="G18" t="inlineStr">
        <is>
          <t>~</t>
        </is>
      </c>
      <c r="H18" t="n">
        <v>4.02</v>
      </c>
      <c r="I18" t="n">
        <v>24.59</v>
      </c>
    </row>
    <row r="19" ht="15.75" customHeight="1" s="68">
      <c r="A19" s="66" t="n">
        <v>46002</v>
      </c>
      <c r="B19" t="inlineStr">
        <is>
          <t>BSE</t>
        </is>
      </c>
      <c r="C19" t="inlineStr">
        <is>
          <t>Buy</t>
        </is>
      </c>
      <c r="D19" t="n">
        <v>4</v>
      </c>
      <c r="E19" t="n">
        <v>809.55</v>
      </c>
      <c r="F19" t="n">
        <v>3261.19</v>
      </c>
      <c r="G19" t="inlineStr">
        <is>
          <t>~</t>
        </is>
      </c>
      <c r="H19" t="n">
        <v>3.25</v>
      </c>
      <c r="I19" t="n">
        <v>19.74</v>
      </c>
    </row>
    <row r="20" ht="15.75" customHeight="1" s="68">
      <c r="A20" s="66" t="n">
        <v>46002</v>
      </c>
      <c r="B20" t="inlineStr">
        <is>
          <t>BSE</t>
        </is>
      </c>
      <c r="C20" t="inlineStr">
        <is>
          <t>Buy</t>
        </is>
      </c>
      <c r="D20" t="n">
        <v>1</v>
      </c>
      <c r="E20" t="n">
        <v>809.5</v>
      </c>
      <c r="F20" t="n">
        <v>815.23</v>
      </c>
      <c r="G20" t="inlineStr">
        <is>
          <t>~</t>
        </is>
      </c>
      <c r="H20" t="n">
        <v>0.8100000000000001</v>
      </c>
      <c r="I20" t="n">
        <v>4.92</v>
      </c>
    </row>
    <row r="21" ht="15.75" customHeight="1" s="68">
      <c r="A21" s="66" t="n">
        <v>45961</v>
      </c>
      <c r="B21" t="inlineStr">
        <is>
          <t>NSE</t>
        </is>
      </c>
      <c r="C21" t="inlineStr">
        <is>
          <t>Buy</t>
        </is>
      </c>
      <c r="D21" t="n">
        <v>3</v>
      </c>
      <c r="E21" t="n">
        <v>703.85</v>
      </c>
      <c r="F21" t="n">
        <v>2126.52</v>
      </c>
      <c r="G21" t="inlineStr">
        <is>
          <t>~</t>
        </is>
      </c>
      <c r="H21" t="n">
        <v>2.1</v>
      </c>
      <c r="I21" t="n">
        <v>12.87</v>
      </c>
    </row>
    <row r="22" ht="15.75" customHeight="1" s="68">
      <c r="A22" s="66" t="n">
        <v>45961</v>
      </c>
      <c r="B22" t="inlineStr">
        <is>
          <t>NSE</t>
        </is>
      </c>
      <c r="C22" t="inlineStr">
        <is>
          <t>Buy</t>
        </is>
      </c>
      <c r="D22" t="n">
        <v>2</v>
      </c>
      <c r="E22" t="n">
        <v>703.8</v>
      </c>
      <c r="F22" t="n">
        <v>1417.56</v>
      </c>
      <c r="G22" t="inlineStr">
        <is>
          <t>~</t>
        </is>
      </c>
      <c r="H22" t="n">
        <v>1.41</v>
      </c>
      <c r="I22" t="n">
        <v>8.550000000000001</v>
      </c>
    </row>
    <row r="23" ht="15.75" customHeight="1" s="68">
      <c r="A23" s="66" t="n">
        <v>45959</v>
      </c>
      <c r="B23" t="inlineStr">
        <is>
          <t>BSE</t>
        </is>
      </c>
      <c r="C23" t="inlineStr">
        <is>
          <t>Buy</t>
        </is>
      </c>
      <c r="D23" t="n">
        <v>1</v>
      </c>
      <c r="E23" t="n">
        <v>717.8</v>
      </c>
      <c r="F23" t="n">
        <v>722.89</v>
      </c>
      <c r="G23" t="inlineStr">
        <is>
          <t>~</t>
        </is>
      </c>
      <c r="H23" t="n">
        <v>0.72</v>
      </c>
      <c r="I23" t="n">
        <v>4.37</v>
      </c>
    </row>
    <row r="24" ht="15.75" customHeight="1" s="68">
      <c r="A24" s="66" t="n">
        <v>45959</v>
      </c>
      <c r="B24" t="inlineStr">
        <is>
          <t>BSE</t>
        </is>
      </c>
      <c r="C24" t="inlineStr">
        <is>
          <t>Buy</t>
        </is>
      </c>
      <c r="D24" t="n">
        <v>4</v>
      </c>
      <c r="E24" t="n">
        <v>717.95</v>
      </c>
      <c r="F24" t="n">
        <v>2892.14</v>
      </c>
      <c r="G24" t="inlineStr">
        <is>
          <t>~</t>
        </is>
      </c>
      <c r="H24" t="n">
        <v>2.86</v>
      </c>
      <c r="I24" t="n">
        <v>17.48</v>
      </c>
    </row>
    <row r="25" ht="15.75" customHeight="1" s="68">
      <c r="A25" s="66" t="n">
        <v>45957</v>
      </c>
      <c r="B25" t="inlineStr">
        <is>
          <t>NSE</t>
        </is>
      </c>
      <c r="C25" t="inlineStr">
        <is>
          <t>Buy</t>
        </is>
      </c>
      <c r="D25" t="n">
        <v>5</v>
      </c>
      <c r="E25" t="n">
        <v>719.5</v>
      </c>
      <c r="F25" t="n">
        <v>3623.02</v>
      </c>
      <c r="G25" t="inlineStr">
        <is>
          <t>~</t>
        </is>
      </c>
      <c r="H25" t="n">
        <v>3.61</v>
      </c>
      <c r="I25" t="n">
        <v>21.91</v>
      </c>
    </row>
    <row r="26" ht="15.75" customHeight="1" s="68">
      <c r="A26" s="66" t="n">
        <v>45954</v>
      </c>
      <c r="B26" t="inlineStr">
        <is>
          <t>NSE</t>
        </is>
      </c>
      <c r="C26" t="inlineStr">
        <is>
          <t>Buy</t>
        </is>
      </c>
      <c r="D26" t="n">
        <v>5</v>
      </c>
      <c r="E26" t="n">
        <v>723.9</v>
      </c>
      <c r="F26" t="n">
        <v>3645.15</v>
      </c>
      <c r="G26" t="inlineStr">
        <is>
          <t>~</t>
        </is>
      </c>
      <c r="H26" t="n">
        <v>3.62</v>
      </c>
      <c r="I26" t="n">
        <v>22.03</v>
      </c>
    </row>
    <row r="27" ht="15.75" customHeight="1" s="68">
      <c r="A27" s="66" t="n">
        <v>45953</v>
      </c>
      <c r="B27" t="inlineStr">
        <is>
          <t>NSE</t>
        </is>
      </c>
      <c r="C27" t="inlineStr">
        <is>
          <t>Buy</t>
        </is>
      </c>
      <c r="D27" t="n">
        <v>9</v>
      </c>
      <c r="E27" t="n">
        <v>731</v>
      </c>
      <c r="F27" t="n">
        <v>6625.67</v>
      </c>
      <c r="G27" t="inlineStr">
        <is>
          <t>~</t>
        </is>
      </c>
      <c r="H27" t="n">
        <v>6.56</v>
      </c>
      <c r="I27" t="n">
        <v>40.11</v>
      </c>
    </row>
    <row r="28" ht="15.75" customHeight="1" s="68">
      <c r="A28" s="66" t="n">
        <v>45953</v>
      </c>
      <c r="B28" t="inlineStr">
        <is>
          <t>NSE</t>
        </is>
      </c>
      <c r="C28" t="inlineStr">
        <is>
          <t>Buy</t>
        </is>
      </c>
      <c r="D28" t="n">
        <v>1</v>
      </c>
      <c r="E28" t="n">
        <v>730.85</v>
      </c>
      <c r="F28" t="n">
        <v>736.02</v>
      </c>
      <c r="G28" t="inlineStr">
        <is>
          <t>~</t>
        </is>
      </c>
      <c r="H28" t="n">
        <v>0.73</v>
      </c>
      <c r="I28" t="n">
        <v>4.44</v>
      </c>
    </row>
    <row r="29" ht="15.75" customHeight="1" s="68">
      <c r="A29" s="66" t="n">
        <v>45950</v>
      </c>
      <c r="B29" t="inlineStr">
        <is>
          <t>NSE</t>
        </is>
      </c>
      <c r="C29" t="inlineStr">
        <is>
          <t>Buy</t>
        </is>
      </c>
      <c r="D29" t="n">
        <v>1</v>
      </c>
      <c r="E29" t="n">
        <v>672.55</v>
      </c>
      <c r="F29" t="n">
        <v>677.3</v>
      </c>
      <c r="G29" t="inlineStr">
        <is>
          <t>~</t>
        </is>
      </c>
      <c r="H29" t="n">
        <v>0.67</v>
      </c>
      <c r="I29" t="n">
        <v>4.08</v>
      </c>
      <c r="W29" t="n">
        <v>1008.15</v>
      </c>
      <c r="X29" s="79" t="n">
        <v>46059</v>
      </c>
      <c r="Y29" t="n">
        <v>0.485155</v>
      </c>
      <c r="Z29" t="n">
        <v>330.9</v>
      </c>
      <c r="AA29" t="n">
        <v>1003.45</v>
      </c>
      <c r="AB29" t="n">
        <v>1</v>
      </c>
    </row>
    <row r="30" ht="15.75" customHeight="1" s="68">
      <c r="A30" s="66" t="n">
        <v>45950</v>
      </c>
      <c r="B30" t="inlineStr">
        <is>
          <t>NSE</t>
        </is>
      </c>
      <c r="C30" t="inlineStr">
        <is>
          <t>Buy</t>
        </is>
      </c>
      <c r="D30" t="n">
        <v>9</v>
      </c>
      <c r="E30" t="n">
        <v>672.55</v>
      </c>
      <c r="F30" t="n">
        <v>6095.84</v>
      </c>
      <c r="G30" t="inlineStr">
        <is>
          <t>~</t>
        </is>
      </c>
      <c r="H30" t="n">
        <v>6.05</v>
      </c>
      <c r="I30" t="n">
        <v>36.84</v>
      </c>
      <c r="W30" t="n">
        <v>1008.15</v>
      </c>
      <c r="X30" s="79" t="n">
        <v>46059</v>
      </c>
      <c r="Y30" t="n">
        <v>0.485135</v>
      </c>
      <c r="Z30" t="n">
        <v>2978.11</v>
      </c>
      <c r="AA30" t="n">
        <v>9031.059999999999</v>
      </c>
      <c r="AB30" t="n">
        <v>9</v>
      </c>
    </row>
    <row r="31" ht="15.75" customHeight="1" s="68">
      <c r="A31" s="66" t="n">
        <v>45947</v>
      </c>
      <c r="B31" t="inlineStr">
        <is>
          <t>BSE</t>
        </is>
      </c>
      <c r="C31" t="inlineStr">
        <is>
          <t>Buy</t>
        </is>
      </c>
      <c r="D31" t="n">
        <v>7</v>
      </c>
      <c r="E31" t="n">
        <v>690.85</v>
      </c>
      <c r="F31" t="n">
        <v>4870.24</v>
      </c>
      <c r="G31" t="inlineStr">
        <is>
          <t>~</t>
        </is>
      </c>
      <c r="H31" t="n">
        <v>4.85</v>
      </c>
      <c r="I31" t="n">
        <v>29.44</v>
      </c>
      <c r="W31" t="n">
        <v>1008.15</v>
      </c>
      <c r="X31" s="79" t="n">
        <v>46059</v>
      </c>
      <c r="Y31" t="n">
        <v>0.446526</v>
      </c>
      <c r="Z31" t="n">
        <v>2190</v>
      </c>
      <c r="AA31" t="n">
        <v>7025.95</v>
      </c>
      <c r="AB31" t="n">
        <v>7</v>
      </c>
    </row>
    <row r="32" ht="15.75" customHeight="1" s="68">
      <c r="A32" s="66" t="n">
        <v>45947</v>
      </c>
      <c r="B32" t="inlineStr">
        <is>
          <t>BSE</t>
        </is>
      </c>
      <c r="C32" t="inlineStr">
        <is>
          <t>Buy</t>
        </is>
      </c>
      <c r="D32" t="n">
        <v>3</v>
      </c>
      <c r="E32" t="n">
        <v>690.8</v>
      </c>
      <c r="F32" t="n">
        <v>2087.09</v>
      </c>
      <c r="G32" t="inlineStr">
        <is>
          <t>~</t>
        </is>
      </c>
      <c r="H32" t="n">
        <v>2.07</v>
      </c>
      <c r="I32" t="n">
        <v>12.62</v>
      </c>
      <c r="W32" t="n">
        <v>1008.15</v>
      </c>
      <c r="X32" s="79" t="n">
        <v>46059</v>
      </c>
      <c r="Y32" t="n">
        <v>0.446631</v>
      </c>
      <c r="Z32" t="n">
        <v>938.72</v>
      </c>
      <c r="AA32" t="n">
        <v>3011.12</v>
      </c>
      <c r="AB32" t="n">
        <v>3</v>
      </c>
    </row>
    <row r="33" ht="15.75" customHeight="1" s="68">
      <c r="A33" s="66" t="n">
        <v>45924</v>
      </c>
      <c r="B33" t="inlineStr">
        <is>
          <t>NSE</t>
        </is>
      </c>
      <c r="C33" t="inlineStr">
        <is>
          <t>Buy</t>
        </is>
      </c>
      <c r="D33" t="n">
        <v>10</v>
      </c>
      <c r="E33" t="n">
        <v>678.95</v>
      </c>
      <c r="F33" t="n">
        <v>6837.55</v>
      </c>
      <c r="G33" t="inlineStr">
        <is>
          <t>~</t>
        </is>
      </c>
      <c r="H33" t="n">
        <v>6.76</v>
      </c>
      <c r="I33" t="n">
        <v>41.29</v>
      </c>
      <c r="W33" t="n">
        <v>1008.15</v>
      </c>
      <c r="X33" s="79" t="n">
        <v>46059</v>
      </c>
      <c r="Y33" t="n">
        <v>0.235703</v>
      </c>
      <c r="Z33" t="n">
        <v>1622.96</v>
      </c>
      <c r="AA33" t="n">
        <v>5017.71</v>
      </c>
      <c r="AB33" t="n">
        <v>5</v>
      </c>
    </row>
    <row r="34" ht="15.75" customHeight="1" s="68">
      <c r="A34" s="66" t="n">
        <v>45903</v>
      </c>
      <c r="B34" t="inlineStr">
        <is>
          <t>BSE</t>
        </is>
      </c>
      <c r="C34" t="inlineStr">
        <is>
          <t>Buy</t>
        </is>
      </c>
      <c r="D34" t="n">
        <v>10</v>
      </c>
      <c r="E34" t="n">
        <v>677.75</v>
      </c>
      <c r="F34" t="n">
        <v>6825.62</v>
      </c>
      <c r="G34" t="inlineStr">
        <is>
          <t>~</t>
        </is>
      </c>
      <c r="H34" t="n">
        <v>6.8</v>
      </c>
      <c r="I34" t="n">
        <v>41.32</v>
      </c>
      <c r="W34" t="n">
        <v>1008.15</v>
      </c>
      <c r="X34" s="79" t="n">
        <v>46059</v>
      </c>
      <c r="Y34" t="n">
        <v>0.23697</v>
      </c>
      <c r="Z34" t="n">
        <v>1628.87</v>
      </c>
      <c r="AA34" t="n">
        <v>5017.62</v>
      </c>
      <c r="AB34" t="n">
        <v>5</v>
      </c>
    </row>
    <row r="35" ht="15.75" customHeight="1" s="68">
      <c r="A35" s="66" t="n">
        <v>45897</v>
      </c>
      <c r="B35" t="inlineStr">
        <is>
          <t>NSE</t>
        </is>
      </c>
      <c r="C35" t="inlineStr">
        <is>
          <t>Buy</t>
        </is>
      </c>
      <c r="D35" t="n">
        <v>5</v>
      </c>
      <c r="E35" t="n">
        <v>625.8</v>
      </c>
      <c r="F35" t="n">
        <v>3151.23</v>
      </c>
      <c r="G35" t="inlineStr">
        <is>
          <t>~</t>
        </is>
      </c>
      <c r="H35" t="n">
        <v>3.13</v>
      </c>
      <c r="I35" t="n">
        <v>19.1</v>
      </c>
      <c r="W35" t="n">
        <v>1008.15</v>
      </c>
      <c r="X35" s="79" t="n">
        <v>46059</v>
      </c>
      <c r="Y35" t="n">
        <v>0.593986</v>
      </c>
      <c r="Z35" t="n">
        <v>1884.99</v>
      </c>
      <c r="AA35" t="n">
        <v>5013.99</v>
      </c>
      <c r="AB35" t="n">
        <v>5</v>
      </c>
    </row>
    <row r="36" ht="15.75" customHeight="1" s="68">
      <c r="A36" s="66" t="n">
        <v>45876</v>
      </c>
      <c r="B36" t="inlineStr">
        <is>
          <t>DIV</t>
        </is>
      </c>
      <c r="C36" t="inlineStr">
        <is>
          <t>Buy</t>
        </is>
      </c>
      <c r="D36" t="n">
        <v>25</v>
      </c>
      <c r="E36" t="n">
        <v>9</v>
      </c>
      <c r="F36" t="n">
        <v>225</v>
      </c>
      <c r="G36" t="inlineStr">
        <is>
          <t>Annual-Dividend of Rs.9.0000/- per share on Ex-Date: 07-AUG-2025  Annual-Dividend of Rs.9.0000/- per share on Ex-Date: 07-AUG-2025</t>
        </is>
      </c>
      <c r="H36" t="n">
        <v>0</v>
      </c>
      <c r="I36" t="n">
        <v>0</v>
      </c>
    </row>
    <row r="37" ht="15.75" customHeight="1" s="68">
      <c r="A37" s="66" t="n">
        <v>45873</v>
      </c>
      <c r="B37" t="inlineStr">
        <is>
          <t>NSE</t>
        </is>
      </c>
      <c r="C37" t="inlineStr">
        <is>
          <t>Buy</t>
        </is>
      </c>
      <c r="D37" t="n">
        <v>5</v>
      </c>
      <c r="E37" t="n">
        <v>665.2</v>
      </c>
      <c r="F37" t="n">
        <v>3349.66</v>
      </c>
      <c r="G37" t="inlineStr">
        <is>
          <t>~</t>
        </is>
      </c>
      <c r="H37" t="n">
        <v>3.37</v>
      </c>
      <c r="I37" t="n">
        <v>20.29</v>
      </c>
      <c r="W37" t="n">
        <v>1008.15</v>
      </c>
      <c r="X37" s="79" t="n">
        <v>46059</v>
      </c>
      <c r="Y37" t="n">
        <v>0.501209</v>
      </c>
      <c r="Z37" t="n">
        <v>1690.74</v>
      </c>
      <c r="AA37" t="n">
        <v>5016.74</v>
      </c>
      <c r="AB37" t="n">
        <v>5</v>
      </c>
    </row>
    <row r="38" ht="15.75" customHeight="1" s="68">
      <c r="A38" s="25" t="n">
        <v>45855</v>
      </c>
      <c r="B38" s="26" t="inlineStr">
        <is>
          <t>BSE</t>
        </is>
      </c>
      <c r="C38" s="26" t="inlineStr">
        <is>
          <t>Buy</t>
        </is>
      </c>
      <c r="D38" s="27" t="n">
        <v>10</v>
      </c>
      <c r="E38" s="28" t="n">
        <v>741.22</v>
      </c>
      <c r="F38" s="28" t="n">
        <v>7412.23</v>
      </c>
      <c r="G38" s="26" t="inlineStr">
        <is>
          <t>~</t>
        </is>
      </c>
      <c r="H38" s="27" t="n">
        <v>7.36</v>
      </c>
      <c r="I38" s="27" t="n">
        <v>44.87</v>
      </c>
      <c r="J38" s="29">
        <f>Index!$C$2</f>
        <v/>
      </c>
      <c r="K38" s="30">
        <f>IF(AND( C19="Buy", ISBLANK(W19), B19&lt;&gt;"DIV"), L19/SUM(F19:I19), "")</f>
        <v/>
      </c>
      <c r="L38" s="31">
        <f>IF(AND( C19="Buy", ISBLANK(W19), B19&lt;&gt;"DIV"), (1-Index!$F$2*2)*((J19*D19)-(E19*D19)), "")</f>
        <v/>
      </c>
      <c r="M38" s="31">
        <f>IF(AND( C19="Buy", ISBLANK(W19), B19&lt;&gt;"DIV"), ((E19*D19)+L19), "")</f>
        <v/>
      </c>
      <c r="N38" s="32">
        <f>IF(AND( C19="Buy", ISBLANK(W19), B19&lt;&gt;"DIV"), D19, "")</f>
        <v/>
      </c>
      <c r="O38" s="30">
        <f>IF(AND( C19="Buy", ISBLANK(W19), B19&lt;&gt;"DIV", NOW()-A19 &lt; 365), P19/SUM(F19:I19), "")</f>
        <v/>
      </c>
      <c r="P38" s="31">
        <f>IF(AND( C19="Buy", ISBLANK(W19), B19&lt;&gt;"DIV", NOW()-A19 &lt; 365), (1-Index!$F$2*2)*((J19*D19)-(E19*D19)), "")</f>
        <v/>
      </c>
      <c r="Q38" s="31">
        <f>IF(AND( C19="Buy", ISBLANK(W19), B19&lt;&gt;"DIV", NOW()-A19 &lt; 365), ((E19*D19)+P19), "")</f>
        <v/>
      </c>
      <c r="R38" s="31">
        <f>IF(AND( C19="Buy", ISBLANK(W19), B19&lt;&gt;"DIV", NOW()-A19 &lt; 365), D19, "")</f>
        <v/>
      </c>
      <c r="S38" s="33">
        <f>IF(AND( C19="Buy", ISBLANK(W19), B19&lt;&gt;"DIV", NOW()-A19 &gt; 365), T19/SUM(F19:I19), "")</f>
        <v/>
      </c>
      <c r="T38" s="34">
        <f>IF(AND( C19="Buy", ISBLANK(W19), B19&lt;&gt;"DIV", NOW()-A19 &gt; 365), (1-Index!$F$2*2)*((J19*D19)-(E19*D19)), "")</f>
        <v/>
      </c>
      <c r="U38" s="34">
        <f>IF(AND( C19="Buy", ISBLANK(W19), B19&lt;&gt;"DIV", NOW()-A19 &gt; 365), ((E19*D19)+T19), "")</f>
        <v/>
      </c>
      <c r="V38" s="34">
        <f>IF(AND( C19="Buy", ISBLANK(W19), B19&lt;&gt;"DIV", NOW()-A19 &gt; 365), D19, "")</f>
        <v/>
      </c>
      <c r="W38" s="34" t="n">
        <v>1008.15</v>
      </c>
      <c r="X38" s="80" t="n">
        <v>46059</v>
      </c>
      <c r="Y38" s="33" t="n">
        <v>0.035259</v>
      </c>
      <c r="Z38" s="34" t="n">
        <v>263.19</v>
      </c>
      <c r="AA38" s="34" t="n">
        <v>1004.41</v>
      </c>
      <c r="AB38" s="35" t="n">
        <v>1</v>
      </c>
      <c r="AC38" s="31">
        <f>IF(B19="DIV", F19,"")</f>
        <v/>
      </c>
      <c r="AD38" s="36" t="n"/>
    </row>
    <row r="39" ht="15.75" customHeight="1" s="68">
      <c r="A39" s="25" t="n">
        <v>45812</v>
      </c>
      <c r="B39" s="26" t="inlineStr">
        <is>
          <t>NSE</t>
        </is>
      </c>
      <c r="C39" s="26" t="inlineStr">
        <is>
          <t>Buy</t>
        </is>
      </c>
      <c r="D39" s="27" t="n">
        <v>1</v>
      </c>
      <c r="E39" s="28" t="n">
        <v>774.3</v>
      </c>
      <c r="F39" s="28" t="n">
        <v>774.3</v>
      </c>
      <c r="G39" s="26" t="inlineStr">
        <is>
          <t>~</t>
        </is>
      </c>
      <c r="H39" s="27" t="n">
        <v>0.77</v>
      </c>
      <c r="I39" s="27" t="n">
        <v>4.68</v>
      </c>
      <c r="J39" s="29">
        <f>Index!$C$2</f>
        <v/>
      </c>
      <c r="K39" s="30">
        <f>IF(AND( C20="Buy", ISBLANK(W20), B20&lt;&gt;"DIV"), L20/SUM(F20:I20), "")</f>
        <v/>
      </c>
      <c r="L39" s="31">
        <f>IF(AND( C20="Buy", ISBLANK(W20), B20&lt;&gt;"DIV"), (1-Index!$F$2*2)*((J20*D20)-(E20*D20)), "")</f>
        <v/>
      </c>
      <c r="M39" s="31">
        <f>IF(AND( C20="Buy", ISBLANK(W20), B20&lt;&gt;"DIV"), ((E20*D20)+L20), "")</f>
        <v/>
      </c>
      <c r="N39" s="32">
        <f>IF(AND( C20="Buy", ISBLANK(W20), B20&lt;&gt;"DIV"), D20, "")</f>
        <v/>
      </c>
      <c r="O39" s="30">
        <f>IF(AND( C20="Buy", ISBLANK(W20), B20&lt;&gt;"DIV", NOW()-A20 &lt; 365), P20/SUM(F20:I20), "")</f>
        <v/>
      </c>
      <c r="P39" s="31">
        <f>IF(AND( C20="Buy", ISBLANK(W20), B20&lt;&gt;"DIV", NOW()-A20 &lt; 365), (1-Index!$F$2*2)*((J20*D20)-(E20*D20)), "")</f>
        <v/>
      </c>
      <c r="Q39" s="31">
        <f>IF(AND( C20="Buy", ISBLANK(W20), B20&lt;&gt;"DIV", NOW()-A20 &lt; 365), ((E20*D20)+P20), "")</f>
        <v/>
      </c>
      <c r="R39" s="31">
        <f>IF(AND( C20="Buy", ISBLANK(W20), B20&lt;&gt;"DIV", NOW()-A20 &lt; 365), D20, "")</f>
        <v/>
      </c>
      <c r="S39" s="33">
        <f>IF(AND( C20="Buy", ISBLANK(W20), B20&lt;&gt;"DIV", NOW()-A20 &gt; 365), T20/SUM(F20:I20), "")</f>
        <v/>
      </c>
      <c r="T39" s="34">
        <f>IF(AND( C20="Buy", ISBLANK(W20), B20&lt;&gt;"DIV", NOW()-A20 &gt; 365), (1-Index!$F$2*2)*((J20*D20)-(E20*D20)), "")</f>
        <v/>
      </c>
      <c r="U39" s="34">
        <f>IF(AND( C20="Buy", ISBLANK(W20), B20&lt;&gt;"DIV", NOW()-A20 &gt; 365), ((E20*D20)+T20), "")</f>
        <v/>
      </c>
      <c r="V39" s="34">
        <f>IF(AND( C20="Buy", ISBLANK(W20), B20&lt;&gt;"DIV", NOW()-A20 &gt; 365), D20, "")</f>
        <v/>
      </c>
      <c r="W39" s="34" t="n">
        <v>1108.25</v>
      </c>
      <c r="X39" s="80" t="n">
        <v>46059</v>
      </c>
      <c r="Y39" s="33" t="n">
        <v>0.422276</v>
      </c>
      <c r="Z39" s="34" t="n">
        <v>329.27</v>
      </c>
      <c r="AA39" s="34" t="n">
        <v>1103.57</v>
      </c>
      <c r="AB39" s="35" t="n">
        <v>1</v>
      </c>
      <c r="AC39" s="31">
        <f>IF(B20="DIV", F20,"")</f>
        <v/>
      </c>
      <c r="AD39" s="36" t="n"/>
    </row>
    <row r="40" ht="15.75" customHeight="1" s="68">
      <c r="A40" s="25" t="n">
        <v>45812</v>
      </c>
      <c r="B40" s="26" t="inlineStr">
        <is>
          <t>NSE</t>
        </is>
      </c>
      <c r="C40" s="26" t="inlineStr">
        <is>
          <t>Buy</t>
        </is>
      </c>
      <c r="D40" s="27" t="n">
        <v>8</v>
      </c>
      <c r="E40" s="28" t="n">
        <v>774.3</v>
      </c>
      <c r="F40" s="28" t="n">
        <v>6194.39</v>
      </c>
      <c r="G40" s="26" t="inlineStr">
        <is>
          <t>~</t>
        </is>
      </c>
      <c r="H40" s="27" t="n">
        <v>6.2</v>
      </c>
      <c r="I40" s="27" t="n">
        <v>37.39</v>
      </c>
      <c r="J40" s="29">
        <f>Index!$C$2</f>
        <v/>
      </c>
      <c r="K40" s="30">
        <f>IF(AND( C21="Buy", ISBLANK(W21), B21&lt;&gt;"DIV"), L21/SUM(F21:I21), "")</f>
        <v/>
      </c>
      <c r="L40" s="31">
        <f>IF(AND( C21="Buy", ISBLANK(W21), B21&lt;&gt;"DIV"), (1-Index!$F$2*2)*((J21*D21)-(E21*D21)), "")</f>
        <v/>
      </c>
      <c r="M40" s="31">
        <f>IF(AND( C21="Buy", ISBLANK(W21), B21&lt;&gt;"DIV"), ((E21*D21)+L21), "")</f>
        <v/>
      </c>
      <c r="N40" s="32">
        <f>IF(AND( C21="Buy", ISBLANK(W21), B21&lt;&gt;"DIV"), D21, "")</f>
        <v/>
      </c>
      <c r="O40" s="30">
        <f>IF(AND( C21="Buy", ISBLANK(W21), B21&lt;&gt;"DIV", NOW()-A21 &lt; 365), P21/SUM(F21:I21), "")</f>
        <v/>
      </c>
      <c r="P40" s="31">
        <f>IF(AND( C21="Buy", ISBLANK(W21), B21&lt;&gt;"DIV", NOW()-A21 &lt; 365), (1-Index!$F$2*2)*((J21*D21)-(E21*D21)), "")</f>
        <v/>
      </c>
      <c r="Q40" s="31">
        <f>IF(AND( C21="Buy", ISBLANK(W21), B21&lt;&gt;"DIV", NOW()-A21 &lt; 365), ((E21*D21)+P21), "")</f>
        <v/>
      </c>
      <c r="R40" s="31">
        <f>IF(AND( C21="Buy", ISBLANK(W21), B21&lt;&gt;"DIV", NOW()-A21 &lt; 365), D21, "")</f>
        <v/>
      </c>
      <c r="S40" s="33">
        <f>IF(AND( C21="Buy", ISBLANK(W21), B21&lt;&gt;"DIV", NOW()-A21 &gt; 365), T21/SUM(F21:I21), "")</f>
        <v/>
      </c>
      <c r="T40" s="34">
        <f>IF(AND( C21="Buy", ISBLANK(W21), B21&lt;&gt;"DIV", NOW()-A21 &gt; 365), (1-Index!$F$2*2)*((J21*D21)-(E21*D21)), "")</f>
        <v/>
      </c>
      <c r="U40" s="34">
        <f>IF(AND( C21="Buy", ISBLANK(W21), B21&lt;&gt;"DIV", NOW()-A21 &gt; 365), ((E21*D21)+T21), "")</f>
        <v/>
      </c>
      <c r="V40" s="34">
        <f>IF(AND( C21="Buy", ISBLANK(W21), B21&lt;&gt;"DIV", NOW()-A21 &gt; 365), D21, "")</f>
        <v/>
      </c>
      <c r="W40" s="34" t="n">
        <v>1108.25</v>
      </c>
      <c r="X40" s="80" t="n">
        <v>46059</v>
      </c>
      <c r="Y40" s="33" t="n">
        <v>0.369498</v>
      </c>
      <c r="Z40" s="34" t="n">
        <v>2304.92</v>
      </c>
      <c r="AA40" s="34" t="n">
        <v>7725.02</v>
      </c>
      <c r="AB40" s="35" t="n">
        <v>7</v>
      </c>
      <c r="AC40" s="31">
        <f>IF(B21="DIV", F21,"")</f>
        <v/>
      </c>
      <c r="AD40" s="36" t="n"/>
    </row>
    <row r="41" ht="15.75" customHeight="1" s="68">
      <c r="A41" s="25" t="n">
        <v>45812</v>
      </c>
      <c r="B41" s="26" t="inlineStr">
        <is>
          <t>NSE</t>
        </is>
      </c>
      <c r="C41" s="26" t="inlineStr">
        <is>
          <t>Buy</t>
        </is>
      </c>
      <c r="D41" s="27" t="n">
        <v>1</v>
      </c>
      <c r="E41" s="28" t="n">
        <v>774.3</v>
      </c>
      <c r="F41" s="28" t="n">
        <v>774.3</v>
      </c>
      <c r="G41" s="26" t="inlineStr">
        <is>
          <t>~</t>
        </is>
      </c>
      <c r="H41" s="27" t="n">
        <v>0.77</v>
      </c>
      <c r="I41" s="27" t="n">
        <v>4.68</v>
      </c>
      <c r="J41" s="29">
        <f>Index!$C$2</f>
        <v/>
      </c>
      <c r="K41" s="30">
        <f>IF(AND( C22="Buy", ISBLANK(W22), B22&lt;&gt;"DIV"), L22/SUM(F22:I22), "")</f>
        <v/>
      </c>
      <c r="L41" s="31">
        <f>IF(AND( C22="Buy", ISBLANK(W22), B22&lt;&gt;"DIV"), (1-Index!$F$2*2)*((J22*D22)-(E22*D22)), "")</f>
        <v/>
      </c>
      <c r="M41" s="31">
        <f>IF(AND( C22="Buy", ISBLANK(W22), B22&lt;&gt;"DIV"), ((E22*D22)+L22), "")</f>
        <v/>
      </c>
      <c r="N41" s="32">
        <f>IF(AND( C22="Buy", ISBLANK(W22), B22&lt;&gt;"DIV"), D22, "")</f>
        <v/>
      </c>
      <c r="O41" s="30">
        <f>IF(AND( C22="Buy", ISBLANK(W22), B22&lt;&gt;"DIV", NOW()-A22 &lt; 365), P22/SUM(F22:I22), "")</f>
        <v/>
      </c>
      <c r="P41" s="31">
        <f>IF(AND( C22="Buy", ISBLANK(W22), B22&lt;&gt;"DIV", NOW()-A22 &lt; 365), (1-Index!$F$2*2)*((J22*D22)-(E22*D22)), "")</f>
        <v/>
      </c>
      <c r="Q41" s="31">
        <f>IF(AND( C22="Buy", ISBLANK(W22), B22&lt;&gt;"DIV", NOW()-A22 &lt; 365), ((E22*D22)+P22), "")</f>
        <v/>
      </c>
      <c r="R41" s="31">
        <f>IF(AND( C22="Buy", ISBLANK(W22), B22&lt;&gt;"DIV", NOW()-A22 &lt; 365), D22, "")</f>
        <v/>
      </c>
      <c r="S41" s="33">
        <f>IF(AND( C22="Buy", ISBLANK(W22), B22&lt;&gt;"DIV", NOW()-A22 &gt; 365), T22/SUM(F22:I22), "")</f>
        <v/>
      </c>
      <c r="T41" s="34">
        <f>IF(AND( C22="Buy", ISBLANK(W22), B22&lt;&gt;"DIV", NOW()-A22 &gt; 365), (1-Index!$F$2*2)*((J22*D22)-(E22*D22)), "")</f>
        <v/>
      </c>
      <c r="U41" s="34">
        <f>IF(AND( C22="Buy", ISBLANK(W22), B22&lt;&gt;"DIV", NOW()-A22 &gt; 365), ((E22*D22)+T22), "")</f>
        <v/>
      </c>
      <c r="V41" s="34">
        <f>IF(AND( C22="Buy", ISBLANK(W22), B22&lt;&gt;"DIV", NOW()-A22 &gt; 365), D22, "")</f>
        <v/>
      </c>
      <c r="W41" s="34" t="n">
        <v>1108.25</v>
      </c>
      <c r="X41" s="80" t="n">
        <v>46059</v>
      </c>
      <c r="Y41" s="33" t="n">
        <v>0.422276</v>
      </c>
      <c r="Z41" s="34" t="n">
        <v>329.27</v>
      </c>
      <c r="AA41" s="34" t="n">
        <v>1103.57</v>
      </c>
      <c r="AB41" s="35" t="n">
        <v>1</v>
      </c>
      <c r="AC41" s="31">
        <f>IF(B22="DIV", F22,"")</f>
        <v/>
      </c>
      <c r="AD41" s="36" t="n"/>
    </row>
    <row r="42" ht="15.75" customHeight="1" s="68">
      <c r="A42" s="25" t="n">
        <v>45306</v>
      </c>
      <c r="B42" s="26" t="inlineStr">
        <is>
          <t>NSE</t>
        </is>
      </c>
      <c r="C42" s="26" t="inlineStr">
        <is>
          <t>Sell</t>
        </is>
      </c>
      <c r="D42" s="27" t="n">
        <v>10</v>
      </c>
      <c r="E42" s="28" t="n">
        <v>554.28</v>
      </c>
      <c r="F42" s="28" t="n">
        <v>5542.84</v>
      </c>
      <c r="G42" s="26" t="inlineStr">
        <is>
          <t>~</t>
        </is>
      </c>
      <c r="H42" s="27" t="n">
        <v>6</v>
      </c>
      <c r="I42" s="27" t="n">
        <v>33.16</v>
      </c>
      <c r="J42" s="29">
        <f>Index!$C$2</f>
        <v/>
      </c>
      <c r="K42" s="30">
        <f>IF(AND( C23="Buy", ISBLANK(W23), B23&lt;&gt;"DIV"), L23/SUM(F23:I23), "")</f>
        <v/>
      </c>
      <c r="L42" s="31">
        <f>IF(AND( C23="Buy", ISBLANK(W23), B23&lt;&gt;"DIV"), (1-Index!$F$2*2)*((J23*D23)-(E23*D23)), "")</f>
        <v/>
      </c>
      <c r="M42" s="31">
        <f>IF(AND( C23="Buy", ISBLANK(W23), B23&lt;&gt;"DIV"), ((E23*D23)+L23), "")</f>
        <v/>
      </c>
      <c r="N42" s="32">
        <f>IF(AND( C23="Buy", ISBLANK(W23), B23&lt;&gt;"DIV"), D23, "")</f>
        <v/>
      </c>
      <c r="O42" s="30">
        <f>IF(AND( C23="Buy", ISBLANK(W23), B23&lt;&gt;"DIV", NOW()-A23 &lt; 365), P23/SUM(F23:I23), "")</f>
        <v/>
      </c>
      <c r="P42" s="31">
        <f>IF(AND( C23="Buy", ISBLANK(W23), B23&lt;&gt;"DIV", NOW()-A23 &lt; 365), (1-Index!$F$2*2)*((J23*D23)-(E23*D23)), "")</f>
        <v/>
      </c>
      <c r="Q42" s="31">
        <f>IF(AND( C23="Buy", ISBLANK(W23), B23&lt;&gt;"DIV", NOW()-A23 &lt; 365), ((E23*D23)+P23), "")</f>
        <v/>
      </c>
      <c r="R42" s="31">
        <f>IF(AND( C23="Buy", ISBLANK(W23), B23&lt;&gt;"DIV", NOW()-A23 &lt; 365), D23, "")</f>
        <v/>
      </c>
      <c r="S42" s="33">
        <f>IF(AND( C23="Buy", ISBLANK(W23), B23&lt;&gt;"DIV", NOW()-A23 &gt; 365), T23/SUM(F23:I23), "")</f>
        <v/>
      </c>
      <c r="T42" s="34">
        <f>IF(AND( C23="Buy", ISBLANK(W23), B23&lt;&gt;"DIV", NOW()-A23 &gt; 365), (1-Index!$F$2*2)*((J23*D23)-(E23*D23)), "")</f>
        <v/>
      </c>
      <c r="U42" s="34">
        <f>IF(AND( C23="Buy", ISBLANK(W23), B23&lt;&gt;"DIV", NOW()-A23 &gt; 365), ((E23*D23)+T23), "")</f>
        <v/>
      </c>
      <c r="V42" s="34">
        <f>IF(AND( C23="Buy", ISBLANK(W23), B23&lt;&gt;"DIV", NOW()-A23 &gt; 365), D23, "")</f>
        <v/>
      </c>
      <c r="W42" s="34" t="n"/>
      <c r="X42" s="34" t="n"/>
      <c r="Y42" s="33">
        <f>IF(AND( C23="Buy", W23&lt;&gt;"", AA23&lt;&gt;"", B23&lt;&gt;"DIV"), Z23/SUM(F23:I23), "")</f>
        <v/>
      </c>
      <c r="Z42" s="34" t="n"/>
      <c r="AA42" s="34" t="n"/>
      <c r="AB42" s="35" t="n"/>
      <c r="AC42" s="31">
        <f>IF(B23="DIV", F23,"")</f>
        <v/>
      </c>
      <c r="AD42" s="36" t="n"/>
    </row>
    <row r="43" ht="15.75" customHeight="1" s="68">
      <c r="A43" s="25" t="n">
        <v>45303</v>
      </c>
      <c r="B43" s="26" t="inlineStr">
        <is>
          <t>NSE</t>
        </is>
      </c>
      <c r="C43" s="26" t="inlineStr">
        <is>
          <t>Sell</t>
        </is>
      </c>
      <c r="D43" s="27" t="n">
        <v>30</v>
      </c>
      <c r="E43" s="28" t="n">
        <v>492.45</v>
      </c>
      <c r="F43" s="28" t="n">
        <v>14773.61</v>
      </c>
      <c r="G43" s="26" t="inlineStr">
        <is>
          <t>~</t>
        </is>
      </c>
      <c r="H43" s="27" t="n">
        <v>15</v>
      </c>
      <c r="I43" s="27" t="n">
        <v>88.39</v>
      </c>
      <c r="J43" s="29">
        <f>Index!$C$2</f>
        <v/>
      </c>
      <c r="K43" s="30">
        <f>IF(AND( C24="Buy", ISBLANK(W24), B24&lt;&gt;"DIV"), L24/SUM(F24:I24), "")</f>
        <v/>
      </c>
      <c r="L43" s="31">
        <f>IF(AND( C24="Buy", ISBLANK(W24), B24&lt;&gt;"DIV"), (1-Index!$F$2*2)*((J24*D24)-(E24*D24)), "")</f>
        <v/>
      </c>
      <c r="M43" s="31">
        <f>IF(AND( C24="Buy", ISBLANK(W24), B24&lt;&gt;"DIV"), ((E24*D24)+L24), "")</f>
        <v/>
      </c>
      <c r="N43" s="32">
        <f>IF(AND( C24="Buy", ISBLANK(W24), B24&lt;&gt;"DIV"), D24, "")</f>
        <v/>
      </c>
      <c r="O43" s="30">
        <f>IF(AND( C24="Buy", ISBLANK(W24), B24&lt;&gt;"DIV", NOW()-A24 &lt; 365), P24/SUM(F24:I24), "")</f>
        <v/>
      </c>
      <c r="P43" s="31">
        <f>IF(AND( C24="Buy", ISBLANK(W24), B24&lt;&gt;"DIV", NOW()-A24 &lt; 365), (1-Index!$F$2*2)*((J24*D24)-(E24*D24)), "")</f>
        <v/>
      </c>
      <c r="Q43" s="31">
        <f>IF(AND( C24="Buy", ISBLANK(W24), B24&lt;&gt;"DIV", NOW()-A24 &lt; 365), ((E24*D24)+P24), "")</f>
        <v/>
      </c>
      <c r="R43" s="31">
        <f>IF(AND( C24="Buy", ISBLANK(W24), B24&lt;&gt;"DIV", NOW()-A24 &lt; 365), D24, "")</f>
        <v/>
      </c>
      <c r="S43" s="33">
        <f>IF(AND( C24="Buy", ISBLANK(W24), B24&lt;&gt;"DIV", NOW()-A24 &gt; 365), T24/SUM(F24:I24), "")</f>
        <v/>
      </c>
      <c r="T43" s="34">
        <f>IF(AND( C24="Buy", ISBLANK(W24), B24&lt;&gt;"DIV", NOW()-A24 &gt; 365), (1-Index!$F$2*2)*((J24*D24)-(E24*D24)), "")</f>
        <v/>
      </c>
      <c r="U43" s="34">
        <f>IF(AND( C24="Buy", ISBLANK(W24), B24&lt;&gt;"DIV", NOW()-A24 &gt; 365), ((E24*D24)+T24), "")</f>
        <v/>
      </c>
      <c r="V43" s="34">
        <f>IF(AND( C24="Buy", ISBLANK(W24), B24&lt;&gt;"DIV", NOW()-A24 &gt; 365), D24, "")</f>
        <v/>
      </c>
      <c r="W43" s="34" t="n"/>
      <c r="X43" s="34" t="n"/>
      <c r="Y43" s="33">
        <f>IF(AND( C24="Buy", W24&lt;&gt;"", AA24&lt;&gt;"", B24&lt;&gt;"DIV"), Z24/SUM(F24:I24), "")</f>
        <v/>
      </c>
      <c r="Z43" s="34" t="n"/>
      <c r="AA43" s="34" t="n"/>
      <c r="AB43" s="35" t="n"/>
      <c r="AC43" s="31">
        <f>IF(B24="DIV", F24,"")</f>
        <v/>
      </c>
      <c r="AD43" s="36" t="n"/>
    </row>
    <row r="44" ht="15.75" customHeight="1" s="68">
      <c r="A44" s="25" t="n">
        <v>45303</v>
      </c>
      <c r="B44" s="26" t="inlineStr">
        <is>
          <t>NSE</t>
        </is>
      </c>
      <c r="C44" s="26" t="inlineStr">
        <is>
          <t>Sell</t>
        </is>
      </c>
      <c r="D44" s="27" t="n">
        <v>10</v>
      </c>
      <c r="E44" s="28" t="n">
        <v>492.45</v>
      </c>
      <c r="F44" s="28" t="n">
        <v>4924.53</v>
      </c>
      <c r="G44" s="26" t="inlineStr">
        <is>
          <t>~</t>
        </is>
      </c>
      <c r="H44" s="27" t="n">
        <v>5</v>
      </c>
      <c r="I44" s="27" t="n">
        <v>29.47</v>
      </c>
      <c r="J44" s="29">
        <f>Index!$C$2</f>
        <v/>
      </c>
      <c r="K44" s="30">
        <f>IF(AND( C25="Buy", ISBLANK(W25), B25&lt;&gt;"DIV"), L25/SUM(F25:I25), "")</f>
        <v/>
      </c>
      <c r="L44" s="31">
        <f>IF(AND( C25="Buy", ISBLANK(W25), B25&lt;&gt;"DIV"), (1-Index!$F$2*2)*((J25*D25)-(E25*D25)), "")</f>
        <v/>
      </c>
      <c r="M44" s="31">
        <f>IF(AND( C25="Buy", ISBLANK(W25), B25&lt;&gt;"DIV"), ((E25*D25)+L25), "")</f>
        <v/>
      </c>
      <c r="N44" s="32">
        <f>IF(AND( C25="Buy", ISBLANK(W25), B25&lt;&gt;"DIV"), D25, "")</f>
        <v/>
      </c>
      <c r="O44" s="30">
        <f>IF(AND( C25="Buy", ISBLANK(W25), B25&lt;&gt;"DIV", NOW()-A25 &lt; 365), P25/SUM(F25:I25), "")</f>
        <v/>
      </c>
      <c r="P44" s="31">
        <f>IF(AND( C25="Buy", ISBLANK(W25), B25&lt;&gt;"DIV", NOW()-A25 &lt; 365), (1-Index!$F$2*2)*((J25*D25)-(E25*D25)), "")</f>
        <v/>
      </c>
      <c r="Q44" s="31">
        <f>IF(AND( C25="Buy", ISBLANK(W25), B25&lt;&gt;"DIV", NOW()-A25 &lt; 365), ((E25*D25)+P25), "")</f>
        <v/>
      </c>
      <c r="R44" s="31">
        <f>IF(AND( C25="Buy", ISBLANK(W25), B25&lt;&gt;"DIV", NOW()-A25 &lt; 365), D25, "")</f>
        <v/>
      </c>
      <c r="S44" s="33">
        <f>IF(AND( C25="Buy", ISBLANK(W25), B25&lt;&gt;"DIV", NOW()-A25 &gt; 365), T25/SUM(F25:I25), "")</f>
        <v/>
      </c>
      <c r="T44" s="34">
        <f>IF(AND( C25="Buy", ISBLANK(W25), B25&lt;&gt;"DIV", NOW()-A25 &gt; 365), (1-Index!$F$2*2)*((J25*D25)-(E25*D25)), "")</f>
        <v/>
      </c>
      <c r="U44" s="34">
        <f>IF(AND( C25="Buy", ISBLANK(W25), B25&lt;&gt;"DIV", NOW()-A25 &gt; 365), ((E25*D25)+T25), "")</f>
        <v/>
      </c>
      <c r="V44" s="34">
        <f>IF(AND( C25="Buy", ISBLANK(W25), B25&lt;&gt;"DIV", NOW()-A25 &gt; 365), D25, "")</f>
        <v/>
      </c>
      <c r="W44" s="34" t="n"/>
      <c r="X44" s="34" t="n"/>
      <c r="Y44" s="33">
        <f>IF(AND( C25="Buy", W25&lt;&gt;"", AA25&lt;&gt;"", B25&lt;&gt;"DIV"), Z25/SUM(F25:I25), "")</f>
        <v/>
      </c>
      <c r="Z44" s="34" t="n"/>
      <c r="AA44" s="34" t="n"/>
      <c r="AB44" s="35" t="n"/>
      <c r="AC44" s="31">
        <f>IF(B25="DIV", F25,"")</f>
        <v/>
      </c>
      <c r="AD44" s="36" t="n"/>
    </row>
    <row r="45" ht="15.75" customHeight="1" s="68">
      <c r="A45" s="25" t="n">
        <v>45282</v>
      </c>
      <c r="B45" s="26" t="inlineStr">
        <is>
          <t>NSE</t>
        </is>
      </c>
      <c r="C45" s="26" t="inlineStr">
        <is>
          <t>Buy</t>
        </is>
      </c>
      <c r="D45" s="27" t="n">
        <v>10</v>
      </c>
      <c r="E45" s="28" t="n">
        <v>402.13</v>
      </c>
      <c r="F45" s="28" t="n">
        <v>4021.34</v>
      </c>
      <c r="G45" s="26" t="inlineStr">
        <is>
          <t>~</t>
        </is>
      </c>
      <c r="H45" s="27" t="n">
        <v>3.99</v>
      </c>
      <c r="I45" s="27" t="n">
        <v>24.35</v>
      </c>
      <c r="J45" s="29">
        <f>Index!$C$2</f>
        <v/>
      </c>
      <c r="K45" s="30">
        <f>IF(AND( C26="Buy", ISBLANK(W26), B26&lt;&gt;"DIV"), L26/SUM(F26:I26), "")</f>
        <v/>
      </c>
      <c r="L45" s="31">
        <f>IF(AND( C26="Buy", ISBLANK(W26), B26&lt;&gt;"DIV"), (1-Index!$F$2*2)*((J26*D26)-(E26*D26)), "")</f>
        <v/>
      </c>
      <c r="M45" s="31">
        <f>IF(AND( C26="Buy", ISBLANK(W26), B26&lt;&gt;"DIV"), ((E26*D26)+L26), "")</f>
        <v/>
      </c>
      <c r="N45" s="32">
        <f>IF(AND( C26="Buy", ISBLANK(W26), B26&lt;&gt;"DIV"), D26, "")</f>
        <v/>
      </c>
      <c r="O45" s="30">
        <f>IF(AND( C26="Buy", ISBLANK(W26), B26&lt;&gt;"DIV", NOW()-A26 &lt; 365), P26/SUM(F26:I26), "")</f>
        <v/>
      </c>
      <c r="P45" s="31">
        <f>IF(AND( C26="Buy", ISBLANK(W26), B26&lt;&gt;"DIV", NOW()-A26 &lt; 365), (1-Index!$F$2*2)*((J26*D26)-(E26*D26)), "")</f>
        <v/>
      </c>
      <c r="Q45" s="31">
        <f>IF(AND( C26="Buy", ISBLANK(W26), B26&lt;&gt;"DIV", NOW()-A26 &lt; 365), ((E26*D26)+P26), "")</f>
        <v/>
      </c>
      <c r="R45" s="31">
        <f>IF(AND( C26="Buy", ISBLANK(W26), B26&lt;&gt;"DIV", NOW()-A26 &lt; 365), D26, "")</f>
        <v/>
      </c>
      <c r="S45" s="33">
        <f>IF(AND( C26="Buy", ISBLANK(W26), B26&lt;&gt;"DIV", NOW()-A26 &gt; 365), T26/SUM(F26:I26), "")</f>
        <v/>
      </c>
      <c r="T45" s="34">
        <f>IF(AND( C26="Buy", ISBLANK(W26), B26&lt;&gt;"DIV", NOW()-A26 &gt; 365), (1-Index!$F$2*2)*((J26*D26)-(E26*D26)), "")</f>
        <v/>
      </c>
      <c r="U45" s="34">
        <f>IF(AND( C26="Buy", ISBLANK(W26), B26&lt;&gt;"DIV", NOW()-A26 &gt; 365), ((E26*D26)+T26), "")</f>
        <v/>
      </c>
      <c r="V45" s="34">
        <f>IF(AND( C26="Buy", ISBLANK(W26), B26&lt;&gt;"DIV", NOW()-A26 &gt; 365), D26, "")</f>
        <v/>
      </c>
      <c r="W45" s="34" t="n">
        <v>513.0599999999999</v>
      </c>
      <c r="X45" s="25" t="n">
        <v>45306</v>
      </c>
      <c r="Y45" s="37">
        <f>IF(AND( C26="Buy", W26&lt;&gt;"", AA26&lt;&gt;"", B26&lt;&gt;"DIV"), Z26/SUM(F26:I26), "")</f>
        <v/>
      </c>
      <c r="Z45" s="38" t="n">
        <v>-221.85</v>
      </c>
      <c r="AA45" s="38" t="n">
        <v>225</v>
      </c>
      <c r="AB45" s="39" t="n">
        <v>25</v>
      </c>
      <c r="AC45" s="40">
        <f>IF(B26="DIV", F26,"")</f>
        <v/>
      </c>
      <c r="AD45" s="36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</row>
    <row r="46" ht="15.75" customHeight="1" s="68">
      <c r="A46" s="25" t="n">
        <v>45278</v>
      </c>
      <c r="B46" s="26" t="inlineStr">
        <is>
          <t>NSE</t>
        </is>
      </c>
      <c r="C46" s="26" t="inlineStr">
        <is>
          <t>Buy</t>
        </is>
      </c>
      <c r="D46" s="27" t="n">
        <v>10</v>
      </c>
      <c r="E46" s="28" t="n">
        <v>399.61</v>
      </c>
      <c r="F46" s="28" t="n">
        <v>3996.05</v>
      </c>
      <c r="G46" s="26" t="inlineStr">
        <is>
          <t>~</t>
        </is>
      </c>
      <c r="H46" s="27" t="n">
        <v>3.96</v>
      </c>
      <c r="I46" s="27" t="n">
        <v>24.09</v>
      </c>
      <c r="J46" s="29">
        <f>Index!$C$2</f>
        <v/>
      </c>
      <c r="K46" s="30">
        <f>IF(AND( C27="Buy", ISBLANK(W27), B27&lt;&gt;"DIV"), L27/SUM(F27:I27), "")</f>
        <v/>
      </c>
      <c r="L46" s="31">
        <f>IF(AND( C27="Buy", ISBLANK(W27), B27&lt;&gt;"DIV"), (1-Index!$F$2*2)*((J27*D27)-(E27*D27)), "")</f>
        <v/>
      </c>
      <c r="M46" s="31">
        <f>IF(AND( C27="Buy", ISBLANK(W27), B27&lt;&gt;"DIV"), ((E27*D27)+L27), "")</f>
        <v/>
      </c>
      <c r="N46" s="32">
        <f>IF(AND( C27="Buy", ISBLANK(W27), B27&lt;&gt;"DIV"), D27, "")</f>
        <v/>
      </c>
      <c r="O46" s="30">
        <f>IF(AND( C27="Buy", ISBLANK(W27), B27&lt;&gt;"DIV", NOW()-A27 &lt; 365), P27/SUM(F27:I27), "")</f>
        <v/>
      </c>
      <c r="P46" s="31">
        <f>IF(AND( C27="Buy", ISBLANK(W27), B27&lt;&gt;"DIV", NOW()-A27 &lt; 365), (1-Index!$F$2*2)*((J27*D27)-(E27*D27)), "")</f>
        <v/>
      </c>
      <c r="Q46" s="31">
        <f>IF(AND( C27="Buy", ISBLANK(W27), B27&lt;&gt;"DIV", NOW()-A27 &lt; 365), ((E27*D27)+P27), "")</f>
        <v/>
      </c>
      <c r="R46" s="31">
        <f>IF(AND( C27="Buy", ISBLANK(W27), B27&lt;&gt;"DIV", NOW()-A27 &lt; 365), D27, "")</f>
        <v/>
      </c>
      <c r="S46" s="33">
        <f>IF(AND( C27="Buy", ISBLANK(W27), B27&lt;&gt;"DIV", NOW()-A27 &gt; 365), T27/SUM(F27:I27), "")</f>
        <v/>
      </c>
      <c r="T46" s="34">
        <f>IF(AND( C27="Buy", ISBLANK(W27), B27&lt;&gt;"DIV", NOW()-A27 &gt; 365), (1-Index!$F$2*2)*((J27*D27)-(E27*D27)), "")</f>
        <v/>
      </c>
      <c r="U46" s="34">
        <f>IF(AND( C27="Buy", ISBLANK(W27), B27&lt;&gt;"DIV", NOW()-A27 &gt; 365), ((E27*D27)+T27), "")</f>
        <v/>
      </c>
      <c r="V46" s="34">
        <f>IF(AND( C27="Buy", ISBLANK(W27), B27&lt;&gt;"DIV", NOW()-A27 &gt; 365), D27, "")</f>
        <v/>
      </c>
      <c r="W46" s="34" t="n">
        <v>513.0599999999999</v>
      </c>
      <c r="X46" s="25" t="n">
        <v>45306</v>
      </c>
      <c r="Y46" s="37">
        <f>IF(AND( C27="Buy", W27&lt;&gt;"", AA27&lt;&gt;"", B27&lt;&gt;"DIV"), Z27/SUM(F27:I27), "")</f>
        <v/>
      </c>
      <c r="Z46" s="38" t="n">
        <v>-3279.436</v>
      </c>
      <c r="AA46" s="38" t="n">
        <v>3326</v>
      </c>
      <c r="AB46" s="39" t="n">
        <v>5</v>
      </c>
      <c r="AC46" s="40">
        <f>IF(B27="DIV", F27,"")</f>
        <v/>
      </c>
      <c r="AD46" s="36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</row>
    <row r="47" ht="15.75" customHeight="1" s="68">
      <c r="A47" s="25" t="n">
        <v>45258</v>
      </c>
      <c r="B47" s="26" t="inlineStr">
        <is>
          <t>NSE</t>
        </is>
      </c>
      <c r="C47" s="26" t="inlineStr">
        <is>
          <t>Buy</t>
        </is>
      </c>
      <c r="D47" s="27" t="n">
        <v>7</v>
      </c>
      <c r="E47" s="28" t="n">
        <v>399.21</v>
      </c>
      <c r="F47" s="28" t="n">
        <v>2794.47</v>
      </c>
      <c r="G47" s="26" t="inlineStr">
        <is>
          <t>~</t>
        </is>
      </c>
      <c r="H47" s="27" t="n">
        <v>2.77</v>
      </c>
      <c r="I47" s="27" t="n">
        <v>16.9</v>
      </c>
      <c r="J47" s="29">
        <f>Index!$C$2</f>
        <v/>
      </c>
      <c r="K47" s="30">
        <f>IF(AND(#REF!= "Buy", ISBLANK(#REF!),#REF!&lt;&gt; "DIV"),#REF!/ SUM(#REF!), "")</f>
        <v/>
      </c>
      <c r="L47" s="31">
        <f>IF(AND(#REF!= "Buy", ISBLANK(#REF!),#REF!&lt;&gt; "DIV"), (1-Index!$F$2*2)*((#REF!*#REF!)-(#REF!*#REF!)), "")</f>
        <v/>
      </c>
      <c r="M47" s="31">
        <f>IF(AND(#REF!= "Buy", ISBLANK(#REF!),#REF!&lt;&gt; "DIV"), ((#REF!*#REF!)+#REF!), "")</f>
        <v/>
      </c>
      <c r="N47" s="32">
        <f>IF(AND(#REF!= "Buy", ISBLANK(#REF!),#REF!&lt;&gt; "DIV"),#REF!, "")</f>
        <v/>
      </c>
      <c r="O47" s="30">
        <f>IF(AND(#REF!= "Buy", ISBLANK(#REF!),#REF!&lt;&gt; "DIV", NOW()-#REF! &lt; 365),#REF!/ SUM(#REF!), "")</f>
        <v/>
      </c>
      <c r="P47" s="31">
        <f>IF(AND(#REF!= "Buy", ISBLANK(#REF!),#REF!&lt;&gt; "DIV", NOW()-#REF! &lt; 365), (1-Index!$F$2*2)*((#REF!*#REF!)-(#REF!*#REF!)), "")</f>
        <v/>
      </c>
      <c r="Q47" s="31">
        <f>IF(AND(#REF!= "Buy", ISBLANK(#REF!),#REF!&lt;&gt; "DIV", NOW()-#REF! &lt; 365), ((#REF!*#REF!)+#REF!), "")</f>
        <v/>
      </c>
      <c r="R47" s="31">
        <f>IF(AND(#REF!= "Buy", ISBLANK(#REF!),#REF!&lt;&gt; "DIV", NOW()-#REF! &lt; 365),#REF!, "")</f>
        <v/>
      </c>
      <c r="S47" s="33">
        <f>IF(AND(#REF!= "Buy", ISBLANK(#REF!),#REF!&lt;&gt; "DIV", NOW()-#REF! &gt; 365),#REF!/ SUM(#REF!), "")</f>
        <v/>
      </c>
      <c r="T47" s="34">
        <f>IF(AND(#REF!= "Buy", ISBLANK(#REF!),#REF!&lt;&gt; "DIV", NOW()-#REF! &gt; 365), (1-Index!$F$2*2)*((#REF!*#REF!)-(#REF!*#REF!)), "")</f>
        <v/>
      </c>
      <c r="U47" s="34">
        <f>IF(AND(#REF!= "Buy", ISBLANK(#REF!),#REF!&lt;&gt; "DIV", NOW()-#REF! &gt; 365), ((#REF!*#REF!)+#REF!), "")</f>
        <v/>
      </c>
      <c r="V47" s="34">
        <f>IF(AND(#REF!= "Buy", ISBLANK(#REF!),#REF!&lt;&gt; "DIV", NOW()-#REF! &gt; 365),#REF!, "")</f>
        <v/>
      </c>
      <c r="W47" s="34" t="n">
        <v>513.0599999999999</v>
      </c>
      <c r="X47" s="25" t="n">
        <v>45306</v>
      </c>
      <c r="Y47" s="37" t="e">
        <v>#REF!</v>
      </c>
      <c r="Z47" s="38" t="e">
        <v>#REF!</v>
      </c>
      <c r="AA47" s="38" t="e">
        <v>#REF!</v>
      </c>
      <c r="AB47" s="39" t="e">
        <v>#REF!</v>
      </c>
      <c r="AC47" s="40">
        <f>IF(#REF!="DIV",#REF!, "")</f>
        <v/>
      </c>
      <c r="AD47" s="36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</row>
    <row r="48" ht="15.75" customHeight="1" s="68">
      <c r="A48" s="42" t="n">
        <v>45225</v>
      </c>
      <c r="B48" s="26" t="inlineStr">
        <is>
          <t>NSE</t>
        </is>
      </c>
      <c r="C48" s="26" t="inlineStr">
        <is>
          <t>Buy</t>
        </is>
      </c>
      <c r="D48" s="27" t="n">
        <v>4</v>
      </c>
      <c r="E48" s="28" t="n">
        <v>392.37</v>
      </c>
      <c r="F48" s="28" t="n">
        <v>1569.46</v>
      </c>
      <c r="G48" s="26" t="inlineStr">
        <is>
          <t>~</t>
        </is>
      </c>
      <c r="H48" s="27" t="n">
        <v>1.57</v>
      </c>
      <c r="I48" s="27" t="n">
        <v>9.49</v>
      </c>
      <c r="J48" s="29">
        <f>Index!$C$2</f>
        <v/>
      </c>
      <c r="K48" s="30">
        <f>IF(AND(#REF!= "Buy", ISBLANK(#REF!),#REF!&lt;&gt; "DIV"),#REF!/ SUM(#REF!), "")</f>
        <v/>
      </c>
      <c r="L48" s="31">
        <f>IF(AND(#REF!= "Buy", ISBLANK(#REF!),#REF!&lt;&gt; "DIV"), (1-Index!$F$2*2)*((#REF!*#REF!)-(#REF!*#REF!)), "")</f>
        <v/>
      </c>
      <c r="M48" s="31">
        <f>IF(AND(#REF!= "Buy", ISBLANK(#REF!),#REF!&lt;&gt; "DIV"), ((#REF!*#REF!)+#REF!), "")</f>
        <v/>
      </c>
      <c r="N48" s="32">
        <f>IF(AND(#REF!= "Buy", ISBLANK(#REF!),#REF!&lt;&gt; "DIV"),#REF!, "")</f>
        <v/>
      </c>
      <c r="O48" s="30">
        <f>IF(AND(#REF!= "Buy", ISBLANK(#REF!),#REF!&lt;&gt; "DIV", NOW()-#REF! &lt; 365),#REF!/ SUM(#REF!), "")</f>
        <v/>
      </c>
      <c r="P48" s="31">
        <f>IF(AND(#REF!= "Buy", ISBLANK(#REF!),#REF!&lt;&gt; "DIV", NOW()-#REF! &lt; 365), (1-Index!$F$2*2)*((#REF!*#REF!)-(#REF!*#REF!)), "")</f>
        <v/>
      </c>
      <c r="Q48" s="31">
        <f>IF(AND(#REF!= "Buy", ISBLANK(#REF!),#REF!&lt;&gt; "DIV", NOW()-#REF! &lt; 365), ((#REF!*#REF!)+#REF!), "")</f>
        <v/>
      </c>
      <c r="R48" s="31">
        <f>IF(AND(#REF!= "Buy", ISBLANK(#REF!),#REF!&lt;&gt; "DIV", NOW()-#REF! &lt; 365),#REF!, "")</f>
        <v/>
      </c>
      <c r="S48" s="33">
        <f>IF(AND(#REF!= "Buy", ISBLANK(#REF!),#REF!&lt;&gt; "DIV", NOW()-#REF! &gt; 365),#REF!/ SUM(#REF!), "")</f>
        <v/>
      </c>
      <c r="T48" s="34">
        <f>IF(AND(#REF!= "Buy", ISBLANK(#REF!),#REF!&lt;&gt; "DIV", NOW()-#REF! &gt; 365), (1-Index!$F$2*2)*((#REF!*#REF!)-(#REF!*#REF!)), "")</f>
        <v/>
      </c>
      <c r="U48" s="34">
        <f>IF(AND(#REF!= "Buy", ISBLANK(#REF!),#REF!&lt;&gt; "DIV", NOW()-#REF! &gt; 365), ((#REF!*#REF!)+#REF!), "")</f>
        <v/>
      </c>
      <c r="V48" s="34">
        <f>IF(AND(#REF!= "Buy", ISBLANK(#REF!),#REF!&lt;&gt; "DIV", NOW()-#REF! &gt; 365),#REF!, "")</f>
        <v/>
      </c>
      <c r="W48" s="34" t="n">
        <v>513.0599999999999</v>
      </c>
      <c r="X48" s="25" t="n">
        <v>45306</v>
      </c>
      <c r="Y48" s="37" t="e">
        <v>#REF!</v>
      </c>
      <c r="Z48" s="38" t="e">
        <v>#REF!</v>
      </c>
      <c r="AA48" s="38" t="e">
        <v>#REF!</v>
      </c>
      <c r="AB48" s="39" t="e">
        <v>#REF!</v>
      </c>
      <c r="AC48" s="40">
        <f>IF(#REF!="DIV",#REF!, "")</f>
        <v/>
      </c>
      <c r="AD48" s="36" t="n"/>
      <c r="AE48" s="41" t="n"/>
    </row>
    <row r="49" ht="15.75" customHeight="1" s="68">
      <c r="A49" s="42" t="n">
        <v>45183</v>
      </c>
      <c r="B49" s="26" t="inlineStr">
        <is>
          <t>NSE</t>
        </is>
      </c>
      <c r="C49" s="26" t="inlineStr">
        <is>
          <t>Sell</t>
        </is>
      </c>
      <c r="D49" s="27" t="n">
        <v>36</v>
      </c>
      <c r="E49" s="28" t="n">
        <v>459.59</v>
      </c>
      <c r="F49" s="28" t="n">
        <v>16545.32</v>
      </c>
      <c r="G49" s="26" t="inlineStr">
        <is>
          <t>~</t>
        </is>
      </c>
      <c r="H49" s="27" t="n">
        <v>16.68</v>
      </c>
      <c r="I49" s="27" t="n">
        <v>98.8</v>
      </c>
      <c r="J49" s="29">
        <f>Index!$C$2</f>
        <v/>
      </c>
      <c r="K49" s="30">
        <f>IF(AND(#REF!= "Buy", ISBLANK(#REF!),#REF!&lt;&gt; "DIV"),#REF!/ SUM(#REF!), "")</f>
        <v/>
      </c>
      <c r="L49" s="31">
        <f>IF(AND(#REF!= "Buy", ISBLANK(#REF!),#REF!&lt;&gt; "DIV"), (1-Index!$F$2*2)*((#REF!*#REF!)-(#REF!*#REF!)), "")</f>
        <v/>
      </c>
      <c r="M49" s="31">
        <f>IF(AND(#REF!= "Buy", ISBLANK(#REF!),#REF!&lt;&gt; "DIV"), ((#REF!*#REF!)+#REF!), "")</f>
        <v/>
      </c>
      <c r="N49" s="32">
        <f>IF(AND(#REF!= "Buy", ISBLANK(#REF!),#REF!&lt;&gt; "DIV"),#REF!, "")</f>
        <v/>
      </c>
      <c r="O49" s="30">
        <f>IF(AND(#REF!= "Buy", ISBLANK(#REF!),#REF!&lt;&gt; "DIV", NOW()-#REF! &lt; 365),#REF!/ SUM(#REF!), "")</f>
        <v/>
      </c>
      <c r="P49" s="31">
        <f>IF(AND(#REF!= "Buy", ISBLANK(#REF!),#REF!&lt;&gt; "DIV", NOW()-#REF! &lt; 365), (1-Index!$F$2*2)*((#REF!*#REF!)-(#REF!*#REF!)), "")</f>
        <v/>
      </c>
      <c r="Q49" s="31">
        <f>IF(AND(#REF!= "Buy", ISBLANK(#REF!),#REF!&lt;&gt; "DIV", NOW()-#REF! &lt; 365), ((#REF!*#REF!)+#REF!), "")</f>
        <v/>
      </c>
      <c r="R49" s="31">
        <f>IF(AND(#REF!= "Buy", ISBLANK(#REF!),#REF!&lt;&gt; "DIV", NOW()-#REF! &lt; 365),#REF!, "")</f>
        <v/>
      </c>
      <c r="S49" s="33">
        <f>IF(AND(#REF!= "Buy", ISBLANK(#REF!),#REF!&lt;&gt; "DIV", NOW()-#REF! &gt; 365),#REF!/ SUM(#REF!), "")</f>
        <v/>
      </c>
      <c r="T49" s="34">
        <f>IF(AND(#REF!= "Buy", ISBLANK(#REF!),#REF!&lt;&gt; "DIV", NOW()-#REF! &gt; 365), (1-Index!$F$2*2)*((#REF!*#REF!)-(#REF!*#REF!)), "")</f>
        <v/>
      </c>
      <c r="U49" s="34">
        <f>IF(AND(#REF!= "Buy", ISBLANK(#REF!),#REF!&lt;&gt; "DIV", NOW()-#REF! &gt; 365), ((#REF!*#REF!)+#REF!), "")</f>
        <v/>
      </c>
      <c r="V49" s="34">
        <f>IF(AND(#REF!= "Buy", ISBLANK(#REF!),#REF!&lt;&gt; "DIV", NOW()-#REF! &gt; 365),#REF!, "")</f>
        <v/>
      </c>
      <c r="W49" s="34" t="n"/>
      <c r="X49" s="34" t="n"/>
      <c r="Y49" s="33" t="e">
        <v>#REF!</v>
      </c>
      <c r="Z49" s="34" t="n"/>
      <c r="AA49" s="34" t="n"/>
      <c r="AB49" s="35" t="n"/>
      <c r="AC49" s="31">
        <f>IF(#REF!="DIV",#REF!, "")</f>
        <v/>
      </c>
      <c r="AD49" s="36" t="n"/>
    </row>
    <row r="50" ht="13" customHeight="1" s="68">
      <c r="A50" s="42" t="n">
        <v>45181</v>
      </c>
      <c r="B50" s="26" t="inlineStr">
        <is>
          <t>BSE</t>
        </is>
      </c>
      <c r="C50" s="26" t="inlineStr">
        <is>
          <t>Buy</t>
        </is>
      </c>
      <c r="D50" s="27" t="n">
        <v>4</v>
      </c>
      <c r="E50" s="28" t="n">
        <v>433.95</v>
      </c>
      <c r="F50" s="28" t="n">
        <v>1735.79</v>
      </c>
      <c r="G50" s="26" t="inlineStr">
        <is>
          <t>~</t>
        </is>
      </c>
      <c r="H50" s="27" t="n">
        <v>1.72</v>
      </c>
      <c r="I50" s="27" t="n">
        <v>10.47</v>
      </c>
      <c r="J50" s="29">
        <f>Index!$C$2</f>
        <v/>
      </c>
      <c r="K50" s="30">
        <f>IF(AND(#REF!= "Buy", ISBLANK(#REF!),#REF!&lt;&gt; "DIV"),#REF!/ SUM(#REF!), "")</f>
        <v/>
      </c>
      <c r="L50" s="31">
        <f>IF(AND(#REF!= "Buy", ISBLANK(#REF!),#REF!&lt;&gt; "DIV"), (1-Index!$F$2*2)*((#REF!*#REF!)-(#REF!*#REF!)), "")</f>
        <v/>
      </c>
      <c r="M50" s="31">
        <f>IF(AND(#REF!= "Buy", ISBLANK(#REF!),#REF!&lt;&gt; "DIV"), ((#REF!*#REF!)+#REF!), "")</f>
        <v/>
      </c>
      <c r="N50" s="32">
        <f>IF(AND(#REF!= "Buy", ISBLANK(#REF!),#REF!&lt;&gt; "DIV"),#REF!, "")</f>
        <v/>
      </c>
      <c r="O50" s="30">
        <f>IF(AND(#REF!= "Buy", ISBLANK(#REF!),#REF!&lt;&gt; "DIV", NOW()-#REF! &lt; 365),#REF!/ SUM(#REF!), "")</f>
        <v/>
      </c>
      <c r="P50" s="31">
        <f>IF(AND(#REF!= "Buy", ISBLANK(#REF!),#REF!&lt;&gt; "DIV", NOW()-#REF! &lt; 365), (1-Index!$F$2*2)*((#REF!*#REF!)-(#REF!*#REF!)), "")</f>
        <v/>
      </c>
      <c r="Q50" s="31">
        <f>IF(AND(#REF!= "Buy", ISBLANK(#REF!),#REF!&lt;&gt; "DIV", NOW()-#REF! &lt; 365), ((#REF!*#REF!)+#REF!), "")</f>
        <v/>
      </c>
      <c r="R50" s="31">
        <f>IF(AND(#REF!= "Buy", ISBLANK(#REF!),#REF!&lt;&gt; "DIV", NOW()-#REF! &lt; 365),#REF!, "")</f>
        <v/>
      </c>
      <c r="S50" s="33">
        <f>IF(AND(#REF!= "Buy", ISBLANK(#REF!),#REF!&lt;&gt; "DIV", NOW()-#REF! &gt; 365),#REF!/ SUM(#REF!), "")</f>
        <v/>
      </c>
      <c r="T50" s="34">
        <f>IF(AND(#REF!= "Buy", ISBLANK(#REF!),#REF!&lt;&gt; "DIV", NOW()-#REF! &gt; 365), (1-Index!$F$2*2)*((#REF!*#REF!)-(#REF!*#REF!)), "")</f>
        <v/>
      </c>
      <c r="U50" s="34">
        <f>IF(AND(#REF!= "Buy", ISBLANK(#REF!),#REF!&lt;&gt; "DIV", NOW()-#REF! &gt; 365), ((#REF!*#REF!)+#REF!), "")</f>
        <v/>
      </c>
      <c r="V50" s="34">
        <f>IF(AND(#REF!= "Buy", ISBLANK(#REF!),#REF!&lt;&gt; "DIV", NOW()-#REF! &gt; 365),#REF!, "")</f>
        <v/>
      </c>
      <c r="W50" s="34" t="n">
        <v>513.0599999999999</v>
      </c>
      <c r="X50" s="25" t="n">
        <v>45306</v>
      </c>
      <c r="Y50" s="37" t="e">
        <v>#REF!</v>
      </c>
      <c r="Z50" s="38" t="e">
        <v>#REF!</v>
      </c>
      <c r="AA50" s="38" t="e">
        <v>#REF!</v>
      </c>
      <c r="AB50" s="39" t="e">
        <v>#REF!</v>
      </c>
      <c r="AC50" s="40">
        <f>IF(#REF!="DIV",#REF!, "")</f>
        <v/>
      </c>
      <c r="AD50" s="36" t="n"/>
      <c r="AE50" s="41" t="n"/>
    </row>
    <row r="51" ht="13" customHeight="1" s="68">
      <c r="A51" s="42" t="n">
        <v>45180</v>
      </c>
      <c r="B51" s="26" t="inlineStr">
        <is>
          <t>NSE</t>
        </is>
      </c>
      <c r="C51" s="26" t="inlineStr">
        <is>
          <t>Buy</t>
        </is>
      </c>
      <c r="D51" s="27" t="n">
        <v>10</v>
      </c>
      <c r="E51" s="28" t="n">
        <v>444.44</v>
      </c>
      <c r="F51" s="28" t="n">
        <v>4444.36</v>
      </c>
      <c r="G51" s="26" t="inlineStr">
        <is>
          <t>~</t>
        </is>
      </c>
      <c r="H51" s="27" t="n">
        <v>4.4</v>
      </c>
      <c r="I51" s="27" t="n">
        <v>26.96</v>
      </c>
      <c r="J51" s="29">
        <f>Index!$C$2</f>
        <v/>
      </c>
      <c r="K51" s="30">
        <f>IF(AND(#REF!= "Buy", ISBLANK(#REF!),#REF!&lt;&gt; "DIV"),#REF!/ SUM(#REF!), "")</f>
        <v/>
      </c>
      <c r="L51" s="31">
        <f>IF(AND(#REF!= "Buy", ISBLANK(#REF!),#REF!&lt;&gt; "DIV"), (1-Index!$F$2*2)*((#REF!*#REF!)-(#REF!*#REF!)), "")</f>
        <v/>
      </c>
      <c r="M51" s="31">
        <f>IF(AND(#REF!= "Buy", ISBLANK(#REF!),#REF!&lt;&gt; "DIV"), ((#REF!*#REF!)+#REF!), "")</f>
        <v/>
      </c>
      <c r="N51" s="32">
        <f>IF(AND(#REF!= "Buy", ISBLANK(#REF!),#REF!&lt;&gt; "DIV"),#REF!, "")</f>
        <v/>
      </c>
      <c r="O51" s="30">
        <f>IF(AND(#REF!= "Buy", ISBLANK(#REF!),#REF!&lt;&gt; "DIV", NOW()-#REF! &lt; 365),#REF!/ SUM(#REF!), "")</f>
        <v/>
      </c>
      <c r="P51" s="31">
        <f>IF(AND(#REF!= "Buy", ISBLANK(#REF!),#REF!&lt;&gt; "DIV", NOW()-#REF! &lt; 365), (1-Index!$F$2*2)*((#REF!*#REF!)-(#REF!*#REF!)), "")</f>
        <v/>
      </c>
      <c r="Q51" s="31">
        <f>IF(AND(#REF!= "Buy", ISBLANK(#REF!),#REF!&lt;&gt; "DIV", NOW()-#REF! &lt; 365), ((#REF!*#REF!)+#REF!), "")</f>
        <v/>
      </c>
      <c r="R51" s="31">
        <f>IF(AND(#REF!= "Buy", ISBLANK(#REF!),#REF!&lt;&gt; "DIV", NOW()-#REF! &lt; 365),#REF!, "")</f>
        <v/>
      </c>
      <c r="S51" s="33">
        <f>IF(AND(#REF!= "Buy", ISBLANK(#REF!),#REF!&lt;&gt; "DIV", NOW()-#REF! &gt; 365),#REF!/ SUM(#REF!), "")</f>
        <v/>
      </c>
      <c r="T51" s="34">
        <f>IF(AND(#REF!= "Buy", ISBLANK(#REF!),#REF!&lt;&gt; "DIV", NOW()-#REF! &gt; 365), (1-Index!$F$2*2)*((#REF!*#REF!)-(#REF!*#REF!)), "")</f>
        <v/>
      </c>
      <c r="U51" s="34">
        <f>IF(AND(#REF!= "Buy", ISBLANK(#REF!),#REF!&lt;&gt; "DIV", NOW()-#REF! &gt; 365), ((#REF!*#REF!)+#REF!), "")</f>
        <v/>
      </c>
      <c r="V51" s="34">
        <f>IF(AND(#REF!= "Buy", ISBLANK(#REF!),#REF!&lt;&gt; "DIV", NOW()-#REF! &gt; 365),#REF!, "")</f>
        <v/>
      </c>
      <c r="W51" s="34" t="n">
        <v>513.0599999999999</v>
      </c>
      <c r="X51" s="25" t="n">
        <v>45306</v>
      </c>
      <c r="Y51" s="37" t="e">
        <v>#REF!</v>
      </c>
      <c r="Z51" s="38" t="e">
        <v>#REF!</v>
      </c>
      <c r="AA51" s="38" t="e">
        <v>#REF!</v>
      </c>
      <c r="AB51" s="39" t="e">
        <v>#REF!</v>
      </c>
      <c r="AC51" s="40">
        <f>IF(#REF!="DIV",#REF!, "")</f>
        <v/>
      </c>
      <c r="AD51" s="36" t="n"/>
      <c r="AE51" s="41" t="n"/>
    </row>
    <row r="52" ht="13" customHeight="1" s="68">
      <c r="A52" s="42" t="n">
        <v>45162</v>
      </c>
      <c r="B52" s="26" t="inlineStr">
        <is>
          <t>BSE</t>
        </is>
      </c>
      <c r="C52" s="26" t="inlineStr">
        <is>
          <t>Buy</t>
        </is>
      </c>
      <c r="D52" s="27" t="n">
        <v>5</v>
      </c>
      <c r="E52" s="28" t="n">
        <v>433.05</v>
      </c>
      <c r="F52" s="28" t="n">
        <v>2165.25</v>
      </c>
      <c r="G52" s="26" t="inlineStr">
        <is>
          <t>~</t>
        </is>
      </c>
      <c r="H52" s="27" t="n">
        <v>2.13</v>
      </c>
      <c r="I52" s="27" t="n">
        <v>13.12</v>
      </c>
      <c r="J52" s="29">
        <f>Index!$C$2</f>
        <v/>
      </c>
      <c r="K52" s="30">
        <f>IF(AND(#REF!= "Buy", ISBLANK(#REF!),#REF!&lt;&gt; "DIV"),#REF!/ SUM(#REF!), "")</f>
        <v/>
      </c>
      <c r="L52" s="31">
        <f>IF(AND(#REF!= "Buy", ISBLANK(#REF!),#REF!&lt;&gt; "DIV"), (1-Index!$F$2*2)*((#REF!*#REF!)-(#REF!*#REF!)), "")</f>
        <v/>
      </c>
      <c r="M52" s="31">
        <f>IF(AND(#REF!= "Buy", ISBLANK(#REF!),#REF!&lt;&gt; "DIV"), ((#REF!*#REF!)+#REF!), "")</f>
        <v/>
      </c>
      <c r="N52" s="32">
        <f>IF(AND(#REF!= "Buy", ISBLANK(#REF!),#REF!&lt;&gt; "DIV"),#REF!, "")</f>
        <v/>
      </c>
      <c r="O52" s="30">
        <f>IF(AND(#REF!= "Buy", ISBLANK(#REF!),#REF!&lt;&gt; "DIV", NOW()-#REF! &lt; 365),#REF!/ SUM(#REF!), "")</f>
        <v/>
      </c>
      <c r="P52" s="31">
        <f>IF(AND(#REF!= "Buy", ISBLANK(#REF!),#REF!&lt;&gt; "DIV", NOW()-#REF! &lt; 365), (1-Index!$F$2*2)*((#REF!*#REF!)-(#REF!*#REF!)), "")</f>
        <v/>
      </c>
      <c r="Q52" s="31">
        <f>IF(AND(#REF!= "Buy", ISBLANK(#REF!),#REF!&lt;&gt; "DIV", NOW()-#REF! &lt; 365), ((#REF!*#REF!)+#REF!), "")</f>
        <v/>
      </c>
      <c r="R52" s="31">
        <f>IF(AND(#REF!= "Buy", ISBLANK(#REF!),#REF!&lt;&gt; "DIV", NOW()-#REF! &lt; 365),#REF!, "")</f>
        <v/>
      </c>
      <c r="S52" s="33">
        <f>IF(AND(#REF!= "Buy", ISBLANK(#REF!),#REF!&lt;&gt; "DIV", NOW()-#REF! &gt; 365),#REF!/ SUM(#REF!), "")</f>
        <v/>
      </c>
      <c r="T52" s="34">
        <f>IF(AND(#REF!= "Buy", ISBLANK(#REF!),#REF!&lt;&gt; "DIV", NOW()-#REF! &gt; 365), (1-Index!$F$2*2)*((#REF!*#REF!)-(#REF!*#REF!)), "")</f>
        <v/>
      </c>
      <c r="U52" s="34">
        <f>IF(AND(#REF!= "Buy", ISBLANK(#REF!),#REF!&lt;&gt; "DIV", NOW()-#REF! &gt; 365), ((#REF!*#REF!)+#REF!), "")</f>
        <v/>
      </c>
      <c r="V52" s="34">
        <f>IF(AND(#REF!= "Buy", ISBLANK(#REF!),#REF!&lt;&gt; "DIV", NOW()-#REF! &gt; 365),#REF!, "")</f>
        <v/>
      </c>
      <c r="W52" s="34" t="n">
        <v>513.0599999999999</v>
      </c>
      <c r="X52" s="25" t="n">
        <v>45306</v>
      </c>
      <c r="Y52" s="37" t="e">
        <v>#REF!</v>
      </c>
      <c r="Z52" s="38" t="e">
        <v>#REF!</v>
      </c>
      <c r="AA52" s="38" t="e">
        <v>#REF!</v>
      </c>
      <c r="AB52" s="39" t="e">
        <v>#REF!</v>
      </c>
      <c r="AC52" s="40">
        <f>IF(#REF!="DIV",#REF!, "")</f>
        <v/>
      </c>
      <c r="AD52" s="36" t="n"/>
      <c r="AE52" s="41" t="n"/>
    </row>
    <row r="53" ht="13" customHeight="1" s="68">
      <c r="A53" s="25" t="n">
        <v>45141</v>
      </c>
      <c r="B53" s="26" t="inlineStr">
        <is>
          <t>DIV</t>
        </is>
      </c>
      <c r="C53" s="26" t="inlineStr">
        <is>
          <t>Buy</t>
        </is>
      </c>
      <c r="D53" s="27" t="n">
        <v>10</v>
      </c>
      <c r="E53" s="28" t="n">
        <v>6.25</v>
      </c>
      <c r="F53" s="28" t="n">
        <v>62.5</v>
      </c>
      <c r="G53" s="26" t="inlineStr">
        <is>
          <t>Annual-Dividend of Rs.6.2500/- per share on Ex-Date: 03-AUG-2023</t>
        </is>
      </c>
      <c r="H53" s="27" t="n">
        <v>0</v>
      </c>
      <c r="I53" s="27" t="n">
        <v>0</v>
      </c>
      <c r="J53" s="29">
        <f>Index!$C$2</f>
        <v/>
      </c>
      <c r="K53" s="30">
        <f>IF(AND(#REF!= "Buy", ISBLANK(#REF!),#REF!&lt;&gt; "DIV"),#REF!/ SUM(#REF!), "")</f>
        <v/>
      </c>
      <c r="L53" s="31">
        <f>IF(AND(#REF!= "Buy", ISBLANK(#REF!),#REF!&lt;&gt; "DIV"), (1-Index!$F$2*2)*((#REF!*#REF!)-(#REF!*#REF!)), "")</f>
        <v/>
      </c>
      <c r="M53" s="31">
        <f>IF(AND(#REF!= "Buy", ISBLANK(#REF!),#REF!&lt;&gt; "DIV"), ((#REF!*#REF!)+#REF!), "")</f>
        <v/>
      </c>
      <c r="N53" s="32">
        <f>IF(AND(#REF!= "Buy", ISBLANK(#REF!),#REF!&lt;&gt; "DIV"),#REF!, "")</f>
        <v/>
      </c>
      <c r="O53" s="30">
        <f>IF(AND(#REF!= "Buy", ISBLANK(#REF!),#REF!&lt;&gt; "DIV", NOW()-#REF! &lt; 365),#REF!/ SUM(#REF!), "")</f>
        <v/>
      </c>
      <c r="P53" s="31">
        <f>IF(AND(#REF!= "Buy", ISBLANK(#REF!),#REF!&lt;&gt; "DIV", NOW()-#REF! &lt; 365), (1-Index!$F$2*2)*((#REF!*#REF!)-(#REF!*#REF!)), "")</f>
        <v/>
      </c>
      <c r="Q53" s="31">
        <f>IF(AND(#REF!= "Buy", ISBLANK(#REF!),#REF!&lt;&gt; "DIV", NOW()-#REF! &lt; 365), ((#REF!*#REF!)+#REF!), "")</f>
        <v/>
      </c>
      <c r="R53" s="31">
        <f>IF(AND(#REF!= "Buy", ISBLANK(#REF!),#REF!&lt;&gt; "DIV", NOW()-#REF! &lt; 365),#REF!, "")</f>
        <v/>
      </c>
      <c r="S53" s="33">
        <f>IF(AND(#REF!= "Buy", ISBLANK(#REF!),#REF!&lt;&gt; "DIV", NOW()-#REF! &gt; 365),#REF!/ SUM(#REF!), "")</f>
        <v/>
      </c>
      <c r="T53" s="34">
        <f>IF(AND(#REF!= "Buy", ISBLANK(#REF!),#REF!&lt;&gt; "DIV", NOW()-#REF! &gt; 365), (1-Index!$F$2*2)*((#REF!*#REF!)-(#REF!*#REF!)), "")</f>
        <v/>
      </c>
      <c r="U53" s="34">
        <f>IF(AND(#REF!= "Buy", ISBLANK(#REF!),#REF!&lt;&gt; "DIV", NOW()-#REF! &gt; 365), ((#REF!*#REF!)+#REF!), "")</f>
        <v/>
      </c>
      <c r="V53" s="34">
        <f>IF(AND(#REF!= "Buy", ISBLANK(#REF!),#REF!&lt;&gt; "DIV", NOW()-#REF! &gt; 365),#REF!, "")</f>
        <v/>
      </c>
      <c r="W53" s="34" t="n"/>
      <c r="X53" s="34" t="n"/>
      <c r="Y53" s="33" t="e">
        <v>#REF!</v>
      </c>
      <c r="Z53" s="34" t="n"/>
      <c r="AA53" s="34" t="n"/>
      <c r="AB53" s="35" t="n"/>
      <c r="AC53" s="31">
        <f>IF(#REF!="DIV",#REF!, "")</f>
        <v/>
      </c>
      <c r="AD53" s="36" t="n"/>
    </row>
    <row r="54" ht="13" customHeight="1" s="68">
      <c r="A54" s="25" t="n">
        <v>45141</v>
      </c>
      <c r="B54" s="26" t="inlineStr">
        <is>
          <t>DIV</t>
        </is>
      </c>
      <c r="C54" s="26" t="inlineStr">
        <is>
          <t>Buy</t>
        </is>
      </c>
      <c r="D54" s="27" t="n">
        <v>26</v>
      </c>
      <c r="E54" s="28" t="n">
        <v>6.25</v>
      </c>
      <c r="F54" s="28" t="n">
        <v>162.5</v>
      </c>
      <c r="G54" s="26" t="inlineStr">
        <is>
          <t>Annual-Dividend of Rs.6.2500/- per share on Ex-Date: 03-AUG-2023</t>
        </is>
      </c>
      <c r="H54" s="27" t="n">
        <v>0</v>
      </c>
      <c r="I54" s="27" t="n">
        <v>0</v>
      </c>
      <c r="J54" s="29">
        <f>Index!$C$2</f>
        <v/>
      </c>
      <c r="K54" s="30">
        <f>IF(AND(#REF!= "Buy", ISBLANK(#REF!),#REF!&lt;&gt; "DIV"),#REF!/ SUM(#REF!), "")</f>
        <v/>
      </c>
      <c r="L54" s="31">
        <f>IF(AND(#REF!= "Buy", ISBLANK(#REF!),#REF!&lt;&gt; "DIV"), (1-Index!$F$2*2)*((#REF!*#REF!)-(#REF!*#REF!)), "")</f>
        <v/>
      </c>
      <c r="M54" s="31">
        <f>IF(AND(#REF!= "Buy", ISBLANK(#REF!),#REF!&lt;&gt; "DIV"), ((#REF!*#REF!)+#REF!), "")</f>
        <v/>
      </c>
      <c r="N54" s="32">
        <f>IF(AND(#REF!= "Buy", ISBLANK(#REF!),#REF!&lt;&gt; "DIV"),#REF!, "")</f>
        <v/>
      </c>
      <c r="O54" s="30">
        <f>IF(AND(#REF!= "Buy", ISBLANK(#REF!),#REF!&lt;&gt; "DIV", NOW()-#REF! &lt; 365),#REF!/ SUM(#REF!), "")</f>
        <v/>
      </c>
      <c r="P54" s="31">
        <f>IF(AND(#REF!= "Buy", ISBLANK(#REF!),#REF!&lt;&gt; "DIV", NOW()-#REF! &lt; 365), (1-Index!$F$2*2)*((#REF!*#REF!)-(#REF!*#REF!)), "")</f>
        <v/>
      </c>
      <c r="Q54" s="31">
        <f>IF(AND(#REF!= "Buy", ISBLANK(#REF!),#REF!&lt;&gt; "DIV", NOW()-#REF! &lt; 365), ((#REF!*#REF!)+#REF!), "")</f>
        <v/>
      </c>
      <c r="R54" s="31">
        <f>IF(AND(#REF!= "Buy", ISBLANK(#REF!),#REF!&lt;&gt; "DIV", NOW()-#REF! &lt; 365),#REF!, "")</f>
        <v/>
      </c>
      <c r="S54" s="33">
        <f>IF(AND(#REF!= "Buy", ISBLANK(#REF!),#REF!&lt;&gt; "DIV", NOW()-#REF! &gt; 365),#REF!/ SUM(#REF!), "")</f>
        <v/>
      </c>
      <c r="T54" s="34">
        <f>IF(AND(#REF!= "Buy", ISBLANK(#REF!),#REF!&lt;&gt; "DIV", NOW()-#REF! &gt; 365), (1-Index!$F$2*2)*((#REF!*#REF!)-(#REF!*#REF!)), "")</f>
        <v/>
      </c>
      <c r="U54" s="34">
        <f>IF(AND(#REF!= "Buy", ISBLANK(#REF!),#REF!&lt;&gt; "DIV", NOW()-#REF! &gt; 365), ((#REF!*#REF!)+#REF!), "")</f>
        <v/>
      </c>
      <c r="V54" s="34">
        <f>IF(AND(#REF!= "Buy", ISBLANK(#REF!),#REF!&lt;&gt; "DIV", NOW()-#REF! &gt; 365),#REF!, "")</f>
        <v/>
      </c>
      <c r="W54" s="34" t="n"/>
      <c r="X54" s="34" t="n"/>
      <c r="Y54" s="33" t="e">
        <v>#REF!</v>
      </c>
      <c r="Z54" s="34" t="n"/>
      <c r="AA54" s="34" t="n"/>
      <c r="AB54" s="35" t="n"/>
      <c r="AC54" s="31">
        <f>IF(#REF!="DIV",#REF!, "")</f>
        <v/>
      </c>
      <c r="AD54" s="36" t="n"/>
    </row>
    <row r="55" ht="13" customHeight="1" s="68">
      <c r="A55" s="42" t="n">
        <v>45131</v>
      </c>
      <c r="B55" s="26" t="inlineStr">
        <is>
          <t>NSE</t>
        </is>
      </c>
      <c r="C55" s="26" t="inlineStr">
        <is>
          <t>Buy</t>
        </is>
      </c>
      <c r="D55" s="27" t="n">
        <v>4</v>
      </c>
      <c r="E55" s="28" t="n">
        <v>404.79</v>
      </c>
      <c r="F55" s="28" t="n">
        <v>1619.16</v>
      </c>
      <c r="G55" s="26" t="inlineStr">
        <is>
          <t>~</t>
        </is>
      </c>
      <c r="H55" s="27" t="n">
        <v>1.6</v>
      </c>
      <c r="I55" s="27" t="n">
        <v>9.76</v>
      </c>
      <c r="J55" s="29">
        <f>Index!$C$2</f>
        <v/>
      </c>
      <c r="K55" s="30">
        <f>IF(AND(#REF!= "Buy", ISBLANK(#REF!),#REF!&lt;&gt; "DIV"),#REF!/ SUM(#REF!), "")</f>
        <v/>
      </c>
      <c r="L55" s="31">
        <f>IF(AND(#REF!= "Buy", ISBLANK(#REF!),#REF!&lt;&gt; "DIV"), (1-Index!$F$2*2)*((#REF!*#REF!)-(#REF!*#REF!)), "")</f>
        <v/>
      </c>
      <c r="M55" s="31">
        <f>IF(AND(#REF!= "Buy", ISBLANK(#REF!),#REF!&lt;&gt; "DIV"), ((#REF!*#REF!)+#REF!), "")</f>
        <v/>
      </c>
      <c r="N55" s="32">
        <f>IF(AND(#REF!= "Buy", ISBLANK(#REF!),#REF!&lt;&gt; "DIV"),#REF!, "")</f>
        <v/>
      </c>
      <c r="O55" s="30">
        <f>IF(AND(#REF!= "Buy", ISBLANK(#REF!),#REF!&lt;&gt; "DIV", NOW()-#REF! &lt; 365),#REF!/ SUM(#REF!), "")</f>
        <v/>
      </c>
      <c r="P55" s="31">
        <f>IF(AND(#REF!= "Buy", ISBLANK(#REF!),#REF!&lt;&gt; "DIV", NOW()-#REF! &lt; 365), (1-Index!$F$2*2)*((#REF!*#REF!)-(#REF!*#REF!)), "")</f>
        <v/>
      </c>
      <c r="Q55" s="31">
        <f>IF(AND(#REF!= "Buy", ISBLANK(#REF!),#REF!&lt;&gt; "DIV", NOW()-#REF! &lt; 365), ((#REF!*#REF!)+#REF!), "")</f>
        <v/>
      </c>
      <c r="R55" s="31">
        <f>IF(AND(#REF!= "Buy", ISBLANK(#REF!),#REF!&lt;&gt; "DIV", NOW()-#REF! &lt; 365),#REF!, "")</f>
        <v/>
      </c>
      <c r="S55" s="33">
        <f>IF(AND(#REF!= "Buy", ISBLANK(#REF!),#REF!&lt;&gt; "DIV", NOW()-#REF! &gt; 365),#REF!/ SUM(#REF!), "")</f>
        <v/>
      </c>
      <c r="T55" s="34">
        <f>IF(AND(#REF!= "Buy", ISBLANK(#REF!),#REF!&lt;&gt; "DIV", NOW()-#REF! &gt; 365), (1-Index!$F$2*2)*((#REF!*#REF!)-(#REF!*#REF!)), "")</f>
        <v/>
      </c>
      <c r="U55" s="34">
        <f>IF(AND(#REF!= "Buy", ISBLANK(#REF!),#REF!&lt;&gt; "DIV", NOW()-#REF! &gt; 365), ((#REF!*#REF!)+#REF!), "")</f>
        <v/>
      </c>
      <c r="V55" s="34">
        <f>IF(AND(#REF!= "Buy", ISBLANK(#REF!),#REF!&lt;&gt; "DIV", NOW()-#REF! &gt; 365),#REF!, "")</f>
        <v/>
      </c>
      <c r="W55" s="43" t="n">
        <v>456.382222</v>
      </c>
      <c r="X55" s="44" t="n">
        <v>45565</v>
      </c>
      <c r="Y55" s="37" t="e">
        <v>#REF!</v>
      </c>
      <c r="Z55" s="38" t="e">
        <v>#REF!</v>
      </c>
      <c r="AA55" s="38" t="e">
        <v>#REF!</v>
      </c>
      <c r="AB55" s="39" t="e">
        <v>#REF!</v>
      </c>
      <c r="AC55" s="40">
        <f>IF(#REF!="DIV",#REF!, "")</f>
        <v/>
      </c>
      <c r="AD55" s="36" t="n"/>
      <c r="AE55" s="41" t="n"/>
    </row>
    <row r="56" ht="13" customHeight="1" s="68">
      <c r="A56" s="42" t="n">
        <v>45131</v>
      </c>
      <c r="B56" s="26" t="inlineStr">
        <is>
          <t>NSE</t>
        </is>
      </c>
      <c r="C56" s="26" t="inlineStr">
        <is>
          <t>Buy</t>
        </is>
      </c>
      <c r="D56" s="27" t="n">
        <v>2</v>
      </c>
      <c r="E56" s="28" t="n">
        <v>404.8</v>
      </c>
      <c r="F56" s="28" t="n">
        <v>809.59</v>
      </c>
      <c r="G56" s="26" t="inlineStr">
        <is>
          <t>~</t>
        </is>
      </c>
      <c r="H56" s="27" t="n">
        <v>0.8</v>
      </c>
      <c r="I56" s="27" t="n">
        <v>4.89</v>
      </c>
      <c r="J56" s="29">
        <f>Index!$C$2</f>
        <v/>
      </c>
      <c r="K56" s="30">
        <f>IF(AND(#REF!= "Buy", ISBLANK(#REF!),#REF!&lt;&gt; "DIV"),#REF!/ SUM(#REF!), "")</f>
        <v/>
      </c>
      <c r="L56" s="31">
        <f>IF(AND(#REF!= "Buy", ISBLANK(#REF!),#REF!&lt;&gt; "DIV"), (1-Index!$F$2*2)*((#REF!*#REF!)-(#REF!*#REF!)), "")</f>
        <v/>
      </c>
      <c r="M56" s="31">
        <f>IF(AND(#REF!= "Buy", ISBLANK(#REF!),#REF!&lt;&gt; "DIV"), ((#REF!*#REF!)+#REF!), "")</f>
        <v/>
      </c>
      <c r="N56" s="32">
        <f>IF(AND(#REF!= "Buy", ISBLANK(#REF!),#REF!&lt;&gt; "DIV"),#REF!, "")</f>
        <v/>
      </c>
      <c r="O56" s="30">
        <f>IF(AND(#REF!= "Buy", ISBLANK(#REF!),#REF!&lt;&gt; "DIV", NOW()-#REF! &lt; 365),#REF!/ SUM(#REF!), "")</f>
        <v/>
      </c>
      <c r="P56" s="31">
        <f>IF(AND(#REF!= "Buy", ISBLANK(#REF!),#REF!&lt;&gt; "DIV", NOW()-#REF! &lt; 365), (1-Index!$F$2*2)*((#REF!*#REF!)-(#REF!*#REF!)), "")</f>
        <v/>
      </c>
      <c r="Q56" s="31">
        <f>IF(AND(#REF!= "Buy", ISBLANK(#REF!),#REF!&lt;&gt; "DIV", NOW()-#REF! &lt; 365), ((#REF!*#REF!)+#REF!), "")</f>
        <v/>
      </c>
      <c r="R56" s="31">
        <f>IF(AND(#REF!= "Buy", ISBLANK(#REF!),#REF!&lt;&gt; "DIV", NOW()-#REF! &lt; 365),#REF!, "")</f>
        <v/>
      </c>
      <c r="S56" s="33">
        <f>IF(AND(#REF!= "Buy", ISBLANK(#REF!),#REF!&lt;&gt; "DIV", NOW()-#REF! &gt; 365),#REF!/ SUM(#REF!), "")</f>
        <v/>
      </c>
      <c r="T56" s="34">
        <f>IF(AND(#REF!= "Buy", ISBLANK(#REF!),#REF!&lt;&gt; "DIV", NOW()-#REF! &gt; 365), (1-Index!$F$2*2)*((#REF!*#REF!)-(#REF!*#REF!)), "")</f>
        <v/>
      </c>
      <c r="U56" s="34">
        <f>IF(AND(#REF!= "Buy", ISBLANK(#REF!),#REF!&lt;&gt; "DIV", NOW()-#REF! &gt; 365), ((#REF!*#REF!)+#REF!), "")</f>
        <v/>
      </c>
      <c r="V56" s="34">
        <f>IF(AND(#REF!= "Buy", ISBLANK(#REF!),#REF!&lt;&gt; "DIV", NOW()-#REF! &gt; 365),#REF!, "")</f>
        <v/>
      </c>
      <c r="W56" s="43" t="n">
        <v>456.382222</v>
      </c>
      <c r="X56" s="44" t="n">
        <v>45565</v>
      </c>
      <c r="Y56" s="37" t="e">
        <v>#REF!</v>
      </c>
      <c r="Z56" s="38" t="e">
        <v>#REF!</v>
      </c>
      <c r="AA56" s="38" t="e">
        <v>#REF!</v>
      </c>
      <c r="AB56" s="39" t="e">
        <v>#REF!</v>
      </c>
      <c r="AC56" s="40">
        <f>IF(#REF!="DIV",#REF!, "")</f>
        <v/>
      </c>
      <c r="AD56" s="36" t="n"/>
      <c r="AE56" s="41" t="n"/>
    </row>
    <row r="57" ht="13" customHeight="1" s="68">
      <c r="A57" s="42" t="n">
        <v>45034</v>
      </c>
      <c r="B57" s="26" t="inlineStr">
        <is>
          <t>BSE</t>
        </is>
      </c>
      <c r="C57" s="26" t="inlineStr">
        <is>
          <t>Buy</t>
        </is>
      </c>
      <c r="D57" s="27" t="n">
        <v>2</v>
      </c>
      <c r="E57" s="28" t="n">
        <v>364.03</v>
      </c>
      <c r="F57" s="28" t="n">
        <v>728.0599999999999</v>
      </c>
      <c r="G57" s="26" t="inlineStr">
        <is>
          <t>~</t>
        </is>
      </c>
      <c r="H57" s="27" t="n">
        <v>0.72</v>
      </c>
      <c r="I57" s="27" t="n">
        <v>4.44</v>
      </c>
      <c r="J57" s="29">
        <f>Index!$C$2</f>
        <v/>
      </c>
      <c r="K57" s="30">
        <f>IF(AND(#REF!= "Buy", ISBLANK(#REF!),#REF!&lt;&gt; "DIV"),#REF!/ SUM(#REF!), "")</f>
        <v/>
      </c>
      <c r="L57" s="31">
        <f>IF(AND(#REF!= "Buy", ISBLANK(#REF!),#REF!&lt;&gt; "DIV"), (1-Index!$F$2*2)*((#REF!*#REF!)-(#REF!*#REF!)), "")</f>
        <v/>
      </c>
      <c r="M57" s="31">
        <f>IF(AND(#REF!= "Buy", ISBLANK(#REF!),#REF!&lt;&gt; "DIV"), ((#REF!*#REF!)+#REF!), "")</f>
        <v/>
      </c>
      <c r="N57" s="32">
        <f>IF(AND(#REF!= "Buy", ISBLANK(#REF!),#REF!&lt;&gt; "DIV"),#REF!, "")</f>
        <v/>
      </c>
      <c r="O57" s="30">
        <f>IF(AND(#REF!= "Buy", ISBLANK(#REF!),#REF!&lt;&gt; "DIV", NOW()-#REF! &lt; 365),#REF!/ SUM(#REF!), "")</f>
        <v/>
      </c>
      <c r="P57" s="31">
        <f>IF(AND(#REF!= "Buy", ISBLANK(#REF!),#REF!&lt;&gt; "DIV", NOW()-#REF! &lt; 365), (1-Index!$F$2*2)*((#REF!*#REF!)-(#REF!*#REF!)), "")</f>
        <v/>
      </c>
      <c r="Q57" s="31">
        <f>IF(AND(#REF!= "Buy", ISBLANK(#REF!),#REF!&lt;&gt; "DIV", NOW()-#REF! &lt; 365), ((#REF!*#REF!)+#REF!), "")</f>
        <v/>
      </c>
      <c r="R57" s="31">
        <f>IF(AND(#REF!= "Buy", ISBLANK(#REF!),#REF!&lt;&gt; "DIV", NOW()-#REF! &lt; 365),#REF!, "")</f>
        <v/>
      </c>
      <c r="S57" s="33">
        <f>IF(AND(#REF!= "Buy", ISBLANK(#REF!),#REF!&lt;&gt; "DIV", NOW()-#REF! &gt; 365),#REF!/ SUM(#REF!), "")</f>
        <v/>
      </c>
      <c r="T57" s="34">
        <f>IF(AND(#REF!= "Buy", ISBLANK(#REF!),#REF!&lt;&gt; "DIV", NOW()-#REF! &gt; 365), (1-Index!$F$2*2)*((#REF!*#REF!)-(#REF!*#REF!)), "")</f>
        <v/>
      </c>
      <c r="U57" s="34">
        <f>IF(AND(#REF!= "Buy", ISBLANK(#REF!),#REF!&lt;&gt; "DIV", NOW()-#REF! &gt; 365), ((#REF!*#REF!)+#REF!), "")</f>
        <v/>
      </c>
      <c r="V57" s="34">
        <f>IF(AND(#REF!= "Buy", ISBLANK(#REF!),#REF!&lt;&gt; "DIV", NOW()-#REF! &gt; 365),#REF!, "")</f>
        <v/>
      </c>
      <c r="W57" s="43" t="n">
        <v>456.382222</v>
      </c>
      <c r="X57" s="44" t="n">
        <v>45565</v>
      </c>
      <c r="Y57" s="37" t="e">
        <v>#REF!</v>
      </c>
      <c r="Z57" s="38" t="e">
        <v>#REF!</v>
      </c>
      <c r="AA57" s="38" t="e">
        <v>#REF!</v>
      </c>
      <c r="AB57" s="39" t="e">
        <v>#REF!</v>
      </c>
      <c r="AC57" s="40">
        <f>IF(#REF!="DIV",#REF!, "")</f>
        <v/>
      </c>
      <c r="AD57" s="36" t="n"/>
      <c r="AE57" s="41" t="n"/>
    </row>
    <row r="58" ht="13" customHeight="1" s="68">
      <c r="A58" s="42" t="n">
        <v>45034</v>
      </c>
      <c r="B58" s="26" t="inlineStr">
        <is>
          <t>BSE</t>
        </is>
      </c>
      <c r="C58" s="26" t="inlineStr">
        <is>
          <t>Buy</t>
        </is>
      </c>
      <c r="D58" s="27" t="n">
        <v>8</v>
      </c>
      <c r="E58" s="28" t="n">
        <v>363.87</v>
      </c>
      <c r="F58" s="28" t="n">
        <v>2910.96</v>
      </c>
      <c r="G58" s="26" t="inlineStr">
        <is>
          <t>~</t>
        </is>
      </c>
      <c r="H58" s="27" t="n">
        <v>2.9</v>
      </c>
      <c r="I58" s="27" t="n">
        <v>17.66</v>
      </c>
      <c r="J58" s="29">
        <f>Index!$C$2</f>
        <v/>
      </c>
      <c r="K58" s="30">
        <f>IF(AND(#REF!= "Buy", ISBLANK(#REF!),#REF!&lt;&gt; "DIV"),#REF!/ SUM(#REF!), "")</f>
        <v/>
      </c>
      <c r="L58" s="31">
        <f>IF(AND(#REF!= "Buy", ISBLANK(#REF!),#REF!&lt;&gt; "DIV"), (1-Index!$F$2*2)*((#REF!*#REF!)-(#REF!*#REF!)), "")</f>
        <v/>
      </c>
      <c r="M58" s="31">
        <f>IF(AND(#REF!= "Buy", ISBLANK(#REF!),#REF!&lt;&gt; "DIV"), ((#REF!*#REF!)+#REF!), "")</f>
        <v/>
      </c>
      <c r="N58" s="32">
        <f>IF(AND(#REF!= "Buy", ISBLANK(#REF!),#REF!&lt;&gt; "DIV"),#REF!, "")</f>
        <v/>
      </c>
      <c r="O58" s="30">
        <f>IF(AND(#REF!= "Buy", ISBLANK(#REF!),#REF!&lt;&gt; "DIV", NOW()-#REF! &lt; 365),#REF!/ SUM(#REF!), "")</f>
        <v/>
      </c>
      <c r="P58" s="31">
        <f>IF(AND(#REF!= "Buy", ISBLANK(#REF!),#REF!&lt;&gt; "DIV", NOW()-#REF! &lt; 365), (1-Index!$F$2*2)*((#REF!*#REF!)-(#REF!*#REF!)), "")</f>
        <v/>
      </c>
      <c r="Q58" s="31">
        <f>IF(AND(#REF!= "Buy", ISBLANK(#REF!),#REF!&lt;&gt; "DIV", NOW()-#REF! &lt; 365), ((#REF!*#REF!)+#REF!), "")</f>
        <v/>
      </c>
      <c r="R58" s="31">
        <f>IF(AND(#REF!= "Buy", ISBLANK(#REF!),#REF!&lt;&gt; "DIV", NOW()-#REF! &lt; 365),#REF!, "")</f>
        <v/>
      </c>
      <c r="S58" s="33">
        <f>IF(AND(#REF!= "Buy", ISBLANK(#REF!),#REF!&lt;&gt; "DIV", NOW()-#REF! &gt; 365),#REF!/ SUM(#REF!), "")</f>
        <v/>
      </c>
      <c r="T58" s="34">
        <f>IF(AND(#REF!= "Buy", ISBLANK(#REF!),#REF!&lt;&gt; "DIV", NOW()-#REF! &gt; 365), (1-Index!$F$2*2)*((#REF!*#REF!)-(#REF!*#REF!)), "")</f>
        <v/>
      </c>
      <c r="U58" s="34">
        <f>IF(AND(#REF!= "Buy", ISBLANK(#REF!),#REF!&lt;&gt; "DIV", NOW()-#REF! &gt; 365), ((#REF!*#REF!)+#REF!), "")</f>
        <v/>
      </c>
      <c r="V58" s="34">
        <f>IF(AND(#REF!= "Buy", ISBLANK(#REF!),#REF!&lt;&gt; "DIV", NOW()-#REF! &gt; 365),#REF!, "")</f>
        <v/>
      </c>
      <c r="W58" s="43" t="n">
        <v>456.382222</v>
      </c>
      <c r="X58" s="44" t="n">
        <v>45565</v>
      </c>
      <c r="Y58" s="37" t="e">
        <v>#REF!</v>
      </c>
      <c r="Z58" s="38" t="e">
        <v>#REF!</v>
      </c>
      <c r="AA58" s="38" t="e">
        <v>#REF!</v>
      </c>
      <c r="AB58" s="39" t="e">
        <v>#REF!</v>
      </c>
      <c r="AC58" s="40">
        <f>IF(#REF!="DIV",#REF!, "")</f>
        <v/>
      </c>
      <c r="AD58" s="36" t="n"/>
      <c r="AE58" s="41" t="n"/>
    </row>
    <row r="59" ht="13" customHeight="1" s="68">
      <c r="A59" s="42" t="n">
        <v>44953</v>
      </c>
      <c r="B59" s="26" t="inlineStr">
        <is>
          <t>NSE</t>
        </is>
      </c>
      <c r="C59" s="26" t="inlineStr">
        <is>
          <t>Buy</t>
        </is>
      </c>
      <c r="D59" s="27" t="n">
        <v>9</v>
      </c>
      <c r="E59" s="28" t="n">
        <v>378.71</v>
      </c>
      <c r="F59" s="28" t="n">
        <v>3408.42</v>
      </c>
      <c r="G59" s="26" t="inlineStr">
        <is>
          <t>~</t>
        </is>
      </c>
      <c r="H59" s="27" t="n">
        <v>3.34</v>
      </c>
      <c r="I59" s="27" t="n">
        <v>20.63</v>
      </c>
      <c r="J59" s="29">
        <f>Index!$C$2</f>
        <v/>
      </c>
      <c r="K59" s="30">
        <f>IF(AND(#REF!= "Buy", ISBLANK(#REF!),#REF!&lt;&gt; "DIV"),#REF!/ SUM(#REF!), "")</f>
        <v/>
      </c>
      <c r="L59" s="31">
        <f>IF(AND(#REF!= "Buy", ISBLANK(#REF!),#REF!&lt;&gt; "DIV"), (1-Index!$F$2*2)*((#REF!*#REF!)-(#REF!*#REF!)), "")</f>
        <v/>
      </c>
      <c r="M59" s="31">
        <f>IF(AND(#REF!= "Buy", ISBLANK(#REF!),#REF!&lt;&gt; "DIV"), ((#REF!*#REF!)+#REF!), "")</f>
        <v/>
      </c>
      <c r="N59" s="32">
        <f>IF(AND(#REF!= "Buy", ISBLANK(#REF!),#REF!&lt;&gt; "DIV"),#REF!, "")</f>
        <v/>
      </c>
      <c r="O59" s="30">
        <f>IF(AND(#REF!= "Buy", ISBLANK(#REF!),#REF!&lt;&gt; "DIV", NOW()-#REF! &lt; 365),#REF!/ SUM(#REF!), "")</f>
        <v/>
      </c>
      <c r="P59" s="31">
        <f>IF(AND(#REF!= "Buy", ISBLANK(#REF!),#REF!&lt;&gt; "DIV", NOW()-#REF! &lt; 365), (1-Index!$F$2*2)*((#REF!*#REF!)-(#REF!*#REF!)), "")</f>
        <v/>
      </c>
      <c r="Q59" s="31">
        <f>IF(AND(#REF!= "Buy", ISBLANK(#REF!),#REF!&lt;&gt; "DIV", NOW()-#REF! &lt; 365), ((#REF!*#REF!)+#REF!), "")</f>
        <v/>
      </c>
      <c r="R59" s="31">
        <f>IF(AND(#REF!= "Buy", ISBLANK(#REF!),#REF!&lt;&gt; "DIV", NOW()-#REF! &lt; 365),#REF!, "")</f>
        <v/>
      </c>
      <c r="S59" s="33">
        <f>IF(AND(#REF!= "Buy", ISBLANK(#REF!),#REF!&lt;&gt; "DIV", NOW()-#REF! &gt; 365),#REF!/ SUM(#REF!), "")</f>
        <v/>
      </c>
      <c r="T59" s="34">
        <f>IF(AND(#REF!= "Buy", ISBLANK(#REF!),#REF!&lt;&gt; "DIV", NOW()-#REF! &gt; 365), (1-Index!$F$2*2)*((#REF!*#REF!)-(#REF!*#REF!)), "")</f>
        <v/>
      </c>
      <c r="U59" s="34">
        <f>IF(AND(#REF!= "Buy", ISBLANK(#REF!),#REF!&lt;&gt; "DIV", NOW()-#REF! &gt; 365), ((#REF!*#REF!)+#REF!), "")</f>
        <v/>
      </c>
      <c r="V59" s="34">
        <f>IF(AND(#REF!= "Buy", ISBLANK(#REF!),#REF!&lt;&gt; "DIV", NOW()-#REF! &gt; 365),#REF!, "")</f>
        <v/>
      </c>
      <c r="W59" s="43" t="n">
        <v>456.382222</v>
      </c>
      <c r="X59" s="44" t="n">
        <v>45565</v>
      </c>
      <c r="Y59" s="37" t="e">
        <v>#REF!</v>
      </c>
      <c r="Z59" s="38" t="e">
        <v>#REF!</v>
      </c>
      <c r="AA59" s="38" t="e">
        <v>#REF!</v>
      </c>
      <c r="AB59" s="39" t="e">
        <v>#REF!</v>
      </c>
      <c r="AC59" s="40">
        <f>IF(#REF!="DIV",#REF!, "")</f>
        <v/>
      </c>
      <c r="AD59" s="36" t="n"/>
      <c r="AE59" s="41" t="n"/>
    </row>
    <row r="60" ht="13" customHeight="1" s="68">
      <c r="A60" s="42" t="n">
        <v>44953</v>
      </c>
      <c r="B60" s="26" t="inlineStr">
        <is>
          <t>NSE</t>
        </is>
      </c>
      <c r="C60" s="26" t="inlineStr">
        <is>
          <t>Buy</t>
        </is>
      </c>
      <c r="D60" s="27" t="n">
        <v>1</v>
      </c>
      <c r="E60" s="28" t="n">
        <v>378.72</v>
      </c>
      <c r="F60" s="28" t="n">
        <v>378.72</v>
      </c>
      <c r="G60" s="26" t="inlineStr">
        <is>
          <t>~</t>
        </is>
      </c>
      <c r="H60" s="27" t="n">
        <v>0.38</v>
      </c>
      <c r="I60" s="27" t="n">
        <v>2.29</v>
      </c>
      <c r="J60" s="29">
        <f>Index!$C$2</f>
        <v/>
      </c>
      <c r="K60" s="30">
        <f>IF(AND(#REF!= "Buy", ISBLANK(#REF!),#REF!&lt;&gt; "DIV"),#REF!/ SUM(#REF!), "")</f>
        <v/>
      </c>
      <c r="L60" s="31">
        <f>IF(AND(#REF!= "Buy", ISBLANK(#REF!),#REF!&lt;&gt; "DIV"), (1-Index!$F$2*2)*((#REF!*#REF!)-(#REF!*#REF!)), "")</f>
        <v/>
      </c>
      <c r="M60" s="31">
        <f>IF(AND(#REF!= "Buy", ISBLANK(#REF!),#REF!&lt;&gt; "DIV"), ((#REF!*#REF!)+#REF!), "")</f>
        <v/>
      </c>
      <c r="N60" s="32">
        <f>IF(AND(#REF!= "Buy", ISBLANK(#REF!),#REF!&lt;&gt; "DIV"),#REF!, "")</f>
        <v/>
      </c>
      <c r="O60" s="30">
        <f>IF(AND(#REF!= "Buy", ISBLANK(#REF!),#REF!&lt;&gt; "DIV", NOW()-#REF! &lt; 365),#REF!/ SUM(#REF!), "")</f>
        <v/>
      </c>
      <c r="P60" s="31">
        <f>IF(AND(#REF!= "Buy", ISBLANK(#REF!),#REF!&lt;&gt; "DIV", NOW()-#REF! &lt; 365), (1-Index!$F$2*2)*((#REF!*#REF!)-(#REF!*#REF!)), "")</f>
        <v/>
      </c>
      <c r="Q60" s="31">
        <f>IF(AND(#REF!= "Buy", ISBLANK(#REF!),#REF!&lt;&gt; "DIV", NOW()-#REF! &lt; 365), ((#REF!*#REF!)+#REF!), "")</f>
        <v/>
      </c>
      <c r="R60" s="31">
        <f>IF(AND(#REF!= "Buy", ISBLANK(#REF!),#REF!&lt;&gt; "DIV", NOW()-#REF! &lt; 365),#REF!, "")</f>
        <v/>
      </c>
      <c r="S60" s="33">
        <f>IF(AND(#REF!= "Buy", ISBLANK(#REF!),#REF!&lt;&gt; "DIV", NOW()-#REF! &gt; 365),#REF!/ SUM(#REF!), "")</f>
        <v/>
      </c>
      <c r="T60" s="34">
        <f>IF(AND(#REF!= "Buy", ISBLANK(#REF!),#REF!&lt;&gt; "DIV", NOW()-#REF! &gt; 365), (1-Index!$F$2*2)*((#REF!*#REF!)-(#REF!*#REF!)), "")</f>
        <v/>
      </c>
      <c r="U60" s="34">
        <f>IF(AND(#REF!= "Buy", ISBLANK(#REF!),#REF!&lt;&gt; "DIV", NOW()-#REF! &gt; 365), ((#REF!*#REF!)+#REF!), "")</f>
        <v/>
      </c>
      <c r="V60" s="34">
        <f>IF(AND(#REF!= "Buy", ISBLANK(#REF!),#REF!&lt;&gt; "DIV", NOW()-#REF! &gt; 365),#REF!, "")</f>
        <v/>
      </c>
      <c r="W60" s="43" t="n">
        <v>456.382222</v>
      </c>
      <c r="X60" s="44" t="n">
        <v>45565</v>
      </c>
      <c r="Y60" s="37" t="e">
        <v>#REF!</v>
      </c>
      <c r="Z60" s="38" t="e">
        <v>#REF!</v>
      </c>
      <c r="AA60" s="38" t="e">
        <v>#REF!</v>
      </c>
      <c r="AB60" s="39" t="e">
        <v>#REF!</v>
      </c>
      <c r="AC60" s="40">
        <f>IF(#REF!="DIV",#REF!, "")</f>
        <v/>
      </c>
      <c r="AD60" s="36" t="n"/>
      <c r="AE60" s="41" t="n"/>
    </row>
    <row r="61" ht="13" customHeight="1" s="68">
      <c r="A61" s="42" t="n">
        <v>44950</v>
      </c>
      <c r="B61" s="26" t="inlineStr">
        <is>
          <t>NSE</t>
        </is>
      </c>
      <c r="C61" s="26" t="inlineStr">
        <is>
          <t>Buy</t>
        </is>
      </c>
      <c r="D61" s="27" t="n">
        <v>10</v>
      </c>
      <c r="E61" s="28" t="n">
        <v>390.75</v>
      </c>
      <c r="F61" s="28" t="n">
        <v>3907.45</v>
      </c>
      <c r="G61" s="26" t="inlineStr">
        <is>
          <t>~</t>
        </is>
      </c>
      <c r="H61" s="27" t="n">
        <v>3.86</v>
      </c>
      <c r="I61" s="27" t="n">
        <v>23.59</v>
      </c>
      <c r="J61" s="29">
        <f>Index!$C$2</f>
        <v/>
      </c>
      <c r="K61" s="30">
        <f>IF(AND( C28="Buy", ISBLANK(W28), B28&lt;&gt;"DIV"), L28/SUM(F28:I28), "")</f>
        <v/>
      </c>
      <c r="L61" s="31">
        <f>IF(AND( C28="Buy", ISBLANK(W28), B28&lt;&gt;"DIV"), (1-Index!$F$2*2)*((J28*D28)-(E28*D28)), "")</f>
        <v/>
      </c>
      <c r="M61" s="31">
        <f>IF(AND( C28="Buy", ISBLANK(W28), B28&lt;&gt;"DIV"), ((E28*D28)+L28), "")</f>
        <v/>
      </c>
      <c r="N61" s="32">
        <f>IF(AND( C28="Buy", ISBLANK(W28), B28&lt;&gt;"DIV"), D28, "")</f>
        <v/>
      </c>
      <c r="O61" s="30">
        <f>IF(AND( C28="Buy", ISBLANK(W28), B28&lt;&gt;"DIV", NOW()-A28 &lt; 365), P28/SUM(F28:I28), "")</f>
        <v/>
      </c>
      <c r="P61" s="31">
        <f>IF(AND( C28="Buy", ISBLANK(W28), B28&lt;&gt;"DIV", NOW()-A28 &lt; 365), (1-Index!$F$2*2)*((J28*D28)-(E28*D28)), "")</f>
        <v/>
      </c>
      <c r="Q61" s="31">
        <f>IF(AND( C28="Buy", ISBLANK(W28), B28&lt;&gt;"DIV", NOW()-A28 &lt; 365), ((E28*D28)+P28), "")</f>
        <v/>
      </c>
      <c r="R61" s="31">
        <f>IF(AND( C28="Buy", ISBLANK(W28), B28&lt;&gt;"DIV", NOW()-A28 &lt; 365), D28, "")</f>
        <v/>
      </c>
      <c r="S61" s="33">
        <f>IF(AND( C28="Buy", ISBLANK(W28), B28&lt;&gt;"DIV", NOW()-A28 &gt; 365), T28/SUM(F28:I28), "")</f>
        <v/>
      </c>
      <c r="T61" s="34">
        <f>IF(AND( C28="Buy", ISBLANK(W28), B28&lt;&gt;"DIV", NOW()-A28 &gt; 365), (1-Index!$F$2*2)*((J28*D28)-(E28*D28)), "")</f>
        <v/>
      </c>
      <c r="U61" s="34">
        <f>IF(AND( C28="Buy", ISBLANK(W28), B28&lt;&gt;"DIV", NOW()-A28 &gt; 365), ((E28*D28)+T28), "")</f>
        <v/>
      </c>
      <c r="V61" s="34">
        <f>IF(AND( C28="Buy", ISBLANK(W28), B28&lt;&gt;"DIV", NOW()-A28 &gt; 365), D28, "")</f>
        <v/>
      </c>
      <c r="W61" s="43" t="n">
        <v>456.382222</v>
      </c>
      <c r="X61" s="44" t="n">
        <v>45565</v>
      </c>
      <c r="Y61" s="37">
        <f>IF(AND( C28="Buy", W28&lt;&gt;"", AA28&lt;&gt;"", B28&lt;&gt;"DIV"), Z28/SUM(F28:I28), "")</f>
        <v/>
      </c>
      <c r="Z61" s="38" t="n">
        <v>-7308.4292</v>
      </c>
      <c r="AA61" s="38" t="n">
        <v>7412.200000000001</v>
      </c>
      <c r="AB61" s="39" t="n">
        <v>10</v>
      </c>
      <c r="AC61" s="40">
        <f>IF(B28="DIV", F28,"")</f>
        <v/>
      </c>
      <c r="AD61" s="36" t="n"/>
      <c r="AE61" s="41" t="n"/>
    </row>
    <row r="62" ht="13" customHeight="1" s="68">
      <c r="A62" s="25" t="n">
        <v>44232</v>
      </c>
      <c r="B62" s="26" t="inlineStr">
        <is>
          <t>NSE</t>
        </is>
      </c>
      <c r="C62" s="26" t="inlineStr">
        <is>
          <t>Sell</t>
        </is>
      </c>
      <c r="D62" s="27" t="n">
        <v>55</v>
      </c>
      <c r="E62" s="28" t="n">
        <v>512.11</v>
      </c>
      <c r="F62" s="28" t="n">
        <v>28165.9</v>
      </c>
      <c r="G62" s="26" t="n"/>
      <c r="H62" s="27" t="n">
        <v>28.33</v>
      </c>
      <c r="I62" s="27" t="n">
        <v>168.47</v>
      </c>
      <c r="J62" s="29">
        <f>Index!$C$2</f>
        <v/>
      </c>
      <c r="K62" s="30">
        <f>IF(AND( C29="Buy", ISBLANK(W29), B29&lt;&gt;"DIV"), L29/SUM(F29:I29), "")</f>
        <v/>
      </c>
      <c r="L62" s="31">
        <f>IF(AND( C29="Buy", ISBLANK(W29), B29&lt;&gt;"DIV"), (1-Index!$F$2*2)*((J29*D29)-(E29*D29)), "")</f>
        <v/>
      </c>
      <c r="M62" s="31">
        <f>IF(AND( C29="Buy", ISBLANK(W29), B29&lt;&gt;"DIV"), ((E29*D29)+L29), "")</f>
        <v/>
      </c>
      <c r="N62" s="32">
        <f>IF(AND( C29="Buy", ISBLANK(W29), B29&lt;&gt;"DIV"), D29, "")</f>
        <v/>
      </c>
      <c r="O62" s="30">
        <f>IF(AND( C29="Buy", ISBLANK(W29), B29&lt;&gt;"DIV", NOW()-A29 &lt; 365), P29/SUM(F29:I29), "")</f>
        <v/>
      </c>
      <c r="P62" s="31">
        <f>IF(AND( C29="Buy", ISBLANK(W29), B29&lt;&gt;"DIV", NOW()-A29 &lt; 365), (1-Index!$F$2*2)*((J29*D29)-(E29*D29)), "")</f>
        <v/>
      </c>
      <c r="Q62" s="31">
        <f>IF(AND( C29="Buy", ISBLANK(W29), B29&lt;&gt;"DIV", NOW()-A29 &lt; 365), ((E29*D29)+P29), "")</f>
        <v/>
      </c>
      <c r="R62" s="31">
        <f>IF(AND( C29="Buy", ISBLANK(W29), B29&lt;&gt;"DIV", NOW()-A29 &lt; 365), D29, "")</f>
        <v/>
      </c>
      <c r="S62" s="33">
        <f>IF(AND( C29="Buy", ISBLANK(W29), B29&lt;&gt;"DIV", NOW()-A29 &gt; 365), T29/SUM(F29:I29), "")</f>
        <v/>
      </c>
      <c r="T62" s="34">
        <f>IF(AND( C29="Buy", ISBLANK(W29), B29&lt;&gt;"DIV", NOW()-A29 &gt; 365), (1-Index!$F$2*2)*((J29*D29)-(E29*D29)), "")</f>
        <v/>
      </c>
      <c r="U62" s="34">
        <f>IF(AND( C29="Buy", ISBLANK(W29), B29&lt;&gt;"DIV", NOW()-A29 &gt; 365), ((E29*D29)+T29), "")</f>
        <v/>
      </c>
      <c r="V62" s="34">
        <f>IF(AND( C29="Buy", ISBLANK(W29), B29&lt;&gt;"DIV", NOW()-A29 &gt; 365), D29, "")</f>
        <v/>
      </c>
      <c r="W62" s="45" t="n"/>
      <c r="X62" s="34" t="n"/>
      <c r="Y62" s="33">
        <f>IF(AND( C29="Buy", W29&lt;&gt;"", AA29&lt;&gt;"", B29&lt;&gt;"DIV"), Z29/SUM(F29:I29), "")</f>
        <v/>
      </c>
      <c r="Z62" s="34" t="n"/>
      <c r="AA62" s="34" t="n"/>
      <c r="AB62" s="35" t="n"/>
      <c r="AC62" s="31">
        <f>IF(B29="DIV", F29,"")</f>
        <v/>
      </c>
      <c r="AD62" s="36" t="n"/>
    </row>
    <row r="63" ht="13" customHeight="1" s="68">
      <c r="A63" s="25" t="n">
        <v>44228</v>
      </c>
      <c r="B63" s="26" t="inlineStr">
        <is>
          <t>NSE</t>
        </is>
      </c>
      <c r="C63" s="26" t="inlineStr">
        <is>
          <t>Sell</t>
        </is>
      </c>
      <c r="D63" s="27" t="n">
        <v>50</v>
      </c>
      <c r="E63" s="28" t="n">
        <v>517.9299999999999</v>
      </c>
      <c r="F63" s="28" t="n">
        <v>25896.47</v>
      </c>
      <c r="G63" s="26" t="n"/>
      <c r="H63" s="27" t="n">
        <v>26.08</v>
      </c>
      <c r="I63" s="27" t="n">
        <v>154.95</v>
      </c>
      <c r="J63" s="29">
        <f>Index!$C$2</f>
        <v/>
      </c>
      <c r="K63" s="30">
        <f>IF(AND( C30="Buy", ISBLANK(W30), B30&lt;&gt;"DIV"), L30/SUM(F30:I30), "")</f>
        <v/>
      </c>
      <c r="L63" s="31">
        <f>IF(AND( C30="Buy", ISBLANK(W30), B30&lt;&gt;"DIV"), (1-Index!$F$2*2)*((J30*D30)-(E30*D30)), "")</f>
        <v/>
      </c>
      <c r="M63" s="31">
        <f>IF(AND( C30="Buy", ISBLANK(W30), B30&lt;&gt;"DIV"), ((E30*D30)+L30), "")</f>
        <v/>
      </c>
      <c r="N63" s="32">
        <f>IF(AND( C30="Buy", ISBLANK(W30), B30&lt;&gt;"DIV"), D30, "")</f>
        <v/>
      </c>
      <c r="O63" s="30">
        <f>IF(AND( C30="Buy", ISBLANK(W30), B30&lt;&gt;"DIV", NOW()-A30 &lt; 365), P30/SUM(F30:I30), "")</f>
        <v/>
      </c>
      <c r="P63" s="31">
        <f>IF(AND( C30="Buy", ISBLANK(W30), B30&lt;&gt;"DIV", NOW()-A30 &lt; 365), (1-Index!$F$2*2)*((J30*D30)-(E30*D30)), "")</f>
        <v/>
      </c>
      <c r="Q63" s="31">
        <f>IF(AND( C30="Buy", ISBLANK(W30), B30&lt;&gt;"DIV", NOW()-A30 &lt; 365), ((E30*D30)+P30), "")</f>
        <v/>
      </c>
      <c r="R63" s="31">
        <f>IF(AND( C30="Buy", ISBLANK(W30), B30&lt;&gt;"DIV", NOW()-A30 &lt; 365), D30, "")</f>
        <v/>
      </c>
      <c r="S63" s="33">
        <f>IF(AND( C30="Buy", ISBLANK(W30), B30&lt;&gt;"DIV", NOW()-A30 &gt; 365), T30/SUM(F30:I30), "")</f>
        <v/>
      </c>
      <c r="T63" s="34">
        <f>IF(AND( C30="Buy", ISBLANK(W30), B30&lt;&gt;"DIV", NOW()-A30 &gt; 365), (1-Index!$F$2*2)*((J30*D30)-(E30*D30)), "")</f>
        <v/>
      </c>
      <c r="U63" s="34">
        <f>IF(AND( C30="Buy", ISBLANK(W30), B30&lt;&gt;"DIV", NOW()-A30 &gt; 365), ((E30*D30)+T30), "")</f>
        <v/>
      </c>
      <c r="V63" s="34">
        <f>IF(AND( C30="Buy", ISBLANK(W30), B30&lt;&gt;"DIV", NOW()-A30 &gt; 365), D30, "")</f>
        <v/>
      </c>
      <c r="W63" s="45" t="n"/>
      <c r="X63" s="34" t="n"/>
      <c r="Y63" s="33">
        <f>IF(AND( C30="Buy", W30&lt;&gt;"", AA30&lt;&gt;"", B30&lt;&gt;"DIV"), Z30/SUM(F30:I30), "")</f>
        <v/>
      </c>
      <c r="Z63" s="34" t="n"/>
      <c r="AA63" s="34" t="n"/>
      <c r="AB63" s="35" t="n"/>
      <c r="AC63" s="31">
        <f>IF(B30="DIV", F30,"")</f>
        <v/>
      </c>
      <c r="AD63" s="36" t="n"/>
    </row>
    <row r="64" ht="13" customHeight="1" s="68">
      <c r="A64" s="42" t="n">
        <v>44152</v>
      </c>
      <c r="B64" s="26" t="inlineStr">
        <is>
          <t>NSE</t>
        </is>
      </c>
      <c r="C64" s="26" t="inlineStr">
        <is>
          <t>Buy</t>
        </is>
      </c>
      <c r="D64" s="27" t="n">
        <v>5</v>
      </c>
      <c r="E64" s="28" t="n">
        <v>487.94</v>
      </c>
      <c r="F64" s="28" t="n">
        <v>2439.72</v>
      </c>
      <c r="G64" s="26" t="n"/>
      <c r="H64" s="27" t="n">
        <v>1.97</v>
      </c>
      <c r="I64" s="27" t="n">
        <v>14.75</v>
      </c>
      <c r="J64" s="29">
        <f>Index!$C$2</f>
        <v/>
      </c>
      <c r="K64" s="30">
        <f>IF(AND( C31="Buy", ISBLANK(W31), B31&lt;&gt;"DIV"), L31/SUM(F31:I31), "")</f>
        <v/>
      </c>
      <c r="L64" s="31">
        <f>IF(AND( C31="Buy", ISBLANK(W31), B31&lt;&gt;"DIV"), (1-Index!$F$2*2)*((J31*D31)-(E31*D31)), "")</f>
        <v/>
      </c>
      <c r="M64" s="31">
        <f>IF(AND( C31="Buy", ISBLANK(W31), B31&lt;&gt;"DIV"), ((E31*D31)+L31), "")</f>
        <v/>
      </c>
      <c r="N64" s="32">
        <f>IF(AND( C31="Buy", ISBLANK(W31), B31&lt;&gt;"DIV"), D31, "")</f>
        <v/>
      </c>
      <c r="O64" s="30">
        <f>IF(AND( C31="Buy", ISBLANK(W31), B31&lt;&gt;"DIV", NOW()-A31 &lt; 365), P31/SUM(F31:I31), "")</f>
        <v/>
      </c>
      <c r="P64" s="31">
        <f>IF(AND( C31="Buy", ISBLANK(W31), B31&lt;&gt;"DIV", NOW()-A31 &lt; 365), (1-Index!$F$2*2)*((J31*D31)-(E31*D31)), "")</f>
        <v/>
      </c>
      <c r="Q64" s="31">
        <f>IF(AND( C31="Buy", ISBLANK(W31), B31&lt;&gt;"DIV", NOW()-A31 &lt; 365), ((E31*D31)+P31), "")</f>
        <v/>
      </c>
      <c r="R64" s="31">
        <f>IF(AND( C31="Buy", ISBLANK(W31), B31&lt;&gt;"DIV", NOW()-A31 &lt; 365), D31, "")</f>
        <v/>
      </c>
      <c r="S64" s="33">
        <f>IF(AND( C31="Buy", ISBLANK(W31), B31&lt;&gt;"DIV", NOW()-A31 &gt; 365), T31/SUM(F31:I31), "")</f>
        <v/>
      </c>
      <c r="T64" s="34">
        <f>IF(AND( C31="Buy", ISBLANK(W31), B31&lt;&gt;"DIV", NOW()-A31 &gt; 365), (1-Index!$F$2*2)*((J31*D31)-(E31*D31)), "")</f>
        <v/>
      </c>
      <c r="U64" s="34">
        <f>IF(AND( C31="Buy", ISBLANK(W31), B31&lt;&gt;"DIV", NOW()-A31 &gt; 365), ((E31*D31)+T31), "")</f>
        <v/>
      </c>
      <c r="V64" s="34">
        <f>IF(AND( C31="Buy", ISBLANK(W31), B31&lt;&gt;"DIV", NOW()-A31 &gt; 365), D31, "")</f>
        <v/>
      </c>
      <c r="W64" s="43" t="n">
        <v>508.531818</v>
      </c>
      <c r="X64" s="44" t="n">
        <v>45565</v>
      </c>
      <c r="Y64" s="37">
        <f>IF(AND( C31="Buy", W31&lt;&gt;"", AA31&lt;&gt;"", B31&lt;&gt;"DIV"), Z31/SUM(F31:I31), "")</f>
        <v/>
      </c>
      <c r="Z64" s="38" t="n">
        <v>-763.4598</v>
      </c>
      <c r="AA64" s="38" t="n">
        <v>774.3</v>
      </c>
      <c r="AB64" s="39" t="n">
        <v>1</v>
      </c>
      <c r="AC64" s="40">
        <f>IF(B31="DIV", F31,"")</f>
        <v/>
      </c>
      <c r="AD64" s="36" t="n"/>
      <c r="AE64" s="41" t="n"/>
    </row>
    <row r="65" ht="13" customHeight="1" s="68">
      <c r="A65" s="42" t="n">
        <v>44089</v>
      </c>
      <c r="B65" s="26" t="inlineStr">
        <is>
          <t>NSE</t>
        </is>
      </c>
      <c r="C65" s="26" t="inlineStr">
        <is>
          <t>Sell</t>
        </is>
      </c>
      <c r="D65" s="27" t="n">
        <v>20</v>
      </c>
      <c r="E65" s="28" t="n">
        <v>536.5700000000001</v>
      </c>
      <c r="F65" s="28" t="n">
        <v>10731.39</v>
      </c>
      <c r="G65" s="26" t="n"/>
      <c r="H65" s="27" t="n">
        <v>10.56</v>
      </c>
      <c r="I65" s="27" t="n">
        <v>65.05</v>
      </c>
      <c r="J65" s="29">
        <f>Index!$C$2</f>
        <v/>
      </c>
      <c r="K65" s="30">
        <f>IF(AND( C32="Buy", ISBLANK(W32), B32&lt;&gt;"DIV"), L32/SUM(F32:I32), "")</f>
        <v/>
      </c>
      <c r="L65" s="31">
        <f>IF(AND( C32="Buy", ISBLANK(W32), B32&lt;&gt;"DIV"), (1-Index!$F$2*2)*((J32*D32)-(E32*D32)), "")</f>
        <v/>
      </c>
      <c r="M65" s="31">
        <f>IF(AND( C32="Buy", ISBLANK(W32), B32&lt;&gt;"DIV"), ((E32*D32)+L32), "")</f>
        <v/>
      </c>
      <c r="N65" s="32">
        <f>IF(AND( C32="Buy", ISBLANK(W32), B32&lt;&gt;"DIV"), D32, "")</f>
        <v/>
      </c>
      <c r="O65" s="30">
        <f>IF(AND( C32="Buy", ISBLANK(W32), B32&lt;&gt;"DIV", NOW()-A32 &lt; 365), P32/SUM(F32:I32), "")</f>
        <v/>
      </c>
      <c r="P65" s="31">
        <f>IF(AND( C32="Buy", ISBLANK(W32), B32&lt;&gt;"DIV", NOW()-A32 &lt; 365), (1-Index!$F$2*2)*((J32*D32)-(E32*D32)), "")</f>
        <v/>
      </c>
      <c r="Q65" s="31">
        <f>IF(AND( C32="Buy", ISBLANK(W32), B32&lt;&gt;"DIV", NOW()-A32 &lt; 365), ((E32*D32)+P32), "")</f>
        <v/>
      </c>
      <c r="R65" s="31">
        <f>IF(AND( C32="Buy", ISBLANK(W32), B32&lt;&gt;"DIV", NOW()-A32 &lt; 365), D32, "")</f>
        <v/>
      </c>
      <c r="S65" s="33">
        <f>IF(AND( C32="Buy", ISBLANK(W32), B32&lt;&gt;"DIV", NOW()-A32 &gt; 365), T32/SUM(F32:I32), "")</f>
        <v/>
      </c>
      <c r="T65" s="34">
        <f>IF(AND( C32="Buy", ISBLANK(W32), B32&lt;&gt;"DIV", NOW()-A32 &gt; 365), (1-Index!$F$2*2)*((J32*D32)-(E32*D32)), "")</f>
        <v/>
      </c>
      <c r="U65" s="34">
        <f>IF(AND( C32="Buy", ISBLANK(W32), B32&lt;&gt;"DIV", NOW()-A32 &gt; 365), ((E32*D32)+T32), "")</f>
        <v/>
      </c>
      <c r="V65" s="34">
        <f>IF(AND( C32="Buy", ISBLANK(W32), B32&lt;&gt;"DIV", NOW()-A32 &gt; 365), D32, "")</f>
        <v/>
      </c>
      <c r="W65" s="45" t="n"/>
      <c r="X65" s="34" t="n"/>
      <c r="Y65" s="33">
        <f>IF(AND( C32="Buy", W32&lt;&gt;"", AA32&lt;&gt;"", B32&lt;&gt;"DIV"), Z32/SUM(F32:I32), "")</f>
        <v/>
      </c>
      <c r="Z65" s="34" t="n"/>
      <c r="AA65" s="34" t="n"/>
      <c r="AB65" s="35" t="n"/>
      <c r="AC65" s="31">
        <f>IF(B32="DIV", F32,"")</f>
        <v/>
      </c>
      <c r="AD65" s="36" t="n"/>
    </row>
    <row r="66" ht="13" customHeight="1" s="68">
      <c r="A66" s="42" t="n">
        <v>44063</v>
      </c>
      <c r="B66" s="26" t="inlineStr">
        <is>
          <t>DIV</t>
        </is>
      </c>
      <c r="C66" s="26" t="inlineStr">
        <is>
          <t>Buy</t>
        </is>
      </c>
      <c r="D66" s="27" t="n">
        <v>120</v>
      </c>
      <c r="E66" s="28" t="n">
        <v>0.09</v>
      </c>
      <c r="F66" s="28" t="n">
        <v>11.1</v>
      </c>
      <c r="G66" s="26" t="inlineStr">
        <is>
          <t>Dividend of Rs.0.0925/- per share on 20-AUG-2020 Final-Dividend of Rs.0.1000/- per share on Ex-Date: 20-AUG-2020</t>
        </is>
      </c>
      <c r="H66" s="27" t="n">
        <v>0</v>
      </c>
      <c r="I66" s="27" t="n">
        <v>0</v>
      </c>
      <c r="J66" s="29">
        <f>Index!$C$2</f>
        <v/>
      </c>
      <c r="K66" s="30">
        <f>IF(AND( C33="Buy", ISBLANK(W33), B33&lt;&gt;"DIV"), L33/SUM(F33:I33), "")</f>
        <v/>
      </c>
      <c r="L66" s="31">
        <f>IF(AND( C33="Buy", ISBLANK(W33), B33&lt;&gt;"DIV"), (1-Index!$F$2*2)*((J33*D33)-(E33*D33)), "")</f>
        <v/>
      </c>
      <c r="M66" s="31">
        <f>IF(AND( C33="Buy", ISBLANK(W33), B33&lt;&gt;"DIV"), ((E33*D33)+L33), "")</f>
        <v/>
      </c>
      <c r="N66" s="32">
        <f>IF(AND( C33="Buy", ISBLANK(W33), B33&lt;&gt;"DIV"), D33, "")</f>
        <v/>
      </c>
      <c r="O66" s="30">
        <f>IF(AND( C33="Buy", ISBLANK(W33), B33&lt;&gt;"DIV", NOW()-A33 &lt; 365), P33/SUM(F33:I33), "")</f>
        <v/>
      </c>
      <c r="P66" s="31">
        <f>IF(AND( C33="Buy", ISBLANK(W33), B33&lt;&gt;"DIV", NOW()-A33 &lt; 365), (1-Index!$F$2*2)*((J33*D33)-(E33*D33)), "")</f>
        <v/>
      </c>
      <c r="Q66" s="31">
        <f>IF(AND( C33="Buy", ISBLANK(W33), B33&lt;&gt;"DIV", NOW()-A33 &lt; 365), ((E33*D33)+P33), "")</f>
        <v/>
      </c>
      <c r="R66" s="31">
        <f>IF(AND( C33="Buy", ISBLANK(W33), B33&lt;&gt;"DIV", NOW()-A33 &lt; 365), D33, "")</f>
        <v/>
      </c>
      <c r="S66" s="33">
        <f>IF(AND( C33="Buy", ISBLANK(W33), B33&lt;&gt;"DIV", NOW()-A33 &gt; 365), T33/SUM(F33:I33), "")</f>
        <v/>
      </c>
      <c r="T66" s="34">
        <f>IF(AND( C33="Buy", ISBLANK(W33), B33&lt;&gt;"DIV", NOW()-A33 &gt; 365), (1-Index!$F$2*2)*((J33*D33)-(E33*D33)), "")</f>
        <v/>
      </c>
      <c r="U66" s="34">
        <f>IF(AND( C33="Buy", ISBLANK(W33), B33&lt;&gt;"DIV", NOW()-A33 &gt; 365), ((E33*D33)+T33), "")</f>
        <v/>
      </c>
      <c r="V66" s="34">
        <f>IF(AND( C33="Buy", ISBLANK(W33), B33&lt;&gt;"DIV", NOW()-A33 &gt; 365), D33, "")</f>
        <v/>
      </c>
      <c r="W66" s="45" t="n"/>
      <c r="X66" s="34" t="n"/>
      <c r="Y66" s="33">
        <f>IF(AND( C33="Buy", W33&lt;&gt;"", AA33&lt;&gt;"", B33&lt;&gt;"DIV"), Z33/SUM(F33:I33), "")</f>
        <v/>
      </c>
      <c r="Z66" s="34" t="n"/>
      <c r="AA66" s="34" t="n"/>
      <c r="AB66" s="35" t="n"/>
      <c r="AC66" s="31">
        <f>IF(B33="DIV", F33,"")</f>
        <v/>
      </c>
      <c r="AD66" s="36" t="n"/>
    </row>
    <row r="67" ht="13" customHeight="1" s="68">
      <c r="A67" s="42" t="n">
        <v>44043</v>
      </c>
      <c r="B67" s="26" t="inlineStr">
        <is>
          <t>NSE</t>
        </is>
      </c>
      <c r="C67" s="26" t="inlineStr">
        <is>
          <t>Buy</t>
        </is>
      </c>
      <c r="D67" s="27" t="n">
        <v>10</v>
      </c>
      <c r="E67" s="28" t="n">
        <v>453.3</v>
      </c>
      <c r="F67" s="28" t="n">
        <v>4533.01</v>
      </c>
      <c r="G67" s="26" t="n"/>
      <c r="H67" s="27" t="n">
        <v>4.57</v>
      </c>
      <c r="I67" s="27" t="n">
        <v>27.44</v>
      </c>
      <c r="J67" s="29">
        <f>Index!$C$2</f>
        <v/>
      </c>
      <c r="K67" s="30">
        <f>IF(AND( C34="Buy", ISBLANK(W34), B34&lt;&gt;"DIV"), L34/SUM(F34:I34), "")</f>
        <v/>
      </c>
      <c r="L67" s="31">
        <f>IF(AND( C34="Buy", ISBLANK(W34), B34&lt;&gt;"DIV"), (1-Index!$F$2*2)*((J34*D34)-(E34*D34)), "")</f>
        <v/>
      </c>
      <c r="M67" s="31">
        <f>IF(AND( C34="Buy", ISBLANK(W34), B34&lt;&gt;"DIV"), ((E34*D34)+L34), "")</f>
        <v/>
      </c>
      <c r="N67" s="32">
        <f>IF(AND( C34="Buy", ISBLANK(W34), B34&lt;&gt;"DIV"), D34, "")</f>
        <v/>
      </c>
      <c r="O67" s="30">
        <f>IF(AND( C34="Buy", ISBLANK(W34), B34&lt;&gt;"DIV", NOW()-A34 &lt; 365), P34/SUM(F34:I34), "")</f>
        <v/>
      </c>
      <c r="P67" s="31">
        <f>IF(AND( C34="Buy", ISBLANK(W34), B34&lt;&gt;"DIV", NOW()-A34 &lt; 365), (1-Index!$F$2*2)*((J34*D34)-(E34*D34)), "")</f>
        <v/>
      </c>
      <c r="Q67" s="31">
        <f>IF(AND( C34="Buy", ISBLANK(W34), B34&lt;&gt;"DIV", NOW()-A34 &lt; 365), ((E34*D34)+P34), "")</f>
        <v/>
      </c>
      <c r="R67" s="31">
        <f>IF(AND( C34="Buy", ISBLANK(W34), B34&lt;&gt;"DIV", NOW()-A34 &lt; 365), D34, "")</f>
        <v/>
      </c>
      <c r="S67" s="33">
        <f>IF(AND( C34="Buy", ISBLANK(W34), B34&lt;&gt;"DIV", NOW()-A34 &gt; 365), T34/SUM(F34:I34), "")</f>
        <v/>
      </c>
      <c r="T67" s="34">
        <f>IF(AND( C34="Buy", ISBLANK(W34), B34&lt;&gt;"DIV", NOW()-A34 &gt; 365), (1-Index!$F$2*2)*((J34*D34)-(E34*D34)), "")</f>
        <v/>
      </c>
      <c r="U67" s="34">
        <f>IF(AND( C34="Buy", ISBLANK(W34), B34&lt;&gt;"DIV", NOW()-A34 &gt; 365), ((E34*D34)+T34), "")</f>
        <v/>
      </c>
      <c r="V67" s="34">
        <f>IF(AND( C34="Buy", ISBLANK(W34), B34&lt;&gt;"DIV", NOW()-A34 &gt; 365), D34, "")</f>
        <v/>
      </c>
      <c r="W67" s="43" t="n">
        <v>508.531818</v>
      </c>
      <c r="X67" s="44" t="n">
        <v>45565</v>
      </c>
      <c r="Y67" s="37">
        <f>IF(AND( C34="Buy", W34&lt;&gt;"", AA34&lt;&gt;"", B34&lt;&gt;"DIV"), Z34/SUM(F34:I34), "")</f>
        <v/>
      </c>
      <c r="Z67" s="38" t="n">
        <v>-4855.557</v>
      </c>
      <c r="AA67" s="38" t="n">
        <v>4924.5</v>
      </c>
      <c r="AB67" s="39" t="n">
        <v>10</v>
      </c>
      <c r="AC67" s="40">
        <f>IF(B34="DIV", F34,"")</f>
        <v/>
      </c>
      <c r="AD67" s="36" t="n"/>
      <c r="AE67" s="41" t="n"/>
    </row>
    <row r="68" ht="13" customHeight="1" s="68">
      <c r="A68" s="42" t="n">
        <v>44036</v>
      </c>
      <c r="B68" s="26" t="inlineStr">
        <is>
          <t>NSE</t>
        </is>
      </c>
      <c r="C68" s="26" t="inlineStr">
        <is>
          <t>Buy</t>
        </is>
      </c>
      <c r="D68" s="27" t="n">
        <v>5</v>
      </c>
      <c r="E68" s="28" t="n">
        <v>445.3</v>
      </c>
      <c r="F68" s="28" t="n">
        <v>2226.52</v>
      </c>
      <c r="G68" s="26" t="n"/>
      <c r="H68" s="27" t="n">
        <v>2.23</v>
      </c>
      <c r="I68" s="27" t="n">
        <v>13.29</v>
      </c>
      <c r="J68" s="29">
        <f>Index!$C$2</f>
        <v/>
      </c>
      <c r="K68" s="30">
        <f>IF(AND( C35="Buy", ISBLANK(W35), B35&lt;&gt;"DIV"), L35/SUM(F35:I35), "")</f>
        <v/>
      </c>
      <c r="L68" s="31">
        <f>IF(AND( C35="Buy", ISBLANK(W35), B35&lt;&gt;"DIV"), (1-Index!$F$2*2)*((J35*D35)-(E35*D35)), "")</f>
        <v/>
      </c>
      <c r="M68" s="31">
        <f>IF(AND( C35="Buy", ISBLANK(W35), B35&lt;&gt;"DIV"), ((E35*D35)+L35), "")</f>
        <v/>
      </c>
      <c r="N68" s="32">
        <f>IF(AND( C35="Buy", ISBLANK(W35), B35&lt;&gt;"DIV"), D35, "")</f>
        <v/>
      </c>
      <c r="O68" s="30">
        <f>IF(AND( C35="Buy", ISBLANK(W35), B35&lt;&gt;"DIV", NOW()-A35 &lt; 365), P35/SUM(F35:I35), "")</f>
        <v/>
      </c>
      <c r="P68" s="31">
        <f>IF(AND( C35="Buy", ISBLANK(W35), B35&lt;&gt;"DIV", NOW()-A35 &lt; 365), (1-Index!$F$2*2)*((J35*D35)-(E35*D35)), "")</f>
        <v/>
      </c>
      <c r="Q68" s="31">
        <f>IF(AND( C35="Buy", ISBLANK(W35), B35&lt;&gt;"DIV", NOW()-A35 &lt; 365), ((E35*D35)+P35), "")</f>
        <v/>
      </c>
      <c r="R68" s="31">
        <f>IF(AND( C35="Buy", ISBLANK(W35), B35&lt;&gt;"DIV", NOW()-A35 &lt; 365), D35, "")</f>
        <v/>
      </c>
      <c r="S68" s="33">
        <f>IF(AND( C35="Buy", ISBLANK(W35), B35&lt;&gt;"DIV", NOW()-A35 &gt; 365), T35/SUM(F35:I35), "")</f>
        <v/>
      </c>
      <c r="T68" s="34">
        <f>IF(AND( C35="Buy", ISBLANK(W35), B35&lt;&gt;"DIV", NOW()-A35 &gt; 365), (1-Index!$F$2*2)*((J35*D35)-(E35*D35)), "")</f>
        <v/>
      </c>
      <c r="U68" s="34">
        <f>IF(AND( C35="Buy", ISBLANK(W35), B35&lt;&gt;"DIV", NOW()-A35 &gt; 365), ((E35*D35)+T35), "")</f>
        <v/>
      </c>
      <c r="V68" s="34">
        <f>IF(AND( C35="Buy", ISBLANK(W35), B35&lt;&gt;"DIV", NOW()-A35 &gt; 365), D35, "")</f>
        <v/>
      </c>
      <c r="W68" s="43" t="n">
        <v>508.531818</v>
      </c>
      <c r="X68" s="44" t="n">
        <v>45565</v>
      </c>
      <c r="Y68" s="37" t="n">
        <v>-0.05478210624049307</v>
      </c>
      <c r="Z68" s="38" t="n">
        <v>1093.769799999999</v>
      </c>
      <c r="AA68" s="38" t="n">
        <v>3799.45</v>
      </c>
      <c r="AB68" s="39" t="n">
        <v>10</v>
      </c>
      <c r="AC68" s="40">
        <f>IF(B35="DIV", F35,"")</f>
        <v/>
      </c>
      <c r="AD68" s="36" t="n"/>
      <c r="AE68" s="41" t="n"/>
    </row>
    <row r="69" ht="13" customHeight="1" s="68">
      <c r="A69" s="46" t="n">
        <v>43966</v>
      </c>
      <c r="B69" s="26" t="inlineStr">
        <is>
          <t>NSE</t>
        </is>
      </c>
      <c r="C69" s="26" t="inlineStr">
        <is>
          <t>Buy</t>
        </is>
      </c>
      <c r="D69" s="27" t="n">
        <v>5</v>
      </c>
      <c r="E69" s="28" t="n">
        <v>425.17</v>
      </c>
      <c r="F69" s="28" t="n">
        <v>2125.85</v>
      </c>
      <c r="G69" s="26" t="n"/>
      <c r="H69" s="27" t="n">
        <v>0</v>
      </c>
      <c r="I69" s="27" t="n">
        <v>10.6</v>
      </c>
      <c r="J69" s="29">
        <f>Index!$C$2</f>
        <v/>
      </c>
      <c r="K69" s="30">
        <f>IF(AND( C36="Buy", ISBLANK(W36), B36&lt;&gt;"DIV"), L36/SUM(F36:I36), "")</f>
        <v/>
      </c>
      <c r="L69" s="31">
        <f>IF(AND( C36="Buy", ISBLANK(W36), B36&lt;&gt;"DIV"), (1-Index!$F$2*2)*((J36*D36)-(E36*D36)), "")</f>
        <v/>
      </c>
      <c r="M69" s="31">
        <f>IF(AND( C36="Buy", ISBLANK(W36), B36&lt;&gt;"DIV"), ((E36*D36)+L36), "")</f>
        <v/>
      </c>
      <c r="N69" s="32">
        <f>IF(AND( C36="Buy", ISBLANK(W36), B36&lt;&gt;"DIV"), D36, "")</f>
        <v/>
      </c>
      <c r="O69" s="30">
        <f>IF(AND( C36="Buy", ISBLANK(W36), B36&lt;&gt;"DIV", NOW()-A36 &lt; 365), P36/SUM(F36:I36), "")</f>
        <v/>
      </c>
      <c r="P69" s="31">
        <f>IF(AND( C36="Buy", ISBLANK(W36), B36&lt;&gt;"DIV", NOW()-A36 &lt; 365), (1-Index!$F$2*2)*((J36*D36)-(E36*D36)), "")</f>
        <v/>
      </c>
      <c r="Q69" s="31">
        <f>IF(AND( C36="Buy", ISBLANK(W36), B36&lt;&gt;"DIV", NOW()-A36 &lt; 365), ((E36*D36)+P36), "")</f>
        <v/>
      </c>
      <c r="R69" s="31">
        <f>IF(AND( C36="Buy", ISBLANK(W36), B36&lt;&gt;"DIV", NOW()-A36 &lt; 365), D36, "")</f>
        <v/>
      </c>
      <c r="S69" s="33">
        <f>IF(AND( C36="Buy", ISBLANK(W36), B36&lt;&gt;"DIV", NOW()-A36 &gt; 365), T36/SUM(F36:I36), "")</f>
        <v/>
      </c>
      <c r="T69" s="34">
        <f>IF(AND( C36="Buy", ISBLANK(W36), B36&lt;&gt;"DIV", NOW()-A36 &gt; 365), (1-Index!$F$2*2)*((J36*D36)-(E36*D36)), "")</f>
        <v/>
      </c>
      <c r="U69" s="34">
        <f>IF(AND( C36="Buy", ISBLANK(W36), B36&lt;&gt;"DIV", NOW()-A36 &gt; 365), ((E36*D36)+T36), "")</f>
        <v/>
      </c>
      <c r="V69" s="34">
        <f>IF(AND( C36="Buy", ISBLANK(W36), B36&lt;&gt;"DIV", NOW()-A36 &gt; 365), D36, "")</f>
        <v/>
      </c>
      <c r="W69" s="43" t="n">
        <v>508.531818</v>
      </c>
      <c r="X69" s="44" t="n">
        <v>45565</v>
      </c>
      <c r="Y69" s="37" t="n">
        <v>-0.8149489326805993</v>
      </c>
      <c r="Z69" s="38" t="n">
        <v>1118.616999999999</v>
      </c>
      <c r="AA69" s="38" t="n">
        <v>716.6640000000002</v>
      </c>
      <c r="AB69" s="39" t="n">
        <v>10</v>
      </c>
      <c r="AC69" s="40">
        <f>IF(B36="DIV", F36,"")</f>
        <v/>
      </c>
      <c r="AD69" s="36" t="n"/>
      <c r="AE69" s="41" t="n"/>
    </row>
    <row r="70" ht="13" customHeight="1" s="68">
      <c r="A70" s="47" t="n">
        <v>43959</v>
      </c>
      <c r="B70" s="26" t="inlineStr">
        <is>
          <t>NSE</t>
        </is>
      </c>
      <c r="C70" s="26" t="inlineStr">
        <is>
          <t>Buy</t>
        </is>
      </c>
      <c r="D70" s="27" t="n">
        <v>10</v>
      </c>
      <c r="E70" s="28" t="n">
        <v>406.67</v>
      </c>
      <c r="F70" s="28" t="n">
        <v>4066.7</v>
      </c>
      <c r="G70" s="26" t="n"/>
      <c r="H70" s="27" t="n">
        <v>0</v>
      </c>
      <c r="I70" s="27" t="n">
        <v>20.2</v>
      </c>
      <c r="J70" s="29">
        <f>Index!$C$2</f>
        <v/>
      </c>
      <c r="K70" s="30">
        <f>IF(AND( C37="Buy", ISBLANK(W37), B37&lt;&gt;"DIV"), L37/SUM(F37:I37), "")</f>
        <v/>
      </c>
      <c r="L70" s="31">
        <f>IF(AND( C37="Buy", ISBLANK(W37), B37&lt;&gt;"DIV"), (1-Index!$F$2*2)*((J37*D37)-(E37*D37)), "")</f>
        <v/>
      </c>
      <c r="M70" s="31">
        <f>IF(AND( C37="Buy", ISBLANK(W37), B37&lt;&gt;"DIV"), ((E37*D37)+L37), "")</f>
        <v/>
      </c>
      <c r="N70" s="32">
        <f>IF(AND( C37="Buy", ISBLANK(W37), B37&lt;&gt;"DIV"), D37, "")</f>
        <v/>
      </c>
      <c r="O70" s="30">
        <f>IF(AND( C37="Buy", ISBLANK(W37), B37&lt;&gt;"DIV", NOW()-A37 &lt; 365), P37/SUM(F37:I37), "")</f>
        <v/>
      </c>
      <c r="P70" s="31">
        <f>IF(AND( C37="Buy", ISBLANK(W37), B37&lt;&gt;"DIV", NOW()-A37 &lt; 365), (1-Index!$F$2*2)*((J37*D37)-(E37*D37)), "")</f>
        <v/>
      </c>
      <c r="Q70" s="31">
        <f>IF(AND( C37="Buy", ISBLANK(W37), B37&lt;&gt;"DIV", NOW()-A37 &lt; 365), ((E37*D37)+P37), "")</f>
        <v/>
      </c>
      <c r="R70" s="31">
        <f>IF(AND( C37="Buy", ISBLANK(W37), B37&lt;&gt;"DIV", NOW()-A37 &lt; 365), D37, "")</f>
        <v/>
      </c>
      <c r="S70" s="33">
        <f>IF(AND( C37="Buy", ISBLANK(W37), B37&lt;&gt;"DIV", NOW()-A37 &gt; 365), T37/SUM(F37:I37), "")</f>
        <v/>
      </c>
      <c r="T70" s="34">
        <f>IF(AND( C37="Buy", ISBLANK(W37), B37&lt;&gt;"DIV", NOW()-A37 &gt; 365), (1-Index!$F$2*2)*((J37*D37)-(E37*D37)), "")</f>
        <v/>
      </c>
      <c r="U70" s="34">
        <f>IF(AND( C37="Buy", ISBLANK(W37), B37&lt;&gt;"DIV", NOW()-A37 &gt; 365), ((E37*D37)+T37), "")</f>
        <v/>
      </c>
      <c r="V70" s="34">
        <f>IF(AND( C37="Buy", ISBLANK(W37), B37&lt;&gt;"DIV", NOW()-A37 &gt; 365), D37, "")</f>
        <v/>
      </c>
      <c r="W70" s="43" t="n">
        <v>508.531818</v>
      </c>
      <c r="X70" s="44" t="n">
        <v>45565</v>
      </c>
      <c r="Y70" s="37" t="e">
        <v>#REF!</v>
      </c>
      <c r="Z70" s="38" t="n">
        <v>785.7926999999999</v>
      </c>
      <c r="AA70" s="38" t="e">
        <v>#REF!</v>
      </c>
      <c r="AB70" s="39" t="n">
        <v>7</v>
      </c>
      <c r="AC70" s="40">
        <f>IF(B37="DIV", F37,"")</f>
        <v/>
      </c>
      <c r="AD70" s="36" t="n"/>
      <c r="AE70" s="41" t="n"/>
    </row>
    <row r="71" ht="13" customHeight="1" s="68">
      <c r="A71" s="47" t="n">
        <v>43956</v>
      </c>
      <c r="B71" s="26" t="inlineStr">
        <is>
          <t>NSE</t>
        </is>
      </c>
      <c r="C71" s="26" t="inlineStr">
        <is>
          <t>Buy</t>
        </is>
      </c>
      <c r="D71" s="27" t="n">
        <v>10</v>
      </c>
      <c r="E71" s="28" t="n">
        <v>408.43</v>
      </c>
      <c r="F71" s="28" t="n">
        <v>4084.3</v>
      </c>
      <c r="G71" s="26" t="n"/>
      <c r="H71" s="27" t="n">
        <v>0</v>
      </c>
      <c r="I71" s="27" t="n">
        <v>20.3</v>
      </c>
      <c r="J71" s="29">
        <f>Index!$C$2</f>
        <v/>
      </c>
      <c r="K71" s="30">
        <f>IF(AND( C38="Buy", ISBLANK(W38), B38&lt;&gt;"DIV"), L38/SUM(F38:I38), "")</f>
        <v/>
      </c>
      <c r="L71" s="31">
        <f>IF(AND( C38="Buy", ISBLANK(W38), B38&lt;&gt;"DIV"), (1-Index!$F$2*2)*((J38*D38)-(E38*D38)), "")</f>
        <v/>
      </c>
      <c r="M71" s="31">
        <f>IF(AND( C38="Buy", ISBLANK(W38), B38&lt;&gt;"DIV"), ((E38*D38)+L38), "")</f>
        <v/>
      </c>
      <c r="N71" s="32">
        <f>IF(AND( C38="Buy", ISBLANK(W38), B38&lt;&gt;"DIV"), D38, "")</f>
        <v/>
      </c>
      <c r="O71" s="30">
        <f>IF(AND( C38="Buy", ISBLANK(W38), B38&lt;&gt;"DIV", NOW()-A38 &lt; 365), P38/SUM(F38:I38), "")</f>
        <v/>
      </c>
      <c r="P71" s="31">
        <f>IF(AND( C38="Buy", ISBLANK(W38), B38&lt;&gt;"DIV", NOW()-A38 &lt; 365), (1-Index!$F$2*2)*((J38*D38)-(E38*D38)), "")</f>
        <v/>
      </c>
      <c r="Q71" s="31">
        <f>IF(AND( C38="Buy", ISBLANK(W38), B38&lt;&gt;"DIV", NOW()-A38 &lt; 365), ((E38*D38)+P38), "")</f>
        <v/>
      </c>
      <c r="R71" s="31">
        <f>IF(AND( C38="Buy", ISBLANK(W38), B38&lt;&gt;"DIV", NOW()-A38 &lt; 365), D38, "")</f>
        <v/>
      </c>
      <c r="S71" s="33">
        <f>IF(AND( C38="Buy", ISBLANK(W38), B38&lt;&gt;"DIV", NOW()-A38 &gt; 365), T38/SUM(F38:I38), "")</f>
        <v/>
      </c>
      <c r="T71" s="34">
        <f>IF(AND( C38="Buy", ISBLANK(W38), B38&lt;&gt;"DIV", NOW()-A38 &gt; 365), (1-Index!$F$2*2)*((J38*D38)-(E38*D38)), "")</f>
        <v/>
      </c>
      <c r="U71" s="34">
        <f>IF(AND( C38="Buy", ISBLANK(W38), B38&lt;&gt;"DIV", NOW()-A38 &gt; 365), ((E38*D38)+T38), "")</f>
        <v/>
      </c>
      <c r="V71" s="34">
        <f>IF(AND( C38="Buy", ISBLANK(W38), B38&lt;&gt;"DIV", NOW()-A38 &gt; 365), D38, "")</f>
        <v/>
      </c>
      <c r="W71" s="43" t="n">
        <v>508.531818</v>
      </c>
      <c r="X71" s="44" t="n">
        <v>45565</v>
      </c>
      <c r="Y71" s="37" t="e">
        <v>#REF!</v>
      </c>
      <c r="Z71" s="38" t="n">
        <v>476.0013599999997</v>
      </c>
      <c r="AA71" s="38" t="e">
        <v>#REF!</v>
      </c>
      <c r="AB71" s="39" t="n">
        <v>4</v>
      </c>
      <c r="AC71" s="40">
        <f>IF(B38="DIV", F38,"")</f>
        <v/>
      </c>
      <c r="AD71" s="36" t="n"/>
      <c r="AE71" s="41" t="n"/>
    </row>
    <row r="72" ht="13" customHeight="1" s="68">
      <c r="A72" s="42" t="n">
        <v>43944</v>
      </c>
      <c r="B72" s="26" t="inlineStr">
        <is>
          <t>NSE</t>
        </is>
      </c>
      <c r="C72" s="26" t="inlineStr">
        <is>
          <t>Buy</t>
        </is>
      </c>
      <c r="D72" s="27" t="n">
        <v>10</v>
      </c>
      <c r="E72" s="28" t="n">
        <v>408.93</v>
      </c>
      <c r="F72" s="28" t="n">
        <v>4089.3</v>
      </c>
      <c r="G72" s="26" t="n"/>
      <c r="H72" s="27" t="n">
        <v>0</v>
      </c>
      <c r="I72" s="27" t="n">
        <v>20.3</v>
      </c>
      <c r="J72" s="29">
        <f>Index!$C$2</f>
        <v/>
      </c>
      <c r="K72" s="30">
        <f>IF(AND( C39="Buy", ISBLANK(W39), B39&lt;&gt;"DIV"), L39/SUM(F39:I39), "")</f>
        <v/>
      </c>
      <c r="L72" s="31">
        <f>IF(AND( C39="Buy", ISBLANK(W39), B39&lt;&gt;"DIV"), (1-Index!$F$2*2)*((J39*D39)-(E39*D39)), "")</f>
        <v/>
      </c>
      <c r="M72" s="31">
        <f>IF(AND( C39="Buy", ISBLANK(W39), B39&lt;&gt;"DIV"), ((E39*D39)+L39), "")</f>
        <v/>
      </c>
      <c r="N72" s="32">
        <f>IF(AND( C39="Buy", ISBLANK(W39), B39&lt;&gt;"DIV"), D39, "")</f>
        <v/>
      </c>
      <c r="O72" s="30">
        <f>IF(AND( C39="Buy", ISBLANK(W39), B39&lt;&gt;"DIV", NOW()-A39 &lt; 365), P39/SUM(F39:I39), "")</f>
        <v/>
      </c>
      <c r="P72" s="31">
        <f>IF(AND( C39="Buy", ISBLANK(W39), B39&lt;&gt;"DIV", NOW()-A39 &lt; 365), (1-Index!$F$2*2)*((J39*D39)-(E39*D39)), "")</f>
        <v/>
      </c>
      <c r="Q72" s="31">
        <f>IF(AND( C39="Buy", ISBLANK(W39), B39&lt;&gt;"DIV", NOW()-A39 &lt; 365), ((E39*D39)+P39), "")</f>
        <v/>
      </c>
      <c r="R72" s="31">
        <f>IF(AND( C39="Buy", ISBLANK(W39), B39&lt;&gt;"DIV", NOW()-A39 &lt; 365), D39, "")</f>
        <v/>
      </c>
      <c r="S72" s="33">
        <f>IF(AND( C39="Buy", ISBLANK(W39), B39&lt;&gt;"DIV", NOW()-A39 &gt; 365), T39/SUM(F39:I39), "")</f>
        <v/>
      </c>
      <c r="T72" s="34">
        <f>IF(AND( C39="Buy", ISBLANK(W39), B39&lt;&gt;"DIV", NOW()-A39 &gt; 365), (1-Index!$F$2*2)*((J39*D39)-(E39*D39)), "")</f>
        <v/>
      </c>
      <c r="U72" s="34">
        <f>IF(AND( C39="Buy", ISBLANK(W39), B39&lt;&gt;"DIV", NOW()-A39 &gt; 365), ((E39*D39)+T39), "")</f>
        <v/>
      </c>
      <c r="V72" s="34">
        <f>IF(AND( C39="Buy", ISBLANK(W39), B39&lt;&gt;"DIV", NOW()-A39 &gt; 365), D39, "")</f>
        <v/>
      </c>
      <c r="W72" s="43" t="n">
        <v>508.531818</v>
      </c>
      <c r="X72" s="44" t="n">
        <v>45565</v>
      </c>
      <c r="Y72" s="37">
        <f>IF(AND( C39="Buy", W39&lt;&gt;"", AA39&lt;&gt;"", B39&lt;&gt;"DIV"), Z39/SUM(F39:I39), "")</f>
        <v/>
      </c>
      <c r="Z72" s="38" t="n">
        <v>-16313.60664</v>
      </c>
      <c r="AA72" s="38" t="n">
        <v>16545.24</v>
      </c>
      <c r="AB72" s="39" t="n">
        <v>36</v>
      </c>
      <c r="AC72" s="40">
        <f>IF(B39="DIV", F39,"")</f>
        <v/>
      </c>
      <c r="AD72" s="36" t="n"/>
      <c r="AE72" s="41" t="n"/>
    </row>
    <row r="73" ht="13" customHeight="1" s="68">
      <c r="A73" s="42" t="n">
        <v>43921</v>
      </c>
      <c r="B73" s="26" t="inlineStr">
        <is>
          <t>NSE</t>
        </is>
      </c>
      <c r="C73" s="26" t="inlineStr">
        <is>
          <t>Buy</t>
        </is>
      </c>
      <c r="D73" s="27" t="n">
        <v>10</v>
      </c>
      <c r="E73" s="28" t="n">
        <v>291.69</v>
      </c>
      <c r="F73" s="28" t="n">
        <v>2916.95</v>
      </c>
      <c r="G73" s="26" t="n"/>
      <c r="H73" s="27" t="n">
        <v>2.92</v>
      </c>
      <c r="I73" s="27" t="n">
        <v>17.53</v>
      </c>
      <c r="J73" s="29">
        <f>Index!$C$2</f>
        <v/>
      </c>
      <c r="K73" s="30">
        <f>IF(AND( C40="Buy", ISBLANK(W40), B40&lt;&gt;"DIV"), L40/SUM(F40:I40), "")</f>
        <v/>
      </c>
      <c r="L73" s="31">
        <f>IF(AND( C40="Buy", ISBLANK(W40), B40&lt;&gt;"DIV"), (1-Index!$F$2*2)*((J40*D40)-(E40*D40)), "")</f>
        <v/>
      </c>
      <c r="M73" s="31">
        <f>IF(AND( C40="Buy", ISBLANK(W40), B40&lt;&gt;"DIV"), ((E40*D40)+L40), "")</f>
        <v/>
      </c>
      <c r="N73" s="32">
        <f>IF(AND( C40="Buy", ISBLANK(W40), B40&lt;&gt;"DIV"), D40, "")</f>
        <v/>
      </c>
      <c r="O73" s="30">
        <f>IF(AND( C40="Buy", ISBLANK(W40), B40&lt;&gt;"DIV", NOW()-A40 &lt; 365), P40/SUM(F40:I40), "")</f>
        <v/>
      </c>
      <c r="P73" s="31">
        <f>IF(AND( C40="Buy", ISBLANK(W40), B40&lt;&gt;"DIV", NOW()-A40 &lt; 365), (1-Index!$F$2*2)*((J40*D40)-(E40*D40)), "")</f>
        <v/>
      </c>
      <c r="Q73" s="31">
        <f>IF(AND( C40="Buy", ISBLANK(W40), B40&lt;&gt;"DIV", NOW()-A40 &lt; 365), ((E40*D40)+P40), "")</f>
        <v/>
      </c>
      <c r="R73" s="31">
        <f>IF(AND( C40="Buy", ISBLANK(W40), B40&lt;&gt;"DIV", NOW()-A40 &lt; 365), D40, "")</f>
        <v/>
      </c>
      <c r="S73" s="33">
        <f>IF(AND( C40="Buy", ISBLANK(W40), B40&lt;&gt;"DIV", NOW()-A40 &gt; 365), T40/SUM(F40:I40), "")</f>
        <v/>
      </c>
      <c r="T73" s="34">
        <f>IF(AND( C40="Buy", ISBLANK(W40), B40&lt;&gt;"DIV", NOW()-A40 &gt; 365), (1-Index!$F$2*2)*((J40*D40)-(E40*D40)), "")</f>
        <v/>
      </c>
      <c r="U73" s="34">
        <f>IF(AND( C40="Buy", ISBLANK(W40), B40&lt;&gt;"DIV", NOW()-A40 &gt; 365), ((E40*D40)+T40), "")</f>
        <v/>
      </c>
      <c r="V73" s="34">
        <f>IF(AND( C40="Buy", ISBLANK(W40), B40&lt;&gt;"DIV", NOW()-A40 &gt; 365), D40, "")</f>
        <v/>
      </c>
      <c r="W73" s="43" t="n">
        <v>514.3094</v>
      </c>
      <c r="X73" s="44" t="n">
        <v>45565</v>
      </c>
      <c r="Y73" s="37" t="e">
        <v>#REF!</v>
      </c>
      <c r="Z73" s="38" t="n">
        <v>312.0098399999998</v>
      </c>
      <c r="AA73" s="38" t="e">
        <v>#REF!</v>
      </c>
      <c r="AB73" s="39" t="n">
        <v>4</v>
      </c>
      <c r="AC73" s="40">
        <f>IF(B40="DIV", F40,"")</f>
        <v/>
      </c>
      <c r="AD73" s="36" t="n"/>
      <c r="AE73" s="41" t="n"/>
    </row>
    <row r="74" ht="13" customHeight="1" s="68">
      <c r="A74" s="42" t="n">
        <v>43909</v>
      </c>
      <c r="B74" s="26" t="inlineStr">
        <is>
          <t>NSE</t>
        </is>
      </c>
      <c r="C74" s="26" t="inlineStr">
        <is>
          <t>Buy</t>
        </is>
      </c>
      <c r="D74" s="27" t="n">
        <v>10</v>
      </c>
      <c r="E74" s="28" t="n">
        <v>287.77</v>
      </c>
      <c r="F74" s="28" t="n">
        <v>2877.67</v>
      </c>
      <c r="G74" s="26" t="n"/>
      <c r="H74" s="27" t="n">
        <v>2.78</v>
      </c>
      <c r="I74" s="27" t="n">
        <v>17.29</v>
      </c>
      <c r="J74" s="29">
        <f>Index!$C$2</f>
        <v/>
      </c>
      <c r="K74" s="30">
        <f>IF(AND( C41="Buy", ISBLANK(W41), B41&lt;&gt;"DIV"), L41/SUM(F41:I41), "")</f>
        <v/>
      </c>
      <c r="L74" s="31">
        <f>IF(AND( C41="Buy", ISBLANK(W41), B41&lt;&gt;"DIV"), (1-Index!$F$2*2)*((J41*D41)-(E41*D41)), "")</f>
        <v/>
      </c>
      <c r="M74" s="31">
        <f>IF(AND( C41="Buy", ISBLANK(W41), B41&lt;&gt;"DIV"), ((E41*D41)+L41), "")</f>
        <v/>
      </c>
      <c r="N74" s="32">
        <f>IF(AND( C41="Buy", ISBLANK(W41), B41&lt;&gt;"DIV"), D41, "")</f>
        <v/>
      </c>
      <c r="O74" s="30">
        <f>IF(AND( C41="Buy", ISBLANK(W41), B41&lt;&gt;"DIV", NOW()-A41 &lt; 365), P41/SUM(F41:I41), "")</f>
        <v/>
      </c>
      <c r="P74" s="31">
        <f>IF(AND( C41="Buy", ISBLANK(W41), B41&lt;&gt;"DIV", NOW()-A41 &lt; 365), (1-Index!$F$2*2)*((J41*D41)-(E41*D41)), "")</f>
        <v/>
      </c>
      <c r="Q74" s="31">
        <f>IF(AND( C41="Buy", ISBLANK(W41), B41&lt;&gt;"DIV", NOW()-A41 &lt; 365), ((E41*D41)+P41), "")</f>
        <v/>
      </c>
      <c r="R74" s="31">
        <f>IF(AND( C41="Buy", ISBLANK(W41), B41&lt;&gt;"DIV", NOW()-A41 &lt; 365), D41, "")</f>
        <v/>
      </c>
      <c r="S74" s="33">
        <f>IF(AND( C41="Buy", ISBLANK(W41), B41&lt;&gt;"DIV", NOW()-A41 &gt; 365), T41/SUM(F41:I41), "")</f>
        <v/>
      </c>
      <c r="T74" s="34">
        <f>IF(AND( C41="Buy", ISBLANK(W41), B41&lt;&gt;"DIV", NOW()-A41 &gt; 365), (1-Index!$F$2*2)*((J41*D41)-(E41*D41)), "")</f>
        <v/>
      </c>
      <c r="U74" s="34">
        <f>IF(AND( C41="Buy", ISBLANK(W41), B41&lt;&gt;"DIV", NOW()-A41 &gt; 365), ((E41*D41)+T41), "")</f>
        <v/>
      </c>
      <c r="V74" s="34">
        <f>IF(AND( C41="Buy", ISBLANK(W41), B41&lt;&gt;"DIV", NOW()-A41 &gt; 365), D41, "")</f>
        <v/>
      </c>
      <c r="W74" s="43" t="n">
        <v>514.3094</v>
      </c>
      <c r="X74" s="44" t="n">
        <v>45565</v>
      </c>
      <c r="Y74" s="37" t="e">
        <v>#REF!</v>
      </c>
      <c r="Z74" s="38" t="n">
        <v>676.5931999999998</v>
      </c>
      <c r="AA74" s="38" t="e">
        <v>#REF!</v>
      </c>
      <c r="AB74" s="39" t="n">
        <v>10</v>
      </c>
      <c r="AC74" s="40">
        <f>IF(B41="DIV", F41,"")</f>
        <v/>
      </c>
      <c r="AD74" s="36" t="n"/>
      <c r="AE74" s="41" t="n"/>
    </row>
    <row r="75" ht="13" customHeight="1" s="68">
      <c r="A75" s="42" t="n">
        <v>43906</v>
      </c>
      <c r="B75" s="26" t="inlineStr">
        <is>
          <t>NSE</t>
        </is>
      </c>
      <c r="C75" s="26" t="inlineStr">
        <is>
          <t>Buy</t>
        </is>
      </c>
      <c r="D75" s="27" t="n">
        <v>10</v>
      </c>
      <c r="E75" s="28" t="n">
        <v>310.27</v>
      </c>
      <c r="F75" s="28" t="n">
        <v>3102.71</v>
      </c>
      <c r="G75" s="26" t="n"/>
      <c r="H75" s="27" t="n">
        <v>3.18</v>
      </c>
      <c r="I75" s="27" t="n">
        <v>18.53</v>
      </c>
      <c r="J75" s="29">
        <f>Index!$C$2</f>
        <v/>
      </c>
      <c r="K75" s="30">
        <f>IF(AND( C42="Buy", ISBLANK(W42), B42&lt;&gt;"DIV"), L42/SUM(F42:I42), "")</f>
        <v/>
      </c>
      <c r="L75" s="31">
        <f>IF(AND( C42="Buy", ISBLANK(W42), B42&lt;&gt;"DIV"), (1-Index!$F$2*2)*((J42*D42)-(E42*D42)), "")</f>
        <v/>
      </c>
      <c r="M75" s="31">
        <f>IF(AND( C42="Buy", ISBLANK(W42), B42&lt;&gt;"DIV"), ((E42*D42)+L42), "")</f>
        <v/>
      </c>
      <c r="N75" s="32">
        <f>IF(AND( C42="Buy", ISBLANK(W42), B42&lt;&gt;"DIV"), D42, "")</f>
        <v/>
      </c>
      <c r="O75" s="30">
        <f>IF(AND( C42="Buy", ISBLANK(W42), B42&lt;&gt;"DIV", NOW()-A42 &lt; 365), P42/SUM(F42:I42), "")</f>
        <v/>
      </c>
      <c r="P75" s="31">
        <f>IF(AND( C42="Buy", ISBLANK(W42), B42&lt;&gt;"DIV", NOW()-A42 &lt; 365), (1-Index!$F$2*2)*((J42*D42)-(E42*D42)), "")</f>
        <v/>
      </c>
      <c r="Q75" s="31">
        <f>IF(AND( C42="Buy", ISBLANK(W42), B42&lt;&gt;"DIV", NOW()-A42 &lt; 365), ((E42*D42)+P42), "")</f>
        <v/>
      </c>
      <c r="R75" s="31">
        <f>IF(AND( C42="Buy", ISBLANK(W42), B42&lt;&gt;"DIV", NOW()-A42 &lt; 365), D42, "")</f>
        <v/>
      </c>
      <c r="S75" s="33">
        <f>IF(AND( C42="Buy", ISBLANK(W42), B42&lt;&gt;"DIV", NOW()-A42 &gt; 365), T42/SUM(F42:I42), "")</f>
        <v/>
      </c>
      <c r="T75" s="34">
        <f>IF(AND( C42="Buy", ISBLANK(W42), B42&lt;&gt;"DIV", NOW()-A42 &gt; 365), (1-Index!$F$2*2)*((J42*D42)-(E42*D42)), "")</f>
        <v/>
      </c>
      <c r="U75" s="34">
        <f>IF(AND( C42="Buy", ISBLANK(W42), B42&lt;&gt;"DIV", NOW()-A42 &gt; 365), ((E42*D42)+T42), "")</f>
        <v/>
      </c>
      <c r="V75" s="34">
        <f>IF(AND( C42="Buy", ISBLANK(W42), B42&lt;&gt;"DIV", NOW()-A42 &gt; 365), D42, "")</f>
        <v/>
      </c>
      <c r="W75" s="43" t="n">
        <v>514.3094</v>
      </c>
      <c r="X75" s="44" t="n">
        <v>45565</v>
      </c>
      <c r="Y75" s="37" t="e">
        <v>#REF!</v>
      </c>
      <c r="Z75" s="38" t="n">
        <v>394.4492999999997</v>
      </c>
      <c r="AA75" s="38" t="e">
        <v>#REF!</v>
      </c>
      <c r="AB75" s="39" t="n">
        <v>5</v>
      </c>
      <c r="AC75" s="40">
        <f>IF(B42="DIV", F42,"")</f>
        <v/>
      </c>
      <c r="AD75" s="36" t="n"/>
      <c r="AE75" s="41" t="n"/>
    </row>
    <row r="76" ht="13" customHeight="1" s="68">
      <c r="A76" s="42" t="n">
        <v>43901</v>
      </c>
      <c r="B76" s="26" t="inlineStr">
        <is>
          <t>NSE</t>
        </is>
      </c>
      <c r="C76" s="26" t="inlineStr">
        <is>
          <t>Buy</t>
        </is>
      </c>
      <c r="D76" s="27" t="n">
        <v>10</v>
      </c>
      <c r="E76" s="28" t="n">
        <v>365.5</v>
      </c>
      <c r="F76" s="28" t="n">
        <v>3654.96</v>
      </c>
      <c r="G76" s="26" t="n"/>
      <c r="H76" s="27" t="n">
        <v>3.63</v>
      </c>
      <c r="I76" s="27" t="n">
        <v>21.83</v>
      </c>
      <c r="J76" s="29">
        <f>Index!$C$2</f>
        <v/>
      </c>
      <c r="K76" s="30">
        <f>IF(AND( C43="Buy", ISBLANK(W43), B43&lt;&gt;"DIV"), L43/SUM(F43:I43), "")</f>
        <v/>
      </c>
      <c r="L76" s="31">
        <f>IF(AND( C43="Buy", ISBLANK(W43), B43&lt;&gt;"DIV"), (1-Index!$F$2*2)*((J43*D43)-(E43*D43)), "")</f>
        <v/>
      </c>
      <c r="M76" s="31">
        <f>IF(AND( C43="Buy", ISBLANK(W43), B43&lt;&gt;"DIV"), ((E43*D43)+L43), "")</f>
        <v/>
      </c>
      <c r="N76" s="32">
        <f>IF(AND( C43="Buy", ISBLANK(W43), B43&lt;&gt;"DIV"), D43, "")</f>
        <v/>
      </c>
      <c r="O76" s="30">
        <f>IF(AND( C43="Buy", ISBLANK(W43), B43&lt;&gt;"DIV", NOW()-A43 &lt; 365), P43/SUM(F43:I43), "")</f>
        <v/>
      </c>
      <c r="P76" s="31">
        <f>IF(AND( C43="Buy", ISBLANK(W43), B43&lt;&gt;"DIV", NOW()-A43 &lt; 365), (1-Index!$F$2*2)*((J43*D43)-(E43*D43)), "")</f>
        <v/>
      </c>
      <c r="Q76" s="31">
        <f>IF(AND( C43="Buy", ISBLANK(W43), B43&lt;&gt;"DIV", NOW()-A43 &lt; 365), ((E43*D43)+P43), "")</f>
        <v/>
      </c>
      <c r="R76" s="31">
        <f>IF(AND( C43="Buy", ISBLANK(W43), B43&lt;&gt;"DIV", NOW()-A43 &lt; 365), D43, "")</f>
        <v/>
      </c>
      <c r="S76" s="33">
        <f>IF(AND( C43="Buy", ISBLANK(W43), B43&lt;&gt;"DIV", NOW()-A43 &gt; 365), T43/SUM(F43:I43), "")</f>
        <v/>
      </c>
      <c r="T76" s="34">
        <f>IF(AND( C43="Buy", ISBLANK(W43), B43&lt;&gt;"DIV", NOW()-A43 &gt; 365), (1-Index!$F$2*2)*((J43*D43)-(E43*D43)), "")</f>
        <v/>
      </c>
      <c r="U76" s="34">
        <f>IF(AND( C43="Buy", ISBLANK(W43), B43&lt;&gt;"DIV", NOW()-A43 &gt; 365), ((E43*D43)+T43), "")</f>
        <v/>
      </c>
      <c r="V76" s="34">
        <f>IF(AND( C43="Buy", ISBLANK(W43), B43&lt;&gt;"DIV", NOW()-A43 &gt; 365), D43, "")</f>
        <v/>
      </c>
      <c r="W76" s="43" t="n">
        <v>514.3094</v>
      </c>
      <c r="X76" s="44" t="n">
        <v>45565</v>
      </c>
      <c r="Y76" s="37">
        <f>IF(AND( C43="Buy", W43&lt;&gt;"", AA43&lt;&gt;"", B43&lt;&gt;"DIV"), Z43/SUM(F43:I43), "")</f>
        <v/>
      </c>
      <c r="Z76" s="38" t="n">
        <v>-61.625</v>
      </c>
      <c r="AA76" s="38" t="n">
        <v>62.5</v>
      </c>
      <c r="AB76" s="39" t="n">
        <v>10</v>
      </c>
      <c r="AC76" s="40">
        <f>IF(B43="DIV", F43,"")</f>
        <v/>
      </c>
      <c r="AD76" s="36" t="n"/>
      <c r="AE76" s="41" t="n"/>
    </row>
    <row r="77" ht="13" customHeight="1" s="68">
      <c r="A77" s="25" t="n">
        <v>43896</v>
      </c>
      <c r="B77" s="26" t="inlineStr">
        <is>
          <t>NSE</t>
        </is>
      </c>
      <c r="C77" s="26" t="inlineStr">
        <is>
          <t>Buy</t>
        </is>
      </c>
      <c r="D77" s="27" t="n">
        <v>10</v>
      </c>
      <c r="E77" s="28" t="n">
        <v>396.6</v>
      </c>
      <c r="F77" s="28" t="n">
        <v>3965.97</v>
      </c>
      <c r="G77" s="26" t="n"/>
      <c r="H77" s="27" t="n">
        <v>3.99</v>
      </c>
      <c r="I77" s="27" t="n">
        <v>23.68</v>
      </c>
      <c r="J77" s="29">
        <f>Index!$C$2</f>
        <v/>
      </c>
      <c r="K77" s="30">
        <f>IF(AND( C44="Buy", ISBLANK(W44), B44&lt;&gt;"DIV"), L44/SUM(F44:I44), "")</f>
        <v/>
      </c>
      <c r="L77" s="31">
        <f>IF(AND( C44="Buy", ISBLANK(W44), B44&lt;&gt;"DIV"), (1-Index!$F$2*2)*((J44*D44)-(E44*D44)), "")</f>
        <v/>
      </c>
      <c r="M77" s="31">
        <f>IF(AND( C44="Buy", ISBLANK(W44), B44&lt;&gt;"DIV"), ((E44*D44)+L44), "")</f>
        <v/>
      </c>
      <c r="N77" s="32">
        <f>IF(AND( C44="Buy", ISBLANK(W44), B44&lt;&gt;"DIV"), D44, "")</f>
        <v/>
      </c>
      <c r="O77" s="30">
        <f>IF(AND( C44="Buy", ISBLANK(W44), B44&lt;&gt;"DIV", NOW()-A44 &lt; 365), P44/SUM(F44:I44), "")</f>
        <v/>
      </c>
      <c r="P77" s="31">
        <f>IF(AND( C44="Buy", ISBLANK(W44), B44&lt;&gt;"DIV", NOW()-A44 &lt; 365), (1-Index!$F$2*2)*((J44*D44)-(E44*D44)), "")</f>
        <v/>
      </c>
      <c r="Q77" s="31">
        <f>IF(AND( C44="Buy", ISBLANK(W44), B44&lt;&gt;"DIV", NOW()-A44 &lt; 365), ((E44*D44)+P44), "")</f>
        <v/>
      </c>
      <c r="R77" s="31">
        <f>IF(AND( C44="Buy", ISBLANK(W44), B44&lt;&gt;"DIV", NOW()-A44 &lt; 365), D44, "")</f>
        <v/>
      </c>
      <c r="S77" s="33">
        <f>IF(AND( C44="Buy", ISBLANK(W44), B44&lt;&gt;"DIV", NOW()-A44 &gt; 365), T44/SUM(F44:I44), "")</f>
        <v/>
      </c>
      <c r="T77" s="34">
        <f>IF(AND( C44="Buy", ISBLANK(W44), B44&lt;&gt;"DIV", NOW()-A44 &gt; 365), (1-Index!$F$2*2)*((J44*D44)-(E44*D44)), "")</f>
        <v/>
      </c>
      <c r="U77" s="34">
        <f>IF(AND( C44="Buy", ISBLANK(W44), B44&lt;&gt;"DIV", NOW()-A44 &gt; 365), ((E44*D44)+T44), "")</f>
        <v/>
      </c>
      <c r="V77" s="34">
        <f>IF(AND( C44="Buy", ISBLANK(W44), B44&lt;&gt;"DIV", NOW()-A44 &gt; 365), D44, "")</f>
        <v/>
      </c>
      <c r="W77" s="43" t="n">
        <v>514.3094</v>
      </c>
      <c r="X77" s="44" t="n">
        <v>45565</v>
      </c>
      <c r="Y77" s="37">
        <f>IF(AND( C44="Buy", W44&lt;&gt;"", AA44&lt;&gt;"", B44&lt;&gt;"DIV"), Z44/SUM(F44:I44), "")</f>
        <v/>
      </c>
      <c r="Z77" s="38" t="n">
        <v>-160.225</v>
      </c>
      <c r="AA77" s="38" t="n">
        <v>162.5</v>
      </c>
      <c r="AB77" s="39" t="n">
        <v>26</v>
      </c>
      <c r="AC77" s="40">
        <f>IF(B44="DIV", F44,"")</f>
        <v/>
      </c>
      <c r="AD77" s="36" t="n"/>
      <c r="AE77" s="41" t="n"/>
    </row>
    <row r="78" ht="13" customHeight="1" s="68">
      <c r="A78" s="25" t="n">
        <v>43895</v>
      </c>
      <c r="B78" s="26" t="inlineStr">
        <is>
          <t>NSE</t>
        </is>
      </c>
      <c r="C78" s="26" t="inlineStr">
        <is>
          <t>Buy</t>
        </is>
      </c>
      <c r="D78" s="27" t="n">
        <v>10</v>
      </c>
      <c r="E78" s="28" t="n">
        <v>420.94</v>
      </c>
      <c r="F78" s="28" t="n">
        <v>4209.36</v>
      </c>
      <c r="G78" s="26" t="n"/>
      <c r="H78" s="27" t="n">
        <v>4.16</v>
      </c>
      <c r="I78" s="27" t="n">
        <v>25.2</v>
      </c>
      <c r="J78" s="29">
        <f>Index!$C$2</f>
        <v/>
      </c>
      <c r="K78" s="30">
        <f>IF(AND( C45="Buy", ISBLANK(W45), B45&lt;&gt;"DIV"), L45/SUM(F45:I45), "")</f>
        <v/>
      </c>
      <c r="L78" s="31">
        <f>IF(AND( C45="Buy", ISBLANK(W45), B45&lt;&gt;"DIV"), (1-Index!$F$2*2)*((J45*D45)-(E45*D45)), "")</f>
        <v/>
      </c>
      <c r="M78" s="31">
        <f>IF(AND( C45="Buy", ISBLANK(W45), B45&lt;&gt;"DIV"), ((E45*D45)+L45), "")</f>
        <v/>
      </c>
      <c r="N78" s="32">
        <f>IF(AND( C45="Buy", ISBLANK(W45), B45&lt;&gt;"DIV"), D45, "")</f>
        <v/>
      </c>
      <c r="O78" s="30">
        <f>IF(AND( C45="Buy", ISBLANK(W45), B45&lt;&gt;"DIV", NOW()-A45 &lt; 365), P45/SUM(F45:I45), "")</f>
        <v/>
      </c>
      <c r="P78" s="31">
        <f>IF(AND( C45="Buy", ISBLANK(W45), B45&lt;&gt;"DIV", NOW()-A45 &lt; 365), (1-Index!$F$2*2)*((J45*D45)-(E45*D45)), "")</f>
        <v/>
      </c>
      <c r="Q78" s="31">
        <f>IF(AND( C45="Buy", ISBLANK(W45), B45&lt;&gt;"DIV", NOW()-A45 &lt; 365), ((E45*D45)+P45), "")</f>
        <v/>
      </c>
      <c r="R78" s="31">
        <f>IF(AND( C45="Buy", ISBLANK(W45), B45&lt;&gt;"DIV", NOW()-A45 &lt; 365), D45, "")</f>
        <v/>
      </c>
      <c r="S78" s="33">
        <f>IF(AND( C45="Buy", ISBLANK(W45), B45&lt;&gt;"DIV", NOW()-A45 &gt; 365), T45/SUM(F45:I45), "")</f>
        <v/>
      </c>
      <c r="T78" s="34">
        <f>IF(AND( C45="Buy", ISBLANK(W45), B45&lt;&gt;"DIV", NOW()-A45 &gt; 365), (1-Index!$F$2*2)*((J45*D45)-(E45*D45)), "")</f>
        <v/>
      </c>
      <c r="U78" s="34">
        <f>IF(AND( C45="Buy", ISBLANK(W45), B45&lt;&gt;"DIV", NOW()-A45 &gt; 365), ((E45*D45)+T45), "")</f>
        <v/>
      </c>
      <c r="V78" s="34">
        <f>IF(AND( C45="Buy", ISBLANK(W45), B45&lt;&gt;"DIV", NOW()-A45 &gt; 365), D45, "")</f>
        <v/>
      </c>
      <c r="W78" s="43" t="n">
        <v>532.7895</v>
      </c>
      <c r="X78" s="44" t="n">
        <v>45565</v>
      </c>
      <c r="Y78" s="37" t="e">
        <v>#REF!</v>
      </c>
      <c r="Z78" s="38" t="n">
        <v>203.479723568</v>
      </c>
      <c r="AA78" s="38" t="e">
        <v>#REF!</v>
      </c>
      <c r="AB78" s="39" t="n">
        <v>4</v>
      </c>
      <c r="AC78" s="40">
        <f>IF(B45="DIV", F45,"")</f>
        <v/>
      </c>
      <c r="AD78" s="36" t="n"/>
      <c r="AE78" s="41" t="n"/>
    </row>
    <row r="79" ht="13" customHeight="1" s="68">
      <c r="A79" s="25" t="n">
        <v>43895</v>
      </c>
      <c r="B79" s="26" t="inlineStr">
        <is>
          <t>DIV</t>
        </is>
      </c>
      <c r="C79" s="26" t="inlineStr">
        <is>
          <t>Buy</t>
        </is>
      </c>
      <c r="D79" s="27" t="n">
        <v>10</v>
      </c>
      <c r="E79" s="28" t="n">
        <v>5</v>
      </c>
      <c r="F79" s="28" t="n">
        <v>50</v>
      </c>
      <c r="G79" s="26" t="inlineStr">
        <is>
          <t>Interim-Dividend of Rs.5.0000/- per share on Ex-Date: 05-MAR-2020</t>
        </is>
      </c>
      <c r="H79" s="27" t="n">
        <v>0</v>
      </c>
      <c r="I79" s="27" t="n">
        <v>0</v>
      </c>
      <c r="J79" s="29">
        <f>Index!$C$2</f>
        <v/>
      </c>
      <c r="K79" s="30">
        <f>IF(AND( C46="Buy", ISBLANK(W46), B46&lt;&gt;"DIV"), L46/SUM(F46:I46), "")</f>
        <v/>
      </c>
      <c r="L79" s="31">
        <f>IF(AND( C46="Buy", ISBLANK(W46), B46&lt;&gt;"DIV"), (1-Index!$F$2*2)*((J46*D46)-(E46*D46)), "")</f>
        <v/>
      </c>
      <c r="M79" s="31">
        <f>IF(AND( C46="Buy", ISBLANK(W46), B46&lt;&gt;"DIV"), ((E46*D46)+L46), "")</f>
        <v/>
      </c>
      <c r="N79" s="32">
        <f>IF(AND( C46="Buy", ISBLANK(W46), B46&lt;&gt;"DIV"), D46, "")</f>
        <v/>
      </c>
      <c r="O79" s="30">
        <f>IF(AND( C46="Buy", ISBLANK(W46), B46&lt;&gt;"DIV", NOW()-A46 &lt; 365), P46/SUM(F46:I46), "")</f>
        <v/>
      </c>
      <c r="P79" s="31">
        <f>IF(AND( C46="Buy", ISBLANK(W46), B46&lt;&gt;"DIV", NOW()-A46 &lt; 365), (1-Index!$F$2*2)*((J46*D46)-(E46*D46)), "")</f>
        <v/>
      </c>
      <c r="Q79" s="31">
        <f>IF(AND( C46="Buy", ISBLANK(W46), B46&lt;&gt;"DIV", NOW()-A46 &lt; 365), ((E46*D46)+P46), "")</f>
        <v/>
      </c>
      <c r="R79" s="31">
        <f>IF(AND( C46="Buy", ISBLANK(W46), B46&lt;&gt;"DIV", NOW()-A46 &lt; 365), D46, "")</f>
        <v/>
      </c>
      <c r="S79" s="33">
        <f>IF(AND( C46="Buy", ISBLANK(W46), B46&lt;&gt;"DIV", NOW()-A46 &gt; 365), T46/SUM(F46:I46), "")</f>
        <v/>
      </c>
      <c r="T79" s="34">
        <f>IF(AND( C46="Buy", ISBLANK(W46), B46&lt;&gt;"DIV", NOW()-A46 &gt; 365), (1-Index!$F$2*2)*((J46*D46)-(E46*D46)), "")</f>
        <v/>
      </c>
      <c r="U79" s="34">
        <f>IF(AND( C46="Buy", ISBLANK(W46), B46&lt;&gt;"DIV", NOW()-A46 &gt; 365), ((E46*D46)+T46), "")</f>
        <v/>
      </c>
      <c r="V79" s="34">
        <f>IF(AND( C46="Buy", ISBLANK(W46), B46&lt;&gt;"DIV", NOW()-A46 &gt; 365), D46, "")</f>
        <v/>
      </c>
      <c r="W79" s="45" t="n"/>
      <c r="X79" s="34" t="n"/>
      <c r="Y79" s="33" t="e">
        <v>#REF!</v>
      </c>
      <c r="Z79" s="34" t="n"/>
      <c r="AA79" s="34" t="n"/>
      <c r="AB79" s="35" t="n"/>
      <c r="AC79" s="31">
        <f>IF(B46="DIV", F46,"")</f>
        <v/>
      </c>
      <c r="AD79" s="36" t="n"/>
    </row>
    <row r="80" ht="13" customHeight="1" s="68">
      <c r="A80" s="25" t="n">
        <v>43892</v>
      </c>
      <c r="B80" s="26" t="inlineStr">
        <is>
          <t>NSE</t>
        </is>
      </c>
      <c r="C80" s="26" t="inlineStr">
        <is>
          <t>Buy</t>
        </is>
      </c>
      <c r="D80" s="27" t="n">
        <v>5</v>
      </c>
      <c r="E80" s="28" t="n">
        <v>481.4</v>
      </c>
      <c r="F80" s="28" t="n">
        <v>2407.02</v>
      </c>
      <c r="G80" s="26" t="n"/>
      <c r="H80" s="27" t="n">
        <v>2.39</v>
      </c>
      <c r="I80" s="27" t="n">
        <v>14.38</v>
      </c>
      <c r="J80" s="29">
        <f>Index!$C$2</f>
        <v/>
      </c>
      <c r="K80" s="30">
        <f>IF(AND( C47="Buy", ISBLANK(W47), B47&lt;&gt;"DIV"), L47/SUM(F47:I47), "")</f>
        <v/>
      </c>
      <c r="L80" s="31">
        <f>IF(AND( C47="Buy", ISBLANK(W47), B47&lt;&gt;"DIV"), (1-Index!$F$2*2)*((J47*D47)-(E47*D47)), "")</f>
        <v/>
      </c>
      <c r="M80" s="31">
        <f>IF(AND( C47="Buy", ISBLANK(W47), B47&lt;&gt;"DIV"), ((E47*D47)+L47), "")</f>
        <v/>
      </c>
      <c r="N80" s="32">
        <f>IF(AND( C47="Buy", ISBLANK(W47), B47&lt;&gt;"DIV"), D47, "")</f>
        <v/>
      </c>
      <c r="O80" s="30">
        <f>IF(AND( C47="Buy", ISBLANK(W47), B47&lt;&gt;"DIV", NOW()-A47 &lt; 365), P47/SUM(F47:I47), "")</f>
        <v/>
      </c>
      <c r="P80" s="31">
        <f>IF(AND( C47="Buy", ISBLANK(W47), B47&lt;&gt;"DIV", NOW()-A47 &lt; 365), (1-Index!$F$2*2)*((J47*D47)-(E47*D47)), "")</f>
        <v/>
      </c>
      <c r="Q80" s="31">
        <f>IF(AND( C47="Buy", ISBLANK(W47), B47&lt;&gt;"DIV", NOW()-A47 &lt; 365), ((E47*D47)+P47), "")</f>
        <v/>
      </c>
      <c r="R80" s="31">
        <f>IF(AND( C47="Buy", ISBLANK(W47), B47&lt;&gt;"DIV", NOW()-A47 &lt; 365), D47, "")</f>
        <v/>
      </c>
      <c r="S80" s="33">
        <f>IF(AND( C47="Buy", ISBLANK(W47), B47&lt;&gt;"DIV", NOW()-A47 &gt; 365), T47/SUM(F47:I47), "")</f>
        <v/>
      </c>
      <c r="T80" s="34">
        <f>IF(AND( C47="Buy", ISBLANK(W47), B47&lt;&gt;"DIV", NOW()-A47 &gt; 365), (1-Index!$F$2*2)*((J47*D47)-(E47*D47)), "")</f>
        <v/>
      </c>
      <c r="U80" s="34">
        <f>IF(AND( C47="Buy", ISBLANK(W47), B47&lt;&gt;"DIV", NOW()-A47 &gt; 365), ((E47*D47)+T47), "")</f>
        <v/>
      </c>
      <c r="V80" s="34">
        <f>IF(AND( C47="Buy", ISBLANK(W47), B47&lt;&gt;"DIV", NOW()-A47 &gt; 365), D47, "")</f>
        <v/>
      </c>
      <c r="W80" s="43" t="n">
        <v>532.7895</v>
      </c>
      <c r="X80" s="44" t="n">
        <v>45565</v>
      </c>
      <c r="Y80" s="37" t="e">
        <v>#REF!</v>
      </c>
      <c r="Z80" s="38" t="n">
        <v>182.1185817840001</v>
      </c>
      <c r="AA80" s="38" t="e">
        <v>#REF!</v>
      </c>
      <c r="AB80" s="39" t="n">
        <v>2</v>
      </c>
      <c r="AC80" s="40">
        <f>IF(B47="DIV", F47,"")</f>
        <v/>
      </c>
      <c r="AD80" s="36" t="n"/>
      <c r="AE80" s="41" t="n"/>
    </row>
    <row r="81" ht="13" customHeight="1" s="68">
      <c r="A81" s="25" t="n">
        <v>43831</v>
      </c>
      <c r="B81" s="26" t="inlineStr">
        <is>
          <t>NSE</t>
        </is>
      </c>
      <c r="C81" s="26" t="inlineStr">
        <is>
          <t>Sell</t>
        </is>
      </c>
      <c r="D81" s="27" t="n">
        <v>25</v>
      </c>
      <c r="E81" s="28" t="n">
        <v>596.83</v>
      </c>
      <c r="F81" s="28" t="n">
        <v>14920.76</v>
      </c>
      <c r="G81" s="26" t="n"/>
      <c r="H81" s="27" t="n">
        <v>15.11</v>
      </c>
      <c r="I81" s="27" t="n">
        <v>90.38</v>
      </c>
      <c r="J81" s="29">
        <f>Index!$C$2</f>
        <v/>
      </c>
      <c r="K81" s="30">
        <f>IF(AND( C48="Buy", ISBLANK(W48), B48&lt;&gt;"DIV"), L48/SUM(F48:I48), "")</f>
        <v/>
      </c>
      <c r="L81" s="31">
        <f>IF(AND( C48="Buy", ISBLANK(W48), B48&lt;&gt;"DIV"), (1-Index!$F$2*2)*((J48*D48)-(E48*D48)), "")</f>
        <v/>
      </c>
      <c r="M81" s="31">
        <f>IF(AND( C48="Buy", ISBLANK(W48), B48&lt;&gt;"DIV"), ((E48*D48)+L48), "")</f>
        <v/>
      </c>
      <c r="N81" s="32">
        <f>IF(AND( C48="Buy", ISBLANK(W48), B48&lt;&gt;"DIV"), D48, "")</f>
        <v/>
      </c>
      <c r="O81" s="30">
        <f>IF(AND( C48="Buy", ISBLANK(W48), B48&lt;&gt;"DIV", NOW()-A48 &lt; 365), P48/SUM(F48:I48), "")</f>
        <v/>
      </c>
      <c r="P81" s="31">
        <f>IF(AND( C48="Buy", ISBLANK(W48), B48&lt;&gt;"DIV", NOW()-A48 &lt; 365), (1-Index!$F$2*2)*((J48*D48)-(E48*D48)), "")</f>
        <v/>
      </c>
      <c r="Q81" s="31">
        <f>IF(AND( C48="Buy", ISBLANK(W48), B48&lt;&gt;"DIV", NOW()-A48 &lt; 365), ((E48*D48)+P48), "")</f>
        <v/>
      </c>
      <c r="R81" s="31">
        <f>IF(AND( C48="Buy", ISBLANK(W48), B48&lt;&gt;"DIV", NOW()-A48 &lt; 365), D48, "")</f>
        <v/>
      </c>
      <c r="S81" s="33">
        <f>IF(AND( C48="Buy", ISBLANK(W48), B48&lt;&gt;"DIV", NOW()-A48 &gt; 365), T48/SUM(F48:I48), "")</f>
        <v/>
      </c>
      <c r="T81" s="34">
        <f>IF(AND( C48="Buy", ISBLANK(W48), B48&lt;&gt;"DIV", NOW()-A48 &gt; 365), (1-Index!$F$2*2)*((J48*D48)-(E48*D48)), "")</f>
        <v/>
      </c>
      <c r="U81" s="34">
        <f>IF(AND( C48="Buy", ISBLANK(W48), B48&lt;&gt;"DIV", NOW()-A48 &gt; 365), ((E48*D48)+T48), "")</f>
        <v/>
      </c>
      <c r="V81" s="34">
        <f>IF(AND( C48="Buy", ISBLANK(W48), B48&lt;&gt;"DIV", NOW()-A48 &gt; 365), D48, "")</f>
        <v/>
      </c>
      <c r="W81" s="45" t="n"/>
      <c r="X81" s="34" t="n"/>
      <c r="Y81" s="33" t="e">
        <v>#REF!</v>
      </c>
      <c r="Z81" s="34" t="n"/>
      <c r="AA81" s="34" t="n"/>
      <c r="AB81" s="35" t="n"/>
      <c r="AC81" s="31">
        <f>IF(B48="DIV", F48,"")</f>
        <v/>
      </c>
      <c r="AD81" s="36" t="n"/>
    </row>
    <row r="82" ht="13" customHeight="1" s="68">
      <c r="A82" s="25" t="n">
        <v>43823</v>
      </c>
      <c r="B82" s="26" t="inlineStr">
        <is>
          <t>NSE</t>
        </is>
      </c>
      <c r="C82" s="26" t="inlineStr">
        <is>
          <t>Sell</t>
        </is>
      </c>
      <c r="D82" s="27" t="n">
        <v>20</v>
      </c>
      <c r="E82" s="28" t="n">
        <v>581.38</v>
      </c>
      <c r="F82" s="28" t="n">
        <v>11627.69</v>
      </c>
      <c r="G82" s="26" t="n"/>
      <c r="H82" s="27" t="n">
        <v>11.74</v>
      </c>
      <c r="I82" s="27" t="n">
        <v>70.56999999999999</v>
      </c>
      <c r="J82" s="29">
        <f>Index!$C$2</f>
        <v/>
      </c>
      <c r="K82" s="30">
        <f>IF(AND( C49="Buy", ISBLANK(W49), B49&lt;&gt;"DIV"), L49/SUM(F49:I49), "")</f>
        <v/>
      </c>
      <c r="L82" s="31">
        <f>IF(AND( C49="Buy", ISBLANK(W49), B49&lt;&gt;"DIV"), (1-Index!$F$2*2)*((J49*D49)-(E49*D49)), "")</f>
        <v/>
      </c>
      <c r="M82" s="31">
        <f>IF(AND( C49="Buy", ISBLANK(W49), B49&lt;&gt;"DIV"), ((E49*D49)+L49), "")</f>
        <v/>
      </c>
      <c r="N82" s="32">
        <f>IF(AND( C49="Buy", ISBLANK(W49), B49&lt;&gt;"DIV"), D49, "")</f>
        <v/>
      </c>
      <c r="O82" s="30">
        <f>IF(AND( C49="Buy", ISBLANK(W49), B49&lt;&gt;"DIV", NOW()-A49 &lt; 365), P49/SUM(F49:I49), "")</f>
        <v/>
      </c>
      <c r="P82" s="31">
        <f>IF(AND( C49="Buy", ISBLANK(W49), B49&lt;&gt;"DIV", NOW()-A49 &lt; 365), (1-Index!$F$2*2)*((J49*D49)-(E49*D49)), "")</f>
        <v/>
      </c>
      <c r="Q82" s="31">
        <f>IF(AND( C49="Buy", ISBLANK(W49), B49&lt;&gt;"DIV", NOW()-A49 &lt; 365), ((E49*D49)+P49), "")</f>
        <v/>
      </c>
      <c r="R82" s="31">
        <f>IF(AND( C49="Buy", ISBLANK(W49), B49&lt;&gt;"DIV", NOW()-A49 &lt; 365), D49, "")</f>
        <v/>
      </c>
      <c r="S82" s="33">
        <f>IF(AND( C49="Buy", ISBLANK(W49), B49&lt;&gt;"DIV", NOW()-A49 &gt; 365), T49/SUM(F49:I49), "")</f>
        <v/>
      </c>
      <c r="T82" s="34">
        <f>IF(AND( C49="Buy", ISBLANK(W49), B49&lt;&gt;"DIV", NOW()-A49 &gt; 365), (1-Index!$F$2*2)*((J49*D49)-(E49*D49)), "")</f>
        <v/>
      </c>
      <c r="U82" s="34">
        <f>IF(AND( C49="Buy", ISBLANK(W49), B49&lt;&gt;"DIV", NOW()-A49 &gt; 365), ((E49*D49)+T49), "")</f>
        <v/>
      </c>
      <c r="V82" s="34">
        <f>IF(AND( C49="Buy", ISBLANK(W49), B49&lt;&gt;"DIV", NOW()-A49 &gt; 365), D49, "")</f>
        <v/>
      </c>
      <c r="W82" s="45" t="n"/>
      <c r="X82" s="34" t="n"/>
      <c r="Y82" s="33" t="e">
        <v>#REF!</v>
      </c>
      <c r="Z82" s="34" t="n"/>
      <c r="AA82" s="34" t="n"/>
      <c r="AB82" s="35" t="n"/>
      <c r="AC82" s="31">
        <f>IF(B49="DIV", F49,"")</f>
        <v/>
      </c>
      <c r="AD82" s="36" t="n"/>
    </row>
    <row r="83" ht="13" customHeight="1" s="68">
      <c r="A83" s="25" t="n">
        <v>43822</v>
      </c>
      <c r="B83" s="26" t="inlineStr">
        <is>
          <t>NSE</t>
        </is>
      </c>
      <c r="C83" s="26" t="inlineStr">
        <is>
          <t>Sell</t>
        </is>
      </c>
      <c r="D83" s="27" t="n">
        <v>20</v>
      </c>
      <c r="E83" s="28" t="n">
        <v>580.9665</v>
      </c>
      <c r="F83" s="28" t="n">
        <v>11702.13</v>
      </c>
      <c r="G83" s="26" t="n"/>
      <c r="H83" s="27" t="n">
        <v>11.88</v>
      </c>
      <c r="I83" s="27" t="n">
        <v>70.98999999999999</v>
      </c>
      <c r="J83" s="29">
        <f>Index!$C$2</f>
        <v/>
      </c>
      <c r="K83" s="30">
        <f>IF(AND( C50="Buy", ISBLANK(W50), B50&lt;&gt;"DIV"), L50/SUM(F50:I50), "")</f>
        <v/>
      </c>
      <c r="L83" s="31">
        <f>IF(AND( C50="Buy", ISBLANK(W50), B50&lt;&gt;"DIV"), (1-Index!$F$2*2)*((J50*D50)-(E50*D50)), "")</f>
        <v/>
      </c>
      <c r="M83" s="31">
        <f>IF(AND( C50="Buy", ISBLANK(W50), B50&lt;&gt;"DIV"), ((E50*D50)+L50), "")</f>
        <v/>
      </c>
      <c r="N83" s="32">
        <f>IF(AND( C50="Buy", ISBLANK(W50), B50&lt;&gt;"DIV"), D50, "")</f>
        <v/>
      </c>
      <c r="O83" s="30">
        <f>IF(AND( C50="Buy", ISBLANK(W50), B50&lt;&gt;"DIV", NOW()-A50 &lt; 365), P50/SUM(F50:I50), "")</f>
        <v/>
      </c>
      <c r="P83" s="31">
        <f>IF(AND( C50="Buy", ISBLANK(W50), B50&lt;&gt;"DIV", NOW()-A50 &lt; 365), (1-Index!$F$2*2)*((J50*D50)-(E50*D50)), "")</f>
        <v/>
      </c>
      <c r="Q83" s="31">
        <f>IF(AND( C50="Buy", ISBLANK(W50), B50&lt;&gt;"DIV", NOW()-A50 &lt; 365), ((E50*D50)+P50), "")</f>
        <v/>
      </c>
      <c r="R83" s="31">
        <f>IF(AND( C50="Buy", ISBLANK(W50), B50&lt;&gt;"DIV", NOW()-A50 &lt; 365), D50, "")</f>
        <v/>
      </c>
      <c r="S83" s="33">
        <f>IF(AND( C50="Buy", ISBLANK(W50), B50&lt;&gt;"DIV", NOW()-A50 &gt; 365), T50/SUM(F50:I50), "")</f>
        <v/>
      </c>
      <c r="T83" s="34">
        <f>IF(AND( C50="Buy", ISBLANK(W50), B50&lt;&gt;"DIV", NOW()-A50 &gt; 365), (1-Index!$F$2*2)*((J50*D50)-(E50*D50)), "")</f>
        <v/>
      </c>
      <c r="U83" s="34">
        <f>IF(AND( C50="Buy", ISBLANK(W50), B50&lt;&gt;"DIV", NOW()-A50 &gt; 365), ((E50*D50)+T50), "")</f>
        <v/>
      </c>
      <c r="V83" s="34">
        <f>IF(AND( C50="Buy", ISBLANK(W50), B50&lt;&gt;"DIV", NOW()-A50 &gt; 365), D50, "")</f>
        <v/>
      </c>
      <c r="W83" s="45" t="n"/>
      <c r="X83" s="34" t="n"/>
      <c r="Y83" s="33" t="e">
        <v>#REF!</v>
      </c>
      <c r="Z83" s="34" t="n"/>
      <c r="AA83" s="34" t="n"/>
      <c r="AB83" s="35" t="n"/>
      <c r="AC83" s="31">
        <f>IF(B50="DIV", F50,"")</f>
        <v/>
      </c>
      <c r="AD83" s="36" t="n"/>
    </row>
    <row r="84" ht="13" customHeight="1" s="68">
      <c r="A84" s="25" t="n">
        <v>43819</v>
      </c>
      <c r="B84" s="26" t="inlineStr">
        <is>
          <t>NSE</t>
        </is>
      </c>
      <c r="C84" s="26" t="inlineStr">
        <is>
          <t>Sell</t>
        </is>
      </c>
      <c r="D84" s="27" t="n">
        <v>30</v>
      </c>
      <c r="E84" s="28" t="n">
        <v>570.971</v>
      </c>
      <c r="F84" s="28" t="n">
        <v>17251.48</v>
      </c>
      <c r="G84" s="26" t="n"/>
      <c r="H84" s="27" t="n">
        <v>17.54</v>
      </c>
      <c r="I84" s="27" t="n">
        <v>104.83</v>
      </c>
      <c r="J84" s="29">
        <f>Index!$C$2</f>
        <v/>
      </c>
      <c r="K84" s="30">
        <f>IF(AND( C51="Buy", ISBLANK(W51), B51&lt;&gt;"DIV"), L51/SUM(F51:I51), "")</f>
        <v/>
      </c>
      <c r="L84" s="31">
        <f>IF(AND( C51="Buy", ISBLANK(W51), B51&lt;&gt;"DIV"), (1-Index!$F$2*2)*((J51*D51)-(E51*D51)), "")</f>
        <v/>
      </c>
      <c r="M84" s="31">
        <f>IF(AND( C51="Buy", ISBLANK(W51), B51&lt;&gt;"DIV"), ((E51*D51)+L51), "")</f>
        <v/>
      </c>
      <c r="N84" s="32">
        <f>IF(AND( C51="Buy", ISBLANK(W51), B51&lt;&gt;"DIV"), D51, "")</f>
        <v/>
      </c>
      <c r="O84" s="30">
        <f>IF(AND( C51="Buy", ISBLANK(W51), B51&lt;&gt;"DIV", NOW()-A51 &lt; 365), P51/SUM(F51:I51), "")</f>
        <v/>
      </c>
      <c r="P84" s="31">
        <f>IF(AND( C51="Buy", ISBLANK(W51), B51&lt;&gt;"DIV", NOW()-A51 &lt; 365), (1-Index!$F$2*2)*((J51*D51)-(E51*D51)), "")</f>
        <v/>
      </c>
      <c r="Q84" s="31">
        <f>IF(AND( C51="Buy", ISBLANK(W51), B51&lt;&gt;"DIV", NOW()-A51 &lt; 365), ((E51*D51)+P51), "")</f>
        <v/>
      </c>
      <c r="R84" s="31">
        <f>IF(AND( C51="Buy", ISBLANK(W51), B51&lt;&gt;"DIV", NOW()-A51 &lt; 365), D51, "")</f>
        <v/>
      </c>
      <c r="S84" s="33">
        <f>IF(AND( C51="Buy", ISBLANK(W51), B51&lt;&gt;"DIV", NOW()-A51 &gt; 365), T51/SUM(F51:I51), "")</f>
        <v/>
      </c>
      <c r="T84" s="34">
        <f>IF(AND( C51="Buy", ISBLANK(W51), B51&lt;&gt;"DIV", NOW()-A51 &gt; 365), (1-Index!$F$2*2)*((J51*D51)-(E51*D51)), "")</f>
        <v/>
      </c>
      <c r="U84" s="34">
        <f>IF(AND( C51="Buy", ISBLANK(W51), B51&lt;&gt;"DIV", NOW()-A51 &gt; 365), ((E51*D51)+T51), "")</f>
        <v/>
      </c>
      <c r="V84" s="34">
        <f>IF(AND( C51="Buy", ISBLANK(W51), B51&lt;&gt;"DIV", NOW()-A51 &gt; 365), D51, "")</f>
        <v/>
      </c>
      <c r="W84" s="45" t="n"/>
      <c r="X84" s="34" t="n"/>
      <c r="Y84" s="33" t="n">
        <v>-1.857335434191466</v>
      </c>
      <c r="Z84" s="34" t="n"/>
      <c r="AA84" s="34" t="n"/>
      <c r="AB84" s="35" t="n"/>
      <c r="AC84" s="31">
        <f>IF(B51="DIV", F51,"")</f>
        <v/>
      </c>
      <c r="AD84" s="36" t="n"/>
    </row>
    <row r="85" ht="13" customHeight="1" s="68">
      <c r="A85" s="25" t="n">
        <v>43818</v>
      </c>
      <c r="B85" s="26" t="inlineStr">
        <is>
          <t>NSE</t>
        </is>
      </c>
      <c r="C85" s="26" t="inlineStr">
        <is>
          <t>Buy</t>
        </is>
      </c>
      <c r="D85" s="27" t="n">
        <v>5</v>
      </c>
      <c r="E85" s="28" t="n">
        <v>581.792</v>
      </c>
      <c r="F85" s="28" t="n">
        <v>2914.03</v>
      </c>
      <c r="G85" s="26" t="n"/>
      <c r="H85" s="27" t="n">
        <v>2.155</v>
      </c>
      <c r="I85" s="27" t="n">
        <v>2.925</v>
      </c>
      <c r="J85" s="29">
        <f>Index!$C$2</f>
        <v/>
      </c>
      <c r="K85" s="30">
        <f>IF(AND( C52="Buy", ISBLANK(W52), B52&lt;&gt;"DIV"), L52/SUM(F52:I52), "")</f>
        <v/>
      </c>
      <c r="L85" s="31">
        <f>IF(AND( C52="Buy", ISBLANK(W52), B52&lt;&gt;"DIV"), (1-Index!$F$2*2)*((J52*D52)-(E52*D52)), "")</f>
        <v/>
      </c>
      <c r="M85" s="31">
        <f>IF(AND( C52="Buy", ISBLANK(W52), B52&lt;&gt;"DIV"), ((E52*D52)+L52), "")</f>
        <v/>
      </c>
      <c r="N85" s="32">
        <f>IF(AND( C52="Buy", ISBLANK(W52), B52&lt;&gt;"DIV"), D52, "")</f>
        <v/>
      </c>
      <c r="O85" s="30">
        <f>IF(AND( C52="Buy", ISBLANK(W52), B52&lt;&gt;"DIV", NOW()-A52 &lt; 365), P52/SUM(F52:I52), "")</f>
        <v/>
      </c>
      <c r="P85" s="31">
        <f>IF(AND( C52="Buy", ISBLANK(W52), B52&lt;&gt;"DIV", NOW()-A52 &lt; 365), (1-Index!$F$2*2)*((J52*D52)-(E52*D52)), "")</f>
        <v/>
      </c>
      <c r="Q85" s="31">
        <f>IF(AND( C52="Buy", ISBLANK(W52), B52&lt;&gt;"DIV", NOW()-A52 &lt; 365), ((E52*D52)+P52), "")</f>
        <v/>
      </c>
      <c r="R85" s="31">
        <f>IF(AND( C52="Buy", ISBLANK(W52), B52&lt;&gt;"DIV", NOW()-A52 &lt; 365), D52, "")</f>
        <v/>
      </c>
      <c r="S85" s="33">
        <f>IF(AND( C52="Buy", ISBLANK(W52), B52&lt;&gt;"DIV", NOW()-A52 &gt; 365), T52/SUM(F52:I52), "")</f>
        <v/>
      </c>
      <c r="T85" s="34">
        <f>IF(AND( C52="Buy", ISBLANK(W52), B52&lt;&gt;"DIV", NOW()-A52 &gt; 365), (1-Index!$F$2*2)*((J52*D52)-(E52*D52)), "")</f>
        <v/>
      </c>
      <c r="U85" s="34">
        <f>IF(AND( C52="Buy", ISBLANK(W52), B52&lt;&gt;"DIV", NOW()-A52 &gt; 365), ((E52*D52)+T52), "")</f>
        <v/>
      </c>
      <c r="V85" s="34">
        <f>IF(AND( C52="Buy", ISBLANK(W52), B52&lt;&gt;"DIV", NOW()-A52 &gt; 365), D52, "")</f>
        <v/>
      </c>
      <c r="W85" s="43" t="n">
        <v>532.7895</v>
      </c>
      <c r="X85" s="44" t="n">
        <v>45565</v>
      </c>
      <c r="Y85" s="37">
        <f>IF(AND( C52="Buy", W52&lt;&gt;"", AA52&lt;&gt;"", B52&lt;&gt;"DIV"), Z52/SUM(F52:I52), "")</f>
        <v/>
      </c>
      <c r="Z85" s="38" t="n">
        <v>-27771.7253</v>
      </c>
      <c r="AA85" s="38" t="n">
        <v>28166.05</v>
      </c>
      <c r="AB85" s="39" t="n">
        <v>55</v>
      </c>
      <c r="AC85" s="40">
        <f>IF(B52="DIV", F52,"")</f>
        <v/>
      </c>
      <c r="AD85" s="36" t="n"/>
      <c r="AE85" s="41" t="n"/>
    </row>
    <row r="86" ht="13" customHeight="1" s="68">
      <c r="A86" s="25" t="n">
        <v>43818</v>
      </c>
      <c r="B86" s="26" t="inlineStr">
        <is>
          <t>NSE</t>
        </is>
      </c>
      <c r="C86" s="26" t="inlineStr">
        <is>
          <t>Buy</t>
        </is>
      </c>
      <c r="D86" s="27" t="n">
        <v>5</v>
      </c>
      <c r="E86" s="28" t="n">
        <v>581.792</v>
      </c>
      <c r="F86" s="28" t="n">
        <v>2914.03</v>
      </c>
      <c r="G86" s="26" t="n"/>
      <c r="H86" s="27" t="n">
        <v>2.155</v>
      </c>
      <c r="I86" s="27" t="n">
        <v>2.925</v>
      </c>
      <c r="J86" s="29">
        <f>Index!$C$2</f>
        <v/>
      </c>
      <c r="K86" s="30">
        <f>IF(AND( C53="Buy", ISBLANK(W53), B53&lt;&gt;"DIV"), L53/SUM(F53:I53), "")</f>
        <v/>
      </c>
      <c r="L86" s="31">
        <f>IF(AND( C53="Buy", ISBLANK(W53), B53&lt;&gt;"DIV"), (1-Index!$F$2*2)*((J53*D53)-(E53*D53)), "")</f>
        <v/>
      </c>
      <c r="M86" s="31">
        <f>IF(AND( C53="Buy", ISBLANK(W53), B53&lt;&gt;"DIV"), ((E53*D53)+L53), "")</f>
        <v/>
      </c>
      <c r="N86" s="32">
        <f>IF(AND( C53="Buy", ISBLANK(W53), B53&lt;&gt;"DIV"), D53, "")</f>
        <v/>
      </c>
      <c r="O86" s="30">
        <f>IF(AND( C53="Buy", ISBLANK(W53), B53&lt;&gt;"DIV", NOW()-A53 &lt; 365), P53/SUM(F53:I53), "")</f>
        <v/>
      </c>
      <c r="P86" s="31">
        <f>IF(AND( C53="Buy", ISBLANK(W53), B53&lt;&gt;"DIV", NOW()-A53 &lt; 365), (1-Index!$F$2*2)*((J53*D53)-(E53*D53)), "")</f>
        <v/>
      </c>
      <c r="Q86" s="31">
        <f>IF(AND( C53="Buy", ISBLANK(W53), B53&lt;&gt;"DIV", NOW()-A53 &lt; 365), ((E53*D53)+P53), "")</f>
        <v/>
      </c>
      <c r="R86" s="31">
        <f>IF(AND( C53="Buy", ISBLANK(W53), B53&lt;&gt;"DIV", NOW()-A53 &lt; 365), D53, "")</f>
        <v/>
      </c>
      <c r="S86" s="33">
        <f>IF(AND( C53="Buy", ISBLANK(W53), B53&lt;&gt;"DIV", NOW()-A53 &gt; 365), T53/SUM(F53:I53), "")</f>
        <v/>
      </c>
      <c r="T86" s="34">
        <f>IF(AND( C53="Buy", ISBLANK(W53), B53&lt;&gt;"DIV", NOW()-A53 &gt; 365), (1-Index!$F$2*2)*((J53*D53)-(E53*D53)), "")</f>
        <v/>
      </c>
      <c r="U86" s="34">
        <f>IF(AND( C53="Buy", ISBLANK(W53), B53&lt;&gt;"DIV", NOW()-A53 &gt; 365), ((E53*D53)+T53), "")</f>
        <v/>
      </c>
      <c r="V86" s="34">
        <f>IF(AND( C53="Buy", ISBLANK(W53), B53&lt;&gt;"DIV", NOW()-A53 &gt; 365), D53, "")</f>
        <v/>
      </c>
      <c r="W86" s="43" t="n">
        <v>574.903</v>
      </c>
      <c r="X86" s="44" t="n">
        <v>45565</v>
      </c>
      <c r="Y86" s="37">
        <f>IF(AND( C53="Buy", W53&lt;&gt;"", AA53&lt;&gt;"", B53&lt;&gt;"DIV"), Z53/SUM(F53:I53), "")</f>
        <v/>
      </c>
      <c r="Z86" s="38" t="n">
        <v>-25533.949</v>
      </c>
      <c r="AA86" s="38" t="n">
        <v>25896.5</v>
      </c>
      <c r="AB86" s="39" t="n">
        <v>50</v>
      </c>
      <c r="AC86" s="40">
        <f>IF(B53="DIV", F53,"")</f>
        <v/>
      </c>
      <c r="AD86" s="36" t="n"/>
      <c r="AE86" s="41" t="n"/>
    </row>
    <row r="87" ht="13" customHeight="1" s="68">
      <c r="A87" s="25" t="n">
        <v>43818</v>
      </c>
      <c r="B87" s="26" t="inlineStr">
        <is>
          <t>NSE</t>
        </is>
      </c>
      <c r="C87" s="26" t="inlineStr">
        <is>
          <t>Sell</t>
        </is>
      </c>
      <c r="D87" s="27" t="n">
        <v>10</v>
      </c>
      <c r="E87" s="28" t="n">
        <v>574.903</v>
      </c>
      <c r="F87" s="28" t="n">
        <v>5759.03</v>
      </c>
      <c r="G87" s="26" t="n"/>
      <c r="H87" s="27" t="n">
        <v>4.27</v>
      </c>
      <c r="I87" s="27" t="n">
        <v>5.7</v>
      </c>
      <c r="J87" s="29">
        <f>Index!$C$2</f>
        <v/>
      </c>
      <c r="K87" s="30">
        <f>IF(AND( C54="Buy", ISBLANK(W54), B54&lt;&gt;"DIV"), L54/SUM(F54:I54), "")</f>
        <v/>
      </c>
      <c r="L87" s="31">
        <f>IF(AND( C54="Buy", ISBLANK(W54), B54&lt;&gt;"DIV"), (1-Index!$F$2*2)*((J54*D54)-(E54*D54)), "")</f>
        <v/>
      </c>
      <c r="M87" s="31">
        <f>IF(AND( C54="Buy", ISBLANK(W54), B54&lt;&gt;"DIV"), ((E54*D54)+L54), "")</f>
        <v/>
      </c>
      <c r="N87" s="32">
        <f>IF(AND( C54="Buy", ISBLANK(W54), B54&lt;&gt;"DIV"), D54, "")</f>
        <v/>
      </c>
      <c r="O87" s="30">
        <f>IF(AND( C54="Buy", ISBLANK(W54), B54&lt;&gt;"DIV", NOW()-A54 &lt; 365), P54/SUM(F54:I54), "")</f>
        <v/>
      </c>
      <c r="P87" s="31">
        <f>IF(AND( C54="Buy", ISBLANK(W54), B54&lt;&gt;"DIV", NOW()-A54 &lt; 365), (1-Index!$F$2*2)*((J54*D54)-(E54*D54)), "")</f>
        <v/>
      </c>
      <c r="Q87" s="31">
        <f>IF(AND( C54="Buy", ISBLANK(W54), B54&lt;&gt;"DIV", NOW()-A54 &lt; 365), ((E54*D54)+P54), "")</f>
        <v/>
      </c>
      <c r="R87" s="31">
        <f>IF(AND( C54="Buy", ISBLANK(W54), B54&lt;&gt;"DIV", NOW()-A54 &lt; 365), D54, "")</f>
        <v/>
      </c>
      <c r="S87" s="33">
        <f>IF(AND( C54="Buy", ISBLANK(W54), B54&lt;&gt;"DIV", NOW()-A54 &gt; 365), T54/SUM(F54:I54), "")</f>
        <v/>
      </c>
      <c r="T87" s="34">
        <f>IF(AND( C54="Buy", ISBLANK(W54), B54&lt;&gt;"DIV", NOW()-A54 &gt; 365), (1-Index!$F$2*2)*((J54*D54)-(E54*D54)), "")</f>
        <v/>
      </c>
      <c r="U87" s="34">
        <f>IF(AND( C54="Buy", ISBLANK(W54), B54&lt;&gt;"DIV", NOW()-A54 &gt; 365), ((E54*D54)+T54), "")</f>
        <v/>
      </c>
      <c r="V87" s="34">
        <f>IF(AND( C54="Buy", ISBLANK(W54), B54&lt;&gt;"DIV", NOW()-A54 &gt; 365), D54, "")</f>
        <v/>
      </c>
      <c r="W87" s="45" t="n"/>
      <c r="X87" s="34" t="n"/>
      <c r="Y87" s="33" t="n">
        <v>-0.3107992867727281</v>
      </c>
      <c r="Z87" s="34" t="n"/>
      <c r="AA87" s="34" t="n"/>
      <c r="AB87" s="35" t="n"/>
      <c r="AC87" s="31">
        <f>IF(B54="DIV", F54,"")</f>
        <v/>
      </c>
      <c r="AD87" s="36" t="n"/>
    </row>
    <row r="88" ht="13" customHeight="1" s="68">
      <c r="A88" s="25" t="n">
        <v>43812</v>
      </c>
      <c r="B88" s="26" t="inlineStr">
        <is>
          <t>NSE</t>
        </is>
      </c>
      <c r="C88" s="26" t="inlineStr">
        <is>
          <t>Sell</t>
        </is>
      </c>
      <c r="D88" s="27" t="n">
        <v>20</v>
      </c>
      <c r="E88" s="28" t="n">
        <v>508.1195</v>
      </c>
      <c r="F88" s="28" t="n">
        <v>10232.19</v>
      </c>
      <c r="G88" s="26" t="n"/>
      <c r="H88" s="27" t="n">
        <v>7.82</v>
      </c>
      <c r="I88" s="27" t="n">
        <v>61.99</v>
      </c>
      <c r="J88" s="29">
        <f>Index!$C$2</f>
        <v/>
      </c>
      <c r="K88" s="30">
        <f>IF(AND( C55="Buy", ISBLANK(W55), B55&lt;&gt;"DIV"), L55/SUM(F55:I55), "")</f>
        <v/>
      </c>
      <c r="L88" s="31">
        <f>IF(AND( C55="Buy", ISBLANK(W55), B55&lt;&gt;"DIV"), (1-Index!$F$2*2)*((J55*D55)-(E55*D55)), "")</f>
        <v/>
      </c>
      <c r="M88" s="31">
        <f>IF(AND( C55="Buy", ISBLANK(W55), B55&lt;&gt;"DIV"), ((E55*D55)+L55), "")</f>
        <v/>
      </c>
      <c r="N88" s="32">
        <f>IF(AND( C55="Buy", ISBLANK(W55), B55&lt;&gt;"DIV"), D55, "")</f>
        <v/>
      </c>
      <c r="O88" s="30">
        <f>IF(AND( C55="Buy", ISBLANK(W55), B55&lt;&gt;"DIV", NOW()-A55 &lt; 365), P55/SUM(F55:I55), "")</f>
        <v/>
      </c>
      <c r="P88" s="31">
        <f>IF(AND( C55="Buy", ISBLANK(W55), B55&lt;&gt;"DIV", NOW()-A55 &lt; 365), (1-Index!$F$2*2)*((J55*D55)-(E55*D55)), "")</f>
        <v/>
      </c>
      <c r="Q88" s="31">
        <f>IF(AND( C55="Buy", ISBLANK(W55), B55&lt;&gt;"DIV", NOW()-A55 &lt; 365), ((E55*D55)+P55), "")</f>
        <v/>
      </c>
      <c r="R88" s="31">
        <f>IF(AND( C55="Buy", ISBLANK(W55), B55&lt;&gt;"DIV", NOW()-A55 &lt; 365), D55, "")</f>
        <v/>
      </c>
      <c r="S88" s="33">
        <f>IF(AND( C55="Buy", ISBLANK(W55), B55&lt;&gt;"DIV", NOW()-A55 &gt; 365), T55/SUM(F55:I55), "")</f>
        <v/>
      </c>
      <c r="T88" s="34">
        <f>IF(AND( C55="Buy", ISBLANK(W55), B55&lt;&gt;"DIV", NOW()-A55 &gt; 365), (1-Index!$F$2*2)*((J55*D55)-(E55*D55)), "")</f>
        <v/>
      </c>
      <c r="U88" s="34">
        <f>IF(AND( C55="Buy", ISBLANK(W55), B55&lt;&gt;"DIV", NOW()-A55 &gt; 365), ((E55*D55)+T55), "")</f>
        <v/>
      </c>
      <c r="V88" s="34">
        <f>IF(AND( C55="Buy", ISBLANK(W55), B55&lt;&gt;"DIV", NOW()-A55 &gt; 365), D55, "")</f>
        <v/>
      </c>
      <c r="W88" s="45" t="n"/>
      <c r="X88" s="34" t="n"/>
      <c r="Y88" s="33">
        <f>IF(AND( C55="Buy", W55&lt;&gt;"", AA55&lt;&gt;"", B55&lt;&gt;"DIV"), Z55/SUM(F55:I55), "")</f>
        <v/>
      </c>
      <c r="Z88" s="34" t="n"/>
      <c r="AA88" s="34" t="n"/>
      <c r="AB88" s="35" t="n"/>
      <c r="AC88" s="31">
        <f>IF(B55="DIV", F55,"")</f>
        <v/>
      </c>
      <c r="AD88" s="36" t="n"/>
    </row>
    <row r="89" ht="13" customHeight="1" s="68">
      <c r="A89" s="25" t="n">
        <v>43811</v>
      </c>
      <c r="B89" s="26" t="inlineStr">
        <is>
          <t>NSE</t>
        </is>
      </c>
      <c r="C89" s="26" t="inlineStr">
        <is>
          <t>Sell</t>
        </is>
      </c>
      <c r="D89" s="27" t="n">
        <v>25</v>
      </c>
      <c r="E89" s="28" t="n">
        <v>501.9024</v>
      </c>
      <c r="F89" s="28" t="n">
        <v>12633.31</v>
      </c>
      <c r="G89" s="26" t="n"/>
      <c r="H89" s="27" t="n">
        <v>9.279999999999999</v>
      </c>
      <c r="I89" s="27" t="n">
        <v>76.41</v>
      </c>
      <c r="J89" s="29">
        <f>Index!$C$2</f>
        <v/>
      </c>
      <c r="K89" s="30">
        <f>IF(AND( C56="Buy", ISBLANK(W56), B56&lt;&gt;"DIV"), L56/SUM(F56:I56), "")</f>
        <v/>
      </c>
      <c r="L89" s="31">
        <f>IF(AND( C56="Buy", ISBLANK(W56), B56&lt;&gt;"DIV"), (1-Index!$F$2*2)*((J56*D56)-(E56*D56)), "")</f>
        <v/>
      </c>
      <c r="M89" s="31">
        <f>IF(AND( C56="Buy", ISBLANK(W56), B56&lt;&gt;"DIV"), ((E56*D56)+L56), "")</f>
        <v/>
      </c>
      <c r="N89" s="32">
        <f>IF(AND( C56="Buy", ISBLANK(W56), B56&lt;&gt;"DIV"), D56, "")</f>
        <v/>
      </c>
      <c r="O89" s="30">
        <f>IF(AND( C56="Buy", ISBLANK(W56), B56&lt;&gt;"DIV", NOW()-A56 &lt; 365), P56/SUM(F56:I56), "")</f>
        <v/>
      </c>
      <c r="P89" s="31">
        <f>IF(AND( C56="Buy", ISBLANK(W56), B56&lt;&gt;"DIV", NOW()-A56 &lt; 365), (1-Index!$F$2*2)*((J56*D56)-(E56*D56)), "")</f>
        <v/>
      </c>
      <c r="Q89" s="31">
        <f>IF(AND( C56="Buy", ISBLANK(W56), B56&lt;&gt;"DIV", NOW()-A56 &lt; 365), ((E56*D56)+P56), "")</f>
        <v/>
      </c>
      <c r="R89" s="31">
        <f>IF(AND( C56="Buy", ISBLANK(W56), B56&lt;&gt;"DIV", NOW()-A56 &lt; 365), D56, "")</f>
        <v/>
      </c>
      <c r="S89" s="33">
        <f>IF(AND( C56="Buy", ISBLANK(W56), B56&lt;&gt;"DIV", NOW()-A56 &gt; 365), T56/SUM(F56:I56), "")</f>
        <v/>
      </c>
      <c r="T89" s="34">
        <f>IF(AND( C56="Buy", ISBLANK(W56), B56&lt;&gt;"DIV", NOW()-A56 &gt; 365), (1-Index!$F$2*2)*((J56*D56)-(E56*D56)), "")</f>
        <v/>
      </c>
      <c r="U89" s="34">
        <f>IF(AND( C56="Buy", ISBLANK(W56), B56&lt;&gt;"DIV", NOW()-A56 &gt; 365), ((E56*D56)+T56), "")</f>
        <v/>
      </c>
      <c r="V89" s="34">
        <f>IF(AND( C56="Buy", ISBLANK(W56), B56&lt;&gt;"DIV", NOW()-A56 &gt; 365), D56, "")</f>
        <v/>
      </c>
      <c r="W89" s="45" t="n"/>
      <c r="X89" s="34" t="n"/>
      <c r="Y89" s="33">
        <f>IF(AND( C56="Buy", W56&lt;&gt;"", AA56&lt;&gt;"", B56&lt;&gt;"DIV"), Z56/SUM(F56:I56), "")</f>
        <v/>
      </c>
      <c r="Z89" s="34" t="n"/>
      <c r="AA89" s="34" t="n"/>
      <c r="AB89" s="35" t="n"/>
      <c r="AC89" s="31">
        <f>IF(B56="DIV", F56,"")</f>
        <v/>
      </c>
      <c r="AD89" s="36" t="n"/>
    </row>
    <row r="90" ht="13" customHeight="1" s="68">
      <c r="A90" s="25" t="n">
        <v>43803</v>
      </c>
      <c r="B90" s="26" t="inlineStr">
        <is>
          <t>NSE</t>
        </is>
      </c>
      <c r="C90" s="26" t="inlineStr">
        <is>
          <t>Sell</t>
        </is>
      </c>
      <c r="D90" s="27" t="n">
        <v>30</v>
      </c>
      <c r="E90" s="28" t="n">
        <v>511.707333</v>
      </c>
      <c r="F90" s="28" t="n">
        <v>15458.32</v>
      </c>
      <c r="G90" s="26" t="n"/>
      <c r="H90" s="27" t="n">
        <v>13.78</v>
      </c>
      <c r="I90" s="27" t="n">
        <v>93.40000000000001</v>
      </c>
      <c r="J90" s="29">
        <f>Index!$C$2</f>
        <v/>
      </c>
      <c r="K90" s="30">
        <f>IF(AND( C57="Buy", ISBLANK(W57), B57&lt;&gt;"DIV"), L57/SUM(F57:I57), "")</f>
        <v/>
      </c>
      <c r="L90" s="31">
        <f>IF(AND( C57="Buy", ISBLANK(W57), B57&lt;&gt;"DIV"), (1-Index!$F$2*2)*((J57*D57)-(E57*D57)), "")</f>
        <v/>
      </c>
      <c r="M90" s="31">
        <f>IF(AND( C57="Buy", ISBLANK(W57), B57&lt;&gt;"DIV"), ((E57*D57)+L57), "")</f>
        <v/>
      </c>
      <c r="N90" s="32">
        <f>IF(AND( C57="Buy", ISBLANK(W57), B57&lt;&gt;"DIV"), D57, "")</f>
        <v/>
      </c>
      <c r="O90" s="30">
        <f>IF(AND( C57="Buy", ISBLANK(W57), B57&lt;&gt;"DIV", NOW()-A57 &lt; 365), P57/SUM(F57:I57), "")</f>
        <v/>
      </c>
      <c r="P90" s="31">
        <f>IF(AND( C57="Buy", ISBLANK(W57), B57&lt;&gt;"DIV", NOW()-A57 &lt; 365), (1-Index!$F$2*2)*((J57*D57)-(E57*D57)), "")</f>
        <v/>
      </c>
      <c r="Q90" s="31">
        <f>IF(AND( C57="Buy", ISBLANK(W57), B57&lt;&gt;"DIV", NOW()-A57 &lt; 365), ((E57*D57)+P57), "")</f>
        <v/>
      </c>
      <c r="R90" s="31">
        <f>IF(AND( C57="Buy", ISBLANK(W57), B57&lt;&gt;"DIV", NOW()-A57 &lt; 365), D57, "")</f>
        <v/>
      </c>
      <c r="S90" s="33">
        <f>IF(AND( C57="Buy", ISBLANK(W57), B57&lt;&gt;"DIV", NOW()-A57 &gt; 365), T57/SUM(F57:I57), "")</f>
        <v/>
      </c>
      <c r="T90" s="34">
        <f>IF(AND( C57="Buy", ISBLANK(W57), B57&lt;&gt;"DIV", NOW()-A57 &gt; 365), (1-Index!$F$2*2)*((J57*D57)-(E57*D57)), "")</f>
        <v/>
      </c>
      <c r="U90" s="34">
        <f>IF(AND( C57="Buy", ISBLANK(W57), B57&lt;&gt;"DIV", NOW()-A57 &gt; 365), ((E57*D57)+T57), "")</f>
        <v/>
      </c>
      <c r="V90" s="34">
        <f>IF(AND( C57="Buy", ISBLANK(W57), B57&lt;&gt;"DIV", NOW()-A57 &gt; 365), D57, "")</f>
        <v/>
      </c>
      <c r="W90" s="45" t="n"/>
      <c r="X90" s="34" t="n"/>
      <c r="Y90" s="33" t="n">
        <v>-1.063644189948785</v>
      </c>
      <c r="Z90" s="34" t="n"/>
      <c r="AA90" s="34" t="n"/>
      <c r="AB90" s="35" t="n"/>
      <c r="AC90" s="31">
        <f>IF(B57="DIV", F57,"")</f>
        <v/>
      </c>
      <c r="AD90" s="36" t="n"/>
    </row>
    <row r="91" ht="13" customHeight="1" s="68">
      <c r="A91" s="25" t="n">
        <v>43676</v>
      </c>
      <c r="B91" s="26" t="inlineStr">
        <is>
          <t>DIV</t>
        </is>
      </c>
      <c r="C91" s="26" t="inlineStr">
        <is>
          <t>Buy</t>
        </is>
      </c>
      <c r="D91" s="27" t="n">
        <v>175</v>
      </c>
      <c r="E91" s="28" t="n">
        <v>4</v>
      </c>
      <c r="F91" s="28" t="n">
        <v>700</v>
      </c>
      <c r="G91" s="26" t="inlineStr">
        <is>
          <t>Dividend of Rs.4.0000/- per share on 30-JUL-2019</t>
        </is>
      </c>
      <c r="H91" s="27" t="n">
        <v>0</v>
      </c>
      <c r="I91" s="27" t="n">
        <v>0</v>
      </c>
      <c r="J91" s="29">
        <f>Index!$C$2</f>
        <v/>
      </c>
      <c r="K91" s="30">
        <f>IF(AND( C58="Buy", ISBLANK(W58), B58&lt;&gt;"DIV"), L58/SUM(F58:I58), "")</f>
        <v/>
      </c>
      <c r="L91" s="31">
        <f>IF(AND( C58="Buy", ISBLANK(W58), B58&lt;&gt;"DIV"), (1-Index!$F$2*2)*((J58*D58)-(E58*D58)), "")</f>
        <v/>
      </c>
      <c r="M91" s="31">
        <f>IF(AND( C58="Buy", ISBLANK(W58), B58&lt;&gt;"DIV"), ((E58*D58)+L58), "")</f>
        <v/>
      </c>
      <c r="N91" s="32">
        <f>IF(AND( C58="Buy", ISBLANK(W58), B58&lt;&gt;"DIV"), D58, "")</f>
        <v/>
      </c>
      <c r="O91" s="30">
        <f>IF(AND( C58="Buy", ISBLANK(W58), B58&lt;&gt;"DIV", NOW()-A58 &lt; 365), P58/SUM(F58:I58), "")</f>
        <v/>
      </c>
      <c r="P91" s="31">
        <f>IF(AND( C58="Buy", ISBLANK(W58), B58&lt;&gt;"DIV", NOW()-A58 &lt; 365), (1-Index!$F$2*2)*((J58*D58)-(E58*D58)), "")</f>
        <v/>
      </c>
      <c r="Q91" s="31">
        <f>IF(AND( C58="Buy", ISBLANK(W58), B58&lt;&gt;"DIV", NOW()-A58 &lt; 365), ((E58*D58)+P58), "")</f>
        <v/>
      </c>
      <c r="R91" s="31">
        <f>IF(AND( C58="Buy", ISBLANK(W58), B58&lt;&gt;"DIV", NOW()-A58 &lt; 365), D58, "")</f>
        <v/>
      </c>
      <c r="S91" s="33">
        <f>IF(AND( C58="Buy", ISBLANK(W58), B58&lt;&gt;"DIV", NOW()-A58 &gt; 365), T58/SUM(F58:I58), "")</f>
        <v/>
      </c>
      <c r="T91" s="34">
        <f>IF(AND( C58="Buy", ISBLANK(W58), B58&lt;&gt;"DIV", NOW()-A58 &gt; 365), (1-Index!$F$2*2)*((J58*D58)-(E58*D58)), "")</f>
        <v/>
      </c>
      <c r="U91" s="34">
        <f>IF(AND( C58="Buy", ISBLANK(W58), B58&lt;&gt;"DIV", NOW()-A58 &gt; 365), ((E58*D58)+T58), "")</f>
        <v/>
      </c>
      <c r="V91" s="34">
        <f>IF(AND( C58="Buy", ISBLANK(W58), B58&lt;&gt;"DIV", NOW()-A58 &gt; 365), D58, "")</f>
        <v/>
      </c>
      <c r="W91" s="45" t="n"/>
      <c r="X91" s="34" t="n"/>
      <c r="Y91" s="33" t="n">
        <v>0.4878458011453852</v>
      </c>
      <c r="Z91" s="34" t="n"/>
      <c r="AA91" s="34" t="n"/>
      <c r="AB91" s="35" t="n"/>
      <c r="AC91" s="31">
        <f>IF(B58="DIV", F58,"")</f>
        <v/>
      </c>
      <c r="AD91" s="36" t="n"/>
    </row>
    <row r="92" ht="13" customHeight="1" s="68">
      <c r="A92" s="25" t="n">
        <v>43647</v>
      </c>
      <c r="B92" s="26" t="inlineStr">
        <is>
          <t>NSE</t>
        </is>
      </c>
      <c r="C92" s="26" t="inlineStr">
        <is>
          <t>Buy</t>
        </is>
      </c>
      <c r="D92" s="27" t="n">
        <v>10</v>
      </c>
      <c r="E92" s="28" t="n">
        <v>351.349</v>
      </c>
      <c r="F92" s="28" t="n">
        <v>3538.41</v>
      </c>
      <c r="G92" s="26" t="n"/>
      <c r="H92" s="27" t="n">
        <v>3.51</v>
      </c>
      <c r="I92" s="27" t="n">
        <v>21.4</v>
      </c>
      <c r="J92" s="29">
        <f>Index!$C$2</f>
        <v/>
      </c>
      <c r="K92" s="30">
        <f>IF(AND( C59="Buy", ISBLANK(W59), B59&lt;&gt;"DIV"), L59/SUM(F59:I59), "")</f>
        <v/>
      </c>
      <c r="L92" s="31">
        <f>IF(AND( C59="Buy", ISBLANK(W59), B59&lt;&gt;"DIV"), (1-Index!$F$2*2)*((J59*D59)-(E59*D59)), "")</f>
        <v/>
      </c>
      <c r="M92" s="31">
        <f>IF(AND( C59="Buy", ISBLANK(W59), B59&lt;&gt;"DIV"), ((E59*D59)+L59), "")</f>
        <v/>
      </c>
      <c r="N92" s="32">
        <f>IF(AND( C59="Buy", ISBLANK(W59), B59&lt;&gt;"DIV"), D59, "")</f>
        <v/>
      </c>
      <c r="O92" s="30">
        <f>IF(AND( C59="Buy", ISBLANK(W59), B59&lt;&gt;"DIV", NOW()-A59 &lt; 365), P59/SUM(F59:I59), "")</f>
        <v/>
      </c>
      <c r="P92" s="31">
        <f>IF(AND( C59="Buy", ISBLANK(W59), B59&lt;&gt;"DIV", NOW()-A59 &lt; 365), (1-Index!$F$2*2)*((J59*D59)-(E59*D59)), "")</f>
        <v/>
      </c>
      <c r="Q92" s="31">
        <f>IF(AND( C59="Buy", ISBLANK(W59), B59&lt;&gt;"DIV", NOW()-A59 &lt; 365), ((E59*D59)+P59), "")</f>
        <v/>
      </c>
      <c r="R92" s="31">
        <f>IF(AND( C59="Buy", ISBLANK(W59), B59&lt;&gt;"DIV", NOW()-A59 &lt; 365), D59, "")</f>
        <v/>
      </c>
      <c r="S92" s="33">
        <f>IF(AND( C59="Buy", ISBLANK(W59), B59&lt;&gt;"DIV", NOW()-A59 &gt; 365), T59/SUM(F59:I59), "")</f>
        <v/>
      </c>
      <c r="T92" s="34">
        <f>IF(AND( C59="Buy", ISBLANK(W59), B59&lt;&gt;"DIV", NOW()-A59 &gt; 365), (1-Index!$F$2*2)*((J59*D59)-(E59*D59)), "")</f>
        <v/>
      </c>
      <c r="U92" s="34">
        <f>IF(AND( C59="Buy", ISBLANK(W59), B59&lt;&gt;"DIV", NOW()-A59 &gt; 365), ((E59*D59)+T59), "")</f>
        <v/>
      </c>
      <c r="V92" s="34">
        <f>IF(AND( C59="Buy", ISBLANK(W59), B59&lt;&gt;"DIV", NOW()-A59 &gt; 365), D59, "")</f>
        <v/>
      </c>
      <c r="W92" s="43" t="n">
        <v>574.903</v>
      </c>
      <c r="X92" s="44" t="n">
        <v>45565</v>
      </c>
      <c r="Y92" s="37" t="n">
        <v>0.5235867911722714</v>
      </c>
      <c r="Z92" s="38" t="n">
        <v>410.9737627400002</v>
      </c>
      <c r="AA92" s="38" t="n">
        <v>3244.466999999999</v>
      </c>
      <c r="AB92" s="39" t="n">
        <v>5</v>
      </c>
      <c r="AC92" s="40">
        <f>IF(B59="DIV", F59,"")</f>
        <v/>
      </c>
      <c r="AD92" s="36" t="n"/>
      <c r="AE92" s="41" t="n"/>
    </row>
    <row r="93" ht="13" customHeight="1" s="68">
      <c r="A93" s="25" t="n">
        <v>43382</v>
      </c>
      <c r="B93" s="26" t="inlineStr">
        <is>
          <t>NSE</t>
        </is>
      </c>
      <c r="C93" s="26" t="inlineStr">
        <is>
          <t>Buy</t>
        </is>
      </c>
      <c r="D93" s="27" t="n">
        <v>10</v>
      </c>
      <c r="E93" s="28" t="n">
        <v>370.404</v>
      </c>
      <c r="F93" s="28" t="n">
        <v>3730.06</v>
      </c>
      <c r="G93" s="26" t="n"/>
      <c r="H93" s="27" t="n">
        <v>3.68</v>
      </c>
      <c r="I93" s="27" t="n">
        <v>22.38</v>
      </c>
      <c r="J93" s="29">
        <f>Index!$C$2</f>
        <v/>
      </c>
      <c r="K93" s="30">
        <f>IF(AND( C60="Buy", ISBLANK(W60), B60&lt;&gt;"DIV"), L60/SUM(F60:I60), "")</f>
        <v/>
      </c>
      <c r="L93" s="31">
        <f>IF(AND( C60="Buy", ISBLANK(W60), B60&lt;&gt;"DIV"), (1-Index!$F$2*2)*((J60*D60)-(E60*D60)), "")</f>
        <v/>
      </c>
      <c r="M93" s="31">
        <f>IF(AND( C60="Buy", ISBLANK(W60), B60&lt;&gt;"DIV"), ((E60*D60)+L60), "")</f>
        <v/>
      </c>
      <c r="N93" s="32">
        <f>IF(AND( C60="Buy", ISBLANK(W60), B60&lt;&gt;"DIV"), D60, "")</f>
        <v/>
      </c>
      <c r="O93" s="30">
        <f>IF(AND( C60="Buy", ISBLANK(W60), B60&lt;&gt;"DIV", NOW()-A60 &lt; 365), P60/SUM(F60:I60), "")</f>
        <v/>
      </c>
      <c r="P93" s="31">
        <f>IF(AND( C60="Buy", ISBLANK(W60), B60&lt;&gt;"DIV", NOW()-A60 &lt; 365), (1-Index!$F$2*2)*((J60*D60)-(E60*D60)), "")</f>
        <v/>
      </c>
      <c r="Q93" s="31">
        <f>IF(AND( C60="Buy", ISBLANK(W60), B60&lt;&gt;"DIV", NOW()-A60 &lt; 365), ((E60*D60)+P60), "")</f>
        <v/>
      </c>
      <c r="R93" s="31">
        <f>IF(AND( C60="Buy", ISBLANK(W60), B60&lt;&gt;"DIV", NOW()-A60 &lt; 365), D60, "")</f>
        <v/>
      </c>
      <c r="S93" s="33">
        <f>IF(AND( C60="Buy", ISBLANK(W60), B60&lt;&gt;"DIV", NOW()-A60 &gt; 365), T60/SUM(F60:I60), "")</f>
        <v/>
      </c>
      <c r="T93" s="34">
        <f>IF(AND( C60="Buy", ISBLANK(W60), B60&lt;&gt;"DIV", NOW()-A60 &gt; 365), (1-Index!$F$2*2)*((J60*D60)-(E60*D60)), "")</f>
        <v/>
      </c>
      <c r="U93" s="34">
        <f>IF(AND( C60="Buy", ISBLANK(W60), B60&lt;&gt;"DIV", NOW()-A60 &gt; 365), ((E60*D60)+T60), "")</f>
        <v/>
      </c>
      <c r="V93" s="34">
        <f>IF(AND( C60="Buy", ISBLANK(W60), B60&lt;&gt;"DIV", NOW()-A60 &gt; 365), D60, "")</f>
        <v/>
      </c>
      <c r="W93" s="43" t="n">
        <v>574.903</v>
      </c>
      <c r="X93" s="44" t="n">
        <v>45565</v>
      </c>
      <c r="Y93" s="37" t="e">
        <v>#REF!</v>
      </c>
      <c r="Z93" s="38" t="n">
        <v>1004.35752548</v>
      </c>
      <c r="AA93" s="38" t="n">
        <v>4852.4927</v>
      </c>
      <c r="AB93" s="39" t="n">
        <v>10</v>
      </c>
      <c r="AC93" s="40">
        <f>IF(B60="DIV", F60,"")</f>
        <v/>
      </c>
      <c r="AD93" s="36" t="n"/>
      <c r="AE93" s="41" t="n"/>
    </row>
    <row r="94" ht="13" customHeight="1" s="68">
      <c r="A94" s="25" t="n">
        <v>43376</v>
      </c>
      <c r="B94" s="26" t="inlineStr">
        <is>
          <t>NSE</t>
        </is>
      </c>
      <c r="C94" s="26" t="inlineStr">
        <is>
          <t>Buy</t>
        </is>
      </c>
      <c r="D94" s="27" t="n">
        <v>20</v>
      </c>
      <c r="E94" s="28" t="n">
        <v>367</v>
      </c>
      <c r="F94" s="28" t="n">
        <v>7391.8</v>
      </c>
      <c r="G94" s="26" t="n"/>
      <c r="H94" s="27" t="n">
        <v>7.328</v>
      </c>
      <c r="I94" s="27" t="n">
        <v>44.472</v>
      </c>
      <c r="J94" s="29">
        <f>Index!$C$2</f>
        <v/>
      </c>
      <c r="K94" s="30">
        <f>IF(AND( C61="Buy", ISBLANK(W61), B61&lt;&gt;"DIV"), L61/SUM(F61:I61), "")</f>
        <v/>
      </c>
      <c r="L94" s="31">
        <f>IF(AND( C61="Buy", ISBLANK(W61), B61&lt;&gt;"DIV"), (1-Index!$F$2*2)*((J61*D61)-(E61*D61)), "")</f>
        <v/>
      </c>
      <c r="M94" s="31">
        <f>IF(AND( C61="Buy", ISBLANK(W61), B61&lt;&gt;"DIV"), ((E61*D61)+L61), "")</f>
        <v/>
      </c>
      <c r="N94" s="32">
        <f>IF(AND( C61="Buy", ISBLANK(W61), B61&lt;&gt;"DIV"), D61, "")</f>
        <v/>
      </c>
      <c r="O94" s="30">
        <f>IF(AND( C61="Buy", ISBLANK(W61), B61&lt;&gt;"DIV", NOW()-A61 &lt; 365), P61/SUM(F61:I61), "")</f>
        <v/>
      </c>
      <c r="P94" s="31">
        <f>IF(AND( C61="Buy", ISBLANK(W61), B61&lt;&gt;"DIV", NOW()-A61 &lt; 365), (1-Index!$F$2*2)*((J61*D61)-(E61*D61)), "")</f>
        <v/>
      </c>
      <c r="Q94" s="31">
        <f>IF(AND( C61="Buy", ISBLANK(W61), B61&lt;&gt;"DIV", NOW()-A61 &lt; 365), ((E61*D61)+P61), "")</f>
        <v/>
      </c>
      <c r="R94" s="31">
        <f>IF(AND( C61="Buy", ISBLANK(W61), B61&lt;&gt;"DIV", NOW()-A61 &lt; 365), D61, "")</f>
        <v/>
      </c>
      <c r="S94" s="33">
        <f>IF(AND( C61="Buy", ISBLANK(W61), B61&lt;&gt;"DIV", NOW()-A61 &gt; 365), T61/SUM(F61:I61), "")</f>
        <v/>
      </c>
      <c r="T94" s="34">
        <f>IF(AND( C61="Buy", ISBLANK(W61), B61&lt;&gt;"DIV", NOW()-A61 &gt; 365), (1-Index!$F$2*2)*((J61*D61)-(E61*D61)), "")</f>
        <v/>
      </c>
      <c r="U94" s="34">
        <f>IF(AND( C61="Buy", ISBLANK(W61), B61&lt;&gt;"DIV", NOW()-A61 &gt; 365), ((E61*D61)+T61), "")</f>
        <v/>
      </c>
      <c r="V94" s="34">
        <f>IF(AND( C61="Buy", ISBLANK(W61), B61&lt;&gt;"DIV", NOW()-A61 &gt; 365), D61, "")</f>
        <v/>
      </c>
      <c r="W94" s="43" t="n">
        <v>577.2645</v>
      </c>
      <c r="X94" s="44" t="n">
        <v>45565</v>
      </c>
      <c r="Y94" s="37" t="e">
        <v>#REF!</v>
      </c>
      <c r="Z94" s="38" t="n">
        <v>987.00392548</v>
      </c>
      <c r="AA94" s="38" t="n">
        <v>4560.301359999999</v>
      </c>
      <c r="AB94" s="39" t="n">
        <v>10</v>
      </c>
      <c r="AC94" s="40">
        <f>IF(B61="DIV", F61,"")</f>
        <v/>
      </c>
      <c r="AD94" s="36" t="n"/>
      <c r="AE94" s="41" t="n"/>
    </row>
    <row r="95" ht="13" customHeight="1" s="68">
      <c r="A95" s="25" t="n">
        <v>43376</v>
      </c>
      <c r="B95" s="26" t="inlineStr">
        <is>
          <t>NSE</t>
        </is>
      </c>
      <c r="C95" s="26" t="inlineStr">
        <is>
          <t>Buy</t>
        </is>
      </c>
      <c r="D95" s="27" t="n">
        <v>5</v>
      </c>
      <c r="E95" s="28" t="n">
        <v>367</v>
      </c>
      <c r="F95" s="28" t="n">
        <v>1847.95</v>
      </c>
      <c r="G95" s="26" t="n"/>
      <c r="H95" s="27" t="n">
        <v>1.832</v>
      </c>
      <c r="I95" s="27" t="n">
        <v>11.118</v>
      </c>
      <c r="J95" s="29">
        <f>Index!$C$2</f>
        <v/>
      </c>
      <c r="K95" s="30">
        <f>IF(AND( C62="Buy", ISBLANK(W62), B62&lt;&gt;"DIV"), L62/SUM(F62:I62), "")</f>
        <v/>
      </c>
      <c r="L95" s="31">
        <f>IF(AND( C62="Buy", ISBLANK(W62), B62&lt;&gt;"DIV"), (1-Index!$F$2*2)*((J62*D62)-(E62*D62)), "")</f>
        <v/>
      </c>
      <c r="M95" s="31">
        <f>IF(AND( C62="Buy", ISBLANK(W62), B62&lt;&gt;"DIV"), ((E62*D62)+L62), "")</f>
        <v/>
      </c>
      <c r="N95" s="32">
        <f>IF(AND( C62="Buy", ISBLANK(W62), B62&lt;&gt;"DIV"), D62, "")</f>
        <v/>
      </c>
      <c r="O95" s="30">
        <f>IF(AND( C62="Buy", ISBLANK(W62), B62&lt;&gt;"DIV", NOW()-A62 &lt; 365), P62/SUM(F62:I62), "")</f>
        <v/>
      </c>
      <c r="P95" s="31">
        <f>IF(AND( C62="Buy", ISBLANK(W62), B62&lt;&gt;"DIV", NOW()-A62 &lt; 365), (1-Index!$F$2*2)*((J62*D62)-(E62*D62)), "")</f>
        <v/>
      </c>
      <c r="Q95" s="31">
        <f>IF(AND( C62="Buy", ISBLANK(W62), B62&lt;&gt;"DIV", NOW()-A62 &lt; 365), ((E62*D62)+P62), "")</f>
        <v/>
      </c>
      <c r="R95" s="31">
        <f>IF(AND( C62="Buy", ISBLANK(W62), B62&lt;&gt;"DIV", NOW()-A62 &lt; 365), D62, "")</f>
        <v/>
      </c>
      <c r="S95" s="33">
        <f>IF(AND( C62="Buy", ISBLANK(W62), B62&lt;&gt;"DIV", NOW()-A62 &gt; 365), T62/SUM(F62:I62), "")</f>
        <v/>
      </c>
      <c r="T95" s="34">
        <f>IF(AND( C62="Buy", ISBLANK(W62), B62&lt;&gt;"DIV", NOW()-A62 &gt; 365), (1-Index!$F$2*2)*((J62*D62)-(E62*D62)), "")</f>
        <v/>
      </c>
      <c r="U95" s="34">
        <f>IF(AND( C62="Buy", ISBLANK(W62), B62&lt;&gt;"DIV", NOW()-A62 &gt; 365), ((E62*D62)+T62), "")</f>
        <v/>
      </c>
      <c r="V95" s="34">
        <f>IF(AND( C62="Buy", ISBLANK(W62), B62&lt;&gt;"DIV", NOW()-A62 &gt; 365), D62, "")</f>
        <v/>
      </c>
      <c r="W95" s="43" t="n">
        <v>580.9665</v>
      </c>
      <c r="X95" s="44" t="n">
        <v>45565</v>
      </c>
      <c r="Y95" s="37" t="n">
        <v>-3.969633696710141</v>
      </c>
      <c r="Z95" s="38" t="n">
        <v>982.0739254800001</v>
      </c>
      <c r="AA95" s="38" t="n">
        <v>-12224.30664</v>
      </c>
      <c r="AB95" s="39" t="n">
        <v>10</v>
      </c>
      <c r="AC95" s="40">
        <f>IF(B62="DIV", F62,"")</f>
        <v/>
      </c>
      <c r="AD95" s="36" t="n"/>
      <c r="AE95" s="41" t="n"/>
    </row>
    <row r="96" ht="13" customHeight="1" s="68">
      <c r="A96" s="25" t="n">
        <v>43369</v>
      </c>
      <c r="B96" s="26" t="inlineStr">
        <is>
          <t>NSE</t>
        </is>
      </c>
      <c r="C96" s="26" t="inlineStr">
        <is>
          <t>Buy</t>
        </is>
      </c>
      <c r="D96" s="27" t="n">
        <v>15</v>
      </c>
      <c r="E96" s="28" t="n">
        <v>414.058667</v>
      </c>
      <c r="F96" s="28" t="n">
        <v>6254.418</v>
      </c>
      <c r="G96" s="26" t="n"/>
      <c r="H96" s="27" t="n">
        <v>6.22</v>
      </c>
      <c r="I96" s="27" t="n">
        <v>37.296</v>
      </c>
      <c r="J96" s="29">
        <f>Index!$C$2</f>
        <v/>
      </c>
      <c r="K96" s="30">
        <f>IF(AND( C63="Buy", ISBLANK(W63), B63&lt;&gt;"DIV"), L63/SUM(F63:I63), "")</f>
        <v/>
      </c>
      <c r="L96" s="31">
        <f>IF(AND( C63="Buy", ISBLANK(W63), B63&lt;&gt;"DIV"), (1-Index!$F$2*2)*((J63*D63)-(E63*D63)), "")</f>
        <v/>
      </c>
      <c r="M96" s="31">
        <f>IF(AND( C63="Buy", ISBLANK(W63), B63&lt;&gt;"DIV"), ((E63*D63)+L63), "")</f>
        <v/>
      </c>
      <c r="N96" s="32">
        <f>IF(AND( C63="Buy", ISBLANK(W63), B63&lt;&gt;"DIV"), D63, "")</f>
        <v/>
      </c>
      <c r="O96" s="30">
        <f>IF(AND( C63="Buy", ISBLANK(W63), B63&lt;&gt;"DIV", NOW()-A63 &lt; 365), P63/SUM(F63:I63), "")</f>
        <v/>
      </c>
      <c r="P96" s="31">
        <f>IF(AND( C63="Buy", ISBLANK(W63), B63&lt;&gt;"DIV", NOW()-A63 &lt; 365), (1-Index!$F$2*2)*((J63*D63)-(E63*D63)), "")</f>
        <v/>
      </c>
      <c r="Q96" s="31">
        <f>IF(AND( C63="Buy", ISBLANK(W63), B63&lt;&gt;"DIV", NOW()-A63 &lt; 365), ((E63*D63)+P63), "")</f>
        <v/>
      </c>
      <c r="R96" s="31">
        <f>IF(AND( C63="Buy", ISBLANK(W63), B63&lt;&gt;"DIV", NOW()-A63 &lt; 365), D63, "")</f>
        <v/>
      </c>
      <c r="S96" s="33">
        <f>IF(AND( C63="Buy", ISBLANK(W63), B63&lt;&gt;"DIV", NOW()-A63 &gt; 365), T63/SUM(F63:I63), "")</f>
        <v/>
      </c>
      <c r="T96" s="34">
        <f>IF(AND( C63="Buy", ISBLANK(W63), B63&lt;&gt;"DIV", NOW()-A63 &gt; 365), (1-Index!$F$2*2)*((J63*D63)-(E63*D63)), "")</f>
        <v/>
      </c>
      <c r="U96" s="34">
        <f>IF(AND( C63="Buy", ISBLANK(W63), B63&lt;&gt;"DIV", NOW()-A63 &gt; 365), ((E63*D63)+T63), "")</f>
        <v/>
      </c>
      <c r="V96" s="34">
        <f>IF(AND( C63="Buy", ISBLANK(W63), B63&lt;&gt;"DIV", NOW()-A63 &gt; 365), D63, "")</f>
        <v/>
      </c>
      <c r="W96" s="43" t="n">
        <v>580.9665</v>
      </c>
      <c r="X96" s="44" t="n">
        <v>45565</v>
      </c>
      <c r="Y96" s="37" t="e">
        <v>#REF!</v>
      </c>
      <c r="Z96" s="38" t="n">
        <v>2195.027284</v>
      </c>
      <c r="AA96" s="38" t="n">
        <v>3228.90984</v>
      </c>
      <c r="AB96" s="39" t="n">
        <v>10</v>
      </c>
      <c r="AC96" s="40">
        <f>IF(B63="DIV", F63,"")</f>
        <v/>
      </c>
      <c r="AD96" s="36" t="n"/>
      <c r="AE96" s="41" t="n"/>
    </row>
    <row r="97" ht="13" customHeight="1" s="68">
      <c r="A97" s="25" t="n">
        <v>43369</v>
      </c>
      <c r="B97" s="26" t="inlineStr">
        <is>
          <t>NSE</t>
        </is>
      </c>
      <c r="C97" s="26" t="inlineStr">
        <is>
          <t>Buy</t>
        </is>
      </c>
      <c r="D97" s="27" t="n">
        <v>10</v>
      </c>
      <c r="E97" s="28" t="n">
        <v>414.059</v>
      </c>
      <c r="F97" s="28" t="n">
        <v>4169.612</v>
      </c>
      <c r="G97" s="26" t="n"/>
      <c r="H97" s="27" t="n">
        <v>4.148</v>
      </c>
      <c r="I97" s="27" t="n">
        <v>24.864</v>
      </c>
      <c r="J97" s="29">
        <f>Index!$C$2</f>
        <v/>
      </c>
      <c r="K97" s="30">
        <f>IF(AND( C64="Buy", ISBLANK(W64), B64&lt;&gt;"DIV"), L64/SUM(F64:I64), "")</f>
        <v/>
      </c>
      <c r="L97" s="31">
        <f>IF(AND( C64="Buy", ISBLANK(W64), B64&lt;&gt;"DIV"), (1-Index!$F$2*2)*((J64*D64)-(E64*D64)), "")</f>
        <v/>
      </c>
      <c r="M97" s="31">
        <f>IF(AND( C64="Buy", ISBLANK(W64), B64&lt;&gt;"DIV"), ((E64*D64)+L64), "")</f>
        <v/>
      </c>
      <c r="N97" s="32">
        <f>IF(AND( C64="Buy", ISBLANK(W64), B64&lt;&gt;"DIV"), D64, "")</f>
        <v/>
      </c>
      <c r="O97" s="30">
        <f>IF(AND( C64="Buy", ISBLANK(W64), B64&lt;&gt;"DIV", NOW()-A64 &lt; 365), P64/SUM(F64:I64), "")</f>
        <v/>
      </c>
      <c r="P97" s="31">
        <f>IF(AND( C64="Buy", ISBLANK(W64), B64&lt;&gt;"DIV", NOW()-A64 &lt; 365), (1-Index!$F$2*2)*((J64*D64)-(E64*D64)), "")</f>
        <v/>
      </c>
      <c r="Q97" s="31">
        <f>IF(AND( C64="Buy", ISBLANK(W64), B64&lt;&gt;"DIV", NOW()-A64 &lt; 365), ((E64*D64)+P64), "")</f>
        <v/>
      </c>
      <c r="R97" s="31">
        <f>IF(AND( C64="Buy", ISBLANK(W64), B64&lt;&gt;"DIV", NOW()-A64 &lt; 365), D64, "")</f>
        <v/>
      </c>
      <c r="S97" s="33">
        <f>IF(AND( C64="Buy", ISBLANK(W64), B64&lt;&gt;"DIV", NOW()-A64 &gt; 365), T64/SUM(F64:I64), "")</f>
        <v/>
      </c>
      <c r="T97" s="34">
        <f>IF(AND( C64="Buy", ISBLANK(W64), B64&lt;&gt;"DIV", NOW()-A64 &gt; 365), (1-Index!$F$2*2)*((J64*D64)-(E64*D64)), "")</f>
        <v/>
      </c>
      <c r="U97" s="34">
        <f>IF(AND( C64="Buy", ISBLANK(W64), B64&lt;&gt;"DIV", NOW()-A64 &gt; 365), ((E64*D64)+T64), "")</f>
        <v/>
      </c>
      <c r="V97" s="34">
        <f>IF(AND( C64="Buy", ISBLANK(W64), B64&lt;&gt;"DIV", NOW()-A64 &gt; 365), D64, "")</f>
        <v/>
      </c>
      <c r="W97" s="43" t="n">
        <v>570.971</v>
      </c>
      <c r="X97" s="44" t="n">
        <v>45565</v>
      </c>
      <c r="Y97" s="37" t="e">
        <v>#REF!</v>
      </c>
      <c r="Z97" s="38" t="n">
        <v>2233.678484</v>
      </c>
      <c r="AA97" s="38" t="n">
        <v>3554.2932</v>
      </c>
      <c r="AB97" s="39" t="n">
        <v>10</v>
      </c>
      <c r="AC97" s="40">
        <f>IF(B64="DIV", F64,"")</f>
        <v/>
      </c>
      <c r="AD97" s="36" t="n"/>
      <c r="AE97" s="41" t="n"/>
    </row>
    <row r="98" ht="13" customHeight="1" s="68">
      <c r="A98" s="25" t="n">
        <v>43354</v>
      </c>
      <c r="B98" s="26" t="inlineStr">
        <is>
          <t>NSE</t>
        </is>
      </c>
      <c r="C98" s="26" t="inlineStr">
        <is>
          <t>Buy</t>
        </is>
      </c>
      <c r="D98" s="27" t="n">
        <v>20</v>
      </c>
      <c r="E98" s="28" t="n">
        <v>416.0965</v>
      </c>
      <c r="F98" s="28" t="n">
        <v>8380.073329999999</v>
      </c>
      <c r="G98" s="26" t="n"/>
      <c r="H98" s="27" t="n">
        <v>8</v>
      </c>
      <c r="I98" s="27" t="n">
        <v>50.07333</v>
      </c>
      <c r="J98" s="29">
        <f>Index!$C$2</f>
        <v/>
      </c>
      <c r="K98" s="30">
        <f>IF(AND( C65="Buy", ISBLANK(W65), B65&lt;&gt;"DIV"), L65/SUM(F65:I65), "")</f>
        <v/>
      </c>
      <c r="L98" s="31">
        <f>IF(AND( C65="Buy", ISBLANK(W65), B65&lt;&gt;"DIV"), (1-Index!$F$2*2)*((J65*D65)-(E65*D65)), "")</f>
        <v/>
      </c>
      <c r="M98" s="31">
        <f>IF(AND( C65="Buy", ISBLANK(W65), B65&lt;&gt;"DIV"), ((E65*D65)+L65), "")</f>
        <v/>
      </c>
      <c r="N98" s="32">
        <f>IF(AND( C65="Buy", ISBLANK(W65), B65&lt;&gt;"DIV"), D65, "")</f>
        <v/>
      </c>
      <c r="O98" s="30">
        <f>IF(AND( C65="Buy", ISBLANK(W65), B65&lt;&gt;"DIV", NOW()-A65 &lt; 365), P65/SUM(F65:I65), "")</f>
        <v/>
      </c>
      <c r="P98" s="31">
        <f>IF(AND( C65="Buy", ISBLANK(W65), B65&lt;&gt;"DIV", NOW()-A65 &lt; 365), (1-Index!$F$2*2)*((J65*D65)-(E65*D65)), "")</f>
        <v/>
      </c>
      <c r="Q98" s="31">
        <f>IF(AND( C65="Buy", ISBLANK(W65), B65&lt;&gt;"DIV", NOW()-A65 &lt; 365), ((E65*D65)+P65), "")</f>
        <v/>
      </c>
      <c r="R98" s="31">
        <f>IF(AND( C65="Buy", ISBLANK(W65), B65&lt;&gt;"DIV", NOW()-A65 &lt; 365), D65, "")</f>
        <v/>
      </c>
      <c r="S98" s="33">
        <f>IF(AND( C65="Buy", ISBLANK(W65), B65&lt;&gt;"DIV", NOW()-A65 &gt; 365), T65/SUM(F65:I65), "")</f>
        <v/>
      </c>
      <c r="T98" s="34">
        <f>IF(AND( C65="Buy", ISBLANK(W65), B65&lt;&gt;"DIV", NOW()-A65 &gt; 365), (1-Index!$F$2*2)*((J65*D65)-(E65*D65)), "")</f>
        <v/>
      </c>
      <c r="U98" s="34">
        <f>IF(AND( C65="Buy", ISBLANK(W65), B65&lt;&gt;"DIV", NOW()-A65 &gt; 365), ((E65*D65)+T65), "")</f>
        <v/>
      </c>
      <c r="V98" s="34">
        <f>IF(AND( C65="Buy", ISBLANK(W65), B65&lt;&gt;"DIV", NOW()-A65 &gt; 365), D65, "")</f>
        <v/>
      </c>
      <c r="W98" s="43" t="n">
        <v>570.971</v>
      </c>
      <c r="X98" s="44" t="n">
        <v>45565</v>
      </c>
      <c r="Y98" s="37" t="e">
        <v>#REF!</v>
      </c>
      <c r="Z98" s="38" t="n">
        <v>2011.828484</v>
      </c>
      <c r="AA98" s="38" t="n">
        <v>3497.1493</v>
      </c>
      <c r="AB98" s="39" t="n">
        <v>10</v>
      </c>
      <c r="AC98" s="40">
        <f>IF(B65="DIV", F65,"")</f>
        <v/>
      </c>
      <c r="AD98" s="36" t="n"/>
      <c r="AE98" s="41" t="n"/>
    </row>
    <row r="99" ht="13" customHeight="1" s="68">
      <c r="A99" s="25" t="n">
        <v>43354</v>
      </c>
      <c r="B99" s="26" t="inlineStr">
        <is>
          <t>NSE</t>
        </is>
      </c>
      <c r="C99" s="26" t="inlineStr">
        <is>
          <t>Buy</t>
        </is>
      </c>
      <c r="D99" s="27" t="n">
        <v>10</v>
      </c>
      <c r="E99" s="28" t="n">
        <v>416.096</v>
      </c>
      <c r="F99" s="28" t="n">
        <v>4190.0366</v>
      </c>
      <c r="G99" s="26" t="n"/>
      <c r="H99" s="27" t="n">
        <v>4</v>
      </c>
      <c r="I99" s="27" t="n">
        <v>25.03666</v>
      </c>
      <c r="J99" s="29">
        <f>Index!$C$2</f>
        <v/>
      </c>
      <c r="K99" s="30">
        <f>IF(AND( C66="Buy", ISBLANK(W66), B66&lt;&gt;"DIV"), L66/SUM(F66:I66), "")</f>
        <v/>
      </c>
      <c r="L99" s="31">
        <f>IF(AND( C66="Buy", ISBLANK(W66), B66&lt;&gt;"DIV"), (1-Index!$F$2*2)*((J66*D66)-(E66*D66)), "")</f>
        <v/>
      </c>
      <c r="M99" s="31">
        <f>IF(AND( C66="Buy", ISBLANK(W66), B66&lt;&gt;"DIV"), ((E66*D66)+L66), "")</f>
        <v/>
      </c>
      <c r="N99" s="32">
        <f>IF(AND( C66="Buy", ISBLANK(W66), B66&lt;&gt;"DIV"), D66, "")</f>
        <v/>
      </c>
      <c r="O99" s="30">
        <f>IF(AND( C66="Buy", ISBLANK(W66), B66&lt;&gt;"DIV", NOW()-A66 &lt; 365), P66/SUM(F66:I66), "")</f>
        <v/>
      </c>
      <c r="P99" s="31">
        <f>IF(AND( C66="Buy", ISBLANK(W66), B66&lt;&gt;"DIV", NOW()-A66 &lt; 365), (1-Index!$F$2*2)*((J66*D66)-(E66*D66)), "")</f>
        <v/>
      </c>
      <c r="Q99" s="31">
        <f>IF(AND( C66="Buy", ISBLANK(W66), B66&lt;&gt;"DIV", NOW()-A66 &lt; 365), ((E66*D66)+P66), "")</f>
        <v/>
      </c>
      <c r="R99" s="31">
        <f>IF(AND( C66="Buy", ISBLANK(W66), B66&lt;&gt;"DIV", NOW()-A66 &lt; 365), D66, "")</f>
        <v/>
      </c>
      <c r="S99" s="33">
        <f>IF(AND( C66="Buy", ISBLANK(W66), B66&lt;&gt;"DIV", NOW()-A66 &gt; 365), T66/SUM(F66:I66), "")</f>
        <v/>
      </c>
      <c r="T99" s="34">
        <f>IF(AND( C66="Buy", ISBLANK(W66), B66&lt;&gt;"DIV", NOW()-A66 &gt; 365), (1-Index!$F$2*2)*((J66*D66)-(E66*D66)), "")</f>
        <v/>
      </c>
      <c r="U99" s="34">
        <f>IF(AND( C66="Buy", ISBLANK(W66), B66&lt;&gt;"DIV", NOW()-A66 &gt; 365), ((E66*D66)+T66), "")</f>
        <v/>
      </c>
      <c r="V99" s="34">
        <f>IF(AND( C66="Buy", ISBLANK(W66), B66&lt;&gt;"DIV", NOW()-A66 &gt; 365), D66, "")</f>
        <v/>
      </c>
      <c r="W99" s="43" t="n">
        <v>574.903</v>
      </c>
      <c r="X99" s="44" t="n">
        <v>45565</v>
      </c>
      <c r="Y99" s="37" t="n">
        <v>-0.01674401291156987</v>
      </c>
      <c r="Z99" s="38" t="n">
        <v>1467.260684</v>
      </c>
      <c r="AA99" s="38" t="n">
        <v>3593.375</v>
      </c>
      <c r="AB99" s="39" t="n">
        <v>10</v>
      </c>
      <c r="AC99" s="40">
        <f>IF(B66="DIV", F66,"")</f>
        <v/>
      </c>
      <c r="AD99" s="36" t="n"/>
      <c r="AE99" s="41" t="n"/>
    </row>
    <row r="100" ht="13" customHeight="1" s="68">
      <c r="A100" s="25" t="n">
        <v>43312</v>
      </c>
      <c r="B100" s="26" t="inlineStr">
        <is>
          <t>NSE</t>
        </is>
      </c>
      <c r="C100" s="26" t="inlineStr">
        <is>
          <t>Buy</t>
        </is>
      </c>
      <c r="D100" s="27" t="n">
        <v>20</v>
      </c>
      <c r="E100" s="28" t="n">
        <v>464.205</v>
      </c>
      <c r="F100" s="28" t="n">
        <v>9348.911099999999</v>
      </c>
      <c r="G100" s="26" t="n"/>
      <c r="H100" s="27" t="n">
        <v>9.2133</v>
      </c>
      <c r="I100" s="27" t="n">
        <v>55.6933</v>
      </c>
      <c r="J100" s="29">
        <f>Index!$C$2</f>
        <v/>
      </c>
      <c r="K100" s="30">
        <f>IF(AND( C67="Buy", ISBLANK(W67), B67&lt;&gt;"DIV"), L67/SUM(F67:I67), "")</f>
        <v/>
      </c>
      <c r="L100" s="31">
        <f>IF(AND( C67="Buy", ISBLANK(W67), B67&lt;&gt;"DIV"), (1-Index!$F$2*2)*((J67*D67)-(E67*D67)), "")</f>
        <v/>
      </c>
      <c r="M100" s="31">
        <f>IF(AND( C67="Buy", ISBLANK(W67), B67&lt;&gt;"DIV"), ((E67*D67)+L67), "")</f>
        <v/>
      </c>
      <c r="N100" s="32">
        <f>IF(AND( C67="Buy", ISBLANK(W67), B67&lt;&gt;"DIV"), D67, "")</f>
        <v/>
      </c>
      <c r="O100" s="30">
        <f>IF(AND( C67="Buy", ISBLANK(W67), B67&lt;&gt;"DIV", NOW()-A67 &lt; 365), P67/SUM(F67:I67), "")</f>
        <v/>
      </c>
      <c r="P100" s="31">
        <f>IF(AND( C67="Buy", ISBLANK(W67), B67&lt;&gt;"DIV", NOW()-A67 &lt; 365), (1-Index!$F$2*2)*((J67*D67)-(E67*D67)), "")</f>
        <v/>
      </c>
      <c r="Q100" s="31">
        <f>IF(AND( C67="Buy", ISBLANK(W67), B67&lt;&gt;"DIV", NOW()-A67 &lt; 365), ((E67*D67)+P67), "")</f>
        <v/>
      </c>
      <c r="R100" s="31">
        <f>IF(AND( C67="Buy", ISBLANK(W67), B67&lt;&gt;"DIV", NOW()-A67 &lt; 365), D67, "")</f>
        <v/>
      </c>
      <c r="S100" s="33">
        <f>IF(AND( C67="Buy", ISBLANK(W67), B67&lt;&gt;"DIV", NOW()-A67 &gt; 365), T67/SUM(F67:I67), "")</f>
        <v/>
      </c>
      <c r="T100" s="34">
        <f>IF(AND( C67="Buy", ISBLANK(W67), B67&lt;&gt;"DIV", NOW()-A67 &gt; 365), (1-Index!$F$2*2)*((J67*D67)-(E67*D67)), "")</f>
        <v/>
      </c>
      <c r="U100" s="34">
        <f>IF(AND( C67="Buy", ISBLANK(W67), B67&lt;&gt;"DIV", NOW()-A67 &gt; 365), ((E67*D67)+T67), "")</f>
        <v/>
      </c>
      <c r="V100" s="34">
        <f>IF(AND( C67="Buy", ISBLANK(W67), B67&lt;&gt;"DIV", NOW()-A67 &gt; 365), D67, "")</f>
        <v/>
      </c>
      <c r="W100" s="43" t="n">
        <v>508.1195</v>
      </c>
      <c r="X100" s="44" t="n">
        <v>45565</v>
      </c>
      <c r="Y100" s="37" t="n">
        <v>-0.04012004086497532</v>
      </c>
      <c r="Z100" s="38" t="n">
        <v>1160.614684</v>
      </c>
      <c r="AA100" s="38" t="n">
        <v>3805.775</v>
      </c>
      <c r="AB100" s="39" t="n">
        <v>10</v>
      </c>
      <c r="AC100" s="40">
        <f>IF(B67="DIV", F67,"")</f>
        <v/>
      </c>
      <c r="AD100" s="36" t="n"/>
      <c r="AE100" s="41" t="n"/>
    </row>
    <row r="101" ht="13" customHeight="1" s="68">
      <c r="A101" s="25" t="n">
        <v>43312</v>
      </c>
      <c r="B101" s="26" t="inlineStr">
        <is>
          <t>NSE</t>
        </is>
      </c>
      <c r="C101" s="26" t="inlineStr">
        <is>
          <t>Buy</t>
        </is>
      </c>
      <c r="D101" s="27" t="n">
        <v>25</v>
      </c>
      <c r="E101" s="28" t="n">
        <v>464.2044</v>
      </c>
      <c r="F101" s="28" t="n">
        <v>11686.1388</v>
      </c>
      <c r="G101" s="26" t="n"/>
      <c r="H101" s="27" t="n">
        <v>11.51666</v>
      </c>
      <c r="I101" s="27" t="n">
        <v>69.61660000000001</v>
      </c>
      <c r="J101" s="29">
        <f>Index!$C$2</f>
        <v/>
      </c>
      <c r="K101" s="30">
        <f>IF(AND( C68="Buy", ISBLANK(W68), B68&lt;&gt;"DIV"), L68/SUM(F68:I68), "")</f>
        <v/>
      </c>
      <c r="L101" s="31">
        <f>IF(AND( C68="Buy", ISBLANK(W68), B68&lt;&gt;"DIV"), (1-Index!$F$2*2)*((J68*D68)-(E68*D68)), "")</f>
        <v/>
      </c>
      <c r="M101" s="31">
        <f>IF(AND( C68="Buy", ISBLANK(W68), B68&lt;&gt;"DIV"), ((E68*D68)+L68), "")</f>
        <v/>
      </c>
      <c r="N101" s="32">
        <f>IF(AND( C68="Buy", ISBLANK(W68), B68&lt;&gt;"DIV"), D68, "")</f>
        <v/>
      </c>
      <c r="O101" s="30">
        <f>IF(AND( C68="Buy", ISBLANK(W68), B68&lt;&gt;"DIV", NOW()-A68 &lt; 365), P68/SUM(F68:I68), "")</f>
        <v/>
      </c>
      <c r="P101" s="31">
        <f>IF(AND( C68="Buy", ISBLANK(W68), B68&lt;&gt;"DIV", NOW()-A68 &lt; 365), (1-Index!$F$2*2)*((J68*D68)-(E68*D68)), "")</f>
        <v/>
      </c>
      <c r="Q101" s="31">
        <f>IF(AND( C68="Buy", ISBLANK(W68), B68&lt;&gt;"DIV", NOW()-A68 &lt; 365), ((E68*D68)+P68), "")</f>
        <v/>
      </c>
      <c r="R101" s="31">
        <f>IF(AND( C68="Buy", ISBLANK(W68), B68&lt;&gt;"DIV", NOW()-A68 &lt; 365), D68, "")</f>
        <v/>
      </c>
      <c r="S101" s="33">
        <f>IF(AND( C68="Buy", ISBLANK(W68), B68&lt;&gt;"DIV", NOW()-A68 &gt; 365), T68/SUM(F68:I68), "")</f>
        <v/>
      </c>
      <c r="T101" s="34">
        <f>IF(AND( C68="Buy", ISBLANK(W68), B68&lt;&gt;"DIV", NOW()-A68 &gt; 365), (1-Index!$F$2*2)*((J68*D68)-(E68*D68)), "")</f>
        <v/>
      </c>
      <c r="U101" s="34">
        <f>IF(AND( C68="Buy", ISBLANK(W68), B68&lt;&gt;"DIV", NOW()-A68 &gt; 365), ((E68*D68)+T68), "")</f>
        <v/>
      </c>
      <c r="V101" s="34">
        <f>IF(AND( C68="Buy", ISBLANK(W68), B68&lt;&gt;"DIV", NOW()-A68 &gt; 365), D68, "")</f>
        <v/>
      </c>
      <c r="W101" s="43" t="n">
        <v>501.9024</v>
      </c>
      <c r="X101" s="44" t="n">
        <v>45565</v>
      </c>
      <c r="Y101" s="37" t="e">
        <v>#REF!</v>
      </c>
      <c r="Z101" s="38" t="n">
        <v>1102.83607</v>
      </c>
      <c r="AA101" s="38" t="n">
        <v>4412.879723567999</v>
      </c>
      <c r="AB101" s="39" t="n">
        <v>10</v>
      </c>
      <c r="AC101" s="40">
        <f>IF(B68="DIV", F68,"")</f>
        <v/>
      </c>
      <c r="AD101" s="36" t="n"/>
      <c r="AE101" s="41" t="n"/>
    </row>
    <row r="102" ht="13" customHeight="1" s="68">
      <c r="A102" s="25" t="n">
        <v>43312</v>
      </c>
      <c r="B102" s="26" t="inlineStr">
        <is>
          <t>NSE</t>
        </is>
      </c>
      <c r="C102" s="26" t="inlineStr">
        <is>
          <t>Buy</t>
        </is>
      </c>
      <c r="D102" s="27" t="n">
        <v>10</v>
      </c>
      <c r="E102" s="28" t="n">
        <v>464.204</v>
      </c>
      <c r="F102" s="28" t="n">
        <v>4674.45454</v>
      </c>
      <c r="G102" s="26" t="n"/>
      <c r="H102" s="27" t="n">
        <v>4.60727</v>
      </c>
      <c r="I102" s="27" t="n">
        <v>27.8472</v>
      </c>
      <c r="J102" s="29">
        <f>Index!$C$2</f>
        <v/>
      </c>
      <c r="K102" s="30">
        <f>IF(AND( C69="Buy", ISBLANK(W69), B69&lt;&gt;"DIV"), L69/SUM(F69:I69), "")</f>
        <v/>
      </c>
      <c r="L102" s="31">
        <f>IF(AND( C69="Buy", ISBLANK(W69), B69&lt;&gt;"DIV"), (1-Index!$F$2*2)*((J69*D69)-(E69*D69)), "")</f>
        <v/>
      </c>
      <c r="M102" s="31">
        <f>IF(AND( C69="Buy", ISBLANK(W69), B69&lt;&gt;"DIV"), ((E69*D69)+L69), "")</f>
        <v/>
      </c>
      <c r="N102" s="32">
        <f>IF(AND( C69="Buy", ISBLANK(W69), B69&lt;&gt;"DIV"), D69, "")</f>
        <v/>
      </c>
      <c r="O102" s="30">
        <f>IF(AND( C69="Buy", ISBLANK(W69), B69&lt;&gt;"DIV", NOW()-A69 &lt; 365), P69/SUM(F69:I69), "")</f>
        <v/>
      </c>
      <c r="P102" s="31">
        <f>IF(AND( C69="Buy", ISBLANK(W69), B69&lt;&gt;"DIV", NOW()-A69 &lt; 365), (1-Index!$F$2*2)*((J69*D69)-(E69*D69)), "")</f>
        <v/>
      </c>
      <c r="Q102" s="31">
        <f>IF(AND( C69="Buy", ISBLANK(W69), B69&lt;&gt;"DIV", NOW()-A69 &lt; 365), ((E69*D69)+P69), "")</f>
        <v/>
      </c>
      <c r="R102" s="31">
        <f>IF(AND( C69="Buy", ISBLANK(W69), B69&lt;&gt;"DIV", NOW()-A69 &lt; 365), D69, "")</f>
        <v/>
      </c>
      <c r="S102" s="33">
        <f>IF(AND( C69="Buy", ISBLANK(W69), B69&lt;&gt;"DIV", NOW()-A69 &gt; 365), T69/SUM(F69:I69), "")</f>
        <v/>
      </c>
      <c r="T102" s="34">
        <f>IF(AND( C69="Buy", ISBLANK(W69), B69&lt;&gt;"DIV", NOW()-A69 &gt; 365), (1-Index!$F$2*2)*((J69*D69)-(E69*D69)), "")</f>
        <v/>
      </c>
      <c r="U102" s="34">
        <f>IF(AND( C69="Buy", ISBLANK(W69), B69&lt;&gt;"DIV", NOW()-A69 &gt; 365), ((E69*D69)+T69), "")</f>
        <v/>
      </c>
      <c r="V102" s="34">
        <f>IF(AND( C69="Buy", ISBLANK(W69), B69&lt;&gt;"DIV", NOW()-A69 &gt; 365), D69, "")</f>
        <v/>
      </c>
      <c r="W102" s="43" t="n">
        <v>511.707333</v>
      </c>
      <c r="X102" s="44" t="n">
        <v>45565</v>
      </c>
      <c r="Y102" s="37">
        <f>IF(AND( C69="Buy", W69&lt;&gt;"", AA69&lt;&gt;"", B69&lt;&gt;"DIV"), Z69/SUM(F69:I69), "")</f>
        <v/>
      </c>
      <c r="Z102" s="38" t="n">
        <v>-49.3</v>
      </c>
      <c r="AA102" s="38" t="n">
        <v>50</v>
      </c>
      <c r="AB102" s="39" t="n">
        <v>10</v>
      </c>
      <c r="AC102" s="40">
        <f>IF(B69="DIV", F69,"")</f>
        <v/>
      </c>
      <c r="AD102" s="36" t="n"/>
      <c r="AE102" s="41" t="n"/>
    </row>
    <row r="103" ht="13" customHeight="1" s="68">
      <c r="A103" s="25" t="n">
        <v>43311</v>
      </c>
      <c r="B103" s="26" t="inlineStr">
        <is>
          <t>DIV</t>
        </is>
      </c>
      <c r="C103" s="26" t="inlineStr">
        <is>
          <t>Buy</t>
        </is>
      </c>
      <c r="D103" s="27" t="n">
        <v>20</v>
      </c>
      <c r="E103" s="28" t="n">
        <v>6</v>
      </c>
      <c r="F103" s="28" t="n">
        <v>120</v>
      </c>
      <c r="G103" s="26" t="inlineStr">
        <is>
          <t>Dividend of Rs.6.0000/- per share on 30-JUL-2018</t>
        </is>
      </c>
      <c r="H103" s="27" t="n">
        <v>0</v>
      </c>
      <c r="I103" s="27" t="n">
        <v>0</v>
      </c>
      <c r="J103" s="29">
        <f>Index!$C$2</f>
        <v/>
      </c>
      <c r="K103" s="30">
        <f>IF(AND( C70="Buy", ISBLANK(W70), B70&lt;&gt;"DIV"), L70/SUM(F70:I70), "")</f>
        <v/>
      </c>
      <c r="L103" s="31">
        <f>IF(AND( C70="Buy", ISBLANK(W70), B70&lt;&gt;"DIV"), (1-Index!$F$2*2)*((J70*D70)-(E70*D70)), "")</f>
        <v/>
      </c>
      <c r="M103" s="31">
        <f>IF(AND( C70="Buy", ISBLANK(W70), B70&lt;&gt;"DIV"), ((E70*D70)+L70), "")</f>
        <v/>
      </c>
      <c r="N103" s="32">
        <f>IF(AND( C70="Buy", ISBLANK(W70), B70&lt;&gt;"DIV"), D70, "")</f>
        <v/>
      </c>
      <c r="O103" s="30">
        <f>IF(AND( C70="Buy", ISBLANK(W70), B70&lt;&gt;"DIV", NOW()-A70 &lt; 365), P70/SUM(F70:I70), "")</f>
        <v/>
      </c>
      <c r="P103" s="31">
        <f>IF(AND( C70="Buy", ISBLANK(W70), B70&lt;&gt;"DIV", NOW()-A70 &lt; 365), (1-Index!$F$2*2)*((J70*D70)-(E70*D70)), "")</f>
        <v/>
      </c>
      <c r="Q103" s="31">
        <f>IF(AND( C70="Buy", ISBLANK(W70), B70&lt;&gt;"DIV", NOW()-A70 &lt; 365), ((E70*D70)+P70), "")</f>
        <v/>
      </c>
      <c r="R103" s="31">
        <f>IF(AND( C70="Buy", ISBLANK(W70), B70&lt;&gt;"DIV", NOW()-A70 &lt; 365), D70, "")</f>
        <v/>
      </c>
      <c r="S103" s="33">
        <f>IF(AND( C70="Buy", ISBLANK(W70), B70&lt;&gt;"DIV", NOW()-A70 &gt; 365), T70/SUM(F70:I70), "")</f>
        <v/>
      </c>
      <c r="T103" s="34">
        <f>IF(AND( C70="Buy", ISBLANK(W70), B70&lt;&gt;"DIV", NOW()-A70 &gt; 365), (1-Index!$F$2*2)*((J70*D70)-(E70*D70)), "")</f>
        <v/>
      </c>
      <c r="U103" s="34">
        <f>IF(AND( C70="Buy", ISBLANK(W70), B70&lt;&gt;"DIV", NOW()-A70 &gt; 365), ((E70*D70)+T70), "")</f>
        <v/>
      </c>
      <c r="V103" s="34">
        <f>IF(AND( C70="Buy", ISBLANK(W70), B70&lt;&gt;"DIV", NOW()-A70 &gt; 365), D70, "")</f>
        <v/>
      </c>
      <c r="W103" s="45" t="n"/>
      <c r="X103" s="34" t="n"/>
      <c r="Y103" s="33" t="e">
        <v>#REF!</v>
      </c>
      <c r="Z103" s="34" t="n"/>
      <c r="AA103" s="34" t="n"/>
      <c r="AB103" s="35" t="n"/>
      <c r="AC103" s="31">
        <f>IF(B70="DIV", F70,"")</f>
        <v/>
      </c>
      <c r="AD103" s="36" t="n"/>
    </row>
    <row r="104" ht="13" customHeight="1" s="68">
      <c r="A104" s="25" t="n">
        <v>43307</v>
      </c>
      <c r="B104" s="26" t="inlineStr">
        <is>
          <t>NSE</t>
        </is>
      </c>
      <c r="C104" s="26" t="inlineStr">
        <is>
          <t>Buy</t>
        </is>
      </c>
      <c r="D104" s="27" t="n">
        <v>20</v>
      </c>
      <c r="E104" s="28" t="n">
        <v>455.113</v>
      </c>
      <c r="F104" s="28" t="n">
        <v>9166.440000000001</v>
      </c>
      <c r="G104" s="26" t="n"/>
      <c r="H104" s="27" t="n">
        <v>9.17</v>
      </c>
      <c r="I104" s="27" t="n">
        <v>54.97</v>
      </c>
      <c r="J104" s="29">
        <f>Index!$C$2</f>
        <v/>
      </c>
      <c r="K104" s="30">
        <f>IF(AND( C71="Buy", ISBLANK(W71), B71&lt;&gt;"DIV"), L71/SUM(F71:I71), "")</f>
        <v/>
      </c>
      <c r="L104" s="31">
        <f>IF(AND( C71="Buy", ISBLANK(W71), B71&lt;&gt;"DIV"), (1-Index!$F$2*2)*((J71*D71)-(E71*D71)), "")</f>
        <v/>
      </c>
      <c r="M104" s="31">
        <f>IF(AND( C71="Buy", ISBLANK(W71), B71&lt;&gt;"DIV"), ((E71*D71)+L71), "")</f>
        <v/>
      </c>
      <c r="N104" s="32">
        <f>IF(AND( C71="Buy", ISBLANK(W71), B71&lt;&gt;"DIV"), D71, "")</f>
        <v/>
      </c>
      <c r="O104" s="30">
        <f>IF(AND( C71="Buy", ISBLANK(W71), B71&lt;&gt;"DIV", NOW()-A71 &lt; 365), P71/SUM(F71:I71), "")</f>
        <v/>
      </c>
      <c r="P104" s="31">
        <f>IF(AND( C71="Buy", ISBLANK(W71), B71&lt;&gt;"DIV", NOW()-A71 &lt; 365), (1-Index!$F$2*2)*((J71*D71)-(E71*D71)), "")</f>
        <v/>
      </c>
      <c r="Q104" s="31">
        <f>IF(AND( C71="Buy", ISBLANK(W71), B71&lt;&gt;"DIV", NOW()-A71 &lt; 365), ((E71*D71)+P71), "")</f>
        <v/>
      </c>
      <c r="R104" s="31">
        <f>IF(AND( C71="Buy", ISBLANK(W71), B71&lt;&gt;"DIV", NOW()-A71 &lt; 365), D71, "")</f>
        <v/>
      </c>
      <c r="S104" s="33">
        <f>IF(AND( C71="Buy", ISBLANK(W71), B71&lt;&gt;"DIV", NOW()-A71 &gt; 365), T71/SUM(F71:I71), "")</f>
        <v/>
      </c>
      <c r="T104" s="34">
        <f>IF(AND( C71="Buy", ISBLANK(W71), B71&lt;&gt;"DIV", NOW()-A71 &gt; 365), (1-Index!$F$2*2)*((J71*D71)-(E71*D71)), "")</f>
        <v/>
      </c>
      <c r="U104" s="34">
        <f>IF(AND( C71="Buy", ISBLANK(W71), B71&lt;&gt;"DIV", NOW()-A71 &gt; 365), ((E71*D71)+T71), "")</f>
        <v/>
      </c>
      <c r="V104" s="34">
        <f>IF(AND( C71="Buy", ISBLANK(W71), B71&lt;&gt;"DIV", NOW()-A71 &gt; 365), D71, "")</f>
        <v/>
      </c>
      <c r="W104" s="43" t="n">
        <v>511.707333</v>
      </c>
      <c r="X104" s="44" t="n">
        <v>45565</v>
      </c>
      <c r="Y104" s="37">
        <f>IF(AND( C71="Buy", W71&lt;&gt;"", AA71&lt;&gt;"", B71&lt;&gt;"DIV"), Z71/SUM(F71:I71), "")</f>
        <v/>
      </c>
      <c r="Z104" s="38" t="n">
        <v>-14711.8595</v>
      </c>
      <c r="AA104" s="38" t="n">
        <v>14920.75</v>
      </c>
      <c r="AB104" s="39" t="n">
        <v>25</v>
      </c>
      <c r="AC104" s="40">
        <f>IF(B71="DIV", F71,"")</f>
        <v/>
      </c>
      <c r="AD104" s="36" t="n"/>
      <c r="AE104" s="41" t="n"/>
    </row>
    <row r="105" ht="13" customHeight="1" s="68">
      <c r="E105" s="48" t="n"/>
      <c r="F105" s="48" t="n"/>
      <c r="G105" s="49" t="n"/>
      <c r="J105" s="48" t="n"/>
      <c r="K105" s="48" t="n"/>
      <c r="L105" s="48" t="n"/>
      <c r="M105" s="1" t="n"/>
      <c r="W105" s="48" t="n"/>
      <c r="X105" s="48" t="n"/>
      <c r="Y105" s="48" t="n"/>
      <c r="Z105" s="48" t="n"/>
      <c r="AA105" s="48" t="n"/>
      <c r="AB105" s="48" t="n"/>
      <c r="AC105" s="48" t="n"/>
    </row>
    <row r="106" ht="13" customHeight="1" s="68">
      <c r="E106" s="48" t="n"/>
      <c r="F106" s="48" t="n"/>
      <c r="G106" s="49" t="n"/>
      <c r="J106" s="48" t="n"/>
      <c r="K106" s="48" t="n"/>
      <c r="L106" s="48" t="n"/>
      <c r="M106" s="1" t="n"/>
      <c r="W106" s="48" t="n"/>
      <c r="X106" s="48" t="n"/>
      <c r="Y106" s="48" t="n"/>
      <c r="Z106" s="48" t="n"/>
      <c r="AA106" s="48" t="n"/>
      <c r="AB106" s="48" t="n"/>
      <c r="AC106" s="48" t="n"/>
    </row>
    <row r="107" ht="13" customHeight="1" s="68">
      <c r="E107" s="48" t="n"/>
      <c r="F107" s="48" t="n"/>
      <c r="G107" s="49" t="n"/>
      <c r="J107" s="48" t="n"/>
      <c r="K107" s="48" t="n"/>
      <c r="L107" s="48" t="n"/>
      <c r="M107" s="1" t="n"/>
      <c r="W107" s="48" t="n"/>
      <c r="X107" s="48" t="n"/>
      <c r="Y107" s="48" t="n"/>
      <c r="Z107" s="48" t="n"/>
      <c r="AA107" s="48" t="n"/>
      <c r="AB107" s="48" t="n"/>
      <c r="AC107" s="48" t="n"/>
    </row>
    <row r="108" ht="13" customHeight="1" s="68">
      <c r="E108" s="48" t="n"/>
      <c r="F108" s="48" t="n"/>
      <c r="G108" s="49" t="n"/>
      <c r="J108" s="48" t="n"/>
      <c r="K108" s="48" t="n"/>
      <c r="L108" s="48" t="n"/>
      <c r="M108" s="1" t="n"/>
      <c r="W108" s="48" t="n"/>
      <c r="X108" s="48" t="n"/>
      <c r="Y108" s="48" t="n"/>
      <c r="Z108" s="48" t="n"/>
      <c r="AA108" s="48" t="n"/>
      <c r="AB108" s="48" t="n"/>
      <c r="AC108" s="48" t="n"/>
    </row>
    <row r="109" ht="13" customHeight="1" s="68">
      <c r="E109" s="48" t="n"/>
      <c r="F109" s="48" t="n"/>
      <c r="G109" s="49" t="n"/>
      <c r="J109" s="48" t="n"/>
      <c r="K109" s="48" t="n"/>
      <c r="L109" s="48" t="n"/>
      <c r="M109" s="1" t="n"/>
      <c r="W109" s="48" t="n"/>
      <c r="X109" s="48" t="n"/>
      <c r="Y109" s="48" t="n"/>
      <c r="Z109" s="48" t="n"/>
      <c r="AA109" s="48" t="n"/>
      <c r="AB109" s="48" t="n"/>
      <c r="AC109" s="48" t="n"/>
    </row>
    <row r="110" ht="13" customHeight="1" s="68">
      <c r="E110" s="48" t="n"/>
      <c r="F110" s="48" t="n"/>
      <c r="G110" s="49" t="n"/>
      <c r="J110" s="48" t="n"/>
      <c r="K110" s="48" t="n"/>
      <c r="L110" s="48" t="n"/>
      <c r="M110" s="1" t="n"/>
      <c r="W110" s="48" t="n"/>
      <c r="X110" s="48" t="n"/>
      <c r="Y110" s="48" t="n"/>
      <c r="Z110" s="48" t="n"/>
      <c r="AA110" s="48" t="n"/>
      <c r="AB110" s="48" t="n"/>
      <c r="AC110" s="48" t="n"/>
    </row>
    <row r="111" ht="13" customHeight="1" s="68">
      <c r="E111" s="48" t="n"/>
      <c r="F111" s="48" t="n"/>
      <c r="G111" s="49" t="n"/>
      <c r="J111" s="48" t="n"/>
      <c r="K111" s="48" t="n"/>
      <c r="L111" s="48" t="n"/>
      <c r="M111" s="1" t="n"/>
      <c r="W111" s="48" t="n"/>
      <c r="X111" s="48" t="n"/>
      <c r="Y111" s="48" t="n"/>
      <c r="Z111" s="48" t="n"/>
      <c r="AA111" s="48" t="n"/>
      <c r="AB111" s="48" t="n"/>
      <c r="AC111" s="48" t="n"/>
    </row>
    <row r="112" ht="13" customHeight="1" s="68">
      <c r="E112" s="48" t="n"/>
      <c r="F112" s="48" t="n"/>
      <c r="G112" s="49" t="n"/>
      <c r="J112" s="48" t="n"/>
      <c r="K112" s="48" t="n"/>
      <c r="L112" s="48" t="n"/>
      <c r="M112" s="1" t="n"/>
      <c r="W112" s="48" t="n"/>
      <c r="X112" s="48" t="n"/>
      <c r="Y112" s="48" t="n"/>
      <c r="Z112" s="48" t="n"/>
      <c r="AA112" s="48" t="n"/>
      <c r="AB112" s="48" t="n"/>
      <c r="AC112" s="48" t="n"/>
    </row>
    <row r="113" ht="13" customHeight="1" s="68">
      <c r="E113" s="48" t="n"/>
      <c r="F113" s="48" t="n"/>
      <c r="G113" s="49" t="n"/>
      <c r="J113" s="48" t="n"/>
      <c r="K113" s="48" t="n"/>
      <c r="L113" s="48" t="n"/>
      <c r="M113" s="1" t="n"/>
      <c r="W113" s="48" t="n"/>
      <c r="X113" s="48" t="n"/>
      <c r="Y113" s="48" t="n"/>
      <c r="Z113" s="48" t="n"/>
      <c r="AA113" s="48" t="n"/>
      <c r="AB113" s="48" t="n"/>
      <c r="AC113" s="48" t="n"/>
    </row>
    <row r="114" ht="13" customHeight="1" s="68">
      <c r="E114" s="48" t="n"/>
      <c r="F114" s="48" t="n"/>
      <c r="G114" s="49" t="n"/>
      <c r="J114" s="48" t="n"/>
      <c r="K114" s="48" t="n"/>
      <c r="L114" s="48" t="n"/>
      <c r="M114" s="1" t="n"/>
      <c r="W114" s="48" t="n"/>
      <c r="X114" s="48" t="n"/>
      <c r="Y114" s="48" t="n"/>
      <c r="Z114" s="48" t="n"/>
      <c r="AA114" s="48" t="n"/>
      <c r="AB114" s="48" t="n"/>
      <c r="AC114" s="48" t="n"/>
    </row>
    <row r="115" ht="13" customHeight="1" s="68">
      <c r="E115" s="48" t="n"/>
      <c r="F115" s="48" t="n"/>
      <c r="G115" s="49" t="n"/>
      <c r="J115" s="48" t="n"/>
      <c r="K115" s="48" t="n"/>
      <c r="L115" s="48" t="n"/>
      <c r="M115" s="1" t="n"/>
      <c r="W115" s="48" t="n"/>
      <c r="X115" s="48" t="n"/>
      <c r="Y115" s="48" t="n"/>
      <c r="Z115" s="48" t="n"/>
      <c r="AA115" s="48" t="n"/>
      <c r="AB115" s="48" t="n"/>
      <c r="AC115" s="48" t="n"/>
    </row>
    <row r="116" ht="13" customHeight="1" s="68">
      <c r="E116" s="48" t="n"/>
      <c r="F116" s="48" t="n"/>
      <c r="G116" s="49" t="n"/>
      <c r="J116" s="48" t="n"/>
      <c r="K116" s="48" t="n"/>
      <c r="L116" s="48" t="n"/>
      <c r="M116" s="1" t="n"/>
      <c r="W116" s="48" t="n"/>
      <c r="X116" s="48" t="n"/>
      <c r="Y116" s="48" t="n"/>
      <c r="Z116" s="48" t="n"/>
      <c r="AA116" s="48" t="n"/>
      <c r="AB116" s="48" t="n"/>
      <c r="AC116" s="48" t="n"/>
    </row>
    <row r="117" ht="13" customHeight="1" s="68">
      <c r="E117" s="48" t="n"/>
      <c r="F117" s="48" t="n"/>
      <c r="G117" s="49" t="n"/>
      <c r="J117" s="48" t="n"/>
      <c r="K117" s="48" t="n"/>
      <c r="L117" s="48" t="n"/>
      <c r="M117" s="1" t="n"/>
      <c r="W117" s="48" t="n"/>
      <c r="X117" s="48" t="n"/>
      <c r="Y117" s="48" t="n"/>
      <c r="Z117" s="48" t="n"/>
      <c r="AA117" s="48" t="n"/>
      <c r="AB117" s="48" t="n"/>
      <c r="AC117" s="48" t="n"/>
    </row>
    <row r="118" ht="13" customHeight="1" s="68">
      <c r="E118" s="48" t="n"/>
      <c r="F118" s="48" t="n"/>
      <c r="G118" s="49" t="n"/>
      <c r="J118" s="48" t="n"/>
      <c r="K118" s="48" t="n"/>
      <c r="L118" s="48" t="n"/>
      <c r="M118" s="1" t="n"/>
      <c r="W118" s="48" t="n"/>
      <c r="X118" s="48" t="n"/>
      <c r="Y118" s="48" t="n"/>
      <c r="Z118" s="48" t="n"/>
      <c r="AA118" s="48" t="n"/>
      <c r="AB118" s="48" t="n"/>
      <c r="AC118" s="48" t="n"/>
    </row>
    <row r="119" ht="13" customHeight="1" s="68">
      <c r="E119" s="48" t="n"/>
      <c r="F119" s="48" t="n"/>
      <c r="G119" s="49" t="n"/>
      <c r="J119" s="48" t="n"/>
      <c r="K119" s="48" t="n"/>
      <c r="L119" s="48" t="n"/>
      <c r="M119" s="1" t="n"/>
      <c r="W119" s="48" t="n"/>
      <c r="X119" s="48" t="n"/>
      <c r="Y119" s="48" t="n"/>
      <c r="Z119" s="48" t="n"/>
      <c r="AA119" s="48" t="n"/>
      <c r="AB119" s="48" t="n"/>
      <c r="AC119" s="48" t="n"/>
    </row>
    <row r="120" ht="13" customHeight="1" s="68">
      <c r="E120" s="48" t="n"/>
      <c r="F120" s="48" t="n"/>
      <c r="G120" s="49" t="n"/>
      <c r="J120" s="48" t="n"/>
      <c r="K120" s="48" t="n"/>
      <c r="L120" s="48" t="n"/>
      <c r="M120" s="1" t="n"/>
      <c r="W120" s="48" t="n"/>
      <c r="X120" s="48" t="n"/>
      <c r="Y120" s="48" t="n"/>
      <c r="Z120" s="48" t="n"/>
      <c r="AA120" s="48" t="n"/>
      <c r="AB120" s="48" t="n"/>
      <c r="AC120" s="48" t="n"/>
    </row>
    <row r="121" ht="13" customHeight="1" s="68">
      <c r="E121" s="48" t="n"/>
      <c r="F121" s="48" t="n"/>
      <c r="G121" s="49" t="n"/>
      <c r="J121" s="48" t="n"/>
      <c r="K121" s="48" t="n"/>
      <c r="L121" s="48" t="n"/>
      <c r="M121" s="1" t="n"/>
      <c r="W121" s="48" t="n"/>
      <c r="X121" s="48" t="n"/>
      <c r="Y121" s="48" t="n"/>
      <c r="Z121" s="48" t="n"/>
      <c r="AA121" s="48" t="n"/>
      <c r="AB121" s="48" t="n"/>
      <c r="AC121" s="48" t="n"/>
    </row>
    <row r="122" ht="13" customHeight="1" s="68">
      <c r="E122" s="48" t="n"/>
      <c r="F122" s="48" t="n"/>
      <c r="G122" s="49" t="n"/>
      <c r="J122" s="48" t="n"/>
      <c r="K122" s="48" t="n"/>
      <c r="L122" s="48" t="n"/>
      <c r="M122" s="1" t="n"/>
      <c r="W122" s="48" t="n"/>
      <c r="X122" s="48" t="n"/>
      <c r="Y122" s="48" t="n"/>
      <c r="Z122" s="48" t="n"/>
      <c r="AA122" s="48" t="n"/>
      <c r="AB122" s="48" t="n"/>
      <c r="AC122" s="48" t="n"/>
    </row>
    <row r="123" ht="13" customHeight="1" s="68">
      <c r="E123" s="48" t="n"/>
      <c r="F123" s="48" t="n"/>
      <c r="G123" s="49" t="n"/>
      <c r="J123" s="48" t="n"/>
      <c r="K123" s="48" t="n"/>
      <c r="L123" s="48" t="n"/>
      <c r="M123" s="1" t="n"/>
      <c r="W123" s="48" t="n"/>
      <c r="X123" s="48" t="n"/>
      <c r="Y123" s="48" t="n"/>
      <c r="Z123" s="48" t="n"/>
      <c r="AA123" s="48" t="n"/>
      <c r="AB123" s="48" t="n"/>
      <c r="AC123" s="48" t="n"/>
    </row>
    <row r="124" ht="13" customHeight="1" s="68">
      <c r="E124" s="48" t="n"/>
      <c r="F124" s="48" t="n"/>
      <c r="G124" s="49" t="n"/>
      <c r="J124" s="48" t="n"/>
      <c r="K124" s="48" t="n"/>
      <c r="L124" s="48" t="n"/>
      <c r="M124" s="1" t="n"/>
      <c r="W124" s="48" t="n"/>
      <c r="X124" s="48" t="n"/>
      <c r="Y124" s="48" t="n"/>
      <c r="Z124" s="48" t="n"/>
      <c r="AA124" s="48" t="n"/>
      <c r="AB124" s="48" t="n"/>
      <c r="AC124" s="48" t="n"/>
    </row>
    <row r="125" ht="13" customHeight="1" s="68">
      <c r="E125" s="48" t="n"/>
      <c r="F125" s="48" t="n"/>
      <c r="G125" s="49" t="n"/>
      <c r="J125" s="48" t="n"/>
      <c r="K125" s="48" t="n"/>
      <c r="L125" s="48" t="n"/>
      <c r="M125" s="1" t="n"/>
      <c r="W125" s="48" t="n"/>
      <c r="X125" s="48" t="n"/>
      <c r="Y125" s="48" t="n"/>
      <c r="Z125" s="48" t="n"/>
      <c r="AA125" s="48" t="n"/>
      <c r="AB125" s="48" t="n"/>
      <c r="AC125" s="48" t="n"/>
    </row>
    <row r="126" ht="13" customHeight="1" s="68">
      <c r="E126" s="48" t="n"/>
      <c r="F126" s="48" t="n"/>
      <c r="G126" s="49" t="n"/>
      <c r="J126" s="48" t="n"/>
      <c r="K126" s="48" t="n"/>
      <c r="L126" s="48" t="n"/>
      <c r="M126" s="1" t="n"/>
      <c r="W126" s="48" t="n"/>
      <c r="X126" s="48" t="n"/>
      <c r="Y126" s="48" t="n"/>
      <c r="Z126" s="48" t="n"/>
      <c r="AA126" s="48" t="n"/>
      <c r="AB126" s="48" t="n"/>
      <c r="AC126" s="48" t="n"/>
    </row>
    <row r="127" ht="13" customHeight="1" s="68">
      <c r="E127" s="48" t="n"/>
      <c r="F127" s="48" t="n"/>
      <c r="G127" s="49" t="n"/>
      <c r="J127" s="48" t="n"/>
      <c r="K127" s="48" t="n"/>
      <c r="L127" s="48" t="n"/>
      <c r="M127" s="1" t="n"/>
      <c r="W127" s="48" t="n"/>
      <c r="X127" s="48" t="n"/>
      <c r="Y127" s="48" t="n"/>
      <c r="Z127" s="48" t="n"/>
      <c r="AA127" s="48" t="n"/>
      <c r="AB127" s="48" t="n"/>
      <c r="AC127" s="48" t="n"/>
    </row>
    <row r="128" ht="13" customHeight="1" s="68">
      <c r="E128" s="48" t="n"/>
      <c r="F128" s="48" t="n"/>
      <c r="G128" s="49" t="n"/>
      <c r="J128" s="48" t="n"/>
      <c r="K128" s="48" t="n"/>
      <c r="L128" s="48" t="n"/>
      <c r="M128" s="1" t="n"/>
      <c r="W128" s="48" t="n"/>
      <c r="X128" s="48" t="n"/>
      <c r="Y128" s="48" t="n"/>
      <c r="Z128" s="48" t="n"/>
      <c r="AA128" s="48" t="n"/>
      <c r="AB128" s="48" t="n"/>
      <c r="AC128" s="48" t="n"/>
    </row>
    <row r="129" ht="13" customHeight="1" s="68">
      <c r="E129" s="48" t="n"/>
      <c r="F129" s="48" t="n"/>
      <c r="G129" s="49" t="n"/>
      <c r="J129" s="48" t="n"/>
      <c r="K129" s="48" t="n"/>
      <c r="L129" s="48" t="n"/>
      <c r="M129" s="1" t="n"/>
      <c r="W129" s="48" t="n"/>
      <c r="X129" s="48" t="n"/>
      <c r="Y129" s="48" t="n"/>
      <c r="Z129" s="48" t="n"/>
      <c r="AA129" s="48" t="n"/>
      <c r="AB129" s="48" t="n"/>
      <c r="AC129" s="48" t="n"/>
    </row>
    <row r="130" ht="13" customHeight="1" s="68">
      <c r="E130" s="48" t="n"/>
      <c r="F130" s="48" t="n"/>
      <c r="G130" s="49" t="n"/>
      <c r="J130" s="48" t="n"/>
      <c r="K130" s="48" t="n"/>
      <c r="L130" s="48" t="n"/>
      <c r="M130" s="1" t="n"/>
      <c r="W130" s="48" t="n"/>
      <c r="X130" s="48" t="n"/>
      <c r="Y130" s="48" t="n"/>
      <c r="Z130" s="48" t="n"/>
      <c r="AA130" s="48" t="n"/>
      <c r="AB130" s="48" t="n"/>
      <c r="AC130" s="48" t="n"/>
    </row>
    <row r="131" ht="13" customHeight="1" s="68">
      <c r="E131" s="48" t="n"/>
      <c r="F131" s="48" t="n"/>
      <c r="G131" s="49" t="n"/>
      <c r="J131" s="48" t="n"/>
      <c r="K131" s="48" t="n"/>
      <c r="L131" s="48" t="n"/>
      <c r="M131" s="1" t="n"/>
      <c r="W131" s="48" t="n"/>
      <c r="X131" s="48" t="n"/>
      <c r="Y131" s="48" t="n"/>
      <c r="Z131" s="48" t="n"/>
      <c r="AA131" s="48" t="n"/>
      <c r="AB131" s="48" t="n"/>
      <c r="AC131" s="48" t="n"/>
    </row>
    <row r="132" ht="13" customHeight="1" s="68">
      <c r="E132" s="48" t="n"/>
      <c r="F132" s="48" t="n"/>
      <c r="G132" s="49" t="n"/>
      <c r="J132" s="48" t="n"/>
      <c r="K132" s="48" t="n"/>
      <c r="L132" s="48" t="n"/>
      <c r="M132" s="1" t="n"/>
      <c r="W132" s="48" t="n"/>
      <c r="X132" s="48" t="n"/>
      <c r="Y132" s="48" t="n"/>
      <c r="Z132" s="48" t="n"/>
      <c r="AA132" s="48" t="n"/>
      <c r="AB132" s="48" t="n"/>
      <c r="AC132" s="48" t="n"/>
    </row>
    <row r="133" ht="13" customHeight="1" s="68">
      <c r="E133" s="48" t="n"/>
      <c r="F133" s="48" t="n"/>
      <c r="G133" s="49" t="n"/>
      <c r="J133" s="48" t="n"/>
      <c r="K133" s="48" t="n"/>
      <c r="L133" s="48" t="n"/>
      <c r="M133" s="1" t="n"/>
      <c r="W133" s="48" t="n"/>
      <c r="X133" s="48" t="n"/>
      <c r="Y133" s="48" t="n"/>
      <c r="Z133" s="48" t="n"/>
      <c r="AA133" s="48" t="n"/>
      <c r="AB133" s="48" t="n"/>
      <c r="AC133" s="48" t="n"/>
    </row>
    <row r="134" ht="13" customHeight="1" s="68">
      <c r="E134" s="48" t="n"/>
      <c r="F134" s="48" t="n"/>
      <c r="G134" s="49" t="n"/>
      <c r="J134" s="48" t="n"/>
      <c r="K134" s="48" t="n"/>
      <c r="L134" s="48" t="n"/>
      <c r="M134" s="1" t="n"/>
      <c r="W134" s="48" t="n"/>
      <c r="X134" s="48" t="n"/>
      <c r="Y134" s="48" t="n"/>
      <c r="Z134" s="48" t="n"/>
      <c r="AA134" s="48" t="n"/>
      <c r="AB134" s="48" t="n"/>
      <c r="AC134" s="48" t="n"/>
    </row>
    <row r="135" ht="13" customHeight="1" s="68">
      <c r="E135" s="48" t="n"/>
      <c r="F135" s="48" t="n"/>
      <c r="G135" s="49" t="n"/>
      <c r="J135" s="48" t="n"/>
      <c r="K135" s="48" t="n"/>
      <c r="L135" s="48" t="n"/>
      <c r="M135" s="1" t="n"/>
      <c r="W135" s="48" t="n"/>
      <c r="X135" s="48" t="n"/>
      <c r="Y135" s="48" t="n"/>
      <c r="Z135" s="48" t="n"/>
      <c r="AA135" s="48" t="n"/>
      <c r="AB135" s="48" t="n"/>
      <c r="AC135" s="48" t="n"/>
    </row>
    <row r="136" ht="13" customHeight="1" s="68">
      <c r="E136" s="48" t="n"/>
      <c r="F136" s="48" t="n"/>
      <c r="G136" s="49" t="n"/>
      <c r="J136" s="48" t="n"/>
      <c r="K136" s="48" t="n"/>
      <c r="L136" s="48" t="n"/>
      <c r="M136" s="1" t="n"/>
      <c r="W136" s="48" t="n"/>
      <c r="X136" s="48" t="n"/>
      <c r="Y136" s="48" t="n"/>
      <c r="Z136" s="48" t="n"/>
      <c r="AA136" s="48" t="n"/>
      <c r="AB136" s="48" t="n"/>
      <c r="AC136" s="48" t="n"/>
    </row>
    <row r="137" ht="13" customHeight="1" s="68">
      <c r="E137" s="48" t="n"/>
      <c r="F137" s="48" t="n"/>
      <c r="G137" s="49" t="n"/>
      <c r="J137" s="48" t="n"/>
      <c r="K137" s="48" t="n"/>
      <c r="L137" s="48" t="n"/>
      <c r="M137" s="1" t="n"/>
      <c r="W137" s="48" t="n"/>
      <c r="X137" s="48" t="n"/>
      <c r="Y137" s="48" t="n"/>
      <c r="Z137" s="48" t="n"/>
      <c r="AA137" s="48" t="n"/>
      <c r="AB137" s="48" t="n"/>
      <c r="AC137" s="48" t="n"/>
    </row>
    <row r="138" ht="13" customHeight="1" s="68">
      <c r="E138" s="48" t="n"/>
      <c r="F138" s="48" t="n"/>
      <c r="G138" s="49" t="n"/>
      <c r="J138" s="48" t="n"/>
      <c r="K138" s="48" t="n"/>
      <c r="L138" s="48" t="n"/>
      <c r="M138" s="1" t="n"/>
      <c r="W138" s="48" t="n"/>
      <c r="X138" s="48" t="n"/>
      <c r="Y138" s="48" t="n"/>
      <c r="Z138" s="48" t="n"/>
      <c r="AA138" s="48" t="n"/>
      <c r="AB138" s="48" t="n"/>
      <c r="AC138" s="48" t="n"/>
    </row>
    <row r="139" ht="13" customHeight="1" s="68">
      <c r="E139" s="48" t="n"/>
      <c r="F139" s="48" t="n"/>
      <c r="G139" s="49" t="n"/>
      <c r="J139" s="48" t="n"/>
      <c r="K139" s="48" t="n"/>
      <c r="L139" s="48" t="n"/>
      <c r="M139" s="1" t="n"/>
      <c r="W139" s="48" t="n"/>
      <c r="X139" s="48" t="n"/>
      <c r="Y139" s="48" t="n"/>
      <c r="Z139" s="48" t="n"/>
      <c r="AA139" s="48" t="n"/>
      <c r="AB139" s="48" t="n"/>
      <c r="AC139" s="48" t="n"/>
    </row>
    <row r="140" ht="13" customHeight="1" s="68">
      <c r="E140" s="48" t="n"/>
      <c r="F140" s="48" t="n"/>
      <c r="G140" s="49" t="n"/>
      <c r="J140" s="48" t="n"/>
      <c r="K140" s="48" t="n"/>
      <c r="L140" s="48" t="n"/>
      <c r="M140" s="1" t="n"/>
      <c r="W140" s="48" t="n"/>
      <c r="X140" s="48" t="n"/>
      <c r="Y140" s="48" t="n"/>
      <c r="Z140" s="48" t="n"/>
      <c r="AA140" s="48" t="n"/>
      <c r="AB140" s="48" t="n"/>
      <c r="AC140" s="48" t="n"/>
    </row>
    <row r="141" ht="13" customHeight="1" s="68">
      <c r="E141" s="48" t="n"/>
      <c r="F141" s="48" t="n"/>
      <c r="G141" s="49" t="n"/>
      <c r="J141" s="48" t="n"/>
      <c r="K141" s="48" t="n"/>
      <c r="L141" s="48" t="n"/>
      <c r="M141" s="1" t="n"/>
      <c r="W141" s="48" t="n"/>
      <c r="X141" s="48" t="n"/>
      <c r="Y141" s="48" t="n"/>
      <c r="Z141" s="48" t="n"/>
      <c r="AA141" s="48" t="n"/>
      <c r="AB141" s="48" t="n"/>
      <c r="AC141" s="48" t="n"/>
    </row>
    <row r="142" ht="13" customHeight="1" s="68">
      <c r="E142" s="48" t="n"/>
      <c r="F142" s="48" t="n"/>
      <c r="G142" s="49" t="n"/>
      <c r="J142" s="48" t="n"/>
      <c r="K142" s="48" t="n"/>
      <c r="L142" s="48" t="n"/>
      <c r="M142" s="1" t="n"/>
      <c r="W142" s="48" t="n"/>
      <c r="X142" s="48" t="n"/>
      <c r="Y142" s="48" t="n"/>
      <c r="Z142" s="48" t="n"/>
      <c r="AA142" s="48" t="n"/>
      <c r="AB142" s="48" t="n"/>
      <c r="AC142" s="48" t="n"/>
    </row>
    <row r="143" ht="13" customHeight="1" s="68">
      <c r="E143" s="48" t="n"/>
      <c r="F143" s="48" t="n"/>
      <c r="G143" s="49" t="n"/>
      <c r="J143" s="48" t="n"/>
      <c r="K143" s="48" t="n"/>
      <c r="L143" s="48" t="n"/>
      <c r="M143" s="1" t="n"/>
      <c r="W143" s="48" t="n"/>
      <c r="X143" s="48" t="n"/>
      <c r="Y143" s="48" t="n"/>
      <c r="Z143" s="48" t="n"/>
      <c r="AA143" s="48" t="n"/>
      <c r="AB143" s="48" t="n"/>
      <c r="AC143" s="48" t="n"/>
    </row>
    <row r="144" ht="13" customHeight="1" s="68">
      <c r="E144" s="48" t="n"/>
      <c r="F144" s="48" t="n"/>
      <c r="G144" s="49" t="n"/>
      <c r="J144" s="48" t="n"/>
      <c r="K144" s="48" t="n"/>
      <c r="L144" s="48" t="n"/>
      <c r="M144" s="1" t="n"/>
      <c r="W144" s="48" t="n"/>
      <c r="X144" s="48" t="n"/>
      <c r="Y144" s="48" t="n"/>
      <c r="Z144" s="48" t="n"/>
      <c r="AA144" s="48" t="n"/>
      <c r="AB144" s="48" t="n"/>
      <c r="AC144" s="48" t="n"/>
    </row>
    <row r="145" ht="13" customHeight="1" s="68">
      <c r="E145" s="48" t="n"/>
      <c r="F145" s="48" t="n"/>
      <c r="G145" s="49" t="n"/>
      <c r="J145" s="48" t="n"/>
      <c r="K145" s="48" t="n"/>
      <c r="L145" s="48" t="n"/>
      <c r="M145" s="1" t="n"/>
      <c r="W145" s="48" t="n"/>
      <c r="X145" s="48" t="n"/>
      <c r="Y145" s="48" t="n"/>
      <c r="Z145" s="48" t="n"/>
      <c r="AA145" s="48" t="n"/>
      <c r="AB145" s="48" t="n"/>
      <c r="AC145" s="48" t="n"/>
    </row>
    <row r="146" ht="13" customHeight="1" s="68">
      <c r="E146" s="48" t="n"/>
      <c r="F146" s="48" t="n"/>
      <c r="G146" s="49" t="n"/>
      <c r="J146" s="48" t="n"/>
      <c r="K146" s="48" t="n"/>
      <c r="L146" s="48" t="n"/>
      <c r="M146" s="1" t="n"/>
      <c r="W146" s="48" t="n"/>
      <c r="X146" s="48" t="n"/>
      <c r="Y146" s="48" t="n"/>
      <c r="Z146" s="48" t="n"/>
      <c r="AA146" s="48" t="n"/>
      <c r="AB146" s="48" t="n"/>
      <c r="AC146" s="48" t="n"/>
    </row>
    <row r="147" ht="13" customHeight="1" s="68">
      <c r="E147" s="48" t="n"/>
      <c r="F147" s="48" t="n"/>
      <c r="G147" s="49" t="n"/>
      <c r="J147" s="48" t="n"/>
      <c r="K147" s="48" t="n"/>
      <c r="L147" s="48" t="n"/>
      <c r="M147" s="1" t="n"/>
      <c r="W147" s="48" t="n"/>
      <c r="X147" s="48" t="n"/>
      <c r="Y147" s="48" t="n"/>
      <c r="Z147" s="48" t="n"/>
      <c r="AA147" s="48" t="n"/>
      <c r="AB147" s="48" t="n"/>
      <c r="AC147" s="48" t="n"/>
    </row>
    <row r="148" ht="13" customHeight="1" s="68">
      <c r="E148" s="48" t="n"/>
      <c r="F148" s="48" t="n"/>
      <c r="G148" s="49" t="n"/>
      <c r="J148" s="48" t="n"/>
      <c r="K148" s="48" t="n"/>
      <c r="L148" s="48" t="n"/>
      <c r="M148" s="1" t="n"/>
      <c r="W148" s="48" t="n"/>
      <c r="X148" s="48" t="n"/>
      <c r="Y148" s="48" t="n"/>
      <c r="Z148" s="48" t="n"/>
      <c r="AA148" s="48" t="n"/>
      <c r="AB148" s="48" t="n"/>
      <c r="AC148" s="48" t="n"/>
    </row>
    <row r="149" ht="13" customHeight="1" s="68">
      <c r="E149" s="48" t="n"/>
      <c r="F149" s="48" t="n"/>
      <c r="G149" s="49" t="n"/>
      <c r="J149" s="48" t="n"/>
      <c r="K149" s="48" t="n"/>
      <c r="L149" s="48" t="n"/>
      <c r="M149" s="1" t="n"/>
      <c r="W149" s="48" t="n"/>
      <c r="X149" s="48" t="n"/>
      <c r="Y149" s="48" t="n"/>
      <c r="Z149" s="48" t="n"/>
      <c r="AA149" s="48" t="n"/>
      <c r="AB149" s="48" t="n"/>
      <c r="AC149" s="48" t="n"/>
    </row>
    <row r="150" ht="13" customHeight="1" s="68">
      <c r="E150" s="48" t="n"/>
      <c r="F150" s="48" t="n"/>
      <c r="G150" s="49" t="n"/>
      <c r="J150" s="48" t="n"/>
      <c r="K150" s="48" t="n"/>
      <c r="L150" s="48" t="n"/>
      <c r="M150" s="1" t="n"/>
      <c r="W150" s="48" t="n"/>
      <c r="X150" s="48" t="n"/>
      <c r="Y150" s="48" t="n"/>
      <c r="Z150" s="48" t="n"/>
      <c r="AA150" s="48" t="n"/>
      <c r="AB150" s="48" t="n"/>
      <c r="AC150" s="48" t="n"/>
    </row>
    <row r="151" ht="13" customHeight="1" s="68">
      <c r="E151" s="48" t="n"/>
      <c r="F151" s="48" t="n"/>
      <c r="G151" s="49" t="n"/>
      <c r="J151" s="48" t="n"/>
      <c r="K151" s="48" t="n"/>
      <c r="L151" s="48" t="n"/>
      <c r="M151" s="1" t="n"/>
      <c r="W151" s="48" t="n"/>
      <c r="X151" s="48" t="n"/>
      <c r="Y151" s="48" t="n"/>
      <c r="Z151" s="48" t="n"/>
      <c r="AA151" s="48" t="n"/>
      <c r="AB151" s="48" t="n"/>
      <c r="AC151" s="48" t="n"/>
    </row>
    <row r="152" ht="13" customHeight="1" s="68">
      <c r="E152" s="48" t="n"/>
      <c r="F152" s="48" t="n"/>
      <c r="G152" s="49" t="n"/>
      <c r="J152" s="48" t="n"/>
      <c r="K152" s="48" t="n"/>
      <c r="L152" s="48" t="n"/>
      <c r="M152" s="1" t="n"/>
      <c r="W152" s="48" t="n"/>
      <c r="X152" s="48" t="n"/>
      <c r="Y152" s="48" t="n"/>
      <c r="Z152" s="48" t="n"/>
      <c r="AA152" s="48" t="n"/>
      <c r="AB152" s="48" t="n"/>
      <c r="AC152" s="48" t="n"/>
    </row>
    <row r="153" ht="13" customHeight="1" s="68">
      <c r="E153" s="48" t="n"/>
      <c r="F153" s="48" t="n"/>
      <c r="G153" s="49" t="n"/>
      <c r="J153" s="48" t="n"/>
      <c r="K153" s="48" t="n"/>
      <c r="L153" s="48" t="n"/>
      <c r="M153" s="1" t="n"/>
      <c r="W153" s="48" t="n"/>
      <c r="X153" s="48" t="n"/>
      <c r="Y153" s="48" t="n"/>
      <c r="Z153" s="48" t="n"/>
      <c r="AA153" s="48" t="n"/>
      <c r="AB153" s="48" t="n"/>
      <c r="AC153" s="48" t="n"/>
    </row>
    <row r="154" ht="13" customHeight="1" s="68">
      <c r="E154" s="48" t="n"/>
      <c r="F154" s="48" t="n"/>
      <c r="G154" s="49" t="n"/>
      <c r="J154" s="48" t="n"/>
      <c r="K154" s="48" t="n"/>
      <c r="L154" s="48" t="n"/>
      <c r="M154" s="1" t="n"/>
      <c r="W154" s="48" t="n"/>
      <c r="X154" s="48" t="n"/>
      <c r="Y154" s="48" t="n"/>
      <c r="Z154" s="48" t="n"/>
      <c r="AA154" s="48" t="n"/>
      <c r="AB154" s="48" t="n"/>
      <c r="AC154" s="48" t="n"/>
    </row>
    <row r="155" ht="13" customHeight="1" s="68">
      <c r="E155" s="48" t="n"/>
      <c r="F155" s="48" t="n"/>
      <c r="G155" s="49" t="n"/>
      <c r="J155" s="48" t="n"/>
      <c r="K155" s="48" t="n"/>
      <c r="L155" s="48" t="n"/>
      <c r="M155" s="1" t="n"/>
      <c r="W155" s="48" t="n"/>
      <c r="X155" s="48" t="n"/>
      <c r="Y155" s="48" t="n"/>
      <c r="Z155" s="48" t="n"/>
      <c r="AA155" s="48" t="n"/>
      <c r="AB155" s="48" t="n"/>
      <c r="AC155" s="48" t="n"/>
    </row>
    <row r="156" ht="13" customHeight="1" s="68">
      <c r="E156" s="48" t="n"/>
      <c r="F156" s="48" t="n"/>
      <c r="G156" s="49" t="n"/>
      <c r="J156" s="48" t="n"/>
      <c r="K156" s="48" t="n"/>
      <c r="L156" s="48" t="n"/>
      <c r="M156" s="1" t="n"/>
      <c r="W156" s="48" t="n"/>
      <c r="X156" s="48" t="n"/>
      <c r="Y156" s="48" t="n"/>
      <c r="Z156" s="48" t="n"/>
      <c r="AA156" s="48" t="n"/>
      <c r="AB156" s="48" t="n"/>
      <c r="AC156" s="48" t="n"/>
    </row>
    <row r="157" ht="13" customHeight="1" s="68">
      <c r="E157" s="48" t="n"/>
      <c r="F157" s="48" t="n"/>
      <c r="G157" s="49" t="n"/>
      <c r="J157" s="48" t="n"/>
      <c r="K157" s="48" t="n"/>
      <c r="L157" s="48" t="n"/>
      <c r="M157" s="1" t="n"/>
      <c r="W157" s="48" t="n"/>
      <c r="X157" s="48" t="n"/>
      <c r="Y157" s="48" t="n"/>
      <c r="Z157" s="48" t="n"/>
      <c r="AA157" s="48" t="n"/>
      <c r="AB157" s="48" t="n"/>
      <c r="AC157" s="48" t="n"/>
    </row>
    <row r="158" ht="13" customHeight="1" s="68">
      <c r="E158" s="48" t="n"/>
      <c r="F158" s="48" t="n"/>
      <c r="G158" s="49" t="n"/>
      <c r="J158" s="48" t="n"/>
      <c r="K158" s="48" t="n"/>
      <c r="L158" s="48" t="n"/>
      <c r="M158" s="1" t="n"/>
      <c r="W158" s="48" t="n"/>
      <c r="X158" s="48" t="n"/>
      <c r="Y158" s="48" t="n"/>
      <c r="Z158" s="48" t="n"/>
      <c r="AA158" s="48" t="n"/>
      <c r="AB158" s="48" t="n"/>
      <c r="AC158" s="48" t="n"/>
    </row>
    <row r="159" ht="13" customHeight="1" s="68">
      <c r="E159" s="48" t="n"/>
      <c r="F159" s="48" t="n"/>
      <c r="G159" s="49" t="n"/>
      <c r="J159" s="48" t="n"/>
      <c r="K159" s="48" t="n"/>
      <c r="L159" s="48" t="n"/>
      <c r="M159" s="1" t="n"/>
      <c r="W159" s="48" t="n"/>
      <c r="X159" s="48" t="n"/>
      <c r="Y159" s="48" t="n"/>
      <c r="Z159" s="48" t="n"/>
      <c r="AA159" s="48" t="n"/>
      <c r="AB159" s="48" t="n"/>
      <c r="AC159" s="48" t="n"/>
    </row>
    <row r="160" ht="13" customHeight="1" s="68">
      <c r="E160" s="48" t="n"/>
      <c r="F160" s="48" t="n"/>
      <c r="G160" s="49" t="n"/>
      <c r="J160" s="48" t="n"/>
      <c r="K160" s="48" t="n"/>
      <c r="L160" s="48" t="n"/>
      <c r="M160" s="1" t="n"/>
      <c r="W160" s="48" t="n"/>
      <c r="X160" s="48" t="n"/>
      <c r="Y160" s="48" t="n"/>
      <c r="Z160" s="48" t="n"/>
      <c r="AA160" s="48" t="n"/>
      <c r="AB160" s="48" t="n"/>
      <c r="AC160" s="48" t="n"/>
    </row>
    <row r="161" ht="13" customHeight="1" s="68">
      <c r="E161" s="48" t="n"/>
      <c r="F161" s="48" t="n"/>
      <c r="G161" s="49" t="n"/>
      <c r="J161" s="48" t="n"/>
      <c r="K161" s="48" t="n"/>
      <c r="L161" s="48" t="n"/>
      <c r="M161" s="1" t="n"/>
      <c r="W161" s="48" t="n"/>
      <c r="X161" s="48" t="n"/>
      <c r="Y161" s="48" t="n"/>
      <c r="Z161" s="48" t="n"/>
      <c r="AA161" s="48" t="n"/>
      <c r="AB161" s="48" t="n"/>
      <c r="AC161" s="48" t="n"/>
    </row>
    <row r="162" ht="13" customHeight="1" s="68">
      <c r="E162" s="48" t="n"/>
      <c r="F162" s="48" t="n"/>
      <c r="G162" s="49" t="n"/>
      <c r="J162" s="48" t="n"/>
      <c r="K162" s="48" t="n"/>
      <c r="L162" s="48" t="n"/>
      <c r="M162" s="1" t="n"/>
      <c r="W162" s="48" t="n"/>
      <c r="X162" s="48" t="n"/>
      <c r="Y162" s="48" t="n"/>
      <c r="Z162" s="48" t="n"/>
      <c r="AA162" s="48" t="n"/>
      <c r="AB162" s="48" t="n"/>
      <c r="AC162" s="48" t="n"/>
    </row>
    <row r="163" ht="13" customHeight="1" s="68">
      <c r="E163" s="48" t="n"/>
      <c r="F163" s="48" t="n"/>
      <c r="G163" s="49" t="n"/>
      <c r="J163" s="48" t="n"/>
      <c r="K163" s="48" t="n"/>
      <c r="L163" s="48" t="n"/>
      <c r="M163" s="1" t="n"/>
      <c r="W163" s="48" t="n"/>
      <c r="X163" s="48" t="n"/>
      <c r="Y163" s="48" t="n"/>
      <c r="Z163" s="48" t="n"/>
      <c r="AA163" s="48" t="n"/>
      <c r="AB163" s="48" t="n"/>
      <c r="AC163" s="48" t="n"/>
    </row>
    <row r="164" ht="13" customHeight="1" s="68">
      <c r="E164" s="48" t="n"/>
      <c r="F164" s="48" t="n"/>
      <c r="G164" s="49" t="n"/>
      <c r="J164" s="48" t="n"/>
      <c r="K164" s="48" t="n"/>
      <c r="L164" s="48" t="n"/>
      <c r="M164" s="1" t="n"/>
      <c r="W164" s="48" t="n"/>
      <c r="X164" s="48" t="n"/>
      <c r="Y164" s="48" t="n"/>
      <c r="Z164" s="48" t="n"/>
      <c r="AA164" s="48" t="n"/>
      <c r="AB164" s="48" t="n"/>
      <c r="AC164" s="48" t="n"/>
    </row>
    <row r="165" ht="13" customHeight="1" s="68">
      <c r="E165" s="48" t="n"/>
      <c r="F165" s="48" t="n"/>
      <c r="G165" s="49" t="n"/>
      <c r="J165" s="48" t="n"/>
      <c r="K165" s="48" t="n"/>
      <c r="L165" s="48" t="n"/>
      <c r="M165" s="1" t="n"/>
      <c r="W165" s="48" t="n"/>
      <c r="X165" s="48" t="n"/>
      <c r="Y165" s="48" t="n"/>
      <c r="Z165" s="48" t="n"/>
      <c r="AA165" s="48" t="n"/>
      <c r="AB165" s="48" t="n"/>
      <c r="AC165" s="48" t="n"/>
    </row>
    <row r="166" ht="13" customHeight="1" s="68">
      <c r="E166" s="48" t="n"/>
      <c r="F166" s="48" t="n"/>
      <c r="G166" s="49" t="n"/>
      <c r="J166" s="48" t="n"/>
      <c r="K166" s="48" t="n"/>
      <c r="L166" s="48" t="n"/>
      <c r="M166" s="1" t="n"/>
      <c r="W166" s="48" t="n"/>
      <c r="X166" s="48" t="n"/>
      <c r="Y166" s="48" t="n"/>
      <c r="Z166" s="48" t="n"/>
      <c r="AA166" s="48" t="n"/>
      <c r="AB166" s="48" t="n"/>
      <c r="AC166" s="48" t="n"/>
    </row>
    <row r="167" ht="13" customHeight="1" s="68">
      <c r="E167" s="48" t="n"/>
      <c r="F167" s="48" t="n"/>
      <c r="G167" s="49" t="n"/>
      <c r="J167" s="48" t="n"/>
      <c r="K167" s="48" t="n"/>
      <c r="L167" s="48" t="n"/>
      <c r="M167" s="1" t="n"/>
      <c r="W167" s="48" t="n"/>
      <c r="X167" s="48" t="n"/>
      <c r="Y167" s="48" t="n"/>
      <c r="Z167" s="48" t="n"/>
      <c r="AA167" s="48" t="n"/>
      <c r="AB167" s="48" t="n"/>
      <c r="AC167" s="48" t="n"/>
    </row>
    <row r="168" ht="13" customHeight="1" s="68">
      <c r="E168" s="48" t="n"/>
      <c r="F168" s="48" t="n"/>
      <c r="G168" s="49" t="n"/>
      <c r="J168" s="48" t="n"/>
      <c r="K168" s="48" t="n"/>
      <c r="L168" s="48" t="n"/>
      <c r="M168" s="1" t="n"/>
      <c r="W168" s="48" t="n"/>
      <c r="X168" s="48" t="n"/>
      <c r="Y168" s="48" t="n"/>
      <c r="Z168" s="48" t="n"/>
      <c r="AA168" s="48" t="n"/>
      <c r="AB168" s="48" t="n"/>
      <c r="AC168" s="48" t="n"/>
    </row>
    <row r="169" ht="13" customHeight="1" s="68">
      <c r="E169" s="48" t="n"/>
      <c r="F169" s="48" t="n"/>
      <c r="G169" s="49" t="n"/>
      <c r="J169" s="48" t="n"/>
      <c r="K169" s="48" t="n"/>
      <c r="L169" s="48" t="n"/>
      <c r="M169" s="1" t="n"/>
      <c r="W169" s="48" t="n"/>
      <c r="X169" s="48" t="n"/>
      <c r="Y169" s="48" t="n"/>
      <c r="Z169" s="48" t="n"/>
      <c r="AA169" s="48" t="n"/>
      <c r="AB169" s="48" t="n"/>
      <c r="AC169" s="48" t="n"/>
    </row>
    <row r="170" ht="13" customHeight="1" s="68">
      <c r="E170" s="48" t="n"/>
      <c r="F170" s="48" t="n"/>
      <c r="G170" s="49" t="n"/>
      <c r="J170" s="48" t="n"/>
      <c r="K170" s="48" t="n"/>
      <c r="L170" s="48" t="n"/>
      <c r="M170" s="1" t="n"/>
      <c r="W170" s="48" t="n"/>
      <c r="X170" s="48" t="n"/>
      <c r="Y170" s="48" t="n"/>
      <c r="Z170" s="48" t="n"/>
      <c r="AA170" s="48" t="n"/>
      <c r="AB170" s="48" t="n"/>
      <c r="AC170" s="48" t="n"/>
    </row>
    <row r="171" ht="13" customHeight="1" s="68">
      <c r="E171" s="48" t="n"/>
      <c r="F171" s="48" t="n"/>
      <c r="G171" s="49" t="n"/>
      <c r="J171" s="48" t="n"/>
      <c r="K171" s="48" t="n"/>
      <c r="L171" s="48" t="n"/>
      <c r="M171" s="1" t="n"/>
      <c r="W171" s="48" t="n"/>
      <c r="X171" s="48" t="n"/>
      <c r="Y171" s="48" t="n"/>
      <c r="Z171" s="48" t="n"/>
      <c r="AA171" s="48" t="n"/>
      <c r="AB171" s="48" t="n"/>
      <c r="AC171" s="48" t="n"/>
    </row>
    <row r="172" ht="13" customHeight="1" s="68">
      <c r="E172" s="48" t="n"/>
      <c r="F172" s="48" t="n"/>
      <c r="G172" s="49" t="n"/>
      <c r="J172" s="48" t="n"/>
      <c r="K172" s="48" t="n"/>
      <c r="L172" s="48" t="n"/>
      <c r="M172" s="1" t="n"/>
      <c r="W172" s="48" t="n"/>
      <c r="X172" s="48" t="n"/>
      <c r="Y172" s="48" t="n"/>
      <c r="Z172" s="48" t="n"/>
      <c r="AA172" s="48" t="n"/>
      <c r="AB172" s="48" t="n"/>
      <c r="AC172" s="48" t="n"/>
    </row>
    <row r="173" ht="13" customHeight="1" s="68">
      <c r="E173" s="48" t="n"/>
      <c r="F173" s="48" t="n"/>
      <c r="G173" s="49" t="n"/>
      <c r="J173" s="48" t="n"/>
      <c r="K173" s="48" t="n"/>
      <c r="L173" s="48" t="n"/>
      <c r="M173" s="1" t="n"/>
      <c r="W173" s="48" t="n"/>
      <c r="X173" s="48" t="n"/>
      <c r="Y173" s="48" t="n"/>
      <c r="Z173" s="48" t="n"/>
      <c r="AA173" s="48" t="n"/>
      <c r="AB173" s="48" t="n"/>
      <c r="AC173" s="48" t="n"/>
    </row>
    <row r="174" ht="13" customHeight="1" s="68">
      <c r="E174" s="48" t="n"/>
      <c r="F174" s="48" t="n"/>
      <c r="G174" s="49" t="n"/>
      <c r="J174" s="48" t="n"/>
      <c r="K174" s="48" t="n"/>
      <c r="L174" s="48" t="n"/>
      <c r="M174" s="1" t="n"/>
      <c r="W174" s="48" t="n"/>
      <c r="X174" s="48" t="n"/>
      <c r="Y174" s="48" t="n"/>
      <c r="Z174" s="48" t="n"/>
      <c r="AA174" s="48" t="n"/>
      <c r="AB174" s="48" t="n"/>
      <c r="AC174" s="48" t="n"/>
    </row>
    <row r="175" ht="13" customHeight="1" s="68">
      <c r="E175" s="48" t="n"/>
      <c r="F175" s="48" t="n"/>
      <c r="G175" s="49" t="n"/>
      <c r="J175" s="48" t="n"/>
      <c r="K175" s="48" t="n"/>
      <c r="L175" s="48" t="n"/>
      <c r="M175" s="1" t="n"/>
      <c r="W175" s="48" t="n"/>
      <c r="X175" s="48" t="n"/>
      <c r="Y175" s="48" t="n"/>
      <c r="Z175" s="48" t="n"/>
      <c r="AA175" s="48" t="n"/>
      <c r="AB175" s="48" t="n"/>
      <c r="AC175" s="48" t="n"/>
    </row>
    <row r="176" ht="13" customHeight="1" s="68">
      <c r="E176" s="48" t="n"/>
      <c r="F176" s="48" t="n"/>
      <c r="G176" s="49" t="n"/>
      <c r="J176" s="48" t="n"/>
      <c r="K176" s="48" t="n"/>
      <c r="L176" s="48" t="n"/>
      <c r="M176" s="1" t="n"/>
      <c r="W176" s="48" t="n"/>
      <c r="X176" s="48" t="n"/>
      <c r="Y176" s="48" t="n"/>
      <c r="Z176" s="48" t="n"/>
      <c r="AA176" s="48" t="n"/>
      <c r="AB176" s="48" t="n"/>
      <c r="AC176" s="48" t="n"/>
    </row>
    <row r="177" ht="13" customHeight="1" s="68">
      <c r="E177" s="48" t="n"/>
      <c r="F177" s="48" t="n"/>
      <c r="G177" s="49" t="n"/>
      <c r="J177" s="48" t="n"/>
      <c r="K177" s="48" t="n"/>
      <c r="L177" s="48" t="n"/>
      <c r="M177" s="1" t="n"/>
      <c r="W177" s="48" t="n"/>
      <c r="X177" s="48" t="n"/>
      <c r="Y177" s="48" t="n"/>
      <c r="Z177" s="48" t="n"/>
      <c r="AA177" s="48" t="n"/>
      <c r="AB177" s="48" t="n"/>
      <c r="AC177" s="48" t="n"/>
    </row>
    <row r="178" ht="13" customHeight="1" s="68">
      <c r="E178" s="48" t="n"/>
      <c r="F178" s="48" t="n"/>
      <c r="G178" s="49" t="n"/>
      <c r="J178" s="48" t="n"/>
      <c r="K178" s="48" t="n"/>
      <c r="L178" s="48" t="n"/>
      <c r="M178" s="1" t="n"/>
      <c r="W178" s="48" t="n"/>
      <c r="X178" s="48" t="n"/>
      <c r="Y178" s="48" t="n"/>
      <c r="Z178" s="48" t="n"/>
      <c r="AA178" s="48" t="n"/>
      <c r="AB178" s="48" t="n"/>
      <c r="AC178" s="48" t="n"/>
    </row>
    <row r="179" ht="13" customHeight="1" s="68">
      <c r="E179" s="48" t="n"/>
      <c r="F179" s="48" t="n"/>
      <c r="G179" s="49" t="n"/>
      <c r="J179" s="48" t="n"/>
      <c r="K179" s="48" t="n"/>
      <c r="L179" s="48" t="n"/>
      <c r="M179" s="1" t="n"/>
      <c r="W179" s="48" t="n"/>
      <c r="X179" s="48" t="n"/>
      <c r="Y179" s="48" t="n"/>
      <c r="Z179" s="48" t="n"/>
      <c r="AA179" s="48" t="n"/>
      <c r="AB179" s="48" t="n"/>
      <c r="AC179" s="48" t="n"/>
    </row>
    <row r="180" ht="13" customHeight="1" s="68">
      <c r="E180" s="48" t="n"/>
      <c r="F180" s="48" t="n"/>
      <c r="G180" s="49" t="n"/>
      <c r="J180" s="48" t="n"/>
      <c r="K180" s="48" t="n"/>
      <c r="L180" s="48" t="n"/>
      <c r="M180" s="1" t="n"/>
      <c r="W180" s="48" t="n"/>
      <c r="X180" s="48" t="n"/>
      <c r="Y180" s="48" t="n"/>
      <c r="Z180" s="48" t="n"/>
      <c r="AA180" s="48" t="n"/>
      <c r="AB180" s="48" t="n"/>
      <c r="AC180" s="48" t="n"/>
    </row>
    <row r="181" ht="13" customHeight="1" s="68">
      <c r="E181" s="48" t="n"/>
      <c r="F181" s="48" t="n"/>
      <c r="G181" s="49" t="n"/>
      <c r="J181" s="48" t="n"/>
      <c r="K181" s="48" t="n"/>
      <c r="L181" s="48" t="n"/>
      <c r="M181" s="1" t="n"/>
      <c r="W181" s="48" t="n"/>
      <c r="X181" s="48" t="n"/>
      <c r="Y181" s="48" t="n"/>
      <c r="Z181" s="48" t="n"/>
      <c r="AA181" s="48" t="n"/>
      <c r="AB181" s="48" t="n"/>
      <c r="AC181" s="48" t="n"/>
    </row>
    <row r="182" ht="13" customHeight="1" s="68">
      <c r="E182" s="48" t="n"/>
      <c r="F182" s="48" t="n"/>
      <c r="G182" s="49" t="n"/>
      <c r="J182" s="48" t="n"/>
      <c r="K182" s="48" t="n"/>
      <c r="L182" s="48" t="n"/>
      <c r="M182" s="1" t="n"/>
      <c r="W182" s="48" t="n"/>
      <c r="X182" s="48" t="n"/>
      <c r="Y182" s="48" t="n"/>
      <c r="Z182" s="48" t="n"/>
      <c r="AA182" s="48" t="n"/>
      <c r="AB182" s="48" t="n"/>
      <c r="AC182" s="48" t="n"/>
    </row>
    <row r="183" ht="13" customHeight="1" s="68">
      <c r="E183" s="48" t="n"/>
      <c r="F183" s="48" t="n"/>
      <c r="G183" s="49" t="n"/>
      <c r="J183" s="48" t="n"/>
      <c r="K183" s="48" t="n"/>
      <c r="L183" s="48" t="n"/>
      <c r="M183" s="1" t="n"/>
      <c r="W183" s="48" t="n"/>
      <c r="X183" s="48" t="n"/>
      <c r="Y183" s="48" t="n"/>
      <c r="Z183" s="48" t="n"/>
      <c r="AA183" s="48" t="n"/>
      <c r="AB183" s="48" t="n"/>
      <c r="AC183" s="48" t="n"/>
    </row>
    <row r="184" ht="13" customHeight="1" s="68">
      <c r="E184" s="48" t="n"/>
      <c r="F184" s="48" t="n"/>
      <c r="G184" s="49" t="n"/>
      <c r="J184" s="48" t="n"/>
      <c r="K184" s="48" t="n"/>
      <c r="L184" s="48" t="n"/>
      <c r="M184" s="1" t="n"/>
      <c r="W184" s="48" t="n"/>
      <c r="X184" s="48" t="n"/>
      <c r="Y184" s="48" t="n"/>
      <c r="Z184" s="48" t="n"/>
      <c r="AA184" s="48" t="n"/>
      <c r="AB184" s="48" t="n"/>
      <c r="AC184" s="48" t="n"/>
    </row>
    <row r="185" ht="13" customHeight="1" s="68">
      <c r="E185" s="48" t="n"/>
      <c r="F185" s="48" t="n"/>
      <c r="G185" s="49" t="n"/>
      <c r="J185" s="48" t="n"/>
      <c r="K185" s="48" t="n"/>
      <c r="L185" s="48" t="n"/>
      <c r="M185" s="1" t="n"/>
      <c r="W185" s="48" t="n"/>
      <c r="X185" s="48" t="n"/>
      <c r="Y185" s="48" t="n"/>
      <c r="Z185" s="48" t="n"/>
      <c r="AA185" s="48" t="n"/>
      <c r="AB185" s="48" t="n"/>
      <c r="AC185" s="48" t="n"/>
    </row>
    <row r="186" ht="13" customHeight="1" s="68">
      <c r="E186" s="48" t="n"/>
      <c r="F186" s="48" t="n"/>
      <c r="G186" s="49" t="n"/>
      <c r="J186" s="48" t="n"/>
      <c r="K186" s="48" t="n"/>
      <c r="L186" s="48" t="n"/>
      <c r="M186" s="1" t="n"/>
      <c r="W186" s="48" t="n"/>
      <c r="X186" s="48" t="n"/>
      <c r="Y186" s="48" t="n"/>
      <c r="Z186" s="48" t="n"/>
      <c r="AA186" s="48" t="n"/>
      <c r="AB186" s="48" t="n"/>
      <c r="AC186" s="48" t="n"/>
    </row>
    <row r="187" ht="13" customHeight="1" s="68">
      <c r="E187" s="48" t="n"/>
      <c r="F187" s="48" t="n"/>
      <c r="G187" s="49" t="n"/>
      <c r="J187" s="48" t="n"/>
      <c r="K187" s="48" t="n"/>
      <c r="L187" s="48" t="n"/>
      <c r="M187" s="1" t="n"/>
      <c r="W187" s="48" t="n"/>
      <c r="X187" s="48" t="n"/>
      <c r="Y187" s="48" t="n"/>
      <c r="Z187" s="48" t="n"/>
      <c r="AA187" s="48" t="n"/>
      <c r="AB187" s="48" t="n"/>
      <c r="AC187" s="48" t="n"/>
    </row>
    <row r="188" ht="13" customHeight="1" s="68">
      <c r="E188" s="48" t="n"/>
      <c r="F188" s="48" t="n"/>
      <c r="G188" s="49" t="n"/>
      <c r="J188" s="48" t="n"/>
      <c r="K188" s="48" t="n"/>
      <c r="L188" s="48" t="n"/>
      <c r="M188" s="1" t="n"/>
      <c r="W188" s="48" t="n"/>
      <c r="X188" s="48" t="n"/>
      <c r="Y188" s="48" t="n"/>
      <c r="Z188" s="48" t="n"/>
      <c r="AA188" s="48" t="n"/>
      <c r="AB188" s="48" t="n"/>
      <c r="AC188" s="48" t="n"/>
    </row>
    <row r="189" ht="13" customHeight="1" s="68">
      <c r="E189" s="48" t="n"/>
      <c r="F189" s="48" t="n"/>
      <c r="G189" s="49" t="n"/>
      <c r="J189" s="48" t="n"/>
      <c r="K189" s="48" t="n"/>
      <c r="L189" s="48" t="n"/>
      <c r="M189" s="1" t="n"/>
      <c r="W189" s="48" t="n"/>
      <c r="X189" s="48" t="n"/>
      <c r="Y189" s="48" t="n"/>
      <c r="Z189" s="48" t="n"/>
      <c r="AA189" s="48" t="n"/>
      <c r="AB189" s="48" t="n"/>
      <c r="AC189" s="48" t="n"/>
    </row>
    <row r="190" ht="13" customHeight="1" s="68">
      <c r="E190" s="48" t="n"/>
      <c r="F190" s="48" t="n"/>
      <c r="G190" s="49" t="n"/>
      <c r="J190" s="48" t="n"/>
      <c r="K190" s="48" t="n"/>
      <c r="L190" s="48" t="n"/>
      <c r="M190" s="1" t="n"/>
      <c r="W190" s="48" t="n"/>
      <c r="X190" s="48" t="n"/>
      <c r="Y190" s="48" t="n"/>
      <c r="Z190" s="48" t="n"/>
      <c r="AA190" s="48" t="n"/>
      <c r="AB190" s="48" t="n"/>
      <c r="AC190" s="48" t="n"/>
    </row>
    <row r="191" ht="13" customHeight="1" s="68">
      <c r="E191" s="48" t="n"/>
      <c r="F191" s="48" t="n"/>
      <c r="G191" s="49" t="n"/>
      <c r="J191" s="48" t="n"/>
      <c r="K191" s="48" t="n"/>
      <c r="L191" s="48" t="n"/>
      <c r="M191" s="1" t="n"/>
      <c r="W191" s="48" t="n"/>
      <c r="X191" s="48" t="n"/>
      <c r="Y191" s="48" t="n"/>
      <c r="Z191" s="48" t="n"/>
      <c r="AA191" s="48" t="n"/>
      <c r="AB191" s="48" t="n"/>
      <c r="AC191" s="48" t="n"/>
    </row>
    <row r="192" ht="13" customHeight="1" s="68">
      <c r="E192" s="48" t="n"/>
      <c r="F192" s="48" t="n"/>
      <c r="G192" s="49" t="n"/>
      <c r="J192" s="48" t="n"/>
      <c r="K192" s="48" t="n"/>
      <c r="L192" s="48" t="n"/>
      <c r="M192" s="1" t="n"/>
      <c r="W192" s="48" t="n"/>
      <c r="X192" s="48" t="n"/>
      <c r="Y192" s="48" t="n"/>
      <c r="Z192" s="48" t="n"/>
      <c r="AA192" s="48" t="n"/>
      <c r="AB192" s="48" t="n"/>
      <c r="AC192" s="48" t="n"/>
    </row>
    <row r="193" ht="13" customHeight="1" s="68">
      <c r="E193" s="48" t="n"/>
      <c r="F193" s="48" t="n"/>
      <c r="G193" s="49" t="n"/>
      <c r="J193" s="48" t="n"/>
      <c r="K193" s="48" t="n"/>
      <c r="L193" s="48" t="n"/>
      <c r="M193" s="1" t="n"/>
      <c r="W193" s="48" t="n"/>
      <c r="X193" s="48" t="n"/>
      <c r="Y193" s="48" t="n"/>
      <c r="Z193" s="48" t="n"/>
      <c r="AA193" s="48" t="n"/>
      <c r="AB193" s="48" t="n"/>
      <c r="AC193" s="48" t="n"/>
    </row>
    <row r="194" ht="13" customHeight="1" s="68">
      <c r="E194" s="48" t="n"/>
      <c r="F194" s="48" t="n"/>
      <c r="G194" s="49" t="n"/>
      <c r="J194" s="48" t="n"/>
      <c r="K194" s="48" t="n"/>
      <c r="L194" s="48" t="n"/>
      <c r="M194" s="1" t="n"/>
      <c r="W194" s="48" t="n"/>
      <c r="X194" s="48" t="n"/>
      <c r="Y194" s="48" t="n"/>
      <c r="Z194" s="48" t="n"/>
      <c r="AA194" s="48" t="n"/>
      <c r="AB194" s="48" t="n"/>
      <c r="AC194" s="48" t="n"/>
    </row>
    <row r="195" ht="13" customHeight="1" s="68">
      <c r="E195" s="48" t="n"/>
      <c r="F195" s="48" t="n"/>
      <c r="G195" s="49" t="n"/>
      <c r="J195" s="48" t="n"/>
      <c r="K195" s="48" t="n"/>
      <c r="L195" s="48" t="n"/>
      <c r="M195" s="1" t="n"/>
      <c r="W195" s="48" t="n"/>
      <c r="X195" s="48" t="n"/>
      <c r="Y195" s="48" t="n"/>
      <c r="Z195" s="48" t="n"/>
      <c r="AA195" s="48" t="n"/>
      <c r="AB195" s="48" t="n"/>
      <c r="AC195" s="48" t="n"/>
    </row>
    <row r="196" ht="13" customHeight="1" s="68">
      <c r="E196" s="48" t="n"/>
      <c r="F196" s="48" t="n"/>
      <c r="G196" s="49" t="n"/>
      <c r="J196" s="48" t="n"/>
      <c r="K196" s="48" t="n"/>
      <c r="L196" s="48" t="n"/>
      <c r="M196" s="1" t="n"/>
      <c r="W196" s="48" t="n"/>
      <c r="X196" s="48" t="n"/>
      <c r="Y196" s="48" t="n"/>
      <c r="Z196" s="48" t="n"/>
      <c r="AA196" s="48" t="n"/>
      <c r="AB196" s="48" t="n"/>
      <c r="AC196" s="48" t="n"/>
    </row>
    <row r="197" ht="13" customHeight="1" s="68">
      <c r="E197" s="48" t="n"/>
      <c r="F197" s="48" t="n"/>
      <c r="G197" s="49" t="n"/>
      <c r="J197" s="48" t="n"/>
      <c r="K197" s="48" t="n"/>
      <c r="L197" s="48" t="n"/>
      <c r="M197" s="1" t="n"/>
      <c r="W197" s="48" t="n"/>
      <c r="X197" s="48" t="n"/>
      <c r="Y197" s="48" t="n"/>
      <c r="Z197" s="48" t="n"/>
      <c r="AA197" s="48" t="n"/>
      <c r="AB197" s="48" t="n"/>
      <c r="AC197" s="48" t="n"/>
    </row>
    <row r="198" ht="13" customHeight="1" s="68">
      <c r="E198" s="48" t="n"/>
      <c r="F198" s="48" t="n"/>
      <c r="G198" s="49" t="n"/>
      <c r="J198" s="48" t="n"/>
      <c r="K198" s="48" t="n"/>
      <c r="L198" s="48" t="n"/>
      <c r="M198" s="1" t="n"/>
      <c r="W198" s="48" t="n"/>
      <c r="X198" s="48" t="n"/>
      <c r="Y198" s="48" t="n"/>
      <c r="Z198" s="48" t="n"/>
      <c r="AA198" s="48" t="n"/>
      <c r="AB198" s="48" t="n"/>
      <c r="AC198" s="48" t="n"/>
    </row>
    <row r="199" ht="13" customHeight="1" s="68">
      <c r="E199" s="48" t="n"/>
      <c r="F199" s="48" t="n"/>
      <c r="G199" s="49" t="n"/>
      <c r="J199" s="48" t="n"/>
      <c r="K199" s="48" t="n"/>
      <c r="L199" s="48" t="n"/>
      <c r="M199" s="1" t="n"/>
      <c r="W199" s="48" t="n"/>
      <c r="X199" s="48" t="n"/>
      <c r="Y199" s="48" t="n"/>
      <c r="Z199" s="48" t="n"/>
      <c r="AA199" s="48" t="n"/>
      <c r="AB199" s="48" t="n"/>
      <c r="AC199" s="48" t="n"/>
    </row>
    <row r="200" ht="13" customHeight="1" s="68">
      <c r="E200" s="48" t="n"/>
      <c r="F200" s="48" t="n"/>
      <c r="G200" s="49" t="n"/>
      <c r="J200" s="48" t="n"/>
      <c r="K200" s="48" t="n"/>
      <c r="L200" s="48" t="n"/>
      <c r="M200" s="1" t="n"/>
      <c r="W200" s="48" t="n"/>
      <c r="X200" s="48" t="n"/>
      <c r="Y200" s="48" t="n"/>
      <c r="Z200" s="48" t="n"/>
      <c r="AA200" s="48" t="n"/>
      <c r="AB200" s="48" t="n"/>
      <c r="AC200" s="48" t="n"/>
    </row>
    <row r="201" ht="13" customHeight="1" s="68">
      <c r="E201" s="48" t="n"/>
      <c r="F201" s="48" t="n"/>
      <c r="G201" s="49" t="n"/>
      <c r="J201" s="48" t="n"/>
      <c r="K201" s="48" t="n"/>
      <c r="L201" s="48" t="n"/>
      <c r="M201" s="1" t="n"/>
      <c r="W201" s="48" t="n"/>
      <c r="X201" s="48" t="n"/>
      <c r="Y201" s="48" t="n"/>
      <c r="Z201" s="48" t="n"/>
      <c r="AA201" s="48" t="n"/>
      <c r="AB201" s="48" t="n"/>
      <c r="AC201" s="48" t="n"/>
    </row>
    <row r="202" ht="13" customHeight="1" s="68">
      <c r="E202" s="48" t="n"/>
      <c r="F202" s="48" t="n"/>
      <c r="G202" s="49" t="n"/>
      <c r="J202" s="48" t="n"/>
      <c r="K202" s="48" t="n"/>
      <c r="L202" s="48" t="n"/>
      <c r="M202" s="1" t="n"/>
      <c r="W202" s="48" t="n"/>
      <c r="X202" s="48" t="n"/>
      <c r="Y202" s="48" t="n"/>
      <c r="Z202" s="48" t="n"/>
      <c r="AA202" s="48" t="n"/>
      <c r="AB202" s="48" t="n"/>
      <c r="AC202" s="48" t="n"/>
    </row>
    <row r="203" ht="13" customHeight="1" s="68">
      <c r="E203" s="48" t="n"/>
      <c r="F203" s="48" t="n"/>
      <c r="G203" s="49" t="n"/>
      <c r="J203" s="48" t="n"/>
      <c r="K203" s="48" t="n"/>
      <c r="L203" s="48" t="n"/>
      <c r="M203" s="1" t="n"/>
      <c r="W203" s="48" t="n"/>
      <c r="X203" s="48" t="n"/>
      <c r="Y203" s="48" t="n"/>
      <c r="Z203" s="48" t="n"/>
      <c r="AA203" s="48" t="n"/>
      <c r="AB203" s="48" t="n"/>
      <c r="AC203" s="48" t="n"/>
    </row>
    <row r="204" ht="13" customHeight="1" s="68">
      <c r="E204" s="48" t="n"/>
      <c r="F204" s="48" t="n"/>
      <c r="G204" s="49" t="n"/>
      <c r="J204" s="48" t="n"/>
      <c r="K204" s="48" t="n"/>
      <c r="L204" s="48" t="n"/>
      <c r="M204" s="1" t="n"/>
      <c r="W204" s="48" t="n"/>
      <c r="X204" s="48" t="n"/>
      <c r="Y204" s="48" t="n"/>
      <c r="Z204" s="48" t="n"/>
      <c r="AA204" s="48" t="n"/>
      <c r="AB204" s="48" t="n"/>
      <c r="AC204" s="48" t="n"/>
    </row>
    <row r="205" ht="13" customHeight="1" s="68">
      <c r="E205" s="48" t="n"/>
      <c r="F205" s="48" t="n"/>
      <c r="G205" s="49" t="n"/>
      <c r="J205" s="48" t="n"/>
      <c r="K205" s="48" t="n"/>
      <c r="L205" s="48" t="n"/>
      <c r="M205" s="1" t="n"/>
      <c r="W205" s="48" t="n"/>
      <c r="X205" s="48" t="n"/>
      <c r="Y205" s="48" t="n"/>
      <c r="Z205" s="48" t="n"/>
      <c r="AA205" s="48" t="n"/>
      <c r="AB205" s="48" t="n"/>
      <c r="AC205" s="48" t="n"/>
    </row>
    <row r="206" ht="13" customHeight="1" s="68">
      <c r="E206" s="48" t="n"/>
      <c r="F206" s="48" t="n"/>
      <c r="G206" s="49" t="n"/>
      <c r="J206" s="48" t="n"/>
      <c r="K206" s="48" t="n"/>
      <c r="L206" s="48" t="n"/>
      <c r="M206" s="1" t="n"/>
      <c r="W206" s="48" t="n"/>
      <c r="X206" s="48" t="n"/>
      <c r="Y206" s="48" t="n"/>
      <c r="Z206" s="48" t="n"/>
      <c r="AA206" s="48" t="n"/>
      <c r="AB206" s="48" t="n"/>
      <c r="AC206" s="48" t="n"/>
    </row>
    <row r="207" ht="13" customHeight="1" s="68">
      <c r="E207" s="48" t="n"/>
      <c r="F207" s="48" t="n"/>
      <c r="G207" s="49" t="n"/>
      <c r="J207" s="48" t="n"/>
      <c r="K207" s="48" t="n"/>
      <c r="L207" s="48" t="n"/>
      <c r="M207" s="1" t="n"/>
      <c r="W207" s="48" t="n"/>
      <c r="X207" s="48" t="n"/>
      <c r="Y207" s="48" t="n"/>
      <c r="Z207" s="48" t="n"/>
      <c r="AA207" s="48" t="n"/>
      <c r="AB207" s="48" t="n"/>
      <c r="AC207" s="48" t="n"/>
    </row>
    <row r="208" ht="13" customHeight="1" s="68">
      <c r="E208" s="48" t="n"/>
      <c r="F208" s="48" t="n"/>
      <c r="G208" s="49" t="n"/>
      <c r="J208" s="48" t="n"/>
      <c r="K208" s="48" t="n"/>
      <c r="L208" s="48" t="n"/>
      <c r="M208" s="1" t="n"/>
      <c r="W208" s="48" t="n"/>
      <c r="X208" s="48" t="n"/>
      <c r="Y208" s="48" t="n"/>
      <c r="Z208" s="48" t="n"/>
      <c r="AA208" s="48" t="n"/>
      <c r="AB208" s="48" t="n"/>
      <c r="AC208" s="48" t="n"/>
    </row>
    <row r="209" ht="13" customHeight="1" s="68">
      <c r="E209" s="48" t="n"/>
      <c r="F209" s="48" t="n"/>
      <c r="G209" s="49" t="n"/>
      <c r="J209" s="48" t="n"/>
      <c r="K209" s="48" t="n"/>
      <c r="L209" s="48" t="n"/>
      <c r="M209" s="1" t="n"/>
      <c r="W209" s="48" t="n"/>
      <c r="X209" s="48" t="n"/>
      <c r="Y209" s="48" t="n"/>
      <c r="Z209" s="48" t="n"/>
      <c r="AA209" s="48" t="n"/>
      <c r="AB209" s="48" t="n"/>
      <c r="AC209" s="48" t="n"/>
    </row>
    <row r="210" ht="13" customHeight="1" s="68">
      <c r="E210" s="48" t="n"/>
      <c r="F210" s="48" t="n"/>
      <c r="G210" s="49" t="n"/>
      <c r="J210" s="48" t="n"/>
      <c r="K210" s="48" t="n"/>
      <c r="L210" s="48" t="n"/>
      <c r="M210" s="1" t="n"/>
      <c r="W210" s="48" t="n"/>
      <c r="X210" s="48" t="n"/>
      <c r="Y210" s="48" t="n"/>
      <c r="Z210" s="48" t="n"/>
      <c r="AA210" s="48" t="n"/>
      <c r="AB210" s="48" t="n"/>
      <c r="AC210" s="48" t="n"/>
    </row>
    <row r="211" ht="13" customHeight="1" s="68">
      <c r="E211" s="48" t="n"/>
      <c r="F211" s="48" t="n"/>
      <c r="G211" s="49" t="n"/>
      <c r="J211" s="48" t="n"/>
      <c r="K211" s="48" t="n"/>
      <c r="L211" s="48" t="n"/>
      <c r="M211" s="1" t="n"/>
      <c r="W211" s="48" t="n"/>
      <c r="X211" s="48" t="n"/>
      <c r="Y211" s="48" t="n"/>
      <c r="Z211" s="48" t="n"/>
      <c r="AA211" s="48" t="n"/>
      <c r="AB211" s="48" t="n"/>
      <c r="AC211" s="48" t="n"/>
    </row>
    <row r="212" ht="13" customHeight="1" s="68">
      <c r="E212" s="48" t="n"/>
      <c r="F212" s="48" t="n"/>
      <c r="G212" s="49" t="n"/>
      <c r="J212" s="48" t="n"/>
      <c r="K212" s="48" t="n"/>
      <c r="L212" s="48" t="n"/>
      <c r="M212" s="1" t="n"/>
      <c r="W212" s="48" t="n"/>
      <c r="X212" s="48" t="n"/>
      <c r="Y212" s="48" t="n"/>
      <c r="Z212" s="48" t="n"/>
      <c r="AA212" s="48" t="n"/>
      <c r="AB212" s="48" t="n"/>
      <c r="AC212" s="48" t="n"/>
    </row>
    <row r="213" ht="13" customHeight="1" s="68">
      <c r="E213" s="48" t="n"/>
      <c r="F213" s="48" t="n"/>
      <c r="G213" s="49" t="n"/>
      <c r="J213" s="48" t="n"/>
      <c r="K213" s="48" t="n"/>
      <c r="L213" s="48" t="n"/>
      <c r="M213" s="1" t="n"/>
      <c r="W213" s="48" t="n"/>
      <c r="X213" s="48" t="n"/>
      <c r="Y213" s="48" t="n"/>
      <c r="Z213" s="48" t="n"/>
      <c r="AA213" s="48" t="n"/>
      <c r="AB213" s="48" t="n"/>
      <c r="AC213" s="48" t="n"/>
    </row>
    <row r="214" ht="13" customHeight="1" s="68">
      <c r="E214" s="48" t="n"/>
      <c r="F214" s="48" t="n"/>
      <c r="G214" s="49" t="n"/>
      <c r="J214" s="48" t="n"/>
      <c r="K214" s="48" t="n"/>
      <c r="L214" s="48" t="n"/>
      <c r="M214" s="1" t="n"/>
      <c r="W214" s="48" t="n"/>
      <c r="X214" s="48" t="n"/>
      <c r="Y214" s="48" t="n"/>
      <c r="Z214" s="48" t="n"/>
      <c r="AA214" s="48" t="n"/>
      <c r="AB214" s="48" t="n"/>
      <c r="AC214" s="48" t="n"/>
    </row>
    <row r="215" ht="13" customHeight="1" s="68">
      <c r="E215" s="48" t="n"/>
      <c r="F215" s="48" t="n"/>
      <c r="G215" s="49" t="n"/>
      <c r="J215" s="48" t="n"/>
      <c r="K215" s="48" t="n"/>
      <c r="L215" s="48" t="n"/>
      <c r="M215" s="1" t="n"/>
      <c r="W215" s="48" t="n"/>
      <c r="X215" s="48" t="n"/>
      <c r="Y215" s="48" t="n"/>
      <c r="Z215" s="48" t="n"/>
      <c r="AA215" s="48" t="n"/>
      <c r="AB215" s="48" t="n"/>
      <c r="AC215" s="48" t="n"/>
    </row>
    <row r="216" ht="13" customHeight="1" s="68">
      <c r="E216" s="48" t="n"/>
      <c r="F216" s="48" t="n"/>
      <c r="G216" s="49" t="n"/>
      <c r="J216" s="48" t="n"/>
      <c r="K216" s="48" t="n"/>
      <c r="L216" s="48" t="n"/>
      <c r="M216" s="1" t="n"/>
      <c r="W216" s="48" t="n"/>
      <c r="X216" s="48" t="n"/>
      <c r="Y216" s="48" t="n"/>
      <c r="Z216" s="48" t="n"/>
      <c r="AA216" s="48" t="n"/>
      <c r="AB216" s="48" t="n"/>
      <c r="AC216" s="48" t="n"/>
    </row>
    <row r="217" ht="13" customHeight="1" s="68">
      <c r="E217" s="48" t="n"/>
      <c r="F217" s="48" t="n"/>
      <c r="G217" s="49" t="n"/>
      <c r="J217" s="48" t="n"/>
      <c r="K217" s="48" t="n"/>
      <c r="L217" s="48" t="n"/>
      <c r="M217" s="1" t="n"/>
      <c r="W217" s="48" t="n"/>
      <c r="X217" s="48" t="n"/>
      <c r="Y217" s="48" t="n"/>
      <c r="Z217" s="48" t="n"/>
      <c r="AA217" s="48" t="n"/>
      <c r="AB217" s="48" t="n"/>
      <c r="AC217" s="48" t="n"/>
    </row>
    <row r="218" ht="13" customHeight="1" s="68">
      <c r="E218" s="48" t="n"/>
      <c r="F218" s="48" t="n"/>
      <c r="G218" s="49" t="n"/>
      <c r="J218" s="48" t="n"/>
      <c r="K218" s="48" t="n"/>
      <c r="L218" s="48" t="n"/>
      <c r="M218" s="1" t="n"/>
      <c r="W218" s="48" t="n"/>
      <c r="X218" s="48" t="n"/>
      <c r="Y218" s="48" t="n"/>
      <c r="Z218" s="48" t="n"/>
      <c r="AA218" s="48" t="n"/>
      <c r="AB218" s="48" t="n"/>
      <c r="AC218" s="48" t="n"/>
    </row>
    <row r="219" ht="13" customHeight="1" s="68">
      <c r="E219" s="48" t="n"/>
      <c r="F219" s="48" t="n"/>
      <c r="G219" s="49" t="n"/>
      <c r="J219" s="48" t="n"/>
      <c r="K219" s="48" t="n"/>
      <c r="L219" s="48" t="n"/>
      <c r="M219" s="1" t="n"/>
      <c r="W219" s="48" t="n"/>
      <c r="X219" s="48" t="n"/>
      <c r="Y219" s="48" t="n"/>
      <c r="Z219" s="48" t="n"/>
      <c r="AA219" s="48" t="n"/>
      <c r="AB219" s="48" t="n"/>
      <c r="AC219" s="48" t="n"/>
    </row>
    <row r="220" ht="13" customHeight="1" s="68">
      <c r="E220" s="48" t="n"/>
      <c r="F220" s="48" t="n"/>
      <c r="G220" s="49" t="n"/>
      <c r="J220" s="48" t="n"/>
      <c r="K220" s="48" t="n"/>
      <c r="L220" s="48" t="n"/>
      <c r="M220" s="1" t="n"/>
      <c r="W220" s="48" t="n"/>
      <c r="X220" s="48" t="n"/>
      <c r="Y220" s="48" t="n"/>
      <c r="Z220" s="48" t="n"/>
      <c r="AA220" s="48" t="n"/>
      <c r="AB220" s="48" t="n"/>
      <c r="AC220" s="48" t="n"/>
    </row>
    <row r="221" ht="13" customHeight="1" s="68">
      <c r="E221" s="48" t="n"/>
      <c r="F221" s="48" t="n"/>
      <c r="G221" s="49" t="n"/>
      <c r="J221" s="48" t="n"/>
      <c r="K221" s="48" t="n"/>
      <c r="L221" s="48" t="n"/>
      <c r="M221" s="1" t="n"/>
      <c r="W221" s="48" t="n"/>
      <c r="X221" s="48" t="n"/>
      <c r="Y221" s="48" t="n"/>
      <c r="Z221" s="48" t="n"/>
      <c r="AA221" s="48" t="n"/>
      <c r="AB221" s="48" t="n"/>
      <c r="AC221" s="48" t="n"/>
    </row>
    <row r="222" ht="13" customHeight="1" s="68">
      <c r="E222" s="48" t="n"/>
      <c r="F222" s="48" t="n"/>
      <c r="G222" s="49" t="n"/>
      <c r="J222" s="48" t="n"/>
      <c r="K222" s="48" t="n"/>
      <c r="L222" s="48" t="n"/>
      <c r="M222" s="1" t="n"/>
      <c r="W222" s="48" t="n"/>
      <c r="X222" s="48" t="n"/>
      <c r="Y222" s="48" t="n"/>
      <c r="Z222" s="48" t="n"/>
      <c r="AA222" s="48" t="n"/>
      <c r="AB222" s="48" t="n"/>
      <c r="AC222" s="48" t="n"/>
    </row>
    <row r="223" ht="13" customHeight="1" s="68">
      <c r="E223" s="48" t="n"/>
      <c r="F223" s="48" t="n"/>
      <c r="G223" s="49" t="n"/>
      <c r="J223" s="48" t="n"/>
      <c r="K223" s="48" t="n"/>
      <c r="L223" s="48" t="n"/>
      <c r="M223" s="1" t="n"/>
      <c r="W223" s="48" t="n"/>
      <c r="X223" s="48" t="n"/>
      <c r="Y223" s="48" t="n"/>
      <c r="Z223" s="48" t="n"/>
      <c r="AA223" s="48" t="n"/>
      <c r="AB223" s="48" t="n"/>
      <c r="AC223" s="48" t="n"/>
    </row>
    <row r="224" ht="13" customHeight="1" s="68">
      <c r="E224" s="48" t="n"/>
      <c r="F224" s="48" t="n"/>
      <c r="G224" s="49" t="n"/>
      <c r="J224" s="48" t="n"/>
      <c r="K224" s="48" t="n"/>
      <c r="L224" s="48" t="n"/>
      <c r="M224" s="1" t="n"/>
      <c r="W224" s="48" t="n"/>
      <c r="X224" s="48" t="n"/>
      <c r="Y224" s="48" t="n"/>
      <c r="Z224" s="48" t="n"/>
      <c r="AA224" s="48" t="n"/>
      <c r="AB224" s="48" t="n"/>
      <c r="AC224" s="48" t="n"/>
    </row>
    <row r="225" ht="13" customHeight="1" s="68">
      <c r="E225" s="48" t="n"/>
      <c r="F225" s="48" t="n"/>
      <c r="G225" s="49" t="n"/>
      <c r="J225" s="48" t="n"/>
      <c r="K225" s="48" t="n"/>
      <c r="L225" s="48" t="n"/>
      <c r="M225" s="1" t="n"/>
      <c r="W225" s="48" t="n"/>
      <c r="X225" s="48" t="n"/>
      <c r="Y225" s="48" t="n"/>
      <c r="Z225" s="48" t="n"/>
      <c r="AA225" s="48" t="n"/>
      <c r="AB225" s="48" t="n"/>
      <c r="AC225" s="48" t="n"/>
    </row>
    <row r="226" ht="13" customHeight="1" s="68">
      <c r="E226" s="48" t="n"/>
      <c r="F226" s="48" t="n"/>
      <c r="G226" s="49" t="n"/>
      <c r="J226" s="48" t="n"/>
      <c r="K226" s="48" t="n"/>
      <c r="L226" s="48" t="n"/>
      <c r="M226" s="1" t="n"/>
      <c r="W226" s="48" t="n"/>
      <c r="X226" s="48" t="n"/>
      <c r="Y226" s="48" t="n"/>
      <c r="Z226" s="48" t="n"/>
      <c r="AA226" s="48" t="n"/>
      <c r="AB226" s="48" t="n"/>
      <c r="AC226" s="48" t="n"/>
    </row>
    <row r="227" ht="13" customHeight="1" s="68">
      <c r="E227" s="48" t="n"/>
      <c r="F227" s="48" t="n"/>
      <c r="G227" s="49" t="n"/>
      <c r="J227" s="48" t="n"/>
      <c r="K227" s="48" t="n"/>
      <c r="L227" s="48" t="n"/>
      <c r="M227" s="1" t="n"/>
      <c r="W227" s="48" t="n"/>
      <c r="X227" s="48" t="n"/>
      <c r="Y227" s="48" t="n"/>
      <c r="Z227" s="48" t="n"/>
      <c r="AA227" s="48" t="n"/>
      <c r="AB227" s="48" t="n"/>
      <c r="AC227" s="48" t="n"/>
    </row>
    <row r="228" ht="13" customHeight="1" s="68">
      <c r="E228" s="48" t="n"/>
      <c r="F228" s="48" t="n"/>
      <c r="G228" s="49" t="n"/>
      <c r="J228" s="48" t="n"/>
      <c r="K228" s="48" t="n"/>
      <c r="L228" s="48" t="n"/>
      <c r="M228" s="1" t="n"/>
      <c r="W228" s="48" t="n"/>
      <c r="X228" s="48" t="n"/>
      <c r="Y228" s="48" t="n"/>
      <c r="Z228" s="48" t="n"/>
      <c r="AA228" s="48" t="n"/>
      <c r="AB228" s="48" t="n"/>
      <c r="AC228" s="48" t="n"/>
    </row>
    <row r="229" ht="13" customHeight="1" s="68">
      <c r="E229" s="48" t="n"/>
      <c r="F229" s="48" t="n"/>
      <c r="G229" s="49" t="n"/>
      <c r="J229" s="48" t="n"/>
      <c r="K229" s="48" t="n"/>
      <c r="L229" s="48" t="n"/>
      <c r="M229" s="1" t="n"/>
      <c r="W229" s="48" t="n"/>
      <c r="X229" s="48" t="n"/>
      <c r="Y229" s="48" t="n"/>
      <c r="Z229" s="48" t="n"/>
      <c r="AA229" s="48" t="n"/>
      <c r="AB229" s="48" t="n"/>
      <c r="AC229" s="48" t="n"/>
    </row>
    <row r="230" ht="13" customHeight="1" s="68">
      <c r="E230" s="48" t="n"/>
      <c r="F230" s="48" t="n"/>
      <c r="G230" s="49" t="n"/>
      <c r="J230" s="48" t="n"/>
      <c r="K230" s="48" t="n"/>
      <c r="L230" s="48" t="n"/>
      <c r="M230" s="1" t="n"/>
      <c r="W230" s="48" t="n"/>
      <c r="X230" s="48" t="n"/>
      <c r="Y230" s="48" t="n"/>
      <c r="Z230" s="48" t="n"/>
      <c r="AA230" s="48" t="n"/>
      <c r="AB230" s="48" t="n"/>
      <c r="AC230" s="48" t="n"/>
    </row>
    <row r="231" ht="13" customHeight="1" s="68">
      <c r="E231" s="48" t="n"/>
      <c r="F231" s="48" t="n"/>
      <c r="G231" s="49" t="n"/>
      <c r="J231" s="48" t="n"/>
      <c r="K231" s="48" t="n"/>
      <c r="L231" s="48" t="n"/>
      <c r="M231" s="1" t="n"/>
      <c r="W231" s="48" t="n"/>
      <c r="X231" s="48" t="n"/>
      <c r="Y231" s="48" t="n"/>
      <c r="Z231" s="48" t="n"/>
      <c r="AA231" s="48" t="n"/>
      <c r="AB231" s="48" t="n"/>
      <c r="AC231" s="48" t="n"/>
    </row>
    <row r="232" ht="13" customHeight="1" s="68">
      <c r="E232" s="48" t="n"/>
      <c r="F232" s="48" t="n"/>
      <c r="G232" s="49" t="n"/>
      <c r="J232" s="48" t="n"/>
      <c r="K232" s="48" t="n"/>
      <c r="L232" s="48" t="n"/>
      <c r="M232" s="1" t="n"/>
      <c r="W232" s="48" t="n"/>
      <c r="X232" s="48" t="n"/>
      <c r="Y232" s="48" t="n"/>
      <c r="Z232" s="48" t="n"/>
      <c r="AA232" s="48" t="n"/>
      <c r="AB232" s="48" t="n"/>
      <c r="AC232" s="48" t="n"/>
    </row>
    <row r="233" ht="13" customHeight="1" s="68">
      <c r="E233" s="48" t="n"/>
      <c r="F233" s="48" t="n"/>
      <c r="G233" s="49" t="n"/>
      <c r="J233" s="48" t="n"/>
      <c r="K233" s="48" t="n"/>
      <c r="L233" s="48" t="n"/>
      <c r="M233" s="1" t="n"/>
      <c r="W233" s="48" t="n"/>
      <c r="X233" s="48" t="n"/>
      <c r="Y233" s="48" t="n"/>
      <c r="Z233" s="48" t="n"/>
      <c r="AA233" s="48" t="n"/>
      <c r="AB233" s="48" t="n"/>
      <c r="AC233" s="48" t="n"/>
    </row>
    <row r="234" ht="13" customHeight="1" s="68">
      <c r="E234" s="48" t="n"/>
      <c r="F234" s="48" t="n"/>
      <c r="G234" s="49" t="n"/>
      <c r="J234" s="48" t="n"/>
      <c r="K234" s="48" t="n"/>
      <c r="L234" s="48" t="n"/>
      <c r="M234" s="1" t="n"/>
      <c r="W234" s="48" t="n"/>
      <c r="X234" s="48" t="n"/>
      <c r="Y234" s="48" t="n"/>
      <c r="Z234" s="48" t="n"/>
      <c r="AA234" s="48" t="n"/>
      <c r="AB234" s="48" t="n"/>
      <c r="AC234" s="48" t="n"/>
    </row>
    <row r="235" ht="13" customHeight="1" s="68">
      <c r="E235" s="48" t="n"/>
      <c r="F235" s="48" t="n"/>
      <c r="G235" s="49" t="n"/>
      <c r="J235" s="48" t="n"/>
      <c r="K235" s="48" t="n"/>
      <c r="L235" s="48" t="n"/>
      <c r="M235" s="1" t="n"/>
      <c r="W235" s="48" t="n"/>
      <c r="X235" s="48" t="n"/>
      <c r="Y235" s="48" t="n"/>
      <c r="Z235" s="48" t="n"/>
      <c r="AA235" s="48" t="n"/>
      <c r="AB235" s="48" t="n"/>
      <c r="AC235" s="48" t="n"/>
    </row>
    <row r="236" ht="13" customHeight="1" s="68">
      <c r="E236" s="48" t="n"/>
      <c r="F236" s="48" t="n"/>
      <c r="G236" s="49" t="n"/>
      <c r="J236" s="48" t="n"/>
      <c r="K236" s="48" t="n"/>
      <c r="L236" s="48" t="n"/>
      <c r="M236" s="1" t="n"/>
      <c r="W236" s="48" t="n"/>
      <c r="X236" s="48" t="n"/>
      <c r="Y236" s="48" t="n"/>
      <c r="Z236" s="48" t="n"/>
      <c r="AA236" s="48" t="n"/>
      <c r="AB236" s="48" t="n"/>
      <c r="AC236" s="48" t="n"/>
    </row>
    <row r="237" ht="13" customHeight="1" s="68">
      <c r="E237" s="48" t="n"/>
      <c r="F237" s="48" t="n"/>
      <c r="G237" s="49" t="n"/>
      <c r="J237" s="48" t="n"/>
      <c r="K237" s="48" t="n"/>
      <c r="L237" s="48" t="n"/>
      <c r="M237" s="1" t="n"/>
      <c r="W237" s="48" t="n"/>
      <c r="X237" s="48" t="n"/>
      <c r="Y237" s="48" t="n"/>
      <c r="Z237" s="48" t="n"/>
      <c r="AA237" s="48" t="n"/>
      <c r="AB237" s="48" t="n"/>
      <c r="AC237" s="48" t="n"/>
    </row>
    <row r="238" ht="13" customHeight="1" s="68">
      <c r="E238" s="48" t="n"/>
      <c r="F238" s="48" t="n"/>
      <c r="G238" s="49" t="n"/>
      <c r="J238" s="48" t="n"/>
      <c r="K238" s="48" t="n"/>
      <c r="L238" s="48" t="n"/>
      <c r="M238" s="1" t="n"/>
      <c r="W238" s="48" t="n"/>
      <c r="X238" s="48" t="n"/>
      <c r="Y238" s="48" t="n"/>
      <c r="Z238" s="48" t="n"/>
      <c r="AA238" s="48" t="n"/>
      <c r="AB238" s="48" t="n"/>
      <c r="AC238" s="48" t="n"/>
    </row>
    <row r="239" ht="13" customHeight="1" s="68">
      <c r="E239" s="48" t="n"/>
      <c r="F239" s="48" t="n"/>
      <c r="G239" s="49" t="n"/>
      <c r="J239" s="48" t="n"/>
      <c r="K239" s="48" t="n"/>
      <c r="L239" s="48" t="n"/>
      <c r="M239" s="1" t="n"/>
      <c r="W239" s="48" t="n"/>
      <c r="X239" s="48" t="n"/>
      <c r="Y239" s="48" t="n"/>
      <c r="Z239" s="48" t="n"/>
      <c r="AA239" s="48" t="n"/>
      <c r="AB239" s="48" t="n"/>
      <c r="AC239" s="48" t="n"/>
    </row>
    <row r="240" ht="13" customHeight="1" s="68">
      <c r="E240" s="48" t="n"/>
      <c r="F240" s="48" t="n"/>
      <c r="G240" s="49" t="n"/>
      <c r="J240" s="48" t="n"/>
      <c r="K240" s="48" t="n"/>
      <c r="L240" s="48" t="n"/>
      <c r="M240" s="1" t="n"/>
      <c r="W240" s="48" t="n"/>
      <c r="X240" s="48" t="n"/>
      <c r="Y240" s="48" t="n"/>
      <c r="Z240" s="48" t="n"/>
      <c r="AA240" s="48" t="n"/>
      <c r="AB240" s="48" t="n"/>
      <c r="AC240" s="48" t="n"/>
    </row>
    <row r="241" ht="13" customHeight="1" s="68">
      <c r="E241" s="48" t="n"/>
      <c r="F241" s="48" t="n"/>
      <c r="G241" s="49" t="n"/>
      <c r="J241" s="48" t="n"/>
      <c r="K241" s="48" t="n"/>
      <c r="L241" s="48" t="n"/>
      <c r="M241" s="1" t="n"/>
      <c r="W241" s="48" t="n"/>
      <c r="X241" s="48" t="n"/>
      <c r="Y241" s="48" t="n"/>
      <c r="Z241" s="48" t="n"/>
      <c r="AA241" s="48" t="n"/>
      <c r="AB241" s="48" t="n"/>
      <c r="AC241" s="48" t="n"/>
    </row>
    <row r="242" ht="13" customHeight="1" s="68">
      <c r="E242" s="48" t="n"/>
      <c r="F242" s="48" t="n"/>
      <c r="G242" s="49" t="n"/>
      <c r="J242" s="48" t="n"/>
      <c r="K242" s="48" t="n"/>
      <c r="L242" s="48" t="n"/>
      <c r="M242" s="1" t="n"/>
      <c r="W242" s="48" t="n"/>
      <c r="X242" s="48" t="n"/>
      <c r="Y242" s="48" t="n"/>
      <c r="Z242" s="48" t="n"/>
      <c r="AA242" s="48" t="n"/>
      <c r="AB242" s="48" t="n"/>
      <c r="AC242" s="48" t="n"/>
    </row>
    <row r="243" ht="13" customHeight="1" s="68">
      <c r="E243" s="48" t="n"/>
      <c r="F243" s="48" t="n"/>
      <c r="G243" s="49" t="n"/>
      <c r="J243" s="48" t="n"/>
      <c r="K243" s="48" t="n"/>
      <c r="L243" s="48" t="n"/>
      <c r="M243" s="1" t="n"/>
      <c r="W243" s="48" t="n"/>
      <c r="X243" s="48" t="n"/>
      <c r="Y243" s="48" t="n"/>
      <c r="Z243" s="48" t="n"/>
      <c r="AA243" s="48" t="n"/>
      <c r="AB243" s="48" t="n"/>
      <c r="AC243" s="48" t="n"/>
    </row>
    <row r="244" ht="13" customHeight="1" s="68">
      <c r="E244" s="48" t="n"/>
      <c r="F244" s="48" t="n"/>
      <c r="G244" s="49" t="n"/>
      <c r="J244" s="48" t="n"/>
      <c r="K244" s="48" t="n"/>
      <c r="L244" s="48" t="n"/>
      <c r="M244" s="1" t="n"/>
      <c r="W244" s="48" t="n"/>
      <c r="X244" s="48" t="n"/>
      <c r="Y244" s="48" t="n"/>
      <c r="Z244" s="48" t="n"/>
      <c r="AA244" s="48" t="n"/>
      <c r="AB244" s="48" t="n"/>
      <c r="AC244" s="48" t="n"/>
    </row>
    <row r="245" ht="13" customHeight="1" s="68">
      <c r="E245" s="48" t="n"/>
      <c r="F245" s="48" t="n"/>
      <c r="G245" s="49" t="n"/>
      <c r="J245" s="48" t="n"/>
      <c r="K245" s="48" t="n"/>
      <c r="L245" s="48" t="n"/>
      <c r="M245" s="1" t="n"/>
      <c r="W245" s="48" t="n"/>
      <c r="X245" s="48" t="n"/>
      <c r="Y245" s="48" t="n"/>
      <c r="Z245" s="48" t="n"/>
      <c r="AA245" s="48" t="n"/>
      <c r="AB245" s="48" t="n"/>
      <c r="AC245" s="48" t="n"/>
    </row>
    <row r="246" ht="13" customHeight="1" s="68">
      <c r="E246" s="48" t="n"/>
      <c r="F246" s="48" t="n"/>
      <c r="G246" s="49" t="n"/>
      <c r="J246" s="48" t="n"/>
      <c r="K246" s="48" t="n"/>
      <c r="L246" s="48" t="n"/>
      <c r="M246" s="1" t="n"/>
      <c r="W246" s="48" t="n"/>
      <c r="X246" s="48" t="n"/>
      <c r="Y246" s="48" t="n"/>
      <c r="Z246" s="48" t="n"/>
      <c r="AA246" s="48" t="n"/>
      <c r="AB246" s="48" t="n"/>
      <c r="AC246" s="48" t="n"/>
    </row>
    <row r="247" ht="13" customHeight="1" s="68">
      <c r="E247" s="48" t="n"/>
      <c r="F247" s="48" t="n"/>
      <c r="G247" s="49" t="n"/>
      <c r="J247" s="48" t="n"/>
      <c r="K247" s="48" t="n"/>
      <c r="L247" s="48" t="n"/>
      <c r="M247" s="1" t="n"/>
      <c r="W247" s="48" t="n"/>
      <c r="X247" s="48" t="n"/>
      <c r="Y247" s="48" t="n"/>
      <c r="Z247" s="48" t="n"/>
      <c r="AA247" s="48" t="n"/>
      <c r="AB247" s="48" t="n"/>
      <c r="AC247" s="48" t="n"/>
    </row>
    <row r="248" ht="13" customHeight="1" s="68">
      <c r="E248" s="48" t="n"/>
      <c r="F248" s="48" t="n"/>
      <c r="G248" s="49" t="n"/>
      <c r="J248" s="48" t="n"/>
      <c r="K248" s="48" t="n"/>
      <c r="L248" s="48" t="n"/>
      <c r="M248" s="1" t="n"/>
      <c r="W248" s="48" t="n"/>
      <c r="X248" s="48" t="n"/>
      <c r="Y248" s="48" t="n"/>
      <c r="Z248" s="48" t="n"/>
      <c r="AA248" s="48" t="n"/>
      <c r="AB248" s="48" t="n"/>
      <c r="AC248" s="48" t="n"/>
    </row>
    <row r="249" ht="13" customHeight="1" s="68">
      <c r="E249" s="48" t="n"/>
      <c r="F249" s="48" t="n"/>
      <c r="G249" s="49" t="n"/>
      <c r="J249" s="48" t="n"/>
      <c r="K249" s="48" t="n"/>
      <c r="L249" s="48" t="n"/>
      <c r="M249" s="1" t="n"/>
      <c r="W249" s="48" t="n"/>
      <c r="X249" s="48" t="n"/>
      <c r="Y249" s="48" t="n"/>
      <c r="Z249" s="48" t="n"/>
      <c r="AA249" s="48" t="n"/>
      <c r="AB249" s="48" t="n"/>
      <c r="AC249" s="48" t="n"/>
    </row>
    <row r="250" ht="13" customHeight="1" s="68">
      <c r="E250" s="48" t="n"/>
      <c r="F250" s="48" t="n"/>
      <c r="G250" s="49" t="n"/>
      <c r="J250" s="48" t="n"/>
      <c r="K250" s="48" t="n"/>
      <c r="L250" s="48" t="n"/>
      <c r="M250" s="1" t="n"/>
      <c r="W250" s="48" t="n"/>
      <c r="X250" s="48" t="n"/>
      <c r="Y250" s="48" t="n"/>
      <c r="Z250" s="48" t="n"/>
      <c r="AA250" s="48" t="n"/>
      <c r="AB250" s="48" t="n"/>
      <c r="AC250" s="48" t="n"/>
    </row>
    <row r="251" ht="13" customHeight="1" s="68">
      <c r="E251" s="48" t="n"/>
      <c r="F251" s="48" t="n"/>
      <c r="G251" s="49" t="n"/>
      <c r="J251" s="48" t="n"/>
      <c r="K251" s="48" t="n"/>
      <c r="L251" s="48" t="n"/>
      <c r="M251" s="1" t="n"/>
      <c r="W251" s="48" t="n"/>
      <c r="X251" s="48" t="n"/>
      <c r="Y251" s="48" t="n"/>
      <c r="Z251" s="48" t="n"/>
      <c r="AA251" s="48" t="n"/>
      <c r="AB251" s="48" t="n"/>
      <c r="AC251" s="48" t="n"/>
    </row>
    <row r="252" ht="13" customHeight="1" s="68">
      <c r="E252" s="48" t="n"/>
      <c r="F252" s="48" t="n"/>
      <c r="G252" s="49" t="n"/>
      <c r="J252" s="48" t="n"/>
      <c r="K252" s="48" t="n"/>
      <c r="L252" s="48" t="n"/>
      <c r="M252" s="1" t="n"/>
      <c r="W252" s="48" t="n"/>
      <c r="X252" s="48" t="n"/>
      <c r="Y252" s="48" t="n"/>
      <c r="Z252" s="48" t="n"/>
      <c r="AA252" s="48" t="n"/>
      <c r="AB252" s="48" t="n"/>
      <c r="AC252" s="48" t="n"/>
    </row>
    <row r="253" ht="13" customHeight="1" s="68">
      <c r="E253" s="48" t="n"/>
      <c r="F253" s="48" t="n"/>
      <c r="G253" s="49" t="n"/>
      <c r="J253" s="48" t="n"/>
      <c r="K253" s="48" t="n"/>
      <c r="L253" s="48" t="n"/>
      <c r="M253" s="1" t="n"/>
      <c r="W253" s="48" t="n"/>
      <c r="X253" s="48" t="n"/>
      <c r="Y253" s="48" t="n"/>
      <c r="Z253" s="48" t="n"/>
      <c r="AA253" s="48" t="n"/>
      <c r="AB253" s="48" t="n"/>
      <c r="AC253" s="48" t="n"/>
    </row>
    <row r="254" ht="13" customHeight="1" s="68">
      <c r="E254" s="48" t="n"/>
      <c r="F254" s="48" t="n"/>
      <c r="G254" s="49" t="n"/>
      <c r="J254" s="48" t="n"/>
      <c r="K254" s="48" t="n"/>
      <c r="L254" s="48" t="n"/>
      <c r="M254" s="1" t="n"/>
      <c r="W254" s="48" t="n"/>
      <c r="X254" s="48" t="n"/>
      <c r="Y254" s="48" t="n"/>
      <c r="Z254" s="48" t="n"/>
      <c r="AA254" s="48" t="n"/>
      <c r="AB254" s="48" t="n"/>
      <c r="AC254" s="48" t="n"/>
    </row>
    <row r="255" ht="13" customHeight="1" s="68">
      <c r="E255" s="48" t="n"/>
      <c r="F255" s="48" t="n"/>
      <c r="G255" s="49" t="n"/>
      <c r="J255" s="48" t="n"/>
      <c r="K255" s="48" t="n"/>
      <c r="L255" s="48" t="n"/>
      <c r="M255" s="1" t="n"/>
      <c r="W255" s="48" t="n"/>
      <c r="X255" s="48" t="n"/>
      <c r="Y255" s="48" t="n"/>
      <c r="Z255" s="48" t="n"/>
      <c r="AA255" s="48" t="n"/>
      <c r="AB255" s="48" t="n"/>
      <c r="AC255" s="48" t="n"/>
    </row>
    <row r="256" ht="13" customHeight="1" s="68">
      <c r="E256" s="48" t="n"/>
      <c r="F256" s="48" t="n"/>
      <c r="G256" s="49" t="n"/>
      <c r="J256" s="48" t="n"/>
      <c r="K256" s="48" t="n"/>
      <c r="L256" s="48" t="n"/>
      <c r="M256" s="1" t="n"/>
      <c r="W256" s="48" t="n"/>
      <c r="X256" s="48" t="n"/>
      <c r="Y256" s="48" t="n"/>
      <c r="Z256" s="48" t="n"/>
      <c r="AA256" s="48" t="n"/>
      <c r="AB256" s="48" t="n"/>
      <c r="AC256" s="48" t="n"/>
    </row>
    <row r="257" ht="13" customHeight="1" s="68">
      <c r="E257" s="48" t="n"/>
      <c r="F257" s="48" t="n"/>
      <c r="G257" s="49" t="n"/>
      <c r="J257" s="48" t="n"/>
      <c r="K257" s="48" t="n"/>
      <c r="L257" s="48" t="n"/>
      <c r="M257" s="1" t="n"/>
      <c r="W257" s="48" t="n"/>
      <c r="X257" s="48" t="n"/>
      <c r="Y257" s="48" t="n"/>
      <c r="Z257" s="48" t="n"/>
      <c r="AA257" s="48" t="n"/>
      <c r="AB257" s="48" t="n"/>
      <c r="AC257" s="48" t="n"/>
    </row>
    <row r="258" ht="13" customHeight="1" s="68">
      <c r="E258" s="48" t="n"/>
      <c r="F258" s="48" t="n"/>
      <c r="G258" s="49" t="n"/>
      <c r="J258" s="48" t="n"/>
      <c r="K258" s="48" t="n"/>
      <c r="L258" s="48" t="n"/>
      <c r="M258" s="1" t="n"/>
      <c r="W258" s="48" t="n"/>
      <c r="X258" s="48" t="n"/>
      <c r="Y258" s="48" t="n"/>
      <c r="Z258" s="48" t="n"/>
      <c r="AA258" s="48" t="n"/>
      <c r="AB258" s="48" t="n"/>
      <c r="AC258" s="48" t="n"/>
    </row>
    <row r="259" ht="13" customHeight="1" s="68">
      <c r="E259" s="48" t="n"/>
      <c r="F259" s="48" t="n"/>
      <c r="G259" s="49" t="n"/>
      <c r="J259" s="48" t="n"/>
      <c r="K259" s="48" t="n"/>
      <c r="L259" s="48" t="n"/>
      <c r="M259" s="1" t="n"/>
      <c r="W259" s="48" t="n"/>
      <c r="X259" s="48" t="n"/>
      <c r="Y259" s="48" t="n"/>
      <c r="Z259" s="48" t="n"/>
      <c r="AA259" s="48" t="n"/>
      <c r="AB259" s="48" t="n"/>
      <c r="AC259" s="48" t="n"/>
    </row>
    <row r="260" ht="13" customHeight="1" s="68">
      <c r="E260" s="48" t="n"/>
      <c r="F260" s="48" t="n"/>
      <c r="G260" s="49" t="n"/>
      <c r="J260" s="48" t="n"/>
      <c r="K260" s="48" t="n"/>
      <c r="L260" s="48" t="n"/>
      <c r="M260" s="1" t="n"/>
      <c r="W260" s="48" t="n"/>
      <c r="X260" s="48" t="n"/>
      <c r="Y260" s="48" t="n"/>
      <c r="Z260" s="48" t="n"/>
      <c r="AA260" s="48" t="n"/>
      <c r="AB260" s="48" t="n"/>
      <c r="AC260" s="48" t="n"/>
    </row>
    <row r="261" ht="13" customHeight="1" s="68">
      <c r="E261" s="48" t="n"/>
      <c r="F261" s="48" t="n"/>
      <c r="G261" s="49" t="n"/>
      <c r="J261" s="48" t="n"/>
      <c r="K261" s="48" t="n"/>
      <c r="L261" s="48" t="n"/>
      <c r="M261" s="1" t="n"/>
      <c r="W261" s="48" t="n"/>
      <c r="X261" s="48" t="n"/>
      <c r="Y261" s="48" t="n"/>
      <c r="Z261" s="48" t="n"/>
      <c r="AA261" s="48" t="n"/>
      <c r="AB261" s="48" t="n"/>
      <c r="AC261" s="48" t="n"/>
    </row>
    <row r="262" ht="13" customHeight="1" s="68">
      <c r="E262" s="48" t="n"/>
      <c r="F262" s="48" t="n"/>
      <c r="G262" s="49" t="n"/>
      <c r="J262" s="48" t="n"/>
      <c r="K262" s="48" t="n"/>
      <c r="L262" s="48" t="n"/>
      <c r="M262" s="1" t="n"/>
      <c r="W262" s="48" t="n"/>
      <c r="X262" s="48" t="n"/>
      <c r="Y262" s="48" t="n"/>
      <c r="Z262" s="48" t="n"/>
      <c r="AA262" s="48" t="n"/>
      <c r="AB262" s="48" t="n"/>
      <c r="AC262" s="48" t="n"/>
    </row>
    <row r="263" ht="13" customHeight="1" s="68">
      <c r="E263" s="48" t="n"/>
      <c r="F263" s="48" t="n"/>
      <c r="G263" s="49" t="n"/>
      <c r="J263" s="48" t="n"/>
      <c r="K263" s="48" t="n"/>
      <c r="L263" s="48" t="n"/>
      <c r="M263" s="1" t="n"/>
      <c r="W263" s="48" t="n"/>
      <c r="X263" s="48" t="n"/>
      <c r="Y263" s="48" t="n"/>
      <c r="Z263" s="48" t="n"/>
      <c r="AA263" s="48" t="n"/>
      <c r="AB263" s="48" t="n"/>
      <c r="AC263" s="48" t="n"/>
    </row>
    <row r="264" ht="13" customHeight="1" s="68">
      <c r="E264" s="48" t="n"/>
      <c r="F264" s="48" t="n"/>
      <c r="G264" s="49" t="n"/>
      <c r="J264" s="48" t="n"/>
      <c r="K264" s="48" t="n"/>
      <c r="L264" s="48" t="n"/>
      <c r="M264" s="1" t="n"/>
      <c r="W264" s="48" t="n"/>
      <c r="X264" s="48" t="n"/>
      <c r="Y264" s="48" t="n"/>
      <c r="Z264" s="48" t="n"/>
      <c r="AA264" s="48" t="n"/>
      <c r="AB264" s="48" t="n"/>
      <c r="AC264" s="48" t="n"/>
    </row>
    <row r="265" ht="13" customHeight="1" s="68">
      <c r="E265" s="48" t="n"/>
      <c r="F265" s="48" t="n"/>
      <c r="G265" s="49" t="n"/>
      <c r="J265" s="48" t="n"/>
      <c r="K265" s="48" t="n"/>
      <c r="L265" s="48" t="n"/>
      <c r="M265" s="1" t="n"/>
      <c r="W265" s="48" t="n"/>
      <c r="X265" s="48" t="n"/>
      <c r="Y265" s="48" t="n"/>
      <c r="Z265" s="48" t="n"/>
      <c r="AA265" s="48" t="n"/>
      <c r="AB265" s="48" t="n"/>
      <c r="AC265" s="48" t="n"/>
    </row>
    <row r="266" ht="13" customHeight="1" s="68">
      <c r="E266" s="48" t="n"/>
      <c r="F266" s="48" t="n"/>
      <c r="G266" s="49" t="n"/>
      <c r="J266" s="48" t="n"/>
      <c r="K266" s="48" t="n"/>
      <c r="L266" s="48" t="n"/>
      <c r="M266" s="1" t="n"/>
      <c r="W266" s="48" t="n"/>
      <c r="X266" s="48" t="n"/>
      <c r="Y266" s="48" t="n"/>
      <c r="Z266" s="48" t="n"/>
      <c r="AA266" s="48" t="n"/>
      <c r="AB266" s="48" t="n"/>
      <c r="AC266" s="48" t="n"/>
    </row>
    <row r="267" ht="13" customHeight="1" s="68">
      <c r="E267" s="48" t="n"/>
      <c r="F267" s="48" t="n"/>
      <c r="G267" s="49" t="n"/>
      <c r="J267" s="48" t="n"/>
      <c r="K267" s="48" t="n"/>
      <c r="L267" s="48" t="n"/>
      <c r="M267" s="1" t="n"/>
      <c r="W267" s="48" t="n"/>
      <c r="X267" s="48" t="n"/>
      <c r="Y267" s="48" t="n"/>
      <c r="Z267" s="48" t="n"/>
      <c r="AA267" s="48" t="n"/>
      <c r="AB267" s="48" t="n"/>
      <c r="AC267" s="48" t="n"/>
    </row>
    <row r="268" ht="13" customHeight="1" s="68">
      <c r="E268" s="48" t="n"/>
      <c r="F268" s="48" t="n"/>
      <c r="G268" s="49" t="n"/>
      <c r="J268" s="48" t="n"/>
      <c r="K268" s="48" t="n"/>
      <c r="L268" s="48" t="n"/>
      <c r="M268" s="1" t="n"/>
      <c r="W268" s="48" t="n"/>
      <c r="X268" s="48" t="n"/>
      <c r="Y268" s="48" t="n"/>
      <c r="Z268" s="48" t="n"/>
      <c r="AA268" s="48" t="n"/>
      <c r="AB268" s="48" t="n"/>
      <c r="AC268" s="48" t="n"/>
    </row>
    <row r="269" ht="13" customHeight="1" s="68">
      <c r="E269" s="48" t="n"/>
      <c r="F269" s="48" t="n"/>
      <c r="G269" s="49" t="n"/>
      <c r="J269" s="48" t="n"/>
      <c r="K269" s="48" t="n"/>
      <c r="L269" s="48" t="n"/>
      <c r="M269" s="1" t="n"/>
      <c r="W269" s="48" t="n"/>
      <c r="X269" s="48" t="n"/>
      <c r="Y269" s="48" t="n"/>
      <c r="Z269" s="48" t="n"/>
      <c r="AA269" s="48" t="n"/>
      <c r="AB269" s="48" t="n"/>
      <c r="AC269" s="48" t="n"/>
    </row>
    <row r="270" ht="13" customHeight="1" s="68">
      <c r="E270" s="48" t="n"/>
      <c r="F270" s="48" t="n"/>
      <c r="G270" s="49" t="n"/>
      <c r="J270" s="48" t="n"/>
      <c r="K270" s="48" t="n"/>
      <c r="L270" s="48" t="n"/>
      <c r="M270" s="1" t="n"/>
      <c r="W270" s="48" t="n"/>
      <c r="X270" s="48" t="n"/>
      <c r="Y270" s="48" t="n"/>
      <c r="Z270" s="48" t="n"/>
      <c r="AA270" s="48" t="n"/>
      <c r="AB270" s="48" t="n"/>
      <c r="AC270" s="48" t="n"/>
    </row>
    <row r="271" ht="13" customHeight="1" s="68">
      <c r="E271" s="48" t="n"/>
      <c r="F271" s="48" t="n"/>
      <c r="G271" s="49" t="n"/>
      <c r="J271" s="48" t="n"/>
      <c r="K271" s="48" t="n"/>
      <c r="L271" s="48" t="n"/>
      <c r="M271" s="1" t="n"/>
      <c r="W271" s="48" t="n"/>
      <c r="X271" s="48" t="n"/>
      <c r="Y271" s="48" t="n"/>
      <c r="Z271" s="48" t="n"/>
      <c r="AA271" s="48" t="n"/>
      <c r="AB271" s="48" t="n"/>
      <c r="AC271" s="48" t="n"/>
    </row>
    <row r="272" ht="13" customHeight="1" s="68">
      <c r="E272" s="48" t="n"/>
      <c r="F272" s="48" t="n"/>
      <c r="G272" s="49" t="n"/>
      <c r="J272" s="48" t="n"/>
      <c r="K272" s="48" t="n"/>
      <c r="L272" s="48" t="n"/>
      <c r="M272" s="1" t="n"/>
      <c r="W272" s="48" t="n"/>
      <c r="X272" s="48" t="n"/>
      <c r="Y272" s="48" t="n"/>
      <c r="Z272" s="48" t="n"/>
      <c r="AA272" s="48" t="n"/>
      <c r="AB272" s="48" t="n"/>
      <c r="AC272" s="48" t="n"/>
    </row>
    <row r="273" ht="13" customHeight="1" s="68">
      <c r="E273" s="48" t="n"/>
      <c r="F273" s="48" t="n"/>
      <c r="G273" s="49" t="n"/>
      <c r="J273" s="48" t="n"/>
      <c r="K273" s="48" t="n"/>
      <c r="L273" s="48" t="n"/>
      <c r="M273" s="1" t="n"/>
      <c r="W273" s="48" t="n"/>
      <c r="X273" s="48" t="n"/>
      <c r="Y273" s="48" t="n"/>
      <c r="Z273" s="48" t="n"/>
      <c r="AA273" s="48" t="n"/>
      <c r="AB273" s="48" t="n"/>
      <c r="AC273" s="48" t="n"/>
    </row>
    <row r="274" ht="13" customHeight="1" s="68">
      <c r="E274" s="48" t="n"/>
      <c r="F274" s="48" t="n"/>
      <c r="G274" s="49" t="n"/>
      <c r="J274" s="48" t="n"/>
      <c r="K274" s="48" t="n"/>
      <c r="L274" s="48" t="n"/>
      <c r="M274" s="1" t="n"/>
      <c r="W274" s="48" t="n"/>
      <c r="X274" s="48" t="n"/>
      <c r="Y274" s="48" t="n"/>
      <c r="Z274" s="48" t="n"/>
      <c r="AA274" s="48" t="n"/>
      <c r="AB274" s="48" t="n"/>
      <c r="AC274" s="48" t="n"/>
    </row>
    <row r="275" ht="13" customHeight="1" s="68">
      <c r="E275" s="48" t="n"/>
      <c r="F275" s="48" t="n"/>
      <c r="G275" s="49" t="n"/>
      <c r="J275" s="48" t="n"/>
      <c r="K275" s="48" t="n"/>
      <c r="L275" s="48" t="n"/>
      <c r="M275" s="1" t="n"/>
      <c r="W275" s="48" t="n"/>
      <c r="X275" s="48" t="n"/>
      <c r="Y275" s="48" t="n"/>
      <c r="Z275" s="48" t="n"/>
      <c r="AA275" s="48" t="n"/>
      <c r="AB275" s="48" t="n"/>
      <c r="AC275" s="48" t="n"/>
    </row>
    <row r="276" ht="13" customHeight="1" s="68">
      <c r="E276" s="48" t="n"/>
      <c r="F276" s="48" t="n"/>
      <c r="G276" s="49" t="n"/>
      <c r="J276" s="48" t="n"/>
      <c r="K276" s="48" t="n"/>
      <c r="L276" s="48" t="n"/>
      <c r="M276" s="1" t="n"/>
      <c r="W276" s="48" t="n"/>
      <c r="X276" s="48" t="n"/>
      <c r="Y276" s="48" t="n"/>
      <c r="Z276" s="48" t="n"/>
      <c r="AA276" s="48" t="n"/>
      <c r="AB276" s="48" t="n"/>
      <c r="AC276" s="48" t="n"/>
    </row>
    <row r="277" ht="13" customHeight="1" s="68">
      <c r="E277" s="48" t="n"/>
      <c r="F277" s="48" t="n"/>
      <c r="G277" s="49" t="n"/>
      <c r="J277" s="48" t="n"/>
      <c r="K277" s="48" t="n"/>
      <c r="L277" s="48" t="n"/>
      <c r="M277" s="1" t="n"/>
      <c r="W277" s="48" t="n"/>
      <c r="X277" s="48" t="n"/>
      <c r="Y277" s="48" t="n"/>
      <c r="Z277" s="48" t="n"/>
      <c r="AA277" s="48" t="n"/>
      <c r="AB277" s="48" t="n"/>
      <c r="AC277" s="48" t="n"/>
    </row>
    <row r="278" ht="13" customHeight="1" s="68">
      <c r="E278" s="48" t="n"/>
      <c r="F278" s="48" t="n"/>
      <c r="G278" s="49" t="n"/>
      <c r="J278" s="48" t="n"/>
      <c r="K278" s="48" t="n"/>
      <c r="L278" s="48" t="n"/>
      <c r="M278" s="1" t="n"/>
      <c r="W278" s="48" t="n"/>
      <c r="X278" s="48" t="n"/>
      <c r="Y278" s="48" t="n"/>
      <c r="Z278" s="48" t="n"/>
      <c r="AA278" s="48" t="n"/>
      <c r="AB278" s="48" t="n"/>
      <c r="AC278" s="48" t="n"/>
    </row>
    <row r="279" ht="13" customHeight="1" s="68">
      <c r="E279" s="48" t="n"/>
      <c r="F279" s="48" t="n"/>
      <c r="G279" s="49" t="n"/>
      <c r="J279" s="48" t="n"/>
      <c r="K279" s="48" t="n"/>
      <c r="L279" s="48" t="n"/>
      <c r="M279" s="1" t="n"/>
      <c r="W279" s="48" t="n"/>
      <c r="X279" s="48" t="n"/>
      <c r="Y279" s="48" t="n"/>
      <c r="Z279" s="48" t="n"/>
      <c r="AA279" s="48" t="n"/>
      <c r="AB279" s="48" t="n"/>
      <c r="AC279" s="48" t="n"/>
    </row>
    <row r="280" ht="13" customHeight="1" s="68">
      <c r="E280" s="48" t="n"/>
      <c r="F280" s="48" t="n"/>
      <c r="G280" s="49" t="n"/>
      <c r="J280" s="48" t="n"/>
      <c r="K280" s="48" t="n"/>
      <c r="L280" s="48" t="n"/>
      <c r="M280" s="1" t="n"/>
      <c r="W280" s="48" t="n"/>
      <c r="X280" s="48" t="n"/>
      <c r="Y280" s="48" t="n"/>
      <c r="Z280" s="48" t="n"/>
      <c r="AA280" s="48" t="n"/>
      <c r="AB280" s="48" t="n"/>
      <c r="AC280" s="48" t="n"/>
    </row>
    <row r="281" ht="13" customHeight="1" s="68">
      <c r="E281" s="48" t="n"/>
      <c r="F281" s="48" t="n"/>
      <c r="G281" s="49" t="n"/>
      <c r="J281" s="48" t="n"/>
      <c r="K281" s="48" t="n"/>
      <c r="L281" s="48" t="n"/>
      <c r="M281" s="1" t="n"/>
      <c r="W281" s="48" t="n"/>
      <c r="X281" s="48" t="n"/>
      <c r="Y281" s="48" t="n"/>
      <c r="Z281" s="48" t="n"/>
      <c r="AA281" s="48" t="n"/>
      <c r="AB281" s="48" t="n"/>
      <c r="AC281" s="48" t="n"/>
    </row>
    <row r="282" ht="13" customHeight="1" s="68">
      <c r="E282" s="48" t="n"/>
      <c r="F282" s="48" t="n"/>
      <c r="G282" s="49" t="n"/>
      <c r="J282" s="48" t="n"/>
      <c r="K282" s="48" t="n"/>
      <c r="L282" s="48" t="n"/>
      <c r="M282" s="1" t="n"/>
      <c r="W282" s="48" t="n"/>
      <c r="X282" s="48" t="n"/>
      <c r="Y282" s="48" t="n"/>
      <c r="Z282" s="48" t="n"/>
      <c r="AA282" s="48" t="n"/>
      <c r="AB282" s="48" t="n"/>
      <c r="AC282" s="48" t="n"/>
    </row>
    <row r="283" ht="13" customHeight="1" s="68">
      <c r="E283" s="48" t="n"/>
      <c r="F283" s="48" t="n"/>
      <c r="G283" s="49" t="n"/>
      <c r="J283" s="48" t="n"/>
      <c r="K283" s="48" t="n"/>
      <c r="L283" s="48" t="n"/>
      <c r="M283" s="1" t="n"/>
      <c r="W283" s="48" t="n"/>
      <c r="X283" s="48" t="n"/>
      <c r="Y283" s="48" t="n"/>
      <c r="Z283" s="48" t="n"/>
      <c r="AA283" s="48" t="n"/>
      <c r="AB283" s="48" t="n"/>
      <c r="AC283" s="48" t="n"/>
    </row>
    <row r="284" ht="13" customHeight="1" s="68">
      <c r="E284" s="48" t="n"/>
      <c r="F284" s="48" t="n"/>
      <c r="G284" s="49" t="n"/>
      <c r="J284" s="48" t="n"/>
      <c r="K284" s="48" t="n"/>
      <c r="L284" s="48" t="n"/>
      <c r="M284" s="1" t="n"/>
      <c r="W284" s="48" t="n"/>
      <c r="X284" s="48" t="n"/>
      <c r="Y284" s="48" t="n"/>
      <c r="Z284" s="48" t="n"/>
      <c r="AA284" s="48" t="n"/>
      <c r="AB284" s="48" t="n"/>
      <c r="AC284" s="48" t="n"/>
    </row>
    <row r="285" ht="13" customHeight="1" s="68">
      <c r="E285" s="48" t="n"/>
      <c r="F285" s="48" t="n"/>
      <c r="G285" s="49" t="n"/>
      <c r="J285" s="48" t="n"/>
      <c r="K285" s="48" t="n"/>
      <c r="L285" s="48" t="n"/>
      <c r="M285" s="1" t="n"/>
      <c r="W285" s="48" t="n"/>
      <c r="X285" s="48" t="n"/>
      <c r="Y285" s="48" t="n"/>
      <c r="Z285" s="48" t="n"/>
      <c r="AA285" s="48" t="n"/>
      <c r="AB285" s="48" t="n"/>
      <c r="AC285" s="48" t="n"/>
    </row>
    <row r="286" ht="13" customHeight="1" s="68">
      <c r="E286" s="48" t="n"/>
      <c r="F286" s="48" t="n"/>
      <c r="G286" s="49" t="n"/>
      <c r="J286" s="48" t="n"/>
      <c r="K286" s="48" t="n"/>
      <c r="L286" s="48" t="n"/>
      <c r="M286" s="1" t="n"/>
      <c r="W286" s="48" t="n"/>
      <c r="X286" s="48" t="n"/>
      <c r="Y286" s="48" t="n"/>
      <c r="Z286" s="48" t="n"/>
      <c r="AA286" s="48" t="n"/>
      <c r="AB286" s="48" t="n"/>
      <c r="AC286" s="48" t="n"/>
    </row>
    <row r="287" ht="13" customHeight="1" s="68">
      <c r="E287" s="48" t="n"/>
      <c r="F287" s="48" t="n"/>
      <c r="G287" s="49" t="n"/>
      <c r="J287" s="48" t="n"/>
      <c r="K287" s="48" t="n"/>
      <c r="L287" s="48" t="n"/>
      <c r="M287" s="1" t="n"/>
      <c r="W287" s="48" t="n"/>
      <c r="X287" s="48" t="n"/>
      <c r="Y287" s="48" t="n"/>
      <c r="Z287" s="48" t="n"/>
      <c r="AA287" s="48" t="n"/>
      <c r="AB287" s="48" t="n"/>
      <c r="AC287" s="48" t="n"/>
    </row>
    <row r="288" ht="13" customHeight="1" s="68">
      <c r="E288" s="48" t="n"/>
      <c r="F288" s="48" t="n"/>
      <c r="G288" s="49" t="n"/>
      <c r="J288" s="48" t="n"/>
      <c r="K288" s="48" t="n"/>
      <c r="L288" s="48" t="n"/>
      <c r="M288" s="1" t="n"/>
      <c r="W288" s="48" t="n"/>
      <c r="X288" s="48" t="n"/>
      <c r="Y288" s="48" t="n"/>
      <c r="Z288" s="48" t="n"/>
      <c r="AA288" s="48" t="n"/>
      <c r="AB288" s="48" t="n"/>
      <c r="AC288" s="48" t="n"/>
    </row>
    <row r="289" ht="13" customHeight="1" s="68">
      <c r="E289" s="48" t="n"/>
      <c r="F289" s="48" t="n"/>
      <c r="G289" s="49" t="n"/>
      <c r="J289" s="48" t="n"/>
      <c r="K289" s="48" t="n"/>
      <c r="L289" s="48" t="n"/>
      <c r="M289" s="1" t="n"/>
      <c r="W289" s="48" t="n"/>
      <c r="X289" s="48" t="n"/>
      <c r="Y289" s="48" t="n"/>
      <c r="Z289" s="48" t="n"/>
      <c r="AA289" s="48" t="n"/>
      <c r="AB289" s="48" t="n"/>
      <c r="AC289" s="48" t="n"/>
    </row>
    <row r="290" ht="13" customHeight="1" s="68">
      <c r="E290" s="48" t="n"/>
      <c r="F290" s="48" t="n"/>
      <c r="G290" s="49" t="n"/>
      <c r="J290" s="48" t="n"/>
      <c r="K290" s="48" t="n"/>
      <c r="L290" s="48" t="n"/>
      <c r="M290" s="1" t="n"/>
      <c r="W290" s="48" t="n"/>
      <c r="X290" s="48" t="n"/>
      <c r="Y290" s="48" t="n"/>
      <c r="Z290" s="48" t="n"/>
      <c r="AA290" s="48" t="n"/>
      <c r="AB290" s="48" t="n"/>
      <c r="AC290" s="48" t="n"/>
    </row>
    <row r="291" ht="13" customHeight="1" s="68">
      <c r="E291" s="48" t="n"/>
      <c r="F291" s="48" t="n"/>
      <c r="G291" s="49" t="n"/>
      <c r="J291" s="48" t="n"/>
      <c r="K291" s="48" t="n"/>
      <c r="L291" s="48" t="n"/>
      <c r="M291" s="1" t="n"/>
      <c r="W291" s="48" t="n"/>
      <c r="X291" s="48" t="n"/>
      <c r="Y291" s="48" t="n"/>
      <c r="Z291" s="48" t="n"/>
      <c r="AA291" s="48" t="n"/>
      <c r="AB291" s="48" t="n"/>
      <c r="AC291" s="48" t="n"/>
    </row>
    <row r="292" ht="13" customHeight="1" s="68">
      <c r="E292" s="48" t="n"/>
      <c r="F292" s="48" t="n"/>
      <c r="G292" s="49" t="n"/>
      <c r="J292" s="48" t="n"/>
      <c r="K292" s="48" t="n"/>
      <c r="L292" s="48" t="n"/>
      <c r="M292" s="1" t="n"/>
      <c r="W292" s="48" t="n"/>
      <c r="X292" s="48" t="n"/>
      <c r="Y292" s="48" t="n"/>
      <c r="Z292" s="48" t="n"/>
      <c r="AA292" s="48" t="n"/>
      <c r="AB292" s="48" t="n"/>
      <c r="AC292" s="48" t="n"/>
    </row>
    <row r="293" ht="13" customHeight="1" s="68">
      <c r="E293" s="48" t="n"/>
      <c r="F293" s="48" t="n"/>
      <c r="G293" s="49" t="n"/>
      <c r="J293" s="48" t="n"/>
      <c r="K293" s="48" t="n"/>
      <c r="L293" s="48" t="n"/>
      <c r="M293" s="1" t="n"/>
      <c r="W293" s="48" t="n"/>
      <c r="X293" s="48" t="n"/>
      <c r="Y293" s="48" t="n"/>
      <c r="Z293" s="48" t="n"/>
      <c r="AA293" s="48" t="n"/>
      <c r="AB293" s="48" t="n"/>
      <c r="AC293" s="48" t="n"/>
    </row>
    <row r="294" ht="13" customHeight="1" s="68">
      <c r="E294" s="48" t="n"/>
      <c r="F294" s="48" t="n"/>
      <c r="G294" s="49" t="n"/>
      <c r="J294" s="48" t="n"/>
      <c r="K294" s="48" t="n"/>
      <c r="L294" s="48" t="n"/>
      <c r="M294" s="1" t="n"/>
      <c r="W294" s="48" t="n"/>
      <c r="X294" s="48" t="n"/>
      <c r="Y294" s="48" t="n"/>
      <c r="Z294" s="48" t="n"/>
      <c r="AA294" s="48" t="n"/>
      <c r="AB294" s="48" t="n"/>
      <c r="AC294" s="48" t="n"/>
    </row>
    <row r="295" ht="13" customHeight="1" s="68">
      <c r="E295" s="48" t="n"/>
      <c r="F295" s="48" t="n"/>
      <c r="G295" s="49" t="n"/>
      <c r="J295" s="48" t="n"/>
      <c r="K295" s="48" t="n"/>
      <c r="L295" s="48" t="n"/>
      <c r="M295" s="1" t="n"/>
      <c r="W295" s="48" t="n"/>
      <c r="X295" s="48" t="n"/>
      <c r="Y295" s="48" t="n"/>
      <c r="Z295" s="48" t="n"/>
      <c r="AA295" s="48" t="n"/>
      <c r="AB295" s="48" t="n"/>
      <c r="AC295" s="48" t="n"/>
    </row>
    <row r="296" ht="13" customHeight="1" s="68">
      <c r="E296" s="48" t="n"/>
      <c r="F296" s="48" t="n"/>
      <c r="G296" s="49" t="n"/>
      <c r="J296" s="48" t="n"/>
      <c r="K296" s="48" t="n"/>
      <c r="L296" s="48" t="n"/>
      <c r="M296" s="1" t="n"/>
      <c r="W296" s="48" t="n"/>
      <c r="X296" s="48" t="n"/>
      <c r="Y296" s="48" t="n"/>
      <c r="Z296" s="48" t="n"/>
      <c r="AA296" s="48" t="n"/>
      <c r="AB296" s="48" t="n"/>
      <c r="AC296" s="48" t="n"/>
    </row>
    <row r="297" ht="13" customHeight="1" s="68">
      <c r="E297" s="48" t="n"/>
      <c r="F297" s="48" t="n"/>
      <c r="G297" s="49" t="n"/>
      <c r="J297" s="48" t="n"/>
      <c r="K297" s="48" t="n"/>
      <c r="L297" s="48" t="n"/>
      <c r="M297" s="1" t="n"/>
      <c r="W297" s="48" t="n"/>
      <c r="X297" s="48" t="n"/>
      <c r="Y297" s="48" t="n"/>
      <c r="Z297" s="48" t="n"/>
      <c r="AA297" s="48" t="n"/>
      <c r="AB297" s="48" t="n"/>
      <c r="AC297" s="48" t="n"/>
    </row>
    <row r="298" ht="13" customHeight="1" s="68">
      <c r="E298" s="48" t="n"/>
      <c r="F298" s="48" t="n"/>
      <c r="G298" s="49" t="n"/>
      <c r="J298" s="48" t="n"/>
      <c r="K298" s="48" t="n"/>
      <c r="L298" s="48" t="n"/>
      <c r="M298" s="1" t="n"/>
      <c r="W298" s="48" t="n"/>
      <c r="X298" s="48" t="n"/>
      <c r="Y298" s="48" t="n"/>
      <c r="Z298" s="48" t="n"/>
      <c r="AA298" s="48" t="n"/>
      <c r="AB298" s="48" t="n"/>
      <c r="AC298" s="48" t="n"/>
    </row>
    <row r="299" ht="13" customHeight="1" s="68">
      <c r="E299" s="48" t="n"/>
      <c r="F299" s="48" t="n"/>
      <c r="G299" s="49" t="n"/>
      <c r="J299" s="48" t="n"/>
      <c r="K299" s="48" t="n"/>
      <c r="L299" s="48" t="n"/>
      <c r="M299" s="1" t="n"/>
      <c r="W299" s="48" t="n"/>
      <c r="X299" s="48" t="n"/>
      <c r="Y299" s="48" t="n"/>
      <c r="Z299" s="48" t="n"/>
      <c r="AA299" s="48" t="n"/>
      <c r="AB299" s="48" t="n"/>
      <c r="AC299" s="48" t="n"/>
    </row>
    <row r="300" ht="13" customHeight="1" s="68">
      <c r="E300" s="48" t="n"/>
      <c r="F300" s="48" t="n"/>
      <c r="G300" s="49" t="n"/>
      <c r="J300" s="48" t="n"/>
      <c r="K300" s="48" t="n"/>
      <c r="L300" s="48" t="n"/>
      <c r="M300" s="1" t="n"/>
      <c r="W300" s="48" t="n"/>
      <c r="X300" s="48" t="n"/>
      <c r="Y300" s="48" t="n"/>
      <c r="Z300" s="48" t="n"/>
      <c r="AA300" s="48" t="n"/>
      <c r="AB300" s="48" t="n"/>
      <c r="AC300" s="48" t="n"/>
    </row>
    <row r="301" ht="13" customHeight="1" s="68">
      <c r="E301" s="48" t="n"/>
      <c r="F301" s="48" t="n"/>
      <c r="G301" s="49" t="n"/>
      <c r="J301" s="48" t="n"/>
      <c r="K301" s="48" t="n"/>
      <c r="L301" s="48" t="n"/>
      <c r="M301" s="1" t="n"/>
      <c r="W301" s="48" t="n"/>
      <c r="X301" s="48" t="n"/>
      <c r="Y301" s="48" t="n"/>
      <c r="Z301" s="48" t="n"/>
      <c r="AA301" s="48" t="n"/>
      <c r="AB301" s="48" t="n"/>
      <c r="AC301" s="48" t="n"/>
    </row>
    <row r="302" ht="13" customHeight="1" s="68">
      <c r="E302" s="48" t="n"/>
      <c r="F302" s="48" t="n"/>
      <c r="G302" s="49" t="n"/>
      <c r="J302" s="48" t="n"/>
      <c r="K302" s="48" t="n"/>
      <c r="L302" s="48" t="n"/>
      <c r="M302" s="1" t="n"/>
      <c r="W302" s="48" t="n"/>
      <c r="X302" s="48" t="n"/>
      <c r="Y302" s="48" t="n"/>
      <c r="Z302" s="48" t="n"/>
      <c r="AA302" s="48" t="n"/>
      <c r="AB302" s="48" t="n"/>
      <c r="AC302" s="48" t="n"/>
    </row>
    <row r="303" ht="13" customHeight="1" s="68">
      <c r="E303" s="48" t="n"/>
      <c r="F303" s="48" t="n"/>
      <c r="G303" s="49" t="n"/>
      <c r="J303" s="48" t="n"/>
      <c r="K303" s="48" t="n"/>
      <c r="L303" s="48" t="n"/>
      <c r="M303" s="1" t="n"/>
      <c r="W303" s="48" t="n"/>
      <c r="X303" s="48" t="n"/>
      <c r="Y303" s="48" t="n"/>
      <c r="Z303" s="48" t="n"/>
      <c r="AA303" s="48" t="n"/>
      <c r="AB303" s="48" t="n"/>
      <c r="AC303" s="48" t="n"/>
    </row>
    <row r="304" ht="13" customHeight="1" s="68">
      <c r="E304" s="48" t="n"/>
      <c r="F304" s="48" t="n"/>
      <c r="G304" s="49" t="n"/>
      <c r="J304" s="48" t="n"/>
      <c r="K304" s="48" t="n"/>
      <c r="L304" s="48" t="n"/>
      <c r="M304" s="1" t="n"/>
      <c r="W304" s="48" t="n"/>
      <c r="X304" s="48" t="n"/>
      <c r="Y304" s="48" t="n"/>
      <c r="Z304" s="48" t="n"/>
      <c r="AA304" s="48" t="n"/>
      <c r="AB304" s="48" t="n"/>
      <c r="AC304" s="48" t="n"/>
    </row>
    <row r="305" ht="13" customHeight="1" s="68">
      <c r="E305" s="48" t="n"/>
      <c r="F305" s="48" t="n"/>
      <c r="G305" s="49" t="n"/>
      <c r="J305" s="48" t="n"/>
      <c r="K305" s="48" t="n"/>
      <c r="L305" s="48" t="n"/>
      <c r="M305" s="1" t="n"/>
      <c r="W305" s="48" t="n"/>
      <c r="X305" s="48" t="n"/>
      <c r="Y305" s="48" t="n"/>
      <c r="Z305" s="48" t="n"/>
      <c r="AA305" s="48" t="n"/>
      <c r="AB305" s="48" t="n"/>
      <c r="AC305" s="48" t="n"/>
    </row>
    <row r="306" ht="13" customHeight="1" s="68">
      <c r="E306" s="48" t="n"/>
      <c r="F306" s="48" t="n"/>
      <c r="G306" s="49" t="n"/>
      <c r="J306" s="48" t="n"/>
      <c r="K306" s="48" t="n"/>
      <c r="L306" s="48" t="n"/>
      <c r="M306" s="1" t="n"/>
      <c r="W306" s="48" t="n"/>
      <c r="X306" s="48" t="n"/>
      <c r="Y306" s="48" t="n"/>
      <c r="Z306" s="48" t="n"/>
      <c r="AA306" s="48" t="n"/>
      <c r="AB306" s="48" t="n"/>
      <c r="AC306" s="48" t="n"/>
    </row>
    <row r="307" ht="13" customHeight="1" s="68">
      <c r="E307" s="48" t="n"/>
      <c r="F307" s="48" t="n"/>
      <c r="G307" s="49" t="n"/>
      <c r="J307" s="48" t="n"/>
      <c r="K307" s="48" t="n"/>
      <c r="L307" s="48" t="n"/>
      <c r="M307" s="1" t="n"/>
      <c r="W307" s="48" t="n"/>
      <c r="X307" s="48" t="n"/>
      <c r="Y307" s="48" t="n"/>
      <c r="Z307" s="48" t="n"/>
      <c r="AA307" s="48" t="n"/>
      <c r="AB307" s="48" t="n"/>
      <c r="AC307" s="48" t="n"/>
    </row>
    <row r="308" ht="13" customHeight="1" s="68">
      <c r="E308" s="48" t="n"/>
      <c r="F308" s="48" t="n"/>
      <c r="G308" s="49" t="n"/>
      <c r="J308" s="48" t="n"/>
      <c r="K308" s="48" t="n"/>
      <c r="L308" s="48" t="n"/>
      <c r="M308" s="1" t="n"/>
      <c r="W308" s="48" t="n"/>
      <c r="X308" s="48" t="n"/>
      <c r="Y308" s="48" t="n"/>
      <c r="Z308" s="48" t="n"/>
      <c r="AA308" s="48" t="n"/>
      <c r="AB308" s="48" t="n"/>
      <c r="AC308" s="48" t="n"/>
    </row>
    <row r="309" ht="13" customHeight="1" s="68">
      <c r="E309" s="48" t="n"/>
      <c r="F309" s="48" t="n"/>
      <c r="G309" s="49" t="n"/>
      <c r="J309" s="48" t="n"/>
      <c r="K309" s="48" t="n"/>
      <c r="L309" s="48" t="n"/>
      <c r="M309" s="1" t="n"/>
      <c r="W309" s="48" t="n"/>
      <c r="X309" s="48" t="n"/>
      <c r="Y309" s="48" t="n"/>
      <c r="Z309" s="48" t="n"/>
      <c r="AA309" s="48" t="n"/>
      <c r="AB309" s="48" t="n"/>
      <c r="AC309" s="48" t="n"/>
    </row>
    <row r="310" ht="13" customHeight="1" s="68">
      <c r="E310" s="48" t="n"/>
      <c r="F310" s="48" t="n"/>
      <c r="G310" s="49" t="n"/>
      <c r="J310" s="48" t="n"/>
      <c r="K310" s="48" t="n"/>
      <c r="L310" s="48" t="n"/>
      <c r="M310" s="1" t="n"/>
      <c r="W310" s="48" t="n"/>
      <c r="X310" s="48" t="n"/>
      <c r="Y310" s="48" t="n"/>
      <c r="Z310" s="48" t="n"/>
      <c r="AA310" s="48" t="n"/>
      <c r="AB310" s="48" t="n"/>
      <c r="AC310" s="48" t="n"/>
    </row>
    <row r="311" ht="13" customHeight="1" s="68">
      <c r="E311" s="48" t="n"/>
      <c r="F311" s="48" t="n"/>
      <c r="G311" s="49" t="n"/>
      <c r="J311" s="48" t="n"/>
      <c r="K311" s="48" t="n"/>
      <c r="L311" s="48" t="n"/>
      <c r="M311" s="1" t="n"/>
      <c r="W311" s="48" t="n"/>
      <c r="X311" s="48" t="n"/>
      <c r="Y311" s="48" t="n"/>
      <c r="Z311" s="48" t="n"/>
      <c r="AA311" s="48" t="n"/>
      <c r="AB311" s="48" t="n"/>
      <c r="AC311" s="48" t="n"/>
    </row>
    <row r="312" ht="13" customHeight="1" s="68">
      <c r="E312" s="48" t="n"/>
      <c r="F312" s="48" t="n"/>
      <c r="G312" s="49" t="n"/>
      <c r="J312" s="48" t="n"/>
      <c r="K312" s="48" t="n"/>
      <c r="L312" s="48" t="n"/>
      <c r="M312" s="1" t="n"/>
      <c r="W312" s="48" t="n"/>
      <c r="X312" s="48" t="n"/>
      <c r="Y312" s="48" t="n"/>
      <c r="Z312" s="48" t="n"/>
      <c r="AA312" s="48" t="n"/>
      <c r="AB312" s="48" t="n"/>
      <c r="AC312" s="48" t="n"/>
    </row>
    <row r="313" ht="13" customHeight="1" s="68">
      <c r="E313" s="48" t="n"/>
      <c r="F313" s="48" t="n"/>
      <c r="G313" s="49" t="n"/>
      <c r="J313" s="48" t="n"/>
      <c r="K313" s="48" t="n"/>
      <c r="L313" s="48" t="n"/>
      <c r="M313" s="1" t="n"/>
      <c r="W313" s="48" t="n"/>
      <c r="X313" s="48" t="n"/>
      <c r="Y313" s="48" t="n"/>
      <c r="Z313" s="48" t="n"/>
      <c r="AA313" s="48" t="n"/>
      <c r="AB313" s="48" t="n"/>
      <c r="AC313" s="48" t="n"/>
    </row>
    <row r="314" ht="13" customHeight="1" s="68">
      <c r="E314" s="48" t="n"/>
      <c r="F314" s="48" t="n"/>
      <c r="G314" s="49" t="n"/>
      <c r="J314" s="48" t="n"/>
      <c r="K314" s="48" t="n"/>
      <c r="L314" s="48" t="n"/>
      <c r="M314" s="1" t="n"/>
      <c r="W314" s="48" t="n"/>
      <c r="X314" s="48" t="n"/>
      <c r="Y314" s="48" t="n"/>
      <c r="Z314" s="48" t="n"/>
      <c r="AA314" s="48" t="n"/>
      <c r="AB314" s="48" t="n"/>
      <c r="AC314" s="48" t="n"/>
    </row>
    <row r="315" ht="13" customHeight="1" s="68">
      <c r="E315" s="48" t="n"/>
      <c r="F315" s="48" t="n"/>
      <c r="G315" s="49" t="n"/>
      <c r="J315" s="48" t="n"/>
      <c r="K315" s="48" t="n"/>
      <c r="L315" s="48" t="n"/>
      <c r="M315" s="1" t="n"/>
      <c r="W315" s="48" t="n"/>
      <c r="X315" s="48" t="n"/>
      <c r="Y315" s="48" t="n"/>
      <c r="Z315" s="48" t="n"/>
      <c r="AA315" s="48" t="n"/>
      <c r="AB315" s="48" t="n"/>
      <c r="AC315" s="48" t="n"/>
    </row>
    <row r="316" ht="13" customHeight="1" s="68">
      <c r="E316" s="48" t="n"/>
      <c r="F316" s="48" t="n"/>
      <c r="G316" s="49" t="n"/>
      <c r="J316" s="48" t="n"/>
      <c r="K316" s="48" t="n"/>
      <c r="L316" s="48" t="n"/>
      <c r="M316" s="1" t="n"/>
      <c r="W316" s="48" t="n"/>
      <c r="X316" s="48" t="n"/>
      <c r="Y316" s="48" t="n"/>
      <c r="Z316" s="48" t="n"/>
      <c r="AA316" s="48" t="n"/>
      <c r="AB316" s="48" t="n"/>
      <c r="AC316" s="48" t="n"/>
    </row>
    <row r="317" ht="13" customHeight="1" s="68">
      <c r="E317" s="48" t="n"/>
      <c r="F317" s="48" t="n"/>
      <c r="G317" s="49" t="n"/>
      <c r="J317" s="48" t="n"/>
      <c r="K317" s="48" t="n"/>
      <c r="L317" s="48" t="n"/>
      <c r="M317" s="1" t="n"/>
      <c r="W317" s="48" t="n"/>
      <c r="X317" s="48" t="n"/>
      <c r="Y317" s="48" t="n"/>
      <c r="Z317" s="48" t="n"/>
      <c r="AA317" s="48" t="n"/>
      <c r="AB317" s="48" t="n"/>
      <c r="AC317" s="48" t="n"/>
    </row>
    <row r="318" ht="13" customHeight="1" s="68">
      <c r="E318" s="48" t="n"/>
      <c r="F318" s="48" t="n"/>
      <c r="G318" s="49" t="n"/>
      <c r="J318" s="48" t="n"/>
      <c r="K318" s="48" t="n"/>
      <c r="L318" s="48" t="n"/>
      <c r="M318" s="1" t="n"/>
      <c r="W318" s="48" t="n"/>
      <c r="X318" s="48" t="n"/>
      <c r="Y318" s="48" t="n"/>
      <c r="Z318" s="48" t="n"/>
      <c r="AA318" s="48" t="n"/>
      <c r="AB318" s="48" t="n"/>
      <c r="AC318" s="48" t="n"/>
    </row>
    <row r="319" ht="13" customHeight="1" s="68">
      <c r="E319" s="48" t="n"/>
      <c r="F319" s="48" t="n"/>
      <c r="G319" s="49" t="n"/>
      <c r="J319" s="48" t="n"/>
      <c r="K319" s="48" t="n"/>
      <c r="L319" s="48" t="n"/>
      <c r="M319" s="1" t="n"/>
      <c r="W319" s="48" t="n"/>
      <c r="X319" s="48" t="n"/>
      <c r="Y319" s="48" t="n"/>
      <c r="Z319" s="48" t="n"/>
      <c r="AA319" s="48" t="n"/>
      <c r="AB319" s="48" t="n"/>
      <c r="AC319" s="48" t="n"/>
    </row>
    <row r="320" ht="13" customHeight="1" s="68">
      <c r="E320" s="48" t="n"/>
      <c r="F320" s="48" t="n"/>
      <c r="G320" s="49" t="n"/>
      <c r="J320" s="48" t="n"/>
      <c r="K320" s="48" t="n"/>
      <c r="L320" s="48" t="n"/>
      <c r="M320" s="1" t="n"/>
      <c r="W320" s="48" t="n"/>
      <c r="X320" s="48" t="n"/>
      <c r="Y320" s="48" t="n"/>
      <c r="Z320" s="48" t="n"/>
      <c r="AA320" s="48" t="n"/>
      <c r="AB320" s="48" t="n"/>
      <c r="AC320" s="48" t="n"/>
    </row>
    <row r="321" ht="13" customHeight="1" s="68">
      <c r="E321" s="48" t="n"/>
      <c r="F321" s="48" t="n"/>
      <c r="G321" s="49" t="n"/>
      <c r="J321" s="48" t="n"/>
      <c r="K321" s="48" t="n"/>
      <c r="L321" s="48" t="n"/>
      <c r="M321" s="1" t="n"/>
      <c r="W321" s="48" t="n"/>
      <c r="X321" s="48" t="n"/>
      <c r="Y321" s="48" t="n"/>
      <c r="Z321" s="48" t="n"/>
      <c r="AA321" s="48" t="n"/>
      <c r="AB321" s="48" t="n"/>
      <c r="AC321" s="48" t="n"/>
    </row>
    <row r="322" ht="13" customHeight="1" s="68">
      <c r="E322" s="48" t="n"/>
      <c r="F322" s="48" t="n"/>
      <c r="G322" s="49" t="n"/>
      <c r="J322" s="48" t="n"/>
      <c r="K322" s="48" t="n"/>
      <c r="L322" s="48" t="n"/>
      <c r="M322" s="1" t="n"/>
      <c r="W322" s="48" t="n"/>
      <c r="X322" s="48" t="n"/>
      <c r="Y322" s="48" t="n"/>
      <c r="Z322" s="48" t="n"/>
      <c r="AA322" s="48" t="n"/>
      <c r="AB322" s="48" t="n"/>
      <c r="AC322" s="48" t="n"/>
    </row>
    <row r="323" ht="13" customHeight="1" s="68">
      <c r="E323" s="48" t="n"/>
      <c r="F323" s="48" t="n"/>
      <c r="G323" s="49" t="n"/>
      <c r="J323" s="48" t="n"/>
      <c r="K323" s="48" t="n"/>
      <c r="L323" s="48" t="n"/>
      <c r="M323" s="1" t="n"/>
      <c r="W323" s="48" t="n"/>
      <c r="X323" s="48" t="n"/>
      <c r="Y323" s="48" t="n"/>
      <c r="Z323" s="48" t="n"/>
      <c r="AA323" s="48" t="n"/>
      <c r="AB323" s="48" t="n"/>
      <c r="AC323" s="48" t="n"/>
    </row>
    <row r="324" ht="13" customHeight="1" s="68">
      <c r="E324" s="48" t="n"/>
      <c r="F324" s="48" t="n"/>
      <c r="G324" s="49" t="n"/>
      <c r="J324" s="48" t="n"/>
      <c r="K324" s="48" t="n"/>
      <c r="L324" s="48" t="n"/>
      <c r="M324" s="1" t="n"/>
      <c r="W324" s="48" t="n"/>
      <c r="X324" s="48" t="n"/>
      <c r="Y324" s="48" t="n"/>
      <c r="Z324" s="48" t="n"/>
      <c r="AA324" s="48" t="n"/>
      <c r="AB324" s="48" t="n"/>
      <c r="AC324" s="48" t="n"/>
    </row>
    <row r="325" ht="13" customHeight="1" s="68">
      <c r="E325" s="48" t="n"/>
      <c r="F325" s="48" t="n"/>
      <c r="G325" s="49" t="n"/>
      <c r="J325" s="48" t="n"/>
      <c r="K325" s="48" t="n"/>
      <c r="L325" s="48" t="n"/>
      <c r="M325" s="1" t="n"/>
      <c r="W325" s="48" t="n"/>
      <c r="X325" s="48" t="n"/>
      <c r="Y325" s="48" t="n"/>
      <c r="Z325" s="48" t="n"/>
      <c r="AA325" s="48" t="n"/>
      <c r="AB325" s="48" t="n"/>
      <c r="AC325" s="48" t="n"/>
    </row>
    <row r="326" ht="13" customHeight="1" s="68">
      <c r="E326" s="48" t="n"/>
      <c r="F326" s="48" t="n"/>
      <c r="G326" s="49" t="n"/>
      <c r="J326" s="48" t="n"/>
      <c r="K326" s="48" t="n"/>
      <c r="L326" s="48" t="n"/>
      <c r="M326" s="1" t="n"/>
      <c r="W326" s="48" t="n"/>
      <c r="X326" s="48" t="n"/>
      <c r="Y326" s="48" t="n"/>
      <c r="Z326" s="48" t="n"/>
      <c r="AA326" s="48" t="n"/>
      <c r="AB326" s="48" t="n"/>
      <c r="AC326" s="48" t="n"/>
    </row>
    <row r="327" ht="13" customHeight="1" s="68">
      <c r="E327" s="48" t="n"/>
      <c r="F327" s="48" t="n"/>
      <c r="G327" s="49" t="n"/>
      <c r="J327" s="48" t="n"/>
      <c r="K327" s="48" t="n"/>
      <c r="L327" s="48" t="n"/>
      <c r="M327" s="1" t="n"/>
      <c r="W327" s="48" t="n"/>
      <c r="X327" s="48" t="n"/>
      <c r="Y327" s="48" t="n"/>
      <c r="Z327" s="48" t="n"/>
      <c r="AA327" s="48" t="n"/>
      <c r="AB327" s="48" t="n"/>
      <c r="AC327" s="48" t="n"/>
    </row>
    <row r="328" ht="13" customHeight="1" s="68">
      <c r="E328" s="48" t="n"/>
      <c r="F328" s="48" t="n"/>
      <c r="G328" s="49" t="n"/>
      <c r="J328" s="48" t="n"/>
      <c r="K328" s="48" t="n"/>
      <c r="L328" s="48" t="n"/>
      <c r="M328" s="1" t="n"/>
      <c r="W328" s="48" t="n"/>
      <c r="X328" s="48" t="n"/>
      <c r="Y328" s="48" t="n"/>
      <c r="Z328" s="48" t="n"/>
      <c r="AA328" s="48" t="n"/>
      <c r="AB328" s="48" t="n"/>
      <c r="AC328" s="48" t="n"/>
    </row>
    <row r="329" ht="13" customHeight="1" s="68">
      <c r="E329" s="48" t="n"/>
      <c r="F329" s="48" t="n"/>
      <c r="G329" s="49" t="n"/>
      <c r="J329" s="48" t="n"/>
      <c r="K329" s="48" t="n"/>
      <c r="L329" s="48" t="n"/>
      <c r="M329" s="1" t="n"/>
      <c r="W329" s="48" t="n"/>
      <c r="X329" s="48" t="n"/>
      <c r="Y329" s="48" t="n"/>
      <c r="Z329" s="48" t="n"/>
      <c r="AA329" s="48" t="n"/>
      <c r="AB329" s="48" t="n"/>
      <c r="AC329" s="48" t="n"/>
    </row>
    <row r="330" ht="13" customHeight="1" s="68">
      <c r="E330" s="48" t="n"/>
      <c r="F330" s="48" t="n"/>
      <c r="G330" s="49" t="n"/>
      <c r="J330" s="48" t="n"/>
      <c r="K330" s="48" t="n"/>
      <c r="L330" s="48" t="n"/>
      <c r="M330" s="1" t="n"/>
      <c r="W330" s="48" t="n"/>
      <c r="X330" s="48" t="n"/>
      <c r="Y330" s="48" t="n"/>
      <c r="Z330" s="48" t="n"/>
      <c r="AA330" s="48" t="n"/>
      <c r="AB330" s="48" t="n"/>
      <c r="AC330" s="48" t="n"/>
    </row>
    <row r="331" ht="13" customHeight="1" s="68">
      <c r="E331" s="48" t="n"/>
      <c r="F331" s="48" t="n"/>
      <c r="G331" s="49" t="n"/>
      <c r="J331" s="48" t="n"/>
      <c r="K331" s="48" t="n"/>
      <c r="L331" s="48" t="n"/>
      <c r="M331" s="1" t="n"/>
      <c r="W331" s="48" t="n"/>
      <c r="X331" s="48" t="n"/>
      <c r="Y331" s="48" t="n"/>
      <c r="Z331" s="48" t="n"/>
      <c r="AA331" s="48" t="n"/>
      <c r="AB331" s="48" t="n"/>
      <c r="AC331" s="48" t="n"/>
    </row>
    <row r="332" ht="13" customHeight="1" s="68">
      <c r="E332" s="48" t="n"/>
      <c r="F332" s="48" t="n"/>
      <c r="G332" s="49" t="n"/>
      <c r="J332" s="48" t="n"/>
      <c r="K332" s="48" t="n"/>
      <c r="L332" s="48" t="n"/>
      <c r="M332" s="1" t="n"/>
      <c r="W332" s="48" t="n"/>
      <c r="X332" s="48" t="n"/>
      <c r="Y332" s="48" t="n"/>
      <c r="Z332" s="48" t="n"/>
      <c r="AA332" s="48" t="n"/>
      <c r="AB332" s="48" t="n"/>
      <c r="AC332" s="48" t="n"/>
    </row>
    <row r="333" ht="13" customHeight="1" s="68">
      <c r="E333" s="48" t="n"/>
      <c r="F333" s="48" t="n"/>
      <c r="G333" s="49" t="n"/>
      <c r="J333" s="48" t="n"/>
      <c r="K333" s="48" t="n"/>
      <c r="L333" s="48" t="n"/>
      <c r="M333" s="1" t="n"/>
      <c r="W333" s="48" t="n"/>
      <c r="X333" s="48" t="n"/>
      <c r="Y333" s="48" t="n"/>
      <c r="Z333" s="48" t="n"/>
      <c r="AA333" s="48" t="n"/>
      <c r="AB333" s="48" t="n"/>
      <c r="AC333" s="48" t="n"/>
    </row>
    <row r="334" ht="13" customHeight="1" s="68">
      <c r="E334" s="48" t="n"/>
      <c r="F334" s="48" t="n"/>
      <c r="G334" s="49" t="n"/>
      <c r="J334" s="48" t="n"/>
      <c r="K334" s="48" t="n"/>
      <c r="L334" s="48" t="n"/>
      <c r="M334" s="1" t="n"/>
      <c r="W334" s="48" t="n"/>
      <c r="X334" s="48" t="n"/>
      <c r="Y334" s="48" t="n"/>
      <c r="Z334" s="48" t="n"/>
      <c r="AA334" s="48" t="n"/>
      <c r="AB334" s="48" t="n"/>
      <c r="AC334" s="48" t="n"/>
    </row>
    <row r="335" ht="13" customHeight="1" s="68">
      <c r="E335" s="48" t="n"/>
      <c r="F335" s="48" t="n"/>
      <c r="G335" s="49" t="n"/>
      <c r="J335" s="48" t="n"/>
      <c r="K335" s="48" t="n"/>
      <c r="L335" s="48" t="n"/>
      <c r="M335" s="1" t="n"/>
      <c r="W335" s="48" t="n"/>
      <c r="X335" s="48" t="n"/>
      <c r="Y335" s="48" t="n"/>
      <c r="Z335" s="48" t="n"/>
      <c r="AA335" s="48" t="n"/>
      <c r="AB335" s="48" t="n"/>
      <c r="AC335" s="48" t="n"/>
    </row>
    <row r="336" ht="13" customHeight="1" s="68">
      <c r="E336" s="48" t="n"/>
      <c r="F336" s="48" t="n"/>
      <c r="G336" s="49" t="n"/>
      <c r="J336" s="48" t="n"/>
      <c r="K336" s="48" t="n"/>
      <c r="L336" s="48" t="n"/>
      <c r="M336" s="1" t="n"/>
      <c r="W336" s="48" t="n"/>
      <c r="X336" s="48" t="n"/>
      <c r="Y336" s="48" t="n"/>
      <c r="Z336" s="48" t="n"/>
      <c r="AA336" s="48" t="n"/>
      <c r="AB336" s="48" t="n"/>
      <c r="AC336" s="48" t="n"/>
    </row>
    <row r="337" ht="13" customHeight="1" s="68">
      <c r="E337" s="48" t="n"/>
      <c r="F337" s="48" t="n"/>
      <c r="G337" s="49" t="n"/>
      <c r="J337" s="48" t="n"/>
      <c r="K337" s="48" t="n"/>
      <c r="L337" s="48" t="n"/>
      <c r="M337" s="1" t="n"/>
      <c r="W337" s="48" t="n"/>
      <c r="X337" s="48" t="n"/>
      <c r="Y337" s="48" t="n"/>
      <c r="Z337" s="48" t="n"/>
      <c r="AA337" s="48" t="n"/>
      <c r="AB337" s="48" t="n"/>
      <c r="AC337" s="48" t="n"/>
    </row>
    <row r="338" ht="13" customHeight="1" s="68">
      <c r="E338" s="48" t="n"/>
      <c r="F338" s="48" t="n"/>
      <c r="G338" s="49" t="n"/>
      <c r="J338" s="48" t="n"/>
      <c r="K338" s="48" t="n"/>
      <c r="L338" s="48" t="n"/>
      <c r="M338" s="1" t="n"/>
      <c r="W338" s="48" t="n"/>
      <c r="X338" s="48" t="n"/>
      <c r="Y338" s="48" t="n"/>
      <c r="Z338" s="48" t="n"/>
      <c r="AA338" s="48" t="n"/>
      <c r="AB338" s="48" t="n"/>
      <c r="AC338" s="48" t="n"/>
    </row>
    <row r="339" ht="13" customHeight="1" s="68">
      <c r="E339" s="48" t="n"/>
      <c r="F339" s="48" t="n"/>
      <c r="G339" s="49" t="n"/>
      <c r="J339" s="48" t="n"/>
      <c r="K339" s="48" t="n"/>
      <c r="L339" s="48" t="n"/>
      <c r="M339" s="1" t="n"/>
      <c r="W339" s="48" t="n"/>
      <c r="X339" s="48" t="n"/>
      <c r="Y339" s="48" t="n"/>
      <c r="Z339" s="48" t="n"/>
      <c r="AA339" s="48" t="n"/>
      <c r="AB339" s="48" t="n"/>
      <c r="AC339" s="48" t="n"/>
    </row>
    <row r="340" ht="13" customHeight="1" s="68">
      <c r="E340" s="48" t="n"/>
      <c r="F340" s="48" t="n"/>
      <c r="G340" s="49" t="n"/>
      <c r="J340" s="48" t="n"/>
      <c r="K340" s="48" t="n"/>
      <c r="L340" s="48" t="n"/>
      <c r="M340" s="1" t="n"/>
      <c r="W340" s="48" t="n"/>
      <c r="X340" s="48" t="n"/>
      <c r="Y340" s="48" t="n"/>
      <c r="Z340" s="48" t="n"/>
      <c r="AA340" s="48" t="n"/>
      <c r="AB340" s="48" t="n"/>
      <c r="AC340" s="48" t="n"/>
    </row>
    <row r="341" ht="13" customHeight="1" s="68">
      <c r="E341" s="48" t="n"/>
      <c r="F341" s="48" t="n"/>
      <c r="G341" s="49" t="n"/>
      <c r="J341" s="48" t="n"/>
      <c r="K341" s="48" t="n"/>
      <c r="L341" s="48" t="n"/>
      <c r="M341" s="1" t="n"/>
      <c r="W341" s="48" t="n"/>
      <c r="X341" s="48" t="n"/>
      <c r="Y341" s="48" t="n"/>
      <c r="Z341" s="48" t="n"/>
      <c r="AA341" s="48" t="n"/>
      <c r="AB341" s="48" t="n"/>
      <c r="AC341" s="48" t="n"/>
    </row>
    <row r="342" ht="13" customHeight="1" s="68">
      <c r="E342" s="48" t="n"/>
      <c r="F342" s="48" t="n"/>
      <c r="G342" s="49" t="n"/>
      <c r="J342" s="48" t="n"/>
      <c r="K342" s="48" t="n"/>
      <c r="L342" s="48" t="n"/>
      <c r="M342" s="1" t="n"/>
      <c r="W342" s="48" t="n"/>
      <c r="X342" s="48" t="n"/>
      <c r="Y342" s="48" t="n"/>
      <c r="Z342" s="48" t="n"/>
      <c r="AA342" s="48" t="n"/>
      <c r="AB342" s="48" t="n"/>
      <c r="AC342" s="48" t="n"/>
    </row>
    <row r="343" ht="13" customHeight="1" s="68">
      <c r="E343" s="48" t="n"/>
      <c r="F343" s="48" t="n"/>
      <c r="G343" s="49" t="n"/>
      <c r="J343" s="48" t="n"/>
      <c r="K343" s="48" t="n"/>
      <c r="L343" s="48" t="n"/>
      <c r="M343" s="1" t="n"/>
      <c r="W343" s="48" t="n"/>
      <c r="X343" s="48" t="n"/>
      <c r="Y343" s="48" t="n"/>
      <c r="Z343" s="48" t="n"/>
      <c r="AA343" s="48" t="n"/>
      <c r="AB343" s="48" t="n"/>
      <c r="AC343" s="48" t="n"/>
    </row>
    <row r="344" ht="13" customHeight="1" s="68">
      <c r="E344" s="48" t="n"/>
      <c r="F344" s="48" t="n"/>
      <c r="G344" s="49" t="n"/>
      <c r="J344" s="48" t="n"/>
      <c r="K344" s="48" t="n"/>
      <c r="L344" s="48" t="n"/>
      <c r="M344" s="1" t="n"/>
      <c r="W344" s="48" t="n"/>
      <c r="X344" s="48" t="n"/>
      <c r="Y344" s="48" t="n"/>
      <c r="Z344" s="48" t="n"/>
      <c r="AA344" s="48" t="n"/>
      <c r="AB344" s="48" t="n"/>
      <c r="AC344" s="48" t="n"/>
    </row>
    <row r="345" ht="13" customHeight="1" s="68">
      <c r="E345" s="48" t="n"/>
      <c r="F345" s="48" t="n"/>
      <c r="G345" s="49" t="n"/>
      <c r="J345" s="48" t="n"/>
      <c r="K345" s="48" t="n"/>
      <c r="L345" s="48" t="n"/>
      <c r="M345" s="1" t="n"/>
      <c r="W345" s="48" t="n"/>
      <c r="X345" s="48" t="n"/>
      <c r="Y345" s="48" t="n"/>
      <c r="Z345" s="48" t="n"/>
      <c r="AA345" s="48" t="n"/>
      <c r="AB345" s="48" t="n"/>
      <c r="AC345" s="48" t="n"/>
    </row>
    <row r="346" ht="13" customHeight="1" s="68">
      <c r="E346" s="48" t="n"/>
      <c r="F346" s="48" t="n"/>
      <c r="G346" s="49" t="n"/>
      <c r="J346" s="48" t="n"/>
      <c r="K346" s="48" t="n"/>
      <c r="L346" s="48" t="n"/>
      <c r="M346" s="1" t="n"/>
      <c r="W346" s="48" t="n"/>
      <c r="X346" s="48" t="n"/>
      <c r="Y346" s="48" t="n"/>
      <c r="Z346" s="48" t="n"/>
      <c r="AA346" s="48" t="n"/>
      <c r="AB346" s="48" t="n"/>
      <c r="AC346" s="48" t="n"/>
    </row>
    <row r="347" ht="13" customHeight="1" s="68">
      <c r="E347" s="48" t="n"/>
      <c r="F347" s="48" t="n"/>
      <c r="G347" s="49" t="n"/>
      <c r="J347" s="48" t="n"/>
      <c r="K347" s="48" t="n"/>
      <c r="L347" s="48" t="n"/>
      <c r="M347" s="1" t="n"/>
      <c r="W347" s="48" t="n"/>
      <c r="X347" s="48" t="n"/>
      <c r="Y347" s="48" t="n"/>
      <c r="Z347" s="48" t="n"/>
      <c r="AA347" s="48" t="n"/>
      <c r="AB347" s="48" t="n"/>
      <c r="AC347" s="48" t="n"/>
    </row>
    <row r="348" ht="13" customHeight="1" s="68">
      <c r="E348" s="48" t="n"/>
      <c r="F348" s="48" t="n"/>
      <c r="G348" s="49" t="n"/>
      <c r="J348" s="48" t="n"/>
      <c r="K348" s="48" t="n"/>
      <c r="L348" s="48" t="n"/>
      <c r="M348" s="1" t="n"/>
      <c r="W348" s="48" t="n"/>
      <c r="X348" s="48" t="n"/>
      <c r="Y348" s="48" t="n"/>
      <c r="Z348" s="48" t="n"/>
      <c r="AA348" s="48" t="n"/>
      <c r="AB348" s="48" t="n"/>
      <c r="AC348" s="48" t="n"/>
    </row>
    <row r="349" ht="13" customHeight="1" s="68">
      <c r="E349" s="48" t="n"/>
      <c r="F349" s="48" t="n"/>
      <c r="G349" s="49" t="n"/>
      <c r="J349" s="48" t="n"/>
      <c r="K349" s="48" t="n"/>
      <c r="L349" s="48" t="n"/>
      <c r="M349" s="1" t="n"/>
      <c r="W349" s="48" t="n"/>
      <c r="X349" s="48" t="n"/>
      <c r="Y349" s="48" t="n"/>
      <c r="Z349" s="48" t="n"/>
      <c r="AA349" s="48" t="n"/>
      <c r="AB349" s="48" t="n"/>
      <c r="AC349" s="48" t="n"/>
    </row>
    <row r="350" ht="13" customHeight="1" s="68">
      <c r="E350" s="48" t="n"/>
      <c r="F350" s="48" t="n"/>
      <c r="G350" s="49" t="n"/>
      <c r="J350" s="48" t="n"/>
      <c r="K350" s="48" t="n"/>
      <c r="L350" s="48" t="n"/>
      <c r="M350" s="1" t="n"/>
      <c r="W350" s="48" t="n"/>
      <c r="X350" s="48" t="n"/>
      <c r="Y350" s="48" t="n"/>
      <c r="Z350" s="48" t="n"/>
      <c r="AA350" s="48" t="n"/>
      <c r="AB350" s="48" t="n"/>
      <c r="AC350" s="48" t="n"/>
    </row>
    <row r="351" ht="13" customHeight="1" s="68">
      <c r="E351" s="48" t="n"/>
      <c r="F351" s="48" t="n"/>
      <c r="G351" s="49" t="n"/>
      <c r="J351" s="48" t="n"/>
      <c r="K351" s="48" t="n"/>
      <c r="L351" s="48" t="n"/>
      <c r="M351" s="1" t="n"/>
      <c r="W351" s="48" t="n"/>
      <c r="X351" s="48" t="n"/>
      <c r="Y351" s="48" t="n"/>
      <c r="Z351" s="48" t="n"/>
      <c r="AA351" s="48" t="n"/>
      <c r="AB351" s="48" t="n"/>
      <c r="AC351" s="48" t="n"/>
    </row>
    <row r="352" ht="13" customHeight="1" s="68">
      <c r="E352" s="48" t="n"/>
      <c r="F352" s="48" t="n"/>
      <c r="G352" s="49" t="n"/>
      <c r="J352" s="48" t="n"/>
      <c r="K352" s="48" t="n"/>
      <c r="L352" s="48" t="n"/>
      <c r="M352" s="1" t="n"/>
      <c r="W352" s="48" t="n"/>
      <c r="X352" s="48" t="n"/>
      <c r="Y352" s="48" t="n"/>
      <c r="Z352" s="48" t="n"/>
      <c r="AA352" s="48" t="n"/>
      <c r="AB352" s="48" t="n"/>
      <c r="AC352" s="48" t="n"/>
    </row>
    <row r="353" ht="13" customHeight="1" s="68">
      <c r="E353" s="48" t="n"/>
      <c r="F353" s="48" t="n"/>
      <c r="G353" s="49" t="n"/>
      <c r="J353" s="48" t="n"/>
      <c r="K353" s="48" t="n"/>
      <c r="L353" s="48" t="n"/>
      <c r="M353" s="1" t="n"/>
      <c r="W353" s="48" t="n"/>
      <c r="X353" s="48" t="n"/>
      <c r="Y353" s="48" t="n"/>
      <c r="Z353" s="48" t="n"/>
      <c r="AA353" s="48" t="n"/>
      <c r="AB353" s="48" t="n"/>
      <c r="AC353" s="48" t="n"/>
    </row>
    <row r="354" ht="13" customHeight="1" s="68">
      <c r="E354" s="48" t="n"/>
      <c r="F354" s="48" t="n"/>
      <c r="G354" s="49" t="n"/>
      <c r="J354" s="48" t="n"/>
      <c r="K354" s="48" t="n"/>
      <c r="L354" s="48" t="n"/>
      <c r="M354" s="1" t="n"/>
      <c r="W354" s="48" t="n"/>
      <c r="X354" s="48" t="n"/>
      <c r="Y354" s="48" t="n"/>
      <c r="Z354" s="48" t="n"/>
      <c r="AA354" s="48" t="n"/>
      <c r="AB354" s="48" t="n"/>
      <c r="AC354" s="48" t="n"/>
    </row>
    <row r="355" ht="13" customHeight="1" s="68">
      <c r="E355" s="48" t="n"/>
      <c r="F355" s="48" t="n"/>
      <c r="G355" s="49" t="n"/>
      <c r="J355" s="48" t="n"/>
      <c r="K355" s="48" t="n"/>
      <c r="L355" s="48" t="n"/>
      <c r="M355" s="1" t="n"/>
      <c r="W355" s="48" t="n"/>
      <c r="X355" s="48" t="n"/>
      <c r="Y355" s="48" t="n"/>
      <c r="Z355" s="48" t="n"/>
      <c r="AA355" s="48" t="n"/>
      <c r="AB355" s="48" t="n"/>
      <c r="AC355" s="48" t="n"/>
    </row>
    <row r="356" ht="13" customHeight="1" s="68">
      <c r="E356" s="48" t="n"/>
      <c r="F356" s="48" t="n"/>
      <c r="G356" s="49" t="n"/>
      <c r="J356" s="48" t="n"/>
      <c r="K356" s="48" t="n"/>
      <c r="L356" s="48" t="n"/>
      <c r="M356" s="1" t="n"/>
      <c r="W356" s="48" t="n"/>
      <c r="X356" s="48" t="n"/>
      <c r="Y356" s="48" t="n"/>
      <c r="Z356" s="48" t="n"/>
      <c r="AA356" s="48" t="n"/>
      <c r="AB356" s="48" t="n"/>
      <c r="AC356" s="48" t="n"/>
    </row>
    <row r="357" ht="13" customHeight="1" s="68">
      <c r="E357" s="48" t="n"/>
      <c r="F357" s="48" t="n"/>
      <c r="G357" s="49" t="n"/>
      <c r="J357" s="48" t="n"/>
      <c r="K357" s="48" t="n"/>
      <c r="L357" s="48" t="n"/>
      <c r="M357" s="1" t="n"/>
      <c r="W357" s="48" t="n"/>
      <c r="X357" s="48" t="n"/>
      <c r="Y357" s="48" t="n"/>
      <c r="Z357" s="48" t="n"/>
      <c r="AA357" s="48" t="n"/>
      <c r="AB357" s="48" t="n"/>
      <c r="AC357" s="48" t="n"/>
    </row>
    <row r="358" ht="13" customHeight="1" s="68">
      <c r="E358" s="48" t="n"/>
      <c r="F358" s="48" t="n"/>
      <c r="G358" s="49" t="n"/>
      <c r="J358" s="48" t="n"/>
      <c r="K358" s="48" t="n"/>
      <c r="L358" s="48" t="n"/>
      <c r="M358" s="1" t="n"/>
      <c r="W358" s="48" t="n"/>
      <c r="X358" s="48" t="n"/>
      <c r="Y358" s="48" t="n"/>
      <c r="Z358" s="48" t="n"/>
      <c r="AA358" s="48" t="n"/>
      <c r="AB358" s="48" t="n"/>
      <c r="AC358" s="48" t="n"/>
    </row>
    <row r="359" ht="13" customHeight="1" s="68">
      <c r="E359" s="48" t="n"/>
      <c r="F359" s="48" t="n"/>
      <c r="G359" s="49" t="n"/>
      <c r="J359" s="48" t="n"/>
      <c r="K359" s="48" t="n"/>
      <c r="L359" s="48" t="n"/>
      <c r="M359" s="1" t="n"/>
      <c r="W359" s="48" t="n"/>
      <c r="X359" s="48" t="n"/>
      <c r="Y359" s="48" t="n"/>
      <c r="Z359" s="48" t="n"/>
      <c r="AA359" s="48" t="n"/>
      <c r="AB359" s="48" t="n"/>
      <c r="AC359" s="48" t="n"/>
    </row>
    <row r="360" ht="13" customHeight="1" s="68">
      <c r="E360" s="48" t="n"/>
      <c r="F360" s="48" t="n"/>
      <c r="G360" s="49" t="n"/>
      <c r="J360" s="48" t="n"/>
      <c r="K360" s="48" t="n"/>
      <c r="L360" s="48" t="n"/>
      <c r="M360" s="1" t="n"/>
      <c r="W360" s="48" t="n"/>
      <c r="X360" s="48" t="n"/>
      <c r="Y360" s="48" t="n"/>
      <c r="Z360" s="48" t="n"/>
      <c r="AA360" s="48" t="n"/>
      <c r="AB360" s="48" t="n"/>
      <c r="AC360" s="48" t="n"/>
    </row>
    <row r="361" ht="13" customHeight="1" s="68">
      <c r="E361" s="48" t="n"/>
      <c r="F361" s="48" t="n"/>
      <c r="G361" s="49" t="n"/>
      <c r="J361" s="48" t="n"/>
      <c r="K361" s="48" t="n"/>
      <c r="L361" s="48" t="n"/>
      <c r="M361" s="1" t="n"/>
      <c r="W361" s="48" t="n"/>
      <c r="X361" s="48" t="n"/>
      <c r="Y361" s="48" t="n"/>
      <c r="Z361" s="48" t="n"/>
      <c r="AA361" s="48" t="n"/>
      <c r="AB361" s="48" t="n"/>
      <c r="AC361" s="48" t="n"/>
    </row>
    <row r="362" ht="13" customHeight="1" s="68">
      <c r="E362" s="48" t="n"/>
      <c r="F362" s="48" t="n"/>
      <c r="G362" s="49" t="n"/>
      <c r="J362" s="48" t="n"/>
      <c r="K362" s="48" t="n"/>
      <c r="L362" s="48" t="n"/>
      <c r="M362" s="1" t="n"/>
      <c r="W362" s="48" t="n"/>
      <c r="X362" s="48" t="n"/>
      <c r="Y362" s="48" t="n"/>
      <c r="Z362" s="48" t="n"/>
      <c r="AA362" s="48" t="n"/>
      <c r="AB362" s="48" t="n"/>
      <c r="AC362" s="48" t="n"/>
    </row>
    <row r="363" ht="13" customHeight="1" s="68">
      <c r="E363" s="48" t="n"/>
      <c r="F363" s="48" t="n"/>
      <c r="G363" s="49" t="n"/>
      <c r="J363" s="48" t="n"/>
      <c r="K363" s="48" t="n"/>
      <c r="L363" s="48" t="n"/>
      <c r="M363" s="1" t="n"/>
      <c r="W363" s="48" t="n"/>
      <c r="X363" s="48" t="n"/>
      <c r="Y363" s="48" t="n"/>
      <c r="Z363" s="48" t="n"/>
      <c r="AA363" s="48" t="n"/>
      <c r="AB363" s="48" t="n"/>
      <c r="AC363" s="48" t="n"/>
    </row>
    <row r="364" ht="13" customHeight="1" s="68">
      <c r="E364" s="48" t="n"/>
      <c r="F364" s="48" t="n"/>
      <c r="G364" s="49" t="n"/>
      <c r="J364" s="48" t="n"/>
      <c r="K364" s="48" t="n"/>
      <c r="L364" s="48" t="n"/>
      <c r="M364" s="1" t="n"/>
      <c r="W364" s="48" t="n"/>
      <c r="X364" s="48" t="n"/>
      <c r="Y364" s="48" t="n"/>
      <c r="Z364" s="48" t="n"/>
      <c r="AA364" s="48" t="n"/>
      <c r="AB364" s="48" t="n"/>
      <c r="AC364" s="48" t="n"/>
    </row>
    <row r="365" ht="13" customHeight="1" s="68">
      <c r="E365" s="48" t="n"/>
      <c r="F365" s="48" t="n"/>
      <c r="G365" s="49" t="n"/>
      <c r="J365" s="48" t="n"/>
      <c r="K365" s="48" t="n"/>
      <c r="L365" s="48" t="n"/>
      <c r="M365" s="1" t="n"/>
      <c r="W365" s="48" t="n"/>
      <c r="X365" s="48" t="n"/>
      <c r="Y365" s="48" t="n"/>
      <c r="Z365" s="48" t="n"/>
      <c r="AA365" s="48" t="n"/>
      <c r="AB365" s="48" t="n"/>
      <c r="AC365" s="48" t="n"/>
    </row>
    <row r="366" ht="13" customHeight="1" s="68">
      <c r="E366" s="48" t="n"/>
      <c r="F366" s="48" t="n"/>
      <c r="G366" s="49" t="n"/>
      <c r="J366" s="48" t="n"/>
      <c r="K366" s="48" t="n"/>
      <c r="L366" s="48" t="n"/>
      <c r="M366" s="1" t="n"/>
      <c r="W366" s="48" t="n"/>
      <c r="X366" s="48" t="n"/>
      <c r="Y366" s="48" t="n"/>
      <c r="Z366" s="48" t="n"/>
      <c r="AA366" s="48" t="n"/>
      <c r="AB366" s="48" t="n"/>
      <c r="AC366" s="48" t="n"/>
    </row>
    <row r="367" ht="13" customHeight="1" s="68">
      <c r="E367" s="48" t="n"/>
      <c r="F367" s="48" t="n"/>
      <c r="G367" s="49" t="n"/>
      <c r="J367" s="48" t="n"/>
      <c r="K367" s="48" t="n"/>
      <c r="L367" s="48" t="n"/>
      <c r="M367" s="1" t="n"/>
      <c r="W367" s="48" t="n"/>
      <c r="X367" s="48" t="n"/>
      <c r="Y367" s="48" t="n"/>
      <c r="Z367" s="48" t="n"/>
      <c r="AA367" s="48" t="n"/>
      <c r="AB367" s="48" t="n"/>
      <c r="AC367" s="48" t="n"/>
    </row>
    <row r="368" ht="13" customHeight="1" s="68">
      <c r="E368" s="48" t="n"/>
      <c r="F368" s="48" t="n"/>
      <c r="G368" s="49" t="n"/>
      <c r="J368" s="48" t="n"/>
      <c r="K368" s="48" t="n"/>
      <c r="L368" s="48" t="n"/>
      <c r="M368" s="1" t="n"/>
      <c r="W368" s="48" t="n"/>
      <c r="X368" s="48" t="n"/>
      <c r="Y368" s="48" t="n"/>
      <c r="Z368" s="48" t="n"/>
      <c r="AA368" s="48" t="n"/>
      <c r="AB368" s="48" t="n"/>
      <c r="AC368" s="48" t="n"/>
    </row>
    <row r="369" ht="13" customHeight="1" s="68">
      <c r="E369" s="48" t="n"/>
      <c r="F369" s="48" t="n"/>
      <c r="G369" s="49" t="n"/>
      <c r="J369" s="48" t="n"/>
      <c r="K369" s="48" t="n"/>
      <c r="L369" s="48" t="n"/>
      <c r="M369" s="1" t="n"/>
      <c r="W369" s="48" t="n"/>
      <c r="X369" s="48" t="n"/>
      <c r="Y369" s="48" t="n"/>
      <c r="Z369" s="48" t="n"/>
      <c r="AA369" s="48" t="n"/>
      <c r="AB369" s="48" t="n"/>
      <c r="AC369" s="48" t="n"/>
    </row>
    <row r="370" ht="13" customHeight="1" s="68">
      <c r="E370" s="48" t="n"/>
      <c r="F370" s="48" t="n"/>
      <c r="G370" s="49" t="n"/>
      <c r="J370" s="48" t="n"/>
      <c r="K370" s="48" t="n"/>
      <c r="L370" s="48" t="n"/>
      <c r="M370" s="1" t="n"/>
      <c r="W370" s="48" t="n"/>
      <c r="X370" s="48" t="n"/>
      <c r="Y370" s="48" t="n"/>
      <c r="Z370" s="48" t="n"/>
      <c r="AA370" s="48" t="n"/>
      <c r="AB370" s="48" t="n"/>
      <c r="AC370" s="48" t="n"/>
    </row>
    <row r="371" ht="13" customHeight="1" s="68">
      <c r="E371" s="48" t="n"/>
      <c r="F371" s="48" t="n"/>
      <c r="G371" s="49" t="n"/>
      <c r="J371" s="48" t="n"/>
      <c r="K371" s="48" t="n"/>
      <c r="L371" s="48" t="n"/>
      <c r="M371" s="1" t="n"/>
      <c r="W371" s="48" t="n"/>
      <c r="X371" s="48" t="n"/>
      <c r="Y371" s="48" t="n"/>
      <c r="Z371" s="48" t="n"/>
      <c r="AA371" s="48" t="n"/>
      <c r="AB371" s="48" t="n"/>
      <c r="AC371" s="48" t="n"/>
    </row>
    <row r="372" ht="13" customHeight="1" s="68">
      <c r="E372" s="48" t="n"/>
      <c r="F372" s="48" t="n"/>
      <c r="G372" s="49" t="n"/>
      <c r="J372" s="48" t="n"/>
      <c r="K372" s="48" t="n"/>
      <c r="L372" s="48" t="n"/>
      <c r="M372" s="1" t="n"/>
      <c r="W372" s="48" t="n"/>
      <c r="X372" s="48" t="n"/>
      <c r="Y372" s="48" t="n"/>
      <c r="Z372" s="48" t="n"/>
      <c r="AA372" s="48" t="n"/>
      <c r="AB372" s="48" t="n"/>
      <c r="AC372" s="48" t="n"/>
    </row>
    <row r="373" ht="13" customHeight="1" s="68">
      <c r="E373" s="48" t="n"/>
      <c r="F373" s="48" t="n"/>
      <c r="G373" s="49" t="n"/>
      <c r="J373" s="48" t="n"/>
      <c r="K373" s="48" t="n"/>
      <c r="L373" s="48" t="n"/>
      <c r="M373" s="1" t="n"/>
      <c r="W373" s="48" t="n"/>
      <c r="X373" s="48" t="n"/>
      <c r="Y373" s="48" t="n"/>
      <c r="Z373" s="48" t="n"/>
      <c r="AA373" s="48" t="n"/>
      <c r="AB373" s="48" t="n"/>
      <c r="AC373" s="48" t="n"/>
    </row>
    <row r="374" ht="13" customHeight="1" s="68">
      <c r="E374" s="48" t="n"/>
      <c r="F374" s="48" t="n"/>
      <c r="G374" s="49" t="n"/>
      <c r="J374" s="48" t="n"/>
      <c r="K374" s="48" t="n"/>
      <c r="L374" s="48" t="n"/>
      <c r="M374" s="1" t="n"/>
      <c r="W374" s="48" t="n"/>
      <c r="X374" s="48" t="n"/>
      <c r="Y374" s="48" t="n"/>
      <c r="Z374" s="48" t="n"/>
      <c r="AA374" s="48" t="n"/>
      <c r="AB374" s="48" t="n"/>
      <c r="AC374" s="48" t="n"/>
    </row>
    <row r="375" ht="13" customHeight="1" s="68">
      <c r="E375" s="48" t="n"/>
      <c r="F375" s="48" t="n"/>
      <c r="G375" s="49" t="n"/>
      <c r="J375" s="48" t="n"/>
      <c r="K375" s="48" t="n"/>
      <c r="L375" s="48" t="n"/>
      <c r="M375" s="1" t="n"/>
      <c r="W375" s="48" t="n"/>
      <c r="X375" s="48" t="n"/>
      <c r="Y375" s="48" t="n"/>
      <c r="Z375" s="48" t="n"/>
      <c r="AA375" s="48" t="n"/>
      <c r="AB375" s="48" t="n"/>
      <c r="AC375" s="48" t="n"/>
    </row>
    <row r="376" ht="13" customHeight="1" s="68">
      <c r="E376" s="48" t="n"/>
      <c r="F376" s="48" t="n"/>
      <c r="G376" s="49" t="n"/>
      <c r="J376" s="48" t="n"/>
      <c r="K376" s="48" t="n"/>
      <c r="L376" s="48" t="n"/>
      <c r="M376" s="1" t="n"/>
      <c r="W376" s="48" t="n"/>
      <c r="X376" s="48" t="n"/>
      <c r="Y376" s="48" t="n"/>
      <c r="Z376" s="48" t="n"/>
      <c r="AA376" s="48" t="n"/>
      <c r="AB376" s="48" t="n"/>
      <c r="AC376" s="48" t="n"/>
    </row>
    <row r="377" ht="13" customHeight="1" s="68">
      <c r="E377" s="48" t="n"/>
      <c r="F377" s="48" t="n"/>
      <c r="G377" s="49" t="n"/>
      <c r="J377" s="48" t="n"/>
      <c r="K377" s="48" t="n"/>
      <c r="L377" s="48" t="n"/>
      <c r="M377" s="1" t="n"/>
      <c r="W377" s="48" t="n"/>
      <c r="X377" s="48" t="n"/>
      <c r="Y377" s="48" t="n"/>
      <c r="Z377" s="48" t="n"/>
      <c r="AA377" s="48" t="n"/>
      <c r="AB377" s="48" t="n"/>
      <c r="AC377" s="48" t="n"/>
    </row>
    <row r="378" ht="13" customHeight="1" s="68">
      <c r="E378" s="48" t="n"/>
      <c r="F378" s="48" t="n"/>
      <c r="G378" s="49" t="n"/>
      <c r="J378" s="48" t="n"/>
      <c r="K378" s="48" t="n"/>
      <c r="L378" s="48" t="n"/>
      <c r="M378" s="1" t="n"/>
      <c r="W378" s="48" t="n"/>
      <c r="X378" s="48" t="n"/>
      <c r="Y378" s="48" t="n"/>
      <c r="Z378" s="48" t="n"/>
      <c r="AA378" s="48" t="n"/>
      <c r="AB378" s="48" t="n"/>
      <c r="AC378" s="48" t="n"/>
    </row>
    <row r="379" ht="13" customHeight="1" s="68">
      <c r="E379" s="48" t="n"/>
      <c r="F379" s="48" t="n"/>
      <c r="G379" s="49" t="n"/>
      <c r="J379" s="48" t="n"/>
      <c r="K379" s="48" t="n"/>
      <c r="L379" s="48" t="n"/>
      <c r="M379" s="1" t="n"/>
      <c r="W379" s="48" t="n"/>
      <c r="X379" s="48" t="n"/>
      <c r="Y379" s="48" t="n"/>
      <c r="Z379" s="48" t="n"/>
      <c r="AA379" s="48" t="n"/>
      <c r="AB379" s="48" t="n"/>
      <c r="AC379" s="48" t="n"/>
    </row>
    <row r="380" ht="13" customHeight="1" s="68">
      <c r="E380" s="48" t="n"/>
      <c r="F380" s="48" t="n"/>
      <c r="G380" s="49" t="n"/>
      <c r="J380" s="48" t="n"/>
      <c r="K380" s="48" t="n"/>
      <c r="L380" s="48" t="n"/>
      <c r="M380" s="1" t="n"/>
      <c r="W380" s="48" t="n"/>
      <c r="X380" s="48" t="n"/>
      <c r="Y380" s="48" t="n"/>
      <c r="Z380" s="48" t="n"/>
      <c r="AA380" s="48" t="n"/>
      <c r="AB380" s="48" t="n"/>
      <c r="AC380" s="48" t="n"/>
    </row>
    <row r="381" ht="13" customHeight="1" s="68">
      <c r="E381" s="48" t="n"/>
      <c r="F381" s="48" t="n"/>
      <c r="G381" s="49" t="n"/>
      <c r="J381" s="48" t="n"/>
      <c r="K381" s="48" t="n"/>
      <c r="L381" s="48" t="n"/>
      <c r="M381" s="1" t="n"/>
      <c r="W381" s="48" t="n"/>
      <c r="X381" s="48" t="n"/>
      <c r="Y381" s="48" t="n"/>
      <c r="Z381" s="48" t="n"/>
      <c r="AA381" s="48" t="n"/>
      <c r="AB381" s="48" t="n"/>
      <c r="AC381" s="48" t="n"/>
    </row>
    <row r="382" ht="13" customHeight="1" s="68">
      <c r="E382" s="48" t="n"/>
      <c r="F382" s="48" t="n"/>
      <c r="G382" s="49" t="n"/>
      <c r="J382" s="48" t="n"/>
      <c r="K382" s="48" t="n"/>
      <c r="L382" s="48" t="n"/>
      <c r="M382" s="1" t="n"/>
      <c r="W382" s="48" t="n"/>
      <c r="X382" s="48" t="n"/>
      <c r="Y382" s="48" t="n"/>
      <c r="Z382" s="48" t="n"/>
      <c r="AA382" s="48" t="n"/>
      <c r="AB382" s="48" t="n"/>
      <c r="AC382" s="48" t="n"/>
    </row>
    <row r="383" ht="13" customHeight="1" s="68">
      <c r="E383" s="48" t="n"/>
      <c r="F383" s="48" t="n"/>
      <c r="G383" s="49" t="n"/>
      <c r="J383" s="48" t="n"/>
      <c r="K383" s="48" t="n"/>
      <c r="L383" s="48" t="n"/>
      <c r="M383" s="1" t="n"/>
      <c r="W383" s="48" t="n"/>
      <c r="X383" s="48" t="n"/>
      <c r="Y383" s="48" t="n"/>
      <c r="Z383" s="48" t="n"/>
      <c r="AA383" s="48" t="n"/>
      <c r="AB383" s="48" t="n"/>
      <c r="AC383" s="48" t="n"/>
    </row>
    <row r="384" ht="13" customHeight="1" s="68">
      <c r="E384" s="48" t="n"/>
      <c r="F384" s="48" t="n"/>
      <c r="G384" s="49" t="n"/>
      <c r="J384" s="48" t="n"/>
      <c r="K384" s="48" t="n"/>
      <c r="L384" s="48" t="n"/>
      <c r="M384" s="1" t="n"/>
      <c r="W384" s="48" t="n"/>
      <c r="X384" s="48" t="n"/>
      <c r="Y384" s="48" t="n"/>
      <c r="Z384" s="48" t="n"/>
      <c r="AA384" s="48" t="n"/>
      <c r="AB384" s="48" t="n"/>
      <c r="AC384" s="48" t="n"/>
    </row>
    <row r="385" ht="13" customHeight="1" s="68">
      <c r="E385" s="48" t="n"/>
      <c r="F385" s="48" t="n"/>
      <c r="G385" s="49" t="n"/>
      <c r="J385" s="48" t="n"/>
      <c r="K385" s="48" t="n"/>
      <c r="L385" s="48" t="n"/>
      <c r="M385" s="1" t="n"/>
      <c r="W385" s="48" t="n"/>
      <c r="X385" s="48" t="n"/>
      <c r="Y385" s="48" t="n"/>
      <c r="Z385" s="48" t="n"/>
      <c r="AA385" s="48" t="n"/>
      <c r="AB385" s="48" t="n"/>
      <c r="AC385" s="48" t="n"/>
    </row>
    <row r="386" ht="13" customHeight="1" s="68">
      <c r="E386" s="48" t="n"/>
      <c r="F386" s="48" t="n"/>
      <c r="G386" s="49" t="n"/>
      <c r="J386" s="48" t="n"/>
      <c r="K386" s="48" t="n"/>
      <c r="L386" s="48" t="n"/>
      <c r="M386" s="1" t="n"/>
      <c r="W386" s="48" t="n"/>
      <c r="X386" s="48" t="n"/>
      <c r="Y386" s="48" t="n"/>
      <c r="Z386" s="48" t="n"/>
      <c r="AA386" s="48" t="n"/>
      <c r="AB386" s="48" t="n"/>
      <c r="AC386" s="48" t="n"/>
    </row>
    <row r="387" ht="13" customHeight="1" s="68">
      <c r="E387" s="48" t="n"/>
      <c r="F387" s="48" t="n"/>
      <c r="G387" s="49" t="n"/>
      <c r="J387" s="48" t="n"/>
      <c r="K387" s="48" t="n"/>
      <c r="L387" s="48" t="n"/>
      <c r="M387" s="1" t="n"/>
      <c r="W387" s="48" t="n"/>
      <c r="X387" s="48" t="n"/>
      <c r="Y387" s="48" t="n"/>
      <c r="Z387" s="48" t="n"/>
      <c r="AA387" s="48" t="n"/>
      <c r="AB387" s="48" t="n"/>
      <c r="AC387" s="48" t="n"/>
    </row>
    <row r="388" ht="13" customHeight="1" s="68">
      <c r="E388" s="48" t="n"/>
      <c r="F388" s="48" t="n"/>
      <c r="G388" s="49" t="n"/>
      <c r="J388" s="48" t="n"/>
      <c r="K388" s="48" t="n"/>
      <c r="L388" s="48" t="n"/>
      <c r="M388" s="1" t="n"/>
      <c r="W388" s="48" t="n"/>
      <c r="X388" s="48" t="n"/>
      <c r="Y388" s="48" t="n"/>
      <c r="Z388" s="48" t="n"/>
      <c r="AA388" s="48" t="n"/>
      <c r="AB388" s="48" t="n"/>
      <c r="AC388" s="48" t="n"/>
    </row>
    <row r="389" ht="13" customHeight="1" s="68">
      <c r="E389" s="48" t="n"/>
      <c r="F389" s="48" t="n"/>
      <c r="G389" s="49" t="n"/>
      <c r="J389" s="48" t="n"/>
      <c r="K389" s="48" t="n"/>
      <c r="L389" s="48" t="n"/>
      <c r="M389" s="1" t="n"/>
      <c r="W389" s="48" t="n"/>
      <c r="X389" s="48" t="n"/>
      <c r="Y389" s="48" t="n"/>
      <c r="Z389" s="48" t="n"/>
      <c r="AA389" s="48" t="n"/>
      <c r="AB389" s="48" t="n"/>
      <c r="AC389" s="48" t="n"/>
    </row>
    <row r="390" ht="13" customHeight="1" s="68">
      <c r="E390" s="48" t="n"/>
      <c r="F390" s="48" t="n"/>
      <c r="G390" s="49" t="n"/>
      <c r="J390" s="48" t="n"/>
      <c r="K390" s="48" t="n"/>
      <c r="L390" s="48" t="n"/>
      <c r="M390" s="1" t="n"/>
      <c r="W390" s="48" t="n"/>
      <c r="X390" s="48" t="n"/>
      <c r="Y390" s="48" t="n"/>
      <c r="Z390" s="48" t="n"/>
      <c r="AA390" s="48" t="n"/>
      <c r="AB390" s="48" t="n"/>
      <c r="AC390" s="48" t="n"/>
    </row>
    <row r="391" ht="13" customHeight="1" s="68">
      <c r="E391" s="48" t="n"/>
      <c r="F391" s="48" t="n"/>
      <c r="G391" s="49" t="n"/>
      <c r="J391" s="48" t="n"/>
      <c r="K391" s="48" t="n"/>
      <c r="L391" s="48" t="n"/>
      <c r="M391" s="1" t="n"/>
      <c r="W391" s="48" t="n"/>
      <c r="X391" s="48" t="n"/>
      <c r="Y391" s="48" t="n"/>
      <c r="Z391" s="48" t="n"/>
      <c r="AA391" s="48" t="n"/>
      <c r="AB391" s="48" t="n"/>
      <c r="AC391" s="48" t="n"/>
    </row>
    <row r="392" ht="13" customHeight="1" s="68">
      <c r="E392" s="48" t="n"/>
      <c r="F392" s="48" t="n"/>
      <c r="G392" s="49" t="n"/>
      <c r="J392" s="48" t="n"/>
      <c r="K392" s="48" t="n"/>
      <c r="L392" s="48" t="n"/>
      <c r="M392" s="1" t="n"/>
      <c r="W392" s="48" t="n"/>
      <c r="X392" s="48" t="n"/>
      <c r="Y392" s="48" t="n"/>
      <c r="Z392" s="48" t="n"/>
      <c r="AA392" s="48" t="n"/>
      <c r="AB392" s="48" t="n"/>
      <c r="AC392" s="48" t="n"/>
    </row>
    <row r="393" ht="13" customHeight="1" s="68">
      <c r="E393" s="48" t="n"/>
      <c r="F393" s="48" t="n"/>
      <c r="G393" s="49" t="n"/>
      <c r="J393" s="48" t="n"/>
      <c r="K393" s="48" t="n"/>
      <c r="L393" s="48" t="n"/>
      <c r="M393" s="1" t="n"/>
      <c r="W393" s="48" t="n"/>
      <c r="X393" s="48" t="n"/>
      <c r="Y393" s="48" t="n"/>
      <c r="Z393" s="48" t="n"/>
      <c r="AA393" s="48" t="n"/>
      <c r="AB393" s="48" t="n"/>
      <c r="AC393" s="48" t="n"/>
    </row>
    <row r="394" ht="13" customHeight="1" s="68">
      <c r="E394" s="48" t="n"/>
      <c r="F394" s="48" t="n"/>
      <c r="G394" s="49" t="n"/>
      <c r="J394" s="48" t="n"/>
      <c r="K394" s="48" t="n"/>
      <c r="L394" s="48" t="n"/>
      <c r="M394" s="1" t="n"/>
      <c r="W394" s="48" t="n"/>
      <c r="X394" s="48" t="n"/>
      <c r="Y394" s="48" t="n"/>
      <c r="Z394" s="48" t="n"/>
      <c r="AA394" s="48" t="n"/>
      <c r="AB394" s="48" t="n"/>
      <c r="AC394" s="48" t="n"/>
    </row>
    <row r="395" ht="13" customHeight="1" s="68">
      <c r="E395" s="48" t="n"/>
      <c r="F395" s="48" t="n"/>
      <c r="G395" s="49" t="n"/>
      <c r="J395" s="48" t="n"/>
      <c r="K395" s="48" t="n"/>
      <c r="L395" s="48" t="n"/>
      <c r="M395" s="1" t="n"/>
      <c r="W395" s="48" t="n"/>
      <c r="X395" s="48" t="n"/>
      <c r="Y395" s="48" t="n"/>
      <c r="Z395" s="48" t="n"/>
      <c r="AA395" s="48" t="n"/>
      <c r="AB395" s="48" t="n"/>
      <c r="AC395" s="48" t="n"/>
    </row>
    <row r="396" ht="13" customHeight="1" s="68">
      <c r="E396" s="48" t="n"/>
      <c r="F396" s="48" t="n"/>
      <c r="G396" s="49" t="n"/>
      <c r="J396" s="48" t="n"/>
      <c r="K396" s="48" t="n"/>
      <c r="L396" s="48" t="n"/>
      <c r="M396" s="1" t="n"/>
      <c r="W396" s="48" t="n"/>
      <c r="X396" s="48" t="n"/>
      <c r="Y396" s="48" t="n"/>
      <c r="Z396" s="48" t="n"/>
      <c r="AA396" s="48" t="n"/>
      <c r="AB396" s="48" t="n"/>
      <c r="AC396" s="48" t="n"/>
    </row>
    <row r="397" ht="13" customHeight="1" s="68">
      <c r="E397" s="48" t="n"/>
      <c r="F397" s="48" t="n"/>
      <c r="G397" s="49" t="n"/>
      <c r="J397" s="48" t="n"/>
      <c r="K397" s="48" t="n"/>
      <c r="L397" s="48" t="n"/>
      <c r="M397" s="1" t="n"/>
      <c r="W397" s="48" t="n"/>
      <c r="X397" s="48" t="n"/>
      <c r="Y397" s="48" t="n"/>
      <c r="Z397" s="48" t="n"/>
      <c r="AA397" s="48" t="n"/>
      <c r="AB397" s="48" t="n"/>
      <c r="AC397" s="48" t="n"/>
    </row>
    <row r="398" ht="13" customHeight="1" s="68">
      <c r="E398" s="48" t="n"/>
      <c r="F398" s="48" t="n"/>
      <c r="G398" s="49" t="n"/>
      <c r="J398" s="48" t="n"/>
      <c r="K398" s="48" t="n"/>
      <c r="L398" s="48" t="n"/>
      <c r="M398" s="1" t="n"/>
      <c r="W398" s="48" t="n"/>
      <c r="X398" s="48" t="n"/>
      <c r="Y398" s="48" t="n"/>
      <c r="Z398" s="48" t="n"/>
      <c r="AA398" s="48" t="n"/>
      <c r="AB398" s="48" t="n"/>
      <c r="AC398" s="48" t="n"/>
    </row>
    <row r="399" ht="13" customHeight="1" s="68">
      <c r="E399" s="48" t="n"/>
      <c r="F399" s="48" t="n"/>
      <c r="G399" s="49" t="n"/>
      <c r="J399" s="48" t="n"/>
      <c r="K399" s="48" t="n"/>
      <c r="L399" s="48" t="n"/>
      <c r="M399" s="1" t="n"/>
      <c r="W399" s="48" t="n"/>
      <c r="X399" s="48" t="n"/>
      <c r="Y399" s="48" t="n"/>
      <c r="Z399" s="48" t="n"/>
      <c r="AA399" s="48" t="n"/>
      <c r="AB399" s="48" t="n"/>
      <c r="AC399" s="48" t="n"/>
    </row>
    <row r="400" ht="13" customHeight="1" s="68">
      <c r="E400" s="48" t="n"/>
      <c r="F400" s="48" t="n"/>
      <c r="G400" s="49" t="n"/>
      <c r="J400" s="48" t="n"/>
      <c r="K400" s="48" t="n"/>
      <c r="L400" s="48" t="n"/>
      <c r="M400" s="1" t="n"/>
      <c r="W400" s="48" t="n"/>
      <c r="X400" s="48" t="n"/>
      <c r="Y400" s="48" t="n"/>
      <c r="Z400" s="48" t="n"/>
      <c r="AA400" s="48" t="n"/>
      <c r="AB400" s="48" t="n"/>
      <c r="AC400" s="48" t="n"/>
    </row>
    <row r="401" ht="13" customHeight="1" s="68">
      <c r="E401" s="48" t="n"/>
      <c r="F401" s="48" t="n"/>
      <c r="G401" s="49" t="n"/>
      <c r="J401" s="48" t="n"/>
      <c r="K401" s="48" t="n"/>
      <c r="L401" s="48" t="n"/>
      <c r="M401" s="1" t="n"/>
      <c r="W401" s="48" t="n"/>
      <c r="X401" s="48" t="n"/>
      <c r="Y401" s="48" t="n"/>
      <c r="Z401" s="48" t="n"/>
      <c r="AA401" s="48" t="n"/>
      <c r="AB401" s="48" t="n"/>
      <c r="AC401" s="48" t="n"/>
    </row>
    <row r="402" ht="13" customHeight="1" s="68">
      <c r="E402" s="48" t="n"/>
      <c r="F402" s="48" t="n"/>
      <c r="G402" s="49" t="n"/>
      <c r="J402" s="48" t="n"/>
      <c r="K402" s="48" t="n"/>
      <c r="L402" s="48" t="n"/>
      <c r="M402" s="1" t="n"/>
      <c r="W402" s="48" t="n"/>
      <c r="X402" s="48" t="n"/>
      <c r="Y402" s="48" t="n"/>
      <c r="Z402" s="48" t="n"/>
      <c r="AA402" s="48" t="n"/>
      <c r="AB402" s="48" t="n"/>
      <c r="AC402" s="48" t="n"/>
    </row>
    <row r="403" ht="13" customHeight="1" s="68">
      <c r="E403" s="48" t="n"/>
      <c r="F403" s="48" t="n"/>
      <c r="G403" s="49" t="n"/>
      <c r="J403" s="48" t="n"/>
      <c r="K403" s="48" t="n"/>
      <c r="L403" s="48" t="n"/>
      <c r="M403" s="1" t="n"/>
      <c r="W403" s="48" t="n"/>
      <c r="X403" s="48" t="n"/>
      <c r="Y403" s="48" t="n"/>
      <c r="Z403" s="48" t="n"/>
      <c r="AA403" s="48" t="n"/>
      <c r="AB403" s="48" t="n"/>
      <c r="AC403" s="48" t="n"/>
    </row>
    <row r="404" ht="13" customHeight="1" s="68">
      <c r="E404" s="48" t="n"/>
      <c r="F404" s="48" t="n"/>
      <c r="G404" s="49" t="n"/>
      <c r="J404" s="48" t="n"/>
      <c r="K404" s="48" t="n"/>
      <c r="L404" s="48" t="n"/>
      <c r="M404" s="1" t="n"/>
      <c r="W404" s="48" t="n"/>
      <c r="X404" s="48" t="n"/>
      <c r="Y404" s="48" t="n"/>
      <c r="Z404" s="48" t="n"/>
      <c r="AA404" s="48" t="n"/>
      <c r="AB404" s="48" t="n"/>
      <c r="AC404" s="48" t="n"/>
    </row>
    <row r="405" ht="13" customHeight="1" s="68">
      <c r="E405" s="48" t="n"/>
      <c r="F405" s="48" t="n"/>
      <c r="G405" s="49" t="n"/>
      <c r="J405" s="48" t="n"/>
      <c r="K405" s="48" t="n"/>
      <c r="L405" s="48" t="n"/>
      <c r="M405" s="1" t="n"/>
      <c r="W405" s="48" t="n"/>
      <c r="X405" s="48" t="n"/>
      <c r="Y405" s="48" t="n"/>
      <c r="Z405" s="48" t="n"/>
      <c r="AA405" s="48" t="n"/>
      <c r="AB405" s="48" t="n"/>
      <c r="AC405" s="48" t="n"/>
    </row>
    <row r="406" ht="13" customHeight="1" s="68">
      <c r="E406" s="48" t="n"/>
      <c r="F406" s="48" t="n"/>
      <c r="G406" s="49" t="n"/>
      <c r="J406" s="48" t="n"/>
      <c r="K406" s="48" t="n"/>
      <c r="L406" s="48" t="n"/>
      <c r="M406" s="1" t="n"/>
      <c r="W406" s="48" t="n"/>
      <c r="X406" s="48" t="n"/>
      <c r="Y406" s="48" t="n"/>
      <c r="Z406" s="48" t="n"/>
      <c r="AA406" s="48" t="n"/>
      <c r="AB406" s="48" t="n"/>
      <c r="AC406" s="48" t="n"/>
    </row>
    <row r="407" ht="13" customHeight="1" s="68">
      <c r="E407" s="48" t="n"/>
      <c r="F407" s="48" t="n"/>
      <c r="G407" s="49" t="n"/>
      <c r="J407" s="48" t="n"/>
      <c r="K407" s="48" t="n"/>
      <c r="L407" s="48" t="n"/>
      <c r="M407" s="1" t="n"/>
      <c r="W407" s="48" t="n"/>
      <c r="X407" s="48" t="n"/>
      <c r="Y407" s="48" t="n"/>
      <c r="Z407" s="48" t="n"/>
      <c r="AA407" s="48" t="n"/>
      <c r="AB407" s="48" t="n"/>
      <c r="AC407" s="48" t="n"/>
    </row>
    <row r="408" ht="13" customHeight="1" s="68">
      <c r="E408" s="48" t="n"/>
      <c r="F408" s="48" t="n"/>
      <c r="G408" s="49" t="n"/>
      <c r="J408" s="48" t="n"/>
      <c r="K408" s="48" t="n"/>
      <c r="L408" s="48" t="n"/>
      <c r="M408" s="1" t="n"/>
      <c r="W408" s="48" t="n"/>
      <c r="X408" s="48" t="n"/>
      <c r="Y408" s="48" t="n"/>
      <c r="Z408" s="48" t="n"/>
      <c r="AA408" s="48" t="n"/>
      <c r="AB408" s="48" t="n"/>
      <c r="AC408" s="48" t="n"/>
    </row>
    <row r="409" ht="13" customHeight="1" s="68">
      <c r="E409" s="48" t="n"/>
      <c r="F409" s="48" t="n"/>
      <c r="G409" s="49" t="n"/>
      <c r="J409" s="48" t="n"/>
      <c r="K409" s="48" t="n"/>
      <c r="L409" s="48" t="n"/>
      <c r="M409" s="1" t="n"/>
      <c r="W409" s="48" t="n"/>
      <c r="X409" s="48" t="n"/>
      <c r="Y409" s="48" t="n"/>
      <c r="Z409" s="48" t="n"/>
      <c r="AA409" s="48" t="n"/>
      <c r="AB409" s="48" t="n"/>
      <c r="AC409" s="48" t="n"/>
    </row>
    <row r="410" ht="13" customHeight="1" s="68">
      <c r="E410" s="48" t="n"/>
      <c r="F410" s="48" t="n"/>
      <c r="G410" s="49" t="n"/>
      <c r="J410" s="48" t="n"/>
      <c r="K410" s="48" t="n"/>
      <c r="L410" s="48" t="n"/>
      <c r="M410" s="1" t="n"/>
      <c r="W410" s="48" t="n"/>
      <c r="X410" s="48" t="n"/>
      <c r="Y410" s="48" t="n"/>
      <c r="Z410" s="48" t="n"/>
      <c r="AA410" s="48" t="n"/>
      <c r="AB410" s="48" t="n"/>
      <c r="AC410" s="48" t="n"/>
    </row>
    <row r="411" ht="13" customHeight="1" s="68">
      <c r="E411" s="48" t="n"/>
      <c r="F411" s="48" t="n"/>
      <c r="G411" s="49" t="n"/>
      <c r="J411" s="48" t="n"/>
      <c r="K411" s="48" t="n"/>
      <c r="L411" s="48" t="n"/>
      <c r="M411" s="1" t="n"/>
      <c r="W411" s="48" t="n"/>
      <c r="X411" s="48" t="n"/>
      <c r="Y411" s="48" t="n"/>
      <c r="Z411" s="48" t="n"/>
      <c r="AA411" s="48" t="n"/>
      <c r="AB411" s="48" t="n"/>
      <c r="AC411" s="48" t="n"/>
    </row>
    <row r="412" ht="13" customHeight="1" s="68">
      <c r="E412" s="48" t="n"/>
      <c r="F412" s="48" t="n"/>
      <c r="G412" s="49" t="n"/>
      <c r="J412" s="48" t="n"/>
      <c r="K412" s="48" t="n"/>
      <c r="L412" s="48" t="n"/>
      <c r="M412" s="1" t="n"/>
      <c r="W412" s="48" t="n"/>
      <c r="X412" s="48" t="n"/>
      <c r="Y412" s="48" t="n"/>
      <c r="Z412" s="48" t="n"/>
      <c r="AA412" s="48" t="n"/>
      <c r="AB412" s="48" t="n"/>
      <c r="AC412" s="48" t="n"/>
    </row>
    <row r="413" ht="13" customHeight="1" s="68">
      <c r="E413" s="48" t="n"/>
      <c r="F413" s="48" t="n"/>
      <c r="G413" s="49" t="n"/>
      <c r="J413" s="48" t="n"/>
      <c r="K413" s="48" t="n"/>
      <c r="L413" s="48" t="n"/>
      <c r="M413" s="1" t="n"/>
      <c r="W413" s="48" t="n"/>
      <c r="X413" s="48" t="n"/>
      <c r="Y413" s="48" t="n"/>
      <c r="Z413" s="48" t="n"/>
      <c r="AA413" s="48" t="n"/>
      <c r="AB413" s="48" t="n"/>
      <c r="AC413" s="48" t="n"/>
    </row>
    <row r="414" ht="13" customHeight="1" s="68">
      <c r="E414" s="48" t="n"/>
      <c r="F414" s="48" t="n"/>
      <c r="G414" s="49" t="n"/>
      <c r="J414" s="48" t="n"/>
      <c r="K414" s="48" t="n"/>
      <c r="L414" s="48" t="n"/>
      <c r="M414" s="1" t="n"/>
      <c r="W414" s="48" t="n"/>
      <c r="X414" s="48" t="n"/>
      <c r="Y414" s="48" t="n"/>
      <c r="Z414" s="48" t="n"/>
      <c r="AA414" s="48" t="n"/>
      <c r="AB414" s="48" t="n"/>
      <c r="AC414" s="48" t="n"/>
    </row>
    <row r="415" ht="13" customHeight="1" s="68">
      <c r="E415" s="48" t="n"/>
      <c r="F415" s="48" t="n"/>
      <c r="G415" s="49" t="n"/>
      <c r="J415" s="48" t="n"/>
      <c r="K415" s="48" t="n"/>
      <c r="L415" s="48" t="n"/>
      <c r="M415" s="1" t="n"/>
      <c r="W415" s="48" t="n"/>
      <c r="X415" s="48" t="n"/>
      <c r="Y415" s="48" t="n"/>
      <c r="Z415" s="48" t="n"/>
      <c r="AA415" s="48" t="n"/>
      <c r="AB415" s="48" t="n"/>
      <c r="AC415" s="48" t="n"/>
    </row>
    <row r="416" ht="13" customHeight="1" s="68">
      <c r="E416" s="48" t="n"/>
      <c r="F416" s="48" t="n"/>
      <c r="G416" s="49" t="n"/>
      <c r="J416" s="48" t="n"/>
      <c r="K416" s="48" t="n"/>
      <c r="L416" s="48" t="n"/>
      <c r="M416" s="1" t="n"/>
      <c r="W416" s="48" t="n"/>
      <c r="X416" s="48" t="n"/>
      <c r="Y416" s="48" t="n"/>
      <c r="Z416" s="48" t="n"/>
      <c r="AA416" s="48" t="n"/>
      <c r="AB416" s="48" t="n"/>
      <c r="AC416" s="48" t="n"/>
    </row>
    <row r="417" ht="13" customHeight="1" s="68">
      <c r="E417" s="48" t="n"/>
      <c r="F417" s="48" t="n"/>
      <c r="G417" s="49" t="n"/>
      <c r="J417" s="48" t="n"/>
      <c r="K417" s="48" t="n"/>
      <c r="L417" s="48" t="n"/>
      <c r="M417" s="1" t="n"/>
      <c r="W417" s="48" t="n"/>
      <c r="X417" s="48" t="n"/>
      <c r="Y417" s="48" t="n"/>
      <c r="Z417" s="48" t="n"/>
      <c r="AA417" s="48" t="n"/>
      <c r="AB417" s="48" t="n"/>
      <c r="AC417" s="48" t="n"/>
    </row>
    <row r="418" ht="13" customHeight="1" s="68">
      <c r="E418" s="48" t="n"/>
      <c r="F418" s="48" t="n"/>
      <c r="G418" s="49" t="n"/>
      <c r="J418" s="48" t="n"/>
      <c r="K418" s="48" t="n"/>
      <c r="L418" s="48" t="n"/>
      <c r="M418" s="1" t="n"/>
      <c r="W418" s="48" t="n"/>
      <c r="X418" s="48" t="n"/>
      <c r="Y418" s="48" t="n"/>
      <c r="Z418" s="48" t="n"/>
      <c r="AA418" s="48" t="n"/>
      <c r="AB418" s="48" t="n"/>
      <c r="AC418" s="48" t="n"/>
    </row>
    <row r="419" ht="13" customHeight="1" s="68">
      <c r="E419" s="48" t="n"/>
      <c r="F419" s="48" t="n"/>
      <c r="G419" s="49" t="n"/>
      <c r="J419" s="48" t="n"/>
      <c r="K419" s="48" t="n"/>
      <c r="L419" s="48" t="n"/>
      <c r="M419" s="1" t="n"/>
      <c r="W419" s="48" t="n"/>
      <c r="X419" s="48" t="n"/>
      <c r="Y419" s="48" t="n"/>
      <c r="Z419" s="48" t="n"/>
      <c r="AA419" s="48" t="n"/>
      <c r="AB419" s="48" t="n"/>
      <c r="AC419" s="48" t="n"/>
    </row>
    <row r="420" ht="13" customHeight="1" s="68">
      <c r="E420" s="48" t="n"/>
      <c r="F420" s="48" t="n"/>
      <c r="G420" s="49" t="n"/>
      <c r="J420" s="48" t="n"/>
      <c r="K420" s="48" t="n"/>
      <c r="L420" s="48" t="n"/>
      <c r="M420" s="1" t="n"/>
      <c r="W420" s="48" t="n"/>
      <c r="X420" s="48" t="n"/>
      <c r="Y420" s="48" t="n"/>
      <c r="Z420" s="48" t="n"/>
      <c r="AA420" s="48" t="n"/>
      <c r="AB420" s="48" t="n"/>
      <c r="AC420" s="48" t="n"/>
    </row>
    <row r="421" ht="13" customHeight="1" s="68">
      <c r="E421" s="48" t="n"/>
      <c r="F421" s="48" t="n"/>
      <c r="G421" s="49" t="n"/>
      <c r="J421" s="48" t="n"/>
      <c r="K421" s="48" t="n"/>
      <c r="L421" s="48" t="n"/>
      <c r="M421" s="1" t="n"/>
      <c r="W421" s="48" t="n"/>
      <c r="X421" s="48" t="n"/>
      <c r="Y421" s="48" t="n"/>
      <c r="Z421" s="48" t="n"/>
      <c r="AA421" s="48" t="n"/>
      <c r="AB421" s="48" t="n"/>
      <c r="AC421" s="48" t="n"/>
    </row>
    <row r="422" ht="13" customHeight="1" s="68">
      <c r="E422" s="48" t="n"/>
      <c r="F422" s="48" t="n"/>
      <c r="G422" s="49" t="n"/>
      <c r="J422" s="48" t="n"/>
      <c r="K422" s="48" t="n"/>
      <c r="L422" s="48" t="n"/>
      <c r="M422" s="1" t="n"/>
      <c r="W422" s="48" t="n"/>
      <c r="X422" s="48" t="n"/>
      <c r="Y422" s="48" t="n"/>
      <c r="Z422" s="48" t="n"/>
      <c r="AA422" s="48" t="n"/>
      <c r="AB422" s="48" t="n"/>
      <c r="AC422" s="48" t="n"/>
    </row>
    <row r="423" ht="13" customHeight="1" s="68">
      <c r="E423" s="48" t="n"/>
      <c r="F423" s="48" t="n"/>
      <c r="G423" s="49" t="n"/>
      <c r="J423" s="48" t="n"/>
      <c r="K423" s="48" t="n"/>
      <c r="L423" s="48" t="n"/>
      <c r="M423" s="1" t="n"/>
      <c r="W423" s="48" t="n"/>
      <c r="X423" s="48" t="n"/>
      <c r="Y423" s="48" t="n"/>
      <c r="Z423" s="48" t="n"/>
      <c r="AA423" s="48" t="n"/>
      <c r="AB423" s="48" t="n"/>
      <c r="AC423" s="48" t="n"/>
    </row>
    <row r="424" ht="13" customHeight="1" s="68">
      <c r="E424" s="48" t="n"/>
      <c r="F424" s="48" t="n"/>
      <c r="G424" s="49" t="n"/>
      <c r="J424" s="48" t="n"/>
      <c r="K424" s="48" t="n"/>
      <c r="L424" s="48" t="n"/>
      <c r="M424" s="1" t="n"/>
      <c r="W424" s="48" t="n"/>
      <c r="X424" s="48" t="n"/>
      <c r="Y424" s="48" t="n"/>
      <c r="Z424" s="48" t="n"/>
      <c r="AA424" s="48" t="n"/>
      <c r="AB424" s="48" t="n"/>
      <c r="AC424" s="48" t="n"/>
    </row>
    <row r="425" ht="13" customHeight="1" s="68">
      <c r="E425" s="48" t="n"/>
      <c r="F425" s="48" t="n"/>
      <c r="G425" s="49" t="n"/>
      <c r="J425" s="48" t="n"/>
      <c r="K425" s="48" t="n"/>
      <c r="L425" s="48" t="n"/>
      <c r="M425" s="1" t="n"/>
      <c r="W425" s="48" t="n"/>
      <c r="X425" s="48" t="n"/>
      <c r="Y425" s="48" t="n"/>
      <c r="Z425" s="48" t="n"/>
      <c r="AA425" s="48" t="n"/>
      <c r="AB425" s="48" t="n"/>
      <c r="AC425" s="48" t="n"/>
    </row>
    <row r="426" ht="13" customHeight="1" s="68">
      <c r="E426" s="48" t="n"/>
      <c r="F426" s="48" t="n"/>
      <c r="G426" s="49" t="n"/>
      <c r="J426" s="48" t="n"/>
      <c r="K426" s="48" t="n"/>
      <c r="L426" s="48" t="n"/>
      <c r="M426" s="1" t="n"/>
      <c r="W426" s="48" t="n"/>
      <c r="X426" s="48" t="n"/>
      <c r="Y426" s="48" t="n"/>
      <c r="Z426" s="48" t="n"/>
      <c r="AA426" s="48" t="n"/>
      <c r="AB426" s="48" t="n"/>
      <c r="AC426" s="48" t="n"/>
    </row>
    <row r="427" ht="13" customHeight="1" s="68">
      <c r="E427" s="48" t="n"/>
      <c r="F427" s="48" t="n"/>
      <c r="G427" s="49" t="n"/>
      <c r="J427" s="48" t="n"/>
      <c r="K427" s="48" t="n"/>
      <c r="L427" s="48" t="n"/>
      <c r="M427" s="1" t="n"/>
      <c r="W427" s="48" t="n"/>
      <c r="X427" s="48" t="n"/>
      <c r="Y427" s="48" t="n"/>
      <c r="Z427" s="48" t="n"/>
      <c r="AA427" s="48" t="n"/>
      <c r="AB427" s="48" t="n"/>
      <c r="AC427" s="48" t="n"/>
    </row>
    <row r="428" ht="13" customHeight="1" s="68">
      <c r="E428" s="48" t="n"/>
      <c r="F428" s="48" t="n"/>
      <c r="G428" s="49" t="n"/>
      <c r="J428" s="48" t="n"/>
      <c r="K428" s="48" t="n"/>
      <c r="L428" s="48" t="n"/>
      <c r="M428" s="1" t="n"/>
      <c r="W428" s="48" t="n"/>
      <c r="X428" s="48" t="n"/>
      <c r="Y428" s="48" t="n"/>
      <c r="Z428" s="48" t="n"/>
      <c r="AA428" s="48" t="n"/>
      <c r="AB428" s="48" t="n"/>
      <c r="AC428" s="48" t="n"/>
    </row>
    <row r="429" ht="13" customHeight="1" s="68">
      <c r="E429" s="48" t="n"/>
      <c r="F429" s="48" t="n"/>
      <c r="G429" s="49" t="n"/>
      <c r="J429" s="48" t="n"/>
      <c r="K429" s="48" t="n"/>
      <c r="L429" s="48" t="n"/>
      <c r="M429" s="1" t="n"/>
      <c r="W429" s="48" t="n"/>
      <c r="X429" s="48" t="n"/>
      <c r="Y429" s="48" t="n"/>
      <c r="Z429" s="48" t="n"/>
      <c r="AA429" s="48" t="n"/>
      <c r="AB429" s="48" t="n"/>
      <c r="AC429" s="48" t="n"/>
    </row>
    <row r="430" ht="13" customHeight="1" s="68">
      <c r="E430" s="48" t="n"/>
      <c r="F430" s="48" t="n"/>
      <c r="G430" s="49" t="n"/>
      <c r="J430" s="48" t="n"/>
      <c r="K430" s="48" t="n"/>
      <c r="L430" s="48" t="n"/>
      <c r="M430" s="1" t="n"/>
      <c r="W430" s="48" t="n"/>
      <c r="X430" s="48" t="n"/>
      <c r="Y430" s="48" t="n"/>
      <c r="Z430" s="48" t="n"/>
      <c r="AA430" s="48" t="n"/>
      <c r="AB430" s="48" t="n"/>
      <c r="AC430" s="48" t="n"/>
    </row>
    <row r="431" ht="13" customHeight="1" s="68">
      <c r="E431" s="48" t="n"/>
      <c r="F431" s="48" t="n"/>
      <c r="G431" s="49" t="n"/>
      <c r="J431" s="48" t="n"/>
      <c r="K431" s="48" t="n"/>
      <c r="L431" s="48" t="n"/>
      <c r="M431" s="1" t="n"/>
      <c r="W431" s="48" t="n"/>
      <c r="X431" s="48" t="n"/>
      <c r="Y431" s="48" t="n"/>
      <c r="Z431" s="48" t="n"/>
      <c r="AA431" s="48" t="n"/>
      <c r="AB431" s="48" t="n"/>
      <c r="AC431" s="48" t="n"/>
    </row>
    <row r="432" ht="13" customHeight="1" s="68">
      <c r="E432" s="48" t="n"/>
      <c r="F432" s="48" t="n"/>
      <c r="G432" s="49" t="n"/>
      <c r="J432" s="48" t="n"/>
      <c r="K432" s="48" t="n"/>
      <c r="L432" s="48" t="n"/>
      <c r="M432" s="1" t="n"/>
      <c r="W432" s="48" t="n"/>
      <c r="X432" s="48" t="n"/>
      <c r="Y432" s="48" t="n"/>
      <c r="Z432" s="48" t="n"/>
      <c r="AA432" s="48" t="n"/>
      <c r="AB432" s="48" t="n"/>
      <c r="AC432" s="48" t="n"/>
    </row>
    <row r="433" ht="13" customHeight="1" s="68">
      <c r="E433" s="48" t="n"/>
      <c r="F433" s="48" t="n"/>
      <c r="G433" s="49" t="n"/>
      <c r="J433" s="48" t="n"/>
      <c r="K433" s="48" t="n"/>
      <c r="L433" s="48" t="n"/>
      <c r="M433" s="1" t="n"/>
      <c r="W433" s="48" t="n"/>
      <c r="X433" s="48" t="n"/>
      <c r="Y433" s="48" t="n"/>
      <c r="Z433" s="48" t="n"/>
      <c r="AA433" s="48" t="n"/>
      <c r="AB433" s="48" t="n"/>
      <c r="AC433" s="48" t="n"/>
    </row>
    <row r="434" ht="13" customHeight="1" s="68">
      <c r="E434" s="48" t="n"/>
      <c r="F434" s="48" t="n"/>
      <c r="G434" s="49" t="n"/>
      <c r="J434" s="48" t="n"/>
      <c r="K434" s="48" t="n"/>
      <c r="L434" s="48" t="n"/>
      <c r="M434" s="1" t="n"/>
      <c r="W434" s="48" t="n"/>
      <c r="X434" s="48" t="n"/>
      <c r="Y434" s="48" t="n"/>
      <c r="Z434" s="48" t="n"/>
      <c r="AA434" s="48" t="n"/>
      <c r="AB434" s="48" t="n"/>
      <c r="AC434" s="48" t="n"/>
    </row>
    <row r="435" ht="13" customHeight="1" s="68">
      <c r="E435" s="48" t="n"/>
      <c r="F435" s="48" t="n"/>
      <c r="G435" s="49" t="n"/>
      <c r="J435" s="48" t="n"/>
      <c r="K435" s="48" t="n"/>
      <c r="L435" s="48" t="n"/>
      <c r="M435" s="1" t="n"/>
      <c r="W435" s="48" t="n"/>
      <c r="X435" s="48" t="n"/>
      <c r="Y435" s="48" t="n"/>
      <c r="Z435" s="48" t="n"/>
      <c r="AA435" s="48" t="n"/>
      <c r="AB435" s="48" t="n"/>
      <c r="AC435" s="48" t="n"/>
    </row>
    <row r="436" ht="13" customHeight="1" s="68">
      <c r="E436" s="48" t="n"/>
      <c r="F436" s="48" t="n"/>
      <c r="G436" s="49" t="n"/>
      <c r="J436" s="48" t="n"/>
      <c r="K436" s="48" t="n"/>
      <c r="L436" s="48" t="n"/>
      <c r="M436" s="1" t="n"/>
      <c r="W436" s="48" t="n"/>
      <c r="X436" s="48" t="n"/>
      <c r="Y436" s="48" t="n"/>
      <c r="Z436" s="48" t="n"/>
      <c r="AA436" s="48" t="n"/>
      <c r="AB436" s="48" t="n"/>
      <c r="AC436" s="48" t="n"/>
    </row>
    <row r="437" ht="13" customHeight="1" s="68">
      <c r="E437" s="48" t="n"/>
      <c r="F437" s="48" t="n"/>
      <c r="G437" s="49" t="n"/>
      <c r="J437" s="48" t="n"/>
      <c r="K437" s="48" t="n"/>
      <c r="L437" s="48" t="n"/>
      <c r="M437" s="1" t="n"/>
      <c r="W437" s="48" t="n"/>
      <c r="X437" s="48" t="n"/>
      <c r="Y437" s="48" t="n"/>
      <c r="Z437" s="48" t="n"/>
      <c r="AA437" s="48" t="n"/>
      <c r="AB437" s="48" t="n"/>
      <c r="AC437" s="48" t="n"/>
    </row>
    <row r="438" ht="13" customHeight="1" s="68">
      <c r="E438" s="48" t="n"/>
      <c r="F438" s="48" t="n"/>
      <c r="G438" s="49" t="n"/>
      <c r="J438" s="48" t="n"/>
      <c r="K438" s="48" t="n"/>
      <c r="L438" s="48" t="n"/>
      <c r="M438" s="1" t="n"/>
      <c r="W438" s="48" t="n"/>
      <c r="X438" s="48" t="n"/>
      <c r="Y438" s="48" t="n"/>
      <c r="Z438" s="48" t="n"/>
      <c r="AA438" s="48" t="n"/>
      <c r="AB438" s="48" t="n"/>
      <c r="AC438" s="48" t="n"/>
    </row>
    <row r="439" ht="13" customHeight="1" s="68">
      <c r="E439" s="48" t="n"/>
      <c r="F439" s="48" t="n"/>
      <c r="G439" s="49" t="n"/>
      <c r="J439" s="48" t="n"/>
      <c r="K439" s="48" t="n"/>
      <c r="L439" s="48" t="n"/>
      <c r="M439" s="1" t="n"/>
      <c r="W439" s="48" t="n"/>
      <c r="X439" s="48" t="n"/>
      <c r="Y439" s="48" t="n"/>
      <c r="Z439" s="48" t="n"/>
      <c r="AA439" s="48" t="n"/>
      <c r="AB439" s="48" t="n"/>
      <c r="AC439" s="48" t="n"/>
    </row>
    <row r="440" ht="13" customHeight="1" s="68">
      <c r="E440" s="48" t="n"/>
      <c r="F440" s="48" t="n"/>
      <c r="G440" s="49" t="n"/>
      <c r="J440" s="48" t="n"/>
      <c r="K440" s="48" t="n"/>
      <c r="L440" s="48" t="n"/>
      <c r="M440" s="1" t="n"/>
      <c r="W440" s="48" t="n"/>
      <c r="X440" s="48" t="n"/>
      <c r="Y440" s="48" t="n"/>
      <c r="Z440" s="48" t="n"/>
      <c r="AA440" s="48" t="n"/>
      <c r="AB440" s="48" t="n"/>
      <c r="AC440" s="48" t="n"/>
    </row>
    <row r="441" ht="13" customHeight="1" s="68">
      <c r="E441" s="48" t="n"/>
      <c r="F441" s="48" t="n"/>
      <c r="G441" s="49" t="n"/>
      <c r="J441" s="48" t="n"/>
      <c r="K441" s="48" t="n"/>
      <c r="L441" s="48" t="n"/>
      <c r="M441" s="1" t="n"/>
      <c r="W441" s="48" t="n"/>
      <c r="X441" s="48" t="n"/>
      <c r="Y441" s="48" t="n"/>
      <c r="Z441" s="48" t="n"/>
      <c r="AA441" s="48" t="n"/>
      <c r="AB441" s="48" t="n"/>
      <c r="AC441" s="48" t="n"/>
    </row>
    <row r="442" ht="13" customHeight="1" s="68">
      <c r="E442" s="48" t="n"/>
      <c r="F442" s="48" t="n"/>
      <c r="G442" s="49" t="n"/>
      <c r="J442" s="48" t="n"/>
      <c r="K442" s="48" t="n"/>
      <c r="L442" s="48" t="n"/>
      <c r="M442" s="1" t="n"/>
      <c r="W442" s="48" t="n"/>
      <c r="X442" s="48" t="n"/>
      <c r="Y442" s="48" t="n"/>
      <c r="Z442" s="48" t="n"/>
      <c r="AA442" s="48" t="n"/>
      <c r="AB442" s="48" t="n"/>
      <c r="AC442" s="48" t="n"/>
    </row>
    <row r="443" ht="13" customHeight="1" s="68">
      <c r="E443" s="48" t="n"/>
      <c r="F443" s="48" t="n"/>
      <c r="G443" s="49" t="n"/>
      <c r="J443" s="48" t="n"/>
      <c r="K443" s="48" t="n"/>
      <c r="L443" s="48" t="n"/>
      <c r="M443" s="1" t="n"/>
      <c r="W443" s="48" t="n"/>
      <c r="X443" s="48" t="n"/>
      <c r="Y443" s="48" t="n"/>
      <c r="Z443" s="48" t="n"/>
      <c r="AA443" s="48" t="n"/>
      <c r="AB443" s="48" t="n"/>
      <c r="AC443" s="48" t="n"/>
    </row>
    <row r="444" ht="13" customHeight="1" s="68">
      <c r="E444" s="48" t="n"/>
      <c r="F444" s="48" t="n"/>
      <c r="G444" s="49" t="n"/>
      <c r="J444" s="48" t="n"/>
      <c r="K444" s="48" t="n"/>
      <c r="L444" s="48" t="n"/>
      <c r="M444" s="1" t="n"/>
      <c r="W444" s="48" t="n"/>
      <c r="X444" s="48" t="n"/>
      <c r="Y444" s="48" t="n"/>
      <c r="Z444" s="48" t="n"/>
      <c r="AA444" s="48" t="n"/>
      <c r="AB444" s="48" t="n"/>
      <c r="AC444" s="48" t="n"/>
    </row>
    <row r="445" ht="13" customHeight="1" s="68">
      <c r="E445" s="48" t="n"/>
      <c r="F445" s="48" t="n"/>
      <c r="G445" s="49" t="n"/>
      <c r="J445" s="48" t="n"/>
      <c r="K445" s="48" t="n"/>
      <c r="L445" s="48" t="n"/>
      <c r="M445" s="1" t="n"/>
      <c r="W445" s="48" t="n"/>
      <c r="X445" s="48" t="n"/>
      <c r="Y445" s="48" t="n"/>
      <c r="Z445" s="48" t="n"/>
      <c r="AA445" s="48" t="n"/>
      <c r="AB445" s="48" t="n"/>
      <c r="AC445" s="48" t="n"/>
    </row>
    <row r="446" ht="13" customHeight="1" s="68">
      <c r="E446" s="48" t="n"/>
      <c r="F446" s="48" t="n"/>
      <c r="G446" s="49" t="n"/>
      <c r="J446" s="48" t="n"/>
      <c r="K446" s="48" t="n"/>
      <c r="L446" s="48" t="n"/>
      <c r="M446" s="1" t="n"/>
      <c r="W446" s="48" t="n"/>
      <c r="X446" s="48" t="n"/>
      <c r="Y446" s="48" t="n"/>
      <c r="Z446" s="48" t="n"/>
      <c r="AA446" s="48" t="n"/>
      <c r="AB446" s="48" t="n"/>
      <c r="AC446" s="48" t="n"/>
    </row>
    <row r="447" ht="13" customHeight="1" s="68">
      <c r="E447" s="48" t="n"/>
      <c r="F447" s="48" t="n"/>
      <c r="G447" s="49" t="n"/>
      <c r="J447" s="48" t="n"/>
      <c r="K447" s="48" t="n"/>
      <c r="L447" s="48" t="n"/>
      <c r="M447" s="1" t="n"/>
      <c r="W447" s="48" t="n"/>
      <c r="X447" s="48" t="n"/>
      <c r="Y447" s="48" t="n"/>
      <c r="Z447" s="48" t="n"/>
      <c r="AA447" s="48" t="n"/>
      <c r="AB447" s="48" t="n"/>
      <c r="AC447" s="48" t="n"/>
    </row>
    <row r="448" ht="13" customHeight="1" s="68">
      <c r="E448" s="48" t="n"/>
      <c r="F448" s="48" t="n"/>
      <c r="G448" s="49" t="n"/>
      <c r="J448" s="48" t="n"/>
      <c r="K448" s="48" t="n"/>
      <c r="L448" s="48" t="n"/>
      <c r="M448" s="1" t="n"/>
      <c r="W448" s="48" t="n"/>
      <c r="X448" s="48" t="n"/>
      <c r="Y448" s="48" t="n"/>
      <c r="Z448" s="48" t="n"/>
      <c r="AA448" s="48" t="n"/>
      <c r="AB448" s="48" t="n"/>
      <c r="AC448" s="48" t="n"/>
    </row>
    <row r="449" ht="13" customHeight="1" s="68">
      <c r="E449" s="48" t="n"/>
      <c r="F449" s="48" t="n"/>
      <c r="G449" s="49" t="n"/>
      <c r="J449" s="48" t="n"/>
      <c r="K449" s="48" t="n"/>
      <c r="L449" s="48" t="n"/>
      <c r="M449" s="1" t="n"/>
      <c r="W449" s="48" t="n"/>
      <c r="X449" s="48" t="n"/>
      <c r="Y449" s="48" t="n"/>
      <c r="Z449" s="48" t="n"/>
      <c r="AA449" s="48" t="n"/>
      <c r="AB449" s="48" t="n"/>
      <c r="AC449" s="48" t="n"/>
    </row>
    <row r="450" ht="13" customHeight="1" s="68">
      <c r="E450" s="48" t="n"/>
      <c r="F450" s="48" t="n"/>
      <c r="G450" s="49" t="n"/>
      <c r="J450" s="48" t="n"/>
      <c r="K450" s="48" t="n"/>
      <c r="L450" s="48" t="n"/>
      <c r="M450" s="1" t="n"/>
      <c r="W450" s="48" t="n"/>
      <c r="X450" s="48" t="n"/>
      <c r="Y450" s="48" t="n"/>
      <c r="Z450" s="48" t="n"/>
      <c r="AA450" s="48" t="n"/>
      <c r="AB450" s="48" t="n"/>
      <c r="AC450" s="48" t="n"/>
    </row>
    <row r="451" ht="13" customHeight="1" s="68">
      <c r="E451" s="48" t="n"/>
      <c r="F451" s="48" t="n"/>
      <c r="G451" s="49" t="n"/>
      <c r="J451" s="48" t="n"/>
      <c r="K451" s="48" t="n"/>
      <c r="L451" s="48" t="n"/>
      <c r="M451" s="1" t="n"/>
      <c r="W451" s="48" t="n"/>
      <c r="X451" s="48" t="n"/>
      <c r="Y451" s="48" t="n"/>
      <c r="Z451" s="48" t="n"/>
      <c r="AA451" s="48" t="n"/>
      <c r="AB451" s="48" t="n"/>
      <c r="AC451" s="48" t="n"/>
    </row>
    <row r="452" ht="13" customHeight="1" s="68">
      <c r="E452" s="48" t="n"/>
      <c r="F452" s="48" t="n"/>
      <c r="G452" s="49" t="n"/>
      <c r="J452" s="48" t="n"/>
      <c r="K452" s="48" t="n"/>
      <c r="L452" s="48" t="n"/>
      <c r="M452" s="1" t="n"/>
      <c r="W452" s="48" t="n"/>
      <c r="X452" s="48" t="n"/>
      <c r="Y452" s="48" t="n"/>
      <c r="Z452" s="48" t="n"/>
      <c r="AA452" s="48" t="n"/>
      <c r="AB452" s="48" t="n"/>
      <c r="AC452" s="48" t="n"/>
    </row>
    <row r="453" ht="13" customHeight="1" s="68">
      <c r="E453" s="48" t="n"/>
      <c r="F453" s="48" t="n"/>
      <c r="G453" s="49" t="n"/>
      <c r="J453" s="48" t="n"/>
      <c r="K453" s="48" t="n"/>
      <c r="L453" s="48" t="n"/>
      <c r="M453" s="1" t="n"/>
      <c r="W453" s="48" t="n"/>
      <c r="X453" s="48" t="n"/>
      <c r="Y453" s="48" t="n"/>
      <c r="Z453" s="48" t="n"/>
      <c r="AA453" s="48" t="n"/>
      <c r="AB453" s="48" t="n"/>
      <c r="AC453" s="48" t="n"/>
    </row>
    <row r="454" ht="13" customHeight="1" s="68">
      <c r="E454" s="48" t="n"/>
      <c r="F454" s="48" t="n"/>
      <c r="G454" s="49" t="n"/>
      <c r="J454" s="48" t="n"/>
      <c r="K454" s="48" t="n"/>
      <c r="L454" s="48" t="n"/>
      <c r="M454" s="1" t="n"/>
      <c r="W454" s="48" t="n"/>
      <c r="X454" s="48" t="n"/>
      <c r="Y454" s="48" t="n"/>
      <c r="Z454" s="48" t="n"/>
      <c r="AA454" s="48" t="n"/>
      <c r="AB454" s="48" t="n"/>
      <c r="AC454" s="48" t="n"/>
    </row>
    <row r="455" ht="13" customHeight="1" s="68">
      <c r="E455" s="48" t="n"/>
      <c r="F455" s="48" t="n"/>
      <c r="G455" s="49" t="n"/>
      <c r="J455" s="48" t="n"/>
      <c r="K455" s="48" t="n"/>
      <c r="L455" s="48" t="n"/>
      <c r="M455" s="1" t="n"/>
      <c r="W455" s="48" t="n"/>
      <c r="X455" s="48" t="n"/>
      <c r="Y455" s="48" t="n"/>
      <c r="Z455" s="48" t="n"/>
      <c r="AA455" s="48" t="n"/>
      <c r="AB455" s="48" t="n"/>
      <c r="AC455" s="48" t="n"/>
    </row>
    <row r="456" ht="13" customHeight="1" s="68">
      <c r="E456" s="48" t="n"/>
      <c r="F456" s="48" t="n"/>
      <c r="G456" s="49" t="n"/>
      <c r="J456" s="48" t="n"/>
      <c r="K456" s="48" t="n"/>
      <c r="L456" s="48" t="n"/>
      <c r="M456" s="1" t="n"/>
      <c r="W456" s="48" t="n"/>
      <c r="X456" s="48" t="n"/>
      <c r="Y456" s="48" t="n"/>
      <c r="Z456" s="48" t="n"/>
      <c r="AA456" s="48" t="n"/>
      <c r="AB456" s="48" t="n"/>
      <c r="AC456" s="48" t="n"/>
    </row>
    <row r="457" ht="13" customHeight="1" s="68">
      <c r="E457" s="48" t="n"/>
      <c r="F457" s="48" t="n"/>
      <c r="G457" s="49" t="n"/>
      <c r="J457" s="48" t="n"/>
      <c r="K457" s="48" t="n"/>
      <c r="L457" s="48" t="n"/>
      <c r="M457" s="1" t="n"/>
      <c r="W457" s="48" t="n"/>
      <c r="X457" s="48" t="n"/>
      <c r="Y457" s="48" t="n"/>
      <c r="Z457" s="48" t="n"/>
      <c r="AA457" s="48" t="n"/>
      <c r="AB457" s="48" t="n"/>
      <c r="AC457" s="48" t="n"/>
    </row>
    <row r="458" ht="13" customHeight="1" s="68">
      <c r="E458" s="48" t="n"/>
      <c r="F458" s="48" t="n"/>
      <c r="G458" s="49" t="n"/>
      <c r="J458" s="48" t="n"/>
      <c r="K458" s="48" t="n"/>
      <c r="L458" s="48" t="n"/>
      <c r="M458" s="1" t="n"/>
      <c r="W458" s="48" t="n"/>
      <c r="X458" s="48" t="n"/>
      <c r="Y458" s="48" t="n"/>
      <c r="Z458" s="48" t="n"/>
      <c r="AA458" s="48" t="n"/>
      <c r="AB458" s="48" t="n"/>
      <c r="AC458" s="48" t="n"/>
    </row>
    <row r="459" ht="13" customHeight="1" s="68">
      <c r="E459" s="48" t="n"/>
      <c r="F459" s="48" t="n"/>
      <c r="G459" s="49" t="n"/>
      <c r="J459" s="48" t="n"/>
      <c r="K459" s="48" t="n"/>
      <c r="L459" s="48" t="n"/>
      <c r="M459" s="1" t="n"/>
      <c r="W459" s="48" t="n"/>
      <c r="X459" s="48" t="n"/>
      <c r="Y459" s="48" t="n"/>
      <c r="Z459" s="48" t="n"/>
      <c r="AA459" s="48" t="n"/>
      <c r="AB459" s="48" t="n"/>
      <c r="AC459" s="48" t="n"/>
    </row>
    <row r="460" ht="13" customHeight="1" s="68">
      <c r="E460" s="48" t="n"/>
      <c r="F460" s="48" t="n"/>
      <c r="G460" s="49" t="n"/>
      <c r="J460" s="48" t="n"/>
      <c r="K460" s="48" t="n"/>
      <c r="L460" s="48" t="n"/>
      <c r="M460" s="1" t="n"/>
      <c r="W460" s="48" t="n"/>
      <c r="X460" s="48" t="n"/>
      <c r="Y460" s="48" t="n"/>
      <c r="Z460" s="48" t="n"/>
      <c r="AA460" s="48" t="n"/>
      <c r="AB460" s="48" t="n"/>
      <c r="AC460" s="48" t="n"/>
    </row>
    <row r="461" ht="13" customHeight="1" s="68">
      <c r="E461" s="48" t="n"/>
      <c r="F461" s="48" t="n"/>
      <c r="G461" s="49" t="n"/>
      <c r="J461" s="48" t="n"/>
      <c r="K461" s="48" t="n"/>
      <c r="L461" s="48" t="n"/>
      <c r="M461" s="1" t="n"/>
      <c r="W461" s="48" t="n"/>
      <c r="X461" s="48" t="n"/>
      <c r="Y461" s="48" t="n"/>
      <c r="Z461" s="48" t="n"/>
      <c r="AA461" s="48" t="n"/>
      <c r="AB461" s="48" t="n"/>
      <c r="AC461" s="48" t="n"/>
    </row>
    <row r="462" ht="13" customHeight="1" s="68">
      <c r="E462" s="48" t="n"/>
      <c r="F462" s="48" t="n"/>
      <c r="G462" s="49" t="n"/>
      <c r="J462" s="48" t="n"/>
      <c r="K462" s="48" t="n"/>
      <c r="L462" s="48" t="n"/>
      <c r="M462" s="1" t="n"/>
      <c r="W462" s="48" t="n"/>
      <c r="X462" s="48" t="n"/>
      <c r="Y462" s="48" t="n"/>
      <c r="Z462" s="48" t="n"/>
      <c r="AA462" s="48" t="n"/>
      <c r="AB462" s="48" t="n"/>
      <c r="AC462" s="48" t="n"/>
    </row>
    <row r="463" ht="13" customHeight="1" s="68">
      <c r="E463" s="48" t="n"/>
      <c r="F463" s="48" t="n"/>
      <c r="G463" s="49" t="n"/>
      <c r="J463" s="48" t="n"/>
      <c r="K463" s="48" t="n"/>
      <c r="L463" s="48" t="n"/>
      <c r="M463" s="1" t="n"/>
      <c r="W463" s="48" t="n"/>
      <c r="X463" s="48" t="n"/>
      <c r="Y463" s="48" t="n"/>
      <c r="Z463" s="48" t="n"/>
      <c r="AA463" s="48" t="n"/>
      <c r="AB463" s="48" t="n"/>
      <c r="AC463" s="48" t="n"/>
    </row>
    <row r="464" ht="13" customHeight="1" s="68">
      <c r="E464" s="48" t="n"/>
      <c r="F464" s="48" t="n"/>
      <c r="G464" s="49" t="n"/>
      <c r="J464" s="48" t="n"/>
      <c r="K464" s="48" t="n"/>
      <c r="L464" s="48" t="n"/>
      <c r="M464" s="1" t="n"/>
      <c r="W464" s="48" t="n"/>
      <c r="X464" s="48" t="n"/>
      <c r="Y464" s="48" t="n"/>
      <c r="Z464" s="48" t="n"/>
      <c r="AA464" s="48" t="n"/>
      <c r="AB464" s="48" t="n"/>
      <c r="AC464" s="48" t="n"/>
    </row>
    <row r="465" ht="13" customHeight="1" s="68">
      <c r="E465" s="48" t="n"/>
      <c r="F465" s="48" t="n"/>
      <c r="G465" s="49" t="n"/>
      <c r="J465" s="48" t="n"/>
      <c r="K465" s="48" t="n"/>
      <c r="L465" s="48" t="n"/>
      <c r="M465" s="1" t="n"/>
      <c r="W465" s="48" t="n"/>
      <c r="X465" s="48" t="n"/>
      <c r="Y465" s="48" t="n"/>
      <c r="Z465" s="48" t="n"/>
      <c r="AA465" s="48" t="n"/>
      <c r="AB465" s="48" t="n"/>
      <c r="AC465" s="48" t="n"/>
    </row>
    <row r="466" ht="13" customHeight="1" s="68">
      <c r="E466" s="48" t="n"/>
      <c r="F466" s="48" t="n"/>
      <c r="G466" s="49" t="n"/>
      <c r="J466" s="48" t="n"/>
      <c r="K466" s="48" t="n"/>
      <c r="L466" s="48" t="n"/>
      <c r="M466" s="1" t="n"/>
      <c r="W466" s="48" t="n"/>
      <c r="X466" s="48" t="n"/>
      <c r="Y466" s="48" t="n"/>
      <c r="Z466" s="48" t="n"/>
      <c r="AA466" s="48" t="n"/>
      <c r="AB466" s="48" t="n"/>
      <c r="AC466" s="48" t="n"/>
    </row>
    <row r="467" ht="13" customHeight="1" s="68">
      <c r="E467" s="48" t="n"/>
      <c r="F467" s="48" t="n"/>
      <c r="G467" s="49" t="n"/>
      <c r="J467" s="48" t="n"/>
      <c r="K467" s="48" t="n"/>
      <c r="L467" s="48" t="n"/>
      <c r="M467" s="1" t="n"/>
      <c r="W467" s="48" t="n"/>
      <c r="X467" s="48" t="n"/>
      <c r="Y467" s="48" t="n"/>
      <c r="Z467" s="48" t="n"/>
      <c r="AA467" s="48" t="n"/>
      <c r="AB467" s="48" t="n"/>
      <c r="AC467" s="48" t="n"/>
    </row>
    <row r="468" ht="13" customHeight="1" s="68">
      <c r="E468" s="48" t="n"/>
      <c r="F468" s="48" t="n"/>
      <c r="G468" s="49" t="n"/>
      <c r="J468" s="48" t="n"/>
      <c r="K468" s="48" t="n"/>
      <c r="L468" s="48" t="n"/>
      <c r="M468" s="1" t="n"/>
      <c r="W468" s="48" t="n"/>
      <c r="X468" s="48" t="n"/>
      <c r="Y468" s="48" t="n"/>
      <c r="Z468" s="48" t="n"/>
      <c r="AA468" s="48" t="n"/>
      <c r="AB468" s="48" t="n"/>
      <c r="AC468" s="48" t="n"/>
    </row>
    <row r="469" ht="13" customHeight="1" s="68">
      <c r="E469" s="48" t="n"/>
      <c r="F469" s="48" t="n"/>
      <c r="G469" s="49" t="n"/>
      <c r="J469" s="48" t="n"/>
      <c r="K469" s="48" t="n"/>
      <c r="L469" s="48" t="n"/>
      <c r="M469" s="1" t="n"/>
      <c r="W469" s="48" t="n"/>
      <c r="X469" s="48" t="n"/>
      <c r="Y469" s="48" t="n"/>
      <c r="Z469" s="48" t="n"/>
      <c r="AA469" s="48" t="n"/>
      <c r="AB469" s="48" t="n"/>
      <c r="AC469" s="48" t="n"/>
    </row>
    <row r="470" ht="13" customHeight="1" s="68">
      <c r="E470" s="48" t="n"/>
      <c r="F470" s="48" t="n"/>
      <c r="G470" s="49" t="n"/>
      <c r="J470" s="48" t="n"/>
      <c r="K470" s="48" t="n"/>
      <c r="L470" s="48" t="n"/>
      <c r="M470" s="1" t="n"/>
      <c r="W470" s="48" t="n"/>
      <c r="X470" s="48" t="n"/>
      <c r="Y470" s="48" t="n"/>
      <c r="Z470" s="48" t="n"/>
      <c r="AA470" s="48" t="n"/>
      <c r="AB470" s="48" t="n"/>
      <c r="AC470" s="48" t="n"/>
    </row>
    <row r="471" ht="13" customHeight="1" s="68">
      <c r="E471" s="48" t="n"/>
      <c r="F471" s="48" t="n"/>
      <c r="G471" s="49" t="n"/>
      <c r="J471" s="48" t="n"/>
      <c r="K471" s="48" t="n"/>
      <c r="L471" s="48" t="n"/>
      <c r="M471" s="1" t="n"/>
      <c r="W471" s="48" t="n"/>
      <c r="X471" s="48" t="n"/>
      <c r="Y471" s="48" t="n"/>
      <c r="Z471" s="48" t="n"/>
      <c r="AA471" s="48" t="n"/>
      <c r="AB471" s="48" t="n"/>
      <c r="AC471" s="48" t="n"/>
    </row>
    <row r="472" ht="13" customHeight="1" s="68">
      <c r="E472" s="48" t="n"/>
      <c r="F472" s="48" t="n"/>
      <c r="G472" s="49" t="n"/>
      <c r="J472" s="48" t="n"/>
      <c r="K472" s="48" t="n"/>
      <c r="L472" s="48" t="n"/>
      <c r="M472" s="1" t="n"/>
      <c r="W472" s="48" t="n"/>
      <c r="X472" s="48" t="n"/>
      <c r="Y472" s="48" t="n"/>
      <c r="Z472" s="48" t="n"/>
      <c r="AA472" s="48" t="n"/>
      <c r="AB472" s="48" t="n"/>
      <c r="AC472" s="48" t="n"/>
    </row>
    <row r="473" ht="13" customHeight="1" s="68">
      <c r="E473" s="48" t="n"/>
      <c r="F473" s="48" t="n"/>
      <c r="G473" s="49" t="n"/>
      <c r="J473" s="48" t="n"/>
      <c r="K473" s="48" t="n"/>
      <c r="L473" s="48" t="n"/>
      <c r="M473" s="1" t="n"/>
      <c r="W473" s="48" t="n"/>
      <c r="X473" s="48" t="n"/>
      <c r="Y473" s="48" t="n"/>
      <c r="Z473" s="48" t="n"/>
      <c r="AA473" s="48" t="n"/>
      <c r="AB473" s="48" t="n"/>
      <c r="AC473" s="48" t="n"/>
    </row>
    <row r="474" ht="13" customHeight="1" s="68">
      <c r="E474" s="48" t="n"/>
      <c r="F474" s="48" t="n"/>
      <c r="G474" s="49" t="n"/>
      <c r="J474" s="48" t="n"/>
      <c r="K474" s="48" t="n"/>
      <c r="L474" s="48" t="n"/>
      <c r="M474" s="1" t="n"/>
      <c r="W474" s="48" t="n"/>
      <c r="X474" s="48" t="n"/>
      <c r="Y474" s="48" t="n"/>
      <c r="Z474" s="48" t="n"/>
      <c r="AA474" s="48" t="n"/>
      <c r="AB474" s="48" t="n"/>
      <c r="AC474" s="48" t="n"/>
    </row>
    <row r="475" ht="13" customHeight="1" s="68">
      <c r="E475" s="48" t="n"/>
      <c r="F475" s="48" t="n"/>
      <c r="G475" s="49" t="n"/>
      <c r="J475" s="48" t="n"/>
      <c r="K475" s="48" t="n"/>
      <c r="L475" s="48" t="n"/>
      <c r="M475" s="1" t="n"/>
      <c r="W475" s="48" t="n"/>
      <c r="X475" s="48" t="n"/>
      <c r="Y475" s="48" t="n"/>
      <c r="Z475" s="48" t="n"/>
      <c r="AA475" s="48" t="n"/>
      <c r="AB475" s="48" t="n"/>
      <c r="AC475" s="48" t="n"/>
    </row>
    <row r="476" ht="13" customHeight="1" s="68">
      <c r="E476" s="48" t="n"/>
      <c r="F476" s="48" t="n"/>
      <c r="G476" s="49" t="n"/>
      <c r="J476" s="48" t="n"/>
      <c r="K476" s="48" t="n"/>
      <c r="L476" s="48" t="n"/>
      <c r="M476" s="1" t="n"/>
      <c r="W476" s="48" t="n"/>
      <c r="X476" s="48" t="n"/>
      <c r="Y476" s="48" t="n"/>
      <c r="Z476" s="48" t="n"/>
      <c r="AA476" s="48" t="n"/>
      <c r="AB476" s="48" t="n"/>
      <c r="AC476" s="48" t="n"/>
    </row>
    <row r="477" ht="13" customHeight="1" s="68">
      <c r="E477" s="48" t="n"/>
      <c r="F477" s="48" t="n"/>
      <c r="G477" s="49" t="n"/>
      <c r="J477" s="48" t="n"/>
      <c r="K477" s="48" t="n"/>
      <c r="L477" s="48" t="n"/>
      <c r="M477" s="1" t="n"/>
      <c r="W477" s="48" t="n"/>
      <c r="X477" s="48" t="n"/>
      <c r="Y477" s="48" t="n"/>
      <c r="Z477" s="48" t="n"/>
      <c r="AA477" s="48" t="n"/>
      <c r="AB477" s="48" t="n"/>
      <c r="AC477" s="48" t="n"/>
    </row>
    <row r="478" ht="13" customHeight="1" s="68">
      <c r="E478" s="48" t="n"/>
      <c r="F478" s="48" t="n"/>
      <c r="G478" s="49" t="n"/>
      <c r="J478" s="48" t="n"/>
      <c r="K478" s="48" t="n"/>
      <c r="L478" s="48" t="n"/>
      <c r="M478" s="1" t="n"/>
      <c r="W478" s="48" t="n"/>
      <c r="X478" s="48" t="n"/>
      <c r="Y478" s="48" t="n"/>
      <c r="Z478" s="48" t="n"/>
      <c r="AA478" s="48" t="n"/>
      <c r="AB478" s="48" t="n"/>
      <c r="AC478" s="48" t="n"/>
    </row>
    <row r="479" ht="13" customHeight="1" s="68">
      <c r="E479" s="48" t="n"/>
      <c r="F479" s="48" t="n"/>
      <c r="G479" s="49" t="n"/>
      <c r="J479" s="48" t="n"/>
      <c r="K479" s="48" t="n"/>
      <c r="L479" s="48" t="n"/>
      <c r="M479" s="1" t="n"/>
      <c r="W479" s="48" t="n"/>
      <c r="X479" s="48" t="n"/>
      <c r="Y479" s="48" t="n"/>
      <c r="Z479" s="48" t="n"/>
      <c r="AA479" s="48" t="n"/>
      <c r="AB479" s="48" t="n"/>
      <c r="AC479" s="48" t="n"/>
    </row>
    <row r="480" ht="13" customHeight="1" s="68">
      <c r="E480" s="48" t="n"/>
      <c r="F480" s="48" t="n"/>
      <c r="G480" s="49" t="n"/>
      <c r="J480" s="48" t="n"/>
      <c r="K480" s="48" t="n"/>
      <c r="L480" s="48" t="n"/>
      <c r="M480" s="1" t="n"/>
      <c r="W480" s="48" t="n"/>
      <c r="X480" s="48" t="n"/>
      <c r="Y480" s="48" t="n"/>
      <c r="Z480" s="48" t="n"/>
      <c r="AA480" s="48" t="n"/>
      <c r="AB480" s="48" t="n"/>
      <c r="AC480" s="48" t="n"/>
    </row>
    <row r="481" ht="13" customHeight="1" s="68">
      <c r="E481" s="48" t="n"/>
      <c r="F481" s="48" t="n"/>
      <c r="G481" s="49" t="n"/>
      <c r="J481" s="48" t="n"/>
      <c r="K481" s="48" t="n"/>
      <c r="L481" s="48" t="n"/>
      <c r="M481" s="1" t="n"/>
      <c r="W481" s="48" t="n"/>
      <c r="X481" s="48" t="n"/>
      <c r="Y481" s="48" t="n"/>
      <c r="Z481" s="48" t="n"/>
      <c r="AA481" s="48" t="n"/>
      <c r="AB481" s="48" t="n"/>
      <c r="AC481" s="48" t="n"/>
    </row>
    <row r="482" ht="13" customHeight="1" s="68">
      <c r="E482" s="48" t="n"/>
      <c r="F482" s="48" t="n"/>
      <c r="G482" s="49" t="n"/>
      <c r="J482" s="48" t="n"/>
      <c r="K482" s="48" t="n"/>
      <c r="L482" s="48" t="n"/>
      <c r="M482" s="1" t="n"/>
      <c r="W482" s="48" t="n"/>
      <c r="X482" s="48" t="n"/>
      <c r="Y482" s="48" t="n"/>
      <c r="Z482" s="48" t="n"/>
      <c r="AA482" s="48" t="n"/>
      <c r="AB482" s="48" t="n"/>
      <c r="AC482" s="48" t="n"/>
    </row>
    <row r="483" ht="13" customHeight="1" s="68">
      <c r="E483" s="48" t="n"/>
      <c r="F483" s="48" t="n"/>
      <c r="G483" s="49" t="n"/>
      <c r="J483" s="48" t="n"/>
      <c r="K483" s="48" t="n"/>
      <c r="L483" s="48" t="n"/>
      <c r="M483" s="1" t="n"/>
      <c r="W483" s="48" t="n"/>
      <c r="X483" s="48" t="n"/>
      <c r="Y483" s="48" t="n"/>
      <c r="Z483" s="48" t="n"/>
      <c r="AA483" s="48" t="n"/>
      <c r="AB483" s="48" t="n"/>
      <c r="AC483" s="48" t="n"/>
    </row>
    <row r="484" ht="13" customHeight="1" s="68">
      <c r="E484" s="48" t="n"/>
      <c r="F484" s="48" t="n"/>
      <c r="G484" s="49" t="n"/>
      <c r="J484" s="48" t="n"/>
      <c r="K484" s="48" t="n"/>
      <c r="L484" s="48" t="n"/>
      <c r="M484" s="1" t="n"/>
      <c r="W484" s="48" t="n"/>
      <c r="X484" s="48" t="n"/>
      <c r="Y484" s="48" t="n"/>
      <c r="Z484" s="48" t="n"/>
      <c r="AA484" s="48" t="n"/>
      <c r="AB484" s="48" t="n"/>
      <c r="AC484" s="48" t="n"/>
    </row>
    <row r="485" ht="13" customHeight="1" s="68">
      <c r="E485" s="48" t="n"/>
      <c r="F485" s="48" t="n"/>
      <c r="G485" s="49" t="n"/>
      <c r="J485" s="48" t="n"/>
      <c r="K485" s="48" t="n"/>
      <c r="L485" s="48" t="n"/>
      <c r="M485" s="1" t="n"/>
      <c r="W485" s="48" t="n"/>
      <c r="X485" s="48" t="n"/>
      <c r="Y485" s="48" t="n"/>
      <c r="Z485" s="48" t="n"/>
      <c r="AA485" s="48" t="n"/>
      <c r="AB485" s="48" t="n"/>
      <c r="AC485" s="48" t="n"/>
    </row>
    <row r="486" ht="13" customHeight="1" s="68">
      <c r="E486" s="48" t="n"/>
      <c r="F486" s="48" t="n"/>
      <c r="G486" s="49" t="n"/>
      <c r="J486" s="48" t="n"/>
      <c r="K486" s="48" t="n"/>
      <c r="L486" s="48" t="n"/>
      <c r="M486" s="1" t="n"/>
      <c r="W486" s="48" t="n"/>
      <c r="X486" s="48" t="n"/>
      <c r="Y486" s="48" t="n"/>
      <c r="Z486" s="48" t="n"/>
      <c r="AA486" s="48" t="n"/>
      <c r="AB486" s="48" t="n"/>
      <c r="AC486" s="48" t="n"/>
    </row>
    <row r="487" ht="13" customHeight="1" s="68">
      <c r="E487" s="48" t="n"/>
      <c r="F487" s="48" t="n"/>
      <c r="G487" s="49" t="n"/>
      <c r="J487" s="48" t="n"/>
      <c r="K487" s="48" t="n"/>
      <c r="L487" s="48" t="n"/>
      <c r="M487" s="1" t="n"/>
      <c r="W487" s="48" t="n"/>
      <c r="X487" s="48" t="n"/>
      <c r="Y487" s="48" t="n"/>
      <c r="Z487" s="48" t="n"/>
      <c r="AA487" s="48" t="n"/>
      <c r="AB487" s="48" t="n"/>
      <c r="AC487" s="48" t="n"/>
    </row>
    <row r="488" ht="13" customHeight="1" s="68">
      <c r="E488" s="48" t="n"/>
      <c r="F488" s="48" t="n"/>
      <c r="G488" s="49" t="n"/>
      <c r="J488" s="48" t="n"/>
      <c r="K488" s="48" t="n"/>
      <c r="L488" s="48" t="n"/>
      <c r="M488" s="1" t="n"/>
      <c r="W488" s="48" t="n"/>
      <c r="X488" s="48" t="n"/>
      <c r="Y488" s="48" t="n"/>
      <c r="Z488" s="48" t="n"/>
      <c r="AA488" s="48" t="n"/>
      <c r="AB488" s="48" t="n"/>
      <c r="AC488" s="48" t="n"/>
    </row>
    <row r="489" ht="13" customHeight="1" s="68">
      <c r="E489" s="48" t="n"/>
      <c r="F489" s="48" t="n"/>
      <c r="G489" s="49" t="n"/>
      <c r="J489" s="48" t="n"/>
      <c r="K489" s="48" t="n"/>
      <c r="L489" s="48" t="n"/>
      <c r="M489" s="1" t="n"/>
      <c r="W489" s="48" t="n"/>
      <c r="X489" s="48" t="n"/>
      <c r="Y489" s="48" t="n"/>
      <c r="Z489" s="48" t="n"/>
      <c r="AA489" s="48" t="n"/>
      <c r="AB489" s="48" t="n"/>
      <c r="AC489" s="48" t="n"/>
    </row>
    <row r="490" ht="13" customHeight="1" s="68">
      <c r="E490" s="48" t="n"/>
      <c r="F490" s="48" t="n"/>
      <c r="G490" s="49" t="n"/>
      <c r="J490" s="48" t="n"/>
      <c r="K490" s="48" t="n"/>
      <c r="L490" s="48" t="n"/>
      <c r="M490" s="1" t="n"/>
      <c r="W490" s="48" t="n"/>
      <c r="X490" s="48" t="n"/>
      <c r="Y490" s="48" t="n"/>
      <c r="Z490" s="48" t="n"/>
      <c r="AA490" s="48" t="n"/>
      <c r="AB490" s="48" t="n"/>
      <c r="AC490" s="48" t="n"/>
    </row>
    <row r="491" ht="13" customHeight="1" s="68">
      <c r="E491" s="48" t="n"/>
      <c r="F491" s="48" t="n"/>
      <c r="G491" s="49" t="n"/>
      <c r="J491" s="48" t="n"/>
      <c r="K491" s="48" t="n"/>
      <c r="L491" s="48" t="n"/>
      <c r="M491" s="1" t="n"/>
      <c r="W491" s="48" t="n"/>
      <c r="X491" s="48" t="n"/>
      <c r="Y491" s="48" t="n"/>
      <c r="Z491" s="48" t="n"/>
      <c r="AA491" s="48" t="n"/>
      <c r="AB491" s="48" t="n"/>
      <c r="AC491" s="48" t="n"/>
    </row>
    <row r="492" ht="13" customHeight="1" s="68">
      <c r="E492" s="48" t="n"/>
      <c r="F492" s="48" t="n"/>
      <c r="G492" s="49" t="n"/>
      <c r="J492" s="48" t="n"/>
      <c r="K492" s="48" t="n"/>
      <c r="L492" s="48" t="n"/>
      <c r="M492" s="1" t="n"/>
      <c r="W492" s="48" t="n"/>
      <c r="X492" s="48" t="n"/>
      <c r="Y492" s="48" t="n"/>
      <c r="Z492" s="48" t="n"/>
      <c r="AA492" s="48" t="n"/>
      <c r="AB492" s="48" t="n"/>
      <c r="AC492" s="48" t="n"/>
    </row>
    <row r="493" ht="13" customHeight="1" s="68">
      <c r="E493" s="48" t="n"/>
      <c r="F493" s="48" t="n"/>
      <c r="G493" s="49" t="n"/>
      <c r="J493" s="48" t="n"/>
      <c r="K493" s="48" t="n"/>
      <c r="L493" s="48" t="n"/>
      <c r="M493" s="1" t="n"/>
      <c r="W493" s="48" t="n"/>
      <c r="X493" s="48" t="n"/>
      <c r="Y493" s="48" t="n"/>
      <c r="Z493" s="48" t="n"/>
      <c r="AA493" s="48" t="n"/>
      <c r="AB493" s="48" t="n"/>
      <c r="AC493" s="48" t="n"/>
    </row>
    <row r="494" ht="13" customHeight="1" s="68">
      <c r="E494" s="48" t="n"/>
      <c r="F494" s="48" t="n"/>
      <c r="G494" s="49" t="n"/>
      <c r="J494" s="48" t="n"/>
      <c r="K494" s="48" t="n"/>
      <c r="L494" s="48" t="n"/>
      <c r="M494" s="1" t="n"/>
      <c r="W494" s="48" t="n"/>
      <c r="X494" s="48" t="n"/>
      <c r="Y494" s="48" t="n"/>
      <c r="Z494" s="48" t="n"/>
      <c r="AA494" s="48" t="n"/>
      <c r="AB494" s="48" t="n"/>
      <c r="AC494" s="48" t="n"/>
    </row>
    <row r="495" ht="13" customHeight="1" s="68">
      <c r="E495" s="48" t="n"/>
      <c r="F495" s="48" t="n"/>
      <c r="G495" s="49" t="n"/>
      <c r="J495" s="48" t="n"/>
      <c r="K495" s="48" t="n"/>
      <c r="L495" s="48" t="n"/>
      <c r="M495" s="1" t="n"/>
      <c r="W495" s="48" t="n"/>
      <c r="X495" s="48" t="n"/>
      <c r="Y495" s="48" t="n"/>
      <c r="Z495" s="48" t="n"/>
      <c r="AA495" s="48" t="n"/>
      <c r="AB495" s="48" t="n"/>
      <c r="AC495" s="48" t="n"/>
    </row>
    <row r="496" ht="13" customHeight="1" s="68">
      <c r="E496" s="48" t="n"/>
      <c r="F496" s="48" t="n"/>
      <c r="G496" s="49" t="n"/>
      <c r="J496" s="48" t="n"/>
      <c r="K496" s="48" t="n"/>
      <c r="L496" s="48" t="n"/>
      <c r="M496" s="1" t="n"/>
      <c r="W496" s="48" t="n"/>
      <c r="X496" s="48" t="n"/>
      <c r="Y496" s="48" t="n"/>
      <c r="Z496" s="48" t="n"/>
      <c r="AA496" s="48" t="n"/>
      <c r="AB496" s="48" t="n"/>
      <c r="AC496" s="48" t="n"/>
    </row>
    <row r="497" ht="13" customHeight="1" s="68">
      <c r="E497" s="48" t="n"/>
      <c r="F497" s="48" t="n"/>
      <c r="G497" s="49" t="n"/>
      <c r="J497" s="48" t="n"/>
      <c r="K497" s="48" t="n"/>
      <c r="L497" s="48" t="n"/>
      <c r="M497" s="1" t="n"/>
      <c r="W497" s="48" t="n"/>
      <c r="X497" s="48" t="n"/>
      <c r="Y497" s="48" t="n"/>
      <c r="Z497" s="48" t="n"/>
      <c r="AA497" s="48" t="n"/>
      <c r="AB497" s="48" t="n"/>
      <c r="AC497" s="48" t="n"/>
    </row>
    <row r="498" ht="13" customHeight="1" s="68">
      <c r="E498" s="48" t="n"/>
      <c r="F498" s="48" t="n"/>
      <c r="G498" s="49" t="n"/>
      <c r="J498" s="48" t="n"/>
      <c r="K498" s="48" t="n"/>
      <c r="L498" s="48" t="n"/>
      <c r="M498" s="1" t="n"/>
      <c r="W498" s="48" t="n"/>
      <c r="X498" s="48" t="n"/>
      <c r="Y498" s="48" t="n"/>
      <c r="Z498" s="48" t="n"/>
      <c r="AA498" s="48" t="n"/>
      <c r="AB498" s="48" t="n"/>
      <c r="AC498" s="48" t="n"/>
    </row>
    <row r="499" ht="13" customHeight="1" s="68">
      <c r="E499" s="48" t="n"/>
      <c r="F499" s="48" t="n"/>
      <c r="G499" s="49" t="n"/>
      <c r="J499" s="48" t="n"/>
      <c r="K499" s="48" t="n"/>
      <c r="L499" s="48" t="n"/>
      <c r="M499" s="1" t="n"/>
      <c r="W499" s="48" t="n"/>
      <c r="X499" s="48" t="n"/>
      <c r="Y499" s="48" t="n"/>
      <c r="Z499" s="48" t="n"/>
      <c r="AA499" s="48" t="n"/>
      <c r="AB499" s="48" t="n"/>
      <c r="AC499" s="48" t="n"/>
    </row>
    <row r="500" ht="13" customHeight="1" s="68">
      <c r="E500" s="48" t="n"/>
      <c r="F500" s="48" t="n"/>
      <c r="G500" s="49" t="n"/>
      <c r="J500" s="48" t="n"/>
      <c r="K500" s="48" t="n"/>
      <c r="L500" s="48" t="n"/>
      <c r="M500" s="1" t="n"/>
      <c r="W500" s="48" t="n"/>
      <c r="X500" s="48" t="n"/>
      <c r="Y500" s="48" t="n"/>
      <c r="Z500" s="48" t="n"/>
      <c r="AA500" s="48" t="n"/>
      <c r="AB500" s="48" t="n"/>
      <c r="AC500" s="48" t="n"/>
    </row>
    <row r="501" ht="13" customHeight="1" s="68">
      <c r="E501" s="48" t="n"/>
      <c r="F501" s="48" t="n"/>
      <c r="G501" s="49" t="n"/>
      <c r="J501" s="48" t="n"/>
      <c r="K501" s="48" t="n"/>
      <c r="L501" s="48" t="n"/>
      <c r="M501" s="1" t="n"/>
      <c r="W501" s="48" t="n"/>
      <c r="X501" s="48" t="n"/>
      <c r="Y501" s="48" t="n"/>
      <c r="Z501" s="48" t="n"/>
      <c r="AA501" s="48" t="n"/>
      <c r="AB501" s="48" t="n"/>
      <c r="AC501" s="48" t="n"/>
    </row>
    <row r="502" ht="13" customHeight="1" s="68">
      <c r="E502" s="48" t="n"/>
      <c r="F502" s="48" t="n"/>
      <c r="G502" s="49" t="n"/>
      <c r="J502" s="48" t="n"/>
      <c r="K502" s="48" t="n"/>
      <c r="L502" s="48" t="n"/>
      <c r="M502" s="1" t="n"/>
      <c r="W502" s="48" t="n"/>
      <c r="X502" s="48" t="n"/>
      <c r="Y502" s="48" t="n"/>
      <c r="Z502" s="48" t="n"/>
      <c r="AA502" s="48" t="n"/>
      <c r="AB502" s="48" t="n"/>
      <c r="AC502" s="48" t="n"/>
    </row>
    <row r="503" ht="13" customHeight="1" s="68">
      <c r="E503" s="48" t="n"/>
      <c r="F503" s="48" t="n"/>
      <c r="G503" s="49" t="n"/>
      <c r="J503" s="48" t="n"/>
      <c r="K503" s="48" t="n"/>
      <c r="L503" s="48" t="n"/>
      <c r="M503" s="1" t="n"/>
      <c r="W503" s="48" t="n"/>
      <c r="X503" s="48" t="n"/>
      <c r="Y503" s="48" t="n"/>
      <c r="Z503" s="48" t="n"/>
      <c r="AA503" s="48" t="n"/>
      <c r="AB503" s="48" t="n"/>
      <c r="AC503" s="48" t="n"/>
    </row>
    <row r="504" ht="13" customHeight="1" s="68">
      <c r="E504" s="48" t="n"/>
      <c r="F504" s="48" t="n"/>
      <c r="G504" s="49" t="n"/>
      <c r="J504" s="48" t="n"/>
      <c r="K504" s="48" t="n"/>
      <c r="L504" s="48" t="n"/>
      <c r="M504" s="1" t="n"/>
      <c r="W504" s="48" t="n"/>
      <c r="X504" s="48" t="n"/>
      <c r="Y504" s="48" t="n"/>
      <c r="Z504" s="48" t="n"/>
      <c r="AA504" s="48" t="n"/>
      <c r="AB504" s="48" t="n"/>
      <c r="AC504" s="48" t="n"/>
    </row>
    <row r="505" ht="13" customHeight="1" s="68">
      <c r="E505" s="48" t="n"/>
      <c r="F505" s="48" t="n"/>
      <c r="G505" s="49" t="n"/>
      <c r="J505" s="48" t="n"/>
      <c r="K505" s="48" t="n"/>
      <c r="L505" s="48" t="n"/>
      <c r="M505" s="1" t="n"/>
      <c r="W505" s="48" t="n"/>
      <c r="X505" s="48" t="n"/>
      <c r="Y505" s="48" t="n"/>
      <c r="Z505" s="48" t="n"/>
      <c r="AA505" s="48" t="n"/>
      <c r="AB505" s="48" t="n"/>
      <c r="AC505" s="48" t="n"/>
    </row>
    <row r="506" ht="13" customHeight="1" s="68">
      <c r="E506" s="48" t="n"/>
      <c r="F506" s="48" t="n"/>
      <c r="G506" s="49" t="n"/>
      <c r="J506" s="48" t="n"/>
      <c r="K506" s="48" t="n"/>
      <c r="L506" s="48" t="n"/>
      <c r="M506" s="1" t="n"/>
      <c r="W506" s="48" t="n"/>
      <c r="X506" s="48" t="n"/>
      <c r="Y506" s="48" t="n"/>
      <c r="Z506" s="48" t="n"/>
      <c r="AA506" s="48" t="n"/>
      <c r="AB506" s="48" t="n"/>
      <c r="AC506" s="48" t="n"/>
    </row>
    <row r="507" ht="13" customHeight="1" s="68">
      <c r="E507" s="48" t="n"/>
      <c r="F507" s="48" t="n"/>
      <c r="G507" s="49" t="n"/>
      <c r="J507" s="48" t="n"/>
      <c r="K507" s="48" t="n"/>
      <c r="L507" s="48" t="n"/>
      <c r="M507" s="1" t="n"/>
      <c r="W507" s="48" t="n"/>
      <c r="X507" s="48" t="n"/>
      <c r="Y507" s="48" t="n"/>
      <c r="Z507" s="48" t="n"/>
      <c r="AA507" s="48" t="n"/>
      <c r="AB507" s="48" t="n"/>
      <c r="AC507" s="48" t="n"/>
    </row>
    <row r="508" ht="13" customHeight="1" s="68">
      <c r="E508" s="48" t="n"/>
      <c r="F508" s="48" t="n"/>
      <c r="G508" s="49" t="n"/>
      <c r="J508" s="48" t="n"/>
      <c r="K508" s="48" t="n"/>
      <c r="L508" s="48" t="n"/>
      <c r="M508" s="1" t="n"/>
      <c r="W508" s="48" t="n"/>
      <c r="X508" s="48" t="n"/>
      <c r="Y508" s="48" t="n"/>
      <c r="Z508" s="48" t="n"/>
      <c r="AA508" s="48" t="n"/>
      <c r="AB508" s="48" t="n"/>
      <c r="AC508" s="48" t="n"/>
    </row>
    <row r="509" ht="13" customHeight="1" s="68">
      <c r="E509" s="48" t="n"/>
      <c r="F509" s="48" t="n"/>
      <c r="G509" s="49" t="n"/>
      <c r="J509" s="48" t="n"/>
      <c r="K509" s="48" t="n"/>
      <c r="L509" s="48" t="n"/>
      <c r="M509" s="1" t="n"/>
      <c r="W509" s="48" t="n"/>
      <c r="X509" s="48" t="n"/>
      <c r="Y509" s="48" t="n"/>
      <c r="Z509" s="48" t="n"/>
      <c r="AA509" s="48" t="n"/>
      <c r="AB509" s="48" t="n"/>
      <c r="AC509" s="48" t="n"/>
    </row>
    <row r="510" ht="13" customHeight="1" s="68">
      <c r="E510" s="48" t="n"/>
      <c r="F510" s="48" t="n"/>
      <c r="G510" s="49" t="n"/>
      <c r="J510" s="48" t="n"/>
      <c r="K510" s="48" t="n"/>
      <c r="L510" s="48" t="n"/>
      <c r="M510" s="1" t="n"/>
      <c r="W510" s="48" t="n"/>
      <c r="X510" s="48" t="n"/>
      <c r="Y510" s="48" t="n"/>
      <c r="Z510" s="48" t="n"/>
      <c r="AA510" s="48" t="n"/>
      <c r="AB510" s="48" t="n"/>
      <c r="AC510" s="48" t="n"/>
    </row>
    <row r="511" ht="13" customHeight="1" s="68">
      <c r="E511" s="48" t="n"/>
      <c r="F511" s="48" t="n"/>
      <c r="G511" s="49" t="n"/>
      <c r="J511" s="48" t="n"/>
      <c r="K511" s="48" t="n"/>
      <c r="L511" s="48" t="n"/>
      <c r="M511" s="1" t="n"/>
      <c r="W511" s="48" t="n"/>
      <c r="X511" s="48" t="n"/>
      <c r="Y511" s="48" t="n"/>
      <c r="Z511" s="48" t="n"/>
      <c r="AA511" s="48" t="n"/>
      <c r="AB511" s="48" t="n"/>
      <c r="AC511" s="48" t="n"/>
    </row>
    <row r="512" ht="13" customHeight="1" s="68">
      <c r="E512" s="48" t="n"/>
      <c r="F512" s="48" t="n"/>
      <c r="G512" s="49" t="n"/>
      <c r="J512" s="48" t="n"/>
      <c r="K512" s="48" t="n"/>
      <c r="L512" s="48" t="n"/>
      <c r="M512" s="1" t="n"/>
      <c r="W512" s="48" t="n"/>
      <c r="X512" s="48" t="n"/>
      <c r="Y512" s="48" t="n"/>
      <c r="Z512" s="48" t="n"/>
      <c r="AA512" s="48" t="n"/>
      <c r="AB512" s="48" t="n"/>
      <c r="AC512" s="48" t="n"/>
    </row>
    <row r="513" ht="13" customHeight="1" s="68">
      <c r="E513" s="48" t="n"/>
      <c r="F513" s="48" t="n"/>
      <c r="G513" s="49" t="n"/>
      <c r="J513" s="48" t="n"/>
      <c r="K513" s="48" t="n"/>
      <c r="L513" s="48" t="n"/>
      <c r="M513" s="1" t="n"/>
      <c r="W513" s="48" t="n"/>
      <c r="X513" s="48" t="n"/>
      <c r="Y513" s="48" t="n"/>
      <c r="Z513" s="48" t="n"/>
      <c r="AA513" s="48" t="n"/>
      <c r="AB513" s="48" t="n"/>
      <c r="AC513" s="48" t="n"/>
    </row>
    <row r="514" ht="13" customHeight="1" s="68">
      <c r="E514" s="48" t="n"/>
      <c r="F514" s="48" t="n"/>
      <c r="G514" s="49" t="n"/>
      <c r="J514" s="48" t="n"/>
      <c r="K514" s="48" t="n"/>
      <c r="L514" s="48" t="n"/>
      <c r="M514" s="1" t="n"/>
      <c r="W514" s="48" t="n"/>
      <c r="X514" s="48" t="n"/>
      <c r="Y514" s="48" t="n"/>
      <c r="Z514" s="48" t="n"/>
      <c r="AA514" s="48" t="n"/>
      <c r="AB514" s="48" t="n"/>
      <c r="AC514" s="48" t="n"/>
    </row>
    <row r="515" ht="13" customHeight="1" s="68">
      <c r="E515" s="48" t="n"/>
      <c r="F515" s="48" t="n"/>
      <c r="G515" s="49" t="n"/>
      <c r="J515" s="48" t="n"/>
      <c r="K515" s="48" t="n"/>
      <c r="L515" s="48" t="n"/>
      <c r="M515" s="1" t="n"/>
      <c r="W515" s="48" t="n"/>
      <c r="X515" s="48" t="n"/>
      <c r="Y515" s="48" t="n"/>
      <c r="Z515" s="48" t="n"/>
      <c r="AA515" s="48" t="n"/>
      <c r="AB515" s="48" t="n"/>
      <c r="AC515" s="48" t="n"/>
    </row>
    <row r="516" ht="13" customHeight="1" s="68">
      <c r="E516" s="48" t="n"/>
      <c r="F516" s="48" t="n"/>
      <c r="G516" s="49" t="n"/>
      <c r="J516" s="48" t="n"/>
      <c r="K516" s="48" t="n"/>
      <c r="L516" s="48" t="n"/>
      <c r="M516" s="1" t="n"/>
      <c r="W516" s="48" t="n"/>
      <c r="X516" s="48" t="n"/>
      <c r="Y516" s="48" t="n"/>
      <c r="Z516" s="48" t="n"/>
      <c r="AA516" s="48" t="n"/>
      <c r="AB516" s="48" t="n"/>
      <c r="AC516" s="48" t="n"/>
    </row>
    <row r="517" ht="13" customHeight="1" s="68">
      <c r="E517" s="48" t="n"/>
      <c r="F517" s="48" t="n"/>
      <c r="G517" s="49" t="n"/>
      <c r="J517" s="48" t="n"/>
      <c r="K517" s="48" t="n"/>
      <c r="L517" s="48" t="n"/>
      <c r="M517" s="1" t="n"/>
      <c r="W517" s="48" t="n"/>
      <c r="X517" s="48" t="n"/>
      <c r="Y517" s="48" t="n"/>
      <c r="Z517" s="48" t="n"/>
      <c r="AA517" s="48" t="n"/>
      <c r="AB517" s="48" t="n"/>
      <c r="AC517" s="48" t="n"/>
    </row>
    <row r="518" ht="13" customHeight="1" s="68">
      <c r="E518" s="48" t="n"/>
      <c r="F518" s="48" t="n"/>
      <c r="G518" s="49" t="n"/>
      <c r="J518" s="48" t="n"/>
      <c r="K518" s="48" t="n"/>
      <c r="L518" s="48" t="n"/>
      <c r="M518" s="1" t="n"/>
      <c r="W518" s="48" t="n"/>
      <c r="X518" s="48" t="n"/>
      <c r="Y518" s="48" t="n"/>
      <c r="Z518" s="48" t="n"/>
      <c r="AA518" s="48" t="n"/>
      <c r="AB518" s="48" t="n"/>
      <c r="AC518" s="48" t="n"/>
    </row>
    <row r="519" ht="13" customHeight="1" s="68">
      <c r="E519" s="48" t="n"/>
      <c r="F519" s="48" t="n"/>
      <c r="G519" s="49" t="n"/>
      <c r="J519" s="48" t="n"/>
      <c r="K519" s="48" t="n"/>
      <c r="L519" s="48" t="n"/>
      <c r="M519" s="1" t="n"/>
      <c r="W519" s="48" t="n"/>
      <c r="X519" s="48" t="n"/>
      <c r="Y519" s="48" t="n"/>
      <c r="Z519" s="48" t="n"/>
      <c r="AA519" s="48" t="n"/>
      <c r="AB519" s="48" t="n"/>
      <c r="AC519" s="48" t="n"/>
    </row>
    <row r="520" ht="13" customHeight="1" s="68">
      <c r="E520" s="48" t="n"/>
      <c r="F520" s="48" t="n"/>
      <c r="G520" s="49" t="n"/>
      <c r="J520" s="48" t="n"/>
      <c r="K520" s="48" t="n"/>
      <c r="L520" s="48" t="n"/>
      <c r="M520" s="1" t="n"/>
      <c r="W520" s="48" t="n"/>
      <c r="X520" s="48" t="n"/>
      <c r="Y520" s="48" t="n"/>
      <c r="Z520" s="48" t="n"/>
      <c r="AA520" s="48" t="n"/>
      <c r="AB520" s="48" t="n"/>
      <c r="AC520" s="48" t="n"/>
    </row>
    <row r="521" ht="13" customHeight="1" s="68">
      <c r="E521" s="48" t="n"/>
      <c r="F521" s="48" t="n"/>
      <c r="G521" s="49" t="n"/>
      <c r="J521" s="48" t="n"/>
      <c r="K521" s="48" t="n"/>
      <c r="L521" s="48" t="n"/>
      <c r="M521" s="1" t="n"/>
      <c r="W521" s="48" t="n"/>
      <c r="X521" s="48" t="n"/>
      <c r="Y521" s="48" t="n"/>
      <c r="Z521" s="48" t="n"/>
      <c r="AA521" s="48" t="n"/>
      <c r="AB521" s="48" t="n"/>
      <c r="AC521" s="48" t="n"/>
    </row>
    <row r="522" ht="13" customHeight="1" s="68">
      <c r="E522" s="48" t="n"/>
      <c r="F522" s="48" t="n"/>
      <c r="G522" s="49" t="n"/>
      <c r="J522" s="48" t="n"/>
      <c r="K522" s="48" t="n"/>
      <c r="L522" s="48" t="n"/>
      <c r="M522" s="1" t="n"/>
      <c r="W522" s="48" t="n"/>
      <c r="X522" s="48" t="n"/>
      <c r="Y522" s="48" t="n"/>
      <c r="Z522" s="48" t="n"/>
      <c r="AA522" s="48" t="n"/>
      <c r="AB522" s="48" t="n"/>
      <c r="AC522" s="48" t="n"/>
    </row>
    <row r="523" ht="13" customHeight="1" s="68">
      <c r="E523" s="48" t="n"/>
      <c r="F523" s="48" t="n"/>
      <c r="G523" s="49" t="n"/>
      <c r="J523" s="48" t="n"/>
      <c r="K523" s="48" t="n"/>
      <c r="L523" s="48" t="n"/>
      <c r="M523" s="1" t="n"/>
      <c r="W523" s="48" t="n"/>
      <c r="X523" s="48" t="n"/>
      <c r="Y523" s="48" t="n"/>
      <c r="Z523" s="48" t="n"/>
      <c r="AA523" s="48" t="n"/>
      <c r="AB523" s="48" t="n"/>
      <c r="AC523" s="48" t="n"/>
    </row>
    <row r="524" ht="13" customHeight="1" s="68">
      <c r="E524" s="48" t="n"/>
      <c r="F524" s="48" t="n"/>
      <c r="G524" s="49" t="n"/>
      <c r="J524" s="48" t="n"/>
      <c r="K524" s="48" t="n"/>
      <c r="L524" s="48" t="n"/>
      <c r="M524" s="1" t="n"/>
      <c r="W524" s="48" t="n"/>
      <c r="X524" s="48" t="n"/>
      <c r="Y524" s="48" t="n"/>
      <c r="Z524" s="48" t="n"/>
      <c r="AA524" s="48" t="n"/>
      <c r="AB524" s="48" t="n"/>
      <c r="AC524" s="48" t="n"/>
    </row>
    <row r="525" ht="13" customHeight="1" s="68">
      <c r="E525" s="48" t="n"/>
      <c r="F525" s="48" t="n"/>
      <c r="G525" s="49" t="n"/>
      <c r="J525" s="48" t="n"/>
      <c r="K525" s="48" t="n"/>
      <c r="L525" s="48" t="n"/>
      <c r="M525" s="1" t="n"/>
      <c r="W525" s="48" t="n"/>
      <c r="X525" s="48" t="n"/>
      <c r="Y525" s="48" t="n"/>
      <c r="Z525" s="48" t="n"/>
      <c r="AA525" s="48" t="n"/>
      <c r="AB525" s="48" t="n"/>
      <c r="AC525" s="48" t="n"/>
    </row>
    <row r="526" ht="13" customHeight="1" s="68">
      <c r="E526" s="48" t="n"/>
      <c r="F526" s="48" t="n"/>
      <c r="G526" s="49" t="n"/>
      <c r="J526" s="48" t="n"/>
      <c r="K526" s="48" t="n"/>
      <c r="L526" s="48" t="n"/>
      <c r="M526" s="1" t="n"/>
      <c r="W526" s="48" t="n"/>
      <c r="X526" s="48" t="n"/>
      <c r="Y526" s="48" t="n"/>
      <c r="Z526" s="48" t="n"/>
      <c r="AA526" s="48" t="n"/>
      <c r="AB526" s="48" t="n"/>
      <c r="AC526" s="48" t="n"/>
    </row>
    <row r="527" ht="13" customHeight="1" s="68">
      <c r="E527" s="48" t="n"/>
      <c r="F527" s="48" t="n"/>
      <c r="G527" s="49" t="n"/>
      <c r="J527" s="48" t="n"/>
      <c r="K527" s="48" t="n"/>
      <c r="L527" s="48" t="n"/>
      <c r="M527" s="1" t="n"/>
      <c r="W527" s="48" t="n"/>
      <c r="X527" s="48" t="n"/>
      <c r="Y527" s="48" t="n"/>
      <c r="Z527" s="48" t="n"/>
      <c r="AA527" s="48" t="n"/>
      <c r="AB527" s="48" t="n"/>
      <c r="AC527" s="48" t="n"/>
    </row>
    <row r="528" ht="13" customHeight="1" s="68">
      <c r="E528" s="48" t="n"/>
      <c r="F528" s="48" t="n"/>
      <c r="G528" s="49" t="n"/>
      <c r="J528" s="48" t="n"/>
      <c r="K528" s="48" t="n"/>
      <c r="L528" s="48" t="n"/>
      <c r="M528" s="1" t="n"/>
      <c r="W528" s="48" t="n"/>
      <c r="X528" s="48" t="n"/>
      <c r="Y528" s="48" t="n"/>
      <c r="Z528" s="48" t="n"/>
      <c r="AA528" s="48" t="n"/>
      <c r="AB528" s="48" t="n"/>
      <c r="AC528" s="48" t="n"/>
    </row>
    <row r="529" ht="13" customHeight="1" s="68">
      <c r="E529" s="48" t="n"/>
      <c r="F529" s="48" t="n"/>
      <c r="G529" s="49" t="n"/>
      <c r="J529" s="48" t="n"/>
      <c r="K529" s="48" t="n"/>
      <c r="L529" s="48" t="n"/>
      <c r="M529" s="1" t="n"/>
      <c r="W529" s="48" t="n"/>
      <c r="X529" s="48" t="n"/>
      <c r="Y529" s="48" t="n"/>
      <c r="Z529" s="48" t="n"/>
      <c r="AA529" s="48" t="n"/>
      <c r="AB529" s="48" t="n"/>
      <c r="AC529" s="48" t="n"/>
    </row>
    <row r="530" ht="13" customHeight="1" s="68">
      <c r="E530" s="48" t="n"/>
      <c r="F530" s="48" t="n"/>
      <c r="G530" s="49" t="n"/>
      <c r="J530" s="48" t="n"/>
      <c r="K530" s="48" t="n"/>
      <c r="L530" s="48" t="n"/>
      <c r="M530" s="1" t="n"/>
      <c r="W530" s="48" t="n"/>
      <c r="X530" s="48" t="n"/>
      <c r="Y530" s="48" t="n"/>
      <c r="Z530" s="48" t="n"/>
      <c r="AA530" s="48" t="n"/>
      <c r="AB530" s="48" t="n"/>
      <c r="AC530" s="48" t="n"/>
    </row>
    <row r="531" ht="13" customHeight="1" s="68">
      <c r="E531" s="48" t="n"/>
      <c r="F531" s="48" t="n"/>
      <c r="G531" s="49" t="n"/>
      <c r="J531" s="48" t="n"/>
      <c r="K531" s="48" t="n"/>
      <c r="L531" s="48" t="n"/>
      <c r="M531" s="1" t="n"/>
      <c r="W531" s="48" t="n"/>
      <c r="X531" s="48" t="n"/>
      <c r="Y531" s="48" t="n"/>
      <c r="Z531" s="48" t="n"/>
      <c r="AA531" s="48" t="n"/>
      <c r="AB531" s="48" t="n"/>
      <c r="AC531" s="48" t="n"/>
    </row>
    <row r="532" ht="13" customHeight="1" s="68">
      <c r="E532" s="48" t="n"/>
      <c r="F532" s="48" t="n"/>
      <c r="G532" s="49" t="n"/>
      <c r="J532" s="48" t="n"/>
      <c r="K532" s="48" t="n"/>
      <c r="L532" s="48" t="n"/>
      <c r="M532" s="1" t="n"/>
      <c r="W532" s="48" t="n"/>
      <c r="X532" s="48" t="n"/>
      <c r="Y532" s="48" t="n"/>
      <c r="Z532" s="48" t="n"/>
      <c r="AA532" s="48" t="n"/>
      <c r="AB532" s="48" t="n"/>
      <c r="AC532" s="48" t="n"/>
    </row>
    <row r="533" ht="13" customHeight="1" s="68">
      <c r="E533" s="48" t="n"/>
      <c r="F533" s="48" t="n"/>
      <c r="G533" s="49" t="n"/>
      <c r="J533" s="48" t="n"/>
      <c r="K533" s="48" t="n"/>
      <c r="L533" s="48" t="n"/>
      <c r="M533" s="1" t="n"/>
      <c r="W533" s="48" t="n"/>
      <c r="X533" s="48" t="n"/>
      <c r="Y533" s="48" t="n"/>
      <c r="Z533" s="48" t="n"/>
      <c r="AA533" s="48" t="n"/>
      <c r="AB533" s="48" t="n"/>
      <c r="AC533" s="48" t="n"/>
    </row>
    <row r="534" ht="13" customHeight="1" s="68">
      <c r="E534" s="48" t="n"/>
      <c r="F534" s="48" t="n"/>
      <c r="G534" s="49" t="n"/>
      <c r="J534" s="48" t="n"/>
      <c r="K534" s="48" t="n"/>
      <c r="L534" s="48" t="n"/>
      <c r="M534" s="1" t="n"/>
      <c r="W534" s="48" t="n"/>
      <c r="X534" s="48" t="n"/>
      <c r="Y534" s="48" t="n"/>
      <c r="Z534" s="48" t="n"/>
      <c r="AA534" s="48" t="n"/>
      <c r="AB534" s="48" t="n"/>
      <c r="AC534" s="48" t="n"/>
    </row>
    <row r="535" ht="13" customHeight="1" s="68">
      <c r="E535" s="48" t="n"/>
      <c r="F535" s="48" t="n"/>
      <c r="G535" s="49" t="n"/>
      <c r="J535" s="48" t="n"/>
      <c r="K535" s="48" t="n"/>
      <c r="L535" s="48" t="n"/>
      <c r="M535" s="1" t="n"/>
      <c r="W535" s="48" t="n"/>
      <c r="X535" s="48" t="n"/>
      <c r="Y535" s="48" t="n"/>
      <c r="Z535" s="48" t="n"/>
      <c r="AA535" s="48" t="n"/>
      <c r="AB535" s="48" t="n"/>
      <c r="AC535" s="48" t="n"/>
    </row>
    <row r="536" ht="13" customHeight="1" s="68">
      <c r="E536" s="48" t="n"/>
      <c r="F536" s="48" t="n"/>
      <c r="G536" s="49" t="n"/>
      <c r="J536" s="48" t="n"/>
      <c r="K536" s="48" t="n"/>
      <c r="L536" s="48" t="n"/>
      <c r="M536" s="1" t="n"/>
      <c r="W536" s="48" t="n"/>
      <c r="X536" s="48" t="n"/>
      <c r="Y536" s="48" t="n"/>
      <c r="Z536" s="48" t="n"/>
      <c r="AA536" s="48" t="n"/>
      <c r="AB536" s="48" t="n"/>
      <c r="AC536" s="48" t="n"/>
    </row>
    <row r="537" ht="13" customHeight="1" s="68">
      <c r="E537" s="48" t="n"/>
      <c r="F537" s="48" t="n"/>
      <c r="G537" s="49" t="n"/>
      <c r="J537" s="48" t="n"/>
      <c r="K537" s="48" t="n"/>
      <c r="L537" s="48" t="n"/>
      <c r="M537" s="1" t="n"/>
      <c r="W537" s="48" t="n"/>
      <c r="X537" s="48" t="n"/>
      <c r="Y537" s="48" t="n"/>
      <c r="Z537" s="48" t="n"/>
      <c r="AA537" s="48" t="n"/>
      <c r="AB537" s="48" t="n"/>
      <c r="AC537" s="48" t="n"/>
    </row>
    <row r="538" ht="13" customHeight="1" s="68">
      <c r="E538" s="48" t="n"/>
      <c r="F538" s="48" t="n"/>
      <c r="G538" s="49" t="n"/>
      <c r="J538" s="48" t="n"/>
      <c r="K538" s="48" t="n"/>
      <c r="L538" s="48" t="n"/>
      <c r="M538" s="1" t="n"/>
      <c r="W538" s="48" t="n"/>
      <c r="X538" s="48" t="n"/>
      <c r="Y538" s="48" t="n"/>
      <c r="Z538" s="48" t="n"/>
      <c r="AA538" s="48" t="n"/>
      <c r="AB538" s="48" t="n"/>
      <c r="AC538" s="48" t="n"/>
    </row>
    <row r="539" ht="13" customHeight="1" s="68">
      <c r="E539" s="48" t="n"/>
      <c r="F539" s="48" t="n"/>
      <c r="G539" s="49" t="n"/>
      <c r="J539" s="48" t="n"/>
      <c r="K539" s="48" t="n"/>
      <c r="L539" s="48" t="n"/>
      <c r="M539" s="1" t="n"/>
      <c r="W539" s="48" t="n"/>
      <c r="X539" s="48" t="n"/>
      <c r="Y539" s="48" t="n"/>
      <c r="Z539" s="48" t="n"/>
      <c r="AA539" s="48" t="n"/>
      <c r="AB539" s="48" t="n"/>
      <c r="AC539" s="48" t="n"/>
    </row>
    <row r="540" ht="13" customHeight="1" s="68">
      <c r="E540" s="48" t="n"/>
      <c r="F540" s="48" t="n"/>
      <c r="G540" s="49" t="n"/>
      <c r="J540" s="48" t="n"/>
      <c r="K540" s="48" t="n"/>
      <c r="L540" s="48" t="n"/>
      <c r="M540" s="1" t="n"/>
      <c r="W540" s="48" t="n"/>
      <c r="X540" s="48" t="n"/>
      <c r="Y540" s="48" t="n"/>
      <c r="Z540" s="48" t="n"/>
      <c r="AA540" s="48" t="n"/>
      <c r="AB540" s="48" t="n"/>
      <c r="AC540" s="48" t="n"/>
    </row>
    <row r="541" ht="13" customHeight="1" s="68">
      <c r="E541" s="48" t="n"/>
      <c r="F541" s="48" t="n"/>
      <c r="G541" s="49" t="n"/>
      <c r="J541" s="48" t="n"/>
      <c r="K541" s="48" t="n"/>
      <c r="L541" s="48" t="n"/>
      <c r="M541" s="1" t="n"/>
      <c r="W541" s="48" t="n"/>
      <c r="X541" s="48" t="n"/>
      <c r="Y541" s="48" t="n"/>
      <c r="Z541" s="48" t="n"/>
      <c r="AA541" s="48" t="n"/>
      <c r="AB541" s="48" t="n"/>
      <c r="AC541" s="48" t="n"/>
    </row>
    <row r="542" ht="13" customHeight="1" s="68">
      <c r="E542" s="48" t="n"/>
      <c r="F542" s="48" t="n"/>
      <c r="G542" s="49" t="n"/>
      <c r="J542" s="48" t="n"/>
      <c r="K542" s="48" t="n"/>
      <c r="L542" s="48" t="n"/>
      <c r="M542" s="1" t="n"/>
      <c r="W542" s="48" t="n"/>
      <c r="X542" s="48" t="n"/>
      <c r="Y542" s="48" t="n"/>
      <c r="Z542" s="48" t="n"/>
      <c r="AA542" s="48" t="n"/>
      <c r="AB542" s="48" t="n"/>
      <c r="AC542" s="48" t="n"/>
    </row>
    <row r="543" ht="13" customHeight="1" s="68">
      <c r="E543" s="48" t="n"/>
      <c r="F543" s="48" t="n"/>
      <c r="G543" s="49" t="n"/>
      <c r="J543" s="48" t="n"/>
      <c r="K543" s="48" t="n"/>
      <c r="L543" s="48" t="n"/>
      <c r="M543" s="1" t="n"/>
      <c r="W543" s="48" t="n"/>
      <c r="X543" s="48" t="n"/>
      <c r="Y543" s="48" t="n"/>
      <c r="Z543" s="48" t="n"/>
      <c r="AA543" s="48" t="n"/>
      <c r="AB543" s="48" t="n"/>
      <c r="AC543" s="48" t="n"/>
    </row>
    <row r="544" ht="13" customHeight="1" s="68">
      <c r="E544" s="48" t="n"/>
      <c r="F544" s="48" t="n"/>
      <c r="G544" s="49" t="n"/>
      <c r="J544" s="48" t="n"/>
      <c r="K544" s="48" t="n"/>
      <c r="L544" s="48" t="n"/>
      <c r="M544" s="1" t="n"/>
      <c r="W544" s="48" t="n"/>
      <c r="X544" s="48" t="n"/>
      <c r="Y544" s="48" t="n"/>
      <c r="Z544" s="48" t="n"/>
      <c r="AA544" s="48" t="n"/>
      <c r="AB544" s="48" t="n"/>
      <c r="AC544" s="48" t="n"/>
    </row>
    <row r="545" ht="13" customHeight="1" s="68">
      <c r="E545" s="48" t="n"/>
      <c r="F545" s="48" t="n"/>
      <c r="G545" s="49" t="n"/>
      <c r="J545" s="48" t="n"/>
      <c r="K545" s="48" t="n"/>
      <c r="L545" s="48" t="n"/>
      <c r="M545" s="1" t="n"/>
      <c r="W545" s="48" t="n"/>
      <c r="X545" s="48" t="n"/>
      <c r="Y545" s="48" t="n"/>
      <c r="Z545" s="48" t="n"/>
      <c r="AA545" s="48" t="n"/>
      <c r="AB545" s="48" t="n"/>
      <c r="AC545" s="48" t="n"/>
    </row>
    <row r="546" ht="13" customHeight="1" s="68">
      <c r="E546" s="48" t="n"/>
      <c r="F546" s="48" t="n"/>
      <c r="G546" s="49" t="n"/>
      <c r="J546" s="48" t="n"/>
      <c r="K546" s="48" t="n"/>
      <c r="L546" s="48" t="n"/>
      <c r="M546" s="1" t="n"/>
      <c r="W546" s="48" t="n"/>
      <c r="X546" s="48" t="n"/>
      <c r="Y546" s="48" t="n"/>
      <c r="Z546" s="48" t="n"/>
      <c r="AA546" s="48" t="n"/>
      <c r="AB546" s="48" t="n"/>
      <c r="AC546" s="48" t="n"/>
    </row>
    <row r="547" ht="13" customHeight="1" s="68">
      <c r="E547" s="48" t="n"/>
      <c r="F547" s="48" t="n"/>
      <c r="G547" s="49" t="n"/>
      <c r="J547" s="48" t="n"/>
      <c r="K547" s="48" t="n"/>
      <c r="L547" s="48" t="n"/>
      <c r="M547" s="1" t="n"/>
      <c r="W547" s="48" t="n"/>
      <c r="X547" s="48" t="n"/>
      <c r="Y547" s="48" t="n"/>
      <c r="Z547" s="48" t="n"/>
      <c r="AA547" s="48" t="n"/>
      <c r="AB547" s="48" t="n"/>
      <c r="AC547" s="48" t="n"/>
    </row>
    <row r="548" ht="13" customHeight="1" s="68">
      <c r="E548" s="48" t="n"/>
      <c r="F548" s="48" t="n"/>
      <c r="G548" s="49" t="n"/>
      <c r="J548" s="48" t="n"/>
      <c r="K548" s="48" t="n"/>
      <c r="L548" s="48" t="n"/>
      <c r="M548" s="1" t="n"/>
      <c r="W548" s="48" t="n"/>
      <c r="X548" s="48" t="n"/>
      <c r="Y548" s="48" t="n"/>
      <c r="Z548" s="48" t="n"/>
      <c r="AA548" s="48" t="n"/>
      <c r="AB548" s="48" t="n"/>
      <c r="AC548" s="48" t="n"/>
    </row>
    <row r="549" ht="13" customHeight="1" s="68">
      <c r="E549" s="48" t="n"/>
      <c r="F549" s="48" t="n"/>
      <c r="G549" s="49" t="n"/>
      <c r="J549" s="48" t="n"/>
      <c r="K549" s="48" t="n"/>
      <c r="L549" s="48" t="n"/>
      <c r="M549" s="1" t="n"/>
      <c r="W549" s="48" t="n"/>
      <c r="X549" s="48" t="n"/>
      <c r="Y549" s="48" t="n"/>
      <c r="Z549" s="48" t="n"/>
      <c r="AA549" s="48" t="n"/>
      <c r="AB549" s="48" t="n"/>
      <c r="AC549" s="48" t="n"/>
    </row>
    <row r="550" ht="13" customHeight="1" s="68">
      <c r="E550" s="48" t="n"/>
      <c r="F550" s="48" t="n"/>
      <c r="G550" s="49" t="n"/>
      <c r="J550" s="48" t="n"/>
      <c r="K550" s="48" t="n"/>
      <c r="L550" s="48" t="n"/>
      <c r="M550" s="1" t="n"/>
      <c r="W550" s="48" t="n"/>
      <c r="X550" s="48" t="n"/>
      <c r="Y550" s="48" t="n"/>
      <c r="Z550" s="48" t="n"/>
      <c r="AA550" s="48" t="n"/>
      <c r="AB550" s="48" t="n"/>
      <c r="AC550" s="48" t="n"/>
    </row>
    <row r="551" ht="13" customHeight="1" s="68">
      <c r="E551" s="48" t="n"/>
      <c r="F551" s="48" t="n"/>
      <c r="G551" s="49" t="n"/>
      <c r="J551" s="48" t="n"/>
      <c r="K551" s="48" t="n"/>
      <c r="L551" s="48" t="n"/>
      <c r="M551" s="1" t="n"/>
      <c r="W551" s="48" t="n"/>
      <c r="X551" s="48" t="n"/>
      <c r="Y551" s="48" t="n"/>
      <c r="Z551" s="48" t="n"/>
      <c r="AA551" s="48" t="n"/>
      <c r="AB551" s="48" t="n"/>
      <c r="AC551" s="48" t="n"/>
    </row>
    <row r="552" ht="13" customHeight="1" s="68">
      <c r="E552" s="48" t="n"/>
      <c r="F552" s="48" t="n"/>
      <c r="G552" s="49" t="n"/>
      <c r="J552" s="48" t="n"/>
      <c r="K552" s="48" t="n"/>
      <c r="L552" s="48" t="n"/>
      <c r="M552" s="1" t="n"/>
      <c r="W552" s="48" t="n"/>
      <c r="X552" s="48" t="n"/>
      <c r="Y552" s="48" t="n"/>
      <c r="Z552" s="48" t="n"/>
      <c r="AA552" s="48" t="n"/>
      <c r="AB552" s="48" t="n"/>
      <c r="AC552" s="48" t="n"/>
    </row>
    <row r="553" ht="13" customHeight="1" s="68">
      <c r="E553" s="48" t="n"/>
      <c r="F553" s="48" t="n"/>
      <c r="G553" s="49" t="n"/>
      <c r="J553" s="48" t="n"/>
      <c r="K553" s="48" t="n"/>
      <c r="L553" s="48" t="n"/>
      <c r="M553" s="1" t="n"/>
      <c r="W553" s="48" t="n"/>
      <c r="X553" s="48" t="n"/>
      <c r="Y553" s="48" t="n"/>
      <c r="Z553" s="48" t="n"/>
      <c r="AA553" s="48" t="n"/>
      <c r="AB553" s="48" t="n"/>
      <c r="AC553" s="48" t="n"/>
    </row>
    <row r="554" ht="13" customHeight="1" s="68">
      <c r="E554" s="48" t="n"/>
      <c r="F554" s="48" t="n"/>
      <c r="G554" s="49" t="n"/>
      <c r="J554" s="48" t="n"/>
      <c r="K554" s="48" t="n"/>
      <c r="L554" s="48" t="n"/>
      <c r="M554" s="1" t="n"/>
      <c r="W554" s="48" t="n"/>
      <c r="X554" s="48" t="n"/>
      <c r="Y554" s="48" t="n"/>
      <c r="Z554" s="48" t="n"/>
      <c r="AA554" s="48" t="n"/>
      <c r="AB554" s="48" t="n"/>
      <c r="AC554" s="48" t="n"/>
    </row>
    <row r="555" ht="13" customHeight="1" s="68">
      <c r="E555" s="48" t="n"/>
      <c r="F555" s="48" t="n"/>
      <c r="G555" s="49" t="n"/>
      <c r="J555" s="48" t="n"/>
      <c r="K555" s="48" t="n"/>
      <c r="L555" s="48" t="n"/>
      <c r="M555" s="1" t="n"/>
      <c r="W555" s="48" t="n"/>
      <c r="X555" s="48" t="n"/>
      <c r="Y555" s="48" t="n"/>
      <c r="Z555" s="48" t="n"/>
      <c r="AA555" s="48" t="n"/>
      <c r="AB555" s="48" t="n"/>
      <c r="AC555" s="48" t="n"/>
    </row>
    <row r="556" ht="13" customHeight="1" s="68">
      <c r="E556" s="48" t="n"/>
      <c r="F556" s="48" t="n"/>
      <c r="G556" s="49" t="n"/>
      <c r="J556" s="48" t="n"/>
      <c r="K556" s="48" t="n"/>
      <c r="L556" s="48" t="n"/>
      <c r="M556" s="1" t="n"/>
      <c r="W556" s="48" t="n"/>
      <c r="X556" s="48" t="n"/>
      <c r="Y556" s="48" t="n"/>
      <c r="Z556" s="48" t="n"/>
      <c r="AA556" s="48" t="n"/>
      <c r="AB556" s="48" t="n"/>
      <c r="AC556" s="48" t="n"/>
    </row>
    <row r="557" ht="13" customHeight="1" s="68">
      <c r="E557" s="48" t="n"/>
      <c r="F557" s="48" t="n"/>
      <c r="G557" s="49" t="n"/>
      <c r="J557" s="48" t="n"/>
      <c r="K557" s="48" t="n"/>
      <c r="L557" s="48" t="n"/>
      <c r="M557" s="1" t="n"/>
      <c r="W557" s="48" t="n"/>
      <c r="X557" s="48" t="n"/>
      <c r="Y557" s="48" t="n"/>
      <c r="Z557" s="48" t="n"/>
      <c r="AA557" s="48" t="n"/>
      <c r="AB557" s="48" t="n"/>
      <c r="AC557" s="48" t="n"/>
    </row>
    <row r="558" ht="13" customHeight="1" s="68">
      <c r="E558" s="48" t="n"/>
      <c r="F558" s="48" t="n"/>
      <c r="G558" s="49" t="n"/>
      <c r="J558" s="48" t="n"/>
      <c r="K558" s="48" t="n"/>
      <c r="L558" s="48" t="n"/>
      <c r="M558" s="1" t="n"/>
      <c r="W558" s="48" t="n"/>
      <c r="X558" s="48" t="n"/>
      <c r="Y558" s="48" t="n"/>
      <c r="Z558" s="48" t="n"/>
      <c r="AA558" s="48" t="n"/>
      <c r="AB558" s="48" t="n"/>
      <c r="AC558" s="48" t="n"/>
    </row>
    <row r="559" ht="13" customHeight="1" s="68">
      <c r="E559" s="48" t="n"/>
      <c r="F559" s="48" t="n"/>
      <c r="G559" s="49" t="n"/>
      <c r="J559" s="48" t="n"/>
      <c r="K559" s="48" t="n"/>
      <c r="L559" s="48" t="n"/>
      <c r="M559" s="1" t="n"/>
      <c r="W559" s="48" t="n"/>
      <c r="X559" s="48" t="n"/>
      <c r="Y559" s="48" t="n"/>
      <c r="Z559" s="48" t="n"/>
      <c r="AA559" s="48" t="n"/>
      <c r="AB559" s="48" t="n"/>
      <c r="AC559" s="48" t="n"/>
    </row>
    <row r="560" ht="13" customHeight="1" s="68">
      <c r="E560" s="48" t="n"/>
      <c r="F560" s="48" t="n"/>
      <c r="G560" s="49" t="n"/>
      <c r="J560" s="48" t="n"/>
      <c r="K560" s="48" t="n"/>
      <c r="L560" s="48" t="n"/>
      <c r="M560" s="1" t="n"/>
      <c r="W560" s="48" t="n"/>
      <c r="X560" s="48" t="n"/>
      <c r="Y560" s="48" t="n"/>
      <c r="Z560" s="48" t="n"/>
      <c r="AA560" s="48" t="n"/>
      <c r="AB560" s="48" t="n"/>
      <c r="AC560" s="48" t="n"/>
    </row>
    <row r="561" ht="13" customHeight="1" s="68">
      <c r="E561" s="48" t="n"/>
      <c r="F561" s="48" t="n"/>
      <c r="G561" s="49" t="n"/>
      <c r="J561" s="48" t="n"/>
      <c r="K561" s="48" t="n"/>
      <c r="L561" s="48" t="n"/>
      <c r="M561" s="1" t="n"/>
      <c r="W561" s="48" t="n"/>
      <c r="X561" s="48" t="n"/>
      <c r="Y561" s="48" t="n"/>
      <c r="Z561" s="48" t="n"/>
      <c r="AA561" s="48" t="n"/>
      <c r="AB561" s="48" t="n"/>
      <c r="AC561" s="48" t="n"/>
    </row>
    <row r="562" ht="13" customHeight="1" s="68">
      <c r="E562" s="48" t="n"/>
      <c r="F562" s="48" t="n"/>
      <c r="G562" s="49" t="n"/>
      <c r="J562" s="48" t="n"/>
      <c r="K562" s="48" t="n"/>
      <c r="L562" s="48" t="n"/>
      <c r="M562" s="1" t="n"/>
      <c r="W562" s="48" t="n"/>
      <c r="X562" s="48" t="n"/>
      <c r="Y562" s="48" t="n"/>
      <c r="Z562" s="48" t="n"/>
      <c r="AA562" s="48" t="n"/>
      <c r="AB562" s="48" t="n"/>
      <c r="AC562" s="48" t="n"/>
    </row>
    <row r="563" ht="13" customHeight="1" s="68">
      <c r="E563" s="48" t="n"/>
      <c r="F563" s="48" t="n"/>
      <c r="G563" s="49" t="n"/>
      <c r="J563" s="48" t="n"/>
      <c r="K563" s="48" t="n"/>
      <c r="L563" s="48" t="n"/>
      <c r="M563" s="1" t="n"/>
      <c r="W563" s="48" t="n"/>
      <c r="X563" s="48" t="n"/>
      <c r="Y563" s="48" t="n"/>
      <c r="Z563" s="48" t="n"/>
      <c r="AA563" s="48" t="n"/>
      <c r="AB563" s="48" t="n"/>
      <c r="AC563" s="48" t="n"/>
    </row>
    <row r="564" ht="13" customHeight="1" s="68">
      <c r="E564" s="48" t="n"/>
      <c r="F564" s="48" t="n"/>
      <c r="G564" s="49" t="n"/>
      <c r="J564" s="48" t="n"/>
      <c r="K564" s="48" t="n"/>
      <c r="L564" s="48" t="n"/>
      <c r="M564" s="1" t="n"/>
      <c r="W564" s="48" t="n"/>
      <c r="X564" s="48" t="n"/>
      <c r="Y564" s="48" t="n"/>
      <c r="Z564" s="48" t="n"/>
      <c r="AA564" s="48" t="n"/>
      <c r="AB564" s="48" t="n"/>
      <c r="AC564" s="48" t="n"/>
    </row>
    <row r="565" ht="13" customHeight="1" s="68">
      <c r="E565" s="48" t="n"/>
      <c r="F565" s="48" t="n"/>
      <c r="G565" s="49" t="n"/>
      <c r="J565" s="48" t="n"/>
      <c r="K565" s="48" t="n"/>
      <c r="L565" s="48" t="n"/>
      <c r="M565" s="1" t="n"/>
      <c r="W565" s="48" t="n"/>
      <c r="X565" s="48" t="n"/>
      <c r="Y565" s="48" t="n"/>
      <c r="Z565" s="48" t="n"/>
      <c r="AA565" s="48" t="n"/>
      <c r="AB565" s="48" t="n"/>
      <c r="AC565" s="48" t="n"/>
    </row>
    <row r="566" ht="13" customHeight="1" s="68">
      <c r="E566" s="48" t="n"/>
      <c r="F566" s="48" t="n"/>
      <c r="G566" s="49" t="n"/>
      <c r="J566" s="48" t="n"/>
      <c r="K566" s="48" t="n"/>
      <c r="L566" s="48" t="n"/>
      <c r="M566" s="1" t="n"/>
      <c r="W566" s="48" t="n"/>
      <c r="X566" s="48" t="n"/>
      <c r="Y566" s="48" t="n"/>
      <c r="Z566" s="48" t="n"/>
      <c r="AA566" s="48" t="n"/>
      <c r="AB566" s="48" t="n"/>
      <c r="AC566" s="48" t="n"/>
    </row>
    <row r="567" ht="13" customHeight="1" s="68">
      <c r="E567" s="48" t="n"/>
      <c r="F567" s="48" t="n"/>
      <c r="G567" s="49" t="n"/>
      <c r="J567" s="48" t="n"/>
      <c r="K567" s="48" t="n"/>
      <c r="L567" s="48" t="n"/>
      <c r="M567" s="1" t="n"/>
      <c r="W567" s="48" t="n"/>
      <c r="X567" s="48" t="n"/>
      <c r="Y567" s="48" t="n"/>
      <c r="Z567" s="48" t="n"/>
      <c r="AA567" s="48" t="n"/>
      <c r="AB567" s="48" t="n"/>
      <c r="AC567" s="48" t="n"/>
    </row>
    <row r="568" ht="13" customHeight="1" s="68">
      <c r="E568" s="48" t="n"/>
      <c r="F568" s="48" t="n"/>
      <c r="G568" s="49" t="n"/>
      <c r="J568" s="48" t="n"/>
      <c r="K568" s="48" t="n"/>
      <c r="L568" s="48" t="n"/>
      <c r="M568" s="1" t="n"/>
      <c r="W568" s="48" t="n"/>
      <c r="X568" s="48" t="n"/>
      <c r="Y568" s="48" t="n"/>
      <c r="Z568" s="48" t="n"/>
      <c r="AA568" s="48" t="n"/>
      <c r="AB568" s="48" t="n"/>
      <c r="AC568" s="48" t="n"/>
    </row>
    <row r="569" ht="13" customHeight="1" s="68">
      <c r="E569" s="48" t="n"/>
      <c r="F569" s="48" t="n"/>
      <c r="G569" s="49" t="n"/>
      <c r="J569" s="48" t="n"/>
      <c r="K569" s="48" t="n"/>
      <c r="L569" s="48" t="n"/>
      <c r="M569" s="1" t="n"/>
      <c r="W569" s="48" t="n"/>
      <c r="X569" s="48" t="n"/>
      <c r="Y569" s="48" t="n"/>
      <c r="Z569" s="48" t="n"/>
      <c r="AA569" s="48" t="n"/>
      <c r="AB569" s="48" t="n"/>
      <c r="AC569" s="48" t="n"/>
    </row>
    <row r="570" ht="13" customHeight="1" s="68">
      <c r="E570" s="48" t="n"/>
      <c r="F570" s="48" t="n"/>
      <c r="G570" s="49" t="n"/>
      <c r="J570" s="48" t="n"/>
      <c r="K570" s="48" t="n"/>
      <c r="L570" s="48" t="n"/>
      <c r="M570" s="1" t="n"/>
      <c r="W570" s="48" t="n"/>
      <c r="X570" s="48" t="n"/>
      <c r="Y570" s="48" t="n"/>
      <c r="Z570" s="48" t="n"/>
      <c r="AA570" s="48" t="n"/>
      <c r="AB570" s="48" t="n"/>
      <c r="AC570" s="48" t="n"/>
    </row>
    <row r="571" ht="13" customHeight="1" s="68">
      <c r="E571" s="48" t="n"/>
      <c r="F571" s="48" t="n"/>
      <c r="G571" s="49" t="n"/>
      <c r="J571" s="48" t="n"/>
      <c r="K571" s="48" t="n"/>
      <c r="L571" s="48" t="n"/>
      <c r="M571" s="1" t="n"/>
      <c r="W571" s="48" t="n"/>
      <c r="X571" s="48" t="n"/>
      <c r="Y571" s="48" t="n"/>
      <c r="Z571" s="48" t="n"/>
      <c r="AA571" s="48" t="n"/>
      <c r="AB571" s="48" t="n"/>
      <c r="AC571" s="48" t="n"/>
    </row>
    <row r="572" ht="13" customHeight="1" s="68">
      <c r="E572" s="48" t="n"/>
      <c r="F572" s="48" t="n"/>
      <c r="G572" s="49" t="n"/>
      <c r="J572" s="48" t="n"/>
      <c r="K572" s="48" t="n"/>
      <c r="L572" s="48" t="n"/>
      <c r="M572" s="1" t="n"/>
      <c r="W572" s="48" t="n"/>
      <c r="X572" s="48" t="n"/>
      <c r="Y572" s="48" t="n"/>
      <c r="Z572" s="48" t="n"/>
      <c r="AA572" s="48" t="n"/>
      <c r="AB572" s="48" t="n"/>
      <c r="AC572" s="48" t="n"/>
    </row>
    <row r="573" ht="13" customHeight="1" s="68">
      <c r="E573" s="48" t="n"/>
      <c r="F573" s="48" t="n"/>
      <c r="G573" s="49" t="n"/>
      <c r="J573" s="48" t="n"/>
      <c r="K573" s="48" t="n"/>
      <c r="L573" s="48" t="n"/>
      <c r="M573" s="1" t="n"/>
      <c r="W573" s="48" t="n"/>
      <c r="X573" s="48" t="n"/>
      <c r="Y573" s="48" t="n"/>
      <c r="Z573" s="48" t="n"/>
      <c r="AA573" s="48" t="n"/>
      <c r="AB573" s="48" t="n"/>
      <c r="AC573" s="48" t="n"/>
    </row>
    <row r="574" ht="13" customHeight="1" s="68">
      <c r="E574" s="48" t="n"/>
      <c r="F574" s="48" t="n"/>
      <c r="G574" s="49" t="n"/>
      <c r="J574" s="48" t="n"/>
      <c r="K574" s="48" t="n"/>
      <c r="L574" s="48" t="n"/>
      <c r="M574" s="1" t="n"/>
      <c r="W574" s="48" t="n"/>
      <c r="X574" s="48" t="n"/>
      <c r="Y574" s="48" t="n"/>
      <c r="Z574" s="48" t="n"/>
      <c r="AA574" s="48" t="n"/>
      <c r="AB574" s="48" t="n"/>
      <c r="AC574" s="48" t="n"/>
    </row>
    <row r="575" ht="13" customHeight="1" s="68">
      <c r="E575" s="48" t="n"/>
      <c r="F575" s="48" t="n"/>
      <c r="G575" s="49" t="n"/>
      <c r="J575" s="48" t="n"/>
      <c r="K575" s="48" t="n"/>
      <c r="L575" s="48" t="n"/>
      <c r="M575" s="1" t="n"/>
      <c r="W575" s="48" t="n"/>
      <c r="X575" s="48" t="n"/>
      <c r="Y575" s="48" t="n"/>
      <c r="Z575" s="48" t="n"/>
      <c r="AA575" s="48" t="n"/>
      <c r="AB575" s="48" t="n"/>
      <c r="AC575" s="48" t="n"/>
    </row>
    <row r="576" ht="13" customHeight="1" s="68">
      <c r="E576" s="48" t="n"/>
      <c r="F576" s="48" t="n"/>
      <c r="G576" s="49" t="n"/>
      <c r="J576" s="48" t="n"/>
      <c r="K576" s="48" t="n"/>
      <c r="L576" s="48" t="n"/>
      <c r="M576" s="1" t="n"/>
      <c r="W576" s="48" t="n"/>
      <c r="X576" s="48" t="n"/>
      <c r="Y576" s="48" t="n"/>
      <c r="Z576" s="48" t="n"/>
      <c r="AA576" s="48" t="n"/>
      <c r="AB576" s="48" t="n"/>
      <c r="AC576" s="48" t="n"/>
    </row>
    <row r="577" ht="13" customHeight="1" s="68">
      <c r="E577" s="48" t="n"/>
      <c r="F577" s="48" t="n"/>
      <c r="G577" s="49" t="n"/>
      <c r="J577" s="48" t="n"/>
      <c r="K577" s="48" t="n"/>
      <c r="L577" s="48" t="n"/>
      <c r="M577" s="1" t="n"/>
      <c r="W577" s="48" t="n"/>
      <c r="X577" s="48" t="n"/>
      <c r="Y577" s="48" t="n"/>
      <c r="Z577" s="48" t="n"/>
      <c r="AA577" s="48" t="n"/>
      <c r="AB577" s="48" t="n"/>
      <c r="AC577" s="48" t="n"/>
    </row>
    <row r="578" ht="13" customHeight="1" s="68">
      <c r="E578" s="48" t="n"/>
      <c r="F578" s="48" t="n"/>
      <c r="G578" s="49" t="n"/>
      <c r="J578" s="48" t="n"/>
      <c r="K578" s="48" t="n"/>
      <c r="L578" s="48" t="n"/>
      <c r="M578" s="1" t="n"/>
      <c r="W578" s="48" t="n"/>
      <c r="X578" s="48" t="n"/>
      <c r="Y578" s="48" t="n"/>
      <c r="Z578" s="48" t="n"/>
      <c r="AA578" s="48" t="n"/>
      <c r="AB578" s="48" t="n"/>
      <c r="AC578" s="48" t="n"/>
    </row>
    <row r="579" ht="13" customHeight="1" s="68">
      <c r="E579" s="48" t="n"/>
      <c r="F579" s="48" t="n"/>
      <c r="G579" s="49" t="n"/>
      <c r="J579" s="48" t="n"/>
      <c r="K579" s="48" t="n"/>
      <c r="L579" s="48" t="n"/>
      <c r="M579" s="1" t="n"/>
      <c r="W579" s="48" t="n"/>
      <c r="X579" s="48" t="n"/>
      <c r="Y579" s="48" t="n"/>
      <c r="Z579" s="48" t="n"/>
      <c r="AA579" s="48" t="n"/>
      <c r="AB579" s="48" t="n"/>
      <c r="AC579" s="48" t="n"/>
    </row>
    <row r="580" ht="13" customHeight="1" s="68">
      <c r="E580" s="48" t="n"/>
      <c r="F580" s="48" t="n"/>
      <c r="G580" s="49" t="n"/>
      <c r="J580" s="48" t="n"/>
      <c r="K580" s="48" t="n"/>
      <c r="L580" s="48" t="n"/>
      <c r="M580" s="1" t="n"/>
      <c r="W580" s="48" t="n"/>
      <c r="X580" s="48" t="n"/>
      <c r="Y580" s="48" t="n"/>
      <c r="Z580" s="48" t="n"/>
      <c r="AA580" s="48" t="n"/>
      <c r="AB580" s="48" t="n"/>
      <c r="AC580" s="48" t="n"/>
    </row>
    <row r="581" ht="13" customHeight="1" s="68">
      <c r="E581" s="48" t="n"/>
      <c r="F581" s="48" t="n"/>
      <c r="G581" s="49" t="n"/>
      <c r="J581" s="48" t="n"/>
      <c r="K581" s="48" t="n"/>
      <c r="L581" s="48" t="n"/>
      <c r="M581" s="1" t="n"/>
      <c r="W581" s="48" t="n"/>
      <c r="X581" s="48" t="n"/>
      <c r="Y581" s="48" t="n"/>
      <c r="Z581" s="48" t="n"/>
      <c r="AA581" s="48" t="n"/>
      <c r="AB581" s="48" t="n"/>
      <c r="AC581" s="48" t="n"/>
    </row>
    <row r="582" ht="13" customHeight="1" s="68">
      <c r="E582" s="48" t="n"/>
      <c r="F582" s="48" t="n"/>
      <c r="G582" s="49" t="n"/>
      <c r="J582" s="48" t="n"/>
      <c r="K582" s="48" t="n"/>
      <c r="L582" s="48" t="n"/>
      <c r="M582" s="1" t="n"/>
      <c r="W582" s="48" t="n"/>
      <c r="X582" s="48" t="n"/>
      <c r="Y582" s="48" t="n"/>
      <c r="Z582" s="48" t="n"/>
      <c r="AA582" s="48" t="n"/>
      <c r="AB582" s="48" t="n"/>
      <c r="AC582" s="48" t="n"/>
    </row>
    <row r="583" ht="13" customHeight="1" s="68">
      <c r="E583" s="48" t="n"/>
      <c r="F583" s="48" t="n"/>
      <c r="G583" s="49" t="n"/>
      <c r="J583" s="48" t="n"/>
      <c r="K583" s="48" t="n"/>
      <c r="L583" s="48" t="n"/>
      <c r="M583" s="1" t="n"/>
      <c r="W583" s="48" t="n"/>
      <c r="X583" s="48" t="n"/>
      <c r="Y583" s="48" t="n"/>
      <c r="Z583" s="48" t="n"/>
      <c r="AA583" s="48" t="n"/>
      <c r="AB583" s="48" t="n"/>
      <c r="AC583" s="48" t="n"/>
    </row>
    <row r="584" ht="13" customHeight="1" s="68">
      <c r="E584" s="48" t="n"/>
      <c r="F584" s="48" t="n"/>
      <c r="G584" s="49" t="n"/>
      <c r="J584" s="48" t="n"/>
      <c r="K584" s="48" t="n"/>
      <c r="L584" s="48" t="n"/>
      <c r="M584" s="1" t="n"/>
      <c r="W584" s="48" t="n"/>
      <c r="X584" s="48" t="n"/>
      <c r="Y584" s="48" t="n"/>
      <c r="Z584" s="48" t="n"/>
      <c r="AA584" s="48" t="n"/>
      <c r="AB584" s="48" t="n"/>
      <c r="AC584" s="48" t="n"/>
    </row>
    <row r="585" ht="13" customHeight="1" s="68">
      <c r="E585" s="48" t="n"/>
      <c r="F585" s="48" t="n"/>
      <c r="G585" s="49" t="n"/>
      <c r="J585" s="48" t="n"/>
      <c r="K585" s="48" t="n"/>
      <c r="L585" s="48" t="n"/>
      <c r="M585" s="1" t="n"/>
      <c r="W585" s="48" t="n"/>
      <c r="X585" s="48" t="n"/>
      <c r="Y585" s="48" t="n"/>
      <c r="Z585" s="48" t="n"/>
      <c r="AA585" s="48" t="n"/>
      <c r="AB585" s="48" t="n"/>
      <c r="AC585" s="48" t="n"/>
    </row>
    <row r="586" ht="13" customHeight="1" s="68">
      <c r="E586" s="48" t="n"/>
      <c r="F586" s="48" t="n"/>
      <c r="G586" s="49" t="n"/>
      <c r="J586" s="48" t="n"/>
      <c r="K586" s="48" t="n"/>
      <c r="L586" s="48" t="n"/>
      <c r="M586" s="1" t="n"/>
      <c r="W586" s="48" t="n"/>
      <c r="X586" s="48" t="n"/>
      <c r="Y586" s="48" t="n"/>
      <c r="Z586" s="48" t="n"/>
      <c r="AA586" s="48" t="n"/>
      <c r="AB586" s="48" t="n"/>
      <c r="AC586" s="48" t="n"/>
    </row>
    <row r="587" ht="13" customHeight="1" s="68">
      <c r="E587" s="48" t="n"/>
      <c r="F587" s="48" t="n"/>
      <c r="G587" s="49" t="n"/>
      <c r="J587" s="48" t="n"/>
      <c r="K587" s="48" t="n"/>
      <c r="L587" s="48" t="n"/>
      <c r="M587" s="1" t="n"/>
      <c r="W587" s="48" t="n"/>
      <c r="X587" s="48" t="n"/>
      <c r="Y587" s="48" t="n"/>
      <c r="Z587" s="48" t="n"/>
      <c r="AA587" s="48" t="n"/>
      <c r="AB587" s="48" t="n"/>
      <c r="AC587" s="48" t="n"/>
    </row>
    <row r="588" ht="13" customHeight="1" s="68">
      <c r="E588" s="48" t="n"/>
      <c r="F588" s="48" t="n"/>
      <c r="G588" s="49" t="n"/>
      <c r="J588" s="48" t="n"/>
      <c r="K588" s="48" t="n"/>
      <c r="L588" s="48" t="n"/>
      <c r="M588" s="1" t="n"/>
      <c r="W588" s="48" t="n"/>
      <c r="X588" s="48" t="n"/>
      <c r="Y588" s="48" t="n"/>
      <c r="Z588" s="48" t="n"/>
      <c r="AA588" s="48" t="n"/>
      <c r="AB588" s="48" t="n"/>
      <c r="AC588" s="48" t="n"/>
    </row>
    <row r="589" ht="13" customHeight="1" s="68">
      <c r="E589" s="48" t="n"/>
      <c r="F589" s="48" t="n"/>
      <c r="G589" s="49" t="n"/>
      <c r="J589" s="48" t="n"/>
      <c r="K589" s="48" t="n"/>
      <c r="L589" s="48" t="n"/>
      <c r="M589" s="1" t="n"/>
      <c r="W589" s="48" t="n"/>
      <c r="X589" s="48" t="n"/>
      <c r="Y589" s="48" t="n"/>
      <c r="Z589" s="48" t="n"/>
      <c r="AA589" s="48" t="n"/>
      <c r="AB589" s="48" t="n"/>
      <c r="AC589" s="48" t="n"/>
    </row>
    <row r="590" ht="13" customHeight="1" s="68">
      <c r="E590" s="48" t="n"/>
      <c r="F590" s="48" t="n"/>
      <c r="G590" s="49" t="n"/>
      <c r="J590" s="48" t="n"/>
      <c r="K590" s="48" t="n"/>
      <c r="L590" s="48" t="n"/>
      <c r="M590" s="1" t="n"/>
      <c r="W590" s="48" t="n"/>
      <c r="X590" s="48" t="n"/>
      <c r="Y590" s="48" t="n"/>
      <c r="Z590" s="48" t="n"/>
      <c r="AA590" s="48" t="n"/>
      <c r="AB590" s="48" t="n"/>
      <c r="AC590" s="48" t="n"/>
    </row>
    <row r="591" ht="13" customHeight="1" s="68">
      <c r="E591" s="48" t="n"/>
      <c r="F591" s="48" t="n"/>
      <c r="G591" s="49" t="n"/>
      <c r="J591" s="48" t="n"/>
      <c r="K591" s="48" t="n"/>
      <c r="L591" s="48" t="n"/>
      <c r="M591" s="1" t="n"/>
      <c r="W591" s="48" t="n"/>
      <c r="X591" s="48" t="n"/>
      <c r="Y591" s="48" t="n"/>
      <c r="Z591" s="48" t="n"/>
      <c r="AA591" s="48" t="n"/>
      <c r="AB591" s="48" t="n"/>
      <c r="AC591" s="48" t="n"/>
    </row>
    <row r="592" ht="13" customHeight="1" s="68">
      <c r="E592" s="48" t="n"/>
      <c r="F592" s="48" t="n"/>
      <c r="G592" s="49" t="n"/>
      <c r="J592" s="48" t="n"/>
      <c r="K592" s="48" t="n"/>
      <c r="L592" s="48" t="n"/>
      <c r="M592" s="1" t="n"/>
      <c r="W592" s="48" t="n"/>
      <c r="X592" s="48" t="n"/>
      <c r="Y592" s="48" t="n"/>
      <c r="Z592" s="48" t="n"/>
      <c r="AA592" s="48" t="n"/>
      <c r="AB592" s="48" t="n"/>
      <c r="AC592" s="48" t="n"/>
    </row>
    <row r="593" ht="13" customHeight="1" s="68">
      <c r="E593" s="48" t="n"/>
      <c r="F593" s="48" t="n"/>
      <c r="G593" s="49" t="n"/>
      <c r="J593" s="48" t="n"/>
      <c r="K593" s="48" t="n"/>
      <c r="L593" s="48" t="n"/>
      <c r="M593" s="1" t="n"/>
      <c r="W593" s="48" t="n"/>
      <c r="X593" s="48" t="n"/>
      <c r="Y593" s="48" t="n"/>
      <c r="Z593" s="48" t="n"/>
      <c r="AA593" s="48" t="n"/>
      <c r="AB593" s="48" t="n"/>
      <c r="AC593" s="48" t="n"/>
    </row>
    <row r="594" ht="13" customHeight="1" s="68">
      <c r="E594" s="48" t="n"/>
      <c r="F594" s="48" t="n"/>
      <c r="G594" s="49" t="n"/>
      <c r="J594" s="48" t="n"/>
      <c r="K594" s="48" t="n"/>
      <c r="L594" s="48" t="n"/>
      <c r="M594" s="1" t="n"/>
      <c r="W594" s="48" t="n"/>
      <c r="X594" s="48" t="n"/>
      <c r="Y594" s="48" t="n"/>
      <c r="Z594" s="48" t="n"/>
      <c r="AA594" s="48" t="n"/>
      <c r="AB594" s="48" t="n"/>
      <c r="AC594" s="48" t="n"/>
    </row>
    <row r="595" ht="13" customHeight="1" s="68">
      <c r="E595" s="48" t="n"/>
      <c r="F595" s="48" t="n"/>
      <c r="G595" s="49" t="n"/>
      <c r="J595" s="48" t="n"/>
      <c r="K595" s="48" t="n"/>
      <c r="L595" s="48" t="n"/>
      <c r="M595" s="1" t="n"/>
      <c r="W595" s="48" t="n"/>
      <c r="X595" s="48" t="n"/>
      <c r="Y595" s="48" t="n"/>
      <c r="Z595" s="48" t="n"/>
      <c r="AA595" s="48" t="n"/>
      <c r="AB595" s="48" t="n"/>
      <c r="AC595" s="48" t="n"/>
    </row>
    <row r="596" ht="13" customHeight="1" s="68">
      <c r="E596" s="48" t="n"/>
      <c r="F596" s="48" t="n"/>
      <c r="G596" s="49" t="n"/>
      <c r="J596" s="48" t="n"/>
      <c r="K596" s="48" t="n"/>
      <c r="L596" s="48" t="n"/>
      <c r="M596" s="1" t="n"/>
      <c r="W596" s="48" t="n"/>
      <c r="X596" s="48" t="n"/>
      <c r="Y596" s="48" t="n"/>
      <c r="Z596" s="48" t="n"/>
      <c r="AA596" s="48" t="n"/>
      <c r="AB596" s="48" t="n"/>
      <c r="AC596" s="48" t="n"/>
    </row>
    <row r="597" ht="13" customHeight="1" s="68">
      <c r="E597" s="48" t="n"/>
      <c r="F597" s="48" t="n"/>
      <c r="G597" s="49" t="n"/>
      <c r="J597" s="48" t="n"/>
      <c r="K597" s="48" t="n"/>
      <c r="L597" s="48" t="n"/>
      <c r="M597" s="1" t="n"/>
      <c r="W597" s="48" t="n"/>
      <c r="X597" s="48" t="n"/>
      <c r="Y597" s="48" t="n"/>
      <c r="Z597" s="48" t="n"/>
      <c r="AA597" s="48" t="n"/>
      <c r="AB597" s="48" t="n"/>
      <c r="AC597" s="48" t="n"/>
    </row>
    <row r="598" ht="13" customHeight="1" s="68">
      <c r="E598" s="48" t="n"/>
      <c r="F598" s="48" t="n"/>
      <c r="G598" s="49" t="n"/>
      <c r="J598" s="48" t="n"/>
      <c r="K598" s="48" t="n"/>
      <c r="L598" s="48" t="n"/>
      <c r="M598" s="1" t="n"/>
      <c r="W598" s="48" t="n"/>
      <c r="X598" s="48" t="n"/>
      <c r="Y598" s="48" t="n"/>
      <c r="Z598" s="48" t="n"/>
      <c r="AA598" s="48" t="n"/>
      <c r="AB598" s="48" t="n"/>
      <c r="AC598" s="48" t="n"/>
    </row>
    <row r="599" ht="13" customHeight="1" s="68">
      <c r="E599" s="48" t="n"/>
      <c r="F599" s="48" t="n"/>
      <c r="G599" s="49" t="n"/>
      <c r="J599" s="48" t="n"/>
      <c r="K599" s="48" t="n"/>
      <c r="L599" s="48" t="n"/>
      <c r="M599" s="1" t="n"/>
      <c r="W599" s="48" t="n"/>
      <c r="X599" s="48" t="n"/>
      <c r="Y599" s="48" t="n"/>
      <c r="Z599" s="48" t="n"/>
      <c r="AA599" s="48" t="n"/>
      <c r="AB599" s="48" t="n"/>
      <c r="AC599" s="48" t="n"/>
    </row>
    <row r="600" ht="13" customHeight="1" s="68">
      <c r="E600" s="48" t="n"/>
      <c r="F600" s="48" t="n"/>
      <c r="G600" s="49" t="n"/>
      <c r="J600" s="48" t="n"/>
      <c r="K600" s="48" t="n"/>
      <c r="L600" s="48" t="n"/>
      <c r="M600" s="1" t="n"/>
      <c r="W600" s="48" t="n"/>
      <c r="X600" s="48" t="n"/>
      <c r="Y600" s="48" t="n"/>
      <c r="Z600" s="48" t="n"/>
      <c r="AA600" s="48" t="n"/>
      <c r="AB600" s="48" t="n"/>
      <c r="AC600" s="48" t="n"/>
    </row>
    <row r="601" ht="13" customHeight="1" s="68">
      <c r="E601" s="48" t="n"/>
      <c r="F601" s="48" t="n"/>
      <c r="G601" s="49" t="n"/>
      <c r="J601" s="48" t="n"/>
      <c r="K601" s="48" t="n"/>
      <c r="L601" s="48" t="n"/>
      <c r="M601" s="1" t="n"/>
      <c r="W601" s="48" t="n"/>
      <c r="X601" s="48" t="n"/>
      <c r="Y601" s="48" t="n"/>
      <c r="Z601" s="48" t="n"/>
      <c r="AA601" s="48" t="n"/>
      <c r="AB601" s="48" t="n"/>
      <c r="AC601" s="48" t="n"/>
    </row>
    <row r="602" ht="13" customHeight="1" s="68">
      <c r="E602" s="48" t="n"/>
      <c r="F602" s="48" t="n"/>
      <c r="G602" s="49" t="n"/>
      <c r="J602" s="48" t="n"/>
      <c r="K602" s="48" t="n"/>
      <c r="L602" s="48" t="n"/>
      <c r="M602" s="1" t="n"/>
      <c r="W602" s="48" t="n"/>
      <c r="X602" s="48" t="n"/>
      <c r="Y602" s="48" t="n"/>
      <c r="Z602" s="48" t="n"/>
      <c r="AA602" s="48" t="n"/>
      <c r="AB602" s="48" t="n"/>
      <c r="AC602" s="48" t="n"/>
    </row>
    <row r="603" ht="13" customHeight="1" s="68">
      <c r="E603" s="48" t="n"/>
      <c r="F603" s="48" t="n"/>
      <c r="G603" s="49" t="n"/>
      <c r="J603" s="48" t="n"/>
      <c r="K603" s="48" t="n"/>
      <c r="L603" s="48" t="n"/>
      <c r="M603" s="1" t="n"/>
      <c r="W603" s="48" t="n"/>
      <c r="X603" s="48" t="n"/>
      <c r="Y603" s="48" t="n"/>
      <c r="Z603" s="48" t="n"/>
      <c r="AA603" s="48" t="n"/>
      <c r="AB603" s="48" t="n"/>
      <c r="AC603" s="48" t="n"/>
    </row>
    <row r="604" ht="13" customHeight="1" s="68">
      <c r="E604" s="48" t="n"/>
      <c r="F604" s="48" t="n"/>
      <c r="G604" s="49" t="n"/>
      <c r="J604" s="48" t="n"/>
      <c r="K604" s="48" t="n"/>
      <c r="L604" s="48" t="n"/>
      <c r="M604" s="1" t="n"/>
      <c r="W604" s="48" t="n"/>
      <c r="X604" s="48" t="n"/>
      <c r="Y604" s="48" t="n"/>
      <c r="Z604" s="48" t="n"/>
      <c r="AA604" s="48" t="n"/>
      <c r="AB604" s="48" t="n"/>
      <c r="AC604" s="48" t="n"/>
    </row>
    <row r="605" ht="13" customHeight="1" s="68">
      <c r="E605" s="48" t="n"/>
      <c r="F605" s="48" t="n"/>
      <c r="G605" s="49" t="n"/>
      <c r="J605" s="48" t="n"/>
      <c r="K605" s="48" t="n"/>
      <c r="L605" s="48" t="n"/>
      <c r="M605" s="1" t="n"/>
      <c r="W605" s="48" t="n"/>
      <c r="X605" s="48" t="n"/>
      <c r="Y605" s="48" t="n"/>
      <c r="Z605" s="48" t="n"/>
      <c r="AA605" s="48" t="n"/>
      <c r="AB605" s="48" t="n"/>
      <c r="AC605" s="48" t="n"/>
    </row>
    <row r="606" ht="13" customHeight="1" s="68">
      <c r="E606" s="48" t="n"/>
      <c r="F606" s="48" t="n"/>
      <c r="G606" s="49" t="n"/>
      <c r="J606" s="48" t="n"/>
      <c r="K606" s="48" t="n"/>
      <c r="L606" s="48" t="n"/>
      <c r="M606" s="1" t="n"/>
      <c r="W606" s="48" t="n"/>
      <c r="X606" s="48" t="n"/>
      <c r="Y606" s="48" t="n"/>
      <c r="Z606" s="48" t="n"/>
      <c r="AA606" s="48" t="n"/>
      <c r="AB606" s="48" t="n"/>
      <c r="AC606" s="48" t="n"/>
    </row>
    <row r="607" ht="13" customHeight="1" s="68">
      <c r="E607" s="48" t="n"/>
      <c r="F607" s="48" t="n"/>
      <c r="G607" s="49" t="n"/>
      <c r="J607" s="48" t="n"/>
      <c r="K607" s="48" t="n"/>
      <c r="L607" s="48" t="n"/>
      <c r="M607" s="1" t="n"/>
      <c r="W607" s="48" t="n"/>
      <c r="X607" s="48" t="n"/>
      <c r="Y607" s="48" t="n"/>
      <c r="Z607" s="48" t="n"/>
      <c r="AA607" s="48" t="n"/>
      <c r="AB607" s="48" t="n"/>
      <c r="AC607" s="48" t="n"/>
    </row>
    <row r="608" ht="13" customHeight="1" s="68">
      <c r="E608" s="48" t="n"/>
      <c r="F608" s="48" t="n"/>
      <c r="G608" s="49" t="n"/>
      <c r="J608" s="48" t="n"/>
      <c r="K608" s="48" t="n"/>
      <c r="L608" s="48" t="n"/>
      <c r="M608" s="1" t="n"/>
      <c r="W608" s="48" t="n"/>
      <c r="X608" s="48" t="n"/>
      <c r="Y608" s="48" t="n"/>
      <c r="Z608" s="48" t="n"/>
      <c r="AA608" s="48" t="n"/>
      <c r="AB608" s="48" t="n"/>
      <c r="AC608" s="48" t="n"/>
    </row>
    <row r="609" ht="13" customHeight="1" s="68">
      <c r="E609" s="48" t="n"/>
      <c r="F609" s="48" t="n"/>
      <c r="G609" s="49" t="n"/>
      <c r="J609" s="48" t="n"/>
      <c r="K609" s="48" t="n"/>
      <c r="L609" s="48" t="n"/>
      <c r="M609" s="1" t="n"/>
      <c r="W609" s="48" t="n"/>
      <c r="X609" s="48" t="n"/>
      <c r="Y609" s="48" t="n"/>
      <c r="Z609" s="48" t="n"/>
      <c r="AA609" s="48" t="n"/>
      <c r="AB609" s="48" t="n"/>
      <c r="AC609" s="48" t="n"/>
    </row>
    <row r="610" ht="13" customHeight="1" s="68">
      <c r="E610" s="48" t="n"/>
      <c r="F610" s="48" t="n"/>
      <c r="G610" s="49" t="n"/>
      <c r="J610" s="48" t="n"/>
      <c r="K610" s="48" t="n"/>
      <c r="L610" s="48" t="n"/>
      <c r="M610" s="1" t="n"/>
      <c r="W610" s="48" t="n"/>
      <c r="X610" s="48" t="n"/>
      <c r="Y610" s="48" t="n"/>
      <c r="Z610" s="48" t="n"/>
      <c r="AA610" s="48" t="n"/>
      <c r="AB610" s="48" t="n"/>
      <c r="AC610" s="48" t="n"/>
    </row>
    <row r="611" ht="13" customHeight="1" s="68">
      <c r="E611" s="48" t="n"/>
      <c r="F611" s="48" t="n"/>
      <c r="G611" s="49" t="n"/>
      <c r="J611" s="48" t="n"/>
      <c r="K611" s="48" t="n"/>
      <c r="L611" s="48" t="n"/>
      <c r="M611" s="1" t="n"/>
      <c r="W611" s="48" t="n"/>
      <c r="X611" s="48" t="n"/>
      <c r="Y611" s="48" t="n"/>
      <c r="Z611" s="48" t="n"/>
      <c r="AA611" s="48" t="n"/>
      <c r="AB611" s="48" t="n"/>
      <c r="AC611" s="48" t="n"/>
    </row>
    <row r="612" ht="13" customHeight="1" s="68">
      <c r="E612" s="48" t="n"/>
      <c r="F612" s="48" t="n"/>
      <c r="G612" s="49" t="n"/>
      <c r="J612" s="48" t="n"/>
      <c r="K612" s="48" t="n"/>
      <c r="L612" s="48" t="n"/>
      <c r="M612" s="1" t="n"/>
      <c r="W612" s="48" t="n"/>
      <c r="X612" s="48" t="n"/>
      <c r="Y612" s="48" t="n"/>
      <c r="Z612" s="48" t="n"/>
      <c r="AA612" s="48" t="n"/>
      <c r="AB612" s="48" t="n"/>
      <c r="AC612" s="48" t="n"/>
    </row>
    <row r="613" ht="13" customHeight="1" s="68">
      <c r="E613" s="48" t="n"/>
      <c r="F613" s="48" t="n"/>
      <c r="G613" s="49" t="n"/>
      <c r="J613" s="48" t="n"/>
      <c r="K613" s="48" t="n"/>
      <c r="L613" s="48" t="n"/>
      <c r="M613" s="1" t="n"/>
      <c r="W613" s="48" t="n"/>
      <c r="X613" s="48" t="n"/>
      <c r="Y613" s="48" t="n"/>
      <c r="Z613" s="48" t="n"/>
      <c r="AA613" s="48" t="n"/>
      <c r="AB613" s="48" t="n"/>
      <c r="AC613" s="48" t="n"/>
    </row>
    <row r="614" ht="13" customHeight="1" s="68">
      <c r="E614" s="48" t="n"/>
      <c r="F614" s="48" t="n"/>
      <c r="G614" s="49" t="n"/>
      <c r="J614" s="48" t="n"/>
      <c r="K614" s="48" t="n"/>
      <c r="L614" s="48" t="n"/>
      <c r="M614" s="1" t="n"/>
      <c r="W614" s="48" t="n"/>
      <c r="X614" s="48" t="n"/>
      <c r="Y614" s="48" t="n"/>
      <c r="Z614" s="48" t="n"/>
      <c r="AA614" s="48" t="n"/>
      <c r="AB614" s="48" t="n"/>
      <c r="AC614" s="48" t="n"/>
    </row>
    <row r="615" ht="13" customHeight="1" s="68">
      <c r="E615" s="48" t="n"/>
      <c r="F615" s="48" t="n"/>
      <c r="G615" s="49" t="n"/>
      <c r="J615" s="48" t="n"/>
      <c r="K615" s="48" t="n"/>
      <c r="L615" s="48" t="n"/>
      <c r="M615" s="1" t="n"/>
      <c r="W615" s="48" t="n"/>
      <c r="X615" s="48" t="n"/>
      <c r="Y615" s="48" t="n"/>
      <c r="Z615" s="48" t="n"/>
      <c r="AA615" s="48" t="n"/>
      <c r="AB615" s="48" t="n"/>
      <c r="AC615" s="48" t="n"/>
    </row>
    <row r="616" ht="13" customHeight="1" s="68">
      <c r="E616" s="48" t="n"/>
      <c r="F616" s="48" t="n"/>
      <c r="G616" s="49" t="n"/>
      <c r="J616" s="48" t="n"/>
      <c r="K616" s="48" t="n"/>
      <c r="L616" s="48" t="n"/>
      <c r="M616" s="1" t="n"/>
      <c r="W616" s="48" t="n"/>
      <c r="X616" s="48" t="n"/>
      <c r="Y616" s="48" t="n"/>
      <c r="Z616" s="48" t="n"/>
      <c r="AA616" s="48" t="n"/>
      <c r="AB616" s="48" t="n"/>
      <c r="AC616" s="48" t="n"/>
    </row>
    <row r="617" ht="13" customHeight="1" s="68">
      <c r="E617" s="48" t="n"/>
      <c r="F617" s="48" t="n"/>
      <c r="G617" s="49" t="n"/>
      <c r="J617" s="48" t="n"/>
      <c r="K617" s="48" t="n"/>
      <c r="L617" s="48" t="n"/>
      <c r="M617" s="1" t="n"/>
      <c r="W617" s="48" t="n"/>
      <c r="X617" s="48" t="n"/>
      <c r="Y617" s="48" t="n"/>
      <c r="Z617" s="48" t="n"/>
      <c r="AA617" s="48" t="n"/>
      <c r="AB617" s="48" t="n"/>
      <c r="AC617" s="48" t="n"/>
    </row>
    <row r="618" ht="13" customHeight="1" s="68">
      <c r="E618" s="48" t="n"/>
      <c r="F618" s="48" t="n"/>
      <c r="G618" s="49" t="n"/>
      <c r="J618" s="48" t="n"/>
      <c r="K618" s="48" t="n"/>
      <c r="L618" s="48" t="n"/>
      <c r="M618" s="1" t="n"/>
      <c r="W618" s="48" t="n"/>
      <c r="X618" s="48" t="n"/>
      <c r="Y618" s="48" t="n"/>
      <c r="Z618" s="48" t="n"/>
      <c r="AA618" s="48" t="n"/>
      <c r="AB618" s="48" t="n"/>
      <c r="AC618" s="48" t="n"/>
    </row>
    <row r="619" ht="13" customHeight="1" s="68">
      <c r="E619" s="48" t="n"/>
      <c r="F619" s="48" t="n"/>
      <c r="G619" s="49" t="n"/>
      <c r="J619" s="48" t="n"/>
      <c r="K619" s="48" t="n"/>
      <c r="L619" s="48" t="n"/>
      <c r="M619" s="1" t="n"/>
      <c r="W619" s="48" t="n"/>
      <c r="X619" s="48" t="n"/>
      <c r="Y619" s="48" t="n"/>
      <c r="Z619" s="48" t="n"/>
      <c r="AA619" s="48" t="n"/>
      <c r="AB619" s="48" t="n"/>
      <c r="AC619" s="48" t="n"/>
    </row>
    <row r="620" ht="13" customHeight="1" s="68">
      <c r="E620" s="48" t="n"/>
      <c r="F620" s="48" t="n"/>
      <c r="G620" s="49" t="n"/>
      <c r="J620" s="48" t="n"/>
      <c r="K620" s="48" t="n"/>
      <c r="L620" s="48" t="n"/>
      <c r="M620" s="1" t="n"/>
      <c r="W620" s="48" t="n"/>
      <c r="X620" s="48" t="n"/>
      <c r="Y620" s="48" t="n"/>
      <c r="Z620" s="48" t="n"/>
      <c r="AA620" s="48" t="n"/>
      <c r="AB620" s="48" t="n"/>
      <c r="AC620" s="48" t="n"/>
    </row>
    <row r="621" ht="13" customHeight="1" s="68">
      <c r="E621" s="48" t="n"/>
      <c r="F621" s="48" t="n"/>
      <c r="G621" s="49" t="n"/>
      <c r="J621" s="48" t="n"/>
      <c r="K621" s="48" t="n"/>
      <c r="L621" s="48" t="n"/>
      <c r="M621" s="1" t="n"/>
      <c r="W621" s="48" t="n"/>
      <c r="X621" s="48" t="n"/>
      <c r="Y621" s="48" t="n"/>
      <c r="Z621" s="48" t="n"/>
      <c r="AA621" s="48" t="n"/>
      <c r="AB621" s="48" t="n"/>
      <c r="AC621" s="48" t="n"/>
    </row>
    <row r="622" ht="13" customHeight="1" s="68">
      <c r="E622" s="48" t="n"/>
      <c r="F622" s="48" t="n"/>
      <c r="G622" s="49" t="n"/>
      <c r="J622" s="48" t="n"/>
      <c r="K622" s="48" t="n"/>
      <c r="L622" s="48" t="n"/>
      <c r="M622" s="1" t="n"/>
      <c r="W622" s="48" t="n"/>
      <c r="X622" s="48" t="n"/>
      <c r="Y622" s="48" t="n"/>
      <c r="Z622" s="48" t="n"/>
      <c r="AA622" s="48" t="n"/>
      <c r="AB622" s="48" t="n"/>
      <c r="AC622" s="48" t="n"/>
    </row>
    <row r="623" ht="13" customHeight="1" s="68">
      <c r="E623" s="48" t="n"/>
      <c r="F623" s="48" t="n"/>
      <c r="G623" s="49" t="n"/>
      <c r="J623" s="48" t="n"/>
      <c r="K623" s="48" t="n"/>
      <c r="L623" s="48" t="n"/>
      <c r="M623" s="1" t="n"/>
      <c r="W623" s="48" t="n"/>
      <c r="X623" s="48" t="n"/>
      <c r="Y623" s="48" t="n"/>
      <c r="Z623" s="48" t="n"/>
      <c r="AA623" s="48" t="n"/>
      <c r="AB623" s="48" t="n"/>
      <c r="AC623" s="48" t="n"/>
    </row>
    <row r="624" ht="13" customHeight="1" s="68">
      <c r="E624" s="48" t="n"/>
      <c r="F624" s="48" t="n"/>
      <c r="G624" s="49" t="n"/>
      <c r="J624" s="48" t="n"/>
      <c r="K624" s="48" t="n"/>
      <c r="L624" s="48" t="n"/>
      <c r="M624" s="1" t="n"/>
      <c r="W624" s="48" t="n"/>
      <c r="X624" s="48" t="n"/>
      <c r="Y624" s="48" t="n"/>
      <c r="Z624" s="48" t="n"/>
      <c r="AA624" s="48" t="n"/>
      <c r="AB624" s="48" t="n"/>
      <c r="AC624" s="48" t="n"/>
    </row>
    <row r="625" ht="13" customHeight="1" s="68">
      <c r="E625" s="48" t="n"/>
      <c r="F625" s="48" t="n"/>
      <c r="G625" s="49" t="n"/>
      <c r="J625" s="48" t="n"/>
      <c r="K625" s="48" t="n"/>
      <c r="L625" s="48" t="n"/>
      <c r="M625" s="1" t="n"/>
      <c r="W625" s="48" t="n"/>
      <c r="X625" s="48" t="n"/>
      <c r="Y625" s="48" t="n"/>
      <c r="Z625" s="48" t="n"/>
      <c r="AA625" s="48" t="n"/>
      <c r="AB625" s="48" t="n"/>
      <c r="AC625" s="48" t="n"/>
    </row>
    <row r="626" ht="13" customHeight="1" s="68">
      <c r="E626" s="48" t="n"/>
      <c r="F626" s="48" t="n"/>
      <c r="G626" s="49" t="n"/>
      <c r="J626" s="48" t="n"/>
      <c r="K626" s="48" t="n"/>
      <c r="L626" s="48" t="n"/>
      <c r="M626" s="1" t="n"/>
      <c r="W626" s="48" t="n"/>
      <c r="X626" s="48" t="n"/>
      <c r="Y626" s="48" t="n"/>
      <c r="Z626" s="48" t="n"/>
      <c r="AA626" s="48" t="n"/>
      <c r="AB626" s="48" t="n"/>
      <c r="AC626" s="48" t="n"/>
    </row>
    <row r="627" ht="13" customHeight="1" s="68">
      <c r="E627" s="48" t="n"/>
      <c r="F627" s="48" t="n"/>
      <c r="G627" s="49" t="n"/>
      <c r="J627" s="48" t="n"/>
      <c r="K627" s="48" t="n"/>
      <c r="L627" s="48" t="n"/>
      <c r="M627" s="1" t="n"/>
      <c r="W627" s="48" t="n"/>
      <c r="X627" s="48" t="n"/>
      <c r="Y627" s="48" t="n"/>
      <c r="Z627" s="48" t="n"/>
      <c r="AA627" s="48" t="n"/>
      <c r="AB627" s="48" t="n"/>
      <c r="AC627" s="48" t="n"/>
    </row>
    <row r="628" ht="13" customHeight="1" s="68">
      <c r="E628" s="48" t="n"/>
      <c r="F628" s="48" t="n"/>
      <c r="G628" s="49" t="n"/>
      <c r="J628" s="48" t="n"/>
      <c r="K628" s="48" t="n"/>
      <c r="L628" s="48" t="n"/>
      <c r="M628" s="1" t="n"/>
      <c r="W628" s="48" t="n"/>
      <c r="X628" s="48" t="n"/>
      <c r="Y628" s="48" t="n"/>
      <c r="Z628" s="48" t="n"/>
      <c r="AA628" s="48" t="n"/>
      <c r="AB628" s="48" t="n"/>
      <c r="AC628" s="48" t="n"/>
    </row>
    <row r="629" ht="13" customHeight="1" s="68">
      <c r="E629" s="48" t="n"/>
      <c r="F629" s="48" t="n"/>
      <c r="G629" s="49" t="n"/>
      <c r="J629" s="48" t="n"/>
      <c r="K629" s="48" t="n"/>
      <c r="L629" s="48" t="n"/>
      <c r="M629" s="1" t="n"/>
      <c r="W629" s="48" t="n"/>
      <c r="X629" s="48" t="n"/>
      <c r="Y629" s="48" t="n"/>
      <c r="Z629" s="48" t="n"/>
      <c r="AA629" s="48" t="n"/>
      <c r="AB629" s="48" t="n"/>
      <c r="AC629" s="48" t="n"/>
    </row>
    <row r="630" ht="13" customHeight="1" s="68">
      <c r="E630" s="48" t="n"/>
      <c r="F630" s="48" t="n"/>
      <c r="G630" s="49" t="n"/>
      <c r="J630" s="48" t="n"/>
      <c r="K630" s="48" t="n"/>
      <c r="L630" s="48" t="n"/>
      <c r="M630" s="1" t="n"/>
      <c r="W630" s="48" t="n"/>
      <c r="X630" s="48" t="n"/>
      <c r="Y630" s="48" t="n"/>
      <c r="Z630" s="48" t="n"/>
      <c r="AA630" s="48" t="n"/>
      <c r="AB630" s="48" t="n"/>
      <c r="AC630" s="48" t="n"/>
    </row>
    <row r="631" ht="13" customHeight="1" s="68">
      <c r="E631" s="48" t="n"/>
      <c r="F631" s="48" t="n"/>
      <c r="G631" s="49" t="n"/>
      <c r="J631" s="48" t="n"/>
      <c r="K631" s="48" t="n"/>
      <c r="L631" s="48" t="n"/>
      <c r="M631" s="1" t="n"/>
      <c r="W631" s="48" t="n"/>
      <c r="X631" s="48" t="n"/>
      <c r="Y631" s="48" t="n"/>
      <c r="Z631" s="48" t="n"/>
      <c r="AA631" s="48" t="n"/>
      <c r="AB631" s="48" t="n"/>
      <c r="AC631" s="48" t="n"/>
    </row>
    <row r="632" ht="13" customHeight="1" s="68">
      <c r="E632" s="48" t="n"/>
      <c r="F632" s="48" t="n"/>
      <c r="G632" s="49" t="n"/>
      <c r="J632" s="48" t="n"/>
      <c r="K632" s="48" t="n"/>
      <c r="L632" s="48" t="n"/>
      <c r="M632" s="1" t="n"/>
      <c r="W632" s="48" t="n"/>
      <c r="X632" s="48" t="n"/>
      <c r="Y632" s="48" t="n"/>
      <c r="Z632" s="48" t="n"/>
      <c r="AA632" s="48" t="n"/>
      <c r="AB632" s="48" t="n"/>
      <c r="AC632" s="48" t="n"/>
    </row>
    <row r="633" ht="13" customHeight="1" s="68">
      <c r="E633" s="48" t="n"/>
      <c r="F633" s="48" t="n"/>
      <c r="G633" s="49" t="n"/>
      <c r="J633" s="48" t="n"/>
      <c r="K633" s="48" t="n"/>
      <c r="L633" s="48" t="n"/>
      <c r="M633" s="1" t="n"/>
      <c r="W633" s="48" t="n"/>
      <c r="X633" s="48" t="n"/>
      <c r="Y633" s="48" t="n"/>
      <c r="Z633" s="48" t="n"/>
      <c r="AA633" s="48" t="n"/>
      <c r="AB633" s="48" t="n"/>
      <c r="AC633" s="48" t="n"/>
    </row>
    <row r="634" ht="13" customHeight="1" s="68">
      <c r="E634" s="48" t="n"/>
      <c r="F634" s="48" t="n"/>
      <c r="G634" s="49" t="n"/>
      <c r="J634" s="48" t="n"/>
      <c r="K634" s="48" t="n"/>
      <c r="L634" s="48" t="n"/>
      <c r="M634" s="1" t="n"/>
      <c r="W634" s="48" t="n"/>
      <c r="X634" s="48" t="n"/>
      <c r="Y634" s="48" t="n"/>
      <c r="Z634" s="48" t="n"/>
      <c r="AA634" s="48" t="n"/>
      <c r="AB634" s="48" t="n"/>
      <c r="AC634" s="48" t="n"/>
    </row>
    <row r="635" ht="13" customHeight="1" s="68">
      <c r="E635" s="48" t="n"/>
      <c r="F635" s="48" t="n"/>
      <c r="G635" s="49" t="n"/>
      <c r="J635" s="48" t="n"/>
      <c r="K635" s="48" t="n"/>
      <c r="L635" s="48" t="n"/>
      <c r="M635" s="1" t="n"/>
      <c r="W635" s="48" t="n"/>
      <c r="X635" s="48" t="n"/>
      <c r="Y635" s="48" t="n"/>
      <c r="Z635" s="48" t="n"/>
      <c r="AA635" s="48" t="n"/>
      <c r="AB635" s="48" t="n"/>
      <c r="AC635" s="48" t="n"/>
    </row>
    <row r="636" ht="13" customHeight="1" s="68">
      <c r="E636" s="48" t="n"/>
      <c r="F636" s="48" t="n"/>
      <c r="G636" s="49" t="n"/>
      <c r="J636" s="48" t="n"/>
      <c r="K636" s="48" t="n"/>
      <c r="L636" s="48" t="n"/>
      <c r="M636" s="1" t="n"/>
      <c r="W636" s="48" t="n"/>
      <c r="X636" s="48" t="n"/>
      <c r="Y636" s="48" t="n"/>
      <c r="Z636" s="48" t="n"/>
      <c r="AA636" s="48" t="n"/>
      <c r="AB636" s="48" t="n"/>
      <c r="AC636" s="48" t="n"/>
    </row>
    <row r="637" ht="13" customHeight="1" s="68">
      <c r="E637" s="48" t="n"/>
      <c r="F637" s="48" t="n"/>
      <c r="G637" s="49" t="n"/>
      <c r="J637" s="48" t="n"/>
      <c r="K637" s="48" t="n"/>
      <c r="L637" s="48" t="n"/>
      <c r="M637" s="1" t="n"/>
      <c r="W637" s="48" t="n"/>
      <c r="X637" s="48" t="n"/>
      <c r="Y637" s="48" t="n"/>
      <c r="Z637" s="48" t="n"/>
      <c r="AA637" s="48" t="n"/>
      <c r="AB637" s="48" t="n"/>
      <c r="AC637" s="48" t="n"/>
    </row>
    <row r="638" ht="13" customHeight="1" s="68">
      <c r="E638" s="48" t="n"/>
      <c r="F638" s="48" t="n"/>
      <c r="G638" s="49" t="n"/>
      <c r="J638" s="48" t="n"/>
      <c r="K638" s="48" t="n"/>
      <c r="L638" s="48" t="n"/>
      <c r="M638" s="1" t="n"/>
      <c r="W638" s="48" t="n"/>
      <c r="X638" s="48" t="n"/>
      <c r="Y638" s="48" t="n"/>
      <c r="Z638" s="48" t="n"/>
      <c r="AA638" s="48" t="n"/>
      <c r="AB638" s="48" t="n"/>
      <c r="AC638" s="48" t="n"/>
    </row>
    <row r="639" ht="13" customHeight="1" s="68">
      <c r="E639" s="48" t="n"/>
      <c r="F639" s="48" t="n"/>
      <c r="G639" s="49" t="n"/>
      <c r="J639" s="48" t="n"/>
      <c r="K639" s="48" t="n"/>
      <c r="L639" s="48" t="n"/>
      <c r="M639" s="1" t="n"/>
      <c r="W639" s="48" t="n"/>
      <c r="X639" s="48" t="n"/>
      <c r="Y639" s="48" t="n"/>
      <c r="Z639" s="48" t="n"/>
      <c r="AA639" s="48" t="n"/>
      <c r="AB639" s="48" t="n"/>
      <c r="AC639" s="48" t="n"/>
    </row>
    <row r="640" ht="13" customHeight="1" s="68">
      <c r="E640" s="48" t="n"/>
      <c r="F640" s="48" t="n"/>
      <c r="G640" s="49" t="n"/>
      <c r="J640" s="48" t="n"/>
      <c r="K640" s="48" t="n"/>
      <c r="L640" s="48" t="n"/>
      <c r="M640" s="1" t="n"/>
      <c r="W640" s="48" t="n"/>
      <c r="X640" s="48" t="n"/>
      <c r="Y640" s="48" t="n"/>
      <c r="Z640" s="48" t="n"/>
      <c r="AA640" s="48" t="n"/>
      <c r="AB640" s="48" t="n"/>
      <c r="AC640" s="48" t="n"/>
    </row>
    <row r="641" ht="13" customHeight="1" s="68">
      <c r="E641" s="48" t="n"/>
      <c r="F641" s="48" t="n"/>
      <c r="G641" s="49" t="n"/>
      <c r="J641" s="48" t="n"/>
      <c r="K641" s="48" t="n"/>
      <c r="L641" s="48" t="n"/>
      <c r="M641" s="1" t="n"/>
      <c r="W641" s="48" t="n"/>
      <c r="X641" s="48" t="n"/>
      <c r="Y641" s="48" t="n"/>
      <c r="Z641" s="48" t="n"/>
      <c r="AA641" s="48" t="n"/>
      <c r="AB641" s="48" t="n"/>
      <c r="AC641" s="48" t="n"/>
    </row>
    <row r="642" ht="13" customHeight="1" s="68">
      <c r="E642" s="48" t="n"/>
      <c r="F642" s="48" t="n"/>
      <c r="G642" s="49" t="n"/>
      <c r="J642" s="48" t="n"/>
      <c r="K642" s="48" t="n"/>
      <c r="L642" s="48" t="n"/>
      <c r="M642" s="1" t="n"/>
      <c r="W642" s="48" t="n"/>
      <c r="X642" s="48" t="n"/>
      <c r="Y642" s="48" t="n"/>
      <c r="Z642" s="48" t="n"/>
      <c r="AA642" s="48" t="n"/>
      <c r="AB642" s="48" t="n"/>
      <c r="AC642" s="48" t="n"/>
    </row>
    <row r="643" ht="13" customHeight="1" s="68">
      <c r="E643" s="48" t="n"/>
      <c r="F643" s="48" t="n"/>
      <c r="G643" s="49" t="n"/>
      <c r="J643" s="48" t="n"/>
      <c r="K643" s="48" t="n"/>
      <c r="L643" s="48" t="n"/>
      <c r="M643" s="1" t="n"/>
      <c r="W643" s="48" t="n"/>
      <c r="X643" s="48" t="n"/>
      <c r="Y643" s="48" t="n"/>
      <c r="Z643" s="48" t="n"/>
      <c r="AA643" s="48" t="n"/>
      <c r="AB643" s="48" t="n"/>
      <c r="AC643" s="48" t="n"/>
    </row>
    <row r="644" ht="13" customHeight="1" s="68">
      <c r="E644" s="48" t="n"/>
      <c r="F644" s="48" t="n"/>
      <c r="G644" s="49" t="n"/>
      <c r="J644" s="48" t="n"/>
      <c r="K644" s="48" t="n"/>
      <c r="L644" s="48" t="n"/>
      <c r="M644" s="1" t="n"/>
      <c r="W644" s="48" t="n"/>
      <c r="X644" s="48" t="n"/>
      <c r="Y644" s="48" t="n"/>
      <c r="Z644" s="48" t="n"/>
      <c r="AA644" s="48" t="n"/>
      <c r="AB644" s="48" t="n"/>
      <c r="AC644" s="48" t="n"/>
    </row>
    <row r="645" ht="13" customHeight="1" s="68">
      <c r="E645" s="48" t="n"/>
      <c r="F645" s="48" t="n"/>
      <c r="G645" s="49" t="n"/>
      <c r="J645" s="48" t="n"/>
      <c r="K645" s="48" t="n"/>
      <c r="L645" s="48" t="n"/>
      <c r="M645" s="1" t="n"/>
      <c r="W645" s="48" t="n"/>
      <c r="X645" s="48" t="n"/>
      <c r="Y645" s="48" t="n"/>
      <c r="Z645" s="48" t="n"/>
      <c r="AA645" s="48" t="n"/>
      <c r="AB645" s="48" t="n"/>
      <c r="AC645" s="48" t="n"/>
    </row>
    <row r="646" ht="13" customHeight="1" s="68">
      <c r="E646" s="48" t="n"/>
      <c r="F646" s="48" t="n"/>
      <c r="G646" s="49" t="n"/>
      <c r="J646" s="48" t="n"/>
      <c r="K646" s="48" t="n"/>
      <c r="L646" s="48" t="n"/>
      <c r="M646" s="1" t="n"/>
      <c r="W646" s="48" t="n"/>
      <c r="X646" s="48" t="n"/>
      <c r="Y646" s="48" t="n"/>
      <c r="Z646" s="48" t="n"/>
      <c r="AA646" s="48" t="n"/>
      <c r="AB646" s="48" t="n"/>
      <c r="AC646" s="48" t="n"/>
    </row>
    <row r="647" ht="13" customHeight="1" s="68">
      <c r="E647" s="48" t="n"/>
      <c r="F647" s="48" t="n"/>
      <c r="G647" s="49" t="n"/>
      <c r="J647" s="48" t="n"/>
      <c r="K647" s="48" t="n"/>
      <c r="L647" s="48" t="n"/>
      <c r="M647" s="1" t="n"/>
      <c r="W647" s="48" t="n"/>
      <c r="X647" s="48" t="n"/>
      <c r="Y647" s="48" t="n"/>
      <c r="Z647" s="48" t="n"/>
      <c r="AA647" s="48" t="n"/>
      <c r="AB647" s="48" t="n"/>
      <c r="AC647" s="48" t="n"/>
    </row>
    <row r="648" ht="13" customHeight="1" s="68">
      <c r="E648" s="48" t="n"/>
      <c r="F648" s="48" t="n"/>
      <c r="G648" s="49" t="n"/>
      <c r="J648" s="48" t="n"/>
      <c r="K648" s="48" t="n"/>
      <c r="L648" s="48" t="n"/>
      <c r="M648" s="1" t="n"/>
      <c r="W648" s="48" t="n"/>
      <c r="X648" s="48" t="n"/>
      <c r="Y648" s="48" t="n"/>
      <c r="Z648" s="48" t="n"/>
      <c r="AA648" s="48" t="n"/>
      <c r="AB648" s="48" t="n"/>
      <c r="AC648" s="48" t="n"/>
    </row>
    <row r="649" ht="13" customHeight="1" s="68">
      <c r="E649" s="48" t="n"/>
      <c r="F649" s="48" t="n"/>
      <c r="G649" s="49" t="n"/>
      <c r="J649" s="48" t="n"/>
      <c r="K649" s="48" t="n"/>
      <c r="L649" s="48" t="n"/>
      <c r="M649" s="1" t="n"/>
      <c r="W649" s="48" t="n"/>
      <c r="X649" s="48" t="n"/>
      <c r="Y649" s="48" t="n"/>
      <c r="Z649" s="48" t="n"/>
      <c r="AA649" s="48" t="n"/>
      <c r="AB649" s="48" t="n"/>
      <c r="AC649" s="48" t="n"/>
    </row>
    <row r="650" ht="13" customHeight="1" s="68">
      <c r="E650" s="48" t="n"/>
      <c r="F650" s="48" t="n"/>
      <c r="G650" s="49" t="n"/>
      <c r="J650" s="48" t="n"/>
      <c r="K650" s="48" t="n"/>
      <c r="L650" s="48" t="n"/>
      <c r="M650" s="1" t="n"/>
      <c r="W650" s="48" t="n"/>
      <c r="X650" s="48" t="n"/>
      <c r="Y650" s="48" t="n"/>
      <c r="Z650" s="48" t="n"/>
      <c r="AA650" s="48" t="n"/>
      <c r="AB650" s="48" t="n"/>
      <c r="AC650" s="48" t="n"/>
    </row>
    <row r="651" ht="13" customHeight="1" s="68">
      <c r="E651" s="48" t="n"/>
      <c r="F651" s="48" t="n"/>
      <c r="G651" s="49" t="n"/>
      <c r="J651" s="48" t="n"/>
      <c r="K651" s="48" t="n"/>
      <c r="L651" s="48" t="n"/>
      <c r="M651" s="1" t="n"/>
      <c r="W651" s="48" t="n"/>
      <c r="X651" s="48" t="n"/>
      <c r="Y651" s="48" t="n"/>
      <c r="Z651" s="48" t="n"/>
      <c r="AA651" s="48" t="n"/>
      <c r="AB651" s="48" t="n"/>
      <c r="AC651" s="48" t="n"/>
    </row>
    <row r="652" ht="13" customHeight="1" s="68">
      <c r="E652" s="48" t="n"/>
      <c r="F652" s="48" t="n"/>
      <c r="G652" s="49" t="n"/>
      <c r="J652" s="48" t="n"/>
      <c r="K652" s="48" t="n"/>
      <c r="L652" s="48" t="n"/>
      <c r="M652" s="1" t="n"/>
      <c r="W652" s="48" t="n"/>
      <c r="X652" s="48" t="n"/>
      <c r="Y652" s="48" t="n"/>
      <c r="Z652" s="48" t="n"/>
      <c r="AA652" s="48" t="n"/>
      <c r="AB652" s="48" t="n"/>
      <c r="AC652" s="48" t="n"/>
    </row>
    <row r="653" ht="13" customHeight="1" s="68">
      <c r="E653" s="48" t="n"/>
      <c r="F653" s="48" t="n"/>
      <c r="G653" s="49" t="n"/>
      <c r="J653" s="48" t="n"/>
      <c r="K653" s="48" t="n"/>
      <c r="L653" s="48" t="n"/>
      <c r="M653" s="1" t="n"/>
      <c r="W653" s="48" t="n"/>
      <c r="X653" s="48" t="n"/>
      <c r="Y653" s="48" t="n"/>
      <c r="Z653" s="48" t="n"/>
      <c r="AA653" s="48" t="n"/>
      <c r="AB653" s="48" t="n"/>
      <c r="AC653" s="48" t="n"/>
    </row>
    <row r="654" ht="13" customHeight="1" s="68">
      <c r="E654" s="48" t="n"/>
      <c r="F654" s="48" t="n"/>
      <c r="G654" s="49" t="n"/>
      <c r="J654" s="48" t="n"/>
      <c r="K654" s="48" t="n"/>
      <c r="L654" s="48" t="n"/>
      <c r="M654" s="1" t="n"/>
      <c r="W654" s="48" t="n"/>
      <c r="X654" s="48" t="n"/>
      <c r="Y654" s="48" t="n"/>
      <c r="Z654" s="48" t="n"/>
      <c r="AA654" s="48" t="n"/>
      <c r="AB654" s="48" t="n"/>
      <c r="AC654" s="48" t="n"/>
    </row>
    <row r="655" ht="13" customHeight="1" s="68">
      <c r="E655" s="48" t="n"/>
      <c r="F655" s="48" t="n"/>
      <c r="G655" s="49" t="n"/>
      <c r="J655" s="48" t="n"/>
      <c r="K655" s="48" t="n"/>
      <c r="L655" s="48" t="n"/>
      <c r="M655" s="1" t="n"/>
      <c r="W655" s="48" t="n"/>
      <c r="X655" s="48" t="n"/>
      <c r="Y655" s="48" t="n"/>
      <c r="Z655" s="48" t="n"/>
      <c r="AA655" s="48" t="n"/>
      <c r="AB655" s="48" t="n"/>
      <c r="AC655" s="48" t="n"/>
    </row>
    <row r="656" ht="13" customHeight="1" s="68">
      <c r="E656" s="48" t="n"/>
      <c r="F656" s="48" t="n"/>
      <c r="G656" s="49" t="n"/>
      <c r="J656" s="48" t="n"/>
      <c r="K656" s="48" t="n"/>
      <c r="L656" s="48" t="n"/>
      <c r="M656" s="1" t="n"/>
      <c r="W656" s="48" t="n"/>
      <c r="X656" s="48" t="n"/>
      <c r="Y656" s="48" t="n"/>
      <c r="Z656" s="48" t="n"/>
      <c r="AA656" s="48" t="n"/>
      <c r="AB656" s="48" t="n"/>
      <c r="AC656" s="48" t="n"/>
    </row>
    <row r="657" ht="13" customHeight="1" s="68">
      <c r="E657" s="48" t="n"/>
      <c r="F657" s="48" t="n"/>
      <c r="G657" s="49" t="n"/>
      <c r="J657" s="48" t="n"/>
      <c r="K657" s="48" t="n"/>
      <c r="L657" s="48" t="n"/>
      <c r="M657" s="1" t="n"/>
      <c r="W657" s="48" t="n"/>
      <c r="X657" s="48" t="n"/>
      <c r="Y657" s="48" t="n"/>
      <c r="Z657" s="48" t="n"/>
      <c r="AA657" s="48" t="n"/>
      <c r="AB657" s="48" t="n"/>
      <c r="AC657" s="48" t="n"/>
    </row>
    <row r="658" ht="13" customHeight="1" s="68">
      <c r="E658" s="48" t="n"/>
      <c r="F658" s="48" t="n"/>
      <c r="G658" s="49" t="n"/>
      <c r="J658" s="48" t="n"/>
      <c r="K658" s="48" t="n"/>
      <c r="L658" s="48" t="n"/>
      <c r="M658" s="1" t="n"/>
      <c r="W658" s="48" t="n"/>
      <c r="X658" s="48" t="n"/>
      <c r="Y658" s="48" t="n"/>
      <c r="Z658" s="48" t="n"/>
      <c r="AA658" s="48" t="n"/>
      <c r="AB658" s="48" t="n"/>
      <c r="AC658" s="48" t="n"/>
    </row>
    <row r="659" ht="13" customHeight="1" s="68">
      <c r="E659" s="48" t="n"/>
      <c r="F659" s="48" t="n"/>
      <c r="G659" s="49" t="n"/>
      <c r="J659" s="48" t="n"/>
      <c r="K659" s="48" t="n"/>
      <c r="L659" s="48" t="n"/>
      <c r="M659" s="1" t="n"/>
      <c r="W659" s="48" t="n"/>
      <c r="X659" s="48" t="n"/>
      <c r="Y659" s="48" t="n"/>
      <c r="Z659" s="48" t="n"/>
      <c r="AA659" s="48" t="n"/>
      <c r="AB659" s="48" t="n"/>
      <c r="AC659" s="48" t="n"/>
    </row>
    <row r="660" ht="13" customHeight="1" s="68">
      <c r="E660" s="48" t="n"/>
      <c r="F660" s="48" t="n"/>
      <c r="G660" s="49" t="n"/>
      <c r="J660" s="48" t="n"/>
      <c r="K660" s="48" t="n"/>
      <c r="L660" s="48" t="n"/>
      <c r="M660" s="1" t="n"/>
      <c r="W660" s="48" t="n"/>
      <c r="X660" s="48" t="n"/>
      <c r="Y660" s="48" t="n"/>
      <c r="Z660" s="48" t="n"/>
      <c r="AA660" s="48" t="n"/>
      <c r="AB660" s="48" t="n"/>
      <c r="AC660" s="48" t="n"/>
    </row>
    <row r="661" ht="13" customHeight="1" s="68">
      <c r="E661" s="48" t="n"/>
      <c r="F661" s="48" t="n"/>
      <c r="G661" s="49" t="n"/>
      <c r="J661" s="48" t="n"/>
      <c r="K661" s="48" t="n"/>
      <c r="L661" s="48" t="n"/>
      <c r="M661" s="1" t="n"/>
      <c r="W661" s="48" t="n"/>
      <c r="X661" s="48" t="n"/>
      <c r="Y661" s="48" t="n"/>
      <c r="Z661" s="48" t="n"/>
      <c r="AA661" s="48" t="n"/>
      <c r="AB661" s="48" t="n"/>
      <c r="AC661" s="48" t="n"/>
    </row>
    <row r="662" ht="13" customHeight="1" s="68">
      <c r="E662" s="48" t="n"/>
      <c r="F662" s="48" t="n"/>
      <c r="G662" s="49" t="n"/>
      <c r="J662" s="48" t="n"/>
      <c r="K662" s="48" t="n"/>
      <c r="L662" s="48" t="n"/>
      <c r="M662" s="1" t="n"/>
      <c r="W662" s="48" t="n"/>
      <c r="X662" s="48" t="n"/>
      <c r="Y662" s="48" t="n"/>
      <c r="Z662" s="48" t="n"/>
      <c r="AA662" s="48" t="n"/>
      <c r="AB662" s="48" t="n"/>
      <c r="AC662" s="48" t="n"/>
    </row>
    <row r="663" ht="13" customHeight="1" s="68">
      <c r="E663" s="48" t="n"/>
      <c r="F663" s="48" t="n"/>
      <c r="G663" s="49" t="n"/>
      <c r="J663" s="48" t="n"/>
      <c r="K663" s="48" t="n"/>
      <c r="L663" s="48" t="n"/>
      <c r="M663" s="1" t="n"/>
      <c r="W663" s="48" t="n"/>
      <c r="X663" s="48" t="n"/>
      <c r="Y663" s="48" t="n"/>
      <c r="Z663" s="48" t="n"/>
      <c r="AA663" s="48" t="n"/>
      <c r="AB663" s="48" t="n"/>
      <c r="AC663" s="48" t="n"/>
    </row>
    <row r="664" ht="13" customHeight="1" s="68">
      <c r="E664" s="48" t="n"/>
      <c r="F664" s="48" t="n"/>
      <c r="G664" s="49" t="n"/>
      <c r="J664" s="48" t="n"/>
      <c r="K664" s="48" t="n"/>
      <c r="L664" s="48" t="n"/>
      <c r="M664" s="1" t="n"/>
      <c r="W664" s="48" t="n"/>
      <c r="X664" s="48" t="n"/>
      <c r="Y664" s="48" t="n"/>
      <c r="Z664" s="48" t="n"/>
      <c r="AA664" s="48" t="n"/>
      <c r="AB664" s="48" t="n"/>
      <c r="AC664" s="48" t="n"/>
    </row>
    <row r="665" ht="13" customHeight="1" s="68">
      <c r="E665" s="48" t="n"/>
      <c r="F665" s="48" t="n"/>
      <c r="G665" s="49" t="n"/>
      <c r="J665" s="48" t="n"/>
      <c r="K665" s="48" t="n"/>
      <c r="L665" s="48" t="n"/>
      <c r="M665" s="1" t="n"/>
      <c r="W665" s="48" t="n"/>
      <c r="X665" s="48" t="n"/>
      <c r="Y665" s="48" t="n"/>
      <c r="Z665" s="48" t="n"/>
      <c r="AA665" s="48" t="n"/>
      <c r="AB665" s="48" t="n"/>
      <c r="AC665" s="48" t="n"/>
    </row>
    <row r="666" ht="13" customHeight="1" s="68">
      <c r="E666" s="48" t="n"/>
      <c r="F666" s="48" t="n"/>
      <c r="G666" s="49" t="n"/>
      <c r="J666" s="48" t="n"/>
      <c r="K666" s="48" t="n"/>
      <c r="L666" s="48" t="n"/>
      <c r="M666" s="1" t="n"/>
      <c r="W666" s="48" t="n"/>
      <c r="X666" s="48" t="n"/>
      <c r="Y666" s="48" t="n"/>
      <c r="Z666" s="48" t="n"/>
      <c r="AA666" s="48" t="n"/>
      <c r="AB666" s="48" t="n"/>
      <c r="AC666" s="48" t="n"/>
    </row>
    <row r="667" ht="13" customHeight="1" s="68">
      <c r="E667" s="48" t="n"/>
      <c r="F667" s="48" t="n"/>
      <c r="G667" s="49" t="n"/>
      <c r="J667" s="48" t="n"/>
      <c r="K667" s="48" t="n"/>
      <c r="L667" s="48" t="n"/>
      <c r="M667" s="1" t="n"/>
      <c r="W667" s="48" t="n"/>
      <c r="X667" s="48" t="n"/>
      <c r="Y667" s="48" t="n"/>
      <c r="Z667" s="48" t="n"/>
      <c r="AA667" s="48" t="n"/>
      <c r="AB667" s="48" t="n"/>
      <c r="AC667" s="48" t="n"/>
    </row>
    <row r="668" ht="13" customHeight="1" s="68">
      <c r="E668" s="48" t="n"/>
      <c r="F668" s="48" t="n"/>
      <c r="G668" s="49" t="n"/>
      <c r="J668" s="48" t="n"/>
      <c r="K668" s="48" t="n"/>
      <c r="L668" s="48" t="n"/>
      <c r="M668" s="1" t="n"/>
      <c r="W668" s="48" t="n"/>
      <c r="X668" s="48" t="n"/>
      <c r="Y668" s="48" t="n"/>
      <c r="Z668" s="48" t="n"/>
      <c r="AA668" s="48" t="n"/>
      <c r="AB668" s="48" t="n"/>
      <c r="AC668" s="48" t="n"/>
    </row>
    <row r="669" ht="13" customHeight="1" s="68">
      <c r="E669" s="48" t="n"/>
      <c r="F669" s="48" t="n"/>
      <c r="G669" s="49" t="n"/>
      <c r="J669" s="48" t="n"/>
      <c r="K669" s="48" t="n"/>
      <c r="L669" s="48" t="n"/>
      <c r="M669" s="1" t="n"/>
      <c r="W669" s="48" t="n"/>
      <c r="X669" s="48" t="n"/>
      <c r="Y669" s="48" t="n"/>
      <c r="Z669" s="48" t="n"/>
      <c r="AA669" s="48" t="n"/>
      <c r="AB669" s="48" t="n"/>
      <c r="AC669" s="48" t="n"/>
    </row>
    <row r="670" ht="13" customHeight="1" s="68">
      <c r="E670" s="48" t="n"/>
      <c r="F670" s="48" t="n"/>
      <c r="G670" s="49" t="n"/>
      <c r="J670" s="48" t="n"/>
      <c r="K670" s="48" t="n"/>
      <c r="L670" s="48" t="n"/>
      <c r="M670" s="1" t="n"/>
      <c r="W670" s="48" t="n"/>
      <c r="X670" s="48" t="n"/>
      <c r="Y670" s="48" t="n"/>
      <c r="Z670" s="48" t="n"/>
      <c r="AA670" s="48" t="n"/>
      <c r="AB670" s="48" t="n"/>
      <c r="AC670" s="48" t="n"/>
    </row>
    <row r="671" ht="13" customHeight="1" s="68">
      <c r="E671" s="48" t="n"/>
      <c r="F671" s="48" t="n"/>
      <c r="G671" s="49" t="n"/>
      <c r="J671" s="48" t="n"/>
      <c r="K671" s="48" t="n"/>
      <c r="L671" s="48" t="n"/>
      <c r="M671" s="1" t="n"/>
      <c r="W671" s="48" t="n"/>
      <c r="X671" s="48" t="n"/>
      <c r="Y671" s="48" t="n"/>
      <c r="Z671" s="48" t="n"/>
      <c r="AA671" s="48" t="n"/>
      <c r="AB671" s="48" t="n"/>
      <c r="AC671" s="48" t="n"/>
    </row>
    <row r="672" ht="13" customHeight="1" s="68">
      <c r="E672" s="48" t="n"/>
      <c r="F672" s="48" t="n"/>
      <c r="G672" s="49" t="n"/>
      <c r="J672" s="48" t="n"/>
      <c r="K672" s="48" t="n"/>
      <c r="L672" s="48" t="n"/>
      <c r="M672" s="1" t="n"/>
      <c r="W672" s="48" t="n"/>
      <c r="X672" s="48" t="n"/>
      <c r="Y672" s="48" t="n"/>
      <c r="Z672" s="48" t="n"/>
      <c r="AA672" s="48" t="n"/>
      <c r="AB672" s="48" t="n"/>
      <c r="AC672" s="48" t="n"/>
    </row>
    <row r="673" ht="13" customHeight="1" s="68">
      <c r="E673" s="48" t="n"/>
      <c r="F673" s="48" t="n"/>
      <c r="G673" s="49" t="n"/>
      <c r="J673" s="48" t="n"/>
      <c r="K673" s="48" t="n"/>
      <c r="L673" s="48" t="n"/>
      <c r="M673" s="1" t="n"/>
      <c r="W673" s="48" t="n"/>
      <c r="X673" s="48" t="n"/>
      <c r="Y673" s="48" t="n"/>
      <c r="Z673" s="48" t="n"/>
      <c r="AA673" s="48" t="n"/>
      <c r="AB673" s="48" t="n"/>
      <c r="AC673" s="48" t="n"/>
    </row>
    <row r="674" ht="13" customHeight="1" s="68">
      <c r="E674" s="48" t="n"/>
      <c r="F674" s="48" t="n"/>
      <c r="G674" s="49" t="n"/>
      <c r="J674" s="48" t="n"/>
      <c r="K674" s="48" t="n"/>
      <c r="L674" s="48" t="n"/>
      <c r="M674" s="1" t="n"/>
      <c r="W674" s="48" t="n"/>
      <c r="X674" s="48" t="n"/>
      <c r="Y674" s="48" t="n"/>
      <c r="Z674" s="48" t="n"/>
      <c r="AA674" s="48" t="n"/>
      <c r="AB674" s="48" t="n"/>
      <c r="AC674" s="48" t="n"/>
    </row>
    <row r="675" ht="13" customHeight="1" s="68">
      <c r="E675" s="48" t="n"/>
      <c r="F675" s="48" t="n"/>
      <c r="G675" s="49" t="n"/>
      <c r="J675" s="48" t="n"/>
      <c r="K675" s="48" t="n"/>
      <c r="L675" s="48" t="n"/>
      <c r="M675" s="1" t="n"/>
      <c r="W675" s="48" t="n"/>
      <c r="X675" s="48" t="n"/>
      <c r="Y675" s="48" t="n"/>
      <c r="Z675" s="48" t="n"/>
      <c r="AA675" s="48" t="n"/>
      <c r="AB675" s="48" t="n"/>
      <c r="AC675" s="48" t="n"/>
    </row>
    <row r="676" ht="13" customHeight="1" s="68">
      <c r="E676" s="48" t="n"/>
      <c r="F676" s="48" t="n"/>
      <c r="G676" s="49" t="n"/>
      <c r="J676" s="48" t="n"/>
      <c r="K676" s="48" t="n"/>
      <c r="L676" s="48" t="n"/>
      <c r="M676" s="1" t="n"/>
      <c r="W676" s="48" t="n"/>
      <c r="X676" s="48" t="n"/>
      <c r="Y676" s="48" t="n"/>
      <c r="Z676" s="48" t="n"/>
      <c r="AA676" s="48" t="n"/>
      <c r="AB676" s="48" t="n"/>
      <c r="AC676" s="48" t="n"/>
    </row>
    <row r="677" ht="13" customHeight="1" s="68">
      <c r="E677" s="48" t="n"/>
      <c r="F677" s="48" t="n"/>
      <c r="G677" s="49" t="n"/>
      <c r="J677" s="48" t="n"/>
      <c r="K677" s="48" t="n"/>
      <c r="L677" s="48" t="n"/>
      <c r="M677" s="1" t="n"/>
      <c r="W677" s="48" t="n"/>
      <c r="X677" s="48" t="n"/>
      <c r="Y677" s="48" t="n"/>
      <c r="Z677" s="48" t="n"/>
      <c r="AA677" s="48" t="n"/>
      <c r="AB677" s="48" t="n"/>
      <c r="AC677" s="48" t="n"/>
    </row>
    <row r="678" ht="13" customHeight="1" s="68">
      <c r="E678" s="48" t="n"/>
      <c r="F678" s="48" t="n"/>
      <c r="G678" s="49" t="n"/>
      <c r="J678" s="48" t="n"/>
      <c r="K678" s="48" t="n"/>
      <c r="L678" s="48" t="n"/>
      <c r="M678" s="1" t="n"/>
      <c r="W678" s="48" t="n"/>
      <c r="X678" s="48" t="n"/>
      <c r="Y678" s="48" t="n"/>
      <c r="Z678" s="48" t="n"/>
      <c r="AA678" s="48" t="n"/>
      <c r="AB678" s="48" t="n"/>
      <c r="AC678" s="48" t="n"/>
    </row>
    <row r="679" ht="13" customHeight="1" s="68">
      <c r="E679" s="48" t="n"/>
      <c r="F679" s="48" t="n"/>
      <c r="G679" s="49" t="n"/>
      <c r="J679" s="48" t="n"/>
      <c r="K679" s="48" t="n"/>
      <c r="L679" s="48" t="n"/>
      <c r="M679" s="1" t="n"/>
      <c r="W679" s="48" t="n"/>
      <c r="X679" s="48" t="n"/>
      <c r="Y679" s="48" t="n"/>
      <c r="Z679" s="48" t="n"/>
      <c r="AA679" s="48" t="n"/>
      <c r="AB679" s="48" t="n"/>
      <c r="AC679" s="48" t="n"/>
    </row>
    <row r="680" ht="13" customHeight="1" s="68">
      <c r="E680" s="48" t="n"/>
      <c r="F680" s="48" t="n"/>
      <c r="G680" s="49" t="n"/>
      <c r="J680" s="48" t="n"/>
      <c r="K680" s="48" t="n"/>
      <c r="L680" s="48" t="n"/>
      <c r="M680" s="1" t="n"/>
      <c r="W680" s="48" t="n"/>
      <c r="X680" s="48" t="n"/>
      <c r="Y680" s="48" t="n"/>
      <c r="Z680" s="48" t="n"/>
      <c r="AA680" s="48" t="n"/>
      <c r="AB680" s="48" t="n"/>
      <c r="AC680" s="48" t="n"/>
    </row>
    <row r="681" ht="13" customHeight="1" s="68">
      <c r="E681" s="48" t="n"/>
      <c r="F681" s="48" t="n"/>
      <c r="G681" s="49" t="n"/>
      <c r="J681" s="48" t="n"/>
      <c r="K681" s="48" t="n"/>
      <c r="L681" s="48" t="n"/>
      <c r="M681" s="1" t="n"/>
      <c r="W681" s="48" t="n"/>
      <c r="X681" s="48" t="n"/>
      <c r="Y681" s="48" t="n"/>
      <c r="Z681" s="48" t="n"/>
      <c r="AA681" s="48" t="n"/>
      <c r="AB681" s="48" t="n"/>
      <c r="AC681" s="48" t="n"/>
    </row>
    <row r="682" ht="13" customHeight="1" s="68">
      <c r="E682" s="48" t="n"/>
      <c r="F682" s="48" t="n"/>
      <c r="G682" s="49" t="n"/>
      <c r="J682" s="48" t="n"/>
      <c r="K682" s="48" t="n"/>
      <c r="L682" s="48" t="n"/>
      <c r="M682" s="1" t="n"/>
      <c r="W682" s="48" t="n"/>
      <c r="X682" s="48" t="n"/>
      <c r="Y682" s="48" t="n"/>
      <c r="Z682" s="48" t="n"/>
      <c r="AA682" s="48" t="n"/>
      <c r="AB682" s="48" t="n"/>
      <c r="AC682" s="48" t="n"/>
    </row>
    <row r="683" ht="13" customHeight="1" s="68">
      <c r="E683" s="48" t="n"/>
      <c r="F683" s="48" t="n"/>
      <c r="G683" s="49" t="n"/>
      <c r="J683" s="48" t="n"/>
      <c r="K683" s="48" t="n"/>
      <c r="L683" s="48" t="n"/>
      <c r="M683" s="1" t="n"/>
      <c r="W683" s="48" t="n"/>
      <c r="X683" s="48" t="n"/>
      <c r="Y683" s="48" t="n"/>
      <c r="Z683" s="48" t="n"/>
      <c r="AA683" s="48" t="n"/>
      <c r="AB683" s="48" t="n"/>
      <c r="AC683" s="48" t="n"/>
    </row>
    <row r="684" ht="13" customHeight="1" s="68">
      <c r="E684" s="48" t="n"/>
      <c r="F684" s="48" t="n"/>
      <c r="G684" s="49" t="n"/>
      <c r="J684" s="48" t="n"/>
      <c r="K684" s="48" t="n"/>
      <c r="L684" s="48" t="n"/>
      <c r="M684" s="1" t="n"/>
      <c r="W684" s="48" t="n"/>
      <c r="X684" s="48" t="n"/>
      <c r="Y684" s="48" t="n"/>
      <c r="Z684" s="48" t="n"/>
      <c r="AA684" s="48" t="n"/>
      <c r="AB684" s="48" t="n"/>
      <c r="AC684" s="48" t="n"/>
    </row>
    <row r="685" ht="13" customHeight="1" s="68">
      <c r="E685" s="48" t="n"/>
      <c r="F685" s="48" t="n"/>
      <c r="G685" s="49" t="n"/>
      <c r="J685" s="48" t="n"/>
      <c r="K685" s="48" t="n"/>
      <c r="L685" s="48" t="n"/>
      <c r="M685" s="1" t="n"/>
      <c r="W685" s="48" t="n"/>
      <c r="X685" s="48" t="n"/>
      <c r="Y685" s="48" t="n"/>
      <c r="Z685" s="48" t="n"/>
      <c r="AA685" s="48" t="n"/>
      <c r="AB685" s="48" t="n"/>
      <c r="AC685" s="48" t="n"/>
    </row>
    <row r="686" ht="13" customHeight="1" s="68">
      <c r="E686" s="48" t="n"/>
      <c r="F686" s="48" t="n"/>
      <c r="G686" s="49" t="n"/>
      <c r="J686" s="48" t="n"/>
      <c r="K686" s="48" t="n"/>
      <c r="L686" s="48" t="n"/>
      <c r="M686" s="1" t="n"/>
      <c r="W686" s="48" t="n"/>
      <c r="X686" s="48" t="n"/>
      <c r="Y686" s="48" t="n"/>
      <c r="Z686" s="48" t="n"/>
      <c r="AA686" s="48" t="n"/>
      <c r="AB686" s="48" t="n"/>
      <c r="AC686" s="48" t="n"/>
    </row>
    <row r="687" ht="13" customHeight="1" s="68">
      <c r="E687" s="48" t="n"/>
      <c r="F687" s="48" t="n"/>
      <c r="G687" s="49" t="n"/>
      <c r="J687" s="48" t="n"/>
      <c r="K687" s="48" t="n"/>
      <c r="L687" s="48" t="n"/>
      <c r="M687" s="1" t="n"/>
      <c r="W687" s="48" t="n"/>
      <c r="X687" s="48" t="n"/>
      <c r="Y687" s="48" t="n"/>
      <c r="Z687" s="48" t="n"/>
      <c r="AA687" s="48" t="n"/>
      <c r="AB687" s="48" t="n"/>
      <c r="AC687" s="48" t="n"/>
    </row>
    <row r="688" ht="13" customHeight="1" s="68">
      <c r="E688" s="48" t="n"/>
      <c r="F688" s="48" t="n"/>
      <c r="G688" s="49" t="n"/>
      <c r="J688" s="48" t="n"/>
      <c r="K688" s="48" t="n"/>
      <c r="L688" s="48" t="n"/>
      <c r="M688" s="1" t="n"/>
      <c r="W688" s="48" t="n"/>
      <c r="X688" s="48" t="n"/>
      <c r="Y688" s="48" t="n"/>
      <c r="Z688" s="48" t="n"/>
      <c r="AA688" s="48" t="n"/>
      <c r="AB688" s="48" t="n"/>
      <c r="AC688" s="48" t="n"/>
    </row>
    <row r="689" ht="13" customHeight="1" s="68">
      <c r="E689" s="48" t="n"/>
      <c r="F689" s="48" t="n"/>
      <c r="G689" s="49" t="n"/>
      <c r="J689" s="48" t="n"/>
      <c r="K689" s="48" t="n"/>
      <c r="L689" s="48" t="n"/>
      <c r="M689" s="1" t="n"/>
      <c r="W689" s="48" t="n"/>
      <c r="X689" s="48" t="n"/>
      <c r="Y689" s="48" t="n"/>
      <c r="Z689" s="48" t="n"/>
      <c r="AA689" s="48" t="n"/>
      <c r="AB689" s="48" t="n"/>
      <c r="AC689" s="48" t="n"/>
    </row>
    <row r="690" ht="13" customHeight="1" s="68">
      <c r="E690" s="48" t="n"/>
      <c r="F690" s="48" t="n"/>
      <c r="G690" s="49" t="n"/>
      <c r="J690" s="48" t="n"/>
      <c r="K690" s="48" t="n"/>
      <c r="L690" s="48" t="n"/>
      <c r="M690" s="1" t="n"/>
      <c r="W690" s="48" t="n"/>
      <c r="X690" s="48" t="n"/>
      <c r="Y690" s="48" t="n"/>
      <c r="Z690" s="48" t="n"/>
      <c r="AA690" s="48" t="n"/>
      <c r="AB690" s="48" t="n"/>
      <c r="AC690" s="48" t="n"/>
    </row>
    <row r="691" ht="13" customHeight="1" s="68">
      <c r="E691" s="48" t="n"/>
      <c r="F691" s="48" t="n"/>
      <c r="G691" s="49" t="n"/>
      <c r="J691" s="48" t="n"/>
      <c r="K691" s="48" t="n"/>
      <c r="L691" s="48" t="n"/>
      <c r="M691" s="1" t="n"/>
      <c r="W691" s="48" t="n"/>
      <c r="X691" s="48" t="n"/>
      <c r="Y691" s="48" t="n"/>
      <c r="Z691" s="48" t="n"/>
      <c r="AA691" s="48" t="n"/>
      <c r="AB691" s="48" t="n"/>
      <c r="AC691" s="48" t="n"/>
    </row>
    <row r="692" ht="13" customHeight="1" s="68">
      <c r="E692" s="48" t="n"/>
      <c r="F692" s="48" t="n"/>
      <c r="G692" s="49" t="n"/>
      <c r="J692" s="48" t="n"/>
      <c r="K692" s="48" t="n"/>
      <c r="L692" s="48" t="n"/>
      <c r="M692" s="1" t="n"/>
      <c r="W692" s="48" t="n"/>
      <c r="X692" s="48" t="n"/>
      <c r="Y692" s="48" t="n"/>
      <c r="Z692" s="48" t="n"/>
      <c r="AA692" s="48" t="n"/>
      <c r="AB692" s="48" t="n"/>
      <c r="AC692" s="48" t="n"/>
    </row>
    <row r="693" ht="13" customHeight="1" s="68">
      <c r="E693" s="48" t="n"/>
      <c r="F693" s="48" t="n"/>
      <c r="G693" s="49" t="n"/>
      <c r="J693" s="48" t="n"/>
      <c r="K693" s="48" t="n"/>
      <c r="L693" s="48" t="n"/>
      <c r="M693" s="1" t="n"/>
      <c r="W693" s="48" t="n"/>
      <c r="X693" s="48" t="n"/>
      <c r="Y693" s="48" t="n"/>
      <c r="Z693" s="48" t="n"/>
      <c r="AA693" s="48" t="n"/>
      <c r="AB693" s="48" t="n"/>
      <c r="AC693" s="48" t="n"/>
    </row>
    <row r="694" ht="13" customHeight="1" s="68">
      <c r="E694" s="48" t="n"/>
      <c r="F694" s="48" t="n"/>
      <c r="G694" s="49" t="n"/>
      <c r="J694" s="48" t="n"/>
      <c r="K694" s="48" t="n"/>
      <c r="L694" s="48" t="n"/>
      <c r="M694" s="1" t="n"/>
      <c r="W694" s="48" t="n"/>
      <c r="X694" s="48" t="n"/>
      <c r="Y694" s="48" t="n"/>
      <c r="Z694" s="48" t="n"/>
      <c r="AA694" s="48" t="n"/>
      <c r="AB694" s="48" t="n"/>
      <c r="AC694" s="48" t="n"/>
    </row>
    <row r="695" ht="13" customHeight="1" s="68">
      <c r="E695" s="48" t="n"/>
      <c r="F695" s="48" t="n"/>
      <c r="G695" s="49" t="n"/>
      <c r="J695" s="48" t="n"/>
      <c r="K695" s="48" t="n"/>
      <c r="L695" s="48" t="n"/>
      <c r="M695" s="1" t="n"/>
      <c r="W695" s="48" t="n"/>
      <c r="X695" s="48" t="n"/>
      <c r="Y695" s="48" t="n"/>
      <c r="Z695" s="48" t="n"/>
      <c r="AA695" s="48" t="n"/>
      <c r="AB695" s="48" t="n"/>
      <c r="AC695" s="48" t="n"/>
    </row>
    <row r="696" ht="13" customHeight="1" s="68">
      <c r="E696" s="48" t="n"/>
      <c r="F696" s="48" t="n"/>
      <c r="G696" s="49" t="n"/>
      <c r="J696" s="48" t="n"/>
      <c r="K696" s="48" t="n"/>
      <c r="L696" s="48" t="n"/>
      <c r="M696" s="1" t="n"/>
      <c r="W696" s="48" t="n"/>
      <c r="X696" s="48" t="n"/>
      <c r="Y696" s="48" t="n"/>
      <c r="Z696" s="48" t="n"/>
      <c r="AA696" s="48" t="n"/>
      <c r="AB696" s="48" t="n"/>
      <c r="AC696" s="48" t="n"/>
    </row>
    <row r="697" ht="13" customHeight="1" s="68">
      <c r="E697" s="48" t="n"/>
      <c r="F697" s="48" t="n"/>
      <c r="G697" s="49" t="n"/>
      <c r="J697" s="48" t="n"/>
      <c r="K697" s="48" t="n"/>
      <c r="L697" s="48" t="n"/>
      <c r="M697" s="1" t="n"/>
      <c r="W697" s="48" t="n"/>
      <c r="X697" s="48" t="n"/>
      <c r="Y697" s="48" t="n"/>
      <c r="Z697" s="48" t="n"/>
      <c r="AA697" s="48" t="n"/>
      <c r="AB697" s="48" t="n"/>
      <c r="AC697" s="48" t="n"/>
    </row>
    <row r="698" ht="13" customHeight="1" s="68">
      <c r="E698" s="48" t="n"/>
      <c r="F698" s="48" t="n"/>
      <c r="G698" s="49" t="n"/>
      <c r="J698" s="48" t="n"/>
      <c r="K698" s="48" t="n"/>
      <c r="L698" s="48" t="n"/>
      <c r="M698" s="1" t="n"/>
      <c r="W698" s="48" t="n"/>
      <c r="X698" s="48" t="n"/>
      <c r="Y698" s="48" t="n"/>
      <c r="Z698" s="48" t="n"/>
      <c r="AA698" s="48" t="n"/>
      <c r="AB698" s="48" t="n"/>
      <c r="AC698" s="48" t="n"/>
    </row>
    <row r="699" ht="13" customHeight="1" s="68">
      <c r="E699" s="48" t="n"/>
      <c r="F699" s="48" t="n"/>
      <c r="G699" s="49" t="n"/>
      <c r="J699" s="48" t="n"/>
      <c r="K699" s="48" t="n"/>
      <c r="L699" s="48" t="n"/>
      <c r="M699" s="1" t="n"/>
      <c r="W699" s="48" t="n"/>
      <c r="X699" s="48" t="n"/>
      <c r="Y699" s="48" t="n"/>
      <c r="Z699" s="48" t="n"/>
      <c r="AA699" s="48" t="n"/>
      <c r="AB699" s="48" t="n"/>
      <c r="AC699" s="48" t="n"/>
    </row>
    <row r="700" ht="13" customHeight="1" s="68">
      <c r="E700" s="48" t="n"/>
      <c r="F700" s="48" t="n"/>
      <c r="G700" s="49" t="n"/>
      <c r="J700" s="48" t="n"/>
      <c r="K700" s="48" t="n"/>
      <c r="L700" s="48" t="n"/>
      <c r="M700" s="1" t="n"/>
      <c r="W700" s="48" t="n"/>
      <c r="X700" s="48" t="n"/>
      <c r="Y700" s="48" t="n"/>
      <c r="Z700" s="48" t="n"/>
      <c r="AA700" s="48" t="n"/>
      <c r="AB700" s="48" t="n"/>
      <c r="AC700" s="48" t="n"/>
    </row>
    <row r="701" ht="13" customHeight="1" s="68">
      <c r="E701" s="48" t="n"/>
      <c r="F701" s="48" t="n"/>
      <c r="G701" s="49" t="n"/>
      <c r="J701" s="48" t="n"/>
      <c r="K701" s="48" t="n"/>
      <c r="L701" s="48" t="n"/>
      <c r="M701" s="1" t="n"/>
      <c r="W701" s="48" t="n"/>
      <c r="X701" s="48" t="n"/>
      <c r="Y701" s="48" t="n"/>
      <c r="Z701" s="48" t="n"/>
      <c r="AA701" s="48" t="n"/>
      <c r="AB701" s="48" t="n"/>
      <c r="AC701" s="48" t="n"/>
    </row>
    <row r="702" ht="13" customHeight="1" s="68">
      <c r="E702" s="48" t="n"/>
      <c r="F702" s="48" t="n"/>
      <c r="G702" s="49" t="n"/>
      <c r="J702" s="48" t="n"/>
      <c r="K702" s="48" t="n"/>
      <c r="L702" s="48" t="n"/>
      <c r="M702" s="1" t="n"/>
      <c r="W702" s="48" t="n"/>
      <c r="X702" s="48" t="n"/>
      <c r="Y702" s="48" t="n"/>
      <c r="Z702" s="48" t="n"/>
      <c r="AA702" s="48" t="n"/>
      <c r="AB702" s="48" t="n"/>
      <c r="AC702" s="48" t="n"/>
    </row>
    <row r="703" ht="13" customHeight="1" s="68">
      <c r="E703" s="48" t="n"/>
      <c r="F703" s="48" t="n"/>
      <c r="G703" s="49" t="n"/>
      <c r="J703" s="48" t="n"/>
      <c r="K703" s="48" t="n"/>
      <c r="L703" s="48" t="n"/>
      <c r="M703" s="1" t="n"/>
      <c r="W703" s="48" t="n"/>
      <c r="X703" s="48" t="n"/>
      <c r="Y703" s="48" t="n"/>
      <c r="Z703" s="48" t="n"/>
      <c r="AA703" s="48" t="n"/>
      <c r="AB703" s="48" t="n"/>
      <c r="AC703" s="48" t="n"/>
    </row>
    <row r="704" ht="13" customHeight="1" s="68">
      <c r="E704" s="48" t="n"/>
      <c r="F704" s="48" t="n"/>
      <c r="G704" s="49" t="n"/>
      <c r="J704" s="48" t="n"/>
      <c r="K704" s="48" t="n"/>
      <c r="L704" s="48" t="n"/>
      <c r="M704" s="1" t="n"/>
      <c r="W704" s="48" t="n"/>
      <c r="X704" s="48" t="n"/>
      <c r="Y704" s="48" t="n"/>
      <c r="Z704" s="48" t="n"/>
      <c r="AA704" s="48" t="n"/>
      <c r="AB704" s="48" t="n"/>
      <c r="AC704" s="48" t="n"/>
    </row>
    <row r="705" ht="13" customHeight="1" s="68">
      <c r="E705" s="48" t="n"/>
      <c r="F705" s="48" t="n"/>
      <c r="G705" s="49" t="n"/>
      <c r="J705" s="48" t="n"/>
      <c r="K705" s="48" t="n"/>
      <c r="L705" s="48" t="n"/>
      <c r="M705" s="1" t="n"/>
      <c r="W705" s="48" t="n"/>
      <c r="X705" s="48" t="n"/>
      <c r="Y705" s="48" t="n"/>
      <c r="Z705" s="48" t="n"/>
      <c r="AA705" s="48" t="n"/>
      <c r="AB705" s="48" t="n"/>
      <c r="AC705" s="48" t="n"/>
    </row>
    <row r="706" ht="13" customHeight="1" s="68">
      <c r="E706" s="48" t="n"/>
      <c r="F706" s="48" t="n"/>
      <c r="G706" s="49" t="n"/>
      <c r="J706" s="48" t="n"/>
      <c r="K706" s="48" t="n"/>
      <c r="L706" s="48" t="n"/>
      <c r="M706" s="1" t="n"/>
      <c r="W706" s="48" t="n"/>
      <c r="X706" s="48" t="n"/>
      <c r="Y706" s="48" t="n"/>
      <c r="Z706" s="48" t="n"/>
      <c r="AA706" s="48" t="n"/>
      <c r="AB706" s="48" t="n"/>
      <c r="AC706" s="48" t="n"/>
    </row>
    <row r="707" ht="13" customHeight="1" s="68">
      <c r="E707" s="48" t="n"/>
      <c r="F707" s="48" t="n"/>
      <c r="G707" s="49" t="n"/>
      <c r="J707" s="48" t="n"/>
      <c r="K707" s="48" t="n"/>
      <c r="L707" s="48" t="n"/>
      <c r="M707" s="1" t="n"/>
      <c r="W707" s="48" t="n"/>
      <c r="X707" s="48" t="n"/>
      <c r="Y707" s="48" t="n"/>
      <c r="Z707" s="48" t="n"/>
      <c r="AA707" s="48" t="n"/>
      <c r="AB707" s="48" t="n"/>
      <c r="AC707" s="48" t="n"/>
    </row>
    <row r="708" ht="13" customHeight="1" s="68">
      <c r="E708" s="48" t="n"/>
      <c r="F708" s="48" t="n"/>
      <c r="G708" s="49" t="n"/>
      <c r="J708" s="48" t="n"/>
      <c r="K708" s="48" t="n"/>
      <c r="L708" s="48" t="n"/>
      <c r="M708" s="1" t="n"/>
      <c r="W708" s="48" t="n"/>
      <c r="X708" s="48" t="n"/>
      <c r="Y708" s="48" t="n"/>
      <c r="Z708" s="48" t="n"/>
      <c r="AA708" s="48" t="n"/>
      <c r="AB708" s="48" t="n"/>
      <c r="AC708" s="48" t="n"/>
    </row>
    <row r="709" ht="13" customHeight="1" s="68">
      <c r="E709" s="48" t="n"/>
      <c r="F709" s="48" t="n"/>
      <c r="G709" s="49" t="n"/>
      <c r="J709" s="48" t="n"/>
      <c r="K709" s="48" t="n"/>
      <c r="L709" s="48" t="n"/>
      <c r="M709" s="1" t="n"/>
      <c r="W709" s="48" t="n"/>
      <c r="X709" s="48" t="n"/>
      <c r="Y709" s="48" t="n"/>
      <c r="Z709" s="48" t="n"/>
      <c r="AA709" s="48" t="n"/>
      <c r="AB709" s="48" t="n"/>
      <c r="AC709" s="48" t="n"/>
    </row>
    <row r="710" ht="13" customHeight="1" s="68">
      <c r="E710" s="48" t="n"/>
      <c r="F710" s="48" t="n"/>
      <c r="G710" s="49" t="n"/>
      <c r="J710" s="48" t="n"/>
      <c r="K710" s="48" t="n"/>
      <c r="L710" s="48" t="n"/>
      <c r="M710" s="1" t="n"/>
      <c r="W710" s="48" t="n"/>
      <c r="X710" s="48" t="n"/>
      <c r="Y710" s="48" t="n"/>
      <c r="Z710" s="48" t="n"/>
      <c r="AA710" s="48" t="n"/>
      <c r="AB710" s="48" t="n"/>
      <c r="AC710" s="48" t="n"/>
    </row>
    <row r="711" ht="13" customHeight="1" s="68">
      <c r="E711" s="48" t="n"/>
      <c r="F711" s="48" t="n"/>
      <c r="G711" s="49" t="n"/>
      <c r="J711" s="48" t="n"/>
      <c r="K711" s="48" t="n"/>
      <c r="L711" s="48" t="n"/>
      <c r="M711" s="1" t="n"/>
      <c r="W711" s="48" t="n"/>
      <c r="X711" s="48" t="n"/>
      <c r="Y711" s="48" t="n"/>
      <c r="Z711" s="48" t="n"/>
      <c r="AA711" s="48" t="n"/>
      <c r="AB711" s="48" t="n"/>
      <c r="AC711" s="48" t="n"/>
    </row>
    <row r="712" ht="13" customHeight="1" s="68">
      <c r="E712" s="48" t="n"/>
      <c r="F712" s="48" t="n"/>
      <c r="G712" s="49" t="n"/>
      <c r="J712" s="48" t="n"/>
      <c r="K712" s="48" t="n"/>
      <c r="L712" s="48" t="n"/>
      <c r="M712" s="1" t="n"/>
      <c r="W712" s="48" t="n"/>
      <c r="X712" s="48" t="n"/>
      <c r="Y712" s="48" t="n"/>
      <c r="Z712" s="48" t="n"/>
      <c r="AA712" s="48" t="n"/>
      <c r="AB712" s="48" t="n"/>
      <c r="AC712" s="48" t="n"/>
    </row>
    <row r="713" ht="13" customHeight="1" s="68">
      <c r="E713" s="48" t="n"/>
      <c r="F713" s="48" t="n"/>
      <c r="G713" s="49" t="n"/>
      <c r="J713" s="48" t="n"/>
      <c r="K713" s="48" t="n"/>
      <c r="L713" s="48" t="n"/>
      <c r="M713" s="1" t="n"/>
      <c r="W713" s="48" t="n"/>
      <c r="X713" s="48" t="n"/>
      <c r="Y713" s="48" t="n"/>
      <c r="Z713" s="48" t="n"/>
      <c r="AA713" s="48" t="n"/>
      <c r="AB713" s="48" t="n"/>
      <c r="AC713" s="48" t="n"/>
    </row>
    <row r="714" ht="13" customHeight="1" s="68">
      <c r="E714" s="48" t="n"/>
      <c r="F714" s="48" t="n"/>
      <c r="G714" s="49" t="n"/>
      <c r="J714" s="48" t="n"/>
      <c r="K714" s="48" t="n"/>
      <c r="L714" s="48" t="n"/>
      <c r="M714" s="1" t="n"/>
      <c r="W714" s="48" t="n"/>
      <c r="X714" s="48" t="n"/>
      <c r="Y714" s="48" t="n"/>
      <c r="Z714" s="48" t="n"/>
      <c r="AA714" s="48" t="n"/>
      <c r="AB714" s="48" t="n"/>
      <c r="AC714" s="48" t="n"/>
    </row>
    <row r="715" ht="13" customHeight="1" s="68">
      <c r="E715" s="48" t="n"/>
      <c r="F715" s="48" t="n"/>
      <c r="G715" s="49" t="n"/>
      <c r="J715" s="48" t="n"/>
      <c r="K715" s="48" t="n"/>
      <c r="L715" s="48" t="n"/>
      <c r="M715" s="1" t="n"/>
      <c r="W715" s="48" t="n"/>
      <c r="X715" s="48" t="n"/>
      <c r="Y715" s="48" t="n"/>
      <c r="Z715" s="48" t="n"/>
      <c r="AA715" s="48" t="n"/>
      <c r="AB715" s="48" t="n"/>
      <c r="AC715" s="48" t="n"/>
    </row>
    <row r="716" ht="13" customHeight="1" s="68">
      <c r="E716" s="48" t="n"/>
      <c r="F716" s="48" t="n"/>
      <c r="G716" s="49" t="n"/>
      <c r="J716" s="48" t="n"/>
      <c r="K716" s="48" t="n"/>
      <c r="L716" s="48" t="n"/>
      <c r="M716" s="1" t="n"/>
      <c r="W716" s="48" t="n"/>
      <c r="X716" s="48" t="n"/>
      <c r="Y716" s="48" t="n"/>
      <c r="Z716" s="48" t="n"/>
      <c r="AA716" s="48" t="n"/>
      <c r="AB716" s="48" t="n"/>
      <c r="AC716" s="48" t="n"/>
    </row>
    <row r="717" ht="13" customHeight="1" s="68">
      <c r="E717" s="48" t="n"/>
      <c r="F717" s="48" t="n"/>
      <c r="G717" s="49" t="n"/>
      <c r="J717" s="48" t="n"/>
      <c r="K717" s="48" t="n"/>
      <c r="L717" s="48" t="n"/>
      <c r="M717" s="1" t="n"/>
      <c r="W717" s="48" t="n"/>
      <c r="X717" s="48" t="n"/>
      <c r="Y717" s="48" t="n"/>
      <c r="Z717" s="48" t="n"/>
      <c r="AA717" s="48" t="n"/>
      <c r="AB717" s="48" t="n"/>
      <c r="AC717" s="48" t="n"/>
    </row>
    <row r="718" ht="13" customHeight="1" s="68">
      <c r="E718" s="48" t="n"/>
      <c r="F718" s="48" t="n"/>
      <c r="G718" s="49" t="n"/>
      <c r="J718" s="48" t="n"/>
      <c r="K718" s="48" t="n"/>
      <c r="L718" s="48" t="n"/>
      <c r="M718" s="1" t="n"/>
      <c r="W718" s="48" t="n"/>
      <c r="X718" s="48" t="n"/>
      <c r="Y718" s="48" t="n"/>
      <c r="Z718" s="48" t="n"/>
      <c r="AA718" s="48" t="n"/>
      <c r="AB718" s="48" t="n"/>
      <c r="AC718" s="48" t="n"/>
    </row>
    <row r="719" ht="13" customHeight="1" s="68">
      <c r="E719" s="48" t="n"/>
      <c r="F719" s="48" t="n"/>
      <c r="G719" s="49" t="n"/>
      <c r="J719" s="48" t="n"/>
      <c r="K719" s="48" t="n"/>
      <c r="L719" s="48" t="n"/>
      <c r="M719" s="1" t="n"/>
      <c r="W719" s="48" t="n"/>
      <c r="X719" s="48" t="n"/>
      <c r="Y719" s="48" t="n"/>
      <c r="Z719" s="48" t="n"/>
      <c r="AA719" s="48" t="n"/>
      <c r="AB719" s="48" t="n"/>
      <c r="AC719" s="48" t="n"/>
    </row>
    <row r="720" ht="13" customHeight="1" s="68">
      <c r="E720" s="48" t="n"/>
      <c r="F720" s="48" t="n"/>
      <c r="G720" s="49" t="n"/>
      <c r="J720" s="48" t="n"/>
      <c r="K720" s="48" t="n"/>
      <c r="L720" s="48" t="n"/>
      <c r="M720" s="1" t="n"/>
      <c r="W720" s="48" t="n"/>
      <c r="X720" s="48" t="n"/>
      <c r="Y720" s="48" t="n"/>
      <c r="Z720" s="48" t="n"/>
      <c r="AA720" s="48" t="n"/>
      <c r="AB720" s="48" t="n"/>
      <c r="AC720" s="48" t="n"/>
    </row>
    <row r="721" ht="13" customHeight="1" s="68">
      <c r="E721" s="48" t="n"/>
      <c r="F721" s="48" t="n"/>
      <c r="G721" s="49" t="n"/>
      <c r="J721" s="48" t="n"/>
      <c r="K721" s="48" t="n"/>
      <c r="L721" s="48" t="n"/>
      <c r="M721" s="1" t="n"/>
      <c r="W721" s="48" t="n"/>
      <c r="X721" s="48" t="n"/>
      <c r="Y721" s="48" t="n"/>
      <c r="Z721" s="48" t="n"/>
      <c r="AA721" s="48" t="n"/>
      <c r="AB721" s="48" t="n"/>
      <c r="AC721" s="48" t="n"/>
    </row>
    <row r="722" ht="13" customHeight="1" s="68">
      <c r="E722" s="48" t="n"/>
      <c r="F722" s="48" t="n"/>
      <c r="G722" s="49" t="n"/>
      <c r="J722" s="48" t="n"/>
      <c r="K722" s="48" t="n"/>
      <c r="L722" s="48" t="n"/>
      <c r="M722" s="1" t="n"/>
      <c r="W722" s="48" t="n"/>
      <c r="X722" s="48" t="n"/>
      <c r="Y722" s="48" t="n"/>
      <c r="Z722" s="48" t="n"/>
      <c r="AA722" s="48" t="n"/>
      <c r="AB722" s="48" t="n"/>
      <c r="AC722" s="48" t="n"/>
    </row>
    <row r="723" ht="13" customHeight="1" s="68">
      <c r="E723" s="48" t="n"/>
      <c r="F723" s="48" t="n"/>
      <c r="G723" s="49" t="n"/>
      <c r="J723" s="48" t="n"/>
      <c r="K723" s="48" t="n"/>
      <c r="L723" s="48" t="n"/>
      <c r="M723" s="1" t="n"/>
      <c r="W723" s="48" t="n"/>
      <c r="X723" s="48" t="n"/>
      <c r="Y723" s="48" t="n"/>
      <c r="Z723" s="48" t="n"/>
      <c r="AA723" s="48" t="n"/>
      <c r="AB723" s="48" t="n"/>
      <c r="AC723" s="48" t="n"/>
    </row>
    <row r="724" ht="13" customHeight="1" s="68">
      <c r="E724" s="48" t="n"/>
      <c r="F724" s="48" t="n"/>
      <c r="G724" s="49" t="n"/>
      <c r="J724" s="48" t="n"/>
      <c r="K724" s="48" t="n"/>
      <c r="L724" s="48" t="n"/>
      <c r="M724" s="1" t="n"/>
      <c r="W724" s="48" t="n"/>
      <c r="X724" s="48" t="n"/>
      <c r="Y724" s="48" t="n"/>
      <c r="Z724" s="48" t="n"/>
      <c r="AA724" s="48" t="n"/>
      <c r="AB724" s="48" t="n"/>
      <c r="AC724" s="48" t="n"/>
    </row>
    <row r="725" ht="13" customHeight="1" s="68">
      <c r="E725" s="48" t="n"/>
      <c r="F725" s="48" t="n"/>
      <c r="G725" s="49" t="n"/>
      <c r="J725" s="48" t="n"/>
      <c r="K725" s="48" t="n"/>
      <c r="L725" s="48" t="n"/>
      <c r="M725" s="1" t="n"/>
      <c r="W725" s="48" t="n"/>
      <c r="X725" s="48" t="n"/>
      <c r="Y725" s="48" t="n"/>
      <c r="Z725" s="48" t="n"/>
      <c r="AA725" s="48" t="n"/>
      <c r="AB725" s="48" t="n"/>
      <c r="AC725" s="48" t="n"/>
    </row>
    <row r="726" ht="13" customHeight="1" s="68">
      <c r="E726" s="48" t="n"/>
      <c r="F726" s="48" t="n"/>
      <c r="G726" s="49" t="n"/>
      <c r="J726" s="48" t="n"/>
      <c r="K726" s="48" t="n"/>
      <c r="L726" s="48" t="n"/>
      <c r="M726" s="1" t="n"/>
      <c r="W726" s="48" t="n"/>
      <c r="X726" s="48" t="n"/>
      <c r="Y726" s="48" t="n"/>
      <c r="Z726" s="48" t="n"/>
      <c r="AA726" s="48" t="n"/>
      <c r="AB726" s="48" t="n"/>
      <c r="AC726" s="48" t="n"/>
    </row>
    <row r="727" ht="13" customHeight="1" s="68">
      <c r="E727" s="48" t="n"/>
      <c r="F727" s="48" t="n"/>
      <c r="G727" s="49" t="n"/>
      <c r="J727" s="48" t="n"/>
      <c r="K727" s="48" t="n"/>
      <c r="L727" s="48" t="n"/>
      <c r="M727" s="1" t="n"/>
      <c r="W727" s="48" t="n"/>
      <c r="X727" s="48" t="n"/>
      <c r="Y727" s="48" t="n"/>
      <c r="Z727" s="48" t="n"/>
      <c r="AA727" s="48" t="n"/>
      <c r="AB727" s="48" t="n"/>
      <c r="AC727" s="48" t="n"/>
    </row>
    <row r="728" ht="13" customHeight="1" s="68">
      <c r="E728" s="48" t="n"/>
      <c r="F728" s="48" t="n"/>
      <c r="G728" s="49" t="n"/>
      <c r="J728" s="48" t="n"/>
      <c r="K728" s="48" t="n"/>
      <c r="L728" s="48" t="n"/>
      <c r="M728" s="1" t="n"/>
      <c r="W728" s="48" t="n"/>
      <c r="X728" s="48" t="n"/>
      <c r="Y728" s="48" t="n"/>
      <c r="Z728" s="48" t="n"/>
      <c r="AA728" s="48" t="n"/>
      <c r="AB728" s="48" t="n"/>
      <c r="AC728" s="48" t="n"/>
    </row>
    <row r="729" ht="13" customHeight="1" s="68">
      <c r="E729" s="48" t="n"/>
      <c r="F729" s="48" t="n"/>
      <c r="G729" s="49" t="n"/>
      <c r="J729" s="48" t="n"/>
      <c r="K729" s="48" t="n"/>
      <c r="L729" s="48" t="n"/>
      <c r="M729" s="1" t="n"/>
      <c r="W729" s="48" t="n"/>
      <c r="X729" s="48" t="n"/>
      <c r="Y729" s="48" t="n"/>
      <c r="Z729" s="48" t="n"/>
      <c r="AA729" s="48" t="n"/>
      <c r="AB729" s="48" t="n"/>
      <c r="AC729" s="48" t="n"/>
    </row>
    <row r="730" ht="13" customHeight="1" s="68">
      <c r="E730" s="48" t="n"/>
      <c r="F730" s="48" t="n"/>
      <c r="G730" s="49" t="n"/>
      <c r="J730" s="48" t="n"/>
      <c r="K730" s="48" t="n"/>
      <c r="L730" s="48" t="n"/>
      <c r="M730" s="1" t="n"/>
      <c r="W730" s="48" t="n"/>
      <c r="X730" s="48" t="n"/>
      <c r="Y730" s="48" t="n"/>
      <c r="Z730" s="48" t="n"/>
      <c r="AA730" s="48" t="n"/>
      <c r="AB730" s="48" t="n"/>
      <c r="AC730" s="48" t="n"/>
    </row>
    <row r="731" ht="13" customHeight="1" s="68">
      <c r="E731" s="48" t="n"/>
      <c r="F731" s="48" t="n"/>
      <c r="G731" s="49" t="n"/>
      <c r="J731" s="48" t="n"/>
      <c r="K731" s="48" t="n"/>
      <c r="L731" s="48" t="n"/>
      <c r="M731" s="1" t="n"/>
      <c r="W731" s="48" t="n"/>
      <c r="X731" s="48" t="n"/>
      <c r="Y731" s="48" t="n"/>
      <c r="Z731" s="48" t="n"/>
      <c r="AA731" s="48" t="n"/>
      <c r="AB731" s="48" t="n"/>
      <c r="AC731" s="48" t="n"/>
    </row>
    <row r="732" ht="13" customHeight="1" s="68">
      <c r="E732" s="48" t="n"/>
      <c r="F732" s="48" t="n"/>
      <c r="G732" s="49" t="n"/>
      <c r="J732" s="48" t="n"/>
      <c r="K732" s="48" t="n"/>
      <c r="L732" s="48" t="n"/>
      <c r="M732" s="1" t="n"/>
      <c r="W732" s="48" t="n"/>
      <c r="X732" s="48" t="n"/>
      <c r="Y732" s="48" t="n"/>
      <c r="Z732" s="48" t="n"/>
      <c r="AA732" s="48" t="n"/>
      <c r="AB732" s="48" t="n"/>
      <c r="AC732" s="48" t="n"/>
    </row>
    <row r="733" ht="13" customHeight="1" s="68">
      <c r="E733" s="48" t="n"/>
      <c r="F733" s="48" t="n"/>
      <c r="G733" s="49" t="n"/>
      <c r="J733" s="48" t="n"/>
      <c r="K733" s="48" t="n"/>
      <c r="L733" s="48" t="n"/>
      <c r="M733" s="1" t="n"/>
      <c r="W733" s="48" t="n"/>
      <c r="X733" s="48" t="n"/>
      <c r="Y733" s="48" t="n"/>
      <c r="Z733" s="48" t="n"/>
      <c r="AA733" s="48" t="n"/>
      <c r="AB733" s="48" t="n"/>
      <c r="AC733" s="48" t="n"/>
    </row>
    <row r="734" ht="13" customHeight="1" s="68">
      <c r="E734" s="48" t="n"/>
      <c r="F734" s="48" t="n"/>
      <c r="G734" s="49" t="n"/>
      <c r="J734" s="48" t="n"/>
      <c r="K734" s="48" t="n"/>
      <c r="L734" s="48" t="n"/>
      <c r="M734" s="1" t="n"/>
      <c r="W734" s="48" t="n"/>
      <c r="X734" s="48" t="n"/>
      <c r="Y734" s="48" t="n"/>
      <c r="Z734" s="48" t="n"/>
      <c r="AA734" s="48" t="n"/>
      <c r="AB734" s="48" t="n"/>
      <c r="AC734" s="48" t="n"/>
    </row>
    <row r="735" ht="13" customHeight="1" s="68">
      <c r="E735" s="48" t="n"/>
      <c r="F735" s="48" t="n"/>
      <c r="G735" s="49" t="n"/>
      <c r="J735" s="48" t="n"/>
      <c r="K735" s="48" t="n"/>
      <c r="L735" s="48" t="n"/>
      <c r="M735" s="1" t="n"/>
      <c r="W735" s="48" t="n"/>
      <c r="X735" s="48" t="n"/>
      <c r="Y735" s="48" t="n"/>
      <c r="Z735" s="48" t="n"/>
      <c r="AA735" s="48" t="n"/>
      <c r="AB735" s="48" t="n"/>
      <c r="AC735" s="48" t="n"/>
    </row>
    <row r="736" ht="13" customHeight="1" s="68">
      <c r="E736" s="48" t="n"/>
      <c r="F736" s="48" t="n"/>
      <c r="G736" s="49" t="n"/>
      <c r="J736" s="48" t="n"/>
      <c r="K736" s="48" t="n"/>
      <c r="L736" s="48" t="n"/>
      <c r="M736" s="1" t="n"/>
      <c r="W736" s="48" t="n"/>
      <c r="X736" s="48" t="n"/>
      <c r="Y736" s="48" t="n"/>
      <c r="Z736" s="48" t="n"/>
      <c r="AA736" s="48" t="n"/>
      <c r="AB736" s="48" t="n"/>
      <c r="AC736" s="48" t="n"/>
    </row>
    <row r="737" ht="13" customHeight="1" s="68">
      <c r="E737" s="48" t="n"/>
      <c r="F737" s="48" t="n"/>
      <c r="G737" s="49" t="n"/>
      <c r="J737" s="48" t="n"/>
      <c r="K737" s="48" t="n"/>
      <c r="L737" s="48" t="n"/>
      <c r="M737" s="1" t="n"/>
      <c r="W737" s="48" t="n"/>
      <c r="X737" s="48" t="n"/>
      <c r="Y737" s="48" t="n"/>
      <c r="Z737" s="48" t="n"/>
      <c r="AA737" s="48" t="n"/>
      <c r="AB737" s="48" t="n"/>
      <c r="AC737" s="48" t="n"/>
    </row>
    <row r="738" ht="13" customHeight="1" s="68">
      <c r="E738" s="48" t="n"/>
      <c r="F738" s="48" t="n"/>
      <c r="G738" s="49" t="n"/>
      <c r="J738" s="48" t="n"/>
      <c r="K738" s="48" t="n"/>
      <c r="L738" s="48" t="n"/>
      <c r="M738" s="1" t="n"/>
      <c r="W738" s="48" t="n"/>
      <c r="X738" s="48" t="n"/>
      <c r="Y738" s="48" t="n"/>
      <c r="Z738" s="48" t="n"/>
      <c r="AA738" s="48" t="n"/>
      <c r="AB738" s="48" t="n"/>
      <c r="AC738" s="48" t="n"/>
    </row>
    <row r="739" ht="13" customHeight="1" s="68">
      <c r="E739" s="48" t="n"/>
      <c r="F739" s="48" t="n"/>
      <c r="G739" s="49" t="n"/>
      <c r="J739" s="48" t="n"/>
      <c r="K739" s="48" t="n"/>
      <c r="L739" s="48" t="n"/>
      <c r="M739" s="1" t="n"/>
      <c r="W739" s="48" t="n"/>
      <c r="X739" s="48" t="n"/>
      <c r="Y739" s="48" t="n"/>
      <c r="Z739" s="48" t="n"/>
      <c r="AA739" s="48" t="n"/>
      <c r="AB739" s="48" t="n"/>
      <c r="AC739" s="48" t="n"/>
    </row>
    <row r="740" ht="13" customHeight="1" s="68">
      <c r="E740" s="48" t="n"/>
      <c r="F740" s="48" t="n"/>
      <c r="G740" s="49" t="n"/>
      <c r="J740" s="48" t="n"/>
      <c r="K740" s="48" t="n"/>
      <c r="L740" s="48" t="n"/>
      <c r="M740" s="1" t="n"/>
      <c r="W740" s="48" t="n"/>
      <c r="X740" s="48" t="n"/>
      <c r="Y740" s="48" t="n"/>
      <c r="Z740" s="48" t="n"/>
      <c r="AA740" s="48" t="n"/>
      <c r="AB740" s="48" t="n"/>
      <c r="AC740" s="48" t="n"/>
    </row>
    <row r="741" ht="13" customHeight="1" s="68">
      <c r="E741" s="48" t="n"/>
      <c r="F741" s="48" t="n"/>
      <c r="G741" s="49" t="n"/>
      <c r="J741" s="48" t="n"/>
      <c r="K741" s="48" t="n"/>
      <c r="L741" s="48" t="n"/>
      <c r="M741" s="1" t="n"/>
      <c r="W741" s="48" t="n"/>
      <c r="X741" s="48" t="n"/>
      <c r="Y741" s="48" t="n"/>
      <c r="Z741" s="48" t="n"/>
      <c r="AA741" s="48" t="n"/>
      <c r="AB741" s="48" t="n"/>
      <c r="AC741" s="48" t="n"/>
    </row>
    <row r="742" ht="13" customHeight="1" s="68">
      <c r="E742" s="48" t="n"/>
      <c r="F742" s="48" t="n"/>
      <c r="G742" s="49" t="n"/>
      <c r="J742" s="48" t="n"/>
      <c r="K742" s="48" t="n"/>
      <c r="L742" s="48" t="n"/>
      <c r="M742" s="1" t="n"/>
      <c r="W742" s="48" t="n"/>
      <c r="X742" s="48" t="n"/>
      <c r="Y742" s="48" t="n"/>
      <c r="Z742" s="48" t="n"/>
      <c r="AA742" s="48" t="n"/>
      <c r="AB742" s="48" t="n"/>
      <c r="AC742" s="48" t="n"/>
    </row>
    <row r="743" ht="13" customHeight="1" s="68">
      <c r="E743" s="48" t="n"/>
      <c r="F743" s="48" t="n"/>
      <c r="G743" s="49" t="n"/>
      <c r="J743" s="48" t="n"/>
      <c r="K743" s="48" t="n"/>
      <c r="L743" s="48" t="n"/>
      <c r="M743" s="1" t="n"/>
      <c r="W743" s="48" t="n"/>
      <c r="X743" s="48" t="n"/>
      <c r="Y743" s="48" t="n"/>
      <c r="Z743" s="48" t="n"/>
      <c r="AA743" s="48" t="n"/>
      <c r="AB743" s="48" t="n"/>
      <c r="AC743" s="48" t="n"/>
    </row>
    <row r="744" ht="13" customHeight="1" s="68">
      <c r="E744" s="48" t="n"/>
      <c r="F744" s="48" t="n"/>
      <c r="G744" s="49" t="n"/>
      <c r="J744" s="48" t="n"/>
      <c r="K744" s="48" t="n"/>
      <c r="L744" s="48" t="n"/>
      <c r="M744" s="1" t="n"/>
      <c r="W744" s="48" t="n"/>
      <c r="X744" s="48" t="n"/>
      <c r="Y744" s="48" t="n"/>
      <c r="Z744" s="48" t="n"/>
      <c r="AA744" s="48" t="n"/>
      <c r="AB744" s="48" t="n"/>
      <c r="AC744" s="48" t="n"/>
    </row>
    <row r="745" ht="13" customHeight="1" s="68">
      <c r="E745" s="48" t="n"/>
      <c r="F745" s="48" t="n"/>
      <c r="G745" s="49" t="n"/>
      <c r="J745" s="48" t="n"/>
      <c r="K745" s="48" t="n"/>
      <c r="L745" s="48" t="n"/>
      <c r="M745" s="1" t="n"/>
      <c r="W745" s="48" t="n"/>
      <c r="X745" s="48" t="n"/>
      <c r="Y745" s="48" t="n"/>
      <c r="Z745" s="48" t="n"/>
      <c r="AA745" s="48" t="n"/>
      <c r="AB745" s="48" t="n"/>
      <c r="AC745" s="48" t="n"/>
    </row>
    <row r="746" ht="13" customHeight="1" s="68">
      <c r="E746" s="48" t="n"/>
      <c r="F746" s="48" t="n"/>
      <c r="G746" s="49" t="n"/>
      <c r="J746" s="48" t="n"/>
      <c r="K746" s="48" t="n"/>
      <c r="L746" s="48" t="n"/>
      <c r="M746" s="1" t="n"/>
      <c r="W746" s="48" t="n"/>
      <c r="X746" s="48" t="n"/>
      <c r="Y746" s="48" t="n"/>
      <c r="Z746" s="48" t="n"/>
      <c r="AA746" s="48" t="n"/>
      <c r="AB746" s="48" t="n"/>
      <c r="AC746" s="48" t="n"/>
    </row>
    <row r="747" ht="13" customHeight="1" s="68">
      <c r="E747" s="48" t="n"/>
      <c r="F747" s="48" t="n"/>
      <c r="G747" s="49" t="n"/>
      <c r="J747" s="48" t="n"/>
      <c r="K747" s="48" t="n"/>
      <c r="L747" s="48" t="n"/>
      <c r="M747" s="1" t="n"/>
      <c r="W747" s="48" t="n"/>
      <c r="X747" s="48" t="n"/>
      <c r="Y747" s="48" t="n"/>
      <c r="Z747" s="48" t="n"/>
      <c r="AA747" s="48" t="n"/>
      <c r="AB747" s="48" t="n"/>
      <c r="AC747" s="48" t="n"/>
    </row>
    <row r="748" ht="13" customHeight="1" s="68">
      <c r="E748" s="48" t="n"/>
      <c r="F748" s="48" t="n"/>
      <c r="G748" s="49" t="n"/>
      <c r="J748" s="48" t="n"/>
      <c r="K748" s="48" t="n"/>
      <c r="L748" s="48" t="n"/>
      <c r="M748" s="1" t="n"/>
      <c r="W748" s="48" t="n"/>
      <c r="X748" s="48" t="n"/>
      <c r="Y748" s="48" t="n"/>
      <c r="Z748" s="48" t="n"/>
      <c r="AA748" s="48" t="n"/>
      <c r="AB748" s="48" t="n"/>
      <c r="AC748" s="48" t="n"/>
    </row>
    <row r="749" ht="13" customHeight="1" s="68">
      <c r="E749" s="48" t="n"/>
      <c r="F749" s="48" t="n"/>
      <c r="G749" s="49" t="n"/>
      <c r="J749" s="48" t="n"/>
      <c r="K749" s="48" t="n"/>
      <c r="L749" s="48" t="n"/>
      <c r="M749" s="1" t="n"/>
      <c r="W749" s="48" t="n"/>
      <c r="X749" s="48" t="n"/>
      <c r="Y749" s="48" t="n"/>
      <c r="Z749" s="48" t="n"/>
      <c r="AA749" s="48" t="n"/>
      <c r="AB749" s="48" t="n"/>
      <c r="AC749" s="48" t="n"/>
    </row>
    <row r="750" ht="13" customHeight="1" s="68">
      <c r="E750" s="48" t="n"/>
      <c r="F750" s="48" t="n"/>
      <c r="G750" s="49" t="n"/>
      <c r="J750" s="48" t="n"/>
      <c r="K750" s="48" t="n"/>
      <c r="L750" s="48" t="n"/>
      <c r="M750" s="1" t="n"/>
      <c r="W750" s="48" t="n"/>
      <c r="X750" s="48" t="n"/>
      <c r="Y750" s="48" t="n"/>
      <c r="Z750" s="48" t="n"/>
      <c r="AA750" s="48" t="n"/>
      <c r="AB750" s="48" t="n"/>
      <c r="AC750" s="48" t="n"/>
    </row>
    <row r="751" ht="13" customHeight="1" s="68">
      <c r="E751" s="48" t="n"/>
      <c r="F751" s="48" t="n"/>
      <c r="G751" s="49" t="n"/>
      <c r="J751" s="48" t="n"/>
      <c r="K751" s="48" t="n"/>
      <c r="L751" s="48" t="n"/>
      <c r="M751" s="1" t="n"/>
      <c r="W751" s="48" t="n"/>
      <c r="X751" s="48" t="n"/>
      <c r="Y751" s="48" t="n"/>
      <c r="Z751" s="48" t="n"/>
      <c r="AA751" s="48" t="n"/>
      <c r="AB751" s="48" t="n"/>
      <c r="AC751" s="48" t="n"/>
    </row>
    <row r="752" ht="13" customHeight="1" s="68">
      <c r="E752" s="48" t="n"/>
      <c r="F752" s="48" t="n"/>
      <c r="G752" s="49" t="n"/>
      <c r="J752" s="48" t="n"/>
      <c r="K752" s="48" t="n"/>
      <c r="L752" s="48" t="n"/>
      <c r="M752" s="1" t="n"/>
      <c r="W752" s="48" t="n"/>
      <c r="X752" s="48" t="n"/>
      <c r="Y752" s="48" t="n"/>
      <c r="Z752" s="48" t="n"/>
      <c r="AA752" s="48" t="n"/>
      <c r="AB752" s="48" t="n"/>
      <c r="AC752" s="48" t="n"/>
    </row>
    <row r="753" ht="13" customHeight="1" s="68">
      <c r="E753" s="48" t="n"/>
      <c r="F753" s="48" t="n"/>
      <c r="G753" s="49" t="n"/>
      <c r="J753" s="48" t="n"/>
      <c r="K753" s="48" t="n"/>
      <c r="L753" s="48" t="n"/>
      <c r="M753" s="1" t="n"/>
      <c r="W753" s="48" t="n"/>
      <c r="X753" s="48" t="n"/>
      <c r="Y753" s="48" t="n"/>
      <c r="Z753" s="48" t="n"/>
      <c r="AA753" s="48" t="n"/>
      <c r="AB753" s="48" t="n"/>
      <c r="AC753" s="48" t="n"/>
    </row>
    <row r="754" ht="13" customHeight="1" s="68">
      <c r="E754" s="48" t="n"/>
      <c r="F754" s="48" t="n"/>
      <c r="G754" s="49" t="n"/>
      <c r="J754" s="48" t="n"/>
      <c r="K754" s="48" t="n"/>
      <c r="L754" s="48" t="n"/>
      <c r="M754" s="1" t="n"/>
      <c r="W754" s="48" t="n"/>
      <c r="X754" s="48" t="n"/>
      <c r="Y754" s="48" t="n"/>
      <c r="Z754" s="48" t="n"/>
      <c r="AA754" s="48" t="n"/>
      <c r="AB754" s="48" t="n"/>
      <c r="AC754" s="48" t="n"/>
    </row>
    <row r="755" ht="13" customHeight="1" s="68">
      <c r="E755" s="48" t="n"/>
      <c r="F755" s="48" t="n"/>
      <c r="G755" s="49" t="n"/>
      <c r="J755" s="48" t="n"/>
      <c r="K755" s="48" t="n"/>
      <c r="L755" s="48" t="n"/>
      <c r="M755" s="1" t="n"/>
      <c r="W755" s="48" t="n"/>
      <c r="X755" s="48" t="n"/>
      <c r="Y755" s="48" t="n"/>
      <c r="Z755" s="48" t="n"/>
      <c r="AA755" s="48" t="n"/>
      <c r="AB755" s="48" t="n"/>
      <c r="AC755" s="48" t="n"/>
    </row>
    <row r="756" ht="13" customHeight="1" s="68">
      <c r="E756" s="48" t="n"/>
      <c r="F756" s="48" t="n"/>
      <c r="G756" s="49" t="n"/>
      <c r="J756" s="48" t="n"/>
      <c r="K756" s="48" t="n"/>
      <c r="L756" s="48" t="n"/>
      <c r="M756" s="1" t="n"/>
      <c r="W756" s="48" t="n"/>
      <c r="X756" s="48" t="n"/>
      <c r="Y756" s="48" t="n"/>
      <c r="Z756" s="48" t="n"/>
      <c r="AA756" s="48" t="n"/>
      <c r="AB756" s="48" t="n"/>
      <c r="AC756" s="48" t="n"/>
    </row>
    <row r="757" ht="13" customHeight="1" s="68">
      <c r="E757" s="48" t="n"/>
      <c r="F757" s="48" t="n"/>
      <c r="G757" s="49" t="n"/>
      <c r="J757" s="48" t="n"/>
      <c r="K757" s="48" t="n"/>
      <c r="L757" s="48" t="n"/>
      <c r="M757" s="1" t="n"/>
      <c r="W757" s="48" t="n"/>
      <c r="X757" s="48" t="n"/>
      <c r="Y757" s="48" t="n"/>
      <c r="Z757" s="48" t="n"/>
      <c r="AA757" s="48" t="n"/>
      <c r="AB757" s="48" t="n"/>
      <c r="AC757" s="48" t="n"/>
    </row>
    <row r="758" ht="13" customHeight="1" s="68">
      <c r="E758" s="48" t="n"/>
      <c r="F758" s="48" t="n"/>
      <c r="G758" s="49" t="n"/>
      <c r="J758" s="48" t="n"/>
      <c r="K758" s="48" t="n"/>
      <c r="L758" s="48" t="n"/>
      <c r="M758" s="1" t="n"/>
      <c r="W758" s="48" t="n"/>
      <c r="X758" s="48" t="n"/>
      <c r="Y758" s="48" t="n"/>
      <c r="Z758" s="48" t="n"/>
      <c r="AA758" s="48" t="n"/>
      <c r="AB758" s="48" t="n"/>
      <c r="AC758" s="48" t="n"/>
    </row>
    <row r="759" ht="13" customHeight="1" s="68">
      <c r="E759" s="48" t="n"/>
      <c r="F759" s="48" t="n"/>
      <c r="G759" s="49" t="n"/>
      <c r="J759" s="48" t="n"/>
      <c r="K759" s="48" t="n"/>
      <c r="L759" s="48" t="n"/>
      <c r="M759" s="1" t="n"/>
      <c r="W759" s="48" t="n"/>
      <c r="X759" s="48" t="n"/>
      <c r="Y759" s="48" t="n"/>
      <c r="Z759" s="48" t="n"/>
      <c r="AA759" s="48" t="n"/>
      <c r="AB759" s="48" t="n"/>
      <c r="AC759" s="48" t="n"/>
    </row>
    <row r="760" ht="13" customHeight="1" s="68">
      <c r="E760" s="48" t="n"/>
      <c r="F760" s="48" t="n"/>
      <c r="G760" s="49" t="n"/>
      <c r="J760" s="48" t="n"/>
      <c r="K760" s="48" t="n"/>
      <c r="L760" s="48" t="n"/>
      <c r="M760" s="1" t="n"/>
      <c r="W760" s="48" t="n"/>
      <c r="X760" s="48" t="n"/>
      <c r="Y760" s="48" t="n"/>
      <c r="Z760" s="48" t="n"/>
      <c r="AA760" s="48" t="n"/>
      <c r="AB760" s="48" t="n"/>
      <c r="AC760" s="48" t="n"/>
    </row>
    <row r="761" ht="13" customHeight="1" s="68">
      <c r="E761" s="48" t="n"/>
      <c r="F761" s="48" t="n"/>
      <c r="G761" s="49" t="n"/>
      <c r="J761" s="48" t="n"/>
      <c r="K761" s="48" t="n"/>
      <c r="L761" s="48" t="n"/>
      <c r="M761" s="1" t="n"/>
      <c r="W761" s="48" t="n"/>
      <c r="X761" s="48" t="n"/>
      <c r="Y761" s="48" t="n"/>
      <c r="Z761" s="48" t="n"/>
      <c r="AA761" s="48" t="n"/>
      <c r="AB761" s="48" t="n"/>
      <c r="AC761" s="48" t="n"/>
    </row>
    <row r="762" ht="13" customHeight="1" s="68">
      <c r="E762" s="48" t="n"/>
      <c r="F762" s="48" t="n"/>
      <c r="G762" s="49" t="n"/>
      <c r="J762" s="48" t="n"/>
      <c r="K762" s="48" t="n"/>
      <c r="L762" s="48" t="n"/>
      <c r="M762" s="1" t="n"/>
      <c r="W762" s="48" t="n"/>
      <c r="X762" s="48" t="n"/>
      <c r="Y762" s="48" t="n"/>
      <c r="Z762" s="48" t="n"/>
      <c r="AA762" s="48" t="n"/>
      <c r="AB762" s="48" t="n"/>
      <c r="AC762" s="48" t="n"/>
    </row>
    <row r="763" ht="13" customHeight="1" s="68">
      <c r="E763" s="48" t="n"/>
      <c r="F763" s="48" t="n"/>
      <c r="G763" s="49" t="n"/>
      <c r="J763" s="48" t="n"/>
      <c r="K763" s="48" t="n"/>
      <c r="L763" s="48" t="n"/>
      <c r="M763" s="1" t="n"/>
      <c r="W763" s="48" t="n"/>
      <c r="X763" s="48" t="n"/>
      <c r="Y763" s="48" t="n"/>
      <c r="Z763" s="48" t="n"/>
      <c r="AA763" s="48" t="n"/>
      <c r="AB763" s="48" t="n"/>
      <c r="AC763" s="48" t="n"/>
    </row>
    <row r="764" ht="13" customHeight="1" s="68">
      <c r="E764" s="48" t="n"/>
      <c r="F764" s="48" t="n"/>
      <c r="G764" s="49" t="n"/>
      <c r="J764" s="48" t="n"/>
      <c r="K764" s="48" t="n"/>
      <c r="L764" s="48" t="n"/>
      <c r="M764" s="1" t="n"/>
      <c r="W764" s="48" t="n"/>
      <c r="X764" s="48" t="n"/>
      <c r="Y764" s="48" t="n"/>
      <c r="Z764" s="48" t="n"/>
      <c r="AA764" s="48" t="n"/>
      <c r="AB764" s="48" t="n"/>
      <c r="AC764" s="48" t="n"/>
    </row>
    <row r="765" ht="13" customHeight="1" s="68">
      <c r="E765" s="48" t="n"/>
      <c r="F765" s="48" t="n"/>
      <c r="G765" s="49" t="n"/>
      <c r="J765" s="48" t="n"/>
      <c r="K765" s="48" t="n"/>
      <c r="L765" s="48" t="n"/>
      <c r="M765" s="1" t="n"/>
      <c r="W765" s="48" t="n"/>
      <c r="X765" s="48" t="n"/>
      <c r="Y765" s="48" t="n"/>
      <c r="Z765" s="48" t="n"/>
      <c r="AA765" s="48" t="n"/>
      <c r="AB765" s="48" t="n"/>
      <c r="AC765" s="48" t="n"/>
    </row>
    <row r="766" ht="13" customHeight="1" s="68">
      <c r="E766" s="48" t="n"/>
      <c r="F766" s="48" t="n"/>
      <c r="G766" s="49" t="n"/>
      <c r="J766" s="48" t="n"/>
      <c r="K766" s="48" t="n"/>
      <c r="L766" s="48" t="n"/>
      <c r="M766" s="1" t="n"/>
      <c r="W766" s="48" t="n"/>
      <c r="X766" s="48" t="n"/>
      <c r="Y766" s="48" t="n"/>
      <c r="Z766" s="48" t="n"/>
      <c r="AA766" s="48" t="n"/>
      <c r="AB766" s="48" t="n"/>
      <c r="AC766" s="48" t="n"/>
    </row>
    <row r="767" ht="13" customHeight="1" s="68">
      <c r="E767" s="48" t="n"/>
      <c r="F767" s="48" t="n"/>
      <c r="G767" s="49" t="n"/>
      <c r="J767" s="48" t="n"/>
      <c r="K767" s="48" t="n"/>
      <c r="L767" s="48" t="n"/>
      <c r="M767" s="1" t="n"/>
      <c r="W767" s="48" t="n"/>
      <c r="X767" s="48" t="n"/>
      <c r="Y767" s="48" t="n"/>
      <c r="Z767" s="48" t="n"/>
      <c r="AA767" s="48" t="n"/>
      <c r="AB767" s="48" t="n"/>
      <c r="AC767" s="48" t="n"/>
    </row>
    <row r="768" ht="13" customHeight="1" s="68">
      <c r="E768" s="48" t="n"/>
      <c r="F768" s="48" t="n"/>
      <c r="G768" s="49" t="n"/>
      <c r="J768" s="48" t="n"/>
      <c r="K768" s="48" t="n"/>
      <c r="L768" s="48" t="n"/>
      <c r="M768" s="1" t="n"/>
      <c r="W768" s="48" t="n"/>
      <c r="X768" s="48" t="n"/>
      <c r="Y768" s="48" t="n"/>
      <c r="Z768" s="48" t="n"/>
      <c r="AA768" s="48" t="n"/>
      <c r="AB768" s="48" t="n"/>
      <c r="AC768" s="48" t="n"/>
    </row>
    <row r="769" ht="13" customHeight="1" s="68">
      <c r="E769" s="48" t="n"/>
      <c r="F769" s="48" t="n"/>
      <c r="G769" s="49" t="n"/>
      <c r="J769" s="48" t="n"/>
      <c r="K769" s="48" t="n"/>
      <c r="L769" s="48" t="n"/>
      <c r="M769" s="1" t="n"/>
      <c r="W769" s="48" t="n"/>
      <c r="X769" s="48" t="n"/>
      <c r="Y769" s="48" t="n"/>
      <c r="Z769" s="48" t="n"/>
      <c r="AA769" s="48" t="n"/>
      <c r="AB769" s="48" t="n"/>
      <c r="AC769" s="48" t="n"/>
    </row>
    <row r="770" ht="13" customHeight="1" s="68">
      <c r="E770" s="48" t="n"/>
      <c r="F770" s="48" t="n"/>
      <c r="G770" s="49" t="n"/>
      <c r="J770" s="48" t="n"/>
      <c r="K770" s="48" t="n"/>
      <c r="L770" s="48" t="n"/>
      <c r="M770" s="1" t="n"/>
      <c r="W770" s="48" t="n"/>
      <c r="X770" s="48" t="n"/>
      <c r="Y770" s="48" t="n"/>
      <c r="Z770" s="48" t="n"/>
      <c r="AA770" s="48" t="n"/>
      <c r="AB770" s="48" t="n"/>
      <c r="AC770" s="48" t="n"/>
    </row>
    <row r="771" ht="13" customHeight="1" s="68">
      <c r="E771" s="48" t="n"/>
      <c r="F771" s="48" t="n"/>
      <c r="G771" s="49" t="n"/>
      <c r="J771" s="48" t="n"/>
      <c r="K771" s="48" t="n"/>
      <c r="L771" s="48" t="n"/>
      <c r="M771" s="1" t="n"/>
      <c r="W771" s="48" t="n"/>
      <c r="X771" s="48" t="n"/>
      <c r="Y771" s="48" t="n"/>
      <c r="Z771" s="48" t="n"/>
      <c r="AA771" s="48" t="n"/>
      <c r="AB771" s="48" t="n"/>
      <c r="AC771" s="48" t="n"/>
    </row>
    <row r="772" ht="13" customHeight="1" s="68">
      <c r="E772" s="48" t="n"/>
      <c r="F772" s="48" t="n"/>
      <c r="G772" s="49" t="n"/>
      <c r="J772" s="48" t="n"/>
      <c r="K772" s="48" t="n"/>
      <c r="L772" s="48" t="n"/>
      <c r="M772" s="1" t="n"/>
      <c r="W772" s="48" t="n"/>
      <c r="X772" s="48" t="n"/>
      <c r="Y772" s="48" t="n"/>
      <c r="Z772" s="48" t="n"/>
      <c r="AA772" s="48" t="n"/>
      <c r="AB772" s="48" t="n"/>
      <c r="AC772" s="48" t="n"/>
    </row>
    <row r="773" ht="13" customHeight="1" s="68">
      <c r="E773" s="48" t="n"/>
      <c r="F773" s="48" t="n"/>
      <c r="G773" s="49" t="n"/>
      <c r="J773" s="48" t="n"/>
      <c r="K773" s="48" t="n"/>
      <c r="L773" s="48" t="n"/>
      <c r="M773" s="1" t="n"/>
      <c r="W773" s="48" t="n"/>
      <c r="X773" s="48" t="n"/>
      <c r="Y773" s="48" t="n"/>
      <c r="Z773" s="48" t="n"/>
      <c r="AA773" s="48" t="n"/>
      <c r="AB773" s="48" t="n"/>
      <c r="AC773" s="48" t="n"/>
    </row>
    <row r="774" ht="13" customHeight="1" s="68">
      <c r="E774" s="48" t="n"/>
      <c r="F774" s="48" t="n"/>
      <c r="G774" s="49" t="n"/>
      <c r="J774" s="48" t="n"/>
      <c r="K774" s="48" t="n"/>
      <c r="L774" s="48" t="n"/>
      <c r="M774" s="1" t="n"/>
      <c r="W774" s="48" t="n"/>
      <c r="X774" s="48" t="n"/>
      <c r="Y774" s="48" t="n"/>
      <c r="Z774" s="48" t="n"/>
      <c r="AA774" s="48" t="n"/>
      <c r="AB774" s="48" t="n"/>
      <c r="AC774" s="48" t="n"/>
    </row>
    <row r="775" ht="13" customHeight="1" s="68">
      <c r="E775" s="48" t="n"/>
      <c r="F775" s="48" t="n"/>
      <c r="G775" s="49" t="n"/>
      <c r="J775" s="48" t="n"/>
      <c r="K775" s="48" t="n"/>
      <c r="L775" s="48" t="n"/>
      <c r="M775" s="1" t="n"/>
      <c r="W775" s="48" t="n"/>
      <c r="X775" s="48" t="n"/>
      <c r="Y775" s="48" t="n"/>
      <c r="Z775" s="48" t="n"/>
      <c r="AA775" s="48" t="n"/>
      <c r="AB775" s="48" t="n"/>
      <c r="AC775" s="48" t="n"/>
    </row>
    <row r="776" ht="13" customHeight="1" s="68">
      <c r="E776" s="48" t="n"/>
      <c r="F776" s="48" t="n"/>
      <c r="G776" s="49" t="n"/>
      <c r="J776" s="48" t="n"/>
      <c r="K776" s="48" t="n"/>
      <c r="L776" s="48" t="n"/>
      <c r="M776" s="1" t="n"/>
      <c r="W776" s="48" t="n"/>
      <c r="X776" s="48" t="n"/>
      <c r="Y776" s="48" t="n"/>
      <c r="Z776" s="48" t="n"/>
      <c r="AA776" s="48" t="n"/>
      <c r="AB776" s="48" t="n"/>
      <c r="AC776" s="48" t="n"/>
    </row>
    <row r="777" ht="13" customHeight="1" s="68">
      <c r="E777" s="48" t="n"/>
      <c r="F777" s="48" t="n"/>
      <c r="G777" s="49" t="n"/>
      <c r="J777" s="48" t="n"/>
      <c r="K777" s="48" t="n"/>
      <c r="L777" s="48" t="n"/>
      <c r="M777" s="1" t="n"/>
      <c r="W777" s="48" t="n"/>
      <c r="X777" s="48" t="n"/>
      <c r="Y777" s="48" t="n"/>
      <c r="Z777" s="48" t="n"/>
      <c r="AA777" s="48" t="n"/>
      <c r="AB777" s="48" t="n"/>
      <c r="AC777" s="48" t="n"/>
    </row>
    <row r="778" ht="13" customHeight="1" s="68">
      <c r="E778" s="48" t="n"/>
      <c r="F778" s="48" t="n"/>
      <c r="G778" s="49" t="n"/>
      <c r="J778" s="48" t="n"/>
      <c r="K778" s="48" t="n"/>
      <c r="L778" s="48" t="n"/>
      <c r="M778" s="1" t="n"/>
      <c r="W778" s="48" t="n"/>
      <c r="X778" s="48" t="n"/>
      <c r="Y778" s="48" t="n"/>
      <c r="Z778" s="48" t="n"/>
      <c r="AA778" s="48" t="n"/>
      <c r="AB778" s="48" t="n"/>
      <c r="AC778" s="48" t="n"/>
    </row>
    <row r="779" ht="13" customHeight="1" s="68">
      <c r="E779" s="48" t="n"/>
      <c r="F779" s="48" t="n"/>
      <c r="G779" s="49" t="n"/>
      <c r="J779" s="48" t="n"/>
      <c r="K779" s="48" t="n"/>
      <c r="L779" s="48" t="n"/>
      <c r="M779" s="1" t="n"/>
      <c r="W779" s="48" t="n"/>
      <c r="X779" s="48" t="n"/>
      <c r="Y779" s="48" t="n"/>
      <c r="Z779" s="48" t="n"/>
      <c r="AA779" s="48" t="n"/>
      <c r="AB779" s="48" t="n"/>
      <c r="AC779" s="48" t="n"/>
    </row>
    <row r="780" ht="13" customHeight="1" s="68">
      <c r="E780" s="48" t="n"/>
      <c r="F780" s="48" t="n"/>
      <c r="G780" s="49" t="n"/>
      <c r="J780" s="48" t="n"/>
      <c r="K780" s="48" t="n"/>
      <c r="L780" s="48" t="n"/>
      <c r="M780" s="1" t="n"/>
      <c r="W780" s="48" t="n"/>
      <c r="X780" s="48" t="n"/>
      <c r="Y780" s="48" t="n"/>
      <c r="Z780" s="48" t="n"/>
      <c r="AA780" s="48" t="n"/>
      <c r="AB780" s="48" t="n"/>
      <c r="AC780" s="48" t="n"/>
    </row>
    <row r="781" ht="13" customHeight="1" s="68">
      <c r="E781" s="48" t="n"/>
      <c r="F781" s="48" t="n"/>
      <c r="G781" s="49" t="n"/>
      <c r="J781" s="48" t="n"/>
      <c r="K781" s="48" t="n"/>
      <c r="L781" s="48" t="n"/>
      <c r="M781" s="1" t="n"/>
      <c r="W781" s="48" t="n"/>
      <c r="X781" s="48" t="n"/>
      <c r="Y781" s="48" t="n"/>
      <c r="Z781" s="48" t="n"/>
      <c r="AA781" s="48" t="n"/>
      <c r="AB781" s="48" t="n"/>
      <c r="AC781" s="48" t="n"/>
    </row>
    <row r="782" ht="13" customHeight="1" s="68">
      <c r="E782" s="48" t="n"/>
      <c r="F782" s="48" t="n"/>
      <c r="G782" s="49" t="n"/>
      <c r="J782" s="48" t="n"/>
      <c r="K782" s="48" t="n"/>
      <c r="L782" s="48" t="n"/>
      <c r="M782" s="1" t="n"/>
      <c r="W782" s="48" t="n"/>
      <c r="X782" s="48" t="n"/>
      <c r="Y782" s="48" t="n"/>
      <c r="Z782" s="48" t="n"/>
      <c r="AA782" s="48" t="n"/>
      <c r="AB782" s="48" t="n"/>
      <c r="AC782" s="48" t="n"/>
    </row>
    <row r="783" ht="13" customHeight="1" s="68">
      <c r="E783" s="48" t="n"/>
      <c r="F783" s="48" t="n"/>
      <c r="G783" s="49" t="n"/>
      <c r="J783" s="48" t="n"/>
      <c r="K783" s="48" t="n"/>
      <c r="L783" s="48" t="n"/>
      <c r="M783" s="1" t="n"/>
      <c r="W783" s="48" t="n"/>
      <c r="X783" s="48" t="n"/>
      <c r="Y783" s="48" t="n"/>
      <c r="Z783" s="48" t="n"/>
      <c r="AA783" s="48" t="n"/>
      <c r="AB783" s="48" t="n"/>
      <c r="AC783" s="48" t="n"/>
    </row>
    <row r="784" ht="13" customHeight="1" s="68">
      <c r="E784" s="48" t="n"/>
      <c r="F784" s="48" t="n"/>
      <c r="G784" s="49" t="n"/>
      <c r="J784" s="48" t="n"/>
      <c r="K784" s="48" t="n"/>
      <c r="L784" s="48" t="n"/>
      <c r="M784" s="1" t="n"/>
      <c r="W784" s="48" t="n"/>
      <c r="X784" s="48" t="n"/>
      <c r="Y784" s="48" t="n"/>
      <c r="Z784" s="48" t="n"/>
      <c r="AA784" s="48" t="n"/>
      <c r="AB784" s="48" t="n"/>
      <c r="AC784" s="48" t="n"/>
    </row>
    <row r="785" ht="13" customHeight="1" s="68">
      <c r="E785" s="48" t="n"/>
      <c r="F785" s="48" t="n"/>
      <c r="G785" s="49" t="n"/>
      <c r="J785" s="48" t="n"/>
      <c r="K785" s="48" t="n"/>
      <c r="L785" s="48" t="n"/>
      <c r="M785" s="1" t="n"/>
      <c r="W785" s="48" t="n"/>
      <c r="X785" s="48" t="n"/>
      <c r="Y785" s="48" t="n"/>
      <c r="Z785" s="48" t="n"/>
      <c r="AA785" s="48" t="n"/>
      <c r="AB785" s="48" t="n"/>
      <c r="AC785" s="48" t="n"/>
    </row>
    <row r="786" ht="13" customHeight="1" s="68">
      <c r="E786" s="48" t="n"/>
      <c r="F786" s="48" t="n"/>
      <c r="G786" s="49" t="n"/>
      <c r="J786" s="48" t="n"/>
      <c r="K786" s="48" t="n"/>
      <c r="L786" s="48" t="n"/>
      <c r="M786" s="1" t="n"/>
      <c r="W786" s="48" t="n"/>
      <c r="X786" s="48" t="n"/>
      <c r="Y786" s="48" t="n"/>
      <c r="Z786" s="48" t="n"/>
      <c r="AA786" s="48" t="n"/>
      <c r="AB786" s="48" t="n"/>
      <c r="AC786" s="48" t="n"/>
    </row>
    <row r="787" ht="13" customHeight="1" s="68">
      <c r="E787" s="48" t="n"/>
      <c r="F787" s="48" t="n"/>
      <c r="G787" s="49" t="n"/>
      <c r="J787" s="48" t="n"/>
      <c r="K787" s="48" t="n"/>
      <c r="L787" s="48" t="n"/>
      <c r="M787" s="1" t="n"/>
      <c r="W787" s="48" t="n"/>
      <c r="X787" s="48" t="n"/>
      <c r="Y787" s="48" t="n"/>
      <c r="Z787" s="48" t="n"/>
      <c r="AA787" s="48" t="n"/>
      <c r="AB787" s="48" t="n"/>
      <c r="AC787" s="48" t="n"/>
    </row>
    <row r="788" ht="13" customHeight="1" s="68">
      <c r="E788" s="48" t="n"/>
      <c r="F788" s="48" t="n"/>
      <c r="G788" s="49" t="n"/>
      <c r="J788" s="48" t="n"/>
      <c r="K788" s="48" t="n"/>
      <c r="L788" s="48" t="n"/>
      <c r="M788" s="1" t="n"/>
      <c r="W788" s="48" t="n"/>
      <c r="X788" s="48" t="n"/>
      <c r="Y788" s="48" t="n"/>
      <c r="Z788" s="48" t="n"/>
      <c r="AA788" s="48" t="n"/>
      <c r="AB788" s="48" t="n"/>
      <c r="AC788" s="48" t="n"/>
    </row>
    <row r="789" ht="13" customHeight="1" s="68">
      <c r="E789" s="48" t="n"/>
      <c r="F789" s="48" t="n"/>
      <c r="G789" s="49" t="n"/>
      <c r="J789" s="48" t="n"/>
      <c r="K789" s="48" t="n"/>
      <c r="L789" s="48" t="n"/>
      <c r="M789" s="1" t="n"/>
      <c r="W789" s="48" t="n"/>
      <c r="X789" s="48" t="n"/>
      <c r="Y789" s="48" t="n"/>
      <c r="Z789" s="48" t="n"/>
      <c r="AA789" s="48" t="n"/>
      <c r="AB789" s="48" t="n"/>
      <c r="AC789" s="48" t="n"/>
    </row>
    <row r="790" ht="13" customHeight="1" s="68">
      <c r="E790" s="48" t="n"/>
      <c r="F790" s="48" t="n"/>
      <c r="G790" s="49" t="n"/>
      <c r="J790" s="48" t="n"/>
      <c r="K790" s="48" t="n"/>
      <c r="L790" s="48" t="n"/>
      <c r="M790" s="1" t="n"/>
      <c r="W790" s="48" t="n"/>
      <c r="X790" s="48" t="n"/>
      <c r="Y790" s="48" t="n"/>
      <c r="Z790" s="48" t="n"/>
      <c r="AA790" s="48" t="n"/>
      <c r="AB790" s="48" t="n"/>
      <c r="AC790" s="48" t="n"/>
    </row>
    <row r="791" ht="13" customHeight="1" s="68">
      <c r="E791" s="48" t="n"/>
      <c r="F791" s="48" t="n"/>
      <c r="G791" s="49" t="n"/>
      <c r="J791" s="48" t="n"/>
      <c r="K791" s="48" t="n"/>
      <c r="L791" s="48" t="n"/>
      <c r="M791" s="1" t="n"/>
      <c r="W791" s="48" t="n"/>
      <c r="X791" s="48" t="n"/>
      <c r="Y791" s="48" t="n"/>
      <c r="Z791" s="48" t="n"/>
      <c r="AA791" s="48" t="n"/>
      <c r="AB791" s="48" t="n"/>
      <c r="AC791" s="48" t="n"/>
    </row>
    <row r="792" ht="13" customHeight="1" s="68">
      <c r="E792" s="48" t="n"/>
      <c r="F792" s="48" t="n"/>
      <c r="G792" s="49" t="n"/>
      <c r="J792" s="48" t="n"/>
      <c r="K792" s="48" t="n"/>
      <c r="L792" s="48" t="n"/>
      <c r="M792" s="1" t="n"/>
      <c r="W792" s="48" t="n"/>
      <c r="X792" s="48" t="n"/>
      <c r="Y792" s="48" t="n"/>
      <c r="Z792" s="48" t="n"/>
      <c r="AA792" s="48" t="n"/>
      <c r="AB792" s="48" t="n"/>
      <c r="AC792" s="48" t="n"/>
    </row>
    <row r="793" ht="13" customHeight="1" s="68">
      <c r="E793" s="48" t="n"/>
      <c r="F793" s="48" t="n"/>
      <c r="G793" s="49" t="n"/>
      <c r="J793" s="48" t="n"/>
      <c r="K793" s="48" t="n"/>
      <c r="L793" s="48" t="n"/>
      <c r="M793" s="1" t="n"/>
      <c r="W793" s="48" t="n"/>
      <c r="X793" s="48" t="n"/>
      <c r="Y793" s="48" t="n"/>
      <c r="Z793" s="48" t="n"/>
      <c r="AA793" s="48" t="n"/>
      <c r="AB793" s="48" t="n"/>
      <c r="AC793" s="48" t="n"/>
    </row>
    <row r="794" ht="13" customHeight="1" s="68">
      <c r="E794" s="48" t="n"/>
      <c r="F794" s="48" t="n"/>
      <c r="G794" s="49" t="n"/>
      <c r="J794" s="48" t="n"/>
      <c r="K794" s="48" t="n"/>
      <c r="L794" s="48" t="n"/>
      <c r="M794" s="1" t="n"/>
      <c r="W794" s="48" t="n"/>
      <c r="X794" s="48" t="n"/>
      <c r="Y794" s="48" t="n"/>
      <c r="Z794" s="48" t="n"/>
      <c r="AA794" s="48" t="n"/>
      <c r="AB794" s="48" t="n"/>
      <c r="AC794" s="48" t="n"/>
    </row>
    <row r="795" ht="13" customHeight="1" s="68">
      <c r="E795" s="48" t="n"/>
      <c r="F795" s="48" t="n"/>
      <c r="G795" s="49" t="n"/>
      <c r="J795" s="48" t="n"/>
      <c r="K795" s="48" t="n"/>
      <c r="L795" s="48" t="n"/>
      <c r="M795" s="1" t="n"/>
      <c r="W795" s="48" t="n"/>
      <c r="X795" s="48" t="n"/>
      <c r="Y795" s="48" t="n"/>
      <c r="Z795" s="48" t="n"/>
      <c r="AA795" s="48" t="n"/>
      <c r="AB795" s="48" t="n"/>
      <c r="AC795" s="48" t="n"/>
    </row>
    <row r="796" ht="13" customHeight="1" s="68">
      <c r="E796" s="48" t="n"/>
      <c r="F796" s="48" t="n"/>
      <c r="G796" s="49" t="n"/>
      <c r="J796" s="48" t="n"/>
      <c r="K796" s="48" t="n"/>
      <c r="L796" s="48" t="n"/>
      <c r="M796" s="1" t="n"/>
      <c r="W796" s="48" t="n"/>
      <c r="X796" s="48" t="n"/>
      <c r="Y796" s="48" t="n"/>
      <c r="Z796" s="48" t="n"/>
      <c r="AA796" s="48" t="n"/>
      <c r="AB796" s="48" t="n"/>
      <c r="AC796" s="48" t="n"/>
    </row>
    <row r="797" ht="13" customHeight="1" s="68">
      <c r="E797" s="48" t="n"/>
      <c r="F797" s="48" t="n"/>
      <c r="G797" s="49" t="n"/>
      <c r="J797" s="48" t="n"/>
      <c r="K797" s="48" t="n"/>
      <c r="L797" s="48" t="n"/>
      <c r="M797" s="1" t="n"/>
      <c r="W797" s="48" t="n"/>
      <c r="X797" s="48" t="n"/>
      <c r="Y797" s="48" t="n"/>
      <c r="Z797" s="48" t="n"/>
      <c r="AA797" s="48" t="n"/>
      <c r="AB797" s="48" t="n"/>
      <c r="AC797" s="48" t="n"/>
    </row>
    <row r="798" ht="13" customHeight="1" s="68">
      <c r="E798" s="48" t="n"/>
      <c r="F798" s="48" t="n"/>
      <c r="G798" s="49" t="n"/>
      <c r="J798" s="48" t="n"/>
      <c r="K798" s="48" t="n"/>
      <c r="L798" s="48" t="n"/>
      <c r="M798" s="1" t="n"/>
      <c r="W798" s="48" t="n"/>
      <c r="X798" s="48" t="n"/>
      <c r="Y798" s="48" t="n"/>
      <c r="Z798" s="48" t="n"/>
      <c r="AA798" s="48" t="n"/>
      <c r="AB798" s="48" t="n"/>
      <c r="AC798" s="48" t="n"/>
    </row>
    <row r="799" ht="13" customHeight="1" s="68">
      <c r="E799" s="48" t="n"/>
      <c r="F799" s="48" t="n"/>
      <c r="G799" s="49" t="n"/>
      <c r="J799" s="48" t="n"/>
      <c r="K799" s="48" t="n"/>
      <c r="L799" s="48" t="n"/>
      <c r="M799" s="1" t="n"/>
      <c r="W799" s="48" t="n"/>
      <c r="X799" s="48" t="n"/>
      <c r="Y799" s="48" t="n"/>
      <c r="Z799" s="48" t="n"/>
      <c r="AA799" s="48" t="n"/>
      <c r="AB799" s="48" t="n"/>
      <c r="AC799" s="48" t="n"/>
    </row>
    <row r="800" ht="13" customHeight="1" s="68">
      <c r="E800" s="48" t="n"/>
      <c r="F800" s="48" t="n"/>
      <c r="G800" s="49" t="n"/>
      <c r="J800" s="48" t="n"/>
      <c r="K800" s="48" t="n"/>
      <c r="L800" s="48" t="n"/>
      <c r="M800" s="1" t="n"/>
      <c r="W800" s="48" t="n"/>
      <c r="X800" s="48" t="n"/>
      <c r="Y800" s="48" t="n"/>
      <c r="Z800" s="48" t="n"/>
      <c r="AA800" s="48" t="n"/>
      <c r="AB800" s="48" t="n"/>
      <c r="AC800" s="48" t="n"/>
    </row>
    <row r="801" ht="13" customHeight="1" s="68">
      <c r="E801" s="48" t="n"/>
      <c r="F801" s="48" t="n"/>
      <c r="G801" s="49" t="n"/>
      <c r="J801" s="48" t="n"/>
      <c r="K801" s="48" t="n"/>
      <c r="L801" s="48" t="n"/>
      <c r="M801" s="1" t="n"/>
      <c r="W801" s="48" t="n"/>
      <c r="X801" s="48" t="n"/>
      <c r="Y801" s="48" t="n"/>
      <c r="Z801" s="48" t="n"/>
      <c r="AA801" s="48" t="n"/>
      <c r="AB801" s="48" t="n"/>
      <c r="AC801" s="48" t="n"/>
    </row>
    <row r="802" ht="13" customHeight="1" s="68">
      <c r="E802" s="48" t="n"/>
      <c r="F802" s="48" t="n"/>
      <c r="G802" s="49" t="n"/>
      <c r="J802" s="48" t="n"/>
      <c r="K802" s="48" t="n"/>
      <c r="L802" s="48" t="n"/>
      <c r="M802" s="1" t="n"/>
      <c r="W802" s="48" t="n"/>
      <c r="X802" s="48" t="n"/>
      <c r="Y802" s="48" t="n"/>
      <c r="Z802" s="48" t="n"/>
      <c r="AA802" s="48" t="n"/>
      <c r="AB802" s="48" t="n"/>
      <c r="AC802" s="48" t="n"/>
    </row>
    <row r="803" ht="13" customHeight="1" s="68">
      <c r="E803" s="48" t="n"/>
      <c r="F803" s="48" t="n"/>
      <c r="G803" s="49" t="n"/>
      <c r="J803" s="48" t="n"/>
      <c r="K803" s="48" t="n"/>
      <c r="L803" s="48" t="n"/>
      <c r="M803" s="1" t="n"/>
      <c r="W803" s="48" t="n"/>
      <c r="X803" s="48" t="n"/>
      <c r="Y803" s="48" t="n"/>
      <c r="Z803" s="48" t="n"/>
      <c r="AA803" s="48" t="n"/>
      <c r="AB803" s="48" t="n"/>
      <c r="AC803" s="48" t="n"/>
    </row>
    <row r="804" ht="13" customHeight="1" s="68">
      <c r="E804" s="48" t="n"/>
      <c r="F804" s="48" t="n"/>
      <c r="G804" s="49" t="n"/>
      <c r="J804" s="48" t="n"/>
      <c r="K804" s="48" t="n"/>
      <c r="L804" s="48" t="n"/>
      <c r="M804" s="1" t="n"/>
      <c r="W804" s="48" t="n"/>
      <c r="X804" s="48" t="n"/>
      <c r="Y804" s="48" t="n"/>
      <c r="Z804" s="48" t="n"/>
      <c r="AA804" s="48" t="n"/>
      <c r="AB804" s="48" t="n"/>
      <c r="AC804" s="48" t="n"/>
    </row>
    <row r="805" ht="13" customHeight="1" s="68">
      <c r="E805" s="48" t="n"/>
      <c r="F805" s="48" t="n"/>
      <c r="G805" s="49" t="n"/>
      <c r="J805" s="48" t="n"/>
      <c r="K805" s="48" t="n"/>
      <c r="L805" s="48" t="n"/>
      <c r="M805" s="1" t="n"/>
      <c r="W805" s="48" t="n"/>
      <c r="X805" s="48" t="n"/>
      <c r="Y805" s="48" t="n"/>
      <c r="Z805" s="48" t="n"/>
      <c r="AA805" s="48" t="n"/>
      <c r="AB805" s="48" t="n"/>
      <c r="AC805" s="48" t="n"/>
    </row>
    <row r="806" ht="13" customHeight="1" s="68">
      <c r="E806" s="48" t="n"/>
      <c r="F806" s="48" t="n"/>
      <c r="G806" s="49" t="n"/>
      <c r="J806" s="48" t="n"/>
      <c r="K806" s="48" t="n"/>
      <c r="L806" s="48" t="n"/>
      <c r="M806" s="1" t="n"/>
      <c r="W806" s="48" t="n"/>
      <c r="X806" s="48" t="n"/>
      <c r="Y806" s="48" t="n"/>
      <c r="Z806" s="48" t="n"/>
      <c r="AA806" s="48" t="n"/>
      <c r="AB806" s="48" t="n"/>
      <c r="AC806" s="48" t="n"/>
    </row>
    <row r="807" ht="13" customHeight="1" s="68">
      <c r="E807" s="48" t="n"/>
      <c r="F807" s="48" t="n"/>
      <c r="G807" s="49" t="n"/>
      <c r="J807" s="48" t="n"/>
      <c r="K807" s="48" t="n"/>
      <c r="L807" s="48" t="n"/>
      <c r="M807" s="1" t="n"/>
      <c r="W807" s="48" t="n"/>
      <c r="X807" s="48" t="n"/>
      <c r="Y807" s="48" t="n"/>
      <c r="Z807" s="48" t="n"/>
      <c r="AA807" s="48" t="n"/>
      <c r="AB807" s="48" t="n"/>
      <c r="AC807" s="48" t="n"/>
    </row>
    <row r="808" ht="13" customHeight="1" s="68">
      <c r="E808" s="48" t="n"/>
      <c r="F808" s="48" t="n"/>
      <c r="G808" s="49" t="n"/>
      <c r="J808" s="48" t="n"/>
      <c r="K808" s="48" t="n"/>
      <c r="L808" s="48" t="n"/>
      <c r="M808" s="1" t="n"/>
      <c r="W808" s="48" t="n"/>
      <c r="X808" s="48" t="n"/>
      <c r="Y808" s="48" t="n"/>
      <c r="Z808" s="48" t="n"/>
      <c r="AA808" s="48" t="n"/>
      <c r="AB808" s="48" t="n"/>
      <c r="AC808" s="48" t="n"/>
    </row>
    <row r="809" ht="13" customHeight="1" s="68">
      <c r="E809" s="48" t="n"/>
      <c r="F809" s="48" t="n"/>
      <c r="G809" s="49" t="n"/>
      <c r="J809" s="48" t="n"/>
      <c r="K809" s="48" t="n"/>
      <c r="L809" s="48" t="n"/>
      <c r="M809" s="1" t="n"/>
      <c r="W809" s="48" t="n"/>
      <c r="X809" s="48" t="n"/>
      <c r="Y809" s="48" t="n"/>
      <c r="Z809" s="48" t="n"/>
      <c r="AA809" s="48" t="n"/>
      <c r="AB809" s="48" t="n"/>
      <c r="AC809" s="48" t="n"/>
    </row>
    <row r="810" ht="13" customHeight="1" s="68">
      <c r="E810" s="48" t="n"/>
      <c r="F810" s="48" t="n"/>
      <c r="G810" s="49" t="n"/>
      <c r="J810" s="48" t="n"/>
      <c r="K810" s="48" t="n"/>
      <c r="L810" s="48" t="n"/>
      <c r="M810" s="1" t="n"/>
      <c r="W810" s="48" t="n"/>
      <c r="X810" s="48" t="n"/>
      <c r="Y810" s="48" t="n"/>
      <c r="Z810" s="48" t="n"/>
      <c r="AA810" s="48" t="n"/>
      <c r="AB810" s="48" t="n"/>
      <c r="AC810" s="48" t="n"/>
    </row>
    <row r="811" ht="13" customHeight="1" s="68">
      <c r="E811" s="48" t="n"/>
      <c r="F811" s="48" t="n"/>
      <c r="G811" s="49" t="n"/>
      <c r="J811" s="48" t="n"/>
      <c r="K811" s="48" t="n"/>
      <c r="L811" s="48" t="n"/>
      <c r="M811" s="1" t="n"/>
      <c r="W811" s="48" t="n"/>
      <c r="X811" s="48" t="n"/>
      <c r="Y811" s="48" t="n"/>
      <c r="Z811" s="48" t="n"/>
      <c r="AA811" s="48" t="n"/>
      <c r="AB811" s="48" t="n"/>
      <c r="AC811" s="48" t="n"/>
    </row>
    <row r="812" ht="13" customHeight="1" s="68">
      <c r="E812" s="48" t="n"/>
      <c r="F812" s="48" t="n"/>
      <c r="G812" s="49" t="n"/>
      <c r="J812" s="48" t="n"/>
      <c r="K812" s="48" t="n"/>
      <c r="L812" s="48" t="n"/>
      <c r="M812" s="1" t="n"/>
      <c r="W812" s="48" t="n"/>
      <c r="X812" s="48" t="n"/>
      <c r="Y812" s="48" t="n"/>
      <c r="Z812" s="48" t="n"/>
      <c r="AA812" s="48" t="n"/>
      <c r="AB812" s="48" t="n"/>
      <c r="AC812" s="48" t="n"/>
    </row>
    <row r="813" ht="13" customHeight="1" s="68">
      <c r="E813" s="48" t="n"/>
      <c r="F813" s="48" t="n"/>
      <c r="G813" s="49" t="n"/>
      <c r="J813" s="48" t="n"/>
      <c r="K813" s="48" t="n"/>
      <c r="L813" s="48" t="n"/>
      <c r="M813" s="1" t="n"/>
      <c r="W813" s="48" t="n"/>
      <c r="X813" s="48" t="n"/>
      <c r="Y813" s="48" t="n"/>
      <c r="Z813" s="48" t="n"/>
      <c r="AA813" s="48" t="n"/>
      <c r="AB813" s="48" t="n"/>
      <c r="AC813" s="48" t="n"/>
    </row>
    <row r="814" ht="13" customHeight="1" s="68">
      <c r="E814" s="48" t="n"/>
      <c r="F814" s="48" t="n"/>
      <c r="G814" s="49" t="n"/>
      <c r="J814" s="48" t="n"/>
      <c r="K814" s="48" t="n"/>
      <c r="L814" s="48" t="n"/>
      <c r="M814" s="1" t="n"/>
      <c r="W814" s="48" t="n"/>
      <c r="X814" s="48" t="n"/>
      <c r="Y814" s="48" t="n"/>
      <c r="Z814" s="48" t="n"/>
      <c r="AA814" s="48" t="n"/>
      <c r="AB814" s="48" t="n"/>
      <c r="AC814" s="48" t="n"/>
    </row>
    <row r="815" ht="13" customHeight="1" s="68">
      <c r="E815" s="48" t="n"/>
      <c r="F815" s="48" t="n"/>
      <c r="G815" s="49" t="n"/>
      <c r="J815" s="48" t="n"/>
      <c r="K815" s="48" t="n"/>
      <c r="L815" s="48" t="n"/>
      <c r="M815" s="1" t="n"/>
      <c r="W815" s="48" t="n"/>
      <c r="X815" s="48" t="n"/>
      <c r="Y815" s="48" t="n"/>
      <c r="Z815" s="48" t="n"/>
      <c r="AA815" s="48" t="n"/>
      <c r="AB815" s="48" t="n"/>
      <c r="AC815" s="48" t="n"/>
    </row>
    <row r="816" ht="13" customHeight="1" s="68">
      <c r="E816" s="48" t="n"/>
      <c r="F816" s="48" t="n"/>
      <c r="G816" s="49" t="n"/>
      <c r="J816" s="48" t="n"/>
      <c r="K816" s="48" t="n"/>
      <c r="L816" s="48" t="n"/>
      <c r="M816" s="1" t="n"/>
      <c r="W816" s="48" t="n"/>
      <c r="X816" s="48" t="n"/>
      <c r="Y816" s="48" t="n"/>
      <c r="Z816" s="48" t="n"/>
      <c r="AA816" s="48" t="n"/>
      <c r="AB816" s="48" t="n"/>
      <c r="AC816" s="48" t="n"/>
    </row>
    <row r="817" ht="13" customHeight="1" s="68">
      <c r="E817" s="48" t="n"/>
      <c r="F817" s="48" t="n"/>
      <c r="G817" s="49" t="n"/>
      <c r="J817" s="48" t="n"/>
      <c r="K817" s="48" t="n"/>
      <c r="L817" s="48" t="n"/>
      <c r="M817" s="1" t="n"/>
      <c r="W817" s="48" t="n"/>
      <c r="X817" s="48" t="n"/>
      <c r="Y817" s="48" t="n"/>
      <c r="Z817" s="48" t="n"/>
      <c r="AA817" s="48" t="n"/>
      <c r="AB817" s="48" t="n"/>
      <c r="AC817" s="48" t="n"/>
    </row>
    <row r="818" ht="13" customHeight="1" s="68">
      <c r="E818" s="48" t="n"/>
      <c r="F818" s="48" t="n"/>
      <c r="G818" s="49" t="n"/>
      <c r="J818" s="48" t="n"/>
      <c r="K818" s="48" t="n"/>
      <c r="L818" s="48" t="n"/>
      <c r="M818" s="1" t="n"/>
      <c r="W818" s="48" t="n"/>
      <c r="X818" s="48" t="n"/>
      <c r="Y818" s="48" t="n"/>
      <c r="Z818" s="48" t="n"/>
      <c r="AA818" s="48" t="n"/>
      <c r="AB818" s="48" t="n"/>
      <c r="AC818" s="48" t="n"/>
    </row>
    <row r="819" ht="13" customHeight="1" s="68">
      <c r="E819" s="48" t="n"/>
      <c r="F819" s="48" t="n"/>
      <c r="G819" s="49" t="n"/>
      <c r="J819" s="48" t="n"/>
      <c r="K819" s="48" t="n"/>
      <c r="L819" s="48" t="n"/>
      <c r="M819" s="1" t="n"/>
      <c r="W819" s="48" t="n"/>
      <c r="X819" s="48" t="n"/>
      <c r="Y819" s="48" t="n"/>
      <c r="Z819" s="48" t="n"/>
      <c r="AA819" s="48" t="n"/>
      <c r="AB819" s="48" t="n"/>
      <c r="AC819" s="48" t="n"/>
    </row>
    <row r="820" ht="13" customHeight="1" s="68">
      <c r="E820" s="48" t="n"/>
      <c r="F820" s="48" t="n"/>
      <c r="G820" s="49" t="n"/>
      <c r="J820" s="48" t="n"/>
      <c r="K820" s="48" t="n"/>
      <c r="L820" s="48" t="n"/>
      <c r="M820" s="1" t="n"/>
      <c r="W820" s="48" t="n"/>
      <c r="X820" s="48" t="n"/>
      <c r="Y820" s="48" t="n"/>
      <c r="Z820" s="48" t="n"/>
      <c r="AA820" s="48" t="n"/>
      <c r="AB820" s="48" t="n"/>
      <c r="AC820" s="48" t="n"/>
    </row>
    <row r="821" ht="13" customHeight="1" s="68">
      <c r="E821" s="48" t="n"/>
      <c r="F821" s="48" t="n"/>
      <c r="G821" s="49" t="n"/>
      <c r="J821" s="48" t="n"/>
      <c r="K821" s="48" t="n"/>
      <c r="L821" s="48" t="n"/>
      <c r="M821" s="1" t="n"/>
      <c r="W821" s="48" t="n"/>
      <c r="X821" s="48" t="n"/>
      <c r="Y821" s="48" t="n"/>
      <c r="Z821" s="48" t="n"/>
      <c r="AA821" s="48" t="n"/>
      <c r="AB821" s="48" t="n"/>
      <c r="AC821" s="48" t="n"/>
    </row>
    <row r="822" ht="13" customHeight="1" s="68">
      <c r="E822" s="48" t="n"/>
      <c r="F822" s="48" t="n"/>
      <c r="G822" s="49" t="n"/>
      <c r="J822" s="48" t="n"/>
      <c r="K822" s="48" t="n"/>
      <c r="L822" s="48" t="n"/>
      <c r="M822" s="1" t="n"/>
      <c r="W822" s="48" t="n"/>
      <c r="X822" s="48" t="n"/>
      <c r="Y822" s="48" t="n"/>
      <c r="Z822" s="48" t="n"/>
      <c r="AA822" s="48" t="n"/>
      <c r="AB822" s="48" t="n"/>
      <c r="AC822" s="48" t="n"/>
    </row>
    <row r="823" ht="13" customHeight="1" s="68">
      <c r="E823" s="48" t="n"/>
      <c r="F823" s="48" t="n"/>
      <c r="G823" s="49" t="n"/>
      <c r="J823" s="48" t="n"/>
      <c r="K823" s="48" t="n"/>
      <c r="L823" s="48" t="n"/>
      <c r="M823" s="1" t="n"/>
      <c r="W823" s="48" t="n"/>
      <c r="X823" s="48" t="n"/>
      <c r="Y823" s="48" t="n"/>
      <c r="Z823" s="48" t="n"/>
      <c r="AA823" s="48" t="n"/>
      <c r="AB823" s="48" t="n"/>
      <c r="AC823" s="48" t="n"/>
    </row>
    <row r="824" ht="13" customHeight="1" s="68">
      <c r="E824" s="48" t="n"/>
      <c r="F824" s="48" t="n"/>
      <c r="G824" s="49" t="n"/>
      <c r="J824" s="48" t="n"/>
      <c r="K824" s="48" t="n"/>
      <c r="L824" s="48" t="n"/>
      <c r="M824" s="1" t="n"/>
      <c r="W824" s="48" t="n"/>
      <c r="X824" s="48" t="n"/>
      <c r="Y824" s="48" t="n"/>
      <c r="Z824" s="48" t="n"/>
      <c r="AA824" s="48" t="n"/>
      <c r="AB824" s="48" t="n"/>
      <c r="AC824" s="48" t="n"/>
    </row>
    <row r="825" ht="13" customHeight="1" s="68">
      <c r="E825" s="48" t="n"/>
      <c r="F825" s="48" t="n"/>
      <c r="G825" s="49" t="n"/>
      <c r="J825" s="48" t="n"/>
      <c r="K825" s="48" t="n"/>
      <c r="L825" s="48" t="n"/>
      <c r="M825" s="1" t="n"/>
      <c r="W825" s="48" t="n"/>
      <c r="X825" s="48" t="n"/>
      <c r="Y825" s="48" t="n"/>
      <c r="Z825" s="48" t="n"/>
      <c r="AA825" s="48" t="n"/>
      <c r="AB825" s="48" t="n"/>
      <c r="AC825" s="48" t="n"/>
    </row>
    <row r="826" ht="13" customHeight="1" s="68">
      <c r="E826" s="48" t="n"/>
      <c r="F826" s="48" t="n"/>
      <c r="G826" s="49" t="n"/>
      <c r="J826" s="48" t="n"/>
      <c r="K826" s="48" t="n"/>
      <c r="L826" s="48" t="n"/>
      <c r="M826" s="1" t="n"/>
      <c r="W826" s="48" t="n"/>
      <c r="X826" s="48" t="n"/>
      <c r="Y826" s="48" t="n"/>
      <c r="Z826" s="48" t="n"/>
      <c r="AA826" s="48" t="n"/>
      <c r="AB826" s="48" t="n"/>
      <c r="AC826" s="48" t="n"/>
    </row>
    <row r="827" ht="13" customHeight="1" s="68">
      <c r="E827" s="48" t="n"/>
      <c r="F827" s="48" t="n"/>
      <c r="G827" s="49" t="n"/>
      <c r="J827" s="48" t="n"/>
      <c r="K827" s="48" t="n"/>
      <c r="L827" s="48" t="n"/>
      <c r="M827" s="1" t="n"/>
      <c r="W827" s="48" t="n"/>
      <c r="X827" s="48" t="n"/>
      <c r="Y827" s="48" t="n"/>
      <c r="Z827" s="48" t="n"/>
      <c r="AA827" s="48" t="n"/>
      <c r="AB827" s="48" t="n"/>
      <c r="AC827" s="48" t="n"/>
    </row>
    <row r="828" ht="13" customHeight="1" s="68">
      <c r="E828" s="48" t="n"/>
      <c r="F828" s="48" t="n"/>
      <c r="G828" s="49" t="n"/>
      <c r="J828" s="48" t="n"/>
      <c r="K828" s="48" t="n"/>
      <c r="L828" s="48" t="n"/>
      <c r="M828" s="1" t="n"/>
      <c r="W828" s="48" t="n"/>
      <c r="X828" s="48" t="n"/>
      <c r="Y828" s="48" t="n"/>
      <c r="Z828" s="48" t="n"/>
      <c r="AA828" s="48" t="n"/>
      <c r="AB828" s="48" t="n"/>
      <c r="AC828" s="48" t="n"/>
    </row>
    <row r="829" ht="13" customHeight="1" s="68">
      <c r="E829" s="48" t="n"/>
      <c r="F829" s="48" t="n"/>
      <c r="G829" s="49" t="n"/>
      <c r="J829" s="48" t="n"/>
      <c r="K829" s="48" t="n"/>
      <c r="L829" s="48" t="n"/>
      <c r="M829" s="1" t="n"/>
      <c r="W829" s="48" t="n"/>
      <c r="X829" s="48" t="n"/>
      <c r="Y829" s="48" t="n"/>
      <c r="Z829" s="48" t="n"/>
      <c r="AA829" s="48" t="n"/>
      <c r="AB829" s="48" t="n"/>
      <c r="AC829" s="48" t="n"/>
    </row>
    <row r="830" ht="13" customHeight="1" s="68">
      <c r="E830" s="48" t="n"/>
      <c r="F830" s="48" t="n"/>
      <c r="G830" s="49" t="n"/>
      <c r="J830" s="48" t="n"/>
      <c r="K830" s="48" t="n"/>
      <c r="L830" s="48" t="n"/>
      <c r="M830" s="1" t="n"/>
      <c r="W830" s="48" t="n"/>
      <c r="X830" s="48" t="n"/>
      <c r="Y830" s="48" t="n"/>
      <c r="Z830" s="48" t="n"/>
      <c r="AA830" s="48" t="n"/>
      <c r="AB830" s="48" t="n"/>
      <c r="AC830" s="48" t="n"/>
    </row>
    <row r="831" ht="13" customHeight="1" s="68">
      <c r="E831" s="48" t="n"/>
      <c r="F831" s="48" t="n"/>
      <c r="G831" s="49" t="n"/>
      <c r="J831" s="48" t="n"/>
      <c r="K831" s="48" t="n"/>
      <c r="L831" s="48" t="n"/>
      <c r="M831" s="1" t="n"/>
      <c r="W831" s="48" t="n"/>
      <c r="X831" s="48" t="n"/>
      <c r="Y831" s="48" t="n"/>
      <c r="Z831" s="48" t="n"/>
      <c r="AA831" s="48" t="n"/>
      <c r="AB831" s="48" t="n"/>
      <c r="AC831" s="48" t="n"/>
    </row>
    <row r="832" ht="13" customHeight="1" s="68">
      <c r="E832" s="48" t="n"/>
      <c r="F832" s="48" t="n"/>
      <c r="G832" s="49" t="n"/>
      <c r="J832" s="48" t="n"/>
      <c r="K832" s="48" t="n"/>
      <c r="L832" s="48" t="n"/>
      <c r="M832" s="1" t="n"/>
      <c r="W832" s="48" t="n"/>
      <c r="X832" s="48" t="n"/>
      <c r="Y832" s="48" t="n"/>
      <c r="Z832" s="48" t="n"/>
      <c r="AA832" s="48" t="n"/>
      <c r="AB832" s="48" t="n"/>
      <c r="AC832" s="48" t="n"/>
    </row>
    <row r="833" ht="13" customHeight="1" s="68">
      <c r="E833" s="48" t="n"/>
      <c r="F833" s="48" t="n"/>
      <c r="G833" s="49" t="n"/>
      <c r="J833" s="48" t="n"/>
      <c r="K833" s="48" t="n"/>
      <c r="L833" s="48" t="n"/>
      <c r="M833" s="1" t="n"/>
      <c r="W833" s="48" t="n"/>
      <c r="X833" s="48" t="n"/>
      <c r="Y833" s="48" t="n"/>
      <c r="Z833" s="48" t="n"/>
      <c r="AA833" s="48" t="n"/>
      <c r="AB833" s="48" t="n"/>
      <c r="AC833" s="48" t="n"/>
    </row>
    <row r="834" ht="13" customHeight="1" s="68">
      <c r="E834" s="48" t="n"/>
      <c r="F834" s="48" t="n"/>
      <c r="G834" s="49" t="n"/>
      <c r="J834" s="48" t="n"/>
      <c r="K834" s="48" t="n"/>
      <c r="L834" s="48" t="n"/>
      <c r="M834" s="1" t="n"/>
      <c r="W834" s="48" t="n"/>
      <c r="X834" s="48" t="n"/>
      <c r="Y834" s="48" t="n"/>
      <c r="Z834" s="48" t="n"/>
      <c r="AA834" s="48" t="n"/>
      <c r="AB834" s="48" t="n"/>
      <c r="AC834" s="48" t="n"/>
    </row>
    <row r="835" ht="13" customHeight="1" s="68">
      <c r="E835" s="48" t="n"/>
      <c r="F835" s="48" t="n"/>
      <c r="G835" s="49" t="n"/>
      <c r="J835" s="48" t="n"/>
      <c r="K835" s="48" t="n"/>
      <c r="L835" s="48" t="n"/>
      <c r="M835" s="1" t="n"/>
      <c r="W835" s="48" t="n"/>
      <c r="X835" s="48" t="n"/>
      <c r="Y835" s="48" t="n"/>
      <c r="Z835" s="48" t="n"/>
      <c r="AA835" s="48" t="n"/>
      <c r="AB835" s="48" t="n"/>
      <c r="AC835" s="48" t="n"/>
    </row>
    <row r="836" ht="13" customHeight="1" s="68">
      <c r="E836" s="48" t="n"/>
      <c r="F836" s="48" t="n"/>
      <c r="G836" s="49" t="n"/>
      <c r="J836" s="48" t="n"/>
      <c r="K836" s="48" t="n"/>
      <c r="L836" s="48" t="n"/>
      <c r="M836" s="1" t="n"/>
      <c r="W836" s="48" t="n"/>
      <c r="X836" s="48" t="n"/>
      <c r="Y836" s="48" t="n"/>
      <c r="Z836" s="48" t="n"/>
      <c r="AA836" s="48" t="n"/>
      <c r="AB836" s="48" t="n"/>
      <c r="AC836" s="48" t="n"/>
    </row>
    <row r="837" ht="13" customHeight="1" s="68">
      <c r="E837" s="48" t="n"/>
      <c r="F837" s="48" t="n"/>
      <c r="G837" s="49" t="n"/>
      <c r="J837" s="48" t="n"/>
      <c r="K837" s="48" t="n"/>
      <c r="L837" s="48" t="n"/>
      <c r="M837" s="1" t="n"/>
      <c r="W837" s="48" t="n"/>
      <c r="X837" s="48" t="n"/>
      <c r="Y837" s="48" t="n"/>
      <c r="Z837" s="48" t="n"/>
      <c r="AA837" s="48" t="n"/>
      <c r="AB837" s="48" t="n"/>
      <c r="AC837" s="48" t="n"/>
    </row>
    <row r="838" ht="13" customHeight="1" s="68">
      <c r="E838" s="48" t="n"/>
      <c r="F838" s="48" t="n"/>
      <c r="G838" s="49" t="n"/>
      <c r="J838" s="48" t="n"/>
      <c r="K838" s="48" t="n"/>
      <c r="L838" s="48" t="n"/>
      <c r="M838" s="1" t="n"/>
      <c r="W838" s="48" t="n"/>
      <c r="X838" s="48" t="n"/>
      <c r="Y838" s="48" t="n"/>
      <c r="Z838" s="48" t="n"/>
      <c r="AA838" s="48" t="n"/>
      <c r="AB838" s="48" t="n"/>
      <c r="AC838" s="48" t="n"/>
    </row>
    <row r="839" ht="13" customHeight="1" s="68">
      <c r="E839" s="48" t="n"/>
      <c r="F839" s="48" t="n"/>
      <c r="G839" s="49" t="n"/>
      <c r="J839" s="48" t="n"/>
      <c r="K839" s="48" t="n"/>
      <c r="L839" s="48" t="n"/>
      <c r="M839" s="1" t="n"/>
      <c r="W839" s="48" t="n"/>
      <c r="X839" s="48" t="n"/>
      <c r="Y839" s="48" t="n"/>
      <c r="Z839" s="48" t="n"/>
      <c r="AA839" s="48" t="n"/>
      <c r="AB839" s="48" t="n"/>
      <c r="AC839" s="48" t="n"/>
    </row>
    <row r="840" ht="13" customHeight="1" s="68">
      <c r="E840" s="48" t="n"/>
      <c r="F840" s="48" t="n"/>
      <c r="G840" s="49" t="n"/>
      <c r="J840" s="48" t="n"/>
      <c r="K840" s="48" t="n"/>
      <c r="L840" s="48" t="n"/>
      <c r="M840" s="1" t="n"/>
      <c r="W840" s="48" t="n"/>
      <c r="X840" s="48" t="n"/>
      <c r="Y840" s="48" t="n"/>
      <c r="Z840" s="48" t="n"/>
      <c r="AA840" s="48" t="n"/>
      <c r="AB840" s="48" t="n"/>
      <c r="AC840" s="48" t="n"/>
    </row>
    <row r="841" ht="13" customHeight="1" s="68">
      <c r="E841" s="48" t="n"/>
      <c r="F841" s="48" t="n"/>
      <c r="G841" s="49" t="n"/>
      <c r="J841" s="48" t="n"/>
      <c r="K841" s="48" t="n"/>
      <c r="L841" s="48" t="n"/>
      <c r="M841" s="1" t="n"/>
      <c r="W841" s="48" t="n"/>
      <c r="X841" s="48" t="n"/>
      <c r="Y841" s="48" t="n"/>
      <c r="Z841" s="48" t="n"/>
      <c r="AA841" s="48" t="n"/>
      <c r="AB841" s="48" t="n"/>
      <c r="AC841" s="48" t="n"/>
    </row>
    <row r="842" ht="13" customHeight="1" s="68">
      <c r="E842" s="48" t="n"/>
      <c r="F842" s="48" t="n"/>
      <c r="G842" s="49" t="n"/>
      <c r="J842" s="48" t="n"/>
      <c r="K842" s="48" t="n"/>
      <c r="L842" s="48" t="n"/>
      <c r="M842" s="1" t="n"/>
      <c r="W842" s="48" t="n"/>
      <c r="X842" s="48" t="n"/>
      <c r="Y842" s="48" t="n"/>
      <c r="Z842" s="48" t="n"/>
      <c r="AA842" s="48" t="n"/>
      <c r="AB842" s="48" t="n"/>
      <c r="AC842" s="48" t="n"/>
    </row>
    <row r="843" ht="13" customHeight="1" s="68">
      <c r="E843" s="48" t="n"/>
      <c r="F843" s="48" t="n"/>
      <c r="G843" s="49" t="n"/>
      <c r="J843" s="48" t="n"/>
      <c r="K843" s="48" t="n"/>
      <c r="L843" s="48" t="n"/>
      <c r="M843" s="1" t="n"/>
      <c r="W843" s="48" t="n"/>
      <c r="X843" s="48" t="n"/>
      <c r="Y843" s="48" t="n"/>
      <c r="Z843" s="48" t="n"/>
      <c r="AA843" s="48" t="n"/>
      <c r="AB843" s="48" t="n"/>
      <c r="AC843" s="48" t="n"/>
    </row>
    <row r="844" ht="13" customHeight="1" s="68">
      <c r="E844" s="48" t="n"/>
      <c r="F844" s="48" t="n"/>
      <c r="G844" s="49" t="n"/>
      <c r="J844" s="48" t="n"/>
      <c r="K844" s="48" t="n"/>
      <c r="L844" s="48" t="n"/>
      <c r="M844" s="1" t="n"/>
      <c r="W844" s="48" t="n"/>
      <c r="X844" s="48" t="n"/>
      <c r="Y844" s="48" t="n"/>
      <c r="Z844" s="48" t="n"/>
      <c r="AA844" s="48" t="n"/>
      <c r="AB844" s="48" t="n"/>
      <c r="AC844" s="48" t="n"/>
    </row>
    <row r="845" ht="13" customHeight="1" s="68">
      <c r="E845" s="48" t="n"/>
      <c r="F845" s="48" t="n"/>
      <c r="G845" s="49" t="n"/>
      <c r="J845" s="48" t="n"/>
      <c r="K845" s="48" t="n"/>
      <c r="L845" s="48" t="n"/>
      <c r="M845" s="1" t="n"/>
      <c r="W845" s="48" t="n"/>
      <c r="X845" s="48" t="n"/>
      <c r="Y845" s="48" t="n"/>
      <c r="Z845" s="48" t="n"/>
      <c r="AA845" s="48" t="n"/>
      <c r="AB845" s="48" t="n"/>
      <c r="AC845" s="48" t="n"/>
    </row>
    <row r="846" ht="13" customHeight="1" s="68">
      <c r="E846" s="48" t="n"/>
      <c r="F846" s="48" t="n"/>
      <c r="G846" s="49" t="n"/>
      <c r="J846" s="48" t="n"/>
      <c r="K846" s="48" t="n"/>
      <c r="L846" s="48" t="n"/>
      <c r="M846" s="1" t="n"/>
      <c r="W846" s="48" t="n"/>
      <c r="X846" s="48" t="n"/>
      <c r="Y846" s="48" t="n"/>
      <c r="Z846" s="48" t="n"/>
      <c r="AA846" s="48" t="n"/>
      <c r="AB846" s="48" t="n"/>
      <c r="AC846" s="48" t="n"/>
    </row>
    <row r="847" ht="13" customHeight="1" s="68">
      <c r="E847" s="48" t="n"/>
      <c r="F847" s="48" t="n"/>
      <c r="G847" s="49" t="n"/>
      <c r="J847" s="48" t="n"/>
      <c r="K847" s="48" t="n"/>
      <c r="L847" s="48" t="n"/>
      <c r="M847" s="1" t="n"/>
      <c r="W847" s="48" t="n"/>
      <c r="X847" s="48" t="n"/>
      <c r="Y847" s="48" t="n"/>
      <c r="Z847" s="48" t="n"/>
      <c r="AA847" s="48" t="n"/>
      <c r="AB847" s="48" t="n"/>
      <c r="AC847" s="48" t="n"/>
    </row>
    <row r="848" ht="13" customHeight="1" s="68">
      <c r="E848" s="48" t="n"/>
      <c r="F848" s="48" t="n"/>
      <c r="G848" s="49" t="n"/>
      <c r="J848" s="48" t="n"/>
      <c r="K848" s="48" t="n"/>
      <c r="L848" s="48" t="n"/>
      <c r="M848" s="1" t="n"/>
      <c r="W848" s="48" t="n"/>
      <c r="X848" s="48" t="n"/>
      <c r="Y848" s="48" t="n"/>
      <c r="Z848" s="48" t="n"/>
      <c r="AA848" s="48" t="n"/>
      <c r="AB848" s="48" t="n"/>
      <c r="AC848" s="48" t="n"/>
    </row>
    <row r="849" ht="13" customHeight="1" s="68">
      <c r="E849" s="48" t="n"/>
      <c r="F849" s="48" t="n"/>
      <c r="G849" s="49" t="n"/>
      <c r="J849" s="48" t="n"/>
      <c r="K849" s="48" t="n"/>
      <c r="L849" s="48" t="n"/>
      <c r="M849" s="1" t="n"/>
      <c r="W849" s="48" t="n"/>
      <c r="X849" s="48" t="n"/>
      <c r="Y849" s="48" t="n"/>
      <c r="Z849" s="48" t="n"/>
      <c r="AA849" s="48" t="n"/>
      <c r="AB849" s="48" t="n"/>
      <c r="AC849" s="48" t="n"/>
    </row>
    <row r="850" ht="13" customHeight="1" s="68">
      <c r="E850" s="48" t="n"/>
      <c r="F850" s="48" t="n"/>
      <c r="G850" s="49" t="n"/>
      <c r="J850" s="48" t="n"/>
      <c r="K850" s="48" t="n"/>
      <c r="L850" s="48" t="n"/>
      <c r="M850" s="1" t="n"/>
      <c r="W850" s="48" t="n"/>
      <c r="X850" s="48" t="n"/>
      <c r="Y850" s="48" t="n"/>
      <c r="Z850" s="48" t="n"/>
      <c r="AA850" s="48" t="n"/>
      <c r="AB850" s="48" t="n"/>
      <c r="AC850" s="48" t="n"/>
    </row>
    <row r="851" ht="13" customHeight="1" s="68">
      <c r="E851" s="48" t="n"/>
      <c r="F851" s="48" t="n"/>
      <c r="G851" s="49" t="n"/>
      <c r="J851" s="48" t="n"/>
      <c r="K851" s="48" t="n"/>
      <c r="L851" s="48" t="n"/>
      <c r="M851" s="1" t="n"/>
      <c r="W851" s="48" t="n"/>
      <c r="X851" s="48" t="n"/>
      <c r="Y851" s="48" t="n"/>
      <c r="Z851" s="48" t="n"/>
      <c r="AA851" s="48" t="n"/>
      <c r="AB851" s="48" t="n"/>
      <c r="AC851" s="48" t="n"/>
    </row>
    <row r="852" ht="13" customHeight="1" s="68">
      <c r="E852" s="48" t="n"/>
      <c r="F852" s="48" t="n"/>
      <c r="G852" s="49" t="n"/>
      <c r="J852" s="48" t="n"/>
      <c r="K852" s="48" t="n"/>
      <c r="L852" s="48" t="n"/>
      <c r="M852" s="1" t="n"/>
      <c r="W852" s="48" t="n"/>
      <c r="X852" s="48" t="n"/>
      <c r="Y852" s="48" t="n"/>
      <c r="Z852" s="48" t="n"/>
      <c r="AA852" s="48" t="n"/>
      <c r="AB852" s="48" t="n"/>
      <c r="AC852" s="48" t="n"/>
    </row>
    <row r="853" ht="13" customHeight="1" s="68">
      <c r="E853" s="48" t="n"/>
      <c r="F853" s="48" t="n"/>
      <c r="G853" s="49" t="n"/>
      <c r="J853" s="48" t="n"/>
      <c r="K853" s="48" t="n"/>
      <c r="L853" s="48" t="n"/>
      <c r="M853" s="1" t="n"/>
      <c r="W853" s="48" t="n"/>
      <c r="X853" s="48" t="n"/>
      <c r="Y853" s="48" t="n"/>
      <c r="Z853" s="48" t="n"/>
      <c r="AA853" s="48" t="n"/>
      <c r="AB853" s="48" t="n"/>
      <c r="AC853" s="48" t="n"/>
    </row>
    <row r="854" ht="13" customHeight="1" s="68">
      <c r="E854" s="48" t="n"/>
      <c r="F854" s="48" t="n"/>
      <c r="G854" s="49" t="n"/>
      <c r="J854" s="48" t="n"/>
      <c r="K854" s="48" t="n"/>
      <c r="L854" s="48" t="n"/>
      <c r="M854" s="1" t="n"/>
      <c r="W854" s="48" t="n"/>
      <c r="X854" s="48" t="n"/>
      <c r="Y854" s="48" t="n"/>
      <c r="Z854" s="48" t="n"/>
      <c r="AA854" s="48" t="n"/>
      <c r="AB854" s="48" t="n"/>
      <c r="AC854" s="48" t="n"/>
    </row>
    <row r="855" ht="13" customHeight="1" s="68">
      <c r="E855" s="48" t="n"/>
      <c r="F855" s="48" t="n"/>
      <c r="G855" s="49" t="n"/>
      <c r="J855" s="48" t="n"/>
      <c r="K855" s="48" t="n"/>
      <c r="L855" s="48" t="n"/>
      <c r="M855" s="1" t="n"/>
      <c r="W855" s="48" t="n"/>
      <c r="X855" s="48" t="n"/>
      <c r="Y855" s="48" t="n"/>
      <c r="Z855" s="48" t="n"/>
      <c r="AA855" s="48" t="n"/>
      <c r="AB855" s="48" t="n"/>
      <c r="AC855" s="48" t="n"/>
    </row>
    <row r="856" ht="13" customHeight="1" s="68">
      <c r="E856" s="48" t="n"/>
      <c r="F856" s="48" t="n"/>
      <c r="G856" s="49" t="n"/>
      <c r="J856" s="48" t="n"/>
      <c r="K856" s="48" t="n"/>
      <c r="L856" s="48" t="n"/>
      <c r="M856" s="1" t="n"/>
      <c r="W856" s="48" t="n"/>
      <c r="X856" s="48" t="n"/>
      <c r="Y856" s="48" t="n"/>
      <c r="Z856" s="48" t="n"/>
      <c r="AA856" s="48" t="n"/>
      <c r="AB856" s="48" t="n"/>
      <c r="AC856" s="48" t="n"/>
    </row>
    <row r="857" ht="13" customHeight="1" s="68">
      <c r="E857" s="48" t="n"/>
      <c r="F857" s="48" t="n"/>
      <c r="G857" s="49" t="n"/>
      <c r="J857" s="48" t="n"/>
      <c r="K857" s="48" t="n"/>
      <c r="L857" s="48" t="n"/>
      <c r="M857" s="1" t="n"/>
      <c r="W857" s="48" t="n"/>
      <c r="X857" s="48" t="n"/>
      <c r="Y857" s="48" t="n"/>
      <c r="Z857" s="48" t="n"/>
      <c r="AA857" s="48" t="n"/>
      <c r="AB857" s="48" t="n"/>
      <c r="AC857" s="48" t="n"/>
    </row>
    <row r="858" ht="13" customHeight="1" s="68">
      <c r="E858" s="48" t="n"/>
      <c r="F858" s="48" t="n"/>
      <c r="G858" s="49" t="n"/>
      <c r="J858" s="48" t="n"/>
      <c r="K858" s="48" t="n"/>
      <c r="L858" s="48" t="n"/>
      <c r="M858" s="1" t="n"/>
      <c r="W858" s="48" t="n"/>
      <c r="X858" s="48" t="n"/>
      <c r="Y858" s="48" t="n"/>
      <c r="Z858" s="48" t="n"/>
      <c r="AA858" s="48" t="n"/>
      <c r="AB858" s="48" t="n"/>
      <c r="AC858" s="48" t="n"/>
    </row>
    <row r="859" ht="13" customHeight="1" s="68">
      <c r="E859" s="48" t="n"/>
      <c r="F859" s="48" t="n"/>
      <c r="G859" s="49" t="n"/>
      <c r="J859" s="48" t="n"/>
      <c r="K859" s="48" t="n"/>
      <c r="L859" s="48" t="n"/>
      <c r="M859" s="1" t="n"/>
      <c r="W859" s="48" t="n"/>
      <c r="X859" s="48" t="n"/>
      <c r="Y859" s="48" t="n"/>
      <c r="Z859" s="48" t="n"/>
      <c r="AA859" s="48" t="n"/>
      <c r="AB859" s="48" t="n"/>
      <c r="AC859" s="48" t="n"/>
    </row>
    <row r="860" ht="13" customHeight="1" s="68">
      <c r="E860" s="48" t="n"/>
      <c r="F860" s="48" t="n"/>
      <c r="G860" s="49" t="n"/>
      <c r="J860" s="48" t="n"/>
      <c r="K860" s="48" t="n"/>
      <c r="L860" s="48" t="n"/>
      <c r="M860" s="1" t="n"/>
      <c r="W860" s="48" t="n"/>
      <c r="X860" s="48" t="n"/>
      <c r="Y860" s="48" t="n"/>
      <c r="Z860" s="48" t="n"/>
      <c r="AA860" s="48" t="n"/>
      <c r="AB860" s="48" t="n"/>
      <c r="AC860" s="48" t="n"/>
    </row>
    <row r="861" ht="13" customHeight="1" s="68">
      <c r="E861" s="48" t="n"/>
      <c r="F861" s="48" t="n"/>
      <c r="G861" s="49" t="n"/>
      <c r="J861" s="48" t="n"/>
      <c r="K861" s="48" t="n"/>
      <c r="L861" s="48" t="n"/>
      <c r="M861" s="1" t="n"/>
      <c r="W861" s="48" t="n"/>
      <c r="X861" s="48" t="n"/>
      <c r="Y861" s="48" t="n"/>
      <c r="Z861" s="48" t="n"/>
      <c r="AA861" s="48" t="n"/>
      <c r="AB861" s="48" t="n"/>
      <c r="AC861" s="48" t="n"/>
    </row>
    <row r="862" ht="13" customHeight="1" s="68">
      <c r="E862" s="48" t="n"/>
      <c r="F862" s="48" t="n"/>
      <c r="G862" s="49" t="n"/>
      <c r="J862" s="48" t="n"/>
      <c r="K862" s="48" t="n"/>
      <c r="L862" s="48" t="n"/>
      <c r="M862" s="1" t="n"/>
      <c r="W862" s="48" t="n"/>
      <c r="X862" s="48" t="n"/>
      <c r="Y862" s="48" t="n"/>
      <c r="Z862" s="48" t="n"/>
      <c r="AA862" s="48" t="n"/>
      <c r="AB862" s="48" t="n"/>
      <c r="AC862" s="48" t="n"/>
    </row>
    <row r="863" ht="13" customHeight="1" s="68">
      <c r="E863" s="48" t="n"/>
      <c r="F863" s="48" t="n"/>
      <c r="G863" s="49" t="n"/>
      <c r="J863" s="48" t="n"/>
      <c r="K863" s="48" t="n"/>
      <c r="L863" s="48" t="n"/>
      <c r="M863" s="1" t="n"/>
      <c r="W863" s="48" t="n"/>
      <c r="X863" s="48" t="n"/>
      <c r="Y863" s="48" t="n"/>
      <c r="Z863" s="48" t="n"/>
      <c r="AA863" s="48" t="n"/>
      <c r="AB863" s="48" t="n"/>
      <c r="AC863" s="48" t="n"/>
    </row>
    <row r="864" ht="13" customHeight="1" s="68">
      <c r="E864" s="48" t="n"/>
      <c r="F864" s="48" t="n"/>
      <c r="G864" s="49" t="n"/>
      <c r="J864" s="48" t="n"/>
      <c r="K864" s="48" t="n"/>
      <c r="L864" s="48" t="n"/>
      <c r="M864" s="1" t="n"/>
      <c r="W864" s="48" t="n"/>
      <c r="X864" s="48" t="n"/>
      <c r="Y864" s="48" t="n"/>
      <c r="Z864" s="48" t="n"/>
      <c r="AA864" s="48" t="n"/>
      <c r="AB864" s="48" t="n"/>
      <c r="AC864" s="48" t="n"/>
    </row>
    <row r="865" ht="13" customHeight="1" s="68">
      <c r="E865" s="48" t="n"/>
      <c r="F865" s="48" t="n"/>
      <c r="G865" s="49" t="n"/>
      <c r="J865" s="48" t="n"/>
      <c r="K865" s="48" t="n"/>
      <c r="L865" s="48" t="n"/>
      <c r="M865" s="1" t="n"/>
      <c r="W865" s="48" t="n"/>
      <c r="X865" s="48" t="n"/>
      <c r="Y865" s="48" t="n"/>
      <c r="Z865" s="48" t="n"/>
      <c r="AA865" s="48" t="n"/>
      <c r="AB865" s="48" t="n"/>
      <c r="AC865" s="48" t="n"/>
    </row>
    <row r="866" ht="13" customHeight="1" s="68">
      <c r="E866" s="48" t="n"/>
      <c r="F866" s="48" t="n"/>
      <c r="G866" s="49" t="n"/>
      <c r="J866" s="48" t="n"/>
      <c r="K866" s="48" t="n"/>
      <c r="L866" s="48" t="n"/>
      <c r="M866" s="1" t="n"/>
      <c r="W866" s="48" t="n"/>
      <c r="X866" s="48" t="n"/>
      <c r="Y866" s="48" t="n"/>
      <c r="Z866" s="48" t="n"/>
      <c r="AA866" s="48" t="n"/>
      <c r="AB866" s="48" t="n"/>
      <c r="AC866" s="48" t="n"/>
    </row>
    <row r="867" ht="13" customHeight="1" s="68">
      <c r="E867" s="48" t="n"/>
      <c r="F867" s="48" t="n"/>
      <c r="G867" s="49" t="n"/>
      <c r="J867" s="48" t="n"/>
      <c r="K867" s="48" t="n"/>
      <c r="L867" s="48" t="n"/>
      <c r="M867" s="1" t="n"/>
      <c r="W867" s="48" t="n"/>
      <c r="X867" s="48" t="n"/>
      <c r="Y867" s="48" t="n"/>
      <c r="Z867" s="48" t="n"/>
      <c r="AA867" s="48" t="n"/>
      <c r="AB867" s="48" t="n"/>
      <c r="AC867" s="48" t="n"/>
    </row>
    <row r="868" ht="13" customHeight="1" s="68">
      <c r="E868" s="48" t="n"/>
      <c r="F868" s="48" t="n"/>
      <c r="G868" s="49" t="n"/>
      <c r="J868" s="48" t="n"/>
      <c r="K868" s="48" t="n"/>
      <c r="L868" s="48" t="n"/>
      <c r="M868" s="1" t="n"/>
      <c r="W868" s="48" t="n"/>
      <c r="X868" s="48" t="n"/>
      <c r="Y868" s="48" t="n"/>
      <c r="Z868" s="48" t="n"/>
      <c r="AA868" s="48" t="n"/>
      <c r="AB868" s="48" t="n"/>
      <c r="AC868" s="48" t="n"/>
    </row>
    <row r="869" ht="13" customHeight="1" s="68">
      <c r="E869" s="48" t="n"/>
      <c r="F869" s="48" t="n"/>
      <c r="G869" s="49" t="n"/>
      <c r="J869" s="48" t="n"/>
      <c r="K869" s="48" t="n"/>
      <c r="L869" s="48" t="n"/>
      <c r="M869" s="1" t="n"/>
      <c r="W869" s="48" t="n"/>
      <c r="X869" s="48" t="n"/>
      <c r="Y869" s="48" t="n"/>
      <c r="Z869" s="48" t="n"/>
      <c r="AA869" s="48" t="n"/>
      <c r="AB869" s="48" t="n"/>
      <c r="AC869" s="48" t="n"/>
    </row>
    <row r="870" ht="13" customHeight="1" s="68">
      <c r="E870" s="48" t="n"/>
      <c r="F870" s="48" t="n"/>
      <c r="G870" s="49" t="n"/>
      <c r="J870" s="48" t="n"/>
      <c r="K870" s="48" t="n"/>
      <c r="L870" s="48" t="n"/>
      <c r="M870" s="1" t="n"/>
      <c r="W870" s="48" t="n"/>
      <c r="X870" s="48" t="n"/>
      <c r="Y870" s="48" t="n"/>
      <c r="Z870" s="48" t="n"/>
      <c r="AA870" s="48" t="n"/>
      <c r="AB870" s="48" t="n"/>
      <c r="AC870" s="48" t="n"/>
    </row>
    <row r="871" ht="13" customHeight="1" s="68">
      <c r="E871" s="48" t="n"/>
      <c r="F871" s="48" t="n"/>
      <c r="G871" s="49" t="n"/>
      <c r="J871" s="48" t="n"/>
      <c r="K871" s="48" t="n"/>
      <c r="L871" s="48" t="n"/>
      <c r="M871" s="1" t="n"/>
      <c r="W871" s="48" t="n"/>
      <c r="X871" s="48" t="n"/>
      <c r="Y871" s="48" t="n"/>
      <c r="Z871" s="48" t="n"/>
      <c r="AA871" s="48" t="n"/>
      <c r="AB871" s="48" t="n"/>
      <c r="AC871" s="48" t="n"/>
    </row>
    <row r="872" ht="13" customHeight="1" s="68">
      <c r="E872" s="48" t="n"/>
      <c r="F872" s="48" t="n"/>
      <c r="G872" s="49" t="n"/>
      <c r="J872" s="48" t="n"/>
      <c r="K872" s="48" t="n"/>
      <c r="L872" s="48" t="n"/>
      <c r="M872" s="1" t="n"/>
      <c r="W872" s="48" t="n"/>
      <c r="X872" s="48" t="n"/>
      <c r="Y872" s="48" t="n"/>
      <c r="Z872" s="48" t="n"/>
      <c r="AA872" s="48" t="n"/>
      <c r="AB872" s="48" t="n"/>
      <c r="AC872" s="48" t="n"/>
    </row>
    <row r="873" ht="13" customHeight="1" s="68">
      <c r="E873" s="48" t="n"/>
      <c r="F873" s="48" t="n"/>
      <c r="G873" s="49" t="n"/>
      <c r="J873" s="48" t="n"/>
      <c r="K873" s="48" t="n"/>
      <c r="L873" s="48" t="n"/>
      <c r="M873" s="1" t="n"/>
      <c r="W873" s="48" t="n"/>
      <c r="X873" s="48" t="n"/>
      <c r="Y873" s="48" t="n"/>
      <c r="Z873" s="48" t="n"/>
      <c r="AA873" s="48" t="n"/>
      <c r="AB873" s="48" t="n"/>
      <c r="AC873" s="48" t="n"/>
    </row>
    <row r="874" ht="13" customHeight="1" s="68">
      <c r="E874" s="48" t="n"/>
      <c r="F874" s="48" t="n"/>
      <c r="G874" s="49" t="n"/>
      <c r="J874" s="48" t="n"/>
      <c r="K874" s="48" t="n"/>
      <c r="L874" s="48" t="n"/>
      <c r="M874" s="1" t="n"/>
      <c r="W874" s="48" t="n"/>
      <c r="X874" s="48" t="n"/>
      <c r="Y874" s="48" t="n"/>
      <c r="Z874" s="48" t="n"/>
      <c r="AA874" s="48" t="n"/>
      <c r="AB874" s="48" t="n"/>
      <c r="AC874" s="48" t="n"/>
    </row>
    <row r="875" ht="13" customHeight="1" s="68">
      <c r="E875" s="48" t="n"/>
      <c r="F875" s="48" t="n"/>
      <c r="G875" s="49" t="n"/>
      <c r="J875" s="48" t="n"/>
      <c r="K875" s="48" t="n"/>
      <c r="L875" s="48" t="n"/>
      <c r="M875" s="1" t="n"/>
      <c r="W875" s="48" t="n"/>
      <c r="X875" s="48" t="n"/>
      <c r="Y875" s="48" t="n"/>
      <c r="Z875" s="48" t="n"/>
      <c r="AA875" s="48" t="n"/>
      <c r="AB875" s="48" t="n"/>
      <c r="AC875" s="48" t="n"/>
    </row>
    <row r="876" ht="13" customHeight="1" s="68">
      <c r="E876" s="48" t="n"/>
      <c r="F876" s="48" t="n"/>
      <c r="G876" s="49" t="n"/>
      <c r="J876" s="48" t="n"/>
      <c r="K876" s="48" t="n"/>
      <c r="L876" s="48" t="n"/>
      <c r="M876" s="1" t="n"/>
      <c r="W876" s="48" t="n"/>
      <c r="X876" s="48" t="n"/>
      <c r="Y876" s="48" t="n"/>
      <c r="Z876" s="48" t="n"/>
      <c r="AA876" s="48" t="n"/>
      <c r="AB876" s="48" t="n"/>
      <c r="AC876" s="48" t="n"/>
    </row>
    <row r="877" ht="13" customHeight="1" s="68">
      <c r="E877" s="48" t="n"/>
      <c r="F877" s="48" t="n"/>
      <c r="G877" s="49" t="n"/>
      <c r="J877" s="48" t="n"/>
      <c r="K877" s="48" t="n"/>
      <c r="L877" s="48" t="n"/>
      <c r="M877" s="1" t="n"/>
      <c r="W877" s="48" t="n"/>
      <c r="X877" s="48" t="n"/>
      <c r="Y877" s="48" t="n"/>
      <c r="Z877" s="48" t="n"/>
      <c r="AA877" s="48" t="n"/>
      <c r="AB877" s="48" t="n"/>
      <c r="AC877" s="48" t="n"/>
    </row>
    <row r="878" ht="13" customHeight="1" s="68">
      <c r="E878" s="48" t="n"/>
      <c r="F878" s="48" t="n"/>
      <c r="G878" s="49" t="n"/>
      <c r="J878" s="48" t="n"/>
      <c r="K878" s="48" t="n"/>
      <c r="L878" s="48" t="n"/>
      <c r="M878" s="1" t="n"/>
      <c r="W878" s="48" t="n"/>
      <c r="X878" s="48" t="n"/>
      <c r="Y878" s="48" t="n"/>
      <c r="Z878" s="48" t="n"/>
      <c r="AA878" s="48" t="n"/>
      <c r="AB878" s="48" t="n"/>
      <c r="AC878" s="48" t="n"/>
    </row>
    <row r="879" ht="13" customHeight="1" s="68">
      <c r="E879" s="48" t="n"/>
      <c r="F879" s="48" t="n"/>
      <c r="G879" s="49" t="n"/>
      <c r="J879" s="48" t="n"/>
      <c r="K879" s="48" t="n"/>
      <c r="L879" s="48" t="n"/>
      <c r="M879" s="1" t="n"/>
      <c r="W879" s="48" t="n"/>
      <c r="X879" s="48" t="n"/>
      <c r="Y879" s="48" t="n"/>
      <c r="Z879" s="48" t="n"/>
      <c r="AA879" s="48" t="n"/>
      <c r="AB879" s="48" t="n"/>
      <c r="AC879" s="48" t="n"/>
    </row>
    <row r="880" ht="13" customHeight="1" s="68">
      <c r="E880" s="48" t="n"/>
      <c r="F880" s="48" t="n"/>
      <c r="G880" s="49" t="n"/>
      <c r="J880" s="48" t="n"/>
      <c r="K880" s="48" t="n"/>
      <c r="L880" s="48" t="n"/>
      <c r="M880" s="1" t="n"/>
      <c r="W880" s="48" t="n"/>
      <c r="X880" s="48" t="n"/>
      <c r="Y880" s="48" t="n"/>
      <c r="Z880" s="48" t="n"/>
      <c r="AA880" s="48" t="n"/>
      <c r="AB880" s="48" t="n"/>
      <c r="AC880" s="48" t="n"/>
    </row>
    <row r="881" ht="13" customHeight="1" s="68">
      <c r="E881" s="48" t="n"/>
      <c r="F881" s="48" t="n"/>
      <c r="G881" s="49" t="n"/>
      <c r="J881" s="48" t="n"/>
      <c r="K881" s="48" t="n"/>
      <c r="L881" s="48" t="n"/>
      <c r="M881" s="1" t="n"/>
      <c r="W881" s="48" t="n"/>
      <c r="X881" s="48" t="n"/>
      <c r="Y881" s="48" t="n"/>
      <c r="Z881" s="48" t="n"/>
      <c r="AA881" s="48" t="n"/>
      <c r="AB881" s="48" t="n"/>
      <c r="AC881" s="48" t="n"/>
    </row>
    <row r="882" ht="13" customHeight="1" s="68">
      <c r="E882" s="48" t="n"/>
      <c r="F882" s="48" t="n"/>
      <c r="G882" s="49" t="n"/>
      <c r="J882" s="48" t="n"/>
      <c r="K882" s="48" t="n"/>
      <c r="L882" s="48" t="n"/>
      <c r="M882" s="1" t="n"/>
      <c r="W882" s="48" t="n"/>
      <c r="X882" s="48" t="n"/>
      <c r="Y882" s="48" t="n"/>
      <c r="Z882" s="48" t="n"/>
      <c r="AA882" s="48" t="n"/>
      <c r="AB882" s="48" t="n"/>
      <c r="AC882" s="48" t="n"/>
    </row>
    <row r="883" ht="13" customHeight="1" s="68">
      <c r="E883" s="48" t="n"/>
      <c r="F883" s="48" t="n"/>
      <c r="G883" s="49" t="n"/>
      <c r="J883" s="48" t="n"/>
      <c r="K883" s="48" t="n"/>
      <c r="L883" s="48" t="n"/>
      <c r="M883" s="1" t="n"/>
      <c r="W883" s="48" t="n"/>
      <c r="X883" s="48" t="n"/>
      <c r="Y883" s="48" t="n"/>
      <c r="Z883" s="48" t="n"/>
      <c r="AA883" s="48" t="n"/>
      <c r="AB883" s="48" t="n"/>
      <c r="AC883" s="48" t="n"/>
    </row>
    <row r="884" ht="13" customHeight="1" s="68">
      <c r="E884" s="48" t="n"/>
      <c r="F884" s="48" t="n"/>
      <c r="G884" s="49" t="n"/>
      <c r="J884" s="48" t="n"/>
      <c r="K884" s="48" t="n"/>
      <c r="L884" s="48" t="n"/>
      <c r="M884" s="1" t="n"/>
      <c r="W884" s="48" t="n"/>
      <c r="X884" s="48" t="n"/>
      <c r="Y884" s="48" t="n"/>
      <c r="Z884" s="48" t="n"/>
      <c r="AA884" s="48" t="n"/>
      <c r="AB884" s="48" t="n"/>
      <c r="AC884" s="48" t="n"/>
    </row>
    <row r="885" ht="13" customHeight="1" s="68">
      <c r="E885" s="48" t="n"/>
      <c r="F885" s="48" t="n"/>
      <c r="G885" s="49" t="n"/>
      <c r="J885" s="48" t="n"/>
      <c r="K885" s="48" t="n"/>
      <c r="L885" s="48" t="n"/>
      <c r="M885" s="1" t="n"/>
      <c r="W885" s="48" t="n"/>
      <c r="X885" s="48" t="n"/>
      <c r="Y885" s="48" t="n"/>
      <c r="Z885" s="48" t="n"/>
      <c r="AA885" s="48" t="n"/>
      <c r="AB885" s="48" t="n"/>
      <c r="AC885" s="48" t="n"/>
    </row>
    <row r="886" ht="13" customHeight="1" s="68">
      <c r="E886" s="48" t="n"/>
      <c r="F886" s="48" t="n"/>
      <c r="G886" s="49" t="n"/>
      <c r="J886" s="48" t="n"/>
      <c r="K886" s="48" t="n"/>
      <c r="L886" s="48" t="n"/>
      <c r="M886" s="1" t="n"/>
      <c r="W886" s="48" t="n"/>
      <c r="X886" s="48" t="n"/>
      <c r="Y886" s="48" t="n"/>
      <c r="Z886" s="48" t="n"/>
      <c r="AA886" s="48" t="n"/>
      <c r="AB886" s="48" t="n"/>
      <c r="AC886" s="48" t="n"/>
    </row>
    <row r="887" ht="13" customHeight="1" s="68">
      <c r="E887" s="48" t="n"/>
      <c r="F887" s="48" t="n"/>
      <c r="G887" s="49" t="n"/>
      <c r="J887" s="48" t="n"/>
      <c r="K887" s="48" t="n"/>
      <c r="L887" s="48" t="n"/>
      <c r="M887" s="1" t="n"/>
      <c r="W887" s="48" t="n"/>
      <c r="X887" s="48" t="n"/>
      <c r="Y887" s="48" t="n"/>
      <c r="Z887" s="48" t="n"/>
      <c r="AA887" s="48" t="n"/>
      <c r="AB887" s="48" t="n"/>
      <c r="AC887" s="48" t="n"/>
    </row>
    <row r="888" ht="13" customHeight="1" s="68">
      <c r="E888" s="48" t="n"/>
      <c r="F888" s="48" t="n"/>
      <c r="G888" s="49" t="n"/>
      <c r="J888" s="48" t="n"/>
      <c r="K888" s="48" t="n"/>
      <c r="L888" s="48" t="n"/>
      <c r="M888" s="1" t="n"/>
      <c r="W888" s="48" t="n"/>
      <c r="X888" s="48" t="n"/>
      <c r="Y888" s="48" t="n"/>
      <c r="Z888" s="48" t="n"/>
      <c r="AA888" s="48" t="n"/>
      <c r="AB888" s="48" t="n"/>
      <c r="AC888" s="48" t="n"/>
    </row>
    <row r="889" ht="13" customHeight="1" s="68">
      <c r="E889" s="48" t="n"/>
      <c r="F889" s="48" t="n"/>
      <c r="G889" s="49" t="n"/>
      <c r="J889" s="48" t="n"/>
      <c r="K889" s="48" t="n"/>
      <c r="L889" s="48" t="n"/>
      <c r="M889" s="1" t="n"/>
      <c r="W889" s="48" t="n"/>
      <c r="X889" s="48" t="n"/>
      <c r="Y889" s="48" t="n"/>
      <c r="Z889" s="48" t="n"/>
      <c r="AA889" s="48" t="n"/>
      <c r="AB889" s="48" t="n"/>
      <c r="AC889" s="48" t="n"/>
    </row>
    <row r="890" ht="13" customHeight="1" s="68">
      <c r="E890" s="48" t="n"/>
      <c r="F890" s="48" t="n"/>
      <c r="G890" s="49" t="n"/>
      <c r="J890" s="48" t="n"/>
      <c r="K890" s="48" t="n"/>
      <c r="L890" s="48" t="n"/>
      <c r="M890" s="1" t="n"/>
      <c r="W890" s="48" t="n"/>
      <c r="X890" s="48" t="n"/>
      <c r="Y890" s="48" t="n"/>
      <c r="Z890" s="48" t="n"/>
      <c r="AA890" s="48" t="n"/>
      <c r="AB890" s="48" t="n"/>
      <c r="AC890" s="48" t="n"/>
    </row>
    <row r="891" ht="13" customHeight="1" s="68">
      <c r="E891" s="48" t="n"/>
      <c r="F891" s="48" t="n"/>
      <c r="G891" s="49" t="n"/>
      <c r="J891" s="48" t="n"/>
      <c r="K891" s="48" t="n"/>
      <c r="L891" s="48" t="n"/>
      <c r="M891" s="1" t="n"/>
      <c r="W891" s="48" t="n"/>
      <c r="X891" s="48" t="n"/>
      <c r="Y891" s="48" t="n"/>
      <c r="Z891" s="48" t="n"/>
      <c r="AA891" s="48" t="n"/>
      <c r="AB891" s="48" t="n"/>
      <c r="AC891" s="48" t="n"/>
    </row>
    <row r="892" ht="13" customHeight="1" s="68">
      <c r="E892" s="48" t="n"/>
      <c r="F892" s="48" t="n"/>
      <c r="G892" s="49" t="n"/>
      <c r="J892" s="48" t="n"/>
      <c r="K892" s="48" t="n"/>
      <c r="L892" s="48" t="n"/>
      <c r="M892" s="1" t="n"/>
      <c r="W892" s="48" t="n"/>
      <c r="X892" s="48" t="n"/>
      <c r="Y892" s="48" t="n"/>
      <c r="Z892" s="48" t="n"/>
      <c r="AA892" s="48" t="n"/>
      <c r="AB892" s="48" t="n"/>
      <c r="AC892" s="48" t="n"/>
    </row>
    <row r="893" ht="13" customHeight="1" s="68">
      <c r="E893" s="48" t="n"/>
      <c r="F893" s="48" t="n"/>
      <c r="G893" s="49" t="n"/>
      <c r="J893" s="48" t="n"/>
      <c r="K893" s="48" t="n"/>
      <c r="L893" s="48" t="n"/>
      <c r="M893" s="1" t="n"/>
      <c r="W893" s="48" t="n"/>
      <c r="X893" s="48" t="n"/>
      <c r="Y893" s="48" t="n"/>
      <c r="Z893" s="48" t="n"/>
      <c r="AA893" s="48" t="n"/>
      <c r="AB893" s="48" t="n"/>
      <c r="AC893" s="48" t="n"/>
    </row>
    <row r="894" ht="13" customHeight="1" s="68">
      <c r="E894" s="48" t="n"/>
      <c r="F894" s="48" t="n"/>
      <c r="G894" s="49" t="n"/>
      <c r="J894" s="48" t="n"/>
      <c r="K894" s="48" t="n"/>
      <c r="L894" s="48" t="n"/>
      <c r="M894" s="1" t="n"/>
      <c r="W894" s="48" t="n"/>
      <c r="X894" s="48" t="n"/>
      <c r="Y894" s="48" t="n"/>
      <c r="Z894" s="48" t="n"/>
      <c r="AA894" s="48" t="n"/>
      <c r="AB894" s="48" t="n"/>
      <c r="AC894" s="48" t="n"/>
    </row>
    <row r="895" ht="13" customHeight="1" s="68">
      <c r="E895" s="48" t="n"/>
      <c r="F895" s="48" t="n"/>
      <c r="G895" s="49" t="n"/>
      <c r="J895" s="48" t="n"/>
      <c r="K895" s="48" t="n"/>
      <c r="L895" s="48" t="n"/>
      <c r="M895" s="1" t="n"/>
      <c r="W895" s="48" t="n"/>
      <c r="X895" s="48" t="n"/>
      <c r="Y895" s="48" t="n"/>
      <c r="Z895" s="48" t="n"/>
      <c r="AA895" s="48" t="n"/>
      <c r="AB895" s="48" t="n"/>
      <c r="AC895" s="48" t="n"/>
    </row>
    <row r="896" ht="13" customHeight="1" s="68">
      <c r="E896" s="48" t="n"/>
      <c r="F896" s="48" t="n"/>
      <c r="G896" s="49" t="n"/>
      <c r="J896" s="48" t="n"/>
      <c r="K896" s="48" t="n"/>
      <c r="L896" s="48" t="n"/>
      <c r="M896" s="1" t="n"/>
      <c r="W896" s="48" t="n"/>
      <c r="X896" s="48" t="n"/>
      <c r="Y896" s="48" t="n"/>
      <c r="Z896" s="48" t="n"/>
      <c r="AA896" s="48" t="n"/>
      <c r="AB896" s="48" t="n"/>
      <c r="AC896" s="48" t="n"/>
    </row>
    <row r="897" ht="13" customHeight="1" s="68">
      <c r="E897" s="48" t="n"/>
      <c r="F897" s="48" t="n"/>
      <c r="G897" s="49" t="n"/>
      <c r="J897" s="48" t="n"/>
      <c r="K897" s="48" t="n"/>
      <c r="L897" s="48" t="n"/>
      <c r="M897" s="1" t="n"/>
      <c r="W897" s="48" t="n"/>
      <c r="X897" s="48" t="n"/>
      <c r="Y897" s="48" t="n"/>
      <c r="Z897" s="48" t="n"/>
      <c r="AA897" s="48" t="n"/>
      <c r="AB897" s="48" t="n"/>
      <c r="AC897" s="48" t="n"/>
    </row>
    <row r="898" ht="13" customHeight="1" s="68">
      <c r="E898" s="48" t="n"/>
      <c r="F898" s="48" t="n"/>
      <c r="G898" s="49" t="n"/>
      <c r="J898" s="48" t="n"/>
      <c r="K898" s="48" t="n"/>
      <c r="L898" s="48" t="n"/>
      <c r="M898" s="1" t="n"/>
      <c r="W898" s="48" t="n"/>
      <c r="X898" s="48" t="n"/>
      <c r="Y898" s="48" t="n"/>
      <c r="Z898" s="48" t="n"/>
      <c r="AA898" s="48" t="n"/>
      <c r="AB898" s="48" t="n"/>
      <c r="AC898" s="48" t="n"/>
    </row>
    <row r="899" ht="13" customHeight="1" s="68">
      <c r="E899" s="48" t="n"/>
      <c r="F899" s="48" t="n"/>
      <c r="G899" s="49" t="n"/>
      <c r="J899" s="48" t="n"/>
      <c r="K899" s="48" t="n"/>
      <c r="L899" s="48" t="n"/>
      <c r="M899" s="1" t="n"/>
      <c r="W899" s="48" t="n"/>
      <c r="X899" s="48" t="n"/>
      <c r="Y899" s="48" t="n"/>
      <c r="Z899" s="48" t="n"/>
      <c r="AA899" s="48" t="n"/>
      <c r="AB899" s="48" t="n"/>
      <c r="AC899" s="48" t="n"/>
    </row>
    <row r="900" ht="13" customHeight="1" s="68">
      <c r="E900" s="48" t="n"/>
      <c r="F900" s="48" t="n"/>
      <c r="G900" s="49" t="n"/>
      <c r="J900" s="48" t="n"/>
      <c r="K900" s="48" t="n"/>
      <c r="L900" s="48" t="n"/>
      <c r="M900" s="1" t="n"/>
      <c r="W900" s="48" t="n"/>
      <c r="X900" s="48" t="n"/>
      <c r="Y900" s="48" t="n"/>
      <c r="Z900" s="48" t="n"/>
      <c r="AA900" s="48" t="n"/>
      <c r="AB900" s="48" t="n"/>
      <c r="AC900" s="48" t="n"/>
    </row>
    <row r="901" ht="13" customHeight="1" s="68">
      <c r="E901" s="48" t="n"/>
      <c r="F901" s="48" t="n"/>
      <c r="G901" s="49" t="n"/>
      <c r="J901" s="48" t="n"/>
      <c r="K901" s="48" t="n"/>
      <c r="L901" s="48" t="n"/>
      <c r="M901" s="1" t="n"/>
      <c r="W901" s="48" t="n"/>
      <c r="X901" s="48" t="n"/>
      <c r="Y901" s="48" t="n"/>
      <c r="Z901" s="48" t="n"/>
      <c r="AA901" s="48" t="n"/>
      <c r="AB901" s="48" t="n"/>
      <c r="AC901" s="48" t="n"/>
    </row>
    <row r="902" ht="13" customHeight="1" s="68">
      <c r="E902" s="48" t="n"/>
      <c r="F902" s="48" t="n"/>
      <c r="G902" s="49" t="n"/>
      <c r="J902" s="48" t="n"/>
      <c r="K902" s="48" t="n"/>
      <c r="L902" s="48" t="n"/>
      <c r="M902" s="1" t="n"/>
      <c r="W902" s="48" t="n"/>
      <c r="X902" s="48" t="n"/>
      <c r="Y902" s="48" t="n"/>
      <c r="Z902" s="48" t="n"/>
      <c r="AA902" s="48" t="n"/>
      <c r="AB902" s="48" t="n"/>
      <c r="AC902" s="48" t="n"/>
    </row>
    <row r="903" ht="13" customHeight="1" s="68">
      <c r="E903" s="48" t="n"/>
      <c r="F903" s="48" t="n"/>
      <c r="G903" s="49" t="n"/>
      <c r="J903" s="48" t="n"/>
      <c r="K903" s="48" t="n"/>
      <c r="L903" s="48" t="n"/>
      <c r="M903" s="1" t="n"/>
      <c r="W903" s="48" t="n"/>
      <c r="X903" s="48" t="n"/>
      <c r="Y903" s="48" t="n"/>
      <c r="Z903" s="48" t="n"/>
      <c r="AA903" s="48" t="n"/>
      <c r="AB903" s="48" t="n"/>
      <c r="AC903" s="48" t="n"/>
    </row>
    <row r="904" ht="13" customHeight="1" s="68">
      <c r="E904" s="48" t="n"/>
      <c r="F904" s="48" t="n"/>
      <c r="G904" s="49" t="n"/>
      <c r="J904" s="48" t="n"/>
      <c r="K904" s="48" t="n"/>
      <c r="L904" s="48" t="n"/>
      <c r="M904" s="1" t="n"/>
      <c r="W904" s="48" t="n"/>
      <c r="X904" s="48" t="n"/>
      <c r="Y904" s="48" t="n"/>
      <c r="Z904" s="48" t="n"/>
      <c r="AA904" s="48" t="n"/>
      <c r="AB904" s="48" t="n"/>
      <c r="AC904" s="48" t="n"/>
    </row>
    <row r="905" ht="13" customHeight="1" s="68">
      <c r="E905" s="48" t="n"/>
      <c r="F905" s="48" t="n"/>
      <c r="G905" s="49" t="n"/>
      <c r="J905" s="48" t="n"/>
      <c r="K905" s="48" t="n"/>
      <c r="L905" s="48" t="n"/>
      <c r="M905" s="1" t="n"/>
      <c r="W905" s="48" t="n"/>
      <c r="X905" s="48" t="n"/>
      <c r="Y905" s="48" t="n"/>
      <c r="Z905" s="48" t="n"/>
      <c r="AA905" s="48" t="n"/>
      <c r="AB905" s="48" t="n"/>
      <c r="AC905" s="48" t="n"/>
    </row>
    <row r="906" ht="13" customHeight="1" s="68">
      <c r="E906" s="48" t="n"/>
      <c r="F906" s="48" t="n"/>
      <c r="G906" s="49" t="n"/>
      <c r="J906" s="48" t="n"/>
      <c r="K906" s="48" t="n"/>
      <c r="L906" s="48" t="n"/>
      <c r="M906" s="1" t="n"/>
      <c r="W906" s="48" t="n"/>
      <c r="X906" s="48" t="n"/>
      <c r="Y906" s="48" t="n"/>
      <c r="Z906" s="48" t="n"/>
      <c r="AA906" s="48" t="n"/>
      <c r="AB906" s="48" t="n"/>
      <c r="AC906" s="48" t="n"/>
    </row>
    <row r="907" ht="13" customHeight="1" s="68">
      <c r="E907" s="48" t="n"/>
      <c r="F907" s="48" t="n"/>
      <c r="G907" s="49" t="n"/>
      <c r="J907" s="48" t="n"/>
      <c r="K907" s="48" t="n"/>
      <c r="L907" s="48" t="n"/>
      <c r="M907" s="1" t="n"/>
      <c r="W907" s="48" t="n"/>
      <c r="X907" s="48" t="n"/>
      <c r="Y907" s="48" t="n"/>
      <c r="Z907" s="48" t="n"/>
      <c r="AA907" s="48" t="n"/>
      <c r="AB907" s="48" t="n"/>
      <c r="AC907" s="48" t="n"/>
    </row>
    <row r="908" ht="13" customHeight="1" s="68">
      <c r="E908" s="48" t="n"/>
      <c r="F908" s="48" t="n"/>
      <c r="G908" s="49" t="n"/>
      <c r="J908" s="48" t="n"/>
      <c r="K908" s="48" t="n"/>
      <c r="L908" s="48" t="n"/>
      <c r="M908" s="1" t="n"/>
      <c r="W908" s="48" t="n"/>
      <c r="X908" s="48" t="n"/>
      <c r="Y908" s="48" t="n"/>
      <c r="Z908" s="48" t="n"/>
      <c r="AA908" s="48" t="n"/>
      <c r="AB908" s="48" t="n"/>
      <c r="AC908" s="48" t="n"/>
    </row>
    <row r="909" ht="13" customHeight="1" s="68">
      <c r="E909" s="48" t="n"/>
      <c r="F909" s="48" t="n"/>
      <c r="G909" s="49" t="n"/>
      <c r="J909" s="48" t="n"/>
      <c r="K909" s="48" t="n"/>
      <c r="L909" s="48" t="n"/>
      <c r="M909" s="1" t="n"/>
      <c r="W909" s="48" t="n"/>
      <c r="X909" s="48" t="n"/>
      <c r="Y909" s="48" t="n"/>
      <c r="Z909" s="48" t="n"/>
      <c r="AA909" s="48" t="n"/>
      <c r="AB909" s="48" t="n"/>
      <c r="AC909" s="48" t="n"/>
    </row>
    <row r="910" ht="13" customHeight="1" s="68">
      <c r="E910" s="48" t="n"/>
      <c r="F910" s="48" t="n"/>
      <c r="G910" s="49" t="n"/>
      <c r="J910" s="48" t="n"/>
      <c r="K910" s="48" t="n"/>
      <c r="L910" s="48" t="n"/>
      <c r="M910" s="1" t="n"/>
      <c r="W910" s="48" t="n"/>
      <c r="X910" s="48" t="n"/>
      <c r="Y910" s="48" t="n"/>
      <c r="Z910" s="48" t="n"/>
      <c r="AA910" s="48" t="n"/>
      <c r="AB910" s="48" t="n"/>
      <c r="AC910" s="48" t="n"/>
    </row>
    <row r="911" ht="13" customHeight="1" s="68">
      <c r="E911" s="48" t="n"/>
      <c r="F911" s="48" t="n"/>
      <c r="G911" s="49" t="n"/>
      <c r="J911" s="48" t="n"/>
      <c r="K911" s="48" t="n"/>
      <c r="L911" s="48" t="n"/>
      <c r="M911" s="1" t="n"/>
      <c r="W911" s="48" t="n"/>
      <c r="X911" s="48" t="n"/>
      <c r="Y911" s="48" t="n"/>
      <c r="Z911" s="48" t="n"/>
      <c r="AA911" s="48" t="n"/>
      <c r="AB911" s="48" t="n"/>
      <c r="AC911" s="48" t="n"/>
    </row>
    <row r="912" ht="13" customHeight="1" s="68">
      <c r="E912" s="48" t="n"/>
      <c r="F912" s="48" t="n"/>
      <c r="G912" s="49" t="n"/>
      <c r="J912" s="48" t="n"/>
      <c r="K912" s="48" t="n"/>
      <c r="L912" s="48" t="n"/>
      <c r="M912" s="1" t="n"/>
      <c r="W912" s="48" t="n"/>
      <c r="X912" s="48" t="n"/>
      <c r="Y912" s="48" t="n"/>
      <c r="Z912" s="48" t="n"/>
      <c r="AA912" s="48" t="n"/>
      <c r="AB912" s="48" t="n"/>
      <c r="AC912" s="48" t="n"/>
    </row>
    <row r="913" ht="13" customHeight="1" s="68">
      <c r="E913" s="48" t="n"/>
      <c r="F913" s="48" t="n"/>
      <c r="G913" s="49" t="n"/>
      <c r="J913" s="48" t="n"/>
      <c r="K913" s="48" t="n"/>
      <c r="L913" s="48" t="n"/>
      <c r="M913" s="1" t="n"/>
      <c r="W913" s="48" t="n"/>
      <c r="X913" s="48" t="n"/>
      <c r="Y913" s="48" t="n"/>
      <c r="Z913" s="48" t="n"/>
      <c r="AA913" s="48" t="n"/>
      <c r="AB913" s="48" t="n"/>
      <c r="AC913" s="48" t="n"/>
    </row>
    <row r="914" ht="13" customHeight="1" s="68">
      <c r="E914" s="48" t="n"/>
      <c r="F914" s="48" t="n"/>
      <c r="G914" s="49" t="n"/>
      <c r="J914" s="48" t="n"/>
      <c r="K914" s="48" t="n"/>
      <c r="L914" s="48" t="n"/>
      <c r="M914" s="1" t="n"/>
      <c r="W914" s="48" t="n"/>
      <c r="X914" s="48" t="n"/>
      <c r="Y914" s="48" t="n"/>
      <c r="Z914" s="48" t="n"/>
      <c r="AA914" s="48" t="n"/>
      <c r="AB914" s="48" t="n"/>
      <c r="AC914" s="48" t="n"/>
    </row>
    <row r="915" ht="13" customHeight="1" s="68">
      <c r="E915" s="48" t="n"/>
      <c r="F915" s="48" t="n"/>
      <c r="G915" s="49" t="n"/>
      <c r="J915" s="48" t="n"/>
      <c r="K915" s="48" t="n"/>
      <c r="L915" s="48" t="n"/>
      <c r="M915" s="1" t="n"/>
      <c r="W915" s="48" t="n"/>
      <c r="X915" s="48" t="n"/>
      <c r="Y915" s="48" t="n"/>
      <c r="Z915" s="48" t="n"/>
      <c r="AA915" s="48" t="n"/>
      <c r="AB915" s="48" t="n"/>
      <c r="AC915" s="48" t="n"/>
    </row>
    <row r="916" ht="13" customHeight="1" s="68">
      <c r="E916" s="48" t="n"/>
      <c r="F916" s="48" t="n"/>
      <c r="G916" s="49" t="n"/>
      <c r="J916" s="48" t="n"/>
      <c r="K916" s="48" t="n"/>
      <c r="L916" s="48" t="n"/>
      <c r="M916" s="1" t="n"/>
      <c r="W916" s="48" t="n"/>
      <c r="X916" s="48" t="n"/>
      <c r="Y916" s="48" t="n"/>
      <c r="Z916" s="48" t="n"/>
      <c r="AA916" s="48" t="n"/>
      <c r="AB916" s="48" t="n"/>
      <c r="AC916" s="48" t="n"/>
    </row>
    <row r="917" ht="13" customHeight="1" s="68">
      <c r="E917" s="48" t="n"/>
      <c r="F917" s="48" t="n"/>
      <c r="G917" s="49" t="n"/>
      <c r="J917" s="48" t="n"/>
      <c r="K917" s="48" t="n"/>
      <c r="L917" s="48" t="n"/>
      <c r="M917" s="1" t="n"/>
      <c r="W917" s="48" t="n"/>
      <c r="X917" s="48" t="n"/>
      <c r="Y917" s="48" t="n"/>
      <c r="Z917" s="48" t="n"/>
      <c r="AA917" s="48" t="n"/>
      <c r="AB917" s="48" t="n"/>
      <c r="AC917" s="48" t="n"/>
    </row>
    <row r="918" ht="13" customHeight="1" s="68">
      <c r="E918" s="48" t="n"/>
      <c r="F918" s="48" t="n"/>
      <c r="G918" s="49" t="n"/>
      <c r="J918" s="48" t="n"/>
      <c r="K918" s="48" t="n"/>
      <c r="L918" s="48" t="n"/>
      <c r="M918" s="1" t="n"/>
      <c r="W918" s="48" t="n"/>
      <c r="X918" s="48" t="n"/>
      <c r="Y918" s="48" t="n"/>
      <c r="Z918" s="48" t="n"/>
      <c r="AA918" s="48" t="n"/>
      <c r="AB918" s="48" t="n"/>
      <c r="AC918" s="48" t="n"/>
    </row>
    <row r="919" ht="13" customHeight="1" s="68">
      <c r="E919" s="48" t="n"/>
      <c r="F919" s="48" t="n"/>
      <c r="G919" s="49" t="n"/>
      <c r="J919" s="48" t="n"/>
      <c r="K919" s="48" t="n"/>
      <c r="L919" s="48" t="n"/>
      <c r="M919" s="1" t="n"/>
      <c r="W919" s="48" t="n"/>
      <c r="X919" s="48" t="n"/>
      <c r="Y919" s="48" t="n"/>
      <c r="Z919" s="48" t="n"/>
      <c r="AA919" s="48" t="n"/>
      <c r="AB919" s="48" t="n"/>
      <c r="AC919" s="48" t="n"/>
    </row>
    <row r="920" ht="13" customHeight="1" s="68">
      <c r="E920" s="48" t="n"/>
      <c r="F920" s="48" t="n"/>
      <c r="G920" s="49" t="n"/>
      <c r="J920" s="48" t="n"/>
      <c r="K920" s="48" t="n"/>
      <c r="L920" s="48" t="n"/>
      <c r="M920" s="1" t="n"/>
      <c r="W920" s="48" t="n"/>
      <c r="X920" s="48" t="n"/>
      <c r="Y920" s="48" t="n"/>
      <c r="Z920" s="48" t="n"/>
      <c r="AA920" s="48" t="n"/>
      <c r="AB920" s="48" t="n"/>
      <c r="AC920" s="48" t="n"/>
    </row>
    <row r="921" ht="13" customHeight="1" s="68">
      <c r="E921" s="48" t="n"/>
      <c r="F921" s="48" t="n"/>
      <c r="G921" s="49" t="n"/>
      <c r="J921" s="48" t="n"/>
      <c r="K921" s="48" t="n"/>
      <c r="L921" s="48" t="n"/>
      <c r="M921" s="1" t="n"/>
      <c r="W921" s="48" t="n"/>
      <c r="X921" s="48" t="n"/>
      <c r="Y921" s="48" t="n"/>
      <c r="Z921" s="48" t="n"/>
      <c r="AA921" s="48" t="n"/>
      <c r="AB921" s="48" t="n"/>
      <c r="AC921" s="48" t="n"/>
    </row>
    <row r="922" ht="13" customHeight="1" s="68">
      <c r="E922" s="48" t="n"/>
      <c r="F922" s="48" t="n"/>
      <c r="G922" s="49" t="n"/>
      <c r="J922" s="48" t="n"/>
      <c r="K922" s="48" t="n"/>
      <c r="L922" s="48" t="n"/>
      <c r="M922" s="1" t="n"/>
      <c r="W922" s="48" t="n"/>
      <c r="X922" s="48" t="n"/>
      <c r="Y922" s="48" t="n"/>
      <c r="Z922" s="48" t="n"/>
      <c r="AA922" s="48" t="n"/>
      <c r="AB922" s="48" t="n"/>
      <c r="AC922" s="48" t="n"/>
    </row>
    <row r="923" ht="13" customHeight="1" s="68">
      <c r="E923" s="48" t="n"/>
      <c r="F923" s="48" t="n"/>
      <c r="G923" s="49" t="n"/>
      <c r="J923" s="48" t="n"/>
      <c r="K923" s="48" t="n"/>
      <c r="L923" s="48" t="n"/>
      <c r="M923" s="1" t="n"/>
      <c r="W923" s="48" t="n"/>
      <c r="X923" s="48" t="n"/>
      <c r="Y923" s="48" t="n"/>
      <c r="Z923" s="48" t="n"/>
      <c r="AA923" s="48" t="n"/>
      <c r="AB923" s="48" t="n"/>
      <c r="AC923" s="48" t="n"/>
    </row>
    <row r="924" ht="13" customHeight="1" s="68">
      <c r="E924" s="48" t="n"/>
      <c r="F924" s="48" t="n"/>
      <c r="G924" s="49" t="n"/>
      <c r="J924" s="48" t="n"/>
      <c r="K924" s="48" t="n"/>
      <c r="L924" s="48" t="n"/>
      <c r="M924" s="1" t="n"/>
      <c r="W924" s="48" t="n"/>
      <c r="X924" s="48" t="n"/>
      <c r="Y924" s="48" t="n"/>
      <c r="Z924" s="48" t="n"/>
      <c r="AA924" s="48" t="n"/>
      <c r="AB924" s="48" t="n"/>
      <c r="AC924" s="48" t="n"/>
    </row>
    <row r="925" ht="13" customHeight="1" s="68">
      <c r="E925" s="48" t="n"/>
      <c r="F925" s="48" t="n"/>
      <c r="G925" s="49" t="n"/>
      <c r="J925" s="48" t="n"/>
      <c r="K925" s="48" t="n"/>
      <c r="L925" s="48" t="n"/>
      <c r="M925" s="1" t="n"/>
      <c r="W925" s="48" t="n"/>
      <c r="X925" s="48" t="n"/>
      <c r="Y925" s="48" t="n"/>
      <c r="Z925" s="48" t="n"/>
      <c r="AA925" s="48" t="n"/>
      <c r="AB925" s="48" t="n"/>
      <c r="AC925" s="48" t="n"/>
    </row>
    <row r="926" ht="13" customHeight="1" s="68">
      <c r="E926" s="48" t="n"/>
      <c r="F926" s="48" t="n"/>
      <c r="G926" s="49" t="n"/>
      <c r="J926" s="48" t="n"/>
      <c r="K926" s="48" t="n"/>
      <c r="L926" s="48" t="n"/>
      <c r="M926" s="1" t="n"/>
      <c r="W926" s="48" t="n"/>
      <c r="X926" s="48" t="n"/>
      <c r="Y926" s="48" t="n"/>
      <c r="Z926" s="48" t="n"/>
      <c r="AA926" s="48" t="n"/>
      <c r="AB926" s="48" t="n"/>
      <c r="AC926" s="48" t="n"/>
    </row>
    <row r="927" ht="13" customHeight="1" s="68">
      <c r="E927" s="48" t="n"/>
      <c r="F927" s="48" t="n"/>
      <c r="G927" s="49" t="n"/>
      <c r="J927" s="48" t="n"/>
      <c r="K927" s="48" t="n"/>
      <c r="L927" s="48" t="n"/>
      <c r="M927" s="1" t="n"/>
      <c r="W927" s="48" t="n"/>
      <c r="X927" s="48" t="n"/>
      <c r="Y927" s="48" t="n"/>
      <c r="Z927" s="48" t="n"/>
      <c r="AA927" s="48" t="n"/>
      <c r="AB927" s="48" t="n"/>
      <c r="AC927" s="48" t="n"/>
    </row>
    <row r="928" ht="13" customHeight="1" s="68">
      <c r="E928" s="48" t="n"/>
      <c r="F928" s="48" t="n"/>
      <c r="G928" s="49" t="n"/>
      <c r="J928" s="48" t="n"/>
      <c r="K928" s="48" t="n"/>
      <c r="L928" s="48" t="n"/>
      <c r="M928" s="1" t="n"/>
      <c r="W928" s="48" t="n"/>
      <c r="X928" s="48" t="n"/>
      <c r="Y928" s="48" t="n"/>
      <c r="Z928" s="48" t="n"/>
      <c r="AA928" s="48" t="n"/>
      <c r="AB928" s="48" t="n"/>
      <c r="AC928" s="48" t="n"/>
    </row>
    <row r="929" ht="13" customHeight="1" s="68">
      <c r="E929" s="48" t="n"/>
      <c r="F929" s="48" t="n"/>
      <c r="G929" s="49" t="n"/>
      <c r="J929" s="48" t="n"/>
      <c r="K929" s="48" t="n"/>
      <c r="L929" s="48" t="n"/>
      <c r="M929" s="1" t="n"/>
      <c r="W929" s="48" t="n"/>
      <c r="X929" s="48" t="n"/>
      <c r="Y929" s="48" t="n"/>
      <c r="Z929" s="48" t="n"/>
      <c r="AA929" s="48" t="n"/>
      <c r="AB929" s="48" t="n"/>
      <c r="AC929" s="48" t="n"/>
    </row>
    <row r="930" ht="13" customHeight="1" s="68">
      <c r="E930" s="48" t="n"/>
      <c r="F930" s="48" t="n"/>
      <c r="G930" s="49" t="n"/>
      <c r="J930" s="48" t="n"/>
      <c r="K930" s="48" t="n"/>
      <c r="L930" s="48" t="n"/>
      <c r="M930" s="1" t="n"/>
      <c r="W930" s="48" t="n"/>
      <c r="X930" s="48" t="n"/>
      <c r="Y930" s="48" t="n"/>
      <c r="Z930" s="48" t="n"/>
      <c r="AA930" s="48" t="n"/>
      <c r="AB930" s="48" t="n"/>
      <c r="AC930" s="48" t="n"/>
    </row>
    <row r="931" ht="13" customHeight="1" s="68">
      <c r="E931" s="48" t="n"/>
      <c r="F931" s="48" t="n"/>
      <c r="G931" s="49" t="n"/>
      <c r="J931" s="48" t="n"/>
      <c r="K931" s="48" t="n"/>
      <c r="L931" s="48" t="n"/>
      <c r="M931" s="1" t="n"/>
      <c r="W931" s="48" t="n"/>
      <c r="X931" s="48" t="n"/>
      <c r="Y931" s="48" t="n"/>
      <c r="Z931" s="48" t="n"/>
      <c r="AA931" s="48" t="n"/>
      <c r="AB931" s="48" t="n"/>
      <c r="AC931" s="48" t="n"/>
    </row>
    <row r="932" ht="13" customHeight="1" s="68">
      <c r="E932" s="48" t="n"/>
      <c r="F932" s="48" t="n"/>
      <c r="G932" s="49" t="n"/>
      <c r="J932" s="48" t="n"/>
      <c r="K932" s="48" t="n"/>
      <c r="L932" s="48" t="n"/>
      <c r="M932" s="1" t="n"/>
      <c r="W932" s="48" t="n"/>
      <c r="X932" s="48" t="n"/>
      <c r="Y932" s="48" t="n"/>
      <c r="Z932" s="48" t="n"/>
      <c r="AA932" s="48" t="n"/>
      <c r="AB932" s="48" t="n"/>
      <c r="AC932" s="48" t="n"/>
    </row>
    <row r="933" ht="13" customHeight="1" s="68">
      <c r="E933" s="48" t="n"/>
      <c r="F933" s="48" t="n"/>
      <c r="G933" s="49" t="n"/>
      <c r="J933" s="48" t="n"/>
      <c r="K933" s="48" t="n"/>
      <c r="L933" s="48" t="n"/>
      <c r="M933" s="1" t="n"/>
      <c r="W933" s="48" t="n"/>
      <c r="X933" s="48" t="n"/>
      <c r="Y933" s="48" t="n"/>
      <c r="Z933" s="48" t="n"/>
      <c r="AA933" s="48" t="n"/>
      <c r="AB933" s="48" t="n"/>
      <c r="AC933" s="48" t="n"/>
    </row>
    <row r="934" ht="13" customHeight="1" s="68">
      <c r="E934" s="48" t="n"/>
      <c r="F934" s="48" t="n"/>
      <c r="G934" s="49" t="n"/>
      <c r="J934" s="48" t="n"/>
      <c r="K934" s="48" t="n"/>
      <c r="L934" s="48" t="n"/>
      <c r="M934" s="1" t="n"/>
      <c r="W934" s="48" t="n"/>
      <c r="X934" s="48" t="n"/>
      <c r="Y934" s="48" t="n"/>
      <c r="Z934" s="48" t="n"/>
      <c r="AA934" s="48" t="n"/>
      <c r="AB934" s="48" t="n"/>
      <c r="AC934" s="48" t="n"/>
    </row>
    <row r="935" ht="13" customHeight="1" s="68">
      <c r="E935" s="48" t="n"/>
      <c r="F935" s="48" t="n"/>
      <c r="G935" s="49" t="n"/>
      <c r="J935" s="48" t="n"/>
      <c r="K935" s="48" t="n"/>
      <c r="L935" s="48" t="n"/>
      <c r="M935" s="1" t="n"/>
      <c r="W935" s="48" t="n"/>
      <c r="X935" s="48" t="n"/>
      <c r="Y935" s="48" t="n"/>
      <c r="Z935" s="48" t="n"/>
      <c r="AA935" s="48" t="n"/>
      <c r="AB935" s="48" t="n"/>
      <c r="AC935" s="48" t="n"/>
    </row>
    <row r="936" ht="13" customHeight="1" s="68">
      <c r="E936" s="48" t="n"/>
      <c r="F936" s="48" t="n"/>
      <c r="G936" s="49" t="n"/>
      <c r="J936" s="48" t="n"/>
      <c r="K936" s="48" t="n"/>
      <c r="L936" s="48" t="n"/>
      <c r="M936" s="1" t="n"/>
      <c r="W936" s="48" t="n"/>
      <c r="X936" s="48" t="n"/>
      <c r="Y936" s="48" t="n"/>
      <c r="Z936" s="48" t="n"/>
      <c r="AA936" s="48" t="n"/>
      <c r="AB936" s="48" t="n"/>
      <c r="AC936" s="48" t="n"/>
    </row>
    <row r="937" ht="13" customHeight="1" s="68">
      <c r="E937" s="48" t="n"/>
      <c r="F937" s="48" t="n"/>
      <c r="G937" s="49" t="n"/>
      <c r="J937" s="48" t="n"/>
      <c r="K937" s="48" t="n"/>
      <c r="L937" s="48" t="n"/>
      <c r="M937" s="1" t="n"/>
      <c r="W937" s="48" t="n"/>
      <c r="X937" s="48" t="n"/>
      <c r="Y937" s="48" t="n"/>
      <c r="Z937" s="48" t="n"/>
      <c r="AA937" s="48" t="n"/>
      <c r="AB937" s="48" t="n"/>
      <c r="AC937" s="48" t="n"/>
    </row>
    <row r="938" ht="13" customHeight="1" s="68">
      <c r="E938" s="48" t="n"/>
      <c r="F938" s="48" t="n"/>
      <c r="G938" s="49" t="n"/>
      <c r="J938" s="48" t="n"/>
      <c r="K938" s="48" t="n"/>
      <c r="L938" s="48" t="n"/>
      <c r="M938" s="1" t="n"/>
      <c r="W938" s="48" t="n"/>
      <c r="X938" s="48" t="n"/>
      <c r="Y938" s="48" t="n"/>
      <c r="Z938" s="48" t="n"/>
      <c r="AA938" s="48" t="n"/>
      <c r="AB938" s="48" t="n"/>
      <c r="AC938" s="48" t="n"/>
    </row>
    <row r="939" ht="13" customHeight="1" s="68">
      <c r="E939" s="48" t="n"/>
      <c r="F939" s="48" t="n"/>
      <c r="G939" s="49" t="n"/>
      <c r="J939" s="48" t="n"/>
      <c r="K939" s="48" t="n"/>
      <c r="L939" s="48" t="n"/>
      <c r="M939" s="1" t="n"/>
      <c r="W939" s="48" t="n"/>
      <c r="X939" s="48" t="n"/>
      <c r="Y939" s="48" t="n"/>
      <c r="Z939" s="48" t="n"/>
      <c r="AA939" s="48" t="n"/>
      <c r="AB939" s="48" t="n"/>
      <c r="AC939" s="48" t="n"/>
    </row>
    <row r="940" ht="13" customHeight="1" s="68">
      <c r="E940" s="48" t="n"/>
      <c r="F940" s="48" t="n"/>
      <c r="G940" s="49" t="n"/>
      <c r="J940" s="48" t="n"/>
      <c r="K940" s="48" t="n"/>
      <c r="L940" s="48" t="n"/>
      <c r="M940" s="1" t="n"/>
      <c r="W940" s="48" t="n"/>
      <c r="X940" s="48" t="n"/>
      <c r="Y940" s="48" t="n"/>
      <c r="Z940" s="48" t="n"/>
      <c r="AA940" s="48" t="n"/>
      <c r="AB940" s="48" t="n"/>
      <c r="AC940" s="48" t="n"/>
    </row>
    <row r="941" ht="13" customHeight="1" s="68">
      <c r="E941" s="48" t="n"/>
      <c r="F941" s="48" t="n"/>
      <c r="G941" s="49" t="n"/>
      <c r="J941" s="48" t="n"/>
      <c r="K941" s="48" t="n"/>
      <c r="L941" s="48" t="n"/>
      <c r="M941" s="1" t="n"/>
      <c r="W941" s="48" t="n"/>
      <c r="X941" s="48" t="n"/>
      <c r="Y941" s="48" t="n"/>
      <c r="Z941" s="48" t="n"/>
      <c r="AA941" s="48" t="n"/>
      <c r="AB941" s="48" t="n"/>
      <c r="AC941" s="48" t="n"/>
    </row>
    <row r="942" ht="13" customHeight="1" s="68">
      <c r="E942" s="48" t="n"/>
      <c r="F942" s="48" t="n"/>
      <c r="G942" s="49" t="n"/>
      <c r="J942" s="48" t="n"/>
      <c r="K942" s="48" t="n"/>
      <c r="L942" s="48" t="n"/>
      <c r="M942" s="1" t="n"/>
      <c r="W942" s="48" t="n"/>
      <c r="X942" s="48" t="n"/>
      <c r="Y942" s="48" t="n"/>
      <c r="Z942" s="48" t="n"/>
      <c r="AA942" s="48" t="n"/>
      <c r="AB942" s="48" t="n"/>
      <c r="AC942" s="48" t="n"/>
    </row>
    <row r="943" ht="13" customHeight="1" s="68">
      <c r="E943" s="48" t="n"/>
      <c r="F943" s="48" t="n"/>
      <c r="G943" s="49" t="n"/>
      <c r="J943" s="48" t="n"/>
      <c r="K943" s="48" t="n"/>
      <c r="L943" s="48" t="n"/>
      <c r="M943" s="1" t="n"/>
      <c r="W943" s="48" t="n"/>
      <c r="X943" s="48" t="n"/>
      <c r="Y943" s="48" t="n"/>
      <c r="Z943" s="48" t="n"/>
      <c r="AA943" s="48" t="n"/>
      <c r="AB943" s="48" t="n"/>
      <c r="AC943" s="48" t="n"/>
    </row>
    <row r="944" ht="13" customHeight="1" s="68">
      <c r="E944" s="48" t="n"/>
      <c r="F944" s="48" t="n"/>
      <c r="G944" s="49" t="n"/>
      <c r="J944" s="48" t="n"/>
      <c r="K944" s="48" t="n"/>
      <c r="L944" s="48" t="n"/>
      <c r="M944" s="1" t="n"/>
      <c r="W944" s="48" t="n"/>
      <c r="X944" s="48" t="n"/>
      <c r="Y944" s="48" t="n"/>
      <c r="Z944" s="48" t="n"/>
      <c r="AA944" s="48" t="n"/>
      <c r="AB944" s="48" t="n"/>
      <c r="AC944" s="48" t="n"/>
    </row>
    <row r="945" ht="13" customHeight="1" s="68">
      <c r="E945" s="48" t="n"/>
      <c r="F945" s="48" t="n"/>
      <c r="G945" s="49" t="n"/>
      <c r="J945" s="48" t="n"/>
      <c r="K945" s="48" t="n"/>
      <c r="L945" s="48" t="n"/>
      <c r="M945" s="1" t="n"/>
      <c r="W945" s="48" t="n"/>
      <c r="X945" s="48" t="n"/>
      <c r="Y945" s="48" t="n"/>
      <c r="Z945" s="48" t="n"/>
      <c r="AA945" s="48" t="n"/>
      <c r="AB945" s="48" t="n"/>
      <c r="AC945" s="48" t="n"/>
    </row>
    <row r="946" ht="13" customHeight="1" s="68">
      <c r="E946" s="48" t="n"/>
      <c r="F946" s="48" t="n"/>
      <c r="G946" s="49" t="n"/>
      <c r="J946" s="48" t="n"/>
      <c r="K946" s="48" t="n"/>
      <c r="L946" s="48" t="n"/>
      <c r="M946" s="1" t="n"/>
      <c r="W946" s="48" t="n"/>
      <c r="X946" s="48" t="n"/>
      <c r="Y946" s="48" t="n"/>
      <c r="Z946" s="48" t="n"/>
      <c r="AA946" s="48" t="n"/>
      <c r="AB946" s="48" t="n"/>
      <c r="AC946" s="48" t="n"/>
    </row>
    <row r="947" ht="13" customHeight="1" s="68">
      <c r="E947" s="48" t="n"/>
      <c r="F947" s="48" t="n"/>
      <c r="G947" s="49" t="n"/>
      <c r="J947" s="48" t="n"/>
      <c r="K947" s="48" t="n"/>
      <c r="L947" s="48" t="n"/>
      <c r="M947" s="1" t="n"/>
      <c r="W947" s="48" t="n"/>
      <c r="X947" s="48" t="n"/>
      <c r="Y947" s="48" t="n"/>
      <c r="Z947" s="48" t="n"/>
      <c r="AA947" s="48" t="n"/>
      <c r="AB947" s="48" t="n"/>
      <c r="AC947" s="48" t="n"/>
    </row>
    <row r="948" ht="13" customHeight="1" s="68">
      <c r="E948" s="48" t="n"/>
      <c r="F948" s="48" t="n"/>
      <c r="G948" s="49" t="n"/>
      <c r="J948" s="48" t="n"/>
      <c r="K948" s="48" t="n"/>
      <c r="L948" s="48" t="n"/>
      <c r="M948" s="1" t="n"/>
      <c r="W948" s="48" t="n"/>
      <c r="X948" s="48" t="n"/>
      <c r="Y948" s="48" t="n"/>
      <c r="Z948" s="48" t="n"/>
      <c r="AA948" s="48" t="n"/>
      <c r="AB948" s="48" t="n"/>
      <c r="AC948" s="48" t="n"/>
    </row>
    <row r="949" ht="13" customHeight="1" s="68">
      <c r="E949" s="48" t="n"/>
      <c r="F949" s="48" t="n"/>
      <c r="G949" s="49" t="n"/>
      <c r="J949" s="48" t="n"/>
      <c r="K949" s="48" t="n"/>
      <c r="L949" s="48" t="n"/>
      <c r="M949" s="1" t="n"/>
      <c r="W949" s="48" t="n"/>
      <c r="X949" s="48" t="n"/>
      <c r="Y949" s="48" t="n"/>
      <c r="Z949" s="48" t="n"/>
      <c r="AA949" s="48" t="n"/>
      <c r="AB949" s="48" t="n"/>
      <c r="AC949" s="48" t="n"/>
    </row>
    <row r="950" ht="13" customHeight="1" s="68">
      <c r="E950" s="48" t="n"/>
      <c r="F950" s="48" t="n"/>
      <c r="G950" s="49" t="n"/>
      <c r="J950" s="48" t="n"/>
      <c r="K950" s="48" t="n"/>
      <c r="L950" s="48" t="n"/>
      <c r="M950" s="1" t="n"/>
      <c r="W950" s="48" t="n"/>
      <c r="X950" s="48" t="n"/>
      <c r="Y950" s="48" t="n"/>
      <c r="Z950" s="48" t="n"/>
      <c r="AA950" s="48" t="n"/>
      <c r="AB950" s="48" t="n"/>
      <c r="AC950" s="48" t="n"/>
    </row>
    <row r="951" ht="13" customHeight="1" s="68">
      <c r="E951" s="48" t="n"/>
      <c r="F951" s="48" t="n"/>
      <c r="G951" s="49" t="n"/>
      <c r="J951" s="48" t="n"/>
      <c r="K951" s="48" t="n"/>
      <c r="L951" s="48" t="n"/>
      <c r="M951" s="1" t="n"/>
      <c r="W951" s="48" t="n"/>
      <c r="X951" s="48" t="n"/>
      <c r="Y951" s="48" t="n"/>
      <c r="Z951" s="48" t="n"/>
      <c r="AA951" s="48" t="n"/>
      <c r="AB951" s="48" t="n"/>
      <c r="AC951" s="48" t="n"/>
    </row>
    <row r="952" ht="13" customHeight="1" s="68">
      <c r="E952" s="48" t="n"/>
      <c r="F952" s="48" t="n"/>
      <c r="G952" s="49" t="n"/>
      <c r="J952" s="48" t="n"/>
      <c r="K952" s="48" t="n"/>
      <c r="L952" s="48" t="n"/>
      <c r="M952" s="1" t="n"/>
      <c r="W952" s="48" t="n"/>
      <c r="X952" s="48" t="n"/>
      <c r="Y952" s="48" t="n"/>
      <c r="Z952" s="48" t="n"/>
      <c r="AA952" s="48" t="n"/>
      <c r="AB952" s="48" t="n"/>
      <c r="AC952" s="48" t="n"/>
    </row>
    <row r="953" ht="13" customHeight="1" s="68">
      <c r="E953" s="48" t="n"/>
      <c r="F953" s="48" t="n"/>
      <c r="G953" s="49" t="n"/>
      <c r="J953" s="48" t="n"/>
      <c r="K953" s="48" t="n"/>
      <c r="L953" s="48" t="n"/>
      <c r="M953" s="1" t="n"/>
      <c r="W953" s="48" t="n"/>
      <c r="X953" s="48" t="n"/>
      <c r="Y953" s="48" t="n"/>
      <c r="Z953" s="48" t="n"/>
      <c r="AA953" s="48" t="n"/>
      <c r="AB953" s="48" t="n"/>
      <c r="AC953" s="48" t="n"/>
    </row>
    <row r="954" ht="13" customHeight="1" s="68">
      <c r="E954" s="48" t="n"/>
      <c r="F954" s="48" t="n"/>
      <c r="G954" s="49" t="n"/>
      <c r="J954" s="48" t="n"/>
      <c r="K954" s="48" t="n"/>
      <c r="L954" s="48" t="n"/>
      <c r="M954" s="1" t="n"/>
      <c r="W954" s="48" t="n"/>
      <c r="X954" s="48" t="n"/>
      <c r="Y954" s="48" t="n"/>
      <c r="Z954" s="48" t="n"/>
      <c r="AA954" s="48" t="n"/>
      <c r="AB954" s="48" t="n"/>
      <c r="AC954" s="48" t="n"/>
    </row>
    <row r="955" ht="13" customHeight="1" s="68">
      <c r="E955" s="48" t="n"/>
      <c r="F955" s="48" t="n"/>
      <c r="G955" s="49" t="n"/>
      <c r="J955" s="48" t="n"/>
      <c r="K955" s="48" t="n"/>
      <c r="L955" s="48" t="n"/>
      <c r="M955" s="1" t="n"/>
      <c r="W955" s="48" t="n"/>
      <c r="X955" s="48" t="n"/>
      <c r="Y955" s="48" t="n"/>
      <c r="Z955" s="48" t="n"/>
      <c r="AA955" s="48" t="n"/>
      <c r="AB955" s="48" t="n"/>
      <c r="AC955" s="48" t="n"/>
    </row>
    <row r="956" ht="13" customHeight="1" s="68">
      <c r="E956" s="48" t="n"/>
      <c r="F956" s="48" t="n"/>
      <c r="G956" s="49" t="n"/>
      <c r="J956" s="48" t="n"/>
      <c r="K956" s="48" t="n"/>
      <c r="L956" s="48" t="n"/>
      <c r="M956" s="1" t="n"/>
      <c r="W956" s="48" t="n"/>
      <c r="X956" s="48" t="n"/>
      <c r="Y956" s="48" t="n"/>
      <c r="Z956" s="48" t="n"/>
      <c r="AA956" s="48" t="n"/>
      <c r="AB956" s="48" t="n"/>
      <c r="AC956" s="48" t="n"/>
    </row>
    <row r="957" ht="13" customHeight="1" s="68">
      <c r="E957" s="48" t="n"/>
      <c r="F957" s="48" t="n"/>
      <c r="G957" s="49" t="n"/>
      <c r="J957" s="48" t="n"/>
      <c r="K957" s="48" t="n"/>
      <c r="L957" s="48" t="n"/>
      <c r="M957" s="1" t="n"/>
      <c r="W957" s="48" t="n"/>
      <c r="X957" s="48" t="n"/>
      <c r="Y957" s="48" t="n"/>
      <c r="Z957" s="48" t="n"/>
      <c r="AA957" s="48" t="n"/>
      <c r="AB957" s="48" t="n"/>
      <c r="AC957" s="48" t="n"/>
    </row>
    <row r="958" ht="13" customHeight="1" s="68">
      <c r="E958" s="48" t="n"/>
      <c r="F958" s="48" t="n"/>
      <c r="G958" s="49" t="n"/>
      <c r="J958" s="48" t="n"/>
      <c r="K958" s="48" t="n"/>
      <c r="L958" s="48" t="n"/>
      <c r="M958" s="1" t="n"/>
      <c r="W958" s="48" t="n"/>
      <c r="X958" s="48" t="n"/>
      <c r="Y958" s="48" t="n"/>
      <c r="Z958" s="48" t="n"/>
      <c r="AA958" s="48" t="n"/>
      <c r="AB958" s="48" t="n"/>
      <c r="AC958" s="48" t="n"/>
    </row>
    <row r="959" ht="13" customHeight="1" s="68">
      <c r="E959" s="48" t="n"/>
      <c r="F959" s="48" t="n"/>
      <c r="G959" s="49" t="n"/>
      <c r="J959" s="48" t="n"/>
      <c r="K959" s="48" t="n"/>
      <c r="L959" s="48" t="n"/>
      <c r="M959" s="1" t="n"/>
      <c r="W959" s="48" t="n"/>
      <c r="X959" s="48" t="n"/>
      <c r="Y959" s="48" t="n"/>
      <c r="Z959" s="48" t="n"/>
      <c r="AA959" s="48" t="n"/>
      <c r="AB959" s="48" t="n"/>
      <c r="AC959" s="48" t="n"/>
    </row>
    <row r="960" ht="13" customHeight="1" s="68">
      <c r="E960" s="48" t="n"/>
      <c r="F960" s="48" t="n"/>
      <c r="G960" s="49" t="n"/>
      <c r="J960" s="48" t="n"/>
      <c r="K960" s="48" t="n"/>
      <c r="L960" s="48" t="n"/>
      <c r="M960" s="1" t="n"/>
      <c r="W960" s="48" t="n"/>
      <c r="X960" s="48" t="n"/>
      <c r="Y960" s="48" t="n"/>
      <c r="Z960" s="48" t="n"/>
      <c r="AA960" s="48" t="n"/>
      <c r="AB960" s="48" t="n"/>
      <c r="AC960" s="48" t="n"/>
    </row>
    <row r="961" ht="13" customHeight="1" s="68">
      <c r="E961" s="48" t="n"/>
      <c r="F961" s="48" t="n"/>
      <c r="G961" s="49" t="n"/>
      <c r="J961" s="48" t="n"/>
      <c r="K961" s="48" t="n"/>
      <c r="L961" s="48" t="n"/>
      <c r="M961" s="1" t="n"/>
      <c r="W961" s="48" t="n"/>
      <c r="X961" s="48" t="n"/>
      <c r="Y961" s="48" t="n"/>
      <c r="Z961" s="48" t="n"/>
      <c r="AA961" s="48" t="n"/>
      <c r="AB961" s="48" t="n"/>
      <c r="AC961" s="48" t="n"/>
    </row>
    <row r="962" ht="13" customHeight="1" s="68">
      <c r="E962" s="48" t="n"/>
      <c r="F962" s="48" t="n"/>
      <c r="G962" s="49" t="n"/>
      <c r="J962" s="48" t="n"/>
      <c r="K962" s="48" t="n"/>
      <c r="L962" s="48" t="n"/>
      <c r="M962" s="1" t="n"/>
      <c r="W962" s="48" t="n"/>
      <c r="X962" s="48" t="n"/>
      <c r="Y962" s="48" t="n"/>
      <c r="Z962" s="48" t="n"/>
      <c r="AA962" s="48" t="n"/>
      <c r="AB962" s="48" t="n"/>
      <c r="AC962" s="48" t="n"/>
    </row>
    <row r="963" ht="13" customHeight="1" s="68">
      <c r="E963" s="48" t="n"/>
      <c r="F963" s="48" t="n"/>
      <c r="G963" s="49" t="n"/>
      <c r="J963" s="48" t="n"/>
      <c r="K963" s="48" t="n"/>
      <c r="L963" s="48" t="n"/>
      <c r="M963" s="1" t="n"/>
      <c r="W963" s="48" t="n"/>
      <c r="X963" s="48" t="n"/>
      <c r="Y963" s="48" t="n"/>
      <c r="Z963" s="48" t="n"/>
      <c r="AA963" s="48" t="n"/>
      <c r="AB963" s="48" t="n"/>
      <c r="AC963" s="48" t="n"/>
    </row>
    <row r="964" ht="13" customHeight="1" s="68">
      <c r="E964" s="48" t="n"/>
      <c r="F964" s="48" t="n"/>
      <c r="G964" s="49" t="n"/>
      <c r="J964" s="48" t="n"/>
      <c r="K964" s="48" t="n"/>
      <c r="L964" s="48" t="n"/>
      <c r="M964" s="1" t="n"/>
      <c r="W964" s="48" t="n"/>
      <c r="X964" s="48" t="n"/>
      <c r="Y964" s="48" t="n"/>
      <c r="Z964" s="48" t="n"/>
      <c r="AA964" s="48" t="n"/>
      <c r="AB964" s="48" t="n"/>
      <c r="AC964" s="48" t="n"/>
    </row>
    <row r="965" ht="13" customHeight="1" s="68">
      <c r="E965" s="48" t="n"/>
      <c r="F965" s="48" t="n"/>
      <c r="G965" s="49" t="n"/>
      <c r="J965" s="48" t="n"/>
      <c r="K965" s="48" t="n"/>
      <c r="L965" s="48" t="n"/>
      <c r="M965" s="1" t="n"/>
      <c r="W965" s="48" t="n"/>
      <c r="X965" s="48" t="n"/>
      <c r="Y965" s="48" t="n"/>
      <c r="Z965" s="48" t="n"/>
      <c r="AA965" s="48" t="n"/>
      <c r="AB965" s="48" t="n"/>
      <c r="AC965" s="48" t="n"/>
    </row>
    <row r="966" ht="13" customHeight="1" s="68">
      <c r="E966" s="48" t="n"/>
      <c r="F966" s="48" t="n"/>
      <c r="G966" s="49" t="n"/>
      <c r="J966" s="48" t="n"/>
      <c r="K966" s="48" t="n"/>
      <c r="L966" s="48" t="n"/>
      <c r="M966" s="1" t="n"/>
      <c r="W966" s="48" t="n"/>
      <c r="X966" s="48" t="n"/>
      <c r="Y966" s="48" t="n"/>
      <c r="Z966" s="48" t="n"/>
      <c r="AA966" s="48" t="n"/>
      <c r="AB966" s="48" t="n"/>
      <c r="AC966" s="48" t="n"/>
    </row>
    <row r="967" ht="13" customHeight="1" s="68">
      <c r="E967" s="48" t="n"/>
      <c r="F967" s="48" t="n"/>
      <c r="G967" s="49" t="n"/>
      <c r="J967" s="48" t="n"/>
      <c r="K967" s="48" t="n"/>
      <c r="L967" s="48" t="n"/>
      <c r="M967" s="1" t="n"/>
      <c r="W967" s="48" t="n"/>
      <c r="X967" s="48" t="n"/>
      <c r="Y967" s="48" t="n"/>
      <c r="Z967" s="48" t="n"/>
      <c r="AA967" s="48" t="n"/>
      <c r="AB967" s="48" t="n"/>
      <c r="AC967" s="48" t="n"/>
    </row>
    <row r="968" ht="13" customHeight="1" s="68">
      <c r="E968" s="48" t="n"/>
      <c r="F968" s="48" t="n"/>
      <c r="G968" s="49" t="n"/>
      <c r="J968" s="48" t="n"/>
      <c r="K968" s="48" t="n"/>
      <c r="L968" s="48" t="n"/>
      <c r="M968" s="1" t="n"/>
      <c r="W968" s="48" t="n"/>
      <c r="X968" s="48" t="n"/>
      <c r="Y968" s="48" t="n"/>
      <c r="Z968" s="48" t="n"/>
      <c r="AA968" s="48" t="n"/>
      <c r="AB968" s="48" t="n"/>
      <c r="AC968" s="48" t="n"/>
    </row>
    <row r="969" ht="13" customHeight="1" s="68">
      <c r="E969" s="48" t="n"/>
      <c r="F969" s="48" t="n"/>
      <c r="G969" s="49" t="n"/>
      <c r="J969" s="48" t="n"/>
      <c r="K969" s="48" t="n"/>
      <c r="L969" s="48" t="n"/>
      <c r="M969" s="1" t="n"/>
      <c r="W969" s="48" t="n"/>
      <c r="X969" s="48" t="n"/>
      <c r="Y969" s="48" t="n"/>
      <c r="Z969" s="48" t="n"/>
      <c r="AA969" s="48" t="n"/>
      <c r="AB969" s="48" t="n"/>
      <c r="AC969" s="48" t="n"/>
    </row>
    <row r="970" ht="13" customHeight="1" s="68">
      <c r="E970" s="48" t="n"/>
      <c r="F970" s="48" t="n"/>
      <c r="G970" s="49" t="n"/>
      <c r="J970" s="48" t="n"/>
      <c r="K970" s="48" t="n"/>
      <c r="L970" s="48" t="n"/>
      <c r="M970" s="1" t="n"/>
      <c r="W970" s="48" t="n"/>
      <c r="X970" s="48" t="n"/>
      <c r="Y970" s="48" t="n"/>
      <c r="Z970" s="48" t="n"/>
      <c r="AA970" s="48" t="n"/>
      <c r="AB970" s="48" t="n"/>
      <c r="AC970" s="48" t="n"/>
    </row>
    <row r="971" ht="13" customHeight="1" s="68">
      <c r="E971" s="48" t="n"/>
      <c r="F971" s="48" t="n"/>
      <c r="G971" s="49" t="n"/>
      <c r="J971" s="48" t="n"/>
      <c r="K971" s="48" t="n"/>
      <c r="L971" s="48" t="n"/>
      <c r="M971" s="1" t="n"/>
      <c r="W971" s="48" t="n"/>
      <c r="X971" s="48" t="n"/>
      <c r="Y971" s="48" t="n"/>
      <c r="Z971" s="48" t="n"/>
      <c r="AA971" s="48" t="n"/>
      <c r="AB971" s="48" t="n"/>
      <c r="AC971" s="48" t="n"/>
    </row>
    <row r="972" ht="13" customHeight="1" s="68">
      <c r="E972" s="48" t="n"/>
      <c r="F972" s="48" t="n"/>
      <c r="G972" s="49" t="n"/>
      <c r="J972" s="48" t="n"/>
      <c r="K972" s="48" t="n"/>
      <c r="L972" s="48" t="n"/>
      <c r="M972" s="1" t="n"/>
      <c r="W972" s="48" t="n"/>
      <c r="X972" s="48" t="n"/>
      <c r="Y972" s="48" t="n"/>
      <c r="Z972" s="48" t="n"/>
      <c r="AA972" s="48" t="n"/>
      <c r="AB972" s="48" t="n"/>
      <c r="AC972" s="48" t="n"/>
    </row>
    <row r="973" ht="13" customHeight="1" s="68">
      <c r="E973" s="48" t="n"/>
      <c r="F973" s="48" t="n"/>
      <c r="G973" s="49" t="n"/>
      <c r="J973" s="48" t="n"/>
      <c r="K973" s="48" t="n"/>
      <c r="L973" s="48" t="n"/>
      <c r="M973" s="1" t="n"/>
      <c r="W973" s="48" t="n"/>
      <c r="X973" s="48" t="n"/>
      <c r="Y973" s="48" t="n"/>
      <c r="Z973" s="48" t="n"/>
      <c r="AA973" s="48" t="n"/>
      <c r="AB973" s="48" t="n"/>
      <c r="AC973" s="48" t="n"/>
    </row>
    <row r="974" ht="13" customHeight="1" s="68">
      <c r="E974" s="48" t="n"/>
      <c r="F974" s="48" t="n"/>
      <c r="G974" s="49" t="n"/>
      <c r="J974" s="48" t="n"/>
      <c r="K974" s="48" t="n"/>
      <c r="L974" s="48" t="n"/>
      <c r="M974" s="1" t="n"/>
      <c r="W974" s="48" t="n"/>
      <c r="X974" s="48" t="n"/>
      <c r="Y974" s="48" t="n"/>
      <c r="Z974" s="48" t="n"/>
      <c r="AA974" s="48" t="n"/>
      <c r="AB974" s="48" t="n"/>
      <c r="AC974" s="48" t="n"/>
    </row>
    <row r="975" ht="13" customHeight="1" s="68">
      <c r="E975" s="48" t="n"/>
      <c r="F975" s="48" t="n"/>
      <c r="G975" s="49" t="n"/>
      <c r="J975" s="48" t="n"/>
      <c r="K975" s="48" t="n"/>
      <c r="L975" s="48" t="n"/>
      <c r="M975" s="1" t="n"/>
      <c r="W975" s="48" t="n"/>
      <c r="X975" s="48" t="n"/>
      <c r="Y975" s="48" t="n"/>
      <c r="Z975" s="48" t="n"/>
      <c r="AA975" s="48" t="n"/>
      <c r="AB975" s="48" t="n"/>
      <c r="AC975" s="48" t="n"/>
    </row>
    <row r="976" ht="13" customHeight="1" s="68">
      <c r="E976" s="48" t="n"/>
      <c r="F976" s="48" t="n"/>
      <c r="G976" s="49" t="n"/>
      <c r="J976" s="48" t="n"/>
      <c r="K976" s="48" t="n"/>
      <c r="L976" s="48" t="n"/>
      <c r="M976" s="1" t="n"/>
      <c r="W976" s="48" t="n"/>
      <c r="X976" s="48" t="n"/>
      <c r="Y976" s="48" t="n"/>
      <c r="Z976" s="48" t="n"/>
      <c r="AA976" s="48" t="n"/>
      <c r="AB976" s="48" t="n"/>
      <c r="AC976" s="48" t="n"/>
    </row>
    <row r="977" ht="13" customHeight="1" s="68">
      <c r="E977" s="48" t="n"/>
      <c r="F977" s="48" t="n"/>
      <c r="G977" s="49" t="n"/>
      <c r="J977" s="48" t="n"/>
      <c r="K977" s="48" t="n"/>
      <c r="L977" s="48" t="n"/>
      <c r="M977" s="1" t="n"/>
      <c r="W977" s="48" t="n"/>
      <c r="X977" s="48" t="n"/>
      <c r="Y977" s="48" t="n"/>
      <c r="Z977" s="48" t="n"/>
      <c r="AA977" s="48" t="n"/>
      <c r="AB977" s="48" t="n"/>
      <c r="AC977" s="48" t="n"/>
    </row>
    <row r="978" ht="13" customHeight="1" s="68">
      <c r="E978" s="48" t="n"/>
      <c r="F978" s="48" t="n"/>
      <c r="G978" s="49" t="n"/>
      <c r="J978" s="48" t="n"/>
      <c r="K978" s="48" t="n"/>
      <c r="L978" s="48" t="n"/>
      <c r="M978" s="1" t="n"/>
      <c r="W978" s="48" t="n"/>
      <c r="X978" s="48" t="n"/>
      <c r="Y978" s="48" t="n"/>
      <c r="Z978" s="48" t="n"/>
      <c r="AA978" s="48" t="n"/>
      <c r="AB978" s="48" t="n"/>
      <c r="AC978" s="48" t="n"/>
    </row>
    <row r="979" ht="13" customHeight="1" s="68">
      <c r="E979" s="48" t="n"/>
      <c r="F979" s="48" t="n"/>
      <c r="G979" s="49" t="n"/>
      <c r="J979" s="48" t="n"/>
      <c r="K979" s="48" t="n"/>
      <c r="L979" s="48" t="n"/>
      <c r="M979" s="1" t="n"/>
      <c r="W979" s="48" t="n"/>
      <c r="X979" s="48" t="n"/>
      <c r="Y979" s="48" t="n"/>
      <c r="Z979" s="48" t="n"/>
      <c r="AA979" s="48" t="n"/>
      <c r="AB979" s="48" t="n"/>
      <c r="AC979" s="48" t="n"/>
    </row>
    <row r="980" ht="13" customHeight="1" s="68">
      <c r="E980" s="48" t="n"/>
      <c r="F980" s="48" t="n"/>
      <c r="G980" s="49" t="n"/>
      <c r="J980" s="48" t="n"/>
      <c r="K980" s="48" t="n"/>
      <c r="L980" s="48" t="n"/>
      <c r="M980" s="1" t="n"/>
      <c r="W980" s="48" t="n"/>
      <c r="X980" s="48" t="n"/>
      <c r="Y980" s="48" t="n"/>
      <c r="Z980" s="48" t="n"/>
      <c r="AA980" s="48" t="n"/>
      <c r="AB980" s="48" t="n"/>
      <c r="AC980" s="48" t="n"/>
    </row>
    <row r="981" ht="13" customHeight="1" s="68">
      <c r="E981" s="48" t="n"/>
      <c r="F981" s="48" t="n"/>
      <c r="G981" s="49" t="n"/>
      <c r="J981" s="48" t="n"/>
      <c r="K981" s="48" t="n"/>
      <c r="L981" s="48" t="n"/>
      <c r="M981" s="1" t="n"/>
      <c r="W981" s="48" t="n"/>
      <c r="X981" s="48" t="n"/>
      <c r="Y981" s="48" t="n"/>
      <c r="Z981" s="48" t="n"/>
      <c r="AA981" s="48" t="n"/>
      <c r="AB981" s="48" t="n"/>
      <c r="AC981" s="48" t="n"/>
    </row>
    <row r="982" ht="13" customHeight="1" s="68">
      <c r="E982" s="48" t="n"/>
      <c r="F982" s="48" t="n"/>
      <c r="G982" s="49" t="n"/>
      <c r="J982" s="48" t="n"/>
      <c r="K982" s="48" t="n"/>
      <c r="L982" s="48" t="n"/>
      <c r="M982" s="1" t="n"/>
      <c r="W982" s="48" t="n"/>
      <c r="X982" s="48" t="n"/>
      <c r="Y982" s="48" t="n"/>
      <c r="Z982" s="48" t="n"/>
      <c r="AA982" s="48" t="n"/>
      <c r="AB982" s="48" t="n"/>
      <c r="AC982" s="48" t="n"/>
    </row>
    <row r="983" ht="13" customHeight="1" s="68">
      <c r="E983" s="48" t="n"/>
      <c r="F983" s="48" t="n"/>
      <c r="G983" s="49" t="n"/>
      <c r="J983" s="48" t="n"/>
      <c r="K983" s="48" t="n"/>
      <c r="L983" s="48" t="n"/>
      <c r="M983" s="1" t="n"/>
      <c r="W983" s="48" t="n"/>
      <c r="X983" s="48" t="n"/>
      <c r="Y983" s="48" t="n"/>
      <c r="Z983" s="48" t="n"/>
      <c r="AA983" s="48" t="n"/>
      <c r="AB983" s="48" t="n"/>
      <c r="AC983" s="48" t="n"/>
    </row>
    <row r="984" ht="13" customHeight="1" s="68">
      <c r="E984" s="48" t="n"/>
      <c r="F984" s="48" t="n"/>
      <c r="G984" s="49" t="n"/>
      <c r="J984" s="48" t="n"/>
      <c r="K984" s="48" t="n"/>
      <c r="L984" s="48" t="n"/>
      <c r="W984" s="48" t="n"/>
      <c r="X984" s="48" t="n"/>
      <c r="Y984" s="48" t="n"/>
      <c r="Z984" s="48" t="n"/>
      <c r="AA984" s="48" t="n"/>
      <c r="AB984" s="48" t="n"/>
      <c r="AC984" s="48" t="n"/>
    </row>
    <row r="985" ht="13" customHeight="1" s="68">
      <c r="E985" s="48" t="n"/>
      <c r="F985" s="48" t="n"/>
      <c r="G985" s="49" t="n"/>
      <c r="J985" s="48" t="n"/>
      <c r="K985" s="48" t="n"/>
      <c r="L985" s="48" t="n"/>
      <c r="W985" s="48" t="n"/>
      <c r="X985" s="48" t="n"/>
      <c r="Y985" s="48" t="n"/>
      <c r="Z985" s="48" t="n"/>
      <c r="AA985" s="48" t="n"/>
      <c r="AB985" s="48" t="n"/>
      <c r="AC985" s="48" t="n"/>
    </row>
    <row r="986" ht="13" customHeight="1" s="68">
      <c r="E986" s="48" t="n"/>
      <c r="F986" s="48" t="n"/>
      <c r="G986" s="49" t="n"/>
      <c r="J986" s="48" t="n"/>
      <c r="K986" s="48" t="n"/>
      <c r="L986" s="48" t="n"/>
      <c r="W986" s="48" t="n"/>
      <c r="X986" s="48" t="n"/>
      <c r="Y986" s="48" t="n"/>
      <c r="Z986" s="48" t="n"/>
      <c r="AA986" s="48" t="n"/>
      <c r="AB986" s="48" t="n"/>
      <c r="AC986" s="48" t="n"/>
    </row>
    <row r="987" ht="13" customHeight="1" s="68">
      <c r="E987" s="48" t="n"/>
      <c r="F987" s="48" t="n"/>
      <c r="G987" s="49" t="n"/>
      <c r="J987" s="48" t="n"/>
      <c r="K987" s="48" t="n"/>
      <c r="L987" s="48" t="n"/>
      <c r="W987" s="48" t="n"/>
      <c r="X987" s="48" t="n"/>
      <c r="Y987" s="48" t="n"/>
      <c r="Z987" s="48" t="n"/>
      <c r="AA987" s="48" t="n"/>
      <c r="AB987" s="48" t="n"/>
      <c r="AC987" s="48" t="n"/>
    </row>
    <row r="988" ht="13" customHeight="1" s="68">
      <c r="E988" s="48" t="n"/>
      <c r="F988" s="48" t="n"/>
      <c r="G988" s="49" t="n"/>
      <c r="J988" s="48" t="n"/>
      <c r="K988" s="48" t="n"/>
      <c r="L988" s="48" t="n"/>
      <c r="W988" s="48" t="n"/>
      <c r="X988" s="48" t="n"/>
      <c r="Y988" s="48" t="n"/>
      <c r="Z988" s="48" t="n"/>
      <c r="AA988" s="48" t="n"/>
      <c r="AB988" s="48" t="n"/>
      <c r="AC988" s="48" t="n"/>
    </row>
    <row r="989" ht="13" customHeight="1" s="68">
      <c r="E989" s="48" t="n"/>
      <c r="F989" s="48" t="n"/>
      <c r="G989" s="49" t="n"/>
      <c r="J989" s="48" t="n"/>
      <c r="K989" s="48" t="n"/>
      <c r="L989" s="48" t="n"/>
      <c r="W989" s="48" t="n"/>
      <c r="X989" s="48" t="n"/>
      <c r="Y989" s="48" t="n"/>
      <c r="Z989" s="48" t="n"/>
      <c r="AA989" s="48" t="n"/>
      <c r="AB989" s="48" t="n"/>
      <c r="AC989" s="48" t="n"/>
    </row>
    <row r="990" ht="13" customHeight="1" s="68">
      <c r="E990" s="48" t="n"/>
      <c r="F990" s="48" t="n"/>
      <c r="G990" s="49" t="n"/>
      <c r="J990" s="48" t="n"/>
      <c r="K990" s="48" t="n"/>
      <c r="L990" s="48" t="n"/>
      <c r="W990" s="48" t="n"/>
      <c r="X990" s="48" t="n"/>
      <c r="Y990" s="48" t="n"/>
      <c r="Z990" s="48" t="n"/>
      <c r="AA990" s="48" t="n"/>
      <c r="AB990" s="48" t="n"/>
      <c r="AC990" s="48" t="n"/>
    </row>
    <row r="991">
      <c r="E991" s="48" t="n"/>
      <c r="F991" s="48" t="n"/>
      <c r="G991" s="49" t="n"/>
      <c r="J991" s="48" t="n"/>
      <c r="K991" s="48" t="n"/>
      <c r="L991" s="48" t="n"/>
      <c r="W991" s="48" t="n"/>
      <c r="X991" s="48" t="n"/>
      <c r="Y991" s="48" t="n"/>
      <c r="Z991" s="48" t="n"/>
      <c r="AA991" s="48" t="n"/>
      <c r="AB991" s="48" t="n"/>
      <c r="AC991" s="48" t="n"/>
    </row>
    <row r="992">
      <c r="E992" s="48" t="n"/>
      <c r="F992" s="48" t="n"/>
      <c r="G992" s="49" t="n"/>
      <c r="J992" s="48" t="n"/>
      <c r="K992" s="48" t="n"/>
      <c r="L992" s="48" t="n"/>
      <c r="W992" s="48" t="n"/>
      <c r="X992" s="48" t="n"/>
      <c r="Y992" s="48" t="n"/>
      <c r="Z992" s="48" t="n"/>
      <c r="AA992" s="48" t="n"/>
      <c r="AB992" s="48" t="n"/>
      <c r="AC992" s="48" t="n"/>
    </row>
    <row r="993">
      <c r="E993" s="48" t="n"/>
      <c r="F993" s="48" t="n"/>
      <c r="G993" s="49" t="n"/>
      <c r="J993" s="48" t="n"/>
      <c r="K993" s="48" t="n"/>
      <c r="L993" s="48" t="n"/>
      <c r="W993" s="48" t="n"/>
      <c r="X993" s="48" t="n"/>
      <c r="Y993" s="48" t="n"/>
      <c r="Z993" s="48" t="n"/>
      <c r="AA993" s="48" t="n"/>
      <c r="AB993" s="48" t="n"/>
      <c r="AC993" s="48" t="n"/>
    </row>
    <row r="994">
      <c r="E994" s="48" t="n"/>
      <c r="F994" s="48" t="n"/>
      <c r="G994" s="49" t="n"/>
      <c r="J994" s="48" t="n"/>
      <c r="K994" s="48" t="n"/>
      <c r="L994" s="48" t="n"/>
      <c r="W994" s="48" t="n"/>
      <c r="X994" s="48" t="n"/>
      <c r="Y994" s="48" t="n"/>
      <c r="Z994" s="48" t="n"/>
      <c r="AA994" s="48" t="n"/>
      <c r="AB994" s="48" t="n"/>
      <c r="AC994" s="48" t="n"/>
    </row>
    <row r="995">
      <c r="E995" s="48" t="n"/>
      <c r="F995" s="48" t="n"/>
      <c r="G995" s="49" t="n"/>
      <c r="J995" s="48" t="n"/>
      <c r="K995" s="48" t="n"/>
      <c r="L995" s="48" t="n"/>
      <c r="W995" s="48" t="n"/>
      <c r="X995" s="48" t="n"/>
      <c r="Y995" s="48" t="n"/>
      <c r="Z995" s="48" t="n"/>
      <c r="AA995" s="48" t="n"/>
      <c r="AB995" s="48" t="n"/>
      <c r="AC995" s="48" t="n"/>
    </row>
    <row r="996">
      <c r="E996" s="48" t="n"/>
      <c r="F996" s="48" t="n"/>
      <c r="G996" s="49" t="n"/>
      <c r="J996" s="48" t="n"/>
      <c r="K996" s="48" t="n"/>
      <c r="L996" s="48" t="n"/>
      <c r="W996" s="48" t="n"/>
      <c r="X996" s="48" t="n"/>
      <c r="Y996" s="48" t="n"/>
      <c r="Z996" s="48" t="n"/>
      <c r="AA996" s="48" t="n"/>
      <c r="AB996" s="48" t="n"/>
      <c r="AC996" s="48" t="n"/>
    </row>
    <row r="997">
      <c r="E997" s="48" t="n"/>
      <c r="F997" s="48" t="n"/>
      <c r="G997" s="49" t="n"/>
      <c r="J997" s="48" t="n"/>
      <c r="K997" s="48" t="n"/>
      <c r="L997" s="48" t="n"/>
      <c r="W997" s="48" t="n"/>
      <c r="X997" s="48" t="n"/>
      <c r="Y997" s="48" t="n"/>
      <c r="Z997" s="48" t="n"/>
      <c r="AA997" s="48" t="n"/>
      <c r="AB997" s="48" t="n"/>
      <c r="AC997" s="48" t="n"/>
    </row>
    <row r="998">
      <c r="E998" s="48" t="n"/>
      <c r="F998" s="48" t="n"/>
      <c r="G998" s="49" t="n"/>
      <c r="J998" s="48" t="n"/>
      <c r="K998" s="48" t="n"/>
      <c r="L998" s="48" t="n"/>
      <c r="W998" s="48" t="n"/>
      <c r="X998" s="48" t="n"/>
      <c r="Y998" s="48" t="n"/>
      <c r="Z998" s="48" t="n"/>
      <c r="AA998" s="48" t="n"/>
      <c r="AB998" s="48" t="n"/>
      <c r="AC998" s="48" t="n"/>
    </row>
    <row r="999">
      <c r="E999" s="48" t="n"/>
      <c r="F999" s="48" t="n"/>
      <c r="G999" s="49" t="n"/>
      <c r="J999" s="48" t="n"/>
      <c r="K999" s="48" t="n"/>
      <c r="L999" s="48" t="n"/>
      <c r="W999" s="48" t="n"/>
      <c r="X999" s="48" t="n"/>
      <c r="Y999" s="48" t="n"/>
      <c r="Z999" s="48" t="n"/>
      <c r="AA999" s="48" t="n"/>
      <c r="AB999" s="48" t="n"/>
      <c r="AC999" s="48" t="n"/>
    </row>
    <row r="1000">
      <c r="E1000" s="48" t="n"/>
      <c r="F1000" s="48" t="n"/>
      <c r="G1000" s="49" t="n"/>
      <c r="J1000" s="48" t="n"/>
      <c r="K1000" s="48" t="n"/>
      <c r="L1000" s="48" t="n"/>
      <c r="W1000" s="48" t="n"/>
      <c r="X1000" s="48" t="n"/>
      <c r="Y1000" s="48" t="n"/>
      <c r="Z1000" s="48" t="n"/>
      <c r="AA1000" s="48" t="n"/>
      <c r="AB1000" s="48" t="n"/>
      <c r="AC1000" s="48" t="n"/>
    </row>
  </sheetData>
  <autoFilter ref="A4:AO49"/>
  <mergeCells count="5">
    <mergeCell ref="W2:AC3"/>
    <mergeCell ref="S3:V3"/>
    <mergeCell ref="K2:V2"/>
    <mergeCell ref="K3:N3"/>
    <mergeCell ref="O3:R3"/>
  </mergeCells>
  <conditionalFormatting sqref="A5:I27 J5:AE71 AF5:AP27">
    <cfRule type="expression" priority="5" dxfId="1">
      <formula>NOT(ISBLANK($W5))</formula>
    </cfRule>
  </conditionalFormatting>
  <conditionalFormatting sqref="B1:B2 B4:B967">
    <cfRule type="containsText" priority="3" operator="containsText" dxfId="0" text="DIV">
      <formula>NOT(ISERROR(SEARCH(("DIV"),(B1))))</formula>
    </cfRule>
  </conditionalFormatting>
  <conditionalFormatting sqref="C1:C967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71 O5:O71 S5:S71">
    <cfRule type="colorScale" priority="17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1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68">
      <c r="A1" s="1" t="n"/>
      <c r="B1" s="50" t="inlineStr">
        <is>
          <t>Code</t>
        </is>
      </c>
      <c r="C1" s="1" t="inlineStr">
        <is>
          <t>NSE:AVANTIFEED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68">
      <c r="A2" s="1" t="n"/>
      <c r="B2" s="50" t="inlineStr">
        <is>
          <t>Current Price</t>
        </is>
      </c>
      <c r="C2" s="51" t="n">
        <v>1081.2</v>
      </c>
      <c r="D2" s="1" t="n"/>
      <c r="E2" s="50" t="inlineStr">
        <is>
          <t>Commission</t>
        </is>
      </c>
      <c r="F2" s="52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68">
      <c r="A3" s="1" t="n"/>
      <c r="B3" s="50" t="inlineStr">
        <is>
          <t>52 Week High</t>
        </is>
      </c>
      <c r="C3" s="51" t="n">
        <v>1116.5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68">
      <c r="A4" s="1" t="n"/>
      <c r="B4" s="50" t="inlineStr">
        <is>
          <t>52 Week Low</t>
        </is>
      </c>
      <c r="C4" s="51" t="n">
        <v>601.55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68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68">
      <c r="A6" s="53" t="n"/>
      <c r="B6" s="78" t="inlineStr">
        <is>
          <t>UnRealised</t>
        </is>
      </c>
      <c r="C6" s="70" t="n"/>
      <c r="D6" s="70" t="n"/>
      <c r="E6" s="70" t="n"/>
      <c r="F6" s="70" t="n"/>
      <c r="G6" s="70" t="n"/>
      <c r="H6" s="70" t="n"/>
      <c r="I6" s="7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68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68">
      <c r="A8" s="54" t="inlineStr">
        <is>
          <t>All</t>
        </is>
      </c>
      <c r="B8" s="55" t="inlineStr">
        <is>
          <t>Units</t>
        </is>
      </c>
      <c r="C8" s="56">
        <f>SUM('Trading History'!$N$4:$N998)</f>
        <v/>
      </c>
      <c r="D8" s="53" t="n"/>
      <c r="E8" s="57" t="inlineStr">
        <is>
          <t>ST Units</t>
        </is>
      </c>
      <c r="F8" s="56">
        <f>IFERROR(SUM('Trading History'!$R$4:$R998), 0)</f>
        <v/>
      </c>
      <c r="G8" s="53" t="n"/>
      <c r="H8" s="58" t="inlineStr">
        <is>
          <t>LT Units</t>
        </is>
      </c>
      <c r="I8" s="56">
        <f>SUM('Trading History'!$V$4:$V998)</f>
        <v/>
      </c>
      <c r="J8" s="53" t="n"/>
      <c r="K8" s="59" t="inlineStr">
        <is>
          <t>Units</t>
        </is>
      </c>
      <c r="L8" s="56">
        <f>SUM('Trading History'!$AB$4:$AB998)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68">
      <c r="A9" s="1" t="n"/>
      <c r="B9" s="60" t="inlineStr">
        <is>
          <t>Avg %</t>
        </is>
      </c>
      <c r="C9" s="52">
        <f>IFERROR(Index!C10/(Index!C8*Index!$C$2), 0)</f>
        <v/>
      </c>
      <c r="D9" s="53" t="n"/>
      <c r="E9" s="61" t="inlineStr">
        <is>
          <t>ST Avg %</t>
        </is>
      </c>
      <c r="F9" s="52">
        <f>IFERROR(Index!F10/(Index!F8*Index!$C$2), 0)</f>
        <v/>
      </c>
      <c r="G9" s="53" t="n"/>
      <c r="H9" s="62" t="inlineStr">
        <is>
          <t>LT Avg %</t>
        </is>
      </c>
      <c r="I9" s="52">
        <f>IFERROR(Index!I10/(Index!I8*Index!$C$2), 0)</f>
        <v/>
      </c>
      <c r="J9" s="53" t="n"/>
      <c r="K9" s="63" t="inlineStr">
        <is>
          <t>Avg %</t>
        </is>
      </c>
      <c r="L9" s="52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68">
      <c r="A10" s="1" t="n"/>
      <c r="B10" s="60" t="inlineStr">
        <is>
          <t>Gain</t>
        </is>
      </c>
      <c r="C10" s="64">
        <f>SUM('Trading History'!$L$4:$L998)</f>
        <v/>
      </c>
      <c r="D10" s="53" t="n"/>
      <c r="E10" s="61" t="inlineStr">
        <is>
          <t>ST Gain</t>
        </is>
      </c>
      <c r="F10" s="64">
        <f>SUM('Trading History'!$P$4:$P998)</f>
        <v/>
      </c>
      <c r="G10" s="53" t="n"/>
      <c r="H10" s="62" t="inlineStr">
        <is>
          <t>LT Gain</t>
        </is>
      </c>
      <c r="I10" s="64">
        <f>SUM('Trading History'!$T$4:$T998)</f>
        <v/>
      </c>
      <c r="J10" s="53" t="n"/>
      <c r="K10" s="63" t="inlineStr">
        <is>
          <t>Gain</t>
        </is>
      </c>
      <c r="L10" s="64">
        <f>SUM('Trading History'!$Z$4:$Z998)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68">
      <c r="A11" s="1" t="n"/>
      <c r="B11" s="60" t="inlineStr">
        <is>
          <t>Invested</t>
        </is>
      </c>
      <c r="C11" s="64">
        <f>Index!C12-Index!C10</f>
        <v/>
      </c>
      <c r="D11" s="53" t="n"/>
      <c r="E11" s="61" t="inlineStr">
        <is>
          <t>ST Invested</t>
        </is>
      </c>
      <c r="F11" s="64">
        <f>Index!F12-Index!F10</f>
        <v/>
      </c>
      <c r="G11" s="53" t="n"/>
      <c r="H11" s="62" t="inlineStr">
        <is>
          <t>LT Invested</t>
        </is>
      </c>
      <c r="I11" s="64">
        <f>Index!I12-Index!I10</f>
        <v/>
      </c>
      <c r="J11" s="53" t="n"/>
      <c r="K11" s="63" t="inlineStr">
        <is>
          <t>Invested</t>
        </is>
      </c>
      <c r="L11" s="64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68">
      <c r="A12" s="1" t="n"/>
      <c r="B12" s="60" t="inlineStr">
        <is>
          <t>Gross</t>
        </is>
      </c>
      <c r="C12" s="64">
        <f>SUM('Trading History'!$M$4:$M998)</f>
        <v/>
      </c>
      <c r="D12" s="53" t="n"/>
      <c r="E12" s="61" t="inlineStr">
        <is>
          <t>ST Gross</t>
        </is>
      </c>
      <c r="F12" s="64">
        <f>SUM('Trading History'!$Q$4:$Q998)</f>
        <v/>
      </c>
      <c r="G12" s="53" t="n"/>
      <c r="H12" s="62" t="inlineStr">
        <is>
          <t>LT Gross</t>
        </is>
      </c>
      <c r="I12" s="64">
        <f>SUM('Trading History'!$U$4:$U998)</f>
        <v/>
      </c>
      <c r="J12" s="53" t="n"/>
      <c r="K12" s="63" t="inlineStr">
        <is>
          <t>Gross</t>
        </is>
      </c>
      <c r="L12" s="64">
        <f>SUM('Trading History'!$AA$4:$AA998)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6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63" t="inlineStr">
        <is>
          <t>Dividends</t>
        </is>
      </c>
      <c r="L13" s="64">
        <f>SUMIF('Trading History'!$B27:$B998,"DIV",'Trading History'!$AC$4:$AC998)</f>
        <v/>
      </c>
    </row>
    <row r="14" ht="15.75" customHeight="1" s="6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5.75" customHeight="1" s="68">
      <c r="A15" s="65" t="n">
        <v>0.5</v>
      </c>
      <c r="B15" s="55" t="inlineStr">
        <is>
          <t>Units</t>
        </is>
      </c>
      <c r="C15" s="56">
        <f>SUMIFS('Trading History'!$N$4:$N998, 'Trading History'!$K$4:$K998, _xludf.CONCAT("&gt;", $A15))</f>
        <v/>
      </c>
      <c r="D15" s="53" t="n"/>
      <c r="E15" s="57" t="inlineStr">
        <is>
          <t>ST Units</t>
        </is>
      </c>
      <c r="F15" s="56">
        <f>IFERROR(SUMIFS('Trading History'!$R$4:$R998, 'Trading History'!$O$4:$O998, _xludf.CONCAT("&gt;", $A15)), 0)</f>
        <v/>
      </c>
      <c r="G15" s="53" t="n"/>
      <c r="H15" s="58" t="inlineStr">
        <is>
          <t>LT Units</t>
        </is>
      </c>
      <c r="I15" s="56">
        <f>SUMIFS('Trading History'!$V$4:$V998, 'Trading History'!$S$4:$S998, _xludf.CONCAT("&gt;", $A15))</f>
        <v/>
      </c>
      <c r="J15" s="53" t="n"/>
      <c r="K15" s="59" t="inlineStr">
        <is>
          <t>Units</t>
        </is>
      </c>
      <c r="L15" s="56">
        <f>SUMIFS('Trading History'!$AB$4:$AB998, 'Trading History'!$Y$4:$Y998,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68">
      <c r="A16" s="1" t="n"/>
      <c r="B16" s="60" t="inlineStr">
        <is>
          <t>Avg %</t>
        </is>
      </c>
      <c r="C16" s="52">
        <f>IFERROR(Index!C17/(Index!C15*Index!$C$2), 0)</f>
        <v/>
      </c>
      <c r="D16" s="53" t="n"/>
      <c r="E16" s="61" t="inlineStr">
        <is>
          <t>ST Avg %</t>
        </is>
      </c>
      <c r="F16" s="52">
        <f>IFERROR(Index!F17/(Index!F15*Index!$C$2), 0)</f>
        <v/>
      </c>
      <c r="G16" s="53" t="n"/>
      <c r="H16" s="62" t="inlineStr">
        <is>
          <t>LT Avg %</t>
        </is>
      </c>
      <c r="I16" s="52">
        <f>IFERROR(Index!I17/(Index!I15*Index!$C$2), 0)</f>
        <v/>
      </c>
      <c r="J16" s="53" t="n"/>
      <c r="K16" s="63" t="inlineStr">
        <is>
          <t>Avg %</t>
        </is>
      </c>
      <c r="L16" s="52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68">
      <c r="A17" s="1" t="n"/>
      <c r="B17" s="60" t="inlineStr">
        <is>
          <t>Gain</t>
        </is>
      </c>
      <c r="C17" s="64">
        <f>SUMIFS('Trading History'!$L$4:$L998, 'Trading History'!$K$4:$K998, _xludf.CONCAT("&gt;", $A15))</f>
        <v/>
      </c>
      <c r="D17" s="53" t="n"/>
      <c r="E17" s="61" t="inlineStr">
        <is>
          <t>ST Gain</t>
        </is>
      </c>
      <c r="F17" s="64">
        <f>SUMIFS('Trading History'!$P$4:$P998, 'Trading History'!$O$4:$O998, _xludf.CONCAT("&gt;", $A15))</f>
        <v/>
      </c>
      <c r="G17" s="53" t="n"/>
      <c r="H17" s="62" t="inlineStr">
        <is>
          <t>LT Gain</t>
        </is>
      </c>
      <c r="I17" s="64">
        <f>SUMIFS('Trading History'!$T$4:$T998, 'Trading History'!$S$4:$S998, _xludf.CONCAT("&gt;", $A15))</f>
        <v/>
      </c>
      <c r="J17" s="53" t="n"/>
      <c r="K17" s="63" t="inlineStr">
        <is>
          <t>Gain</t>
        </is>
      </c>
      <c r="L17" s="64">
        <f>SUMIFS('Trading History'!$Z$4:$Z998, 'Trading History'!$Y$4:$Y998,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68">
      <c r="A18" s="1" t="n"/>
      <c r="B18" s="60" t="inlineStr">
        <is>
          <t>Invested</t>
        </is>
      </c>
      <c r="C18" s="64">
        <f>Index!C19-Index!C17</f>
        <v/>
      </c>
      <c r="D18" s="53" t="n"/>
      <c r="E18" s="61" t="inlineStr">
        <is>
          <t>ST Invested</t>
        </is>
      </c>
      <c r="F18" s="64">
        <f>Index!F19-Index!F17</f>
        <v/>
      </c>
      <c r="G18" s="53" t="n"/>
      <c r="H18" s="62" t="inlineStr">
        <is>
          <t>LT Invested</t>
        </is>
      </c>
      <c r="I18" s="64">
        <f>Index!I19-Index!I17</f>
        <v/>
      </c>
      <c r="J18" s="53" t="n"/>
      <c r="K18" s="63" t="inlineStr">
        <is>
          <t>Invested</t>
        </is>
      </c>
      <c r="L18" s="64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68">
      <c r="A19" s="1" t="n"/>
      <c r="B19" s="60" t="inlineStr">
        <is>
          <t>Gross</t>
        </is>
      </c>
      <c r="C19" s="64">
        <f>SUMIFS('Trading History'!$M$4:$M998, 'Trading History'!$K$4:$K998, _xludf.CONCAT("&gt;", $A15))</f>
        <v/>
      </c>
      <c r="D19" s="53" t="n"/>
      <c r="E19" s="61" t="inlineStr">
        <is>
          <t>ST Gross</t>
        </is>
      </c>
      <c r="F19" s="64">
        <f>SUMIFS('Trading History'!$Q$4:$Q998, 'Trading History'!$O$4:$O998, _xludf.CONCAT("&gt;", $A15))</f>
        <v/>
      </c>
      <c r="G19" s="53" t="n"/>
      <c r="H19" s="62" t="inlineStr">
        <is>
          <t>LT Gross</t>
        </is>
      </c>
      <c r="I19" s="64">
        <f>SUMIFS('Trading History'!$U$4:$U998, 'Trading History'!$S$4:$S998, _xludf.CONCAT("&gt;", $A15))</f>
        <v/>
      </c>
      <c r="J19" s="53" t="n"/>
      <c r="K19" s="63" t="inlineStr">
        <is>
          <t>Gross</t>
        </is>
      </c>
      <c r="L19" s="64">
        <f>SUMIFS('Trading History'!$AA$4:$AA998, 'Trading History'!$Y$4:$Y998,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6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6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68">
      <c r="A22" s="65" t="n">
        <v>0.45</v>
      </c>
      <c r="B22" s="55" t="inlineStr">
        <is>
          <t>Units</t>
        </is>
      </c>
      <c r="C22" s="56">
        <f>SUMIFS('Trading History'!$N$4:$N998, 'Trading History'!$K$4:$K998, _xludf.CONCAT("&gt;", $A22))</f>
        <v/>
      </c>
      <c r="D22" s="53" t="n"/>
      <c r="E22" s="57" t="inlineStr">
        <is>
          <t>ST Units</t>
        </is>
      </c>
      <c r="F22" s="56">
        <f>IFERROR(SUMIFS('Trading History'!$R$4:$R998, 'Trading History'!$O$4:$O998, _xludf.CONCAT("&gt;", $A22)), 0)</f>
        <v/>
      </c>
      <c r="G22" s="53" t="n"/>
      <c r="H22" s="58" t="inlineStr">
        <is>
          <t>LT Units</t>
        </is>
      </c>
      <c r="I22" s="56">
        <f>SUMIFS('Trading History'!$V$4:$V998, 'Trading History'!$S$4:$S998, _xludf.CONCAT("&gt;", $A22))</f>
        <v/>
      </c>
      <c r="J22" s="53" t="n"/>
      <c r="K22" s="59" t="inlineStr">
        <is>
          <t>Units</t>
        </is>
      </c>
      <c r="L22" s="56">
        <f>SUMIFS('Trading History'!$AB$4:$AB998, 'Trading History'!$Y$4:$Y998,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68">
      <c r="A23" s="1" t="n"/>
      <c r="B23" s="60" t="inlineStr">
        <is>
          <t>Avg %</t>
        </is>
      </c>
      <c r="C23" s="52">
        <f>IFERROR(Index!C24/(Index!C22*Index!$C$2), 0)</f>
        <v/>
      </c>
      <c r="D23" s="53" t="n"/>
      <c r="E23" s="61" t="inlineStr">
        <is>
          <t>ST Avg %</t>
        </is>
      </c>
      <c r="F23" s="52">
        <f>IFERROR(Index!F24/(Index!F22*Index!$C$2), 0)</f>
        <v/>
      </c>
      <c r="G23" s="53" t="n"/>
      <c r="H23" s="62" t="inlineStr">
        <is>
          <t>LT Avg %</t>
        </is>
      </c>
      <c r="I23" s="52">
        <f>IFERROR(Index!I24/(Index!I22*Index!$C$2), 0)</f>
        <v/>
      </c>
      <c r="J23" s="53" t="n"/>
      <c r="K23" s="63" t="inlineStr">
        <is>
          <t>Avg %</t>
        </is>
      </c>
      <c r="L23" s="52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68">
      <c r="A24" s="1" t="n"/>
      <c r="B24" s="60" t="inlineStr">
        <is>
          <t>Gain</t>
        </is>
      </c>
      <c r="C24" s="64">
        <f>SUMIFS('Trading History'!$L$4:$L998, 'Trading History'!$K$4:$K998, _xludf.CONCAT("&gt;", $A22))</f>
        <v/>
      </c>
      <c r="D24" s="53" t="n"/>
      <c r="E24" s="61" t="inlineStr">
        <is>
          <t>ST Gain</t>
        </is>
      </c>
      <c r="F24" s="64">
        <f>SUMIFS('Trading History'!$P$4:$P998, 'Trading History'!$O$4:$O998, _xludf.CONCAT("&gt;", $A22))</f>
        <v/>
      </c>
      <c r="G24" s="53" t="n"/>
      <c r="H24" s="62" t="inlineStr">
        <is>
          <t>LT Gain</t>
        </is>
      </c>
      <c r="I24" s="64">
        <f>SUMIFS('Trading History'!$T$4:$T998, 'Trading History'!$S$4:$S998, _xludf.CONCAT("&gt;", $A22))</f>
        <v/>
      </c>
      <c r="J24" s="53" t="n"/>
      <c r="K24" s="63" t="inlineStr">
        <is>
          <t>Gain</t>
        </is>
      </c>
      <c r="L24" s="64">
        <f>SUMIFS('Trading History'!$Z$4:$Z998, 'Trading History'!$Y$4:$Y998,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68">
      <c r="A25" s="1" t="n"/>
      <c r="B25" s="60" t="inlineStr">
        <is>
          <t>Invested</t>
        </is>
      </c>
      <c r="C25" s="64">
        <f>Index!C26-Index!C24</f>
        <v/>
      </c>
      <c r="D25" s="53" t="n"/>
      <c r="E25" s="61" t="inlineStr">
        <is>
          <t>ST Invested</t>
        </is>
      </c>
      <c r="F25" s="64">
        <f>Index!F26-Index!F24</f>
        <v/>
      </c>
      <c r="G25" s="53" t="n"/>
      <c r="H25" s="62" t="inlineStr">
        <is>
          <t>LT Invested</t>
        </is>
      </c>
      <c r="I25" s="64">
        <f>Index!I26-Index!I24</f>
        <v/>
      </c>
      <c r="J25" s="53" t="n"/>
      <c r="K25" s="63" t="inlineStr">
        <is>
          <t>Invested</t>
        </is>
      </c>
      <c r="L25" s="64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68">
      <c r="A26" s="1" t="n"/>
      <c r="B26" s="60" t="inlineStr">
        <is>
          <t>Gross</t>
        </is>
      </c>
      <c r="C26" s="64">
        <f>SUMIFS('Trading History'!$M$4:$M998, 'Trading History'!$K$4:$K998, _xludf.CONCAT("&gt;", $A22))</f>
        <v/>
      </c>
      <c r="D26" s="53" t="n"/>
      <c r="E26" s="61" t="inlineStr">
        <is>
          <t>ST Gross</t>
        </is>
      </c>
      <c r="F26" s="64">
        <f>SUMIFS('Trading History'!$Q$4:$Q998, 'Trading History'!$O$4:$O998, _xludf.CONCAT("&gt;", $A22))</f>
        <v/>
      </c>
      <c r="G26" s="53" t="n"/>
      <c r="H26" s="62" t="inlineStr">
        <is>
          <t>LT Gross</t>
        </is>
      </c>
      <c r="I26" s="64">
        <f>SUMIFS('Trading History'!$U$4:$U998, 'Trading History'!$S$4:$S998, _xludf.CONCAT("&gt;", $A22))</f>
        <v/>
      </c>
      <c r="J26" s="53" t="n"/>
      <c r="K26" s="63" t="inlineStr">
        <is>
          <t>Gross</t>
        </is>
      </c>
      <c r="L26" s="64">
        <f>SUMIFS('Trading History'!$AA$4:$AA998, 'Trading History'!$Y$4:$Y998,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6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68">
      <c r="A29" s="65" t="n">
        <v>0.4</v>
      </c>
      <c r="B29" s="55" t="inlineStr">
        <is>
          <t>Units</t>
        </is>
      </c>
      <c r="C29" s="56">
        <f>SUMIFS('Trading History'!$N$4:$N998, 'Trading History'!$K$4:$K998, _xludf.CONCAT("&gt;", $A29))</f>
        <v/>
      </c>
      <c r="D29" s="53" t="n"/>
      <c r="E29" s="57" t="inlineStr">
        <is>
          <t>ST Units</t>
        </is>
      </c>
      <c r="F29" s="56">
        <f>IFERROR(SUMIFS('Trading History'!$R$4:$R998, 'Trading History'!$O$4:$O998, _xludf.CONCAT("&gt;", $A29)), 0)</f>
        <v/>
      </c>
      <c r="G29" s="53" t="n"/>
      <c r="H29" s="58" t="inlineStr">
        <is>
          <t>LT Units</t>
        </is>
      </c>
      <c r="I29" s="56">
        <f>SUMIFS('Trading History'!$V$4:$V998, 'Trading History'!$S$4:$S998, _xludf.CONCAT("&gt;", $A29))</f>
        <v/>
      </c>
      <c r="J29" s="53" t="n"/>
      <c r="K29" s="59" t="inlineStr">
        <is>
          <t>Units</t>
        </is>
      </c>
      <c r="L29" s="56">
        <f>SUMIFS('Trading History'!$AB$4:$AB998, 'Trading History'!$Y$4:$Y998,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68">
      <c r="A30" s="1" t="n"/>
      <c r="B30" s="60" t="inlineStr">
        <is>
          <t>Avg %</t>
        </is>
      </c>
      <c r="C30" s="52">
        <f>IFERROR(Index!C31/(Index!C29*Index!$C$2), 0)</f>
        <v/>
      </c>
      <c r="D30" s="53" t="n"/>
      <c r="E30" s="61" t="inlineStr">
        <is>
          <t>ST Avg %</t>
        </is>
      </c>
      <c r="F30" s="52">
        <f>IFERROR(Index!F31/(Index!F29*Index!$C$2), 0)</f>
        <v/>
      </c>
      <c r="G30" s="53" t="n"/>
      <c r="H30" s="62" t="inlineStr">
        <is>
          <t>LT Avg %</t>
        </is>
      </c>
      <c r="I30" s="52">
        <f>IFERROR(Index!I31/(Index!I29*Index!$C$2), 0)</f>
        <v/>
      </c>
      <c r="J30" s="53" t="n"/>
      <c r="K30" s="63" t="inlineStr">
        <is>
          <t>Avg %</t>
        </is>
      </c>
      <c r="L30" s="52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68">
      <c r="A31" s="1" t="n"/>
      <c r="B31" s="60" t="inlineStr">
        <is>
          <t>Gain</t>
        </is>
      </c>
      <c r="C31" s="64">
        <f>SUMIFS('Trading History'!$L$4:$L998, 'Trading History'!$K$4:$K998, _xludf.CONCAT("&gt;", $A29))</f>
        <v/>
      </c>
      <c r="D31" s="53" t="n"/>
      <c r="E31" s="61" t="inlineStr">
        <is>
          <t>ST Gain</t>
        </is>
      </c>
      <c r="F31" s="64">
        <f>SUMIFS('Trading History'!$P$4:$P998, 'Trading History'!$O$4:$O998, _xludf.CONCAT("&gt;", $A29))</f>
        <v/>
      </c>
      <c r="G31" s="53" t="n"/>
      <c r="H31" s="62" t="inlineStr">
        <is>
          <t>LT Gain</t>
        </is>
      </c>
      <c r="I31" s="64">
        <f>SUMIFS('Trading History'!$T$4:$T998, 'Trading History'!$S$4:$S998, _xludf.CONCAT("&gt;", $A29))</f>
        <v/>
      </c>
      <c r="J31" s="53" t="n"/>
      <c r="K31" s="63" t="inlineStr">
        <is>
          <t>Gain</t>
        </is>
      </c>
      <c r="L31" s="64">
        <f>SUMIFS('Trading History'!$Z$4:$Z998, 'Trading History'!$Y$4:$Y998,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68">
      <c r="A32" s="1" t="n"/>
      <c r="B32" s="60" t="inlineStr">
        <is>
          <t>Invested</t>
        </is>
      </c>
      <c r="C32" s="64">
        <f>Index!C33-Index!C31</f>
        <v/>
      </c>
      <c r="D32" s="53" t="n"/>
      <c r="E32" s="61" t="inlineStr">
        <is>
          <t>ST Invested</t>
        </is>
      </c>
      <c r="F32" s="64">
        <f>Index!F33-Index!F31</f>
        <v/>
      </c>
      <c r="G32" s="53" t="n"/>
      <c r="H32" s="62" t="inlineStr">
        <is>
          <t>LT Invested</t>
        </is>
      </c>
      <c r="I32" s="64">
        <f>Index!I33-Index!I31</f>
        <v/>
      </c>
      <c r="J32" s="53" t="n"/>
      <c r="K32" s="63" t="inlineStr">
        <is>
          <t>Invested</t>
        </is>
      </c>
      <c r="L32" s="64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68">
      <c r="A33" s="1" t="n"/>
      <c r="B33" s="60" t="inlineStr">
        <is>
          <t>Gross</t>
        </is>
      </c>
      <c r="C33" s="64">
        <f>SUMIFS('Trading History'!$M$4:$M998, 'Trading History'!$K$4:$K998, _xludf.CONCAT("&gt;", $A29))</f>
        <v/>
      </c>
      <c r="D33" s="53" t="n"/>
      <c r="E33" s="61" t="inlineStr">
        <is>
          <t>ST Gross</t>
        </is>
      </c>
      <c r="F33" s="64">
        <f>SUMIFS('Trading History'!$Q$4:$Q998, 'Trading History'!$O$4:$O998, _xludf.CONCAT("&gt;", $A29))</f>
        <v/>
      </c>
      <c r="G33" s="53" t="n"/>
      <c r="H33" s="62" t="inlineStr">
        <is>
          <t>LT Gross</t>
        </is>
      </c>
      <c r="I33" s="64">
        <f>SUMIFS('Trading History'!$U$4:$U998, 'Trading History'!$S$4:$S998, _xludf.CONCAT("&gt;", $A29))</f>
        <v/>
      </c>
      <c r="J33" s="53" t="n"/>
      <c r="K33" s="63" t="inlineStr">
        <is>
          <t>Gross</t>
        </is>
      </c>
      <c r="L33" s="64">
        <f>SUMIFS('Trading History'!$AA$4:$AA998, 'Trading History'!$Y$4:$Y998,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6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6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68">
      <c r="A36" s="65" t="n">
        <v>0.35</v>
      </c>
      <c r="B36" s="55" t="inlineStr">
        <is>
          <t>Units</t>
        </is>
      </c>
      <c r="C36" s="56">
        <f>SUMIFS('Trading History'!$N$4:$N998, 'Trading History'!$K$4:$K998, _xludf.CONCAT("&gt;", $A36))</f>
        <v/>
      </c>
      <c r="D36" s="53" t="n"/>
      <c r="E36" s="57" t="inlineStr">
        <is>
          <t>ST Units</t>
        </is>
      </c>
      <c r="F36" s="56">
        <f>IFERROR(SUMIFS('Trading History'!$R$4:$R998, 'Trading History'!$O$4:$O998, _xludf.CONCAT("&gt;", $A36)), 0)</f>
        <v/>
      </c>
      <c r="G36" s="53" t="n"/>
      <c r="H36" s="58" t="inlineStr">
        <is>
          <t>LT Units</t>
        </is>
      </c>
      <c r="I36" s="56">
        <f>SUMIFS('Trading History'!$V$4:$V998, 'Trading History'!$S$4:$S998, _xludf.CONCAT("&gt;", $A36))</f>
        <v/>
      </c>
      <c r="J36" s="53" t="n"/>
      <c r="K36" s="59" t="inlineStr">
        <is>
          <t>Units</t>
        </is>
      </c>
      <c r="L36" s="56">
        <f>SUMIFS('Trading History'!$AB$4:$AB998, 'Trading History'!$Y$4:$Y998,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68">
      <c r="A37" s="1" t="n"/>
      <c r="B37" s="60" t="inlineStr">
        <is>
          <t>Avg %</t>
        </is>
      </c>
      <c r="C37" s="52">
        <f>IFERROR(Index!C38/(Index!C36*Index!$C$2), 0)</f>
        <v/>
      </c>
      <c r="D37" s="53" t="n"/>
      <c r="E37" s="61" t="inlineStr">
        <is>
          <t>ST Avg %</t>
        </is>
      </c>
      <c r="F37" s="52">
        <f>IFERROR(Index!F38/(Index!F36*Index!$C$2), 0)</f>
        <v/>
      </c>
      <c r="G37" s="53" t="n"/>
      <c r="H37" s="62" t="inlineStr">
        <is>
          <t>LT Avg %</t>
        </is>
      </c>
      <c r="I37" s="52">
        <f>IFERROR(Index!I38/(Index!I36*Index!$C$2), 0)</f>
        <v/>
      </c>
      <c r="J37" s="53" t="n"/>
      <c r="K37" s="63" t="inlineStr">
        <is>
          <t>Avg %</t>
        </is>
      </c>
      <c r="L37" s="52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68">
      <c r="A38" s="1" t="n"/>
      <c r="B38" s="60" t="inlineStr">
        <is>
          <t>Gain</t>
        </is>
      </c>
      <c r="C38" s="64">
        <f>SUMIFS('Trading History'!$L$4:$L998, 'Trading History'!$K$4:$K998, _xludf.CONCAT("&gt;", $A36))</f>
        <v/>
      </c>
      <c r="D38" s="53" t="n"/>
      <c r="E38" s="61" t="inlineStr">
        <is>
          <t>ST Gain</t>
        </is>
      </c>
      <c r="F38" s="64">
        <f>SUMIFS('Trading History'!$P$4:$P998, 'Trading History'!$O$4:$O998, _xludf.CONCAT("&gt;", $A36))</f>
        <v/>
      </c>
      <c r="G38" s="53" t="n"/>
      <c r="H38" s="62" t="inlineStr">
        <is>
          <t>LT Gain</t>
        </is>
      </c>
      <c r="I38" s="64">
        <f>SUMIFS('Trading History'!$T$4:$T998, 'Trading History'!$S$4:$S998, _xludf.CONCAT("&gt;", $A36))</f>
        <v/>
      </c>
      <c r="J38" s="53" t="n"/>
      <c r="K38" s="63" t="inlineStr">
        <is>
          <t>Gain</t>
        </is>
      </c>
      <c r="L38" s="64">
        <f>SUMIFS('Trading History'!$Z$4:$Z998, 'Trading History'!$Y$4:$Y998,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68">
      <c r="A39" s="1" t="n"/>
      <c r="B39" s="60" t="inlineStr">
        <is>
          <t>Invested</t>
        </is>
      </c>
      <c r="C39" s="64">
        <f>Index!C40-Index!C38</f>
        <v/>
      </c>
      <c r="D39" s="53" t="n"/>
      <c r="E39" s="61" t="inlineStr">
        <is>
          <t>ST Invested</t>
        </is>
      </c>
      <c r="F39" s="64">
        <f>Index!F40-Index!F38</f>
        <v/>
      </c>
      <c r="G39" s="53" t="n"/>
      <c r="H39" s="62" t="inlineStr">
        <is>
          <t>LT Invested</t>
        </is>
      </c>
      <c r="I39" s="64">
        <f>Index!I40-Index!I38</f>
        <v/>
      </c>
      <c r="J39" s="53" t="n"/>
      <c r="K39" s="63" t="inlineStr">
        <is>
          <t>Invested</t>
        </is>
      </c>
      <c r="L39" s="64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68">
      <c r="A40" s="1" t="n"/>
      <c r="B40" s="60" t="inlineStr">
        <is>
          <t>Gross</t>
        </is>
      </c>
      <c r="C40" s="64">
        <f>SUMIFS('Trading History'!$M$4:$M998, 'Trading History'!$K$4:$K998, _xludf.CONCAT("&gt;", $A36))</f>
        <v/>
      </c>
      <c r="D40" s="53" t="n"/>
      <c r="E40" s="61" t="inlineStr">
        <is>
          <t>ST Gross</t>
        </is>
      </c>
      <c r="F40" s="64">
        <f>SUMIFS('Trading History'!$Q$4:$Q998, 'Trading History'!$O$4:$O998, _xludf.CONCAT("&gt;", $A36))</f>
        <v/>
      </c>
      <c r="G40" s="53" t="n"/>
      <c r="H40" s="62" t="inlineStr">
        <is>
          <t>LT Gross</t>
        </is>
      </c>
      <c r="I40" s="64">
        <f>SUMIFS('Trading History'!$U$4:$U998, 'Trading History'!$S$4:$S998, _xludf.CONCAT("&gt;", $A36))</f>
        <v/>
      </c>
      <c r="J40" s="53" t="n"/>
      <c r="K40" s="63" t="inlineStr">
        <is>
          <t>Gross</t>
        </is>
      </c>
      <c r="L40" s="64">
        <f>SUMIFS('Trading History'!$AA$4:$AA998, 'Trading History'!$Y$4:$Y998,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6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6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68">
      <c r="A43" s="65" t="n">
        <v>0.3</v>
      </c>
      <c r="B43" s="55" t="inlineStr">
        <is>
          <t>Units</t>
        </is>
      </c>
      <c r="C43" s="56">
        <f>SUMIFS('Trading History'!$N$4:$N998, 'Trading History'!$K$4:$K998, _xludf.CONCAT("&gt;", $A43))</f>
        <v/>
      </c>
      <c r="D43" s="53" t="n"/>
      <c r="E43" s="57" t="inlineStr">
        <is>
          <t>ST Units</t>
        </is>
      </c>
      <c r="F43" s="56">
        <f>IFERROR(SUMIFS('Trading History'!$R$4:$R998, 'Trading History'!$O$4:$O998, _xludf.CONCAT("&gt;", $A43)), 0)</f>
        <v/>
      </c>
      <c r="G43" s="53" t="n"/>
      <c r="H43" s="58" t="inlineStr">
        <is>
          <t>LT Units</t>
        </is>
      </c>
      <c r="I43" s="56">
        <f>SUMIFS('Trading History'!$V$4:$V998, 'Trading History'!$S$4:$S998, _xludf.CONCAT("&gt;", $A43))</f>
        <v/>
      </c>
      <c r="J43" s="53" t="n"/>
      <c r="K43" s="59" t="inlineStr">
        <is>
          <t>Units</t>
        </is>
      </c>
      <c r="L43" s="56">
        <f>SUMIFS('Trading History'!$AB$4:$AB998, 'Trading History'!$Y$4:$Y998,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68">
      <c r="A44" s="1" t="n"/>
      <c r="B44" s="60" t="inlineStr">
        <is>
          <t>Avg %</t>
        </is>
      </c>
      <c r="C44" s="52">
        <f>IFERROR(Index!C45/(Index!C43*Index!$C$2), 0)</f>
        <v/>
      </c>
      <c r="D44" s="53" t="n"/>
      <c r="E44" s="61" t="inlineStr">
        <is>
          <t>ST Avg %</t>
        </is>
      </c>
      <c r="F44" s="52">
        <f>IFERROR(Index!F45/(Index!F43*Index!$C$2), 0)</f>
        <v/>
      </c>
      <c r="G44" s="53" t="n"/>
      <c r="H44" s="62" t="inlineStr">
        <is>
          <t>LT Avg %</t>
        </is>
      </c>
      <c r="I44" s="52">
        <f>IFERROR(Index!I45/(Index!I43*Index!$C$2), 0)</f>
        <v/>
      </c>
      <c r="J44" s="53" t="n"/>
      <c r="K44" s="63" t="inlineStr">
        <is>
          <t>Avg %</t>
        </is>
      </c>
      <c r="L44" s="52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68">
      <c r="A45" s="1" t="n"/>
      <c r="B45" s="60" t="inlineStr">
        <is>
          <t>Gain</t>
        </is>
      </c>
      <c r="C45" s="64">
        <f>SUMIFS('Trading History'!$L$4:$L998, 'Trading History'!$K$4:$K998, _xludf.CONCAT("&gt;", $A43))</f>
        <v/>
      </c>
      <c r="D45" s="53" t="n"/>
      <c r="E45" s="61" t="inlineStr">
        <is>
          <t>ST Gain</t>
        </is>
      </c>
      <c r="F45" s="64">
        <f>SUMIFS('Trading History'!$P$4:$P998, 'Trading History'!$O$4:$O998, _xludf.CONCAT("&gt;", $A43))</f>
        <v/>
      </c>
      <c r="G45" s="53" t="n"/>
      <c r="H45" s="62" t="inlineStr">
        <is>
          <t>LT Gain</t>
        </is>
      </c>
      <c r="I45" s="64">
        <f>SUMIFS('Trading History'!$T$4:$T998, 'Trading History'!$S$4:$S998, _xludf.CONCAT("&gt;", $A43))</f>
        <v/>
      </c>
      <c r="J45" s="53" t="n"/>
      <c r="K45" s="63" t="inlineStr">
        <is>
          <t>Gain</t>
        </is>
      </c>
      <c r="L45" s="64">
        <f>SUMIFS('Trading History'!$Z$4:$Z998, 'Trading History'!$Y$4:$Y998,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68">
      <c r="A46" s="1" t="n"/>
      <c r="B46" s="60" t="inlineStr">
        <is>
          <t>Invested</t>
        </is>
      </c>
      <c r="C46" s="64">
        <f>Index!C47-Index!C45</f>
        <v/>
      </c>
      <c r="D46" s="53" t="n"/>
      <c r="E46" s="61" t="inlineStr">
        <is>
          <t>ST Invested</t>
        </is>
      </c>
      <c r="F46" s="64">
        <f>Index!F47-Index!F45</f>
        <v/>
      </c>
      <c r="G46" s="53" t="n"/>
      <c r="H46" s="62" t="inlineStr">
        <is>
          <t>LT Invested</t>
        </is>
      </c>
      <c r="I46" s="64">
        <f>Index!I47-Index!I45</f>
        <v/>
      </c>
      <c r="J46" s="53" t="n"/>
      <c r="K46" s="63" t="inlineStr">
        <is>
          <t>Invested</t>
        </is>
      </c>
      <c r="L46" s="64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68">
      <c r="A47" s="1" t="n"/>
      <c r="B47" s="60" t="inlineStr">
        <is>
          <t>Gross</t>
        </is>
      </c>
      <c r="C47" s="64">
        <f>SUMIFS('Trading History'!$M$4:$M998, 'Trading History'!$K$4:$K998, _xludf.CONCAT("&gt;", $A43))</f>
        <v/>
      </c>
      <c r="D47" s="53" t="n"/>
      <c r="E47" s="61" t="inlineStr">
        <is>
          <t>ST Gross</t>
        </is>
      </c>
      <c r="F47" s="64">
        <f>SUMIFS('Trading History'!$Q$4:$Q998, 'Trading History'!$O$4:$O998, _xludf.CONCAT("&gt;", $A43))</f>
        <v/>
      </c>
      <c r="G47" s="53" t="n"/>
      <c r="H47" s="62" t="inlineStr">
        <is>
          <t>LT Gross</t>
        </is>
      </c>
      <c r="I47" s="64">
        <f>SUMIFS('Trading History'!$U$4:$U998, 'Trading History'!$S$4:$S998, _xludf.CONCAT("&gt;", $A43))</f>
        <v/>
      </c>
      <c r="J47" s="53" t="n"/>
      <c r="K47" s="63" t="inlineStr">
        <is>
          <t>Gross</t>
        </is>
      </c>
      <c r="L47" s="64">
        <f>SUMIFS('Trading History'!$AA$4:$AA998, 'Trading History'!$Y$4:$Y998,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6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6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68">
      <c r="A50" s="65" t="n">
        <v>0.25</v>
      </c>
      <c r="B50" s="55" t="inlineStr">
        <is>
          <t>Units</t>
        </is>
      </c>
      <c r="C50" s="56">
        <f>SUMIFS('Trading History'!$N$4:$N998, 'Trading History'!$K$4:$K998, _xludf.CONCAT("&gt;", $A50))</f>
        <v/>
      </c>
      <c r="D50" s="53" t="n"/>
      <c r="E50" s="57" t="inlineStr">
        <is>
          <t>ST Units</t>
        </is>
      </c>
      <c r="F50" s="56">
        <f>IFERROR(SUMIFS('Trading History'!$R$4:$R998, 'Trading History'!$O$4:$O998, _xludf.CONCAT("&gt;", $A50)), 0)</f>
        <v/>
      </c>
      <c r="G50" s="53" t="n"/>
      <c r="H50" s="58" t="inlineStr">
        <is>
          <t>LT Units</t>
        </is>
      </c>
      <c r="I50" s="56">
        <f>SUMIFS('Trading History'!$V$4:$V998, 'Trading History'!$S$4:$S998, _xludf.CONCAT("&gt;", $A50))</f>
        <v/>
      </c>
      <c r="J50" s="53" t="n"/>
      <c r="K50" s="59" t="inlineStr">
        <is>
          <t>Units</t>
        </is>
      </c>
      <c r="L50" s="56">
        <f>SUMIFS('Trading History'!$AB$4:$AB998, 'Trading History'!$Y$4:$Y998,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68">
      <c r="A51" s="1" t="n"/>
      <c r="B51" s="60" t="inlineStr">
        <is>
          <t>Avg %</t>
        </is>
      </c>
      <c r="C51" s="52">
        <f>IFERROR(Index!C52/(Index!C50*Index!$C$2), 0)</f>
        <v/>
      </c>
      <c r="D51" s="53" t="n"/>
      <c r="E51" s="61" t="inlineStr">
        <is>
          <t>ST Avg %</t>
        </is>
      </c>
      <c r="F51" s="52">
        <f>IFERROR(Index!F52/(Index!F50*Index!$C$2), 0)</f>
        <v/>
      </c>
      <c r="G51" s="53" t="n"/>
      <c r="H51" s="62" t="inlineStr">
        <is>
          <t>LT Avg %</t>
        </is>
      </c>
      <c r="I51" s="52">
        <f>IFERROR(Index!I52/(Index!I50*Index!$C$2), 0)</f>
        <v/>
      </c>
      <c r="J51" s="53" t="n"/>
      <c r="K51" s="63" t="inlineStr">
        <is>
          <t>Avg %</t>
        </is>
      </c>
      <c r="L51" s="52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68">
      <c r="A52" s="1" t="n"/>
      <c r="B52" s="60" t="inlineStr">
        <is>
          <t>Gain</t>
        </is>
      </c>
      <c r="C52" s="64">
        <f>SUMIFS('Trading History'!$L$4:$L998, 'Trading History'!$K$4:$K998, _xludf.CONCAT("&gt;", $A50))</f>
        <v/>
      </c>
      <c r="D52" s="53" t="n"/>
      <c r="E52" s="61" t="inlineStr">
        <is>
          <t>ST Gain</t>
        </is>
      </c>
      <c r="F52" s="64">
        <f>SUMIFS('Trading History'!$P$4:$P998, 'Trading History'!$O$4:$O998, _xludf.CONCAT("&gt;", $A50))</f>
        <v/>
      </c>
      <c r="G52" s="53" t="n"/>
      <c r="H52" s="62" t="inlineStr">
        <is>
          <t>LT Gain</t>
        </is>
      </c>
      <c r="I52" s="64">
        <f>SUMIFS('Trading History'!$T$4:$T998, 'Trading History'!$S$4:$S998, _xludf.CONCAT("&gt;", $A50))</f>
        <v/>
      </c>
      <c r="J52" s="53" t="n"/>
      <c r="K52" s="63" t="inlineStr">
        <is>
          <t>Gain</t>
        </is>
      </c>
      <c r="L52" s="64">
        <f>SUMIFS('Trading History'!$Z$4:$Z998, 'Trading History'!$Y$4:$Y998,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68">
      <c r="A53" s="1" t="n"/>
      <c r="B53" s="60" t="inlineStr">
        <is>
          <t>Invested</t>
        </is>
      </c>
      <c r="C53" s="64">
        <f>Index!C54-Index!C52</f>
        <v/>
      </c>
      <c r="D53" s="53" t="n"/>
      <c r="E53" s="61" t="inlineStr">
        <is>
          <t>ST Invested</t>
        </is>
      </c>
      <c r="F53" s="64">
        <f>Index!F54-Index!F52</f>
        <v/>
      </c>
      <c r="G53" s="53" t="n"/>
      <c r="H53" s="62" t="inlineStr">
        <is>
          <t>LT Invested</t>
        </is>
      </c>
      <c r="I53" s="64">
        <f>Index!I54-Index!I52</f>
        <v/>
      </c>
      <c r="J53" s="53" t="n"/>
      <c r="K53" s="63" t="inlineStr">
        <is>
          <t>Invested</t>
        </is>
      </c>
      <c r="L53" s="64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68">
      <c r="A54" s="1" t="n"/>
      <c r="B54" s="60" t="inlineStr">
        <is>
          <t>Gross</t>
        </is>
      </c>
      <c r="C54" s="64">
        <f>SUMIFS('Trading History'!$M$4:$M998, 'Trading History'!$K$4:$K998, _xludf.CONCAT("&gt;", $A50))</f>
        <v/>
      </c>
      <c r="D54" s="53" t="n"/>
      <c r="E54" s="61" t="inlineStr">
        <is>
          <t>ST Gross</t>
        </is>
      </c>
      <c r="F54" s="64">
        <f>SUMIFS('Trading History'!$Q$4:$Q998, 'Trading History'!$O$4:$O998, _xludf.CONCAT("&gt;", $A50))</f>
        <v/>
      </c>
      <c r="G54" s="53" t="n"/>
      <c r="H54" s="62" t="inlineStr">
        <is>
          <t>LT Gross</t>
        </is>
      </c>
      <c r="I54" s="64">
        <f>SUMIFS('Trading History'!$U$4:$U998, 'Trading History'!$S$4:$S998, _xludf.CONCAT("&gt;", $A50))</f>
        <v/>
      </c>
      <c r="J54" s="53" t="n"/>
      <c r="K54" s="63" t="inlineStr">
        <is>
          <t>Gross</t>
        </is>
      </c>
      <c r="L54" s="64">
        <f>SUMIFS('Trading History'!$AA$4:$AA998, 'Trading History'!$Y$4:$Y998,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6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6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68">
      <c r="A57" s="65" t="n">
        <v>0.2</v>
      </c>
      <c r="B57" s="55" t="inlineStr">
        <is>
          <t>Units</t>
        </is>
      </c>
      <c r="C57" s="56">
        <f>SUMIFS('Trading History'!$N$4:$N998, 'Trading History'!$K$4:$K998, _xludf.CONCAT("&gt;", $A57))</f>
        <v/>
      </c>
      <c r="D57" s="53" t="n"/>
      <c r="E57" s="57" t="inlineStr">
        <is>
          <t>ST Units</t>
        </is>
      </c>
      <c r="F57" s="56">
        <f>IFERROR(SUMIFS('Trading History'!$R$4:$R998, 'Trading History'!$O$4:$O998, _xludf.CONCAT("&gt;", $A57)), 0)</f>
        <v/>
      </c>
      <c r="G57" s="53" t="n"/>
      <c r="H57" s="58" t="inlineStr">
        <is>
          <t>LT Units</t>
        </is>
      </c>
      <c r="I57" s="56">
        <f>SUMIFS('Trading History'!$V$4:$V998, 'Trading History'!$S$4:$S998, _xludf.CONCAT("&gt;", $A57))</f>
        <v/>
      </c>
      <c r="J57" s="53" t="n"/>
      <c r="K57" s="59" t="inlineStr">
        <is>
          <t>Units</t>
        </is>
      </c>
      <c r="L57" s="56">
        <f>SUMIFS('Trading History'!$AB$4:$AB998, 'Trading History'!$Y$4:$Y998,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68">
      <c r="A58" s="1" t="n"/>
      <c r="B58" s="60" t="inlineStr">
        <is>
          <t>Avg %</t>
        </is>
      </c>
      <c r="C58" s="52">
        <f>IFERROR(Index!C59/(Index!C57*Index!$C$2), 0)</f>
        <v/>
      </c>
      <c r="D58" s="53" t="n"/>
      <c r="E58" s="61" t="inlineStr">
        <is>
          <t>ST Avg %</t>
        </is>
      </c>
      <c r="F58" s="52">
        <f>IFERROR(Index!F59/(Index!F57*Index!$C$2), 0)</f>
        <v/>
      </c>
      <c r="G58" s="53" t="n"/>
      <c r="H58" s="62" t="inlineStr">
        <is>
          <t>LT Avg %</t>
        </is>
      </c>
      <c r="I58" s="52">
        <f>IFERROR(Index!I59/(Index!I57*Index!$C$2), 0)</f>
        <v/>
      </c>
      <c r="J58" s="53" t="n"/>
      <c r="K58" s="63" t="inlineStr">
        <is>
          <t>Avg %</t>
        </is>
      </c>
      <c r="L58" s="52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68">
      <c r="A59" s="1" t="n"/>
      <c r="B59" s="60" t="inlineStr">
        <is>
          <t>Gain</t>
        </is>
      </c>
      <c r="C59" s="64">
        <f>SUMIFS('Trading History'!$L$4:$L998, 'Trading History'!$K$4:$K998, _xludf.CONCAT("&gt;", $A57))</f>
        <v/>
      </c>
      <c r="D59" s="53" t="n"/>
      <c r="E59" s="61" t="inlineStr">
        <is>
          <t>ST Gain</t>
        </is>
      </c>
      <c r="F59" s="64">
        <f>SUMIFS('Trading History'!$P$4:$P998, 'Trading History'!$O$4:$O998, _xludf.CONCAT("&gt;", $A57))</f>
        <v/>
      </c>
      <c r="G59" s="53" t="n"/>
      <c r="H59" s="62" t="inlineStr">
        <is>
          <t>LT Gain</t>
        </is>
      </c>
      <c r="I59" s="64">
        <f>SUMIFS('Trading History'!$T$4:$T998, 'Trading History'!$S$4:$S998, _xludf.CONCAT("&gt;", $A57))</f>
        <v/>
      </c>
      <c r="J59" s="53" t="n"/>
      <c r="K59" s="63" t="inlineStr">
        <is>
          <t>Gain</t>
        </is>
      </c>
      <c r="L59" s="64">
        <f>SUMIFS('Trading History'!$Z$4:$Z998, 'Trading History'!$Y$4:$Y998,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68">
      <c r="A60" s="1" t="n"/>
      <c r="B60" s="60" t="inlineStr">
        <is>
          <t>Invested</t>
        </is>
      </c>
      <c r="C60" s="64">
        <f>Index!C61-Index!C59</f>
        <v/>
      </c>
      <c r="D60" s="53" t="n"/>
      <c r="E60" s="61" t="inlineStr">
        <is>
          <t>ST Invested</t>
        </is>
      </c>
      <c r="F60" s="64">
        <f>Index!F61-Index!F59</f>
        <v/>
      </c>
      <c r="G60" s="53" t="n"/>
      <c r="H60" s="62" t="inlineStr">
        <is>
          <t>LT Invested</t>
        </is>
      </c>
      <c r="I60" s="64">
        <f>Index!I61-Index!I59</f>
        <v/>
      </c>
      <c r="J60" s="53" t="n"/>
      <c r="K60" s="63" t="inlineStr">
        <is>
          <t>Invested</t>
        </is>
      </c>
      <c r="L60" s="64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68">
      <c r="A61" s="1" t="n"/>
      <c r="B61" s="60" t="inlineStr">
        <is>
          <t>Gross</t>
        </is>
      </c>
      <c r="C61" s="64">
        <f>SUMIFS('Trading History'!$M$4:$M998, 'Trading History'!$K$4:$K998, _xludf.CONCAT("&gt;", $A57))</f>
        <v/>
      </c>
      <c r="D61" s="53" t="n"/>
      <c r="E61" s="61" t="inlineStr">
        <is>
          <t>ST Gross</t>
        </is>
      </c>
      <c r="F61" s="64">
        <f>SUMIFS('Trading History'!$Q$4:$Q998, 'Trading History'!$O$4:$O998, _xludf.CONCAT("&gt;", $A57))</f>
        <v/>
      </c>
      <c r="G61" s="53" t="n"/>
      <c r="H61" s="62" t="inlineStr">
        <is>
          <t>LT Gross</t>
        </is>
      </c>
      <c r="I61" s="64">
        <f>SUMIFS('Trading History'!$U$4:$U998, 'Trading History'!$S$4:$S998, _xludf.CONCAT("&gt;", $A57))</f>
        <v/>
      </c>
      <c r="J61" s="53" t="n"/>
      <c r="K61" s="63" t="inlineStr">
        <is>
          <t>Gross</t>
        </is>
      </c>
      <c r="L61" s="64">
        <f>SUMIFS('Trading History'!$AA$4:$AA998, 'Trading History'!$Y$4:$Y998,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6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6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68">
      <c r="A64" s="65" t="n">
        <v>0.15</v>
      </c>
      <c r="B64" s="55" t="inlineStr">
        <is>
          <t>Units</t>
        </is>
      </c>
      <c r="C64" s="56">
        <f>SUMIFS('Trading History'!$N$4:$N998, 'Trading History'!$K$4:$K998, _xludf.CONCAT("&gt;", $A64))</f>
        <v/>
      </c>
      <c r="D64" s="53" t="n"/>
      <c r="E64" s="57" t="inlineStr">
        <is>
          <t>ST Units</t>
        </is>
      </c>
      <c r="F64" s="56">
        <f>IFERROR(SUMIFS('Trading History'!$R$4:$R998, 'Trading History'!$O$4:$O998, _xludf.CONCAT("&gt;", $A64)), 0)</f>
        <v/>
      </c>
      <c r="G64" s="53" t="n"/>
      <c r="H64" s="58" t="inlineStr">
        <is>
          <t>LT Units</t>
        </is>
      </c>
      <c r="I64" s="56">
        <f>SUMIFS('Trading History'!$V$4:$V998, 'Trading History'!$S$4:$S998, _xludf.CONCAT("&gt;", $A64))</f>
        <v/>
      </c>
      <c r="J64" s="53" t="n"/>
      <c r="K64" s="59" t="inlineStr">
        <is>
          <t>Units</t>
        </is>
      </c>
      <c r="L64" s="56">
        <f>SUMIFS('Trading History'!$AB$4:$AB998, 'Trading History'!$Y$4:$Y998,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68">
      <c r="A65" s="1" t="n"/>
      <c r="B65" s="60" t="inlineStr">
        <is>
          <t>Avg %</t>
        </is>
      </c>
      <c r="C65" s="52">
        <f>IFERROR(Index!C66/(Index!C64*Index!$C$2), 0)</f>
        <v/>
      </c>
      <c r="D65" s="53" t="n"/>
      <c r="E65" s="61" t="inlineStr">
        <is>
          <t>ST Avg %</t>
        </is>
      </c>
      <c r="F65" s="52">
        <f>IFERROR(Index!F66/(Index!F64*Index!$C$2), 0)</f>
        <v/>
      </c>
      <c r="G65" s="53" t="n"/>
      <c r="H65" s="62" t="inlineStr">
        <is>
          <t>LT Avg %</t>
        </is>
      </c>
      <c r="I65" s="52">
        <f>IFERROR(Index!I66/(Index!I64*Index!$C$2), 0)</f>
        <v/>
      </c>
      <c r="J65" s="53" t="n"/>
      <c r="K65" s="63" t="inlineStr">
        <is>
          <t>Avg %</t>
        </is>
      </c>
      <c r="L65" s="52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68">
      <c r="A66" s="1" t="n"/>
      <c r="B66" s="60" t="inlineStr">
        <is>
          <t>Gain</t>
        </is>
      </c>
      <c r="C66" s="64">
        <f>SUMIFS('Trading History'!$L$4:$L998, 'Trading History'!$K$4:$K998, _xludf.CONCAT("&gt;", $A64))</f>
        <v/>
      </c>
      <c r="D66" s="53" t="n"/>
      <c r="E66" s="61" t="inlineStr">
        <is>
          <t>ST Gain</t>
        </is>
      </c>
      <c r="F66" s="64">
        <f>SUMIFS('Trading History'!$P$4:$P998, 'Trading History'!$O$4:$O998, _xludf.CONCAT("&gt;", $A64))</f>
        <v/>
      </c>
      <c r="G66" s="53" t="n"/>
      <c r="H66" s="62" t="inlineStr">
        <is>
          <t>LT Gain</t>
        </is>
      </c>
      <c r="I66" s="64">
        <f>SUMIFS('Trading History'!$T$4:$T998, 'Trading History'!$S$4:$S998, _xludf.CONCAT("&gt;", $A64))</f>
        <v/>
      </c>
      <c r="J66" s="53" t="n"/>
      <c r="K66" s="63" t="inlineStr">
        <is>
          <t>Gain</t>
        </is>
      </c>
      <c r="L66" s="64">
        <f>SUMIFS('Trading History'!$Z$4:$Z998, 'Trading History'!$Y$4:$Y998,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68">
      <c r="A67" s="1" t="n"/>
      <c r="B67" s="60" t="inlineStr">
        <is>
          <t>Invested</t>
        </is>
      </c>
      <c r="C67" s="64">
        <f>Index!C68-Index!C66</f>
        <v/>
      </c>
      <c r="D67" s="53" t="n"/>
      <c r="E67" s="61" t="inlineStr">
        <is>
          <t>ST Invested</t>
        </is>
      </c>
      <c r="F67" s="64">
        <f>Index!F68-Index!F66</f>
        <v/>
      </c>
      <c r="G67" s="53" t="n"/>
      <c r="H67" s="62" t="inlineStr">
        <is>
          <t>LT Invested</t>
        </is>
      </c>
      <c r="I67" s="64">
        <f>Index!I68-Index!I66</f>
        <v/>
      </c>
      <c r="J67" s="53" t="n"/>
      <c r="K67" s="63" t="inlineStr">
        <is>
          <t>Invested</t>
        </is>
      </c>
      <c r="L67" s="64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68">
      <c r="A68" s="1" t="n"/>
      <c r="B68" s="60" t="inlineStr">
        <is>
          <t>Gross</t>
        </is>
      </c>
      <c r="C68" s="64">
        <f>SUMIFS('Trading History'!$M$4:$M998, 'Trading History'!$K$4:$K998, _xludf.CONCAT("&gt;", $A64))</f>
        <v/>
      </c>
      <c r="D68" s="53" t="n"/>
      <c r="E68" s="61" t="inlineStr">
        <is>
          <t>ST Gross</t>
        </is>
      </c>
      <c r="F68" s="64">
        <f>SUMIFS('Trading History'!$Q$4:$Q998, 'Trading History'!$O$4:$O998, _xludf.CONCAT("&gt;", $A64))</f>
        <v/>
      </c>
      <c r="G68" s="53" t="n"/>
      <c r="H68" s="62" t="inlineStr">
        <is>
          <t>LT Gross</t>
        </is>
      </c>
      <c r="I68" s="64">
        <f>SUMIFS('Trading History'!$U$4:$U998, 'Trading History'!$S$4:$S998, _xludf.CONCAT("&gt;", $A64))</f>
        <v/>
      </c>
      <c r="J68" s="53" t="n"/>
      <c r="K68" s="63" t="inlineStr">
        <is>
          <t>Gross</t>
        </is>
      </c>
      <c r="L68" s="64">
        <f>SUMIFS('Trading History'!$AA$4:$AA998, 'Trading History'!$Y$4:$Y998,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6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6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68">
      <c r="A71" s="65" t="n">
        <v>0.1</v>
      </c>
      <c r="B71" s="55" t="inlineStr">
        <is>
          <t>Units</t>
        </is>
      </c>
      <c r="C71" s="56">
        <f>SUMIFS('Trading History'!$N$4:$N998, 'Trading History'!$K$4:$K998, _xludf.CONCAT("&gt;", $A71))</f>
        <v/>
      </c>
      <c r="D71" s="53" t="n"/>
      <c r="E71" s="57" t="inlineStr">
        <is>
          <t>ST Units</t>
        </is>
      </c>
      <c r="F71" s="56">
        <f>IFERROR(SUMIFS('Trading History'!$R$4:$R998, 'Trading History'!$O$4:$O998, _xludf.CONCAT("&gt;", $A71)), 0)</f>
        <v/>
      </c>
      <c r="G71" s="53" t="n"/>
      <c r="H71" s="58" t="inlineStr">
        <is>
          <t>LT Units</t>
        </is>
      </c>
      <c r="I71" s="56">
        <f>SUMIFS('Trading History'!$V$4:$V998, 'Trading History'!$S$4:$S998, _xludf.CONCAT("&gt;", $A71))</f>
        <v/>
      </c>
      <c r="J71" s="53" t="n"/>
      <c r="K71" s="59" t="inlineStr">
        <is>
          <t>Units</t>
        </is>
      </c>
      <c r="L71" s="56">
        <f>SUMIFS('Trading History'!$AB$4:$AB998, 'Trading History'!$Y$4:$Y998,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68">
      <c r="A72" s="1" t="n"/>
      <c r="B72" s="60" t="inlineStr">
        <is>
          <t>Avg %</t>
        </is>
      </c>
      <c r="C72" s="52">
        <f>IFERROR(Index!C73/(Index!C71*Index!$C$2), 0)</f>
        <v/>
      </c>
      <c r="D72" s="53" t="n"/>
      <c r="E72" s="61" t="inlineStr">
        <is>
          <t>ST Avg %</t>
        </is>
      </c>
      <c r="F72" s="52">
        <f>IFERROR(Index!F73/(Index!F71*Index!$C$2), 0)</f>
        <v/>
      </c>
      <c r="G72" s="53" t="n"/>
      <c r="H72" s="62" t="inlineStr">
        <is>
          <t>LT Avg %</t>
        </is>
      </c>
      <c r="I72" s="52">
        <f>IFERROR(Index!I73/(Index!I71*Index!$C$2), 0)</f>
        <v/>
      </c>
      <c r="J72" s="53" t="n"/>
      <c r="K72" s="63" t="inlineStr">
        <is>
          <t>Avg %</t>
        </is>
      </c>
      <c r="L72" s="52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68">
      <c r="A73" s="1" t="n"/>
      <c r="B73" s="60" t="inlineStr">
        <is>
          <t>Gain</t>
        </is>
      </c>
      <c r="C73" s="64">
        <f>SUMIFS('Trading History'!$L$4:$L998, 'Trading History'!$K$4:$K998, _xludf.CONCAT("&gt;", $A71))</f>
        <v/>
      </c>
      <c r="D73" s="53" t="n"/>
      <c r="E73" s="61" t="inlineStr">
        <is>
          <t>ST Gain</t>
        </is>
      </c>
      <c r="F73" s="64">
        <f>SUMIFS('Trading History'!$P$4:$P998, 'Trading History'!$O$4:$O998, _xludf.CONCAT("&gt;", $A71))</f>
        <v/>
      </c>
      <c r="G73" s="53" t="n"/>
      <c r="H73" s="62" t="inlineStr">
        <is>
          <t>LT Gain</t>
        </is>
      </c>
      <c r="I73" s="64">
        <f>SUMIFS('Trading History'!$T$4:$T998, 'Trading History'!$S$4:$S998, _xludf.CONCAT("&gt;", $A71))</f>
        <v/>
      </c>
      <c r="J73" s="53" t="n"/>
      <c r="K73" s="63" t="inlineStr">
        <is>
          <t>Gain</t>
        </is>
      </c>
      <c r="L73" s="64">
        <f>SUMIFS('Trading History'!$Z$4:$Z998, 'Trading History'!$Y$4:$Y998,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68">
      <c r="A74" s="1" t="n"/>
      <c r="B74" s="60" t="inlineStr">
        <is>
          <t>Invested</t>
        </is>
      </c>
      <c r="C74" s="64">
        <f>Index!C75-Index!C73</f>
        <v/>
      </c>
      <c r="D74" s="53" t="n"/>
      <c r="E74" s="61" t="inlineStr">
        <is>
          <t>ST Invested</t>
        </is>
      </c>
      <c r="F74" s="64">
        <f>Index!F75-Index!F73</f>
        <v/>
      </c>
      <c r="G74" s="53" t="n"/>
      <c r="H74" s="62" t="inlineStr">
        <is>
          <t>LT Invested</t>
        </is>
      </c>
      <c r="I74" s="64">
        <f>Index!I75-Index!I73</f>
        <v/>
      </c>
      <c r="J74" s="53" t="n"/>
      <c r="K74" s="63" t="inlineStr">
        <is>
          <t>Invested</t>
        </is>
      </c>
      <c r="L74" s="64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68">
      <c r="A75" s="1" t="n"/>
      <c r="B75" s="60" t="inlineStr">
        <is>
          <t>Gross</t>
        </is>
      </c>
      <c r="C75" s="64">
        <f>SUMIFS('Trading History'!$M$4:$M998, 'Trading History'!$K$4:$K998, _xludf.CONCAT("&gt;", $A71))</f>
        <v/>
      </c>
      <c r="D75" s="53" t="n"/>
      <c r="E75" s="61" t="inlineStr">
        <is>
          <t>ST Gross</t>
        </is>
      </c>
      <c r="F75" s="64">
        <f>SUMIFS('Trading History'!$Q$4:$Q998, 'Trading History'!$O$4:$O998, _xludf.CONCAT("&gt;", $A71))</f>
        <v/>
      </c>
      <c r="G75" s="53" t="n"/>
      <c r="H75" s="62" t="inlineStr">
        <is>
          <t>LT Gross</t>
        </is>
      </c>
      <c r="I75" s="64">
        <f>SUMIFS('Trading History'!$U$4:$U998, 'Trading History'!$S$4:$S998, _xludf.CONCAT("&gt;", $A71))</f>
        <v/>
      </c>
      <c r="J75" s="53" t="n"/>
      <c r="K75" s="63" t="inlineStr">
        <is>
          <t>Gross</t>
        </is>
      </c>
      <c r="L75" s="64">
        <f>SUMIFS('Trading History'!$AA$4:$AA998, 'Trading History'!$Y$4:$Y998,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6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6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68">
      <c r="A78" s="65" t="n">
        <v>0.05</v>
      </c>
      <c r="B78" s="55" t="inlineStr">
        <is>
          <t>Units</t>
        </is>
      </c>
      <c r="C78" s="56">
        <f>SUMIFS('Trading History'!$N$4:$N998, 'Trading History'!$K$4:$K998, _xludf.CONCAT("&gt;", $A78))</f>
        <v/>
      </c>
      <c r="D78" s="53" t="n"/>
      <c r="E78" s="57" t="inlineStr">
        <is>
          <t>ST Units</t>
        </is>
      </c>
      <c r="F78" s="56">
        <f>IFERROR(SUMIFS('Trading History'!$R$4:$R998, 'Trading History'!$O$4:$O998, _xludf.CONCAT("&gt;", $A78)), 0)</f>
        <v/>
      </c>
      <c r="G78" s="53" t="n"/>
      <c r="H78" s="58" t="inlineStr">
        <is>
          <t>LT Units</t>
        </is>
      </c>
      <c r="I78" s="56">
        <f>SUMIFS('Trading History'!$V$4:$V998, 'Trading History'!$S$4:$S998, _xludf.CONCAT("&gt;", $A78))</f>
        <v/>
      </c>
      <c r="J78" s="53" t="n"/>
      <c r="K78" s="59" t="inlineStr">
        <is>
          <t>Units</t>
        </is>
      </c>
      <c r="L78" s="56">
        <f>SUMIFS('Trading History'!$AB$4:$AB998, 'Trading History'!$Y$4:$Y998,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68">
      <c r="A79" s="1" t="n"/>
      <c r="B79" s="60" t="inlineStr">
        <is>
          <t>Avg %</t>
        </is>
      </c>
      <c r="C79" s="52">
        <f>IFERROR(Index!C80/(Index!C78*Index!$C$2), 0)</f>
        <v/>
      </c>
      <c r="D79" s="53" t="n"/>
      <c r="E79" s="61" t="inlineStr">
        <is>
          <t>ST Avg %</t>
        </is>
      </c>
      <c r="F79" s="52">
        <f>IFERROR(Index!F80/(Index!F78*Index!$C$2), 0)</f>
        <v/>
      </c>
      <c r="G79" s="53" t="n"/>
      <c r="H79" s="62" t="inlineStr">
        <is>
          <t>LT Avg %</t>
        </is>
      </c>
      <c r="I79" s="52">
        <f>IFERROR(Index!I80/(Index!I78*Index!$C$2), 0)</f>
        <v/>
      </c>
      <c r="J79" s="53" t="n"/>
      <c r="K79" s="63" t="inlineStr">
        <is>
          <t>Avg %</t>
        </is>
      </c>
      <c r="L79" s="52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68">
      <c r="A80" s="1" t="n"/>
      <c r="B80" s="60" t="inlineStr">
        <is>
          <t>Gain</t>
        </is>
      </c>
      <c r="C80" s="64">
        <f>SUMIFS('Trading History'!$L$4:$L998, 'Trading History'!$K$4:$K998, _xludf.CONCAT("&gt;", $A78))</f>
        <v/>
      </c>
      <c r="D80" s="53" t="n"/>
      <c r="E80" s="61" t="inlineStr">
        <is>
          <t>ST Gain</t>
        </is>
      </c>
      <c r="F80" s="64">
        <f>SUMIFS('Trading History'!$P$4:$P998, 'Trading History'!$O$4:$O998, _xludf.CONCAT("&gt;", $A78))</f>
        <v/>
      </c>
      <c r="G80" s="53" t="n"/>
      <c r="H80" s="62" t="inlineStr">
        <is>
          <t>LT Gain</t>
        </is>
      </c>
      <c r="I80" s="64">
        <f>SUMIFS('Trading History'!$T$4:$T998, 'Trading History'!$S$4:$S998, _xludf.CONCAT("&gt;", $A78))</f>
        <v/>
      </c>
      <c r="J80" s="53" t="n"/>
      <c r="K80" s="63" t="inlineStr">
        <is>
          <t>Gain</t>
        </is>
      </c>
      <c r="L80" s="64">
        <f>SUMIFS('Trading History'!$Z$4:$Z998, 'Trading History'!$Y$4:$Y998,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68">
      <c r="A81" s="1" t="n"/>
      <c r="B81" s="60" t="inlineStr">
        <is>
          <t>Invested</t>
        </is>
      </c>
      <c r="C81" s="64">
        <f>Index!C82-Index!C80</f>
        <v/>
      </c>
      <c r="D81" s="53" t="n"/>
      <c r="E81" s="61" t="inlineStr">
        <is>
          <t>ST Invested</t>
        </is>
      </c>
      <c r="F81" s="64">
        <f>Index!F82-Index!F80</f>
        <v/>
      </c>
      <c r="G81" s="53" t="n"/>
      <c r="H81" s="62" t="inlineStr">
        <is>
          <t>LT Invested</t>
        </is>
      </c>
      <c r="I81" s="64">
        <f>Index!I82-Index!I80</f>
        <v/>
      </c>
      <c r="J81" s="53" t="n"/>
      <c r="K81" s="63" t="inlineStr">
        <is>
          <t>Invested</t>
        </is>
      </c>
      <c r="L81" s="64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68">
      <c r="A82" s="1" t="n"/>
      <c r="B82" s="60" t="inlineStr">
        <is>
          <t>Gross</t>
        </is>
      </c>
      <c r="C82" s="64">
        <f>SUMIFS('Trading History'!$M$4:$M998, 'Trading History'!$K$4:$K998, _xludf.CONCAT("&gt;", $A78))</f>
        <v/>
      </c>
      <c r="D82" s="53" t="n"/>
      <c r="E82" s="61" t="inlineStr">
        <is>
          <t>ST Gross</t>
        </is>
      </c>
      <c r="F82" s="64">
        <f>SUMIFS('Trading History'!$Q$4:$Q998, 'Trading History'!$O$4:$O998, _xludf.CONCAT("&gt;", $A78))</f>
        <v/>
      </c>
      <c r="G82" s="53" t="n"/>
      <c r="H82" s="62" t="inlineStr">
        <is>
          <t>LT Gross</t>
        </is>
      </c>
      <c r="I82" s="64">
        <f>SUMIFS('Trading History'!$U$4:$U998, 'Trading History'!$S$4:$S998, _xludf.CONCAT("&gt;", $A78))</f>
        <v/>
      </c>
      <c r="J82" s="53" t="n"/>
      <c r="K82" s="63" t="inlineStr">
        <is>
          <t>Gross</t>
        </is>
      </c>
      <c r="L82" s="64">
        <f>SUMIFS('Trading History'!$AA$4:$AA998, 'Trading History'!$Y$4:$Y998,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6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6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68">
      <c r="A85" s="65" t="n">
        <v>0</v>
      </c>
      <c r="B85" s="55" t="inlineStr">
        <is>
          <t>Units</t>
        </is>
      </c>
      <c r="C85" s="56">
        <f>SUMIFS('Trading History'!$N$4:$N998, 'Trading History'!$K$4:$K998, _xludf.CONCAT("&gt;", $A85))</f>
        <v/>
      </c>
      <c r="D85" s="53" t="n"/>
      <c r="E85" s="57" t="inlineStr">
        <is>
          <t>ST Units</t>
        </is>
      </c>
      <c r="F85" s="56">
        <f>IFERROR(SUMIFS('Trading History'!$R$4:$R998, 'Trading History'!$O$4:$O998, _xludf.CONCAT("&gt;", $A85)), 0)</f>
        <v/>
      </c>
      <c r="G85" s="53" t="n"/>
      <c r="H85" s="58" t="inlineStr">
        <is>
          <t>LT Units</t>
        </is>
      </c>
      <c r="I85" s="56">
        <f>SUMIFS('Trading History'!$V$4:$V998, 'Trading History'!$S$4:$S998, _xludf.CONCAT("&gt;", $A85))</f>
        <v/>
      </c>
      <c r="J85" s="53" t="n"/>
      <c r="K85" s="59" t="inlineStr">
        <is>
          <t>Units</t>
        </is>
      </c>
      <c r="L85" s="56">
        <f>SUMIFS('Trading History'!$AB$4:$AB998, 'Trading History'!$Y$4:$Y998,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68">
      <c r="A86" s="1" t="n"/>
      <c r="B86" s="60" t="inlineStr">
        <is>
          <t>Avg %</t>
        </is>
      </c>
      <c r="C86" s="52">
        <f>IFERROR(Index!C87/(Index!C85*Index!$C$2), 0)</f>
        <v/>
      </c>
      <c r="D86" s="53" t="n"/>
      <c r="E86" s="61" t="inlineStr">
        <is>
          <t>ST Avg %</t>
        </is>
      </c>
      <c r="F86" s="52">
        <f>IFERROR(Index!F87/(Index!F85*Index!$C$2), 0)</f>
        <v/>
      </c>
      <c r="G86" s="53" t="n"/>
      <c r="H86" s="62" t="inlineStr">
        <is>
          <t>LT Avg %</t>
        </is>
      </c>
      <c r="I86" s="52">
        <f>IFERROR(Index!I87/(Index!I85*Index!$C$2), 0)</f>
        <v/>
      </c>
      <c r="J86" s="53" t="n"/>
      <c r="K86" s="63" t="inlineStr">
        <is>
          <t>Avg %</t>
        </is>
      </c>
      <c r="L86" s="52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68">
      <c r="A87" s="1" t="n"/>
      <c r="B87" s="60" t="inlineStr">
        <is>
          <t>Gain</t>
        </is>
      </c>
      <c r="C87" s="64">
        <f>SUMIFS('Trading History'!$L$4:$L998, 'Trading History'!$K$4:$K998, _xludf.CONCAT("&gt;", $A85))</f>
        <v/>
      </c>
      <c r="D87" s="53" t="n"/>
      <c r="E87" s="61" t="inlineStr">
        <is>
          <t>ST Gain</t>
        </is>
      </c>
      <c r="F87" s="64">
        <f>SUMIFS('Trading History'!$P$4:$P998, 'Trading History'!$O$4:$O998, _xludf.CONCAT("&gt;", $A85))</f>
        <v/>
      </c>
      <c r="G87" s="53" t="n"/>
      <c r="H87" s="62" t="inlineStr">
        <is>
          <t>LT Gain</t>
        </is>
      </c>
      <c r="I87" s="64">
        <f>SUMIFS('Trading History'!$T$4:$T998, 'Trading History'!$S$4:$S998, _xludf.CONCAT("&gt;", $A85))</f>
        <v/>
      </c>
      <c r="J87" s="53" t="n"/>
      <c r="K87" s="63" t="inlineStr">
        <is>
          <t>Gain</t>
        </is>
      </c>
      <c r="L87" s="64">
        <f>SUMIFS('Trading History'!$Z$4:$Z998, 'Trading History'!$Y$4:$Y998,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68">
      <c r="A88" s="1" t="n"/>
      <c r="B88" s="60" t="inlineStr">
        <is>
          <t>Invested</t>
        </is>
      </c>
      <c r="C88" s="64">
        <f>Index!C89-Index!C87</f>
        <v/>
      </c>
      <c r="D88" s="53" t="n"/>
      <c r="E88" s="61" t="inlineStr">
        <is>
          <t>ST Invested</t>
        </is>
      </c>
      <c r="F88" s="64">
        <f>Index!F89-Index!F87</f>
        <v/>
      </c>
      <c r="G88" s="53" t="n"/>
      <c r="H88" s="62" t="inlineStr">
        <is>
          <t>LT Invested</t>
        </is>
      </c>
      <c r="I88" s="64">
        <f>Index!I89-Index!I87</f>
        <v/>
      </c>
      <c r="J88" s="53" t="n"/>
      <c r="K88" s="63" t="inlineStr">
        <is>
          <t>Invested</t>
        </is>
      </c>
      <c r="L88" s="64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68">
      <c r="A89" s="1" t="n"/>
      <c r="B89" s="60" t="inlineStr">
        <is>
          <t>Gross</t>
        </is>
      </c>
      <c r="C89" s="64">
        <f>SUMIFS('Trading History'!$M$4:$M998, 'Trading History'!$K$4:$K998, _xludf.CONCAT("&gt;", $A85))</f>
        <v/>
      </c>
      <c r="D89" s="53" t="n"/>
      <c r="E89" s="61" t="inlineStr">
        <is>
          <t>ST Gross</t>
        </is>
      </c>
      <c r="F89" s="64">
        <f>SUMIFS('Trading History'!$Q$4:$Q998, 'Trading History'!$O$4:$O998, _xludf.CONCAT("&gt;", $A85))</f>
        <v/>
      </c>
      <c r="G89" s="53" t="n"/>
      <c r="H89" s="62" t="inlineStr">
        <is>
          <t>LT Gross</t>
        </is>
      </c>
      <c r="I89" s="64">
        <f>SUMIFS('Trading History'!$U$4:$U998, 'Trading History'!$S$4:$S998, _xludf.CONCAT("&gt;", $A85))</f>
        <v/>
      </c>
      <c r="J89" s="53" t="n"/>
      <c r="K89" s="63" t="inlineStr">
        <is>
          <t>Gross</t>
        </is>
      </c>
      <c r="L89" s="64">
        <f>SUMIFS('Trading History'!$AA$4:$AA998, 'Trading History'!$Y$4:$Y998,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6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6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7" ht="13" customHeight="1" s="6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6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6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6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6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6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6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6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6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6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6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6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6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6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6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6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6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6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6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6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6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6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6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6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6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6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6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6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6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6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6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6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6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6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6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6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6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6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6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6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6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6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6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6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6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6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6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6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6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6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6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6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6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6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6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6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6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6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6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6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6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6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6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6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6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6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6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6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6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6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6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6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6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6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6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6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6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6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6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6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6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6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6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6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6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6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6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6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6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6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6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6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6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6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6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6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6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6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6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6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6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6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6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6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6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6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6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6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6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6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6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6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6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6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6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6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6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6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6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6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6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6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6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6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6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6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6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6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6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6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6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6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6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6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6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6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6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6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6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6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6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6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6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6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6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6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6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6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6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6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6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6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6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6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6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6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6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6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6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6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6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6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6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6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6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6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6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6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6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6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6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6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6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6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6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6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6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6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6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6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6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6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6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6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6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6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6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6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6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6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6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6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6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6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6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6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6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6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6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6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6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6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6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6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6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6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6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6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6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6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6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6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6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6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6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6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6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6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6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6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6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6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6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6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6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6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6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6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6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6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6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6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6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6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6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6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6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6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6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6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6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6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6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6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6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6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6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6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6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6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6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6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6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6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6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6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6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6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6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6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6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6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6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6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6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6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6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6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6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6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6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6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6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6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6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6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6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6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6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6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6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6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6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6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6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6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6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6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6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6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6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6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6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6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6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6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6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6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6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6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6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6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6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6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6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6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6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6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6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6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6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6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6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6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6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6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6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6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6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6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6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6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6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6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6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6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6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6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6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6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6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6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6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6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6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6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6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6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6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6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6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6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6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6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6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6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6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6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6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6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6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6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6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6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6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6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6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6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6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6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6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6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6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6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6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6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6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6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6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6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6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6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6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6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6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6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6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6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6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6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6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6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6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6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6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6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6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6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6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6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6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6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6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6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6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6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6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6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6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6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6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6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6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6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6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6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6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6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6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6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6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6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6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6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6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6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6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6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6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6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6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6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6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6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6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6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6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6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6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6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6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6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6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6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6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6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6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6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6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6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6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6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6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6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6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6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6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6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6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6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6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6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6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6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6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6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6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6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6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6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6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6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6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6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6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6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6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6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6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6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6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6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6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6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6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6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6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6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6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6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6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6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6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6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6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6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6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6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6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6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6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6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6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6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6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6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6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6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6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6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6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6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6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6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6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6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6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6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6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6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6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6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6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6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6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6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6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6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6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6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6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6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6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6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6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6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6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6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6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6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6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6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6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6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6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6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6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6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6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6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6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6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6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6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6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6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6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6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6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6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6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6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6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6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6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6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6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6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6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6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6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6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6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6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6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6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6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6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6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6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6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6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6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6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6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6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6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6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6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6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6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6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6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6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6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6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6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6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6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6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6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6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6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6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6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6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6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6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6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6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6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6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6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6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6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6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6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6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6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6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6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6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6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6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6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6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6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6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6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6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6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6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6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6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6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6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6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6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6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6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6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6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6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6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6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6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6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6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6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6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6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6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6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6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6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6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6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6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6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6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6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6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6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6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6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6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6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6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6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6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6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6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6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6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6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6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6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6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6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6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6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6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6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6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6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6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6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6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6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6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6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6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6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6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6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6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6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6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6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6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6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6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6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6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6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6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6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6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6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6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6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6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6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6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6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6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6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6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6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6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6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6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6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6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6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6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6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6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6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6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6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6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6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6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6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6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6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6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6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6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6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6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6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6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6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6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6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6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6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6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6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6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6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6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6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6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6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6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6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6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6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6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6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6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6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6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6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6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6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6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6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6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6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6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6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6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6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6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6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6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6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6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6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6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6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6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6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6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6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6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6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6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6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6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6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6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6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6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6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6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6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6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6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6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6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6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6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6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6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6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6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6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6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6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6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6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6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6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6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6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6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6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6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6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6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6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6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6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6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6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6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6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6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6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6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6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6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6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6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6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6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6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6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6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6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6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6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6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6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6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6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6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6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6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6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6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6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6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6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6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6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6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6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6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6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6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6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6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6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6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6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6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6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6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6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6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6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6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6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6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6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6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6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6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6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6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6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6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6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6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6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6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6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6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6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68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68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68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68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68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68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68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  <row r="1008" ht="13" customHeight="1" s="6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</row>
    <row r="1009" ht="13" customHeight="1" s="68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</row>
    <row r="1010" ht="13" customHeight="1" s="68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</row>
    <row r="1011" ht="13" customHeight="1" s="68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</row>
    <row r="1012" ht="13" customHeight="1" s="68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2026-02-07T07:12:15Z</dcterms:created>
  <dcterms:modified xmlns:dcterms="http://purl.org/dc/terms/" xmlns:xsi="http://www.w3.org/2001/XMLSchema-instance" xsi:type="dcterms:W3CDTF">2026-02-10T23:09:06Z</dcterms:modified>
  <cp:lastModifiedBy>Lenin Soundararajan Vijaya</cp:lastModifiedBy>
</cp:coreProperties>
</file>