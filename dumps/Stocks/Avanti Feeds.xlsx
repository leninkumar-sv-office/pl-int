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74ADA0D_BB3D_4150_B452_B1E8A2D49440_.wvu.FilterData" localSheetId="0" hidden="1">'Trading History'!$A$4:$AO$63</definedName>
    <definedName name="_xlnm._FilterDatabase" localSheetId="0" hidden="1">'Trading History'!$A$4:$AO$63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[$₹]#,##0.00"/>
    <numFmt numFmtId="165" formatCode="dd-mmm-yyyy"/>
    <numFmt numFmtId="166" formatCode="d-mmm-yyyy"/>
    <numFmt numFmtId="167" formatCode="d-mmmm-yyyy"/>
    <numFmt numFmtId="168" formatCode="dd-mmmm-yyyy"/>
    <numFmt numFmtId="169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10" fontId="2" fillId="9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164" fontId="1" fillId="9" borderId="7" applyAlignment="1" pivotButton="0" quotePrefix="0" xfId="0">
      <alignment vertical="bottom"/>
    </xf>
    <xf numFmtId="0" fontId="7" fillId="0" borderId="0" pivotButton="0" quotePrefix="0" xfId="0"/>
    <xf numFmtId="166" fontId="5" fillId="0" borderId="8" applyAlignment="1" pivotButton="0" quotePrefix="0" xfId="0">
      <alignment horizontal="left" vertical="top"/>
    </xf>
    <xf numFmtId="164" fontId="1" fillId="9" borderId="7" applyAlignment="1" pivotButton="0" quotePrefix="0" xfId="0">
      <alignment horizontal="right" vertical="bottom"/>
    </xf>
    <xf numFmtId="166" fontId="2" fillId="9" borderId="8" applyAlignment="1" pivotButton="0" quotePrefix="0" xfId="0">
      <alignment vertical="top"/>
    </xf>
    <xf numFmtId="0" fontId="5" fillId="0" borderId="6" applyAlignment="1" pivotButton="0" quotePrefix="0" xfId="0">
      <alignment horizontal="left" vertical="top"/>
    </xf>
    <xf numFmtId="164" fontId="1" fillId="0" borderId="7" applyAlignment="1" pivotButton="0" quotePrefix="0" xfId="0">
      <alignment vertical="bottom"/>
    </xf>
    <xf numFmtId="167" fontId="5" fillId="0" borderId="8" applyAlignment="1" pivotButton="0" quotePrefix="0" xfId="0">
      <alignment horizontal="left" vertical="top"/>
    </xf>
    <xf numFmtId="168" fontId="5" fillId="0" borderId="8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9" fontId="8" fillId="0" borderId="0" applyAlignment="1" pivotButton="0" quotePrefix="0" xfId="0">
      <alignment horizontal="right"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9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0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4" min="1" max="1"/>
    <col width="8.130000000000001" customWidth="1" style="84" min="2" max="2"/>
    <col width="9.880000000000001" customWidth="1" style="84" min="3" max="3"/>
    <col width="6.88" customWidth="1" style="84" min="4" max="4"/>
    <col width="8.630000000000001" customWidth="1" style="84" min="5" max="5"/>
    <col width="9.25" customWidth="1" style="84" min="6" max="6"/>
    <col width="6.5" customWidth="1" style="84" min="7" max="7"/>
    <col width="8.380000000000001" customWidth="1" style="84" min="8" max="8"/>
    <col width="12.5" customWidth="1" style="84" min="9" max="9"/>
    <col width="14" customWidth="1" style="84" min="10" max="10"/>
    <col width="10.13" customWidth="1" style="84" min="11" max="12"/>
    <col width="9.25" customWidth="1" style="84" min="13" max="13"/>
    <col width="7.63" customWidth="1" style="84" min="14" max="14"/>
    <col width="9.75" customWidth="1" style="84" min="15" max="16"/>
    <col width="8.75" customWidth="1" style="84" min="17" max="17"/>
    <col width="8.130000000000001" customWidth="1" style="84" min="18" max="18"/>
    <col width="9.5" customWidth="1" style="84" min="19" max="20"/>
    <col width="9.25" customWidth="1" style="84" min="21" max="21"/>
    <col width="7.63" customWidth="1" style="84" min="22" max="22"/>
    <col width="7.88" customWidth="1" style="84" min="23" max="23"/>
    <col width="11.13" customWidth="1" style="84" min="24" max="24"/>
    <col width="12.5" customWidth="1" style="84" min="25" max="26"/>
    <col width="8.380000000000001" customWidth="1" style="84" min="27" max="29"/>
    <col width="16.38" customWidth="1" style="84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5" t="inlineStr">
        <is>
          <t>UnRealised</t>
        </is>
      </c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86" t="n"/>
      <c r="V2" s="87" t="n"/>
      <c r="W2" s="88" t="inlineStr">
        <is>
          <t>Realised</t>
        </is>
      </c>
      <c r="AC2" s="89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0" t="inlineStr">
        <is>
          <t>Total</t>
        </is>
      </c>
      <c r="L3" s="86" t="n"/>
      <c r="M3" s="86" t="n"/>
      <c r="N3" s="87" t="n"/>
      <c r="O3" s="91" t="inlineStr">
        <is>
          <t>Short Term</t>
        </is>
      </c>
      <c r="P3" s="92" t="n"/>
      <c r="Q3" s="92" t="n"/>
      <c r="R3" s="93" t="n"/>
      <c r="S3" s="94" t="inlineStr">
        <is>
          <t>Long Term</t>
        </is>
      </c>
      <c r="T3" s="92" t="n"/>
      <c r="U3" s="92" t="n"/>
      <c r="V3" s="93" t="n"/>
      <c r="W3" s="92" t="n"/>
      <c r="X3" s="92" t="n"/>
      <c r="Y3" s="92" t="n"/>
      <c r="Z3" s="92" t="n"/>
      <c r="AA3" s="92" t="n"/>
      <c r="AB3" s="92" t="n"/>
      <c r="AC3" s="93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6" t="n">
        <v>46063</v>
      </c>
      <c r="B5" t="inlineStr">
        <is>
          <t>NSE</t>
        </is>
      </c>
      <c r="C5" t="inlineStr">
        <is>
          <t>Sell</t>
        </is>
      </c>
      <c r="D5" t="n">
        <v>20</v>
      </c>
      <c r="E5" t="n">
        <v>1131.8825</v>
      </c>
      <c r="F5" t="n">
        <v>22637.65</v>
      </c>
      <c r="G5" t="inlineStr">
        <is>
          <t>CN#252611730667</t>
        </is>
      </c>
      <c r="I5" t="n">
        <v>113.8</v>
      </c>
    </row>
    <row r="6">
      <c r="A6" s="96" t="n">
        <v>46059</v>
      </c>
      <c r="B6" s="0" t="inlineStr">
        <is>
          <t>NSE</t>
        </is>
      </c>
      <c r="C6" s="0" t="inlineStr">
        <is>
          <t>Sell</t>
        </is>
      </c>
      <c r="D6" s="0" t="n">
        <v>50</v>
      </c>
      <c r="E6" s="0" t="n">
        <v>1010.138</v>
      </c>
      <c r="F6" s="0" t="n">
        <v>50506.9</v>
      </c>
      <c r="G6" s="0" t="inlineStr">
        <is>
          <t>CN#252611604850</t>
        </is>
      </c>
      <c r="I6" s="0" t="n">
        <v>254</v>
      </c>
    </row>
    <row r="7">
      <c r="A7" s="96" t="n">
        <v>46049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777.55</v>
      </c>
      <c r="F7" s="0" t="n">
        <v>3907.2</v>
      </c>
      <c r="G7" s="0" t="inlineStr">
        <is>
          <t>CN#252611030591</t>
        </is>
      </c>
      <c r="I7" s="0" t="n">
        <v>19.45</v>
      </c>
      <c r="J7" s="0">
        <f>Index!$C$2</f>
        <v/>
      </c>
    </row>
    <row r="8">
      <c r="A8" s="96" t="n">
        <v>46034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794.9</v>
      </c>
      <c r="F8" s="0" t="n">
        <v>3994.35</v>
      </c>
      <c r="G8" s="0" t="inlineStr">
        <is>
          <t>CN#252610469431</t>
        </is>
      </c>
      <c r="I8" s="0" t="n">
        <v>19.85</v>
      </c>
      <c r="J8" s="0">
        <f>Index!$C$2</f>
        <v/>
      </c>
    </row>
    <row r="9">
      <c r="A9" s="96" t="n">
        <v>46030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807.2</v>
      </c>
      <c r="F9" s="0" t="n">
        <v>4056.2</v>
      </c>
      <c r="G9" s="0" t="inlineStr">
        <is>
          <t>CN#252610347614</t>
        </is>
      </c>
      <c r="I9" s="0" t="n">
        <v>20.2</v>
      </c>
      <c r="J9" s="0">
        <f>Index!$C$2</f>
        <v/>
      </c>
    </row>
    <row r="10">
      <c r="A10" s="96" t="n">
        <v>46002</v>
      </c>
      <c r="B10" s="0" t="inlineStr">
        <is>
          <t>BSE</t>
        </is>
      </c>
      <c r="C10" s="0" t="inlineStr">
        <is>
          <t>Buy</t>
        </is>
      </c>
      <c r="D10" s="0" t="n">
        <v>5</v>
      </c>
      <c r="E10" s="0" t="n">
        <v>809.54</v>
      </c>
      <c r="F10" s="0" t="n">
        <v>4067.95</v>
      </c>
      <c r="G10" s="0" t="inlineStr">
        <is>
          <t>CN#252609267726</t>
        </is>
      </c>
      <c r="I10" s="0" t="n">
        <v>20.25</v>
      </c>
      <c r="J10" s="0">
        <f>Index!$C$2</f>
        <v/>
      </c>
    </row>
    <row r="11">
      <c r="A11" s="96" t="n">
        <v>45961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703.83</v>
      </c>
      <c r="F11" s="0" t="n">
        <v>3536.75</v>
      </c>
      <c r="G11" s="0" t="inlineStr">
        <is>
          <t>CN#252607606298</t>
        </is>
      </c>
      <c r="I11" s="0" t="n">
        <v>17.6</v>
      </c>
      <c r="J11" s="0">
        <f>Index!$C$2</f>
        <v/>
      </c>
    </row>
    <row r="12">
      <c r="A12" s="96" t="n">
        <v>45959</v>
      </c>
      <c r="B12" s="0" t="inlineStr">
        <is>
          <t>BSE</t>
        </is>
      </c>
      <c r="C12" s="0" t="inlineStr">
        <is>
          <t>Buy</t>
        </is>
      </c>
      <c r="D12" s="0" t="n">
        <v>5</v>
      </c>
      <c r="E12" s="0" t="n">
        <v>717.92</v>
      </c>
      <c r="F12" s="0" t="n">
        <v>3607.55</v>
      </c>
      <c r="G12" s="0" t="inlineStr">
        <is>
          <t>CN#252607497001</t>
        </is>
      </c>
      <c r="I12" s="0" t="n">
        <v>17.95</v>
      </c>
      <c r="J12" s="0">
        <f>Index!$C$2</f>
        <v/>
      </c>
    </row>
    <row r="13">
      <c r="A13" s="96" t="n">
        <v>45957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719.5</v>
      </c>
      <c r="F13" s="0" t="n">
        <v>3615.5</v>
      </c>
      <c r="G13" s="0" t="inlineStr">
        <is>
          <t>CN#252607382790</t>
        </is>
      </c>
      <c r="I13" s="0" t="n">
        <v>18</v>
      </c>
      <c r="J13" s="0">
        <f>Index!$C$2</f>
        <v/>
      </c>
    </row>
    <row r="14">
      <c r="A14" s="38" t="n">
        <v>45959</v>
      </c>
      <c r="B14" s="59" t="inlineStr">
        <is>
          <t>BSE</t>
        </is>
      </c>
      <c r="C14" s="59" t="inlineStr">
        <is>
          <t>Buy</t>
        </is>
      </c>
      <c r="D14" s="40" t="n">
        <v>1</v>
      </c>
      <c r="E14" s="41" t="n">
        <v>722.89</v>
      </c>
      <c r="F14" s="41">
        <f>(D5*E5)</f>
        <v/>
      </c>
      <c r="G14" s="59" t="inlineStr">
        <is>
          <t>~</t>
        </is>
      </c>
      <c r="H14" s="40" t="n"/>
      <c r="I14" s="40" t="n"/>
      <c r="J14" s="42">
        <f>Index!$C$2</f>
        <v/>
      </c>
      <c r="K14" s="43">
        <f>IF(AND( C5="Buy", ISBLANK(W5), B5&lt;&gt;"DIV"), L5/sum(F5:I5), "")</f>
        <v/>
      </c>
      <c r="L14" s="44">
        <f>IF(AND( C5="Buy", ISBLANK(W5), B5&lt;&gt;"DIV"), (1-Index!$F$2*2)*((J5*D5)-(E5*D5)), "")</f>
        <v/>
      </c>
      <c r="M14" s="44">
        <f>IF(AND( C5="Buy", ISBLANK(W5), B5&lt;&gt;"DIV"), ((E5*D5)+L5), "")</f>
        <v/>
      </c>
      <c r="N14" s="45">
        <f>IF(AND( C5="Buy", ISBLANK(W5), B5&lt;&gt;"DIV"), D5, "")</f>
        <v/>
      </c>
      <c r="O14" s="43">
        <f>IF(AND( C5="Buy", ISBLANK(W5), B5&lt;&gt;"DIV", NOW()-A5 &lt; 365), P5/sum(F5:I5), "")</f>
        <v/>
      </c>
      <c r="P14" s="44">
        <f>IF(AND( C5="Buy", ISBLANK(W5), B5&lt;&gt;"DIV", NOW()-A5 &lt; 365), (1-Index!$F$2*2)*((J5*D5)-(E5*D5)), "")</f>
        <v/>
      </c>
      <c r="Q14" s="44">
        <f>IF(AND( C5="Buy", ISBLANK(W5), B5&lt;&gt;"DIV", NOW()-A5 &lt; 365), ((E5*D5)+P5), "")</f>
        <v/>
      </c>
      <c r="R14" s="44">
        <f>IF(AND( C5="Buy", ISBLANK(W5), B5&lt;&gt;"DIV", NOW()-A5 &lt; 365), D5, "")</f>
        <v/>
      </c>
      <c r="S14" s="46">
        <f>IF(AND( C5="Buy", ISBLANK(W5), B5&lt;&gt;"DIV", NOW()-A5 &gt; 365), T5/sum(F5:I5), "")</f>
        <v/>
      </c>
      <c r="T14" s="50">
        <f>IF(AND( C5="Buy", ISBLANK(W5), B5&lt;&gt;"DIV", NOW()-A5 &gt; 365), (1-Index!$F$2*2)*((J5*D5)-(E5*D5)), "")</f>
        <v/>
      </c>
      <c r="U14" s="50">
        <f>IF(AND( C5="Buy", ISBLANK(W5), B5&lt;&gt;"DIV", NOW()-A5 &gt; 365), ((E5*D5)+T5), "")</f>
        <v/>
      </c>
      <c r="V14" s="50">
        <f>IF(AND( C5="Buy", ISBLANK(W5), B5&lt;&gt;"DIV", NOW()-A5 &gt; 365), D5, "")</f>
        <v/>
      </c>
      <c r="W14" s="50" t="n"/>
      <c r="X14" s="50" t="n"/>
      <c r="Y14" s="46">
        <f>IF(AND( C5="Buy", W5&lt;&gt;"", AA5&lt;&gt;"", B5&lt;&gt;"DIV"), Z5/sum(F5:I5), "")</f>
        <v/>
      </c>
      <c r="Z14" s="50" t="n"/>
      <c r="AA14" s="50" t="n"/>
      <c r="AB14" s="48" t="n"/>
      <c r="AC14" s="44">
        <f>if(B5="DIV", F5,"")</f>
        <v/>
      </c>
      <c r="AD14" s="49" t="n"/>
    </row>
    <row r="15">
      <c r="A15" s="38" t="n">
        <v>45959</v>
      </c>
      <c r="B15" s="59" t="inlineStr">
        <is>
          <t>BSE</t>
        </is>
      </c>
      <c r="C15" s="59" t="inlineStr">
        <is>
          <t>Buy</t>
        </is>
      </c>
      <c r="D15" s="40" t="n">
        <v>4</v>
      </c>
      <c r="E15" s="41" t="n">
        <v>723.03</v>
      </c>
      <c r="F15" s="41">
        <f>(D6*E6)</f>
        <v/>
      </c>
      <c r="G15" s="59" t="inlineStr">
        <is>
          <t>~</t>
        </is>
      </c>
      <c r="H15" s="40" t="n"/>
      <c r="I15" s="40" t="n"/>
      <c r="J15" s="42">
        <f>Index!$C$2</f>
        <v/>
      </c>
      <c r="K15" s="43">
        <f>IF(AND( C6="Buy", ISBLANK(W6), B6&lt;&gt;"DIV"), L6/sum(F6:I6), "")</f>
        <v/>
      </c>
      <c r="L15" s="44">
        <f>IF(AND( C6="Buy", ISBLANK(W6), B6&lt;&gt;"DIV"), (1-Index!$F$2*2)*((J6*D6)-(E6*D6)), "")</f>
        <v/>
      </c>
      <c r="M15" s="44">
        <f>IF(AND( C6="Buy", ISBLANK(W6), B6&lt;&gt;"DIV"), ((E6*D6)+L6), "")</f>
        <v/>
      </c>
      <c r="N15" s="45">
        <f>IF(AND( C6="Buy", ISBLANK(W6), B6&lt;&gt;"DIV"), D6, "")</f>
        <v/>
      </c>
      <c r="O15" s="43">
        <f>IF(AND( C6="Buy", ISBLANK(W6), B6&lt;&gt;"DIV", NOW()-A6 &lt; 365), P6/sum(F6:I6), "")</f>
        <v/>
      </c>
      <c r="P15" s="44">
        <f>IF(AND( C6="Buy", ISBLANK(W6), B6&lt;&gt;"DIV", NOW()-A6 &lt; 365), (1-Index!$F$2*2)*((J6*D6)-(E6*D6)), "")</f>
        <v/>
      </c>
      <c r="Q15" s="44">
        <f>IF(AND( C6="Buy", ISBLANK(W6), B6&lt;&gt;"DIV", NOW()-A6 &lt; 365), ((E6*D6)+P6), "")</f>
        <v/>
      </c>
      <c r="R15" s="44">
        <f>IF(AND( C6="Buy", ISBLANK(W6), B6&lt;&gt;"DIV", NOW()-A6 &lt; 365), D6, "")</f>
        <v/>
      </c>
      <c r="S15" s="46">
        <f>IF(AND( C6="Buy", ISBLANK(W6), B6&lt;&gt;"DIV", NOW()-A6 &gt; 365), T6/sum(F6:I6), "")</f>
        <v/>
      </c>
      <c r="T15" s="50">
        <f>IF(AND( C6="Buy", ISBLANK(W6), B6&lt;&gt;"DIV", NOW()-A6 &gt; 365), (1-Index!$F$2*2)*((J6*D6)-(E6*D6)), "")</f>
        <v/>
      </c>
      <c r="U15" s="50">
        <f>IF(AND( C6="Buy", ISBLANK(W6), B6&lt;&gt;"DIV", NOW()-A6 &gt; 365), ((E6*D6)+T6), "")</f>
        <v/>
      </c>
      <c r="V15" s="50">
        <f>IF(AND( C6="Buy", ISBLANK(W6), B6&lt;&gt;"DIV", NOW()-A6 &gt; 365), D6, "")</f>
        <v/>
      </c>
      <c r="W15" s="50" t="n"/>
      <c r="X15" s="50" t="n"/>
      <c r="Y15" s="46">
        <f>IF(AND( C6="Buy", W6&lt;&gt;"", AA6&lt;&gt;"", B6&lt;&gt;"DIV"), Z6/sum(F6:I6), "")</f>
        <v/>
      </c>
      <c r="Z15" s="50" t="n"/>
      <c r="AA15" s="50" t="n"/>
      <c r="AB15" s="48" t="n"/>
      <c r="AC15" s="44">
        <f>if(B6="DIV", F6,"")</f>
        <v/>
      </c>
      <c r="AD15" s="49" t="n"/>
    </row>
    <row r="16">
      <c r="A16" s="38" t="n">
        <v>45957</v>
      </c>
      <c r="B16" s="59" t="inlineStr">
        <is>
          <t>BSE</t>
        </is>
      </c>
      <c r="C16" s="59" t="inlineStr">
        <is>
          <t>Buy</t>
        </is>
      </c>
      <c r="D16" s="40" t="n">
        <v>5</v>
      </c>
      <c r="E16" s="41" t="n">
        <v>724.6</v>
      </c>
      <c r="F16" s="41">
        <f>(D7*E7)</f>
        <v/>
      </c>
      <c r="G16" s="59" t="inlineStr">
        <is>
          <t>~</t>
        </is>
      </c>
      <c r="H16" s="40" t="n"/>
      <c r="I16" s="40" t="n"/>
      <c r="J16" s="42">
        <f>Index!$C$2</f>
        <v/>
      </c>
      <c r="K16" s="43">
        <f>IF(AND( C7="Buy", ISBLANK(W7), B7&lt;&gt;"DIV"), L7/sum(F7:I7), "")</f>
        <v/>
      </c>
      <c r="L16" s="44">
        <f>IF(AND( C7="Buy", ISBLANK(W7), B7&lt;&gt;"DIV"), (1-Index!$F$2*2)*((J7*D7)-(E7*D7)), "")</f>
        <v/>
      </c>
      <c r="M16" s="44">
        <f>IF(AND( C7="Buy", ISBLANK(W7), B7&lt;&gt;"DIV"), ((E7*D7)+L7), "")</f>
        <v/>
      </c>
      <c r="N16" s="45">
        <f>IF(AND( C7="Buy", ISBLANK(W7), B7&lt;&gt;"DIV"), D7, "")</f>
        <v/>
      </c>
      <c r="O16" s="43">
        <f>IF(AND( C7="Buy", ISBLANK(W7), B7&lt;&gt;"DIV", NOW()-A7 &lt; 365), P7/sum(F7:I7), "")</f>
        <v/>
      </c>
      <c r="P16" s="44">
        <f>IF(AND( C7="Buy", ISBLANK(W7), B7&lt;&gt;"DIV", NOW()-A7 &lt; 365), (1-Index!$F$2*2)*((J7*D7)-(E7*D7)), "")</f>
        <v/>
      </c>
      <c r="Q16" s="44">
        <f>IF(AND( C7="Buy", ISBLANK(W7), B7&lt;&gt;"DIV", NOW()-A7 &lt; 365), ((E7*D7)+P7), "")</f>
        <v/>
      </c>
      <c r="R16" s="44">
        <f>IF(AND( C7="Buy", ISBLANK(W7), B7&lt;&gt;"DIV", NOW()-A7 &lt; 365), D7, "")</f>
        <v/>
      </c>
      <c r="S16" s="46">
        <f>IF(AND( C7="Buy", ISBLANK(W7), B7&lt;&gt;"DIV", NOW()-A7 &gt; 365), T7/sum(F7:I7), "")</f>
        <v/>
      </c>
      <c r="T16" s="50">
        <f>IF(AND( C7="Buy", ISBLANK(W7), B7&lt;&gt;"DIV", NOW()-A7 &gt; 365), (1-Index!$F$2*2)*((J7*D7)-(E7*D7)), "")</f>
        <v/>
      </c>
      <c r="U16" s="50">
        <f>IF(AND( C7="Buy", ISBLANK(W7), B7&lt;&gt;"DIV", NOW()-A7 &gt; 365), ((E7*D7)+T7), "")</f>
        <v/>
      </c>
      <c r="V16" s="50">
        <f>IF(AND( C7="Buy", ISBLANK(W7), B7&lt;&gt;"DIV", NOW()-A7 &gt; 365), D7, "")</f>
        <v/>
      </c>
      <c r="W16" s="50" t="n"/>
      <c r="X16" s="50" t="n"/>
      <c r="Y16" s="46">
        <f>IF(AND( C7="Buy", W7&lt;&gt;"", AA7&lt;&gt;"", B7&lt;&gt;"DIV"), Z7/sum(F7:I7), "")</f>
        <v/>
      </c>
      <c r="Z16" s="50" t="n"/>
      <c r="AA16" s="50" t="n"/>
      <c r="AB16" s="48" t="n"/>
      <c r="AC16" s="44">
        <f>if(B7="DIV", F7,"")</f>
        <v/>
      </c>
      <c r="AD16" s="49" t="n"/>
    </row>
    <row r="17">
      <c r="A17" s="38" t="n">
        <v>45954</v>
      </c>
      <c r="B17" s="59" t="inlineStr">
        <is>
          <t>BSE</t>
        </is>
      </c>
      <c r="C17" s="59" t="inlineStr">
        <is>
          <t>Buy</t>
        </is>
      </c>
      <c r="D17" s="40" t="n">
        <v>5</v>
      </c>
      <c r="E17" s="41" t="n">
        <v>729.03</v>
      </c>
      <c r="F17" s="41">
        <f>(D8*E8)</f>
        <v/>
      </c>
      <c r="G17" s="59" t="inlineStr">
        <is>
          <t>~</t>
        </is>
      </c>
      <c r="H17" s="40" t="n"/>
      <c r="I17" s="40" t="n"/>
      <c r="J17" s="42">
        <f>Index!$C$2</f>
        <v/>
      </c>
      <c r="K17" s="43">
        <f>IF(AND( C8="Buy", ISBLANK(W8), B8&lt;&gt;"DIV"), L8/sum(F8:I8), "")</f>
        <v/>
      </c>
      <c r="L17" s="44">
        <f>IF(AND( C8="Buy", ISBLANK(W8), B8&lt;&gt;"DIV"), (1-Index!$F$2*2)*((J8*D8)-(E8*D8)), "")</f>
        <v/>
      </c>
      <c r="M17" s="44">
        <f>IF(AND( C8="Buy", ISBLANK(W8), B8&lt;&gt;"DIV"), ((E8*D8)+L8), "")</f>
        <v/>
      </c>
      <c r="N17" s="45">
        <f>IF(AND( C8="Buy", ISBLANK(W8), B8&lt;&gt;"DIV"), D8, "")</f>
        <v/>
      </c>
      <c r="O17" s="43">
        <f>IF(AND( C8="Buy", ISBLANK(W8), B8&lt;&gt;"DIV", NOW()-A8 &lt; 365), P8/sum(F8:I8), "")</f>
        <v/>
      </c>
      <c r="P17" s="44">
        <f>IF(AND( C8="Buy", ISBLANK(W8), B8&lt;&gt;"DIV", NOW()-A8 &lt; 365), (1-Index!$F$2*2)*((J8*D8)-(E8*D8)), "")</f>
        <v/>
      </c>
      <c r="Q17" s="44">
        <f>IF(AND( C8="Buy", ISBLANK(W8), B8&lt;&gt;"DIV", NOW()-A8 &lt; 365), ((E8*D8)+P8), "")</f>
        <v/>
      </c>
      <c r="R17" s="44">
        <f>IF(AND( C8="Buy", ISBLANK(W8), B8&lt;&gt;"DIV", NOW()-A8 &lt; 365), D8, "")</f>
        <v/>
      </c>
      <c r="S17" s="46">
        <f>IF(AND( C8="Buy", ISBLANK(W8), B8&lt;&gt;"DIV", NOW()-A8 &gt; 365), T8/sum(F8:I8), "")</f>
        <v/>
      </c>
      <c r="T17" s="50">
        <f>IF(AND( C8="Buy", ISBLANK(W8), B8&lt;&gt;"DIV", NOW()-A8 &gt; 365), (1-Index!$F$2*2)*((J8*D8)-(E8*D8)), "")</f>
        <v/>
      </c>
      <c r="U17" s="50">
        <f>IF(AND( C8="Buy", ISBLANK(W8), B8&lt;&gt;"DIV", NOW()-A8 &gt; 365), ((E8*D8)+T8), "")</f>
        <v/>
      </c>
      <c r="V17" s="50">
        <f>IF(AND( C8="Buy", ISBLANK(W8), B8&lt;&gt;"DIV", NOW()-A8 &gt; 365), D8, "")</f>
        <v/>
      </c>
      <c r="W17" s="50" t="n"/>
      <c r="X17" s="50" t="n"/>
      <c r="Y17" s="46">
        <f>IF(AND( C8="Buy", W8&lt;&gt;"", AA8&lt;&gt;"", B8&lt;&gt;"DIV"), Z8/sum(F8:I8), "")</f>
        <v/>
      </c>
      <c r="Z17" s="50" t="n"/>
      <c r="AA17" s="50" t="n"/>
      <c r="AB17" s="48" t="n"/>
      <c r="AC17" s="44">
        <f>if(B8="DIV", F8,"")</f>
        <v/>
      </c>
      <c r="AD17" s="49" t="n"/>
    </row>
    <row r="18">
      <c r="A18" s="38" t="n">
        <v>45953</v>
      </c>
      <c r="B18" s="59" t="inlineStr">
        <is>
          <t>BSE</t>
        </is>
      </c>
      <c r="C18" s="59" t="inlineStr">
        <is>
          <t>Buy</t>
        </is>
      </c>
      <c r="D18" s="40" t="n">
        <v>1</v>
      </c>
      <c r="E18" s="41" t="n">
        <v>736.02</v>
      </c>
      <c r="F18" s="41">
        <f>(D9*E9)</f>
        <v/>
      </c>
      <c r="G18" s="59" t="inlineStr">
        <is>
          <t>~</t>
        </is>
      </c>
      <c r="H18" s="40" t="n"/>
      <c r="I18" s="40" t="n"/>
      <c r="J18" s="42">
        <f>Index!$C$2</f>
        <v/>
      </c>
      <c r="K18" s="43">
        <f>IF(AND( C9="Buy", ISBLANK(W9), B9&lt;&gt;"DIV"), L9/sum(F9:I9), "")</f>
        <v/>
      </c>
      <c r="L18" s="44">
        <f>IF(AND( C9="Buy", ISBLANK(W9), B9&lt;&gt;"DIV"), (1-Index!$F$2*2)*((J9*D9)-(E9*D9)), "")</f>
        <v/>
      </c>
      <c r="M18" s="44">
        <f>IF(AND( C9="Buy", ISBLANK(W9), B9&lt;&gt;"DIV"), ((E9*D9)+L9), "")</f>
        <v/>
      </c>
      <c r="N18" s="45">
        <f>IF(AND( C9="Buy", ISBLANK(W9), B9&lt;&gt;"DIV"), D9, "")</f>
        <v/>
      </c>
      <c r="O18" s="43">
        <f>IF(AND( C9="Buy", ISBLANK(W9), B9&lt;&gt;"DIV", NOW()-A9 &lt; 365), P9/sum(F9:I9), "")</f>
        <v/>
      </c>
      <c r="P18" s="44">
        <f>IF(AND( C9="Buy", ISBLANK(W9), B9&lt;&gt;"DIV", NOW()-A9 &lt; 365), (1-Index!$F$2*2)*((J9*D9)-(E9*D9)), "")</f>
        <v/>
      </c>
      <c r="Q18" s="44">
        <f>IF(AND( C9="Buy", ISBLANK(W9), B9&lt;&gt;"DIV", NOW()-A9 &lt; 365), ((E9*D9)+P9), "")</f>
        <v/>
      </c>
      <c r="R18" s="44">
        <f>IF(AND( C9="Buy", ISBLANK(W9), B9&lt;&gt;"DIV", NOW()-A9 &lt; 365), D9, "")</f>
        <v/>
      </c>
      <c r="S18" s="46">
        <f>IF(AND( C9="Buy", ISBLANK(W9), B9&lt;&gt;"DIV", NOW()-A9 &gt; 365), T9/sum(F9:I9), "")</f>
        <v/>
      </c>
      <c r="T18" s="50">
        <f>IF(AND( C9="Buy", ISBLANK(W9), B9&lt;&gt;"DIV", NOW()-A9 &gt; 365), (1-Index!$F$2*2)*((J9*D9)-(E9*D9)), "")</f>
        <v/>
      </c>
      <c r="U18" s="50">
        <f>IF(AND( C9="Buy", ISBLANK(W9), B9&lt;&gt;"DIV", NOW()-A9 &gt; 365), ((E9*D9)+T9), "")</f>
        <v/>
      </c>
      <c r="V18" s="50">
        <f>IF(AND( C9="Buy", ISBLANK(W9), B9&lt;&gt;"DIV", NOW()-A9 &gt; 365), D9, "")</f>
        <v/>
      </c>
      <c r="W18" s="50" t="n"/>
      <c r="X18" s="50" t="n"/>
      <c r="Y18" s="46">
        <f>IF(AND( C9="Buy", W9&lt;&gt;"", AA9&lt;&gt;"", B9&lt;&gt;"DIV"), Z9/sum(F9:I9), "")</f>
        <v/>
      </c>
      <c r="Z18" s="50" t="n"/>
      <c r="AA18" s="50" t="n"/>
      <c r="AB18" s="48" t="n"/>
      <c r="AC18" s="44">
        <f>if(B9="DIV", F9,"")</f>
        <v/>
      </c>
      <c r="AD18" s="49" t="n"/>
    </row>
    <row r="19">
      <c r="A19" s="38" t="n">
        <v>45953</v>
      </c>
      <c r="B19" s="59" t="inlineStr">
        <is>
          <t>BSE</t>
        </is>
      </c>
      <c r="C19" s="59" t="inlineStr">
        <is>
          <t>Buy</t>
        </is>
      </c>
      <c r="D19" s="40" t="n">
        <v>9</v>
      </c>
      <c r="E19" s="41" t="n">
        <v>736.1900000000001</v>
      </c>
      <c r="F19" s="41">
        <f>(D10*E10)</f>
        <v/>
      </c>
      <c r="G19" s="59" t="inlineStr">
        <is>
          <t>~</t>
        </is>
      </c>
      <c r="H19" s="40" t="n"/>
      <c r="I19" s="40" t="n"/>
      <c r="J19" s="42">
        <f>Index!$C$2</f>
        <v/>
      </c>
      <c r="K19" s="43">
        <f>IF(AND( C10="Buy", ISBLANK(W10), B10&lt;&gt;"DIV"), L10/sum(F10:I10), "")</f>
        <v/>
      </c>
      <c r="L19" s="44">
        <f>IF(AND( C10="Buy", ISBLANK(W10), B10&lt;&gt;"DIV"), (1-Index!$F$2*2)*((J10*D10)-(E10*D10)), "")</f>
        <v/>
      </c>
      <c r="M19" s="44">
        <f>IF(AND( C10="Buy", ISBLANK(W10), B10&lt;&gt;"DIV"), ((E10*D10)+L10), "")</f>
        <v/>
      </c>
      <c r="N19" s="45">
        <f>IF(AND( C10="Buy", ISBLANK(W10), B10&lt;&gt;"DIV"), D10, "")</f>
        <v/>
      </c>
      <c r="O19" s="43">
        <f>IF(AND( C10="Buy", ISBLANK(W10), B10&lt;&gt;"DIV", NOW()-A10 &lt; 365), P10/sum(F10:I10), "")</f>
        <v/>
      </c>
      <c r="P19" s="44">
        <f>IF(AND( C10="Buy", ISBLANK(W10), B10&lt;&gt;"DIV", NOW()-A10 &lt; 365), (1-Index!$F$2*2)*((J10*D10)-(E10*D10)), "")</f>
        <v/>
      </c>
      <c r="Q19" s="44">
        <f>IF(AND( C10="Buy", ISBLANK(W10), B10&lt;&gt;"DIV", NOW()-A10 &lt; 365), ((E10*D10)+P10), "")</f>
        <v/>
      </c>
      <c r="R19" s="44">
        <f>IF(AND( C10="Buy", ISBLANK(W10), B10&lt;&gt;"DIV", NOW()-A10 &lt; 365), D10, "")</f>
        <v/>
      </c>
      <c r="S19" s="46">
        <f>IF(AND( C10="Buy", ISBLANK(W10), B10&lt;&gt;"DIV", NOW()-A10 &gt; 365), T10/sum(F10:I10), "")</f>
        <v/>
      </c>
      <c r="T19" s="50">
        <f>IF(AND( C10="Buy", ISBLANK(W10), B10&lt;&gt;"DIV", NOW()-A10 &gt; 365), (1-Index!$F$2*2)*((J10*D10)-(E10*D10)), "")</f>
        <v/>
      </c>
      <c r="U19" s="50">
        <f>IF(AND( C10="Buy", ISBLANK(W10), B10&lt;&gt;"DIV", NOW()-A10 &gt; 365), ((E10*D10)+T10), "")</f>
        <v/>
      </c>
      <c r="V19" s="50">
        <f>IF(AND( C10="Buy", ISBLANK(W10), B10&lt;&gt;"DIV", NOW()-A10 &gt; 365), D10, "")</f>
        <v/>
      </c>
      <c r="W19" s="50" t="n"/>
      <c r="X19" s="50" t="n"/>
      <c r="Y19" s="46">
        <f>IF(AND( C10="Buy", W10&lt;&gt;"", AA10&lt;&gt;"", B10&lt;&gt;"DIV"), Z10/sum(F10:I10), "")</f>
        <v/>
      </c>
      <c r="Z19" s="50" t="n"/>
      <c r="AA19" s="50" t="n"/>
      <c r="AB19" s="48" t="n"/>
      <c r="AC19" s="44">
        <f>if(B10="DIV", F10,"")</f>
        <v/>
      </c>
      <c r="AD19" s="49" t="n"/>
    </row>
    <row r="20">
      <c r="A20" s="38" t="n">
        <v>45950</v>
      </c>
      <c r="B20" s="59" t="inlineStr">
        <is>
          <t>BSE</t>
        </is>
      </c>
      <c r="C20" s="59" t="inlineStr">
        <is>
          <t>Buy</t>
        </is>
      </c>
      <c r="D20" s="40" t="n">
        <v>10</v>
      </c>
      <c r="E20" s="41" t="n">
        <v>677.3200000000001</v>
      </c>
      <c r="F20" s="41">
        <f>(D11*E11)</f>
        <v/>
      </c>
      <c r="G20" s="59" t="inlineStr">
        <is>
          <t>~</t>
        </is>
      </c>
      <c r="H20" s="40" t="n"/>
      <c r="I20" s="40" t="n"/>
      <c r="J20" s="42">
        <f>Index!$C$2</f>
        <v/>
      </c>
      <c r="K20" s="43">
        <f>IF(AND( C11="Buy", ISBLANK(W11), B11&lt;&gt;"DIV"), L11/sum(F11:I11), "")</f>
        <v/>
      </c>
      <c r="L20" s="44">
        <f>IF(AND( C11="Buy", ISBLANK(W11), B11&lt;&gt;"DIV"), (1-Index!$F$2*2)*((J11*D11)-(E11*D11)), "")</f>
        <v/>
      </c>
      <c r="M20" s="44">
        <f>IF(AND( C11="Buy", ISBLANK(W11), B11&lt;&gt;"DIV"), ((E11*D11)+L11), "")</f>
        <v/>
      </c>
      <c r="N20" s="45">
        <f>IF(AND( C11="Buy", ISBLANK(W11), B11&lt;&gt;"DIV"), D11, "")</f>
        <v/>
      </c>
      <c r="O20" s="43">
        <f>IF(AND( C11="Buy", ISBLANK(W11), B11&lt;&gt;"DIV", NOW()-A11 &lt; 365), P11/sum(F11:I11), "")</f>
        <v/>
      </c>
      <c r="P20" s="44">
        <f>IF(AND( C11="Buy", ISBLANK(W11), B11&lt;&gt;"DIV", NOW()-A11 &lt; 365), (1-Index!$F$2*2)*((J11*D11)-(E11*D11)), "")</f>
        <v/>
      </c>
      <c r="Q20" s="44">
        <f>IF(AND( C11="Buy", ISBLANK(W11), B11&lt;&gt;"DIV", NOW()-A11 &lt; 365), ((E11*D11)+P11), "")</f>
        <v/>
      </c>
      <c r="R20" s="44">
        <f>IF(AND( C11="Buy", ISBLANK(W11), B11&lt;&gt;"DIV", NOW()-A11 &lt; 365), D11, "")</f>
        <v/>
      </c>
      <c r="S20" s="46">
        <f>IF(AND( C11="Buy", ISBLANK(W11), B11&lt;&gt;"DIV", NOW()-A11 &gt; 365), T11/sum(F11:I11), "")</f>
        <v/>
      </c>
      <c r="T20" s="50">
        <f>IF(AND( C11="Buy", ISBLANK(W11), B11&lt;&gt;"DIV", NOW()-A11 &gt; 365), (1-Index!$F$2*2)*((J11*D11)-(E11*D11)), "")</f>
        <v/>
      </c>
      <c r="U20" s="50">
        <f>IF(AND( C11="Buy", ISBLANK(W11), B11&lt;&gt;"DIV", NOW()-A11 &gt; 365), ((E11*D11)+T11), "")</f>
        <v/>
      </c>
      <c r="V20" s="50">
        <f>IF(AND( C11="Buy", ISBLANK(W11), B11&lt;&gt;"DIV", NOW()-A11 &gt; 365), D11, "")</f>
        <v/>
      </c>
      <c r="W20" s="50" t="n"/>
      <c r="X20" s="50" t="n"/>
      <c r="Y20" s="46">
        <f>IF(AND( C11="Buy", W11&lt;&gt;"", AA11&lt;&gt;"", B11&lt;&gt;"DIV"), Z11/sum(F11:I11), "")</f>
        <v/>
      </c>
      <c r="Z20" s="50" t="n"/>
      <c r="AA20" s="50" t="n"/>
      <c r="AB20" s="48" t="n"/>
      <c r="AC20" s="44">
        <f>if(B11="DIV", F11,"")</f>
        <v/>
      </c>
      <c r="AD20" s="49" t="n"/>
    </row>
    <row r="21">
      <c r="A21" s="38" t="n">
        <v>45947</v>
      </c>
      <c r="B21" s="59" t="inlineStr">
        <is>
          <t>BSE</t>
        </is>
      </c>
      <c r="C21" s="59" t="inlineStr">
        <is>
          <t>Buy</t>
        </is>
      </c>
      <c r="D21" s="40" t="n">
        <v>10</v>
      </c>
      <c r="E21" s="41" t="n">
        <v>695.7</v>
      </c>
      <c r="F21" s="41">
        <f>(D12*E12)+I12</f>
        <v/>
      </c>
      <c r="G21" s="59" t="inlineStr">
        <is>
          <t>~</t>
        </is>
      </c>
      <c r="H21" s="40" t="n"/>
      <c r="I21" s="40" t="n"/>
      <c r="J21" s="42">
        <f>Index!$C$2</f>
        <v/>
      </c>
      <c r="K21" s="43">
        <f>IF(AND( C12="Buy", ISBLANK(W12), B12&lt;&gt;"DIV"), L12/sum(F12:I12), "")</f>
        <v/>
      </c>
      <c r="L21" s="44">
        <f>IF(AND( C12="Buy", ISBLANK(W12), B12&lt;&gt;"DIV"), (1-Index!$F$2*2)*((J12*D12)-(E12*D12)), "")</f>
        <v/>
      </c>
      <c r="M21" s="44">
        <f>IF(AND( C12="Buy", ISBLANK(W12), B12&lt;&gt;"DIV"), ((E12*D12)+L12), "")</f>
        <v/>
      </c>
      <c r="N21" s="45">
        <f>IF(AND( C12="Buy", ISBLANK(W12), B12&lt;&gt;"DIV"), D12, "")</f>
        <v/>
      </c>
      <c r="O21" s="43">
        <f>IF(AND( C12="Buy", ISBLANK(W12), B12&lt;&gt;"DIV", NOW()-A12 &lt; 365), P12/sum(F12:I12), "")</f>
        <v/>
      </c>
      <c r="P21" s="44">
        <f>IF(AND( C12="Buy", ISBLANK(W12), B12&lt;&gt;"DIV", NOW()-A12 &lt; 365), (1-Index!$F$2*2)*((J12*D12)-(E12*D12)), "")</f>
        <v/>
      </c>
      <c r="Q21" s="44">
        <f>IF(AND( C12="Buy", ISBLANK(W12), B12&lt;&gt;"DIV", NOW()-A12 &lt; 365), ((E12*D12)+P12), "")</f>
        <v/>
      </c>
      <c r="R21" s="44">
        <f>IF(AND( C12="Buy", ISBLANK(W12), B12&lt;&gt;"DIV", NOW()-A12 &lt; 365), D12, "")</f>
        <v/>
      </c>
      <c r="S21" s="46">
        <f>IF(AND( C12="Buy", ISBLANK(W12), B12&lt;&gt;"DIV", NOW()-A12 &gt; 365), T12/sum(F12:I12), "")</f>
        <v/>
      </c>
      <c r="T21" s="50">
        <f>IF(AND( C12="Buy", ISBLANK(W12), B12&lt;&gt;"DIV", NOW()-A12 &gt; 365), (1-Index!$F$2*2)*((J12*D12)-(E12*D12)), "")</f>
        <v/>
      </c>
      <c r="U21" s="50">
        <f>IF(AND( C12="Buy", ISBLANK(W12), B12&lt;&gt;"DIV", NOW()-A12 &gt; 365), ((E12*D12)+T12), "")</f>
        <v/>
      </c>
      <c r="V21" s="50">
        <f>IF(AND( C12="Buy", ISBLANK(W12), B12&lt;&gt;"DIV", NOW()-A12 &gt; 365), D12, "")</f>
        <v/>
      </c>
      <c r="W21" s="50" t="n"/>
      <c r="X21" s="50" t="n"/>
      <c r="Y21" s="46">
        <f>IF(AND( C12="Buy", W12&lt;&gt;"", AA12&lt;&gt;"", B12&lt;&gt;"DIV"), Z12/sum(F12:I12), "")</f>
        <v/>
      </c>
      <c r="Z21" s="50" t="n"/>
      <c r="AA21" s="50" t="n"/>
      <c r="AB21" s="48" t="n"/>
      <c r="AC21" s="44">
        <f>if(B12="DIV", F12,"")</f>
        <v/>
      </c>
      <c r="AD21" s="49" t="n"/>
    </row>
    <row r="22">
      <c r="A22" s="38" t="n">
        <v>45924</v>
      </c>
      <c r="B22" s="59" t="inlineStr">
        <is>
          <t>BSE</t>
        </is>
      </c>
      <c r="C22" s="59" t="inlineStr">
        <is>
          <t>Buy</t>
        </is>
      </c>
      <c r="D22" s="40" t="n">
        <v>10</v>
      </c>
      <c r="E22" s="41" t="n">
        <v>683.75</v>
      </c>
      <c r="F22" s="41">
        <f>(D13*E13)+I13</f>
        <v/>
      </c>
      <c r="G22" s="59" t="inlineStr">
        <is>
          <t>~</t>
        </is>
      </c>
      <c r="H22" s="40" t="n"/>
      <c r="I22" s="40" t="n"/>
      <c r="J22" s="42">
        <f>Index!$C$2</f>
        <v/>
      </c>
      <c r="K22" s="43">
        <f>IF(AND( C13="Buy", ISBLANK(W13), B13&lt;&gt;"DIV"), L13/sum(F13:I13), "")</f>
        <v/>
      </c>
      <c r="L22" s="44">
        <f>IF(AND( C13="Buy", ISBLANK(W13), B13&lt;&gt;"DIV"), (1-Index!$F$2*2)*((J13*D13)-(E13*D13)), "")</f>
        <v/>
      </c>
      <c r="M22" s="44">
        <f>IF(AND( C13="Buy", ISBLANK(W13), B13&lt;&gt;"DIV"), ((E13*D13)+L13), "")</f>
        <v/>
      </c>
      <c r="N22" s="45">
        <f>IF(AND( C13="Buy", ISBLANK(W13), B13&lt;&gt;"DIV"), D13, "")</f>
        <v/>
      </c>
      <c r="O22" s="43">
        <f>IF(AND( C13="Buy", ISBLANK(W13), B13&lt;&gt;"DIV", NOW()-A13 &lt; 365), P13/sum(F13:I13), "")</f>
        <v/>
      </c>
      <c r="P22" s="44">
        <f>IF(AND( C13="Buy", ISBLANK(W13), B13&lt;&gt;"DIV", NOW()-A13 &lt; 365), (1-Index!$F$2*2)*((J13*D13)-(E13*D13)), "")</f>
        <v/>
      </c>
      <c r="Q22" s="44">
        <f>IF(AND( C13="Buy", ISBLANK(W13), B13&lt;&gt;"DIV", NOW()-A13 &lt; 365), ((E13*D13)+P13), "")</f>
        <v/>
      </c>
      <c r="R22" s="44">
        <f>IF(AND( C13="Buy", ISBLANK(W13), B13&lt;&gt;"DIV", NOW()-A13 &lt; 365), D13, "")</f>
        <v/>
      </c>
      <c r="S22" s="46">
        <f>IF(AND( C13="Buy", ISBLANK(W13), B13&lt;&gt;"DIV", NOW()-A13 &gt; 365), T13/sum(F13:I13), "")</f>
        <v/>
      </c>
      <c r="T22" s="50">
        <f>IF(AND( C13="Buy", ISBLANK(W13), B13&lt;&gt;"DIV", NOW()-A13 &gt; 365), (1-Index!$F$2*2)*((J13*D13)-(E13*D13)), "")</f>
        <v/>
      </c>
      <c r="U22" s="50">
        <f>IF(AND( C13="Buy", ISBLANK(W13), B13&lt;&gt;"DIV", NOW()-A13 &gt; 365), ((E13*D13)+T13), "")</f>
        <v/>
      </c>
      <c r="V22" s="50">
        <f>IF(AND( C13="Buy", ISBLANK(W13), B13&lt;&gt;"DIV", NOW()-A13 &gt; 365), D13, "")</f>
        <v/>
      </c>
      <c r="W22" s="50" t="n"/>
      <c r="X22" s="50" t="n"/>
      <c r="Y22" s="46">
        <f>IF(AND( C13="Buy", W13&lt;&gt;"", AA13&lt;&gt;"", B13&lt;&gt;"DIV"), Z13/sum(F13:I13), "")</f>
        <v/>
      </c>
      <c r="Z22" s="50" t="n"/>
      <c r="AA22" s="50" t="n"/>
      <c r="AB22" s="48" t="n"/>
      <c r="AC22" s="44">
        <f>if(B13="DIV", F13,"")</f>
        <v/>
      </c>
      <c r="AD22" s="49" t="n"/>
    </row>
    <row r="23">
      <c r="A23" s="38" t="n">
        <v>45903</v>
      </c>
      <c r="B23" s="59" t="inlineStr">
        <is>
          <t>BSE</t>
        </is>
      </c>
      <c r="C23" s="59" t="inlineStr">
        <is>
          <t>Buy</t>
        </is>
      </c>
      <c r="D23" s="40" t="n">
        <v>10</v>
      </c>
      <c r="E23" s="41" t="n">
        <v>682.5599999999999</v>
      </c>
      <c r="F23" s="41" t="n">
        <v>6825.62</v>
      </c>
      <c r="G23" s="59" t="inlineStr">
        <is>
          <t>~</t>
        </is>
      </c>
      <c r="H23" s="40" t="n">
        <v>6.8</v>
      </c>
      <c r="I23" s="40" t="n">
        <v>41.32</v>
      </c>
      <c r="J23" s="42">
        <f>Index!$C$2</f>
        <v/>
      </c>
      <c r="K23" s="43">
        <f>IF(AND( C14="Buy", ISBLANK(W14), B14&lt;&gt;"DIV"), L14/sum(F14:I14), "")</f>
        <v/>
      </c>
      <c r="L23" s="44">
        <f>IF(AND( C14="Buy", ISBLANK(W14), B14&lt;&gt;"DIV"), (1-Index!$F$2*2)*((J14*D14)-(E14*D14)), "")</f>
        <v/>
      </c>
      <c r="M23" s="44">
        <f>IF(AND( C14="Buy", ISBLANK(W14), B14&lt;&gt;"DIV"), ((E14*D14)+L14), "")</f>
        <v/>
      </c>
      <c r="N23" s="45">
        <f>IF(AND( C14="Buy", ISBLANK(W14), B14&lt;&gt;"DIV"), D14, "")</f>
        <v/>
      </c>
      <c r="O23" s="43">
        <f>IF(AND( C14="Buy", ISBLANK(W14), B14&lt;&gt;"DIV", NOW()-A14 &lt; 365), P14/sum(F14:I14), "")</f>
        <v/>
      </c>
      <c r="P23" s="44">
        <f>IF(AND( C14="Buy", ISBLANK(W14), B14&lt;&gt;"DIV", NOW()-A14 &lt; 365), (1-Index!$F$2*2)*((J14*D14)-(E14*D14)), "")</f>
        <v/>
      </c>
      <c r="Q23" s="44">
        <f>IF(AND( C14="Buy", ISBLANK(W14), B14&lt;&gt;"DIV", NOW()-A14 &lt; 365), ((E14*D14)+P14), "")</f>
        <v/>
      </c>
      <c r="R23" s="44">
        <f>IF(AND( C14="Buy", ISBLANK(W14), B14&lt;&gt;"DIV", NOW()-A14 &lt; 365), D14, "")</f>
        <v/>
      </c>
      <c r="S23" s="46">
        <f>IF(AND( C14="Buy", ISBLANK(W14), B14&lt;&gt;"DIV", NOW()-A14 &gt; 365), T14/sum(F14:I14), "")</f>
        <v/>
      </c>
      <c r="T23" s="50">
        <f>IF(AND( C14="Buy", ISBLANK(W14), B14&lt;&gt;"DIV", NOW()-A14 &gt; 365), (1-Index!$F$2*2)*((J14*D14)-(E14*D14)), "")</f>
        <v/>
      </c>
      <c r="U23" s="50">
        <f>IF(AND( C14="Buy", ISBLANK(W14), B14&lt;&gt;"DIV", NOW()-A14 &gt; 365), ((E14*D14)+T14), "")</f>
        <v/>
      </c>
      <c r="V23" s="50">
        <f>IF(AND( C14="Buy", ISBLANK(W14), B14&lt;&gt;"DIV", NOW()-A14 &gt; 365), D14, "")</f>
        <v/>
      </c>
      <c r="W23" s="50" t="n"/>
      <c r="X23" s="50" t="n"/>
      <c r="Y23" s="46">
        <f>IF(AND( C14="Buy", W14&lt;&gt;"", AA14&lt;&gt;"", B14&lt;&gt;"DIV"), Z14/sum(F14:I14), "")</f>
        <v/>
      </c>
      <c r="Z23" s="50" t="n"/>
      <c r="AA23" s="50" t="n"/>
      <c r="AB23" s="48" t="n"/>
      <c r="AC23" s="44">
        <f>if(B14="DIV", F14,"")</f>
        <v/>
      </c>
      <c r="AD23" s="49" t="n"/>
    </row>
    <row r="24">
      <c r="A24" s="38" t="n">
        <v>45897</v>
      </c>
      <c r="B24" s="59" t="inlineStr">
        <is>
          <t>NSE</t>
        </is>
      </c>
      <c r="C24" s="59" t="inlineStr">
        <is>
          <t>Buy</t>
        </is>
      </c>
      <c r="D24" s="40" t="n">
        <v>5</v>
      </c>
      <c r="E24" s="41" t="n">
        <v>630.25</v>
      </c>
      <c r="F24" s="41" t="n">
        <v>3151.23</v>
      </c>
      <c r="G24" s="59" t="inlineStr">
        <is>
          <t>~</t>
        </is>
      </c>
      <c r="H24" s="40" t="n">
        <v>3.13</v>
      </c>
      <c r="I24" s="40" t="n">
        <v>19.1</v>
      </c>
      <c r="J24" s="42">
        <f>Index!$C$2</f>
        <v/>
      </c>
      <c r="K24" s="43">
        <f>IF(AND( C15="Buy", ISBLANK(W15), B15&lt;&gt;"DIV"), L15/sum(F15:I15), "")</f>
        <v/>
      </c>
      <c r="L24" s="44">
        <f>IF(AND( C15="Buy", ISBLANK(W15), B15&lt;&gt;"DIV"), (1-Index!$F$2*2)*((J15*D15)-(E15*D15)), "")</f>
        <v/>
      </c>
      <c r="M24" s="44">
        <f>IF(AND( C15="Buy", ISBLANK(W15), B15&lt;&gt;"DIV"), ((E15*D15)+L15), "")</f>
        <v/>
      </c>
      <c r="N24" s="45">
        <f>IF(AND( C15="Buy", ISBLANK(W15), B15&lt;&gt;"DIV"), D15, "")</f>
        <v/>
      </c>
      <c r="O24" s="43">
        <f>IF(AND( C15="Buy", ISBLANK(W15), B15&lt;&gt;"DIV", NOW()-A15 &lt; 365), P15/sum(F15:I15), "")</f>
        <v/>
      </c>
      <c r="P24" s="44">
        <f>IF(AND( C15="Buy", ISBLANK(W15), B15&lt;&gt;"DIV", NOW()-A15 &lt; 365), (1-Index!$F$2*2)*((J15*D15)-(E15*D15)), "")</f>
        <v/>
      </c>
      <c r="Q24" s="44">
        <f>IF(AND( C15="Buy", ISBLANK(W15), B15&lt;&gt;"DIV", NOW()-A15 &lt; 365), ((E15*D15)+P15), "")</f>
        <v/>
      </c>
      <c r="R24" s="44">
        <f>IF(AND( C15="Buy", ISBLANK(W15), B15&lt;&gt;"DIV", NOW()-A15 &lt; 365), D15, "")</f>
        <v/>
      </c>
      <c r="S24" s="46">
        <f>IF(AND( C15="Buy", ISBLANK(W15), B15&lt;&gt;"DIV", NOW()-A15 &gt; 365), T15/sum(F15:I15), "")</f>
        <v/>
      </c>
      <c r="T24" s="50">
        <f>IF(AND( C15="Buy", ISBLANK(W15), B15&lt;&gt;"DIV", NOW()-A15 &gt; 365), (1-Index!$F$2*2)*((J15*D15)-(E15*D15)), "")</f>
        <v/>
      </c>
      <c r="U24" s="50">
        <f>IF(AND( C15="Buy", ISBLANK(W15), B15&lt;&gt;"DIV", NOW()-A15 &gt; 365), ((E15*D15)+T15), "")</f>
        <v/>
      </c>
      <c r="V24" s="50">
        <f>IF(AND( C15="Buy", ISBLANK(W15), B15&lt;&gt;"DIV", NOW()-A15 &gt; 365), D15, "")</f>
        <v/>
      </c>
      <c r="W24" s="50" t="n"/>
      <c r="X24" s="50" t="n"/>
      <c r="Y24" s="46">
        <f>IF(AND( C15="Buy", W15&lt;&gt;"", AA15&lt;&gt;"", B15&lt;&gt;"DIV"), Z15/sum(F15:I15), "")</f>
        <v/>
      </c>
      <c r="Z24" s="50" t="n"/>
      <c r="AA24" s="50" t="n"/>
      <c r="AB24" s="48" t="n"/>
      <c r="AC24" s="44">
        <f>if(B15="DIV", F15,"")</f>
        <v/>
      </c>
      <c r="AD24" s="49" t="n"/>
    </row>
    <row r="25">
      <c r="A25" s="38" t="n">
        <v>45876</v>
      </c>
      <c r="B25" s="59" t="inlineStr">
        <is>
          <t>DIV</t>
        </is>
      </c>
      <c r="C25" s="59" t="inlineStr">
        <is>
          <t>Buy</t>
        </is>
      </c>
      <c r="D25" s="40" t="n">
        <v>10</v>
      </c>
      <c r="E25" s="41" t="n">
        <v>9</v>
      </c>
      <c r="F25" s="41" t="n">
        <v>90</v>
      </c>
      <c r="G25" s="59" t="inlineStr">
        <is>
          <t>Annual-Dividend of Rs.9.0000/- per share on Ex-Date: 07-AUG-2025</t>
        </is>
      </c>
      <c r="H25" s="40" t="n">
        <v>0</v>
      </c>
      <c r="I25" s="40" t="n">
        <v>0</v>
      </c>
      <c r="J25" s="42">
        <f>Index!$C$2</f>
        <v/>
      </c>
      <c r="K25" s="43">
        <f>IF(AND( C16="Buy", ISBLANK(W16), B16&lt;&gt;"DIV"), L16/sum(F16:I16), "")</f>
        <v/>
      </c>
      <c r="L25" s="44">
        <f>IF(AND( C16="Buy", ISBLANK(W16), B16&lt;&gt;"DIV"), (1-Index!$F$2*2)*((J16*D16)-(E16*D16)), "")</f>
        <v/>
      </c>
      <c r="M25" s="44">
        <f>IF(AND( C16="Buy", ISBLANK(W16), B16&lt;&gt;"DIV"), ((E16*D16)+L16), "")</f>
        <v/>
      </c>
      <c r="N25" s="45">
        <f>IF(AND( C16="Buy", ISBLANK(W16), B16&lt;&gt;"DIV"), D16, "")</f>
        <v/>
      </c>
      <c r="O25" s="43">
        <f>IF(AND( C16="Buy", ISBLANK(W16), B16&lt;&gt;"DIV", NOW()-A16 &lt; 365), P16/sum(F16:I16), "")</f>
        <v/>
      </c>
      <c r="P25" s="44">
        <f>IF(AND( C16="Buy", ISBLANK(W16), B16&lt;&gt;"DIV", NOW()-A16 &lt; 365), (1-Index!$F$2*2)*((J16*D16)-(E16*D16)), "")</f>
        <v/>
      </c>
      <c r="Q25" s="44">
        <f>IF(AND( C16="Buy", ISBLANK(W16), B16&lt;&gt;"DIV", NOW()-A16 &lt; 365), ((E16*D16)+P16), "")</f>
        <v/>
      </c>
      <c r="R25" s="44">
        <f>IF(AND( C16="Buy", ISBLANK(W16), B16&lt;&gt;"DIV", NOW()-A16 &lt; 365), D16, "")</f>
        <v/>
      </c>
      <c r="S25" s="46">
        <f>IF(AND( C16="Buy", ISBLANK(W16), B16&lt;&gt;"DIV", NOW()-A16 &gt; 365), T16/sum(F16:I16), "")</f>
        <v/>
      </c>
      <c r="T25" s="50">
        <f>IF(AND( C16="Buy", ISBLANK(W16), B16&lt;&gt;"DIV", NOW()-A16 &gt; 365), (1-Index!$F$2*2)*((J16*D16)-(E16*D16)), "")</f>
        <v/>
      </c>
      <c r="U25" s="50">
        <f>IF(AND( C16="Buy", ISBLANK(W16), B16&lt;&gt;"DIV", NOW()-A16 &gt; 365), ((E16*D16)+T16), "")</f>
        <v/>
      </c>
      <c r="V25" s="50">
        <f>IF(AND( C16="Buy", ISBLANK(W16), B16&lt;&gt;"DIV", NOW()-A16 &gt; 365), D16, "")</f>
        <v/>
      </c>
      <c r="W25" s="50" t="n"/>
      <c r="X25" s="50" t="n"/>
      <c r="Y25" s="46">
        <f>IF(AND( C16="Buy", W16&lt;&gt;"", AA16&lt;&gt;"", B16&lt;&gt;"DIV"), Z16/sum(F16:I16), "")</f>
        <v/>
      </c>
      <c r="Z25" s="50" t="n"/>
      <c r="AA25" s="50" t="n"/>
      <c r="AB25" s="48" t="n"/>
      <c r="AC25" s="44">
        <f>if(B16="DIV", F16,"")</f>
        <v/>
      </c>
      <c r="AD25" s="49" t="n"/>
    </row>
    <row r="26">
      <c r="A26" s="38" t="n">
        <v>45876</v>
      </c>
      <c r="B26" s="59" t="inlineStr">
        <is>
          <t>DIV</t>
        </is>
      </c>
      <c r="C26" s="59" t="inlineStr">
        <is>
          <t>Buy</t>
        </is>
      </c>
      <c r="D26" s="40" t="n">
        <v>15</v>
      </c>
      <c r="E26" s="41" t="n">
        <v>9</v>
      </c>
      <c r="F26" s="41" t="n">
        <v>135</v>
      </c>
      <c r="G26" s="59" t="inlineStr">
        <is>
          <t>Annual-Dividend of Rs.9.0000/- per share on Ex-Date: 07-AUG-2025</t>
        </is>
      </c>
      <c r="H26" s="40" t="n">
        <v>0</v>
      </c>
      <c r="I26" s="40" t="n">
        <v>0</v>
      </c>
      <c r="J26" s="42">
        <f>Index!$C$2</f>
        <v/>
      </c>
      <c r="K26" s="43">
        <f>IF(AND( C17="Buy", ISBLANK(W17), B17&lt;&gt;"DIV"), L17/sum(F17:I17), "")</f>
        <v/>
      </c>
      <c r="L26" s="44">
        <f>IF(AND( C17="Buy", ISBLANK(W17), B17&lt;&gt;"DIV"), (1-Index!$F$2*2)*((J17*D17)-(E17*D17)), "")</f>
        <v/>
      </c>
      <c r="M26" s="44">
        <f>IF(AND( C17="Buy", ISBLANK(W17), B17&lt;&gt;"DIV"), ((E17*D17)+L17), "")</f>
        <v/>
      </c>
      <c r="N26" s="45">
        <f>IF(AND( C17="Buy", ISBLANK(W17), B17&lt;&gt;"DIV"), D17, "")</f>
        <v/>
      </c>
      <c r="O26" s="43">
        <f>IF(AND( C17="Buy", ISBLANK(W17), B17&lt;&gt;"DIV", NOW()-A17 &lt; 365), P17/sum(F17:I17), "")</f>
        <v/>
      </c>
      <c r="P26" s="44">
        <f>IF(AND( C17="Buy", ISBLANK(W17), B17&lt;&gt;"DIV", NOW()-A17 &lt; 365), (1-Index!$F$2*2)*((J17*D17)-(E17*D17)), "")</f>
        <v/>
      </c>
      <c r="Q26" s="44">
        <f>IF(AND( C17="Buy", ISBLANK(W17), B17&lt;&gt;"DIV", NOW()-A17 &lt; 365), ((E17*D17)+P17), "")</f>
        <v/>
      </c>
      <c r="R26" s="44">
        <f>IF(AND( C17="Buy", ISBLANK(W17), B17&lt;&gt;"DIV", NOW()-A17 &lt; 365), D17, "")</f>
        <v/>
      </c>
      <c r="S26" s="46">
        <f>IF(AND( C17="Buy", ISBLANK(W17), B17&lt;&gt;"DIV", NOW()-A17 &gt; 365), T17/sum(F17:I17), "")</f>
        <v/>
      </c>
      <c r="T26" s="50">
        <f>IF(AND( C17="Buy", ISBLANK(W17), B17&lt;&gt;"DIV", NOW()-A17 &gt; 365), (1-Index!$F$2*2)*((J17*D17)-(E17*D17)), "")</f>
        <v/>
      </c>
      <c r="U26" s="50">
        <f>IF(AND( C17="Buy", ISBLANK(W17), B17&lt;&gt;"DIV", NOW()-A17 &gt; 365), ((E17*D17)+T17), "")</f>
        <v/>
      </c>
      <c r="V26" s="50">
        <f>IF(AND( C17="Buy", ISBLANK(W17), B17&lt;&gt;"DIV", NOW()-A17 &gt; 365), D17, "")</f>
        <v/>
      </c>
      <c r="W26" s="50" t="n"/>
      <c r="X26" s="50" t="n"/>
      <c r="Y26" s="46">
        <f>IF(AND( C17="Buy", W17&lt;&gt;"", AA17&lt;&gt;"", B17&lt;&gt;"DIV"), Z17/sum(F17:I17), "")</f>
        <v/>
      </c>
      <c r="Z26" s="50" t="n"/>
      <c r="AA26" s="50" t="n"/>
      <c r="AB26" s="48" t="n"/>
      <c r="AC26" s="44">
        <f>if(B17="DIV", F17,"")</f>
        <v/>
      </c>
      <c r="AD26" s="49" t="n"/>
    </row>
    <row r="27">
      <c r="A27" s="38" t="n">
        <v>45873</v>
      </c>
      <c r="B27" s="59" t="inlineStr">
        <is>
          <t>NSE</t>
        </is>
      </c>
      <c r="C27" s="59" t="inlineStr">
        <is>
          <t>Buy</t>
        </is>
      </c>
      <c r="D27" s="40" t="n">
        <v>5</v>
      </c>
      <c r="E27" s="41" t="n">
        <v>669.9299999999999</v>
      </c>
      <c r="F27" s="41" t="n">
        <v>3349.66</v>
      </c>
      <c r="G27" s="59" t="inlineStr">
        <is>
          <t>~</t>
        </is>
      </c>
      <c r="H27" s="40" t="n">
        <v>3.37</v>
      </c>
      <c r="I27" s="40" t="n">
        <v>20.29</v>
      </c>
      <c r="J27" s="42">
        <f>Index!$C$2</f>
        <v/>
      </c>
      <c r="K27" s="43">
        <f>IF(AND( C18="Buy", ISBLANK(W18), B18&lt;&gt;"DIV"), L18/sum(F18:I18), "")</f>
        <v/>
      </c>
      <c r="L27" s="44">
        <f>IF(AND( C18="Buy", ISBLANK(W18), B18&lt;&gt;"DIV"), (1-Index!$F$2*2)*((J18*D18)-(E18*D18)), "")</f>
        <v/>
      </c>
      <c r="M27" s="44">
        <f>IF(AND( C18="Buy", ISBLANK(W18), B18&lt;&gt;"DIV"), ((E18*D18)+L18), "")</f>
        <v/>
      </c>
      <c r="N27" s="45">
        <f>IF(AND( C18="Buy", ISBLANK(W18), B18&lt;&gt;"DIV"), D18, "")</f>
        <v/>
      </c>
      <c r="O27" s="43">
        <f>IF(AND( C18="Buy", ISBLANK(W18), B18&lt;&gt;"DIV", NOW()-A18 &lt; 365), P18/sum(F18:I18), "")</f>
        <v/>
      </c>
      <c r="P27" s="44">
        <f>IF(AND( C18="Buy", ISBLANK(W18), B18&lt;&gt;"DIV", NOW()-A18 &lt; 365), (1-Index!$F$2*2)*((J18*D18)-(E18*D18)), "")</f>
        <v/>
      </c>
      <c r="Q27" s="44">
        <f>IF(AND( C18="Buy", ISBLANK(W18), B18&lt;&gt;"DIV", NOW()-A18 &lt; 365), ((E18*D18)+P18), "")</f>
        <v/>
      </c>
      <c r="R27" s="44">
        <f>IF(AND( C18="Buy", ISBLANK(W18), B18&lt;&gt;"DIV", NOW()-A18 &lt; 365), D18, "")</f>
        <v/>
      </c>
      <c r="S27" s="46">
        <f>IF(AND( C18="Buy", ISBLANK(W18), B18&lt;&gt;"DIV", NOW()-A18 &gt; 365), T18/sum(F18:I18), "")</f>
        <v/>
      </c>
      <c r="T27" s="50">
        <f>IF(AND( C18="Buy", ISBLANK(W18), B18&lt;&gt;"DIV", NOW()-A18 &gt; 365), (1-Index!$F$2*2)*((J18*D18)-(E18*D18)), "")</f>
        <v/>
      </c>
      <c r="U27" s="50">
        <f>IF(AND( C18="Buy", ISBLANK(W18), B18&lt;&gt;"DIV", NOW()-A18 &gt; 365), ((E18*D18)+T18), "")</f>
        <v/>
      </c>
      <c r="V27" s="50">
        <f>IF(AND( C18="Buy", ISBLANK(W18), B18&lt;&gt;"DIV", NOW()-A18 &gt; 365), D18, "")</f>
        <v/>
      </c>
      <c r="W27" s="50" t="n"/>
      <c r="X27" s="50" t="n"/>
      <c r="Y27" s="46">
        <f>IF(AND( C18="Buy", W18&lt;&gt;"", AA18&lt;&gt;"", B18&lt;&gt;"DIV"), Z18/sum(F18:I18), "")</f>
        <v/>
      </c>
      <c r="Z27" s="50" t="n"/>
      <c r="AA27" s="50" t="n"/>
      <c r="AB27" s="48" t="n"/>
      <c r="AC27" s="44">
        <f>if(B18="DIV", F18,"")</f>
        <v/>
      </c>
      <c r="AD27" s="49" t="n"/>
    </row>
    <row r="28">
      <c r="A28" s="38" t="n">
        <v>45855</v>
      </c>
      <c r="B28" s="59" t="inlineStr">
        <is>
          <t>BSE</t>
        </is>
      </c>
      <c r="C28" s="59" t="inlineStr">
        <is>
          <t>Buy</t>
        </is>
      </c>
      <c r="D28" s="40" t="n">
        <v>10</v>
      </c>
      <c r="E28" s="41" t="n">
        <v>741.22</v>
      </c>
      <c r="F28" s="41" t="n">
        <v>7412.23</v>
      </c>
      <c r="G28" s="59" t="inlineStr">
        <is>
          <t>~</t>
        </is>
      </c>
      <c r="H28" s="40" t="n">
        <v>7.36</v>
      </c>
      <c r="I28" s="40" t="n">
        <v>44.87</v>
      </c>
      <c r="J28" s="42">
        <f>Index!$C$2</f>
        <v/>
      </c>
      <c r="K28" s="43">
        <f>IF(AND( C19="Buy", ISBLANK(W19), B19&lt;&gt;"DIV"), L19/sum(F19:I19), "")</f>
        <v/>
      </c>
      <c r="L28" s="44">
        <f>IF(AND( C19="Buy", ISBLANK(W19), B19&lt;&gt;"DIV"), (1-Index!$F$2*2)*((J19*D19)-(E19*D19)), "")</f>
        <v/>
      </c>
      <c r="M28" s="44">
        <f>IF(AND( C19="Buy", ISBLANK(W19), B19&lt;&gt;"DIV"), ((E19*D19)+L19), "")</f>
        <v/>
      </c>
      <c r="N28" s="45">
        <f>IF(AND( C19="Buy", ISBLANK(W19), B19&lt;&gt;"DIV"), D19, "")</f>
        <v/>
      </c>
      <c r="O28" s="43">
        <f>IF(AND( C19="Buy", ISBLANK(W19), B19&lt;&gt;"DIV", NOW()-A19 &lt; 365), P19/sum(F19:I19), "")</f>
        <v/>
      </c>
      <c r="P28" s="44">
        <f>IF(AND( C19="Buy", ISBLANK(W19), B19&lt;&gt;"DIV", NOW()-A19 &lt; 365), (1-Index!$F$2*2)*((J19*D19)-(E19*D19)), "")</f>
        <v/>
      </c>
      <c r="Q28" s="44">
        <f>IF(AND( C19="Buy", ISBLANK(W19), B19&lt;&gt;"DIV", NOW()-A19 &lt; 365), ((E19*D19)+P19), "")</f>
        <v/>
      </c>
      <c r="R28" s="44">
        <f>IF(AND( C19="Buy", ISBLANK(W19), B19&lt;&gt;"DIV", NOW()-A19 &lt; 365), D19, "")</f>
        <v/>
      </c>
      <c r="S28" s="46">
        <f>IF(AND( C19="Buy", ISBLANK(W19), B19&lt;&gt;"DIV", NOW()-A19 &gt; 365), T19/sum(F19:I19), "")</f>
        <v/>
      </c>
      <c r="T28" s="50">
        <f>IF(AND( C19="Buy", ISBLANK(W19), B19&lt;&gt;"DIV", NOW()-A19 &gt; 365), (1-Index!$F$2*2)*((J19*D19)-(E19*D19)), "")</f>
        <v/>
      </c>
      <c r="U28" s="50">
        <f>IF(AND( C19="Buy", ISBLANK(W19), B19&lt;&gt;"DIV", NOW()-A19 &gt; 365), ((E19*D19)+T19), "")</f>
        <v/>
      </c>
      <c r="V28" s="50">
        <f>IF(AND( C19="Buy", ISBLANK(W19), B19&lt;&gt;"DIV", NOW()-A19 &gt; 365), D19, "")</f>
        <v/>
      </c>
      <c r="W28" s="50" t="n"/>
      <c r="X28" s="50" t="n"/>
      <c r="Y28" s="46">
        <f>IF(AND( C19="Buy", W19&lt;&gt;"", AA19&lt;&gt;"", B19&lt;&gt;"DIV"), Z19/sum(F19:I19), "")</f>
        <v/>
      </c>
      <c r="Z28" s="50" t="n"/>
      <c r="AA28" s="50" t="n"/>
      <c r="AB28" s="48" t="n"/>
      <c r="AC28" s="44">
        <f>if(B19="DIV", F19,"")</f>
        <v/>
      </c>
      <c r="AD28" s="49" t="n"/>
    </row>
    <row r="29">
      <c r="A29" s="38" t="n">
        <v>45812</v>
      </c>
      <c r="B29" s="59" t="inlineStr">
        <is>
          <t>NSE</t>
        </is>
      </c>
      <c r="C29" s="59" t="inlineStr">
        <is>
          <t>Buy</t>
        </is>
      </c>
      <c r="D29" s="40" t="n">
        <v>1</v>
      </c>
      <c r="E29" s="41" t="n">
        <v>774.3</v>
      </c>
      <c r="F29" s="41" t="n">
        <v>774.3</v>
      </c>
      <c r="G29" s="59" t="inlineStr">
        <is>
          <t>~</t>
        </is>
      </c>
      <c r="H29" s="40" t="n">
        <v>0.77</v>
      </c>
      <c r="I29" s="40" t="n">
        <v>4.68</v>
      </c>
      <c r="J29" s="42">
        <f>Index!$C$2</f>
        <v/>
      </c>
      <c r="K29" s="43">
        <f>IF(AND( C20="Buy", ISBLANK(W20), B20&lt;&gt;"DIV"), L20/sum(F20:I20), "")</f>
        <v/>
      </c>
      <c r="L29" s="44">
        <f>IF(AND( C20="Buy", ISBLANK(W20), B20&lt;&gt;"DIV"), (1-Index!$F$2*2)*((J20*D20)-(E20*D20)), "")</f>
        <v/>
      </c>
      <c r="M29" s="44">
        <f>IF(AND( C20="Buy", ISBLANK(W20), B20&lt;&gt;"DIV"), ((E20*D20)+L20), "")</f>
        <v/>
      </c>
      <c r="N29" s="45">
        <f>IF(AND( C20="Buy", ISBLANK(W20), B20&lt;&gt;"DIV"), D20, "")</f>
        <v/>
      </c>
      <c r="O29" s="43">
        <f>IF(AND( C20="Buy", ISBLANK(W20), B20&lt;&gt;"DIV", NOW()-A20 &lt; 365), P20/sum(F20:I20), "")</f>
        <v/>
      </c>
      <c r="P29" s="44">
        <f>IF(AND( C20="Buy", ISBLANK(W20), B20&lt;&gt;"DIV", NOW()-A20 &lt; 365), (1-Index!$F$2*2)*((J20*D20)-(E20*D20)), "")</f>
        <v/>
      </c>
      <c r="Q29" s="44">
        <f>IF(AND( C20="Buy", ISBLANK(W20), B20&lt;&gt;"DIV", NOW()-A20 &lt; 365), ((E20*D20)+P20), "")</f>
        <v/>
      </c>
      <c r="R29" s="44">
        <f>IF(AND( C20="Buy", ISBLANK(W20), B20&lt;&gt;"DIV", NOW()-A20 &lt; 365), D20, "")</f>
        <v/>
      </c>
      <c r="S29" s="46">
        <f>IF(AND( C20="Buy", ISBLANK(W20), B20&lt;&gt;"DIV", NOW()-A20 &gt; 365), T20/sum(F20:I20), "")</f>
        <v/>
      </c>
      <c r="T29" s="50">
        <f>IF(AND( C20="Buy", ISBLANK(W20), B20&lt;&gt;"DIV", NOW()-A20 &gt; 365), (1-Index!$F$2*2)*((J20*D20)-(E20*D20)), "")</f>
        <v/>
      </c>
      <c r="U29" s="50">
        <f>IF(AND( C20="Buy", ISBLANK(W20), B20&lt;&gt;"DIV", NOW()-A20 &gt; 365), ((E20*D20)+T20), "")</f>
        <v/>
      </c>
      <c r="V29" s="50">
        <f>IF(AND( C20="Buy", ISBLANK(W20), B20&lt;&gt;"DIV", NOW()-A20 &gt; 365), D20, "")</f>
        <v/>
      </c>
      <c r="W29" s="50" t="n"/>
      <c r="X29" s="50" t="n"/>
      <c r="Y29" s="46">
        <f>IF(AND( C20="Buy", W20&lt;&gt;"", AA20&lt;&gt;"", B20&lt;&gt;"DIV"), Z20/sum(F20:I20), "")</f>
        <v/>
      </c>
      <c r="Z29" s="50" t="n"/>
      <c r="AA29" s="50" t="n"/>
      <c r="AB29" s="48" t="n"/>
      <c r="AC29" s="44">
        <f>if(B20="DIV", F20,"")</f>
        <v/>
      </c>
      <c r="AD29" s="49" t="n"/>
    </row>
    <row r="30">
      <c r="A30" s="38" t="n">
        <v>45812</v>
      </c>
      <c r="B30" s="59" t="inlineStr">
        <is>
          <t>NSE</t>
        </is>
      </c>
      <c r="C30" s="59" t="inlineStr">
        <is>
          <t>Buy</t>
        </is>
      </c>
      <c r="D30" s="40" t="n">
        <v>8</v>
      </c>
      <c r="E30" s="41" t="n">
        <v>774.3</v>
      </c>
      <c r="F30" s="41" t="n">
        <v>6194.39</v>
      </c>
      <c r="G30" s="59" t="inlineStr">
        <is>
          <t>~</t>
        </is>
      </c>
      <c r="H30" s="40" t="n">
        <v>6.2</v>
      </c>
      <c r="I30" s="40" t="n">
        <v>37.39</v>
      </c>
      <c r="J30" s="42">
        <f>Index!$C$2</f>
        <v/>
      </c>
      <c r="K30" s="43">
        <f>IF(AND( C21="Buy", ISBLANK(W21), B21&lt;&gt;"DIV"), L21/sum(F21:I21), "")</f>
        <v/>
      </c>
      <c r="L30" s="44">
        <f>IF(AND( C21="Buy", ISBLANK(W21), B21&lt;&gt;"DIV"), (1-Index!$F$2*2)*((J21*D21)-(E21*D21)), "")</f>
        <v/>
      </c>
      <c r="M30" s="44">
        <f>IF(AND( C21="Buy", ISBLANK(W21), B21&lt;&gt;"DIV"), ((E21*D21)+L21), "")</f>
        <v/>
      </c>
      <c r="N30" s="45">
        <f>IF(AND( C21="Buy", ISBLANK(W21), B21&lt;&gt;"DIV"), D21, "")</f>
        <v/>
      </c>
      <c r="O30" s="43">
        <f>IF(AND( C21="Buy", ISBLANK(W21), B21&lt;&gt;"DIV", NOW()-A21 &lt; 365), P21/sum(F21:I21), "")</f>
        <v/>
      </c>
      <c r="P30" s="44">
        <f>IF(AND( C21="Buy", ISBLANK(W21), B21&lt;&gt;"DIV", NOW()-A21 &lt; 365), (1-Index!$F$2*2)*((J21*D21)-(E21*D21)), "")</f>
        <v/>
      </c>
      <c r="Q30" s="44">
        <f>IF(AND( C21="Buy", ISBLANK(W21), B21&lt;&gt;"DIV", NOW()-A21 &lt; 365), ((E21*D21)+P21), "")</f>
        <v/>
      </c>
      <c r="R30" s="44">
        <f>IF(AND( C21="Buy", ISBLANK(W21), B21&lt;&gt;"DIV", NOW()-A21 &lt; 365), D21, "")</f>
        <v/>
      </c>
      <c r="S30" s="46">
        <f>IF(AND( C21="Buy", ISBLANK(W21), B21&lt;&gt;"DIV", NOW()-A21 &gt; 365), T21/sum(F21:I21), "")</f>
        <v/>
      </c>
      <c r="T30" s="50">
        <f>IF(AND( C21="Buy", ISBLANK(W21), B21&lt;&gt;"DIV", NOW()-A21 &gt; 365), (1-Index!$F$2*2)*((J21*D21)-(E21*D21)), "")</f>
        <v/>
      </c>
      <c r="U30" s="50">
        <f>IF(AND( C21="Buy", ISBLANK(W21), B21&lt;&gt;"DIV", NOW()-A21 &gt; 365), ((E21*D21)+T21), "")</f>
        <v/>
      </c>
      <c r="V30" s="50">
        <f>IF(AND( C21="Buy", ISBLANK(W21), B21&lt;&gt;"DIV", NOW()-A21 &gt; 365), D21, "")</f>
        <v/>
      </c>
      <c r="W30" s="50" t="n"/>
      <c r="X30" s="50" t="n"/>
      <c r="Y30" s="46">
        <f>IF(AND( C21="Buy", W21&lt;&gt;"", AA21&lt;&gt;"", B21&lt;&gt;"DIV"), Z21/sum(F21:I21), "")</f>
        <v/>
      </c>
      <c r="Z30" s="50" t="n"/>
      <c r="AA30" s="50" t="n"/>
      <c r="AB30" s="48" t="n"/>
      <c r="AC30" s="44">
        <f>if(B21="DIV", F21,"")</f>
        <v/>
      </c>
      <c r="AD30" s="49" t="n"/>
    </row>
    <row r="31">
      <c r="A31" s="38" t="n">
        <v>45812</v>
      </c>
      <c r="B31" s="59" t="inlineStr">
        <is>
          <t>NSE</t>
        </is>
      </c>
      <c r="C31" s="59" t="inlineStr">
        <is>
          <t>Buy</t>
        </is>
      </c>
      <c r="D31" s="40" t="n">
        <v>1</v>
      </c>
      <c r="E31" s="41" t="n">
        <v>774.3</v>
      </c>
      <c r="F31" s="41" t="n">
        <v>774.3</v>
      </c>
      <c r="G31" s="59" t="inlineStr">
        <is>
          <t>~</t>
        </is>
      </c>
      <c r="H31" s="40" t="n">
        <v>0.77</v>
      </c>
      <c r="I31" s="40" t="n">
        <v>4.68</v>
      </c>
      <c r="J31" s="42">
        <f>Index!$C$2</f>
        <v/>
      </c>
      <c r="K31" s="43">
        <f>IF(AND( C22="Buy", ISBLANK(W22), B22&lt;&gt;"DIV"), L22/sum(F22:I22), "")</f>
        <v/>
      </c>
      <c r="L31" s="44">
        <f>IF(AND( C22="Buy", ISBLANK(W22), B22&lt;&gt;"DIV"), (1-Index!$F$2*2)*((J22*D22)-(E22*D22)), "")</f>
        <v/>
      </c>
      <c r="M31" s="44">
        <f>IF(AND( C22="Buy", ISBLANK(W22), B22&lt;&gt;"DIV"), ((E22*D22)+L22), "")</f>
        <v/>
      </c>
      <c r="N31" s="45">
        <f>IF(AND( C22="Buy", ISBLANK(W22), B22&lt;&gt;"DIV"), D22, "")</f>
        <v/>
      </c>
      <c r="O31" s="43">
        <f>IF(AND( C22="Buy", ISBLANK(W22), B22&lt;&gt;"DIV", NOW()-A22 &lt; 365), P22/sum(F22:I22), "")</f>
        <v/>
      </c>
      <c r="P31" s="44">
        <f>IF(AND( C22="Buy", ISBLANK(W22), B22&lt;&gt;"DIV", NOW()-A22 &lt; 365), (1-Index!$F$2*2)*((J22*D22)-(E22*D22)), "")</f>
        <v/>
      </c>
      <c r="Q31" s="44">
        <f>IF(AND( C22="Buy", ISBLANK(W22), B22&lt;&gt;"DIV", NOW()-A22 &lt; 365), ((E22*D22)+P22), "")</f>
        <v/>
      </c>
      <c r="R31" s="44">
        <f>IF(AND( C22="Buy", ISBLANK(W22), B22&lt;&gt;"DIV", NOW()-A22 &lt; 365), D22, "")</f>
        <v/>
      </c>
      <c r="S31" s="46">
        <f>IF(AND( C22="Buy", ISBLANK(W22), B22&lt;&gt;"DIV", NOW()-A22 &gt; 365), T22/sum(F22:I22), "")</f>
        <v/>
      </c>
      <c r="T31" s="50">
        <f>IF(AND( C22="Buy", ISBLANK(W22), B22&lt;&gt;"DIV", NOW()-A22 &gt; 365), (1-Index!$F$2*2)*((J22*D22)-(E22*D22)), "")</f>
        <v/>
      </c>
      <c r="U31" s="50">
        <f>IF(AND( C22="Buy", ISBLANK(W22), B22&lt;&gt;"DIV", NOW()-A22 &gt; 365), ((E22*D22)+T22), "")</f>
        <v/>
      </c>
      <c r="V31" s="50">
        <f>IF(AND( C22="Buy", ISBLANK(W22), B22&lt;&gt;"DIV", NOW()-A22 &gt; 365), D22, "")</f>
        <v/>
      </c>
      <c r="W31" s="50" t="n"/>
      <c r="X31" s="50" t="n"/>
      <c r="Y31" s="46">
        <f>IF(AND( C22="Buy", W22&lt;&gt;"", AA22&lt;&gt;"", B22&lt;&gt;"DIV"), Z22/sum(F22:I22), "")</f>
        <v/>
      </c>
      <c r="Z31" s="50" t="n"/>
      <c r="AA31" s="50" t="n"/>
      <c r="AB31" s="48" t="n"/>
      <c r="AC31" s="44">
        <f>if(B22="DIV", F22,"")</f>
        <v/>
      </c>
      <c r="AD31" s="49" t="n"/>
    </row>
    <row r="32">
      <c r="A32" s="38" t="n">
        <v>45306</v>
      </c>
      <c r="B32" s="59" t="inlineStr">
        <is>
          <t>NSE</t>
        </is>
      </c>
      <c r="C32" s="59" t="inlineStr">
        <is>
          <t>Sell</t>
        </is>
      </c>
      <c r="D32" s="40" t="n">
        <v>10</v>
      </c>
      <c r="E32" s="41" t="n">
        <v>554.28</v>
      </c>
      <c r="F32" s="41" t="n">
        <v>5542.84</v>
      </c>
      <c r="G32" s="59" t="inlineStr">
        <is>
          <t>~</t>
        </is>
      </c>
      <c r="H32" s="40" t="n">
        <v>6</v>
      </c>
      <c r="I32" s="40" t="n">
        <v>33.16</v>
      </c>
      <c r="J32" s="42">
        <f>Index!$C$2</f>
        <v/>
      </c>
      <c r="K32" s="43">
        <f>IF(AND( C23="Buy", ISBLANK(W23), B23&lt;&gt;"DIV"), L23/sum(F23:I23), "")</f>
        <v/>
      </c>
      <c r="L32" s="44">
        <f>IF(AND( C23="Buy", ISBLANK(W23), B23&lt;&gt;"DIV"), (1-Index!$F$2*2)*((J23*D23)-(E23*D23)), "")</f>
        <v/>
      </c>
      <c r="M32" s="44">
        <f>IF(AND( C23="Buy", ISBLANK(W23), B23&lt;&gt;"DIV"), ((E23*D23)+L23), "")</f>
        <v/>
      </c>
      <c r="N32" s="45">
        <f>IF(AND( C23="Buy", ISBLANK(W23), B23&lt;&gt;"DIV"), D23, "")</f>
        <v/>
      </c>
      <c r="O32" s="43">
        <f>IF(AND( C23="Buy", ISBLANK(W23), B23&lt;&gt;"DIV", NOW()-A23 &lt; 365), P23/sum(F23:I23), "")</f>
        <v/>
      </c>
      <c r="P32" s="44">
        <f>IF(AND( C23="Buy", ISBLANK(W23), B23&lt;&gt;"DIV", NOW()-A23 &lt; 365), (1-Index!$F$2*2)*((J23*D23)-(E23*D23)), "")</f>
        <v/>
      </c>
      <c r="Q32" s="44">
        <f>IF(AND( C23="Buy", ISBLANK(W23), B23&lt;&gt;"DIV", NOW()-A23 &lt; 365), ((E23*D23)+P23), "")</f>
        <v/>
      </c>
      <c r="R32" s="44">
        <f>IF(AND( C23="Buy", ISBLANK(W23), B23&lt;&gt;"DIV", NOW()-A23 &lt; 365), D23, "")</f>
        <v/>
      </c>
      <c r="S32" s="46">
        <f>IF(AND( C23="Buy", ISBLANK(W23), B23&lt;&gt;"DIV", NOW()-A23 &gt; 365), T23/sum(F23:I23), "")</f>
        <v/>
      </c>
      <c r="T32" s="50">
        <f>IF(AND( C23="Buy", ISBLANK(W23), B23&lt;&gt;"DIV", NOW()-A23 &gt; 365), (1-Index!$F$2*2)*((J23*D23)-(E23*D23)), "")</f>
        <v/>
      </c>
      <c r="U32" s="50">
        <f>IF(AND( C23="Buy", ISBLANK(W23), B23&lt;&gt;"DIV", NOW()-A23 &gt; 365), ((E23*D23)+T23), "")</f>
        <v/>
      </c>
      <c r="V32" s="50">
        <f>IF(AND( C23="Buy", ISBLANK(W23), B23&lt;&gt;"DIV", NOW()-A23 &gt; 365), D23, "")</f>
        <v/>
      </c>
      <c r="W32" s="50" t="n"/>
      <c r="X32" s="50" t="n"/>
      <c r="Y32" s="46">
        <f>IF(AND( C23="Buy", W23&lt;&gt;"", AA23&lt;&gt;"", B23&lt;&gt;"DIV"), Z23/sum(F23:I23), "")</f>
        <v/>
      </c>
      <c r="Z32" s="50" t="n"/>
      <c r="AA32" s="50" t="n"/>
      <c r="AB32" s="48" t="n"/>
      <c r="AC32" s="44">
        <f>if(B23="DIV", F23,"")</f>
        <v/>
      </c>
      <c r="AD32" s="49" t="n"/>
    </row>
    <row r="33">
      <c r="A33" s="38" t="n">
        <v>45303</v>
      </c>
      <c r="B33" s="59" t="inlineStr">
        <is>
          <t>NSE</t>
        </is>
      </c>
      <c r="C33" s="59" t="inlineStr">
        <is>
          <t>Sell</t>
        </is>
      </c>
      <c r="D33" s="40" t="n">
        <v>30</v>
      </c>
      <c r="E33" s="41" t="n">
        <v>492.45</v>
      </c>
      <c r="F33" s="41" t="n">
        <v>14773.61</v>
      </c>
      <c r="G33" s="59" t="inlineStr">
        <is>
          <t>~</t>
        </is>
      </c>
      <c r="H33" s="40" t="n">
        <v>15</v>
      </c>
      <c r="I33" s="40" t="n">
        <v>88.39</v>
      </c>
      <c r="J33" s="42">
        <f>Index!$C$2</f>
        <v/>
      </c>
      <c r="K33" s="43">
        <f>IF(AND( C24="Buy", ISBLANK(W24), B24&lt;&gt;"DIV"), L24/sum(F24:I24), "")</f>
        <v/>
      </c>
      <c r="L33" s="44">
        <f>IF(AND( C24="Buy", ISBLANK(W24), B24&lt;&gt;"DIV"), (1-Index!$F$2*2)*((J24*D24)-(E24*D24)), "")</f>
        <v/>
      </c>
      <c r="M33" s="44">
        <f>IF(AND( C24="Buy", ISBLANK(W24), B24&lt;&gt;"DIV"), ((E24*D24)+L24), "")</f>
        <v/>
      </c>
      <c r="N33" s="45">
        <f>IF(AND( C24="Buy", ISBLANK(W24), B24&lt;&gt;"DIV"), D24, "")</f>
        <v/>
      </c>
      <c r="O33" s="43">
        <f>IF(AND( C24="Buy", ISBLANK(W24), B24&lt;&gt;"DIV", NOW()-A24 &lt; 365), P24/sum(F24:I24), "")</f>
        <v/>
      </c>
      <c r="P33" s="44">
        <f>IF(AND( C24="Buy", ISBLANK(W24), B24&lt;&gt;"DIV", NOW()-A24 &lt; 365), (1-Index!$F$2*2)*((J24*D24)-(E24*D24)), "")</f>
        <v/>
      </c>
      <c r="Q33" s="44">
        <f>IF(AND( C24="Buy", ISBLANK(W24), B24&lt;&gt;"DIV", NOW()-A24 &lt; 365), ((E24*D24)+P24), "")</f>
        <v/>
      </c>
      <c r="R33" s="44">
        <f>IF(AND( C24="Buy", ISBLANK(W24), B24&lt;&gt;"DIV", NOW()-A24 &lt; 365), D24, "")</f>
        <v/>
      </c>
      <c r="S33" s="46">
        <f>IF(AND( C24="Buy", ISBLANK(W24), B24&lt;&gt;"DIV", NOW()-A24 &gt; 365), T24/sum(F24:I24), "")</f>
        <v/>
      </c>
      <c r="T33" s="50">
        <f>IF(AND( C24="Buy", ISBLANK(W24), B24&lt;&gt;"DIV", NOW()-A24 &gt; 365), (1-Index!$F$2*2)*((J24*D24)-(E24*D24)), "")</f>
        <v/>
      </c>
      <c r="U33" s="50">
        <f>IF(AND( C24="Buy", ISBLANK(W24), B24&lt;&gt;"DIV", NOW()-A24 &gt; 365), ((E24*D24)+T24), "")</f>
        <v/>
      </c>
      <c r="V33" s="50">
        <f>IF(AND( C24="Buy", ISBLANK(W24), B24&lt;&gt;"DIV", NOW()-A24 &gt; 365), D24, "")</f>
        <v/>
      </c>
      <c r="W33" s="50" t="n"/>
      <c r="X33" s="50" t="n"/>
      <c r="Y33" s="46">
        <f>IF(AND( C24="Buy", W24&lt;&gt;"", AA24&lt;&gt;"", B24&lt;&gt;"DIV"), Z24/sum(F24:I24), "")</f>
        <v/>
      </c>
      <c r="Z33" s="50" t="n"/>
      <c r="AA33" s="50" t="n"/>
      <c r="AB33" s="48" t="n"/>
      <c r="AC33" s="44">
        <f>if(B24="DIV", F24,"")</f>
        <v/>
      </c>
      <c r="AD33" s="49" t="n"/>
    </row>
    <row r="34">
      <c r="A34" s="38" t="n">
        <v>45303</v>
      </c>
      <c r="B34" s="59" t="inlineStr">
        <is>
          <t>NSE</t>
        </is>
      </c>
      <c r="C34" s="59" t="inlineStr">
        <is>
          <t>Sell</t>
        </is>
      </c>
      <c r="D34" s="40" t="n">
        <v>10</v>
      </c>
      <c r="E34" s="41" t="n">
        <v>492.45</v>
      </c>
      <c r="F34" s="41" t="n">
        <v>4924.53</v>
      </c>
      <c r="G34" s="59" t="inlineStr">
        <is>
          <t>~</t>
        </is>
      </c>
      <c r="H34" s="40" t="n">
        <v>5</v>
      </c>
      <c r="I34" s="40" t="n">
        <v>29.47</v>
      </c>
      <c r="J34" s="42">
        <f>Index!$C$2</f>
        <v/>
      </c>
      <c r="K34" s="43">
        <f>IF(AND( C25="Buy", ISBLANK(W25), B25&lt;&gt;"DIV"), L25/sum(F25:I25), "")</f>
        <v/>
      </c>
      <c r="L34" s="44">
        <f>IF(AND( C25="Buy", ISBLANK(W25), B25&lt;&gt;"DIV"), (1-Index!$F$2*2)*((J25*D25)-(E25*D25)), "")</f>
        <v/>
      </c>
      <c r="M34" s="44">
        <f>IF(AND( C25="Buy", ISBLANK(W25), B25&lt;&gt;"DIV"), ((E25*D25)+L25), "")</f>
        <v/>
      </c>
      <c r="N34" s="45">
        <f>IF(AND( C25="Buy", ISBLANK(W25), B25&lt;&gt;"DIV"), D25, "")</f>
        <v/>
      </c>
      <c r="O34" s="43">
        <f>IF(AND( C25="Buy", ISBLANK(W25), B25&lt;&gt;"DIV", NOW()-A25 &lt; 365), P25/sum(F25:I25), "")</f>
        <v/>
      </c>
      <c r="P34" s="44">
        <f>IF(AND( C25="Buy", ISBLANK(W25), B25&lt;&gt;"DIV", NOW()-A25 &lt; 365), (1-Index!$F$2*2)*((J25*D25)-(E25*D25)), "")</f>
        <v/>
      </c>
      <c r="Q34" s="44">
        <f>IF(AND( C25="Buy", ISBLANK(W25), B25&lt;&gt;"DIV", NOW()-A25 &lt; 365), ((E25*D25)+P25), "")</f>
        <v/>
      </c>
      <c r="R34" s="44">
        <f>IF(AND( C25="Buy", ISBLANK(W25), B25&lt;&gt;"DIV", NOW()-A25 &lt; 365), D25, "")</f>
        <v/>
      </c>
      <c r="S34" s="46">
        <f>IF(AND( C25="Buy", ISBLANK(W25), B25&lt;&gt;"DIV", NOW()-A25 &gt; 365), T25/sum(F25:I25), "")</f>
        <v/>
      </c>
      <c r="T34" s="50">
        <f>IF(AND( C25="Buy", ISBLANK(W25), B25&lt;&gt;"DIV", NOW()-A25 &gt; 365), (1-Index!$F$2*2)*((J25*D25)-(E25*D25)), "")</f>
        <v/>
      </c>
      <c r="U34" s="50">
        <f>IF(AND( C25="Buy", ISBLANK(W25), B25&lt;&gt;"DIV", NOW()-A25 &gt; 365), ((E25*D25)+T25), "")</f>
        <v/>
      </c>
      <c r="V34" s="50">
        <f>IF(AND( C25="Buy", ISBLANK(W25), B25&lt;&gt;"DIV", NOW()-A25 &gt; 365), D25, "")</f>
        <v/>
      </c>
      <c r="W34" s="50" t="n"/>
      <c r="X34" s="50" t="n"/>
      <c r="Y34" s="46">
        <f>IF(AND( C25="Buy", W25&lt;&gt;"", AA25&lt;&gt;"", B25&lt;&gt;"DIV"), Z25/sum(F25:I25), "")</f>
        <v/>
      </c>
      <c r="Z34" s="50" t="n"/>
      <c r="AA34" s="50" t="n"/>
      <c r="AB34" s="48" t="n"/>
      <c r="AC34" s="44">
        <f>if(B25="DIV", F25,"")</f>
        <v/>
      </c>
      <c r="AD34" s="49" t="n"/>
    </row>
    <row r="35">
      <c r="A35" s="38" t="n">
        <v>45282</v>
      </c>
      <c r="B35" s="59" t="inlineStr">
        <is>
          <t>NSE</t>
        </is>
      </c>
      <c r="C35" s="59" t="inlineStr">
        <is>
          <t>Buy</t>
        </is>
      </c>
      <c r="D35" s="40" t="n">
        <v>10</v>
      </c>
      <c r="E35" s="41" t="n">
        <v>402.13</v>
      </c>
      <c r="F35" s="41" t="n">
        <v>4021.34</v>
      </c>
      <c r="G35" s="59" t="inlineStr">
        <is>
          <t>~</t>
        </is>
      </c>
      <c r="H35" s="40" t="n">
        <v>3.99</v>
      </c>
      <c r="I35" s="40" t="n">
        <v>24.35</v>
      </c>
      <c r="J35" s="42">
        <f>Index!$C$2</f>
        <v/>
      </c>
      <c r="K35" s="43">
        <f>IF(AND( C26="Buy", ISBLANK(W26), B26&lt;&gt;"DIV"), L26/sum(F26:I26), "")</f>
        <v/>
      </c>
      <c r="L35" s="44">
        <f>IF(AND( C26="Buy", ISBLANK(W26), B26&lt;&gt;"DIV"), (1-Index!$F$2*2)*((J26*D26)-(E26*D26)), "")</f>
        <v/>
      </c>
      <c r="M35" s="44">
        <f>IF(AND( C26="Buy", ISBLANK(W26), B26&lt;&gt;"DIV"), ((E26*D26)+L26), "")</f>
        <v/>
      </c>
      <c r="N35" s="45">
        <f>IF(AND( C26="Buy", ISBLANK(W26), B26&lt;&gt;"DIV"), D26, "")</f>
        <v/>
      </c>
      <c r="O35" s="43">
        <f>IF(AND( C26="Buy", ISBLANK(W26), B26&lt;&gt;"DIV", NOW()-A26 &lt; 365), P26/sum(F26:I26), "")</f>
        <v/>
      </c>
      <c r="P35" s="44">
        <f>IF(AND( C26="Buy", ISBLANK(W26), B26&lt;&gt;"DIV", NOW()-A26 &lt; 365), (1-Index!$F$2*2)*((J26*D26)-(E26*D26)), "")</f>
        <v/>
      </c>
      <c r="Q35" s="44">
        <f>IF(AND( C26="Buy", ISBLANK(W26), B26&lt;&gt;"DIV", NOW()-A26 &lt; 365), ((E26*D26)+P26), "")</f>
        <v/>
      </c>
      <c r="R35" s="44">
        <f>IF(AND( C26="Buy", ISBLANK(W26), B26&lt;&gt;"DIV", NOW()-A26 &lt; 365), D26, "")</f>
        <v/>
      </c>
      <c r="S35" s="46">
        <f>IF(AND( C26="Buy", ISBLANK(W26), B26&lt;&gt;"DIV", NOW()-A26 &gt; 365), T26/sum(F26:I26), "")</f>
        <v/>
      </c>
      <c r="T35" s="50">
        <f>IF(AND( C26="Buy", ISBLANK(W26), B26&lt;&gt;"DIV", NOW()-A26 &gt; 365), (1-Index!$F$2*2)*((J26*D26)-(E26*D26)), "")</f>
        <v/>
      </c>
      <c r="U35" s="50">
        <f>IF(AND( C26="Buy", ISBLANK(W26), B26&lt;&gt;"DIV", NOW()-A26 &gt; 365), ((E26*D26)+T26), "")</f>
        <v/>
      </c>
      <c r="V35" s="50">
        <f>IF(AND( C26="Buy", ISBLANK(W26), B26&lt;&gt;"DIV", NOW()-A26 &gt; 365), D26, "")</f>
        <v/>
      </c>
      <c r="W35" s="50" t="n">
        <v>513.0599999999999</v>
      </c>
      <c r="X35" s="38" t="n">
        <v>45306</v>
      </c>
      <c r="Y35" s="51" t="n">
        <v>0.2700879576</v>
      </c>
      <c r="Z35" s="52" t="n">
        <v>1093.7698</v>
      </c>
      <c r="AA35" s="52" t="n">
        <v>5115.0698</v>
      </c>
      <c r="AB35" s="53" t="n">
        <v>10</v>
      </c>
      <c r="AC35" s="54">
        <f>if(B26="DIV", F26,"")</f>
        <v/>
      </c>
      <c r="AD35" s="49" t="n"/>
      <c r="AE35" s="55" t="n"/>
      <c r="AF35" s="55" t="n"/>
      <c r="AG35" s="55" t="n"/>
      <c r="AH35" s="55" t="n"/>
      <c r="AI35" s="55" t="n"/>
      <c r="AJ35" s="55" t="n"/>
      <c r="AK35" s="55" t="n"/>
      <c r="AL35" s="55" t="n"/>
      <c r="AM35" s="55" t="n"/>
      <c r="AN35" s="55" t="n"/>
      <c r="AO35" s="55" t="n"/>
      <c r="AP35" s="55" t="n"/>
    </row>
    <row r="36">
      <c r="A36" s="38" t="n">
        <v>45278</v>
      </c>
      <c r="B36" s="59" t="inlineStr">
        <is>
          <t>NSE</t>
        </is>
      </c>
      <c r="C36" s="59" t="inlineStr">
        <is>
          <t>Buy</t>
        </is>
      </c>
      <c r="D36" s="40" t="n">
        <v>10</v>
      </c>
      <c r="E36" s="41" t="n">
        <v>399.61</v>
      </c>
      <c r="F36" s="41" t="n">
        <v>3996.05</v>
      </c>
      <c r="G36" s="59" t="inlineStr">
        <is>
          <t>~</t>
        </is>
      </c>
      <c r="H36" s="40" t="n">
        <v>3.96</v>
      </c>
      <c r="I36" s="40" t="n">
        <v>24.09</v>
      </c>
      <c r="J36" s="42">
        <f>Index!$C$2</f>
        <v/>
      </c>
      <c r="K36" s="43">
        <f>IF(AND( C27="Buy", ISBLANK(W27), B27&lt;&gt;"DIV"), L27/sum(F27:I27), "")</f>
        <v/>
      </c>
      <c r="L36" s="44">
        <f>IF(AND( C27="Buy", ISBLANK(W27), B27&lt;&gt;"DIV"), (1-Index!$F$2*2)*((J27*D27)-(E27*D27)), "")</f>
        <v/>
      </c>
      <c r="M36" s="44">
        <f>IF(AND( C27="Buy", ISBLANK(W27), B27&lt;&gt;"DIV"), ((E27*D27)+L27), "")</f>
        <v/>
      </c>
      <c r="N36" s="45">
        <f>IF(AND( C27="Buy", ISBLANK(W27), B27&lt;&gt;"DIV"), D27, "")</f>
        <v/>
      </c>
      <c r="O36" s="43">
        <f>IF(AND( C27="Buy", ISBLANK(W27), B27&lt;&gt;"DIV", NOW()-A27 &lt; 365), P27/sum(F27:I27), "")</f>
        <v/>
      </c>
      <c r="P36" s="44">
        <f>IF(AND( C27="Buy", ISBLANK(W27), B27&lt;&gt;"DIV", NOW()-A27 &lt; 365), (1-Index!$F$2*2)*((J27*D27)-(E27*D27)), "")</f>
        <v/>
      </c>
      <c r="Q36" s="44">
        <f>IF(AND( C27="Buy", ISBLANK(W27), B27&lt;&gt;"DIV", NOW()-A27 &lt; 365), ((E27*D27)+P27), "")</f>
        <v/>
      </c>
      <c r="R36" s="44">
        <f>IF(AND( C27="Buy", ISBLANK(W27), B27&lt;&gt;"DIV", NOW()-A27 &lt; 365), D27, "")</f>
        <v/>
      </c>
      <c r="S36" s="46">
        <f>IF(AND( C27="Buy", ISBLANK(W27), B27&lt;&gt;"DIV", NOW()-A27 &gt; 365), T27/sum(F27:I27), "")</f>
        <v/>
      </c>
      <c r="T36" s="50">
        <f>IF(AND( C27="Buy", ISBLANK(W27), B27&lt;&gt;"DIV", NOW()-A27 &gt; 365), (1-Index!$F$2*2)*((J27*D27)-(E27*D27)), "")</f>
        <v/>
      </c>
      <c r="U36" s="50">
        <f>IF(AND( C27="Buy", ISBLANK(W27), B27&lt;&gt;"DIV", NOW()-A27 &gt; 365), ((E27*D27)+T27), "")</f>
        <v/>
      </c>
      <c r="V36" s="50">
        <f>IF(AND( C27="Buy", ISBLANK(W27), B27&lt;&gt;"DIV", NOW()-A27 &gt; 365), D27, "")</f>
        <v/>
      </c>
      <c r="W36" s="50" t="n">
        <v>513.0599999999999</v>
      </c>
      <c r="X36" s="38" t="n">
        <v>45306</v>
      </c>
      <c r="Y36" s="51" t="n">
        <v>0.277979424</v>
      </c>
      <c r="Z36" s="52" t="n">
        <v>1118.617</v>
      </c>
      <c r="AA36" s="52" t="n">
        <v>5114.717</v>
      </c>
      <c r="AB36" s="53" t="n">
        <v>10</v>
      </c>
      <c r="AC36" s="54">
        <f>if(B27="DIV", F27,"")</f>
        <v/>
      </c>
      <c r="AD36" s="49" t="n"/>
      <c r="AE36" s="55" t="n"/>
      <c r="AF36" s="55" t="n"/>
      <c r="AG36" s="55" t="n"/>
      <c r="AH36" s="55" t="n"/>
      <c r="AI36" s="55" t="n"/>
      <c r="AJ36" s="55" t="n"/>
      <c r="AK36" s="55" t="n"/>
      <c r="AL36" s="55" t="n"/>
      <c r="AM36" s="55" t="n"/>
      <c r="AN36" s="55" t="n"/>
      <c r="AO36" s="55" t="n"/>
      <c r="AP36" s="55" t="n"/>
    </row>
    <row r="37">
      <c r="A37" s="38" t="n">
        <v>45258</v>
      </c>
      <c r="B37" s="59" t="inlineStr">
        <is>
          <t>NSE</t>
        </is>
      </c>
      <c r="C37" s="59" t="inlineStr">
        <is>
          <t>Buy</t>
        </is>
      </c>
      <c r="D37" s="40" t="n">
        <v>7</v>
      </c>
      <c r="E37" s="41" t="n">
        <v>399.21</v>
      </c>
      <c r="F37" s="41" t="n">
        <v>2794.47</v>
      </c>
      <c r="G37" s="59" t="inlineStr">
        <is>
          <t>~</t>
        </is>
      </c>
      <c r="H37" s="40" t="n">
        <v>2.77</v>
      </c>
      <c r="I37" s="40" t="n">
        <v>16.9</v>
      </c>
      <c r="J37" s="42">
        <f>Index!$C$2</f>
        <v/>
      </c>
      <c r="K37" s="43">
        <f>IF(AND( C28="Buy", ISBLANK(W28), B28&lt;&gt;"DIV"), L28/sum(F28:I28), "")</f>
        <v/>
      </c>
      <c r="L37" s="44">
        <f>IF(AND( C28="Buy", ISBLANK(W28), B28&lt;&gt;"DIV"), (1-Index!$F$2*2)*((J28*D28)-(E28*D28)), "")</f>
        <v/>
      </c>
      <c r="M37" s="44">
        <f>IF(AND( C28="Buy", ISBLANK(W28), B28&lt;&gt;"DIV"), ((E28*D28)+L28), "")</f>
        <v/>
      </c>
      <c r="N37" s="45">
        <f>IF(AND( C28="Buy", ISBLANK(W28), B28&lt;&gt;"DIV"), D28, "")</f>
        <v/>
      </c>
      <c r="O37" s="43">
        <f>IF(AND( C28="Buy", ISBLANK(W28), B28&lt;&gt;"DIV", NOW()-A28 &lt; 365), P28/sum(F28:I28), "")</f>
        <v/>
      </c>
      <c r="P37" s="44">
        <f>IF(AND( C28="Buy", ISBLANK(W28), B28&lt;&gt;"DIV", NOW()-A28 &lt; 365), (1-Index!$F$2*2)*((J28*D28)-(E28*D28)), "")</f>
        <v/>
      </c>
      <c r="Q37" s="44">
        <f>IF(AND( C28="Buy", ISBLANK(W28), B28&lt;&gt;"DIV", NOW()-A28 &lt; 365), ((E28*D28)+P28), "")</f>
        <v/>
      </c>
      <c r="R37" s="44">
        <f>IF(AND( C28="Buy", ISBLANK(W28), B28&lt;&gt;"DIV", NOW()-A28 &lt; 365), D28, "")</f>
        <v/>
      </c>
      <c r="S37" s="46">
        <f>IF(AND( C28="Buy", ISBLANK(W28), B28&lt;&gt;"DIV", NOW()-A28 &gt; 365), T28/sum(F28:I28), "")</f>
        <v/>
      </c>
      <c r="T37" s="50">
        <f>IF(AND( C28="Buy", ISBLANK(W28), B28&lt;&gt;"DIV", NOW()-A28 &gt; 365), (1-Index!$F$2*2)*((J28*D28)-(E28*D28)), "")</f>
        <v/>
      </c>
      <c r="U37" s="50">
        <f>IF(AND( C28="Buy", ISBLANK(W28), B28&lt;&gt;"DIV", NOW()-A28 &gt; 365), ((E28*D28)+T28), "")</f>
        <v/>
      </c>
      <c r="V37" s="50">
        <f>IF(AND( C28="Buy", ISBLANK(W28), B28&lt;&gt;"DIV", NOW()-A28 &gt; 365), D28, "")</f>
        <v/>
      </c>
      <c r="W37" s="50" t="n">
        <v>513.0599999999999</v>
      </c>
      <c r="X37" s="38" t="n">
        <v>45306</v>
      </c>
      <c r="Y37" s="51" t="n">
        <v>0.2792301378</v>
      </c>
      <c r="Z37" s="52" t="n">
        <v>785.7927</v>
      </c>
      <c r="AA37" s="52" t="n">
        <v>3580.2627</v>
      </c>
      <c r="AB37" s="53" t="n">
        <v>7</v>
      </c>
      <c r="AC37" s="54">
        <f>if(B28="DIV", F28,"")</f>
        <v/>
      </c>
      <c r="AD37" s="49" t="n"/>
      <c r="AE37" s="55" t="n"/>
      <c r="AF37" s="55" t="n"/>
      <c r="AG37" s="55" t="n"/>
      <c r="AH37" s="55" t="n"/>
      <c r="AI37" s="55" t="n"/>
      <c r="AJ37" s="55" t="n"/>
      <c r="AK37" s="55" t="n"/>
      <c r="AL37" s="55" t="n"/>
      <c r="AM37" s="55" t="n"/>
      <c r="AN37" s="55" t="n"/>
      <c r="AO37" s="55" t="n"/>
      <c r="AP37" s="55" t="n"/>
    </row>
    <row r="38">
      <c r="A38" s="56" t="n">
        <v>45225</v>
      </c>
      <c r="B38" s="59" t="inlineStr">
        <is>
          <t>NSE</t>
        </is>
      </c>
      <c r="C38" s="59" t="inlineStr">
        <is>
          <t>Buy</t>
        </is>
      </c>
      <c r="D38" s="40" t="n">
        <v>4</v>
      </c>
      <c r="E38" s="41" t="n">
        <v>392.37</v>
      </c>
      <c r="F38" s="41" t="n">
        <v>1569.46</v>
      </c>
      <c r="G38" s="59" t="inlineStr">
        <is>
          <t>~</t>
        </is>
      </c>
      <c r="H38" s="40" t="n">
        <v>1.57</v>
      </c>
      <c r="I38" s="40" t="n">
        <v>9.49</v>
      </c>
      <c r="J38" s="42">
        <f>Index!$C$2</f>
        <v/>
      </c>
      <c r="K38" s="43">
        <f>IF(AND( C29="Buy", ISBLANK(W29), B29&lt;&gt;"DIV"), L29/sum(F29:I29), "")</f>
        <v/>
      </c>
      <c r="L38" s="44">
        <f>IF(AND( C29="Buy", ISBLANK(W29), B29&lt;&gt;"DIV"), (1-Index!$F$2*2)*((J29*D29)-(E29*D29)), "")</f>
        <v/>
      </c>
      <c r="M38" s="44">
        <f>IF(AND( C29="Buy", ISBLANK(W29), B29&lt;&gt;"DIV"), ((E29*D29)+L29), "")</f>
        <v/>
      </c>
      <c r="N38" s="45">
        <f>IF(AND( C29="Buy", ISBLANK(W29), B29&lt;&gt;"DIV"), D29, "")</f>
        <v/>
      </c>
      <c r="O38" s="43">
        <f>IF(AND( C29="Buy", ISBLANK(W29), B29&lt;&gt;"DIV", NOW()-A29 &lt; 365), P29/sum(F29:I29), "")</f>
        <v/>
      </c>
      <c r="P38" s="44">
        <f>IF(AND( C29="Buy", ISBLANK(W29), B29&lt;&gt;"DIV", NOW()-A29 &lt; 365), (1-Index!$F$2*2)*((J29*D29)-(E29*D29)), "")</f>
        <v/>
      </c>
      <c r="Q38" s="44">
        <f>IF(AND( C29="Buy", ISBLANK(W29), B29&lt;&gt;"DIV", NOW()-A29 &lt; 365), ((E29*D29)+P29), "")</f>
        <v/>
      </c>
      <c r="R38" s="44">
        <f>IF(AND( C29="Buy", ISBLANK(W29), B29&lt;&gt;"DIV", NOW()-A29 &lt; 365), D29, "")</f>
        <v/>
      </c>
      <c r="S38" s="46">
        <f>IF(AND( C29="Buy", ISBLANK(W29), B29&lt;&gt;"DIV", NOW()-A29 &gt; 365), T29/sum(F29:I29), "")</f>
        <v/>
      </c>
      <c r="T38" s="50">
        <f>IF(AND( C29="Buy", ISBLANK(W29), B29&lt;&gt;"DIV", NOW()-A29 &gt; 365), (1-Index!$F$2*2)*((J29*D29)-(E29*D29)), "")</f>
        <v/>
      </c>
      <c r="U38" s="50">
        <f>IF(AND( C29="Buy", ISBLANK(W29), B29&lt;&gt;"DIV", NOW()-A29 &gt; 365), ((E29*D29)+T29), "")</f>
        <v/>
      </c>
      <c r="V38" s="50">
        <f>IF(AND( C29="Buy", ISBLANK(W29), B29&lt;&gt;"DIV", NOW()-A29 &gt; 365), D29, "")</f>
        <v/>
      </c>
      <c r="W38" s="50" t="n">
        <v>513.0599999999999</v>
      </c>
      <c r="X38" s="38" t="n">
        <v>45306</v>
      </c>
      <c r="Y38" s="51" t="n">
        <v>0.3011675651</v>
      </c>
      <c r="Z38" s="52" t="n">
        <v>476.00136</v>
      </c>
      <c r="AA38" s="52" t="n">
        <v>2045.48136</v>
      </c>
      <c r="AB38" s="53" t="n">
        <v>4</v>
      </c>
      <c r="AC38" s="54">
        <f>if(B29="DIV", F29,"")</f>
        <v/>
      </c>
      <c r="AD38" s="49" t="n"/>
      <c r="AE38" s="55" t="n"/>
    </row>
    <row r="39">
      <c r="A39" s="56" t="n">
        <v>45183</v>
      </c>
      <c r="B39" s="59" t="inlineStr">
        <is>
          <t>NSE</t>
        </is>
      </c>
      <c r="C39" s="59" t="inlineStr">
        <is>
          <t>Sell</t>
        </is>
      </c>
      <c r="D39" s="40" t="n">
        <v>36</v>
      </c>
      <c r="E39" s="41" t="n">
        <v>459.59</v>
      </c>
      <c r="F39" s="41" t="n">
        <v>16545.32</v>
      </c>
      <c r="G39" s="59" t="inlineStr">
        <is>
          <t>~</t>
        </is>
      </c>
      <c r="H39" s="40" t="n">
        <v>16.68</v>
      </c>
      <c r="I39" s="40" t="n">
        <v>98.8</v>
      </c>
      <c r="J39" s="42">
        <f>Index!$C$2</f>
        <v/>
      </c>
      <c r="K39" s="43">
        <f>IF(AND( C30="Buy", ISBLANK(W30), B30&lt;&gt;"DIV"), L30/sum(F30:I30), "")</f>
        <v/>
      </c>
      <c r="L39" s="44">
        <f>IF(AND( C30="Buy", ISBLANK(W30), B30&lt;&gt;"DIV"), (1-Index!$F$2*2)*((J30*D30)-(E30*D30)), "")</f>
        <v/>
      </c>
      <c r="M39" s="44">
        <f>IF(AND( C30="Buy", ISBLANK(W30), B30&lt;&gt;"DIV"), ((E30*D30)+L30), "")</f>
        <v/>
      </c>
      <c r="N39" s="45">
        <f>IF(AND( C30="Buy", ISBLANK(W30), B30&lt;&gt;"DIV"), D30, "")</f>
        <v/>
      </c>
      <c r="O39" s="43">
        <f>IF(AND( C30="Buy", ISBLANK(W30), B30&lt;&gt;"DIV", NOW()-A30 &lt; 365), P30/sum(F30:I30), "")</f>
        <v/>
      </c>
      <c r="P39" s="44">
        <f>IF(AND( C30="Buy", ISBLANK(W30), B30&lt;&gt;"DIV", NOW()-A30 &lt; 365), (1-Index!$F$2*2)*((J30*D30)-(E30*D30)), "")</f>
        <v/>
      </c>
      <c r="Q39" s="44">
        <f>IF(AND( C30="Buy", ISBLANK(W30), B30&lt;&gt;"DIV", NOW()-A30 &lt; 365), ((E30*D30)+P30), "")</f>
        <v/>
      </c>
      <c r="R39" s="44">
        <f>IF(AND( C30="Buy", ISBLANK(W30), B30&lt;&gt;"DIV", NOW()-A30 &lt; 365), D30, "")</f>
        <v/>
      </c>
      <c r="S39" s="46">
        <f>IF(AND( C30="Buy", ISBLANK(W30), B30&lt;&gt;"DIV", NOW()-A30 &gt; 365), T30/sum(F30:I30), "")</f>
        <v/>
      </c>
      <c r="T39" s="50">
        <f>IF(AND( C30="Buy", ISBLANK(W30), B30&lt;&gt;"DIV", NOW()-A30 &gt; 365), (1-Index!$F$2*2)*((J30*D30)-(E30*D30)), "")</f>
        <v/>
      </c>
      <c r="U39" s="50">
        <f>IF(AND( C30="Buy", ISBLANK(W30), B30&lt;&gt;"DIV", NOW()-A30 &gt; 365), ((E30*D30)+T30), "")</f>
        <v/>
      </c>
      <c r="V39" s="50">
        <f>IF(AND( C30="Buy", ISBLANK(W30), B30&lt;&gt;"DIV", NOW()-A30 &gt; 365), D30, "")</f>
        <v/>
      </c>
      <c r="W39" s="50" t="n"/>
      <c r="X39" s="50" t="n"/>
      <c r="Y39" s="46">
        <f>IF(AND( C30="Buy", W30&lt;&gt;"", AA30&lt;&gt;"", B30&lt;&gt;"DIV"), Z30/sum(F30:I30), "")</f>
        <v/>
      </c>
      <c r="Z39" s="50" t="n"/>
      <c r="AA39" s="50" t="n"/>
      <c r="AB39" s="48" t="n"/>
      <c r="AC39" s="44">
        <f>if(B30="DIV", F30,"")</f>
        <v/>
      </c>
      <c r="AD39" s="49" t="n"/>
    </row>
    <row r="40">
      <c r="A40" s="56" t="n">
        <v>45181</v>
      </c>
      <c r="B40" s="59" t="inlineStr">
        <is>
          <t>BSE</t>
        </is>
      </c>
      <c r="C40" s="59" t="inlineStr">
        <is>
          <t>Buy</t>
        </is>
      </c>
      <c r="D40" s="40" t="n">
        <v>4</v>
      </c>
      <c r="E40" s="41" t="n">
        <v>433.95</v>
      </c>
      <c r="F40" s="41" t="n">
        <v>1735.79</v>
      </c>
      <c r="G40" s="59" t="inlineStr">
        <is>
          <t>~</t>
        </is>
      </c>
      <c r="H40" s="40" t="n">
        <v>1.72</v>
      </c>
      <c r="I40" s="40" t="n">
        <v>10.47</v>
      </c>
      <c r="J40" s="42">
        <f>Index!$C$2</f>
        <v/>
      </c>
      <c r="K40" s="43">
        <f>IF(AND( C31="Buy", ISBLANK(W31), B31&lt;&gt;"DIV"), L31/sum(F31:I31), "")</f>
        <v/>
      </c>
      <c r="L40" s="44">
        <f>IF(AND( C31="Buy", ISBLANK(W31), B31&lt;&gt;"DIV"), (1-Index!$F$2*2)*((J31*D31)-(E31*D31)), "")</f>
        <v/>
      </c>
      <c r="M40" s="44">
        <f>IF(AND( C31="Buy", ISBLANK(W31), B31&lt;&gt;"DIV"), ((E31*D31)+L31), "")</f>
        <v/>
      </c>
      <c r="N40" s="45">
        <f>IF(AND( C31="Buy", ISBLANK(W31), B31&lt;&gt;"DIV"), D31, "")</f>
        <v/>
      </c>
      <c r="O40" s="43">
        <f>IF(AND( C31="Buy", ISBLANK(W31), B31&lt;&gt;"DIV", NOW()-A31 &lt; 365), P31/sum(F31:I31), "")</f>
        <v/>
      </c>
      <c r="P40" s="44">
        <f>IF(AND( C31="Buy", ISBLANK(W31), B31&lt;&gt;"DIV", NOW()-A31 &lt; 365), (1-Index!$F$2*2)*((J31*D31)-(E31*D31)), "")</f>
        <v/>
      </c>
      <c r="Q40" s="44">
        <f>IF(AND( C31="Buy", ISBLANK(W31), B31&lt;&gt;"DIV", NOW()-A31 &lt; 365), ((E31*D31)+P31), "")</f>
        <v/>
      </c>
      <c r="R40" s="44">
        <f>IF(AND( C31="Buy", ISBLANK(W31), B31&lt;&gt;"DIV", NOW()-A31 &lt; 365), D31, "")</f>
        <v/>
      </c>
      <c r="S40" s="46">
        <f>IF(AND( C31="Buy", ISBLANK(W31), B31&lt;&gt;"DIV", NOW()-A31 &gt; 365), T31/sum(F31:I31), "")</f>
        <v/>
      </c>
      <c r="T40" s="50">
        <f>IF(AND( C31="Buy", ISBLANK(W31), B31&lt;&gt;"DIV", NOW()-A31 &gt; 365), (1-Index!$F$2*2)*((J31*D31)-(E31*D31)), "")</f>
        <v/>
      </c>
      <c r="U40" s="50">
        <f>IF(AND( C31="Buy", ISBLANK(W31), B31&lt;&gt;"DIV", NOW()-A31 &gt; 365), ((E31*D31)+T31), "")</f>
        <v/>
      </c>
      <c r="V40" s="50">
        <f>IF(AND( C31="Buy", ISBLANK(W31), B31&lt;&gt;"DIV", NOW()-A31 &gt; 365), D31, "")</f>
        <v/>
      </c>
      <c r="W40" s="50" t="n">
        <v>513.0599999999999</v>
      </c>
      <c r="X40" s="38" t="n">
        <v>45306</v>
      </c>
      <c r="Y40" s="51" t="n">
        <v>0.1784973741</v>
      </c>
      <c r="Z40" s="52" t="n">
        <v>312.00984</v>
      </c>
      <c r="AA40" s="52" t="n">
        <v>2047.80984</v>
      </c>
      <c r="AB40" s="53" t="n">
        <v>4</v>
      </c>
      <c r="AC40" s="54">
        <f>if(B31="DIV", F31,"")</f>
        <v/>
      </c>
      <c r="AD40" s="49" t="n"/>
      <c r="AE40" s="55" t="n"/>
    </row>
    <row r="41">
      <c r="A41" s="56" t="n">
        <v>45180</v>
      </c>
      <c r="B41" s="59" t="inlineStr">
        <is>
          <t>NSE</t>
        </is>
      </c>
      <c r="C41" s="59" t="inlineStr">
        <is>
          <t>Buy</t>
        </is>
      </c>
      <c r="D41" s="40" t="n">
        <v>10</v>
      </c>
      <c r="E41" s="41" t="n">
        <v>444.44</v>
      </c>
      <c r="F41" s="41" t="n">
        <v>4444.36</v>
      </c>
      <c r="G41" s="59" t="inlineStr">
        <is>
          <t>~</t>
        </is>
      </c>
      <c r="H41" s="40" t="n">
        <v>4.4</v>
      </c>
      <c r="I41" s="40" t="n">
        <v>26.96</v>
      </c>
      <c r="J41" s="42">
        <f>Index!$C$2</f>
        <v/>
      </c>
      <c r="K41" s="43">
        <f>IF(AND( C32="Buy", ISBLANK(W32), B32&lt;&gt;"DIV"), L32/sum(F32:I32), "")</f>
        <v/>
      </c>
      <c r="L41" s="44">
        <f>IF(AND( C32="Buy", ISBLANK(W32), B32&lt;&gt;"DIV"), (1-Index!$F$2*2)*((J32*D32)-(E32*D32)), "")</f>
        <v/>
      </c>
      <c r="M41" s="44">
        <f>IF(AND( C32="Buy", ISBLANK(W32), B32&lt;&gt;"DIV"), ((E32*D32)+L32), "")</f>
        <v/>
      </c>
      <c r="N41" s="45">
        <f>IF(AND( C32="Buy", ISBLANK(W32), B32&lt;&gt;"DIV"), D32, "")</f>
        <v/>
      </c>
      <c r="O41" s="43">
        <f>IF(AND( C32="Buy", ISBLANK(W32), B32&lt;&gt;"DIV", NOW()-A32 &lt; 365), P32/sum(F32:I32), "")</f>
        <v/>
      </c>
      <c r="P41" s="44">
        <f>IF(AND( C32="Buy", ISBLANK(W32), B32&lt;&gt;"DIV", NOW()-A32 &lt; 365), (1-Index!$F$2*2)*((J32*D32)-(E32*D32)), "")</f>
        <v/>
      </c>
      <c r="Q41" s="44">
        <f>IF(AND( C32="Buy", ISBLANK(W32), B32&lt;&gt;"DIV", NOW()-A32 &lt; 365), ((E32*D32)+P32), "")</f>
        <v/>
      </c>
      <c r="R41" s="44">
        <f>IF(AND( C32="Buy", ISBLANK(W32), B32&lt;&gt;"DIV", NOW()-A32 &lt; 365), D32, "")</f>
        <v/>
      </c>
      <c r="S41" s="46">
        <f>IF(AND( C32="Buy", ISBLANK(W32), B32&lt;&gt;"DIV", NOW()-A32 &gt; 365), T32/sum(F32:I32), "")</f>
        <v/>
      </c>
      <c r="T41" s="50">
        <f>IF(AND( C32="Buy", ISBLANK(W32), B32&lt;&gt;"DIV", NOW()-A32 &gt; 365), (1-Index!$F$2*2)*((J32*D32)-(E32*D32)), "")</f>
        <v/>
      </c>
      <c r="U41" s="50">
        <f>IF(AND( C32="Buy", ISBLANK(W32), B32&lt;&gt;"DIV", NOW()-A32 &gt; 365), ((E32*D32)+T32), "")</f>
        <v/>
      </c>
      <c r="V41" s="50">
        <f>IF(AND( C32="Buy", ISBLANK(W32), B32&lt;&gt;"DIV", NOW()-A32 &gt; 365), D32, "")</f>
        <v/>
      </c>
      <c r="W41" s="50" t="n">
        <v>513.0599999999999</v>
      </c>
      <c r="X41" s="38" t="n">
        <v>45306</v>
      </c>
      <c r="Y41" s="51" t="n">
        <v>0.1511696889</v>
      </c>
      <c r="Z41" s="52" t="n">
        <v>676.5932</v>
      </c>
      <c r="AA41" s="52" t="n">
        <v>5120.9932</v>
      </c>
      <c r="AB41" s="53" t="n">
        <v>10</v>
      </c>
      <c r="AC41" s="54">
        <f>if(B32="DIV", F32,"")</f>
        <v/>
      </c>
      <c r="AD41" s="49" t="n"/>
      <c r="AE41" s="55" t="n"/>
    </row>
    <row r="42">
      <c r="A42" s="56" t="n">
        <v>45162</v>
      </c>
      <c r="B42" s="59" t="inlineStr">
        <is>
          <t>BSE</t>
        </is>
      </c>
      <c r="C42" s="59" t="inlineStr">
        <is>
          <t>Buy</t>
        </is>
      </c>
      <c r="D42" s="40" t="n">
        <v>5</v>
      </c>
      <c r="E42" s="41" t="n">
        <v>433.05</v>
      </c>
      <c r="F42" s="41" t="n">
        <v>2165.25</v>
      </c>
      <c r="G42" s="59" t="inlineStr">
        <is>
          <t>~</t>
        </is>
      </c>
      <c r="H42" s="40" t="n">
        <v>2.13</v>
      </c>
      <c r="I42" s="40" t="n">
        <v>13.12</v>
      </c>
      <c r="J42" s="42">
        <f>Index!$C$2</f>
        <v/>
      </c>
      <c r="K42" s="43">
        <f>IF(AND( C33="Buy", ISBLANK(W33), B33&lt;&gt;"DIV"), L33/sum(F33:I33), "")</f>
        <v/>
      </c>
      <c r="L42" s="44">
        <f>IF(AND( C33="Buy", ISBLANK(W33), B33&lt;&gt;"DIV"), (1-Index!$F$2*2)*((J33*D33)-(E33*D33)), "")</f>
        <v/>
      </c>
      <c r="M42" s="44">
        <f>IF(AND( C33="Buy", ISBLANK(W33), B33&lt;&gt;"DIV"), ((E33*D33)+L33), "")</f>
        <v/>
      </c>
      <c r="N42" s="45">
        <f>IF(AND( C33="Buy", ISBLANK(W33), B33&lt;&gt;"DIV"), D33, "")</f>
        <v/>
      </c>
      <c r="O42" s="43">
        <f>IF(AND( C33="Buy", ISBLANK(W33), B33&lt;&gt;"DIV", NOW()-A33 &lt; 365), P33/sum(F33:I33), "")</f>
        <v/>
      </c>
      <c r="P42" s="44">
        <f>IF(AND( C33="Buy", ISBLANK(W33), B33&lt;&gt;"DIV", NOW()-A33 &lt; 365), (1-Index!$F$2*2)*((J33*D33)-(E33*D33)), "")</f>
        <v/>
      </c>
      <c r="Q42" s="44">
        <f>IF(AND( C33="Buy", ISBLANK(W33), B33&lt;&gt;"DIV", NOW()-A33 &lt; 365), ((E33*D33)+P33), "")</f>
        <v/>
      </c>
      <c r="R42" s="44">
        <f>IF(AND( C33="Buy", ISBLANK(W33), B33&lt;&gt;"DIV", NOW()-A33 &lt; 365), D33, "")</f>
        <v/>
      </c>
      <c r="S42" s="46">
        <f>IF(AND( C33="Buy", ISBLANK(W33), B33&lt;&gt;"DIV", NOW()-A33 &gt; 365), T33/sum(F33:I33), "")</f>
        <v/>
      </c>
      <c r="T42" s="50">
        <f>IF(AND( C33="Buy", ISBLANK(W33), B33&lt;&gt;"DIV", NOW()-A33 &gt; 365), (1-Index!$F$2*2)*((J33*D33)-(E33*D33)), "")</f>
        <v/>
      </c>
      <c r="U42" s="50">
        <f>IF(AND( C33="Buy", ISBLANK(W33), B33&lt;&gt;"DIV", NOW()-A33 &gt; 365), ((E33*D33)+T33), "")</f>
        <v/>
      </c>
      <c r="V42" s="50">
        <f>IF(AND( C33="Buy", ISBLANK(W33), B33&lt;&gt;"DIV", NOW()-A33 &gt; 365), D33, "")</f>
        <v/>
      </c>
      <c r="W42" s="50" t="n">
        <v>513.0599999999999</v>
      </c>
      <c r="X42" s="38" t="n">
        <v>45306</v>
      </c>
      <c r="Y42" s="51" t="n">
        <v>0.1808985554</v>
      </c>
      <c r="Z42" s="52" t="n">
        <v>394.4493</v>
      </c>
      <c r="AA42" s="52" t="n">
        <v>2559.6993</v>
      </c>
      <c r="AB42" s="53" t="n">
        <v>5</v>
      </c>
      <c r="AC42" s="54">
        <f>if(B33="DIV", F33,"")</f>
        <v/>
      </c>
      <c r="AD42" s="49" t="n"/>
      <c r="AE42" s="55" t="n"/>
    </row>
    <row r="43">
      <c r="A43" s="38" t="n">
        <v>45141</v>
      </c>
      <c r="B43" s="59" t="inlineStr">
        <is>
          <t>DIV</t>
        </is>
      </c>
      <c r="C43" s="59" t="inlineStr">
        <is>
          <t>Buy</t>
        </is>
      </c>
      <c r="D43" s="40" t="n">
        <v>10</v>
      </c>
      <c r="E43" s="41" t="n">
        <v>6.25</v>
      </c>
      <c r="F43" s="41" t="n">
        <v>62.5</v>
      </c>
      <c r="G43" s="59" t="inlineStr">
        <is>
          <t>Annual-Dividend of Rs.6.2500/- per share on Ex-Date: 03-AUG-2023</t>
        </is>
      </c>
      <c r="H43" s="40" t="n">
        <v>0</v>
      </c>
      <c r="I43" s="40" t="n">
        <v>0</v>
      </c>
      <c r="J43" s="42">
        <f>Index!$C$2</f>
        <v/>
      </c>
      <c r="K43" s="43">
        <f>IF(AND( C34="Buy", ISBLANK(W34), B34&lt;&gt;"DIV"), L34/sum(F34:I34), "")</f>
        <v/>
      </c>
      <c r="L43" s="44">
        <f>IF(AND( C34="Buy", ISBLANK(W34), B34&lt;&gt;"DIV"), (1-Index!$F$2*2)*((J34*D34)-(E34*D34)), "")</f>
        <v/>
      </c>
      <c r="M43" s="44">
        <f>IF(AND( C34="Buy", ISBLANK(W34), B34&lt;&gt;"DIV"), ((E34*D34)+L34), "")</f>
        <v/>
      </c>
      <c r="N43" s="45">
        <f>IF(AND( C34="Buy", ISBLANK(W34), B34&lt;&gt;"DIV"), D34, "")</f>
        <v/>
      </c>
      <c r="O43" s="43">
        <f>IF(AND( C34="Buy", ISBLANK(W34), B34&lt;&gt;"DIV", NOW()-A34 &lt; 365), P34/sum(F34:I34), "")</f>
        <v/>
      </c>
      <c r="P43" s="44">
        <f>IF(AND( C34="Buy", ISBLANK(W34), B34&lt;&gt;"DIV", NOW()-A34 &lt; 365), (1-Index!$F$2*2)*((J34*D34)-(E34*D34)), "")</f>
        <v/>
      </c>
      <c r="Q43" s="44">
        <f>IF(AND( C34="Buy", ISBLANK(W34), B34&lt;&gt;"DIV", NOW()-A34 &lt; 365), ((E34*D34)+P34), "")</f>
        <v/>
      </c>
      <c r="R43" s="44">
        <f>IF(AND( C34="Buy", ISBLANK(W34), B34&lt;&gt;"DIV", NOW()-A34 &lt; 365), D34, "")</f>
        <v/>
      </c>
      <c r="S43" s="46">
        <f>IF(AND( C34="Buy", ISBLANK(W34), B34&lt;&gt;"DIV", NOW()-A34 &gt; 365), T34/sum(F34:I34), "")</f>
        <v/>
      </c>
      <c r="T43" s="50">
        <f>IF(AND( C34="Buy", ISBLANK(W34), B34&lt;&gt;"DIV", NOW()-A34 &gt; 365), (1-Index!$F$2*2)*((J34*D34)-(E34*D34)), "")</f>
        <v/>
      </c>
      <c r="U43" s="50">
        <f>IF(AND( C34="Buy", ISBLANK(W34), B34&lt;&gt;"DIV", NOW()-A34 &gt; 365), ((E34*D34)+T34), "")</f>
        <v/>
      </c>
      <c r="V43" s="50">
        <f>IF(AND( C34="Buy", ISBLANK(W34), B34&lt;&gt;"DIV", NOW()-A34 &gt; 365), D34, "")</f>
        <v/>
      </c>
      <c r="W43" s="50" t="n"/>
      <c r="X43" s="50" t="n"/>
      <c r="Y43" s="46">
        <f>IF(AND( C34="Buy", W34&lt;&gt;"", AA34&lt;&gt;"", B34&lt;&gt;"DIV"), Z34/sum(F34:I34), "")</f>
        <v/>
      </c>
      <c r="Z43" s="50" t="n"/>
      <c r="AA43" s="50" t="n"/>
      <c r="AB43" s="48" t="n"/>
      <c r="AC43" s="44">
        <f>if(B34="DIV", F34,"")</f>
        <v/>
      </c>
      <c r="AD43" s="49" t="n"/>
    </row>
    <row r="44">
      <c r="A44" s="38" t="n">
        <v>45141</v>
      </c>
      <c r="B44" s="59" t="inlineStr">
        <is>
          <t>DIV</t>
        </is>
      </c>
      <c r="C44" s="59" t="inlineStr">
        <is>
          <t>Buy</t>
        </is>
      </c>
      <c r="D44" s="40" t="n">
        <v>26</v>
      </c>
      <c r="E44" s="41" t="n">
        <v>6.25</v>
      </c>
      <c r="F44" s="41" t="n">
        <v>162.5</v>
      </c>
      <c r="G44" s="59" t="inlineStr">
        <is>
          <t>Annual-Dividend of Rs.6.2500/- per share on Ex-Date: 03-AUG-2023</t>
        </is>
      </c>
      <c r="H44" s="40" t="n">
        <v>0</v>
      </c>
      <c r="I44" s="40" t="n">
        <v>0</v>
      </c>
      <c r="J44" s="42">
        <f>Index!$C$2</f>
        <v/>
      </c>
      <c r="K44" s="43">
        <f>IF(AND( C35="Buy", ISBLANK(W35), B35&lt;&gt;"DIV"), L35/sum(F35:I35), "")</f>
        <v/>
      </c>
      <c r="L44" s="44">
        <f>IF(AND( C35="Buy", ISBLANK(W35), B35&lt;&gt;"DIV"), (1-Index!$F$2*2)*((J35*D35)-(E35*D35)), "")</f>
        <v/>
      </c>
      <c r="M44" s="44">
        <f>IF(AND( C35="Buy", ISBLANK(W35), B35&lt;&gt;"DIV"), ((E35*D35)+L35), "")</f>
        <v/>
      </c>
      <c r="N44" s="45">
        <f>IF(AND( C35="Buy", ISBLANK(W35), B35&lt;&gt;"DIV"), D35, "")</f>
        <v/>
      </c>
      <c r="O44" s="43">
        <f>IF(AND( C35="Buy", ISBLANK(W35), B35&lt;&gt;"DIV", NOW()-A35 &lt; 365), P35/sum(F35:I35), "")</f>
        <v/>
      </c>
      <c r="P44" s="44">
        <f>IF(AND( C35="Buy", ISBLANK(W35), B35&lt;&gt;"DIV", NOW()-A35 &lt; 365), (1-Index!$F$2*2)*((J35*D35)-(E35*D35)), "")</f>
        <v/>
      </c>
      <c r="Q44" s="44">
        <f>IF(AND( C35="Buy", ISBLANK(W35), B35&lt;&gt;"DIV", NOW()-A35 &lt; 365), ((E35*D35)+P35), "")</f>
        <v/>
      </c>
      <c r="R44" s="44">
        <f>IF(AND( C35="Buy", ISBLANK(W35), B35&lt;&gt;"DIV", NOW()-A35 &lt; 365), D35, "")</f>
        <v/>
      </c>
      <c r="S44" s="46">
        <f>IF(AND( C35="Buy", ISBLANK(W35), B35&lt;&gt;"DIV", NOW()-A35 &gt; 365), T35/sum(F35:I35), "")</f>
        <v/>
      </c>
      <c r="T44" s="50">
        <f>IF(AND( C35="Buy", ISBLANK(W35), B35&lt;&gt;"DIV", NOW()-A35 &gt; 365), (1-Index!$F$2*2)*((J35*D35)-(E35*D35)), "")</f>
        <v/>
      </c>
      <c r="U44" s="50">
        <f>IF(AND( C35="Buy", ISBLANK(W35), B35&lt;&gt;"DIV", NOW()-A35 &gt; 365), ((E35*D35)+T35), "")</f>
        <v/>
      </c>
      <c r="V44" s="50">
        <f>IF(AND( C35="Buy", ISBLANK(W35), B35&lt;&gt;"DIV", NOW()-A35 &gt; 365), D35, "")</f>
        <v/>
      </c>
      <c r="W44" s="50" t="n"/>
      <c r="X44" s="50" t="n"/>
      <c r="Y44" s="46">
        <f>IF(AND( C35="Buy", W35&lt;&gt;"", AA35&lt;&gt;"", B35&lt;&gt;"DIV"), Z35/sum(F35:I35), "")</f>
        <v/>
      </c>
      <c r="Z44" s="50" t="n"/>
      <c r="AA44" s="50" t="n"/>
      <c r="AB44" s="48" t="n"/>
      <c r="AC44" s="44">
        <f>if(B35="DIV", F35,"")</f>
        <v/>
      </c>
      <c r="AD44" s="49" t="n"/>
    </row>
    <row r="45">
      <c r="A45" s="56" t="n">
        <v>45131</v>
      </c>
      <c r="B45" s="59" t="inlineStr">
        <is>
          <t>NSE</t>
        </is>
      </c>
      <c r="C45" s="59" t="inlineStr">
        <is>
          <t>Buy</t>
        </is>
      </c>
      <c r="D45" s="40" t="n">
        <v>4</v>
      </c>
      <c r="E45" s="41" t="n">
        <v>404.79</v>
      </c>
      <c r="F45" s="41" t="n">
        <v>1619.16</v>
      </c>
      <c r="G45" s="59" t="inlineStr">
        <is>
          <t>~</t>
        </is>
      </c>
      <c r="H45" s="40" t="n">
        <v>1.6</v>
      </c>
      <c r="I45" s="40" t="n">
        <v>9.76</v>
      </c>
      <c r="J45" s="42">
        <f>Index!$C$2</f>
        <v/>
      </c>
      <c r="K45" s="43">
        <f>IF(AND( C36="Buy", ISBLANK(W36), B36&lt;&gt;"DIV"), L36/sum(F36:I36), "")</f>
        <v/>
      </c>
      <c r="L45" s="44">
        <f>IF(AND( C36="Buy", ISBLANK(W36), B36&lt;&gt;"DIV"), (1-Index!$F$2*2)*((J36*D36)-(E36*D36)), "")</f>
        <v/>
      </c>
      <c r="M45" s="44">
        <f>IF(AND( C36="Buy", ISBLANK(W36), B36&lt;&gt;"DIV"), ((E36*D36)+L36), "")</f>
        <v/>
      </c>
      <c r="N45" s="45">
        <f>IF(AND( C36="Buy", ISBLANK(W36), B36&lt;&gt;"DIV"), D36, "")</f>
        <v/>
      </c>
      <c r="O45" s="43">
        <f>IF(AND( C36="Buy", ISBLANK(W36), B36&lt;&gt;"DIV", NOW()-A36 &lt; 365), P36/sum(F36:I36), "")</f>
        <v/>
      </c>
      <c r="P45" s="44">
        <f>IF(AND( C36="Buy", ISBLANK(W36), B36&lt;&gt;"DIV", NOW()-A36 &lt; 365), (1-Index!$F$2*2)*((J36*D36)-(E36*D36)), "")</f>
        <v/>
      </c>
      <c r="Q45" s="44">
        <f>IF(AND( C36="Buy", ISBLANK(W36), B36&lt;&gt;"DIV", NOW()-A36 &lt; 365), ((E36*D36)+P36), "")</f>
        <v/>
      </c>
      <c r="R45" s="44">
        <f>IF(AND( C36="Buy", ISBLANK(W36), B36&lt;&gt;"DIV", NOW()-A36 &lt; 365), D36, "")</f>
        <v/>
      </c>
      <c r="S45" s="46">
        <f>IF(AND( C36="Buy", ISBLANK(W36), B36&lt;&gt;"DIV", NOW()-A36 &gt; 365), T36/sum(F36:I36), "")</f>
        <v/>
      </c>
      <c r="T45" s="50">
        <f>IF(AND( C36="Buy", ISBLANK(W36), B36&lt;&gt;"DIV", NOW()-A36 &gt; 365), (1-Index!$F$2*2)*((J36*D36)-(E36*D36)), "")</f>
        <v/>
      </c>
      <c r="U45" s="50">
        <f>IF(AND( C36="Buy", ISBLANK(W36), B36&lt;&gt;"DIV", NOW()-A36 &gt; 365), ((E36*D36)+T36), "")</f>
        <v/>
      </c>
      <c r="V45" s="50">
        <f>IF(AND( C36="Buy", ISBLANK(W36), B36&lt;&gt;"DIV", NOW()-A36 &gt; 365), D36, "")</f>
        <v/>
      </c>
      <c r="W45" s="57" t="n">
        <v>456.382222</v>
      </c>
      <c r="X45" s="58" t="n">
        <v>45565</v>
      </c>
      <c r="Y45" s="51" t="n">
        <v>0.1247943745</v>
      </c>
      <c r="Z45" s="52" t="n">
        <v>203.4797236</v>
      </c>
      <c r="AA45" s="52" t="n">
        <v>1822.639724</v>
      </c>
      <c r="AB45" s="53" t="n">
        <v>4</v>
      </c>
      <c r="AC45" s="54">
        <f>if(B36="DIV", F36,"")</f>
        <v/>
      </c>
      <c r="AD45" s="49" t="n"/>
      <c r="AE45" s="55" t="n"/>
    </row>
    <row r="46">
      <c r="A46" s="56" t="n">
        <v>45131</v>
      </c>
      <c r="B46" s="59" t="inlineStr">
        <is>
          <t>NSE</t>
        </is>
      </c>
      <c r="C46" s="59" t="inlineStr">
        <is>
          <t>Buy</t>
        </is>
      </c>
      <c r="D46" s="40" t="n">
        <v>2</v>
      </c>
      <c r="E46" s="41" t="n">
        <v>404.8</v>
      </c>
      <c r="F46" s="41" t="n">
        <v>809.59</v>
      </c>
      <c r="G46" s="59" t="inlineStr">
        <is>
          <t>~</t>
        </is>
      </c>
      <c r="H46" s="40" t="n">
        <v>0.8</v>
      </c>
      <c r="I46" s="40" t="n">
        <v>4.89</v>
      </c>
      <c r="J46" s="42">
        <f>Index!$C$2</f>
        <v/>
      </c>
      <c r="K46" s="43">
        <f>IF(AND( C37="Buy", ISBLANK(W37), B37&lt;&gt;"DIV"), L37/sum(F37:I37), "")</f>
        <v/>
      </c>
      <c r="L46" s="44">
        <f>IF(AND( C37="Buy", ISBLANK(W37), B37&lt;&gt;"DIV"), (1-Index!$F$2*2)*((J37*D37)-(E37*D37)), "")</f>
        <v/>
      </c>
      <c r="M46" s="44">
        <f>IF(AND( C37="Buy", ISBLANK(W37), B37&lt;&gt;"DIV"), ((E37*D37)+L37), "")</f>
        <v/>
      </c>
      <c r="N46" s="45">
        <f>IF(AND( C37="Buy", ISBLANK(W37), B37&lt;&gt;"DIV"), D37, "")</f>
        <v/>
      </c>
      <c r="O46" s="43">
        <f>IF(AND( C37="Buy", ISBLANK(W37), B37&lt;&gt;"DIV", NOW()-A37 &lt; 365), P37/sum(F37:I37), "")</f>
        <v/>
      </c>
      <c r="P46" s="44">
        <f>IF(AND( C37="Buy", ISBLANK(W37), B37&lt;&gt;"DIV", NOW()-A37 &lt; 365), (1-Index!$F$2*2)*((J37*D37)-(E37*D37)), "")</f>
        <v/>
      </c>
      <c r="Q46" s="44">
        <f>IF(AND( C37="Buy", ISBLANK(W37), B37&lt;&gt;"DIV", NOW()-A37 &lt; 365), ((E37*D37)+P37), "")</f>
        <v/>
      </c>
      <c r="R46" s="44">
        <f>IF(AND( C37="Buy", ISBLANK(W37), B37&lt;&gt;"DIV", NOW()-A37 &lt; 365), D37, "")</f>
        <v/>
      </c>
      <c r="S46" s="46">
        <f>IF(AND( C37="Buy", ISBLANK(W37), B37&lt;&gt;"DIV", NOW()-A37 &gt; 365), T37/sum(F37:I37), "")</f>
        <v/>
      </c>
      <c r="T46" s="50">
        <f>IF(AND( C37="Buy", ISBLANK(W37), B37&lt;&gt;"DIV", NOW()-A37 &gt; 365), (1-Index!$F$2*2)*((J37*D37)-(E37*D37)), "")</f>
        <v/>
      </c>
      <c r="U46" s="50">
        <f>IF(AND( C37="Buy", ISBLANK(W37), B37&lt;&gt;"DIV", NOW()-A37 &gt; 365), ((E37*D37)+T37), "")</f>
        <v/>
      </c>
      <c r="V46" s="50">
        <f>IF(AND( C37="Buy", ISBLANK(W37), B37&lt;&gt;"DIV", NOW()-A37 &gt; 365), D37, "")</f>
        <v/>
      </c>
      <c r="W46" s="57" t="n">
        <v>456.382222</v>
      </c>
      <c r="X46" s="58" t="n">
        <v>45565</v>
      </c>
      <c r="Y46" s="51" t="n">
        <v>0.1247671251</v>
      </c>
      <c r="Z46" s="52" t="n">
        <v>101.7201418</v>
      </c>
      <c r="AA46" s="52" t="n">
        <v>911.3201418</v>
      </c>
      <c r="AB46" s="53" t="n">
        <v>2</v>
      </c>
      <c r="AC46" s="54">
        <f>if(B37="DIV", F37,"")</f>
        <v/>
      </c>
      <c r="AD46" s="49" t="n"/>
      <c r="AE46" s="55" t="n"/>
    </row>
    <row r="47">
      <c r="A47" s="56" t="n">
        <v>45034</v>
      </c>
      <c r="B47" s="59" t="inlineStr">
        <is>
          <t>BSE</t>
        </is>
      </c>
      <c r="C47" s="59" t="inlineStr">
        <is>
          <t>Buy</t>
        </is>
      </c>
      <c r="D47" s="40" t="n">
        <v>2</v>
      </c>
      <c r="E47" s="41" t="n">
        <v>364.03</v>
      </c>
      <c r="F47" s="41" t="n">
        <v>728.0599999999999</v>
      </c>
      <c r="G47" s="59" t="inlineStr">
        <is>
          <t>~</t>
        </is>
      </c>
      <c r="H47" s="40" t="n">
        <v>0.72</v>
      </c>
      <c r="I47" s="40" t="n">
        <v>4.44</v>
      </c>
      <c r="J47" s="42">
        <f>Index!$C$2</f>
        <v/>
      </c>
      <c r="K47" s="43">
        <f>IF(AND( C38="Buy", ISBLANK(W38), B38&lt;&gt;"DIV"), L38/sum(F38:I38), "")</f>
        <v/>
      </c>
      <c r="L47" s="44">
        <f>IF(AND( C38="Buy", ISBLANK(W38), B38&lt;&gt;"DIV"), (1-Index!$F$2*2)*((J38*D38)-(E38*D38)), "")</f>
        <v/>
      </c>
      <c r="M47" s="44">
        <f>IF(AND( C38="Buy", ISBLANK(W38), B38&lt;&gt;"DIV"), ((E38*D38)+L38), "")</f>
        <v/>
      </c>
      <c r="N47" s="45">
        <f>IF(AND( C38="Buy", ISBLANK(W38), B38&lt;&gt;"DIV"), D38, "")</f>
        <v/>
      </c>
      <c r="O47" s="43">
        <f>IF(AND( C38="Buy", ISBLANK(W38), B38&lt;&gt;"DIV", NOW()-A38 &lt; 365), P38/sum(F38:I38), "")</f>
        <v/>
      </c>
      <c r="P47" s="44">
        <f>IF(AND( C38="Buy", ISBLANK(W38), B38&lt;&gt;"DIV", NOW()-A38 &lt; 365), (1-Index!$F$2*2)*((J38*D38)-(E38*D38)), "")</f>
        <v/>
      </c>
      <c r="Q47" s="44">
        <f>IF(AND( C38="Buy", ISBLANK(W38), B38&lt;&gt;"DIV", NOW()-A38 &lt; 365), ((E38*D38)+P38), "")</f>
        <v/>
      </c>
      <c r="R47" s="44">
        <f>IF(AND( C38="Buy", ISBLANK(W38), B38&lt;&gt;"DIV", NOW()-A38 &lt; 365), D38, "")</f>
        <v/>
      </c>
      <c r="S47" s="46">
        <f>IF(AND( C38="Buy", ISBLANK(W38), B38&lt;&gt;"DIV", NOW()-A38 &gt; 365), T38/sum(F38:I38), "")</f>
        <v/>
      </c>
      <c r="T47" s="50">
        <f>IF(AND( C38="Buy", ISBLANK(W38), B38&lt;&gt;"DIV", NOW()-A38 &gt; 365), (1-Index!$F$2*2)*((J38*D38)-(E38*D38)), "")</f>
        <v/>
      </c>
      <c r="U47" s="50">
        <f>IF(AND( C38="Buy", ISBLANK(W38), B38&lt;&gt;"DIV", NOW()-A38 &gt; 365), ((E38*D38)+T38), "")</f>
        <v/>
      </c>
      <c r="V47" s="50">
        <f>IF(AND( C38="Buy", ISBLANK(W38), B38&lt;&gt;"DIV", NOW()-A38 &gt; 365), D38, "")</f>
        <v/>
      </c>
      <c r="W47" s="57" t="n">
        <v>456.382222</v>
      </c>
      <c r="X47" s="58" t="n">
        <v>45565</v>
      </c>
      <c r="Y47" s="51" t="n">
        <v>0.2483819069</v>
      </c>
      <c r="Z47" s="52" t="n">
        <v>182.1185818</v>
      </c>
      <c r="AA47" s="52" t="n">
        <v>910.1785818</v>
      </c>
      <c r="AB47" s="53" t="n">
        <v>2</v>
      </c>
      <c r="AC47" s="54">
        <f>if(B38="DIV", F38,"")</f>
        <v/>
      </c>
      <c r="AD47" s="49" t="n"/>
      <c r="AE47" s="55" t="n"/>
    </row>
    <row r="48">
      <c r="A48" s="56" t="n">
        <v>45034</v>
      </c>
      <c r="B48" s="59" t="inlineStr">
        <is>
          <t>BSE</t>
        </is>
      </c>
      <c r="C48" s="59" t="inlineStr">
        <is>
          <t>Buy</t>
        </is>
      </c>
      <c r="D48" s="40" t="n">
        <v>8</v>
      </c>
      <c r="E48" s="41" t="n">
        <v>363.87</v>
      </c>
      <c r="F48" s="41" t="n">
        <v>2910.96</v>
      </c>
      <c r="G48" s="59" t="inlineStr">
        <is>
          <t>~</t>
        </is>
      </c>
      <c r="H48" s="40" t="n">
        <v>2.9</v>
      </c>
      <c r="I48" s="40" t="n">
        <v>17.66</v>
      </c>
      <c r="J48" s="42">
        <f>Index!$C$2</f>
        <v/>
      </c>
      <c r="K48" s="43">
        <f>IF(AND( C39="Buy", ISBLANK(W39), B39&lt;&gt;"DIV"), L39/sum(F39:I39), "")</f>
        <v/>
      </c>
      <c r="L48" s="44">
        <f>IF(AND( C39="Buy", ISBLANK(W39), B39&lt;&gt;"DIV"), (1-Index!$F$2*2)*((J39*D39)-(E39*D39)), "")</f>
        <v/>
      </c>
      <c r="M48" s="44">
        <f>IF(AND( C39="Buy", ISBLANK(W39), B39&lt;&gt;"DIV"), ((E39*D39)+L39), "")</f>
        <v/>
      </c>
      <c r="N48" s="45">
        <f>IF(AND( C39="Buy", ISBLANK(W39), B39&lt;&gt;"DIV"), D39, "")</f>
        <v/>
      </c>
      <c r="O48" s="43">
        <f>IF(AND( C39="Buy", ISBLANK(W39), B39&lt;&gt;"DIV", NOW()-A39 &lt; 365), P39/sum(F39:I39), "")</f>
        <v/>
      </c>
      <c r="P48" s="44">
        <f>IF(AND( C39="Buy", ISBLANK(W39), B39&lt;&gt;"DIV", NOW()-A39 &lt; 365), (1-Index!$F$2*2)*((J39*D39)-(E39*D39)), "")</f>
        <v/>
      </c>
      <c r="Q48" s="44">
        <f>IF(AND( C39="Buy", ISBLANK(W39), B39&lt;&gt;"DIV", NOW()-A39 &lt; 365), ((E39*D39)+P39), "")</f>
        <v/>
      </c>
      <c r="R48" s="44">
        <f>IF(AND( C39="Buy", ISBLANK(W39), B39&lt;&gt;"DIV", NOW()-A39 &lt; 365), D39, "")</f>
        <v/>
      </c>
      <c r="S48" s="46">
        <f>IF(AND( C39="Buy", ISBLANK(W39), B39&lt;&gt;"DIV", NOW()-A39 &gt; 365), T39/sum(F39:I39), "")</f>
        <v/>
      </c>
      <c r="T48" s="50">
        <f>IF(AND( C39="Buy", ISBLANK(W39), B39&lt;&gt;"DIV", NOW()-A39 &gt; 365), (1-Index!$F$2*2)*((J39*D39)-(E39*D39)), "")</f>
        <v/>
      </c>
      <c r="U48" s="50">
        <f>IF(AND( C39="Buy", ISBLANK(W39), B39&lt;&gt;"DIV", NOW()-A39 &gt; 365), ((E39*D39)+T39), "")</f>
        <v/>
      </c>
      <c r="V48" s="50">
        <f>IF(AND( C39="Buy", ISBLANK(W39), B39&lt;&gt;"DIV", NOW()-A39 &gt; 365), D39, "")</f>
        <v/>
      </c>
      <c r="W48" s="57" t="n">
        <v>456.382222</v>
      </c>
      <c r="X48" s="58" t="n">
        <v>45565</v>
      </c>
      <c r="Y48" s="51" t="n">
        <v>0.2489276577</v>
      </c>
      <c r="Z48" s="52" t="n">
        <v>729.7364071</v>
      </c>
      <c r="AA48" s="52" t="n">
        <v>3640.696407</v>
      </c>
      <c r="AB48" s="53" t="n">
        <v>8</v>
      </c>
      <c r="AC48" s="54">
        <f>if(B39="DIV", F39,"")</f>
        <v/>
      </c>
      <c r="AD48" s="49" t="n"/>
      <c r="AE48" s="55" t="n"/>
    </row>
    <row r="49">
      <c r="A49" s="56" t="n">
        <v>44953</v>
      </c>
      <c r="B49" s="59" t="inlineStr">
        <is>
          <t>NSE</t>
        </is>
      </c>
      <c r="C49" s="59" t="inlineStr">
        <is>
          <t>Buy</t>
        </is>
      </c>
      <c r="D49" s="40" t="n">
        <v>9</v>
      </c>
      <c r="E49" s="41" t="n">
        <v>378.71</v>
      </c>
      <c r="F49" s="41" t="n">
        <v>3408.42</v>
      </c>
      <c r="G49" s="59" t="inlineStr">
        <is>
          <t>~</t>
        </is>
      </c>
      <c r="H49" s="40" t="n">
        <v>3.34</v>
      </c>
      <c r="I49" s="40" t="n">
        <v>20.63</v>
      </c>
      <c r="J49" s="42">
        <f>Index!$C$2</f>
        <v/>
      </c>
      <c r="K49" s="43">
        <f>IF(AND( C40="Buy", ISBLANK(W40), B40&lt;&gt;"DIV"), L40/sum(F40:I40), "")</f>
        <v/>
      </c>
      <c r="L49" s="44">
        <f>IF(AND( C40="Buy", ISBLANK(W40), B40&lt;&gt;"DIV"), (1-Index!$F$2*2)*((J40*D40)-(E40*D40)), "")</f>
        <v/>
      </c>
      <c r="M49" s="44">
        <f>IF(AND( C40="Buy", ISBLANK(W40), B40&lt;&gt;"DIV"), ((E40*D40)+L40), "")</f>
        <v/>
      </c>
      <c r="N49" s="45">
        <f>IF(AND( C40="Buy", ISBLANK(W40), B40&lt;&gt;"DIV"), D40, "")</f>
        <v/>
      </c>
      <c r="O49" s="43">
        <f>IF(AND( C40="Buy", ISBLANK(W40), B40&lt;&gt;"DIV", NOW()-A40 &lt; 365), P40/sum(F40:I40), "")</f>
        <v/>
      </c>
      <c r="P49" s="44">
        <f>IF(AND( C40="Buy", ISBLANK(W40), B40&lt;&gt;"DIV", NOW()-A40 &lt; 365), (1-Index!$F$2*2)*((J40*D40)-(E40*D40)), "")</f>
        <v/>
      </c>
      <c r="Q49" s="44">
        <f>IF(AND( C40="Buy", ISBLANK(W40), B40&lt;&gt;"DIV", NOW()-A40 &lt; 365), ((E40*D40)+P40), "")</f>
        <v/>
      </c>
      <c r="R49" s="44">
        <f>IF(AND( C40="Buy", ISBLANK(W40), B40&lt;&gt;"DIV", NOW()-A40 &lt; 365), D40, "")</f>
        <v/>
      </c>
      <c r="S49" s="46">
        <f>IF(AND( C40="Buy", ISBLANK(W40), B40&lt;&gt;"DIV", NOW()-A40 &gt; 365), T40/sum(F40:I40), "")</f>
        <v/>
      </c>
      <c r="T49" s="50">
        <f>IF(AND( C40="Buy", ISBLANK(W40), B40&lt;&gt;"DIV", NOW()-A40 &gt; 365), (1-Index!$F$2*2)*((J40*D40)-(E40*D40)), "")</f>
        <v/>
      </c>
      <c r="U49" s="50">
        <f>IF(AND( C40="Buy", ISBLANK(W40), B40&lt;&gt;"DIV", NOW()-A40 &gt; 365), ((E40*D40)+T40), "")</f>
        <v/>
      </c>
      <c r="V49" s="50">
        <f>IF(AND( C40="Buy", ISBLANK(W40), B40&lt;&gt;"DIV", NOW()-A40 &gt; 365), D40, "")</f>
        <v/>
      </c>
      <c r="W49" s="57" t="n">
        <v>456.382222</v>
      </c>
      <c r="X49" s="58" t="n">
        <v>45565</v>
      </c>
      <c r="Y49" s="51" t="n">
        <v>0.2008114748</v>
      </c>
      <c r="Z49" s="52" t="n">
        <v>689.263298</v>
      </c>
      <c r="AA49" s="52" t="n">
        <v>4097.653298</v>
      </c>
      <c r="AB49" s="53" t="n">
        <v>9</v>
      </c>
      <c r="AC49" s="54">
        <f>if(B40="DIV", F40,"")</f>
        <v/>
      </c>
      <c r="AD49" s="49" t="n"/>
      <c r="AE49" s="55" t="n"/>
    </row>
    <row r="50">
      <c r="A50" s="56" t="n">
        <v>44953</v>
      </c>
      <c r="B50" s="59" t="inlineStr">
        <is>
          <t>NSE</t>
        </is>
      </c>
      <c r="C50" s="59" t="inlineStr">
        <is>
          <t>Buy</t>
        </is>
      </c>
      <c r="D50" s="40" t="n">
        <v>1</v>
      </c>
      <c r="E50" s="41" t="n">
        <v>378.72</v>
      </c>
      <c r="F50" s="41" t="n">
        <v>378.72</v>
      </c>
      <c r="G50" s="59" t="inlineStr">
        <is>
          <t>~</t>
        </is>
      </c>
      <c r="H50" s="40" t="n">
        <v>0.38</v>
      </c>
      <c r="I50" s="40" t="n">
        <v>2.29</v>
      </c>
      <c r="J50" s="42">
        <f>Index!$C$2</f>
        <v/>
      </c>
      <c r="K50" s="43">
        <f>IF(AND( C41="Buy", ISBLANK(W41), B41&lt;&gt;"DIV"), L41/sum(F41:I41), "")</f>
        <v/>
      </c>
      <c r="L50" s="44">
        <f>IF(AND( C41="Buy", ISBLANK(W41), B41&lt;&gt;"DIV"), (1-Index!$F$2*2)*((J41*D41)-(E41*D41)), "")</f>
        <v/>
      </c>
      <c r="M50" s="44">
        <f>IF(AND( C41="Buy", ISBLANK(W41), B41&lt;&gt;"DIV"), ((E41*D41)+L41), "")</f>
        <v/>
      </c>
      <c r="N50" s="45">
        <f>IF(AND( C41="Buy", ISBLANK(W41), B41&lt;&gt;"DIV"), D41, "")</f>
        <v/>
      </c>
      <c r="O50" s="43">
        <f>IF(AND( C41="Buy", ISBLANK(W41), B41&lt;&gt;"DIV", NOW()-A41 &lt; 365), P41/sum(F41:I41), "")</f>
        <v/>
      </c>
      <c r="P50" s="44">
        <f>IF(AND( C41="Buy", ISBLANK(W41), B41&lt;&gt;"DIV", NOW()-A41 &lt; 365), (1-Index!$F$2*2)*((J41*D41)-(E41*D41)), "")</f>
        <v/>
      </c>
      <c r="Q50" s="44">
        <f>IF(AND( C41="Buy", ISBLANK(W41), B41&lt;&gt;"DIV", NOW()-A41 &lt; 365), ((E41*D41)+P41), "")</f>
        <v/>
      </c>
      <c r="R50" s="44">
        <f>IF(AND( C41="Buy", ISBLANK(W41), B41&lt;&gt;"DIV", NOW()-A41 &lt; 365), D41, "")</f>
        <v/>
      </c>
      <c r="S50" s="46">
        <f>IF(AND( C41="Buy", ISBLANK(W41), B41&lt;&gt;"DIV", NOW()-A41 &gt; 365), T41/sum(F41:I41), "")</f>
        <v/>
      </c>
      <c r="T50" s="50">
        <f>IF(AND( C41="Buy", ISBLANK(W41), B41&lt;&gt;"DIV", NOW()-A41 &gt; 365), (1-Index!$F$2*2)*((J41*D41)-(E41*D41)), "")</f>
        <v/>
      </c>
      <c r="U50" s="50">
        <f>IF(AND( C41="Buy", ISBLANK(W41), B41&lt;&gt;"DIV", NOW()-A41 &gt; 365), ((E41*D41)+T41), "")</f>
        <v/>
      </c>
      <c r="V50" s="50">
        <f>IF(AND( C41="Buy", ISBLANK(W41), B41&lt;&gt;"DIV", NOW()-A41 &gt; 365), D41, "")</f>
        <v/>
      </c>
      <c r="W50" s="57" t="n">
        <v>456.382222</v>
      </c>
      <c r="X50" s="58" t="n">
        <v>45565</v>
      </c>
      <c r="Y50" s="51" t="n">
        <v>0.2007786017</v>
      </c>
      <c r="Z50" s="52" t="n">
        <v>76.57495089</v>
      </c>
      <c r="AA50" s="52" t="n">
        <v>455.2949509</v>
      </c>
      <c r="AB50" s="53" t="n">
        <v>1</v>
      </c>
      <c r="AC50" s="54">
        <f>if(B41="DIV", F41,"")</f>
        <v/>
      </c>
      <c r="AD50" s="49" t="n"/>
      <c r="AE50" s="55" t="n"/>
    </row>
    <row r="51">
      <c r="A51" s="56" t="n">
        <v>44950</v>
      </c>
      <c r="B51" s="59" t="inlineStr">
        <is>
          <t>NSE</t>
        </is>
      </c>
      <c r="C51" s="59" t="inlineStr">
        <is>
          <t>Buy</t>
        </is>
      </c>
      <c r="D51" s="40" t="n">
        <v>10</v>
      </c>
      <c r="E51" s="41" t="n">
        <v>390.75</v>
      </c>
      <c r="F51" s="41" t="n">
        <v>3907.45</v>
      </c>
      <c r="G51" s="59" t="inlineStr">
        <is>
          <t>~</t>
        </is>
      </c>
      <c r="H51" s="40" t="n">
        <v>3.86</v>
      </c>
      <c r="I51" s="40" t="n">
        <v>23.59</v>
      </c>
      <c r="J51" s="42">
        <f>Index!$C$2</f>
        <v/>
      </c>
      <c r="K51" s="43">
        <f>IF(AND( C42="Buy", ISBLANK(W42), B42&lt;&gt;"DIV"), L42/sum(F42:I42), "")</f>
        <v/>
      </c>
      <c r="L51" s="44">
        <f>IF(AND( C42="Buy", ISBLANK(W42), B42&lt;&gt;"DIV"), (1-Index!$F$2*2)*((J42*D42)-(E42*D42)), "")</f>
        <v/>
      </c>
      <c r="M51" s="44">
        <f>IF(AND( C42="Buy", ISBLANK(W42), B42&lt;&gt;"DIV"), ((E42*D42)+L42), "")</f>
        <v/>
      </c>
      <c r="N51" s="45">
        <f>IF(AND( C42="Buy", ISBLANK(W42), B42&lt;&gt;"DIV"), D42, "")</f>
        <v/>
      </c>
      <c r="O51" s="43">
        <f>IF(AND( C42="Buy", ISBLANK(W42), B42&lt;&gt;"DIV", NOW()-A42 &lt; 365), P42/sum(F42:I42), "")</f>
        <v/>
      </c>
      <c r="P51" s="44">
        <f>IF(AND( C42="Buy", ISBLANK(W42), B42&lt;&gt;"DIV", NOW()-A42 &lt; 365), (1-Index!$F$2*2)*((J42*D42)-(E42*D42)), "")</f>
        <v/>
      </c>
      <c r="Q51" s="44">
        <f>IF(AND( C42="Buy", ISBLANK(W42), B42&lt;&gt;"DIV", NOW()-A42 &lt; 365), ((E42*D42)+P42), "")</f>
        <v/>
      </c>
      <c r="R51" s="44">
        <f>IF(AND( C42="Buy", ISBLANK(W42), B42&lt;&gt;"DIV", NOW()-A42 &lt; 365), D42, "")</f>
        <v/>
      </c>
      <c r="S51" s="46">
        <f>IF(AND( C42="Buy", ISBLANK(W42), B42&lt;&gt;"DIV", NOW()-A42 &gt; 365), T42/sum(F42:I42), "")</f>
        <v/>
      </c>
      <c r="T51" s="50">
        <f>IF(AND( C42="Buy", ISBLANK(W42), B42&lt;&gt;"DIV", NOW()-A42 &gt; 365), (1-Index!$F$2*2)*((J42*D42)-(E42*D42)), "")</f>
        <v/>
      </c>
      <c r="U51" s="50">
        <f>IF(AND( C42="Buy", ISBLANK(W42), B42&lt;&gt;"DIV", NOW()-A42 &gt; 365), ((E42*D42)+T42), "")</f>
        <v/>
      </c>
      <c r="V51" s="50">
        <f>IF(AND( C42="Buy", ISBLANK(W42), B42&lt;&gt;"DIV", NOW()-A42 &gt; 365), D42, "")</f>
        <v/>
      </c>
      <c r="W51" s="57" t="n">
        <v>456.382222</v>
      </c>
      <c r="X51" s="58" t="n">
        <v>45565</v>
      </c>
      <c r="Y51" s="51" t="n">
        <v>0.164460014</v>
      </c>
      <c r="Z51" s="52" t="n">
        <v>647.1337089</v>
      </c>
      <c r="AA51" s="52" t="n">
        <v>4554.633709</v>
      </c>
      <c r="AB51" s="53" t="n">
        <v>10</v>
      </c>
      <c r="AC51" s="54">
        <f>if(B42="DIV", F42,"")</f>
        <v/>
      </c>
      <c r="AD51" s="49" t="n"/>
      <c r="AE51" s="55" t="n"/>
    </row>
    <row r="52">
      <c r="A52" s="38" t="n">
        <v>44232</v>
      </c>
      <c r="B52" s="59" t="inlineStr">
        <is>
          <t>NSE</t>
        </is>
      </c>
      <c r="C52" s="59" t="inlineStr">
        <is>
          <t>Sell</t>
        </is>
      </c>
      <c r="D52" s="40" t="n">
        <v>55</v>
      </c>
      <c r="E52" s="41" t="n">
        <v>512.11</v>
      </c>
      <c r="F52" s="41" t="n">
        <v>28165.9</v>
      </c>
      <c r="G52" s="59" t="n"/>
      <c r="H52" s="40" t="n">
        <v>28.33</v>
      </c>
      <c r="I52" s="40" t="n">
        <v>168.47</v>
      </c>
      <c r="J52" s="42">
        <f>Index!$C$2</f>
        <v/>
      </c>
      <c r="K52" s="43">
        <f>IF(AND( C43="Buy", ISBLANK(W43), B43&lt;&gt;"DIV"), L43/sum(F43:I43), "")</f>
        <v/>
      </c>
      <c r="L52" s="44">
        <f>IF(AND( C43="Buy", ISBLANK(W43), B43&lt;&gt;"DIV"), (1-Index!$F$2*2)*((J43*D43)-(E43*D43)), "")</f>
        <v/>
      </c>
      <c r="M52" s="44">
        <f>IF(AND( C43="Buy", ISBLANK(W43), B43&lt;&gt;"DIV"), ((E43*D43)+L43), "")</f>
        <v/>
      </c>
      <c r="N52" s="45">
        <f>IF(AND( C43="Buy", ISBLANK(W43), B43&lt;&gt;"DIV"), D43, "")</f>
        <v/>
      </c>
      <c r="O52" s="43">
        <f>IF(AND( C43="Buy", ISBLANK(W43), B43&lt;&gt;"DIV", NOW()-A43 &lt; 365), P43/sum(F43:I43), "")</f>
        <v/>
      </c>
      <c r="P52" s="44">
        <f>IF(AND( C43="Buy", ISBLANK(W43), B43&lt;&gt;"DIV", NOW()-A43 &lt; 365), (1-Index!$F$2*2)*((J43*D43)-(E43*D43)), "")</f>
        <v/>
      </c>
      <c r="Q52" s="44">
        <f>IF(AND( C43="Buy", ISBLANK(W43), B43&lt;&gt;"DIV", NOW()-A43 &lt; 365), ((E43*D43)+P43), "")</f>
        <v/>
      </c>
      <c r="R52" s="44">
        <f>IF(AND( C43="Buy", ISBLANK(W43), B43&lt;&gt;"DIV", NOW()-A43 &lt; 365), D43, "")</f>
        <v/>
      </c>
      <c r="S52" s="46">
        <f>IF(AND( C43="Buy", ISBLANK(W43), B43&lt;&gt;"DIV", NOW()-A43 &gt; 365), T43/sum(F43:I43), "")</f>
        <v/>
      </c>
      <c r="T52" s="50">
        <f>IF(AND( C43="Buy", ISBLANK(W43), B43&lt;&gt;"DIV", NOW()-A43 &gt; 365), (1-Index!$F$2*2)*((J43*D43)-(E43*D43)), "")</f>
        <v/>
      </c>
      <c r="U52" s="50">
        <f>IF(AND( C43="Buy", ISBLANK(W43), B43&lt;&gt;"DIV", NOW()-A43 &gt; 365), ((E43*D43)+T43), "")</f>
        <v/>
      </c>
      <c r="V52" s="50">
        <f>IF(AND( C43="Buy", ISBLANK(W43), B43&lt;&gt;"DIV", NOW()-A43 &gt; 365), D43, "")</f>
        <v/>
      </c>
      <c r="W52" s="60" t="n"/>
      <c r="X52" s="50" t="n"/>
      <c r="Y52" s="46">
        <f>IF(AND( C43="Buy", W43&lt;&gt;"", AA43&lt;&gt;"", B43&lt;&gt;"DIV"), Z43/sum(F43:I43), "")</f>
        <v/>
      </c>
      <c r="Z52" s="50" t="n"/>
      <c r="AA52" s="50" t="n"/>
      <c r="AB52" s="48" t="n"/>
      <c r="AC52" s="44">
        <f>if(B43="DIV", F43,"")</f>
        <v/>
      </c>
      <c r="AD52" s="49" t="n"/>
    </row>
    <row r="53">
      <c r="A53" s="38" t="n">
        <v>44228</v>
      </c>
      <c r="B53" s="59" t="inlineStr">
        <is>
          <t>NSE</t>
        </is>
      </c>
      <c r="C53" s="59" t="inlineStr">
        <is>
          <t>Sell</t>
        </is>
      </c>
      <c r="D53" s="40" t="n">
        <v>50</v>
      </c>
      <c r="E53" s="41" t="n">
        <v>517.9299999999999</v>
      </c>
      <c r="F53" s="41" t="n">
        <v>25896.47</v>
      </c>
      <c r="G53" s="59" t="n"/>
      <c r="H53" s="40" t="n">
        <v>26.08</v>
      </c>
      <c r="I53" s="40" t="n">
        <v>154.95</v>
      </c>
      <c r="J53" s="42">
        <f>Index!$C$2</f>
        <v/>
      </c>
      <c r="K53" s="43">
        <f>IF(AND( C44="Buy", ISBLANK(W44), B44&lt;&gt;"DIV"), L44/sum(F44:I44), "")</f>
        <v/>
      </c>
      <c r="L53" s="44">
        <f>IF(AND( C44="Buy", ISBLANK(W44), B44&lt;&gt;"DIV"), (1-Index!$F$2*2)*((J44*D44)-(E44*D44)), "")</f>
        <v/>
      </c>
      <c r="M53" s="44">
        <f>IF(AND( C44="Buy", ISBLANK(W44), B44&lt;&gt;"DIV"), ((E44*D44)+L44), "")</f>
        <v/>
      </c>
      <c r="N53" s="45">
        <f>IF(AND( C44="Buy", ISBLANK(W44), B44&lt;&gt;"DIV"), D44, "")</f>
        <v/>
      </c>
      <c r="O53" s="43">
        <f>IF(AND( C44="Buy", ISBLANK(W44), B44&lt;&gt;"DIV", NOW()-A44 &lt; 365), P44/sum(F44:I44), "")</f>
        <v/>
      </c>
      <c r="P53" s="44">
        <f>IF(AND( C44="Buy", ISBLANK(W44), B44&lt;&gt;"DIV", NOW()-A44 &lt; 365), (1-Index!$F$2*2)*((J44*D44)-(E44*D44)), "")</f>
        <v/>
      </c>
      <c r="Q53" s="44">
        <f>IF(AND( C44="Buy", ISBLANK(W44), B44&lt;&gt;"DIV", NOW()-A44 &lt; 365), ((E44*D44)+P44), "")</f>
        <v/>
      </c>
      <c r="R53" s="44">
        <f>IF(AND( C44="Buy", ISBLANK(W44), B44&lt;&gt;"DIV", NOW()-A44 &lt; 365), D44, "")</f>
        <v/>
      </c>
      <c r="S53" s="46">
        <f>IF(AND( C44="Buy", ISBLANK(W44), B44&lt;&gt;"DIV", NOW()-A44 &gt; 365), T44/sum(F44:I44), "")</f>
        <v/>
      </c>
      <c r="T53" s="50">
        <f>IF(AND( C44="Buy", ISBLANK(W44), B44&lt;&gt;"DIV", NOW()-A44 &gt; 365), (1-Index!$F$2*2)*((J44*D44)-(E44*D44)), "")</f>
        <v/>
      </c>
      <c r="U53" s="50">
        <f>IF(AND( C44="Buy", ISBLANK(W44), B44&lt;&gt;"DIV", NOW()-A44 &gt; 365), ((E44*D44)+T44), "")</f>
        <v/>
      </c>
      <c r="V53" s="50">
        <f>IF(AND( C44="Buy", ISBLANK(W44), B44&lt;&gt;"DIV", NOW()-A44 &gt; 365), D44, "")</f>
        <v/>
      </c>
      <c r="W53" s="60" t="n"/>
      <c r="X53" s="50" t="n"/>
      <c r="Y53" s="46">
        <f>IF(AND( C44="Buy", W44&lt;&gt;"", AA44&lt;&gt;"", B44&lt;&gt;"DIV"), Z44/sum(F44:I44), "")</f>
        <v/>
      </c>
      <c r="Z53" s="50" t="n"/>
      <c r="AA53" s="50" t="n"/>
      <c r="AB53" s="48" t="n"/>
      <c r="AC53" s="44">
        <f>if(B44="DIV", F44,"")</f>
        <v/>
      </c>
      <c r="AD53" s="49" t="n"/>
    </row>
    <row r="54">
      <c r="A54" s="56" t="n">
        <v>44152</v>
      </c>
      <c r="B54" s="59" t="inlineStr">
        <is>
          <t>NSE</t>
        </is>
      </c>
      <c r="C54" s="59" t="inlineStr">
        <is>
          <t>Buy</t>
        </is>
      </c>
      <c r="D54" s="40" t="n">
        <v>5</v>
      </c>
      <c r="E54" s="41" t="n">
        <v>487.94</v>
      </c>
      <c r="F54" s="41" t="n">
        <v>2439.72</v>
      </c>
      <c r="G54" s="59" t="n"/>
      <c r="H54" s="40" t="n">
        <v>1.97</v>
      </c>
      <c r="I54" s="40" t="n">
        <v>14.75</v>
      </c>
      <c r="J54" s="42">
        <f>Index!$C$2</f>
        <v/>
      </c>
      <c r="K54" s="43">
        <f>IF(AND( C45="Buy", ISBLANK(W45), B45&lt;&gt;"DIV"), L45/sum(F45:I45), "")</f>
        <v/>
      </c>
      <c r="L54" s="44">
        <f>IF(AND( C45="Buy", ISBLANK(W45), B45&lt;&gt;"DIV"), (1-Index!$F$2*2)*((J45*D45)-(E45*D45)), "")</f>
        <v/>
      </c>
      <c r="M54" s="44">
        <f>IF(AND( C45="Buy", ISBLANK(W45), B45&lt;&gt;"DIV"), ((E45*D45)+L45), "")</f>
        <v/>
      </c>
      <c r="N54" s="45">
        <f>IF(AND( C45="Buy", ISBLANK(W45), B45&lt;&gt;"DIV"), D45, "")</f>
        <v/>
      </c>
      <c r="O54" s="43">
        <f>IF(AND( C45="Buy", ISBLANK(W45), B45&lt;&gt;"DIV", NOW()-A45 &lt; 365), P45/sum(F45:I45), "")</f>
        <v/>
      </c>
      <c r="P54" s="44">
        <f>IF(AND( C45="Buy", ISBLANK(W45), B45&lt;&gt;"DIV", NOW()-A45 &lt; 365), (1-Index!$F$2*2)*((J45*D45)-(E45*D45)), "")</f>
        <v/>
      </c>
      <c r="Q54" s="44">
        <f>IF(AND( C45="Buy", ISBLANK(W45), B45&lt;&gt;"DIV", NOW()-A45 &lt; 365), ((E45*D45)+P45), "")</f>
        <v/>
      </c>
      <c r="R54" s="44">
        <f>IF(AND( C45="Buy", ISBLANK(W45), B45&lt;&gt;"DIV", NOW()-A45 &lt; 365), D45, "")</f>
        <v/>
      </c>
      <c r="S54" s="46">
        <f>IF(AND( C45="Buy", ISBLANK(W45), B45&lt;&gt;"DIV", NOW()-A45 &gt; 365), T45/sum(F45:I45), "")</f>
        <v/>
      </c>
      <c r="T54" s="50">
        <f>IF(AND( C45="Buy", ISBLANK(W45), B45&lt;&gt;"DIV", NOW()-A45 &gt; 365), (1-Index!$F$2*2)*((J45*D45)-(E45*D45)), "")</f>
        <v/>
      </c>
      <c r="U54" s="50">
        <f>IF(AND( C45="Buy", ISBLANK(W45), B45&lt;&gt;"DIV", NOW()-A45 &gt; 365), ((E45*D45)+T45), "")</f>
        <v/>
      </c>
      <c r="V54" s="50">
        <f>IF(AND( C45="Buy", ISBLANK(W45), B45&lt;&gt;"DIV", NOW()-A45 &gt; 365), D45, "")</f>
        <v/>
      </c>
      <c r="W54" s="57" t="n">
        <v>508.531818</v>
      </c>
      <c r="X54" s="58" t="n">
        <v>45565</v>
      </c>
      <c r="Y54" s="51" t="n">
        <v>0.04132714935</v>
      </c>
      <c r="Z54" s="52" t="n">
        <v>101.5176627</v>
      </c>
      <c r="AA54" s="52" t="n">
        <v>2541.217663</v>
      </c>
      <c r="AB54" s="53" t="n">
        <v>5</v>
      </c>
      <c r="AC54" s="54">
        <f>if(B45="DIV", F45,"")</f>
        <v/>
      </c>
      <c r="AD54" s="49" t="n"/>
      <c r="AE54" s="55" t="n"/>
    </row>
    <row r="55">
      <c r="A55" s="56" t="n">
        <v>44089</v>
      </c>
      <c r="B55" s="59" t="inlineStr">
        <is>
          <t>NSE</t>
        </is>
      </c>
      <c r="C55" s="59" t="inlineStr">
        <is>
          <t>Sell</t>
        </is>
      </c>
      <c r="D55" s="40" t="n">
        <v>20</v>
      </c>
      <c r="E55" s="41" t="n">
        <v>536.5700000000001</v>
      </c>
      <c r="F55" s="41" t="n">
        <v>10731.39</v>
      </c>
      <c r="G55" s="59" t="n"/>
      <c r="H55" s="40" t="n">
        <v>10.56</v>
      </c>
      <c r="I55" s="40" t="n">
        <v>65.05</v>
      </c>
      <c r="J55" s="42">
        <f>Index!$C$2</f>
        <v/>
      </c>
      <c r="K55" s="43">
        <f>IF(AND( C46="Buy", ISBLANK(W46), B46&lt;&gt;"DIV"), L46/sum(F46:I46), "")</f>
        <v/>
      </c>
      <c r="L55" s="44">
        <f>IF(AND( C46="Buy", ISBLANK(W46), B46&lt;&gt;"DIV"), (1-Index!$F$2*2)*((J46*D46)-(E46*D46)), "")</f>
        <v/>
      </c>
      <c r="M55" s="44">
        <f>IF(AND( C46="Buy", ISBLANK(W46), B46&lt;&gt;"DIV"), ((E46*D46)+L46), "")</f>
        <v/>
      </c>
      <c r="N55" s="45">
        <f>IF(AND( C46="Buy", ISBLANK(W46), B46&lt;&gt;"DIV"), D46, "")</f>
        <v/>
      </c>
      <c r="O55" s="43">
        <f>IF(AND( C46="Buy", ISBLANK(W46), B46&lt;&gt;"DIV", NOW()-A46 &lt; 365), P46/sum(F46:I46), "")</f>
        <v/>
      </c>
      <c r="P55" s="44">
        <f>IF(AND( C46="Buy", ISBLANK(W46), B46&lt;&gt;"DIV", NOW()-A46 &lt; 365), (1-Index!$F$2*2)*((J46*D46)-(E46*D46)), "")</f>
        <v/>
      </c>
      <c r="Q55" s="44">
        <f>IF(AND( C46="Buy", ISBLANK(W46), B46&lt;&gt;"DIV", NOW()-A46 &lt; 365), ((E46*D46)+P46), "")</f>
        <v/>
      </c>
      <c r="R55" s="44">
        <f>IF(AND( C46="Buy", ISBLANK(W46), B46&lt;&gt;"DIV", NOW()-A46 &lt; 365), D46, "")</f>
        <v/>
      </c>
      <c r="S55" s="46">
        <f>IF(AND( C46="Buy", ISBLANK(W46), B46&lt;&gt;"DIV", NOW()-A46 &gt; 365), T46/sum(F46:I46), "")</f>
        <v/>
      </c>
      <c r="T55" s="50">
        <f>IF(AND( C46="Buy", ISBLANK(W46), B46&lt;&gt;"DIV", NOW()-A46 &gt; 365), (1-Index!$F$2*2)*((J46*D46)-(E46*D46)), "")</f>
        <v/>
      </c>
      <c r="U55" s="50">
        <f>IF(AND( C46="Buy", ISBLANK(W46), B46&lt;&gt;"DIV", NOW()-A46 &gt; 365), ((E46*D46)+T46), "")</f>
        <v/>
      </c>
      <c r="V55" s="50">
        <f>IF(AND( C46="Buy", ISBLANK(W46), B46&lt;&gt;"DIV", NOW()-A46 &gt; 365), D46, "")</f>
        <v/>
      </c>
      <c r="W55" s="60" t="n"/>
      <c r="X55" s="50" t="n"/>
      <c r="Y55" s="46">
        <f>IF(AND( C46="Buy", W46&lt;&gt;"", AA46&lt;&gt;"", B46&lt;&gt;"DIV"), Z46/sum(F46:I46), "")</f>
        <v/>
      </c>
      <c r="Z55" s="50" t="n"/>
      <c r="AA55" s="50" t="n"/>
      <c r="AB55" s="48" t="n"/>
      <c r="AC55" s="44">
        <f>if(B46="DIV", F46,"")</f>
        <v/>
      </c>
      <c r="AD55" s="49" t="n"/>
    </row>
    <row r="56">
      <c r="A56" s="56" t="n">
        <v>44063</v>
      </c>
      <c r="B56" s="59" t="inlineStr">
        <is>
          <t>DIV</t>
        </is>
      </c>
      <c r="C56" s="59" t="inlineStr">
        <is>
          <t>Buy</t>
        </is>
      </c>
      <c r="D56" s="40" t="n">
        <v>120</v>
      </c>
      <c r="E56" s="41" t="n">
        <v>0.09</v>
      </c>
      <c r="F56" s="41" t="n">
        <v>11.1</v>
      </c>
      <c r="G56" s="59" t="inlineStr">
        <is>
          <t>Dividend of Rs.0.0925/- per share on 20-AUG-2020 Final-Dividend of Rs.0.1000/- per share on Ex-Date: 20-AUG-2020</t>
        </is>
      </c>
      <c r="H56" s="40" t="n">
        <v>0</v>
      </c>
      <c r="I56" s="40" t="n">
        <v>0</v>
      </c>
      <c r="J56" s="42">
        <f>Index!$C$2</f>
        <v/>
      </c>
      <c r="K56" s="43">
        <f>IF(AND( C47="Buy", ISBLANK(W47), B47&lt;&gt;"DIV"), L47/sum(F47:I47), "")</f>
        <v/>
      </c>
      <c r="L56" s="44">
        <f>IF(AND( C47="Buy", ISBLANK(W47), B47&lt;&gt;"DIV"), (1-Index!$F$2*2)*((J47*D47)-(E47*D47)), "")</f>
        <v/>
      </c>
      <c r="M56" s="44">
        <f>IF(AND( C47="Buy", ISBLANK(W47), B47&lt;&gt;"DIV"), ((E47*D47)+L47), "")</f>
        <v/>
      </c>
      <c r="N56" s="45">
        <f>IF(AND( C47="Buy", ISBLANK(W47), B47&lt;&gt;"DIV"), D47, "")</f>
        <v/>
      </c>
      <c r="O56" s="43">
        <f>IF(AND( C47="Buy", ISBLANK(W47), B47&lt;&gt;"DIV", NOW()-A47 &lt; 365), P47/sum(F47:I47), "")</f>
        <v/>
      </c>
      <c r="P56" s="44">
        <f>IF(AND( C47="Buy", ISBLANK(W47), B47&lt;&gt;"DIV", NOW()-A47 &lt; 365), (1-Index!$F$2*2)*((J47*D47)-(E47*D47)), "")</f>
        <v/>
      </c>
      <c r="Q56" s="44">
        <f>IF(AND( C47="Buy", ISBLANK(W47), B47&lt;&gt;"DIV", NOW()-A47 &lt; 365), ((E47*D47)+P47), "")</f>
        <v/>
      </c>
      <c r="R56" s="44">
        <f>IF(AND( C47="Buy", ISBLANK(W47), B47&lt;&gt;"DIV", NOW()-A47 &lt; 365), D47, "")</f>
        <v/>
      </c>
      <c r="S56" s="46">
        <f>IF(AND( C47="Buy", ISBLANK(W47), B47&lt;&gt;"DIV", NOW()-A47 &gt; 365), T47/sum(F47:I47), "")</f>
        <v/>
      </c>
      <c r="T56" s="50">
        <f>IF(AND( C47="Buy", ISBLANK(W47), B47&lt;&gt;"DIV", NOW()-A47 &gt; 365), (1-Index!$F$2*2)*((J47*D47)-(E47*D47)), "")</f>
        <v/>
      </c>
      <c r="U56" s="50">
        <f>IF(AND( C47="Buy", ISBLANK(W47), B47&lt;&gt;"DIV", NOW()-A47 &gt; 365), ((E47*D47)+T47), "")</f>
        <v/>
      </c>
      <c r="V56" s="50">
        <f>IF(AND( C47="Buy", ISBLANK(W47), B47&lt;&gt;"DIV", NOW()-A47 &gt; 365), D47, "")</f>
        <v/>
      </c>
      <c r="W56" s="60" t="n"/>
      <c r="X56" s="50" t="n"/>
      <c r="Y56" s="46">
        <f>IF(AND( C47="Buy", W47&lt;&gt;"", AA47&lt;&gt;"", B47&lt;&gt;"DIV"), Z47/sum(F47:I47), "")</f>
        <v/>
      </c>
      <c r="Z56" s="50" t="n"/>
      <c r="AA56" s="50" t="n"/>
      <c r="AB56" s="48" t="n"/>
      <c r="AC56" s="44">
        <f>if(B47="DIV", F47,"")</f>
        <v/>
      </c>
      <c r="AD56" s="49" t="n"/>
    </row>
    <row r="57">
      <c r="A57" s="56" t="n">
        <v>44043</v>
      </c>
      <c r="B57" s="59" t="inlineStr">
        <is>
          <t>NSE</t>
        </is>
      </c>
      <c r="C57" s="59" t="inlineStr">
        <is>
          <t>Buy</t>
        </is>
      </c>
      <c r="D57" s="40" t="n">
        <v>10</v>
      </c>
      <c r="E57" s="41" t="n">
        <v>453.3</v>
      </c>
      <c r="F57" s="41" t="n">
        <v>4533.01</v>
      </c>
      <c r="G57" s="59" t="n"/>
      <c r="H57" s="40" t="n">
        <v>4.57</v>
      </c>
      <c r="I57" s="40" t="n">
        <v>27.44</v>
      </c>
      <c r="J57" s="42">
        <f>Index!$C$2</f>
        <v/>
      </c>
      <c r="K57" s="43">
        <f>IF(AND( C48="Buy", ISBLANK(W48), B48&lt;&gt;"DIV"), L48/sum(F48:I48), "")</f>
        <v/>
      </c>
      <c r="L57" s="44">
        <f>IF(AND( C48="Buy", ISBLANK(W48), B48&lt;&gt;"DIV"), (1-Index!$F$2*2)*((J48*D48)-(E48*D48)), "")</f>
        <v/>
      </c>
      <c r="M57" s="44">
        <f>IF(AND( C48="Buy", ISBLANK(W48), B48&lt;&gt;"DIV"), ((E48*D48)+L48), "")</f>
        <v/>
      </c>
      <c r="N57" s="45">
        <f>IF(AND( C48="Buy", ISBLANK(W48), B48&lt;&gt;"DIV"), D48, "")</f>
        <v/>
      </c>
      <c r="O57" s="43">
        <f>IF(AND( C48="Buy", ISBLANK(W48), B48&lt;&gt;"DIV", NOW()-A48 &lt; 365), P48/sum(F48:I48), "")</f>
        <v/>
      </c>
      <c r="P57" s="44">
        <f>IF(AND( C48="Buy", ISBLANK(W48), B48&lt;&gt;"DIV", NOW()-A48 &lt; 365), (1-Index!$F$2*2)*((J48*D48)-(E48*D48)), "")</f>
        <v/>
      </c>
      <c r="Q57" s="44">
        <f>IF(AND( C48="Buy", ISBLANK(W48), B48&lt;&gt;"DIV", NOW()-A48 &lt; 365), ((E48*D48)+P48), "")</f>
        <v/>
      </c>
      <c r="R57" s="44">
        <f>IF(AND( C48="Buy", ISBLANK(W48), B48&lt;&gt;"DIV", NOW()-A48 &lt; 365), D48, "")</f>
        <v/>
      </c>
      <c r="S57" s="46">
        <f>IF(AND( C48="Buy", ISBLANK(W48), B48&lt;&gt;"DIV", NOW()-A48 &gt; 365), T48/sum(F48:I48), "")</f>
        <v/>
      </c>
      <c r="T57" s="50">
        <f>IF(AND( C48="Buy", ISBLANK(W48), B48&lt;&gt;"DIV", NOW()-A48 &gt; 365), (1-Index!$F$2*2)*((J48*D48)-(E48*D48)), "")</f>
        <v/>
      </c>
      <c r="U57" s="50">
        <f>IF(AND( C48="Buy", ISBLANK(W48), B48&lt;&gt;"DIV", NOW()-A48 &gt; 365), ((E48*D48)+T48), "")</f>
        <v/>
      </c>
      <c r="V57" s="50">
        <f>IF(AND( C48="Buy", ISBLANK(W48), B48&lt;&gt;"DIV", NOW()-A48 &gt; 365), D48, "")</f>
        <v/>
      </c>
      <c r="W57" s="57" t="n">
        <v>508.531818</v>
      </c>
      <c r="X57" s="58" t="n">
        <v>45565</v>
      </c>
      <c r="Y57" s="51" t="n">
        <v>0.1192953646</v>
      </c>
      <c r="Z57" s="52" t="n">
        <v>544.5857255</v>
      </c>
      <c r="AA57" s="52" t="n">
        <v>5077.585725</v>
      </c>
      <c r="AB57" s="53" t="n">
        <v>10</v>
      </c>
      <c r="AC57" s="54">
        <f>if(B48="DIV", F48,"")</f>
        <v/>
      </c>
      <c r="AD57" s="49" t="n"/>
      <c r="AE57" s="55" t="n"/>
    </row>
    <row r="58">
      <c r="A58" s="56" t="n">
        <v>44036</v>
      </c>
      <c r="B58" s="59" t="inlineStr">
        <is>
          <t>NSE</t>
        </is>
      </c>
      <c r="C58" s="59" t="inlineStr">
        <is>
          <t>Buy</t>
        </is>
      </c>
      <c r="D58" s="40" t="n">
        <v>5</v>
      </c>
      <c r="E58" s="41" t="n">
        <v>445.3</v>
      </c>
      <c r="F58" s="41" t="n">
        <v>2226.52</v>
      </c>
      <c r="G58" s="59" t="n"/>
      <c r="H58" s="40" t="n">
        <v>2.23</v>
      </c>
      <c r="I58" s="40" t="n">
        <v>13.29</v>
      </c>
      <c r="J58" s="42">
        <f>Index!$C$2</f>
        <v/>
      </c>
      <c r="K58" s="43">
        <f>IF(AND( C49="Buy", ISBLANK(W49), B49&lt;&gt;"DIV"), L49/sum(F49:I49), "")</f>
        <v/>
      </c>
      <c r="L58" s="44">
        <f>IF(AND( C49="Buy", ISBLANK(W49), B49&lt;&gt;"DIV"), (1-Index!$F$2*2)*((J49*D49)-(E49*D49)), "")</f>
        <v/>
      </c>
      <c r="M58" s="44">
        <f>IF(AND( C49="Buy", ISBLANK(W49), B49&lt;&gt;"DIV"), ((E49*D49)+L49), "")</f>
        <v/>
      </c>
      <c r="N58" s="45">
        <f>IF(AND( C49="Buy", ISBLANK(W49), B49&lt;&gt;"DIV"), D49, "")</f>
        <v/>
      </c>
      <c r="O58" s="43">
        <f>IF(AND( C49="Buy", ISBLANK(W49), B49&lt;&gt;"DIV", NOW()-A49 &lt; 365), P49/sum(F49:I49), "")</f>
        <v/>
      </c>
      <c r="P58" s="44">
        <f>IF(AND( C49="Buy", ISBLANK(W49), B49&lt;&gt;"DIV", NOW()-A49 &lt; 365), (1-Index!$F$2*2)*((J49*D49)-(E49*D49)), "")</f>
        <v/>
      </c>
      <c r="Q58" s="44">
        <f>IF(AND( C49="Buy", ISBLANK(W49), B49&lt;&gt;"DIV", NOW()-A49 &lt; 365), ((E49*D49)+P49), "")</f>
        <v/>
      </c>
      <c r="R58" s="44">
        <f>IF(AND( C49="Buy", ISBLANK(W49), B49&lt;&gt;"DIV", NOW()-A49 &lt; 365), D49, "")</f>
        <v/>
      </c>
      <c r="S58" s="46">
        <f>IF(AND( C49="Buy", ISBLANK(W49), B49&lt;&gt;"DIV", NOW()-A49 &gt; 365), T49/sum(F49:I49), "")</f>
        <v/>
      </c>
      <c r="T58" s="50">
        <f>IF(AND( C49="Buy", ISBLANK(W49), B49&lt;&gt;"DIV", NOW()-A49 &gt; 365), (1-Index!$F$2*2)*((J49*D49)-(E49*D49)), "")</f>
        <v/>
      </c>
      <c r="U58" s="50">
        <f>IF(AND( C49="Buy", ISBLANK(W49), B49&lt;&gt;"DIV", NOW()-A49 &gt; 365), ((E49*D49)+T49), "")</f>
        <v/>
      </c>
      <c r="V58" s="50">
        <f>IF(AND( C49="Buy", ISBLANK(W49), B49&lt;&gt;"DIV", NOW()-A49 &gt; 365), D49, "")</f>
        <v/>
      </c>
      <c r="W58" s="57" t="n">
        <v>508.531818</v>
      </c>
      <c r="X58" s="58" t="n">
        <v>45565</v>
      </c>
      <c r="Y58" s="51" t="n">
        <v>0.139039831</v>
      </c>
      <c r="Z58" s="52" t="n">
        <v>311.7328627</v>
      </c>
      <c r="AA58" s="52" t="n">
        <v>2538.232863</v>
      </c>
      <c r="AB58" s="53" t="n">
        <v>5</v>
      </c>
      <c r="AC58" s="54">
        <f>if(B49="DIV", F49,"")</f>
        <v/>
      </c>
      <c r="AD58" s="49" t="n"/>
      <c r="AE58" s="55" t="n"/>
    </row>
    <row r="59">
      <c r="A59" s="61" t="n">
        <v>43966</v>
      </c>
      <c r="B59" s="59" t="inlineStr">
        <is>
          <t>NSE</t>
        </is>
      </c>
      <c r="C59" s="59" t="inlineStr">
        <is>
          <t>Buy</t>
        </is>
      </c>
      <c r="D59" s="40" t="n">
        <v>5</v>
      </c>
      <c r="E59" s="41" t="n">
        <v>425.17</v>
      </c>
      <c r="F59" s="41" t="n">
        <v>2125.85</v>
      </c>
      <c r="G59" s="59" t="n"/>
      <c r="H59" s="40" t="n">
        <v>0</v>
      </c>
      <c r="I59" s="40" t="n">
        <v>10.6</v>
      </c>
      <c r="J59" s="42">
        <f>Index!$C$2</f>
        <v/>
      </c>
      <c r="K59" s="43">
        <f>IF(AND( C50="Buy", ISBLANK(W50), B50&lt;&gt;"DIV"), L50/sum(F50:I50), "")</f>
        <v/>
      </c>
      <c r="L59" s="44">
        <f>IF(AND( C50="Buy", ISBLANK(W50), B50&lt;&gt;"DIV"), (1-Index!$F$2*2)*((J50*D50)-(E50*D50)), "")</f>
        <v/>
      </c>
      <c r="M59" s="44">
        <f>IF(AND( C50="Buy", ISBLANK(W50), B50&lt;&gt;"DIV"), ((E50*D50)+L50), "")</f>
        <v/>
      </c>
      <c r="N59" s="45">
        <f>IF(AND( C50="Buy", ISBLANK(W50), B50&lt;&gt;"DIV"), D50, "")</f>
        <v/>
      </c>
      <c r="O59" s="43">
        <f>IF(AND( C50="Buy", ISBLANK(W50), B50&lt;&gt;"DIV", NOW()-A50 &lt; 365), P50/sum(F50:I50), "")</f>
        <v/>
      </c>
      <c r="P59" s="44">
        <f>IF(AND( C50="Buy", ISBLANK(W50), B50&lt;&gt;"DIV", NOW()-A50 &lt; 365), (1-Index!$F$2*2)*((J50*D50)-(E50*D50)), "")</f>
        <v/>
      </c>
      <c r="Q59" s="44">
        <f>IF(AND( C50="Buy", ISBLANK(W50), B50&lt;&gt;"DIV", NOW()-A50 &lt; 365), ((E50*D50)+P50), "")</f>
        <v/>
      </c>
      <c r="R59" s="44">
        <f>IF(AND( C50="Buy", ISBLANK(W50), B50&lt;&gt;"DIV", NOW()-A50 &lt; 365), D50, "")</f>
        <v/>
      </c>
      <c r="S59" s="46">
        <f>IF(AND( C50="Buy", ISBLANK(W50), B50&lt;&gt;"DIV", NOW()-A50 &gt; 365), T50/sum(F50:I50), "")</f>
        <v/>
      </c>
      <c r="T59" s="50">
        <f>IF(AND( C50="Buy", ISBLANK(W50), B50&lt;&gt;"DIV", NOW()-A50 &gt; 365), (1-Index!$F$2*2)*((J50*D50)-(E50*D50)), "")</f>
        <v/>
      </c>
      <c r="U59" s="50">
        <f>IF(AND( C50="Buy", ISBLANK(W50), B50&lt;&gt;"DIV", NOW()-A50 &gt; 365), ((E50*D50)+T50), "")</f>
        <v/>
      </c>
      <c r="V59" s="50">
        <f>IF(AND( C50="Buy", ISBLANK(W50), B50&lt;&gt;"DIV", NOW()-A50 &gt; 365), D50, "")</f>
        <v/>
      </c>
      <c r="W59" s="57" t="n">
        <v>508.531818</v>
      </c>
      <c r="X59" s="58" t="n">
        <v>45565</v>
      </c>
      <c r="Y59" s="51" t="n">
        <v>0.1923629211</v>
      </c>
      <c r="Z59" s="52" t="n">
        <v>410.9737627</v>
      </c>
      <c r="AA59" s="52" t="n">
        <v>2536.823763</v>
      </c>
      <c r="AB59" s="53" t="n">
        <v>5</v>
      </c>
      <c r="AC59" s="54">
        <f>if(B50="DIV", F50,"")</f>
        <v/>
      </c>
      <c r="AD59" s="49" t="n"/>
      <c r="AE59" s="55" t="n"/>
    </row>
    <row r="60">
      <c r="A60" s="62" t="n">
        <v>43959</v>
      </c>
      <c r="B60" s="59" t="inlineStr">
        <is>
          <t>NSE</t>
        </is>
      </c>
      <c r="C60" s="59" t="inlineStr">
        <is>
          <t>Buy</t>
        </is>
      </c>
      <c r="D60" s="40" t="n">
        <v>10</v>
      </c>
      <c r="E60" s="41" t="n">
        <v>406.67</v>
      </c>
      <c r="F60" s="41" t="n">
        <v>4066.7</v>
      </c>
      <c r="G60" s="59" t="n"/>
      <c r="H60" s="40" t="n">
        <v>0</v>
      </c>
      <c r="I60" s="40" t="n">
        <v>20.2</v>
      </c>
      <c r="J60" s="42">
        <f>Index!$C$2</f>
        <v/>
      </c>
      <c r="K60" s="43">
        <f>IF(AND( C51="Buy", ISBLANK(W51), B51&lt;&gt;"DIV"), L51/sum(F51:I51), "")</f>
        <v/>
      </c>
      <c r="L60" s="44">
        <f>IF(AND( C51="Buy", ISBLANK(W51), B51&lt;&gt;"DIV"), (1-Index!$F$2*2)*((J51*D51)-(E51*D51)), "")</f>
        <v/>
      </c>
      <c r="M60" s="44">
        <f>IF(AND( C51="Buy", ISBLANK(W51), B51&lt;&gt;"DIV"), ((E51*D51)+L51), "")</f>
        <v/>
      </c>
      <c r="N60" s="45">
        <f>IF(AND( C51="Buy", ISBLANK(W51), B51&lt;&gt;"DIV"), D51, "")</f>
        <v/>
      </c>
      <c r="O60" s="43">
        <f>IF(AND( C51="Buy", ISBLANK(W51), B51&lt;&gt;"DIV", NOW()-A51 &lt; 365), P51/sum(F51:I51), "")</f>
        <v/>
      </c>
      <c r="P60" s="44">
        <f>IF(AND( C51="Buy", ISBLANK(W51), B51&lt;&gt;"DIV", NOW()-A51 &lt; 365), (1-Index!$F$2*2)*((J51*D51)-(E51*D51)), "")</f>
        <v/>
      </c>
      <c r="Q60" s="44">
        <f>IF(AND( C51="Buy", ISBLANK(W51), B51&lt;&gt;"DIV", NOW()-A51 &lt; 365), ((E51*D51)+P51), "")</f>
        <v/>
      </c>
      <c r="R60" s="44">
        <f>IF(AND( C51="Buy", ISBLANK(W51), B51&lt;&gt;"DIV", NOW()-A51 &lt; 365), D51, "")</f>
        <v/>
      </c>
      <c r="S60" s="46">
        <f>IF(AND( C51="Buy", ISBLANK(W51), B51&lt;&gt;"DIV", NOW()-A51 &gt; 365), T51/sum(F51:I51), "")</f>
        <v/>
      </c>
      <c r="T60" s="50">
        <f>IF(AND( C51="Buy", ISBLANK(W51), B51&lt;&gt;"DIV", NOW()-A51 &gt; 365), (1-Index!$F$2*2)*((J51*D51)-(E51*D51)), "")</f>
        <v/>
      </c>
      <c r="U60" s="50">
        <f>IF(AND( C51="Buy", ISBLANK(W51), B51&lt;&gt;"DIV", NOW()-A51 &gt; 365), ((E51*D51)+T51), "")</f>
        <v/>
      </c>
      <c r="V60" s="50">
        <f>IF(AND( C51="Buy", ISBLANK(W51), B51&lt;&gt;"DIV", NOW()-A51 &gt; 365), D51, "")</f>
        <v/>
      </c>
      <c r="W60" s="57" t="n">
        <v>508.531818</v>
      </c>
      <c r="X60" s="58" t="n">
        <v>45565</v>
      </c>
      <c r="Y60" s="51" t="n">
        <v>0.2457504528</v>
      </c>
      <c r="Z60" s="52" t="n">
        <v>1004.357525</v>
      </c>
      <c r="AA60" s="52" t="n">
        <v>5071.057525</v>
      </c>
      <c r="AB60" s="53" t="n">
        <v>10</v>
      </c>
      <c r="AC60" s="54">
        <f>if(B51="DIV", F51,"")</f>
        <v/>
      </c>
      <c r="AD60" s="49" t="n"/>
      <c r="AE60" s="55" t="n"/>
    </row>
    <row r="61">
      <c r="A61" s="62" t="n">
        <v>43956</v>
      </c>
      <c r="B61" s="59" t="inlineStr">
        <is>
          <t>NSE</t>
        </is>
      </c>
      <c r="C61" s="59" t="inlineStr">
        <is>
          <t>Buy</t>
        </is>
      </c>
      <c r="D61" s="40" t="n">
        <v>10</v>
      </c>
      <c r="E61" s="41" t="n">
        <v>408.43</v>
      </c>
      <c r="F61" s="41" t="n">
        <v>4084.3</v>
      </c>
      <c r="G61" s="59" t="n"/>
      <c r="H61" s="40" t="n">
        <v>0</v>
      </c>
      <c r="I61" s="40" t="n">
        <v>20.3</v>
      </c>
      <c r="J61" s="42">
        <f>Index!$C$2</f>
        <v/>
      </c>
      <c r="K61" s="43">
        <f>IF(AND( C52="Buy", ISBLANK(W52), B52&lt;&gt;"DIV"), L52/sum(F52:I52), "")</f>
        <v/>
      </c>
      <c r="L61" s="44">
        <f>IF(AND( C52="Buy", ISBLANK(W52), B52&lt;&gt;"DIV"), (1-Index!$F$2*2)*((J52*D52)-(E52*D52)), "")</f>
        <v/>
      </c>
      <c r="M61" s="44">
        <f>IF(AND( C52="Buy", ISBLANK(W52), B52&lt;&gt;"DIV"), ((E52*D52)+L52), "")</f>
        <v/>
      </c>
      <c r="N61" s="45">
        <f>IF(AND( C52="Buy", ISBLANK(W52), B52&lt;&gt;"DIV"), D52, "")</f>
        <v/>
      </c>
      <c r="O61" s="43">
        <f>IF(AND( C52="Buy", ISBLANK(W52), B52&lt;&gt;"DIV", NOW()-A52 &lt; 365), P52/sum(F52:I52), "")</f>
        <v/>
      </c>
      <c r="P61" s="44">
        <f>IF(AND( C52="Buy", ISBLANK(W52), B52&lt;&gt;"DIV", NOW()-A52 &lt; 365), (1-Index!$F$2*2)*((J52*D52)-(E52*D52)), "")</f>
        <v/>
      </c>
      <c r="Q61" s="44">
        <f>IF(AND( C52="Buy", ISBLANK(W52), B52&lt;&gt;"DIV", NOW()-A52 &lt; 365), ((E52*D52)+P52), "")</f>
        <v/>
      </c>
      <c r="R61" s="44">
        <f>IF(AND( C52="Buy", ISBLANK(W52), B52&lt;&gt;"DIV", NOW()-A52 &lt; 365), D52, "")</f>
        <v/>
      </c>
      <c r="S61" s="46">
        <f>IF(AND( C52="Buy", ISBLANK(W52), B52&lt;&gt;"DIV", NOW()-A52 &gt; 365), T52/sum(F52:I52), "")</f>
        <v/>
      </c>
      <c r="T61" s="50">
        <f>IF(AND( C52="Buy", ISBLANK(W52), B52&lt;&gt;"DIV", NOW()-A52 &gt; 365), (1-Index!$F$2*2)*((J52*D52)-(E52*D52)), "")</f>
        <v/>
      </c>
      <c r="U61" s="50">
        <f>IF(AND( C52="Buy", ISBLANK(W52), B52&lt;&gt;"DIV", NOW()-A52 &gt; 365), ((E52*D52)+T52), "")</f>
        <v/>
      </c>
      <c r="V61" s="50">
        <f>IF(AND( C52="Buy", ISBLANK(W52), B52&lt;&gt;"DIV", NOW()-A52 &gt; 365), D52, "")</f>
        <v/>
      </c>
      <c r="W61" s="57" t="n">
        <v>508.531818</v>
      </c>
      <c r="X61" s="58" t="n">
        <v>45565</v>
      </c>
      <c r="Y61" s="51" t="n">
        <v>0.2404628771</v>
      </c>
      <c r="Z61" s="52" t="n">
        <v>987.0039255</v>
      </c>
      <c r="AA61" s="52" t="n">
        <v>5071.303925</v>
      </c>
      <c r="AB61" s="53" t="n">
        <v>10</v>
      </c>
      <c r="AC61" s="54">
        <f>if(B52="DIV", F52,"")</f>
        <v/>
      </c>
      <c r="AD61" s="49" t="n"/>
      <c r="AE61" s="55" t="n"/>
    </row>
    <row r="62">
      <c r="A62" s="56" t="n">
        <v>43944</v>
      </c>
      <c r="B62" s="59" t="inlineStr">
        <is>
          <t>NSE</t>
        </is>
      </c>
      <c r="C62" s="59" t="inlineStr">
        <is>
          <t>Buy</t>
        </is>
      </c>
      <c r="D62" s="40" t="n">
        <v>10</v>
      </c>
      <c r="E62" s="41" t="n">
        <v>408.93</v>
      </c>
      <c r="F62" s="41" t="n">
        <v>4089.3</v>
      </c>
      <c r="G62" s="59" t="n"/>
      <c r="H62" s="40" t="n">
        <v>0</v>
      </c>
      <c r="I62" s="40" t="n">
        <v>20.3</v>
      </c>
      <c r="J62" s="42">
        <f>Index!$C$2</f>
        <v/>
      </c>
      <c r="K62" s="43">
        <f>IF(AND( C53="Buy", ISBLANK(W53), B53&lt;&gt;"DIV"), L53/sum(F53:I53), "")</f>
        <v/>
      </c>
      <c r="L62" s="44">
        <f>IF(AND( C53="Buy", ISBLANK(W53), B53&lt;&gt;"DIV"), (1-Index!$F$2*2)*((J53*D53)-(E53*D53)), "")</f>
        <v/>
      </c>
      <c r="M62" s="44">
        <f>IF(AND( C53="Buy", ISBLANK(W53), B53&lt;&gt;"DIV"), ((E53*D53)+L53), "")</f>
        <v/>
      </c>
      <c r="N62" s="45">
        <f>IF(AND( C53="Buy", ISBLANK(W53), B53&lt;&gt;"DIV"), D53, "")</f>
        <v/>
      </c>
      <c r="O62" s="43">
        <f>IF(AND( C53="Buy", ISBLANK(W53), B53&lt;&gt;"DIV", NOW()-A53 &lt; 365), P53/sum(F53:I53), "")</f>
        <v/>
      </c>
      <c r="P62" s="44">
        <f>IF(AND( C53="Buy", ISBLANK(W53), B53&lt;&gt;"DIV", NOW()-A53 &lt; 365), (1-Index!$F$2*2)*((J53*D53)-(E53*D53)), "")</f>
        <v/>
      </c>
      <c r="Q62" s="44">
        <f>IF(AND( C53="Buy", ISBLANK(W53), B53&lt;&gt;"DIV", NOW()-A53 &lt; 365), ((E53*D53)+P53), "")</f>
        <v/>
      </c>
      <c r="R62" s="44">
        <f>IF(AND( C53="Buy", ISBLANK(W53), B53&lt;&gt;"DIV", NOW()-A53 &lt; 365), D53, "")</f>
        <v/>
      </c>
      <c r="S62" s="46">
        <f>IF(AND( C53="Buy", ISBLANK(W53), B53&lt;&gt;"DIV", NOW()-A53 &gt; 365), T53/sum(F53:I53), "")</f>
        <v/>
      </c>
      <c r="T62" s="50">
        <f>IF(AND( C53="Buy", ISBLANK(W53), B53&lt;&gt;"DIV", NOW()-A53 &gt; 365), (1-Index!$F$2*2)*((J53*D53)-(E53*D53)), "")</f>
        <v/>
      </c>
      <c r="U62" s="50">
        <f>IF(AND( C53="Buy", ISBLANK(W53), B53&lt;&gt;"DIV", NOW()-A53 &gt; 365), ((E53*D53)+T53), "")</f>
        <v/>
      </c>
      <c r="V62" s="50">
        <f>IF(AND( C53="Buy", ISBLANK(W53), B53&lt;&gt;"DIV", NOW()-A53 &gt; 365), D53, "")</f>
        <v/>
      </c>
      <c r="W62" s="57" t="n">
        <v>508.531818</v>
      </c>
      <c r="X62" s="58" t="n">
        <v>45565</v>
      </c>
      <c r="Y62" s="51" t="n">
        <v>0.2389706846</v>
      </c>
      <c r="Z62" s="52" t="n">
        <v>982.0739255</v>
      </c>
      <c r="AA62" s="52" t="n">
        <v>5071.373925</v>
      </c>
      <c r="AB62" s="53" t="n">
        <v>10</v>
      </c>
      <c r="AC62" s="54">
        <f>if(B53="DIV", F53,"")</f>
        <v/>
      </c>
      <c r="AD62" s="49" t="n"/>
      <c r="AE62" s="55" t="n"/>
    </row>
    <row r="63">
      <c r="A63" s="56" t="n">
        <v>43921</v>
      </c>
      <c r="B63" s="59" t="inlineStr">
        <is>
          <t>NSE</t>
        </is>
      </c>
      <c r="C63" s="59" t="inlineStr">
        <is>
          <t>Buy</t>
        </is>
      </c>
      <c r="D63" s="40" t="n">
        <v>10</v>
      </c>
      <c r="E63" s="41" t="n">
        <v>291.69</v>
      </c>
      <c r="F63" s="41" t="n">
        <v>2916.95</v>
      </c>
      <c r="G63" s="59" t="n"/>
      <c r="H63" s="40" t="n">
        <v>2.92</v>
      </c>
      <c r="I63" s="40" t="n">
        <v>17.53</v>
      </c>
      <c r="J63" s="42">
        <f>Index!$C$2</f>
        <v/>
      </c>
      <c r="K63" s="43">
        <f>IF(AND( C54="Buy", ISBLANK(W54), B54&lt;&gt;"DIV"), L54/sum(F54:I54), "")</f>
        <v/>
      </c>
      <c r="L63" s="44">
        <f>IF(AND( C54="Buy", ISBLANK(W54), B54&lt;&gt;"DIV"), (1-Index!$F$2*2)*((J54*D54)-(E54*D54)), "")</f>
        <v/>
      </c>
      <c r="M63" s="44">
        <f>IF(AND( C54="Buy", ISBLANK(W54), B54&lt;&gt;"DIV"), ((E54*D54)+L54), "")</f>
        <v/>
      </c>
      <c r="N63" s="45">
        <f>IF(AND( C54="Buy", ISBLANK(W54), B54&lt;&gt;"DIV"), D54, "")</f>
        <v/>
      </c>
      <c r="O63" s="43">
        <f>IF(AND( C54="Buy", ISBLANK(W54), B54&lt;&gt;"DIV", NOW()-A54 &lt; 365), P54/sum(F54:I54), "")</f>
        <v/>
      </c>
      <c r="P63" s="44">
        <f>IF(AND( C54="Buy", ISBLANK(W54), B54&lt;&gt;"DIV", NOW()-A54 &lt; 365), (1-Index!$F$2*2)*((J54*D54)-(E54*D54)), "")</f>
        <v/>
      </c>
      <c r="Q63" s="44">
        <f>IF(AND( C54="Buy", ISBLANK(W54), B54&lt;&gt;"DIV", NOW()-A54 &lt; 365), ((E54*D54)+P54), "")</f>
        <v/>
      </c>
      <c r="R63" s="44">
        <f>IF(AND( C54="Buy", ISBLANK(W54), B54&lt;&gt;"DIV", NOW()-A54 &lt; 365), D54, "")</f>
        <v/>
      </c>
      <c r="S63" s="46">
        <f>IF(AND( C54="Buy", ISBLANK(W54), B54&lt;&gt;"DIV", NOW()-A54 &gt; 365), T54/sum(F54:I54), "")</f>
        <v/>
      </c>
      <c r="T63" s="50">
        <f>IF(AND( C54="Buy", ISBLANK(W54), B54&lt;&gt;"DIV", NOW()-A54 &gt; 365), (1-Index!$F$2*2)*((J54*D54)-(E54*D54)), "")</f>
        <v/>
      </c>
      <c r="U63" s="50">
        <f>IF(AND( C54="Buy", ISBLANK(W54), B54&lt;&gt;"DIV", NOW()-A54 &gt; 365), ((E54*D54)+T54), "")</f>
        <v/>
      </c>
      <c r="V63" s="50">
        <f>IF(AND( C54="Buy", ISBLANK(W54), B54&lt;&gt;"DIV", NOW()-A54 &gt; 365), D54, "")</f>
        <v/>
      </c>
      <c r="W63" s="57" t="n">
        <v>514.3094</v>
      </c>
      <c r="X63" s="58" t="n">
        <v>45565</v>
      </c>
      <c r="Y63" s="51" t="n">
        <v>0.7472687697</v>
      </c>
      <c r="Z63" s="52" t="n">
        <v>2195.027284</v>
      </c>
      <c r="AA63" s="52" t="n">
        <v>5111.927284</v>
      </c>
      <c r="AB63" s="53" t="n">
        <v>10</v>
      </c>
      <c r="AC63" s="54">
        <f>if(B54="DIV", F54,"")</f>
        <v/>
      </c>
      <c r="AD63" s="49" t="n"/>
      <c r="AE63" s="55" t="n"/>
    </row>
    <row r="64">
      <c r="A64" s="56" t="n">
        <v>43909</v>
      </c>
      <c r="B64" s="59" t="inlineStr">
        <is>
          <t>NSE</t>
        </is>
      </c>
      <c r="C64" s="59" t="inlineStr">
        <is>
          <t>Buy</t>
        </is>
      </c>
      <c r="D64" s="40" t="n">
        <v>10</v>
      </c>
      <c r="E64" s="41" t="n">
        <v>287.77</v>
      </c>
      <c r="F64" s="41" t="n">
        <v>2877.67</v>
      </c>
      <c r="G64" s="59" t="n"/>
      <c r="H64" s="40" t="n">
        <v>2.78</v>
      </c>
      <c r="I64" s="40" t="n">
        <v>17.29</v>
      </c>
      <c r="J64" s="42">
        <f>Index!$C$2</f>
        <v/>
      </c>
      <c r="K64" s="43">
        <f>IF(AND( C55="Buy", ISBLANK(W55), B55&lt;&gt;"DIV"), L55/sum(F55:I55), "")</f>
        <v/>
      </c>
      <c r="L64" s="44">
        <f>IF(AND( C55="Buy", ISBLANK(W55), B55&lt;&gt;"DIV"), (1-Index!$F$2*2)*((J55*D55)-(E55*D55)), "")</f>
        <v/>
      </c>
      <c r="M64" s="44">
        <f>IF(AND( C55="Buy", ISBLANK(W55), B55&lt;&gt;"DIV"), ((E55*D55)+L55), "")</f>
        <v/>
      </c>
      <c r="N64" s="45">
        <f>IF(AND( C55="Buy", ISBLANK(W55), B55&lt;&gt;"DIV"), D55, "")</f>
        <v/>
      </c>
      <c r="O64" s="43">
        <f>IF(AND( C55="Buy", ISBLANK(W55), B55&lt;&gt;"DIV", NOW()-A55 &lt; 365), P55/sum(F55:I55), "")</f>
        <v/>
      </c>
      <c r="P64" s="44">
        <f>IF(AND( C55="Buy", ISBLANK(W55), B55&lt;&gt;"DIV", NOW()-A55 &lt; 365), (1-Index!$F$2*2)*((J55*D55)-(E55*D55)), "")</f>
        <v/>
      </c>
      <c r="Q64" s="44">
        <f>IF(AND( C55="Buy", ISBLANK(W55), B55&lt;&gt;"DIV", NOW()-A55 &lt; 365), ((E55*D55)+P55), "")</f>
        <v/>
      </c>
      <c r="R64" s="44">
        <f>IF(AND( C55="Buy", ISBLANK(W55), B55&lt;&gt;"DIV", NOW()-A55 &lt; 365), D55, "")</f>
        <v/>
      </c>
      <c r="S64" s="46">
        <f>IF(AND( C55="Buy", ISBLANK(W55), B55&lt;&gt;"DIV", NOW()-A55 &gt; 365), T55/sum(F55:I55), "")</f>
        <v/>
      </c>
      <c r="T64" s="50">
        <f>IF(AND( C55="Buy", ISBLANK(W55), B55&lt;&gt;"DIV", NOW()-A55 &gt; 365), (1-Index!$F$2*2)*((J55*D55)-(E55*D55)), "")</f>
        <v/>
      </c>
      <c r="U64" s="50">
        <f>IF(AND( C55="Buy", ISBLANK(W55), B55&lt;&gt;"DIV", NOW()-A55 &gt; 365), ((E55*D55)+T55), "")</f>
        <v/>
      </c>
      <c r="V64" s="50">
        <f>IF(AND( C55="Buy", ISBLANK(W55), B55&lt;&gt;"DIV", NOW()-A55 &gt; 365), D55, "")</f>
        <v/>
      </c>
      <c r="W64" s="57" t="n">
        <v>514.3094</v>
      </c>
      <c r="X64" s="58" t="n">
        <v>45565</v>
      </c>
      <c r="Y64" s="51" t="n">
        <v>0.7708346793999999</v>
      </c>
      <c r="Z64" s="52" t="n">
        <v>2233.678484</v>
      </c>
      <c r="AA64" s="52" t="n">
        <v>5111.378484</v>
      </c>
      <c r="AB64" s="53" t="n">
        <v>10</v>
      </c>
      <c r="AC64" s="54">
        <f>if(B55="DIV", F55,"")</f>
        <v/>
      </c>
      <c r="AD64" s="49" t="n"/>
      <c r="AE64" s="55" t="n"/>
    </row>
    <row r="65">
      <c r="A65" s="56" t="n">
        <v>43906</v>
      </c>
      <c r="B65" s="59" t="inlineStr">
        <is>
          <t>NSE</t>
        </is>
      </c>
      <c r="C65" s="59" t="inlineStr">
        <is>
          <t>Buy</t>
        </is>
      </c>
      <c r="D65" s="40" t="n">
        <v>10</v>
      </c>
      <c r="E65" s="41" t="n">
        <v>310.27</v>
      </c>
      <c r="F65" s="41" t="n">
        <v>3102.71</v>
      </c>
      <c r="G65" s="59" t="n"/>
      <c r="H65" s="40" t="n">
        <v>3.18</v>
      </c>
      <c r="I65" s="40" t="n">
        <v>18.53</v>
      </c>
      <c r="J65" s="42">
        <f>Index!$C$2</f>
        <v/>
      </c>
      <c r="K65" s="43">
        <f>IF(AND( C56="Buy", ISBLANK(W56), B56&lt;&gt;"DIV"), L56/sum(F56:I56), "")</f>
        <v/>
      </c>
      <c r="L65" s="44">
        <f>IF(AND( C56="Buy", ISBLANK(W56), B56&lt;&gt;"DIV"), (1-Index!$F$2*2)*((J56*D56)-(E56*D56)), "")</f>
        <v/>
      </c>
      <c r="M65" s="44">
        <f>IF(AND( C56="Buy", ISBLANK(W56), B56&lt;&gt;"DIV"), ((E56*D56)+L56), "")</f>
        <v/>
      </c>
      <c r="N65" s="45">
        <f>IF(AND( C56="Buy", ISBLANK(W56), B56&lt;&gt;"DIV"), D56, "")</f>
        <v/>
      </c>
      <c r="O65" s="43">
        <f>IF(AND( C56="Buy", ISBLANK(W56), B56&lt;&gt;"DIV", NOW()-A56 &lt; 365), P56/sum(F56:I56), "")</f>
        <v/>
      </c>
      <c r="P65" s="44">
        <f>IF(AND( C56="Buy", ISBLANK(W56), B56&lt;&gt;"DIV", NOW()-A56 &lt; 365), (1-Index!$F$2*2)*((J56*D56)-(E56*D56)), "")</f>
        <v/>
      </c>
      <c r="Q65" s="44">
        <f>IF(AND( C56="Buy", ISBLANK(W56), B56&lt;&gt;"DIV", NOW()-A56 &lt; 365), ((E56*D56)+P56), "")</f>
        <v/>
      </c>
      <c r="R65" s="44">
        <f>IF(AND( C56="Buy", ISBLANK(W56), B56&lt;&gt;"DIV", NOW()-A56 &lt; 365), D56, "")</f>
        <v/>
      </c>
      <c r="S65" s="46">
        <f>IF(AND( C56="Buy", ISBLANK(W56), B56&lt;&gt;"DIV", NOW()-A56 &gt; 365), T56/sum(F56:I56), "")</f>
        <v/>
      </c>
      <c r="T65" s="50">
        <f>IF(AND( C56="Buy", ISBLANK(W56), B56&lt;&gt;"DIV", NOW()-A56 &gt; 365), (1-Index!$F$2*2)*((J56*D56)-(E56*D56)), "")</f>
        <v/>
      </c>
      <c r="U65" s="50">
        <f>IF(AND( C56="Buy", ISBLANK(W56), B56&lt;&gt;"DIV", NOW()-A56 &gt; 365), ((E56*D56)+T56), "")</f>
        <v/>
      </c>
      <c r="V65" s="50">
        <f>IF(AND( C56="Buy", ISBLANK(W56), B56&lt;&gt;"DIV", NOW()-A56 &gt; 365), D56, "")</f>
        <v/>
      </c>
      <c r="W65" s="57" t="n">
        <v>514.3094</v>
      </c>
      <c r="X65" s="58" t="n">
        <v>45565</v>
      </c>
      <c r="Y65" s="51" t="n">
        <v>0.6439046236</v>
      </c>
      <c r="Z65" s="52" t="n">
        <v>2011.828484</v>
      </c>
      <c r="AA65" s="52" t="n">
        <v>5114.528484</v>
      </c>
      <c r="AB65" s="53" t="n">
        <v>10</v>
      </c>
      <c r="AC65" s="54">
        <f>if(B56="DIV", F56,"")</f>
        <v/>
      </c>
      <c r="AD65" s="49" t="n"/>
      <c r="AE65" s="55" t="n"/>
    </row>
    <row r="66">
      <c r="A66" s="56" t="n">
        <v>43901</v>
      </c>
      <c r="B66" s="59" t="inlineStr">
        <is>
          <t>NSE</t>
        </is>
      </c>
      <c r="C66" s="59" t="inlineStr">
        <is>
          <t>Buy</t>
        </is>
      </c>
      <c r="D66" s="40" t="n">
        <v>10</v>
      </c>
      <c r="E66" s="41" t="n">
        <v>365.5</v>
      </c>
      <c r="F66" s="41" t="n">
        <v>3654.96</v>
      </c>
      <c r="G66" s="59" t="n"/>
      <c r="H66" s="40" t="n">
        <v>3.63</v>
      </c>
      <c r="I66" s="40" t="n">
        <v>21.83</v>
      </c>
      <c r="J66" s="42">
        <f>Index!$C$2</f>
        <v/>
      </c>
      <c r="K66" s="43">
        <f>IF(AND( C57="Buy", ISBLANK(W57), B57&lt;&gt;"DIV"), L57/sum(F57:I57), "")</f>
        <v/>
      </c>
      <c r="L66" s="44">
        <f>IF(AND( C57="Buy", ISBLANK(W57), B57&lt;&gt;"DIV"), (1-Index!$F$2*2)*((J57*D57)-(E57*D57)), "")</f>
        <v/>
      </c>
      <c r="M66" s="44">
        <f>IF(AND( C57="Buy", ISBLANK(W57), B57&lt;&gt;"DIV"), ((E57*D57)+L57), "")</f>
        <v/>
      </c>
      <c r="N66" s="45">
        <f>IF(AND( C57="Buy", ISBLANK(W57), B57&lt;&gt;"DIV"), D57, "")</f>
        <v/>
      </c>
      <c r="O66" s="43">
        <f>IF(AND( C57="Buy", ISBLANK(W57), B57&lt;&gt;"DIV", NOW()-A57 &lt; 365), P57/sum(F57:I57), "")</f>
        <v/>
      </c>
      <c r="P66" s="44">
        <f>IF(AND( C57="Buy", ISBLANK(W57), B57&lt;&gt;"DIV", NOW()-A57 &lt; 365), (1-Index!$F$2*2)*((J57*D57)-(E57*D57)), "")</f>
        <v/>
      </c>
      <c r="Q66" s="44">
        <f>IF(AND( C57="Buy", ISBLANK(W57), B57&lt;&gt;"DIV", NOW()-A57 &lt; 365), ((E57*D57)+P57), "")</f>
        <v/>
      </c>
      <c r="R66" s="44">
        <f>IF(AND( C57="Buy", ISBLANK(W57), B57&lt;&gt;"DIV", NOW()-A57 &lt; 365), D57, "")</f>
        <v/>
      </c>
      <c r="S66" s="46">
        <f>IF(AND( C57="Buy", ISBLANK(W57), B57&lt;&gt;"DIV", NOW()-A57 &gt; 365), T57/sum(F57:I57), "")</f>
        <v/>
      </c>
      <c r="T66" s="50">
        <f>IF(AND( C57="Buy", ISBLANK(W57), B57&lt;&gt;"DIV", NOW()-A57 &gt; 365), (1-Index!$F$2*2)*((J57*D57)-(E57*D57)), "")</f>
        <v/>
      </c>
      <c r="U66" s="50">
        <f>IF(AND( C57="Buy", ISBLANK(W57), B57&lt;&gt;"DIV", NOW()-A57 &gt; 365), ((E57*D57)+T57), "")</f>
        <v/>
      </c>
      <c r="V66" s="50">
        <f>IF(AND( C57="Buy", ISBLANK(W57), B57&lt;&gt;"DIV", NOW()-A57 &gt; 365), D57, "")</f>
        <v/>
      </c>
      <c r="W66" s="57" t="n">
        <v>514.3094</v>
      </c>
      <c r="X66" s="58" t="n">
        <v>45565</v>
      </c>
      <c r="Y66" s="51" t="n">
        <v>0.3986666424</v>
      </c>
      <c r="Z66" s="52" t="n">
        <v>1467.260684</v>
      </c>
      <c r="AA66" s="52" t="n">
        <v>5122.260684</v>
      </c>
      <c r="AB66" s="53" t="n">
        <v>10</v>
      </c>
      <c r="AC66" s="54">
        <f>if(B57="DIV", F57,"")</f>
        <v/>
      </c>
      <c r="AD66" s="49" t="n"/>
      <c r="AE66" s="55" t="n"/>
    </row>
    <row r="67">
      <c r="A67" s="38" t="n">
        <v>43896</v>
      </c>
      <c r="B67" s="59" t="inlineStr">
        <is>
          <t>NSE</t>
        </is>
      </c>
      <c r="C67" s="59" t="inlineStr">
        <is>
          <t>Buy</t>
        </is>
      </c>
      <c r="D67" s="40" t="n">
        <v>10</v>
      </c>
      <c r="E67" s="41" t="n">
        <v>396.6</v>
      </c>
      <c r="F67" s="41" t="n">
        <v>3965.97</v>
      </c>
      <c r="G67" s="59" t="n"/>
      <c r="H67" s="40" t="n">
        <v>3.99</v>
      </c>
      <c r="I67" s="40" t="n">
        <v>23.68</v>
      </c>
      <c r="J67" s="42">
        <f>Index!$C$2</f>
        <v/>
      </c>
      <c r="K67" s="43">
        <f>IF(AND( C58="Buy", ISBLANK(W58), B58&lt;&gt;"DIV"), L58/sum(F58:I58), "")</f>
        <v/>
      </c>
      <c r="L67" s="44">
        <f>IF(AND( C58="Buy", ISBLANK(W58), B58&lt;&gt;"DIV"), (1-Index!$F$2*2)*((J58*D58)-(E58*D58)), "")</f>
        <v/>
      </c>
      <c r="M67" s="44">
        <f>IF(AND( C58="Buy", ISBLANK(W58), B58&lt;&gt;"DIV"), ((E58*D58)+L58), "")</f>
        <v/>
      </c>
      <c r="N67" s="45">
        <f>IF(AND( C58="Buy", ISBLANK(W58), B58&lt;&gt;"DIV"), D58, "")</f>
        <v/>
      </c>
      <c r="O67" s="43">
        <f>IF(AND( C58="Buy", ISBLANK(W58), B58&lt;&gt;"DIV", NOW()-A58 &lt; 365), P58/sum(F58:I58), "")</f>
        <v/>
      </c>
      <c r="P67" s="44">
        <f>IF(AND( C58="Buy", ISBLANK(W58), B58&lt;&gt;"DIV", NOW()-A58 &lt; 365), (1-Index!$F$2*2)*((J58*D58)-(E58*D58)), "")</f>
        <v/>
      </c>
      <c r="Q67" s="44">
        <f>IF(AND( C58="Buy", ISBLANK(W58), B58&lt;&gt;"DIV", NOW()-A58 &lt; 365), ((E58*D58)+P58), "")</f>
        <v/>
      </c>
      <c r="R67" s="44">
        <f>IF(AND( C58="Buy", ISBLANK(W58), B58&lt;&gt;"DIV", NOW()-A58 &lt; 365), D58, "")</f>
        <v/>
      </c>
      <c r="S67" s="46">
        <f>IF(AND( C58="Buy", ISBLANK(W58), B58&lt;&gt;"DIV", NOW()-A58 &gt; 365), T58/sum(F58:I58), "")</f>
        <v/>
      </c>
      <c r="T67" s="50">
        <f>IF(AND( C58="Buy", ISBLANK(W58), B58&lt;&gt;"DIV", NOW()-A58 &gt; 365), (1-Index!$F$2*2)*((J58*D58)-(E58*D58)), "")</f>
        <v/>
      </c>
      <c r="U67" s="50">
        <f>IF(AND( C58="Buy", ISBLANK(W58), B58&lt;&gt;"DIV", NOW()-A58 &gt; 365), ((E58*D58)+T58), "")</f>
        <v/>
      </c>
      <c r="V67" s="50">
        <f>IF(AND( C58="Buy", ISBLANK(W58), B58&lt;&gt;"DIV", NOW()-A58 &gt; 365), D58, "")</f>
        <v/>
      </c>
      <c r="W67" s="57" t="n">
        <v>514.3094</v>
      </c>
      <c r="X67" s="58" t="n">
        <v>45565</v>
      </c>
      <c r="Y67" s="51" t="n">
        <v>0.29061575</v>
      </c>
      <c r="Z67" s="52" t="n">
        <v>1160.614684</v>
      </c>
      <c r="AA67" s="52" t="n">
        <v>5126.614684</v>
      </c>
      <c r="AB67" s="53" t="n">
        <v>10</v>
      </c>
      <c r="AC67" s="54">
        <f>if(B58="DIV", F58,"")</f>
        <v/>
      </c>
      <c r="AD67" s="49" t="n"/>
      <c r="AE67" s="55" t="n"/>
    </row>
    <row r="68">
      <c r="A68" s="38" t="n">
        <v>43895</v>
      </c>
      <c r="B68" s="59" t="inlineStr">
        <is>
          <t>NSE</t>
        </is>
      </c>
      <c r="C68" s="59" t="inlineStr">
        <is>
          <t>Buy</t>
        </is>
      </c>
      <c r="D68" s="40" t="n">
        <v>10</v>
      </c>
      <c r="E68" s="41" t="n">
        <v>420.94</v>
      </c>
      <c r="F68" s="41" t="n">
        <v>4209.36</v>
      </c>
      <c r="G68" s="59" t="n"/>
      <c r="H68" s="40" t="n">
        <v>4.16</v>
      </c>
      <c r="I68" s="40" t="n">
        <v>25.2</v>
      </c>
      <c r="J68" s="42">
        <f>Index!$C$2</f>
        <v/>
      </c>
      <c r="K68" s="43">
        <f>IF(AND( C59="Buy", ISBLANK(W59), B59&lt;&gt;"DIV"), L59/sum(F59:I59), "")</f>
        <v/>
      </c>
      <c r="L68" s="44">
        <f>IF(AND( C59="Buy", ISBLANK(W59), B59&lt;&gt;"DIV"), (1-Index!$F$2*2)*((J59*D59)-(E59*D59)), "")</f>
        <v/>
      </c>
      <c r="M68" s="44">
        <f>IF(AND( C59="Buy", ISBLANK(W59), B59&lt;&gt;"DIV"), ((E59*D59)+L59), "")</f>
        <v/>
      </c>
      <c r="N68" s="45">
        <f>IF(AND( C59="Buy", ISBLANK(W59), B59&lt;&gt;"DIV"), D59, "")</f>
        <v/>
      </c>
      <c r="O68" s="43">
        <f>IF(AND( C59="Buy", ISBLANK(W59), B59&lt;&gt;"DIV", NOW()-A59 &lt; 365), P59/sum(F59:I59), "")</f>
        <v/>
      </c>
      <c r="P68" s="44">
        <f>IF(AND( C59="Buy", ISBLANK(W59), B59&lt;&gt;"DIV", NOW()-A59 &lt; 365), (1-Index!$F$2*2)*((J59*D59)-(E59*D59)), "")</f>
        <v/>
      </c>
      <c r="Q68" s="44">
        <f>IF(AND( C59="Buy", ISBLANK(W59), B59&lt;&gt;"DIV", NOW()-A59 &lt; 365), ((E59*D59)+P59), "")</f>
        <v/>
      </c>
      <c r="R68" s="44">
        <f>IF(AND( C59="Buy", ISBLANK(W59), B59&lt;&gt;"DIV", NOW()-A59 &lt; 365), D59, "")</f>
        <v/>
      </c>
      <c r="S68" s="46">
        <f>IF(AND( C59="Buy", ISBLANK(W59), B59&lt;&gt;"DIV", NOW()-A59 &gt; 365), T59/sum(F59:I59), "")</f>
        <v/>
      </c>
      <c r="T68" s="50">
        <f>IF(AND( C59="Buy", ISBLANK(W59), B59&lt;&gt;"DIV", NOW()-A59 &gt; 365), (1-Index!$F$2*2)*((J59*D59)-(E59*D59)), "")</f>
        <v/>
      </c>
      <c r="U68" s="50">
        <f>IF(AND( C59="Buy", ISBLANK(W59), B59&lt;&gt;"DIV", NOW()-A59 &gt; 365), ((E59*D59)+T59), "")</f>
        <v/>
      </c>
      <c r="V68" s="50">
        <f>IF(AND( C59="Buy", ISBLANK(W59), B59&lt;&gt;"DIV", NOW()-A59 &gt; 365), D59, "")</f>
        <v/>
      </c>
      <c r="W68" s="57" t="n">
        <v>532.7895</v>
      </c>
      <c r="X68" s="58" t="n">
        <v>45565</v>
      </c>
      <c r="Y68" s="51" t="n">
        <v>0.260181392</v>
      </c>
      <c r="Z68" s="52" t="n">
        <v>1102.83607</v>
      </c>
      <c r="AA68" s="52" t="n">
        <v>5312.23607</v>
      </c>
      <c r="AB68" s="53" t="n">
        <v>10</v>
      </c>
      <c r="AC68" s="54">
        <f>if(B59="DIV", F59,"")</f>
        <v/>
      </c>
      <c r="AD68" s="49" t="n"/>
      <c r="AE68" s="55" t="n"/>
    </row>
    <row r="69">
      <c r="A69" s="38" t="n">
        <v>43895</v>
      </c>
      <c r="B69" s="59" t="inlineStr">
        <is>
          <t>DIV</t>
        </is>
      </c>
      <c r="C69" s="59" t="inlineStr">
        <is>
          <t>Buy</t>
        </is>
      </c>
      <c r="D69" s="40" t="n">
        <v>10</v>
      </c>
      <c r="E69" s="41" t="n">
        <v>5</v>
      </c>
      <c r="F69" s="41" t="n">
        <v>50</v>
      </c>
      <c r="G69" s="59" t="inlineStr">
        <is>
          <t>Interim-Dividend of Rs.5.0000/- per share on Ex-Date: 05-MAR-2020</t>
        </is>
      </c>
      <c r="H69" s="40" t="n">
        <v>0</v>
      </c>
      <c r="I69" s="40" t="n">
        <v>0</v>
      </c>
      <c r="J69" s="42">
        <f>Index!$C$2</f>
        <v/>
      </c>
      <c r="K69" s="43">
        <f>IF(AND( C60="Buy", ISBLANK(W60), B60&lt;&gt;"DIV"), L60/sum(F60:I60), "")</f>
        <v/>
      </c>
      <c r="L69" s="44">
        <f>IF(AND( C60="Buy", ISBLANK(W60), B60&lt;&gt;"DIV"), (1-Index!$F$2*2)*((J60*D60)-(E60*D60)), "")</f>
        <v/>
      </c>
      <c r="M69" s="44">
        <f>IF(AND( C60="Buy", ISBLANK(W60), B60&lt;&gt;"DIV"), ((E60*D60)+L60), "")</f>
        <v/>
      </c>
      <c r="N69" s="45">
        <f>IF(AND( C60="Buy", ISBLANK(W60), B60&lt;&gt;"DIV"), D60, "")</f>
        <v/>
      </c>
      <c r="O69" s="43">
        <f>IF(AND( C60="Buy", ISBLANK(W60), B60&lt;&gt;"DIV", NOW()-A60 &lt; 365), P60/sum(F60:I60), "")</f>
        <v/>
      </c>
      <c r="P69" s="44">
        <f>IF(AND( C60="Buy", ISBLANK(W60), B60&lt;&gt;"DIV", NOW()-A60 &lt; 365), (1-Index!$F$2*2)*((J60*D60)-(E60*D60)), "")</f>
        <v/>
      </c>
      <c r="Q69" s="44">
        <f>IF(AND( C60="Buy", ISBLANK(W60), B60&lt;&gt;"DIV", NOW()-A60 &lt; 365), ((E60*D60)+P60), "")</f>
        <v/>
      </c>
      <c r="R69" s="44">
        <f>IF(AND( C60="Buy", ISBLANK(W60), B60&lt;&gt;"DIV", NOW()-A60 &lt; 365), D60, "")</f>
        <v/>
      </c>
      <c r="S69" s="46">
        <f>IF(AND( C60="Buy", ISBLANK(W60), B60&lt;&gt;"DIV", NOW()-A60 &gt; 365), T60/sum(F60:I60), "")</f>
        <v/>
      </c>
      <c r="T69" s="50">
        <f>IF(AND( C60="Buy", ISBLANK(W60), B60&lt;&gt;"DIV", NOW()-A60 &gt; 365), (1-Index!$F$2*2)*((J60*D60)-(E60*D60)), "")</f>
        <v/>
      </c>
      <c r="U69" s="50">
        <f>IF(AND( C60="Buy", ISBLANK(W60), B60&lt;&gt;"DIV", NOW()-A60 &gt; 365), ((E60*D60)+T60), "")</f>
        <v/>
      </c>
      <c r="V69" s="50">
        <f>IF(AND( C60="Buy", ISBLANK(W60), B60&lt;&gt;"DIV", NOW()-A60 &gt; 365), D60, "")</f>
        <v/>
      </c>
      <c r="W69" s="60" t="n"/>
      <c r="X69" s="50" t="n"/>
      <c r="Y69" s="46">
        <f>IF(AND( C60="Buy", W60&lt;&gt;"", AA60&lt;&gt;"", B60&lt;&gt;"DIV"), Z60/sum(F60:I60), "")</f>
        <v/>
      </c>
      <c r="Z69" s="50" t="n"/>
      <c r="AA69" s="50" t="n"/>
      <c r="AB69" s="48" t="n"/>
      <c r="AC69" s="44">
        <f>if(B60="DIV", F60,"")</f>
        <v/>
      </c>
      <c r="AD69" s="49" t="n"/>
    </row>
    <row r="70">
      <c r="A70" s="38" t="n">
        <v>43892</v>
      </c>
      <c r="B70" s="59" t="inlineStr">
        <is>
          <t>NSE</t>
        </is>
      </c>
      <c r="C70" s="59" t="inlineStr">
        <is>
          <t>Buy</t>
        </is>
      </c>
      <c r="D70" s="40" t="n">
        <v>5</v>
      </c>
      <c r="E70" s="41" t="n">
        <v>481.4</v>
      </c>
      <c r="F70" s="41" t="n">
        <v>2407.02</v>
      </c>
      <c r="G70" s="59" t="n"/>
      <c r="H70" s="40" t="n">
        <v>2.39</v>
      </c>
      <c r="I70" s="40" t="n">
        <v>14.38</v>
      </c>
      <c r="J70" s="42">
        <f>Index!$C$2</f>
        <v/>
      </c>
      <c r="K70" s="43">
        <f>IF(AND( C61="Buy", ISBLANK(W61), B61&lt;&gt;"DIV"), L61/sum(F61:I61), "")</f>
        <v/>
      </c>
      <c r="L70" s="44">
        <f>IF(AND( C61="Buy", ISBLANK(W61), B61&lt;&gt;"DIV"), (1-Index!$F$2*2)*((J61*D61)-(E61*D61)), "")</f>
        <v/>
      </c>
      <c r="M70" s="44">
        <f>IF(AND( C61="Buy", ISBLANK(W61), B61&lt;&gt;"DIV"), ((E61*D61)+L61), "")</f>
        <v/>
      </c>
      <c r="N70" s="45">
        <f>IF(AND( C61="Buy", ISBLANK(W61), B61&lt;&gt;"DIV"), D61, "")</f>
        <v/>
      </c>
      <c r="O70" s="43">
        <f>IF(AND( C61="Buy", ISBLANK(W61), B61&lt;&gt;"DIV", NOW()-A61 &lt; 365), P61/sum(F61:I61), "")</f>
        <v/>
      </c>
      <c r="P70" s="44">
        <f>IF(AND( C61="Buy", ISBLANK(W61), B61&lt;&gt;"DIV", NOW()-A61 &lt; 365), (1-Index!$F$2*2)*((J61*D61)-(E61*D61)), "")</f>
        <v/>
      </c>
      <c r="Q70" s="44">
        <f>IF(AND( C61="Buy", ISBLANK(W61), B61&lt;&gt;"DIV", NOW()-A61 &lt; 365), ((E61*D61)+P61), "")</f>
        <v/>
      </c>
      <c r="R70" s="44">
        <f>IF(AND( C61="Buy", ISBLANK(W61), B61&lt;&gt;"DIV", NOW()-A61 &lt; 365), D61, "")</f>
        <v/>
      </c>
      <c r="S70" s="46">
        <f>IF(AND( C61="Buy", ISBLANK(W61), B61&lt;&gt;"DIV", NOW()-A61 &gt; 365), T61/sum(F61:I61), "")</f>
        <v/>
      </c>
      <c r="T70" s="50">
        <f>IF(AND( C61="Buy", ISBLANK(W61), B61&lt;&gt;"DIV", NOW()-A61 &gt; 365), (1-Index!$F$2*2)*((J61*D61)-(E61*D61)), "")</f>
        <v/>
      </c>
      <c r="U70" s="50">
        <f>IF(AND( C61="Buy", ISBLANK(W61), B61&lt;&gt;"DIV", NOW()-A61 &gt; 365), ((E61*D61)+T61), "")</f>
        <v/>
      </c>
      <c r="V70" s="50">
        <f>IF(AND( C61="Buy", ISBLANK(W61), B61&lt;&gt;"DIV", NOW()-A61 &gt; 365), D61, "")</f>
        <v/>
      </c>
      <c r="W70" s="57" t="n">
        <v>532.7895</v>
      </c>
      <c r="X70" s="58" t="n">
        <v>45565</v>
      </c>
      <c r="Y70" s="51" t="n">
        <v>0.1045264792</v>
      </c>
      <c r="Z70" s="52" t="n">
        <v>253.350235</v>
      </c>
      <c r="AA70" s="52" t="n">
        <v>2660.350235</v>
      </c>
      <c r="AB70" s="53" t="n">
        <v>5</v>
      </c>
      <c r="AC70" s="54">
        <f>if(B61="DIV", F61,"")</f>
        <v/>
      </c>
      <c r="AD70" s="49" t="n"/>
      <c r="AE70" s="55" t="n"/>
    </row>
    <row r="71">
      <c r="A71" s="38" t="n">
        <v>43831</v>
      </c>
      <c r="B71" s="59" t="inlineStr">
        <is>
          <t>NSE</t>
        </is>
      </c>
      <c r="C71" s="59" t="inlineStr">
        <is>
          <t>Sell</t>
        </is>
      </c>
      <c r="D71" s="40" t="n">
        <v>25</v>
      </c>
      <c r="E71" s="41" t="n">
        <v>596.83</v>
      </c>
      <c r="F71" s="41" t="n">
        <v>14920.76</v>
      </c>
      <c r="G71" s="59" t="n"/>
      <c r="H71" s="40" t="n">
        <v>15.11</v>
      </c>
      <c r="I71" s="40" t="n">
        <v>90.38</v>
      </c>
      <c r="J71" s="42">
        <f>Index!$C$2</f>
        <v/>
      </c>
      <c r="K71" s="43">
        <f>IF(AND( C62="Buy", ISBLANK(W62), B62&lt;&gt;"DIV"), L62/sum(F62:I62), "")</f>
        <v/>
      </c>
      <c r="L71" s="44">
        <f>IF(AND( C62="Buy", ISBLANK(W62), B62&lt;&gt;"DIV"), (1-Index!$F$2*2)*((J62*D62)-(E62*D62)), "")</f>
        <v/>
      </c>
      <c r="M71" s="44">
        <f>IF(AND( C62="Buy", ISBLANK(W62), B62&lt;&gt;"DIV"), ((E62*D62)+L62), "")</f>
        <v/>
      </c>
      <c r="N71" s="45">
        <f>IF(AND( C62="Buy", ISBLANK(W62), B62&lt;&gt;"DIV"), D62, "")</f>
        <v/>
      </c>
      <c r="O71" s="43">
        <f>IF(AND( C62="Buy", ISBLANK(W62), B62&lt;&gt;"DIV", NOW()-A62 &lt; 365), P62/sum(F62:I62), "")</f>
        <v/>
      </c>
      <c r="P71" s="44">
        <f>IF(AND( C62="Buy", ISBLANK(W62), B62&lt;&gt;"DIV", NOW()-A62 &lt; 365), (1-Index!$F$2*2)*((J62*D62)-(E62*D62)), "")</f>
        <v/>
      </c>
      <c r="Q71" s="44">
        <f>IF(AND( C62="Buy", ISBLANK(W62), B62&lt;&gt;"DIV", NOW()-A62 &lt; 365), ((E62*D62)+P62), "")</f>
        <v/>
      </c>
      <c r="R71" s="44">
        <f>IF(AND( C62="Buy", ISBLANK(W62), B62&lt;&gt;"DIV", NOW()-A62 &lt; 365), D62, "")</f>
        <v/>
      </c>
      <c r="S71" s="46">
        <f>IF(AND( C62="Buy", ISBLANK(W62), B62&lt;&gt;"DIV", NOW()-A62 &gt; 365), T62/sum(F62:I62), "")</f>
        <v/>
      </c>
      <c r="T71" s="50">
        <f>IF(AND( C62="Buy", ISBLANK(W62), B62&lt;&gt;"DIV", NOW()-A62 &gt; 365), (1-Index!$F$2*2)*((J62*D62)-(E62*D62)), "")</f>
        <v/>
      </c>
      <c r="U71" s="50">
        <f>IF(AND( C62="Buy", ISBLANK(W62), B62&lt;&gt;"DIV", NOW()-A62 &gt; 365), ((E62*D62)+T62), "")</f>
        <v/>
      </c>
      <c r="V71" s="50">
        <f>IF(AND( C62="Buy", ISBLANK(W62), B62&lt;&gt;"DIV", NOW()-A62 &gt; 365), D62, "")</f>
        <v/>
      </c>
      <c r="W71" s="60" t="n"/>
      <c r="X71" s="50" t="n"/>
      <c r="Y71" s="46">
        <f>IF(AND( C62="Buy", W62&lt;&gt;"", AA62&lt;&gt;"", B62&lt;&gt;"DIV"), Z62/sum(F62:I62), "")</f>
        <v/>
      </c>
      <c r="Z71" s="50" t="n"/>
      <c r="AA71" s="50" t="n"/>
      <c r="AB71" s="48" t="n"/>
      <c r="AC71" s="44">
        <f>if(B62="DIV", F62,"")</f>
        <v/>
      </c>
      <c r="AD71" s="49" t="n"/>
    </row>
    <row r="72">
      <c r="A72" s="38" t="n">
        <v>43823</v>
      </c>
      <c r="B72" s="59" t="inlineStr">
        <is>
          <t>NSE</t>
        </is>
      </c>
      <c r="C72" s="59" t="inlineStr">
        <is>
          <t>Sell</t>
        </is>
      </c>
      <c r="D72" s="40" t="n">
        <v>20</v>
      </c>
      <c r="E72" s="41" t="n">
        <v>581.38</v>
      </c>
      <c r="F72" s="41" t="n">
        <v>11627.69</v>
      </c>
      <c r="G72" s="59" t="n"/>
      <c r="H72" s="40" t="n">
        <v>11.74</v>
      </c>
      <c r="I72" s="40" t="n">
        <v>70.56999999999999</v>
      </c>
      <c r="J72" s="42">
        <f>Index!$C$2</f>
        <v/>
      </c>
      <c r="K72" s="43">
        <f>IF(AND( C63="Buy", ISBLANK(W63), B63&lt;&gt;"DIV"), L63/sum(F63:I63), "")</f>
        <v/>
      </c>
      <c r="L72" s="44">
        <f>IF(AND( C63="Buy", ISBLANK(W63), B63&lt;&gt;"DIV"), (1-Index!$F$2*2)*((J63*D63)-(E63*D63)), "")</f>
        <v/>
      </c>
      <c r="M72" s="44">
        <f>IF(AND( C63="Buy", ISBLANK(W63), B63&lt;&gt;"DIV"), ((E63*D63)+L63), "")</f>
        <v/>
      </c>
      <c r="N72" s="45">
        <f>IF(AND( C63="Buy", ISBLANK(W63), B63&lt;&gt;"DIV"), D63, "")</f>
        <v/>
      </c>
      <c r="O72" s="43">
        <f>IF(AND( C63="Buy", ISBLANK(W63), B63&lt;&gt;"DIV", NOW()-A63 &lt; 365), P63/sum(F63:I63), "")</f>
        <v/>
      </c>
      <c r="P72" s="44">
        <f>IF(AND( C63="Buy", ISBLANK(W63), B63&lt;&gt;"DIV", NOW()-A63 &lt; 365), (1-Index!$F$2*2)*((J63*D63)-(E63*D63)), "")</f>
        <v/>
      </c>
      <c r="Q72" s="44">
        <f>IF(AND( C63="Buy", ISBLANK(W63), B63&lt;&gt;"DIV", NOW()-A63 &lt; 365), ((E63*D63)+P63), "")</f>
        <v/>
      </c>
      <c r="R72" s="44">
        <f>IF(AND( C63="Buy", ISBLANK(W63), B63&lt;&gt;"DIV", NOW()-A63 &lt; 365), D63, "")</f>
        <v/>
      </c>
      <c r="S72" s="46">
        <f>IF(AND( C63="Buy", ISBLANK(W63), B63&lt;&gt;"DIV", NOW()-A63 &gt; 365), T63/sum(F63:I63), "")</f>
        <v/>
      </c>
      <c r="T72" s="50">
        <f>IF(AND( C63="Buy", ISBLANK(W63), B63&lt;&gt;"DIV", NOW()-A63 &gt; 365), (1-Index!$F$2*2)*((J63*D63)-(E63*D63)), "")</f>
        <v/>
      </c>
      <c r="U72" s="50">
        <f>IF(AND( C63="Buy", ISBLANK(W63), B63&lt;&gt;"DIV", NOW()-A63 &gt; 365), ((E63*D63)+T63), "")</f>
        <v/>
      </c>
      <c r="V72" s="50">
        <f>IF(AND( C63="Buy", ISBLANK(W63), B63&lt;&gt;"DIV", NOW()-A63 &gt; 365), D63, "")</f>
        <v/>
      </c>
      <c r="W72" s="60" t="n"/>
      <c r="X72" s="50" t="n"/>
      <c r="Y72" s="46">
        <f>IF(AND( C63="Buy", W63&lt;&gt;"", AA63&lt;&gt;"", B63&lt;&gt;"DIV"), Z63/sum(F63:I63), "")</f>
        <v/>
      </c>
      <c r="Z72" s="50" t="n"/>
      <c r="AA72" s="50" t="n"/>
      <c r="AB72" s="48" t="n"/>
      <c r="AC72" s="44">
        <f>if(B63="DIV", F63,"")</f>
        <v/>
      </c>
      <c r="AD72" s="49" t="n"/>
    </row>
    <row r="73">
      <c r="A73" s="38" t="n">
        <v>43822</v>
      </c>
      <c r="B73" s="59" t="inlineStr">
        <is>
          <t>NSE</t>
        </is>
      </c>
      <c r="C73" s="59" t="inlineStr">
        <is>
          <t>Sell</t>
        </is>
      </c>
      <c r="D73" s="40" t="n">
        <v>20</v>
      </c>
      <c r="E73" s="41" t="n">
        <v>580.9665</v>
      </c>
      <c r="F73" s="41" t="n">
        <v>11702.13</v>
      </c>
      <c r="G73" s="59" t="n"/>
      <c r="H73" s="40" t="n">
        <v>11.88</v>
      </c>
      <c r="I73" s="40" t="n">
        <v>70.98999999999999</v>
      </c>
      <c r="J73" s="42">
        <f>Index!$C$2</f>
        <v/>
      </c>
      <c r="K73" s="43">
        <f>IF(AND( C64="Buy", ISBLANK(W64), B64&lt;&gt;"DIV"), L64/sum(F64:I64), "")</f>
        <v/>
      </c>
      <c r="L73" s="44">
        <f>IF(AND( C64="Buy", ISBLANK(W64), B64&lt;&gt;"DIV"), (1-Index!$F$2*2)*((J64*D64)-(E64*D64)), "")</f>
        <v/>
      </c>
      <c r="M73" s="44">
        <f>IF(AND( C64="Buy", ISBLANK(W64), B64&lt;&gt;"DIV"), ((E64*D64)+L64), "")</f>
        <v/>
      </c>
      <c r="N73" s="45">
        <f>IF(AND( C64="Buy", ISBLANK(W64), B64&lt;&gt;"DIV"), D64, "")</f>
        <v/>
      </c>
      <c r="O73" s="43">
        <f>IF(AND( C64="Buy", ISBLANK(W64), B64&lt;&gt;"DIV", NOW()-A64 &lt; 365), P64/sum(F64:I64), "")</f>
        <v/>
      </c>
      <c r="P73" s="44">
        <f>IF(AND( C64="Buy", ISBLANK(W64), B64&lt;&gt;"DIV", NOW()-A64 &lt; 365), (1-Index!$F$2*2)*((J64*D64)-(E64*D64)), "")</f>
        <v/>
      </c>
      <c r="Q73" s="44">
        <f>IF(AND( C64="Buy", ISBLANK(W64), B64&lt;&gt;"DIV", NOW()-A64 &lt; 365), ((E64*D64)+P64), "")</f>
        <v/>
      </c>
      <c r="R73" s="44">
        <f>IF(AND( C64="Buy", ISBLANK(W64), B64&lt;&gt;"DIV", NOW()-A64 &lt; 365), D64, "")</f>
        <v/>
      </c>
      <c r="S73" s="46">
        <f>IF(AND( C64="Buy", ISBLANK(W64), B64&lt;&gt;"DIV", NOW()-A64 &gt; 365), T64/sum(F64:I64), "")</f>
        <v/>
      </c>
      <c r="T73" s="50">
        <f>IF(AND( C64="Buy", ISBLANK(W64), B64&lt;&gt;"DIV", NOW()-A64 &gt; 365), (1-Index!$F$2*2)*((J64*D64)-(E64*D64)), "")</f>
        <v/>
      </c>
      <c r="U73" s="50">
        <f>IF(AND( C64="Buy", ISBLANK(W64), B64&lt;&gt;"DIV", NOW()-A64 &gt; 365), ((E64*D64)+T64), "")</f>
        <v/>
      </c>
      <c r="V73" s="50">
        <f>IF(AND( C64="Buy", ISBLANK(W64), B64&lt;&gt;"DIV", NOW()-A64 &gt; 365), D64, "")</f>
        <v/>
      </c>
      <c r="W73" s="60" t="n"/>
      <c r="X73" s="50" t="n"/>
      <c r="Y73" s="46">
        <f>IF(AND( C64="Buy", W64&lt;&gt;"", AA64&lt;&gt;"", B64&lt;&gt;"DIV"), Z64/sum(F64:I64), "")</f>
        <v/>
      </c>
      <c r="Z73" s="50" t="n"/>
      <c r="AA73" s="50" t="n"/>
      <c r="AB73" s="48" t="n"/>
      <c r="AC73" s="44">
        <f>if(B64="DIV", F64,"")</f>
        <v/>
      </c>
      <c r="AD73" s="49" t="n"/>
    </row>
    <row r="74">
      <c r="A74" s="38" t="n">
        <v>43819</v>
      </c>
      <c r="B74" s="59" t="inlineStr">
        <is>
          <t>NSE</t>
        </is>
      </c>
      <c r="C74" s="59" t="inlineStr">
        <is>
          <t>Sell</t>
        </is>
      </c>
      <c r="D74" s="40" t="n">
        <v>30</v>
      </c>
      <c r="E74" s="41" t="n">
        <v>570.971</v>
      </c>
      <c r="F74" s="41" t="n">
        <v>17251.48</v>
      </c>
      <c r="G74" s="59" t="n"/>
      <c r="H74" s="40" t="n">
        <v>17.54</v>
      </c>
      <c r="I74" s="40" t="n">
        <v>104.83</v>
      </c>
      <c r="J74" s="42">
        <f>Index!$C$2</f>
        <v/>
      </c>
      <c r="K74" s="43">
        <f>IF(AND( C65="Buy", ISBLANK(W65), B65&lt;&gt;"DIV"), L65/sum(F65:I65), "")</f>
        <v/>
      </c>
      <c r="L74" s="44">
        <f>IF(AND( C65="Buy", ISBLANK(W65), B65&lt;&gt;"DIV"), (1-Index!$F$2*2)*((J65*D65)-(E65*D65)), "")</f>
        <v/>
      </c>
      <c r="M74" s="44">
        <f>IF(AND( C65="Buy", ISBLANK(W65), B65&lt;&gt;"DIV"), ((E65*D65)+L65), "")</f>
        <v/>
      </c>
      <c r="N74" s="45">
        <f>IF(AND( C65="Buy", ISBLANK(W65), B65&lt;&gt;"DIV"), D65, "")</f>
        <v/>
      </c>
      <c r="O74" s="43">
        <f>IF(AND( C65="Buy", ISBLANK(W65), B65&lt;&gt;"DIV", NOW()-A65 &lt; 365), P65/sum(F65:I65), "")</f>
        <v/>
      </c>
      <c r="P74" s="44">
        <f>IF(AND( C65="Buy", ISBLANK(W65), B65&lt;&gt;"DIV", NOW()-A65 &lt; 365), (1-Index!$F$2*2)*((J65*D65)-(E65*D65)), "")</f>
        <v/>
      </c>
      <c r="Q74" s="44">
        <f>IF(AND( C65="Buy", ISBLANK(W65), B65&lt;&gt;"DIV", NOW()-A65 &lt; 365), ((E65*D65)+P65), "")</f>
        <v/>
      </c>
      <c r="R74" s="44">
        <f>IF(AND( C65="Buy", ISBLANK(W65), B65&lt;&gt;"DIV", NOW()-A65 &lt; 365), D65, "")</f>
        <v/>
      </c>
      <c r="S74" s="46">
        <f>IF(AND( C65="Buy", ISBLANK(W65), B65&lt;&gt;"DIV", NOW()-A65 &gt; 365), T65/sum(F65:I65), "")</f>
        <v/>
      </c>
      <c r="T74" s="50">
        <f>IF(AND( C65="Buy", ISBLANK(W65), B65&lt;&gt;"DIV", NOW()-A65 &gt; 365), (1-Index!$F$2*2)*((J65*D65)-(E65*D65)), "")</f>
        <v/>
      </c>
      <c r="U74" s="50">
        <f>IF(AND( C65="Buy", ISBLANK(W65), B65&lt;&gt;"DIV", NOW()-A65 &gt; 365), ((E65*D65)+T65), "")</f>
        <v/>
      </c>
      <c r="V74" s="50">
        <f>IF(AND( C65="Buy", ISBLANK(W65), B65&lt;&gt;"DIV", NOW()-A65 &gt; 365), D65, "")</f>
        <v/>
      </c>
      <c r="W74" s="60" t="n"/>
      <c r="X74" s="50" t="n"/>
      <c r="Y74" s="46">
        <f>IF(AND( C65="Buy", W65&lt;&gt;"", AA65&lt;&gt;"", B65&lt;&gt;"DIV"), Z65/sum(F65:I65), "")</f>
        <v/>
      </c>
      <c r="Z74" s="50" t="n"/>
      <c r="AA74" s="50" t="n"/>
      <c r="AB74" s="48" t="n"/>
      <c r="AC74" s="44">
        <f>if(B65="DIV", F65,"")</f>
        <v/>
      </c>
      <c r="AD74" s="49" t="n"/>
    </row>
    <row r="75">
      <c r="A75" s="38" t="n">
        <v>43818</v>
      </c>
      <c r="B75" s="59" t="inlineStr">
        <is>
          <t>NSE</t>
        </is>
      </c>
      <c r="C75" s="59" t="inlineStr">
        <is>
          <t>Buy</t>
        </is>
      </c>
      <c r="D75" s="40" t="n">
        <v>5</v>
      </c>
      <c r="E75" s="41" t="n">
        <v>581.792</v>
      </c>
      <c r="F75" s="41" t="n">
        <v>2914.03</v>
      </c>
      <c r="G75" s="59" t="n"/>
      <c r="H75" s="40" t="n">
        <v>2.155</v>
      </c>
      <c r="I75" s="40" t="n">
        <v>2.925</v>
      </c>
      <c r="J75" s="42">
        <f>Index!$C$2</f>
        <v/>
      </c>
      <c r="K75" s="43">
        <f>IF(AND( C66="Buy", ISBLANK(W66), B66&lt;&gt;"DIV"), L66/sum(F66:I66), "")</f>
        <v/>
      </c>
      <c r="L75" s="44">
        <f>IF(AND( C66="Buy", ISBLANK(W66), B66&lt;&gt;"DIV"), (1-Index!$F$2*2)*((J66*D66)-(E66*D66)), "")</f>
        <v/>
      </c>
      <c r="M75" s="44">
        <f>IF(AND( C66="Buy", ISBLANK(W66), B66&lt;&gt;"DIV"), ((E66*D66)+L66), "")</f>
        <v/>
      </c>
      <c r="N75" s="45">
        <f>IF(AND( C66="Buy", ISBLANK(W66), B66&lt;&gt;"DIV"), D66, "")</f>
        <v/>
      </c>
      <c r="O75" s="43">
        <f>IF(AND( C66="Buy", ISBLANK(W66), B66&lt;&gt;"DIV", NOW()-A66 &lt; 365), P66/sum(F66:I66), "")</f>
        <v/>
      </c>
      <c r="P75" s="44">
        <f>IF(AND( C66="Buy", ISBLANK(W66), B66&lt;&gt;"DIV", NOW()-A66 &lt; 365), (1-Index!$F$2*2)*((J66*D66)-(E66*D66)), "")</f>
        <v/>
      </c>
      <c r="Q75" s="44">
        <f>IF(AND( C66="Buy", ISBLANK(W66), B66&lt;&gt;"DIV", NOW()-A66 &lt; 365), ((E66*D66)+P66), "")</f>
        <v/>
      </c>
      <c r="R75" s="44">
        <f>IF(AND( C66="Buy", ISBLANK(W66), B66&lt;&gt;"DIV", NOW()-A66 &lt; 365), D66, "")</f>
        <v/>
      </c>
      <c r="S75" s="46">
        <f>IF(AND( C66="Buy", ISBLANK(W66), B66&lt;&gt;"DIV", NOW()-A66 &gt; 365), T66/sum(F66:I66), "")</f>
        <v/>
      </c>
      <c r="T75" s="50">
        <f>IF(AND( C66="Buy", ISBLANK(W66), B66&lt;&gt;"DIV", NOW()-A66 &gt; 365), (1-Index!$F$2*2)*((J66*D66)-(E66*D66)), "")</f>
        <v/>
      </c>
      <c r="U75" s="50">
        <f>IF(AND( C66="Buy", ISBLANK(W66), B66&lt;&gt;"DIV", NOW()-A66 &gt; 365), ((E66*D66)+T66), "")</f>
        <v/>
      </c>
      <c r="V75" s="50">
        <f>IF(AND( C66="Buy", ISBLANK(W66), B66&lt;&gt;"DIV", NOW()-A66 &gt; 365), D66, "")</f>
        <v/>
      </c>
      <c r="W75" s="57" t="n">
        <v>532.7895</v>
      </c>
      <c r="X75" s="58" t="n">
        <v>45565</v>
      </c>
      <c r="Y75" s="51" t="n">
        <v>-0.0827588974</v>
      </c>
      <c r="Z75" s="52" t="n">
        <v>-241.582325</v>
      </c>
      <c r="AA75" s="52" t="n">
        <v>2667.377675</v>
      </c>
      <c r="AB75" s="53" t="n">
        <v>5</v>
      </c>
      <c r="AC75" s="54">
        <f>if(B66="DIV", F66,"")</f>
        <v/>
      </c>
      <c r="AD75" s="49" t="n"/>
      <c r="AE75" s="55" t="n"/>
    </row>
    <row r="76">
      <c r="A76" s="38" t="n">
        <v>43818</v>
      </c>
      <c r="B76" s="59" t="inlineStr">
        <is>
          <t>NSE</t>
        </is>
      </c>
      <c r="C76" s="59" t="inlineStr">
        <is>
          <t>Buy</t>
        </is>
      </c>
      <c r="D76" s="40" t="n">
        <v>5</v>
      </c>
      <c r="E76" s="41" t="n">
        <v>581.792</v>
      </c>
      <c r="F76" s="41" t="n">
        <v>2914.03</v>
      </c>
      <c r="G76" s="59" t="n"/>
      <c r="H76" s="40" t="n">
        <v>2.155</v>
      </c>
      <c r="I76" s="40" t="n">
        <v>2.925</v>
      </c>
      <c r="J76" s="42">
        <f>Index!$C$2</f>
        <v/>
      </c>
      <c r="K76" s="43">
        <f>IF(AND( C67="Buy", ISBLANK(W67), B67&lt;&gt;"DIV"), L67/sum(F67:I67), "")</f>
        <v/>
      </c>
      <c r="L76" s="44">
        <f>IF(AND( C67="Buy", ISBLANK(W67), B67&lt;&gt;"DIV"), (1-Index!$F$2*2)*((J67*D67)-(E67*D67)), "")</f>
        <v/>
      </c>
      <c r="M76" s="44">
        <f>IF(AND( C67="Buy", ISBLANK(W67), B67&lt;&gt;"DIV"), ((E67*D67)+L67), "")</f>
        <v/>
      </c>
      <c r="N76" s="45">
        <f>IF(AND( C67="Buy", ISBLANK(W67), B67&lt;&gt;"DIV"), D67, "")</f>
        <v/>
      </c>
      <c r="O76" s="43">
        <f>IF(AND( C67="Buy", ISBLANK(W67), B67&lt;&gt;"DIV", NOW()-A67 &lt; 365), P67/sum(F67:I67), "")</f>
        <v/>
      </c>
      <c r="P76" s="44">
        <f>IF(AND( C67="Buy", ISBLANK(W67), B67&lt;&gt;"DIV", NOW()-A67 &lt; 365), (1-Index!$F$2*2)*((J67*D67)-(E67*D67)), "")</f>
        <v/>
      </c>
      <c r="Q76" s="44">
        <f>IF(AND( C67="Buy", ISBLANK(W67), B67&lt;&gt;"DIV", NOW()-A67 &lt; 365), ((E67*D67)+P67), "")</f>
        <v/>
      </c>
      <c r="R76" s="44">
        <f>IF(AND( C67="Buy", ISBLANK(W67), B67&lt;&gt;"DIV", NOW()-A67 &lt; 365), D67, "")</f>
        <v/>
      </c>
      <c r="S76" s="46">
        <f>IF(AND( C67="Buy", ISBLANK(W67), B67&lt;&gt;"DIV", NOW()-A67 &gt; 365), T67/sum(F67:I67), "")</f>
        <v/>
      </c>
      <c r="T76" s="50">
        <f>IF(AND( C67="Buy", ISBLANK(W67), B67&lt;&gt;"DIV", NOW()-A67 &gt; 365), (1-Index!$F$2*2)*((J67*D67)-(E67*D67)), "")</f>
        <v/>
      </c>
      <c r="U76" s="50">
        <f>IF(AND( C67="Buy", ISBLANK(W67), B67&lt;&gt;"DIV", NOW()-A67 &gt; 365), ((E67*D67)+T67), "")</f>
        <v/>
      </c>
      <c r="V76" s="50">
        <f>IF(AND( C67="Buy", ISBLANK(W67), B67&lt;&gt;"DIV", NOW()-A67 &gt; 365), D67, "")</f>
        <v/>
      </c>
      <c r="W76" s="57" t="n">
        <v>574.903</v>
      </c>
      <c r="X76" s="58" t="n">
        <v>45565</v>
      </c>
      <c r="Y76" s="51" t="n">
        <v>-0.01163463179</v>
      </c>
      <c r="Z76" s="52" t="n">
        <v>-33.96277</v>
      </c>
      <c r="AA76" s="52" t="n">
        <v>2874.99723</v>
      </c>
      <c r="AB76" s="53" t="n">
        <v>5</v>
      </c>
      <c r="AC76" s="54">
        <f>if(B67="DIV", F67,"")</f>
        <v/>
      </c>
      <c r="AD76" s="49" t="n"/>
      <c r="AE76" s="55" t="n"/>
    </row>
    <row r="77">
      <c r="A77" s="38" t="n">
        <v>43818</v>
      </c>
      <c r="B77" s="59" t="inlineStr">
        <is>
          <t>NSE</t>
        </is>
      </c>
      <c r="C77" s="59" t="inlineStr">
        <is>
          <t>Sell</t>
        </is>
      </c>
      <c r="D77" s="40" t="n">
        <v>10</v>
      </c>
      <c r="E77" s="41" t="n">
        <v>574.903</v>
      </c>
      <c r="F77" s="41" t="n">
        <v>5759.03</v>
      </c>
      <c r="G77" s="59" t="n"/>
      <c r="H77" s="40" t="n">
        <v>4.27</v>
      </c>
      <c r="I77" s="40" t="n">
        <v>5.7</v>
      </c>
      <c r="J77" s="42">
        <f>Index!$C$2</f>
        <v/>
      </c>
      <c r="K77" s="43">
        <f>IF(AND( C68="Buy", ISBLANK(W68), B68&lt;&gt;"DIV"), L68/sum(F68:I68), "")</f>
        <v/>
      </c>
      <c r="L77" s="44">
        <f>IF(AND( C68="Buy", ISBLANK(W68), B68&lt;&gt;"DIV"), (1-Index!$F$2*2)*((J68*D68)-(E68*D68)), "")</f>
        <v/>
      </c>
      <c r="M77" s="44">
        <f>IF(AND( C68="Buy", ISBLANK(W68), B68&lt;&gt;"DIV"), ((E68*D68)+L68), "")</f>
        <v/>
      </c>
      <c r="N77" s="45">
        <f>IF(AND( C68="Buy", ISBLANK(W68), B68&lt;&gt;"DIV"), D68, "")</f>
        <v/>
      </c>
      <c r="O77" s="43">
        <f>IF(AND( C68="Buy", ISBLANK(W68), B68&lt;&gt;"DIV", NOW()-A68 &lt; 365), P68/sum(F68:I68), "")</f>
        <v/>
      </c>
      <c r="P77" s="44">
        <f>IF(AND( C68="Buy", ISBLANK(W68), B68&lt;&gt;"DIV", NOW()-A68 &lt; 365), (1-Index!$F$2*2)*((J68*D68)-(E68*D68)), "")</f>
        <v/>
      </c>
      <c r="Q77" s="44">
        <f>IF(AND( C68="Buy", ISBLANK(W68), B68&lt;&gt;"DIV", NOW()-A68 &lt; 365), ((E68*D68)+P68), "")</f>
        <v/>
      </c>
      <c r="R77" s="44">
        <f>IF(AND( C68="Buy", ISBLANK(W68), B68&lt;&gt;"DIV", NOW()-A68 &lt; 365), D68, "")</f>
        <v/>
      </c>
      <c r="S77" s="46">
        <f>IF(AND( C68="Buy", ISBLANK(W68), B68&lt;&gt;"DIV", NOW()-A68 &gt; 365), T68/sum(F68:I68), "")</f>
        <v/>
      </c>
      <c r="T77" s="50">
        <f>IF(AND( C68="Buy", ISBLANK(W68), B68&lt;&gt;"DIV", NOW()-A68 &gt; 365), (1-Index!$F$2*2)*((J68*D68)-(E68*D68)), "")</f>
        <v/>
      </c>
      <c r="U77" s="50">
        <f>IF(AND( C68="Buy", ISBLANK(W68), B68&lt;&gt;"DIV", NOW()-A68 &gt; 365), ((E68*D68)+T68), "")</f>
        <v/>
      </c>
      <c r="V77" s="50">
        <f>IF(AND( C68="Buy", ISBLANK(W68), B68&lt;&gt;"DIV", NOW()-A68 &gt; 365), D68, "")</f>
        <v/>
      </c>
      <c r="W77" s="60" t="n"/>
      <c r="X77" s="50" t="n"/>
      <c r="Y77" s="46">
        <f>IF(AND( C68="Buy", W68&lt;&gt;"", AA68&lt;&gt;"", B68&lt;&gt;"DIV"), Z68/sum(F68:I68), "")</f>
        <v/>
      </c>
      <c r="Z77" s="50" t="n"/>
      <c r="AA77" s="50" t="n"/>
      <c r="AB77" s="48" t="n"/>
      <c r="AC77" s="44">
        <f>if(B68="DIV", F68,"")</f>
        <v/>
      </c>
      <c r="AD77" s="49" t="n"/>
    </row>
    <row r="78">
      <c r="A78" s="38" t="n">
        <v>43812</v>
      </c>
      <c r="B78" s="59" t="inlineStr">
        <is>
          <t>NSE</t>
        </is>
      </c>
      <c r="C78" s="59" t="inlineStr">
        <is>
          <t>Sell</t>
        </is>
      </c>
      <c r="D78" s="40" t="n">
        <v>20</v>
      </c>
      <c r="E78" s="41" t="n">
        <v>508.1195</v>
      </c>
      <c r="F78" s="41" t="n">
        <v>10232.19</v>
      </c>
      <c r="G78" s="59" t="n"/>
      <c r="H78" s="40" t="n">
        <v>7.82</v>
      </c>
      <c r="I78" s="40" t="n">
        <v>61.99</v>
      </c>
      <c r="J78" s="42">
        <f>Index!$C$2</f>
        <v/>
      </c>
      <c r="K78" s="43">
        <f>IF(AND( C69="Buy", ISBLANK(W69), B69&lt;&gt;"DIV"), L69/sum(F69:I69), "")</f>
        <v/>
      </c>
      <c r="L78" s="44">
        <f>IF(AND( C69="Buy", ISBLANK(W69), B69&lt;&gt;"DIV"), (1-Index!$F$2*2)*((J69*D69)-(E69*D69)), "")</f>
        <v/>
      </c>
      <c r="M78" s="44">
        <f>IF(AND( C69="Buy", ISBLANK(W69), B69&lt;&gt;"DIV"), ((E69*D69)+L69), "")</f>
        <v/>
      </c>
      <c r="N78" s="45">
        <f>IF(AND( C69="Buy", ISBLANK(W69), B69&lt;&gt;"DIV"), D69, "")</f>
        <v/>
      </c>
      <c r="O78" s="43">
        <f>IF(AND( C69="Buy", ISBLANK(W69), B69&lt;&gt;"DIV", NOW()-A69 &lt; 365), P69/sum(F69:I69), "")</f>
        <v/>
      </c>
      <c r="P78" s="44">
        <f>IF(AND( C69="Buy", ISBLANK(W69), B69&lt;&gt;"DIV", NOW()-A69 &lt; 365), (1-Index!$F$2*2)*((J69*D69)-(E69*D69)), "")</f>
        <v/>
      </c>
      <c r="Q78" s="44">
        <f>IF(AND( C69="Buy", ISBLANK(W69), B69&lt;&gt;"DIV", NOW()-A69 &lt; 365), ((E69*D69)+P69), "")</f>
        <v/>
      </c>
      <c r="R78" s="44">
        <f>IF(AND( C69="Buy", ISBLANK(W69), B69&lt;&gt;"DIV", NOW()-A69 &lt; 365), D69, "")</f>
        <v/>
      </c>
      <c r="S78" s="46">
        <f>IF(AND( C69="Buy", ISBLANK(W69), B69&lt;&gt;"DIV", NOW()-A69 &gt; 365), T69/sum(F69:I69), "")</f>
        <v/>
      </c>
      <c r="T78" s="50">
        <f>IF(AND( C69="Buy", ISBLANK(W69), B69&lt;&gt;"DIV", NOW()-A69 &gt; 365), (1-Index!$F$2*2)*((J69*D69)-(E69*D69)), "")</f>
        <v/>
      </c>
      <c r="U78" s="50">
        <f>IF(AND( C69="Buy", ISBLANK(W69), B69&lt;&gt;"DIV", NOW()-A69 &gt; 365), ((E69*D69)+T69), "")</f>
        <v/>
      </c>
      <c r="V78" s="50">
        <f>IF(AND( C69="Buy", ISBLANK(W69), B69&lt;&gt;"DIV", NOW()-A69 &gt; 365), D69, "")</f>
        <v/>
      </c>
      <c r="W78" s="60" t="n"/>
      <c r="X78" s="50" t="n"/>
      <c r="Y78" s="46">
        <f>IF(AND( C69="Buy", W69&lt;&gt;"", AA69&lt;&gt;"", B69&lt;&gt;"DIV"), Z69/sum(F69:I69), "")</f>
        <v/>
      </c>
      <c r="Z78" s="50" t="n"/>
      <c r="AA78" s="50" t="n"/>
      <c r="AB78" s="48" t="n"/>
      <c r="AC78" s="44">
        <f>if(B69="DIV", F69,"")</f>
        <v/>
      </c>
      <c r="AD78" s="49" t="n"/>
    </row>
    <row r="79">
      <c r="A79" s="38" t="n">
        <v>43811</v>
      </c>
      <c r="B79" s="59" t="inlineStr">
        <is>
          <t>NSE</t>
        </is>
      </c>
      <c r="C79" s="59" t="inlineStr">
        <is>
          <t>Sell</t>
        </is>
      </c>
      <c r="D79" s="40" t="n">
        <v>25</v>
      </c>
      <c r="E79" s="41" t="n">
        <v>501.9024</v>
      </c>
      <c r="F79" s="41" t="n">
        <v>12633.31</v>
      </c>
      <c r="G79" s="59" t="n"/>
      <c r="H79" s="40" t="n">
        <v>9.279999999999999</v>
      </c>
      <c r="I79" s="40" t="n">
        <v>76.41</v>
      </c>
      <c r="J79" s="42">
        <f>Index!$C$2</f>
        <v/>
      </c>
      <c r="K79" s="43">
        <f>IF(AND( C70="Buy", ISBLANK(W70), B70&lt;&gt;"DIV"), L70/sum(F70:I70), "")</f>
        <v/>
      </c>
      <c r="L79" s="44">
        <f>IF(AND( C70="Buy", ISBLANK(W70), B70&lt;&gt;"DIV"), (1-Index!$F$2*2)*((J70*D70)-(E70*D70)), "")</f>
        <v/>
      </c>
      <c r="M79" s="44">
        <f>IF(AND( C70="Buy", ISBLANK(W70), B70&lt;&gt;"DIV"), ((E70*D70)+L70), "")</f>
        <v/>
      </c>
      <c r="N79" s="45">
        <f>IF(AND( C70="Buy", ISBLANK(W70), B70&lt;&gt;"DIV"), D70, "")</f>
        <v/>
      </c>
      <c r="O79" s="43">
        <f>IF(AND( C70="Buy", ISBLANK(W70), B70&lt;&gt;"DIV", NOW()-A70 &lt; 365), P70/sum(F70:I70), "")</f>
        <v/>
      </c>
      <c r="P79" s="44">
        <f>IF(AND( C70="Buy", ISBLANK(W70), B70&lt;&gt;"DIV", NOW()-A70 &lt; 365), (1-Index!$F$2*2)*((J70*D70)-(E70*D70)), "")</f>
        <v/>
      </c>
      <c r="Q79" s="44">
        <f>IF(AND( C70="Buy", ISBLANK(W70), B70&lt;&gt;"DIV", NOW()-A70 &lt; 365), ((E70*D70)+P70), "")</f>
        <v/>
      </c>
      <c r="R79" s="44">
        <f>IF(AND( C70="Buy", ISBLANK(W70), B70&lt;&gt;"DIV", NOW()-A70 &lt; 365), D70, "")</f>
        <v/>
      </c>
      <c r="S79" s="46">
        <f>IF(AND( C70="Buy", ISBLANK(W70), B70&lt;&gt;"DIV", NOW()-A70 &gt; 365), T70/sum(F70:I70), "")</f>
        <v/>
      </c>
      <c r="T79" s="50">
        <f>IF(AND( C70="Buy", ISBLANK(W70), B70&lt;&gt;"DIV", NOW()-A70 &gt; 365), (1-Index!$F$2*2)*((J70*D70)-(E70*D70)), "")</f>
        <v/>
      </c>
      <c r="U79" s="50">
        <f>IF(AND( C70="Buy", ISBLANK(W70), B70&lt;&gt;"DIV", NOW()-A70 &gt; 365), ((E70*D70)+T70), "")</f>
        <v/>
      </c>
      <c r="V79" s="50">
        <f>IF(AND( C70="Buy", ISBLANK(W70), B70&lt;&gt;"DIV", NOW()-A70 &gt; 365), D70, "")</f>
        <v/>
      </c>
      <c r="W79" s="60" t="n"/>
      <c r="X79" s="50" t="n"/>
      <c r="Y79" s="46">
        <f>IF(AND( C70="Buy", W70&lt;&gt;"", AA70&lt;&gt;"", B70&lt;&gt;"DIV"), Z70/sum(F70:I70), "")</f>
        <v/>
      </c>
      <c r="Z79" s="50" t="n"/>
      <c r="AA79" s="50" t="n"/>
      <c r="AB79" s="48" t="n"/>
      <c r="AC79" s="44">
        <f>if(B70="DIV", F70,"")</f>
        <v/>
      </c>
      <c r="AD79" s="49" t="n"/>
    </row>
    <row r="80">
      <c r="A80" s="38" t="n">
        <v>43803</v>
      </c>
      <c r="B80" s="59" t="inlineStr">
        <is>
          <t>NSE</t>
        </is>
      </c>
      <c r="C80" s="59" t="inlineStr">
        <is>
          <t>Sell</t>
        </is>
      </c>
      <c r="D80" s="40" t="n">
        <v>30</v>
      </c>
      <c r="E80" s="41" t="n">
        <v>511.707333</v>
      </c>
      <c r="F80" s="41" t="n">
        <v>15458.32</v>
      </c>
      <c r="G80" s="59" t="n"/>
      <c r="H80" s="40" t="n">
        <v>13.78</v>
      </c>
      <c r="I80" s="40" t="n">
        <v>93.40000000000001</v>
      </c>
      <c r="J80" s="42">
        <f>Index!$C$2</f>
        <v/>
      </c>
      <c r="K80" s="43">
        <f>IF(AND( C71="Buy", ISBLANK(W71), B71&lt;&gt;"DIV"), L71/sum(F71:I71), "")</f>
        <v/>
      </c>
      <c r="L80" s="44">
        <f>IF(AND( C71="Buy", ISBLANK(W71), B71&lt;&gt;"DIV"), (1-Index!$F$2*2)*((J71*D71)-(E71*D71)), "")</f>
        <v/>
      </c>
      <c r="M80" s="44">
        <f>IF(AND( C71="Buy", ISBLANK(W71), B71&lt;&gt;"DIV"), ((E71*D71)+L71), "")</f>
        <v/>
      </c>
      <c r="N80" s="45">
        <f>IF(AND( C71="Buy", ISBLANK(W71), B71&lt;&gt;"DIV"), D71, "")</f>
        <v/>
      </c>
      <c r="O80" s="43">
        <f>IF(AND( C71="Buy", ISBLANK(W71), B71&lt;&gt;"DIV", NOW()-A71 &lt; 365), P71/sum(F71:I71), "")</f>
        <v/>
      </c>
      <c r="P80" s="44">
        <f>IF(AND( C71="Buy", ISBLANK(W71), B71&lt;&gt;"DIV", NOW()-A71 &lt; 365), (1-Index!$F$2*2)*((J71*D71)-(E71*D71)), "")</f>
        <v/>
      </c>
      <c r="Q80" s="44">
        <f>IF(AND( C71="Buy", ISBLANK(W71), B71&lt;&gt;"DIV", NOW()-A71 &lt; 365), ((E71*D71)+P71), "")</f>
        <v/>
      </c>
      <c r="R80" s="44">
        <f>IF(AND( C71="Buy", ISBLANK(W71), B71&lt;&gt;"DIV", NOW()-A71 &lt; 365), D71, "")</f>
        <v/>
      </c>
      <c r="S80" s="46">
        <f>IF(AND( C71="Buy", ISBLANK(W71), B71&lt;&gt;"DIV", NOW()-A71 &gt; 365), T71/sum(F71:I71), "")</f>
        <v/>
      </c>
      <c r="T80" s="50">
        <f>IF(AND( C71="Buy", ISBLANK(W71), B71&lt;&gt;"DIV", NOW()-A71 &gt; 365), (1-Index!$F$2*2)*((J71*D71)-(E71*D71)), "")</f>
        <v/>
      </c>
      <c r="U80" s="50">
        <f>IF(AND( C71="Buy", ISBLANK(W71), B71&lt;&gt;"DIV", NOW()-A71 &gt; 365), ((E71*D71)+T71), "")</f>
        <v/>
      </c>
      <c r="V80" s="50">
        <f>IF(AND( C71="Buy", ISBLANK(W71), B71&lt;&gt;"DIV", NOW()-A71 &gt; 365), D71, "")</f>
        <v/>
      </c>
      <c r="W80" s="60" t="n"/>
      <c r="X80" s="50" t="n"/>
      <c r="Y80" s="46">
        <f>IF(AND( C71="Buy", W71&lt;&gt;"", AA71&lt;&gt;"", B71&lt;&gt;"DIV"), Z71/sum(F71:I71), "")</f>
        <v/>
      </c>
      <c r="Z80" s="50" t="n"/>
      <c r="AA80" s="50" t="n"/>
      <c r="AB80" s="48" t="n"/>
      <c r="AC80" s="44">
        <f>if(B71="DIV", F71,"")</f>
        <v/>
      </c>
      <c r="AD80" s="49" t="n"/>
    </row>
    <row r="81">
      <c r="A81" s="38" t="n">
        <v>43676</v>
      </c>
      <c r="B81" s="59" t="inlineStr">
        <is>
          <t>DIV</t>
        </is>
      </c>
      <c r="C81" s="59" t="inlineStr">
        <is>
          <t>Buy</t>
        </is>
      </c>
      <c r="D81" s="40" t="n">
        <v>175</v>
      </c>
      <c r="E81" s="41" t="n">
        <v>4</v>
      </c>
      <c r="F81" s="41" t="n">
        <v>700</v>
      </c>
      <c r="G81" s="59" t="inlineStr">
        <is>
          <t>Dividend of Rs.4.0000/- per share on 30-JUL-2019</t>
        </is>
      </c>
      <c r="H81" s="40" t="n">
        <v>0</v>
      </c>
      <c r="I81" s="40" t="n">
        <v>0</v>
      </c>
      <c r="J81" s="42">
        <f>Index!$C$2</f>
        <v/>
      </c>
      <c r="K81" s="43">
        <f>IF(AND( C72="Buy", ISBLANK(W72), B72&lt;&gt;"DIV"), L72/sum(F72:I72), "")</f>
        <v/>
      </c>
      <c r="L81" s="44">
        <f>IF(AND( C72="Buy", ISBLANK(W72), B72&lt;&gt;"DIV"), (1-Index!$F$2*2)*((J72*D72)-(E72*D72)), "")</f>
        <v/>
      </c>
      <c r="M81" s="44">
        <f>IF(AND( C72="Buy", ISBLANK(W72), B72&lt;&gt;"DIV"), ((E72*D72)+L72), "")</f>
        <v/>
      </c>
      <c r="N81" s="45">
        <f>IF(AND( C72="Buy", ISBLANK(W72), B72&lt;&gt;"DIV"), D72, "")</f>
        <v/>
      </c>
      <c r="O81" s="43">
        <f>IF(AND( C72="Buy", ISBLANK(W72), B72&lt;&gt;"DIV", NOW()-A72 &lt; 365), P72/sum(F72:I72), "")</f>
        <v/>
      </c>
      <c r="P81" s="44">
        <f>IF(AND( C72="Buy", ISBLANK(W72), B72&lt;&gt;"DIV", NOW()-A72 &lt; 365), (1-Index!$F$2*2)*((J72*D72)-(E72*D72)), "")</f>
        <v/>
      </c>
      <c r="Q81" s="44">
        <f>IF(AND( C72="Buy", ISBLANK(W72), B72&lt;&gt;"DIV", NOW()-A72 &lt; 365), ((E72*D72)+P72), "")</f>
        <v/>
      </c>
      <c r="R81" s="44">
        <f>IF(AND( C72="Buy", ISBLANK(W72), B72&lt;&gt;"DIV", NOW()-A72 &lt; 365), D72, "")</f>
        <v/>
      </c>
      <c r="S81" s="46">
        <f>IF(AND( C72="Buy", ISBLANK(W72), B72&lt;&gt;"DIV", NOW()-A72 &gt; 365), T72/sum(F72:I72), "")</f>
        <v/>
      </c>
      <c r="T81" s="50">
        <f>IF(AND( C72="Buy", ISBLANK(W72), B72&lt;&gt;"DIV", NOW()-A72 &gt; 365), (1-Index!$F$2*2)*((J72*D72)-(E72*D72)), "")</f>
        <v/>
      </c>
      <c r="U81" s="50">
        <f>IF(AND( C72="Buy", ISBLANK(W72), B72&lt;&gt;"DIV", NOW()-A72 &gt; 365), ((E72*D72)+T72), "")</f>
        <v/>
      </c>
      <c r="V81" s="50">
        <f>IF(AND( C72="Buy", ISBLANK(W72), B72&lt;&gt;"DIV", NOW()-A72 &gt; 365), D72, "")</f>
        <v/>
      </c>
      <c r="W81" s="60" t="n"/>
      <c r="X81" s="50" t="n"/>
      <c r="Y81" s="46">
        <f>IF(AND( C72="Buy", W72&lt;&gt;"", AA72&lt;&gt;"", B72&lt;&gt;"DIV"), Z72/sum(F72:I72), "")</f>
        <v/>
      </c>
      <c r="Z81" s="50" t="n"/>
      <c r="AA81" s="50" t="n"/>
      <c r="AB81" s="48" t="n"/>
      <c r="AC81" s="44">
        <f>if(B72="DIV", F72,"")</f>
        <v/>
      </c>
      <c r="AD81" s="49" t="n"/>
    </row>
    <row r="82">
      <c r="A82" s="38" t="n">
        <v>43647</v>
      </c>
      <c r="B82" s="59" t="inlineStr">
        <is>
          <t>NSE</t>
        </is>
      </c>
      <c r="C82" s="59" t="inlineStr">
        <is>
          <t>Buy</t>
        </is>
      </c>
      <c r="D82" s="40" t="n">
        <v>10</v>
      </c>
      <c r="E82" s="41" t="n">
        <v>351.349</v>
      </c>
      <c r="F82" s="41" t="n">
        <v>3538.41</v>
      </c>
      <c r="G82" s="59" t="n"/>
      <c r="H82" s="40" t="n">
        <v>3.51</v>
      </c>
      <c r="I82" s="40" t="n">
        <v>21.4</v>
      </c>
      <c r="J82" s="42">
        <f>Index!$C$2</f>
        <v/>
      </c>
      <c r="K82" s="43">
        <f>IF(AND( C73="Buy", ISBLANK(W73), B73&lt;&gt;"DIV"), L73/sum(F73:I73), "")</f>
        <v/>
      </c>
      <c r="L82" s="44">
        <f>IF(AND( C73="Buy", ISBLANK(W73), B73&lt;&gt;"DIV"), (1-Index!$F$2*2)*((J73*D73)-(E73*D73)), "")</f>
        <v/>
      </c>
      <c r="M82" s="44">
        <f>IF(AND( C73="Buy", ISBLANK(W73), B73&lt;&gt;"DIV"), ((E73*D73)+L73), "")</f>
        <v/>
      </c>
      <c r="N82" s="45">
        <f>IF(AND( C73="Buy", ISBLANK(W73), B73&lt;&gt;"DIV"), D73, "")</f>
        <v/>
      </c>
      <c r="O82" s="43">
        <f>IF(AND( C73="Buy", ISBLANK(W73), B73&lt;&gt;"DIV", NOW()-A73 &lt; 365), P73/sum(F73:I73), "")</f>
        <v/>
      </c>
      <c r="P82" s="44">
        <f>IF(AND( C73="Buy", ISBLANK(W73), B73&lt;&gt;"DIV", NOW()-A73 &lt; 365), (1-Index!$F$2*2)*((J73*D73)-(E73*D73)), "")</f>
        <v/>
      </c>
      <c r="Q82" s="44">
        <f>IF(AND( C73="Buy", ISBLANK(W73), B73&lt;&gt;"DIV", NOW()-A73 &lt; 365), ((E73*D73)+P73), "")</f>
        <v/>
      </c>
      <c r="R82" s="44">
        <f>IF(AND( C73="Buy", ISBLANK(W73), B73&lt;&gt;"DIV", NOW()-A73 &lt; 365), D73, "")</f>
        <v/>
      </c>
      <c r="S82" s="46">
        <f>IF(AND( C73="Buy", ISBLANK(W73), B73&lt;&gt;"DIV", NOW()-A73 &gt; 365), T73/sum(F73:I73), "")</f>
        <v/>
      </c>
      <c r="T82" s="50">
        <f>IF(AND( C73="Buy", ISBLANK(W73), B73&lt;&gt;"DIV", NOW()-A73 &gt; 365), (1-Index!$F$2*2)*((J73*D73)-(E73*D73)), "")</f>
        <v/>
      </c>
      <c r="U82" s="50">
        <f>IF(AND( C73="Buy", ISBLANK(W73), B73&lt;&gt;"DIV", NOW()-A73 &gt; 365), ((E73*D73)+T73), "")</f>
        <v/>
      </c>
      <c r="V82" s="50">
        <f>IF(AND( C73="Buy", ISBLANK(W73), B73&lt;&gt;"DIV", NOW()-A73 &gt; 365), D73, "")</f>
        <v/>
      </c>
      <c r="W82" s="57" t="n">
        <v>574.903</v>
      </c>
      <c r="X82" s="58" t="n">
        <v>45565</v>
      </c>
      <c r="Y82" s="51" t="n">
        <v>0.6185923352</v>
      </c>
      <c r="Z82" s="52" t="n">
        <v>2204.24244</v>
      </c>
      <c r="AA82" s="52" t="n">
        <v>5717.73244</v>
      </c>
      <c r="AB82" s="53" t="n">
        <v>10</v>
      </c>
      <c r="AC82" s="54">
        <f>if(B73="DIV", F73,"")</f>
        <v/>
      </c>
      <c r="AD82" s="49" t="n"/>
      <c r="AE82" s="55" t="n"/>
    </row>
    <row r="83">
      <c r="A83" s="38" t="n">
        <v>43382</v>
      </c>
      <c r="B83" s="59" t="inlineStr">
        <is>
          <t>NSE</t>
        </is>
      </c>
      <c r="C83" s="59" t="inlineStr">
        <is>
          <t>Buy</t>
        </is>
      </c>
      <c r="D83" s="40" t="n">
        <v>10</v>
      </c>
      <c r="E83" s="41" t="n">
        <v>370.404</v>
      </c>
      <c r="F83" s="41" t="n">
        <v>3730.06</v>
      </c>
      <c r="G83" s="59" t="n"/>
      <c r="H83" s="40" t="n">
        <v>3.68</v>
      </c>
      <c r="I83" s="40" t="n">
        <v>22.38</v>
      </c>
      <c r="J83" s="42">
        <f>Index!$C$2</f>
        <v/>
      </c>
      <c r="K83" s="43">
        <f>IF(AND( C74="Buy", ISBLANK(W74), B74&lt;&gt;"DIV"), L74/sum(F74:I74), "")</f>
        <v/>
      </c>
      <c r="L83" s="44">
        <f>IF(AND( C74="Buy", ISBLANK(W74), B74&lt;&gt;"DIV"), (1-Index!$F$2*2)*((J74*D74)-(E74*D74)), "")</f>
        <v/>
      </c>
      <c r="M83" s="44">
        <f>IF(AND( C74="Buy", ISBLANK(W74), B74&lt;&gt;"DIV"), ((E74*D74)+L74), "")</f>
        <v/>
      </c>
      <c r="N83" s="45">
        <f>IF(AND( C74="Buy", ISBLANK(W74), B74&lt;&gt;"DIV"), D74, "")</f>
        <v/>
      </c>
      <c r="O83" s="43">
        <f>IF(AND( C74="Buy", ISBLANK(W74), B74&lt;&gt;"DIV", NOW()-A74 &lt; 365), P74/sum(F74:I74), "")</f>
        <v/>
      </c>
      <c r="P83" s="44">
        <f>IF(AND( C74="Buy", ISBLANK(W74), B74&lt;&gt;"DIV", NOW()-A74 &lt; 365), (1-Index!$F$2*2)*((J74*D74)-(E74*D74)), "")</f>
        <v/>
      </c>
      <c r="Q83" s="44">
        <f>IF(AND( C74="Buy", ISBLANK(W74), B74&lt;&gt;"DIV", NOW()-A74 &lt; 365), ((E74*D74)+P74), "")</f>
        <v/>
      </c>
      <c r="R83" s="44">
        <f>IF(AND( C74="Buy", ISBLANK(W74), B74&lt;&gt;"DIV", NOW()-A74 &lt; 365), D74, "")</f>
        <v/>
      </c>
      <c r="S83" s="46">
        <f>IF(AND( C74="Buy", ISBLANK(W74), B74&lt;&gt;"DIV", NOW()-A74 &gt; 365), T74/sum(F74:I74), "")</f>
        <v/>
      </c>
      <c r="T83" s="50">
        <f>IF(AND( C74="Buy", ISBLANK(W74), B74&lt;&gt;"DIV", NOW()-A74 &gt; 365), (1-Index!$F$2*2)*((J74*D74)-(E74*D74)), "")</f>
        <v/>
      </c>
      <c r="U83" s="50">
        <f>IF(AND( C74="Buy", ISBLANK(W74), B74&lt;&gt;"DIV", NOW()-A74 &gt; 365), ((E74*D74)+T74), "")</f>
        <v/>
      </c>
      <c r="V83" s="50">
        <f>IF(AND( C74="Buy", ISBLANK(W74), B74&lt;&gt;"DIV", NOW()-A74 &gt; 365), D74, "")</f>
        <v/>
      </c>
      <c r="W83" s="57" t="n">
        <v>574.903</v>
      </c>
      <c r="X83" s="58" t="n">
        <v>45565</v>
      </c>
      <c r="Y83" s="51" t="n">
        <v>0.5368199472</v>
      </c>
      <c r="Z83" s="52" t="n">
        <v>2016.36014</v>
      </c>
      <c r="AA83" s="52" t="n">
        <v>5720.40014</v>
      </c>
      <c r="AB83" s="53" t="n">
        <v>10</v>
      </c>
      <c r="AC83" s="54">
        <f>if(B74="DIV", F74,"")</f>
        <v/>
      </c>
      <c r="AD83" s="49" t="n"/>
      <c r="AE83" s="55" t="n"/>
    </row>
    <row r="84">
      <c r="A84" s="38" t="n">
        <v>43376</v>
      </c>
      <c r="B84" s="59" t="inlineStr">
        <is>
          <t>NSE</t>
        </is>
      </c>
      <c r="C84" s="59" t="inlineStr">
        <is>
          <t>Buy</t>
        </is>
      </c>
      <c r="D84" s="40" t="n">
        <v>20</v>
      </c>
      <c r="E84" s="41" t="n">
        <v>367</v>
      </c>
      <c r="F84" s="41" t="n">
        <v>7391.8</v>
      </c>
      <c r="G84" s="59" t="n"/>
      <c r="H84" s="40" t="n">
        <v>7.328</v>
      </c>
      <c r="I84" s="40" t="n">
        <v>44.472</v>
      </c>
      <c r="J84" s="42">
        <f>Index!$C$2</f>
        <v/>
      </c>
      <c r="K84" s="43">
        <f>IF(AND( C75="Buy", ISBLANK(W75), B75&lt;&gt;"DIV"), L75/sum(F75:I75), "")</f>
        <v/>
      </c>
      <c r="L84" s="44">
        <f>IF(AND( C75="Buy", ISBLANK(W75), B75&lt;&gt;"DIV"), (1-Index!$F$2*2)*((J75*D75)-(E75*D75)), "")</f>
        <v/>
      </c>
      <c r="M84" s="44">
        <f>IF(AND( C75="Buy", ISBLANK(W75), B75&lt;&gt;"DIV"), ((E75*D75)+L75), "")</f>
        <v/>
      </c>
      <c r="N84" s="45">
        <f>IF(AND( C75="Buy", ISBLANK(W75), B75&lt;&gt;"DIV"), D75, "")</f>
        <v/>
      </c>
      <c r="O84" s="43">
        <f>IF(AND( C75="Buy", ISBLANK(W75), B75&lt;&gt;"DIV", NOW()-A75 &lt; 365), P75/sum(F75:I75), "")</f>
        <v/>
      </c>
      <c r="P84" s="44">
        <f>IF(AND( C75="Buy", ISBLANK(W75), B75&lt;&gt;"DIV", NOW()-A75 &lt; 365), (1-Index!$F$2*2)*((J75*D75)-(E75*D75)), "")</f>
        <v/>
      </c>
      <c r="Q84" s="44">
        <f>IF(AND( C75="Buy", ISBLANK(W75), B75&lt;&gt;"DIV", NOW()-A75 &lt; 365), ((E75*D75)+P75), "")</f>
        <v/>
      </c>
      <c r="R84" s="44">
        <f>IF(AND( C75="Buy", ISBLANK(W75), B75&lt;&gt;"DIV", NOW()-A75 &lt; 365), D75, "")</f>
        <v/>
      </c>
      <c r="S84" s="46">
        <f>IF(AND( C75="Buy", ISBLANK(W75), B75&lt;&gt;"DIV", NOW()-A75 &gt; 365), T75/sum(F75:I75), "")</f>
        <v/>
      </c>
      <c r="T84" s="50">
        <f>IF(AND( C75="Buy", ISBLANK(W75), B75&lt;&gt;"DIV", NOW()-A75 &gt; 365), (1-Index!$F$2*2)*((J75*D75)-(E75*D75)), "")</f>
        <v/>
      </c>
      <c r="U84" s="50">
        <f>IF(AND( C75="Buy", ISBLANK(W75), B75&lt;&gt;"DIV", NOW()-A75 &gt; 365), ((E75*D75)+T75), "")</f>
        <v/>
      </c>
      <c r="V84" s="50">
        <f>IF(AND( C75="Buy", ISBLANK(W75), B75&lt;&gt;"DIV", NOW()-A75 &gt; 365), D75, "")</f>
        <v/>
      </c>
      <c r="W84" s="57" t="n">
        <v>577.2645</v>
      </c>
      <c r="X84" s="58" t="n">
        <v>45565</v>
      </c>
      <c r="Y84" s="51" t="n">
        <v>0.5570444328</v>
      </c>
      <c r="Z84" s="52" t="n">
        <v>4146.41594</v>
      </c>
      <c r="AA84" s="52" t="n">
        <v>11486.41594</v>
      </c>
      <c r="AB84" s="53" t="n">
        <v>20</v>
      </c>
      <c r="AC84" s="54">
        <f>if(B75="DIV", F75,"")</f>
        <v/>
      </c>
      <c r="AD84" s="49" t="n"/>
      <c r="AE84" s="55" t="n"/>
    </row>
    <row r="85">
      <c r="A85" s="38" t="n">
        <v>43376</v>
      </c>
      <c r="B85" s="59" t="inlineStr">
        <is>
          <t>NSE</t>
        </is>
      </c>
      <c r="C85" s="59" t="inlineStr">
        <is>
          <t>Buy</t>
        </is>
      </c>
      <c r="D85" s="40" t="n">
        <v>5</v>
      </c>
      <c r="E85" s="41" t="n">
        <v>367</v>
      </c>
      <c r="F85" s="41" t="n">
        <v>1847.95</v>
      </c>
      <c r="G85" s="59" t="n"/>
      <c r="H85" s="40" t="n">
        <v>1.832</v>
      </c>
      <c r="I85" s="40" t="n">
        <v>11.118</v>
      </c>
      <c r="J85" s="42">
        <f>Index!$C$2</f>
        <v/>
      </c>
      <c r="K85" s="43">
        <f>IF(AND( C76="Buy", ISBLANK(W76), B76&lt;&gt;"DIV"), L76/sum(F76:I76), "")</f>
        <v/>
      </c>
      <c r="L85" s="44">
        <f>IF(AND( C76="Buy", ISBLANK(W76), B76&lt;&gt;"DIV"), (1-Index!$F$2*2)*((J76*D76)-(E76*D76)), "")</f>
        <v/>
      </c>
      <c r="M85" s="44">
        <f>IF(AND( C76="Buy", ISBLANK(W76), B76&lt;&gt;"DIV"), ((E76*D76)+L76), "")</f>
        <v/>
      </c>
      <c r="N85" s="45">
        <f>IF(AND( C76="Buy", ISBLANK(W76), B76&lt;&gt;"DIV"), D76, "")</f>
        <v/>
      </c>
      <c r="O85" s="43">
        <f>IF(AND( C76="Buy", ISBLANK(W76), B76&lt;&gt;"DIV", NOW()-A76 &lt; 365), P76/sum(F76:I76), "")</f>
        <v/>
      </c>
      <c r="P85" s="44">
        <f>IF(AND( C76="Buy", ISBLANK(W76), B76&lt;&gt;"DIV", NOW()-A76 &lt; 365), (1-Index!$F$2*2)*((J76*D76)-(E76*D76)), "")</f>
        <v/>
      </c>
      <c r="Q85" s="44">
        <f>IF(AND( C76="Buy", ISBLANK(W76), B76&lt;&gt;"DIV", NOW()-A76 &lt; 365), ((E76*D76)+P76), "")</f>
        <v/>
      </c>
      <c r="R85" s="44">
        <f>IF(AND( C76="Buy", ISBLANK(W76), B76&lt;&gt;"DIV", NOW()-A76 &lt; 365), D76, "")</f>
        <v/>
      </c>
      <c r="S85" s="46">
        <f>IF(AND( C76="Buy", ISBLANK(W76), B76&lt;&gt;"DIV", NOW()-A76 &gt; 365), T76/sum(F76:I76), "")</f>
        <v/>
      </c>
      <c r="T85" s="50">
        <f>IF(AND( C76="Buy", ISBLANK(W76), B76&lt;&gt;"DIV", NOW()-A76 &gt; 365), (1-Index!$F$2*2)*((J76*D76)-(E76*D76)), "")</f>
        <v/>
      </c>
      <c r="U85" s="50">
        <f>IF(AND( C76="Buy", ISBLANK(W76), B76&lt;&gt;"DIV", NOW()-A76 &gt; 365), ((E76*D76)+T76), "")</f>
        <v/>
      </c>
      <c r="V85" s="50">
        <f>IF(AND( C76="Buy", ISBLANK(W76), B76&lt;&gt;"DIV", NOW()-A76 &gt; 365), D76, "")</f>
        <v/>
      </c>
      <c r="W85" s="57" t="n">
        <v>580.9665</v>
      </c>
      <c r="X85" s="58" t="n">
        <v>45565</v>
      </c>
      <c r="Y85" s="51" t="n">
        <v>0.5668519775</v>
      </c>
      <c r="Z85" s="52" t="n">
        <v>1054.854845</v>
      </c>
      <c r="AA85" s="52" t="n">
        <v>2889.854845</v>
      </c>
      <c r="AB85" s="53" t="n">
        <v>5</v>
      </c>
      <c r="AC85" s="54">
        <f>if(B76="DIV", F76,"")</f>
        <v/>
      </c>
      <c r="AD85" s="49" t="n"/>
      <c r="AE85" s="55" t="n"/>
    </row>
    <row r="86">
      <c r="A86" s="38" t="n">
        <v>43369</v>
      </c>
      <c r="B86" s="59" t="inlineStr">
        <is>
          <t>NSE</t>
        </is>
      </c>
      <c r="C86" s="59" t="inlineStr">
        <is>
          <t>Buy</t>
        </is>
      </c>
      <c r="D86" s="40" t="n">
        <v>15</v>
      </c>
      <c r="E86" s="41" t="n">
        <v>414.058667</v>
      </c>
      <c r="F86" s="41" t="n">
        <v>6254.418</v>
      </c>
      <c r="G86" s="59" t="n"/>
      <c r="H86" s="40" t="n">
        <v>6.22</v>
      </c>
      <c r="I86" s="40" t="n">
        <v>37.296</v>
      </c>
      <c r="J86" s="42">
        <f>Index!$C$2</f>
        <v/>
      </c>
      <c r="K86" s="43">
        <f>IF(AND( C77="Buy", ISBLANK(W77), B77&lt;&gt;"DIV"), L77/sum(F77:I77), "")</f>
        <v/>
      </c>
      <c r="L86" s="44">
        <f>IF(AND( C77="Buy", ISBLANK(W77), B77&lt;&gt;"DIV"), (1-Index!$F$2*2)*((J77*D77)-(E77*D77)), "")</f>
        <v/>
      </c>
      <c r="M86" s="44">
        <f>IF(AND( C77="Buy", ISBLANK(W77), B77&lt;&gt;"DIV"), ((E77*D77)+L77), "")</f>
        <v/>
      </c>
      <c r="N86" s="45">
        <f>IF(AND( C77="Buy", ISBLANK(W77), B77&lt;&gt;"DIV"), D77, "")</f>
        <v/>
      </c>
      <c r="O86" s="43">
        <f>IF(AND( C77="Buy", ISBLANK(W77), B77&lt;&gt;"DIV", NOW()-A77 &lt; 365), P77/sum(F77:I77), "")</f>
        <v/>
      </c>
      <c r="P86" s="44">
        <f>IF(AND( C77="Buy", ISBLANK(W77), B77&lt;&gt;"DIV", NOW()-A77 &lt; 365), (1-Index!$F$2*2)*((J77*D77)-(E77*D77)), "")</f>
        <v/>
      </c>
      <c r="Q86" s="44">
        <f>IF(AND( C77="Buy", ISBLANK(W77), B77&lt;&gt;"DIV", NOW()-A77 &lt; 365), ((E77*D77)+P77), "")</f>
        <v/>
      </c>
      <c r="R86" s="44">
        <f>IF(AND( C77="Buy", ISBLANK(W77), B77&lt;&gt;"DIV", NOW()-A77 &lt; 365), D77, "")</f>
        <v/>
      </c>
      <c r="S86" s="46">
        <f>IF(AND( C77="Buy", ISBLANK(W77), B77&lt;&gt;"DIV", NOW()-A77 &gt; 365), T77/sum(F77:I77), "")</f>
        <v/>
      </c>
      <c r="T86" s="50">
        <f>IF(AND( C77="Buy", ISBLANK(W77), B77&lt;&gt;"DIV", NOW()-A77 &gt; 365), (1-Index!$F$2*2)*((J77*D77)-(E77*D77)), "")</f>
        <v/>
      </c>
      <c r="U86" s="50">
        <f>IF(AND( C77="Buy", ISBLANK(W77), B77&lt;&gt;"DIV", NOW()-A77 &gt; 365), ((E77*D77)+T77), "")</f>
        <v/>
      </c>
      <c r="V86" s="50">
        <f>IF(AND( C77="Buy", ISBLANK(W77), B77&lt;&gt;"DIV", NOW()-A77 &gt; 365), D77, "")</f>
        <v/>
      </c>
      <c r="W86" s="57" t="n">
        <v>580.9665</v>
      </c>
      <c r="X86" s="58" t="n">
        <v>45565</v>
      </c>
      <c r="Y86" s="51" t="n">
        <v>0.3919645474</v>
      </c>
      <c r="Z86" s="52" t="n">
        <v>2468.56685</v>
      </c>
      <c r="AA86" s="52" t="n">
        <v>8679.446855</v>
      </c>
      <c r="AB86" s="53" t="n">
        <v>15</v>
      </c>
      <c r="AC86" s="54">
        <f>if(B77="DIV", F77,"")</f>
        <v/>
      </c>
      <c r="AD86" s="49" t="n"/>
      <c r="AE86" s="55" t="n"/>
    </row>
    <row r="87">
      <c r="A87" s="38" t="n">
        <v>43369</v>
      </c>
      <c r="B87" s="59" t="inlineStr">
        <is>
          <t>NSE</t>
        </is>
      </c>
      <c r="C87" s="59" t="inlineStr">
        <is>
          <t>Buy</t>
        </is>
      </c>
      <c r="D87" s="40" t="n">
        <v>10</v>
      </c>
      <c r="E87" s="41" t="n">
        <v>414.059</v>
      </c>
      <c r="F87" s="41" t="n">
        <v>4169.612</v>
      </c>
      <c r="G87" s="59" t="n"/>
      <c r="H87" s="40" t="n">
        <v>4.148</v>
      </c>
      <c r="I87" s="40" t="n">
        <v>24.864</v>
      </c>
      <c r="J87" s="42">
        <f>Index!$C$2</f>
        <v/>
      </c>
      <c r="K87" s="43">
        <f>IF(AND( C78="Buy", ISBLANK(W78), B78&lt;&gt;"DIV"), L78/sum(F78:I78), "")</f>
        <v/>
      </c>
      <c r="L87" s="44">
        <f>IF(AND( C78="Buy", ISBLANK(W78), B78&lt;&gt;"DIV"), (1-Index!$F$2*2)*((J78*D78)-(E78*D78)), "")</f>
        <v/>
      </c>
      <c r="M87" s="44">
        <f>IF(AND( C78="Buy", ISBLANK(W78), B78&lt;&gt;"DIV"), ((E78*D78)+L78), "")</f>
        <v/>
      </c>
      <c r="N87" s="45">
        <f>IF(AND( C78="Buy", ISBLANK(W78), B78&lt;&gt;"DIV"), D78, "")</f>
        <v/>
      </c>
      <c r="O87" s="43">
        <f>IF(AND( C78="Buy", ISBLANK(W78), B78&lt;&gt;"DIV", NOW()-A78 &lt; 365), P78/sum(F78:I78), "")</f>
        <v/>
      </c>
      <c r="P87" s="44">
        <f>IF(AND( C78="Buy", ISBLANK(W78), B78&lt;&gt;"DIV", NOW()-A78 &lt; 365), (1-Index!$F$2*2)*((J78*D78)-(E78*D78)), "")</f>
        <v/>
      </c>
      <c r="Q87" s="44">
        <f>IF(AND( C78="Buy", ISBLANK(W78), B78&lt;&gt;"DIV", NOW()-A78 &lt; 365), ((E78*D78)+P78), "")</f>
        <v/>
      </c>
      <c r="R87" s="44">
        <f>IF(AND( C78="Buy", ISBLANK(W78), B78&lt;&gt;"DIV", NOW()-A78 &lt; 365), D78, "")</f>
        <v/>
      </c>
      <c r="S87" s="46">
        <f>IF(AND( C78="Buy", ISBLANK(W78), B78&lt;&gt;"DIV", NOW()-A78 &gt; 365), T78/sum(F78:I78), "")</f>
        <v/>
      </c>
      <c r="T87" s="50">
        <f>IF(AND( C78="Buy", ISBLANK(W78), B78&lt;&gt;"DIV", NOW()-A78 &gt; 365), (1-Index!$F$2*2)*((J78*D78)-(E78*D78)), "")</f>
        <v/>
      </c>
      <c r="U87" s="50">
        <f>IF(AND( C78="Buy", ISBLANK(W78), B78&lt;&gt;"DIV", NOW()-A78 &gt; 365), ((E78*D78)+T78), "")</f>
        <v/>
      </c>
      <c r="V87" s="50">
        <f>IF(AND( C78="Buy", ISBLANK(W78), B78&lt;&gt;"DIV", NOW()-A78 &gt; 365), D78, "")</f>
        <v/>
      </c>
      <c r="W87" s="57" t="n">
        <v>570.971</v>
      </c>
      <c r="X87" s="58" t="n">
        <v>45565</v>
      </c>
      <c r="Y87" s="51" t="n">
        <v>0.3684903244</v>
      </c>
      <c r="Z87" s="52" t="n">
        <v>1547.15232</v>
      </c>
      <c r="AA87" s="52" t="n">
        <v>5687.74232</v>
      </c>
      <c r="AB87" s="53" t="n">
        <v>10</v>
      </c>
      <c r="AC87" s="54">
        <f>if(B78="DIV", F78,"")</f>
        <v/>
      </c>
      <c r="AD87" s="49" t="n"/>
      <c r="AE87" s="55" t="n"/>
    </row>
    <row r="88">
      <c r="A88" s="38" t="n">
        <v>43354</v>
      </c>
      <c r="B88" s="59" t="inlineStr">
        <is>
          <t>NSE</t>
        </is>
      </c>
      <c r="C88" s="59" t="inlineStr">
        <is>
          <t>Buy</t>
        </is>
      </c>
      <c r="D88" s="40" t="n">
        <v>20</v>
      </c>
      <c r="E88" s="41" t="n">
        <v>416.0965</v>
      </c>
      <c r="F88" s="41" t="n">
        <v>8380.073329999999</v>
      </c>
      <c r="G88" s="59" t="n"/>
      <c r="H88" s="40" t="n">
        <v>8</v>
      </c>
      <c r="I88" s="40" t="n">
        <v>50.07333</v>
      </c>
      <c r="J88" s="42">
        <f>Index!$C$2</f>
        <v/>
      </c>
      <c r="K88" s="43">
        <f>IF(AND( C79="Buy", ISBLANK(W79), B79&lt;&gt;"DIV"), L79/sum(F79:I79), "")</f>
        <v/>
      </c>
      <c r="L88" s="44">
        <f>IF(AND( C79="Buy", ISBLANK(W79), B79&lt;&gt;"DIV"), (1-Index!$F$2*2)*((J79*D79)-(E79*D79)), "")</f>
        <v/>
      </c>
      <c r="M88" s="44">
        <f>IF(AND( C79="Buy", ISBLANK(W79), B79&lt;&gt;"DIV"), ((E79*D79)+L79), "")</f>
        <v/>
      </c>
      <c r="N88" s="45">
        <f>IF(AND( C79="Buy", ISBLANK(W79), B79&lt;&gt;"DIV"), D79, "")</f>
        <v/>
      </c>
      <c r="O88" s="43">
        <f>IF(AND( C79="Buy", ISBLANK(W79), B79&lt;&gt;"DIV", NOW()-A79 &lt; 365), P79/sum(F79:I79), "")</f>
        <v/>
      </c>
      <c r="P88" s="44">
        <f>IF(AND( C79="Buy", ISBLANK(W79), B79&lt;&gt;"DIV", NOW()-A79 &lt; 365), (1-Index!$F$2*2)*((J79*D79)-(E79*D79)), "")</f>
        <v/>
      </c>
      <c r="Q88" s="44">
        <f>IF(AND( C79="Buy", ISBLANK(W79), B79&lt;&gt;"DIV", NOW()-A79 &lt; 365), ((E79*D79)+P79), "")</f>
        <v/>
      </c>
      <c r="R88" s="44">
        <f>IF(AND( C79="Buy", ISBLANK(W79), B79&lt;&gt;"DIV", NOW()-A79 &lt; 365), D79, "")</f>
        <v/>
      </c>
      <c r="S88" s="46">
        <f>IF(AND( C79="Buy", ISBLANK(W79), B79&lt;&gt;"DIV", NOW()-A79 &gt; 365), T79/sum(F79:I79), "")</f>
        <v/>
      </c>
      <c r="T88" s="50">
        <f>IF(AND( C79="Buy", ISBLANK(W79), B79&lt;&gt;"DIV", NOW()-A79 &gt; 365), (1-Index!$F$2*2)*((J79*D79)-(E79*D79)), "")</f>
        <v/>
      </c>
      <c r="U88" s="50">
        <f>IF(AND( C79="Buy", ISBLANK(W79), B79&lt;&gt;"DIV", NOW()-A79 &gt; 365), ((E79*D79)+T79), "")</f>
        <v/>
      </c>
      <c r="V88" s="50">
        <f>IF(AND( C79="Buy", ISBLANK(W79), B79&lt;&gt;"DIV", NOW()-A79 &gt; 365), D79, "")</f>
        <v/>
      </c>
      <c r="W88" s="57" t="n">
        <v>570.971</v>
      </c>
      <c r="X88" s="58" t="n">
        <v>45565</v>
      </c>
      <c r="Y88" s="51" t="n">
        <v>0.3619426472</v>
      </c>
      <c r="Z88" s="52" t="n">
        <v>3054.12514</v>
      </c>
      <c r="AA88" s="52" t="n">
        <v>11376.05514</v>
      </c>
      <c r="AB88" s="53" t="n">
        <v>20</v>
      </c>
      <c r="AC88" s="54">
        <f>if(B79="DIV", F79,"")</f>
        <v/>
      </c>
      <c r="AD88" s="49" t="n"/>
      <c r="AE88" s="55" t="n"/>
    </row>
    <row r="89">
      <c r="A89" s="38" t="n">
        <v>43354</v>
      </c>
      <c r="B89" s="59" t="inlineStr">
        <is>
          <t>NSE</t>
        </is>
      </c>
      <c r="C89" s="59" t="inlineStr">
        <is>
          <t>Buy</t>
        </is>
      </c>
      <c r="D89" s="40" t="n">
        <v>10</v>
      </c>
      <c r="E89" s="41" t="n">
        <v>416.096</v>
      </c>
      <c r="F89" s="41" t="n">
        <v>4190.0366</v>
      </c>
      <c r="G89" s="59" t="n"/>
      <c r="H89" s="40" t="n">
        <v>4</v>
      </c>
      <c r="I89" s="40" t="n">
        <v>25.03666</v>
      </c>
      <c r="J89" s="42">
        <f>Index!$C$2</f>
        <v/>
      </c>
      <c r="K89" s="43">
        <f>IF(AND( C80="Buy", ISBLANK(W80), B80&lt;&gt;"DIV"), L80/sum(F80:I80), "")</f>
        <v/>
      </c>
      <c r="L89" s="44">
        <f>IF(AND( C80="Buy", ISBLANK(W80), B80&lt;&gt;"DIV"), (1-Index!$F$2*2)*((J80*D80)-(E80*D80)), "")</f>
        <v/>
      </c>
      <c r="M89" s="44">
        <f>IF(AND( C80="Buy", ISBLANK(W80), B80&lt;&gt;"DIV"), ((E80*D80)+L80), "")</f>
        <v/>
      </c>
      <c r="N89" s="45">
        <f>IF(AND( C80="Buy", ISBLANK(W80), B80&lt;&gt;"DIV"), D80, "")</f>
        <v/>
      </c>
      <c r="O89" s="43">
        <f>IF(AND( C80="Buy", ISBLANK(W80), B80&lt;&gt;"DIV", NOW()-A80 &lt; 365), P80/sum(F80:I80), "")</f>
        <v/>
      </c>
      <c r="P89" s="44">
        <f>IF(AND( C80="Buy", ISBLANK(W80), B80&lt;&gt;"DIV", NOW()-A80 &lt; 365), (1-Index!$F$2*2)*((J80*D80)-(E80*D80)), "")</f>
        <v/>
      </c>
      <c r="Q89" s="44">
        <f>IF(AND( C80="Buy", ISBLANK(W80), B80&lt;&gt;"DIV", NOW()-A80 &lt; 365), ((E80*D80)+P80), "")</f>
        <v/>
      </c>
      <c r="R89" s="44">
        <f>IF(AND( C80="Buy", ISBLANK(W80), B80&lt;&gt;"DIV", NOW()-A80 &lt; 365), D80, "")</f>
        <v/>
      </c>
      <c r="S89" s="46">
        <f>IF(AND( C80="Buy", ISBLANK(W80), B80&lt;&gt;"DIV", NOW()-A80 &gt; 365), T80/sum(F80:I80), "")</f>
        <v/>
      </c>
      <c r="T89" s="50">
        <f>IF(AND( C80="Buy", ISBLANK(W80), B80&lt;&gt;"DIV", NOW()-A80 &gt; 365), (1-Index!$F$2*2)*((J80*D80)-(E80*D80)), "")</f>
        <v/>
      </c>
      <c r="U89" s="50">
        <f>IF(AND( C80="Buy", ISBLANK(W80), B80&lt;&gt;"DIV", NOW()-A80 &gt; 365), ((E80*D80)+T80), "")</f>
        <v/>
      </c>
      <c r="V89" s="50">
        <f>IF(AND( C80="Buy", ISBLANK(W80), B80&lt;&gt;"DIV", NOW()-A80 &gt; 365), D80, "")</f>
        <v/>
      </c>
      <c r="W89" s="57" t="n">
        <v>574.903</v>
      </c>
      <c r="X89" s="58" t="n">
        <v>45565</v>
      </c>
      <c r="Y89" s="51" t="n">
        <v>0.3711329298</v>
      </c>
      <c r="Z89" s="52" t="n">
        <v>1565.83702</v>
      </c>
      <c r="AA89" s="52" t="n">
        <v>5726.79702</v>
      </c>
      <c r="AB89" s="53" t="n">
        <v>10</v>
      </c>
      <c r="AC89" s="54">
        <f>if(B80="DIV", F80,"")</f>
        <v/>
      </c>
      <c r="AD89" s="49" t="n"/>
      <c r="AE89" s="55" t="n"/>
    </row>
    <row r="90">
      <c r="A90" s="38" t="n">
        <v>43312</v>
      </c>
      <c r="B90" s="59" t="inlineStr">
        <is>
          <t>NSE</t>
        </is>
      </c>
      <c r="C90" s="59" t="inlineStr">
        <is>
          <t>Buy</t>
        </is>
      </c>
      <c r="D90" s="40" t="n">
        <v>20</v>
      </c>
      <c r="E90" s="41" t="n">
        <v>464.205</v>
      </c>
      <c r="F90" s="41" t="n">
        <v>9348.911099999999</v>
      </c>
      <c r="G90" s="59" t="n"/>
      <c r="H90" s="40" t="n">
        <v>9.2133</v>
      </c>
      <c r="I90" s="40" t="n">
        <v>55.6933</v>
      </c>
      <c r="J90" s="42">
        <f>Index!$C$2</f>
        <v/>
      </c>
      <c r="K90" s="43">
        <f>IF(AND( C81="Buy", ISBLANK(W81), B81&lt;&gt;"DIV"), L81/sum(F81:I81), "")</f>
        <v/>
      </c>
      <c r="L90" s="44">
        <f>IF(AND( C81="Buy", ISBLANK(W81), B81&lt;&gt;"DIV"), (1-Index!$F$2*2)*((J81*D81)-(E81*D81)), "")</f>
        <v/>
      </c>
      <c r="M90" s="44">
        <f>IF(AND( C81="Buy", ISBLANK(W81), B81&lt;&gt;"DIV"), ((E81*D81)+L81), "")</f>
        <v/>
      </c>
      <c r="N90" s="45">
        <f>IF(AND( C81="Buy", ISBLANK(W81), B81&lt;&gt;"DIV"), D81, "")</f>
        <v/>
      </c>
      <c r="O90" s="43">
        <f>IF(AND( C81="Buy", ISBLANK(W81), B81&lt;&gt;"DIV", NOW()-A81 &lt; 365), P81/sum(F81:I81), "")</f>
        <v/>
      </c>
      <c r="P90" s="44">
        <f>IF(AND( C81="Buy", ISBLANK(W81), B81&lt;&gt;"DIV", NOW()-A81 &lt; 365), (1-Index!$F$2*2)*((J81*D81)-(E81*D81)), "")</f>
        <v/>
      </c>
      <c r="Q90" s="44">
        <f>IF(AND( C81="Buy", ISBLANK(W81), B81&lt;&gt;"DIV", NOW()-A81 &lt; 365), ((E81*D81)+P81), "")</f>
        <v/>
      </c>
      <c r="R90" s="44">
        <f>IF(AND( C81="Buy", ISBLANK(W81), B81&lt;&gt;"DIV", NOW()-A81 &lt; 365), D81, "")</f>
        <v/>
      </c>
      <c r="S90" s="46">
        <f>IF(AND( C81="Buy", ISBLANK(W81), B81&lt;&gt;"DIV", NOW()-A81 &gt; 365), T81/sum(F81:I81), "")</f>
        <v/>
      </c>
      <c r="T90" s="50">
        <f>IF(AND( C81="Buy", ISBLANK(W81), B81&lt;&gt;"DIV", NOW()-A81 &gt; 365), (1-Index!$F$2*2)*((J81*D81)-(E81*D81)), "")</f>
        <v/>
      </c>
      <c r="U90" s="50">
        <f>IF(AND( C81="Buy", ISBLANK(W81), B81&lt;&gt;"DIV", NOW()-A81 &gt; 365), ((E81*D81)+T81), "")</f>
        <v/>
      </c>
      <c r="V90" s="50">
        <f>IF(AND( C81="Buy", ISBLANK(W81), B81&lt;&gt;"DIV", NOW()-A81 &gt; 365), D81, "")</f>
        <v/>
      </c>
      <c r="W90" s="57" t="n">
        <v>508.1195</v>
      </c>
      <c r="X90" s="58" t="n">
        <v>45565</v>
      </c>
      <c r="Y90" s="51" t="n">
        <v>0.0919917899</v>
      </c>
      <c r="Z90" s="52" t="n">
        <v>865.99394</v>
      </c>
      <c r="AA90" s="52" t="n">
        <v>10150.09394</v>
      </c>
      <c r="AB90" s="53" t="n">
        <v>20</v>
      </c>
      <c r="AC90" s="54">
        <f>if(B81="DIV", F81,"")</f>
        <v/>
      </c>
      <c r="AD90" s="49" t="n"/>
      <c r="AE90" s="55" t="n"/>
    </row>
    <row r="91">
      <c r="A91" s="38" t="n">
        <v>43312</v>
      </c>
      <c r="B91" s="59" t="inlineStr">
        <is>
          <t>NSE</t>
        </is>
      </c>
      <c r="C91" s="59" t="inlineStr">
        <is>
          <t>Buy</t>
        </is>
      </c>
      <c r="D91" s="40" t="n">
        <v>25</v>
      </c>
      <c r="E91" s="41" t="n">
        <v>464.2044</v>
      </c>
      <c r="F91" s="41" t="n">
        <v>11686.1388</v>
      </c>
      <c r="G91" s="59" t="n"/>
      <c r="H91" s="40" t="n">
        <v>11.51666</v>
      </c>
      <c r="I91" s="40" t="n">
        <v>69.61660000000001</v>
      </c>
      <c r="J91" s="42">
        <f>Index!$C$2</f>
        <v/>
      </c>
      <c r="K91" s="43">
        <f>IF(AND( C82="Buy", ISBLANK(W82), B82&lt;&gt;"DIV"), L82/sum(F82:I82), "")</f>
        <v/>
      </c>
      <c r="L91" s="44">
        <f>IF(AND( C82="Buy", ISBLANK(W82), B82&lt;&gt;"DIV"), (1-Index!$F$2*2)*((J82*D82)-(E82*D82)), "")</f>
        <v/>
      </c>
      <c r="M91" s="44">
        <f>IF(AND( C82="Buy", ISBLANK(W82), B82&lt;&gt;"DIV"), ((E82*D82)+L82), "")</f>
        <v/>
      </c>
      <c r="N91" s="45">
        <f>IF(AND( C82="Buy", ISBLANK(W82), B82&lt;&gt;"DIV"), D82, "")</f>
        <v/>
      </c>
      <c r="O91" s="43">
        <f>IF(AND( C82="Buy", ISBLANK(W82), B82&lt;&gt;"DIV", NOW()-A82 &lt; 365), P82/sum(F82:I82), "")</f>
        <v/>
      </c>
      <c r="P91" s="44">
        <f>IF(AND( C82="Buy", ISBLANK(W82), B82&lt;&gt;"DIV", NOW()-A82 &lt; 365), (1-Index!$F$2*2)*((J82*D82)-(E82*D82)), "")</f>
        <v/>
      </c>
      <c r="Q91" s="44">
        <f>IF(AND( C82="Buy", ISBLANK(W82), B82&lt;&gt;"DIV", NOW()-A82 &lt; 365), ((E82*D82)+P82), "")</f>
        <v/>
      </c>
      <c r="R91" s="44">
        <f>IF(AND( C82="Buy", ISBLANK(W82), B82&lt;&gt;"DIV", NOW()-A82 &lt; 365), D82, "")</f>
        <v/>
      </c>
      <c r="S91" s="46">
        <f>IF(AND( C82="Buy", ISBLANK(W82), B82&lt;&gt;"DIV", NOW()-A82 &gt; 365), T82/sum(F82:I82), "")</f>
        <v/>
      </c>
      <c r="T91" s="50">
        <f>IF(AND( C82="Buy", ISBLANK(W82), B82&lt;&gt;"DIV", NOW()-A82 &gt; 365), (1-Index!$F$2*2)*((J82*D82)-(E82*D82)), "")</f>
        <v/>
      </c>
      <c r="U91" s="50">
        <f>IF(AND( C82="Buy", ISBLANK(W82), B82&lt;&gt;"DIV", NOW()-A82 &gt; 365), ((E82*D82)+T82), "")</f>
        <v/>
      </c>
      <c r="V91" s="50">
        <f>IF(AND( C82="Buy", ISBLANK(W82), B82&lt;&gt;"DIV", NOW()-A82 &gt; 365), D82, "")</f>
        <v/>
      </c>
      <c r="W91" s="57" t="n">
        <v>501.9024</v>
      </c>
      <c r="X91" s="58" t="n">
        <v>45565</v>
      </c>
      <c r="Y91" s="51" t="n">
        <v>0.07896950927</v>
      </c>
      <c r="Z91" s="52" t="n">
        <v>929.2557</v>
      </c>
      <c r="AA91" s="52" t="n">
        <v>12534.3657</v>
      </c>
      <c r="AB91" s="53" t="n">
        <v>25</v>
      </c>
      <c r="AC91" s="54">
        <f>if(B82="DIV", F82,"")</f>
        <v/>
      </c>
      <c r="AD91" s="49" t="n"/>
      <c r="AE91" s="55" t="n"/>
    </row>
    <row r="92">
      <c r="A92" s="38" t="n">
        <v>43312</v>
      </c>
      <c r="B92" s="59" t="inlineStr">
        <is>
          <t>NSE</t>
        </is>
      </c>
      <c r="C92" s="59" t="inlineStr">
        <is>
          <t>Buy</t>
        </is>
      </c>
      <c r="D92" s="40" t="n">
        <v>10</v>
      </c>
      <c r="E92" s="41" t="n">
        <v>464.204</v>
      </c>
      <c r="F92" s="41" t="n">
        <v>4674.45454</v>
      </c>
      <c r="G92" s="59" t="n"/>
      <c r="H92" s="40" t="n">
        <v>4.60727</v>
      </c>
      <c r="I92" s="40" t="n">
        <v>27.8472</v>
      </c>
      <c r="J92" s="42">
        <f>Index!$C$2</f>
        <v/>
      </c>
      <c r="K92" s="43">
        <f>IF(AND( C83="Buy", ISBLANK(W83), B83&lt;&gt;"DIV"), L83/sum(F83:I83), "")</f>
        <v/>
      </c>
      <c r="L92" s="44">
        <f>IF(AND( C83="Buy", ISBLANK(W83), B83&lt;&gt;"DIV"), (1-Index!$F$2*2)*((J83*D83)-(E83*D83)), "")</f>
        <v/>
      </c>
      <c r="M92" s="44">
        <f>IF(AND( C83="Buy", ISBLANK(W83), B83&lt;&gt;"DIV"), ((E83*D83)+L83), "")</f>
        <v/>
      </c>
      <c r="N92" s="45">
        <f>IF(AND( C83="Buy", ISBLANK(W83), B83&lt;&gt;"DIV"), D83, "")</f>
        <v/>
      </c>
      <c r="O92" s="43">
        <f>IF(AND( C83="Buy", ISBLANK(W83), B83&lt;&gt;"DIV", NOW()-A83 &lt; 365), P83/sum(F83:I83), "")</f>
        <v/>
      </c>
      <c r="P92" s="44">
        <f>IF(AND( C83="Buy", ISBLANK(W83), B83&lt;&gt;"DIV", NOW()-A83 &lt; 365), (1-Index!$F$2*2)*((J83*D83)-(E83*D83)), "")</f>
        <v/>
      </c>
      <c r="Q92" s="44">
        <f>IF(AND( C83="Buy", ISBLANK(W83), B83&lt;&gt;"DIV", NOW()-A83 &lt; 365), ((E83*D83)+P83), "")</f>
        <v/>
      </c>
      <c r="R92" s="44">
        <f>IF(AND( C83="Buy", ISBLANK(W83), B83&lt;&gt;"DIV", NOW()-A83 &lt; 365), D83, "")</f>
        <v/>
      </c>
      <c r="S92" s="46">
        <f>IF(AND( C83="Buy", ISBLANK(W83), B83&lt;&gt;"DIV", NOW()-A83 &gt; 365), T83/sum(F83:I83), "")</f>
        <v/>
      </c>
      <c r="T92" s="50">
        <f>IF(AND( C83="Buy", ISBLANK(W83), B83&lt;&gt;"DIV", NOW()-A83 &gt; 365), (1-Index!$F$2*2)*((J83*D83)-(E83*D83)), "")</f>
        <v/>
      </c>
      <c r="U92" s="50">
        <f>IF(AND( C83="Buy", ISBLANK(W83), B83&lt;&gt;"DIV", NOW()-A83 &gt; 365), ((E83*D83)+T83), "")</f>
        <v/>
      </c>
      <c r="V92" s="50">
        <f>IF(AND( C83="Buy", ISBLANK(W83), B83&lt;&gt;"DIV", NOW()-A83 &gt; 365), D83, "")</f>
        <v/>
      </c>
      <c r="W92" s="57" t="n">
        <v>511.707333</v>
      </c>
      <c r="X92" s="58" t="n">
        <v>45565</v>
      </c>
      <c r="Y92" s="51" t="n">
        <v>0.09950964898</v>
      </c>
      <c r="Z92" s="52" t="n">
        <v>468.3828634</v>
      </c>
      <c r="AA92" s="52" t="n">
        <v>5110.422863</v>
      </c>
      <c r="AB92" s="53" t="n">
        <v>10</v>
      </c>
      <c r="AC92" s="54">
        <f>if(B83="DIV", F83,"")</f>
        <v/>
      </c>
      <c r="AD92" s="49" t="n"/>
      <c r="AE92" s="55" t="n"/>
    </row>
    <row r="93">
      <c r="A93" s="38" t="n">
        <v>43311</v>
      </c>
      <c r="B93" s="59" t="inlineStr">
        <is>
          <t>DIV</t>
        </is>
      </c>
      <c r="C93" s="59" t="inlineStr">
        <is>
          <t>Buy</t>
        </is>
      </c>
      <c r="D93" s="40" t="n">
        <v>20</v>
      </c>
      <c r="E93" s="41" t="n">
        <v>6</v>
      </c>
      <c r="F93" s="41" t="n">
        <v>120</v>
      </c>
      <c r="G93" s="59" t="inlineStr">
        <is>
          <t>Dividend of Rs.6.0000/- per share on 30-JUL-2018</t>
        </is>
      </c>
      <c r="H93" s="40" t="n">
        <v>0</v>
      </c>
      <c r="I93" s="40" t="n">
        <v>0</v>
      </c>
      <c r="J93" s="42">
        <f>Index!$C$2</f>
        <v/>
      </c>
      <c r="K93" s="43">
        <f>IF(AND( C84="Buy", ISBLANK(W84), B84&lt;&gt;"DIV"), L84/sum(F84:I84), "")</f>
        <v/>
      </c>
      <c r="L93" s="44">
        <f>IF(AND( C84="Buy", ISBLANK(W84), B84&lt;&gt;"DIV"), (1-Index!$F$2*2)*((J84*D84)-(E84*D84)), "")</f>
        <v/>
      </c>
      <c r="M93" s="44">
        <f>IF(AND( C84="Buy", ISBLANK(W84), B84&lt;&gt;"DIV"), ((E84*D84)+L84), "")</f>
        <v/>
      </c>
      <c r="N93" s="45">
        <f>IF(AND( C84="Buy", ISBLANK(W84), B84&lt;&gt;"DIV"), D84, "")</f>
        <v/>
      </c>
      <c r="O93" s="43">
        <f>IF(AND( C84="Buy", ISBLANK(W84), B84&lt;&gt;"DIV", NOW()-A84 &lt; 365), P84/sum(F84:I84), "")</f>
        <v/>
      </c>
      <c r="P93" s="44">
        <f>IF(AND( C84="Buy", ISBLANK(W84), B84&lt;&gt;"DIV", NOW()-A84 &lt; 365), (1-Index!$F$2*2)*((J84*D84)-(E84*D84)), "")</f>
        <v/>
      </c>
      <c r="Q93" s="44">
        <f>IF(AND( C84="Buy", ISBLANK(W84), B84&lt;&gt;"DIV", NOW()-A84 &lt; 365), ((E84*D84)+P84), "")</f>
        <v/>
      </c>
      <c r="R93" s="44">
        <f>IF(AND( C84="Buy", ISBLANK(W84), B84&lt;&gt;"DIV", NOW()-A84 &lt; 365), D84, "")</f>
        <v/>
      </c>
      <c r="S93" s="46">
        <f>IF(AND( C84="Buy", ISBLANK(W84), B84&lt;&gt;"DIV", NOW()-A84 &gt; 365), T84/sum(F84:I84), "")</f>
        <v/>
      </c>
      <c r="T93" s="50">
        <f>IF(AND( C84="Buy", ISBLANK(W84), B84&lt;&gt;"DIV", NOW()-A84 &gt; 365), (1-Index!$F$2*2)*((J84*D84)-(E84*D84)), "")</f>
        <v/>
      </c>
      <c r="U93" s="50">
        <f>IF(AND( C84="Buy", ISBLANK(W84), B84&lt;&gt;"DIV", NOW()-A84 &gt; 365), ((E84*D84)+T84), "")</f>
        <v/>
      </c>
      <c r="V93" s="50">
        <f>IF(AND( C84="Buy", ISBLANK(W84), B84&lt;&gt;"DIV", NOW()-A84 &gt; 365), D84, "")</f>
        <v/>
      </c>
      <c r="W93" s="60" t="n"/>
      <c r="X93" s="50" t="n"/>
      <c r="Y93" s="46">
        <f>IF(AND( C84="Buy", W84&lt;&gt;"", AA84&lt;&gt;"", B84&lt;&gt;"DIV"), Z84/sum(F84:I84), "")</f>
        <v/>
      </c>
      <c r="Z93" s="50" t="n"/>
      <c r="AA93" s="50" t="n"/>
      <c r="AB93" s="48" t="n"/>
      <c r="AC93" s="44">
        <f>if(B84="DIV", F84,"")</f>
        <v/>
      </c>
      <c r="AD93" s="49" t="n"/>
    </row>
    <row r="94">
      <c r="A94" s="38" t="n">
        <v>43307</v>
      </c>
      <c r="B94" s="59" t="inlineStr">
        <is>
          <t>NSE</t>
        </is>
      </c>
      <c r="C94" s="59" t="inlineStr">
        <is>
          <t>Buy</t>
        </is>
      </c>
      <c r="D94" s="40" t="n">
        <v>20</v>
      </c>
      <c r="E94" s="41" t="n">
        <v>455.113</v>
      </c>
      <c r="F94" s="41" t="n">
        <v>9166.440000000001</v>
      </c>
      <c r="G94" s="59" t="n"/>
      <c r="H94" s="40" t="n">
        <v>9.17</v>
      </c>
      <c r="I94" s="40" t="n">
        <v>54.97</v>
      </c>
      <c r="J94" s="42">
        <f>Index!$C$2</f>
        <v/>
      </c>
      <c r="K94" s="43">
        <f>IF(AND( C85="Buy", ISBLANK(W85), B85&lt;&gt;"DIV"), L85/sum(F85:I85), "")</f>
        <v/>
      </c>
      <c r="L94" s="44">
        <f>IF(AND( C85="Buy", ISBLANK(W85), B85&lt;&gt;"DIV"), (1-Index!$F$2*2)*((J85*D85)-(E85*D85)), "")</f>
        <v/>
      </c>
      <c r="M94" s="44">
        <f>IF(AND( C85="Buy", ISBLANK(W85), B85&lt;&gt;"DIV"), ((E85*D85)+L85), "")</f>
        <v/>
      </c>
      <c r="N94" s="45">
        <f>IF(AND( C85="Buy", ISBLANK(W85), B85&lt;&gt;"DIV"), D85, "")</f>
        <v/>
      </c>
      <c r="O94" s="43">
        <f>IF(AND( C85="Buy", ISBLANK(W85), B85&lt;&gt;"DIV", NOW()-A85 &lt; 365), P85/sum(F85:I85), "")</f>
        <v/>
      </c>
      <c r="P94" s="44">
        <f>IF(AND( C85="Buy", ISBLANK(W85), B85&lt;&gt;"DIV", NOW()-A85 &lt; 365), (1-Index!$F$2*2)*((J85*D85)-(E85*D85)), "")</f>
        <v/>
      </c>
      <c r="Q94" s="44">
        <f>IF(AND( C85="Buy", ISBLANK(W85), B85&lt;&gt;"DIV", NOW()-A85 &lt; 365), ((E85*D85)+P85), "")</f>
        <v/>
      </c>
      <c r="R94" s="44">
        <f>IF(AND( C85="Buy", ISBLANK(W85), B85&lt;&gt;"DIV", NOW()-A85 &lt; 365), D85, "")</f>
        <v/>
      </c>
      <c r="S94" s="46">
        <f>IF(AND( C85="Buy", ISBLANK(W85), B85&lt;&gt;"DIV", NOW()-A85 &gt; 365), T85/sum(F85:I85), "")</f>
        <v/>
      </c>
      <c r="T94" s="50">
        <f>IF(AND( C85="Buy", ISBLANK(W85), B85&lt;&gt;"DIV", NOW()-A85 &gt; 365), (1-Index!$F$2*2)*((J85*D85)-(E85*D85)), "")</f>
        <v/>
      </c>
      <c r="U94" s="50">
        <f>IF(AND( C85="Buy", ISBLANK(W85), B85&lt;&gt;"DIV", NOW()-A85 &gt; 365), ((E85*D85)+T85), "")</f>
        <v/>
      </c>
      <c r="V94" s="50">
        <f>IF(AND( C85="Buy", ISBLANK(W85), B85&lt;&gt;"DIV", NOW()-A85 &gt; 365), D85, "")</f>
        <v/>
      </c>
      <c r="W94" s="57" t="n">
        <v>511.707333</v>
      </c>
      <c r="X94" s="58" t="n">
        <v>45565</v>
      </c>
      <c r="Y94" s="51" t="n">
        <v>0.1209068387</v>
      </c>
      <c r="Z94" s="52" t="n">
        <v>1116.040247</v>
      </c>
      <c r="AA94" s="52" t="n">
        <v>10218.30025</v>
      </c>
      <c r="AB94" s="53" t="n">
        <v>20</v>
      </c>
      <c r="AC94" s="54">
        <f>if(B85="DIV", F85,"")</f>
        <v/>
      </c>
      <c r="AD94" s="49" t="n"/>
      <c r="AE94" s="55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W990" s="63" t="n"/>
      <c r="X990" s="63" t="n"/>
      <c r="Y990" s="63" t="n"/>
      <c r="Z990" s="63" t="n"/>
      <c r="AA990" s="63" t="n"/>
      <c r="AB990" s="63" t="n"/>
      <c r="AC990" s="63" t="n"/>
    </row>
  </sheetData>
  <autoFilter ref="$A$4:$AO$63"/>
  <mergeCells count="5">
    <mergeCell ref="W2:AC3"/>
    <mergeCell ref="S3:V3"/>
    <mergeCell ref="K2:V2"/>
    <mergeCell ref="K3:N3"/>
    <mergeCell ref="O3:R3"/>
  </mergeCells>
  <conditionalFormatting sqref="C1:C98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8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I28 J5:AE85 AF5:AP28">
    <cfRule type="expression" priority="5" dxfId="1">
      <formula>NOT(ISBLANK($W5))</formula>
    </cfRule>
  </conditionalFormatting>
  <conditionalFormatting sqref="K5:K85 O5:O85 S5:S8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NSE:AVANTIFEED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>
        <f>IFERROR(__xludf.DUMMYFUNCTION("GOOGLEFINANCE($C$1, ""price"")"),1191.25)</f>
        <v/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>
        <f>IFERROR(__xludf.DUMMYFUNCTION("GOOGLEFINANCE($C$1, ""high52"")"),1209.0)</f>
        <v/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>
        <f>IFERROR(__xludf.DUMMYFUNCTION("GOOGLEFINANCE($C$1, ""low52"")"),601.55)</f>
        <v/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5" t="inlineStr">
        <is>
          <t>UnRealised</t>
        </is>
      </c>
      <c r="C6" s="92" t="n"/>
      <c r="D6" s="92" t="n"/>
      <c r="E6" s="92" t="n"/>
      <c r="F6" s="92" t="n"/>
      <c r="G6" s="92" t="n"/>
      <c r="H6" s="92" t="n"/>
      <c r="I6" s="93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History'!$N$4:$N1012)</f>
        <v/>
      </c>
      <c r="D8" s="70" t="n"/>
      <c r="E8" s="75" t="inlineStr">
        <is>
          <t>ST Units</t>
        </is>
      </c>
      <c r="F8" s="74">
        <f>IFERROR(SUM('Trading History'!$R$4:$R1012), 0)</f>
        <v/>
      </c>
      <c r="G8" s="70" t="n"/>
      <c r="H8" s="76" t="inlineStr">
        <is>
          <t>LT Units</t>
        </is>
      </c>
      <c r="I8" s="74">
        <f>SUM('Trading History'!$V$4:$V1012)</f>
        <v/>
      </c>
      <c r="J8" s="70" t="n"/>
      <c r="K8" s="77" t="inlineStr">
        <is>
          <t>Units</t>
        </is>
      </c>
      <c r="L8" s="74">
        <f>SUM('Trading History'!$AB$4:$AB1012)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66" t="n"/>
      <c r="B9" s="78" t="inlineStr">
        <is>
          <t>Avg %</t>
        </is>
      </c>
      <c r="C9" s="68">
        <f>IFERROR(Index!C10/(Index!C8*Index!$C$2), 0)</f>
        <v/>
      </c>
      <c r="D9" s="70" t="n"/>
      <c r="E9" s="79" t="inlineStr">
        <is>
          <t>ST Avg %</t>
        </is>
      </c>
      <c r="F9" s="68">
        <f>IFERROR(Index!F10/(Index!F8*Index!$C$2), 0)</f>
        <v/>
      </c>
      <c r="G9" s="70" t="n"/>
      <c r="H9" s="80" t="inlineStr">
        <is>
          <t>LT Avg %</t>
        </is>
      </c>
      <c r="I9" s="68">
        <f>IFERROR(Index!I10/(Index!I8*Index!$C$2), 0)</f>
        <v/>
      </c>
      <c r="J9" s="70" t="n"/>
      <c r="K9" s="81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66" t="n"/>
      <c r="B10" s="78" t="inlineStr">
        <is>
          <t>Gain</t>
        </is>
      </c>
      <c r="C10" s="82">
        <f>SUM('Trading History'!$L$4:$L1012)</f>
        <v/>
      </c>
      <c r="D10" s="70" t="n"/>
      <c r="E10" s="79" t="inlineStr">
        <is>
          <t>ST Gain</t>
        </is>
      </c>
      <c r="F10" s="82">
        <f>SUM('Trading History'!$P$4:$P1012)</f>
        <v/>
      </c>
      <c r="G10" s="70" t="n"/>
      <c r="H10" s="80" t="inlineStr">
        <is>
          <t>LT Gain</t>
        </is>
      </c>
      <c r="I10" s="82">
        <f>SUM('Trading History'!$T$4:$T1012)</f>
        <v/>
      </c>
      <c r="J10" s="70" t="n"/>
      <c r="K10" s="81" t="inlineStr">
        <is>
          <t>Gain</t>
        </is>
      </c>
      <c r="L10" s="82">
        <f>SUM('Trading History'!$Z$4:$Z1012)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66" t="n"/>
      <c r="B11" s="78" t="inlineStr">
        <is>
          <t>Invested</t>
        </is>
      </c>
      <c r="C11" s="82">
        <f>Index!C12-Index!C10</f>
        <v/>
      </c>
      <c r="D11" s="70" t="n"/>
      <c r="E11" s="79" t="inlineStr">
        <is>
          <t>ST Invested</t>
        </is>
      </c>
      <c r="F11" s="82">
        <f>Index!F12-Index!F10</f>
        <v/>
      </c>
      <c r="G11" s="70" t="n"/>
      <c r="H11" s="80" t="inlineStr">
        <is>
          <t>LT Invested</t>
        </is>
      </c>
      <c r="I11" s="82">
        <f>Index!I12-Index!I10</f>
        <v/>
      </c>
      <c r="J11" s="70" t="n"/>
      <c r="K11" s="81" t="inlineStr">
        <is>
          <t>Invested</t>
        </is>
      </c>
      <c r="L11" s="82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66" t="n"/>
      <c r="B12" s="78" t="inlineStr">
        <is>
          <t>Gross</t>
        </is>
      </c>
      <c r="C12" s="82">
        <f>SUM('Trading History'!$M$4:$M1012)</f>
        <v/>
      </c>
      <c r="D12" s="70" t="n"/>
      <c r="E12" s="79" t="inlineStr">
        <is>
          <t>ST Gross</t>
        </is>
      </c>
      <c r="F12" s="82">
        <f>SUM('Trading History'!$Q$4:$Q1012)</f>
        <v/>
      </c>
      <c r="G12" s="70" t="n"/>
      <c r="H12" s="80" t="inlineStr">
        <is>
          <t>LT Gross</t>
        </is>
      </c>
      <c r="I12" s="82">
        <f>SUM('Trading History'!$U$4:$U1012)</f>
        <v/>
      </c>
      <c r="J12" s="70" t="n"/>
      <c r="K12" s="81" t="inlineStr">
        <is>
          <t>Gross</t>
        </is>
      </c>
      <c r="L12" s="82">
        <f>SUM('Trading History'!$AA$4:$AA1012)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66" t="n"/>
      <c r="B13" s="66" t="n"/>
      <c r="C13" s="66" t="n"/>
      <c r="D13" s="66" t="n"/>
      <c r="E13" s="66" t="n"/>
      <c r="F13" s="66" t="n"/>
      <c r="G13" s="66" t="n"/>
      <c r="H13" s="66" t="n"/>
      <c r="I13" s="66" t="n"/>
      <c r="J13" s="66" t="n"/>
      <c r="K13" s="81" t="inlineStr">
        <is>
          <t>Dividends</t>
        </is>
      </c>
      <c r="L13" s="82">
        <f>SUMIF('Trading History'!$B27:$B1012,"DIV",'Trading History'!$AC$4:$AC1012)</f>
        <v/>
      </c>
    </row>
    <row r="14">
      <c r="A14" s="66" t="n"/>
      <c r="B14" s="66" t="n"/>
      <c r="C14" s="66" t="n"/>
      <c r="D14" s="66" t="n"/>
      <c r="E14" s="66" t="n"/>
      <c r="F14" s="66" t="n"/>
      <c r="G14" s="66" t="n"/>
      <c r="H14" s="66" t="n"/>
      <c r="I14" s="66" t="n"/>
      <c r="J14" s="66" t="n"/>
      <c r="K14" s="66" t="n"/>
      <c r="L14" s="66" t="n"/>
    </row>
    <row r="15">
      <c r="A15" s="83" t="n">
        <v>0.5</v>
      </c>
      <c r="B15" s="73" t="inlineStr">
        <is>
          <t>Units</t>
        </is>
      </c>
      <c r="C15" s="74">
        <f>SUMIFS('Trading History'!$N$4:$N1012, 'Trading History'!$K$4:$K1012, CONCAT("&gt;", $A15))</f>
        <v/>
      </c>
      <c r="D15" s="70" t="n"/>
      <c r="E15" s="75" t="inlineStr">
        <is>
          <t>ST Units</t>
        </is>
      </c>
      <c r="F15" s="74">
        <f>IFERROR(SUMIFS('Trading History'!$R$4:$R1012, 'Trading History'!$O$4:$O1012, CONCAT("&gt;", $A15)), 0)</f>
        <v/>
      </c>
      <c r="G15" s="70" t="n"/>
      <c r="H15" s="76" t="inlineStr">
        <is>
          <t>LT Units</t>
        </is>
      </c>
      <c r="I15" s="74">
        <f>SUMIFS('Trading History'!$V$4:$V1012, 'Trading History'!$S$4:$S1012, CONCAT("&gt;", $A15))</f>
        <v/>
      </c>
      <c r="J15" s="70" t="n"/>
      <c r="K15" s="77" t="inlineStr">
        <is>
          <t>Units</t>
        </is>
      </c>
      <c r="L15" s="74">
        <f>SUMIFS('Trading History'!$AB$4:$AB1012, 'Trading History'!$Y$4:$Y1012,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8" t="inlineStr">
        <is>
          <t>Avg %</t>
        </is>
      </c>
      <c r="C16" s="68">
        <f>IFERROR(Index!C17/(Index!C15*Index!$C$2), 0)</f>
        <v/>
      </c>
      <c r="D16" s="70" t="n"/>
      <c r="E16" s="79" t="inlineStr">
        <is>
          <t>ST Avg %</t>
        </is>
      </c>
      <c r="F16" s="68">
        <f>IFERROR(Index!F17/(Index!F15*Index!$C$2), 0)</f>
        <v/>
      </c>
      <c r="G16" s="70" t="n"/>
      <c r="H16" s="80" t="inlineStr">
        <is>
          <t>LT Avg %</t>
        </is>
      </c>
      <c r="I16" s="68">
        <f>IFERROR(Index!I17/(Index!I15*Index!$C$2), 0)</f>
        <v/>
      </c>
      <c r="J16" s="70" t="n"/>
      <c r="K16" s="81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8" t="inlineStr">
        <is>
          <t>Gain</t>
        </is>
      </c>
      <c r="C17" s="82">
        <f>SUMIFS('Trading History'!$L$4:$L1012, 'Trading History'!$K$4:$K1012, CONCAT("&gt;", $A15))</f>
        <v/>
      </c>
      <c r="D17" s="70" t="n"/>
      <c r="E17" s="79" t="inlineStr">
        <is>
          <t>ST Gain</t>
        </is>
      </c>
      <c r="F17" s="82">
        <f>SUMIFS('Trading History'!$P$4:$P1012, 'Trading History'!$O$4:$O1012, CONCAT("&gt;", $A15))</f>
        <v/>
      </c>
      <c r="G17" s="70" t="n"/>
      <c r="H17" s="80" t="inlineStr">
        <is>
          <t>LT Gain</t>
        </is>
      </c>
      <c r="I17" s="82">
        <f>SUMIFS('Trading History'!$T$4:$T1012, 'Trading History'!$S$4:$S1012, CONCAT("&gt;", $A15))</f>
        <v/>
      </c>
      <c r="J17" s="70" t="n"/>
      <c r="K17" s="81" t="inlineStr">
        <is>
          <t>Gain</t>
        </is>
      </c>
      <c r="L17" s="82">
        <f>SUMIFS('Trading History'!$Z$4:$Z1012, 'Trading History'!$Y$4:$Y1012,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8" t="inlineStr">
        <is>
          <t>Invested</t>
        </is>
      </c>
      <c r="C18" s="82">
        <f>Index!C19-Index!C17</f>
        <v/>
      </c>
      <c r="D18" s="70" t="n"/>
      <c r="E18" s="79" t="inlineStr">
        <is>
          <t>ST Invested</t>
        </is>
      </c>
      <c r="F18" s="82">
        <f>Index!F19-Index!F17</f>
        <v/>
      </c>
      <c r="G18" s="70" t="n"/>
      <c r="H18" s="80" t="inlineStr">
        <is>
          <t>LT Invested</t>
        </is>
      </c>
      <c r="I18" s="82">
        <f>Index!I19-Index!I17</f>
        <v/>
      </c>
      <c r="J18" s="70" t="n"/>
      <c r="K18" s="81" t="inlineStr">
        <is>
          <t>Invested</t>
        </is>
      </c>
      <c r="L18" s="82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8" t="inlineStr">
        <is>
          <t>Gross</t>
        </is>
      </c>
      <c r="C19" s="82">
        <f>SUMIFS('Trading History'!$M$4:$M1012, 'Trading History'!$K$4:$K1012, CONCAT("&gt;", $A15))</f>
        <v/>
      </c>
      <c r="D19" s="70" t="n"/>
      <c r="E19" s="79" t="inlineStr">
        <is>
          <t>ST Gross</t>
        </is>
      </c>
      <c r="F19" s="82">
        <f>SUMIFS('Trading History'!$Q$4:$Q1012, 'Trading History'!$O$4:$O1012, CONCAT("&gt;", $A15))</f>
        <v/>
      </c>
      <c r="G19" s="70" t="n"/>
      <c r="H19" s="80" t="inlineStr">
        <is>
          <t>LT Gross</t>
        </is>
      </c>
      <c r="I19" s="82">
        <f>SUMIFS('Trading History'!$U$4:$U1012, 'Trading History'!$S$4:$S1012, CONCAT("&gt;", $A15))</f>
        <v/>
      </c>
      <c r="J19" s="70" t="n"/>
      <c r="K19" s="81" t="inlineStr">
        <is>
          <t>Gross</t>
        </is>
      </c>
      <c r="L19" s="82">
        <f>SUMIFS('Trading History'!$AA$4:$AA1012, 'Trading History'!$Y$4:$Y1012,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</row>
    <row r="22">
      <c r="A22" s="83" t="n">
        <v>0.45</v>
      </c>
      <c r="B22" s="73" t="inlineStr">
        <is>
          <t>Units</t>
        </is>
      </c>
      <c r="C22" s="74">
        <f>SUMIFS('Trading History'!$N$4:$N1012, 'Trading History'!$K$4:$K1012, CONCAT("&gt;", $A22))</f>
        <v/>
      </c>
      <c r="D22" s="70" t="n"/>
      <c r="E22" s="75" t="inlineStr">
        <is>
          <t>ST Units</t>
        </is>
      </c>
      <c r="F22" s="74">
        <f>IFERROR(SUMIFS('Trading History'!$R$4:$R1012, 'Trading History'!$O$4:$O1012, CONCAT("&gt;", $A22)), 0)</f>
        <v/>
      </c>
      <c r="G22" s="70" t="n"/>
      <c r="H22" s="76" t="inlineStr">
        <is>
          <t>LT Units</t>
        </is>
      </c>
      <c r="I22" s="74">
        <f>SUMIFS('Trading History'!$V$4:$V1012, 'Trading History'!$S$4:$S1012, CONCAT("&gt;", $A22))</f>
        <v/>
      </c>
      <c r="J22" s="70" t="n"/>
      <c r="K22" s="77" t="inlineStr">
        <is>
          <t>Units</t>
        </is>
      </c>
      <c r="L22" s="74">
        <f>SUMIFS('Trading History'!$AB$4:$AB1012, 'Trading History'!$Y$4:$Y1012,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8" t="inlineStr">
        <is>
          <t>Avg %</t>
        </is>
      </c>
      <c r="C23" s="68">
        <f>IFERROR(Index!C24/(Index!C22*Index!$C$2), 0)</f>
        <v/>
      </c>
      <c r="D23" s="70" t="n"/>
      <c r="E23" s="79" t="inlineStr">
        <is>
          <t>ST Avg %</t>
        </is>
      </c>
      <c r="F23" s="68">
        <f>IFERROR(Index!F24/(Index!F22*Index!$C$2), 0)</f>
        <v/>
      </c>
      <c r="G23" s="70" t="n"/>
      <c r="H23" s="80" t="inlineStr">
        <is>
          <t>LT Avg %</t>
        </is>
      </c>
      <c r="I23" s="68">
        <f>IFERROR(Index!I24/(Index!I22*Index!$C$2), 0)</f>
        <v/>
      </c>
      <c r="J23" s="70" t="n"/>
      <c r="K23" s="81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8" t="inlineStr">
        <is>
          <t>Gain</t>
        </is>
      </c>
      <c r="C24" s="82">
        <f>SUMIFS('Trading History'!$L$4:$L1012, 'Trading History'!$K$4:$K1012, CONCAT("&gt;", $A22))</f>
        <v/>
      </c>
      <c r="D24" s="70" t="n"/>
      <c r="E24" s="79" t="inlineStr">
        <is>
          <t>ST Gain</t>
        </is>
      </c>
      <c r="F24" s="82">
        <f>SUMIFS('Trading History'!$P$4:$P1012, 'Trading History'!$O$4:$O1012, CONCAT("&gt;", $A22))</f>
        <v/>
      </c>
      <c r="G24" s="70" t="n"/>
      <c r="H24" s="80" t="inlineStr">
        <is>
          <t>LT Gain</t>
        </is>
      </c>
      <c r="I24" s="82">
        <f>SUMIFS('Trading History'!$T$4:$T1012, 'Trading History'!$S$4:$S1012, CONCAT("&gt;", $A22))</f>
        <v/>
      </c>
      <c r="J24" s="70" t="n"/>
      <c r="K24" s="81" t="inlineStr">
        <is>
          <t>Gain</t>
        </is>
      </c>
      <c r="L24" s="82">
        <f>SUMIFS('Trading History'!$Z$4:$Z1012, 'Trading History'!$Y$4:$Y1012,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8" t="inlineStr">
        <is>
          <t>Invested</t>
        </is>
      </c>
      <c r="C25" s="82">
        <f>Index!C26-Index!C24</f>
        <v/>
      </c>
      <c r="D25" s="70" t="n"/>
      <c r="E25" s="79" t="inlineStr">
        <is>
          <t>ST Invested</t>
        </is>
      </c>
      <c r="F25" s="82">
        <f>Index!F26-Index!F24</f>
        <v/>
      </c>
      <c r="G25" s="70" t="n"/>
      <c r="H25" s="80" t="inlineStr">
        <is>
          <t>LT Invested</t>
        </is>
      </c>
      <c r="I25" s="82">
        <f>Index!I26-Index!I24</f>
        <v/>
      </c>
      <c r="J25" s="70" t="n"/>
      <c r="K25" s="81" t="inlineStr">
        <is>
          <t>Invested</t>
        </is>
      </c>
      <c r="L25" s="82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8" t="inlineStr">
        <is>
          <t>Gross</t>
        </is>
      </c>
      <c r="C26" s="82">
        <f>SUMIFS('Trading History'!$M$4:$M1012, 'Trading History'!$K$4:$K1012, CONCAT("&gt;", $A22))</f>
        <v/>
      </c>
      <c r="D26" s="70" t="n"/>
      <c r="E26" s="79" t="inlineStr">
        <is>
          <t>ST Gross</t>
        </is>
      </c>
      <c r="F26" s="82">
        <f>SUMIFS('Trading History'!$Q$4:$Q1012, 'Trading History'!$O$4:$O1012, CONCAT("&gt;", $A22))</f>
        <v/>
      </c>
      <c r="G26" s="70" t="n"/>
      <c r="H26" s="80" t="inlineStr">
        <is>
          <t>LT Gross</t>
        </is>
      </c>
      <c r="I26" s="82">
        <f>SUMIFS('Trading History'!$U$4:$U1012, 'Trading History'!$S$4:$S1012, CONCAT("&gt;", $A22))</f>
        <v/>
      </c>
      <c r="J26" s="70" t="n"/>
      <c r="K26" s="81" t="inlineStr">
        <is>
          <t>Gross</t>
        </is>
      </c>
      <c r="L26" s="82">
        <f>SUMIFS('Trading History'!$AA$4:$AA1012, 'Trading History'!$Y$4:$Y1012,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83" t="n">
        <v>0.4</v>
      </c>
      <c r="B29" s="73" t="inlineStr">
        <is>
          <t>Units</t>
        </is>
      </c>
      <c r="C29" s="74">
        <f>SUMIFS('Trading History'!$N$4:$N1012, 'Trading History'!$K$4:$K1012, CONCAT("&gt;", $A29))</f>
        <v/>
      </c>
      <c r="D29" s="70" t="n"/>
      <c r="E29" s="75" t="inlineStr">
        <is>
          <t>ST Units</t>
        </is>
      </c>
      <c r="F29" s="74">
        <f>IFERROR(SUMIFS('Trading History'!$R$4:$R1012, 'Trading History'!$O$4:$O1012, CONCAT("&gt;", $A29)), 0)</f>
        <v/>
      </c>
      <c r="G29" s="70" t="n"/>
      <c r="H29" s="76" t="inlineStr">
        <is>
          <t>LT Units</t>
        </is>
      </c>
      <c r="I29" s="74">
        <f>SUMIFS('Trading History'!$V$4:$V1012, 'Trading History'!$S$4:$S1012, CONCAT("&gt;", $A29))</f>
        <v/>
      </c>
      <c r="J29" s="70" t="n"/>
      <c r="K29" s="77" t="inlineStr">
        <is>
          <t>Units</t>
        </is>
      </c>
      <c r="L29" s="74">
        <f>SUMIFS('Trading History'!$AB$4:$AB1012, 'Trading History'!$Y$4:$Y1012,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8" t="inlineStr">
        <is>
          <t>Avg %</t>
        </is>
      </c>
      <c r="C30" s="68">
        <f>IFERROR(Index!C31/(Index!C29*Index!$C$2), 0)</f>
        <v/>
      </c>
      <c r="D30" s="70" t="n"/>
      <c r="E30" s="79" t="inlineStr">
        <is>
          <t>ST Avg %</t>
        </is>
      </c>
      <c r="F30" s="68">
        <f>IFERROR(Index!F31/(Index!F29*Index!$C$2), 0)</f>
        <v/>
      </c>
      <c r="G30" s="70" t="n"/>
      <c r="H30" s="80" t="inlineStr">
        <is>
          <t>LT Avg %</t>
        </is>
      </c>
      <c r="I30" s="68">
        <f>IFERROR(Index!I31/(Index!I29*Index!$C$2), 0)</f>
        <v/>
      </c>
      <c r="J30" s="70" t="n"/>
      <c r="K30" s="81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8" t="inlineStr">
        <is>
          <t>Gain</t>
        </is>
      </c>
      <c r="C31" s="82">
        <f>SUMIFS('Trading History'!$L$4:$L1012, 'Trading History'!$K$4:$K1012, CONCAT("&gt;", $A29))</f>
        <v/>
      </c>
      <c r="D31" s="70" t="n"/>
      <c r="E31" s="79" t="inlineStr">
        <is>
          <t>ST Gain</t>
        </is>
      </c>
      <c r="F31" s="82">
        <f>SUMIFS('Trading History'!$P$4:$P1012, 'Trading History'!$O$4:$O1012, CONCAT("&gt;", $A29))</f>
        <v/>
      </c>
      <c r="G31" s="70" t="n"/>
      <c r="H31" s="80" t="inlineStr">
        <is>
          <t>LT Gain</t>
        </is>
      </c>
      <c r="I31" s="82">
        <f>SUMIFS('Trading History'!$T$4:$T1012, 'Trading History'!$S$4:$S1012, CONCAT("&gt;", $A29))</f>
        <v/>
      </c>
      <c r="J31" s="70" t="n"/>
      <c r="K31" s="81" t="inlineStr">
        <is>
          <t>Gain</t>
        </is>
      </c>
      <c r="L31" s="82">
        <f>SUMIFS('Trading History'!$Z$4:$Z1012, 'Trading History'!$Y$4:$Y1012,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8" t="inlineStr">
        <is>
          <t>Invested</t>
        </is>
      </c>
      <c r="C32" s="82">
        <f>Index!C33-Index!C31</f>
        <v/>
      </c>
      <c r="D32" s="70" t="n"/>
      <c r="E32" s="79" t="inlineStr">
        <is>
          <t>ST Invested</t>
        </is>
      </c>
      <c r="F32" s="82">
        <f>Index!F33-Index!F31</f>
        <v/>
      </c>
      <c r="G32" s="70" t="n"/>
      <c r="H32" s="80" t="inlineStr">
        <is>
          <t>LT Invested</t>
        </is>
      </c>
      <c r="I32" s="82">
        <f>Index!I33-Index!I31</f>
        <v/>
      </c>
      <c r="J32" s="70" t="n"/>
      <c r="K32" s="81" t="inlineStr">
        <is>
          <t>Invested</t>
        </is>
      </c>
      <c r="L32" s="82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8" t="inlineStr">
        <is>
          <t>Gross</t>
        </is>
      </c>
      <c r="C33" s="82">
        <f>SUMIFS('Trading History'!$M$4:$M1012, 'Trading History'!$K$4:$K1012, CONCAT("&gt;", $A29))</f>
        <v/>
      </c>
      <c r="D33" s="70" t="n"/>
      <c r="E33" s="79" t="inlineStr">
        <is>
          <t>ST Gross</t>
        </is>
      </c>
      <c r="F33" s="82">
        <f>SUMIFS('Trading History'!$Q$4:$Q1012, 'Trading History'!$O$4:$O1012, CONCAT("&gt;", $A29))</f>
        <v/>
      </c>
      <c r="G33" s="70" t="n"/>
      <c r="H33" s="80" t="inlineStr">
        <is>
          <t>LT Gross</t>
        </is>
      </c>
      <c r="I33" s="82">
        <f>SUMIFS('Trading History'!$U$4:$U1012, 'Trading History'!$S$4:$S1012, CONCAT("&gt;", $A29))</f>
        <v/>
      </c>
      <c r="J33" s="70" t="n"/>
      <c r="K33" s="81" t="inlineStr">
        <is>
          <t>Gross</t>
        </is>
      </c>
      <c r="L33" s="82">
        <f>SUMIFS('Trading History'!$AA$4:$AA1012, 'Trading History'!$Y$4:$Y1012,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83" t="n">
        <v>0.35</v>
      </c>
      <c r="B36" s="73" t="inlineStr">
        <is>
          <t>Units</t>
        </is>
      </c>
      <c r="C36" s="74">
        <f>SUMIFS('Trading History'!$N$4:$N1012, 'Trading History'!$K$4:$K1012, CONCAT("&gt;", $A36))</f>
        <v/>
      </c>
      <c r="D36" s="70" t="n"/>
      <c r="E36" s="75" t="inlineStr">
        <is>
          <t>ST Units</t>
        </is>
      </c>
      <c r="F36" s="74">
        <f>IFERROR(SUMIFS('Trading History'!$R$4:$R1012, 'Trading History'!$O$4:$O1012, CONCAT("&gt;", $A36)), 0)</f>
        <v/>
      </c>
      <c r="G36" s="70" t="n"/>
      <c r="H36" s="76" t="inlineStr">
        <is>
          <t>LT Units</t>
        </is>
      </c>
      <c r="I36" s="74">
        <f>SUMIFS('Trading History'!$V$4:$V1012, 'Trading History'!$S$4:$S1012, CONCAT("&gt;", $A36))</f>
        <v/>
      </c>
      <c r="J36" s="70" t="n"/>
      <c r="K36" s="77" t="inlineStr">
        <is>
          <t>Units</t>
        </is>
      </c>
      <c r="L36" s="74">
        <f>SUMIFS('Trading History'!$AB$4:$AB1012, 'Trading History'!$Y$4:$Y1012,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8" t="inlineStr">
        <is>
          <t>Avg %</t>
        </is>
      </c>
      <c r="C37" s="68">
        <f>IFERROR(Index!C38/(Index!C36*Index!$C$2), 0)</f>
        <v/>
      </c>
      <c r="D37" s="70" t="n"/>
      <c r="E37" s="79" t="inlineStr">
        <is>
          <t>ST Avg %</t>
        </is>
      </c>
      <c r="F37" s="68">
        <f>IFERROR(Index!F38/(Index!F36*Index!$C$2), 0)</f>
        <v/>
      </c>
      <c r="G37" s="70" t="n"/>
      <c r="H37" s="80" t="inlineStr">
        <is>
          <t>LT Avg %</t>
        </is>
      </c>
      <c r="I37" s="68">
        <f>IFERROR(Index!I38/(Index!I36*Index!$C$2), 0)</f>
        <v/>
      </c>
      <c r="J37" s="70" t="n"/>
      <c r="K37" s="81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8" t="inlineStr">
        <is>
          <t>Gain</t>
        </is>
      </c>
      <c r="C38" s="82">
        <f>SUMIFS('Trading History'!$L$4:$L1012, 'Trading History'!$K$4:$K1012, CONCAT("&gt;", $A36))</f>
        <v/>
      </c>
      <c r="D38" s="70" t="n"/>
      <c r="E38" s="79" t="inlineStr">
        <is>
          <t>ST Gain</t>
        </is>
      </c>
      <c r="F38" s="82">
        <f>SUMIFS('Trading History'!$P$4:$P1012, 'Trading History'!$O$4:$O1012, CONCAT("&gt;", $A36))</f>
        <v/>
      </c>
      <c r="G38" s="70" t="n"/>
      <c r="H38" s="80" t="inlineStr">
        <is>
          <t>LT Gain</t>
        </is>
      </c>
      <c r="I38" s="82">
        <f>SUMIFS('Trading History'!$T$4:$T1012, 'Trading History'!$S$4:$S1012, CONCAT("&gt;", $A36))</f>
        <v/>
      </c>
      <c r="J38" s="70" t="n"/>
      <c r="K38" s="81" t="inlineStr">
        <is>
          <t>Gain</t>
        </is>
      </c>
      <c r="L38" s="82">
        <f>SUMIFS('Trading History'!$Z$4:$Z1012, 'Trading History'!$Y$4:$Y1012,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8" t="inlineStr">
        <is>
          <t>Invested</t>
        </is>
      </c>
      <c r="C39" s="82">
        <f>Index!C40-Index!C38</f>
        <v/>
      </c>
      <c r="D39" s="70" t="n"/>
      <c r="E39" s="79" t="inlineStr">
        <is>
          <t>ST Invested</t>
        </is>
      </c>
      <c r="F39" s="82">
        <f>Index!F40-Index!F38</f>
        <v/>
      </c>
      <c r="G39" s="70" t="n"/>
      <c r="H39" s="80" t="inlineStr">
        <is>
          <t>LT Invested</t>
        </is>
      </c>
      <c r="I39" s="82">
        <f>Index!I40-Index!I38</f>
        <v/>
      </c>
      <c r="J39" s="70" t="n"/>
      <c r="K39" s="81" t="inlineStr">
        <is>
          <t>Invested</t>
        </is>
      </c>
      <c r="L39" s="82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8" t="inlineStr">
        <is>
          <t>Gross</t>
        </is>
      </c>
      <c r="C40" s="82">
        <f>SUMIFS('Trading History'!$M$4:$M1012, 'Trading History'!$K$4:$K1012, CONCAT("&gt;", $A36))</f>
        <v/>
      </c>
      <c r="D40" s="70" t="n"/>
      <c r="E40" s="79" t="inlineStr">
        <is>
          <t>ST Gross</t>
        </is>
      </c>
      <c r="F40" s="82">
        <f>SUMIFS('Trading History'!$Q$4:$Q1012, 'Trading History'!$O$4:$O1012, CONCAT("&gt;", $A36))</f>
        <v/>
      </c>
      <c r="G40" s="70" t="n"/>
      <c r="H40" s="80" t="inlineStr">
        <is>
          <t>LT Gross</t>
        </is>
      </c>
      <c r="I40" s="82">
        <f>SUMIFS('Trading History'!$U$4:$U1012, 'Trading History'!$S$4:$S1012, CONCAT("&gt;", $A36))</f>
        <v/>
      </c>
      <c r="J40" s="70" t="n"/>
      <c r="K40" s="81" t="inlineStr">
        <is>
          <t>Gross</t>
        </is>
      </c>
      <c r="L40" s="82">
        <f>SUMIFS('Trading History'!$AA$4:$AA1012, 'Trading History'!$Y$4:$Y1012,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83" t="n">
        <v>0.3</v>
      </c>
      <c r="B43" s="73" t="inlineStr">
        <is>
          <t>Units</t>
        </is>
      </c>
      <c r="C43" s="74">
        <f>SUMIFS('Trading History'!$N$4:$N1012, 'Trading History'!$K$4:$K1012, CONCAT("&gt;", $A43))</f>
        <v/>
      </c>
      <c r="D43" s="70" t="n"/>
      <c r="E43" s="75" t="inlineStr">
        <is>
          <t>ST Units</t>
        </is>
      </c>
      <c r="F43" s="74">
        <f>IFERROR(SUMIFS('Trading History'!$R$4:$R1012, 'Trading History'!$O$4:$O1012, CONCAT("&gt;", $A43)), 0)</f>
        <v/>
      </c>
      <c r="G43" s="70" t="n"/>
      <c r="H43" s="76" t="inlineStr">
        <is>
          <t>LT Units</t>
        </is>
      </c>
      <c r="I43" s="74">
        <f>SUMIFS('Trading History'!$V$4:$V1012, 'Trading History'!$S$4:$S1012, CONCAT("&gt;", $A43))</f>
        <v/>
      </c>
      <c r="J43" s="70" t="n"/>
      <c r="K43" s="77" t="inlineStr">
        <is>
          <t>Units</t>
        </is>
      </c>
      <c r="L43" s="74">
        <f>SUMIFS('Trading History'!$AB$4:$AB1012, 'Trading History'!$Y$4:$Y1012,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8" t="inlineStr">
        <is>
          <t>Avg %</t>
        </is>
      </c>
      <c r="C44" s="68">
        <f>IFERROR(Index!C45/(Index!C43*Index!$C$2), 0)</f>
        <v/>
      </c>
      <c r="D44" s="70" t="n"/>
      <c r="E44" s="79" t="inlineStr">
        <is>
          <t>ST Avg %</t>
        </is>
      </c>
      <c r="F44" s="68">
        <f>IFERROR(Index!F45/(Index!F43*Index!$C$2), 0)</f>
        <v/>
      </c>
      <c r="G44" s="70" t="n"/>
      <c r="H44" s="80" t="inlineStr">
        <is>
          <t>LT Avg %</t>
        </is>
      </c>
      <c r="I44" s="68">
        <f>IFERROR(Index!I45/(Index!I43*Index!$C$2), 0)</f>
        <v/>
      </c>
      <c r="J44" s="70" t="n"/>
      <c r="K44" s="81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8" t="inlineStr">
        <is>
          <t>Gain</t>
        </is>
      </c>
      <c r="C45" s="82">
        <f>SUMIFS('Trading History'!$L$4:$L1012, 'Trading History'!$K$4:$K1012, CONCAT("&gt;", $A43))</f>
        <v/>
      </c>
      <c r="D45" s="70" t="n"/>
      <c r="E45" s="79" t="inlineStr">
        <is>
          <t>ST Gain</t>
        </is>
      </c>
      <c r="F45" s="82">
        <f>SUMIFS('Trading History'!$P$4:$P1012, 'Trading History'!$O$4:$O1012, CONCAT("&gt;", $A43))</f>
        <v/>
      </c>
      <c r="G45" s="70" t="n"/>
      <c r="H45" s="80" t="inlineStr">
        <is>
          <t>LT Gain</t>
        </is>
      </c>
      <c r="I45" s="82">
        <f>SUMIFS('Trading History'!$T$4:$T1012, 'Trading History'!$S$4:$S1012, CONCAT("&gt;", $A43))</f>
        <v/>
      </c>
      <c r="J45" s="70" t="n"/>
      <c r="K45" s="81" t="inlineStr">
        <is>
          <t>Gain</t>
        </is>
      </c>
      <c r="L45" s="82">
        <f>SUMIFS('Trading History'!$Z$4:$Z1012, 'Trading History'!$Y$4:$Y1012,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8" t="inlineStr">
        <is>
          <t>Invested</t>
        </is>
      </c>
      <c r="C46" s="82">
        <f>Index!C47-Index!C45</f>
        <v/>
      </c>
      <c r="D46" s="70" t="n"/>
      <c r="E46" s="79" t="inlineStr">
        <is>
          <t>ST Invested</t>
        </is>
      </c>
      <c r="F46" s="82">
        <f>Index!F47-Index!F45</f>
        <v/>
      </c>
      <c r="G46" s="70" t="n"/>
      <c r="H46" s="80" t="inlineStr">
        <is>
          <t>LT Invested</t>
        </is>
      </c>
      <c r="I46" s="82">
        <f>Index!I47-Index!I45</f>
        <v/>
      </c>
      <c r="J46" s="70" t="n"/>
      <c r="K46" s="81" t="inlineStr">
        <is>
          <t>Invested</t>
        </is>
      </c>
      <c r="L46" s="82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8" t="inlineStr">
        <is>
          <t>Gross</t>
        </is>
      </c>
      <c r="C47" s="82">
        <f>SUMIFS('Trading History'!$M$4:$M1012, 'Trading History'!$K$4:$K1012, CONCAT("&gt;", $A43))</f>
        <v/>
      </c>
      <c r="D47" s="70" t="n"/>
      <c r="E47" s="79" t="inlineStr">
        <is>
          <t>ST Gross</t>
        </is>
      </c>
      <c r="F47" s="82">
        <f>SUMIFS('Trading History'!$Q$4:$Q1012, 'Trading History'!$O$4:$O1012, CONCAT("&gt;", $A43))</f>
        <v/>
      </c>
      <c r="G47" s="70" t="n"/>
      <c r="H47" s="80" t="inlineStr">
        <is>
          <t>LT Gross</t>
        </is>
      </c>
      <c r="I47" s="82">
        <f>SUMIFS('Trading History'!$U$4:$U1012, 'Trading History'!$S$4:$S1012, CONCAT("&gt;", $A43))</f>
        <v/>
      </c>
      <c r="J47" s="70" t="n"/>
      <c r="K47" s="81" t="inlineStr">
        <is>
          <t>Gross</t>
        </is>
      </c>
      <c r="L47" s="82">
        <f>SUMIFS('Trading History'!$AA$4:$AA1012, 'Trading History'!$Y$4:$Y1012,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83" t="n">
        <v>0.25</v>
      </c>
      <c r="B50" s="73" t="inlineStr">
        <is>
          <t>Units</t>
        </is>
      </c>
      <c r="C50" s="74">
        <f>SUMIFS('Trading History'!$N$4:$N1012, 'Trading History'!$K$4:$K1012, CONCAT("&gt;", $A50))</f>
        <v/>
      </c>
      <c r="D50" s="70" t="n"/>
      <c r="E50" s="75" t="inlineStr">
        <is>
          <t>ST Units</t>
        </is>
      </c>
      <c r="F50" s="74">
        <f>IFERROR(SUMIFS('Trading History'!$R$4:$R1012, 'Trading History'!$O$4:$O1012, CONCAT("&gt;", $A50)), 0)</f>
        <v/>
      </c>
      <c r="G50" s="70" t="n"/>
      <c r="H50" s="76" t="inlineStr">
        <is>
          <t>LT Units</t>
        </is>
      </c>
      <c r="I50" s="74">
        <f>SUMIFS('Trading History'!$V$4:$V1012, 'Trading History'!$S$4:$S1012, CONCAT("&gt;", $A50))</f>
        <v/>
      </c>
      <c r="J50" s="70" t="n"/>
      <c r="K50" s="77" t="inlineStr">
        <is>
          <t>Units</t>
        </is>
      </c>
      <c r="L50" s="74">
        <f>SUMIFS('Trading History'!$AB$4:$AB1012, 'Trading History'!$Y$4:$Y1012,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8" t="inlineStr">
        <is>
          <t>Avg %</t>
        </is>
      </c>
      <c r="C51" s="68">
        <f>IFERROR(Index!C52/(Index!C50*Index!$C$2), 0)</f>
        <v/>
      </c>
      <c r="D51" s="70" t="n"/>
      <c r="E51" s="79" t="inlineStr">
        <is>
          <t>ST Avg %</t>
        </is>
      </c>
      <c r="F51" s="68">
        <f>IFERROR(Index!F52/(Index!F50*Index!$C$2), 0)</f>
        <v/>
      </c>
      <c r="G51" s="70" t="n"/>
      <c r="H51" s="80" t="inlineStr">
        <is>
          <t>LT Avg %</t>
        </is>
      </c>
      <c r="I51" s="68">
        <f>IFERROR(Index!I52/(Index!I50*Index!$C$2), 0)</f>
        <v/>
      </c>
      <c r="J51" s="70" t="n"/>
      <c r="K51" s="81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8" t="inlineStr">
        <is>
          <t>Gain</t>
        </is>
      </c>
      <c r="C52" s="82">
        <f>SUMIFS('Trading History'!$L$4:$L1012, 'Trading History'!$K$4:$K1012, CONCAT("&gt;", $A50))</f>
        <v/>
      </c>
      <c r="D52" s="70" t="n"/>
      <c r="E52" s="79" t="inlineStr">
        <is>
          <t>ST Gain</t>
        </is>
      </c>
      <c r="F52" s="82">
        <f>SUMIFS('Trading History'!$P$4:$P1012, 'Trading History'!$O$4:$O1012, CONCAT("&gt;", $A50))</f>
        <v/>
      </c>
      <c r="G52" s="70" t="n"/>
      <c r="H52" s="80" t="inlineStr">
        <is>
          <t>LT Gain</t>
        </is>
      </c>
      <c r="I52" s="82">
        <f>SUMIFS('Trading History'!$T$4:$T1012, 'Trading History'!$S$4:$S1012, CONCAT("&gt;", $A50))</f>
        <v/>
      </c>
      <c r="J52" s="70" t="n"/>
      <c r="K52" s="81" t="inlineStr">
        <is>
          <t>Gain</t>
        </is>
      </c>
      <c r="L52" s="82">
        <f>SUMIFS('Trading History'!$Z$4:$Z1012, 'Trading History'!$Y$4:$Y1012,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8" t="inlineStr">
        <is>
          <t>Invested</t>
        </is>
      </c>
      <c r="C53" s="82">
        <f>Index!C54-Index!C52</f>
        <v/>
      </c>
      <c r="D53" s="70" t="n"/>
      <c r="E53" s="79" t="inlineStr">
        <is>
          <t>ST Invested</t>
        </is>
      </c>
      <c r="F53" s="82">
        <f>Index!F54-Index!F52</f>
        <v/>
      </c>
      <c r="G53" s="70" t="n"/>
      <c r="H53" s="80" t="inlineStr">
        <is>
          <t>LT Invested</t>
        </is>
      </c>
      <c r="I53" s="82">
        <f>Index!I54-Index!I52</f>
        <v/>
      </c>
      <c r="J53" s="70" t="n"/>
      <c r="K53" s="81" t="inlineStr">
        <is>
          <t>Invested</t>
        </is>
      </c>
      <c r="L53" s="82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8" t="inlineStr">
        <is>
          <t>Gross</t>
        </is>
      </c>
      <c r="C54" s="82">
        <f>SUMIFS('Trading History'!$M$4:$M1012, 'Trading History'!$K$4:$K1012, CONCAT("&gt;", $A50))</f>
        <v/>
      </c>
      <c r="D54" s="70" t="n"/>
      <c r="E54" s="79" t="inlineStr">
        <is>
          <t>ST Gross</t>
        </is>
      </c>
      <c r="F54" s="82">
        <f>SUMIFS('Trading History'!$Q$4:$Q1012, 'Trading History'!$O$4:$O1012, CONCAT("&gt;", $A50))</f>
        <v/>
      </c>
      <c r="G54" s="70" t="n"/>
      <c r="H54" s="80" t="inlineStr">
        <is>
          <t>LT Gross</t>
        </is>
      </c>
      <c r="I54" s="82">
        <f>SUMIFS('Trading History'!$U$4:$U1012, 'Trading History'!$S$4:$S1012, CONCAT("&gt;", $A50))</f>
        <v/>
      </c>
      <c r="J54" s="70" t="n"/>
      <c r="K54" s="81" t="inlineStr">
        <is>
          <t>Gross</t>
        </is>
      </c>
      <c r="L54" s="82">
        <f>SUMIFS('Trading History'!$AA$4:$AA1012, 'Trading History'!$Y$4:$Y1012,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83" t="n">
        <v>0.2</v>
      </c>
      <c r="B57" s="73" t="inlineStr">
        <is>
          <t>Units</t>
        </is>
      </c>
      <c r="C57" s="74">
        <f>SUMIFS('Trading History'!$N$4:$N1012, 'Trading History'!$K$4:$K1012, CONCAT("&gt;", $A57))</f>
        <v/>
      </c>
      <c r="D57" s="70" t="n"/>
      <c r="E57" s="75" t="inlineStr">
        <is>
          <t>ST Units</t>
        </is>
      </c>
      <c r="F57" s="74">
        <f>IFERROR(SUMIFS('Trading History'!$R$4:$R1012, 'Trading History'!$O$4:$O1012, CONCAT("&gt;", $A57)), 0)</f>
        <v/>
      </c>
      <c r="G57" s="70" t="n"/>
      <c r="H57" s="76" t="inlineStr">
        <is>
          <t>LT Units</t>
        </is>
      </c>
      <c r="I57" s="74">
        <f>SUMIFS('Trading History'!$V$4:$V1012, 'Trading History'!$S$4:$S1012, CONCAT("&gt;", $A57))</f>
        <v/>
      </c>
      <c r="J57" s="70" t="n"/>
      <c r="K57" s="77" t="inlineStr">
        <is>
          <t>Units</t>
        </is>
      </c>
      <c r="L57" s="74">
        <f>SUMIFS('Trading History'!$AB$4:$AB1012, 'Trading History'!$Y$4:$Y1012,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8" t="inlineStr">
        <is>
          <t>Avg %</t>
        </is>
      </c>
      <c r="C58" s="68">
        <f>IFERROR(Index!C59/(Index!C57*Index!$C$2), 0)</f>
        <v/>
      </c>
      <c r="D58" s="70" t="n"/>
      <c r="E58" s="79" t="inlineStr">
        <is>
          <t>ST Avg %</t>
        </is>
      </c>
      <c r="F58" s="68">
        <f>IFERROR(Index!F59/(Index!F57*Index!$C$2), 0)</f>
        <v/>
      </c>
      <c r="G58" s="70" t="n"/>
      <c r="H58" s="80" t="inlineStr">
        <is>
          <t>LT Avg %</t>
        </is>
      </c>
      <c r="I58" s="68">
        <f>IFERROR(Index!I59/(Index!I57*Index!$C$2), 0)</f>
        <v/>
      </c>
      <c r="J58" s="70" t="n"/>
      <c r="K58" s="81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8" t="inlineStr">
        <is>
          <t>Gain</t>
        </is>
      </c>
      <c r="C59" s="82">
        <f>SUMIFS('Trading History'!$L$4:$L1012, 'Trading History'!$K$4:$K1012, CONCAT("&gt;", $A57))</f>
        <v/>
      </c>
      <c r="D59" s="70" t="n"/>
      <c r="E59" s="79" t="inlineStr">
        <is>
          <t>ST Gain</t>
        </is>
      </c>
      <c r="F59" s="82">
        <f>SUMIFS('Trading History'!$P$4:$P1012, 'Trading History'!$O$4:$O1012, CONCAT("&gt;", $A57))</f>
        <v/>
      </c>
      <c r="G59" s="70" t="n"/>
      <c r="H59" s="80" t="inlineStr">
        <is>
          <t>LT Gain</t>
        </is>
      </c>
      <c r="I59" s="82">
        <f>SUMIFS('Trading History'!$T$4:$T1012, 'Trading History'!$S$4:$S1012, CONCAT("&gt;", $A57))</f>
        <v/>
      </c>
      <c r="J59" s="70" t="n"/>
      <c r="K59" s="81" t="inlineStr">
        <is>
          <t>Gain</t>
        </is>
      </c>
      <c r="L59" s="82">
        <f>SUMIFS('Trading History'!$Z$4:$Z1012, 'Trading History'!$Y$4:$Y1012,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8" t="inlineStr">
        <is>
          <t>Invested</t>
        </is>
      </c>
      <c r="C60" s="82">
        <f>Index!C61-Index!C59</f>
        <v/>
      </c>
      <c r="D60" s="70" t="n"/>
      <c r="E60" s="79" t="inlineStr">
        <is>
          <t>ST Invested</t>
        </is>
      </c>
      <c r="F60" s="82">
        <f>Index!F61-Index!F59</f>
        <v/>
      </c>
      <c r="G60" s="70" t="n"/>
      <c r="H60" s="80" t="inlineStr">
        <is>
          <t>LT Invested</t>
        </is>
      </c>
      <c r="I60" s="82">
        <f>Index!I61-Index!I59</f>
        <v/>
      </c>
      <c r="J60" s="70" t="n"/>
      <c r="K60" s="81" t="inlineStr">
        <is>
          <t>Invested</t>
        </is>
      </c>
      <c r="L60" s="82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8" t="inlineStr">
        <is>
          <t>Gross</t>
        </is>
      </c>
      <c r="C61" s="82">
        <f>SUMIFS('Trading History'!$M$4:$M1012, 'Trading History'!$K$4:$K1012, CONCAT("&gt;", $A57))</f>
        <v/>
      </c>
      <c r="D61" s="70" t="n"/>
      <c r="E61" s="79" t="inlineStr">
        <is>
          <t>ST Gross</t>
        </is>
      </c>
      <c r="F61" s="82">
        <f>SUMIFS('Trading History'!$Q$4:$Q1012, 'Trading History'!$O$4:$O1012, CONCAT("&gt;", $A57))</f>
        <v/>
      </c>
      <c r="G61" s="70" t="n"/>
      <c r="H61" s="80" t="inlineStr">
        <is>
          <t>LT Gross</t>
        </is>
      </c>
      <c r="I61" s="82">
        <f>SUMIFS('Trading History'!$U$4:$U1012, 'Trading History'!$S$4:$S1012, CONCAT("&gt;", $A57))</f>
        <v/>
      </c>
      <c r="J61" s="70" t="n"/>
      <c r="K61" s="81" t="inlineStr">
        <is>
          <t>Gross</t>
        </is>
      </c>
      <c r="L61" s="82">
        <f>SUMIFS('Trading History'!$AA$4:$AA1012, 'Trading History'!$Y$4:$Y1012,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83" t="n">
        <v>0.15</v>
      </c>
      <c r="B64" s="73" t="inlineStr">
        <is>
          <t>Units</t>
        </is>
      </c>
      <c r="C64" s="74">
        <f>SUMIFS('Trading History'!$N$4:$N1012, 'Trading History'!$K$4:$K1012, CONCAT("&gt;", $A64))</f>
        <v/>
      </c>
      <c r="D64" s="70" t="n"/>
      <c r="E64" s="75" t="inlineStr">
        <is>
          <t>ST Units</t>
        </is>
      </c>
      <c r="F64" s="74">
        <f>IFERROR(SUMIFS('Trading History'!$R$4:$R1012, 'Trading History'!$O$4:$O1012, CONCAT("&gt;", $A64)), 0)</f>
        <v/>
      </c>
      <c r="G64" s="70" t="n"/>
      <c r="H64" s="76" t="inlineStr">
        <is>
          <t>LT Units</t>
        </is>
      </c>
      <c r="I64" s="74">
        <f>SUMIFS('Trading History'!$V$4:$V1012, 'Trading History'!$S$4:$S1012, CONCAT("&gt;", $A64))</f>
        <v/>
      </c>
      <c r="J64" s="70" t="n"/>
      <c r="K64" s="77" t="inlineStr">
        <is>
          <t>Units</t>
        </is>
      </c>
      <c r="L64" s="74">
        <f>SUMIFS('Trading History'!$AB$4:$AB1012, 'Trading History'!$Y$4:$Y1012,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8" t="inlineStr">
        <is>
          <t>Avg %</t>
        </is>
      </c>
      <c r="C65" s="68">
        <f>IFERROR(Index!C66/(Index!C64*Index!$C$2), 0)</f>
        <v/>
      </c>
      <c r="D65" s="70" t="n"/>
      <c r="E65" s="79" t="inlineStr">
        <is>
          <t>ST Avg %</t>
        </is>
      </c>
      <c r="F65" s="68">
        <f>IFERROR(Index!F66/(Index!F64*Index!$C$2), 0)</f>
        <v/>
      </c>
      <c r="G65" s="70" t="n"/>
      <c r="H65" s="80" t="inlineStr">
        <is>
          <t>LT Avg %</t>
        </is>
      </c>
      <c r="I65" s="68">
        <f>IFERROR(Index!I66/(Index!I64*Index!$C$2), 0)</f>
        <v/>
      </c>
      <c r="J65" s="70" t="n"/>
      <c r="K65" s="81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8" t="inlineStr">
        <is>
          <t>Gain</t>
        </is>
      </c>
      <c r="C66" s="82">
        <f>SUMIFS('Trading History'!$L$4:$L1012, 'Trading History'!$K$4:$K1012, CONCAT("&gt;", $A64))</f>
        <v/>
      </c>
      <c r="D66" s="70" t="n"/>
      <c r="E66" s="79" t="inlineStr">
        <is>
          <t>ST Gain</t>
        </is>
      </c>
      <c r="F66" s="82">
        <f>SUMIFS('Trading History'!$P$4:$P1012, 'Trading History'!$O$4:$O1012, CONCAT("&gt;", $A64))</f>
        <v/>
      </c>
      <c r="G66" s="70" t="n"/>
      <c r="H66" s="80" t="inlineStr">
        <is>
          <t>LT Gain</t>
        </is>
      </c>
      <c r="I66" s="82">
        <f>SUMIFS('Trading History'!$T$4:$T1012, 'Trading History'!$S$4:$S1012, CONCAT("&gt;", $A64))</f>
        <v/>
      </c>
      <c r="J66" s="70" t="n"/>
      <c r="K66" s="81" t="inlineStr">
        <is>
          <t>Gain</t>
        </is>
      </c>
      <c r="L66" s="82">
        <f>SUMIFS('Trading History'!$Z$4:$Z1012, 'Trading History'!$Y$4:$Y1012,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8" t="inlineStr">
        <is>
          <t>Invested</t>
        </is>
      </c>
      <c r="C67" s="82">
        <f>Index!C68-Index!C66</f>
        <v/>
      </c>
      <c r="D67" s="70" t="n"/>
      <c r="E67" s="79" t="inlineStr">
        <is>
          <t>ST Invested</t>
        </is>
      </c>
      <c r="F67" s="82">
        <f>Index!F68-Index!F66</f>
        <v/>
      </c>
      <c r="G67" s="70" t="n"/>
      <c r="H67" s="80" t="inlineStr">
        <is>
          <t>LT Invested</t>
        </is>
      </c>
      <c r="I67" s="82">
        <f>Index!I68-Index!I66</f>
        <v/>
      </c>
      <c r="J67" s="70" t="n"/>
      <c r="K67" s="81" t="inlineStr">
        <is>
          <t>Invested</t>
        </is>
      </c>
      <c r="L67" s="82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8" t="inlineStr">
        <is>
          <t>Gross</t>
        </is>
      </c>
      <c r="C68" s="82">
        <f>SUMIFS('Trading History'!$M$4:$M1012, 'Trading History'!$K$4:$K1012, CONCAT("&gt;", $A64))</f>
        <v/>
      </c>
      <c r="D68" s="70" t="n"/>
      <c r="E68" s="79" t="inlineStr">
        <is>
          <t>ST Gross</t>
        </is>
      </c>
      <c r="F68" s="82">
        <f>SUMIFS('Trading History'!$Q$4:$Q1012, 'Trading History'!$O$4:$O1012, CONCAT("&gt;", $A64))</f>
        <v/>
      </c>
      <c r="G68" s="70" t="n"/>
      <c r="H68" s="80" t="inlineStr">
        <is>
          <t>LT Gross</t>
        </is>
      </c>
      <c r="I68" s="82">
        <f>SUMIFS('Trading History'!$U$4:$U1012, 'Trading History'!$S$4:$S1012, CONCAT("&gt;", $A64))</f>
        <v/>
      </c>
      <c r="J68" s="70" t="n"/>
      <c r="K68" s="81" t="inlineStr">
        <is>
          <t>Gross</t>
        </is>
      </c>
      <c r="L68" s="82">
        <f>SUMIFS('Trading History'!$AA$4:$AA1012, 'Trading History'!$Y$4:$Y1012,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83" t="n">
        <v>0.1</v>
      </c>
      <c r="B71" s="73" t="inlineStr">
        <is>
          <t>Units</t>
        </is>
      </c>
      <c r="C71" s="74">
        <f>SUMIFS('Trading History'!$N$4:$N1012, 'Trading History'!$K$4:$K1012, CONCAT("&gt;", $A71))</f>
        <v/>
      </c>
      <c r="D71" s="70" t="n"/>
      <c r="E71" s="75" t="inlineStr">
        <is>
          <t>ST Units</t>
        </is>
      </c>
      <c r="F71" s="74">
        <f>IFERROR(SUMIFS('Trading History'!$R$4:$R1012, 'Trading History'!$O$4:$O1012, CONCAT("&gt;", $A71)), 0)</f>
        <v/>
      </c>
      <c r="G71" s="70" t="n"/>
      <c r="H71" s="76" t="inlineStr">
        <is>
          <t>LT Units</t>
        </is>
      </c>
      <c r="I71" s="74">
        <f>SUMIFS('Trading History'!$V$4:$V1012, 'Trading History'!$S$4:$S1012, CONCAT("&gt;", $A71))</f>
        <v/>
      </c>
      <c r="J71" s="70" t="n"/>
      <c r="K71" s="77" t="inlineStr">
        <is>
          <t>Units</t>
        </is>
      </c>
      <c r="L71" s="74">
        <f>SUMIFS('Trading History'!$AB$4:$AB1012, 'Trading History'!$Y$4:$Y1012,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8" t="inlineStr">
        <is>
          <t>Avg %</t>
        </is>
      </c>
      <c r="C72" s="68">
        <f>IFERROR(Index!C73/(Index!C71*Index!$C$2), 0)</f>
        <v/>
      </c>
      <c r="D72" s="70" t="n"/>
      <c r="E72" s="79" t="inlineStr">
        <is>
          <t>ST Avg %</t>
        </is>
      </c>
      <c r="F72" s="68">
        <f>IFERROR(Index!F73/(Index!F71*Index!$C$2), 0)</f>
        <v/>
      </c>
      <c r="G72" s="70" t="n"/>
      <c r="H72" s="80" t="inlineStr">
        <is>
          <t>LT Avg %</t>
        </is>
      </c>
      <c r="I72" s="68">
        <f>IFERROR(Index!I73/(Index!I71*Index!$C$2), 0)</f>
        <v/>
      </c>
      <c r="J72" s="70" t="n"/>
      <c r="K72" s="81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8" t="inlineStr">
        <is>
          <t>Gain</t>
        </is>
      </c>
      <c r="C73" s="82">
        <f>SUMIFS('Trading History'!$L$4:$L1012, 'Trading History'!$K$4:$K1012, CONCAT("&gt;", $A71))</f>
        <v/>
      </c>
      <c r="D73" s="70" t="n"/>
      <c r="E73" s="79" t="inlineStr">
        <is>
          <t>ST Gain</t>
        </is>
      </c>
      <c r="F73" s="82">
        <f>SUMIFS('Trading History'!$P$4:$P1012, 'Trading History'!$O$4:$O1012, CONCAT("&gt;", $A71))</f>
        <v/>
      </c>
      <c r="G73" s="70" t="n"/>
      <c r="H73" s="80" t="inlineStr">
        <is>
          <t>LT Gain</t>
        </is>
      </c>
      <c r="I73" s="82">
        <f>SUMIFS('Trading History'!$T$4:$T1012, 'Trading History'!$S$4:$S1012, CONCAT("&gt;", $A71))</f>
        <v/>
      </c>
      <c r="J73" s="70" t="n"/>
      <c r="K73" s="81" t="inlineStr">
        <is>
          <t>Gain</t>
        </is>
      </c>
      <c r="L73" s="82">
        <f>SUMIFS('Trading History'!$Z$4:$Z1012, 'Trading History'!$Y$4:$Y1012,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8" t="inlineStr">
        <is>
          <t>Invested</t>
        </is>
      </c>
      <c r="C74" s="82">
        <f>Index!C75-Index!C73</f>
        <v/>
      </c>
      <c r="D74" s="70" t="n"/>
      <c r="E74" s="79" t="inlineStr">
        <is>
          <t>ST Invested</t>
        </is>
      </c>
      <c r="F74" s="82">
        <f>Index!F75-Index!F73</f>
        <v/>
      </c>
      <c r="G74" s="70" t="n"/>
      <c r="H74" s="80" t="inlineStr">
        <is>
          <t>LT Invested</t>
        </is>
      </c>
      <c r="I74" s="82">
        <f>Index!I75-Index!I73</f>
        <v/>
      </c>
      <c r="J74" s="70" t="n"/>
      <c r="K74" s="81" t="inlineStr">
        <is>
          <t>Invested</t>
        </is>
      </c>
      <c r="L74" s="82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8" t="inlineStr">
        <is>
          <t>Gross</t>
        </is>
      </c>
      <c r="C75" s="82">
        <f>SUMIFS('Trading History'!$M$4:$M1012, 'Trading History'!$K$4:$K1012, CONCAT("&gt;", $A71))</f>
        <v/>
      </c>
      <c r="D75" s="70" t="n"/>
      <c r="E75" s="79" t="inlineStr">
        <is>
          <t>ST Gross</t>
        </is>
      </c>
      <c r="F75" s="82">
        <f>SUMIFS('Trading History'!$Q$4:$Q1012, 'Trading History'!$O$4:$O1012, CONCAT("&gt;", $A71))</f>
        <v/>
      </c>
      <c r="G75" s="70" t="n"/>
      <c r="H75" s="80" t="inlineStr">
        <is>
          <t>LT Gross</t>
        </is>
      </c>
      <c r="I75" s="82">
        <f>SUMIFS('Trading History'!$U$4:$U1012, 'Trading History'!$S$4:$S1012, CONCAT("&gt;", $A71))</f>
        <v/>
      </c>
      <c r="J75" s="70" t="n"/>
      <c r="K75" s="81" t="inlineStr">
        <is>
          <t>Gross</t>
        </is>
      </c>
      <c r="L75" s="82">
        <f>SUMIFS('Trading History'!$AA$4:$AA1012, 'Trading History'!$Y$4:$Y1012,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83" t="n">
        <v>0.05</v>
      </c>
      <c r="B78" s="73" t="inlineStr">
        <is>
          <t>Units</t>
        </is>
      </c>
      <c r="C78" s="74">
        <f>SUMIFS('Trading History'!$N$4:$N1012, 'Trading History'!$K$4:$K1012, CONCAT("&gt;", $A78))</f>
        <v/>
      </c>
      <c r="D78" s="70" t="n"/>
      <c r="E78" s="75" t="inlineStr">
        <is>
          <t>ST Units</t>
        </is>
      </c>
      <c r="F78" s="74">
        <f>IFERROR(SUMIFS('Trading History'!$R$4:$R1012, 'Trading History'!$O$4:$O1012, CONCAT("&gt;", $A78)), 0)</f>
        <v/>
      </c>
      <c r="G78" s="70" t="n"/>
      <c r="H78" s="76" t="inlineStr">
        <is>
          <t>LT Units</t>
        </is>
      </c>
      <c r="I78" s="74">
        <f>SUMIFS('Trading History'!$V$4:$V1012, 'Trading History'!$S$4:$S1012, CONCAT("&gt;", $A78))</f>
        <v/>
      </c>
      <c r="J78" s="70" t="n"/>
      <c r="K78" s="77" t="inlineStr">
        <is>
          <t>Units</t>
        </is>
      </c>
      <c r="L78" s="74">
        <f>SUMIFS('Trading History'!$AB$4:$AB1012, 'Trading History'!$Y$4:$Y1012,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8" t="inlineStr">
        <is>
          <t>Avg %</t>
        </is>
      </c>
      <c r="C79" s="68">
        <f>IFERROR(Index!C80/(Index!C78*Index!$C$2), 0)</f>
        <v/>
      </c>
      <c r="D79" s="70" t="n"/>
      <c r="E79" s="79" t="inlineStr">
        <is>
          <t>ST Avg %</t>
        </is>
      </c>
      <c r="F79" s="68">
        <f>IFERROR(Index!F80/(Index!F78*Index!$C$2), 0)</f>
        <v/>
      </c>
      <c r="G79" s="70" t="n"/>
      <c r="H79" s="80" t="inlineStr">
        <is>
          <t>LT Avg %</t>
        </is>
      </c>
      <c r="I79" s="68">
        <f>IFERROR(Index!I80/(Index!I78*Index!$C$2), 0)</f>
        <v/>
      </c>
      <c r="J79" s="70" t="n"/>
      <c r="K79" s="81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8" t="inlineStr">
        <is>
          <t>Gain</t>
        </is>
      </c>
      <c r="C80" s="82">
        <f>SUMIFS('Trading History'!$L$4:$L1012, 'Trading History'!$K$4:$K1012, CONCAT("&gt;", $A78))</f>
        <v/>
      </c>
      <c r="D80" s="70" t="n"/>
      <c r="E80" s="79" t="inlineStr">
        <is>
          <t>ST Gain</t>
        </is>
      </c>
      <c r="F80" s="82">
        <f>SUMIFS('Trading History'!$P$4:$P1012, 'Trading History'!$O$4:$O1012, CONCAT("&gt;", $A78))</f>
        <v/>
      </c>
      <c r="G80" s="70" t="n"/>
      <c r="H80" s="80" t="inlineStr">
        <is>
          <t>LT Gain</t>
        </is>
      </c>
      <c r="I80" s="82">
        <f>SUMIFS('Trading History'!$T$4:$T1012, 'Trading History'!$S$4:$S1012, CONCAT("&gt;", $A78))</f>
        <v/>
      </c>
      <c r="J80" s="70" t="n"/>
      <c r="K80" s="81" t="inlineStr">
        <is>
          <t>Gain</t>
        </is>
      </c>
      <c r="L80" s="82">
        <f>SUMIFS('Trading History'!$Z$4:$Z1012, 'Trading History'!$Y$4:$Y1012,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8" t="inlineStr">
        <is>
          <t>Invested</t>
        </is>
      </c>
      <c r="C81" s="82">
        <f>Index!C82-Index!C80</f>
        <v/>
      </c>
      <c r="D81" s="70" t="n"/>
      <c r="E81" s="79" t="inlineStr">
        <is>
          <t>ST Invested</t>
        </is>
      </c>
      <c r="F81" s="82">
        <f>Index!F82-Index!F80</f>
        <v/>
      </c>
      <c r="G81" s="70" t="n"/>
      <c r="H81" s="80" t="inlineStr">
        <is>
          <t>LT Invested</t>
        </is>
      </c>
      <c r="I81" s="82">
        <f>Index!I82-Index!I80</f>
        <v/>
      </c>
      <c r="J81" s="70" t="n"/>
      <c r="K81" s="81" t="inlineStr">
        <is>
          <t>Invested</t>
        </is>
      </c>
      <c r="L81" s="82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8" t="inlineStr">
        <is>
          <t>Gross</t>
        </is>
      </c>
      <c r="C82" s="82">
        <f>SUMIFS('Trading History'!$M$4:$M1012, 'Trading History'!$K$4:$K1012, CONCAT("&gt;", $A78))</f>
        <v/>
      </c>
      <c r="D82" s="70" t="n"/>
      <c r="E82" s="79" t="inlineStr">
        <is>
          <t>ST Gross</t>
        </is>
      </c>
      <c r="F82" s="82">
        <f>SUMIFS('Trading History'!$Q$4:$Q1012, 'Trading History'!$O$4:$O1012, CONCAT("&gt;", $A78))</f>
        <v/>
      </c>
      <c r="G82" s="70" t="n"/>
      <c r="H82" s="80" t="inlineStr">
        <is>
          <t>LT Gross</t>
        </is>
      </c>
      <c r="I82" s="82">
        <f>SUMIFS('Trading History'!$U$4:$U1012, 'Trading History'!$S$4:$S1012, CONCAT("&gt;", $A78))</f>
        <v/>
      </c>
      <c r="J82" s="70" t="n"/>
      <c r="K82" s="81" t="inlineStr">
        <is>
          <t>Gross</t>
        </is>
      </c>
      <c r="L82" s="82">
        <f>SUMIFS('Trading History'!$AA$4:$AA1012, 'Trading History'!$Y$4:$Y1012,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83" t="n">
        <v>0</v>
      </c>
      <c r="B85" s="73" t="inlineStr">
        <is>
          <t>Units</t>
        </is>
      </c>
      <c r="C85" s="74">
        <f>SUMIFS('Trading History'!$N$4:$N1012, 'Trading History'!$K$4:$K1012, CONCAT("&gt;", $A85))</f>
        <v/>
      </c>
      <c r="D85" s="70" t="n"/>
      <c r="E85" s="75" t="inlineStr">
        <is>
          <t>ST Units</t>
        </is>
      </c>
      <c r="F85" s="74">
        <f>IFERROR(SUMIFS('Trading History'!$R$4:$R1012, 'Trading History'!$O$4:$O1012, CONCAT("&gt;", $A85)), 0)</f>
        <v/>
      </c>
      <c r="G85" s="70" t="n"/>
      <c r="H85" s="76" t="inlineStr">
        <is>
          <t>LT Units</t>
        </is>
      </c>
      <c r="I85" s="74">
        <f>SUMIFS('Trading History'!$V$4:$V1012, 'Trading History'!$S$4:$S1012, CONCAT("&gt;", $A85))</f>
        <v/>
      </c>
      <c r="J85" s="70" t="n"/>
      <c r="K85" s="77" t="inlineStr">
        <is>
          <t>Units</t>
        </is>
      </c>
      <c r="L85" s="74">
        <f>SUMIFS('Trading History'!$AB$4:$AB1012, 'Trading History'!$Y$4:$Y1012,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8" t="inlineStr">
        <is>
          <t>Avg %</t>
        </is>
      </c>
      <c r="C86" s="68">
        <f>IFERROR(Index!C87/(Index!C85*Index!$C$2), 0)</f>
        <v/>
      </c>
      <c r="D86" s="70" t="n"/>
      <c r="E86" s="79" t="inlineStr">
        <is>
          <t>ST Avg %</t>
        </is>
      </c>
      <c r="F86" s="68">
        <f>IFERROR(Index!F87/(Index!F85*Index!$C$2), 0)</f>
        <v/>
      </c>
      <c r="G86" s="70" t="n"/>
      <c r="H86" s="80" t="inlineStr">
        <is>
          <t>LT Avg %</t>
        </is>
      </c>
      <c r="I86" s="68">
        <f>IFERROR(Index!I87/(Index!I85*Index!$C$2), 0)</f>
        <v/>
      </c>
      <c r="J86" s="70" t="n"/>
      <c r="K86" s="81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8" t="inlineStr">
        <is>
          <t>Gain</t>
        </is>
      </c>
      <c r="C87" s="82">
        <f>SUMIFS('Trading History'!$L$4:$L1012, 'Trading History'!$K$4:$K1012, CONCAT("&gt;", $A85))</f>
        <v/>
      </c>
      <c r="D87" s="70" t="n"/>
      <c r="E87" s="79" t="inlineStr">
        <is>
          <t>ST Gain</t>
        </is>
      </c>
      <c r="F87" s="82">
        <f>SUMIFS('Trading History'!$P$4:$P1012, 'Trading History'!$O$4:$O1012, CONCAT("&gt;", $A85))</f>
        <v/>
      </c>
      <c r="G87" s="70" t="n"/>
      <c r="H87" s="80" t="inlineStr">
        <is>
          <t>LT Gain</t>
        </is>
      </c>
      <c r="I87" s="82">
        <f>SUMIFS('Trading History'!$T$4:$T1012, 'Trading History'!$S$4:$S1012, CONCAT("&gt;", $A85))</f>
        <v/>
      </c>
      <c r="J87" s="70" t="n"/>
      <c r="K87" s="81" t="inlineStr">
        <is>
          <t>Gain</t>
        </is>
      </c>
      <c r="L87" s="82">
        <f>SUMIFS('Trading History'!$Z$4:$Z1012, 'Trading History'!$Y$4:$Y1012,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8" t="inlineStr">
        <is>
          <t>Invested</t>
        </is>
      </c>
      <c r="C88" s="82">
        <f>Index!C89-Index!C87</f>
        <v/>
      </c>
      <c r="D88" s="70" t="n"/>
      <c r="E88" s="79" t="inlineStr">
        <is>
          <t>ST Invested</t>
        </is>
      </c>
      <c r="F88" s="82">
        <f>Index!F89-Index!F87</f>
        <v/>
      </c>
      <c r="G88" s="70" t="n"/>
      <c r="H88" s="80" t="inlineStr">
        <is>
          <t>LT Invested</t>
        </is>
      </c>
      <c r="I88" s="82">
        <f>Index!I89-Index!I87</f>
        <v/>
      </c>
      <c r="J88" s="70" t="n"/>
      <c r="K88" s="81" t="inlineStr">
        <is>
          <t>Invested</t>
        </is>
      </c>
      <c r="L88" s="82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8" t="inlineStr">
        <is>
          <t>Gross</t>
        </is>
      </c>
      <c r="C89" s="82">
        <f>SUMIFS('Trading History'!$M$4:$M1012, 'Trading History'!$K$4:$K1012, CONCAT("&gt;", $A85))</f>
        <v/>
      </c>
      <c r="D89" s="70" t="n"/>
      <c r="E89" s="79" t="inlineStr">
        <is>
          <t>ST Gross</t>
        </is>
      </c>
      <c r="F89" s="82">
        <f>SUMIFS('Trading History'!$Q$4:$Q1012, 'Trading History'!$O$4:$O1012, CONCAT("&gt;", $A85))</f>
        <v/>
      </c>
      <c r="G89" s="70" t="n"/>
      <c r="H89" s="80" t="inlineStr">
        <is>
          <t>LT Gross</t>
        </is>
      </c>
      <c r="I89" s="82">
        <f>SUMIFS('Trading History'!$U$4:$U1012, 'Trading History'!$S$4:$S1012, CONCAT("&gt;", $A85))</f>
        <v/>
      </c>
      <c r="J89" s="70" t="n"/>
      <c r="K89" s="81" t="inlineStr">
        <is>
          <t>Gross</t>
        </is>
      </c>
      <c r="L89" s="82">
        <f>SUMIFS('Trading History'!$AA$4:$AA1012, 'Trading History'!$Y$4:$Y1012,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  <row r="1007">
      <c r="A1007" s="66" t="n"/>
      <c r="B1007" s="66" t="n"/>
      <c r="C1007" s="66" t="n"/>
      <c r="D1007" s="66" t="n"/>
      <c r="E1007" s="66" t="n"/>
      <c r="F1007" s="66" t="n"/>
      <c r="G1007" s="66" t="n"/>
      <c r="H1007" s="66" t="n"/>
      <c r="I1007" s="66" t="n"/>
      <c r="J1007" s="66" t="n"/>
      <c r="K1007" s="66" t="n"/>
      <c r="L1007" s="66" t="n"/>
      <c r="M1007" s="66" t="n"/>
      <c r="N1007" s="66" t="n"/>
      <c r="O1007" s="66" t="n"/>
      <c r="P1007" s="66" t="n"/>
      <c r="Q1007" s="66" t="n"/>
      <c r="R1007" s="66" t="n"/>
      <c r="S1007" s="66" t="n"/>
      <c r="T1007" s="66" t="n"/>
      <c r="U1007" s="66" t="n"/>
      <c r="V1007" s="66" t="n"/>
      <c r="W1007" s="66" t="n"/>
      <c r="X1007" s="66" t="n"/>
      <c r="Y1007" s="66" t="n"/>
    </row>
    <row r="1008">
      <c r="A1008" s="66" t="n"/>
      <c r="B1008" s="66" t="n"/>
      <c r="C1008" s="66" t="n"/>
      <c r="D1008" s="66" t="n"/>
      <c r="E1008" s="66" t="n"/>
      <c r="F1008" s="66" t="n"/>
      <c r="G1008" s="66" t="n"/>
      <c r="H1008" s="66" t="n"/>
      <c r="I1008" s="66" t="n"/>
      <c r="J1008" s="66" t="n"/>
      <c r="K1008" s="66" t="n"/>
      <c r="L1008" s="66" t="n"/>
      <c r="M1008" s="66" t="n"/>
      <c r="N1008" s="66" t="n"/>
      <c r="O1008" s="66" t="n"/>
      <c r="P1008" s="66" t="n"/>
      <c r="Q1008" s="66" t="n"/>
      <c r="R1008" s="66" t="n"/>
      <c r="S1008" s="66" t="n"/>
      <c r="T1008" s="66" t="n"/>
      <c r="U1008" s="66" t="n"/>
      <c r="V1008" s="66" t="n"/>
      <c r="W1008" s="66" t="n"/>
      <c r="X1008" s="66" t="n"/>
      <c r="Y1008" s="66" t="n"/>
    </row>
    <row r="1009">
      <c r="A1009" s="66" t="n"/>
      <c r="B1009" s="66" t="n"/>
      <c r="C1009" s="66" t="n"/>
      <c r="D1009" s="66" t="n"/>
      <c r="E1009" s="66" t="n"/>
      <c r="F1009" s="66" t="n"/>
      <c r="G1009" s="66" t="n"/>
      <c r="H1009" s="66" t="n"/>
      <c r="I1009" s="66" t="n"/>
      <c r="J1009" s="66" t="n"/>
      <c r="K1009" s="66" t="n"/>
      <c r="L1009" s="66" t="n"/>
      <c r="M1009" s="66" t="n"/>
      <c r="N1009" s="66" t="n"/>
      <c r="O1009" s="66" t="n"/>
      <c r="P1009" s="66" t="n"/>
      <c r="Q1009" s="66" t="n"/>
      <c r="R1009" s="66" t="n"/>
      <c r="S1009" s="66" t="n"/>
      <c r="T1009" s="66" t="n"/>
      <c r="U1009" s="66" t="n"/>
      <c r="V1009" s="66" t="n"/>
      <c r="W1009" s="66" t="n"/>
      <c r="X1009" s="66" t="n"/>
      <c r="Y1009" s="66" t="n"/>
    </row>
    <row r="1010">
      <c r="A1010" s="66" t="n"/>
      <c r="B1010" s="66" t="n"/>
      <c r="C1010" s="66" t="n"/>
      <c r="D1010" s="66" t="n"/>
      <c r="E1010" s="66" t="n"/>
      <c r="F1010" s="66" t="n"/>
      <c r="G1010" s="66" t="n"/>
      <c r="H1010" s="66" t="n"/>
      <c r="I1010" s="66" t="n"/>
      <c r="J1010" s="66" t="n"/>
      <c r="K1010" s="66" t="n"/>
      <c r="L1010" s="66" t="n"/>
      <c r="M1010" s="66" t="n"/>
      <c r="N1010" s="66" t="n"/>
      <c r="O1010" s="66" t="n"/>
      <c r="P1010" s="66" t="n"/>
      <c r="Q1010" s="66" t="n"/>
      <c r="R1010" s="66" t="n"/>
      <c r="S1010" s="66" t="n"/>
      <c r="T1010" s="66" t="n"/>
      <c r="U1010" s="66" t="n"/>
      <c r="V1010" s="66" t="n"/>
      <c r="W1010" s="66" t="n"/>
      <c r="X1010" s="66" t="n"/>
      <c r="Y1010" s="66" t="n"/>
    </row>
    <row r="1011">
      <c r="A1011" s="66" t="n"/>
      <c r="B1011" s="66" t="n"/>
      <c r="C1011" s="66" t="n"/>
      <c r="D1011" s="66" t="n"/>
      <c r="E1011" s="66" t="n"/>
      <c r="F1011" s="66" t="n"/>
      <c r="G1011" s="66" t="n"/>
      <c r="H1011" s="66" t="n"/>
      <c r="I1011" s="66" t="n"/>
      <c r="J1011" s="66" t="n"/>
      <c r="K1011" s="66" t="n"/>
      <c r="L1011" s="66" t="n"/>
      <c r="M1011" s="66" t="n"/>
      <c r="N1011" s="66" t="n"/>
      <c r="O1011" s="66" t="n"/>
      <c r="P1011" s="66" t="n"/>
      <c r="Q1011" s="66" t="n"/>
      <c r="R1011" s="66" t="n"/>
      <c r="S1011" s="66" t="n"/>
      <c r="T1011" s="66" t="n"/>
      <c r="U1011" s="66" t="n"/>
      <c r="V1011" s="66" t="n"/>
      <c r="W1011" s="66" t="n"/>
      <c r="X1011" s="66" t="n"/>
      <c r="Y1011" s="66" t="n"/>
    </row>
    <row r="1012">
      <c r="A1012" s="66" t="n"/>
      <c r="B1012" s="66" t="n"/>
      <c r="C1012" s="66" t="n"/>
      <c r="D1012" s="66" t="n"/>
      <c r="E1012" s="66" t="n"/>
      <c r="F1012" s="66" t="n"/>
      <c r="G1012" s="66" t="n"/>
      <c r="H1012" s="66" t="n"/>
      <c r="I1012" s="66" t="n"/>
      <c r="J1012" s="66" t="n"/>
      <c r="K1012" s="66" t="n"/>
      <c r="L1012" s="66" t="n"/>
      <c r="M1012" s="66" t="n"/>
      <c r="N1012" s="66" t="n"/>
      <c r="O1012" s="66" t="n"/>
      <c r="P1012" s="66" t="n"/>
      <c r="Q1012" s="66" t="n"/>
      <c r="R1012" s="66" t="n"/>
      <c r="S1012" s="66" t="n"/>
      <c r="T1012" s="66" t="n"/>
      <c r="U1012" s="66" t="n"/>
      <c r="V1012" s="66" t="n"/>
      <c r="W1012" s="66" t="n"/>
      <c r="X1012" s="66" t="n"/>
      <c r="Y1012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2026-02-12T03:15:38Z</dcterms:created>
  <dcterms:modified xmlns:dcterms="http://purl.org/dc/terms/" xmlns:xsi="http://www.w3.org/2001/XMLSchema-instance" xsi:type="dcterms:W3CDTF">2026-02-12T03:25:36Z</dcterms:modified>
</cp:coreProperties>
</file>