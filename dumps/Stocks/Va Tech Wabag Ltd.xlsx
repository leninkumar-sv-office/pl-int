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6B4B879_877B_45DC_8A04_35090F1F2453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1" t="n">
        <v>46050</v>
      </c>
      <c r="B5" s="0" t="inlineStr">
        <is>
          <t>NSE</t>
        </is>
      </c>
      <c r="C5" s="0" t="inlineStr">
        <is>
          <t>Buy</t>
        </is>
      </c>
      <c r="D5" s="0" t="n">
        <v>3</v>
      </c>
      <c r="E5" s="0" t="n">
        <v>1075.5</v>
      </c>
      <c r="F5" s="0" t="n">
        <v>3249.4</v>
      </c>
      <c r="G5" s="0" t="inlineStr">
        <is>
          <t>~</t>
        </is>
      </c>
      <c r="H5" s="0" t="n">
        <v>3.25</v>
      </c>
      <c r="I5" s="0" t="n">
        <v>19.65</v>
      </c>
    </row>
    <row r="6">
      <c r="A6" s="101" t="n">
        <v>46049</v>
      </c>
      <c r="B6" s="0" t="inlineStr">
        <is>
          <t>NSE</t>
        </is>
      </c>
      <c r="C6" s="0" t="inlineStr">
        <is>
          <t>Buy</t>
        </is>
      </c>
      <c r="D6" s="0" t="n">
        <v>7</v>
      </c>
      <c r="E6" s="0" t="n">
        <v>1052.3</v>
      </c>
      <c r="F6" s="0" t="n">
        <v>7418.29</v>
      </c>
      <c r="G6" s="0" t="inlineStr">
        <is>
          <t>~</t>
        </is>
      </c>
      <c r="H6" s="0" t="n">
        <v>7.35</v>
      </c>
      <c r="I6" s="0" t="n">
        <v>44.84</v>
      </c>
    </row>
    <row r="7">
      <c r="A7" s="101" t="n">
        <v>46038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1195</v>
      </c>
      <c r="F7" s="0" t="n">
        <v>3610.41</v>
      </c>
      <c r="G7" s="0" t="inlineStr">
        <is>
          <t>~</t>
        </is>
      </c>
      <c r="H7" s="0" t="n">
        <v>3.59</v>
      </c>
      <c r="I7" s="0" t="n">
        <v>21.82</v>
      </c>
    </row>
    <row r="8">
      <c r="A8" s="101" t="n">
        <v>46034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1188.1</v>
      </c>
      <c r="F8" s="0" t="n">
        <v>5982.6</v>
      </c>
      <c r="G8" s="0" t="inlineStr">
        <is>
          <t>~</t>
        </is>
      </c>
      <c r="H8" s="0" t="n">
        <v>5.95</v>
      </c>
      <c r="I8" s="0" t="n">
        <v>36.15</v>
      </c>
    </row>
    <row r="9">
      <c r="A9" s="101" t="n">
        <v>46027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1291.6</v>
      </c>
      <c r="F9" s="0" t="n">
        <v>3902.25</v>
      </c>
      <c r="G9" s="0" t="inlineStr">
        <is>
          <t>~</t>
        </is>
      </c>
      <c r="H9" s="0" t="n">
        <v>3.86</v>
      </c>
      <c r="I9" s="0" t="n">
        <v>23.59</v>
      </c>
    </row>
    <row r="10">
      <c r="A10" s="101" t="n">
        <v>46024</v>
      </c>
      <c r="B10" s="0" t="inlineStr">
        <is>
          <t>BSE</t>
        </is>
      </c>
      <c r="C10" s="0" t="inlineStr">
        <is>
          <t>Buy</t>
        </is>
      </c>
      <c r="D10" s="0" t="n">
        <v>3</v>
      </c>
      <c r="E10" s="0" t="n">
        <v>1294.6</v>
      </c>
      <c r="F10" s="0" t="n">
        <v>3911.38</v>
      </c>
      <c r="G10" s="0" t="inlineStr">
        <is>
          <t>~</t>
        </is>
      </c>
      <c r="H10" s="0" t="n">
        <v>3.86</v>
      </c>
      <c r="I10" s="0" t="n">
        <v>23.72</v>
      </c>
    </row>
    <row r="11">
      <c r="A11" s="101" t="n">
        <v>46020</v>
      </c>
      <c r="B11" s="0" t="inlineStr">
        <is>
          <t>BSE</t>
        </is>
      </c>
      <c r="C11" s="0" t="inlineStr">
        <is>
          <t>Buy</t>
        </is>
      </c>
      <c r="D11" s="0" t="n">
        <v>4</v>
      </c>
      <c r="E11" s="0" t="n">
        <v>1276.55</v>
      </c>
      <c r="F11" s="0" t="n">
        <v>5142.49</v>
      </c>
      <c r="G11" s="0" t="inlineStr">
        <is>
          <t>~</t>
        </is>
      </c>
      <c r="H11" s="0" t="n">
        <v>5.13</v>
      </c>
      <c r="I11" s="0" t="n">
        <v>31.16</v>
      </c>
    </row>
    <row r="12">
      <c r="A12" s="101" t="n">
        <v>46015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1286.8</v>
      </c>
      <c r="F12" s="0" t="n">
        <v>3887.74</v>
      </c>
      <c r="G12" s="0" t="inlineStr">
        <is>
          <t>~</t>
        </is>
      </c>
      <c r="H12" s="0" t="n">
        <v>3.84</v>
      </c>
      <c r="I12" s="0" t="n">
        <v>23.5</v>
      </c>
    </row>
    <row r="13">
      <c r="A13" s="101" t="n">
        <v>46014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1307</v>
      </c>
      <c r="F13" s="0" t="n">
        <v>1316.26</v>
      </c>
      <c r="G13" s="0" t="inlineStr">
        <is>
          <t>~</t>
        </is>
      </c>
      <c r="H13" s="0" t="n">
        <v>1.3</v>
      </c>
      <c r="I13" s="0" t="n">
        <v>7.96</v>
      </c>
    </row>
    <row r="14">
      <c r="A14" s="101" t="n">
        <v>46014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1307</v>
      </c>
      <c r="F14" s="0" t="n">
        <v>2632.53</v>
      </c>
      <c r="G14" s="0" t="inlineStr">
        <is>
          <t>~</t>
        </is>
      </c>
      <c r="H14" s="0" t="n">
        <v>2.6</v>
      </c>
      <c r="I14" s="0" t="n">
        <v>15.93</v>
      </c>
    </row>
    <row r="15">
      <c r="A15" s="101" t="n">
        <v>46009</v>
      </c>
      <c r="B15" s="0" t="inlineStr">
        <is>
          <t>BSE</t>
        </is>
      </c>
      <c r="C15" s="0" t="inlineStr">
        <is>
          <t>Buy</t>
        </is>
      </c>
      <c r="D15" s="0" t="n">
        <v>3</v>
      </c>
      <c r="E15" s="0" t="n">
        <v>1282.1</v>
      </c>
      <c r="F15" s="0" t="n">
        <v>3873.58</v>
      </c>
      <c r="G15" s="0" t="inlineStr">
        <is>
          <t>~</t>
        </is>
      </c>
      <c r="H15" s="0" t="n">
        <v>3.86</v>
      </c>
      <c r="I15" s="0" t="n">
        <v>23.42</v>
      </c>
    </row>
    <row r="16">
      <c r="A16" s="101" t="n">
        <v>46009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1282.15</v>
      </c>
      <c r="F16" s="0" t="n">
        <v>1291.24</v>
      </c>
      <c r="G16" s="0" t="inlineStr">
        <is>
          <t>~</t>
        </is>
      </c>
      <c r="H16" s="0" t="n">
        <v>1.28</v>
      </c>
      <c r="I16" s="0" t="n">
        <v>7.81</v>
      </c>
    </row>
    <row r="17">
      <c r="A17" s="101" t="n">
        <v>46007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1303.1</v>
      </c>
      <c r="F17" s="0" t="n">
        <v>6561.71</v>
      </c>
      <c r="G17" s="0" t="inlineStr">
        <is>
          <t>~</t>
        </is>
      </c>
      <c r="H17" s="0" t="n">
        <v>6.5</v>
      </c>
      <c r="I17" s="0" t="n">
        <v>39.71</v>
      </c>
    </row>
    <row r="18">
      <c r="A18" s="101" t="n">
        <v>46002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1264.75</v>
      </c>
      <c r="F18" s="0" t="n">
        <v>6368.6</v>
      </c>
      <c r="G18" s="0" t="inlineStr">
        <is>
          <t>~</t>
        </is>
      </c>
      <c r="H18" s="0" t="n">
        <v>6.34</v>
      </c>
      <c r="I18" s="0" t="n">
        <v>38.51</v>
      </c>
    </row>
    <row r="19">
      <c r="A19" s="101" t="n">
        <v>46000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1309.7</v>
      </c>
      <c r="F19" s="0" t="n">
        <v>1318.98</v>
      </c>
      <c r="G19" s="0" t="inlineStr">
        <is>
          <t>~</t>
        </is>
      </c>
      <c r="H19" s="0" t="n">
        <v>1.31</v>
      </c>
      <c r="I19" s="0" t="n">
        <v>7.97</v>
      </c>
    </row>
    <row r="20">
      <c r="A20" s="101" t="n">
        <v>46000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1309.7</v>
      </c>
      <c r="F20" s="0" t="n">
        <v>2637.97</v>
      </c>
      <c r="G20" s="0" t="inlineStr">
        <is>
          <t>~</t>
        </is>
      </c>
      <c r="H20" s="0" t="n">
        <v>2.61</v>
      </c>
      <c r="I20" s="0" t="n">
        <v>15.96</v>
      </c>
    </row>
    <row r="21">
      <c r="A21" s="101" t="n">
        <v>45996</v>
      </c>
      <c r="B21" s="0" t="inlineStr">
        <is>
          <t>BSE</t>
        </is>
      </c>
      <c r="C21" s="0" t="inlineStr">
        <is>
          <t>Buy</t>
        </is>
      </c>
      <c r="D21" s="0" t="n">
        <v>3</v>
      </c>
      <c r="E21" s="0" t="n">
        <v>1376.8</v>
      </c>
      <c r="F21" s="0" t="n">
        <v>4159.68</v>
      </c>
      <c r="G21" s="0" t="inlineStr">
        <is>
          <t>~</t>
        </is>
      </c>
      <c r="H21" s="0" t="n">
        <v>4.11</v>
      </c>
      <c r="I21" s="0" t="n">
        <v>25.17</v>
      </c>
    </row>
    <row r="22">
      <c r="A22" s="101" t="n">
        <v>45993</v>
      </c>
      <c r="B22" s="0" t="inlineStr">
        <is>
          <t>NSE</t>
        </is>
      </c>
      <c r="C22" s="0" t="inlineStr">
        <is>
          <t>Buy</t>
        </is>
      </c>
      <c r="D22" s="0" t="n">
        <v>3</v>
      </c>
      <c r="E22" s="0" t="n">
        <v>1376.3</v>
      </c>
      <c r="F22" s="0" t="n">
        <v>4158.17</v>
      </c>
      <c r="G22" s="0" t="inlineStr">
        <is>
          <t>~</t>
        </is>
      </c>
      <c r="H22" s="0" t="n">
        <v>4.16</v>
      </c>
      <c r="I22" s="0" t="n">
        <v>25.11</v>
      </c>
    </row>
    <row r="23">
      <c r="A23" s="101" t="n">
        <v>45989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1369.8</v>
      </c>
      <c r="F23" s="0" t="n">
        <v>2759.04</v>
      </c>
      <c r="G23" s="0" t="inlineStr">
        <is>
          <t>~</t>
        </is>
      </c>
      <c r="H23" s="0" t="n">
        <v>2.74</v>
      </c>
      <c r="I23" s="0" t="n">
        <v>16.7</v>
      </c>
    </row>
    <row r="24">
      <c r="A24" s="101" t="n">
        <v>45989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1369.8</v>
      </c>
      <c r="F24" s="0" t="n">
        <v>1379.52</v>
      </c>
      <c r="G24" s="0" t="inlineStr">
        <is>
          <t>~</t>
        </is>
      </c>
      <c r="H24" s="0" t="n">
        <v>1.37</v>
      </c>
      <c r="I24" s="0" t="n">
        <v>8.35</v>
      </c>
    </row>
    <row r="25">
      <c r="A25" s="101" t="n">
        <v>45981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1433.55</v>
      </c>
      <c r="F25" s="0" t="n">
        <v>2887.45</v>
      </c>
      <c r="G25" s="0" t="inlineStr">
        <is>
          <t>~</t>
        </is>
      </c>
      <c r="H25" s="0" t="n">
        <v>2.85</v>
      </c>
      <c r="I25" s="0" t="n">
        <v>17.5</v>
      </c>
    </row>
    <row r="26">
      <c r="A26" s="101" t="n">
        <v>45979</v>
      </c>
      <c r="B26" s="0" t="inlineStr">
        <is>
          <t>BSE</t>
        </is>
      </c>
      <c r="C26" s="0" t="inlineStr">
        <is>
          <t>Buy</t>
        </is>
      </c>
      <c r="D26" s="0" t="n">
        <v>3</v>
      </c>
      <c r="E26" s="0" t="n">
        <v>1404.35</v>
      </c>
      <c r="F26" s="0" t="n">
        <v>4242.94</v>
      </c>
      <c r="G26" s="0" t="inlineStr">
        <is>
          <t>~</t>
        </is>
      </c>
      <c r="H26" s="0" t="n">
        <v>4.22</v>
      </c>
      <c r="I26" s="0" t="n">
        <v>25.67</v>
      </c>
    </row>
    <row r="27">
      <c r="A27" s="101" t="n">
        <v>45978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1413.5</v>
      </c>
      <c r="F27" s="0" t="n">
        <v>2847.04</v>
      </c>
      <c r="G27" s="0" t="inlineStr">
        <is>
          <t>~</t>
        </is>
      </c>
      <c r="H27" s="0" t="n">
        <v>2.84</v>
      </c>
      <c r="I27" s="0" t="n">
        <v>17.2</v>
      </c>
    </row>
    <row r="28">
      <c r="A28" s="101" t="n">
        <v>45975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1404</v>
      </c>
      <c r="F28" s="0" t="n">
        <v>2827.9</v>
      </c>
      <c r="G28" s="0" t="inlineStr">
        <is>
          <t>~</t>
        </is>
      </c>
      <c r="H28" s="0" t="n">
        <v>2.82</v>
      </c>
      <c r="I28" s="0" t="n">
        <v>17.08</v>
      </c>
    </row>
    <row r="29">
      <c r="A29" s="101" t="n">
        <v>45974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1407.3</v>
      </c>
      <c r="F29" s="0" t="n">
        <v>1417.26</v>
      </c>
      <c r="G29" s="0" t="inlineStr">
        <is>
          <t>~</t>
        </is>
      </c>
      <c r="H29" s="0" t="n">
        <v>1.4</v>
      </c>
      <c r="I29" s="0" t="n">
        <v>8.56</v>
      </c>
    </row>
    <row r="30">
      <c r="A30" s="101" t="n">
        <v>45974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1407.3</v>
      </c>
      <c r="F30" s="0" t="n">
        <v>1417.26</v>
      </c>
      <c r="G30" s="0" t="inlineStr">
        <is>
          <t>~</t>
        </is>
      </c>
      <c r="H30" s="0" t="n">
        <v>1.4</v>
      </c>
      <c r="I30" s="0" t="n">
        <v>8.56</v>
      </c>
    </row>
    <row r="31">
      <c r="A31" s="101" t="n">
        <v>45972</v>
      </c>
      <c r="B31" s="0" t="inlineStr">
        <is>
          <t>BSE</t>
        </is>
      </c>
      <c r="C31" s="0" t="inlineStr">
        <is>
          <t>Buy</t>
        </is>
      </c>
      <c r="D31" s="0" t="n">
        <v>5</v>
      </c>
      <c r="E31" s="0" t="n">
        <v>1409.5</v>
      </c>
      <c r="F31" s="0" t="n">
        <v>7097.51</v>
      </c>
      <c r="G31" s="0" t="inlineStr">
        <is>
          <t>~</t>
        </is>
      </c>
      <c r="H31" s="0" t="n">
        <v>7</v>
      </c>
      <c r="I31" s="0" t="n">
        <v>43.01</v>
      </c>
    </row>
    <row r="32">
      <c r="A32" s="101" t="n">
        <v>45971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1357.6</v>
      </c>
      <c r="F32" s="0" t="n">
        <v>6836.07</v>
      </c>
      <c r="G32" s="0" t="inlineStr">
        <is>
          <t>~</t>
        </is>
      </c>
      <c r="H32" s="0" t="n">
        <v>6.75</v>
      </c>
      <c r="I32" s="0" t="n">
        <v>41.32</v>
      </c>
    </row>
    <row r="33">
      <c r="A33" s="101" t="n">
        <v>45968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1351.8</v>
      </c>
      <c r="F33" s="0" t="n">
        <v>2722.77</v>
      </c>
      <c r="G33" s="0" t="inlineStr">
        <is>
          <t>~</t>
        </is>
      </c>
      <c r="H33" s="0" t="n">
        <v>2.7</v>
      </c>
      <c r="I33" s="0" t="n">
        <v>16.47</v>
      </c>
    </row>
    <row r="34">
      <c r="A34" s="101" t="n">
        <v>45961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1416.8</v>
      </c>
      <c r="F34" s="0" t="n">
        <v>2853.65</v>
      </c>
      <c r="G34" s="0" t="inlineStr">
        <is>
          <t>~</t>
        </is>
      </c>
      <c r="H34" s="0" t="n">
        <v>2.82</v>
      </c>
      <c r="I34" s="0" t="n">
        <v>17.23</v>
      </c>
    </row>
    <row r="35">
      <c r="A35" s="101" t="n">
        <v>45959</v>
      </c>
      <c r="B35" s="0" t="inlineStr">
        <is>
          <t>BSE</t>
        </is>
      </c>
      <c r="C35" s="0" t="inlineStr">
        <is>
          <t>Buy</t>
        </is>
      </c>
      <c r="D35" s="0" t="n">
        <v>1</v>
      </c>
      <c r="E35" s="0" t="n">
        <v>1404.2</v>
      </c>
      <c r="F35" s="0" t="n">
        <v>1414.14</v>
      </c>
      <c r="G35" s="0" t="inlineStr">
        <is>
          <t>~</t>
        </is>
      </c>
      <c r="H35" s="0" t="n">
        <v>1.4</v>
      </c>
      <c r="I35" s="0" t="n">
        <v>8.539999999999999</v>
      </c>
    </row>
    <row r="36">
      <c r="A36" s="101" t="n">
        <v>45959</v>
      </c>
      <c r="B36" s="0" t="inlineStr">
        <is>
          <t>BSE</t>
        </is>
      </c>
      <c r="C36" s="0" t="inlineStr">
        <is>
          <t>Buy</t>
        </is>
      </c>
      <c r="D36" s="0" t="n">
        <v>2</v>
      </c>
      <c r="E36" s="0" t="n">
        <v>1404.6</v>
      </c>
      <c r="F36" s="0" t="n">
        <v>2829.11</v>
      </c>
      <c r="G36" s="0" t="inlineStr">
        <is>
          <t>~</t>
        </is>
      </c>
      <c r="H36" s="0" t="n">
        <v>2.8</v>
      </c>
      <c r="I36" s="0" t="n">
        <v>17.11</v>
      </c>
    </row>
    <row r="37">
      <c r="A37" s="101" t="n">
        <v>45957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1402.8</v>
      </c>
      <c r="F37" s="0" t="n">
        <v>1412.74</v>
      </c>
      <c r="G37" s="0" t="inlineStr">
        <is>
          <t>~</t>
        </is>
      </c>
      <c r="H37" s="0" t="n">
        <v>1.41</v>
      </c>
      <c r="I37" s="0" t="n">
        <v>8.529999999999999</v>
      </c>
    </row>
    <row r="38">
      <c r="A38" s="101" t="n">
        <v>45957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1402.7</v>
      </c>
      <c r="F38" s="0" t="n">
        <v>1412.63</v>
      </c>
      <c r="G38" s="0" t="inlineStr">
        <is>
          <t>~</t>
        </is>
      </c>
      <c r="H38" s="0" t="n">
        <v>1.41</v>
      </c>
      <c r="I38" s="0" t="n">
        <v>8.52</v>
      </c>
    </row>
    <row r="39">
      <c r="A39" s="101" t="n">
        <v>45953</v>
      </c>
      <c r="B39" s="0" t="inlineStr">
        <is>
          <t>BSE</t>
        </is>
      </c>
      <c r="C39" s="0" t="inlineStr">
        <is>
          <t>Buy</t>
        </is>
      </c>
      <c r="D39" s="0" t="n">
        <v>5</v>
      </c>
      <c r="E39" s="0" t="n">
        <v>1419.85</v>
      </c>
      <c r="F39" s="0" t="n">
        <v>7149.61</v>
      </c>
      <c r="G39" s="0" t="inlineStr">
        <is>
          <t>~</t>
        </is>
      </c>
      <c r="H39" s="0" t="n">
        <v>7.07</v>
      </c>
      <c r="I39" s="0" t="n">
        <v>43.29</v>
      </c>
    </row>
    <row r="40">
      <c r="A40" s="101" t="n">
        <v>45950</v>
      </c>
      <c r="B40" s="0" t="inlineStr">
        <is>
          <t>BSE</t>
        </is>
      </c>
      <c r="C40" s="0" t="inlineStr">
        <is>
          <t>Buy</t>
        </is>
      </c>
      <c r="D40" s="0" t="n">
        <v>5</v>
      </c>
      <c r="E40" s="0" t="n">
        <v>1403.05</v>
      </c>
      <c r="F40" s="0" t="n">
        <v>7065.05</v>
      </c>
      <c r="G40" s="0" t="inlineStr">
        <is>
          <t>~</t>
        </is>
      </c>
      <c r="H40" s="0" t="n">
        <v>7.01</v>
      </c>
      <c r="I40" s="0" t="n">
        <v>42.79</v>
      </c>
    </row>
    <row r="41">
      <c r="A41" s="101" t="n">
        <v>45947</v>
      </c>
      <c r="B41" s="0" t="inlineStr">
        <is>
          <t>NSE</t>
        </is>
      </c>
      <c r="C41" s="0" t="inlineStr">
        <is>
          <t>Buy</t>
        </is>
      </c>
      <c r="D41" s="0" t="n">
        <v>4</v>
      </c>
      <c r="E41" s="0" t="n">
        <v>1402.9</v>
      </c>
      <c r="F41" s="0" t="n">
        <v>5651.36</v>
      </c>
      <c r="G41" s="0" t="inlineStr">
        <is>
          <t>~</t>
        </is>
      </c>
      <c r="H41" s="0" t="n">
        <v>5.62</v>
      </c>
      <c r="I41" s="0" t="n">
        <v>34.14</v>
      </c>
    </row>
    <row r="42">
      <c r="A42" s="101" t="n">
        <v>45947</v>
      </c>
      <c r="B42" s="0" t="inlineStr">
        <is>
          <t>NSE</t>
        </is>
      </c>
      <c r="C42" s="0" t="inlineStr">
        <is>
          <t>Buy</t>
        </is>
      </c>
      <c r="D42" s="0" t="n">
        <v>1</v>
      </c>
      <c r="E42" s="0" t="n">
        <v>1402.8</v>
      </c>
      <c r="F42" s="0" t="n">
        <v>1412.72</v>
      </c>
      <c r="G42" s="0" t="inlineStr">
        <is>
          <t>~</t>
        </is>
      </c>
      <c r="H42" s="0" t="n">
        <v>1.4</v>
      </c>
      <c r="I42" s="0" t="n">
        <v>8.52</v>
      </c>
    </row>
    <row r="43">
      <c r="A43" s="38" t="n">
        <v>45950</v>
      </c>
      <c r="B43" s="39" t="inlineStr">
        <is>
          <t>NSE</t>
        </is>
      </c>
      <c r="C43" s="39" t="inlineStr">
        <is>
          <t>Buy</t>
        </is>
      </c>
      <c r="D43" s="40" t="n">
        <v>5</v>
      </c>
      <c r="E43" s="41" t="n">
        <v>1413.01</v>
      </c>
      <c r="F43" s="41">
        <f>D5*E5</f>
        <v/>
      </c>
      <c r="G43" s="39" t="inlineStr">
        <is>
          <t>~</t>
        </is>
      </c>
      <c r="H43" s="40" t="n"/>
      <c r="I43" s="40" t="n"/>
      <c r="J43" s="42">
        <f>Index!$C$2</f>
        <v/>
      </c>
      <c r="K43" s="43">
        <f>IF(AND( C5="Buy", ISBLANK(W5), B5&lt;&gt;"DIV"), L5/sum(F5:I5), "")</f>
        <v/>
      </c>
      <c r="L43" s="44">
        <f>IF(AND( C5="Buy", ISBLANK(W5), B5&lt;&gt;"DIV"), (1-Index!$F$2*2)*((J5*D5)-(E5*D5)), "")</f>
        <v/>
      </c>
      <c r="M43" s="44">
        <f>IF(AND( C5="Buy", ISBLANK(W5), B5&lt;&gt;"DIV"), ((E5*D5)+L5), "")</f>
        <v/>
      </c>
      <c r="N43" s="45">
        <f>IF(AND( C5="Buy", ISBLANK(W5), B5&lt;&gt;"DIV"), D5, "")</f>
        <v/>
      </c>
      <c r="O43" s="43">
        <f>IF(AND( C5="Buy", ISBLANK(W5), B5&lt;&gt;"DIV", NOW()-A5 &lt; 365), P5/sum(F5:I5), "")</f>
        <v/>
      </c>
      <c r="P43" s="44">
        <f>IF(AND( C5="Buy", ISBLANK(W5), B5&lt;&gt;"DIV", NOW()-A5 &lt; 365), (1-Index!$F$2*2)*((J5*D5)-(E5*D5)), "")</f>
        <v/>
      </c>
      <c r="Q43" s="44">
        <f>IF(AND( C5="Buy", ISBLANK(W5), B5&lt;&gt;"DIV", NOW()-A5 &lt; 365), ((E5*D5)+P5), "")</f>
        <v/>
      </c>
      <c r="R43" s="44">
        <f>IF(AND( C5="Buy", ISBLANK(W5), B5&lt;&gt;"DIV", NOW()-A5 &lt; 365), D5, "")</f>
        <v/>
      </c>
      <c r="S43" s="46">
        <f>IF(AND( C5="Buy", ISBLANK(W5), B5&lt;&gt;"DIV", NOW()-A5 &gt; 365), T5/sum(F5:I5), "")</f>
        <v/>
      </c>
      <c r="T43" s="47">
        <f>IF(AND( C5="Buy", ISBLANK(W5), B5&lt;&gt;"DIV", NOW()-A5 &gt; 365), (1-Index!$F$2*2)*((J5*D5)-(E5*D5)), "")</f>
        <v/>
      </c>
      <c r="U43" s="47">
        <f>IF(AND( C5="Buy", ISBLANK(W5), B5&lt;&gt;"DIV", NOW()-A5 &gt; 365), ((E5*D5)+T5), "")</f>
        <v/>
      </c>
      <c r="V43" s="47">
        <f>IF(AND( C5="Buy", ISBLANK(W5), B5&lt;&gt;"DIV", NOW()-A5 &gt; 365), D5, "")</f>
        <v/>
      </c>
      <c r="W43" s="47" t="n"/>
      <c r="X43" s="47" t="n"/>
      <c r="Y43" s="46">
        <f>IF(AND( C5="Buy", W5&lt;&gt;"", AA5&lt;&gt;"", B5&lt;&gt;"DIV"), Z5/sum(F5:I5), "")</f>
        <v/>
      </c>
      <c r="Z43" s="47" t="n"/>
      <c r="AA43" s="47" t="n"/>
      <c r="AB43" s="48" t="n"/>
      <c r="AC43" s="44">
        <f>if(B5="DIV", F5,"")</f>
        <v/>
      </c>
      <c r="AD43" s="49" t="n"/>
    </row>
    <row r="44">
      <c r="A44" s="38" t="n">
        <v>45947</v>
      </c>
      <c r="B44" s="39" t="inlineStr">
        <is>
          <t>NSE</t>
        </is>
      </c>
      <c r="C44" s="39" t="inlineStr">
        <is>
          <t>Buy</t>
        </is>
      </c>
      <c r="D44" s="40" t="n">
        <v>5</v>
      </c>
      <c r="E44" s="41" t="n">
        <v>1412.72</v>
      </c>
      <c r="F44" s="41">
        <f>D6*E6</f>
        <v/>
      </c>
      <c r="G44" s="39" t="inlineStr">
        <is>
          <t>~</t>
        </is>
      </c>
      <c r="H44" s="40" t="n"/>
      <c r="I44" s="40" t="n"/>
      <c r="J44" s="42">
        <f>Index!$C$2</f>
        <v/>
      </c>
      <c r="K44" s="43">
        <f>IF(AND( C6="Buy", ISBLANK(W6), B6&lt;&gt;"DIV"), L6/sum(F6:I6), "")</f>
        <v/>
      </c>
      <c r="L44" s="44">
        <f>IF(AND( C6="Buy", ISBLANK(W6), B6&lt;&gt;"DIV"), (1-Index!$F$2*2)*((J6*D6)-(E6*D6)), "")</f>
        <v/>
      </c>
      <c r="M44" s="44">
        <f>IF(AND( C6="Buy", ISBLANK(W6), B6&lt;&gt;"DIV"), ((E6*D6)+L6), "")</f>
        <v/>
      </c>
      <c r="N44" s="45">
        <f>IF(AND( C6="Buy", ISBLANK(W6), B6&lt;&gt;"DIV"), D6, "")</f>
        <v/>
      </c>
      <c r="O44" s="43">
        <f>IF(AND( C6="Buy", ISBLANK(W6), B6&lt;&gt;"DIV", NOW()-A6 &lt; 365), P6/sum(F6:I6), "")</f>
        <v/>
      </c>
      <c r="P44" s="44">
        <f>IF(AND( C6="Buy", ISBLANK(W6), B6&lt;&gt;"DIV", NOW()-A6 &lt; 365), (1-Index!$F$2*2)*((J6*D6)-(E6*D6)), "")</f>
        <v/>
      </c>
      <c r="Q44" s="44">
        <f>IF(AND( C6="Buy", ISBLANK(W6), B6&lt;&gt;"DIV", NOW()-A6 &lt; 365), ((E6*D6)+P6), "")</f>
        <v/>
      </c>
      <c r="R44" s="44">
        <f>IF(AND( C6="Buy", ISBLANK(W6), B6&lt;&gt;"DIV", NOW()-A6 &lt; 365), D6, "")</f>
        <v/>
      </c>
      <c r="S44" s="46">
        <f>IF(AND( C6="Buy", ISBLANK(W6), B6&lt;&gt;"DIV", NOW()-A6 &gt; 365), T6/sum(F6:I6), "")</f>
        <v/>
      </c>
      <c r="T44" s="47">
        <f>IF(AND( C6="Buy", ISBLANK(W6), B6&lt;&gt;"DIV", NOW()-A6 &gt; 365), (1-Index!$F$2*2)*((J6*D6)-(E6*D6)), "")</f>
        <v/>
      </c>
      <c r="U44" s="47">
        <f>IF(AND( C6="Buy", ISBLANK(W6), B6&lt;&gt;"DIV", NOW()-A6 &gt; 365), ((E6*D6)+T6), "")</f>
        <v/>
      </c>
      <c r="V44" s="47">
        <f>IF(AND( C6="Buy", ISBLANK(W6), B6&lt;&gt;"DIV", NOW()-A6 &gt; 365), D6, "")</f>
        <v/>
      </c>
      <c r="W44" s="47" t="n"/>
      <c r="X44" s="47" t="n"/>
      <c r="Y44" s="46">
        <f>IF(AND( C6="Buy", W6&lt;&gt;"", AA6&lt;&gt;"", B6&lt;&gt;"DIV"), Z6/sum(F6:I6), "")</f>
        <v/>
      </c>
      <c r="Z44" s="47" t="n"/>
      <c r="AA44" s="47" t="n"/>
      <c r="AB44" s="48" t="n"/>
      <c r="AC44" s="44">
        <f>if(B6="DIV", F6,"")</f>
        <v/>
      </c>
      <c r="AD44" s="49" t="n"/>
    </row>
    <row r="45">
      <c r="A45" s="38" t="n">
        <v>45874</v>
      </c>
      <c r="B45" s="39" t="inlineStr">
        <is>
          <t>DIV</t>
        </is>
      </c>
      <c r="C45" s="39" t="inlineStr">
        <is>
          <t>Buy</t>
        </is>
      </c>
      <c r="D45" s="40" t="n">
        <v>25</v>
      </c>
      <c r="E45" s="41" t="n">
        <v>4</v>
      </c>
      <c r="F45" s="41" t="n">
        <v>100</v>
      </c>
      <c r="G45" s="39" t="inlineStr">
        <is>
          <t>Annual-Dividend of Rs.4.0000/- per share on Ex-Date: 05-AUG-2025</t>
        </is>
      </c>
      <c r="H45" s="40" t="n">
        <v>0</v>
      </c>
      <c r="I45" s="40" t="n">
        <v>0</v>
      </c>
      <c r="J45" s="42">
        <f>Index!$C$2</f>
        <v/>
      </c>
      <c r="K45" s="43">
        <f>IF(AND( C7="Buy", ISBLANK(W7), B7&lt;&gt;"DIV"), L7/sum(F7:I7), "")</f>
        <v/>
      </c>
      <c r="L45" s="44">
        <f>IF(AND( C7="Buy", ISBLANK(W7), B7&lt;&gt;"DIV"), (1-Index!$F$2*2)*((J7*D7)-(E7*D7)), "")</f>
        <v/>
      </c>
      <c r="M45" s="44">
        <f>IF(AND( C7="Buy", ISBLANK(W7), B7&lt;&gt;"DIV"), ((E7*D7)+L7), "")</f>
        <v/>
      </c>
      <c r="N45" s="45">
        <f>IF(AND( C7="Buy", ISBLANK(W7), B7&lt;&gt;"DIV"), D7, "")</f>
        <v/>
      </c>
      <c r="O45" s="43">
        <f>IF(AND( C7="Buy", ISBLANK(W7), B7&lt;&gt;"DIV", NOW()-A7 &lt; 365), P7/sum(F7:I7), "")</f>
        <v/>
      </c>
      <c r="P45" s="44">
        <f>IF(AND( C7="Buy", ISBLANK(W7), B7&lt;&gt;"DIV", NOW()-A7 &lt; 365), (1-Index!$F$2*2)*((J7*D7)-(E7*D7)), "")</f>
        <v/>
      </c>
      <c r="Q45" s="44">
        <f>IF(AND( C7="Buy", ISBLANK(W7), B7&lt;&gt;"DIV", NOW()-A7 &lt; 365), ((E7*D7)+P7), "")</f>
        <v/>
      </c>
      <c r="R45" s="44">
        <f>IF(AND( C7="Buy", ISBLANK(W7), B7&lt;&gt;"DIV", NOW()-A7 &lt; 365), D7, "")</f>
        <v/>
      </c>
      <c r="S45" s="46">
        <f>IF(AND( C7="Buy", ISBLANK(W7), B7&lt;&gt;"DIV", NOW()-A7 &gt; 365), T7/sum(F7:I7), "")</f>
        <v/>
      </c>
      <c r="T45" s="47">
        <f>IF(AND( C7="Buy", ISBLANK(W7), B7&lt;&gt;"DIV", NOW()-A7 &gt; 365), (1-Index!$F$2*2)*((J7*D7)-(E7*D7)), "")</f>
        <v/>
      </c>
      <c r="U45" s="47">
        <f>IF(AND( C7="Buy", ISBLANK(W7), B7&lt;&gt;"DIV", NOW()-A7 &gt; 365), ((E7*D7)+T7), "")</f>
        <v/>
      </c>
      <c r="V45" s="47">
        <f>IF(AND( C7="Buy", ISBLANK(W7), B7&lt;&gt;"DIV", NOW()-A7 &gt; 365), D7, "")</f>
        <v/>
      </c>
      <c r="W45" s="47" t="n"/>
      <c r="X45" s="47" t="n"/>
      <c r="Y45" s="46">
        <f>IF(AND( C7="Buy", W7&lt;&gt;"", AA7&lt;&gt;"", B7&lt;&gt;"DIV"), Z7/sum(F7:I7), "")</f>
        <v/>
      </c>
      <c r="Z45" s="47" t="n"/>
      <c r="AA45" s="47" t="n"/>
      <c r="AB45" s="48" t="n"/>
      <c r="AC45" s="44">
        <f>if(B7="DIV", F7,"")</f>
        <v/>
      </c>
      <c r="AD45" s="49" t="n"/>
    </row>
    <row r="46">
      <c r="A46" s="38" t="n">
        <v>45855</v>
      </c>
      <c r="B46" s="39" t="inlineStr">
        <is>
          <t>NSE</t>
        </is>
      </c>
      <c r="C46" s="39" t="inlineStr">
        <is>
          <t>Buy</t>
        </is>
      </c>
      <c r="D46" s="40" t="n">
        <v>4</v>
      </c>
      <c r="E46" s="41" t="n">
        <v>1467.02</v>
      </c>
      <c r="F46" s="41" t="n">
        <v>5868.08</v>
      </c>
      <c r="G46" s="39" t="inlineStr">
        <is>
          <t>~</t>
        </is>
      </c>
      <c r="H46" s="40" t="n">
        <v>5.82</v>
      </c>
      <c r="I46" s="40" t="n">
        <v>35.46</v>
      </c>
      <c r="J46" s="42">
        <f>Index!$C$2</f>
        <v/>
      </c>
      <c r="K46" s="43">
        <f>IF(AND( C8="Buy", ISBLANK(W8), B8&lt;&gt;"DIV"), L8/sum(F8:I8), "")</f>
        <v/>
      </c>
      <c r="L46" s="44">
        <f>IF(AND( C8="Buy", ISBLANK(W8), B8&lt;&gt;"DIV"), (1-Index!$F$2*2)*((J8*D8)-(E8*D8)), "")</f>
        <v/>
      </c>
      <c r="M46" s="44">
        <f>IF(AND( C8="Buy", ISBLANK(W8), B8&lt;&gt;"DIV"), ((E8*D8)+L8), "")</f>
        <v/>
      </c>
      <c r="N46" s="45">
        <f>IF(AND( C8="Buy", ISBLANK(W8), B8&lt;&gt;"DIV"), D8, "")</f>
        <v/>
      </c>
      <c r="O46" s="43">
        <f>IF(AND( C8="Buy", ISBLANK(W8), B8&lt;&gt;"DIV", NOW()-A8 &lt; 365), P8/sum(F8:I8), "")</f>
        <v/>
      </c>
      <c r="P46" s="44">
        <f>IF(AND( C8="Buy", ISBLANK(W8), B8&lt;&gt;"DIV", NOW()-A8 &lt; 365), (1-Index!$F$2*2)*((J8*D8)-(E8*D8)), "")</f>
        <v/>
      </c>
      <c r="Q46" s="44">
        <f>IF(AND( C8="Buy", ISBLANK(W8), B8&lt;&gt;"DIV", NOW()-A8 &lt; 365), ((E8*D8)+P8), "")</f>
        <v/>
      </c>
      <c r="R46" s="44">
        <f>IF(AND( C8="Buy", ISBLANK(W8), B8&lt;&gt;"DIV", NOW()-A8 &lt; 365), D8, "")</f>
        <v/>
      </c>
      <c r="S46" s="46">
        <f>IF(AND( C8="Buy", ISBLANK(W8), B8&lt;&gt;"DIV", NOW()-A8 &gt; 365), T8/sum(F8:I8), "")</f>
        <v/>
      </c>
      <c r="T46" s="47">
        <f>IF(AND( C8="Buy", ISBLANK(W8), B8&lt;&gt;"DIV", NOW()-A8 &gt; 365), (1-Index!$F$2*2)*((J8*D8)-(E8*D8)), "")</f>
        <v/>
      </c>
      <c r="U46" s="47">
        <f>IF(AND( C8="Buy", ISBLANK(W8), B8&lt;&gt;"DIV", NOW()-A8 &gt; 365), ((E8*D8)+T8), "")</f>
        <v/>
      </c>
      <c r="V46" s="47">
        <f>IF(AND( C8="Buy", ISBLANK(W8), B8&lt;&gt;"DIV", NOW()-A8 &gt; 365), D8, "")</f>
        <v/>
      </c>
      <c r="W46" s="47" t="n"/>
      <c r="X46" s="47" t="n"/>
      <c r="Y46" s="46">
        <f>IF(AND( C8="Buy", W8&lt;&gt;"", AA8&lt;&gt;"", B8&lt;&gt;"DIV"), Z8/sum(F8:I8), "")</f>
        <v/>
      </c>
      <c r="Z46" s="47" t="n"/>
      <c r="AA46" s="47" t="n"/>
      <c r="AB46" s="48" t="n"/>
      <c r="AC46" s="44">
        <f>if(B8="DIV", F8,"")</f>
        <v/>
      </c>
      <c r="AD46" s="49" t="n"/>
    </row>
    <row r="47">
      <c r="A47" s="38" t="n">
        <v>45855</v>
      </c>
      <c r="B47" s="39" t="inlineStr">
        <is>
          <t>NSE</t>
        </is>
      </c>
      <c r="C47" s="39" t="inlineStr">
        <is>
          <t>Buy</t>
        </is>
      </c>
      <c r="D47" s="40" t="n">
        <v>1</v>
      </c>
      <c r="E47" s="41" t="n">
        <v>1467.12</v>
      </c>
      <c r="F47" s="41" t="n">
        <v>1467.12</v>
      </c>
      <c r="G47" s="39" t="inlineStr">
        <is>
          <t>~</t>
        </is>
      </c>
      <c r="H47" s="40" t="n">
        <v>1.46</v>
      </c>
      <c r="I47" s="40" t="n">
        <v>8.859999999999999</v>
      </c>
      <c r="J47" s="42">
        <f>Index!$C$2</f>
        <v/>
      </c>
      <c r="K47" s="43">
        <f>IF(AND( C9="Buy", ISBLANK(W9), B9&lt;&gt;"DIV"), L9/sum(F9:I9), "")</f>
        <v/>
      </c>
      <c r="L47" s="44">
        <f>IF(AND( C9="Buy", ISBLANK(W9), B9&lt;&gt;"DIV"), (1-Index!$F$2*2)*((J9*D9)-(E9*D9)), "")</f>
        <v/>
      </c>
      <c r="M47" s="44">
        <f>IF(AND( C9="Buy", ISBLANK(W9), B9&lt;&gt;"DIV"), ((E9*D9)+L9), "")</f>
        <v/>
      </c>
      <c r="N47" s="45">
        <f>IF(AND( C9="Buy", ISBLANK(W9), B9&lt;&gt;"DIV"), D9, "")</f>
        <v/>
      </c>
      <c r="O47" s="43">
        <f>IF(AND( C9="Buy", ISBLANK(W9), B9&lt;&gt;"DIV", NOW()-A9 &lt; 365), P9/sum(F9:I9), "")</f>
        <v/>
      </c>
      <c r="P47" s="44">
        <f>IF(AND( C9="Buy", ISBLANK(W9), B9&lt;&gt;"DIV", NOW()-A9 &lt; 365), (1-Index!$F$2*2)*((J9*D9)-(E9*D9)), "")</f>
        <v/>
      </c>
      <c r="Q47" s="44">
        <f>IF(AND( C9="Buy", ISBLANK(W9), B9&lt;&gt;"DIV", NOW()-A9 &lt; 365), ((E9*D9)+P9), "")</f>
        <v/>
      </c>
      <c r="R47" s="44">
        <f>IF(AND( C9="Buy", ISBLANK(W9), B9&lt;&gt;"DIV", NOW()-A9 &lt; 365), D9, "")</f>
        <v/>
      </c>
      <c r="S47" s="46">
        <f>IF(AND( C9="Buy", ISBLANK(W9), B9&lt;&gt;"DIV", NOW()-A9 &gt; 365), T9/sum(F9:I9), "")</f>
        <v/>
      </c>
      <c r="T47" s="47">
        <f>IF(AND( C9="Buy", ISBLANK(W9), B9&lt;&gt;"DIV", NOW()-A9 &gt; 365), (1-Index!$F$2*2)*((J9*D9)-(E9*D9)), "")</f>
        <v/>
      </c>
      <c r="U47" s="47">
        <f>IF(AND( C9="Buy", ISBLANK(W9), B9&lt;&gt;"DIV", NOW()-A9 &gt; 365), ((E9*D9)+T9), "")</f>
        <v/>
      </c>
      <c r="V47" s="47">
        <f>IF(AND( C9="Buy", ISBLANK(W9), B9&lt;&gt;"DIV", NOW()-A9 &gt; 365), D9, "")</f>
        <v/>
      </c>
      <c r="W47" s="47" t="n"/>
      <c r="X47" s="47" t="n"/>
      <c r="Y47" s="46">
        <f>IF(AND( C9="Buy", W9&lt;&gt;"", AA9&lt;&gt;"", B9&lt;&gt;"DIV"), Z9/sum(F9:I9), "")</f>
        <v/>
      </c>
      <c r="Z47" s="47" t="n"/>
      <c r="AA47" s="47" t="n"/>
      <c r="AB47" s="48" t="n"/>
      <c r="AC47" s="44">
        <f>if(B9="DIV", F9,"")</f>
        <v/>
      </c>
      <c r="AD47" s="49" t="n"/>
    </row>
    <row r="48">
      <c r="A48" s="50" t="n">
        <v>45716</v>
      </c>
      <c r="B48" s="51" t="inlineStr">
        <is>
          <t>NSE</t>
        </is>
      </c>
      <c r="C48" s="51" t="inlineStr">
        <is>
          <t>Buy</t>
        </is>
      </c>
      <c r="D48" s="52" t="n">
        <v>1</v>
      </c>
      <c r="E48" s="53" t="n">
        <v>1296.01</v>
      </c>
      <c r="F48" s="53" t="n">
        <v>1296.01</v>
      </c>
      <c r="G48" s="51" t="inlineStr">
        <is>
          <t>~</t>
        </is>
      </c>
      <c r="H48" s="52" t="n">
        <v>1.29</v>
      </c>
      <c r="I48" s="52" t="n">
        <v>7.82</v>
      </c>
      <c r="J48" s="42">
        <f>Index!$C$2</f>
        <v/>
      </c>
      <c r="K48" s="43">
        <f>IF(AND( C10="Buy", ISBLANK(W10), B10&lt;&gt;"DIV"), L10/sum(F10:I10), "")</f>
        <v/>
      </c>
      <c r="L48" s="44">
        <f>IF(AND( C10="Buy", ISBLANK(W10), B10&lt;&gt;"DIV"), (1-Index!$F$2*2)*((J10*D10)-(E10*D10)), "")</f>
        <v/>
      </c>
      <c r="M48" s="44">
        <f>IF(AND( C10="Buy", ISBLANK(W10), B10&lt;&gt;"DIV"), ((E10*D10)+L10), "")</f>
        <v/>
      </c>
      <c r="N48" s="45">
        <f>IF(AND( C10="Buy", ISBLANK(W10), B10&lt;&gt;"DIV"), D10, "")</f>
        <v/>
      </c>
      <c r="O48" s="43">
        <f>IF(AND( C10="Buy", ISBLANK(W10), B10&lt;&gt;"DIV", NOW()-A10 &lt; 365), P10/sum(F10:I10), "")</f>
        <v/>
      </c>
      <c r="P48" s="44">
        <f>IF(AND( C10="Buy", ISBLANK(W10), B10&lt;&gt;"DIV", NOW()-A10 &lt; 365), (1-Index!$F$2*2)*((J10*D10)-(E10*D10)), "")</f>
        <v/>
      </c>
      <c r="Q48" s="44">
        <f>IF(AND( C10="Buy", ISBLANK(W10), B10&lt;&gt;"DIV", NOW()-A10 &lt; 365), ((E10*D10)+P10), "")</f>
        <v/>
      </c>
      <c r="R48" s="44">
        <f>IF(AND( C10="Buy", ISBLANK(W10), B10&lt;&gt;"DIV", NOW()-A10 &lt; 365), D10, "")</f>
        <v/>
      </c>
      <c r="S48" s="46">
        <f>IF(AND( C10="Buy", ISBLANK(W10), B10&lt;&gt;"DIV", NOW()-A10 &gt; 365), T10/sum(F10:I10), "")</f>
        <v/>
      </c>
      <c r="T48" s="47">
        <f>IF(AND( C10="Buy", ISBLANK(W10), B10&lt;&gt;"DIV", NOW()-A10 &gt; 365), (1-Index!$F$2*2)*((J10*D10)-(E10*D10)), "")</f>
        <v/>
      </c>
      <c r="U48" s="47">
        <f>IF(AND( C10="Buy", ISBLANK(W10), B10&lt;&gt;"DIV", NOW()-A10 &gt; 365), ((E10*D10)+T10), "")</f>
        <v/>
      </c>
      <c r="V48" s="47">
        <f>IF(AND( C10="Buy", ISBLANK(W10), B10&lt;&gt;"DIV", NOW()-A10 &gt; 365), D10, "")</f>
        <v/>
      </c>
      <c r="W48" s="47" t="n"/>
      <c r="X48" s="47" t="n"/>
      <c r="Y48" s="46">
        <f>IF(AND( C10="Buy", W10&lt;&gt;"", AA10&lt;&gt;"", B10&lt;&gt;"DIV"), Z10/sum(F10:I10), "")</f>
        <v/>
      </c>
      <c r="Z48" s="47" t="n"/>
      <c r="AA48" s="47" t="n"/>
      <c r="AB48" s="48" t="n"/>
      <c r="AC48" s="44">
        <f>if(B10="DIV", F10,"")</f>
        <v/>
      </c>
      <c r="AD48" s="49" t="n"/>
    </row>
    <row r="49">
      <c r="A49" s="50" t="n">
        <v>45716</v>
      </c>
      <c r="B49" s="51" t="inlineStr">
        <is>
          <t>NSE</t>
        </is>
      </c>
      <c r="C49" s="51" t="inlineStr">
        <is>
          <t>Buy</t>
        </is>
      </c>
      <c r="D49" s="52" t="n">
        <v>1</v>
      </c>
      <c r="E49" s="53" t="n">
        <v>1296.01</v>
      </c>
      <c r="F49" s="53" t="n">
        <v>1296.01</v>
      </c>
      <c r="G49" s="51" t="inlineStr">
        <is>
          <t>~</t>
        </is>
      </c>
      <c r="H49" s="52" t="n">
        <v>1.29</v>
      </c>
      <c r="I49" s="52" t="n">
        <v>7.82</v>
      </c>
      <c r="J49" s="42">
        <f>Index!$C$2</f>
        <v/>
      </c>
      <c r="K49" s="43">
        <f>IF(AND( C11="Buy", ISBLANK(W11), B11&lt;&gt;"DIV"), L11/sum(F11:I11), "")</f>
        <v/>
      </c>
      <c r="L49" s="44">
        <f>IF(AND( C11="Buy", ISBLANK(W11), B11&lt;&gt;"DIV"), (1-Index!$F$2*2)*((J11*D11)-(E11*D11)), "")</f>
        <v/>
      </c>
      <c r="M49" s="44">
        <f>IF(AND( C11="Buy", ISBLANK(W11), B11&lt;&gt;"DIV"), ((E11*D11)+L11), "")</f>
        <v/>
      </c>
      <c r="N49" s="45">
        <f>IF(AND( C11="Buy", ISBLANK(W11), B11&lt;&gt;"DIV"), D11, "")</f>
        <v/>
      </c>
      <c r="O49" s="43">
        <f>IF(AND( C11="Buy", ISBLANK(W11), B11&lt;&gt;"DIV", NOW()-A11 &lt; 365), P11/sum(F11:I11), "")</f>
        <v/>
      </c>
      <c r="P49" s="44">
        <f>IF(AND( C11="Buy", ISBLANK(W11), B11&lt;&gt;"DIV", NOW()-A11 &lt; 365), (1-Index!$F$2*2)*((J11*D11)-(E11*D11)), "")</f>
        <v/>
      </c>
      <c r="Q49" s="44">
        <f>IF(AND( C11="Buy", ISBLANK(W11), B11&lt;&gt;"DIV", NOW()-A11 &lt; 365), ((E11*D11)+P11), "")</f>
        <v/>
      </c>
      <c r="R49" s="44">
        <f>IF(AND( C11="Buy", ISBLANK(W11), B11&lt;&gt;"DIV", NOW()-A11 &lt; 365), D11, "")</f>
        <v/>
      </c>
      <c r="S49" s="46">
        <f>IF(AND( C11="Buy", ISBLANK(W11), B11&lt;&gt;"DIV", NOW()-A11 &gt; 365), T11/sum(F11:I11), "")</f>
        <v/>
      </c>
      <c r="T49" s="47">
        <f>IF(AND( C11="Buy", ISBLANK(W11), B11&lt;&gt;"DIV", NOW()-A11 &gt; 365), (1-Index!$F$2*2)*((J11*D11)-(E11*D11)), "")</f>
        <v/>
      </c>
      <c r="U49" s="47">
        <f>IF(AND( C11="Buy", ISBLANK(W11), B11&lt;&gt;"DIV", NOW()-A11 &gt; 365), ((E11*D11)+T11), "")</f>
        <v/>
      </c>
      <c r="V49" s="47">
        <f>IF(AND( C11="Buy", ISBLANK(W11), B11&lt;&gt;"DIV", NOW()-A11 &gt; 365), D11, "")</f>
        <v/>
      </c>
      <c r="W49" s="47" t="n"/>
      <c r="X49" s="47" t="n"/>
      <c r="Y49" s="46">
        <f>IF(AND( C11="Buy", W11&lt;&gt;"", AA11&lt;&gt;"", B11&lt;&gt;"DIV"), Z11/sum(F11:I11), "")</f>
        <v/>
      </c>
      <c r="Z49" s="47" t="n"/>
      <c r="AA49" s="47" t="n"/>
      <c r="AB49" s="48" t="n"/>
      <c r="AC49" s="44">
        <f>if(B11="DIV", F11,"")</f>
        <v/>
      </c>
      <c r="AD49" s="49" t="n"/>
    </row>
    <row r="50">
      <c r="A50" s="50" t="n">
        <v>45716</v>
      </c>
      <c r="B50" s="51" t="inlineStr">
        <is>
          <t>NSE</t>
        </is>
      </c>
      <c r="C50" s="51" t="inlineStr">
        <is>
          <t>Buy</t>
        </is>
      </c>
      <c r="D50" s="52" t="n">
        <v>3</v>
      </c>
      <c r="E50" s="53" t="n">
        <v>1296.01</v>
      </c>
      <c r="F50" s="53" t="n">
        <v>3888.03</v>
      </c>
      <c r="G50" s="51" t="inlineStr">
        <is>
          <t>~</t>
        </is>
      </c>
      <c r="H50" s="52" t="n">
        <v>3.85</v>
      </c>
      <c r="I50" s="52" t="n">
        <v>23.48</v>
      </c>
      <c r="J50" s="42">
        <f>Index!$C$2</f>
        <v/>
      </c>
      <c r="K50" s="43">
        <f>IF(AND( C12="Buy", ISBLANK(W12), B12&lt;&gt;"DIV"), L12/sum(F12:I12), "")</f>
        <v/>
      </c>
      <c r="L50" s="44">
        <f>IF(AND( C12="Buy", ISBLANK(W12), B12&lt;&gt;"DIV"), (1-Index!$F$2*2)*((J12*D12)-(E12*D12)), "")</f>
        <v/>
      </c>
      <c r="M50" s="44">
        <f>IF(AND( C12="Buy", ISBLANK(W12), B12&lt;&gt;"DIV"), ((E12*D12)+L12), "")</f>
        <v/>
      </c>
      <c r="N50" s="45">
        <f>IF(AND( C12="Buy", ISBLANK(W12), B12&lt;&gt;"DIV"), D12, "")</f>
        <v/>
      </c>
      <c r="O50" s="43">
        <f>IF(AND( C12="Buy", ISBLANK(W12), B12&lt;&gt;"DIV", NOW()-A12 &lt; 365), P12/sum(F12:I12), "")</f>
        <v/>
      </c>
      <c r="P50" s="44">
        <f>IF(AND( C12="Buy", ISBLANK(W12), B12&lt;&gt;"DIV", NOW()-A12 &lt; 365), (1-Index!$F$2*2)*((J12*D12)-(E12*D12)), "")</f>
        <v/>
      </c>
      <c r="Q50" s="44">
        <f>IF(AND( C12="Buy", ISBLANK(W12), B12&lt;&gt;"DIV", NOW()-A12 &lt; 365), ((E12*D12)+P12), "")</f>
        <v/>
      </c>
      <c r="R50" s="44">
        <f>IF(AND( C12="Buy", ISBLANK(W12), B12&lt;&gt;"DIV", NOW()-A12 &lt; 365), D12, "")</f>
        <v/>
      </c>
      <c r="S50" s="46">
        <f>IF(AND( C12="Buy", ISBLANK(W12), B12&lt;&gt;"DIV", NOW()-A12 &gt; 365), T12/sum(F12:I12), "")</f>
        <v/>
      </c>
      <c r="T50" s="47">
        <f>IF(AND( C12="Buy", ISBLANK(W12), B12&lt;&gt;"DIV", NOW()-A12 &gt; 365), (1-Index!$F$2*2)*((J12*D12)-(E12*D12)), "")</f>
        <v/>
      </c>
      <c r="U50" s="47">
        <f>IF(AND( C12="Buy", ISBLANK(W12), B12&lt;&gt;"DIV", NOW()-A12 &gt; 365), ((E12*D12)+T12), "")</f>
        <v/>
      </c>
      <c r="V50" s="47">
        <f>IF(AND( C12="Buy", ISBLANK(W12), B12&lt;&gt;"DIV", NOW()-A12 &gt; 365), D12, "")</f>
        <v/>
      </c>
      <c r="W50" s="47" t="n"/>
      <c r="X50" s="47" t="n"/>
      <c r="Y50" s="46">
        <f>IF(AND( C12="Buy", W12&lt;&gt;"", AA12&lt;&gt;"", B12&lt;&gt;"DIV"), Z12/sum(F12:I12), "")</f>
        <v/>
      </c>
      <c r="Z50" s="47" t="n"/>
      <c r="AA50" s="47" t="n"/>
      <c r="AB50" s="48" t="n"/>
      <c r="AC50" s="44">
        <f>if(B12="DIV", F12,"")</f>
        <v/>
      </c>
      <c r="AD50" s="49" t="n"/>
    </row>
    <row r="51">
      <c r="A51" s="50" t="n">
        <v>45712</v>
      </c>
      <c r="B51" s="51" t="inlineStr">
        <is>
          <t>NSE</t>
        </is>
      </c>
      <c r="C51" s="51" t="inlineStr">
        <is>
          <t>Buy</t>
        </is>
      </c>
      <c r="D51" s="52" t="n">
        <v>5</v>
      </c>
      <c r="E51" s="53" t="n">
        <v>1437.12</v>
      </c>
      <c r="F51" s="53" t="n">
        <v>7185.59</v>
      </c>
      <c r="G51" s="51" t="inlineStr">
        <is>
          <t>~</t>
        </is>
      </c>
      <c r="H51" s="52" t="n">
        <v>7.13</v>
      </c>
      <c r="I51" s="52" t="n">
        <v>43.46</v>
      </c>
      <c r="J51" s="42">
        <f>Index!$C$2</f>
        <v/>
      </c>
      <c r="K51" s="43">
        <f>IF(AND( C13="Buy", ISBLANK(W13), B13&lt;&gt;"DIV"), L13/sum(F13:I13), "")</f>
        <v/>
      </c>
      <c r="L51" s="44">
        <f>IF(AND( C13="Buy", ISBLANK(W13), B13&lt;&gt;"DIV"), (1-Index!$F$2*2)*((J13*D13)-(E13*D13)), "")</f>
        <v/>
      </c>
      <c r="M51" s="44">
        <f>IF(AND( C13="Buy", ISBLANK(W13), B13&lt;&gt;"DIV"), ((E13*D13)+L13), "")</f>
        <v/>
      </c>
      <c r="N51" s="45">
        <f>IF(AND( C13="Buy", ISBLANK(W13), B13&lt;&gt;"DIV"), D13, "")</f>
        <v/>
      </c>
      <c r="O51" s="43">
        <f>IF(AND( C13="Buy", ISBLANK(W13), B13&lt;&gt;"DIV", NOW()-A13 &lt; 365), P13/sum(F13:I13), "")</f>
        <v/>
      </c>
      <c r="P51" s="44">
        <f>IF(AND( C13="Buy", ISBLANK(W13), B13&lt;&gt;"DIV", NOW()-A13 &lt; 365), (1-Index!$F$2*2)*((J13*D13)-(E13*D13)), "")</f>
        <v/>
      </c>
      <c r="Q51" s="44">
        <f>IF(AND( C13="Buy", ISBLANK(W13), B13&lt;&gt;"DIV", NOW()-A13 &lt; 365), ((E13*D13)+P13), "")</f>
        <v/>
      </c>
      <c r="R51" s="44">
        <f>IF(AND( C13="Buy", ISBLANK(W13), B13&lt;&gt;"DIV", NOW()-A13 &lt; 365), D13, "")</f>
        <v/>
      </c>
      <c r="S51" s="46">
        <f>IF(AND( C13="Buy", ISBLANK(W13), B13&lt;&gt;"DIV", NOW()-A13 &gt; 365), T13/sum(F13:I13), "")</f>
        <v/>
      </c>
      <c r="T51" s="47">
        <f>IF(AND( C13="Buy", ISBLANK(W13), B13&lt;&gt;"DIV", NOW()-A13 &gt; 365), (1-Index!$F$2*2)*((J13*D13)-(E13*D13)), "")</f>
        <v/>
      </c>
      <c r="U51" s="47">
        <f>IF(AND( C13="Buy", ISBLANK(W13), B13&lt;&gt;"DIV", NOW()-A13 &gt; 365), ((E13*D13)+T13), "")</f>
        <v/>
      </c>
      <c r="V51" s="47">
        <f>IF(AND( C13="Buy", ISBLANK(W13), B13&lt;&gt;"DIV", NOW()-A13 &gt; 365), D13, "")</f>
        <v/>
      </c>
      <c r="W51" s="47" t="n"/>
      <c r="X51" s="47" t="n"/>
      <c r="Y51" s="46">
        <f>IF(AND( C13="Buy", W13&lt;&gt;"", AA13&lt;&gt;"", B13&lt;&gt;"DIV"), Z13/sum(F13:I13), "")</f>
        <v/>
      </c>
      <c r="Z51" s="47" t="n"/>
      <c r="AA51" s="47" t="n"/>
      <c r="AB51" s="48" t="n"/>
      <c r="AC51" s="44">
        <f>if(B13="DIV", F13,"")</f>
        <v/>
      </c>
      <c r="AD51" s="49" t="n"/>
    </row>
    <row r="52">
      <c r="A52" s="50" t="n">
        <v>45705</v>
      </c>
      <c r="B52" s="51" t="inlineStr">
        <is>
          <t>NSE</t>
        </is>
      </c>
      <c r="C52" s="51" t="inlineStr">
        <is>
          <t>Buy</t>
        </is>
      </c>
      <c r="D52" s="52" t="n">
        <v>6</v>
      </c>
      <c r="E52" s="53" t="n">
        <v>1362.48</v>
      </c>
      <c r="F52" s="53" t="n">
        <v>8174.89</v>
      </c>
      <c r="G52" s="51" t="inlineStr">
        <is>
          <t>~</t>
        </is>
      </c>
      <c r="H52" s="52" t="n">
        <v>8.109999999999999</v>
      </c>
      <c r="I52" s="52" t="n">
        <v>49.38</v>
      </c>
      <c r="J52" s="42">
        <f>Index!$C$2</f>
        <v/>
      </c>
      <c r="K52" s="43">
        <f>IF(AND( C14="Buy", ISBLANK(W14), B14&lt;&gt;"DIV"), L14/sum(F14:I14), "")</f>
        <v/>
      </c>
      <c r="L52" s="44">
        <f>IF(AND( C14="Buy", ISBLANK(W14), B14&lt;&gt;"DIV"), (1-Index!$F$2*2)*((J14*D14)-(E14*D14)), "")</f>
        <v/>
      </c>
      <c r="M52" s="44">
        <f>IF(AND( C14="Buy", ISBLANK(W14), B14&lt;&gt;"DIV"), ((E14*D14)+L14), "")</f>
        <v/>
      </c>
      <c r="N52" s="45">
        <f>IF(AND( C14="Buy", ISBLANK(W14), B14&lt;&gt;"DIV"), D14, "")</f>
        <v/>
      </c>
      <c r="O52" s="43">
        <f>IF(AND( C14="Buy", ISBLANK(W14), B14&lt;&gt;"DIV", NOW()-A14 &lt; 365), P14/sum(F14:I14), "")</f>
        <v/>
      </c>
      <c r="P52" s="44">
        <f>IF(AND( C14="Buy", ISBLANK(W14), B14&lt;&gt;"DIV", NOW()-A14 &lt; 365), (1-Index!$F$2*2)*((J14*D14)-(E14*D14)), "")</f>
        <v/>
      </c>
      <c r="Q52" s="44">
        <f>IF(AND( C14="Buy", ISBLANK(W14), B14&lt;&gt;"DIV", NOW()-A14 &lt; 365), ((E14*D14)+P14), "")</f>
        <v/>
      </c>
      <c r="R52" s="44">
        <f>IF(AND( C14="Buy", ISBLANK(W14), B14&lt;&gt;"DIV", NOW()-A14 &lt; 365), D14, "")</f>
        <v/>
      </c>
      <c r="S52" s="46">
        <f>IF(AND( C14="Buy", ISBLANK(W14), B14&lt;&gt;"DIV", NOW()-A14 &gt; 365), T14/sum(F14:I14), "")</f>
        <v/>
      </c>
      <c r="T52" s="47">
        <f>IF(AND( C14="Buy", ISBLANK(W14), B14&lt;&gt;"DIV", NOW()-A14 &gt; 365), (1-Index!$F$2*2)*((J14*D14)-(E14*D14)), "")</f>
        <v/>
      </c>
      <c r="U52" s="47">
        <f>IF(AND( C14="Buy", ISBLANK(W14), B14&lt;&gt;"DIV", NOW()-A14 &gt; 365), ((E14*D14)+T14), "")</f>
        <v/>
      </c>
      <c r="V52" s="47">
        <f>IF(AND( C14="Buy", ISBLANK(W14), B14&lt;&gt;"DIV", NOW()-A14 &gt; 365), D14, "")</f>
        <v/>
      </c>
      <c r="W52" s="47" t="n"/>
      <c r="X52" s="47" t="n"/>
      <c r="Y52" s="46">
        <f>IF(AND( C14="Buy", W14&lt;&gt;"", AA14&lt;&gt;"", B14&lt;&gt;"DIV"), Z14/sum(F14:I14), "")</f>
        <v/>
      </c>
      <c r="Z52" s="47" t="n"/>
      <c r="AA52" s="47" t="n"/>
      <c r="AB52" s="48" t="n"/>
      <c r="AC52" s="44">
        <f>if(B14="DIV", F14,"")</f>
        <v/>
      </c>
      <c r="AD52" s="49" t="n"/>
    </row>
    <row r="53">
      <c r="A53" s="50" t="n">
        <v>45699</v>
      </c>
      <c r="B53" s="51" t="inlineStr">
        <is>
          <t>NSE</t>
        </is>
      </c>
      <c r="C53" s="51" t="inlineStr">
        <is>
          <t>Buy</t>
        </is>
      </c>
      <c r="D53" s="52" t="n">
        <v>2</v>
      </c>
      <c r="E53" s="53" t="n">
        <v>1383.59</v>
      </c>
      <c r="F53" s="53" t="n">
        <v>2767.17</v>
      </c>
      <c r="G53" s="51" t="inlineStr">
        <is>
          <t>~</t>
        </is>
      </c>
      <c r="H53" s="52" t="n">
        <v>2.75</v>
      </c>
      <c r="I53" s="52" t="n">
        <v>16.72</v>
      </c>
      <c r="J53" s="42">
        <f>Index!$C$2</f>
        <v/>
      </c>
      <c r="K53" s="43">
        <f>IF(AND( C15="Buy", ISBLANK(W15), B15&lt;&gt;"DIV"), L15/sum(F15:I15), "")</f>
        <v/>
      </c>
      <c r="L53" s="44">
        <f>IF(AND( C15="Buy", ISBLANK(W15), B15&lt;&gt;"DIV"), (1-Index!$F$2*2)*((J15*D15)-(E15*D15)), "")</f>
        <v/>
      </c>
      <c r="M53" s="44">
        <f>IF(AND( C15="Buy", ISBLANK(W15), B15&lt;&gt;"DIV"), ((E15*D15)+L15), "")</f>
        <v/>
      </c>
      <c r="N53" s="45">
        <f>IF(AND( C15="Buy", ISBLANK(W15), B15&lt;&gt;"DIV"), D15, "")</f>
        <v/>
      </c>
      <c r="O53" s="43">
        <f>IF(AND( C15="Buy", ISBLANK(W15), B15&lt;&gt;"DIV", NOW()-A15 &lt; 365), P15/sum(F15:I15), "")</f>
        <v/>
      </c>
      <c r="P53" s="44">
        <f>IF(AND( C15="Buy", ISBLANK(W15), B15&lt;&gt;"DIV", NOW()-A15 &lt; 365), (1-Index!$F$2*2)*((J15*D15)-(E15*D15)), "")</f>
        <v/>
      </c>
      <c r="Q53" s="44">
        <f>IF(AND( C15="Buy", ISBLANK(W15), B15&lt;&gt;"DIV", NOW()-A15 &lt; 365), ((E15*D15)+P15), "")</f>
        <v/>
      </c>
      <c r="R53" s="44">
        <f>IF(AND( C15="Buy", ISBLANK(W15), B15&lt;&gt;"DIV", NOW()-A15 &lt; 365), D15, "")</f>
        <v/>
      </c>
      <c r="S53" s="46">
        <f>IF(AND( C15="Buy", ISBLANK(W15), B15&lt;&gt;"DIV", NOW()-A15 &gt; 365), T15/sum(F15:I15), "")</f>
        <v/>
      </c>
      <c r="T53" s="47">
        <f>IF(AND( C15="Buy", ISBLANK(W15), B15&lt;&gt;"DIV", NOW()-A15 &gt; 365), (1-Index!$F$2*2)*((J15*D15)-(E15*D15)), "")</f>
        <v/>
      </c>
      <c r="U53" s="47">
        <f>IF(AND( C15="Buy", ISBLANK(W15), B15&lt;&gt;"DIV", NOW()-A15 &gt; 365), ((E15*D15)+T15), "")</f>
        <v/>
      </c>
      <c r="V53" s="47">
        <f>IF(AND( C15="Buy", ISBLANK(W15), B15&lt;&gt;"DIV", NOW()-A15 &gt; 365), D15, "")</f>
        <v/>
      </c>
      <c r="W53" s="47" t="n"/>
      <c r="X53" s="47" t="n"/>
      <c r="Y53" s="46">
        <f>IF(AND( C15="Buy", W15&lt;&gt;"", AA15&lt;&gt;"", B15&lt;&gt;"DIV"), Z15/sum(F15:I15), "")</f>
        <v/>
      </c>
      <c r="Z53" s="47" t="n"/>
      <c r="AA53" s="47" t="n"/>
      <c r="AB53" s="48" t="n"/>
      <c r="AC53" s="44">
        <f>if(B15="DIV", F15,"")</f>
        <v/>
      </c>
      <c r="AD53" s="49" t="n"/>
    </row>
    <row r="54">
      <c r="A54" s="50" t="n">
        <v>45694</v>
      </c>
      <c r="B54" s="51" t="inlineStr">
        <is>
          <t>NSE</t>
        </is>
      </c>
      <c r="C54" s="51" t="inlineStr">
        <is>
          <t>Buy</t>
        </is>
      </c>
      <c r="D54" s="52" t="n">
        <v>2</v>
      </c>
      <c r="E54" s="53" t="n">
        <v>1398.44</v>
      </c>
      <c r="F54" s="53" t="n">
        <v>2796.88</v>
      </c>
      <c r="G54" s="51" t="inlineStr">
        <is>
          <t>~</t>
        </is>
      </c>
      <c r="H54" s="52" t="n">
        <v>2.77</v>
      </c>
      <c r="I54" s="52" t="n">
        <v>16.91</v>
      </c>
      <c r="J54" s="42">
        <f>Index!$C$2</f>
        <v/>
      </c>
      <c r="K54" s="43">
        <f>IF(AND( C16="Buy", ISBLANK(W16), B16&lt;&gt;"DIV"), L16/sum(F16:I16), "")</f>
        <v/>
      </c>
      <c r="L54" s="44">
        <f>IF(AND( C16="Buy", ISBLANK(W16), B16&lt;&gt;"DIV"), (1-Index!$F$2*2)*((J16*D16)-(E16*D16)), "")</f>
        <v/>
      </c>
      <c r="M54" s="44">
        <f>IF(AND( C16="Buy", ISBLANK(W16), B16&lt;&gt;"DIV"), ((E16*D16)+L16), "")</f>
        <v/>
      </c>
      <c r="N54" s="45">
        <f>IF(AND( C16="Buy", ISBLANK(W16), B16&lt;&gt;"DIV"), D16, "")</f>
        <v/>
      </c>
      <c r="O54" s="43">
        <f>IF(AND( C16="Buy", ISBLANK(W16), B16&lt;&gt;"DIV", NOW()-A16 &lt; 365), P16/sum(F16:I16), "")</f>
        <v/>
      </c>
      <c r="P54" s="44">
        <f>IF(AND( C16="Buy", ISBLANK(W16), B16&lt;&gt;"DIV", NOW()-A16 &lt; 365), (1-Index!$F$2*2)*((J16*D16)-(E16*D16)), "")</f>
        <v/>
      </c>
      <c r="Q54" s="44">
        <f>IF(AND( C16="Buy", ISBLANK(W16), B16&lt;&gt;"DIV", NOW()-A16 &lt; 365), ((E16*D16)+P16), "")</f>
        <v/>
      </c>
      <c r="R54" s="44">
        <f>IF(AND( C16="Buy", ISBLANK(W16), B16&lt;&gt;"DIV", NOW()-A16 &lt; 365), D16, "")</f>
        <v/>
      </c>
      <c r="S54" s="46">
        <f>IF(AND( C16="Buy", ISBLANK(W16), B16&lt;&gt;"DIV", NOW()-A16 &gt; 365), T16/sum(F16:I16), "")</f>
        <v/>
      </c>
      <c r="T54" s="47">
        <f>IF(AND( C16="Buy", ISBLANK(W16), B16&lt;&gt;"DIV", NOW()-A16 &gt; 365), (1-Index!$F$2*2)*((J16*D16)-(E16*D16)), "")</f>
        <v/>
      </c>
      <c r="U54" s="47">
        <f>IF(AND( C16="Buy", ISBLANK(W16), B16&lt;&gt;"DIV", NOW()-A16 &gt; 365), ((E16*D16)+T16), "")</f>
        <v/>
      </c>
      <c r="V54" s="47">
        <f>IF(AND( C16="Buy", ISBLANK(W16), B16&lt;&gt;"DIV", NOW()-A16 &gt; 365), D16, "")</f>
        <v/>
      </c>
      <c r="W54" s="47" t="n"/>
      <c r="X54" s="47" t="n"/>
      <c r="Y54" s="46">
        <f>IF(AND( C16="Buy", W16&lt;&gt;"", AA16&lt;&gt;"", B16&lt;&gt;"DIV"), Z16/sum(F16:I16), "")</f>
        <v/>
      </c>
      <c r="Z54" s="47" t="n"/>
      <c r="AA54" s="47" t="n"/>
      <c r="AB54" s="48" t="n"/>
      <c r="AC54" s="44">
        <f>if(B16="DIV", F16,"")</f>
        <v/>
      </c>
      <c r="AD54" s="49" t="n"/>
    </row>
    <row r="55">
      <c r="A55" s="50" t="n">
        <v>45307</v>
      </c>
      <c r="B55" s="51" t="inlineStr">
        <is>
          <t>NSE</t>
        </is>
      </c>
      <c r="C55" s="51" t="inlineStr">
        <is>
          <t>Sell</t>
        </is>
      </c>
      <c r="D55" s="52" t="n">
        <v>5</v>
      </c>
      <c r="E55" s="53" t="n">
        <v>658.4</v>
      </c>
      <c r="F55" s="53" t="n">
        <v>3292</v>
      </c>
      <c r="G55" s="51" t="inlineStr">
        <is>
          <t>~</t>
        </is>
      </c>
      <c r="H55" s="52" t="n">
        <v>3.29</v>
      </c>
      <c r="I55" s="52" t="n">
        <v>19.71</v>
      </c>
      <c r="J55" s="42">
        <f>Index!$C$2</f>
        <v/>
      </c>
      <c r="K55" s="43">
        <f>IF(AND( C17="Buy", ISBLANK(W17), B17&lt;&gt;"DIV"), L17/sum(F17:I17), "")</f>
        <v/>
      </c>
      <c r="L55" s="44">
        <f>IF(AND( C17="Buy", ISBLANK(W17), B17&lt;&gt;"DIV"), (1-Index!$F$2*2)*((J17*D17)-(E17*D17)), "")</f>
        <v/>
      </c>
      <c r="M55" s="44">
        <f>IF(AND( C17="Buy", ISBLANK(W17), B17&lt;&gt;"DIV"), ((E17*D17)+L17), "")</f>
        <v/>
      </c>
      <c r="N55" s="45">
        <f>IF(AND( C17="Buy", ISBLANK(W17), B17&lt;&gt;"DIV"), D17, "")</f>
        <v/>
      </c>
      <c r="O55" s="43">
        <f>IF(AND( C17="Buy", ISBLANK(W17), B17&lt;&gt;"DIV", NOW()-A17 &lt; 365), P17/sum(F17:I17), "")</f>
        <v/>
      </c>
      <c r="P55" s="44">
        <f>IF(AND( C17="Buy", ISBLANK(W17), B17&lt;&gt;"DIV", NOW()-A17 &lt; 365), (1-Index!$F$2*2)*((J17*D17)-(E17*D17)), "")</f>
        <v/>
      </c>
      <c r="Q55" s="44">
        <f>IF(AND( C17="Buy", ISBLANK(W17), B17&lt;&gt;"DIV", NOW()-A17 &lt; 365), ((E17*D17)+P17), "")</f>
        <v/>
      </c>
      <c r="R55" s="44">
        <f>IF(AND( C17="Buy", ISBLANK(W17), B17&lt;&gt;"DIV", NOW()-A17 &lt; 365), D17, "")</f>
        <v/>
      </c>
      <c r="S55" s="46">
        <f>IF(AND( C17="Buy", ISBLANK(W17), B17&lt;&gt;"DIV", NOW()-A17 &gt; 365), T17/sum(F17:I17), "")</f>
        <v/>
      </c>
      <c r="T55" s="47">
        <f>IF(AND( C17="Buy", ISBLANK(W17), B17&lt;&gt;"DIV", NOW()-A17 &gt; 365), (1-Index!$F$2*2)*((J17*D17)-(E17*D17)), "")</f>
        <v/>
      </c>
      <c r="U55" s="47">
        <f>IF(AND( C17="Buy", ISBLANK(W17), B17&lt;&gt;"DIV", NOW()-A17 &gt; 365), ((E17*D17)+T17), "")</f>
        <v/>
      </c>
      <c r="V55" s="47">
        <f>IF(AND( C17="Buy", ISBLANK(W17), B17&lt;&gt;"DIV", NOW()-A17 &gt; 365), D17, "")</f>
        <v/>
      </c>
      <c r="W55" s="47" t="n"/>
      <c r="X55" s="47" t="n"/>
      <c r="Y55" s="46">
        <f>IF(AND( C17="Buy", W17&lt;&gt;"", AA17&lt;&gt;"", B17&lt;&gt;"DIV"), Z17/sum(F17:I17), "")</f>
        <v/>
      </c>
      <c r="Z55" s="47" t="n"/>
      <c r="AA55" s="47" t="n"/>
      <c r="AB55" s="48" t="n"/>
      <c r="AC55" s="44">
        <f>if(B17="DIV", F17,"")</f>
        <v/>
      </c>
      <c r="AD55" s="49" t="n"/>
    </row>
    <row r="56">
      <c r="A56" s="54" t="n">
        <v>45225</v>
      </c>
      <c r="B56" s="55" t="inlineStr">
        <is>
          <t>NSE</t>
        </is>
      </c>
      <c r="C56" s="55" t="inlineStr">
        <is>
          <t>Buy</t>
        </is>
      </c>
      <c r="D56" s="57" t="n">
        <v>5</v>
      </c>
      <c r="E56" s="42" t="n">
        <v>450.95</v>
      </c>
      <c r="F56" s="42" t="n">
        <v>2270.75</v>
      </c>
      <c r="G56" s="57" t="inlineStr">
        <is>
          <t>~</t>
        </is>
      </c>
      <c r="H56" s="57" t="n">
        <v>2.27</v>
      </c>
      <c r="I56" s="57" t="n">
        <v>13.73</v>
      </c>
      <c r="J56" s="42">
        <f>Index!$C$2</f>
        <v/>
      </c>
      <c r="K56" s="47" t="n"/>
      <c r="L56" s="47">
        <f>IF(AND( C18="Buy", ISBLANK(W18), B18&lt;&gt;"DIV"), (1-Index!$F$2*2)*((J18*D18)-(E18*D18)), "")</f>
        <v/>
      </c>
      <c r="M56" s="58">
        <f>IF(AND( C18="Buy", ISBLANK(W18), B18&lt;&gt;"DIV"), ((E18*D18)+L18), "")</f>
        <v/>
      </c>
      <c r="N56" s="59">
        <f>IF(AND( C18="Buy", ISBLANK(W18), B18&lt;&gt;"DIV"), D18, "")</f>
        <v/>
      </c>
      <c r="O56" s="58" t="n"/>
      <c r="P56" s="47">
        <f>IF(AND( C18="Buy", ISBLANK(W18), B18&lt;&gt;"DIV", NOW()-A18 &lt; 365), (1-Index!$F$2*2)*((J18*D18)-(E18*D18)), "")</f>
        <v/>
      </c>
      <c r="Q56" s="58">
        <f>IF(AND( C18="Buy", ISBLANK(W18), B18&lt;&gt;"DIV", NOW()-A18 &lt; 365), ((E18*D18)+P18), "")</f>
        <v/>
      </c>
      <c r="R56" s="58">
        <f>IF(AND( C18="Buy", ISBLANK(W18), B18&lt;&gt;"DIV", NOW()-A18 &lt; 365), D18, "")</f>
        <v/>
      </c>
      <c r="S56" s="58" t="n"/>
      <c r="T56" s="58">
        <f>IF(AND( C18="Buy", ISBLANK(W18), B18&lt;&gt;"DIV", NOW()-A18 &gt; 365), (J18*D18)-(E18*D18)-(2*sum(H18:I18)), "")</f>
        <v/>
      </c>
      <c r="U56" s="58">
        <f>IF(AND( C18="Buy", ISBLANK(W18), B18&lt;&gt;"DIV", NOW()-A18 &gt; 365), ((E18*D18)+T18), "")</f>
        <v/>
      </c>
      <c r="V56" s="58">
        <f>IF(AND( C18="Buy", ISBLANK(W18), B18&lt;&gt;"DIV", NOW()-A18 &gt; 365), D18, "")</f>
        <v/>
      </c>
      <c r="W56" s="53" t="n">
        <v>658.4</v>
      </c>
      <c r="X56" s="50" t="n">
        <v>45307</v>
      </c>
      <c r="Y56" s="46">
        <f>IF(AND( C18="Buy", W18&lt;&gt;"", AA18&lt;&gt;"", B18&lt;&gt;"DIV"), Z18/sum(F18:I18), "")</f>
        <v/>
      </c>
      <c r="Z56" s="60">
        <f>(1-Index!$F$2*2)*((W18*D18)-(E18*D18))</f>
        <v/>
      </c>
      <c r="AA56" s="60">
        <f>((E18*D18)+Z18)</f>
        <v/>
      </c>
      <c r="AB56" s="61">
        <f>D18</f>
        <v/>
      </c>
      <c r="AC56" s="44">
        <f>if(B18="DIV", F18,"")</f>
        <v/>
      </c>
      <c r="AD56" s="62" t="inlineStr">
        <is>
          <t>SBI Securities</t>
        </is>
      </c>
    </row>
    <row r="57">
      <c r="A57" s="54" t="n">
        <v>44239</v>
      </c>
      <c r="B57" s="55" t="inlineStr">
        <is>
          <t>NSE</t>
        </is>
      </c>
      <c r="C57" s="55" t="inlineStr">
        <is>
          <t>Sell</t>
        </is>
      </c>
      <c r="D57" s="57" t="n">
        <v>120</v>
      </c>
      <c r="E57" s="42" t="n">
        <v>217.931</v>
      </c>
      <c r="F57" s="42" t="n">
        <v>26336.62</v>
      </c>
      <c r="G57" s="57" t="inlineStr">
        <is>
          <t>~</t>
        </is>
      </c>
      <c r="H57" s="57" t="n">
        <v>26.54</v>
      </c>
      <c r="I57" s="57" t="n">
        <v>158.14</v>
      </c>
      <c r="J57" s="42">
        <f>Index!$C$2</f>
        <v/>
      </c>
      <c r="K57" s="47" t="n"/>
      <c r="L57" s="47">
        <f>IF(AND( C19="Buy", ISBLANK(W19), B19&lt;&gt;"DIV"), (1-Index!$F$2*2)*((J19*D19)-(E19*D19)), "")</f>
        <v/>
      </c>
      <c r="M57" s="58">
        <f>IF(AND( C19="Buy", ISBLANK(W19), B19&lt;&gt;"DIV"), ((E19*D19)+L19), "")</f>
        <v/>
      </c>
      <c r="N57" s="59">
        <f>IF(AND( C19="Buy", ISBLANK(W19), B19&lt;&gt;"DIV"), D19, "")</f>
        <v/>
      </c>
      <c r="O57" s="58" t="n"/>
      <c r="P57" s="47">
        <f>IF(AND( C19="Buy", ISBLANK(W19), B19&lt;&gt;"DIV", NOW()-A19 &lt; 365), (1-Index!$F$2*2)*((J19*D19)-(E19*D19)), "")</f>
        <v/>
      </c>
      <c r="Q57" s="58">
        <f>IF(AND( C19="Buy", ISBLANK(W19), B19&lt;&gt;"DIV", NOW()-A19 &lt; 365), ((E19*D19)+P19), "")</f>
        <v/>
      </c>
      <c r="R57" s="58">
        <f>IF(AND( C19="Buy", ISBLANK(W19), B19&lt;&gt;"DIV", NOW()-A19 &lt; 365), D19, "")</f>
        <v/>
      </c>
      <c r="S57" s="58" t="n"/>
      <c r="T57" s="58">
        <f>IF(AND( C19="Buy", ISBLANK(W19), B19&lt;&gt;"DIV", NOW()-A19 &gt; 365), (J19*D19)-(E19*D19)-(2*sum(H19:I19)), "")</f>
        <v/>
      </c>
      <c r="U57" s="58">
        <f>IF(AND( C19="Buy", ISBLANK(W19), B19&lt;&gt;"DIV", NOW()-A19 &gt; 365), ((E19*D19)+T19), "")</f>
        <v/>
      </c>
      <c r="V57" s="58">
        <f>IF(AND( C19="Buy", ISBLANK(W19), B19&lt;&gt;"DIV", NOW()-A19 &gt; 365), D19, "")</f>
        <v/>
      </c>
      <c r="W57" s="47" t="n"/>
      <c r="X57" s="47" t="n"/>
      <c r="Y57" s="46">
        <f>IF(AND( C19="Buy", W19&lt;&gt;"", AA19&lt;&gt;"", B19&lt;&gt;"DIV"), Z19/sum(F19:I19), "")</f>
        <v/>
      </c>
      <c r="Z57" s="47" t="n"/>
      <c r="AA57" s="47" t="n"/>
      <c r="AB57" s="48" t="n"/>
      <c r="AC57" s="44">
        <f>if(B19="DIV", F19,"")</f>
        <v/>
      </c>
      <c r="AD57" s="62" t="inlineStr">
        <is>
          <t>SBI Securities</t>
        </is>
      </c>
    </row>
    <row r="58">
      <c r="A58" s="54" t="n">
        <v>44214</v>
      </c>
      <c r="B58" s="55" t="inlineStr">
        <is>
          <t>NSE</t>
        </is>
      </c>
      <c r="C58" s="55" t="inlineStr">
        <is>
          <t>Buy</t>
        </is>
      </c>
      <c r="D58" s="57" t="n">
        <v>10</v>
      </c>
      <c r="E58" s="42" t="n">
        <v>204.249</v>
      </c>
      <c r="F58" s="42" t="n">
        <v>2056.51</v>
      </c>
      <c r="G58" s="57" t="inlineStr">
        <is>
          <t>~</t>
        </is>
      </c>
      <c r="H58" s="57" t="n">
        <v>1.59</v>
      </c>
      <c r="I58" s="57" t="n">
        <v>12.42</v>
      </c>
      <c r="J58" s="42">
        <f>Index!$C$2</f>
        <v/>
      </c>
      <c r="K58" s="42" t="n"/>
      <c r="L58" s="42">
        <f>IF(AND( C20="Buy", ISBLANK(W20), B20&lt;&gt;"DIV"), ((J20*D20)-(E20*D20)+I20), "")</f>
        <v/>
      </c>
      <c r="M58" s="63">
        <f>IF(AND( C20="Buy", ISBLANK(W20), B20&lt;&gt;"DIV"), J20*D20, "")</f>
        <v/>
      </c>
      <c r="N58" s="64">
        <f>IF(AND( C20="Buy", ISBLANK(W20), B20&lt;&gt;"DIV"), D20, "")</f>
        <v/>
      </c>
      <c r="O58" s="42" t="n"/>
      <c r="P58" s="42">
        <f>IF(AND( C20="Buy", ISBLANK(W20), B20&lt;&gt;"DIV", NOW()-A20 &lt; 365), (J20*D20)-(E20*D20), "")</f>
        <v/>
      </c>
      <c r="Q58" s="65">
        <f>IF(AND( C20="Buy", ISBLANK(W20), B20&lt;&gt;"DIV", NOW()-A20 &lt; 365), J20*D20, "")</f>
        <v/>
      </c>
      <c r="R58" s="65">
        <f>IF(AND( C20="Buy", ISBLANK(W20), B20&lt;&gt;"DIV", NOW()-A20 &lt; 365), D20, "")</f>
        <v/>
      </c>
      <c r="S58" s="58" t="n"/>
      <c r="T58" s="58">
        <f>IF(AND( C20="Buy", ISBLANK(W20), B20&lt;&gt;"DIV", NOW()-A20 &gt; 365), (J20*D20)-(E20*D20), "")</f>
        <v/>
      </c>
      <c r="U58" s="58">
        <f>IF(AND( C20="Buy", ISBLANK(W20), B20&lt;&gt;"DIV", NOW()-A20 &gt; 365), J20*D20, "")</f>
        <v/>
      </c>
      <c r="V58" s="58">
        <f>IF(AND( C20="Buy", ISBLANK(W20), B20&lt;&gt;"DIV", NOW()-A20 &gt; 365), D20, "")</f>
        <v/>
      </c>
      <c r="W58" s="42" t="n">
        <v>217.931</v>
      </c>
      <c r="X58" s="54" t="n">
        <v>44239</v>
      </c>
      <c r="Y58" s="46">
        <f>IF(AND( C20="Buy", W20&lt;&gt;"", AA20&lt;&gt;"", B20&lt;&gt;"DIV"), Z20/sum(F20:I20), "")</f>
        <v/>
      </c>
      <c r="Z58" s="60">
        <f>(1-Index!$F$2*2)*((W20*D20)-(E20*D20))</f>
        <v/>
      </c>
      <c r="AA58" s="60">
        <f>((E20*D20)+Z20)</f>
        <v/>
      </c>
      <c r="AB58" s="61">
        <f>D20</f>
        <v/>
      </c>
      <c r="AC58" s="42">
        <f>if(B20="DIV", F20,"")</f>
        <v/>
      </c>
      <c r="AD58" s="62" t="inlineStr">
        <is>
          <t>SBI Securities</t>
        </is>
      </c>
    </row>
    <row r="59">
      <c r="A59" s="54" t="n">
        <v>44207</v>
      </c>
      <c r="B59" s="55" t="inlineStr">
        <is>
          <t>NSE</t>
        </is>
      </c>
      <c r="C59" s="55" t="inlineStr">
        <is>
          <t>Buy</t>
        </is>
      </c>
      <c r="D59" s="57" t="n">
        <v>10</v>
      </c>
      <c r="E59" s="42" t="n">
        <v>206.996</v>
      </c>
      <c r="F59" s="42" t="n">
        <v>2084.34</v>
      </c>
      <c r="G59" s="57" t="inlineStr">
        <is>
          <t>~</t>
        </is>
      </c>
      <c r="H59" s="57" t="n">
        <v>1.74</v>
      </c>
      <c r="I59" s="57" t="n">
        <v>12.6</v>
      </c>
      <c r="J59" s="42">
        <f>Index!$C$2</f>
        <v/>
      </c>
      <c r="K59" s="42" t="n"/>
      <c r="L59" s="42">
        <f>IF(AND( C21="Buy", ISBLANK(W21), B21&lt;&gt;"DIV"), ((J21*D21)-(E21*D21)+I21), "")</f>
        <v/>
      </c>
      <c r="M59" s="63">
        <f>IF(AND( C21="Buy", ISBLANK(W21), B21&lt;&gt;"DIV"), J21*D21, "")</f>
        <v/>
      </c>
      <c r="N59" s="64">
        <f>IF(AND( C21="Buy", ISBLANK(W21), B21&lt;&gt;"DIV"), D21, "")</f>
        <v/>
      </c>
      <c r="O59" s="42" t="n"/>
      <c r="P59" s="42">
        <f>if(C21="DIV", G21,"")</f>
        <v/>
      </c>
      <c r="Q59" s="65">
        <f>if(D21="DIV", H21,"")</f>
        <v/>
      </c>
      <c r="R59" s="65">
        <f>if(E21="DIV", I21,"")</f>
        <v/>
      </c>
      <c r="S59" s="58" t="n"/>
      <c r="T59" s="58">
        <f>if(G21="DIV", N21,"")</f>
        <v/>
      </c>
      <c r="U59" s="58">
        <f>if(H21="DIV", #REF!,"")</f>
        <v/>
      </c>
      <c r="V59" s="58">
        <f>if(I21="DIV", #REF!,"")</f>
        <v/>
      </c>
      <c r="W59" s="42" t="n">
        <v>217.931</v>
      </c>
      <c r="X59" s="54" t="n">
        <v>44239</v>
      </c>
      <c r="Y59" s="46">
        <f>IF(AND( C21="Buy", W21&lt;&gt;"", AA21&lt;&gt;"", B21&lt;&gt;"DIV"), Z21/sum(F21:I21), "")</f>
        <v/>
      </c>
      <c r="Z59" s="60">
        <f>(1-Index!$F$2*2)*((W21*D21)-(E21*D21))</f>
        <v/>
      </c>
      <c r="AA59" s="60">
        <f>((E21*D21)+Z21)</f>
        <v/>
      </c>
      <c r="AB59" s="61">
        <f>D21</f>
        <v/>
      </c>
      <c r="AC59" s="42">
        <f>if(B21="DIV", F21,"")</f>
        <v/>
      </c>
      <c r="AD59" s="62" t="inlineStr">
        <is>
          <t>SBI Securities</t>
        </is>
      </c>
    </row>
    <row r="60">
      <c r="A60" s="54" t="n">
        <v>44172</v>
      </c>
      <c r="B60" s="55" t="inlineStr">
        <is>
          <t>NSE</t>
        </is>
      </c>
      <c r="C60" s="55" t="inlineStr">
        <is>
          <t>Buy</t>
        </is>
      </c>
      <c r="D60" s="57" t="n">
        <v>50</v>
      </c>
      <c r="E60" s="42" t="n">
        <v>204.745</v>
      </c>
      <c r="F60" s="42" t="n">
        <v>10308.25</v>
      </c>
      <c r="G60" s="57" t="inlineStr">
        <is>
          <t>~</t>
        </is>
      </c>
      <c r="H60" s="57" t="n">
        <v>9.5</v>
      </c>
      <c r="I60" s="57" t="n">
        <v>61.25</v>
      </c>
      <c r="J60" s="42">
        <f>Index!$C$2</f>
        <v/>
      </c>
      <c r="K60" s="42" t="n"/>
      <c r="L60" s="42">
        <f>IF(AND( C22="Buy", ISBLANK(W22), B22&lt;&gt;"DIV"), ((J22*D22)-(E22*D22)+I22), "")</f>
        <v/>
      </c>
      <c r="M60" s="63">
        <f>IF(AND( C22="Buy", ISBLANK(W22), B22&lt;&gt;"DIV"), J22*D22, "")</f>
        <v/>
      </c>
      <c r="N60" s="64">
        <f>IF(AND( C22="Buy", ISBLANK(W22), B22&lt;&gt;"DIV"), D22, "")</f>
        <v/>
      </c>
      <c r="O60" s="42" t="n"/>
      <c r="P60" s="42">
        <f>if(C22="DIV", G22,"")</f>
        <v/>
      </c>
      <c r="Q60" s="65">
        <f>if(D22="DIV", H22,"")</f>
        <v/>
      </c>
      <c r="R60" s="65">
        <f>if(E22="DIV", I22,"")</f>
        <v/>
      </c>
      <c r="S60" s="58" t="n"/>
      <c r="T60" s="58">
        <f>if(G22="DIV", N22,"")</f>
        <v/>
      </c>
      <c r="U60" s="58">
        <f>if(H22="DIV", #REF!,"")</f>
        <v/>
      </c>
      <c r="V60" s="58">
        <f>if(I22="DIV", #REF!,"")</f>
        <v/>
      </c>
      <c r="W60" s="42" t="n">
        <v>217.931</v>
      </c>
      <c r="X60" s="54" t="n">
        <v>44239</v>
      </c>
      <c r="Y60" s="46">
        <f>IF(AND( C22="Buy", W22&lt;&gt;"", AA22&lt;&gt;"", B22&lt;&gt;"DIV"), Z22/sum(F22:I22), "")</f>
        <v/>
      </c>
      <c r="Z60" s="60">
        <f>(1-Index!$F$2*2)*((W22*D22)-(E22*D22))</f>
        <v/>
      </c>
      <c r="AA60" s="60">
        <f>((E22*D22)+Z22)</f>
        <v/>
      </c>
      <c r="AB60" s="61">
        <f>D22</f>
        <v/>
      </c>
      <c r="AC60" s="42">
        <f>if(B22="DIV", F22,"")</f>
        <v/>
      </c>
      <c r="AD60" s="62" t="inlineStr">
        <is>
          <t>SBI Securities</t>
        </is>
      </c>
    </row>
    <row r="61">
      <c r="A61" s="54" t="n">
        <v>44169</v>
      </c>
      <c r="B61" s="55" t="inlineStr">
        <is>
          <t>NSE</t>
        </is>
      </c>
      <c r="C61" s="55" t="inlineStr">
        <is>
          <t>Buy</t>
        </is>
      </c>
      <c r="D61" s="57" t="n">
        <v>50</v>
      </c>
      <c r="E61" s="42" t="n">
        <v>203.9548</v>
      </c>
      <c r="F61" s="42" t="n">
        <v>10268.26</v>
      </c>
      <c r="G61" s="57" t="inlineStr">
        <is>
          <t>~</t>
        </is>
      </c>
      <c r="H61" s="57" t="n">
        <v>9.49</v>
      </c>
      <c r="I61" s="57" t="n">
        <v>61.27</v>
      </c>
      <c r="J61" s="42">
        <f>Index!$C$2</f>
        <v/>
      </c>
      <c r="K61" s="42" t="n"/>
      <c r="L61" s="42">
        <f>IF(AND( C23="Buy", ISBLANK(W23), B23&lt;&gt;"DIV"), ((J23*D23)-(E23*D23)+I23), "")</f>
        <v/>
      </c>
      <c r="M61" s="63">
        <f>IF(AND( C23="Buy", ISBLANK(W23), B23&lt;&gt;"DIV"), J23*D23, "")</f>
        <v/>
      </c>
      <c r="N61" s="64">
        <f>IF(AND( C23="Buy", ISBLANK(W23), B23&lt;&gt;"DIV"), D23, "")</f>
        <v/>
      </c>
      <c r="O61" s="42" t="n"/>
      <c r="P61" s="42">
        <f>if(C23="DIV", G23,"")</f>
        <v/>
      </c>
      <c r="Q61" s="65">
        <f>if(D23="DIV", H23,"")</f>
        <v/>
      </c>
      <c r="R61" s="65">
        <f>if(E23="DIV", I23,"")</f>
        <v/>
      </c>
      <c r="S61" s="58" t="n"/>
      <c r="T61" s="58">
        <f>if(G23="DIV", N23,"")</f>
        <v/>
      </c>
      <c r="U61" s="58">
        <f>if(H23="DIV", #REF!,"")</f>
        <v/>
      </c>
      <c r="V61" s="58">
        <f>if(I23="DIV", #REF!,"")</f>
        <v/>
      </c>
      <c r="W61" s="42" t="n">
        <v>217.931</v>
      </c>
      <c r="X61" s="54" t="n">
        <v>44239</v>
      </c>
      <c r="Y61" s="46">
        <f>IF(AND( C23="Buy", W23&lt;&gt;"", AA23&lt;&gt;"", B23&lt;&gt;"DIV"), Z23/sum(F23:I23), "")</f>
        <v/>
      </c>
      <c r="Z61" s="60">
        <f>(1-Index!$F$2*2)*((W23*D23)-(E23*D23))</f>
        <v/>
      </c>
      <c r="AA61" s="60">
        <f>((E23*D23)+Z23)</f>
        <v/>
      </c>
      <c r="AB61" s="61">
        <f>D23</f>
        <v/>
      </c>
      <c r="AC61" s="42">
        <f>if(B23="DIV", F23,"")</f>
        <v/>
      </c>
      <c r="AD61" s="62" t="inlineStr">
        <is>
          <t>SBI Securities</t>
        </is>
      </c>
    </row>
    <row r="62">
      <c r="E62" s="66" t="n"/>
      <c r="F62" s="66" t="n"/>
      <c r="G62" s="67" t="n"/>
      <c r="J62" s="66" t="n"/>
      <c r="K62" s="66" t="n"/>
      <c r="L62" s="66" t="n"/>
      <c r="M62" s="69" t="n"/>
      <c r="W62" s="66" t="n"/>
      <c r="X62" s="66" t="n"/>
      <c r="Y62" s="66" t="n"/>
      <c r="Z62" s="66" t="n"/>
      <c r="AA62" s="66" t="n"/>
      <c r="AB62" s="66" t="n"/>
      <c r="AC62" s="66" t="n"/>
    </row>
    <row r="63">
      <c r="E63" s="66" t="n"/>
      <c r="F63" s="66" t="n"/>
      <c r="G63" s="67" t="n"/>
      <c r="J63" s="66" t="n"/>
      <c r="K63" s="66" t="n"/>
      <c r="L63" s="66" t="n"/>
      <c r="M63" s="69" t="n"/>
      <c r="W63" s="66" t="n"/>
      <c r="X63" s="66" t="n"/>
      <c r="Y63" s="66" t="n"/>
      <c r="Z63" s="66" t="n"/>
      <c r="AA63" s="66" t="n"/>
      <c r="AB63" s="66" t="n"/>
      <c r="AC63" s="66" t="n"/>
    </row>
    <row r="64">
      <c r="E64" s="66" t="n"/>
      <c r="F64" s="66" t="n"/>
      <c r="G64" s="67" t="n"/>
      <c r="J64" s="66" t="n"/>
      <c r="K64" s="66" t="n"/>
      <c r="L64" s="66" t="n"/>
      <c r="M64" s="69" t="n"/>
      <c r="W64" s="66" t="n"/>
      <c r="X64" s="66" t="n"/>
      <c r="Y64" s="66" t="n"/>
      <c r="Z64" s="66" t="n"/>
      <c r="AA64" s="66" t="n"/>
      <c r="AB64" s="66" t="n"/>
      <c r="AC64" s="66" t="n"/>
    </row>
    <row r="65">
      <c r="E65" s="66" t="n"/>
      <c r="F65" s="66" t="n"/>
      <c r="G65" s="67" t="n"/>
      <c r="J65" s="66" t="n"/>
      <c r="K65" s="66" t="n"/>
      <c r="L65" s="66" t="n"/>
      <c r="M65" s="69" t="n"/>
      <c r="W65" s="66" t="n"/>
      <c r="X65" s="66" t="n"/>
      <c r="Y65" s="66" t="n"/>
      <c r="Z65" s="66" t="n"/>
      <c r="AA65" s="66" t="n"/>
      <c r="AB65" s="66" t="n"/>
      <c r="AC65" s="66" t="n"/>
    </row>
    <row r="66">
      <c r="E66" s="66" t="n"/>
      <c r="F66" s="66" t="n"/>
      <c r="G66" s="67" t="n"/>
      <c r="J66" s="66" t="n"/>
      <c r="K66" s="66" t="n"/>
      <c r="L66" s="66" t="n"/>
      <c r="M66" s="69" t="n"/>
      <c r="W66" s="66" t="n"/>
      <c r="X66" s="66" t="n"/>
      <c r="Y66" s="66" t="n"/>
      <c r="Z66" s="66" t="n"/>
      <c r="AA66" s="66" t="n"/>
      <c r="AB66" s="66" t="n"/>
      <c r="AC66" s="66" t="n"/>
    </row>
    <row r="67">
      <c r="E67" s="66" t="n"/>
      <c r="F67" s="66" t="n"/>
      <c r="G67" s="67" t="n"/>
      <c r="J67" s="66" t="n"/>
      <c r="K67" s="66" t="n"/>
      <c r="L67" s="66" t="n"/>
      <c r="M67" s="69" t="n"/>
      <c r="W67" s="66" t="n"/>
      <c r="X67" s="66" t="n"/>
      <c r="Y67" s="66" t="n"/>
      <c r="Z67" s="66" t="n"/>
      <c r="AA67" s="66" t="n"/>
      <c r="AB67" s="66" t="n"/>
      <c r="AC67" s="66" t="n"/>
    </row>
    <row r="68">
      <c r="E68" s="66" t="n"/>
      <c r="F68" s="66" t="n"/>
      <c r="G68" s="67" t="n"/>
      <c r="J68" s="66" t="n"/>
      <c r="K68" s="66" t="n"/>
      <c r="L68" s="66" t="n"/>
      <c r="M68" s="69" t="n"/>
      <c r="W68" s="66" t="n"/>
      <c r="X68" s="66" t="n"/>
      <c r="Y68" s="66" t="n"/>
      <c r="Z68" s="66" t="n"/>
      <c r="AA68" s="66" t="n"/>
      <c r="AB68" s="66" t="n"/>
      <c r="AC68" s="66" t="n"/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M1026" s="69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M1027" s="69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M1028" s="69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M1029" s="69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M1030" s="69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M1031" s="69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M1032" s="69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M1033" s="69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M1034" s="69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M1035" s="69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M1036" s="69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W1042" s="66" t="n"/>
      <c r="X1042" s="66" t="n"/>
      <c r="Y1042" s="66" t="n"/>
      <c r="Z1042" s="66" t="n"/>
      <c r="AA1042" s="66" t="n"/>
      <c r="AB1042" s="66" t="n"/>
      <c r="AC1042" s="66" t="n"/>
    </row>
    <row r="1043">
      <c r="E1043" s="66" t="n"/>
      <c r="F1043" s="66" t="n"/>
      <c r="G1043" s="67" t="n"/>
      <c r="J1043" s="66" t="n"/>
      <c r="K1043" s="66" t="n"/>
      <c r="L1043" s="66" t="n"/>
      <c r="W1043" s="66" t="n"/>
      <c r="X1043" s="66" t="n"/>
      <c r="Y1043" s="66" t="n"/>
      <c r="Z1043" s="66" t="n"/>
      <c r="AA1043" s="66" t="n"/>
      <c r="AB1043" s="66" t="n"/>
      <c r="AC1043" s="66" t="n"/>
    </row>
    <row r="1044">
      <c r="E1044" s="66" t="n"/>
      <c r="F1044" s="66" t="n"/>
      <c r="G1044" s="67" t="n"/>
      <c r="J1044" s="66" t="n"/>
      <c r="K1044" s="66" t="n"/>
      <c r="L1044" s="66" t="n"/>
      <c r="W1044" s="66" t="n"/>
      <c r="X1044" s="66" t="n"/>
      <c r="Y1044" s="66" t="n"/>
      <c r="Z1044" s="66" t="n"/>
      <c r="AA1044" s="66" t="n"/>
      <c r="AB1044" s="66" t="n"/>
      <c r="AC1044" s="66" t="n"/>
    </row>
    <row r="1045">
      <c r="E1045" s="66" t="n"/>
      <c r="F1045" s="66" t="n"/>
      <c r="G1045" s="67" t="n"/>
      <c r="J1045" s="66" t="n"/>
      <c r="K1045" s="66" t="n"/>
      <c r="L1045" s="66" t="n"/>
      <c r="W1045" s="66" t="n"/>
      <c r="X1045" s="66" t="n"/>
      <c r="Y1045" s="66" t="n"/>
      <c r="Z1045" s="66" t="n"/>
      <c r="AA1045" s="66" t="n"/>
      <c r="AB1045" s="66" t="n"/>
      <c r="AC1045" s="66" t="n"/>
    </row>
    <row r="1046">
      <c r="E1046" s="66" t="n"/>
      <c r="F1046" s="66" t="n"/>
      <c r="G1046" s="67" t="n"/>
      <c r="J1046" s="66" t="n"/>
      <c r="K1046" s="66" t="n"/>
      <c r="L1046" s="66" t="n"/>
      <c r="W1046" s="66" t="n"/>
      <c r="X1046" s="66" t="n"/>
      <c r="Y1046" s="66" t="n"/>
      <c r="Z1046" s="66" t="n"/>
      <c r="AA1046" s="66" t="n"/>
      <c r="AB1046" s="66" t="n"/>
      <c r="AC1046" s="66" t="n"/>
    </row>
    <row r="1047">
      <c r="E1047" s="66" t="n"/>
      <c r="F1047" s="66" t="n"/>
      <c r="G1047" s="67" t="n"/>
      <c r="J1047" s="66" t="n"/>
      <c r="K1047" s="66" t="n"/>
      <c r="L1047" s="66" t="n"/>
      <c r="W1047" s="66" t="n"/>
      <c r="X1047" s="66" t="n"/>
      <c r="Y1047" s="66" t="n"/>
      <c r="Z1047" s="66" t="n"/>
      <c r="AA1047" s="66" t="n"/>
      <c r="AB1047" s="66" t="n"/>
      <c r="AC1047" s="66" t="n"/>
    </row>
    <row r="1048">
      <c r="E1048" s="66" t="n"/>
      <c r="F1048" s="66" t="n"/>
      <c r="G1048" s="67" t="n"/>
      <c r="J1048" s="66" t="n"/>
      <c r="K1048" s="66" t="n"/>
      <c r="L1048" s="66" t="n"/>
      <c r="W1048" s="66" t="n"/>
      <c r="X1048" s="66" t="n"/>
      <c r="Y1048" s="66" t="n"/>
      <c r="Z1048" s="66" t="n"/>
      <c r="AA1048" s="66" t="n"/>
      <c r="AB1048" s="66" t="n"/>
      <c r="AC1048" s="66" t="n"/>
    </row>
    <row r="1049">
      <c r="E1049" s="66" t="n"/>
      <c r="F1049" s="66" t="n"/>
      <c r="G1049" s="67" t="n"/>
      <c r="J1049" s="66" t="n"/>
      <c r="K1049" s="66" t="n"/>
      <c r="L1049" s="66" t="n"/>
      <c r="W1049" s="66" t="n"/>
      <c r="X1049" s="66" t="n"/>
      <c r="Y1049" s="66" t="n"/>
      <c r="Z1049" s="66" t="n"/>
      <c r="AA1049" s="66" t="n"/>
      <c r="AB1049" s="66" t="n"/>
      <c r="AC1049" s="66" t="n"/>
    </row>
    <row r="1050">
      <c r="E1050" s="66" t="n"/>
      <c r="F1050" s="66" t="n"/>
      <c r="G1050" s="67" t="n"/>
      <c r="J1050" s="66" t="n"/>
      <c r="K1050" s="66" t="n"/>
      <c r="L1050" s="66" t="n"/>
      <c r="W1050" s="66" t="n"/>
      <c r="X1050" s="66" t="n"/>
      <c r="Y1050" s="66" t="n"/>
      <c r="Z1050" s="66" t="n"/>
      <c r="AA1050" s="66" t="n"/>
      <c r="AB1050" s="66" t="n"/>
      <c r="AC1050" s="66" t="n"/>
    </row>
    <row r="1051">
      <c r="E1051" s="66" t="n"/>
      <c r="F1051" s="66" t="n"/>
      <c r="G1051" s="67" t="n"/>
      <c r="J1051" s="66" t="n"/>
      <c r="K1051" s="66" t="n"/>
      <c r="L1051" s="66" t="n"/>
      <c r="W1051" s="66" t="n"/>
      <c r="X1051" s="66" t="n"/>
      <c r="Y1051" s="66" t="n"/>
      <c r="Z1051" s="66" t="n"/>
      <c r="AA1051" s="66" t="n"/>
      <c r="AB1051" s="66" t="n"/>
      <c r="AC1051" s="66" t="n"/>
    </row>
    <row r="1052">
      <c r="E1052" s="66" t="n"/>
      <c r="F1052" s="66" t="n"/>
      <c r="G1052" s="67" t="n"/>
      <c r="J1052" s="66" t="n"/>
      <c r="K1052" s="66" t="n"/>
      <c r="L1052" s="66" t="n"/>
      <c r="W1052" s="66" t="n"/>
      <c r="X1052" s="66" t="n"/>
      <c r="Y1052" s="66" t="n"/>
      <c r="Z1052" s="66" t="n"/>
      <c r="AA1052" s="66" t="n"/>
      <c r="AB1052" s="66" t="n"/>
      <c r="AC1052" s="66" t="n"/>
    </row>
    <row r="1053">
      <c r="E1053" s="66" t="n"/>
      <c r="F1053" s="66" t="n"/>
      <c r="G1053" s="67" t="n"/>
      <c r="J1053" s="66" t="n"/>
      <c r="K1053" s="66" t="n"/>
      <c r="L1053" s="66" t="n"/>
      <c r="W1053" s="66" t="n"/>
      <c r="X1053" s="66" t="n"/>
      <c r="Y1053" s="66" t="n"/>
      <c r="Z1053" s="66" t="n"/>
      <c r="AA1053" s="66" t="n"/>
      <c r="AB1053" s="66" t="n"/>
      <c r="AC1053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 t="n">
        <v>1230</v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 t="n">
        <v>1680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 t="n">
        <v>1033</v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100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2026-02-07T07:12:33Z</dcterms:created>
  <dcterms:modified xmlns:dcterms="http://purl.org/dc/terms/" xmlns:xsi="http://www.w3.org/2001/XMLSchema-instance" xsi:type="dcterms:W3CDTF">2026-02-07T14:33:23Z</dcterms:modified>
</cp:coreProperties>
</file>