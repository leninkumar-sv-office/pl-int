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1E66184_3A64_472A_B0A9_477BACDACA83_.wvu.FilterData" localSheetId="0" hidden="1">'Trading History'!$A$4:$AO$131</definedName>
    <definedName name="_xlnm._FilterDatabase" localSheetId="0" hidden="1">'Trading History'!$A$4:$AO$131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M/d/yyyy"/>
    <numFmt numFmtId="166" formatCode="dd-mmm-yyyy"/>
    <numFmt numFmtId="167" formatCode="d-mmm-yyyy"/>
    <numFmt numFmtId="168" formatCode="YYYY-MM-DD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1" fillId="0" borderId="8" applyAlignment="1" pivotButton="0" quotePrefix="0" xfId="0">
      <alignment horizontal="left" vertical="top"/>
    </xf>
    <xf numFmtId="164" fontId="5" fillId="0" borderId="7" pivotButton="0" quotePrefix="0" xfId="0"/>
    <xf numFmtId="164" fontId="1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horizontal="right" vertical="top"/>
    </xf>
    <xf numFmtId="0" fontId="1" fillId="0" borderId="5" applyAlignment="1" pivotButton="0" quotePrefix="0" xfId="0">
      <alignment vertical="bottom"/>
    </xf>
    <xf numFmtId="164" fontId="1" fillId="0" borderId="5" applyAlignment="1" pivotButton="0" quotePrefix="0" xfId="0">
      <alignment horizontal="right" vertical="bottom"/>
    </xf>
    <xf numFmtId="0" fontId="1" fillId="0" borderId="7" pivotButton="0" quotePrefix="0" xfId="0"/>
    <xf numFmtId="0" fontId="1" fillId="0" borderId="8" applyAlignment="1" pivotButton="0" quotePrefix="0" xfId="0">
      <alignment horizontal="right" vertical="top"/>
    </xf>
    <xf numFmtId="164" fontId="1" fillId="0" borderId="8" applyAlignment="1" pivotButton="0" quotePrefix="0" xfId="0">
      <alignment horizontal="right" vertical="top"/>
    </xf>
    <xf numFmtId="164" fontId="1" fillId="9" borderId="7" applyAlignment="1" pivotButton="0" quotePrefix="0" xfId="0">
      <alignment horizontal="right" vertical="bottom"/>
    </xf>
    <xf numFmtId="0" fontId="1" fillId="9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2.38" customWidth="1" style="85" min="7" max="7"/>
    <col width="7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10.38" customWidth="1" style="85" min="24" max="24"/>
    <col width="8.880000000000001" customWidth="1" style="85" min="25" max="26"/>
    <col width="9.25" customWidth="1" style="85" min="27" max="27"/>
    <col width="8.380000000000001" customWidth="1" style="85" min="28" max="29"/>
    <col width="16.38" customWidth="1" style="85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8" t="n">
        <v>45979</v>
      </c>
      <c r="B5" s="0" t="inlineStr">
        <is>
          <t>DIV</t>
        </is>
      </c>
      <c r="C5" s="0" t="inlineStr">
        <is>
          <t>Buy</t>
        </is>
      </c>
      <c r="D5" s="0" t="n">
        <v>1550</v>
      </c>
      <c r="E5" s="0" t="n">
        <v>1</v>
      </c>
      <c r="F5" s="0" t="n">
        <v>1550</v>
      </c>
      <c r="G5" s="0" t="inlineStr">
        <is>
          <t>Interim-Dividend of Rs.1.0000/- per share on Ex-Date: 18-NOV-2025  Interim-Dividend of Rs.1.0000/- per share on Ex-Date: 18-NOV-2025</t>
        </is>
      </c>
      <c r="H5" s="0" t="n">
        <v>0</v>
      </c>
      <c r="I5" s="0" t="n">
        <v>0</v>
      </c>
    </row>
    <row r="6">
      <c r="A6" s="98" t="n">
        <v>45947</v>
      </c>
      <c r="B6" s="0" t="inlineStr">
        <is>
          <t>BSE</t>
        </is>
      </c>
      <c r="C6" s="0" t="inlineStr">
        <is>
          <t>Buy</t>
        </is>
      </c>
      <c r="D6" s="0" t="n">
        <v>50</v>
      </c>
      <c r="E6" s="0" t="n">
        <v>136.5</v>
      </c>
      <c r="F6" s="0" t="n">
        <v>6873.28</v>
      </c>
      <c r="G6" s="0" t="inlineStr">
        <is>
          <t>~</t>
        </is>
      </c>
      <c r="H6" s="0" t="n">
        <v>6.84</v>
      </c>
      <c r="I6" s="0" t="n">
        <v>41.44</v>
      </c>
    </row>
    <row r="7">
      <c r="A7" s="33" t="n">
        <v>45947</v>
      </c>
      <c r="B7" s="34" t="inlineStr">
        <is>
          <t>NSE</t>
        </is>
      </c>
      <c r="C7" s="34" t="inlineStr">
        <is>
          <t>Buy</t>
        </is>
      </c>
      <c r="D7" s="35" t="n">
        <v>50</v>
      </c>
      <c r="E7" s="36" t="n">
        <v>137.47</v>
      </c>
      <c r="F7" s="36">
        <f>D5*E5</f>
        <v/>
      </c>
      <c r="G7" s="34" t="inlineStr">
        <is>
          <t>~</t>
        </is>
      </c>
      <c r="H7" s="35" t="n"/>
      <c r="I7" s="35" t="n"/>
      <c r="J7" s="49">
        <f>Index!$C$2</f>
        <v/>
      </c>
      <c r="K7" s="38">
        <f>IF(AND( C5="Buy", ISBLANK(W5), B5&lt;&gt;"DIV"), L5/sum(F5:I5), "")</f>
        <v/>
      </c>
      <c r="L7" s="39">
        <f>IF(AND( C5="Buy", ISBLANK(W5), B5&lt;&gt;"DIV"), (1-Index!$F$2*2)*((J5*D5)-(E5*D5)), "")</f>
        <v/>
      </c>
      <c r="M7" s="39">
        <f>IF(AND( C5="Buy", ISBLANK(W5), B5&lt;&gt;"DIV"), ((E5*D5)+L5), "")</f>
        <v/>
      </c>
      <c r="N7" s="40">
        <f>IF(AND( C5="Buy", ISBLANK(W5), B5&lt;&gt;"DIV"), D5, "")</f>
        <v/>
      </c>
      <c r="O7" s="38">
        <f>IF(AND( C5="Buy", ISBLANK(W5), B5&lt;&gt;"DIV", NOW()-A5 &lt; 365), P5/sum(F5:I5), "")</f>
        <v/>
      </c>
      <c r="P7" s="39">
        <f>IF(AND( C5="Buy", ISBLANK(W5), B5&lt;&gt;"DIV", NOW()-A5 &lt; 365), (1-Index!$F$2*2)*((J5*D5)-(E5*D5)), "")</f>
        <v/>
      </c>
      <c r="Q7" s="39">
        <f>IF(AND( C5="Buy", ISBLANK(W5), B5&lt;&gt;"DIV", NOW()-A5 &lt; 365), ((E5*D5)+P5), "")</f>
        <v/>
      </c>
      <c r="R7" s="39">
        <f>IF(AND( C5="Buy", ISBLANK(W5), B5&lt;&gt;"DIV", NOW()-A5 &lt; 365), D5, "")</f>
        <v/>
      </c>
      <c r="S7" s="38">
        <f>IF(AND( C5="Buy", ISBLANK(W5), B5&lt;&gt;"DIV", NOW()-A5 &gt; 365), T5/sum(F5:I5), "")</f>
        <v/>
      </c>
      <c r="T7" s="39">
        <f>IF(AND( C5="Buy", ISBLANK(W5), B5&lt;&gt;"DIV", NOW()-A5 &gt; 365), (1-Index!$F$2*2)*((J5*D5)-(E5*D5)), "")</f>
        <v/>
      </c>
      <c r="U7" s="39">
        <f>IF(AND( C5="Buy", ISBLANK(W5), B5&lt;&gt;"DIV", NOW()-A5 &gt; 365), ((E5*D5)+T5), "")</f>
        <v/>
      </c>
      <c r="V7" s="39">
        <f>IF(AND( C5="Buy", ISBLANK(W5), B5&lt;&gt;"DIV", NOW()-A5 &gt; 365), D5, "")</f>
        <v/>
      </c>
      <c r="W7" s="43" t="n"/>
      <c r="X7" s="42" t="n"/>
      <c r="Y7" s="38">
        <f>IF(AND( C5="Buy", W5&lt;&gt;"", AA5&lt;&gt;"", B5&lt;&gt;"DIV"), Z5/sum(F5:I5), "")</f>
        <v/>
      </c>
      <c r="Z7" s="43" t="n"/>
      <c r="AA7" s="43" t="n"/>
      <c r="AB7" s="44" t="n"/>
      <c r="AC7" s="45" t="n"/>
      <c r="AD7" s="46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</row>
    <row r="8">
      <c r="A8" s="48" t="n">
        <v>45854</v>
      </c>
      <c r="B8" s="34" t="inlineStr">
        <is>
          <t>BON</t>
        </is>
      </c>
      <c r="C8" s="34" t="inlineStr">
        <is>
          <t>Buy</t>
        </is>
      </c>
      <c r="D8" s="35" t="n">
        <v>750</v>
      </c>
      <c r="E8" s="36" t="n">
        <v>122</v>
      </c>
      <c r="F8" s="36">
        <f>D6*E6</f>
        <v/>
      </c>
      <c r="G8" s="34" t="inlineStr">
        <is>
          <t>~</t>
        </is>
      </c>
      <c r="H8" s="35" t="n"/>
      <c r="I8" s="35" t="n"/>
      <c r="J8" s="49">
        <f>Index!$C$2</f>
        <v/>
      </c>
      <c r="K8" s="38">
        <f>IF(AND( C6="Buy", ISBLANK(W6), B6&lt;&gt;"DIV"), L6/sum(F6:I6), "")</f>
        <v/>
      </c>
      <c r="L8" s="39">
        <f>IF(AND( C6="Buy", ISBLANK(W6), B6&lt;&gt;"DIV"), (1-Index!$F$2*2)*((J6*D6)-(E6*D6)), "")</f>
        <v/>
      </c>
      <c r="M8" s="39">
        <f>IF(AND( C6="Buy", ISBLANK(W6), B6&lt;&gt;"DIV"), ((E6*D6)+L6), "")</f>
        <v/>
      </c>
      <c r="N8" s="40">
        <f>IF(AND( C6="Buy", ISBLANK(W6), B6&lt;&gt;"DIV"), D6, "")</f>
        <v/>
      </c>
      <c r="O8" s="38">
        <f>IF(AND( C6="Buy", ISBLANK(W6), B6&lt;&gt;"DIV", NOW()-A6 &lt; 365), P6/sum(F6:I6), "")</f>
        <v/>
      </c>
      <c r="P8" s="39">
        <f>IF(AND( C6="Buy", ISBLANK(W6), B6&lt;&gt;"DIV", NOW()-A6 &lt; 365), (1-Index!$F$2*2)*((J6*D6)-(E6*D6)), "")</f>
        <v/>
      </c>
      <c r="Q8" s="39">
        <f>IF(AND( C6="Buy", ISBLANK(W6), B6&lt;&gt;"DIV", NOW()-A6 &lt; 365), ((E6*D6)+P6), "")</f>
        <v/>
      </c>
      <c r="R8" s="39">
        <f>IF(AND( C6="Buy", ISBLANK(W6), B6&lt;&gt;"DIV", NOW()-A6 &lt; 365), D6, "")</f>
        <v/>
      </c>
      <c r="S8" s="38">
        <f>IF(AND( C6="Buy", ISBLANK(W6), B6&lt;&gt;"DIV", NOW()-A6 &gt; 365), T6/sum(F6:I6), "")</f>
        <v/>
      </c>
      <c r="T8" s="39">
        <f>IF(AND( C6="Buy", ISBLANK(W6), B6&lt;&gt;"DIV", NOW()-A6 &gt; 365), (1-Index!$F$2*2)*((J6*D6)-(E6*D6)), "")</f>
        <v/>
      </c>
      <c r="U8" s="39">
        <f>IF(AND( C6="Buy", ISBLANK(W6), B6&lt;&gt;"DIV", NOW()-A6 &gt; 365), ((E6*D6)+T6), "")</f>
        <v/>
      </c>
      <c r="V8" s="39">
        <f>IF(AND( C6="Buy", ISBLANK(W6), B6&lt;&gt;"DIV", NOW()-A6 &gt; 365), D6, "")</f>
        <v/>
      </c>
      <c r="W8" s="43" t="n"/>
      <c r="X8" s="42" t="n"/>
      <c r="Y8" s="38">
        <f>IF(AND( C6="Buy", W6&lt;&gt;"", AA6&lt;&gt;"", B6&lt;&gt;"DIV"), Z6/sum(F6:I6), "")</f>
        <v/>
      </c>
      <c r="Z8" s="43" t="n"/>
      <c r="AA8" s="43" t="n"/>
      <c r="AB8" s="44" t="n"/>
      <c r="AC8" s="45" t="n"/>
      <c r="AD8" s="46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</row>
    <row r="9">
      <c r="A9" s="48" t="n">
        <v>45738</v>
      </c>
      <c r="B9" s="34" t="inlineStr">
        <is>
          <t>DIV</t>
        </is>
      </c>
      <c r="C9" s="34" t="inlineStr">
        <is>
          <t>Buy</t>
        </is>
      </c>
      <c r="D9" s="35" t="n">
        <v>750</v>
      </c>
      <c r="E9" s="36" t="n">
        <v>4.25</v>
      </c>
      <c r="F9" s="36">
        <f>D7*E7 + sum(H7:I7)</f>
        <v/>
      </c>
      <c r="G9" s="34" t="inlineStr">
        <is>
          <t>~</t>
        </is>
      </c>
      <c r="H9" s="35" t="n"/>
      <c r="I9" s="35" t="n"/>
      <c r="J9" s="49">
        <f>Index!$C$2</f>
        <v/>
      </c>
      <c r="K9" s="38">
        <f>IF(AND( C7="Buy", ISBLANK(W7), B7&lt;&gt;"DIV"), L7/sum(F7:I7), "")</f>
        <v/>
      </c>
      <c r="L9" s="39">
        <f>IF(AND( C7="Buy", ISBLANK(W7), B7&lt;&gt;"DIV"), (1-Index!$F$2*2)*((J7*D7)-(E7*D7)), "")</f>
        <v/>
      </c>
      <c r="M9" s="39">
        <f>IF(AND( C7="Buy", ISBLANK(W7), B7&lt;&gt;"DIV"), ((E7*D7)+L7), "")</f>
        <v/>
      </c>
      <c r="N9" s="40">
        <f>IF(AND( C7="Buy", ISBLANK(W7), B7&lt;&gt;"DIV"), D7, "")</f>
        <v/>
      </c>
      <c r="O9" s="38">
        <f>IF(AND( C7="Buy", ISBLANK(W7), B7&lt;&gt;"DIV", NOW()-A7 &lt; 365), P7/sum(F7:I7), "")</f>
        <v/>
      </c>
      <c r="P9" s="39">
        <f>IF(AND( C7="Buy", ISBLANK(W7), B7&lt;&gt;"DIV", NOW()-A7 &lt; 365), (1-Index!$F$2*2)*((J7*D7)-(E7*D7)), "")</f>
        <v/>
      </c>
      <c r="Q9" s="39">
        <f>IF(AND( C7="Buy", ISBLANK(W7), B7&lt;&gt;"DIV", NOW()-A7 &lt; 365), ((E7*D7)+P7), "")</f>
        <v/>
      </c>
      <c r="R9" s="39">
        <f>IF(AND( C7="Buy", ISBLANK(W7), B7&lt;&gt;"DIV", NOW()-A7 &lt; 365), D7, "")</f>
        <v/>
      </c>
      <c r="S9" s="38">
        <f>IF(AND( C7="Buy", ISBLANK(W7), B7&lt;&gt;"DIV", NOW()-A7 &gt; 365), T7/sum(F7:I7), "")</f>
        <v/>
      </c>
      <c r="T9" s="39">
        <f>IF(AND( C7="Buy", ISBLANK(W7), B7&lt;&gt;"DIV", NOW()-A7 &gt; 365), (1-Index!$F$2*2)*((J7*D7)-(E7*D7)), "")</f>
        <v/>
      </c>
      <c r="U9" s="39">
        <f>IF(AND( C7="Buy", ISBLANK(W7), B7&lt;&gt;"DIV", NOW()-A7 &gt; 365), ((E7*D7)+T7), "")</f>
        <v/>
      </c>
      <c r="V9" s="39">
        <f>IF(AND( C7="Buy", ISBLANK(W7), B7&lt;&gt;"DIV", NOW()-A7 &gt; 365), D7, "")</f>
        <v/>
      </c>
      <c r="W9" s="43" t="n"/>
      <c r="X9" s="42" t="n"/>
      <c r="Y9" s="38">
        <f>IF(AND( C7="Buy", W7&lt;&gt;"", AA7&lt;&gt;"", B7&lt;&gt;"DIV"), Z7/sum(F7:I7), "")</f>
        <v/>
      </c>
      <c r="Z9" s="43" t="n"/>
      <c r="AA9" s="43" t="n"/>
      <c r="AB9" s="44" t="n"/>
      <c r="AC9" s="45" t="n"/>
      <c r="AD9" s="46" t="n"/>
      <c r="AE9" s="47" t="n"/>
      <c r="AF9" s="47" t="n"/>
      <c r="AG9" s="47" t="n"/>
      <c r="AH9" s="47" t="n"/>
      <c r="AI9" s="47" t="n"/>
      <c r="AJ9" s="47" t="n"/>
      <c r="AK9" s="47" t="n"/>
      <c r="AL9" s="47" t="n"/>
      <c r="AM9" s="47" t="n"/>
      <c r="AN9" s="47" t="n"/>
      <c r="AO9" s="47" t="n"/>
      <c r="AP9" s="47" t="n"/>
    </row>
    <row r="10">
      <c r="A10" s="48" t="n">
        <v>45733</v>
      </c>
      <c r="B10" s="34" t="inlineStr">
        <is>
          <t>NSE</t>
        </is>
      </c>
      <c r="C10" s="34" t="inlineStr">
        <is>
          <t>Buy</t>
        </is>
      </c>
      <c r="D10" s="35" t="n">
        <v>50</v>
      </c>
      <c r="E10" s="36" t="n">
        <v>199.18</v>
      </c>
      <c r="F10" s="36">
        <f>D8*E8 + sum(H8:I8)</f>
        <v/>
      </c>
      <c r="G10" s="34" t="inlineStr">
        <is>
          <t>~</t>
        </is>
      </c>
      <c r="H10" s="35" t="n"/>
      <c r="I10" s="35" t="n">
        <v>70.05</v>
      </c>
      <c r="J10" s="49" t="n">
        <v>262</v>
      </c>
      <c r="K10" s="38">
        <f>IF(AND( C8="Buy", ISBLANK(W8), B8&lt;&gt;"DIV"), L8/sum(F8:I8), "")</f>
        <v/>
      </c>
      <c r="L10" s="39">
        <f>IF(AND( C8="Buy", ISBLANK(W8), B8&lt;&gt;"DIV"), (1-Index!$F$2*2)*((J8*D8)-(E8*D8)), "")</f>
        <v/>
      </c>
      <c r="M10" s="39">
        <f>IF(AND( C8="Buy", ISBLANK(W8), B8&lt;&gt;"DIV"), ((E8*D8)+L8), "")</f>
        <v/>
      </c>
      <c r="N10" s="40">
        <f>IF(AND( C8="Buy", ISBLANK(W8), B8&lt;&gt;"DIV"), D8, "")</f>
        <v/>
      </c>
      <c r="O10" s="38">
        <f>IF(AND( C8="Buy", ISBLANK(W8), B8&lt;&gt;"DIV", NOW()-A8 &lt; 365), P8/sum(F8:I8), "")</f>
        <v/>
      </c>
      <c r="P10" s="39">
        <f>IF(AND( C8="Buy", ISBLANK(W8), B8&lt;&gt;"DIV", NOW()-A8 &lt; 365), (1-Index!$F$2*2)*((J8*D8)-(E8*D8)), "")</f>
        <v/>
      </c>
      <c r="Q10" s="39">
        <f>IF(AND( C8="Buy", ISBLANK(W8), B8&lt;&gt;"DIV", NOW()-A8 &lt; 365), ((E8*D8)+P8), "")</f>
        <v/>
      </c>
      <c r="R10" s="39">
        <f>IF(AND( C8="Buy", ISBLANK(W8), B8&lt;&gt;"DIV", NOW()-A8 &lt; 365), D8, "")</f>
        <v/>
      </c>
      <c r="S10" s="38">
        <f>IF(AND( C8="Buy", ISBLANK(W8), B8&lt;&gt;"DIV", NOW()-A8 &gt; 365), T8/sum(F8:I8), "")</f>
        <v/>
      </c>
      <c r="T10" s="39">
        <f>IF(AND( C8="Buy", ISBLANK(W8), B8&lt;&gt;"DIV", NOW()-A8 &gt; 365), (1-Index!$F$2*2)*((J8*D8)-(E8*D8)), "")</f>
        <v/>
      </c>
      <c r="U10" s="39">
        <f>IF(AND( C8="Buy", ISBLANK(W8), B8&lt;&gt;"DIV", NOW()-A8 &gt; 365), ((E8*D8)+T8), "")</f>
        <v/>
      </c>
      <c r="V10" s="39">
        <f>IF(AND( C8="Buy", ISBLANK(W8), B8&lt;&gt;"DIV", NOW()-A8 &gt; 365), D8, "")</f>
        <v/>
      </c>
      <c r="W10" s="43" t="n"/>
      <c r="X10" s="42" t="n"/>
      <c r="Y10" s="38">
        <f>IF(AND( C8="Buy", W8&lt;&gt;"", AA8&lt;&gt;"", B8&lt;&gt;"DIV"), Z8/sum(F8:I8), "")</f>
        <v/>
      </c>
      <c r="Z10" s="43" t="n"/>
      <c r="AA10" s="43" t="n"/>
      <c r="AB10" s="44" t="n"/>
      <c r="AC10" s="45" t="n"/>
      <c r="AD10" s="46" t="n"/>
      <c r="AE10" s="47" t="n"/>
      <c r="AF10" s="47" t="n"/>
      <c r="AG10" s="47" t="n"/>
      <c r="AH10" s="47" t="n"/>
      <c r="AI10" s="47" t="n"/>
      <c r="AJ10" s="47" t="n"/>
      <c r="AK10" s="47" t="n"/>
      <c r="AL10" s="47" t="n"/>
      <c r="AM10" s="47" t="n"/>
      <c r="AN10" s="47" t="n"/>
      <c r="AO10" s="47" t="n"/>
      <c r="AP10" s="47" t="n"/>
    </row>
    <row r="11">
      <c r="A11" s="48" t="n">
        <v>45694</v>
      </c>
      <c r="B11" s="34" t="inlineStr">
        <is>
          <t>NSE</t>
        </is>
      </c>
      <c r="C11" s="34" t="inlineStr">
        <is>
          <t>Buy</t>
        </is>
      </c>
      <c r="D11" s="35" t="n">
        <v>50</v>
      </c>
      <c r="E11" s="36" t="n">
        <v>210.49</v>
      </c>
      <c r="F11" s="36" t="n">
        <v>10524.33</v>
      </c>
      <c r="G11" s="34" t="inlineStr">
        <is>
          <t>~</t>
        </is>
      </c>
      <c r="H11" s="35" t="n">
        <v>10.42</v>
      </c>
      <c r="I11" s="35" t="n">
        <v>63.91</v>
      </c>
      <c r="J11" s="49" t="n">
        <v>262</v>
      </c>
      <c r="K11" s="38">
        <f>IF(AND( C9="Buy", ISBLANK(W9), B9&lt;&gt;"DIV"), L9/sum(F9:I9), "")</f>
        <v/>
      </c>
      <c r="L11" s="39">
        <f>IF(AND( C9="Buy", ISBLANK(W9), B9&lt;&gt;"DIV"), (1-Index!$F$2*2)*((J9*D9)-(E9*D9)), "")</f>
        <v/>
      </c>
      <c r="M11" s="39">
        <f>IF(AND( C9="Buy", ISBLANK(W9), B9&lt;&gt;"DIV"), ((E9*D9)+L9), "")</f>
        <v/>
      </c>
      <c r="N11" s="40">
        <f>IF(AND( C9="Buy", ISBLANK(W9), B9&lt;&gt;"DIV"), D9, "")</f>
        <v/>
      </c>
      <c r="O11" s="38">
        <f>IF(AND( C9="Buy", ISBLANK(W9), B9&lt;&gt;"DIV", NOW()-A9 &lt; 365), P9/sum(F9:I9), "")</f>
        <v/>
      </c>
      <c r="P11" s="39">
        <f>IF(AND( C9="Buy", ISBLANK(W9), B9&lt;&gt;"DIV", NOW()-A9 &lt; 365), (1-Index!$F$2*2)*((J9*D9)-(E9*D9)), "")</f>
        <v/>
      </c>
      <c r="Q11" s="39">
        <f>IF(AND( C9="Buy", ISBLANK(W9), B9&lt;&gt;"DIV", NOW()-A9 &lt; 365), ((E9*D9)+P9), "")</f>
        <v/>
      </c>
      <c r="R11" s="39">
        <f>IF(AND( C9="Buy", ISBLANK(W9), B9&lt;&gt;"DIV", NOW()-A9 &lt; 365), D9, "")</f>
        <v/>
      </c>
      <c r="S11" s="38">
        <f>IF(AND( C9="Buy", ISBLANK(W9), B9&lt;&gt;"DIV", NOW()-A9 &gt; 365), T9/sum(F9:I9), "")</f>
        <v/>
      </c>
      <c r="T11" s="39">
        <f>IF(AND( C9="Buy", ISBLANK(W9), B9&lt;&gt;"DIV", NOW()-A9 &gt; 365), (1-Index!$F$2*2)*((J9*D9)-(E9*D9)), "")</f>
        <v/>
      </c>
      <c r="U11" s="39">
        <f>IF(AND( C9="Buy", ISBLANK(W9), B9&lt;&gt;"DIV", NOW()-A9 &gt; 365), ((E9*D9)+T9), "")</f>
        <v/>
      </c>
      <c r="V11" s="39">
        <f>IF(AND( C9="Buy", ISBLANK(W9), B9&lt;&gt;"DIV", NOW()-A9 &gt; 365), D9, "")</f>
        <v/>
      </c>
      <c r="W11" s="43" t="n"/>
      <c r="X11" s="42" t="n"/>
      <c r="Y11" s="38">
        <f>IF(AND( C9="Buy", W9&lt;&gt;"", AA9&lt;&gt;"", B9&lt;&gt;"DIV"), Z9/sum(F9:I9), "")</f>
        <v/>
      </c>
      <c r="Z11" s="43" t="n"/>
      <c r="AA11" s="43" t="n"/>
      <c r="AB11" s="44" t="n"/>
      <c r="AC11" s="45" t="n"/>
      <c r="AD11" s="46" t="n"/>
      <c r="AE11" s="47" t="n"/>
      <c r="AF11" s="47" t="n"/>
      <c r="AG11" s="47" t="n"/>
      <c r="AH11" s="47" t="n"/>
      <c r="AI11" s="47" t="n"/>
      <c r="AJ11" s="47" t="n"/>
      <c r="AK11" s="47" t="n"/>
      <c r="AL11" s="47" t="n"/>
      <c r="AM11" s="47" t="n"/>
      <c r="AN11" s="47" t="n"/>
      <c r="AO11" s="47" t="n"/>
      <c r="AP11" s="47" t="n"/>
    </row>
    <row r="12">
      <c r="A12" s="48" t="n">
        <v>45687</v>
      </c>
      <c r="B12" s="34" t="inlineStr">
        <is>
          <t>NSE</t>
        </is>
      </c>
      <c r="C12" s="34" t="inlineStr">
        <is>
          <t>Buy</t>
        </is>
      </c>
      <c r="D12" s="35" t="n">
        <v>50</v>
      </c>
      <c r="E12" s="36" t="n">
        <v>210.22</v>
      </c>
      <c r="F12" s="36" t="n">
        <v>10511.23</v>
      </c>
      <c r="G12" s="34" t="inlineStr">
        <is>
          <t>~</t>
        </is>
      </c>
      <c r="H12" s="35" t="n">
        <v>10.42</v>
      </c>
      <c r="I12" s="35" t="n">
        <v>63.31</v>
      </c>
      <c r="J12" s="49" t="n">
        <v>262</v>
      </c>
      <c r="K12" s="38">
        <f>IF(AND( C10="Buy", ISBLANK(W10), B10&lt;&gt;"DIV"), L10/sum(F10:I10), "")</f>
        <v/>
      </c>
      <c r="L12" s="39">
        <f>IF(AND( C10="Buy", ISBLANK(W10), B10&lt;&gt;"DIV"), (1-Index!$F$2*2)*((J10*D10)-(E10*D10)), "")</f>
        <v/>
      </c>
      <c r="M12" s="39">
        <f>IF(AND( C10="Buy", ISBLANK(W10), B10&lt;&gt;"DIV"), ((E10*D10)+L10), "")</f>
        <v/>
      </c>
      <c r="N12" s="40">
        <f>IF(AND( C10="Buy", ISBLANK(W10), B10&lt;&gt;"DIV"), D10, "")</f>
        <v/>
      </c>
      <c r="O12" s="38">
        <f>IF(AND( C10="Buy", ISBLANK(W10), B10&lt;&gt;"DIV", NOW()-A10 &lt; 365), P10/sum(F10:I10), "")</f>
        <v/>
      </c>
      <c r="P12" s="39">
        <f>IF(AND( C10="Buy", ISBLANK(W10), B10&lt;&gt;"DIV", NOW()-A10 &lt; 365), (1-Index!$F$2*2)*((J10*D10)-(E10*D10)), "")</f>
        <v/>
      </c>
      <c r="Q12" s="39">
        <f>IF(AND( C10="Buy", ISBLANK(W10), B10&lt;&gt;"DIV", NOW()-A10 &lt; 365), ((E10*D10)+P10), "")</f>
        <v/>
      </c>
      <c r="R12" s="39">
        <f>IF(AND( C10="Buy", ISBLANK(W10), B10&lt;&gt;"DIV", NOW()-A10 &lt; 365), D10, "")</f>
        <v/>
      </c>
      <c r="S12" s="38">
        <f>IF(AND( C10="Buy", ISBLANK(W10), B10&lt;&gt;"DIV", NOW()-A10 &gt; 365), T10/sum(F10:I10), "")</f>
        <v/>
      </c>
      <c r="T12" s="39">
        <f>IF(AND( C10="Buy", ISBLANK(W10), B10&lt;&gt;"DIV", NOW()-A10 &gt; 365), (1-Index!$F$2*2)*((J10*D10)-(E10*D10)), "")</f>
        <v/>
      </c>
      <c r="U12" s="39">
        <f>IF(AND( C10="Buy", ISBLANK(W10), B10&lt;&gt;"DIV", NOW()-A10 &gt; 365), ((E10*D10)+T10), "")</f>
        <v/>
      </c>
      <c r="V12" s="39">
        <f>IF(AND( C10="Buy", ISBLANK(W10), B10&lt;&gt;"DIV", NOW()-A10 &gt; 365), D10, "")</f>
        <v/>
      </c>
      <c r="W12" s="43" t="n"/>
      <c r="X12" s="42" t="n"/>
      <c r="Y12" s="38">
        <f>IF(AND( C10="Buy", W10&lt;&gt;"", AA10&lt;&gt;"", B10&lt;&gt;"DIV"), Z10/sum(F10:I10), "")</f>
        <v/>
      </c>
      <c r="Z12" s="43" t="n"/>
      <c r="AA12" s="43" t="n"/>
      <c r="AB12" s="44" t="n"/>
      <c r="AC12" s="45" t="n"/>
      <c r="AD12" s="46" t="n"/>
      <c r="AE12" s="47" t="n"/>
      <c r="AF12" s="47" t="n"/>
      <c r="AG12" s="47" t="n"/>
      <c r="AH12" s="47" t="n"/>
      <c r="AI12" s="47" t="n"/>
      <c r="AJ12" s="47" t="n"/>
      <c r="AK12" s="47" t="n"/>
      <c r="AL12" s="47" t="n"/>
      <c r="AM12" s="47" t="n"/>
      <c r="AN12" s="47" t="n"/>
      <c r="AO12" s="47" t="n"/>
      <c r="AP12" s="47" t="n"/>
    </row>
    <row r="13">
      <c r="A13" s="48" t="n">
        <v>45615</v>
      </c>
      <c r="B13" s="34" t="inlineStr">
        <is>
          <t>DIV</t>
        </is>
      </c>
      <c r="C13" s="34" t="inlineStr">
        <is>
          <t>Buy</t>
        </is>
      </c>
      <c r="D13" s="35" t="n">
        <v>600</v>
      </c>
      <c r="E13" s="36" t="n">
        <v>2</v>
      </c>
      <c r="F13" s="36" t="n">
        <v>1200</v>
      </c>
      <c r="G13" s="34" t="inlineStr">
        <is>
          <t>Interim-Dividend of Rs.2.0000/- per share on Ex-Date: 19-NOV-2024</t>
        </is>
      </c>
      <c r="H13" s="35" t="n">
        <v>0</v>
      </c>
      <c r="I13" s="35" t="n">
        <v>0</v>
      </c>
      <c r="J13" s="49" t="n">
        <v>262</v>
      </c>
      <c r="K13" s="38">
        <f>IF(AND( C11="Buy", ISBLANK(W11), B11&lt;&gt;"DIV"), L11/sum(F11:I11), "")</f>
        <v/>
      </c>
      <c r="L13" s="39">
        <f>IF(AND( C11="Buy", ISBLANK(W11), B11&lt;&gt;"DIV"), (1-Index!$F$2*2)*((J11*D11)-(E11*D11)), "")</f>
        <v/>
      </c>
      <c r="M13" s="39">
        <f>IF(AND( C11="Buy", ISBLANK(W11), B11&lt;&gt;"DIV"), ((E11*D11)+L11), "")</f>
        <v/>
      </c>
      <c r="N13" s="40">
        <f>IF(AND( C11="Buy", ISBLANK(W11), B11&lt;&gt;"DIV"), D11, "")</f>
        <v/>
      </c>
      <c r="O13" s="38">
        <f>IF(AND( C11="Buy", ISBLANK(W11), B11&lt;&gt;"DIV", NOW()-A11 &lt; 365), P11/sum(F11:I11), "")</f>
        <v/>
      </c>
      <c r="P13" s="39">
        <f>IF(AND( C11="Buy", ISBLANK(W11), B11&lt;&gt;"DIV", NOW()-A11 &lt; 365), (1-Index!$F$2*2)*((J11*D11)-(E11*D11)), "")</f>
        <v/>
      </c>
      <c r="Q13" s="39">
        <f>IF(AND( C11="Buy", ISBLANK(W11), B11&lt;&gt;"DIV", NOW()-A11 &lt; 365), ((E11*D11)+P11), "")</f>
        <v/>
      </c>
      <c r="R13" s="39">
        <f>IF(AND( C11="Buy", ISBLANK(W11), B11&lt;&gt;"DIV", NOW()-A11 &lt; 365), D11, "")</f>
        <v/>
      </c>
      <c r="S13" s="38">
        <f>IF(AND( C11="Buy", ISBLANK(W11), B11&lt;&gt;"DIV", NOW()-A11 &gt; 365), T11/sum(F11:I11), "")</f>
        <v/>
      </c>
      <c r="T13" s="39">
        <f>IF(AND( C11="Buy", ISBLANK(W11), B11&lt;&gt;"DIV", NOW()-A11 &gt; 365), (1-Index!$F$2*2)*((J11*D11)-(E11*D11)), "")</f>
        <v/>
      </c>
      <c r="U13" s="39">
        <f>IF(AND( C11="Buy", ISBLANK(W11), B11&lt;&gt;"DIV", NOW()-A11 &gt; 365), ((E11*D11)+T11), "")</f>
        <v/>
      </c>
      <c r="V13" s="39">
        <f>IF(AND( C11="Buy", ISBLANK(W11), B11&lt;&gt;"DIV", NOW()-A11 &gt; 365), D11, "")</f>
        <v/>
      </c>
      <c r="W13" s="39" t="n"/>
      <c r="X13" s="39" t="n"/>
      <c r="Y13" s="38">
        <f>IF(AND( C11="Buy", W11&lt;&gt;"", AA11&lt;&gt;"", B11&lt;&gt;"DIV"), Z11/sum(F11:I11), "")</f>
        <v/>
      </c>
      <c r="Z13" s="39" t="n"/>
      <c r="AA13" s="39" t="n"/>
      <c r="AB13" s="40" t="n"/>
      <c r="AC13" s="50">
        <f>if(B11="DIV", F11,"")</f>
        <v/>
      </c>
      <c r="AD13" s="46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</row>
    <row r="14">
      <c r="A14" s="48" t="n">
        <v>45583</v>
      </c>
      <c r="B14" s="34" t="inlineStr">
        <is>
          <t>NSE</t>
        </is>
      </c>
      <c r="C14" s="34" t="inlineStr">
        <is>
          <t>Buy</t>
        </is>
      </c>
      <c r="D14" s="35" t="n">
        <v>50</v>
      </c>
      <c r="E14" s="36" t="n">
        <v>219.88</v>
      </c>
      <c r="F14" s="36" t="n">
        <v>10994.21</v>
      </c>
      <c r="G14" s="34" t="inlineStr">
        <is>
          <t>~</t>
        </is>
      </c>
      <c r="H14" s="35" t="n">
        <v>10.85</v>
      </c>
      <c r="I14" s="35" t="n">
        <v>66.36</v>
      </c>
      <c r="J14" s="49" t="n">
        <v>262</v>
      </c>
      <c r="K14" s="38">
        <f>IF(AND( C12="Buy", ISBLANK(W12), B12&lt;&gt;"DIV"), L12/sum(F12:I12), "")</f>
        <v/>
      </c>
      <c r="L14" s="39">
        <f>IF(AND( C12="Buy", ISBLANK(W12), B12&lt;&gt;"DIV"), (1-Index!$F$2*2)*((J12*D12)-(E12*D12)), "")</f>
        <v/>
      </c>
      <c r="M14" s="39">
        <f>IF(AND( C12="Buy", ISBLANK(W12), B12&lt;&gt;"DIV"), ((E12*D12)+L12), "")</f>
        <v/>
      </c>
      <c r="N14" s="40">
        <f>IF(AND( C12="Buy", ISBLANK(W12), B12&lt;&gt;"DIV"), D12, "")</f>
        <v/>
      </c>
      <c r="O14" s="38">
        <f>IF(AND( C12="Buy", ISBLANK(W12), B12&lt;&gt;"DIV", NOW()-A12 &lt; 365), P12/sum(F12:I12), "")</f>
        <v/>
      </c>
      <c r="P14" s="39">
        <f>IF(AND( C12="Buy", ISBLANK(W12), B12&lt;&gt;"DIV", NOW()-A12 &lt; 365), (1-Index!$F$2*2)*((J12*D12)-(E12*D12)), "")</f>
        <v/>
      </c>
      <c r="Q14" s="39">
        <f>IF(AND( C12="Buy", ISBLANK(W12), B12&lt;&gt;"DIV", NOW()-A12 &lt; 365), ((E12*D12)+P12), "")</f>
        <v/>
      </c>
      <c r="R14" s="39">
        <f>IF(AND( C12="Buy", ISBLANK(W12), B12&lt;&gt;"DIV", NOW()-A12 &lt; 365), D12, "")</f>
        <v/>
      </c>
      <c r="S14" s="38">
        <f>IF(AND( C12="Buy", ISBLANK(W12), B12&lt;&gt;"DIV", NOW()-A12 &gt; 365), T12/sum(F12:I12), "")</f>
        <v/>
      </c>
      <c r="T14" s="39">
        <f>IF(AND( C12="Buy", ISBLANK(W12), B12&lt;&gt;"DIV", NOW()-A12 &gt; 365), (1-Index!$F$2*2)*((J12*D12)-(E12*D12)), "")</f>
        <v/>
      </c>
      <c r="U14" s="39">
        <f>IF(AND( C12="Buy", ISBLANK(W12), B12&lt;&gt;"DIV", NOW()-A12 &gt; 365), ((E12*D12)+T12), "")</f>
        <v/>
      </c>
      <c r="V14" s="39">
        <f>IF(AND( C12="Buy", ISBLANK(W12), B12&lt;&gt;"DIV", NOW()-A12 &gt; 365), D12, "")</f>
        <v/>
      </c>
      <c r="W14" s="43" t="n"/>
      <c r="X14" s="42" t="n"/>
      <c r="Y14" s="38">
        <f>IF(AND( C12="Buy", W12&lt;&gt;"", AA12&lt;&gt;"", B12&lt;&gt;"DIV"), Z12/sum(F12:I12), "")</f>
        <v/>
      </c>
      <c r="Z14" s="43" t="n"/>
      <c r="AA14" s="43" t="n"/>
      <c r="AB14" s="44" t="n"/>
      <c r="AC14" s="45" t="n"/>
      <c r="AD14" s="46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</row>
    <row r="15">
      <c r="A15" s="48" t="n">
        <v>45565</v>
      </c>
      <c r="B15" s="34" t="inlineStr">
        <is>
          <t>NSE</t>
        </is>
      </c>
      <c r="C15" s="34" t="inlineStr">
        <is>
          <t>Sell</t>
        </is>
      </c>
      <c r="D15" s="51" t="n">
        <v>3</v>
      </c>
      <c r="E15" s="36" t="n">
        <v>237.89</v>
      </c>
      <c r="F15" s="36" t="n">
        <v>713.67</v>
      </c>
      <c r="G15" s="34" t="inlineStr">
        <is>
          <t>~</t>
        </is>
      </c>
      <c r="H15" s="35" t="n">
        <v>0.72</v>
      </c>
      <c r="I15" s="35" t="n">
        <v>4.26</v>
      </c>
      <c r="J15" s="49" t="n">
        <v>262</v>
      </c>
      <c r="K15" s="38">
        <f>IF(AND( C13="Buy", ISBLANK(W13), B13&lt;&gt;"DIV"), L13/sum(F13:I13), "")</f>
        <v/>
      </c>
      <c r="L15" s="39">
        <f>IF(AND( C13="Buy", ISBLANK(W13), B13&lt;&gt;"DIV"), (1-Index!$F$2*2)*((J13*D13)-(E13*D13)), "")</f>
        <v/>
      </c>
      <c r="M15" s="39">
        <f>IF(AND( C13="Buy", ISBLANK(W13), B13&lt;&gt;"DIV"), ((E13*D13)+L13), "")</f>
        <v/>
      </c>
      <c r="N15" s="40">
        <f>IF(AND( C13="Buy", ISBLANK(W13), B13&lt;&gt;"DIV"), D13, "")</f>
        <v/>
      </c>
      <c r="O15" s="38">
        <f>IF(AND( C13="Buy", ISBLANK(W13), B13&lt;&gt;"DIV", NOW()-A13 &lt; 365), P13/sum(F13:I13), "")</f>
        <v/>
      </c>
      <c r="P15" s="39">
        <f>IF(AND( C13="Buy", ISBLANK(W13), B13&lt;&gt;"DIV", NOW()-A13 &lt; 365), (1-Index!$F$2*2)*((J13*D13)-(E13*D13)), "")</f>
        <v/>
      </c>
      <c r="Q15" s="39">
        <f>IF(AND( C13="Buy", ISBLANK(W13), B13&lt;&gt;"DIV", NOW()-A13 &lt; 365), ((E13*D13)+P13), "")</f>
        <v/>
      </c>
      <c r="R15" s="39">
        <f>IF(AND( C13="Buy", ISBLANK(W13), B13&lt;&gt;"DIV", NOW()-A13 &lt; 365), D13, "")</f>
        <v/>
      </c>
      <c r="S15" s="38">
        <f>IF(AND( C13="Buy", ISBLANK(W13), B13&lt;&gt;"DIV", NOW()-A13 &gt; 365), T13/sum(F13:I13), "")</f>
        <v/>
      </c>
      <c r="T15" s="39">
        <f>IF(AND( C13="Buy", ISBLANK(W13), B13&lt;&gt;"DIV", NOW()-A13 &gt; 365), (1-Index!$F$2*2)*((J13*D13)-(E13*D13)), "")</f>
        <v/>
      </c>
      <c r="U15" s="39">
        <f>IF(AND( C13="Buy", ISBLANK(W13), B13&lt;&gt;"DIV", NOW()-A13 &gt; 365), ((E13*D13)+T13), "")</f>
        <v/>
      </c>
      <c r="V15" s="39">
        <f>IF(AND( C13="Buy", ISBLANK(W13), B13&lt;&gt;"DIV", NOW()-A13 &gt; 365), D13, "")</f>
        <v/>
      </c>
      <c r="W15" s="45" t="n"/>
      <c r="X15" s="45" t="n"/>
      <c r="Y15" s="38">
        <f>IF(AND( C13="Buy", W13&lt;&gt;"", AA13&lt;&gt;"", B13&lt;&gt;"DIV"), Z13/sum(F13:I13), "")</f>
        <v/>
      </c>
      <c r="Z15" s="45" t="n"/>
      <c r="AA15" s="45" t="n"/>
      <c r="AB15" s="52" t="n"/>
      <c r="AC15" s="53" t="n"/>
      <c r="AD15" s="46" t="n"/>
      <c r="AE15" s="47" t="n"/>
      <c r="AF15" s="47" t="n"/>
      <c r="AG15" s="47" t="n"/>
      <c r="AH15" s="47" t="n"/>
      <c r="AI15" s="47" t="n"/>
      <c r="AJ15" s="47" t="n"/>
      <c r="AK15" s="47" t="n"/>
      <c r="AL15" s="47" t="n"/>
      <c r="AM15" s="47" t="n"/>
      <c r="AN15" s="47" t="n"/>
      <c r="AO15" s="47" t="n"/>
      <c r="AP15" s="47" t="n"/>
    </row>
    <row r="16">
      <c r="A16" s="48" t="n">
        <v>45565</v>
      </c>
      <c r="B16" s="34" t="inlineStr">
        <is>
          <t>NSE</t>
        </is>
      </c>
      <c r="C16" s="34" t="inlineStr">
        <is>
          <t>Sell</t>
        </is>
      </c>
      <c r="D16" s="51" t="n">
        <v>25</v>
      </c>
      <c r="E16" s="36" t="n">
        <v>237.88</v>
      </c>
      <c r="F16" s="36" t="n">
        <v>5947.1</v>
      </c>
      <c r="G16" s="34" t="inlineStr">
        <is>
          <t>~</t>
        </is>
      </c>
      <c r="H16" s="35" t="n">
        <v>6</v>
      </c>
      <c r="I16" s="35" t="n">
        <v>35.65</v>
      </c>
      <c r="J16" s="49" t="n">
        <v>262</v>
      </c>
      <c r="K16" s="38">
        <f>IF(AND( C14="Buy", ISBLANK(W14), B14&lt;&gt;"DIV"), L14/sum(F14:I14), "")</f>
        <v/>
      </c>
      <c r="L16" s="39">
        <f>IF(AND( C14="Buy", ISBLANK(W14), B14&lt;&gt;"DIV"), (1-Index!$F$2*2)*((J14*D14)-(E14*D14)), "")</f>
        <v/>
      </c>
      <c r="M16" s="39">
        <f>IF(AND( C14="Buy", ISBLANK(W14), B14&lt;&gt;"DIV"), ((E14*D14)+L14), "")</f>
        <v/>
      </c>
      <c r="N16" s="40">
        <f>IF(AND( C14="Buy", ISBLANK(W14), B14&lt;&gt;"DIV"), D14, "")</f>
        <v/>
      </c>
      <c r="O16" s="38">
        <f>IF(AND( C14="Buy", ISBLANK(W14), B14&lt;&gt;"DIV", NOW()-A14 &lt; 365), P14/sum(F14:I14), "")</f>
        <v/>
      </c>
      <c r="P16" s="39">
        <f>IF(AND( C14="Buy", ISBLANK(W14), B14&lt;&gt;"DIV", NOW()-A14 &lt; 365), (1-Index!$F$2*2)*((J14*D14)-(E14*D14)), "")</f>
        <v/>
      </c>
      <c r="Q16" s="39">
        <f>IF(AND( C14="Buy", ISBLANK(W14), B14&lt;&gt;"DIV", NOW()-A14 &lt; 365), ((E14*D14)+P14), "")</f>
        <v/>
      </c>
      <c r="R16" s="39">
        <f>IF(AND( C14="Buy", ISBLANK(W14), B14&lt;&gt;"DIV", NOW()-A14 &lt; 365), D14, "")</f>
        <v/>
      </c>
      <c r="S16" s="38">
        <f>IF(AND( C14="Buy", ISBLANK(W14), B14&lt;&gt;"DIV", NOW()-A14 &gt; 365), T14/sum(F14:I14), "")</f>
        <v/>
      </c>
      <c r="T16" s="39">
        <f>IF(AND( C14="Buy", ISBLANK(W14), B14&lt;&gt;"DIV", NOW()-A14 &gt; 365), (1-Index!$F$2*2)*((J14*D14)-(E14*D14)), "")</f>
        <v/>
      </c>
      <c r="U16" s="39">
        <f>IF(AND( C14="Buy", ISBLANK(W14), B14&lt;&gt;"DIV", NOW()-A14 &gt; 365), ((E14*D14)+T14), "")</f>
        <v/>
      </c>
      <c r="V16" s="39">
        <f>IF(AND( C14="Buy", ISBLANK(W14), B14&lt;&gt;"DIV", NOW()-A14 &gt; 365), D14, "")</f>
        <v/>
      </c>
      <c r="W16" s="45" t="n"/>
      <c r="X16" s="45" t="n"/>
      <c r="Y16" s="38">
        <f>IF(AND( C14="Buy", W14&lt;&gt;"", AA14&lt;&gt;"", B14&lt;&gt;"DIV"), Z14/sum(F14:I14), "")</f>
        <v/>
      </c>
      <c r="Z16" s="45" t="n"/>
      <c r="AA16" s="45" t="n"/>
      <c r="AB16" s="52" t="n"/>
      <c r="AC16" s="53" t="n"/>
      <c r="AD16" s="46" t="n"/>
      <c r="AE16" s="47" t="n"/>
      <c r="AF16" s="47" t="n"/>
      <c r="AG16" s="47" t="n"/>
      <c r="AH16" s="47" t="n"/>
      <c r="AI16" s="47" t="n"/>
      <c r="AJ16" s="47" t="n"/>
      <c r="AK16" s="47" t="n"/>
      <c r="AL16" s="47" t="n"/>
      <c r="AM16" s="47" t="n"/>
      <c r="AN16" s="47" t="n"/>
      <c r="AO16" s="47" t="n"/>
      <c r="AP16" s="47" t="n"/>
    </row>
    <row r="17">
      <c r="A17" s="48" t="n">
        <v>45565</v>
      </c>
      <c r="B17" s="34" t="inlineStr">
        <is>
          <t>NSE</t>
        </is>
      </c>
      <c r="C17" s="34" t="inlineStr">
        <is>
          <t>Sell</t>
        </is>
      </c>
      <c r="D17" s="51" t="n">
        <v>4</v>
      </c>
      <c r="E17" s="36" t="n">
        <v>237.89</v>
      </c>
      <c r="F17" s="36" t="n">
        <v>951.55</v>
      </c>
      <c r="G17" s="34" t="inlineStr">
        <is>
          <t>~</t>
        </is>
      </c>
      <c r="H17" s="35" t="n">
        <v>0.96</v>
      </c>
      <c r="I17" s="35" t="n">
        <v>5.69</v>
      </c>
      <c r="J17" s="49" t="n">
        <v>262</v>
      </c>
      <c r="K17" s="38">
        <f>IF(AND( C15="Buy", ISBLANK(W15), B15&lt;&gt;"DIV"), L15/sum(F15:I15), "")</f>
        <v/>
      </c>
      <c r="L17" s="39">
        <f>IF(AND( C15="Buy", ISBLANK(W15), B15&lt;&gt;"DIV"), (1-Index!$F$2*2)*((J15*D15)-(E15*D15)), "")</f>
        <v/>
      </c>
      <c r="M17" s="39">
        <f>IF(AND( C15="Buy", ISBLANK(W15), B15&lt;&gt;"DIV"), ((E15*D15)+L15), "")</f>
        <v/>
      </c>
      <c r="N17" s="40">
        <f>IF(AND( C15="Buy", ISBLANK(W15), B15&lt;&gt;"DIV"), D15, "")</f>
        <v/>
      </c>
      <c r="O17" s="38">
        <f>IF(AND( C15="Buy", ISBLANK(W15), B15&lt;&gt;"DIV", NOW()-A15 &lt; 365), P15/sum(F15:I15), "")</f>
        <v/>
      </c>
      <c r="P17" s="39">
        <f>IF(AND( C15="Buy", ISBLANK(W15), B15&lt;&gt;"DIV", NOW()-A15 &lt; 365), (1-Index!$F$2*2)*((J15*D15)-(E15*D15)), "")</f>
        <v/>
      </c>
      <c r="Q17" s="39">
        <f>IF(AND( C15="Buy", ISBLANK(W15), B15&lt;&gt;"DIV", NOW()-A15 &lt; 365), ((E15*D15)+P15), "")</f>
        <v/>
      </c>
      <c r="R17" s="39">
        <f>IF(AND( C15="Buy", ISBLANK(W15), B15&lt;&gt;"DIV", NOW()-A15 &lt; 365), D15, "")</f>
        <v/>
      </c>
      <c r="S17" s="38">
        <f>IF(AND( C15="Buy", ISBLANK(W15), B15&lt;&gt;"DIV", NOW()-A15 &gt; 365), T15/sum(F15:I15), "")</f>
        <v/>
      </c>
      <c r="T17" s="39">
        <f>IF(AND( C15="Buy", ISBLANK(W15), B15&lt;&gt;"DIV", NOW()-A15 &gt; 365), (1-Index!$F$2*2)*((J15*D15)-(E15*D15)), "")</f>
        <v/>
      </c>
      <c r="U17" s="39">
        <f>IF(AND( C15="Buy", ISBLANK(W15), B15&lt;&gt;"DIV", NOW()-A15 &gt; 365), ((E15*D15)+T15), "")</f>
        <v/>
      </c>
      <c r="V17" s="39">
        <f>IF(AND( C15="Buy", ISBLANK(W15), B15&lt;&gt;"DIV", NOW()-A15 &gt; 365), D15, "")</f>
        <v/>
      </c>
      <c r="W17" s="45" t="n"/>
      <c r="X17" s="45" t="n"/>
      <c r="Y17" s="38">
        <f>IF(AND( C15="Buy", W15&lt;&gt;"", AA15&lt;&gt;"", B15&lt;&gt;"DIV"), Z15/sum(F15:I15), "")</f>
        <v/>
      </c>
      <c r="Z17" s="45" t="n"/>
      <c r="AA17" s="45" t="n"/>
      <c r="AB17" s="52" t="n"/>
      <c r="AC17" s="53" t="n"/>
      <c r="AD17" s="46" t="n"/>
      <c r="AE17" s="47" t="n"/>
      <c r="AF17" s="47" t="n"/>
      <c r="AG17" s="47" t="n"/>
      <c r="AH17" s="47" t="n"/>
      <c r="AI17" s="47" t="n"/>
      <c r="AJ17" s="47" t="n"/>
      <c r="AK17" s="47" t="n"/>
      <c r="AL17" s="47" t="n"/>
      <c r="AM17" s="47" t="n"/>
      <c r="AN17" s="47" t="n"/>
      <c r="AO17" s="47" t="n"/>
      <c r="AP17" s="47" t="n"/>
    </row>
    <row r="18">
      <c r="A18" s="48" t="n">
        <v>45565</v>
      </c>
      <c r="B18" s="34" t="inlineStr">
        <is>
          <t>NSE</t>
        </is>
      </c>
      <c r="C18" s="34" t="inlineStr">
        <is>
          <t>Sell</t>
        </is>
      </c>
      <c r="D18" s="51" t="n">
        <v>2</v>
      </c>
      <c r="E18" s="36" t="n">
        <v>237.88</v>
      </c>
      <c r="F18" s="36" t="n">
        <v>475.76</v>
      </c>
      <c r="G18" s="34" t="inlineStr">
        <is>
          <t>~</t>
        </is>
      </c>
      <c r="H18" s="35" t="n">
        <v>0.48</v>
      </c>
      <c r="I18" s="35" t="n">
        <v>2.86</v>
      </c>
      <c r="J18" s="49" t="n">
        <v>262</v>
      </c>
      <c r="K18" s="38">
        <f>IF(AND( C16="Buy", ISBLANK(W16), B16&lt;&gt;"DIV"), L16/sum(F16:I16), "")</f>
        <v/>
      </c>
      <c r="L18" s="39">
        <f>IF(AND( C16="Buy", ISBLANK(W16), B16&lt;&gt;"DIV"), (1-Index!$F$2*2)*((J16*D16)-(E16*D16)), "")</f>
        <v/>
      </c>
      <c r="M18" s="39">
        <f>IF(AND( C16="Buy", ISBLANK(W16), B16&lt;&gt;"DIV"), ((E16*D16)+L16), "")</f>
        <v/>
      </c>
      <c r="N18" s="40">
        <f>IF(AND( C16="Buy", ISBLANK(W16), B16&lt;&gt;"DIV"), D16, "")</f>
        <v/>
      </c>
      <c r="O18" s="38">
        <f>IF(AND( C16="Buy", ISBLANK(W16), B16&lt;&gt;"DIV", NOW()-A16 &lt; 365), P16/sum(F16:I16), "")</f>
        <v/>
      </c>
      <c r="P18" s="39">
        <f>IF(AND( C16="Buy", ISBLANK(W16), B16&lt;&gt;"DIV", NOW()-A16 &lt; 365), (1-Index!$F$2*2)*((J16*D16)-(E16*D16)), "")</f>
        <v/>
      </c>
      <c r="Q18" s="39">
        <f>IF(AND( C16="Buy", ISBLANK(W16), B16&lt;&gt;"DIV", NOW()-A16 &lt; 365), ((E16*D16)+P16), "")</f>
        <v/>
      </c>
      <c r="R18" s="39">
        <f>IF(AND( C16="Buy", ISBLANK(W16), B16&lt;&gt;"DIV", NOW()-A16 &lt; 365), D16, "")</f>
        <v/>
      </c>
      <c r="S18" s="38">
        <f>IF(AND( C16="Buy", ISBLANK(W16), B16&lt;&gt;"DIV", NOW()-A16 &gt; 365), T16/sum(F16:I16), "")</f>
        <v/>
      </c>
      <c r="T18" s="39">
        <f>IF(AND( C16="Buy", ISBLANK(W16), B16&lt;&gt;"DIV", NOW()-A16 &gt; 365), (1-Index!$F$2*2)*((J16*D16)-(E16*D16)), "")</f>
        <v/>
      </c>
      <c r="U18" s="39">
        <f>IF(AND( C16="Buy", ISBLANK(W16), B16&lt;&gt;"DIV", NOW()-A16 &gt; 365), ((E16*D16)+T16), "")</f>
        <v/>
      </c>
      <c r="V18" s="39">
        <f>IF(AND( C16="Buy", ISBLANK(W16), B16&lt;&gt;"DIV", NOW()-A16 &gt; 365), D16, "")</f>
        <v/>
      </c>
      <c r="W18" s="45" t="n"/>
      <c r="X18" s="45" t="n"/>
      <c r="Y18" s="38">
        <f>IF(AND( C16="Buy", W16&lt;&gt;"", AA16&lt;&gt;"", B16&lt;&gt;"DIV"), Z16/sum(F16:I16), "")</f>
        <v/>
      </c>
      <c r="Z18" s="45" t="n"/>
      <c r="AA18" s="45" t="n"/>
      <c r="AB18" s="52" t="n"/>
      <c r="AC18" s="53" t="n"/>
      <c r="AD18" s="46" t="n"/>
      <c r="AE18" s="47" t="n"/>
      <c r="AF18" s="47" t="n"/>
      <c r="AG18" s="47" t="n"/>
      <c r="AH18" s="47" t="n"/>
      <c r="AI18" s="47" t="n"/>
      <c r="AJ18" s="47" t="n"/>
      <c r="AK18" s="47" t="n"/>
      <c r="AL18" s="47" t="n"/>
      <c r="AM18" s="47" t="n"/>
      <c r="AN18" s="47" t="n"/>
      <c r="AO18" s="47" t="n"/>
      <c r="AP18" s="47" t="n"/>
    </row>
    <row r="19">
      <c r="A19" s="48" t="n">
        <v>45565</v>
      </c>
      <c r="B19" s="34" t="inlineStr">
        <is>
          <t>NSE</t>
        </is>
      </c>
      <c r="C19" s="34" t="inlineStr">
        <is>
          <t>Sell</t>
        </is>
      </c>
      <c r="D19" s="51" t="n">
        <v>1</v>
      </c>
      <c r="E19" s="36" t="n">
        <v>237.88</v>
      </c>
      <c r="F19" s="36" t="n">
        <v>237.88</v>
      </c>
      <c r="G19" s="34" t="inlineStr">
        <is>
          <t>~</t>
        </is>
      </c>
      <c r="H19" s="35" t="n">
        <v>0.24</v>
      </c>
      <c r="I19" s="35" t="n">
        <v>1.43</v>
      </c>
      <c r="J19" s="49" t="n">
        <v>262</v>
      </c>
      <c r="K19" s="38">
        <f>IF(AND( C17="Buy", ISBLANK(W17), B17&lt;&gt;"DIV"), L17/sum(F17:I17), "")</f>
        <v/>
      </c>
      <c r="L19" s="39">
        <f>IF(AND( C17="Buy", ISBLANK(W17), B17&lt;&gt;"DIV"), (1-Index!$F$2*2)*((J17*D17)-(E17*D17)), "")</f>
        <v/>
      </c>
      <c r="M19" s="39">
        <f>IF(AND( C17="Buy", ISBLANK(W17), B17&lt;&gt;"DIV"), ((E17*D17)+L17), "")</f>
        <v/>
      </c>
      <c r="N19" s="40">
        <f>IF(AND( C17="Buy", ISBLANK(W17), B17&lt;&gt;"DIV"), D17, "")</f>
        <v/>
      </c>
      <c r="O19" s="38">
        <f>IF(AND( C17="Buy", ISBLANK(W17), B17&lt;&gt;"DIV", NOW()-A17 &lt; 365), P17/sum(F17:I17), "")</f>
        <v/>
      </c>
      <c r="P19" s="39">
        <f>IF(AND( C17="Buy", ISBLANK(W17), B17&lt;&gt;"DIV", NOW()-A17 &lt; 365), (1-Index!$F$2*2)*((J17*D17)-(E17*D17)), "")</f>
        <v/>
      </c>
      <c r="Q19" s="39">
        <f>IF(AND( C17="Buy", ISBLANK(W17), B17&lt;&gt;"DIV", NOW()-A17 &lt; 365), ((E17*D17)+P17), "")</f>
        <v/>
      </c>
      <c r="R19" s="39">
        <f>IF(AND( C17="Buy", ISBLANK(W17), B17&lt;&gt;"DIV", NOW()-A17 &lt; 365), D17, "")</f>
        <v/>
      </c>
      <c r="S19" s="38">
        <f>IF(AND( C17="Buy", ISBLANK(W17), B17&lt;&gt;"DIV", NOW()-A17 &gt; 365), T17/sum(F17:I17), "")</f>
        <v/>
      </c>
      <c r="T19" s="39">
        <f>IF(AND( C17="Buy", ISBLANK(W17), B17&lt;&gt;"DIV", NOW()-A17 &gt; 365), (1-Index!$F$2*2)*((J17*D17)-(E17*D17)), "")</f>
        <v/>
      </c>
      <c r="U19" s="39">
        <f>IF(AND( C17="Buy", ISBLANK(W17), B17&lt;&gt;"DIV", NOW()-A17 &gt; 365), ((E17*D17)+T17), "")</f>
        <v/>
      </c>
      <c r="V19" s="39">
        <f>IF(AND( C17="Buy", ISBLANK(W17), B17&lt;&gt;"DIV", NOW()-A17 &gt; 365), D17, "")</f>
        <v/>
      </c>
      <c r="W19" s="45" t="n"/>
      <c r="X19" s="45" t="n"/>
      <c r="Y19" s="38">
        <f>IF(AND( C17="Buy", W17&lt;&gt;"", AA17&lt;&gt;"", B17&lt;&gt;"DIV"), Z17/sum(F17:I17), "")</f>
        <v/>
      </c>
      <c r="Z19" s="45" t="n"/>
      <c r="AA19" s="45" t="n"/>
      <c r="AB19" s="52" t="n"/>
      <c r="AC19" s="53" t="n"/>
      <c r="AD19" s="46" t="n"/>
      <c r="AE19" s="47" t="n"/>
      <c r="AF19" s="47" t="n"/>
      <c r="AG19" s="47" t="n"/>
      <c r="AH19" s="47" t="n"/>
      <c r="AI19" s="47" t="n"/>
      <c r="AJ19" s="47" t="n"/>
      <c r="AK19" s="47" t="n"/>
      <c r="AL19" s="47" t="n"/>
      <c r="AM19" s="47" t="n"/>
      <c r="AN19" s="47" t="n"/>
      <c r="AO19" s="47" t="n"/>
      <c r="AP19" s="47" t="n"/>
    </row>
    <row r="20">
      <c r="A20" s="48" t="n">
        <v>45565</v>
      </c>
      <c r="B20" s="34" t="inlineStr">
        <is>
          <t>NSE</t>
        </is>
      </c>
      <c r="C20" s="34" t="inlineStr">
        <is>
          <t>Sell</t>
        </is>
      </c>
      <c r="D20" s="51" t="n">
        <v>15</v>
      </c>
      <c r="E20" s="36" t="n">
        <v>237.89</v>
      </c>
      <c r="F20" s="36" t="n">
        <v>3568.28</v>
      </c>
      <c r="G20" s="34" t="inlineStr">
        <is>
          <t>~</t>
        </is>
      </c>
      <c r="H20" s="35" t="n">
        <v>3.59</v>
      </c>
      <c r="I20" s="35" t="n">
        <v>21.38</v>
      </c>
      <c r="J20" s="49" t="n">
        <v>262</v>
      </c>
      <c r="K20" s="38">
        <f>IF(AND( C18="Buy", ISBLANK(W18), B18&lt;&gt;"DIV"), L18/sum(F18:I18), "")</f>
        <v/>
      </c>
      <c r="L20" s="39">
        <f>IF(AND( C18="Buy", ISBLANK(W18), B18&lt;&gt;"DIV"), (1-Index!$F$2*2)*((J18*D18)-(E18*D18)), "")</f>
        <v/>
      </c>
      <c r="M20" s="39">
        <f>IF(AND( C18="Buy", ISBLANK(W18), B18&lt;&gt;"DIV"), ((E18*D18)+L18), "")</f>
        <v/>
      </c>
      <c r="N20" s="40">
        <f>IF(AND( C18="Buy", ISBLANK(W18), B18&lt;&gt;"DIV"), D18, "")</f>
        <v/>
      </c>
      <c r="O20" s="38">
        <f>IF(AND( C18="Buy", ISBLANK(W18), B18&lt;&gt;"DIV", NOW()-A18 &lt; 365), P18/sum(F18:I18), "")</f>
        <v/>
      </c>
      <c r="P20" s="39">
        <f>IF(AND( C18="Buy", ISBLANK(W18), B18&lt;&gt;"DIV", NOW()-A18 &lt; 365), (1-Index!$F$2*2)*((J18*D18)-(E18*D18)), "")</f>
        <v/>
      </c>
      <c r="Q20" s="39">
        <f>IF(AND( C18="Buy", ISBLANK(W18), B18&lt;&gt;"DIV", NOW()-A18 &lt; 365), ((E18*D18)+P18), "")</f>
        <v/>
      </c>
      <c r="R20" s="39">
        <f>IF(AND( C18="Buy", ISBLANK(W18), B18&lt;&gt;"DIV", NOW()-A18 &lt; 365), D18, "")</f>
        <v/>
      </c>
      <c r="S20" s="38">
        <f>IF(AND( C18="Buy", ISBLANK(W18), B18&lt;&gt;"DIV", NOW()-A18 &gt; 365), T18/sum(F18:I18), "")</f>
        <v/>
      </c>
      <c r="T20" s="39">
        <f>IF(AND( C18="Buy", ISBLANK(W18), B18&lt;&gt;"DIV", NOW()-A18 &gt; 365), (1-Index!$F$2*2)*((J18*D18)-(E18*D18)), "")</f>
        <v/>
      </c>
      <c r="U20" s="39">
        <f>IF(AND( C18="Buy", ISBLANK(W18), B18&lt;&gt;"DIV", NOW()-A18 &gt; 365), ((E18*D18)+T18), "")</f>
        <v/>
      </c>
      <c r="V20" s="39">
        <f>IF(AND( C18="Buy", ISBLANK(W18), B18&lt;&gt;"DIV", NOW()-A18 &gt; 365), D18, "")</f>
        <v/>
      </c>
      <c r="W20" s="45" t="n"/>
      <c r="X20" s="45" t="n"/>
      <c r="Y20" s="38">
        <f>IF(AND( C18="Buy", W18&lt;&gt;"", AA18&lt;&gt;"", B18&lt;&gt;"DIV"), Z18/sum(F18:I18), "")</f>
        <v/>
      </c>
      <c r="Z20" s="45" t="n"/>
      <c r="AA20" s="45" t="n"/>
      <c r="AB20" s="52" t="n"/>
      <c r="AC20" s="53" t="n"/>
      <c r="AD20" s="46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>
      <c r="A21" s="48" t="n">
        <v>45565</v>
      </c>
      <c r="B21" s="34" t="inlineStr">
        <is>
          <t>NSE</t>
        </is>
      </c>
      <c r="C21" s="34" t="inlineStr">
        <is>
          <t>Sell</t>
        </is>
      </c>
      <c r="D21" s="51" t="n">
        <v>1</v>
      </c>
      <c r="E21" s="36" t="n">
        <v>237.88</v>
      </c>
      <c r="F21" s="36" t="n">
        <v>237.88</v>
      </c>
      <c r="G21" s="34" t="inlineStr">
        <is>
          <t>~</t>
        </is>
      </c>
      <c r="H21" s="35" t="n">
        <v>0.24</v>
      </c>
      <c r="I21" s="35" t="n">
        <v>1.43</v>
      </c>
      <c r="J21" s="49" t="n">
        <v>262</v>
      </c>
      <c r="K21" s="38">
        <f>IF(AND( C19="Buy", ISBLANK(W19), B19&lt;&gt;"DIV"), L19/sum(F19:I19), "")</f>
        <v/>
      </c>
      <c r="L21" s="39">
        <f>IF(AND( C19="Buy", ISBLANK(W19), B19&lt;&gt;"DIV"), (1-Index!$F$2*2)*((J19*D19)-(E19*D19)), "")</f>
        <v/>
      </c>
      <c r="M21" s="39">
        <f>IF(AND( C19="Buy", ISBLANK(W19), B19&lt;&gt;"DIV"), ((E19*D19)+L19), "")</f>
        <v/>
      </c>
      <c r="N21" s="40">
        <f>IF(AND( C19="Buy", ISBLANK(W19), B19&lt;&gt;"DIV"), D19, "")</f>
        <v/>
      </c>
      <c r="O21" s="38">
        <f>IF(AND( C19="Buy", ISBLANK(W19), B19&lt;&gt;"DIV", NOW()-A19 &lt; 365), P19/sum(F19:I19), "")</f>
        <v/>
      </c>
      <c r="P21" s="39">
        <f>IF(AND( C19="Buy", ISBLANK(W19), B19&lt;&gt;"DIV", NOW()-A19 &lt; 365), (1-Index!$F$2*2)*((J19*D19)-(E19*D19)), "")</f>
        <v/>
      </c>
      <c r="Q21" s="39">
        <f>IF(AND( C19="Buy", ISBLANK(W19), B19&lt;&gt;"DIV", NOW()-A19 &lt; 365), ((E19*D19)+P19), "")</f>
        <v/>
      </c>
      <c r="R21" s="39">
        <f>IF(AND( C19="Buy", ISBLANK(W19), B19&lt;&gt;"DIV", NOW()-A19 &lt; 365), D19, "")</f>
        <v/>
      </c>
      <c r="S21" s="38">
        <f>IF(AND( C19="Buy", ISBLANK(W19), B19&lt;&gt;"DIV", NOW()-A19 &gt; 365), T19/sum(F19:I19), "")</f>
        <v/>
      </c>
      <c r="T21" s="39">
        <f>IF(AND( C19="Buy", ISBLANK(W19), B19&lt;&gt;"DIV", NOW()-A19 &gt; 365), (1-Index!$F$2*2)*((J19*D19)-(E19*D19)), "")</f>
        <v/>
      </c>
      <c r="U21" s="39">
        <f>IF(AND( C19="Buy", ISBLANK(W19), B19&lt;&gt;"DIV", NOW()-A19 &gt; 365), ((E19*D19)+T19), "")</f>
        <v/>
      </c>
      <c r="V21" s="39">
        <f>IF(AND( C19="Buy", ISBLANK(W19), B19&lt;&gt;"DIV", NOW()-A19 &gt; 365), D19, "")</f>
        <v/>
      </c>
      <c r="W21" s="45" t="n"/>
      <c r="X21" s="45" t="n"/>
      <c r="Y21" s="38">
        <f>IF(AND( C19="Buy", W19&lt;&gt;"", AA19&lt;&gt;"", B19&lt;&gt;"DIV"), Z19/sum(F19:I19), "")</f>
        <v/>
      </c>
      <c r="Z21" s="45" t="n"/>
      <c r="AA21" s="45" t="n"/>
      <c r="AB21" s="52" t="n"/>
      <c r="AC21" s="53" t="n"/>
      <c r="AD21" s="46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</row>
    <row r="22">
      <c r="A22" s="48" t="n">
        <v>45565</v>
      </c>
      <c r="B22" s="34" t="inlineStr">
        <is>
          <t>NSE</t>
        </is>
      </c>
      <c r="C22" s="34" t="inlineStr">
        <is>
          <t>Sell</t>
        </is>
      </c>
      <c r="D22" s="51" t="n">
        <v>5</v>
      </c>
      <c r="E22" s="36" t="n">
        <v>237.89</v>
      </c>
      <c r="F22" s="36" t="n">
        <v>1189.43</v>
      </c>
      <c r="G22" s="34" t="inlineStr">
        <is>
          <t>~</t>
        </is>
      </c>
      <c r="H22" s="35" t="n">
        <v>1.2</v>
      </c>
      <c r="I22" s="35" t="n">
        <v>7.12</v>
      </c>
      <c r="J22" s="49" t="n">
        <v>262</v>
      </c>
      <c r="K22" s="38">
        <f>IF(AND( C20="Buy", ISBLANK(W20), B20&lt;&gt;"DIV"), L20/sum(F20:I20), "")</f>
        <v/>
      </c>
      <c r="L22" s="39">
        <f>IF(AND( C20="Buy", ISBLANK(W20), B20&lt;&gt;"DIV"), (1-Index!$F$2*2)*((J20*D20)-(E20*D20)), "")</f>
        <v/>
      </c>
      <c r="M22" s="39">
        <f>IF(AND( C20="Buy", ISBLANK(W20), B20&lt;&gt;"DIV"), ((E20*D20)+L20), "")</f>
        <v/>
      </c>
      <c r="N22" s="40">
        <f>IF(AND( C20="Buy", ISBLANK(W20), B20&lt;&gt;"DIV"), D20, "")</f>
        <v/>
      </c>
      <c r="O22" s="38">
        <f>IF(AND( C20="Buy", ISBLANK(W20), B20&lt;&gt;"DIV", NOW()-A20 &lt; 365), P20/sum(F20:I20), "")</f>
        <v/>
      </c>
      <c r="P22" s="39">
        <f>IF(AND( C20="Buy", ISBLANK(W20), B20&lt;&gt;"DIV", NOW()-A20 &lt; 365), (1-Index!$F$2*2)*((J20*D20)-(E20*D20)), "")</f>
        <v/>
      </c>
      <c r="Q22" s="39">
        <f>IF(AND( C20="Buy", ISBLANK(W20), B20&lt;&gt;"DIV", NOW()-A20 &lt; 365), ((E20*D20)+P20), "")</f>
        <v/>
      </c>
      <c r="R22" s="39">
        <f>IF(AND( C20="Buy", ISBLANK(W20), B20&lt;&gt;"DIV", NOW()-A20 &lt; 365), D20, "")</f>
        <v/>
      </c>
      <c r="S22" s="38">
        <f>IF(AND( C20="Buy", ISBLANK(W20), B20&lt;&gt;"DIV", NOW()-A20 &gt; 365), T20/sum(F20:I20), "")</f>
        <v/>
      </c>
      <c r="T22" s="39">
        <f>IF(AND( C20="Buy", ISBLANK(W20), B20&lt;&gt;"DIV", NOW()-A20 &gt; 365), (1-Index!$F$2*2)*((J20*D20)-(E20*D20)), "")</f>
        <v/>
      </c>
      <c r="U22" s="39">
        <f>IF(AND( C20="Buy", ISBLANK(W20), B20&lt;&gt;"DIV", NOW()-A20 &gt; 365), ((E20*D20)+T20), "")</f>
        <v/>
      </c>
      <c r="V22" s="39">
        <f>IF(AND( C20="Buy", ISBLANK(W20), B20&lt;&gt;"DIV", NOW()-A20 &gt; 365), D20, "")</f>
        <v/>
      </c>
      <c r="W22" s="45" t="n"/>
      <c r="X22" s="45" t="n"/>
      <c r="Y22" s="38">
        <f>IF(AND( C20="Buy", W20&lt;&gt;"", AA20&lt;&gt;"", B20&lt;&gt;"DIV"), Z20/sum(F20:I20), "")</f>
        <v/>
      </c>
      <c r="Z22" s="45" t="n"/>
      <c r="AA22" s="45" t="n"/>
      <c r="AB22" s="52" t="n"/>
      <c r="AC22" s="53" t="n"/>
      <c r="AD22" s="46" t="n"/>
      <c r="AE22" s="47" t="n"/>
      <c r="AF22" s="47" t="n"/>
      <c r="AG22" s="47" t="n"/>
      <c r="AH22" s="47" t="n"/>
      <c r="AI22" s="47" t="n"/>
      <c r="AJ22" s="47" t="n"/>
      <c r="AK22" s="47" t="n"/>
      <c r="AL22" s="47" t="n"/>
      <c r="AM22" s="47" t="n"/>
      <c r="AN22" s="47" t="n"/>
      <c r="AO22" s="47" t="n"/>
      <c r="AP22" s="47" t="n"/>
    </row>
    <row r="23">
      <c r="A23" s="48" t="n">
        <v>45565</v>
      </c>
      <c r="B23" s="34" t="inlineStr">
        <is>
          <t>NSE</t>
        </is>
      </c>
      <c r="C23" s="34" t="inlineStr">
        <is>
          <t>Sell</t>
        </is>
      </c>
      <c r="D23" s="51" t="n">
        <v>5</v>
      </c>
      <c r="E23" s="36" t="n">
        <v>237.89</v>
      </c>
      <c r="F23" s="36" t="n">
        <v>1189.43</v>
      </c>
      <c r="G23" s="34" t="inlineStr">
        <is>
          <t>~</t>
        </is>
      </c>
      <c r="H23" s="35" t="n">
        <v>1.2</v>
      </c>
      <c r="I23" s="35" t="n">
        <v>7.12</v>
      </c>
      <c r="J23" s="49" t="n">
        <v>262</v>
      </c>
      <c r="K23" s="38">
        <f>IF(AND( C21="Buy", ISBLANK(W21), B21&lt;&gt;"DIV"), L21/sum(F21:I21), "")</f>
        <v/>
      </c>
      <c r="L23" s="39">
        <f>IF(AND( C21="Buy", ISBLANK(W21), B21&lt;&gt;"DIV"), (1-Index!$F$2*2)*((J21*D21)-(E21*D21)), "")</f>
        <v/>
      </c>
      <c r="M23" s="39">
        <f>IF(AND( C21="Buy", ISBLANK(W21), B21&lt;&gt;"DIV"), ((E21*D21)+L21), "")</f>
        <v/>
      </c>
      <c r="N23" s="40">
        <f>IF(AND( C21="Buy", ISBLANK(W21), B21&lt;&gt;"DIV"), D21, "")</f>
        <v/>
      </c>
      <c r="O23" s="38">
        <f>IF(AND( C21="Buy", ISBLANK(W21), B21&lt;&gt;"DIV", NOW()-A21 &lt; 365), P21/sum(F21:I21), "")</f>
        <v/>
      </c>
      <c r="P23" s="39">
        <f>IF(AND( C21="Buy", ISBLANK(W21), B21&lt;&gt;"DIV", NOW()-A21 &lt; 365), (1-Index!$F$2*2)*((J21*D21)-(E21*D21)), "")</f>
        <v/>
      </c>
      <c r="Q23" s="39">
        <f>IF(AND( C21="Buy", ISBLANK(W21), B21&lt;&gt;"DIV", NOW()-A21 &lt; 365), ((E21*D21)+P21), "")</f>
        <v/>
      </c>
      <c r="R23" s="39">
        <f>IF(AND( C21="Buy", ISBLANK(W21), B21&lt;&gt;"DIV", NOW()-A21 &lt; 365), D21, "")</f>
        <v/>
      </c>
      <c r="S23" s="38">
        <f>IF(AND( C21="Buy", ISBLANK(W21), B21&lt;&gt;"DIV", NOW()-A21 &gt; 365), T21/sum(F21:I21), "")</f>
        <v/>
      </c>
      <c r="T23" s="39">
        <f>IF(AND( C21="Buy", ISBLANK(W21), B21&lt;&gt;"DIV", NOW()-A21 &gt; 365), (1-Index!$F$2*2)*((J21*D21)-(E21*D21)), "")</f>
        <v/>
      </c>
      <c r="U23" s="39">
        <f>IF(AND( C21="Buy", ISBLANK(W21), B21&lt;&gt;"DIV", NOW()-A21 &gt; 365), ((E21*D21)+T21), "")</f>
        <v/>
      </c>
      <c r="V23" s="39">
        <f>IF(AND( C21="Buy", ISBLANK(W21), B21&lt;&gt;"DIV", NOW()-A21 &gt; 365), D21, "")</f>
        <v/>
      </c>
      <c r="W23" s="45" t="n"/>
      <c r="X23" s="45" t="n"/>
      <c r="Y23" s="38">
        <f>IF(AND( C21="Buy", W21&lt;&gt;"", AA21&lt;&gt;"", B21&lt;&gt;"DIV"), Z21/sum(F21:I21), "")</f>
        <v/>
      </c>
      <c r="Z23" s="45" t="n"/>
      <c r="AA23" s="45" t="n"/>
      <c r="AB23" s="52" t="n"/>
      <c r="AC23" s="53" t="n"/>
      <c r="AD23" s="46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</row>
    <row r="24">
      <c r="A24" s="48" t="n">
        <v>45565</v>
      </c>
      <c r="B24" s="34" t="inlineStr">
        <is>
          <t>NSE</t>
        </is>
      </c>
      <c r="C24" s="34" t="inlineStr">
        <is>
          <t>Sell</t>
        </is>
      </c>
      <c r="D24" s="51" t="n">
        <v>1</v>
      </c>
      <c r="E24" s="36" t="n">
        <v>237.88</v>
      </c>
      <c r="F24" s="36" t="n">
        <v>237.88</v>
      </c>
      <c r="G24" s="34" t="inlineStr">
        <is>
          <t>~</t>
        </is>
      </c>
      <c r="H24" s="35" t="n">
        <v>0.24</v>
      </c>
      <c r="I24" s="35" t="n">
        <v>1.43</v>
      </c>
      <c r="J24" s="49" t="n">
        <v>262</v>
      </c>
      <c r="K24" s="38">
        <f>IF(AND( C22="Buy", ISBLANK(W22), B22&lt;&gt;"DIV"), L22/sum(F22:I22), "")</f>
        <v/>
      </c>
      <c r="L24" s="39">
        <f>IF(AND( C22="Buy", ISBLANK(W22), B22&lt;&gt;"DIV"), (1-Index!$F$2*2)*((J22*D22)-(E22*D22)), "")</f>
        <v/>
      </c>
      <c r="M24" s="39">
        <f>IF(AND( C22="Buy", ISBLANK(W22), B22&lt;&gt;"DIV"), ((E22*D22)+L22), "")</f>
        <v/>
      </c>
      <c r="N24" s="40">
        <f>IF(AND( C22="Buy", ISBLANK(W22), B22&lt;&gt;"DIV"), D22, "")</f>
        <v/>
      </c>
      <c r="O24" s="38">
        <f>IF(AND( C22="Buy", ISBLANK(W22), B22&lt;&gt;"DIV", NOW()-A22 &lt; 365), P22/sum(F22:I22), "")</f>
        <v/>
      </c>
      <c r="P24" s="39">
        <f>IF(AND( C22="Buy", ISBLANK(W22), B22&lt;&gt;"DIV", NOW()-A22 &lt; 365), (1-Index!$F$2*2)*((J22*D22)-(E22*D22)), "")</f>
        <v/>
      </c>
      <c r="Q24" s="39">
        <f>IF(AND( C22="Buy", ISBLANK(W22), B22&lt;&gt;"DIV", NOW()-A22 &lt; 365), ((E22*D22)+P22), "")</f>
        <v/>
      </c>
      <c r="R24" s="39">
        <f>IF(AND( C22="Buy", ISBLANK(W22), B22&lt;&gt;"DIV", NOW()-A22 &lt; 365), D22, "")</f>
        <v/>
      </c>
      <c r="S24" s="38">
        <f>IF(AND( C22="Buy", ISBLANK(W22), B22&lt;&gt;"DIV", NOW()-A22 &gt; 365), T22/sum(F22:I22), "")</f>
        <v/>
      </c>
      <c r="T24" s="39">
        <f>IF(AND( C22="Buy", ISBLANK(W22), B22&lt;&gt;"DIV", NOW()-A22 &gt; 365), (1-Index!$F$2*2)*((J22*D22)-(E22*D22)), "")</f>
        <v/>
      </c>
      <c r="U24" s="39">
        <f>IF(AND( C22="Buy", ISBLANK(W22), B22&lt;&gt;"DIV", NOW()-A22 &gt; 365), ((E22*D22)+T22), "")</f>
        <v/>
      </c>
      <c r="V24" s="39">
        <f>IF(AND( C22="Buy", ISBLANK(W22), B22&lt;&gt;"DIV", NOW()-A22 &gt; 365), D22, "")</f>
        <v/>
      </c>
      <c r="W24" s="45" t="n"/>
      <c r="X24" s="45" t="n"/>
      <c r="Y24" s="38">
        <f>IF(AND( C22="Buy", W22&lt;&gt;"", AA22&lt;&gt;"", B22&lt;&gt;"DIV"), Z22/sum(F22:I22), "")</f>
        <v/>
      </c>
      <c r="Z24" s="45" t="n"/>
      <c r="AA24" s="45" t="n"/>
      <c r="AB24" s="52" t="n"/>
      <c r="AC24" s="53" t="n"/>
      <c r="AD24" s="46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</row>
    <row r="25">
      <c r="A25" s="48" t="n">
        <v>45565</v>
      </c>
      <c r="B25" s="34" t="inlineStr">
        <is>
          <t>NSE</t>
        </is>
      </c>
      <c r="C25" s="34" t="inlineStr">
        <is>
          <t>Sell</t>
        </is>
      </c>
      <c r="D25" s="51" t="n">
        <v>27</v>
      </c>
      <c r="E25" s="36" t="n">
        <v>237.88</v>
      </c>
      <c r="F25" s="36" t="n">
        <v>6422.87</v>
      </c>
      <c r="G25" s="34" t="inlineStr">
        <is>
          <t>~</t>
        </is>
      </c>
      <c r="H25" s="35" t="n">
        <v>6.48</v>
      </c>
      <c r="I25" s="35" t="n">
        <v>38.5</v>
      </c>
      <c r="J25" s="49" t="n">
        <v>262</v>
      </c>
      <c r="K25" s="38">
        <f>IF(AND( C23="Buy", ISBLANK(W23), B23&lt;&gt;"DIV"), L23/sum(F23:I23), "")</f>
        <v/>
      </c>
      <c r="L25" s="39">
        <f>IF(AND( C23="Buy", ISBLANK(W23), B23&lt;&gt;"DIV"), (1-Index!$F$2*2)*((J23*D23)-(E23*D23)), "")</f>
        <v/>
      </c>
      <c r="M25" s="39">
        <f>IF(AND( C23="Buy", ISBLANK(W23), B23&lt;&gt;"DIV"), ((E23*D23)+L23), "")</f>
        <v/>
      </c>
      <c r="N25" s="40">
        <f>IF(AND( C23="Buy", ISBLANK(W23), B23&lt;&gt;"DIV"), D23, "")</f>
        <v/>
      </c>
      <c r="O25" s="38">
        <f>IF(AND( C23="Buy", ISBLANK(W23), B23&lt;&gt;"DIV", NOW()-A23 &lt; 365), P23/sum(F23:I23), "")</f>
        <v/>
      </c>
      <c r="P25" s="39">
        <f>IF(AND( C23="Buy", ISBLANK(W23), B23&lt;&gt;"DIV", NOW()-A23 &lt; 365), (1-Index!$F$2*2)*((J23*D23)-(E23*D23)), "")</f>
        <v/>
      </c>
      <c r="Q25" s="39">
        <f>IF(AND( C23="Buy", ISBLANK(W23), B23&lt;&gt;"DIV", NOW()-A23 &lt; 365), ((E23*D23)+P23), "")</f>
        <v/>
      </c>
      <c r="R25" s="39">
        <f>IF(AND( C23="Buy", ISBLANK(W23), B23&lt;&gt;"DIV", NOW()-A23 &lt; 365), D23, "")</f>
        <v/>
      </c>
      <c r="S25" s="38">
        <f>IF(AND( C23="Buy", ISBLANK(W23), B23&lt;&gt;"DIV", NOW()-A23 &gt; 365), T23/sum(F23:I23), "")</f>
        <v/>
      </c>
      <c r="T25" s="39">
        <f>IF(AND( C23="Buy", ISBLANK(W23), B23&lt;&gt;"DIV", NOW()-A23 &gt; 365), (1-Index!$F$2*2)*((J23*D23)-(E23*D23)), "")</f>
        <v/>
      </c>
      <c r="U25" s="39">
        <f>IF(AND( C23="Buy", ISBLANK(W23), B23&lt;&gt;"DIV", NOW()-A23 &gt; 365), ((E23*D23)+T23), "")</f>
        <v/>
      </c>
      <c r="V25" s="39">
        <f>IF(AND( C23="Buy", ISBLANK(W23), B23&lt;&gt;"DIV", NOW()-A23 &gt; 365), D23, "")</f>
        <v/>
      </c>
      <c r="W25" s="45" t="n"/>
      <c r="X25" s="45" t="n"/>
      <c r="Y25" s="38">
        <f>IF(AND( C23="Buy", W23&lt;&gt;"", AA23&lt;&gt;"", B23&lt;&gt;"DIV"), Z23/sum(F23:I23), "")</f>
        <v/>
      </c>
      <c r="Z25" s="45" t="n"/>
      <c r="AA25" s="45" t="n"/>
      <c r="AB25" s="52" t="n"/>
      <c r="AC25" s="53" t="n"/>
      <c r="AD25" s="46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</row>
    <row r="26">
      <c r="A26" s="48" t="n">
        <v>45565</v>
      </c>
      <c r="B26" s="34" t="inlineStr">
        <is>
          <t>NSE</t>
        </is>
      </c>
      <c r="C26" s="34" t="inlineStr">
        <is>
          <t>Sell</t>
        </is>
      </c>
      <c r="D26" s="51" t="n">
        <v>1</v>
      </c>
      <c r="E26" s="36" t="n">
        <v>237.88</v>
      </c>
      <c r="F26" s="36" t="n">
        <v>237.88</v>
      </c>
      <c r="G26" s="34" t="inlineStr">
        <is>
          <t>~</t>
        </is>
      </c>
      <c r="H26" s="35" t="n">
        <v>0.24</v>
      </c>
      <c r="I26" s="35" t="n">
        <v>1.43</v>
      </c>
      <c r="J26" s="49" t="n">
        <v>262</v>
      </c>
      <c r="K26" s="38">
        <f>IF(AND( C24="Buy", ISBLANK(W24), B24&lt;&gt;"DIV"), L24/sum(F24:I24), "")</f>
        <v/>
      </c>
      <c r="L26" s="39">
        <f>IF(AND( C24="Buy", ISBLANK(W24), B24&lt;&gt;"DIV"), (1-Index!$F$2*2)*((J24*D24)-(E24*D24)), "")</f>
        <v/>
      </c>
      <c r="M26" s="39">
        <f>IF(AND( C24="Buy", ISBLANK(W24), B24&lt;&gt;"DIV"), ((E24*D24)+L24), "")</f>
        <v/>
      </c>
      <c r="N26" s="40">
        <f>IF(AND( C24="Buy", ISBLANK(W24), B24&lt;&gt;"DIV"), D24, "")</f>
        <v/>
      </c>
      <c r="O26" s="38">
        <f>IF(AND( C24="Buy", ISBLANK(W24), B24&lt;&gt;"DIV", NOW()-A24 &lt; 365), P24/sum(F24:I24), "")</f>
        <v/>
      </c>
      <c r="P26" s="39">
        <f>IF(AND( C24="Buy", ISBLANK(W24), B24&lt;&gt;"DIV", NOW()-A24 &lt; 365), (1-Index!$F$2*2)*((J24*D24)-(E24*D24)), "")</f>
        <v/>
      </c>
      <c r="Q26" s="39">
        <f>IF(AND( C24="Buy", ISBLANK(W24), B24&lt;&gt;"DIV", NOW()-A24 &lt; 365), ((E24*D24)+P24), "")</f>
        <v/>
      </c>
      <c r="R26" s="39">
        <f>IF(AND( C24="Buy", ISBLANK(W24), B24&lt;&gt;"DIV", NOW()-A24 &lt; 365), D24, "")</f>
        <v/>
      </c>
      <c r="S26" s="38">
        <f>IF(AND( C24="Buy", ISBLANK(W24), B24&lt;&gt;"DIV", NOW()-A24 &gt; 365), T24/sum(F24:I24), "")</f>
        <v/>
      </c>
      <c r="T26" s="39">
        <f>IF(AND( C24="Buy", ISBLANK(W24), B24&lt;&gt;"DIV", NOW()-A24 &gt; 365), (1-Index!$F$2*2)*((J24*D24)-(E24*D24)), "")</f>
        <v/>
      </c>
      <c r="U26" s="39">
        <f>IF(AND( C24="Buy", ISBLANK(W24), B24&lt;&gt;"DIV", NOW()-A24 &gt; 365), ((E24*D24)+T24), "")</f>
        <v/>
      </c>
      <c r="V26" s="39">
        <f>IF(AND( C24="Buy", ISBLANK(W24), B24&lt;&gt;"DIV", NOW()-A24 &gt; 365), D24, "")</f>
        <v/>
      </c>
      <c r="W26" s="45" t="n"/>
      <c r="X26" s="45" t="n"/>
      <c r="Y26" s="38">
        <f>IF(AND( C24="Buy", W24&lt;&gt;"", AA24&lt;&gt;"", B24&lt;&gt;"DIV"), Z24/sum(F24:I24), "")</f>
        <v/>
      </c>
      <c r="Z26" s="45" t="n"/>
      <c r="AA26" s="45" t="n"/>
      <c r="AB26" s="52" t="n"/>
      <c r="AC26" s="53" t="n"/>
      <c r="AD26" s="46" t="n"/>
      <c r="AE26" s="47" t="n"/>
      <c r="AF26" s="47" t="n"/>
      <c r="AG26" s="47" t="n"/>
      <c r="AH26" s="47" t="n"/>
      <c r="AI26" s="47" t="n"/>
      <c r="AJ26" s="47" t="n"/>
      <c r="AK26" s="47" t="n"/>
      <c r="AL26" s="47" t="n"/>
      <c r="AM26" s="47" t="n"/>
      <c r="AN26" s="47" t="n"/>
      <c r="AO26" s="47" t="n"/>
      <c r="AP26" s="47" t="n"/>
    </row>
    <row r="27">
      <c r="A27" s="48" t="n">
        <v>45565</v>
      </c>
      <c r="B27" s="34" t="inlineStr">
        <is>
          <t>NSE</t>
        </is>
      </c>
      <c r="C27" s="34" t="inlineStr">
        <is>
          <t>Sell</t>
        </is>
      </c>
      <c r="D27" s="51" t="n">
        <v>2</v>
      </c>
      <c r="E27" s="36" t="n">
        <v>237.88</v>
      </c>
      <c r="F27" s="36" t="n">
        <v>475.76</v>
      </c>
      <c r="G27" s="34" t="inlineStr">
        <is>
          <t>~</t>
        </is>
      </c>
      <c r="H27" s="35" t="n">
        <v>0.48</v>
      </c>
      <c r="I27" s="35" t="n">
        <v>2.86</v>
      </c>
      <c r="J27" s="49" t="n">
        <v>262</v>
      </c>
      <c r="K27" s="38">
        <f>IF(AND( C25="Buy", ISBLANK(W25), B25&lt;&gt;"DIV"), L25/sum(F25:I25), "")</f>
        <v/>
      </c>
      <c r="L27" s="39">
        <f>IF(AND( C25="Buy", ISBLANK(W25), B25&lt;&gt;"DIV"), (1-Index!$F$2*2)*((J25*D25)-(E25*D25)), "")</f>
        <v/>
      </c>
      <c r="M27" s="39">
        <f>IF(AND( C25="Buy", ISBLANK(W25), B25&lt;&gt;"DIV"), ((E25*D25)+L25), "")</f>
        <v/>
      </c>
      <c r="N27" s="40">
        <f>IF(AND( C25="Buy", ISBLANK(W25), B25&lt;&gt;"DIV"), D25, "")</f>
        <v/>
      </c>
      <c r="O27" s="38">
        <f>IF(AND( C25="Buy", ISBLANK(W25), B25&lt;&gt;"DIV", NOW()-A25 &lt; 365), P25/sum(F25:I25), "")</f>
        <v/>
      </c>
      <c r="P27" s="39">
        <f>IF(AND( C25="Buy", ISBLANK(W25), B25&lt;&gt;"DIV", NOW()-A25 &lt; 365), (1-Index!$F$2*2)*((J25*D25)-(E25*D25)), "")</f>
        <v/>
      </c>
      <c r="Q27" s="39">
        <f>IF(AND( C25="Buy", ISBLANK(W25), B25&lt;&gt;"DIV", NOW()-A25 &lt; 365), ((E25*D25)+P25), "")</f>
        <v/>
      </c>
      <c r="R27" s="39">
        <f>IF(AND( C25="Buy", ISBLANK(W25), B25&lt;&gt;"DIV", NOW()-A25 &lt; 365), D25, "")</f>
        <v/>
      </c>
      <c r="S27" s="38">
        <f>IF(AND( C25="Buy", ISBLANK(W25), B25&lt;&gt;"DIV", NOW()-A25 &gt; 365), T25/sum(F25:I25), "")</f>
        <v/>
      </c>
      <c r="T27" s="39">
        <f>IF(AND( C25="Buy", ISBLANK(W25), B25&lt;&gt;"DIV", NOW()-A25 &gt; 365), (1-Index!$F$2*2)*((J25*D25)-(E25*D25)), "")</f>
        <v/>
      </c>
      <c r="U27" s="39">
        <f>IF(AND( C25="Buy", ISBLANK(W25), B25&lt;&gt;"DIV", NOW()-A25 &gt; 365), ((E25*D25)+T25), "")</f>
        <v/>
      </c>
      <c r="V27" s="39">
        <f>IF(AND( C25="Buy", ISBLANK(W25), B25&lt;&gt;"DIV", NOW()-A25 &gt; 365), D25, "")</f>
        <v/>
      </c>
      <c r="W27" s="45" t="n"/>
      <c r="X27" s="45" t="n"/>
      <c r="Y27" s="38">
        <f>IF(AND( C25="Buy", W25&lt;&gt;"", AA25&lt;&gt;"", B25&lt;&gt;"DIV"), Z25/sum(F25:I25), "")</f>
        <v/>
      </c>
      <c r="Z27" s="45" t="n"/>
      <c r="AA27" s="45" t="n"/>
      <c r="AB27" s="52" t="n"/>
      <c r="AC27" s="53" t="n"/>
      <c r="AD27" s="46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</row>
    <row r="28">
      <c r="A28" s="48" t="n">
        <v>45565</v>
      </c>
      <c r="B28" s="34" t="inlineStr">
        <is>
          <t>NSE</t>
        </is>
      </c>
      <c r="C28" s="34" t="inlineStr">
        <is>
          <t>Sell</t>
        </is>
      </c>
      <c r="D28" s="51" t="n">
        <v>8</v>
      </c>
      <c r="E28" s="36" t="n">
        <v>237.88</v>
      </c>
      <c r="F28" s="36" t="n">
        <v>1903.08</v>
      </c>
      <c r="G28" s="34" t="inlineStr">
        <is>
          <t>~</t>
        </is>
      </c>
      <c r="H28" s="35" t="n">
        <v>1.92</v>
      </c>
      <c r="I28" s="35" t="n">
        <v>11.4</v>
      </c>
      <c r="J28" s="49" t="n">
        <v>262</v>
      </c>
      <c r="K28" s="38">
        <f>IF(AND( C26="Buy", ISBLANK(W26), B26&lt;&gt;"DIV"), L26/sum(F26:I26), "")</f>
        <v/>
      </c>
      <c r="L28" s="39">
        <f>IF(AND( C26="Buy", ISBLANK(W26), B26&lt;&gt;"DIV"), (1-Index!$F$2*2)*((J26*D26)-(E26*D26)), "")</f>
        <v/>
      </c>
      <c r="M28" s="39">
        <f>IF(AND( C26="Buy", ISBLANK(W26), B26&lt;&gt;"DIV"), ((E26*D26)+L26), "")</f>
        <v/>
      </c>
      <c r="N28" s="40">
        <f>IF(AND( C26="Buy", ISBLANK(W26), B26&lt;&gt;"DIV"), D26, "")</f>
        <v/>
      </c>
      <c r="O28" s="38">
        <f>IF(AND( C26="Buy", ISBLANK(W26), B26&lt;&gt;"DIV", NOW()-A26 &lt; 365), P26/sum(F26:I26), "")</f>
        <v/>
      </c>
      <c r="P28" s="39">
        <f>IF(AND( C26="Buy", ISBLANK(W26), B26&lt;&gt;"DIV", NOW()-A26 &lt; 365), (1-Index!$F$2*2)*((J26*D26)-(E26*D26)), "")</f>
        <v/>
      </c>
      <c r="Q28" s="39">
        <f>IF(AND( C26="Buy", ISBLANK(W26), B26&lt;&gt;"DIV", NOW()-A26 &lt; 365), ((E26*D26)+P26), "")</f>
        <v/>
      </c>
      <c r="R28" s="39">
        <f>IF(AND( C26="Buy", ISBLANK(W26), B26&lt;&gt;"DIV", NOW()-A26 &lt; 365), D26, "")</f>
        <v/>
      </c>
      <c r="S28" s="38">
        <f>IF(AND( C26="Buy", ISBLANK(W26), B26&lt;&gt;"DIV", NOW()-A26 &gt; 365), T26/sum(F26:I26), "")</f>
        <v/>
      </c>
      <c r="T28" s="39">
        <f>IF(AND( C26="Buy", ISBLANK(W26), B26&lt;&gt;"DIV", NOW()-A26 &gt; 365), (1-Index!$F$2*2)*((J26*D26)-(E26*D26)), "")</f>
        <v/>
      </c>
      <c r="U28" s="39">
        <f>IF(AND( C26="Buy", ISBLANK(W26), B26&lt;&gt;"DIV", NOW()-A26 &gt; 365), ((E26*D26)+T26), "")</f>
        <v/>
      </c>
      <c r="V28" s="39">
        <f>IF(AND( C26="Buy", ISBLANK(W26), B26&lt;&gt;"DIV", NOW()-A26 &gt; 365), D26, "")</f>
        <v/>
      </c>
      <c r="W28" s="45" t="n"/>
      <c r="X28" s="45" t="n"/>
      <c r="Y28" s="38">
        <f>IF(AND( C26="Buy", W26&lt;&gt;"", AA26&lt;&gt;"", B26&lt;&gt;"DIV"), Z26/sum(F26:I26), "")</f>
        <v/>
      </c>
      <c r="Z28" s="45" t="n"/>
      <c r="AA28" s="45" t="n"/>
      <c r="AB28" s="52" t="n"/>
      <c r="AC28" s="53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48" t="n">
        <v>45565</v>
      </c>
      <c r="B29" s="34" t="inlineStr">
        <is>
          <t>NSE</t>
        </is>
      </c>
      <c r="C29" s="34" t="inlineStr">
        <is>
          <t>Sell</t>
        </is>
      </c>
      <c r="D29" s="51" t="n">
        <v>5</v>
      </c>
      <c r="E29" s="36" t="n">
        <v>237.89</v>
      </c>
      <c r="F29" s="36" t="n">
        <v>1189.43</v>
      </c>
      <c r="G29" s="34" t="inlineStr">
        <is>
          <t>~</t>
        </is>
      </c>
      <c r="H29" s="35" t="n">
        <v>1.2</v>
      </c>
      <c r="I29" s="35" t="n">
        <v>7.12</v>
      </c>
      <c r="J29" s="49" t="n">
        <v>262</v>
      </c>
      <c r="K29" s="38">
        <f>IF(AND( C27="Buy", ISBLANK(W27), B27&lt;&gt;"DIV"), L27/sum(F27:I27), "")</f>
        <v/>
      </c>
      <c r="L29" s="39">
        <f>IF(AND( C27="Buy", ISBLANK(W27), B27&lt;&gt;"DIV"), (1-Index!$F$2*2)*((J27*D27)-(E27*D27)), "")</f>
        <v/>
      </c>
      <c r="M29" s="39">
        <f>IF(AND( C27="Buy", ISBLANK(W27), B27&lt;&gt;"DIV"), ((E27*D27)+L27), "")</f>
        <v/>
      </c>
      <c r="N29" s="40">
        <f>IF(AND( C27="Buy", ISBLANK(W27), B27&lt;&gt;"DIV"), D27, "")</f>
        <v/>
      </c>
      <c r="O29" s="38">
        <f>IF(AND( C27="Buy", ISBLANK(W27), B27&lt;&gt;"DIV", NOW()-A27 &lt; 365), P27/sum(F27:I27), "")</f>
        <v/>
      </c>
      <c r="P29" s="39">
        <f>IF(AND( C27="Buy", ISBLANK(W27), B27&lt;&gt;"DIV", NOW()-A27 &lt; 365), (1-Index!$F$2*2)*((J27*D27)-(E27*D27)), "")</f>
        <v/>
      </c>
      <c r="Q29" s="39">
        <f>IF(AND( C27="Buy", ISBLANK(W27), B27&lt;&gt;"DIV", NOW()-A27 &lt; 365), ((E27*D27)+P27), "")</f>
        <v/>
      </c>
      <c r="R29" s="39">
        <f>IF(AND( C27="Buy", ISBLANK(W27), B27&lt;&gt;"DIV", NOW()-A27 &lt; 365), D27, "")</f>
        <v/>
      </c>
      <c r="S29" s="38">
        <f>IF(AND( C27="Buy", ISBLANK(W27), B27&lt;&gt;"DIV", NOW()-A27 &gt; 365), T27/sum(F27:I27), "")</f>
        <v/>
      </c>
      <c r="T29" s="39">
        <f>IF(AND( C27="Buy", ISBLANK(W27), B27&lt;&gt;"DIV", NOW()-A27 &gt; 365), (1-Index!$F$2*2)*((J27*D27)-(E27*D27)), "")</f>
        <v/>
      </c>
      <c r="U29" s="39">
        <f>IF(AND( C27="Buy", ISBLANK(W27), B27&lt;&gt;"DIV", NOW()-A27 &gt; 365), ((E27*D27)+T27), "")</f>
        <v/>
      </c>
      <c r="V29" s="39">
        <f>IF(AND( C27="Buy", ISBLANK(W27), B27&lt;&gt;"DIV", NOW()-A27 &gt; 365), D27, "")</f>
        <v/>
      </c>
      <c r="W29" s="45" t="n"/>
      <c r="X29" s="45" t="n"/>
      <c r="Y29" s="38">
        <f>IF(AND( C27="Buy", W27&lt;&gt;"", AA27&lt;&gt;"", B27&lt;&gt;"DIV"), Z27/sum(F27:I27), "")</f>
        <v/>
      </c>
      <c r="Z29" s="45" t="n"/>
      <c r="AA29" s="45" t="n"/>
      <c r="AB29" s="52" t="n"/>
      <c r="AC29" s="53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45565</v>
      </c>
      <c r="B30" s="34" t="inlineStr">
        <is>
          <t>NSE</t>
        </is>
      </c>
      <c r="C30" s="34" t="inlineStr">
        <is>
          <t>Sell</t>
        </is>
      </c>
      <c r="D30" s="51" t="n">
        <v>7</v>
      </c>
      <c r="E30" s="36" t="n">
        <v>237.88</v>
      </c>
      <c r="F30" s="36" t="n">
        <v>1665.17</v>
      </c>
      <c r="G30" s="34" t="inlineStr">
        <is>
          <t>~</t>
        </is>
      </c>
      <c r="H30" s="35" t="n">
        <v>1.68</v>
      </c>
      <c r="I30" s="35" t="n">
        <v>10</v>
      </c>
      <c r="J30" s="49" t="n">
        <v>262</v>
      </c>
      <c r="K30" s="38">
        <f>IF(AND( C28="Buy", ISBLANK(W28), B28&lt;&gt;"DIV"), L28/sum(F28:I28), "")</f>
        <v/>
      </c>
      <c r="L30" s="39">
        <f>IF(AND( C28="Buy", ISBLANK(W28), B28&lt;&gt;"DIV"), (1-Index!$F$2*2)*((J28*D28)-(E28*D28)), "")</f>
        <v/>
      </c>
      <c r="M30" s="39">
        <f>IF(AND( C28="Buy", ISBLANK(W28), B28&lt;&gt;"DIV"), ((E28*D28)+L28), "")</f>
        <v/>
      </c>
      <c r="N30" s="40">
        <f>IF(AND( C28="Buy", ISBLANK(W28), B28&lt;&gt;"DIV"), D28, "")</f>
        <v/>
      </c>
      <c r="O30" s="38">
        <f>IF(AND( C28="Buy", ISBLANK(W28), B28&lt;&gt;"DIV", NOW()-A28 &lt; 365), P28/sum(F28:I28), "")</f>
        <v/>
      </c>
      <c r="P30" s="39">
        <f>IF(AND( C28="Buy", ISBLANK(W28), B28&lt;&gt;"DIV", NOW()-A28 &lt; 365), (1-Index!$F$2*2)*((J28*D28)-(E28*D28)), "")</f>
        <v/>
      </c>
      <c r="Q30" s="39">
        <f>IF(AND( C28="Buy", ISBLANK(W28), B28&lt;&gt;"DIV", NOW()-A28 &lt; 365), ((E28*D28)+P28), "")</f>
        <v/>
      </c>
      <c r="R30" s="39">
        <f>IF(AND( C28="Buy", ISBLANK(W28), B28&lt;&gt;"DIV", NOW()-A28 &lt; 365), D28, "")</f>
        <v/>
      </c>
      <c r="S30" s="38">
        <f>IF(AND( C28="Buy", ISBLANK(W28), B28&lt;&gt;"DIV", NOW()-A28 &gt; 365), T28/sum(F28:I28), "")</f>
        <v/>
      </c>
      <c r="T30" s="39">
        <f>IF(AND( C28="Buy", ISBLANK(W28), B28&lt;&gt;"DIV", NOW()-A28 &gt; 365), (1-Index!$F$2*2)*((J28*D28)-(E28*D28)), "")</f>
        <v/>
      </c>
      <c r="U30" s="39">
        <f>IF(AND( C28="Buy", ISBLANK(W28), B28&lt;&gt;"DIV", NOW()-A28 &gt; 365), ((E28*D28)+T28), "")</f>
        <v/>
      </c>
      <c r="V30" s="39">
        <f>IF(AND( C28="Buy", ISBLANK(W28), B28&lt;&gt;"DIV", NOW()-A28 &gt; 365), D28, "")</f>
        <v/>
      </c>
      <c r="W30" s="45" t="n"/>
      <c r="X30" s="45" t="n"/>
      <c r="Y30" s="38">
        <f>IF(AND( C28="Buy", W28&lt;&gt;"", AA28&lt;&gt;"", B28&lt;&gt;"DIV"), Z28/sum(F28:I28), "")</f>
        <v/>
      </c>
      <c r="Z30" s="45" t="n"/>
      <c r="AA30" s="45" t="n"/>
      <c r="AB30" s="52" t="n"/>
      <c r="AC30" s="53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45565</v>
      </c>
      <c r="B31" s="34" t="inlineStr">
        <is>
          <t>NSE</t>
        </is>
      </c>
      <c r="C31" s="34" t="inlineStr">
        <is>
          <t>Sell</t>
        </is>
      </c>
      <c r="D31" s="51" t="n">
        <v>25</v>
      </c>
      <c r="E31" s="36" t="n">
        <v>237.88</v>
      </c>
      <c r="F31" s="36" t="n">
        <v>5947.1</v>
      </c>
      <c r="G31" s="34" t="inlineStr">
        <is>
          <t>~</t>
        </is>
      </c>
      <c r="H31" s="35" t="n">
        <v>6</v>
      </c>
      <c r="I31" s="35" t="n">
        <v>35.65</v>
      </c>
      <c r="J31" s="49" t="n">
        <v>262</v>
      </c>
      <c r="K31" s="38">
        <f>IF(AND( C29="Buy", ISBLANK(W29), B29&lt;&gt;"DIV"), L29/sum(F29:I29), "")</f>
        <v/>
      </c>
      <c r="L31" s="39">
        <f>IF(AND( C29="Buy", ISBLANK(W29), B29&lt;&gt;"DIV"), (1-Index!$F$2*2)*((J29*D29)-(E29*D29)), "")</f>
        <v/>
      </c>
      <c r="M31" s="39">
        <f>IF(AND( C29="Buy", ISBLANK(W29), B29&lt;&gt;"DIV"), ((E29*D29)+L29), "")</f>
        <v/>
      </c>
      <c r="N31" s="40">
        <f>IF(AND( C29="Buy", ISBLANK(W29), B29&lt;&gt;"DIV"), D29, "")</f>
        <v/>
      </c>
      <c r="O31" s="38">
        <f>IF(AND( C29="Buy", ISBLANK(W29), B29&lt;&gt;"DIV", NOW()-A29 &lt; 365), P29/sum(F29:I29), "")</f>
        <v/>
      </c>
      <c r="P31" s="39">
        <f>IF(AND( C29="Buy", ISBLANK(W29), B29&lt;&gt;"DIV", NOW()-A29 &lt; 365), (1-Index!$F$2*2)*((J29*D29)-(E29*D29)), "")</f>
        <v/>
      </c>
      <c r="Q31" s="39">
        <f>IF(AND( C29="Buy", ISBLANK(W29), B29&lt;&gt;"DIV", NOW()-A29 &lt; 365), ((E29*D29)+P29), "")</f>
        <v/>
      </c>
      <c r="R31" s="39">
        <f>IF(AND( C29="Buy", ISBLANK(W29), B29&lt;&gt;"DIV", NOW()-A29 &lt; 365), D29, "")</f>
        <v/>
      </c>
      <c r="S31" s="38">
        <f>IF(AND( C29="Buy", ISBLANK(W29), B29&lt;&gt;"DIV", NOW()-A29 &gt; 365), T29/sum(F29:I29), "")</f>
        <v/>
      </c>
      <c r="T31" s="39">
        <f>IF(AND( C29="Buy", ISBLANK(W29), B29&lt;&gt;"DIV", NOW()-A29 &gt; 365), (1-Index!$F$2*2)*((J29*D29)-(E29*D29)), "")</f>
        <v/>
      </c>
      <c r="U31" s="39">
        <f>IF(AND( C29="Buy", ISBLANK(W29), B29&lt;&gt;"DIV", NOW()-A29 &gt; 365), ((E29*D29)+T29), "")</f>
        <v/>
      </c>
      <c r="V31" s="39">
        <f>IF(AND( C29="Buy", ISBLANK(W29), B29&lt;&gt;"DIV", NOW()-A29 &gt; 365), D29, "")</f>
        <v/>
      </c>
      <c r="W31" s="45" t="n"/>
      <c r="X31" s="45" t="n"/>
      <c r="Y31" s="38">
        <f>IF(AND( C29="Buy", W29&lt;&gt;"", AA29&lt;&gt;"", B29&lt;&gt;"DIV"), Z29/sum(F29:I29), "")</f>
        <v/>
      </c>
      <c r="Z31" s="45" t="n"/>
      <c r="AA31" s="45" t="n"/>
      <c r="AB31" s="52" t="n"/>
      <c r="AC31" s="53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45565</v>
      </c>
      <c r="B32" s="34" t="inlineStr">
        <is>
          <t>NSE</t>
        </is>
      </c>
      <c r="C32" s="34" t="inlineStr">
        <is>
          <t>Sell</t>
        </is>
      </c>
      <c r="D32" s="51" t="n">
        <v>4</v>
      </c>
      <c r="E32" s="36" t="n">
        <v>237.89</v>
      </c>
      <c r="F32" s="36" t="n">
        <v>951.55</v>
      </c>
      <c r="G32" s="34" t="inlineStr">
        <is>
          <t>~</t>
        </is>
      </c>
      <c r="H32" s="35" t="n">
        <v>0.96</v>
      </c>
      <c r="I32" s="35" t="n">
        <v>5.69</v>
      </c>
      <c r="J32" s="49" t="n">
        <v>262</v>
      </c>
      <c r="K32" s="38">
        <f>IF(AND( C30="Buy", ISBLANK(W30), B30&lt;&gt;"DIV"), L30/sum(F30:I30), "")</f>
        <v/>
      </c>
      <c r="L32" s="39">
        <f>IF(AND( C30="Buy", ISBLANK(W30), B30&lt;&gt;"DIV"), (1-Index!$F$2*2)*((J30*D30)-(E30*D30)), "")</f>
        <v/>
      </c>
      <c r="M32" s="39">
        <f>IF(AND( C30="Buy", ISBLANK(W30), B30&lt;&gt;"DIV"), ((E30*D30)+L30), "")</f>
        <v/>
      </c>
      <c r="N32" s="40">
        <f>IF(AND( C30="Buy", ISBLANK(W30), B30&lt;&gt;"DIV"), D30, "")</f>
        <v/>
      </c>
      <c r="O32" s="38">
        <f>IF(AND( C30="Buy", ISBLANK(W30), B30&lt;&gt;"DIV", NOW()-A30 &lt; 365), P30/sum(F30:I30), "")</f>
        <v/>
      </c>
      <c r="P32" s="39">
        <f>IF(AND( C30="Buy", ISBLANK(W30), B30&lt;&gt;"DIV", NOW()-A30 &lt; 365), (1-Index!$F$2*2)*((J30*D30)-(E30*D30)), "")</f>
        <v/>
      </c>
      <c r="Q32" s="39">
        <f>IF(AND( C30="Buy", ISBLANK(W30), B30&lt;&gt;"DIV", NOW()-A30 &lt; 365), ((E30*D30)+P30), "")</f>
        <v/>
      </c>
      <c r="R32" s="39">
        <f>IF(AND( C30="Buy", ISBLANK(W30), B30&lt;&gt;"DIV", NOW()-A30 &lt; 365), D30, "")</f>
        <v/>
      </c>
      <c r="S32" s="38">
        <f>IF(AND( C30="Buy", ISBLANK(W30), B30&lt;&gt;"DIV", NOW()-A30 &gt; 365), T30/sum(F30:I30), "")</f>
        <v/>
      </c>
      <c r="T32" s="39">
        <f>IF(AND( C30="Buy", ISBLANK(W30), B30&lt;&gt;"DIV", NOW()-A30 &gt; 365), (1-Index!$F$2*2)*((J30*D30)-(E30*D30)), "")</f>
        <v/>
      </c>
      <c r="U32" s="39">
        <f>IF(AND( C30="Buy", ISBLANK(W30), B30&lt;&gt;"DIV", NOW()-A30 &gt; 365), ((E30*D30)+T30), "")</f>
        <v/>
      </c>
      <c r="V32" s="39">
        <f>IF(AND( C30="Buy", ISBLANK(W30), B30&lt;&gt;"DIV", NOW()-A30 &gt; 365), D30, "")</f>
        <v/>
      </c>
      <c r="W32" s="45" t="n"/>
      <c r="X32" s="45" t="n"/>
      <c r="Y32" s="38">
        <f>IF(AND( C30="Buy", W30&lt;&gt;"", AA30&lt;&gt;"", B30&lt;&gt;"DIV"), Z30/sum(F30:I30), "")</f>
        <v/>
      </c>
      <c r="Z32" s="45" t="n"/>
      <c r="AA32" s="45" t="n"/>
      <c r="AB32" s="52" t="n"/>
      <c r="AC32" s="53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45565</v>
      </c>
      <c r="B33" s="34" t="inlineStr">
        <is>
          <t>NSE</t>
        </is>
      </c>
      <c r="C33" s="34" t="inlineStr">
        <is>
          <t>Sell</t>
        </is>
      </c>
      <c r="D33" s="51" t="n">
        <v>2</v>
      </c>
      <c r="E33" s="36" t="n">
        <v>237.88</v>
      </c>
      <c r="F33" s="36" t="n">
        <v>475.76</v>
      </c>
      <c r="G33" s="34" t="inlineStr">
        <is>
          <t>~</t>
        </is>
      </c>
      <c r="H33" s="35" t="n">
        <v>0.48</v>
      </c>
      <c r="I33" s="35" t="n">
        <v>2.86</v>
      </c>
      <c r="J33" s="49" t="n">
        <v>262</v>
      </c>
      <c r="K33" s="38">
        <f>IF(AND( C31="Buy", ISBLANK(W31), B31&lt;&gt;"DIV"), L31/sum(F31:I31), "")</f>
        <v/>
      </c>
      <c r="L33" s="39">
        <f>IF(AND( C31="Buy", ISBLANK(W31), B31&lt;&gt;"DIV"), (1-Index!$F$2*2)*((J31*D31)-(E31*D31)), "")</f>
        <v/>
      </c>
      <c r="M33" s="39">
        <f>IF(AND( C31="Buy", ISBLANK(W31), B31&lt;&gt;"DIV"), ((E31*D31)+L31), "")</f>
        <v/>
      </c>
      <c r="N33" s="40">
        <f>IF(AND( C31="Buy", ISBLANK(W31), B31&lt;&gt;"DIV"), D31, "")</f>
        <v/>
      </c>
      <c r="O33" s="38">
        <f>IF(AND( C31="Buy", ISBLANK(W31), B31&lt;&gt;"DIV", NOW()-A31 &lt; 365), P31/sum(F31:I31), "")</f>
        <v/>
      </c>
      <c r="P33" s="39">
        <f>IF(AND( C31="Buy", ISBLANK(W31), B31&lt;&gt;"DIV", NOW()-A31 &lt; 365), (1-Index!$F$2*2)*((J31*D31)-(E31*D31)), "")</f>
        <v/>
      </c>
      <c r="Q33" s="39">
        <f>IF(AND( C31="Buy", ISBLANK(W31), B31&lt;&gt;"DIV", NOW()-A31 &lt; 365), ((E31*D31)+P31), "")</f>
        <v/>
      </c>
      <c r="R33" s="39">
        <f>IF(AND( C31="Buy", ISBLANK(W31), B31&lt;&gt;"DIV", NOW()-A31 &lt; 365), D31, "")</f>
        <v/>
      </c>
      <c r="S33" s="38">
        <f>IF(AND( C31="Buy", ISBLANK(W31), B31&lt;&gt;"DIV", NOW()-A31 &gt; 365), T31/sum(F31:I31), "")</f>
        <v/>
      </c>
      <c r="T33" s="39">
        <f>IF(AND( C31="Buy", ISBLANK(W31), B31&lt;&gt;"DIV", NOW()-A31 &gt; 365), (1-Index!$F$2*2)*((J31*D31)-(E31*D31)), "")</f>
        <v/>
      </c>
      <c r="U33" s="39">
        <f>IF(AND( C31="Buy", ISBLANK(W31), B31&lt;&gt;"DIV", NOW()-A31 &gt; 365), ((E31*D31)+T31), "")</f>
        <v/>
      </c>
      <c r="V33" s="39">
        <f>IF(AND( C31="Buy", ISBLANK(W31), B31&lt;&gt;"DIV", NOW()-A31 &gt; 365), D31, "")</f>
        <v/>
      </c>
      <c r="W33" s="45" t="n"/>
      <c r="X33" s="45" t="n"/>
      <c r="Y33" s="38">
        <f>IF(AND( C31="Buy", W31&lt;&gt;"", AA31&lt;&gt;"", B31&lt;&gt;"DIV"), Z31/sum(F31:I31), "")</f>
        <v/>
      </c>
      <c r="Z33" s="45" t="n"/>
      <c r="AA33" s="45" t="n"/>
      <c r="AB33" s="52" t="n"/>
      <c r="AC33" s="53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45565</v>
      </c>
      <c r="B34" s="34" t="inlineStr">
        <is>
          <t>NSE</t>
        </is>
      </c>
      <c r="C34" s="34" t="inlineStr">
        <is>
          <t>Sell</t>
        </is>
      </c>
      <c r="D34" s="51" t="n">
        <v>36</v>
      </c>
      <c r="E34" s="36" t="n">
        <v>237.88</v>
      </c>
      <c r="F34" s="36" t="n">
        <v>8563.83</v>
      </c>
      <c r="G34" s="34" t="inlineStr">
        <is>
          <t>~</t>
        </is>
      </c>
      <c r="H34" s="35" t="n">
        <v>8.630000000000001</v>
      </c>
      <c r="I34" s="35" t="n">
        <v>51.34</v>
      </c>
      <c r="J34" s="49" t="n">
        <v>262</v>
      </c>
      <c r="K34" s="38">
        <f>IF(AND( C32="Buy", ISBLANK(W32), B32&lt;&gt;"DIV"), L32/sum(F32:I32), "")</f>
        <v/>
      </c>
      <c r="L34" s="39">
        <f>IF(AND( C32="Buy", ISBLANK(W32), B32&lt;&gt;"DIV"), (1-Index!$F$2*2)*((J32*D32)-(E32*D32)), "")</f>
        <v/>
      </c>
      <c r="M34" s="39">
        <f>IF(AND( C32="Buy", ISBLANK(W32), B32&lt;&gt;"DIV"), ((E32*D32)+L32), "")</f>
        <v/>
      </c>
      <c r="N34" s="40">
        <f>IF(AND( C32="Buy", ISBLANK(W32), B32&lt;&gt;"DIV"), D32, "")</f>
        <v/>
      </c>
      <c r="O34" s="38">
        <f>IF(AND( C32="Buy", ISBLANK(W32), B32&lt;&gt;"DIV", NOW()-A32 &lt; 365), P32/sum(F32:I32), "")</f>
        <v/>
      </c>
      <c r="P34" s="39">
        <f>IF(AND( C32="Buy", ISBLANK(W32), B32&lt;&gt;"DIV", NOW()-A32 &lt; 365), (1-Index!$F$2*2)*((J32*D32)-(E32*D32)), "")</f>
        <v/>
      </c>
      <c r="Q34" s="39">
        <f>IF(AND( C32="Buy", ISBLANK(W32), B32&lt;&gt;"DIV", NOW()-A32 &lt; 365), ((E32*D32)+P32), "")</f>
        <v/>
      </c>
      <c r="R34" s="39">
        <f>IF(AND( C32="Buy", ISBLANK(W32), B32&lt;&gt;"DIV", NOW()-A32 &lt; 365), D32, "")</f>
        <v/>
      </c>
      <c r="S34" s="38">
        <f>IF(AND( C32="Buy", ISBLANK(W32), B32&lt;&gt;"DIV", NOW()-A32 &gt; 365), T32/sum(F32:I32), "")</f>
        <v/>
      </c>
      <c r="T34" s="39">
        <f>IF(AND( C32="Buy", ISBLANK(W32), B32&lt;&gt;"DIV", NOW()-A32 &gt; 365), (1-Index!$F$2*2)*((J32*D32)-(E32*D32)), "")</f>
        <v/>
      </c>
      <c r="U34" s="39">
        <f>IF(AND( C32="Buy", ISBLANK(W32), B32&lt;&gt;"DIV", NOW()-A32 &gt; 365), ((E32*D32)+T32), "")</f>
        <v/>
      </c>
      <c r="V34" s="39">
        <f>IF(AND( C32="Buy", ISBLANK(W32), B32&lt;&gt;"DIV", NOW()-A32 &gt; 365), D32, "")</f>
        <v/>
      </c>
      <c r="W34" s="45" t="n"/>
      <c r="X34" s="45" t="n"/>
      <c r="Y34" s="38">
        <f>IF(AND( C32="Buy", W32&lt;&gt;"", AA32&lt;&gt;"", B32&lt;&gt;"DIV"), Z32/sum(F32:I32), "")</f>
        <v/>
      </c>
      <c r="Z34" s="45" t="n"/>
      <c r="AA34" s="45" t="n"/>
      <c r="AB34" s="52" t="n"/>
      <c r="AC34" s="53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45565</v>
      </c>
      <c r="B35" s="34" t="inlineStr">
        <is>
          <t>NSE</t>
        </is>
      </c>
      <c r="C35" s="34" t="inlineStr">
        <is>
          <t>Sell</t>
        </is>
      </c>
      <c r="D35" s="51" t="n">
        <v>2</v>
      </c>
      <c r="E35" s="36" t="n">
        <v>237.88</v>
      </c>
      <c r="F35" s="36" t="n">
        <v>475.76</v>
      </c>
      <c r="G35" s="34" t="inlineStr">
        <is>
          <t>~</t>
        </is>
      </c>
      <c r="H35" s="35" t="n">
        <v>0.48</v>
      </c>
      <c r="I35" s="35" t="n">
        <v>2.86</v>
      </c>
      <c r="J35" s="49" t="n">
        <v>262</v>
      </c>
      <c r="K35" s="38">
        <f>IF(AND( C33="Buy", ISBLANK(W33), B33&lt;&gt;"DIV"), L33/sum(F33:I33), "")</f>
        <v/>
      </c>
      <c r="L35" s="39">
        <f>IF(AND( C33="Buy", ISBLANK(W33), B33&lt;&gt;"DIV"), (1-Index!$F$2*2)*((J33*D33)-(E33*D33)), "")</f>
        <v/>
      </c>
      <c r="M35" s="39">
        <f>IF(AND( C33="Buy", ISBLANK(W33), B33&lt;&gt;"DIV"), ((E33*D33)+L33), "")</f>
        <v/>
      </c>
      <c r="N35" s="40">
        <f>IF(AND( C33="Buy", ISBLANK(W33), B33&lt;&gt;"DIV"), D33, "")</f>
        <v/>
      </c>
      <c r="O35" s="38">
        <f>IF(AND( C33="Buy", ISBLANK(W33), B33&lt;&gt;"DIV", NOW()-A33 &lt; 365), P33/sum(F33:I33), "")</f>
        <v/>
      </c>
      <c r="P35" s="39">
        <f>IF(AND( C33="Buy", ISBLANK(W33), B33&lt;&gt;"DIV", NOW()-A33 &lt; 365), (1-Index!$F$2*2)*((J33*D33)-(E33*D33)), "")</f>
        <v/>
      </c>
      <c r="Q35" s="39">
        <f>IF(AND( C33="Buy", ISBLANK(W33), B33&lt;&gt;"DIV", NOW()-A33 &lt; 365), ((E33*D33)+P33), "")</f>
        <v/>
      </c>
      <c r="R35" s="39">
        <f>IF(AND( C33="Buy", ISBLANK(W33), B33&lt;&gt;"DIV", NOW()-A33 &lt; 365), D33, "")</f>
        <v/>
      </c>
      <c r="S35" s="38">
        <f>IF(AND( C33="Buy", ISBLANK(W33), B33&lt;&gt;"DIV", NOW()-A33 &gt; 365), T33/sum(F33:I33), "")</f>
        <v/>
      </c>
      <c r="T35" s="39">
        <f>IF(AND( C33="Buy", ISBLANK(W33), B33&lt;&gt;"DIV", NOW()-A33 &gt; 365), (1-Index!$F$2*2)*((J33*D33)-(E33*D33)), "")</f>
        <v/>
      </c>
      <c r="U35" s="39">
        <f>IF(AND( C33="Buy", ISBLANK(W33), B33&lt;&gt;"DIV", NOW()-A33 &gt; 365), ((E33*D33)+T33), "")</f>
        <v/>
      </c>
      <c r="V35" s="39">
        <f>IF(AND( C33="Buy", ISBLANK(W33), B33&lt;&gt;"DIV", NOW()-A33 &gt; 365), D33, "")</f>
        <v/>
      </c>
      <c r="W35" s="45" t="n"/>
      <c r="X35" s="45" t="n"/>
      <c r="Y35" s="38">
        <f>IF(AND( C33="Buy", W33&lt;&gt;"", AA33&lt;&gt;"", B33&lt;&gt;"DIV"), Z33/sum(F33:I33), "")</f>
        <v/>
      </c>
      <c r="Z35" s="45" t="n"/>
      <c r="AA35" s="45" t="n"/>
      <c r="AB35" s="52" t="n"/>
      <c r="AC35" s="53" t="n"/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8" t="n">
        <v>45565</v>
      </c>
      <c r="B36" s="34" t="inlineStr">
        <is>
          <t>NSE</t>
        </is>
      </c>
      <c r="C36" s="34" t="inlineStr">
        <is>
          <t>Sell</t>
        </is>
      </c>
      <c r="D36" s="51" t="n">
        <v>6</v>
      </c>
      <c r="E36" s="36" t="n">
        <v>237.88</v>
      </c>
      <c r="F36" s="36" t="n">
        <v>1427.31</v>
      </c>
      <c r="G36" s="34" t="inlineStr">
        <is>
          <t>~</t>
        </is>
      </c>
      <c r="H36" s="35" t="n">
        <v>1.44</v>
      </c>
      <c r="I36" s="35" t="n">
        <v>8.550000000000001</v>
      </c>
      <c r="J36" s="49" t="n">
        <v>262</v>
      </c>
      <c r="K36" s="38">
        <f>IF(AND( C34="Buy", ISBLANK(W34), B34&lt;&gt;"DIV"), L34/sum(F34:I34), "")</f>
        <v/>
      </c>
      <c r="L36" s="39">
        <f>IF(AND( C34="Buy", ISBLANK(W34), B34&lt;&gt;"DIV"), (1-Index!$F$2*2)*((J34*D34)-(E34*D34)), "")</f>
        <v/>
      </c>
      <c r="M36" s="39">
        <f>IF(AND( C34="Buy", ISBLANK(W34), B34&lt;&gt;"DIV"), ((E34*D34)+L34), "")</f>
        <v/>
      </c>
      <c r="N36" s="40">
        <f>IF(AND( C34="Buy", ISBLANK(W34), B34&lt;&gt;"DIV"), D34, "")</f>
        <v/>
      </c>
      <c r="O36" s="38">
        <f>IF(AND( C34="Buy", ISBLANK(W34), B34&lt;&gt;"DIV", NOW()-A34 &lt; 365), P34/sum(F34:I34), "")</f>
        <v/>
      </c>
      <c r="P36" s="39">
        <f>IF(AND( C34="Buy", ISBLANK(W34), B34&lt;&gt;"DIV", NOW()-A34 &lt; 365), (1-Index!$F$2*2)*((J34*D34)-(E34*D34)), "")</f>
        <v/>
      </c>
      <c r="Q36" s="39">
        <f>IF(AND( C34="Buy", ISBLANK(W34), B34&lt;&gt;"DIV", NOW()-A34 &lt; 365), ((E34*D34)+P34), "")</f>
        <v/>
      </c>
      <c r="R36" s="39">
        <f>IF(AND( C34="Buy", ISBLANK(W34), B34&lt;&gt;"DIV", NOW()-A34 &lt; 365), D34, "")</f>
        <v/>
      </c>
      <c r="S36" s="38">
        <f>IF(AND( C34="Buy", ISBLANK(W34), B34&lt;&gt;"DIV", NOW()-A34 &gt; 365), T34/sum(F34:I34), "")</f>
        <v/>
      </c>
      <c r="T36" s="39">
        <f>IF(AND( C34="Buy", ISBLANK(W34), B34&lt;&gt;"DIV", NOW()-A34 &gt; 365), (1-Index!$F$2*2)*((J34*D34)-(E34*D34)), "")</f>
        <v/>
      </c>
      <c r="U36" s="39">
        <f>IF(AND( C34="Buy", ISBLANK(W34), B34&lt;&gt;"DIV", NOW()-A34 &gt; 365), ((E34*D34)+T34), "")</f>
        <v/>
      </c>
      <c r="V36" s="39">
        <f>IF(AND( C34="Buy", ISBLANK(W34), B34&lt;&gt;"DIV", NOW()-A34 &gt; 365), D34, "")</f>
        <v/>
      </c>
      <c r="W36" s="45" t="n"/>
      <c r="X36" s="45" t="n"/>
      <c r="Y36" s="38">
        <f>IF(AND( C34="Buy", W34&lt;&gt;"", AA34&lt;&gt;"", B34&lt;&gt;"DIV"), Z34/sum(F34:I34), "")</f>
        <v/>
      </c>
      <c r="Z36" s="45" t="n"/>
      <c r="AA36" s="45" t="n"/>
      <c r="AB36" s="52" t="n"/>
      <c r="AC36" s="53" t="n"/>
      <c r="AD36" s="46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8" t="n">
        <v>45565</v>
      </c>
      <c r="B37" s="34" t="inlineStr">
        <is>
          <t>NSE</t>
        </is>
      </c>
      <c r="C37" s="34" t="inlineStr">
        <is>
          <t>Sell</t>
        </is>
      </c>
      <c r="D37" s="51" t="n">
        <v>1</v>
      </c>
      <c r="E37" s="36" t="n">
        <v>237.88</v>
      </c>
      <c r="F37" s="36" t="n">
        <v>237.88</v>
      </c>
      <c r="G37" s="34" t="inlineStr">
        <is>
          <t>~</t>
        </is>
      </c>
      <c r="H37" s="35" t="n">
        <v>0.24</v>
      </c>
      <c r="I37" s="35" t="n">
        <v>1.43</v>
      </c>
      <c r="J37" s="49" t="n">
        <v>262</v>
      </c>
      <c r="K37" s="38">
        <f>IF(AND( C35="Buy", ISBLANK(W35), B35&lt;&gt;"DIV"), L35/sum(F35:I35), "")</f>
        <v/>
      </c>
      <c r="L37" s="39">
        <f>IF(AND( C35="Buy", ISBLANK(W35), B35&lt;&gt;"DIV"), (1-Index!$F$2*2)*((J35*D35)-(E35*D35)), "")</f>
        <v/>
      </c>
      <c r="M37" s="39">
        <f>IF(AND( C35="Buy", ISBLANK(W35), B35&lt;&gt;"DIV"), ((E35*D35)+L35), "")</f>
        <v/>
      </c>
      <c r="N37" s="40">
        <f>IF(AND( C35="Buy", ISBLANK(W35), B35&lt;&gt;"DIV"), D35, "")</f>
        <v/>
      </c>
      <c r="O37" s="38">
        <f>IF(AND( C35="Buy", ISBLANK(W35), B35&lt;&gt;"DIV", NOW()-A35 &lt; 365), P35/sum(F35:I35), "")</f>
        <v/>
      </c>
      <c r="P37" s="39">
        <f>IF(AND( C35="Buy", ISBLANK(W35), B35&lt;&gt;"DIV", NOW()-A35 &lt; 365), (1-Index!$F$2*2)*((J35*D35)-(E35*D35)), "")</f>
        <v/>
      </c>
      <c r="Q37" s="39">
        <f>IF(AND( C35="Buy", ISBLANK(W35), B35&lt;&gt;"DIV", NOW()-A35 &lt; 365), ((E35*D35)+P35), "")</f>
        <v/>
      </c>
      <c r="R37" s="39">
        <f>IF(AND( C35="Buy", ISBLANK(W35), B35&lt;&gt;"DIV", NOW()-A35 &lt; 365), D35, "")</f>
        <v/>
      </c>
      <c r="S37" s="38">
        <f>IF(AND( C35="Buy", ISBLANK(W35), B35&lt;&gt;"DIV", NOW()-A35 &gt; 365), T35/sum(F35:I35), "")</f>
        <v/>
      </c>
      <c r="T37" s="39">
        <f>IF(AND( C35="Buy", ISBLANK(W35), B35&lt;&gt;"DIV", NOW()-A35 &gt; 365), (1-Index!$F$2*2)*((J35*D35)-(E35*D35)), "")</f>
        <v/>
      </c>
      <c r="U37" s="39">
        <f>IF(AND( C35="Buy", ISBLANK(W35), B35&lt;&gt;"DIV", NOW()-A35 &gt; 365), ((E35*D35)+T35), "")</f>
        <v/>
      </c>
      <c r="V37" s="39">
        <f>IF(AND( C35="Buy", ISBLANK(W35), B35&lt;&gt;"DIV", NOW()-A35 &gt; 365), D35, "")</f>
        <v/>
      </c>
      <c r="W37" s="45" t="n"/>
      <c r="X37" s="45" t="n"/>
      <c r="Y37" s="38">
        <f>IF(AND( C35="Buy", W35&lt;&gt;"", AA35&lt;&gt;"", B35&lt;&gt;"DIV"), Z35/sum(F35:I35), "")</f>
        <v/>
      </c>
      <c r="Z37" s="45" t="n"/>
      <c r="AA37" s="45" t="n"/>
      <c r="AB37" s="52" t="n"/>
      <c r="AC37" s="53" t="n"/>
      <c r="AD37" s="46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8" t="n">
        <v>45565</v>
      </c>
      <c r="B38" s="34" t="inlineStr">
        <is>
          <t>NSE</t>
        </is>
      </c>
      <c r="C38" s="34" t="inlineStr">
        <is>
          <t>Sell</t>
        </is>
      </c>
      <c r="D38" s="51" t="n">
        <v>2</v>
      </c>
      <c r="E38" s="36" t="n">
        <v>237.88</v>
      </c>
      <c r="F38" s="36" t="n">
        <v>475.76</v>
      </c>
      <c r="G38" s="34" t="inlineStr">
        <is>
          <t>~</t>
        </is>
      </c>
      <c r="H38" s="35" t="n">
        <v>0.48</v>
      </c>
      <c r="I38" s="35" t="n">
        <v>2.86</v>
      </c>
      <c r="J38" s="49" t="n">
        <v>262</v>
      </c>
      <c r="K38" s="38">
        <f>IF(AND( C36="Buy", ISBLANK(W36), B36&lt;&gt;"DIV"), L36/sum(F36:I36), "")</f>
        <v/>
      </c>
      <c r="L38" s="39">
        <f>IF(AND( C36="Buy", ISBLANK(W36), B36&lt;&gt;"DIV"), (1-Index!$F$2*2)*((J36*D36)-(E36*D36)), "")</f>
        <v/>
      </c>
      <c r="M38" s="39">
        <f>IF(AND( C36="Buy", ISBLANK(W36), B36&lt;&gt;"DIV"), ((E36*D36)+L36), "")</f>
        <v/>
      </c>
      <c r="N38" s="40">
        <f>IF(AND( C36="Buy", ISBLANK(W36), B36&lt;&gt;"DIV"), D36, "")</f>
        <v/>
      </c>
      <c r="O38" s="38">
        <f>IF(AND( C36="Buy", ISBLANK(W36), B36&lt;&gt;"DIV", NOW()-A36 &lt; 365), P36/sum(F36:I36), "")</f>
        <v/>
      </c>
      <c r="P38" s="39">
        <f>IF(AND( C36="Buy", ISBLANK(W36), B36&lt;&gt;"DIV", NOW()-A36 &lt; 365), (1-Index!$F$2*2)*((J36*D36)-(E36*D36)), "")</f>
        <v/>
      </c>
      <c r="Q38" s="39">
        <f>IF(AND( C36="Buy", ISBLANK(W36), B36&lt;&gt;"DIV", NOW()-A36 &lt; 365), ((E36*D36)+P36), "")</f>
        <v/>
      </c>
      <c r="R38" s="39">
        <f>IF(AND( C36="Buy", ISBLANK(W36), B36&lt;&gt;"DIV", NOW()-A36 &lt; 365), D36, "")</f>
        <v/>
      </c>
      <c r="S38" s="38">
        <f>IF(AND( C36="Buy", ISBLANK(W36), B36&lt;&gt;"DIV", NOW()-A36 &gt; 365), T36/sum(F36:I36), "")</f>
        <v/>
      </c>
      <c r="T38" s="39">
        <f>IF(AND( C36="Buy", ISBLANK(W36), B36&lt;&gt;"DIV", NOW()-A36 &gt; 365), (1-Index!$F$2*2)*((J36*D36)-(E36*D36)), "")</f>
        <v/>
      </c>
      <c r="U38" s="39">
        <f>IF(AND( C36="Buy", ISBLANK(W36), B36&lt;&gt;"DIV", NOW()-A36 &gt; 365), ((E36*D36)+T36), "")</f>
        <v/>
      </c>
      <c r="V38" s="39">
        <f>IF(AND( C36="Buy", ISBLANK(W36), B36&lt;&gt;"DIV", NOW()-A36 &gt; 365), D36, "")</f>
        <v/>
      </c>
      <c r="W38" s="45" t="n"/>
      <c r="X38" s="45" t="n"/>
      <c r="Y38" s="38">
        <f>IF(AND( C36="Buy", W36&lt;&gt;"", AA36&lt;&gt;"", B36&lt;&gt;"DIV"), Z36/sum(F36:I36), "")</f>
        <v/>
      </c>
      <c r="Z38" s="45" t="n"/>
      <c r="AA38" s="45" t="n"/>
      <c r="AB38" s="52" t="n"/>
      <c r="AC38" s="53" t="n"/>
      <c r="AD38" s="46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8" t="n">
        <v>45565</v>
      </c>
      <c r="B39" s="34" t="inlineStr">
        <is>
          <t>NSE</t>
        </is>
      </c>
      <c r="C39" s="34" t="inlineStr">
        <is>
          <t>Sell</t>
        </is>
      </c>
      <c r="D39" s="51" t="n">
        <v>10</v>
      </c>
      <c r="E39" s="36" t="n">
        <v>237.88</v>
      </c>
      <c r="F39" s="36" t="n">
        <v>2378.84</v>
      </c>
      <c r="G39" s="34" t="inlineStr">
        <is>
          <t>~</t>
        </is>
      </c>
      <c r="H39" s="35" t="n">
        <v>2.4</v>
      </c>
      <c r="I39" s="35" t="n">
        <v>14.26</v>
      </c>
      <c r="J39" s="49" t="n">
        <v>262</v>
      </c>
      <c r="K39" s="38">
        <f>IF(AND( C37="Buy", ISBLANK(W37), B37&lt;&gt;"DIV"), L37/sum(F37:I37), "")</f>
        <v/>
      </c>
      <c r="L39" s="39">
        <f>IF(AND( C37="Buy", ISBLANK(W37), B37&lt;&gt;"DIV"), (1-Index!$F$2*2)*((J37*D37)-(E37*D37)), "")</f>
        <v/>
      </c>
      <c r="M39" s="39">
        <f>IF(AND( C37="Buy", ISBLANK(W37), B37&lt;&gt;"DIV"), ((E37*D37)+L37), "")</f>
        <v/>
      </c>
      <c r="N39" s="40">
        <f>IF(AND( C37="Buy", ISBLANK(W37), B37&lt;&gt;"DIV"), D37, "")</f>
        <v/>
      </c>
      <c r="O39" s="38">
        <f>IF(AND( C37="Buy", ISBLANK(W37), B37&lt;&gt;"DIV", NOW()-A37 &lt; 365), P37/sum(F37:I37), "")</f>
        <v/>
      </c>
      <c r="P39" s="39">
        <f>IF(AND( C37="Buy", ISBLANK(W37), B37&lt;&gt;"DIV", NOW()-A37 &lt; 365), (1-Index!$F$2*2)*((J37*D37)-(E37*D37)), "")</f>
        <v/>
      </c>
      <c r="Q39" s="39">
        <f>IF(AND( C37="Buy", ISBLANK(W37), B37&lt;&gt;"DIV", NOW()-A37 &lt; 365), ((E37*D37)+P37), "")</f>
        <v/>
      </c>
      <c r="R39" s="39">
        <f>IF(AND( C37="Buy", ISBLANK(W37), B37&lt;&gt;"DIV", NOW()-A37 &lt; 365), D37, "")</f>
        <v/>
      </c>
      <c r="S39" s="38">
        <f>IF(AND( C37="Buy", ISBLANK(W37), B37&lt;&gt;"DIV", NOW()-A37 &gt; 365), T37/sum(F37:I37), "")</f>
        <v/>
      </c>
      <c r="T39" s="39">
        <f>IF(AND( C37="Buy", ISBLANK(W37), B37&lt;&gt;"DIV", NOW()-A37 &gt; 365), (1-Index!$F$2*2)*((J37*D37)-(E37*D37)), "")</f>
        <v/>
      </c>
      <c r="U39" s="39">
        <f>IF(AND( C37="Buy", ISBLANK(W37), B37&lt;&gt;"DIV", NOW()-A37 &gt; 365), ((E37*D37)+T37), "")</f>
        <v/>
      </c>
      <c r="V39" s="39">
        <f>IF(AND( C37="Buy", ISBLANK(W37), B37&lt;&gt;"DIV", NOW()-A37 &gt; 365), D37, "")</f>
        <v/>
      </c>
      <c r="W39" s="45" t="n"/>
      <c r="X39" s="45" t="n"/>
      <c r="Y39" s="38">
        <f>IF(AND( C37="Buy", W37&lt;&gt;"", AA37&lt;&gt;"", B37&lt;&gt;"DIV"), Z37/sum(F37:I37), "")</f>
        <v/>
      </c>
      <c r="Z39" s="45" t="n"/>
      <c r="AA39" s="45" t="n"/>
      <c r="AB39" s="52" t="n"/>
      <c r="AC39" s="53" t="n"/>
      <c r="AD39" s="46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8" t="n">
        <v>45385</v>
      </c>
      <c r="B40" s="34" t="inlineStr">
        <is>
          <t>DIV</t>
        </is>
      </c>
      <c r="C40" s="34" t="inlineStr">
        <is>
          <t>Buy</t>
        </is>
      </c>
      <c r="D40" s="35" t="n">
        <v>750</v>
      </c>
      <c r="E40" s="36" t="n">
        <v>4.95</v>
      </c>
      <c r="F40" s="36" t="n">
        <v>3712.5</v>
      </c>
      <c r="G40" s="34" t="inlineStr">
        <is>
          <t>Interim-Dividend of Rs.4.9500/- per share on Ex-Date: 03-APR-2024</t>
        </is>
      </c>
      <c r="H40" s="35" t="n">
        <v>0</v>
      </c>
      <c r="I40" s="35" t="n">
        <v>0</v>
      </c>
      <c r="J40" s="49" t="n">
        <v>262</v>
      </c>
      <c r="K40" s="38">
        <f>IF(AND( C38="Buy", ISBLANK(W38), B38&lt;&gt;"DIV"), L38/sum(F38:I38), "")</f>
        <v/>
      </c>
      <c r="L40" s="39">
        <f>IF(AND( C38="Buy", ISBLANK(W38), B38&lt;&gt;"DIV"), (1-Index!$F$2*2)*((J38*D38)-(E38*D38)), "")</f>
        <v/>
      </c>
      <c r="M40" s="39">
        <f>IF(AND( C38="Buy", ISBLANK(W38), B38&lt;&gt;"DIV"), ((E38*D38)+L38), "")</f>
        <v/>
      </c>
      <c r="N40" s="40">
        <f>IF(AND( C38="Buy", ISBLANK(W38), B38&lt;&gt;"DIV"), D38, "")</f>
        <v/>
      </c>
      <c r="O40" s="38">
        <f>IF(AND( C38="Buy", ISBLANK(W38), B38&lt;&gt;"DIV", NOW()-A38 &lt; 365), P38/sum(F38:I38), "")</f>
        <v/>
      </c>
      <c r="P40" s="39">
        <f>IF(AND( C38="Buy", ISBLANK(W38), B38&lt;&gt;"DIV", NOW()-A38 &lt; 365), (1-Index!$F$2*2)*((J38*D38)-(E38*D38)), "")</f>
        <v/>
      </c>
      <c r="Q40" s="39">
        <f>IF(AND( C38="Buy", ISBLANK(W38), B38&lt;&gt;"DIV", NOW()-A38 &lt; 365), ((E38*D38)+P38), "")</f>
        <v/>
      </c>
      <c r="R40" s="39">
        <f>IF(AND( C38="Buy", ISBLANK(W38), B38&lt;&gt;"DIV", NOW()-A38 &lt; 365), D38, "")</f>
        <v/>
      </c>
      <c r="S40" s="38">
        <f>IF(AND( C38="Buy", ISBLANK(W38), B38&lt;&gt;"DIV", NOW()-A38 &gt; 365), T38/sum(F38:I38), "")</f>
        <v/>
      </c>
      <c r="T40" s="39">
        <f>IF(AND( C38="Buy", ISBLANK(W38), B38&lt;&gt;"DIV", NOW()-A38 &gt; 365), (1-Index!$F$2*2)*((J38*D38)-(E38*D38)), "")</f>
        <v/>
      </c>
      <c r="U40" s="39">
        <f>IF(AND( C38="Buy", ISBLANK(W38), B38&lt;&gt;"DIV", NOW()-A38 &gt; 365), ((E38*D38)+T38), "")</f>
        <v/>
      </c>
      <c r="V40" s="39">
        <f>IF(AND( C38="Buy", ISBLANK(W38), B38&lt;&gt;"DIV", NOW()-A38 &gt; 365), D38, "")</f>
        <v/>
      </c>
      <c r="W40" s="39" t="n"/>
      <c r="X40" s="39" t="n"/>
      <c r="Y40" s="38">
        <f>IF(AND( C38="Buy", W38&lt;&gt;"", AA38&lt;&gt;"", B38&lt;&gt;"DIV"), Z38/sum(F38:I38), "")</f>
        <v/>
      </c>
      <c r="Z40" s="39" t="n"/>
      <c r="AA40" s="39" t="n"/>
      <c r="AB40" s="40" t="n"/>
      <c r="AC40" s="50">
        <f>if(B38="DIV", F38,"")</f>
        <v/>
      </c>
      <c r="AD40" s="54" t="inlineStr">
        <is>
          <t>SBI Securities</t>
        </is>
      </c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8" t="n">
        <v>45378</v>
      </c>
      <c r="B41" s="34" t="inlineStr">
        <is>
          <t>NSE</t>
        </is>
      </c>
      <c r="C41" s="34" t="inlineStr">
        <is>
          <t>Buy</t>
        </is>
      </c>
      <c r="D41" s="35" t="n">
        <v>100</v>
      </c>
      <c r="E41" s="36" t="n">
        <v>170.55</v>
      </c>
      <c r="F41" s="36" t="n">
        <v>17055.42</v>
      </c>
      <c r="G41" s="34" t="inlineStr">
        <is>
          <t>~</t>
        </is>
      </c>
      <c r="H41" s="35" t="n">
        <v>16.93</v>
      </c>
      <c r="I41" s="35" t="n">
        <v>103.49</v>
      </c>
      <c r="J41" s="49" t="n">
        <v>262</v>
      </c>
      <c r="K41" s="38">
        <f>IF(AND( C39="Buy", ISBLANK(W39), B39&lt;&gt;"DIV"), L39/sum(F39:I39), "")</f>
        <v/>
      </c>
      <c r="L41" s="39">
        <f>IF(AND( C39="Buy", ISBLANK(W39), B39&lt;&gt;"DIV"), (1-Index!$F$2*2)*((J39*D39)-(E39*D39)), "")</f>
        <v/>
      </c>
      <c r="M41" s="39">
        <f>IF(AND( C39="Buy", ISBLANK(W39), B39&lt;&gt;"DIV"), ((E39*D39)+L39), "")</f>
        <v/>
      </c>
      <c r="N41" s="40">
        <f>IF(AND( C39="Buy", ISBLANK(W39), B39&lt;&gt;"DIV"), D39, "")</f>
        <v/>
      </c>
      <c r="O41" s="38">
        <f>IF(AND( C39="Buy", ISBLANK(W39), B39&lt;&gt;"DIV", NOW()-A39 &lt; 365), P39/sum(F39:I39), "")</f>
        <v/>
      </c>
      <c r="P41" s="39">
        <f>IF(AND( C39="Buy", ISBLANK(W39), B39&lt;&gt;"DIV", NOW()-A39 &lt; 365), (1-Index!$F$2*2)*((J39*D39)-(E39*D39)), "")</f>
        <v/>
      </c>
      <c r="Q41" s="39">
        <f>IF(AND( C39="Buy", ISBLANK(W39), B39&lt;&gt;"DIV", NOW()-A39 &lt; 365), ((E39*D39)+P39), "")</f>
        <v/>
      </c>
      <c r="R41" s="39">
        <f>IF(AND( C39="Buy", ISBLANK(W39), B39&lt;&gt;"DIV", NOW()-A39 &lt; 365), D39, "")</f>
        <v/>
      </c>
      <c r="S41" s="38">
        <f>IF(AND( C39="Buy", ISBLANK(W39), B39&lt;&gt;"DIV", NOW()-A39 &gt; 365), T39/sum(F39:I39), "")</f>
        <v/>
      </c>
      <c r="T41" s="39">
        <f>IF(AND( C39="Buy", ISBLANK(W39), B39&lt;&gt;"DIV", NOW()-A39 &gt; 365), (1-Index!$F$2*2)*((J39*D39)-(E39*D39)), "")</f>
        <v/>
      </c>
      <c r="U41" s="39">
        <f>IF(AND( C39="Buy", ISBLANK(W39), B39&lt;&gt;"DIV", NOW()-A39 &gt; 365), ((E39*D39)+T39), "")</f>
        <v/>
      </c>
      <c r="V41" s="39">
        <f>IF(AND( C39="Buy", ISBLANK(W39), B39&lt;&gt;"DIV", NOW()-A39 &gt; 365), D39, "")</f>
        <v/>
      </c>
      <c r="W41" s="39" t="n"/>
      <c r="X41" s="39" t="n"/>
      <c r="Y41" s="38">
        <f>IF(AND( C39="Buy", W39&lt;&gt;"", AA39&lt;&gt;"", B39&lt;&gt;"DIV"), Z39/sum(F39:I39), "")</f>
        <v/>
      </c>
      <c r="Z41" s="39" t="n"/>
      <c r="AA41" s="39" t="n"/>
      <c r="AB41" s="40" t="n"/>
      <c r="AC41" s="50">
        <f>if(B39="DIV", F39,"")</f>
        <v/>
      </c>
      <c r="AD41" s="54" t="inlineStr">
        <is>
          <t>SBI Securities</t>
        </is>
      </c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8" t="n">
        <v>45378</v>
      </c>
      <c r="B42" s="34" t="inlineStr">
        <is>
          <t>NSE</t>
        </is>
      </c>
      <c r="C42" s="34" t="inlineStr">
        <is>
          <t>Buy</t>
        </is>
      </c>
      <c r="D42" s="35" t="n">
        <v>100</v>
      </c>
      <c r="E42" s="36" t="n">
        <v>170.95</v>
      </c>
      <c r="F42" s="36" t="n">
        <v>17095.42</v>
      </c>
      <c r="G42" s="34" t="inlineStr">
        <is>
          <t>~</t>
        </is>
      </c>
      <c r="H42" s="35" t="n">
        <v>16.93</v>
      </c>
      <c r="I42" s="35" t="n">
        <v>103.49</v>
      </c>
      <c r="J42" s="49" t="n">
        <v>262</v>
      </c>
      <c r="K42" s="38">
        <f>IF(AND( C40="Buy", ISBLANK(W40), B40&lt;&gt;"DIV"), L40/sum(F40:I40), "")</f>
        <v/>
      </c>
      <c r="L42" s="39">
        <f>IF(AND( C40="Buy", ISBLANK(W40), B40&lt;&gt;"DIV"), (1-Index!$F$2*2)*((J40*D40)-(E40*D40)), "")</f>
        <v/>
      </c>
      <c r="M42" s="39">
        <f>IF(AND( C40="Buy", ISBLANK(W40), B40&lt;&gt;"DIV"), ((E40*D40)+L40), "")</f>
        <v/>
      </c>
      <c r="N42" s="40">
        <f>IF(AND( C40="Buy", ISBLANK(W40), B40&lt;&gt;"DIV"), D40, "")</f>
        <v/>
      </c>
      <c r="O42" s="38">
        <f>IF(AND( C40="Buy", ISBLANK(W40), B40&lt;&gt;"DIV", NOW()-A40 &lt; 365), P40/sum(F40:I40), "")</f>
        <v/>
      </c>
      <c r="P42" s="39">
        <f>IF(AND( C40="Buy", ISBLANK(W40), B40&lt;&gt;"DIV", NOW()-A40 &lt; 365), (1-Index!$F$2*2)*((J40*D40)-(E40*D40)), "")</f>
        <v/>
      </c>
      <c r="Q42" s="39">
        <f>IF(AND( C40="Buy", ISBLANK(W40), B40&lt;&gt;"DIV", NOW()-A40 &lt; 365), ((E40*D40)+P40), "")</f>
        <v/>
      </c>
      <c r="R42" s="39">
        <f>IF(AND( C40="Buy", ISBLANK(W40), B40&lt;&gt;"DIV", NOW()-A40 &lt; 365), D40, "")</f>
        <v/>
      </c>
      <c r="S42" s="38">
        <f>IF(AND( C40="Buy", ISBLANK(W40), B40&lt;&gt;"DIV", NOW()-A40 &gt; 365), T40/sum(F40:I40), "")</f>
        <v/>
      </c>
      <c r="T42" s="39">
        <f>IF(AND( C40="Buy", ISBLANK(W40), B40&lt;&gt;"DIV", NOW()-A40 &gt; 365), (1-Index!$F$2*2)*((J40*D40)-(E40*D40)), "")</f>
        <v/>
      </c>
      <c r="U42" s="39">
        <f>IF(AND( C40="Buy", ISBLANK(W40), B40&lt;&gt;"DIV", NOW()-A40 &gt; 365), ((E40*D40)+T40), "")</f>
        <v/>
      </c>
      <c r="V42" s="39">
        <f>IF(AND( C40="Buy", ISBLANK(W40), B40&lt;&gt;"DIV", NOW()-A40 &gt; 365), D40, "")</f>
        <v/>
      </c>
      <c r="W42" s="39" t="n"/>
      <c r="X42" s="39" t="n"/>
      <c r="Y42" s="38">
        <f>IF(AND( C40="Buy", W40&lt;&gt;"", AA40&lt;&gt;"", B40&lt;&gt;"DIV"), Z40/sum(F40:I40), "")</f>
        <v/>
      </c>
      <c r="Z42" s="39" t="n"/>
      <c r="AA42" s="39" t="n"/>
      <c r="AB42" s="40" t="n"/>
      <c r="AC42" s="50">
        <f>if(B40="DIV", F40,"")</f>
        <v/>
      </c>
      <c r="AD42" s="54" t="inlineStr">
        <is>
          <t>SBI Securities</t>
        </is>
      </c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8" t="n">
        <v>45364</v>
      </c>
      <c r="B43" s="34" t="inlineStr">
        <is>
          <t>NSE</t>
        </is>
      </c>
      <c r="C43" s="34" t="inlineStr">
        <is>
          <t>Buy</t>
        </is>
      </c>
      <c r="D43" s="35" t="n">
        <v>50</v>
      </c>
      <c r="E43" s="36" t="n">
        <v>167.38</v>
      </c>
      <c r="F43" s="36" t="n">
        <v>8368.860000000001</v>
      </c>
      <c r="G43" s="34" t="inlineStr">
        <is>
          <t>~</t>
        </is>
      </c>
      <c r="H43" s="35" t="n">
        <v>8.279999999999999</v>
      </c>
      <c r="I43" s="35" t="n">
        <v>50.58</v>
      </c>
      <c r="J43" s="49" t="n">
        <v>262</v>
      </c>
      <c r="K43" s="38">
        <f>IF(AND( C41="Buy", ISBLANK(W41), B41&lt;&gt;"DIV"), L41/sum(F41:I41), "")</f>
        <v/>
      </c>
      <c r="L43" s="39">
        <f>IF(AND( C41="Buy", ISBLANK(W41), B41&lt;&gt;"DIV"), (1-Index!$F$2*2)*((J41*D41)-(E41*D41)), "")</f>
        <v/>
      </c>
      <c r="M43" s="39">
        <f>IF(AND( C41="Buy", ISBLANK(W41), B41&lt;&gt;"DIV"), ((E41*D41)+L41), "")</f>
        <v/>
      </c>
      <c r="N43" s="40">
        <f>IF(AND( C41="Buy", ISBLANK(W41), B41&lt;&gt;"DIV"), D41, "")</f>
        <v/>
      </c>
      <c r="O43" s="38">
        <f>IF(AND( C41="Buy", ISBLANK(W41), B41&lt;&gt;"DIV", NOW()-A41 &lt; 365), P41/sum(F41:I41), "")</f>
        <v/>
      </c>
      <c r="P43" s="39">
        <f>IF(AND( C41="Buy", ISBLANK(W41), B41&lt;&gt;"DIV", NOW()-A41 &lt; 365), (1-Index!$F$2*2)*((J41*D41)-(E41*D41)), "")</f>
        <v/>
      </c>
      <c r="Q43" s="39">
        <f>IF(AND( C41="Buy", ISBLANK(W41), B41&lt;&gt;"DIV", NOW()-A41 &lt; 365), ((E41*D41)+P41), "")</f>
        <v/>
      </c>
      <c r="R43" s="39">
        <f>IF(AND( C41="Buy", ISBLANK(W41), B41&lt;&gt;"DIV", NOW()-A41 &lt; 365), D41, "")</f>
        <v/>
      </c>
      <c r="S43" s="38">
        <f>IF(AND( C41="Buy", ISBLANK(W41), B41&lt;&gt;"DIV", NOW()-A41 &gt; 365), T41/sum(F41:I41), "")</f>
        <v/>
      </c>
      <c r="T43" s="39">
        <f>IF(AND( C41="Buy", ISBLANK(W41), B41&lt;&gt;"DIV", NOW()-A41 &gt; 365), (1-Index!$F$2*2)*((J41*D41)-(E41*D41)), "")</f>
        <v/>
      </c>
      <c r="U43" s="39">
        <f>IF(AND( C41="Buy", ISBLANK(W41), B41&lt;&gt;"DIV", NOW()-A41 &gt; 365), ((E41*D41)+T41), "")</f>
        <v/>
      </c>
      <c r="V43" s="39">
        <f>IF(AND( C41="Buy", ISBLANK(W41), B41&lt;&gt;"DIV", NOW()-A41 &gt; 365), D41, "")</f>
        <v/>
      </c>
      <c r="W43" s="39" t="n"/>
      <c r="X43" s="39" t="n"/>
      <c r="Y43" s="38">
        <f>IF(AND( C41="Buy", W41&lt;&gt;"", AA41&lt;&gt;"", B41&lt;&gt;"DIV"), Z41/sum(F41:I41), "")</f>
        <v/>
      </c>
      <c r="Z43" s="39" t="n"/>
      <c r="AA43" s="39" t="n"/>
      <c r="AB43" s="40" t="n"/>
      <c r="AC43" s="50">
        <f>if(B41="DIV", F41,"")</f>
        <v/>
      </c>
      <c r="AD43" s="54" t="inlineStr">
        <is>
          <t>SBI Securities</t>
        </is>
      </c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8" t="n">
        <v>45363</v>
      </c>
      <c r="B44" s="34" t="inlineStr">
        <is>
          <t>NSE</t>
        </is>
      </c>
      <c r="C44" s="34" t="inlineStr">
        <is>
          <t>Buy</t>
        </is>
      </c>
      <c r="D44" s="35" t="n">
        <v>110</v>
      </c>
      <c r="E44" s="36" t="n">
        <v>169.79</v>
      </c>
      <c r="F44" s="36" t="n">
        <v>18676.92</v>
      </c>
      <c r="G44" s="34" t="inlineStr">
        <is>
          <t>~</t>
        </is>
      </c>
      <c r="H44" s="35" t="n">
        <v>18.37</v>
      </c>
      <c r="I44" s="35" t="n">
        <v>112.55</v>
      </c>
      <c r="J44" s="49" t="n">
        <v>262</v>
      </c>
      <c r="K44" s="38">
        <f>IF(AND( C42="Buy", ISBLANK(W42), B42&lt;&gt;"DIV"), L42/sum(F42:I42), "")</f>
        <v/>
      </c>
      <c r="L44" s="39">
        <f>IF(AND( C42="Buy", ISBLANK(W42), B42&lt;&gt;"DIV"), (1-Index!$F$2*2)*((J42*D42)-(E42*D42)), "")</f>
        <v/>
      </c>
      <c r="M44" s="39">
        <f>IF(AND( C42="Buy", ISBLANK(W42), B42&lt;&gt;"DIV"), ((E42*D42)+L42), "")</f>
        <v/>
      </c>
      <c r="N44" s="40">
        <f>IF(AND( C42="Buy", ISBLANK(W42), B42&lt;&gt;"DIV"), D42, "")</f>
        <v/>
      </c>
      <c r="O44" s="38">
        <f>IF(AND( C42="Buy", ISBLANK(W42), B42&lt;&gt;"DIV", NOW()-A42 &lt; 365), P42/sum(F42:I42), "")</f>
        <v/>
      </c>
      <c r="P44" s="39">
        <f>IF(AND( C42="Buy", ISBLANK(W42), B42&lt;&gt;"DIV", NOW()-A42 &lt; 365), (1-Index!$F$2*2)*((J42*D42)-(E42*D42)), "")</f>
        <v/>
      </c>
      <c r="Q44" s="39">
        <f>IF(AND( C42="Buy", ISBLANK(W42), B42&lt;&gt;"DIV", NOW()-A42 &lt; 365), ((E42*D42)+P42), "")</f>
        <v/>
      </c>
      <c r="R44" s="39">
        <f>IF(AND( C42="Buy", ISBLANK(W42), B42&lt;&gt;"DIV", NOW()-A42 &lt; 365), D42, "")</f>
        <v/>
      </c>
      <c r="S44" s="38">
        <f>IF(AND( C42="Buy", ISBLANK(W42), B42&lt;&gt;"DIV", NOW()-A42 &gt; 365), T42/sum(F42:I42), "")</f>
        <v/>
      </c>
      <c r="T44" s="39">
        <f>IF(AND( C42="Buy", ISBLANK(W42), B42&lt;&gt;"DIV", NOW()-A42 &gt; 365), (1-Index!$F$2*2)*((J42*D42)-(E42*D42)), "")</f>
        <v/>
      </c>
      <c r="U44" s="39">
        <f>IF(AND( C42="Buy", ISBLANK(W42), B42&lt;&gt;"DIV", NOW()-A42 &gt; 365), ((E42*D42)+T42), "")</f>
        <v/>
      </c>
      <c r="V44" s="39">
        <f>IF(AND( C42="Buy", ISBLANK(W42), B42&lt;&gt;"DIV", NOW()-A42 &gt; 365), D42, "")</f>
        <v/>
      </c>
      <c r="W44" s="39" t="n"/>
      <c r="X44" s="39" t="n"/>
      <c r="Y44" s="38">
        <f>IF(AND( C42="Buy", W42&lt;&gt;"", AA42&lt;&gt;"", B42&lt;&gt;"DIV"), Z42/sum(F42:I42), "")</f>
        <v/>
      </c>
      <c r="Z44" s="39" t="n"/>
      <c r="AA44" s="39" t="n"/>
      <c r="AB44" s="40" t="n"/>
      <c r="AC44" s="50">
        <f>if(B42="DIV", F42,"")</f>
        <v/>
      </c>
      <c r="AD44" s="54" t="inlineStr">
        <is>
          <t>SBI Securities</t>
        </is>
      </c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8" t="n">
        <v>45358</v>
      </c>
      <c r="B45" s="34" t="inlineStr">
        <is>
          <t>NSE</t>
        </is>
      </c>
      <c r="C45" s="34" t="inlineStr">
        <is>
          <t>Buy</t>
        </is>
      </c>
      <c r="D45" s="35" t="n">
        <v>20</v>
      </c>
      <c r="E45" s="36" t="n">
        <v>172.83</v>
      </c>
      <c r="F45" s="36" t="n">
        <v>3456.51</v>
      </c>
      <c r="G45" s="34" t="inlineStr">
        <is>
          <t>~</t>
        </is>
      </c>
      <c r="H45" s="35" t="n">
        <v>3.49</v>
      </c>
      <c r="I45" s="35" t="n">
        <v>21.02</v>
      </c>
      <c r="J45" s="49" t="n">
        <v>262</v>
      </c>
      <c r="K45" s="38">
        <f>IF(AND( C43="Buy", ISBLANK(W43), B43&lt;&gt;"DIV"), L43/sum(F43:I43), "")</f>
        <v/>
      </c>
      <c r="L45" s="39">
        <f>IF(AND( C43="Buy", ISBLANK(W43), B43&lt;&gt;"DIV"), (1-Index!$F$2*2)*((J43*D43)-(E43*D43)), "")</f>
        <v/>
      </c>
      <c r="M45" s="39">
        <f>IF(AND( C43="Buy", ISBLANK(W43), B43&lt;&gt;"DIV"), ((E43*D43)+L43), "")</f>
        <v/>
      </c>
      <c r="N45" s="40">
        <f>IF(AND( C43="Buy", ISBLANK(W43), B43&lt;&gt;"DIV"), D43, "")</f>
        <v/>
      </c>
      <c r="O45" s="38">
        <f>IF(AND( C43="Buy", ISBLANK(W43), B43&lt;&gt;"DIV", NOW()-A43 &lt; 365), P43/sum(F43:I43), "")</f>
        <v/>
      </c>
      <c r="P45" s="39">
        <f>IF(AND( C43="Buy", ISBLANK(W43), B43&lt;&gt;"DIV", NOW()-A43 &lt; 365), (1-Index!$F$2*2)*((J43*D43)-(E43*D43)), "")</f>
        <v/>
      </c>
      <c r="Q45" s="39">
        <f>IF(AND( C43="Buy", ISBLANK(W43), B43&lt;&gt;"DIV", NOW()-A43 &lt; 365), ((E43*D43)+P43), "")</f>
        <v/>
      </c>
      <c r="R45" s="39">
        <f>IF(AND( C43="Buy", ISBLANK(W43), B43&lt;&gt;"DIV", NOW()-A43 &lt; 365), D43, "")</f>
        <v/>
      </c>
      <c r="S45" s="38">
        <f>IF(AND( C43="Buy", ISBLANK(W43), B43&lt;&gt;"DIV", NOW()-A43 &gt; 365), T43/sum(F43:I43), "")</f>
        <v/>
      </c>
      <c r="T45" s="39">
        <f>IF(AND( C43="Buy", ISBLANK(W43), B43&lt;&gt;"DIV", NOW()-A43 &gt; 365), (1-Index!$F$2*2)*((J43*D43)-(E43*D43)), "")</f>
        <v/>
      </c>
      <c r="U45" s="39">
        <f>IF(AND( C43="Buy", ISBLANK(W43), B43&lt;&gt;"DIV", NOW()-A43 &gt; 365), ((E43*D43)+T43), "")</f>
        <v/>
      </c>
      <c r="V45" s="39">
        <f>IF(AND( C43="Buy", ISBLANK(W43), B43&lt;&gt;"DIV", NOW()-A43 &gt; 365), D43, "")</f>
        <v/>
      </c>
      <c r="W45" s="39" t="n"/>
      <c r="X45" s="39" t="n"/>
      <c r="Y45" s="38">
        <f>IF(AND( C43="Buy", W43&lt;&gt;"", AA43&lt;&gt;"", B43&lt;&gt;"DIV"), Z43/sum(F43:I43), "")</f>
        <v/>
      </c>
      <c r="Z45" s="39" t="n"/>
      <c r="AA45" s="39" t="n"/>
      <c r="AB45" s="40" t="n"/>
      <c r="AC45" s="50">
        <f>if(B43="DIV", F43,"")</f>
        <v/>
      </c>
      <c r="AD45" s="54" t="inlineStr">
        <is>
          <t>SBI Securities</t>
        </is>
      </c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8" t="n">
        <v>45352</v>
      </c>
      <c r="B46" s="34" t="inlineStr">
        <is>
          <t>NSE</t>
        </is>
      </c>
      <c r="C46" s="34" t="inlineStr">
        <is>
          <t>Buy</t>
        </is>
      </c>
      <c r="D46" s="35" t="n">
        <v>20</v>
      </c>
      <c r="E46" s="36" t="n">
        <v>172.16</v>
      </c>
      <c r="F46" s="36" t="n">
        <v>3443.13</v>
      </c>
      <c r="G46" s="34" t="inlineStr">
        <is>
          <t>~</t>
        </is>
      </c>
      <c r="H46" s="35" t="n">
        <v>3.42</v>
      </c>
      <c r="I46" s="35" t="n">
        <v>20.71</v>
      </c>
      <c r="J46" s="49" t="n">
        <v>262</v>
      </c>
      <c r="K46" s="38">
        <f>IF(AND( C44="Buy", ISBLANK(W44), B44&lt;&gt;"DIV"), L44/sum(F44:I44), "")</f>
        <v/>
      </c>
      <c r="L46" s="39">
        <f>IF(AND( C44="Buy", ISBLANK(W44), B44&lt;&gt;"DIV"), (1-Index!$F$2*2)*((J44*D44)-(E44*D44)), "")</f>
        <v/>
      </c>
      <c r="M46" s="39">
        <f>IF(AND( C44="Buy", ISBLANK(W44), B44&lt;&gt;"DIV"), ((E44*D44)+L44), "")</f>
        <v/>
      </c>
      <c r="N46" s="40">
        <f>IF(AND( C44="Buy", ISBLANK(W44), B44&lt;&gt;"DIV"), D44, "")</f>
        <v/>
      </c>
      <c r="O46" s="38">
        <f>IF(AND( C44="Buy", ISBLANK(W44), B44&lt;&gt;"DIV", NOW()-A44 &lt; 365), P44/sum(F44:I44), "")</f>
        <v/>
      </c>
      <c r="P46" s="39">
        <f>IF(AND( C44="Buy", ISBLANK(W44), B44&lt;&gt;"DIV", NOW()-A44 &lt; 365), (1-Index!$F$2*2)*((J44*D44)-(E44*D44)), "")</f>
        <v/>
      </c>
      <c r="Q46" s="39">
        <f>IF(AND( C44="Buy", ISBLANK(W44), B44&lt;&gt;"DIV", NOW()-A44 &lt; 365), ((E44*D44)+P44), "")</f>
        <v/>
      </c>
      <c r="R46" s="39">
        <f>IF(AND( C44="Buy", ISBLANK(W44), B44&lt;&gt;"DIV", NOW()-A44 &lt; 365), D44, "")</f>
        <v/>
      </c>
      <c r="S46" s="38">
        <f>IF(AND( C44="Buy", ISBLANK(W44), B44&lt;&gt;"DIV", NOW()-A44 &gt; 365), T44/sum(F44:I44), "")</f>
        <v/>
      </c>
      <c r="T46" s="39">
        <f>IF(AND( C44="Buy", ISBLANK(W44), B44&lt;&gt;"DIV", NOW()-A44 &gt; 365), (1-Index!$F$2*2)*((J44*D44)-(E44*D44)), "")</f>
        <v/>
      </c>
      <c r="U46" s="39">
        <f>IF(AND( C44="Buy", ISBLANK(W44), B44&lt;&gt;"DIV", NOW()-A44 &gt; 365), ((E44*D44)+T44), "")</f>
        <v/>
      </c>
      <c r="V46" s="39">
        <f>IF(AND( C44="Buy", ISBLANK(W44), B44&lt;&gt;"DIV", NOW()-A44 &gt; 365), D44, "")</f>
        <v/>
      </c>
      <c r="W46" s="39" t="n"/>
      <c r="X46" s="39" t="n"/>
      <c r="Y46" s="38">
        <f>IF(AND( C44="Buy", W44&lt;&gt;"", AA44&lt;&gt;"", B44&lt;&gt;"DIV"), Z44/sum(F44:I44), "")</f>
        <v/>
      </c>
      <c r="Z46" s="39" t="n"/>
      <c r="AA46" s="39" t="n"/>
      <c r="AB46" s="40" t="n"/>
      <c r="AC46" s="50">
        <f>if(B44="DIV", F44,"")</f>
        <v/>
      </c>
      <c r="AD46" s="54" t="inlineStr">
        <is>
          <t>SBI Securities</t>
        </is>
      </c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8" t="n">
        <v>45349</v>
      </c>
      <c r="B47" s="34" t="inlineStr">
        <is>
          <t>NSE</t>
        </is>
      </c>
      <c r="C47" s="34" t="inlineStr">
        <is>
          <t>Buy</t>
        </is>
      </c>
      <c r="D47" s="35" t="n">
        <v>100</v>
      </c>
      <c r="E47" s="36" t="n">
        <v>175.18</v>
      </c>
      <c r="F47" s="36" t="n">
        <v>17518.24</v>
      </c>
      <c r="G47" s="34" t="inlineStr">
        <is>
          <t>~</t>
        </is>
      </c>
      <c r="H47" s="35" t="n">
        <v>17.33</v>
      </c>
      <c r="I47" s="35" t="n">
        <v>105.91</v>
      </c>
      <c r="J47" s="49" t="n">
        <v>262</v>
      </c>
      <c r="K47" s="38">
        <f>IF(AND( C45="Buy", ISBLANK(W45), B45&lt;&gt;"DIV"), L45/sum(F45:I45), "")</f>
        <v/>
      </c>
      <c r="L47" s="39">
        <f>IF(AND( C45="Buy", ISBLANK(W45), B45&lt;&gt;"DIV"), (1-Index!$F$2*2)*((J45*D45)-(E45*D45)), "")</f>
        <v/>
      </c>
      <c r="M47" s="39">
        <f>IF(AND( C45="Buy", ISBLANK(W45), B45&lt;&gt;"DIV"), ((E45*D45)+L45), "")</f>
        <v/>
      </c>
      <c r="N47" s="40">
        <f>IF(AND( C45="Buy", ISBLANK(W45), B45&lt;&gt;"DIV"), D45, "")</f>
        <v/>
      </c>
      <c r="O47" s="38">
        <f>IF(AND( C45="Buy", ISBLANK(W45), B45&lt;&gt;"DIV", NOW()-A45 &lt; 365), P45/sum(F45:I45), "")</f>
        <v/>
      </c>
      <c r="P47" s="39">
        <f>IF(AND( C45="Buy", ISBLANK(W45), B45&lt;&gt;"DIV", NOW()-A45 &lt; 365), (1-Index!$F$2*2)*((J45*D45)-(E45*D45)), "")</f>
        <v/>
      </c>
      <c r="Q47" s="39">
        <f>IF(AND( C45="Buy", ISBLANK(W45), B45&lt;&gt;"DIV", NOW()-A45 &lt; 365), ((E45*D45)+P45), "")</f>
        <v/>
      </c>
      <c r="R47" s="39">
        <f>IF(AND( C45="Buy", ISBLANK(W45), B45&lt;&gt;"DIV", NOW()-A45 &lt; 365), D45, "")</f>
        <v/>
      </c>
      <c r="S47" s="38">
        <f>IF(AND( C45="Buy", ISBLANK(W45), B45&lt;&gt;"DIV", NOW()-A45 &gt; 365), T45/sum(F45:I45), "")</f>
        <v/>
      </c>
      <c r="T47" s="39">
        <f>IF(AND( C45="Buy", ISBLANK(W45), B45&lt;&gt;"DIV", NOW()-A45 &gt; 365), (1-Index!$F$2*2)*((J45*D45)-(E45*D45)), "")</f>
        <v/>
      </c>
      <c r="U47" s="39">
        <f>IF(AND( C45="Buy", ISBLANK(W45), B45&lt;&gt;"DIV", NOW()-A45 &gt; 365), ((E45*D45)+T45), "")</f>
        <v/>
      </c>
      <c r="V47" s="39">
        <f>IF(AND( C45="Buy", ISBLANK(W45), B45&lt;&gt;"DIV", NOW()-A45 &gt; 365), D45, "")</f>
        <v/>
      </c>
      <c r="W47" s="39" t="n"/>
      <c r="X47" s="39" t="n"/>
      <c r="Y47" s="38">
        <f>IF(AND( C45="Buy", W45&lt;&gt;"", AA45&lt;&gt;"", B45&lt;&gt;"DIV"), Z45/sum(F45:I45), "")</f>
        <v/>
      </c>
      <c r="Z47" s="39" t="n"/>
      <c r="AA47" s="39" t="n"/>
      <c r="AB47" s="40" t="n"/>
      <c r="AC47" s="50">
        <f>if(B45="DIV", F45,"")</f>
        <v/>
      </c>
      <c r="AD47" s="54" t="inlineStr">
        <is>
          <t>SBI Securities</t>
        </is>
      </c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8" t="n">
        <v>45282</v>
      </c>
      <c r="B48" s="34" t="inlineStr">
        <is>
          <t>NSE</t>
        </is>
      </c>
      <c r="C48" s="34" t="inlineStr">
        <is>
          <t>Buy</t>
        </is>
      </c>
      <c r="D48" s="55" t="n">
        <v>10</v>
      </c>
      <c r="E48" s="49" t="n">
        <v>171.8</v>
      </c>
      <c r="F48" s="56" t="n">
        <v>1730.2</v>
      </c>
      <c r="G48" s="34" t="inlineStr">
        <is>
          <t>~</t>
        </is>
      </c>
      <c r="H48" s="35" t="n">
        <v>1.72</v>
      </c>
      <c r="I48" s="35" t="n">
        <v>10.48</v>
      </c>
      <c r="J48" s="49" t="n">
        <v>262</v>
      </c>
      <c r="K48" s="38">
        <f>IF(AND( C46="Buy", ISBLANK(W46), B46&lt;&gt;"DIV"), L46/sum(F46:I46), "")</f>
        <v/>
      </c>
      <c r="L48" s="39">
        <f>IF(AND( C46="Buy", ISBLANK(W46), B46&lt;&gt;"DIV"), (1-Index!$F$2*2)*((J46*D46)-(E46*D46)), "")</f>
        <v/>
      </c>
      <c r="M48" s="39">
        <f>IF(AND( C46="Buy", ISBLANK(W46), B46&lt;&gt;"DIV"), ((E46*D46)+L46), "")</f>
        <v/>
      </c>
      <c r="N48" s="40">
        <f>IF(AND( C46="Buy", ISBLANK(W46), B46&lt;&gt;"DIV"), D46, "")</f>
        <v/>
      </c>
      <c r="O48" s="38">
        <f>IF(AND( C46="Buy", ISBLANK(W46), B46&lt;&gt;"DIV", NOW()-A46 &lt; 365), P46/sum(F46:I46), "")</f>
        <v/>
      </c>
      <c r="P48" s="39">
        <f>IF(AND( C46="Buy", ISBLANK(W46), B46&lt;&gt;"DIV", NOW()-A46 &lt; 365), (1-Index!$F$2*2)*((J46*D46)-(E46*D46)), "")</f>
        <v/>
      </c>
      <c r="Q48" s="39">
        <f>IF(AND( C46="Buy", ISBLANK(W46), B46&lt;&gt;"DIV", NOW()-A46 &lt; 365), ((E46*D46)+P46), "")</f>
        <v/>
      </c>
      <c r="R48" s="39">
        <f>IF(AND( C46="Buy", ISBLANK(W46), B46&lt;&gt;"DIV", NOW()-A46 &lt; 365), D46, "")</f>
        <v/>
      </c>
      <c r="S48" s="38">
        <f>IF(AND( C46="Buy", ISBLANK(W46), B46&lt;&gt;"DIV", NOW()-A46 &gt; 365), T46/sum(F46:I46), "")</f>
        <v/>
      </c>
      <c r="T48" s="39">
        <f>IF(AND( C46="Buy", ISBLANK(W46), B46&lt;&gt;"DIV", NOW()-A46 &gt; 365), (1-Index!$F$2*2)*((J46*D46)-(E46*D46)), "")</f>
        <v/>
      </c>
      <c r="U48" s="39">
        <f>IF(AND( C46="Buy", ISBLANK(W46), B46&lt;&gt;"DIV", NOW()-A46 &gt; 365), ((E46*D46)+T46), "")</f>
        <v/>
      </c>
      <c r="V48" s="39">
        <f>IF(AND( C46="Buy", ISBLANK(W46), B46&lt;&gt;"DIV", NOW()-A46 &gt; 365), D46, "")</f>
        <v/>
      </c>
      <c r="W48" s="39" t="n"/>
      <c r="X48" s="39" t="n"/>
      <c r="Y48" s="38">
        <f>IF(AND( C46="Buy", W46&lt;&gt;"", AA46&lt;&gt;"", B46&lt;&gt;"DIV"), Z46/sum(F46:I46), "")</f>
        <v/>
      </c>
      <c r="Z48" s="39" t="n"/>
      <c r="AA48" s="39" t="n"/>
      <c r="AB48" s="40" t="n"/>
      <c r="AC48" s="50">
        <f>if(B46="DIV", F46,"")</f>
        <v/>
      </c>
      <c r="AD48" s="54" t="inlineStr">
        <is>
          <t>SBI Securities</t>
        </is>
      </c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8" t="n">
        <v>45282</v>
      </c>
      <c r="B49" s="34" t="inlineStr">
        <is>
          <t>NSE</t>
        </is>
      </c>
      <c r="C49" s="34" t="inlineStr">
        <is>
          <t>Buy</t>
        </is>
      </c>
      <c r="D49" s="55" t="n">
        <v>10</v>
      </c>
      <c r="E49" s="49" t="n">
        <v>171.8</v>
      </c>
      <c r="F49" s="56" t="n">
        <v>1730.2</v>
      </c>
      <c r="G49" s="34" t="inlineStr">
        <is>
          <t>~</t>
        </is>
      </c>
      <c r="H49" s="35" t="n">
        <v>1.72</v>
      </c>
      <c r="I49" s="35" t="n">
        <v>10.48</v>
      </c>
      <c r="J49" s="49" t="n">
        <v>262</v>
      </c>
      <c r="K49" s="38">
        <f>IF(AND( C47="Buy", ISBLANK(W47), B47&lt;&gt;"DIV"), L47/sum(F47:I47), "")</f>
        <v/>
      </c>
      <c r="L49" s="39">
        <f>IF(AND( C47="Buy", ISBLANK(W47), B47&lt;&gt;"DIV"), (1-Index!$F$2*2)*((J47*D47)-(E47*D47)), "")</f>
        <v/>
      </c>
      <c r="M49" s="39">
        <f>IF(AND( C47="Buy", ISBLANK(W47), B47&lt;&gt;"DIV"), ((E47*D47)+L47), "")</f>
        <v/>
      </c>
      <c r="N49" s="40">
        <f>IF(AND( C47="Buy", ISBLANK(W47), B47&lt;&gt;"DIV"), D47, "")</f>
        <v/>
      </c>
      <c r="O49" s="38">
        <f>IF(AND( C47="Buy", ISBLANK(W47), B47&lt;&gt;"DIV", NOW()-A47 &lt; 365), P47/sum(F47:I47), "")</f>
        <v/>
      </c>
      <c r="P49" s="39">
        <f>IF(AND( C47="Buy", ISBLANK(W47), B47&lt;&gt;"DIV", NOW()-A47 &lt; 365), (1-Index!$F$2*2)*((J47*D47)-(E47*D47)), "")</f>
        <v/>
      </c>
      <c r="Q49" s="39">
        <f>IF(AND( C47="Buy", ISBLANK(W47), B47&lt;&gt;"DIV", NOW()-A47 &lt; 365), ((E47*D47)+P47), "")</f>
        <v/>
      </c>
      <c r="R49" s="39">
        <f>IF(AND( C47="Buy", ISBLANK(W47), B47&lt;&gt;"DIV", NOW()-A47 &lt; 365), D47, "")</f>
        <v/>
      </c>
      <c r="S49" s="38">
        <f>IF(AND( C47="Buy", ISBLANK(W47), B47&lt;&gt;"DIV", NOW()-A47 &gt; 365), T47/sum(F47:I47), "")</f>
        <v/>
      </c>
      <c r="T49" s="39">
        <f>IF(AND( C47="Buy", ISBLANK(W47), B47&lt;&gt;"DIV", NOW()-A47 &gt; 365), (1-Index!$F$2*2)*((J47*D47)-(E47*D47)), "")</f>
        <v/>
      </c>
      <c r="U49" s="39">
        <f>IF(AND( C47="Buy", ISBLANK(W47), B47&lt;&gt;"DIV", NOW()-A47 &gt; 365), ((E47*D47)+T47), "")</f>
        <v/>
      </c>
      <c r="V49" s="39">
        <f>IF(AND( C47="Buy", ISBLANK(W47), B47&lt;&gt;"DIV", NOW()-A47 &gt; 365), D47, "")</f>
        <v/>
      </c>
      <c r="W49" s="39" t="n"/>
      <c r="X49" s="39" t="n"/>
      <c r="Y49" s="38">
        <f>IF(AND( C47="Buy", W47&lt;&gt;"", AA47&lt;&gt;"", B47&lt;&gt;"DIV"), Z47/sum(F47:I47), "")</f>
        <v/>
      </c>
      <c r="Z49" s="39" t="n"/>
      <c r="AA49" s="39" t="n"/>
      <c r="AB49" s="40" t="n"/>
      <c r="AC49" s="50">
        <f>if(B47="DIV", F47,"")</f>
        <v/>
      </c>
      <c r="AD49" s="54" t="inlineStr">
        <is>
          <t>SBI Securities</t>
        </is>
      </c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8" t="n">
        <v>45278</v>
      </c>
      <c r="B50" s="34" t="inlineStr">
        <is>
          <t>NSE</t>
        </is>
      </c>
      <c r="C50" s="34" t="inlineStr">
        <is>
          <t>Buy</t>
        </is>
      </c>
      <c r="D50" s="55" t="n">
        <v>26</v>
      </c>
      <c r="E50" s="49" t="n">
        <v>174.396923</v>
      </c>
      <c r="F50" s="56" t="n">
        <v>4566.46</v>
      </c>
      <c r="G50" s="34" t="inlineStr">
        <is>
          <t>~</t>
        </is>
      </c>
      <c r="H50" s="35" t="n">
        <v>4.52</v>
      </c>
      <c r="I50" s="35" t="n">
        <v>27.54</v>
      </c>
      <c r="J50" s="49" t="n">
        <v>262</v>
      </c>
      <c r="K50" s="38">
        <f>IF(AND( C48="Buy", ISBLANK(W48), B48&lt;&gt;"DIV"), L48/sum(F48:I48), "")</f>
        <v/>
      </c>
      <c r="L50" s="39">
        <f>IF(AND( C48="Buy", ISBLANK(W48), B48&lt;&gt;"DIV"), (1-Index!$F$2*2)*((J48*D48)-(E48*D48)), "")</f>
        <v/>
      </c>
      <c r="M50" s="39">
        <f>IF(AND( C48="Buy", ISBLANK(W48), B48&lt;&gt;"DIV"), ((E48*D48)+L48), "")</f>
        <v/>
      </c>
      <c r="N50" s="40">
        <f>IF(AND( C48="Buy", ISBLANK(W48), B48&lt;&gt;"DIV"), D48, "")</f>
        <v/>
      </c>
      <c r="O50" s="38">
        <f>IF(AND( C48="Buy", ISBLANK(W48), B48&lt;&gt;"DIV", NOW()-A48 &lt; 365), P48/sum(F48:I48), "")</f>
        <v/>
      </c>
      <c r="P50" s="39">
        <f>IF(AND( C48="Buy", ISBLANK(W48), B48&lt;&gt;"DIV", NOW()-A48 &lt; 365), (1-Index!$F$2*2)*((J48*D48)-(E48*D48)), "")</f>
        <v/>
      </c>
      <c r="Q50" s="39">
        <f>IF(AND( C48="Buy", ISBLANK(W48), B48&lt;&gt;"DIV", NOW()-A48 &lt; 365), ((E48*D48)+P48), "")</f>
        <v/>
      </c>
      <c r="R50" s="39">
        <f>IF(AND( C48="Buy", ISBLANK(W48), B48&lt;&gt;"DIV", NOW()-A48 &lt; 365), D48, "")</f>
        <v/>
      </c>
      <c r="S50" s="38">
        <f>IF(AND( C48="Buy", ISBLANK(W48), B48&lt;&gt;"DIV", NOW()-A48 &gt; 365), T48/sum(F48:I48), "")</f>
        <v/>
      </c>
      <c r="T50" s="39">
        <f>IF(AND( C48="Buy", ISBLANK(W48), B48&lt;&gt;"DIV", NOW()-A48 &gt; 365), (1-Index!$F$2*2)*((J48*D48)-(E48*D48)), "")</f>
        <v/>
      </c>
      <c r="U50" s="39">
        <f>IF(AND( C48="Buy", ISBLANK(W48), B48&lt;&gt;"DIV", NOW()-A48 &gt; 365), ((E48*D48)+T48), "")</f>
        <v/>
      </c>
      <c r="V50" s="39">
        <f>IF(AND( C48="Buy", ISBLANK(W48), B48&lt;&gt;"DIV", NOW()-A48 &gt; 365), D48, "")</f>
        <v/>
      </c>
      <c r="W50" s="39" t="n"/>
      <c r="X50" s="39" t="n"/>
      <c r="Y50" s="38">
        <f>IF(AND( C48="Buy", W48&lt;&gt;"", AA48&lt;&gt;"", B48&lt;&gt;"DIV"), Z48/sum(F48:I48), "")</f>
        <v/>
      </c>
      <c r="Z50" s="39" t="n"/>
      <c r="AA50" s="39" t="n"/>
      <c r="AB50" s="40" t="n"/>
      <c r="AC50" s="50">
        <f>if(B48="DIV", F48,"")</f>
        <v/>
      </c>
      <c r="AD50" s="54" t="inlineStr">
        <is>
          <t>SBI Securities</t>
        </is>
      </c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8" t="n">
        <v>45278</v>
      </c>
      <c r="B51" s="34" t="inlineStr">
        <is>
          <t>NSE</t>
        </is>
      </c>
      <c r="C51" s="34" t="inlineStr">
        <is>
          <t>Buy</t>
        </is>
      </c>
      <c r="D51" s="55" t="n">
        <v>4</v>
      </c>
      <c r="E51" s="49" t="n">
        <v>174.4</v>
      </c>
      <c r="F51" s="56" t="n">
        <v>702.52</v>
      </c>
      <c r="G51" s="34" t="inlineStr">
        <is>
          <t>~</t>
        </is>
      </c>
      <c r="H51" s="35" t="n">
        <v>0.7</v>
      </c>
      <c r="I51" s="35" t="n">
        <v>4.22</v>
      </c>
      <c r="J51" s="49" t="n">
        <v>262</v>
      </c>
      <c r="K51" s="38">
        <f>IF(AND( C49="Buy", ISBLANK(W49), B49&lt;&gt;"DIV"), L49/sum(F49:I49), "")</f>
        <v/>
      </c>
      <c r="L51" s="39">
        <f>IF(AND( C49="Buy", ISBLANK(W49), B49&lt;&gt;"DIV"), (1-Index!$F$2*2)*((J49*D49)-(E49*D49)), "")</f>
        <v/>
      </c>
      <c r="M51" s="39">
        <f>IF(AND( C49="Buy", ISBLANK(W49), B49&lt;&gt;"DIV"), ((E49*D49)+L49), "")</f>
        <v/>
      </c>
      <c r="N51" s="40">
        <f>IF(AND( C49="Buy", ISBLANK(W49), B49&lt;&gt;"DIV"), D49, "")</f>
        <v/>
      </c>
      <c r="O51" s="38">
        <f>IF(AND( C49="Buy", ISBLANK(W49), B49&lt;&gt;"DIV", NOW()-A49 &lt; 365), P49/sum(F49:I49), "")</f>
        <v/>
      </c>
      <c r="P51" s="39">
        <f>IF(AND( C49="Buy", ISBLANK(W49), B49&lt;&gt;"DIV", NOW()-A49 &lt; 365), (1-Index!$F$2*2)*((J49*D49)-(E49*D49)), "")</f>
        <v/>
      </c>
      <c r="Q51" s="39">
        <f>IF(AND( C49="Buy", ISBLANK(W49), B49&lt;&gt;"DIV", NOW()-A49 &lt; 365), ((E49*D49)+P49), "")</f>
        <v/>
      </c>
      <c r="R51" s="39">
        <f>IF(AND( C49="Buy", ISBLANK(W49), B49&lt;&gt;"DIV", NOW()-A49 &lt; 365), D49, "")</f>
        <v/>
      </c>
      <c r="S51" s="38">
        <f>IF(AND( C49="Buy", ISBLANK(W49), B49&lt;&gt;"DIV", NOW()-A49 &gt; 365), T49/sum(F49:I49), "")</f>
        <v/>
      </c>
      <c r="T51" s="39">
        <f>IF(AND( C49="Buy", ISBLANK(W49), B49&lt;&gt;"DIV", NOW()-A49 &gt; 365), (1-Index!$F$2*2)*((J49*D49)-(E49*D49)), "")</f>
        <v/>
      </c>
      <c r="U51" s="39">
        <f>IF(AND( C49="Buy", ISBLANK(W49), B49&lt;&gt;"DIV", NOW()-A49 &gt; 365), ((E49*D49)+T49), "")</f>
        <v/>
      </c>
      <c r="V51" s="39">
        <f>IF(AND( C49="Buy", ISBLANK(W49), B49&lt;&gt;"DIV", NOW()-A49 &gt; 365), D49, "")</f>
        <v/>
      </c>
      <c r="W51" s="39" t="n"/>
      <c r="X51" s="39" t="n"/>
      <c r="Y51" s="38">
        <f>IF(AND( C49="Buy", W49&lt;&gt;"", AA49&lt;&gt;"", B49&lt;&gt;"DIV"), Z49/sum(F49:I49), "")</f>
        <v/>
      </c>
      <c r="Z51" s="39" t="n"/>
      <c r="AA51" s="39" t="n"/>
      <c r="AB51" s="40" t="n"/>
      <c r="AC51" s="50">
        <f>if(B49="DIV", F49,"")</f>
        <v/>
      </c>
      <c r="AD51" s="54" t="inlineStr">
        <is>
          <t>SBI Securities</t>
        </is>
      </c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8" t="n">
        <v>45225</v>
      </c>
      <c r="B52" s="34" t="inlineStr">
        <is>
          <t>NSE</t>
        </is>
      </c>
      <c r="C52" s="34" t="inlineStr">
        <is>
          <t>Buy</t>
        </is>
      </c>
      <c r="D52" s="55" t="n">
        <v>10</v>
      </c>
      <c r="E52" s="49" t="n">
        <v>166.348</v>
      </c>
      <c r="F52" s="56" t="n">
        <v>1675.32</v>
      </c>
      <c r="G52" s="34" t="inlineStr">
        <is>
          <t>~</t>
        </is>
      </c>
      <c r="H52" s="35" t="n">
        <v>1.67</v>
      </c>
      <c r="I52" s="35" t="n">
        <v>10.15</v>
      </c>
      <c r="J52" s="49" t="n">
        <v>262</v>
      </c>
      <c r="K52" s="38">
        <f>IF(AND( C50="Buy", ISBLANK(W50), B50&lt;&gt;"DIV"), (M50/F50)-1, "")</f>
        <v/>
      </c>
      <c r="L52" s="39">
        <f>IF(AND( C50="Buy", ISBLANK(W50), B50&lt;&gt;"DIV"), (1-Index!$F$2*2)*((J50*D50)-(E50*D50)), "")</f>
        <v/>
      </c>
      <c r="M52" s="39">
        <f>IF(AND( C50="Buy", ISBLANK(W50), B50&lt;&gt;"DIV"), ((E50*D50)+L50), "")</f>
        <v/>
      </c>
      <c r="N52" s="40">
        <f>IF(AND( C50="Buy", ISBLANK(W50), B50&lt;&gt;"DIV"), D50, "")</f>
        <v/>
      </c>
      <c r="O52" s="38">
        <f>IF(AND( C50="Buy", ISBLANK(W50), Q50&lt;&gt;"", B50&lt;&gt;"DIV"), (Q50/F50)-1, "")</f>
        <v/>
      </c>
      <c r="P52" s="39">
        <f>IF(AND( C50="Buy", ISBLANK(W50), B50&lt;&gt;"DIV", NOW()-A50 &lt; 365), (1-Index!$F$2*2)*((J50*D50)-(E50*D50)), "")</f>
        <v/>
      </c>
      <c r="Q52" s="39">
        <f>IF(AND( C50="Buy", ISBLANK(W50), B50&lt;&gt;"DIV", NOW()-A50 &lt; 365), ((E50*D50)+P50), "")</f>
        <v/>
      </c>
      <c r="R52" s="39">
        <f>IF(AND( C50="Buy", ISBLANK(W50), B50&lt;&gt;"DIV", NOW()-A50 &lt; 365), D50, "")</f>
        <v/>
      </c>
      <c r="S52" s="38">
        <f>IF(AND( C50="Buy", ISBLANK(W50), U50&lt;&gt;"", B50&lt;&gt;"DIV"), (U50/F50)-1, "")</f>
        <v/>
      </c>
      <c r="T52" s="39">
        <f>IF(AND( C50="Buy", ISBLANK(W50), B50&lt;&gt;"DIV", NOW()-A50 &gt; 365), (J50*D50)-(E50*D50)-(2*sum(H50:I50)), "")</f>
        <v/>
      </c>
      <c r="U52" s="39">
        <f>IF(AND( C50="Buy", ISBLANK(W50), B50&lt;&gt;"DIV", NOW()-A50 &gt; 365), ((E50*D50)+T50), "")</f>
        <v/>
      </c>
      <c r="V52" s="39">
        <f>IF(AND( C50="Buy", ISBLANK(W50), B50&lt;&gt;"DIV", NOW()-A50 &gt; 365), D50, "")</f>
        <v/>
      </c>
      <c r="W52" s="36" t="n">
        <v>237.89</v>
      </c>
      <c r="X52" s="48" t="n">
        <v>45565</v>
      </c>
      <c r="Y52" s="38">
        <f>IF(AND( C50="Buy", W50&lt;&gt;"", AA50&lt;&gt;"", B50&lt;&gt;"DIV"), Z50/sum(F50:I50), "")</f>
        <v/>
      </c>
      <c r="Z52" s="57">
        <f>(1-Index!$F$2*2)*((W50*D50)-(E50*D50))</f>
        <v/>
      </c>
      <c r="AA52" s="57">
        <f>((E50*D50)+Z50)</f>
        <v/>
      </c>
      <c r="AB52" s="58">
        <f>D50</f>
        <v/>
      </c>
      <c r="AC52" s="50">
        <f>if(B50="DIV", F50,"")</f>
        <v/>
      </c>
      <c r="AD52" s="54" t="inlineStr">
        <is>
          <t>SBI Securities</t>
        </is>
      </c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8" t="n">
        <v>45219</v>
      </c>
      <c r="B53" s="34" t="inlineStr">
        <is>
          <t>NSE</t>
        </is>
      </c>
      <c r="C53" s="34" t="inlineStr">
        <is>
          <t>Buy</t>
        </is>
      </c>
      <c r="D53" s="55" t="n">
        <v>20</v>
      </c>
      <c r="E53" s="49" t="n">
        <v>173.1975</v>
      </c>
      <c r="F53" s="56" t="n">
        <v>3488.65</v>
      </c>
      <c r="G53" s="34" t="inlineStr">
        <is>
          <t>~</t>
        </is>
      </c>
      <c r="H53" s="35" t="n">
        <v>3.4</v>
      </c>
      <c r="I53" s="35" t="n">
        <v>21.25</v>
      </c>
      <c r="J53" s="49" t="n">
        <v>262</v>
      </c>
      <c r="K53" s="38">
        <f>IF(AND( C51="Buy", ISBLANK(W51), B51&lt;&gt;"DIV"), (M51/F51)-1, "")</f>
        <v/>
      </c>
      <c r="L53" s="39">
        <f>IF(AND( C51="Buy", ISBLANK(W51), B51&lt;&gt;"DIV"), (1-Index!$F$2*2)*((J51*D51)-(E51*D51)), "")</f>
        <v/>
      </c>
      <c r="M53" s="39">
        <f>IF(AND( C51="Buy", ISBLANK(W51), B51&lt;&gt;"DIV"), ((E51*D51)+L51), "")</f>
        <v/>
      </c>
      <c r="N53" s="40">
        <f>IF(AND( C51="Buy", ISBLANK(W51), B51&lt;&gt;"DIV"), D51, "")</f>
        <v/>
      </c>
      <c r="O53" s="38">
        <f>IF(AND( C51="Buy", ISBLANK(W51), Q51&lt;&gt;"", B51&lt;&gt;"DIV"), (Q51/F51)-1, "")</f>
        <v/>
      </c>
      <c r="P53" s="39">
        <f>IF(AND( C51="Buy", ISBLANK(W51), B51&lt;&gt;"DIV", NOW()-A51 &lt; 365), (1-Index!$F$2*2)*((J51*D51)-(E51*D51)), "")</f>
        <v/>
      </c>
      <c r="Q53" s="39">
        <f>IF(AND( C51="Buy", ISBLANK(W51), B51&lt;&gt;"DIV", NOW()-A51 &lt; 365), ((E51*D51)+P51), "")</f>
        <v/>
      </c>
      <c r="R53" s="39">
        <f>IF(AND( C51="Buy", ISBLANK(W51), B51&lt;&gt;"DIV", NOW()-A51 &lt; 365), D51, "")</f>
        <v/>
      </c>
      <c r="S53" s="38">
        <f>IF(AND( C51="Buy", ISBLANK(W51), U51&lt;&gt;"", B51&lt;&gt;"DIV"), (U51/F51)-1, "")</f>
        <v/>
      </c>
      <c r="T53" s="39">
        <f>IF(AND( C51="Buy", ISBLANK(W51), B51&lt;&gt;"DIV", NOW()-A51 &gt; 365), (J51*D51)-(E51*D51)-(2*sum(H51:I51)), "")</f>
        <v/>
      </c>
      <c r="U53" s="39">
        <f>IF(AND( C51="Buy", ISBLANK(W51), B51&lt;&gt;"DIV", NOW()-A51 &gt; 365), ((E51*D51)+T51), "")</f>
        <v/>
      </c>
      <c r="V53" s="39">
        <f>IF(AND( C51="Buy", ISBLANK(W51), B51&lt;&gt;"DIV", NOW()-A51 &gt; 365), D51, "")</f>
        <v/>
      </c>
      <c r="W53" s="36" t="n">
        <v>237.89</v>
      </c>
      <c r="X53" s="48" t="n">
        <v>45565</v>
      </c>
      <c r="Y53" s="38">
        <f>IF(AND( C51="Buy", W51&lt;&gt;"", AA51&lt;&gt;"", B51&lt;&gt;"DIV"), Z51/sum(F51:I51), "")</f>
        <v/>
      </c>
      <c r="Z53" s="57">
        <f>(1-Index!$F$2*2)*((W51*D51)-(E51*D51))</f>
        <v/>
      </c>
      <c r="AA53" s="57">
        <f>((E51*D51)+Z51)</f>
        <v/>
      </c>
      <c r="AB53" s="58">
        <f>D51</f>
        <v/>
      </c>
      <c r="AC53" s="50">
        <f>if(B51="DIV", F51,"")</f>
        <v/>
      </c>
      <c r="AD53" s="54" t="inlineStr">
        <is>
          <t>SBI Securities</t>
        </is>
      </c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8" t="n">
        <v>45204</v>
      </c>
      <c r="B54" s="34" t="inlineStr">
        <is>
          <t>NSE</t>
        </is>
      </c>
      <c r="C54" s="34" t="inlineStr">
        <is>
          <t>Buy</t>
        </is>
      </c>
      <c r="D54" s="55" t="n">
        <v>10</v>
      </c>
      <c r="E54" s="49" t="n">
        <v>172.198</v>
      </c>
      <c r="F54" s="56" t="n">
        <v>1734.22</v>
      </c>
      <c r="G54" s="34" t="inlineStr">
        <is>
          <t>~</t>
        </is>
      </c>
      <c r="H54" s="35" t="n">
        <v>1.69</v>
      </c>
      <c r="I54" s="35" t="n">
        <v>10.53</v>
      </c>
      <c r="J54" s="49" t="n">
        <v>262</v>
      </c>
      <c r="K54" s="38">
        <f>IF(AND( C52="Buy", ISBLANK(W52), B52&lt;&gt;"DIV"), (M52/F52)-1, "")</f>
        <v/>
      </c>
      <c r="L54" s="39">
        <f>IF(AND( C52="Buy", ISBLANK(W52), B52&lt;&gt;"DIV"), (1-Index!$F$2*2)*((J52*D52)-(E52*D52)), "")</f>
        <v/>
      </c>
      <c r="M54" s="39">
        <f>IF(AND( C52="Buy", ISBLANK(W52), B52&lt;&gt;"DIV"), ((E52*D52)+L52), "")</f>
        <v/>
      </c>
      <c r="N54" s="40">
        <f>IF(AND( C52="Buy", ISBLANK(W52), B52&lt;&gt;"DIV"), D52, "")</f>
        <v/>
      </c>
      <c r="O54" s="38">
        <f>IF(AND( C52="Buy", ISBLANK(W52), Q52&lt;&gt;"", B52&lt;&gt;"DIV"), (Q52/F52)-1, "")</f>
        <v/>
      </c>
      <c r="P54" s="39">
        <f>IF(AND( C52="Buy", ISBLANK(W52), B52&lt;&gt;"DIV", NOW()-A52 &lt; 365), (1-Index!$F$2*2)*((J52*D52)-(E52*D52)), "")</f>
        <v/>
      </c>
      <c r="Q54" s="39">
        <f>IF(AND( C52="Buy", ISBLANK(W52), B52&lt;&gt;"DIV", NOW()-A52 &lt; 365), ((E52*D52)+P52), "")</f>
        <v/>
      </c>
      <c r="R54" s="39">
        <f>IF(AND( C52="Buy", ISBLANK(W52), B52&lt;&gt;"DIV", NOW()-A52 &lt; 365), D52, "")</f>
        <v/>
      </c>
      <c r="S54" s="38">
        <f>IF(AND( C52="Buy", ISBLANK(W52), U52&lt;&gt;"", B52&lt;&gt;"DIV"), (U52/F52)-1, "")</f>
        <v/>
      </c>
      <c r="T54" s="39">
        <f>IF(AND( C52="Buy", ISBLANK(W52), B52&lt;&gt;"DIV", NOW()-A52 &gt; 365), (J52*D52)-(E52*D52)-(2*sum(H52:I52)), "")</f>
        <v/>
      </c>
      <c r="U54" s="39">
        <f>IF(AND( C52="Buy", ISBLANK(W52), B52&lt;&gt;"DIV", NOW()-A52 &gt; 365), ((E52*D52)+T52), "")</f>
        <v/>
      </c>
      <c r="V54" s="39">
        <f>IF(AND( C52="Buy", ISBLANK(W52), B52&lt;&gt;"DIV", NOW()-A52 &gt; 365), D52, "")</f>
        <v/>
      </c>
      <c r="W54" s="36" t="n">
        <v>237.89</v>
      </c>
      <c r="X54" s="48" t="n">
        <v>45565</v>
      </c>
      <c r="Y54" s="38">
        <f>IF(AND( C52="Buy", W52&lt;&gt;"", AA52&lt;&gt;"", B52&lt;&gt;"DIV"), Z52/sum(F52:I52), "")</f>
        <v/>
      </c>
      <c r="Z54" s="57">
        <f>(1-Index!$F$2*2)*((W52*D52)-(E52*D52))</f>
        <v/>
      </c>
      <c r="AA54" s="57">
        <f>((E52*D52)+Z52)</f>
        <v/>
      </c>
      <c r="AB54" s="58">
        <f>D52</f>
        <v/>
      </c>
      <c r="AC54" s="50">
        <f>if(B52="DIV", F52,"")</f>
        <v/>
      </c>
      <c r="AD54" s="54" t="inlineStr">
        <is>
          <t>SBI Securities</t>
        </is>
      </c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8" t="n">
        <v>45191</v>
      </c>
      <c r="B55" s="34" t="inlineStr">
        <is>
          <t>NSE</t>
        </is>
      </c>
      <c r="C55" s="34" t="inlineStr">
        <is>
          <t>Buy</t>
        </is>
      </c>
      <c r="D55" s="55" t="n">
        <v>10</v>
      </c>
      <c r="E55" s="49" t="n">
        <v>180.05</v>
      </c>
      <c r="F55" s="56" t="n">
        <v>1800.5</v>
      </c>
      <c r="G55" s="34" t="inlineStr">
        <is>
          <t>~</t>
        </is>
      </c>
      <c r="H55" s="35" t="n"/>
      <c r="I55" s="35" t="n"/>
      <c r="J55" s="49" t="n">
        <v>262</v>
      </c>
      <c r="K55" s="38">
        <f>IF(AND( C53="Buy", ISBLANK(W53), B53&lt;&gt;"DIV"), (M53/F53)-1, "")</f>
        <v/>
      </c>
      <c r="L55" s="39">
        <f>IF(AND( C53="Buy", ISBLANK(W53), B53&lt;&gt;"DIV"), (1-Index!$F$2*2)*((J53*D53)-(E53*D53)), "")</f>
        <v/>
      </c>
      <c r="M55" s="39">
        <f>IF(AND( C53="Buy", ISBLANK(W53), B53&lt;&gt;"DIV"), ((E53*D53)+L53), "")</f>
        <v/>
      </c>
      <c r="N55" s="40">
        <f>IF(AND( C53="Buy", ISBLANK(W53), B53&lt;&gt;"DIV"), D53, "")</f>
        <v/>
      </c>
      <c r="O55" s="38">
        <f>IF(AND( C53="Buy", ISBLANK(W53), Q53&lt;&gt;"", B53&lt;&gt;"DIV"), (Q53/F53)-1, "")</f>
        <v/>
      </c>
      <c r="P55" s="39">
        <f>IF(AND( C53="Buy", ISBLANK(W53), B53&lt;&gt;"DIV", NOW()-A53 &lt; 365), (1-Index!$F$2*2)*((J53*D53)-(E53*D53)), "")</f>
        <v/>
      </c>
      <c r="Q55" s="39">
        <f>IF(AND( C53="Buy", ISBLANK(W53), B53&lt;&gt;"DIV", NOW()-A53 &lt; 365), ((E53*D53)+P53), "")</f>
        <v/>
      </c>
      <c r="R55" s="39">
        <f>IF(AND( C53="Buy", ISBLANK(W53), B53&lt;&gt;"DIV", NOW()-A53 &lt; 365), D53, "")</f>
        <v/>
      </c>
      <c r="S55" s="38">
        <f>IF(AND( C53="Buy", ISBLANK(W53), U53&lt;&gt;"", B53&lt;&gt;"DIV"), (U53/F53)-1, "")</f>
        <v/>
      </c>
      <c r="T55" s="39">
        <f>IF(AND( C53="Buy", ISBLANK(W53), B53&lt;&gt;"DIV", NOW()-A53 &gt; 365), (J53*D53)-(E53*D53)-(2*sum(H53:I53)), "")</f>
        <v/>
      </c>
      <c r="U55" s="39">
        <f>IF(AND( C53="Buy", ISBLANK(W53), B53&lt;&gt;"DIV", NOW()-A53 &gt; 365), ((E53*D53)+T53), "")</f>
        <v/>
      </c>
      <c r="V55" s="39">
        <f>IF(AND( C53="Buy", ISBLANK(W53), B53&lt;&gt;"DIV", NOW()-A53 &gt; 365), D53, "")</f>
        <v/>
      </c>
      <c r="W55" s="36" t="n">
        <v>237.89</v>
      </c>
      <c r="X55" s="48" t="n">
        <v>45565</v>
      </c>
      <c r="Y55" s="38">
        <f>IF(AND( C53="Buy", W53&lt;&gt;"", AA53&lt;&gt;"", B53&lt;&gt;"DIV"), Z53/sum(F53:I53), "")</f>
        <v/>
      </c>
      <c r="Z55" s="57">
        <f>(1-Index!$F$2*2)*((W53*D53)-(E53*D53))</f>
        <v/>
      </c>
      <c r="AA55" s="57">
        <f>((E53*D53)+Z53)</f>
        <v/>
      </c>
      <c r="AB55" s="58">
        <f>D53</f>
        <v/>
      </c>
      <c r="AC55" s="50">
        <f>if(B53="DIV", F53,"")</f>
        <v/>
      </c>
      <c r="AD55" s="54" t="inlineStr">
        <is>
          <t>Zerodha</t>
        </is>
      </c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8" t="n">
        <v>45189</v>
      </c>
      <c r="B56" s="34" t="inlineStr">
        <is>
          <t>NSE</t>
        </is>
      </c>
      <c r="C56" s="34" t="inlineStr">
        <is>
          <t>Buy</t>
        </is>
      </c>
      <c r="D56" s="55" t="n">
        <v>10</v>
      </c>
      <c r="E56" s="49" t="n">
        <v>183</v>
      </c>
      <c r="F56" s="56" t="n">
        <v>1830</v>
      </c>
      <c r="G56" s="34" t="inlineStr">
        <is>
          <t>~</t>
        </is>
      </c>
      <c r="H56" s="35" t="n"/>
      <c r="I56" s="35" t="n"/>
      <c r="J56" s="49" t="n">
        <v>262</v>
      </c>
      <c r="K56" s="38">
        <f>IF(AND( C54="Buy", ISBLANK(W54), B54&lt;&gt;"DIV"), (M54/F54)-1, "")</f>
        <v/>
      </c>
      <c r="L56" s="39">
        <f>IF(AND( C54="Buy", ISBLANK(W54), B54&lt;&gt;"DIV"), (1-Index!$F$2*2)*((J54*D54)-(E54*D54)), "")</f>
        <v/>
      </c>
      <c r="M56" s="39">
        <f>IF(AND( C54="Buy", ISBLANK(W54), B54&lt;&gt;"DIV"), ((E54*D54)+L54), "")</f>
        <v/>
      </c>
      <c r="N56" s="40">
        <f>IF(AND( C54="Buy", ISBLANK(W54), B54&lt;&gt;"DIV"), D54, "")</f>
        <v/>
      </c>
      <c r="O56" s="38">
        <f>IF(AND( C54="Buy", ISBLANK(W54), Q54&lt;&gt;"", B54&lt;&gt;"DIV"), (Q54/F54)-1, "")</f>
        <v/>
      </c>
      <c r="P56" s="39">
        <f>IF(AND( C54="Buy", ISBLANK(W54), B54&lt;&gt;"DIV", NOW()-A54 &lt; 365), (1-Index!$F$2*2)*((J54*D54)-(E54*D54)), "")</f>
        <v/>
      </c>
      <c r="Q56" s="39">
        <f>IF(AND( C54="Buy", ISBLANK(W54), B54&lt;&gt;"DIV", NOW()-A54 &lt; 365), ((E54*D54)+P54), "")</f>
        <v/>
      </c>
      <c r="R56" s="39">
        <f>IF(AND( C54="Buy", ISBLANK(W54), B54&lt;&gt;"DIV", NOW()-A54 &lt; 365), D54, "")</f>
        <v/>
      </c>
      <c r="S56" s="38">
        <f>IF(AND( C54="Buy", ISBLANK(W54), U54&lt;&gt;"", B54&lt;&gt;"DIV"), (U54/F54)-1, "")</f>
        <v/>
      </c>
      <c r="T56" s="39">
        <f>IF(AND( C54="Buy", ISBLANK(W54), B54&lt;&gt;"DIV", NOW()-A54 &gt; 365), (J54*D54)-(E54*D54)-(2*sum(H54:I54)), "")</f>
        <v/>
      </c>
      <c r="U56" s="39">
        <f>IF(AND( C54="Buy", ISBLANK(W54), B54&lt;&gt;"DIV", NOW()-A54 &gt; 365), ((E54*D54)+T54), "")</f>
        <v/>
      </c>
      <c r="V56" s="39">
        <f>IF(AND( C54="Buy", ISBLANK(W54), B54&lt;&gt;"DIV", NOW()-A54 &gt; 365), D54, "")</f>
        <v/>
      </c>
      <c r="W56" s="36" t="n">
        <v>237.89</v>
      </c>
      <c r="X56" s="48" t="n">
        <v>45565</v>
      </c>
      <c r="Y56" s="38">
        <f>IF(AND( C54="Buy", W54&lt;&gt;"", AA54&lt;&gt;"", B54&lt;&gt;"DIV"), Z54/sum(F54:I54), "")</f>
        <v/>
      </c>
      <c r="Z56" s="57">
        <f>(1-Index!$F$2*2)*((W54*D54)-(E54*D54))</f>
        <v/>
      </c>
      <c r="AA56" s="57">
        <f>((E54*D54)+Z54)</f>
        <v/>
      </c>
      <c r="AB56" s="58">
        <f>D54</f>
        <v/>
      </c>
      <c r="AC56" s="50">
        <f>if(B54="DIV", F54,"")</f>
        <v/>
      </c>
      <c r="AD56" s="54" t="inlineStr">
        <is>
          <t>Zerodha</t>
        </is>
      </c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8" t="n">
        <v>45183</v>
      </c>
      <c r="B57" s="34" t="inlineStr">
        <is>
          <t>NSE</t>
        </is>
      </c>
      <c r="C57" s="34" t="inlineStr">
        <is>
          <t>Buy</t>
        </is>
      </c>
      <c r="D57" s="55" t="n">
        <v>10</v>
      </c>
      <c r="E57" s="49" t="n">
        <v>179.554</v>
      </c>
      <c r="F57" s="56" t="n">
        <v>1808.26</v>
      </c>
      <c r="G57" s="34" t="inlineStr">
        <is>
          <t>~</t>
        </is>
      </c>
      <c r="H57" s="35" t="n">
        <v>1.8</v>
      </c>
      <c r="I57" s="35" t="n">
        <v>10.96</v>
      </c>
      <c r="J57" s="49" t="n">
        <v>262</v>
      </c>
      <c r="K57" s="38">
        <f>IF(AND( C55="Buy", ISBLANK(W55), B55&lt;&gt;"DIV"), (M55/F55)-1, "")</f>
        <v/>
      </c>
      <c r="L57" s="39">
        <f>IF(AND( C55="Buy", ISBLANK(W55), B55&lt;&gt;"DIV"), (1-Index!$F$2*2)*((J55*D55)-(E55*D55)), "")</f>
        <v/>
      </c>
      <c r="M57" s="39">
        <f>IF(AND( C55="Buy", ISBLANK(W55), B55&lt;&gt;"DIV"), ((E55*D55)+L55), "")</f>
        <v/>
      </c>
      <c r="N57" s="40">
        <f>IF(AND( C55="Buy", ISBLANK(W55), B55&lt;&gt;"DIV"), D55, "")</f>
        <v/>
      </c>
      <c r="O57" s="38">
        <f>IF(AND( C55="Buy", ISBLANK(W55), Q55&lt;&gt;"", B55&lt;&gt;"DIV"), (Q55/F55)-1, "")</f>
        <v/>
      </c>
      <c r="P57" s="39">
        <f>IF(AND( C55="Buy", ISBLANK(W55), B55&lt;&gt;"DIV", NOW()-A55 &lt; 365), (1-Index!$F$2*2)*((J55*D55)-(E55*D55)), "")</f>
        <v/>
      </c>
      <c r="Q57" s="39">
        <f>IF(AND( C55="Buy", ISBLANK(W55), B55&lt;&gt;"DIV", NOW()-A55 &lt; 365), ((E55*D55)+P55), "")</f>
        <v/>
      </c>
      <c r="R57" s="39">
        <f>IF(AND( C55="Buy", ISBLANK(W55), B55&lt;&gt;"DIV", NOW()-A55 &lt; 365), D55, "")</f>
        <v/>
      </c>
      <c r="S57" s="38">
        <f>IF(AND( C55="Buy", ISBLANK(W55), U55&lt;&gt;"", B55&lt;&gt;"DIV"), (U55/F55)-1, "")</f>
        <v/>
      </c>
      <c r="T57" s="39">
        <f>IF(AND( C55="Buy", ISBLANK(W55), B55&lt;&gt;"DIV", NOW()-A55 &gt; 365), (J55*D55)-(E55*D55)-(2*sum(H55:I55)), "")</f>
        <v/>
      </c>
      <c r="U57" s="39">
        <f>IF(AND( C55="Buy", ISBLANK(W55), B55&lt;&gt;"DIV", NOW()-A55 &gt; 365), ((E55*D55)+T55), "")</f>
        <v/>
      </c>
      <c r="V57" s="39">
        <f>IF(AND( C55="Buy", ISBLANK(W55), B55&lt;&gt;"DIV", NOW()-A55 &gt; 365), D55, "")</f>
        <v/>
      </c>
      <c r="W57" s="36" t="n">
        <v>237.89</v>
      </c>
      <c r="X57" s="48" t="n">
        <v>45565</v>
      </c>
      <c r="Y57" s="38">
        <f>IF(AND( C55="Buy", W55&lt;&gt;"", AA55&lt;&gt;"", B55&lt;&gt;"DIV"), Z55/sum(F55:I55), "")</f>
        <v/>
      </c>
      <c r="Z57" s="57">
        <f>(1-Index!$F$2*2)*((W55*D55)-(E55*D55))</f>
        <v/>
      </c>
      <c r="AA57" s="57">
        <f>((E55*D55)+Z55)</f>
        <v/>
      </c>
      <c r="AB57" s="58">
        <f>D55</f>
        <v/>
      </c>
      <c r="AC57" s="50">
        <f>if(B55="DIV", F55,"")</f>
        <v/>
      </c>
      <c r="AD57" s="54" t="inlineStr">
        <is>
          <t>SBI Securities</t>
        </is>
      </c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8" t="n">
        <v>45180</v>
      </c>
      <c r="B58" s="34" t="inlineStr">
        <is>
          <t>NSE</t>
        </is>
      </c>
      <c r="C58" s="34" t="inlineStr">
        <is>
          <t>Buy</t>
        </is>
      </c>
      <c r="D58" s="55" t="n">
        <v>10</v>
      </c>
      <c r="E58" s="49" t="n">
        <v>184.452</v>
      </c>
      <c r="F58" s="56" t="n">
        <v>1857.58</v>
      </c>
      <c r="G58" s="34" t="inlineStr">
        <is>
          <t>~</t>
        </is>
      </c>
      <c r="H58" s="35" t="n">
        <v>1.84</v>
      </c>
      <c r="I58" s="35" t="n">
        <v>11.24</v>
      </c>
      <c r="J58" s="49" t="n">
        <v>262</v>
      </c>
      <c r="K58" s="38">
        <f>IF(AND( C56="Buy", ISBLANK(W56), B56&lt;&gt;"DIV"), (M56/F56)-1, "")</f>
        <v/>
      </c>
      <c r="L58" s="39">
        <f>IF(AND( C56="Buy", ISBLANK(W56), B56&lt;&gt;"DIV"), (1-Index!$F$2*2)*((J56*D56)-(E56*D56)), "")</f>
        <v/>
      </c>
      <c r="M58" s="39">
        <f>IF(AND( C56="Buy", ISBLANK(W56), B56&lt;&gt;"DIV"), ((E56*D56)+L56), "")</f>
        <v/>
      </c>
      <c r="N58" s="40">
        <f>IF(AND( C56="Buy", ISBLANK(W56), B56&lt;&gt;"DIV"), D56, "")</f>
        <v/>
      </c>
      <c r="O58" s="38">
        <f>IF(AND( C56="Buy", ISBLANK(W56), Q56&lt;&gt;"", B56&lt;&gt;"DIV"), (Q56/F56)-1, "")</f>
        <v/>
      </c>
      <c r="P58" s="39">
        <f>IF(AND( C56="Buy", ISBLANK(W56), B56&lt;&gt;"DIV", NOW()-A56 &lt; 365), (1-Index!$F$2*2)*((J56*D56)-(E56*D56)), "")</f>
        <v/>
      </c>
      <c r="Q58" s="39">
        <f>IF(AND( C56="Buy", ISBLANK(W56), B56&lt;&gt;"DIV", NOW()-A56 &lt; 365), ((E56*D56)+P56), "")</f>
        <v/>
      </c>
      <c r="R58" s="39">
        <f>IF(AND( C56="Buy", ISBLANK(W56), B56&lt;&gt;"DIV", NOW()-A56 &lt; 365), D56, "")</f>
        <v/>
      </c>
      <c r="S58" s="38">
        <f>IF(AND( C56="Buy", ISBLANK(W56), U56&lt;&gt;"", B56&lt;&gt;"DIV"), (U56/F56)-1, "")</f>
        <v/>
      </c>
      <c r="T58" s="39">
        <f>IF(AND( C56="Buy", ISBLANK(W56), B56&lt;&gt;"DIV", NOW()-A56 &gt; 365), (J56*D56)-(E56*D56)-(2*sum(H56:I56)), "")</f>
        <v/>
      </c>
      <c r="U58" s="39">
        <f>IF(AND( C56="Buy", ISBLANK(W56), B56&lt;&gt;"DIV", NOW()-A56 &gt; 365), ((E56*D56)+T56), "")</f>
        <v/>
      </c>
      <c r="V58" s="39">
        <f>IF(AND( C56="Buy", ISBLANK(W56), B56&lt;&gt;"DIV", NOW()-A56 &gt; 365), D56, "")</f>
        <v/>
      </c>
      <c r="W58" s="36" t="n">
        <v>237.88</v>
      </c>
      <c r="X58" s="48" t="n">
        <v>45565</v>
      </c>
      <c r="Y58" s="38">
        <f>IF(AND( C56="Buy", W56&lt;&gt;"", AA56&lt;&gt;"", B56&lt;&gt;"DIV"), Z56/sum(F56:I56), "")</f>
        <v/>
      </c>
      <c r="Z58" s="57">
        <f>(1-Index!$F$2*2)*((W56*D56)-(E56*D56))</f>
        <v/>
      </c>
      <c r="AA58" s="57">
        <f>((E56*D56)+Z56)</f>
        <v/>
      </c>
      <c r="AB58" s="58">
        <f>D56</f>
        <v/>
      </c>
      <c r="AC58" s="50">
        <f>if(B56="DIV", F56,"")</f>
        <v/>
      </c>
      <c r="AD58" s="54" t="inlineStr">
        <is>
          <t>SBI Securities</t>
        </is>
      </c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8" t="n">
        <v>45114</v>
      </c>
      <c r="B59" s="34" t="inlineStr">
        <is>
          <t>DIV</t>
        </is>
      </c>
      <c r="C59" s="34" t="inlineStr">
        <is>
          <t>Buy</t>
        </is>
      </c>
      <c r="D59" s="55" t="n">
        <v>140</v>
      </c>
      <c r="E59" s="49" t="n">
        <v>2.6</v>
      </c>
      <c r="F59" s="56" t="n">
        <v>364</v>
      </c>
      <c r="G59" s="34" t="inlineStr">
        <is>
          <t>Annual-Dividend of Rs.2.6000/- per share on Ex-Date: 07-JUL-2023</t>
        </is>
      </c>
      <c r="H59" s="35" t="n">
        <v>0</v>
      </c>
      <c r="I59" s="35" t="n">
        <v>0</v>
      </c>
      <c r="J59" s="49" t="n">
        <v>262</v>
      </c>
      <c r="K59" s="38">
        <f>IF(AND( C57="Buy", ISBLANK(W57), B57&lt;&gt;"DIV"), (M57/F57)-1, "")</f>
        <v/>
      </c>
      <c r="L59" s="39">
        <f>IF(AND( C57="Buy", ISBLANK(W57), B57&lt;&gt;"DIV"), (1-Index!$F$2*2)*((J57*D57)-(E57*D57)), "")</f>
        <v/>
      </c>
      <c r="M59" s="39">
        <f>IF(AND( C57="Buy", ISBLANK(W57), B57&lt;&gt;"DIV"), ((E57*D57)+L57), "")</f>
        <v/>
      </c>
      <c r="N59" s="40">
        <f>IF(AND( C57="Buy", ISBLANK(W57), B57&lt;&gt;"DIV"), D57, "")</f>
        <v/>
      </c>
      <c r="O59" s="38">
        <f>IF(AND( C57="Buy", ISBLANK(W57), Q57&lt;&gt;"", B57&lt;&gt;"DIV"), (Q57/F57)-1, "")</f>
        <v/>
      </c>
      <c r="P59" s="39">
        <f>IF(AND( C57="Buy", ISBLANK(W57), B57&lt;&gt;"DIV", NOW()-A57 &lt; 365), (1-Index!$F$2*2)*((J57*D57)-(E57*D57)), "")</f>
        <v/>
      </c>
      <c r="Q59" s="39">
        <f>IF(AND( C57="Buy", ISBLANK(W57), B57&lt;&gt;"DIV", NOW()-A57 &lt; 365), ((E57*D57)+P57), "")</f>
        <v/>
      </c>
      <c r="R59" s="39">
        <f>IF(AND( C57="Buy", ISBLANK(W57), B57&lt;&gt;"DIV", NOW()-A57 &lt; 365), D57, "")</f>
        <v/>
      </c>
      <c r="S59" s="38">
        <f>IF(AND( C57="Buy", ISBLANK(W57), U57&lt;&gt;"", B57&lt;&gt;"DIV"), (U57/F57)-1, "")</f>
        <v/>
      </c>
      <c r="T59" s="39">
        <f>IF(AND( C57="Buy", ISBLANK(W57), B57&lt;&gt;"DIV", NOW()-A57 &gt; 365), (J57*D57)-(E57*D57)-(2*sum(H57:I57)), "")</f>
        <v/>
      </c>
      <c r="U59" s="39">
        <f>IF(AND( C57="Buy", ISBLANK(W57), B57&lt;&gt;"DIV", NOW()-A57 &gt; 365), ((E57*D57)+T57), "")</f>
        <v/>
      </c>
      <c r="V59" s="39">
        <f>IF(AND( C57="Buy", ISBLANK(W57), B57&lt;&gt;"DIV", NOW()-A57 &gt; 365), D57, "")</f>
        <v/>
      </c>
      <c r="W59" s="39" t="n"/>
      <c r="X59" s="39" t="n"/>
      <c r="Y59" s="38">
        <f>IF(AND( C57="Buy", W57&lt;&gt;"", AA57&lt;&gt;"", B57&lt;&gt;"DIV"), Z57/sum(F57:I57), "")</f>
        <v/>
      </c>
      <c r="Z59" s="39" t="n"/>
      <c r="AA59" s="39" t="n"/>
      <c r="AB59" s="40" t="n"/>
      <c r="AC59" s="50">
        <f>if(B57="DIV", F57,"")</f>
        <v/>
      </c>
      <c r="AD59" s="54" t="inlineStr">
        <is>
          <t>SBI Securities</t>
        </is>
      </c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8" t="n">
        <v>45034</v>
      </c>
      <c r="B60" s="34" t="inlineStr">
        <is>
          <t>NSE</t>
        </is>
      </c>
      <c r="C60" s="34" t="inlineStr">
        <is>
          <t>Buy</t>
        </is>
      </c>
      <c r="D60" s="55" t="n">
        <v>10</v>
      </c>
      <c r="E60" s="49" t="n">
        <v>138.7</v>
      </c>
      <c r="F60" s="56" t="n">
        <v>1396.8</v>
      </c>
      <c r="G60" s="34" t="inlineStr">
        <is>
          <t>~</t>
        </is>
      </c>
      <c r="H60" s="35" t="n">
        <v>1.39</v>
      </c>
      <c r="I60" s="35" t="n">
        <v>8.41</v>
      </c>
      <c r="J60" s="49" t="n">
        <v>262</v>
      </c>
      <c r="K60" s="38">
        <f>IF(AND( C58="Buy", ISBLANK(W58), B58&lt;&gt;"DIV"), (M58/F58)-1, "")</f>
        <v/>
      </c>
      <c r="L60" s="39">
        <f>IF(AND( C58="Buy", ISBLANK(W58), B58&lt;&gt;"DIV"), (1-Index!$F$2*2)*((J58*D58)-(E58*D58)), "")</f>
        <v/>
      </c>
      <c r="M60" s="39">
        <f>IF(AND( C58="Buy", ISBLANK(W58), B58&lt;&gt;"DIV"), ((E58*D58)+L58), "")</f>
        <v/>
      </c>
      <c r="N60" s="40">
        <f>IF(AND( C58="Buy", ISBLANK(W58), B58&lt;&gt;"DIV"), D58, "")</f>
        <v/>
      </c>
      <c r="O60" s="38">
        <f>IF(AND( C58="Buy", ISBLANK(W58), Q58&lt;&gt;"", B58&lt;&gt;"DIV"), (Q58/F58)-1, "")</f>
        <v/>
      </c>
      <c r="P60" s="39">
        <f>IF(AND( C58="Buy", ISBLANK(W58), B58&lt;&gt;"DIV", NOW()-A58 &lt; 365), (1-Index!$F$2*2)*((J58*D58)-(E58*D58)), "")</f>
        <v/>
      </c>
      <c r="Q60" s="39">
        <f>IF(AND( C58="Buy", ISBLANK(W58), B58&lt;&gt;"DIV", NOW()-A58 &lt; 365), ((E58*D58)+P58), "")</f>
        <v/>
      </c>
      <c r="R60" s="39">
        <f>IF(AND( C58="Buy", ISBLANK(W58), B58&lt;&gt;"DIV", NOW()-A58 &lt; 365), D58, "")</f>
        <v/>
      </c>
      <c r="S60" s="38">
        <f>IF(AND( C58="Buy", ISBLANK(W58), U58&lt;&gt;"", B58&lt;&gt;"DIV"), (U58/F58)-1, "")</f>
        <v/>
      </c>
      <c r="T60" s="39">
        <f>IF(AND( C58="Buy", ISBLANK(W58), B58&lt;&gt;"DIV", NOW()-A58 &gt; 365), (J58*D58)-(E58*D58)-(2*sum(H58:I58)), "")</f>
        <v/>
      </c>
      <c r="U60" s="39">
        <f>IF(AND( C58="Buy", ISBLANK(W58), B58&lt;&gt;"DIV", NOW()-A58 &gt; 365), ((E58*D58)+T58), "")</f>
        <v/>
      </c>
      <c r="V60" s="39">
        <f>IF(AND( C58="Buy", ISBLANK(W58), B58&lt;&gt;"DIV", NOW()-A58 &gt; 365), D58, "")</f>
        <v/>
      </c>
      <c r="W60" s="36" t="n">
        <v>237.88</v>
      </c>
      <c r="X60" s="48" t="n">
        <v>45565</v>
      </c>
      <c r="Y60" s="38">
        <f>IF(AND( C58="Buy", W58&lt;&gt;"", AA58&lt;&gt;"", B58&lt;&gt;"DIV"), Z58/sum(F58:I58), "")</f>
        <v/>
      </c>
      <c r="Z60" s="57">
        <f>(1-Index!$F$2*2)*((W58*D58)-(E58*D58))</f>
        <v/>
      </c>
      <c r="AA60" s="57">
        <f>((E58*D58)+Z58)</f>
        <v/>
      </c>
      <c r="AB60" s="58">
        <f>D58</f>
        <v/>
      </c>
      <c r="AC60" s="50">
        <f>if(B58="DIV", F58,"")</f>
        <v/>
      </c>
      <c r="AD60" s="54" t="inlineStr">
        <is>
          <t>SBI Securities</t>
        </is>
      </c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8" t="n">
        <v>44950</v>
      </c>
      <c r="B61" s="34" t="inlineStr">
        <is>
          <t>NSE</t>
        </is>
      </c>
      <c r="C61" s="34" t="inlineStr">
        <is>
          <t>Buy</t>
        </is>
      </c>
      <c r="D61" s="55" t="n">
        <v>10</v>
      </c>
      <c r="E61" s="49" t="n">
        <v>147.295</v>
      </c>
      <c r="F61" s="56" t="n">
        <v>1483.45</v>
      </c>
      <c r="G61" s="34" t="inlineStr">
        <is>
          <t>~</t>
        </is>
      </c>
      <c r="H61" s="35" t="n">
        <v>1.46</v>
      </c>
      <c r="I61" s="35" t="n">
        <v>8.99</v>
      </c>
      <c r="J61" s="49" t="n">
        <v>262</v>
      </c>
      <c r="K61" s="38">
        <f>IF(AND( C59="Buy", ISBLANK(W59), B59&lt;&gt;"DIV"), (M59/F59)-1, "")</f>
        <v/>
      </c>
      <c r="L61" s="39">
        <f>IF(AND( C59="Buy", ISBLANK(W59), B59&lt;&gt;"DIV"), (1-Index!$F$2*2)*((J59*D59)-(E59*D59)), "")</f>
        <v/>
      </c>
      <c r="M61" s="39">
        <f>IF(AND( C59="Buy", ISBLANK(W59), B59&lt;&gt;"DIV"), ((E59*D59)+L59), "")</f>
        <v/>
      </c>
      <c r="N61" s="40">
        <f>IF(AND( C59="Buy", ISBLANK(W59), B59&lt;&gt;"DIV"), D59, "")</f>
        <v/>
      </c>
      <c r="O61" s="38">
        <f>IF(AND( C59="Buy", ISBLANK(W59), Q59&lt;&gt;"", B59&lt;&gt;"DIV"), (Q59/F59)-1, "")</f>
        <v/>
      </c>
      <c r="P61" s="39">
        <f>IF(AND( C59="Buy", ISBLANK(W59), B59&lt;&gt;"DIV", NOW()-A59 &lt; 365), (1-Index!$F$2*2)*((J59*D59)-(E59*D59)), "")</f>
        <v/>
      </c>
      <c r="Q61" s="39">
        <f>IF(AND( C59="Buy", ISBLANK(W59), B59&lt;&gt;"DIV", NOW()-A59 &lt; 365), ((E59*D59)+P59), "")</f>
        <v/>
      </c>
      <c r="R61" s="39">
        <f>IF(AND( C59="Buy", ISBLANK(W59), B59&lt;&gt;"DIV", NOW()-A59 &lt; 365), D59, "")</f>
        <v/>
      </c>
      <c r="S61" s="38">
        <f>IF(AND( C59="Buy", ISBLANK(W59), U59&lt;&gt;"", B59&lt;&gt;"DIV"), (U59/F59)-1, "")</f>
        <v/>
      </c>
      <c r="T61" s="39">
        <f>IF(AND( C59="Buy", ISBLANK(W59), B59&lt;&gt;"DIV", NOW()-A59 &gt; 365), (J59*D59)-(E59*D59)-(2*sum(H59:I59)), "")</f>
        <v/>
      </c>
      <c r="U61" s="39">
        <f>IF(AND( C59="Buy", ISBLANK(W59), B59&lt;&gt;"DIV", NOW()-A59 &gt; 365), ((E59*D59)+T59), "")</f>
        <v/>
      </c>
      <c r="V61" s="39">
        <f>IF(AND( C59="Buy", ISBLANK(W59), B59&lt;&gt;"DIV", NOW()-A59 &gt; 365), D59, "")</f>
        <v/>
      </c>
      <c r="W61" s="36" t="n">
        <v>237.88</v>
      </c>
      <c r="X61" s="48" t="n">
        <v>45565</v>
      </c>
      <c r="Y61" s="38">
        <f>IF(AND( C59="Buy", W59&lt;&gt;"", AA59&lt;&gt;"", B59&lt;&gt;"DIV"), Z59/sum(F59:I59), "")</f>
        <v/>
      </c>
      <c r="Z61" s="57">
        <f>(1-Index!$F$2*2)*((W59*D59)-(E59*D59))</f>
        <v/>
      </c>
      <c r="AA61" s="57">
        <f>((E59*D59)+Z59)</f>
        <v/>
      </c>
      <c r="AB61" s="58">
        <f>D59</f>
        <v/>
      </c>
      <c r="AC61" s="50">
        <f>if(B59="DIV", F59,"")</f>
        <v/>
      </c>
      <c r="AD61" s="54" t="inlineStr">
        <is>
          <t>SBI Securities</t>
        </is>
      </c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8" t="n">
        <v>44890</v>
      </c>
      <c r="B62" s="34" t="inlineStr">
        <is>
          <t>NSE</t>
        </is>
      </c>
      <c r="C62" s="34" t="inlineStr">
        <is>
          <t>Buy</t>
        </is>
      </c>
      <c r="D62" s="55" t="n">
        <v>20</v>
      </c>
      <c r="E62" s="49" t="n">
        <v>147.5025</v>
      </c>
      <c r="F62" s="56" t="n">
        <v>2970.95</v>
      </c>
      <c r="G62" s="34" t="inlineStr">
        <is>
          <t>~</t>
        </is>
      </c>
      <c r="H62" s="35" t="n">
        <v>2.96</v>
      </c>
      <c r="I62" s="35" t="n">
        <v>17.99</v>
      </c>
      <c r="J62" s="49" t="n">
        <v>262</v>
      </c>
      <c r="K62" s="38">
        <f>IF(AND( C60="Buy", ISBLANK(W60), B60&lt;&gt;"DIV"), (M60/F60)-1, "")</f>
        <v/>
      </c>
      <c r="L62" s="39">
        <f>IF(AND( C60="Buy", ISBLANK(W60), B60&lt;&gt;"DIV"), (1-Index!$F$2*2)*((J60*D60)-(E60*D60)), "")</f>
        <v/>
      </c>
      <c r="M62" s="39">
        <f>IF(AND( C60="Buy", ISBLANK(W60), B60&lt;&gt;"DIV"), ((E60*D60)+L60), "")</f>
        <v/>
      </c>
      <c r="N62" s="40">
        <f>IF(AND( C60="Buy", ISBLANK(W60), B60&lt;&gt;"DIV"), D60, "")</f>
        <v/>
      </c>
      <c r="O62" s="38">
        <f>IF(AND( C60="Buy", ISBLANK(W60), Q60&lt;&gt;"", B60&lt;&gt;"DIV"), (Q60/F60)-1, "")</f>
        <v/>
      </c>
      <c r="P62" s="39">
        <f>IF(AND( C60="Buy", ISBLANK(W60), B60&lt;&gt;"DIV", NOW()-A60 &lt; 365), (1-Index!$F$2*2)*((J60*D60)-(E60*D60)), "")</f>
        <v/>
      </c>
      <c r="Q62" s="39">
        <f>IF(AND( C60="Buy", ISBLANK(W60), B60&lt;&gt;"DIV", NOW()-A60 &lt; 365), ((E60*D60)+P60), "")</f>
        <v/>
      </c>
      <c r="R62" s="39">
        <f>IF(AND( C60="Buy", ISBLANK(W60), B60&lt;&gt;"DIV", NOW()-A60 &lt; 365), D60, "")</f>
        <v/>
      </c>
      <c r="S62" s="38">
        <f>IF(AND( C60="Buy", ISBLANK(W60), U60&lt;&gt;"", B60&lt;&gt;"DIV"), (U60/F60)-1, "")</f>
        <v/>
      </c>
      <c r="T62" s="39">
        <f>IF(AND( C60="Buy", ISBLANK(W60), B60&lt;&gt;"DIV", NOW()-A60 &gt; 365), (J60*D60)-(E60*D60)-(2*sum(H60:I60)), "")</f>
        <v/>
      </c>
      <c r="U62" s="39">
        <f>IF(AND( C60="Buy", ISBLANK(W60), B60&lt;&gt;"DIV", NOW()-A60 &gt; 365), ((E60*D60)+T60), "")</f>
        <v/>
      </c>
      <c r="V62" s="39">
        <f>IF(AND( C60="Buy", ISBLANK(W60), B60&lt;&gt;"DIV", NOW()-A60 &gt; 365), D60, "")</f>
        <v/>
      </c>
      <c r="W62" s="36" t="n">
        <v>237.88</v>
      </c>
      <c r="X62" s="48" t="n">
        <v>45565</v>
      </c>
      <c r="Y62" s="38">
        <f>IF(AND( C60="Buy", W60&lt;&gt;"", AA60&lt;&gt;"", B60&lt;&gt;"DIV"), Z60/sum(F60:I60), "")</f>
        <v/>
      </c>
      <c r="Z62" s="57">
        <f>(1-Index!$F$2*2)*((W60*D60)-(E60*D60))</f>
        <v/>
      </c>
      <c r="AA62" s="57">
        <f>((E60*D60)+Z60)</f>
        <v/>
      </c>
      <c r="AB62" s="58">
        <f>D60</f>
        <v/>
      </c>
      <c r="AC62" s="50">
        <f>if(B60="DIV", F60,"")</f>
        <v/>
      </c>
      <c r="AD62" s="54" t="inlineStr">
        <is>
          <t>SBI Securities</t>
        </is>
      </c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8" t="n">
        <v>44756</v>
      </c>
      <c r="B63" s="34" t="inlineStr">
        <is>
          <t>DIV</t>
        </is>
      </c>
      <c r="C63" s="34" t="inlineStr">
        <is>
          <t>Buy</t>
        </is>
      </c>
      <c r="D63" s="55" t="n">
        <v>100</v>
      </c>
      <c r="E63" s="49" t="n">
        <v>1</v>
      </c>
      <c r="F63" s="56" t="n">
        <v>100</v>
      </c>
      <c r="G63" s="34" t="inlineStr">
        <is>
          <t>Annual-Dividend of Rs.1.0000/- per share on Ex-Date: 14-JUL-2022</t>
        </is>
      </c>
      <c r="H63" s="35" t="n">
        <v>0</v>
      </c>
      <c r="I63" s="35" t="n">
        <v>0</v>
      </c>
      <c r="J63" s="49" t="n">
        <v>262</v>
      </c>
      <c r="K63" s="38">
        <f>IF(AND( C61="Buy", ISBLANK(W61), B61&lt;&gt;"DIV"), (M61/F61)-1, "")</f>
        <v/>
      </c>
      <c r="L63" s="39">
        <f>IF(AND( C61="Buy", ISBLANK(W61), B61&lt;&gt;"DIV"), (1-Index!$F$2*2)*((J61*D61)-(E61*D61)), "")</f>
        <v/>
      </c>
      <c r="M63" s="39">
        <f>IF(AND( C61="Buy", ISBLANK(W61), B61&lt;&gt;"DIV"), ((E61*D61)+L61), "")</f>
        <v/>
      </c>
      <c r="N63" s="40">
        <f>IF(AND( C61="Buy", ISBLANK(W61), B61&lt;&gt;"DIV"), D61, "")</f>
        <v/>
      </c>
      <c r="O63" s="38">
        <f>IF(AND( C61="Buy", ISBLANK(W61), Q61&lt;&gt;"", B61&lt;&gt;"DIV"), (Q61/F61)-1, "")</f>
        <v/>
      </c>
      <c r="P63" s="39">
        <f>IF(AND( C61="Buy", ISBLANK(W61), B61&lt;&gt;"DIV", NOW()-A61 &lt; 365), (1-Index!$F$2*2)*((J61*D61)-(E61*D61)), "")</f>
        <v/>
      </c>
      <c r="Q63" s="39">
        <f>IF(AND( C61="Buy", ISBLANK(W61), B61&lt;&gt;"DIV", NOW()-A61 &lt; 365), ((E61*D61)+P61), "")</f>
        <v/>
      </c>
      <c r="R63" s="39">
        <f>IF(AND( C61="Buy", ISBLANK(W61), B61&lt;&gt;"DIV", NOW()-A61 &lt; 365), D61, "")</f>
        <v/>
      </c>
      <c r="S63" s="38">
        <f>IF(AND( C61="Buy", ISBLANK(W61), U61&lt;&gt;"", B61&lt;&gt;"DIV"), (U61/F61)-1, "")</f>
        <v/>
      </c>
      <c r="T63" s="39">
        <f>IF(AND( C61="Buy", ISBLANK(W61), B61&lt;&gt;"DIV", NOW()-A61 &gt; 365), (J61*D61)-(E61*D61)-(2*sum(H61:I61)), "")</f>
        <v/>
      </c>
      <c r="U63" s="39">
        <f>IF(AND( C61="Buy", ISBLANK(W61), B61&lt;&gt;"DIV", NOW()-A61 &gt; 365), ((E61*D61)+T61), "")</f>
        <v/>
      </c>
      <c r="V63" s="39">
        <f>IF(AND( C61="Buy", ISBLANK(W61), B61&lt;&gt;"DIV", NOW()-A61 &gt; 365), D61, "")</f>
        <v/>
      </c>
      <c r="W63" s="39" t="n"/>
      <c r="X63" s="39" t="n"/>
      <c r="Y63" s="38">
        <f>IF(AND( C61="Buy", W61&lt;&gt;"", AA61&lt;&gt;"", B61&lt;&gt;"DIV"), Z61/sum(F61:I61), "")</f>
        <v/>
      </c>
      <c r="Z63" s="39" t="n"/>
      <c r="AA63" s="39" t="n"/>
      <c r="AB63" s="40" t="n"/>
      <c r="AC63" s="50">
        <f>if(B61="DIV", F61,"")</f>
        <v/>
      </c>
      <c r="AD63" s="54" t="inlineStr">
        <is>
          <t>SBI Securities</t>
        </is>
      </c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8" t="n">
        <v>44405</v>
      </c>
      <c r="B64" s="34" t="inlineStr">
        <is>
          <t>NSE</t>
        </is>
      </c>
      <c r="C64" s="34" t="inlineStr">
        <is>
          <t>Buy</t>
        </is>
      </c>
      <c r="D64" s="55" t="n">
        <v>100</v>
      </c>
      <c r="E64" s="49" t="n">
        <v>120.9976</v>
      </c>
      <c r="F64" s="56" t="n">
        <v>12186.24</v>
      </c>
      <c r="G64" s="34" t="inlineStr">
        <is>
          <t>~</t>
        </is>
      </c>
      <c r="H64" s="35" t="n">
        <v>12.09</v>
      </c>
      <c r="I64" s="35" t="n">
        <v>74.15000000000001</v>
      </c>
      <c r="J64" s="49" t="n">
        <v>262</v>
      </c>
      <c r="K64" s="38">
        <f>IF(AND( C62="Buy", ISBLANK(W62), B62&lt;&gt;"DIV"), (M62/F62)-1, "")</f>
        <v/>
      </c>
      <c r="L64" s="39">
        <f>IF(AND( C62="Buy", ISBLANK(W62), B62&lt;&gt;"DIV"), (1-Index!$F$2*2)*((J62*D62)-(E62*D62)), "")</f>
        <v/>
      </c>
      <c r="M64" s="39">
        <f>IF(AND( C62="Buy", ISBLANK(W62), B62&lt;&gt;"DIV"), ((E62*D62)+L62), "")</f>
        <v/>
      </c>
      <c r="N64" s="40">
        <f>IF(AND( C62="Buy", ISBLANK(W62), B62&lt;&gt;"DIV"), D62, "")</f>
        <v/>
      </c>
      <c r="O64" s="38">
        <f>IF(AND( C62="Buy", ISBLANK(W62), Q62&lt;&gt;"", B62&lt;&gt;"DIV"), (Q62/F62)-1, "")</f>
        <v/>
      </c>
      <c r="P64" s="39">
        <f>IF(AND( C62="Buy", ISBLANK(W62), B62&lt;&gt;"DIV", NOW()-A62 &lt; 365), (1-Index!$F$2*2)*((J62*D62)-(E62*D62)), "")</f>
        <v/>
      </c>
      <c r="Q64" s="39">
        <f>IF(AND( C62="Buy", ISBLANK(W62), B62&lt;&gt;"DIV", NOW()-A62 &lt; 365), ((E62*D62)+P62), "")</f>
        <v/>
      </c>
      <c r="R64" s="39">
        <f>IF(AND( C62="Buy", ISBLANK(W62), B62&lt;&gt;"DIV", NOW()-A62 &lt; 365), D62, "")</f>
        <v/>
      </c>
      <c r="S64" s="38">
        <f>IF(AND( C62="Buy", ISBLANK(W62), U62&lt;&gt;"", B62&lt;&gt;"DIV"), (U62/F62)-1, "")</f>
        <v/>
      </c>
      <c r="T64" s="39">
        <f>IF(AND( C62="Buy", ISBLANK(W62), B62&lt;&gt;"DIV", NOW()-A62 &gt; 365), (J62*D62)-(E62*D62)-(2*sum(H62:I62)), "")</f>
        <v/>
      </c>
      <c r="U64" s="39">
        <f>IF(AND( C62="Buy", ISBLANK(W62), B62&lt;&gt;"DIV", NOW()-A62 &gt; 365), ((E62*D62)+T62), "")</f>
        <v/>
      </c>
      <c r="V64" s="39">
        <f>IF(AND( C62="Buy", ISBLANK(W62), B62&lt;&gt;"DIV", NOW()-A62 &gt; 365), D62, "")</f>
        <v/>
      </c>
      <c r="W64" s="36" t="n">
        <v>237.89</v>
      </c>
      <c r="X64" s="48" t="n">
        <v>45565</v>
      </c>
      <c r="Y64" s="38">
        <f>IF(AND( C62="Buy", W62&lt;&gt;"", AA62&lt;&gt;"", B62&lt;&gt;"DIV"), Z62/sum(F62:I62), "")</f>
        <v/>
      </c>
      <c r="Z64" s="57">
        <f>(1-Index!$F$2*2)*((W62*D62)-(E62*D62))</f>
        <v/>
      </c>
      <c r="AA64" s="57">
        <f>((E62*D62)+Z62)</f>
        <v/>
      </c>
      <c r="AB64" s="58">
        <f>D62</f>
        <v/>
      </c>
      <c r="AC64" s="50">
        <f>if(B62="DIV", F62,"")</f>
        <v/>
      </c>
      <c r="AD64" s="54" t="inlineStr">
        <is>
          <t>SBI Securities</t>
        </is>
      </c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8" t="n">
        <v>44230</v>
      </c>
      <c r="B65" s="34" t="inlineStr">
        <is>
          <t>NSE</t>
        </is>
      </c>
      <c r="C65" s="34" t="inlineStr">
        <is>
          <t>Sell</t>
        </is>
      </c>
      <c r="D65" s="55" t="n">
        <v>100</v>
      </c>
      <c r="E65" s="49" t="n">
        <v>132.0407</v>
      </c>
      <c r="F65" s="56" t="n">
        <v>13297.07</v>
      </c>
      <c r="G65" s="34" t="inlineStr">
        <is>
          <t>~</t>
        </is>
      </c>
      <c r="H65" s="35" t="n">
        <v>13.38</v>
      </c>
      <c r="I65" s="35" t="n">
        <v>79.55</v>
      </c>
      <c r="J65" s="49" t="n">
        <v>262</v>
      </c>
      <c r="K65" s="38">
        <f>IF(AND( C63="Buy", ISBLANK(W63), B63&lt;&gt;"DIV"), (M63/F63)-1, "")</f>
        <v/>
      </c>
      <c r="L65" s="39">
        <f>IF(AND( C63="Buy", ISBLANK(W63), B63&lt;&gt;"DIV"), (1-Index!$F$2*2)*((J63*D63)-(E63*D63)), "")</f>
        <v/>
      </c>
      <c r="M65" s="39">
        <f>IF(AND( C63="Buy", ISBLANK(W63), B63&lt;&gt;"DIV"), ((E63*D63)+L63), "")</f>
        <v/>
      </c>
      <c r="N65" s="40">
        <f>IF(AND( C63="Buy", ISBLANK(W63), B63&lt;&gt;"DIV"), D63, "")</f>
        <v/>
      </c>
      <c r="O65" s="38">
        <f>IF(AND( C63="Buy", ISBLANK(W63), Q63&lt;&gt;"", B63&lt;&gt;"DIV"), (Q63/F63)-1, "")</f>
        <v/>
      </c>
      <c r="P65" s="39">
        <f>IF(AND( C63="Buy", ISBLANK(W63), B63&lt;&gt;"DIV", NOW()-A63 &lt; 365), (1-Index!$F$2*2)*((J63*D63)-(E63*D63)), "")</f>
        <v/>
      </c>
      <c r="Q65" s="39">
        <f>IF(AND( C63="Buy", ISBLANK(W63), B63&lt;&gt;"DIV", NOW()-A63 &lt; 365), ((E63*D63)+P63), "")</f>
        <v/>
      </c>
      <c r="R65" s="39">
        <f>IF(AND( C63="Buy", ISBLANK(W63), B63&lt;&gt;"DIV", NOW()-A63 &lt; 365), D63, "")</f>
        <v/>
      </c>
      <c r="S65" s="38">
        <f>IF(AND( C63="Buy", ISBLANK(W63), U63&lt;&gt;"", B63&lt;&gt;"DIV"), (U63/F63)-1, "")</f>
        <v/>
      </c>
      <c r="T65" s="39">
        <f>IF(AND( C63="Buy", ISBLANK(W63), B63&lt;&gt;"DIV", NOW()-A63 &gt; 365), (J63*D63)-(E63*D63)-(2*sum(H63:I63)), "")</f>
        <v/>
      </c>
      <c r="U65" s="39">
        <f>IF(AND( C63="Buy", ISBLANK(W63), B63&lt;&gt;"DIV", NOW()-A63 &gt; 365), ((E63*D63)+T63), "")</f>
        <v/>
      </c>
      <c r="V65" s="39">
        <f>IF(AND( C63="Buy", ISBLANK(W63), B63&lt;&gt;"DIV", NOW()-A63 &gt; 365), D63, "")</f>
        <v/>
      </c>
      <c r="W65" s="36" t="n"/>
      <c r="X65" s="42" t="n"/>
      <c r="Y65" s="38">
        <f>IF(AND( C63="Buy", W63&lt;&gt;"", AA63&lt;&gt;"", B63&lt;&gt;"DIV"), Z63/sum(F63:I63), "")</f>
        <v/>
      </c>
      <c r="Z65" s="43" t="n"/>
      <c r="AA65" s="43" t="n"/>
      <c r="AB65" s="44" t="n"/>
      <c r="AC65" s="45" t="n"/>
      <c r="AD65" s="54" t="inlineStr">
        <is>
          <t>SBI Securities</t>
        </is>
      </c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8" t="n">
        <v>44230</v>
      </c>
      <c r="B66" s="34" t="inlineStr">
        <is>
          <t>NSE</t>
        </is>
      </c>
      <c r="C66" s="34" t="inlineStr">
        <is>
          <t>Sell</t>
        </is>
      </c>
      <c r="D66" s="55" t="n">
        <v>100</v>
      </c>
      <c r="E66" s="49" t="n">
        <v>132.9398</v>
      </c>
      <c r="F66" s="56" t="n">
        <v>13386.98</v>
      </c>
      <c r="G66" s="34" t="inlineStr">
        <is>
          <t>~</t>
        </is>
      </c>
      <c r="H66" s="35" t="n">
        <v>13.47</v>
      </c>
      <c r="I66" s="35" t="n">
        <v>79.55</v>
      </c>
      <c r="J66" s="49" t="n">
        <v>262</v>
      </c>
      <c r="K66" s="38">
        <f>IF(AND( C64="Buy", ISBLANK(W64), B64&lt;&gt;"DIV"), (M64/F64)-1, "")</f>
        <v/>
      </c>
      <c r="L66" s="39">
        <f>IF(AND( C64="Buy", ISBLANK(W64), B64&lt;&gt;"DIV"), (1-Index!$F$2*2)*((J64*D64)-(E64*D64)), "")</f>
        <v/>
      </c>
      <c r="M66" s="39">
        <f>IF(AND( C64="Buy", ISBLANK(W64), B64&lt;&gt;"DIV"), ((E64*D64)+L64), "")</f>
        <v/>
      </c>
      <c r="N66" s="40">
        <f>IF(AND( C64="Buy", ISBLANK(W64), B64&lt;&gt;"DIV"), D64, "")</f>
        <v/>
      </c>
      <c r="O66" s="38">
        <f>IF(AND( C64="Buy", ISBLANK(W64), Q64&lt;&gt;"", B64&lt;&gt;"DIV"), (Q64/F64)-1, "")</f>
        <v/>
      </c>
      <c r="P66" s="39">
        <f>IF(AND( C64="Buy", ISBLANK(W64), B64&lt;&gt;"DIV", NOW()-A64 &lt; 365), (1-Index!$F$2*2)*((J64*D64)-(E64*D64)), "")</f>
        <v/>
      </c>
      <c r="Q66" s="39">
        <f>IF(AND( C64="Buy", ISBLANK(W64), B64&lt;&gt;"DIV", NOW()-A64 &lt; 365), ((E64*D64)+P64), "")</f>
        <v/>
      </c>
      <c r="R66" s="39">
        <f>IF(AND( C64="Buy", ISBLANK(W64), B64&lt;&gt;"DIV", NOW()-A64 &lt; 365), D64, "")</f>
        <v/>
      </c>
      <c r="S66" s="38">
        <f>IF(AND( C64="Buy", ISBLANK(W64), U64&lt;&gt;"", B64&lt;&gt;"DIV"), (U64/F64)-1, "")</f>
        <v/>
      </c>
      <c r="T66" s="39">
        <f>IF(AND( C64="Buy", ISBLANK(W64), B64&lt;&gt;"DIV", NOW()-A64 &gt; 365), (J64*D64)-(E64*D64)-(2*sum(H64:I64)), "")</f>
        <v/>
      </c>
      <c r="U66" s="39">
        <f>IF(AND( C64="Buy", ISBLANK(W64), B64&lt;&gt;"DIV", NOW()-A64 &gt; 365), ((E64*D64)+T64), "")</f>
        <v/>
      </c>
      <c r="V66" s="39">
        <f>IF(AND( C64="Buy", ISBLANK(W64), B64&lt;&gt;"DIV", NOW()-A64 &gt; 365), D64, "")</f>
        <v/>
      </c>
      <c r="W66" s="43" t="n"/>
      <c r="X66" s="42" t="n"/>
      <c r="Y66" s="38">
        <f>IF(AND( C64="Buy", W64&lt;&gt;"", AA64&lt;&gt;"", B64&lt;&gt;"DIV"), Z64/sum(F64:I64), "")</f>
        <v/>
      </c>
      <c r="Z66" s="43" t="n"/>
      <c r="AA66" s="43" t="n"/>
      <c r="AB66" s="44" t="n"/>
      <c r="AC66" s="45" t="n"/>
      <c r="AD66" s="54" t="inlineStr">
        <is>
          <t>SBI Securities</t>
        </is>
      </c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8" t="n">
        <v>44229</v>
      </c>
      <c r="B67" s="34" t="inlineStr">
        <is>
          <t>NSE</t>
        </is>
      </c>
      <c r="C67" s="34" t="inlineStr">
        <is>
          <t>Sell</t>
        </is>
      </c>
      <c r="D67" s="55" t="n">
        <v>200</v>
      </c>
      <c r="E67" s="49" t="n">
        <v>127.44895</v>
      </c>
      <c r="F67" s="56" t="n">
        <v>25669.8</v>
      </c>
      <c r="G67" s="34" t="inlineStr">
        <is>
          <t>~</t>
        </is>
      </c>
      <c r="H67" s="35" t="n">
        <v>25.84</v>
      </c>
      <c r="I67" s="35" t="n">
        <v>154.37</v>
      </c>
      <c r="J67" s="49" t="n">
        <v>262</v>
      </c>
      <c r="K67" s="38">
        <f>IF(AND( C65="Buy", ISBLANK(W65), B65&lt;&gt;"DIV"), (M65/F65)-1, "")</f>
        <v/>
      </c>
      <c r="L67" s="39">
        <f>IF(AND( C65="Buy", ISBLANK(W65), B65&lt;&gt;"DIV"), (1-Index!$F$2*2)*((J65*D65)-(E65*D65)), "")</f>
        <v/>
      </c>
      <c r="M67" s="39">
        <f>IF(AND( C65="Buy", ISBLANK(W65), B65&lt;&gt;"DIV"), ((E65*D65)+L65), "")</f>
        <v/>
      </c>
      <c r="N67" s="40">
        <f>IF(AND( C65="Buy", ISBLANK(W65), B65&lt;&gt;"DIV"), D65, "")</f>
        <v/>
      </c>
      <c r="O67" s="38">
        <f>IF(AND( C65="Buy", ISBLANK(W65), Q65&lt;&gt;"", B65&lt;&gt;"DIV"), (Q65/F65)-1, "")</f>
        <v/>
      </c>
      <c r="P67" s="39">
        <f>IF(AND( C65="Buy", ISBLANK(W65), B65&lt;&gt;"DIV", NOW()-A65 &lt; 365), (1-Index!$F$2*2)*((J65*D65)-(E65*D65)), "")</f>
        <v/>
      </c>
      <c r="Q67" s="39">
        <f>IF(AND( C65="Buy", ISBLANK(W65), B65&lt;&gt;"DIV", NOW()-A65 &lt; 365), ((E65*D65)+P65), "")</f>
        <v/>
      </c>
      <c r="R67" s="39">
        <f>IF(AND( C65="Buy", ISBLANK(W65), B65&lt;&gt;"DIV", NOW()-A65 &lt; 365), D65, "")</f>
        <v/>
      </c>
      <c r="S67" s="38">
        <f>IF(AND( C65="Buy", ISBLANK(W65), U65&lt;&gt;"", B65&lt;&gt;"DIV"), (U65/F65)-1, "")</f>
        <v/>
      </c>
      <c r="T67" s="39">
        <f>IF(AND( C65="Buy", ISBLANK(W65), B65&lt;&gt;"DIV", NOW()-A65 &gt; 365), (J65*D65)-(E65*D65)-(2*sum(H65:I65)), "")</f>
        <v/>
      </c>
      <c r="U67" s="39">
        <f>IF(AND( C65="Buy", ISBLANK(W65), B65&lt;&gt;"DIV", NOW()-A65 &gt; 365), ((E65*D65)+T65), "")</f>
        <v/>
      </c>
      <c r="V67" s="39">
        <f>IF(AND( C65="Buy", ISBLANK(W65), B65&lt;&gt;"DIV", NOW()-A65 &gt; 365), D65, "")</f>
        <v/>
      </c>
      <c r="W67" s="43" t="n"/>
      <c r="X67" s="42" t="n"/>
      <c r="Y67" s="38">
        <f>IF(AND( C65="Buy", W65&lt;&gt;"", AA65&lt;&gt;"", B65&lt;&gt;"DIV"), Z65/sum(F65:I65), "")</f>
        <v/>
      </c>
      <c r="Z67" s="43" t="n"/>
      <c r="AA67" s="43" t="n"/>
      <c r="AB67" s="44" t="n"/>
      <c r="AC67" s="45" t="n"/>
      <c r="AD67" s="54" t="inlineStr">
        <is>
          <t>SBI Securities</t>
        </is>
      </c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8" t="n">
        <v>44228</v>
      </c>
      <c r="B68" s="34" t="inlineStr">
        <is>
          <t>NSE</t>
        </is>
      </c>
      <c r="C68" s="34" t="inlineStr">
        <is>
          <t>Sell</t>
        </is>
      </c>
      <c r="D68" s="55" t="n">
        <v>300</v>
      </c>
      <c r="E68" s="49" t="n">
        <v>120.103933</v>
      </c>
      <c r="F68" s="56" t="n">
        <v>36286.17</v>
      </c>
      <c r="G68" s="34" t="inlineStr">
        <is>
          <t>~</t>
        </is>
      </c>
      <c r="H68" s="35" t="n">
        <v>36.54</v>
      </c>
      <c r="I68" s="35" t="n">
        <v>217.28</v>
      </c>
      <c r="J68" s="49" t="n">
        <v>262</v>
      </c>
      <c r="K68" s="38">
        <f>IF(AND( C66="Buy", ISBLANK(W66), B66&lt;&gt;"DIV"), (M66/F66)-1, "")</f>
        <v/>
      </c>
      <c r="L68" s="39">
        <f>IF(AND( C66="Buy", ISBLANK(W66), B66&lt;&gt;"DIV"), (1-Index!$F$2*2)*((J66*D66)-(E66*D66)), "")</f>
        <v/>
      </c>
      <c r="M68" s="39">
        <f>IF(AND( C66="Buy", ISBLANK(W66), B66&lt;&gt;"DIV"), ((E66*D66)+L66), "")</f>
        <v/>
      </c>
      <c r="N68" s="40">
        <f>IF(AND( C66="Buy", ISBLANK(W66), B66&lt;&gt;"DIV"), D66, "")</f>
        <v/>
      </c>
      <c r="O68" s="38">
        <f>IF(AND( C66="Buy", ISBLANK(W66), Q66&lt;&gt;"", B66&lt;&gt;"DIV"), (Q66/F66)-1, "")</f>
        <v/>
      </c>
      <c r="P68" s="39">
        <f>IF(AND( C66="Buy", ISBLANK(W66), B66&lt;&gt;"DIV", NOW()-A66 &lt; 365), (1-Index!$F$2*2)*((J66*D66)-(E66*D66)), "")</f>
        <v/>
      </c>
      <c r="Q68" s="39">
        <f>IF(AND( C66="Buy", ISBLANK(W66), B66&lt;&gt;"DIV", NOW()-A66 &lt; 365), ((E66*D66)+P66), "")</f>
        <v/>
      </c>
      <c r="R68" s="39">
        <f>IF(AND( C66="Buy", ISBLANK(W66), B66&lt;&gt;"DIV", NOW()-A66 &lt; 365), D66, "")</f>
        <v/>
      </c>
      <c r="S68" s="38">
        <f>IF(AND( C66="Buy", ISBLANK(W66), U66&lt;&gt;"", B66&lt;&gt;"DIV"), (U66/F66)-1, "")</f>
        <v/>
      </c>
      <c r="T68" s="39">
        <f>IF(AND( C66="Buy", ISBLANK(W66), B66&lt;&gt;"DIV", NOW()-A66 &gt; 365), (J66*D66)-(E66*D66)-(2*sum(H66:I66)), "")</f>
        <v/>
      </c>
      <c r="U68" s="39">
        <f>IF(AND( C66="Buy", ISBLANK(W66), B66&lt;&gt;"DIV", NOW()-A66 &gt; 365), ((E66*D66)+T66), "")</f>
        <v/>
      </c>
      <c r="V68" s="39">
        <f>IF(AND( C66="Buy", ISBLANK(W66), B66&lt;&gt;"DIV", NOW()-A66 &gt; 365), D66, "")</f>
        <v/>
      </c>
      <c r="W68" s="43" t="n"/>
      <c r="X68" s="42" t="n"/>
      <c r="Y68" s="38">
        <f>IF(AND( C66="Buy", W66&lt;&gt;"", AA66&lt;&gt;"", B66&lt;&gt;"DIV"), Z66/sum(F66:I66), "")</f>
        <v/>
      </c>
      <c r="Z68" s="43" t="n"/>
      <c r="AA68" s="43" t="n"/>
      <c r="AB68" s="44" t="n"/>
      <c r="AC68" s="45" t="n"/>
      <c r="AD68" s="54" t="inlineStr">
        <is>
          <t>SBI Securities</t>
        </is>
      </c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8" t="n">
        <v>44211</v>
      </c>
      <c r="B69" s="34" t="inlineStr">
        <is>
          <t>NSE</t>
        </is>
      </c>
      <c r="C69" s="34" t="inlineStr">
        <is>
          <t>Sell</t>
        </is>
      </c>
      <c r="D69" s="55" t="n">
        <v>300</v>
      </c>
      <c r="E69" s="49" t="n">
        <v>119.238667</v>
      </c>
      <c r="F69" s="56" t="n">
        <v>36020.61</v>
      </c>
      <c r="G69" s="34" t="inlineStr">
        <is>
          <t>~</t>
        </is>
      </c>
      <c r="H69" s="35" t="n">
        <v>36</v>
      </c>
      <c r="I69" s="35" t="n">
        <v>213.4</v>
      </c>
      <c r="J69" s="49" t="n">
        <v>262</v>
      </c>
      <c r="K69" s="38">
        <f>IF(AND( C67="Buy", ISBLANK(W67), B67&lt;&gt;"DIV"), (M67/F67)-1, "")</f>
        <v/>
      </c>
      <c r="L69" s="39">
        <f>IF(AND( C67="Buy", ISBLANK(W67), B67&lt;&gt;"DIV"), (1-Index!$F$2*2)*((J67*D67)-(E67*D67)), "")</f>
        <v/>
      </c>
      <c r="M69" s="39">
        <f>IF(AND( C67="Buy", ISBLANK(W67), B67&lt;&gt;"DIV"), ((E67*D67)+L67), "")</f>
        <v/>
      </c>
      <c r="N69" s="40">
        <f>IF(AND( C67="Buy", ISBLANK(W67), B67&lt;&gt;"DIV"), D67, "")</f>
        <v/>
      </c>
      <c r="O69" s="38">
        <f>IF(AND( C67="Buy", ISBLANK(W67), Q67&lt;&gt;"", B67&lt;&gt;"DIV"), (Q67/F67)-1, "")</f>
        <v/>
      </c>
      <c r="P69" s="39">
        <f>IF(AND( C67="Buy", ISBLANK(W67), B67&lt;&gt;"DIV", NOW()-A67 &lt; 365), (1-Index!$F$2*2)*((J67*D67)-(E67*D67)), "")</f>
        <v/>
      </c>
      <c r="Q69" s="39">
        <f>IF(AND( C67="Buy", ISBLANK(W67), B67&lt;&gt;"DIV", NOW()-A67 &lt; 365), ((E67*D67)+P67), "")</f>
        <v/>
      </c>
      <c r="R69" s="39">
        <f>IF(AND( C67="Buy", ISBLANK(W67), B67&lt;&gt;"DIV", NOW()-A67 &lt; 365), D67, "")</f>
        <v/>
      </c>
      <c r="S69" s="38">
        <f>IF(AND( C67="Buy", ISBLANK(W67), U67&lt;&gt;"", B67&lt;&gt;"DIV"), (U67/F67)-1, "")</f>
        <v/>
      </c>
      <c r="T69" s="39">
        <f>IF(AND( C67="Buy", ISBLANK(W67), B67&lt;&gt;"DIV", NOW()-A67 &gt; 365), (J67*D67)-(E67*D67)-(2*sum(H67:I67)), "")</f>
        <v/>
      </c>
      <c r="U69" s="39">
        <f>IF(AND( C67="Buy", ISBLANK(W67), B67&lt;&gt;"DIV", NOW()-A67 &gt; 365), ((E67*D67)+T67), "")</f>
        <v/>
      </c>
      <c r="V69" s="39">
        <f>IF(AND( C67="Buy", ISBLANK(W67), B67&lt;&gt;"DIV", NOW()-A67 &gt; 365), D67, "")</f>
        <v/>
      </c>
      <c r="W69" s="43" t="n"/>
      <c r="X69" s="42" t="n"/>
      <c r="Y69" s="38">
        <f>IF(AND( C67="Buy", W67&lt;&gt;"", AA67&lt;&gt;"", B67&lt;&gt;"DIV"), Z67/sum(F67:I67), "")</f>
        <v/>
      </c>
      <c r="Z69" s="43" t="n"/>
      <c r="AA69" s="43" t="n"/>
      <c r="AB69" s="44" t="n"/>
      <c r="AC69" s="45" t="n"/>
      <c r="AD69" s="54" t="inlineStr">
        <is>
          <t>SBI Securities</t>
        </is>
      </c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8" t="n">
        <v>44204</v>
      </c>
      <c r="B70" s="34" t="inlineStr">
        <is>
          <t>NSE</t>
        </is>
      </c>
      <c r="C70" s="34" t="inlineStr">
        <is>
          <t>Sell</t>
        </is>
      </c>
      <c r="D70" s="55" t="n">
        <v>350</v>
      </c>
      <c r="E70" s="49" t="n">
        <v>111.770971</v>
      </c>
      <c r="F70" s="56" t="n">
        <v>39396.35</v>
      </c>
      <c r="G70" s="34" t="inlineStr">
        <is>
          <t>~</t>
        </is>
      </c>
      <c r="H70" s="35" t="n">
        <v>39.62</v>
      </c>
      <c r="I70" s="35" t="n">
        <v>236.54</v>
      </c>
      <c r="J70" s="49" t="n">
        <v>262</v>
      </c>
      <c r="K70" s="38">
        <f>IF(AND( C68="Buy", ISBLANK(W68), B68&lt;&gt;"DIV"), (M68/F68)-1, "")</f>
        <v/>
      </c>
      <c r="L70" s="39">
        <f>IF(AND( C68="Buy", ISBLANK(W68), B68&lt;&gt;"DIV"), (1-Index!$F$2*2)*((J68*D68)-(E68*D68)), "")</f>
        <v/>
      </c>
      <c r="M70" s="39">
        <f>IF(AND( C68="Buy", ISBLANK(W68), B68&lt;&gt;"DIV"), ((E68*D68)+L68), "")</f>
        <v/>
      </c>
      <c r="N70" s="40">
        <f>IF(AND( C68="Buy", ISBLANK(W68), B68&lt;&gt;"DIV"), D68, "")</f>
        <v/>
      </c>
      <c r="O70" s="38">
        <f>IF(AND( C68="Buy", ISBLANK(W68), Q68&lt;&gt;"", B68&lt;&gt;"DIV"), (Q68/F68)-1, "")</f>
        <v/>
      </c>
      <c r="P70" s="39">
        <f>IF(AND( C68="Buy", ISBLANK(W68), B68&lt;&gt;"DIV", NOW()-A68 &lt; 365), (1-Index!$F$2*2)*((J68*D68)-(E68*D68)), "")</f>
        <v/>
      </c>
      <c r="Q70" s="39">
        <f>IF(AND( C68="Buy", ISBLANK(W68), B68&lt;&gt;"DIV", NOW()-A68 &lt; 365), ((E68*D68)+P68), "")</f>
        <v/>
      </c>
      <c r="R70" s="39">
        <f>IF(AND( C68="Buy", ISBLANK(W68), B68&lt;&gt;"DIV", NOW()-A68 &lt; 365), D68, "")</f>
        <v/>
      </c>
      <c r="S70" s="38">
        <f>IF(AND( C68="Buy", ISBLANK(W68), U68&lt;&gt;"", B68&lt;&gt;"DIV"), (U68/F68)-1, "")</f>
        <v/>
      </c>
      <c r="T70" s="39">
        <f>IF(AND( C68="Buy", ISBLANK(W68), B68&lt;&gt;"DIV", NOW()-A68 &gt; 365), (J68*D68)-(E68*D68)-(2*sum(H68:I68)), "")</f>
        <v/>
      </c>
      <c r="U70" s="39">
        <f>IF(AND( C68="Buy", ISBLANK(W68), B68&lt;&gt;"DIV", NOW()-A68 &gt; 365), ((E68*D68)+T68), "")</f>
        <v/>
      </c>
      <c r="V70" s="39">
        <f>IF(AND( C68="Buy", ISBLANK(W68), B68&lt;&gt;"DIV", NOW()-A68 &gt; 365), D68, "")</f>
        <v/>
      </c>
      <c r="W70" s="43" t="n"/>
      <c r="X70" s="42" t="n"/>
      <c r="Y70" s="38">
        <f>IF(AND( C68="Buy", W68&lt;&gt;"", AA68&lt;&gt;"", B68&lt;&gt;"DIV"), Z68/sum(F68:I68), "")</f>
        <v/>
      </c>
      <c r="Z70" s="43" t="n"/>
      <c r="AA70" s="43" t="n"/>
      <c r="AB70" s="44" t="n"/>
      <c r="AC70" s="45" t="n"/>
      <c r="AD70" s="54" t="inlineStr">
        <is>
          <t>SBI Securities</t>
        </is>
      </c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8" t="n">
        <v>44138</v>
      </c>
      <c r="B71" s="34" t="inlineStr">
        <is>
          <t>NSE</t>
        </is>
      </c>
      <c r="C71" s="34" t="inlineStr">
        <is>
          <t>Sell</t>
        </is>
      </c>
      <c r="D71" s="55" t="n">
        <v>500</v>
      </c>
      <c r="E71" s="49" t="n">
        <v>83.38578</v>
      </c>
      <c r="F71" s="56" t="n">
        <v>41982.9</v>
      </c>
      <c r="G71" s="34" t="inlineStr">
        <is>
          <t>~</t>
        </is>
      </c>
      <c r="H71" s="35" t="n">
        <v>39.78</v>
      </c>
      <c r="I71" s="35" t="n">
        <v>252.33</v>
      </c>
      <c r="J71" s="49" t="n">
        <v>262</v>
      </c>
      <c r="K71" s="38">
        <f>IF(AND( C69="Buy", ISBLANK(W69), B69&lt;&gt;"DIV"), (M69/F69)-1, "")</f>
        <v/>
      </c>
      <c r="L71" s="39">
        <f>IF(AND( C69="Buy", ISBLANK(W69), B69&lt;&gt;"DIV"), (1-Index!$F$2*2)*((J69*D69)-(E69*D69)), "")</f>
        <v/>
      </c>
      <c r="M71" s="39">
        <f>IF(AND( C69="Buy", ISBLANK(W69), B69&lt;&gt;"DIV"), ((E69*D69)+L69), "")</f>
        <v/>
      </c>
      <c r="N71" s="40">
        <f>IF(AND( C69="Buy", ISBLANK(W69), B69&lt;&gt;"DIV"), D69, "")</f>
        <v/>
      </c>
      <c r="O71" s="38">
        <f>IF(AND( C69="Buy", ISBLANK(W69), Q69&lt;&gt;"", B69&lt;&gt;"DIV"), (Q69/F69)-1, "")</f>
        <v/>
      </c>
      <c r="P71" s="39">
        <f>IF(AND( C69="Buy", ISBLANK(W69), B69&lt;&gt;"DIV", NOW()-A69 &lt; 365), (1-Index!$F$2*2)*((J69*D69)-(E69*D69)), "")</f>
        <v/>
      </c>
      <c r="Q71" s="39">
        <f>IF(AND( C69="Buy", ISBLANK(W69), B69&lt;&gt;"DIV", NOW()-A69 &lt; 365), ((E69*D69)+P69), "")</f>
        <v/>
      </c>
      <c r="R71" s="39">
        <f>IF(AND( C69="Buy", ISBLANK(W69), B69&lt;&gt;"DIV", NOW()-A69 &lt; 365), D69, "")</f>
        <v/>
      </c>
      <c r="S71" s="38">
        <f>IF(AND( C69="Buy", ISBLANK(W69), U69&lt;&gt;"", B69&lt;&gt;"DIV"), (U69/F69)-1, "")</f>
        <v/>
      </c>
      <c r="T71" s="39">
        <f>IF(AND( C69="Buy", ISBLANK(W69), B69&lt;&gt;"DIV", NOW()-A69 &gt; 365), (J69*D69)-(E69*D69)-(2*sum(H69:I69)), "")</f>
        <v/>
      </c>
      <c r="U71" s="39">
        <f>IF(AND( C69="Buy", ISBLANK(W69), B69&lt;&gt;"DIV", NOW()-A69 &gt; 365), ((E69*D69)+T69), "")</f>
        <v/>
      </c>
      <c r="V71" s="39">
        <f>IF(AND( C69="Buy", ISBLANK(W69), B69&lt;&gt;"DIV", NOW()-A69 &gt; 365), D69, "")</f>
        <v/>
      </c>
      <c r="W71" s="43" t="n"/>
      <c r="X71" s="42" t="n"/>
      <c r="Y71" s="38">
        <f>IF(AND( C69="Buy", W69&lt;&gt;"", AA69&lt;&gt;"", B69&lt;&gt;"DIV"), Z69/sum(F69:I69), "")</f>
        <v/>
      </c>
      <c r="Z71" s="43" t="n"/>
      <c r="AA71" s="43" t="n"/>
      <c r="AB71" s="44" t="n"/>
      <c r="AC71" s="45" t="n"/>
      <c r="AD71" s="54" t="inlineStr">
        <is>
          <t>SBI Securities</t>
        </is>
      </c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8" t="n">
        <v>44055</v>
      </c>
      <c r="B72" s="34" t="inlineStr">
        <is>
          <t>NSE</t>
        </is>
      </c>
      <c r="C72" s="34" t="inlineStr">
        <is>
          <t>Buy</t>
        </is>
      </c>
      <c r="D72" s="55" t="n">
        <v>50</v>
      </c>
      <c r="E72" s="49" t="n">
        <v>52.9534</v>
      </c>
      <c r="F72" s="56" t="n">
        <v>2665.83</v>
      </c>
      <c r="G72" s="34" t="inlineStr">
        <is>
          <t>~</t>
        </is>
      </c>
      <c r="H72" s="35" t="n">
        <v>2.66</v>
      </c>
      <c r="I72" s="35" t="n">
        <v>15.67</v>
      </c>
      <c r="J72" s="49" t="n">
        <v>262</v>
      </c>
      <c r="K72" s="38">
        <f>IF(AND( C70="Buy", ISBLANK(W70), B70&lt;&gt;"DIV"), (M70/F70)-1, "")</f>
        <v/>
      </c>
      <c r="L72" s="39">
        <f>IF(AND( C70="Buy", ISBLANK(W70), B70&lt;&gt;"DIV"), (1-Index!$F$2*2)*((J70*D70)-(E70*D70)), "")</f>
        <v/>
      </c>
      <c r="M72" s="39">
        <f>IF(AND( C70="Buy", ISBLANK(W70), B70&lt;&gt;"DIV"), ((E70*D70)+L70), "")</f>
        <v/>
      </c>
      <c r="N72" s="40">
        <f>IF(AND( C70="Buy", ISBLANK(W70), B70&lt;&gt;"DIV"), D70, "")</f>
        <v/>
      </c>
      <c r="O72" s="38">
        <f>IF(AND( C70="Buy", ISBLANK(W70), Q70&lt;&gt;"", B70&lt;&gt;"DIV"), (Q70/F70)-1, "")</f>
        <v/>
      </c>
      <c r="P72" s="39">
        <f>IF(AND( C70="Buy", ISBLANK(W70), B70&lt;&gt;"DIV", NOW()-A70 &lt; 365), (1-Index!$F$2*2)*((J70*D70)-(E70*D70)), "")</f>
        <v/>
      </c>
      <c r="Q72" s="39">
        <f>IF(AND( C70="Buy", ISBLANK(W70), B70&lt;&gt;"DIV", NOW()-A70 &lt; 365), ((E70*D70)+P70), "")</f>
        <v/>
      </c>
      <c r="R72" s="39">
        <f>IF(AND( C70="Buy", ISBLANK(W70), B70&lt;&gt;"DIV", NOW()-A70 &lt; 365), D70, "")</f>
        <v/>
      </c>
      <c r="S72" s="38">
        <f>IF(AND( C70="Buy", ISBLANK(W70), U70&lt;&gt;"", B70&lt;&gt;"DIV"), (U70/F70)-1, "")</f>
        <v/>
      </c>
      <c r="T72" s="39">
        <f>IF(AND( C70="Buy", ISBLANK(W70), B70&lt;&gt;"DIV", NOW()-A70 &gt; 365), (J70*D70)-(E70*D70)-(2*sum(H70:I70)), "")</f>
        <v/>
      </c>
      <c r="U72" s="39">
        <f>IF(AND( C70="Buy", ISBLANK(W70), B70&lt;&gt;"DIV", NOW()-A70 &gt; 365), ((E70*D70)+T70), "")</f>
        <v/>
      </c>
      <c r="V72" s="39">
        <f>IF(AND( C70="Buy", ISBLANK(W70), B70&lt;&gt;"DIV", NOW()-A70 &gt; 365), D70, "")</f>
        <v/>
      </c>
      <c r="W72" s="43" t="n">
        <v>132.9398</v>
      </c>
      <c r="X72" s="48" t="n">
        <v>44230</v>
      </c>
      <c r="Y72" s="38">
        <f>IF(AND( C70="Buy", W70&lt;&gt;"", AA70&lt;&gt;"", B70&lt;&gt;"DIV"), Z70/sum(F70:I70), "")</f>
        <v/>
      </c>
      <c r="Z72" s="57">
        <f>(1-Index!$F$2*2)*((W70*D70)-(E70*D70))</f>
        <v/>
      </c>
      <c r="AA72" s="57">
        <f>((E70*D70)+Z70)</f>
        <v/>
      </c>
      <c r="AB72" s="58">
        <f>D70</f>
        <v/>
      </c>
      <c r="AC72" s="45" t="n"/>
      <c r="AD72" s="54" t="inlineStr">
        <is>
          <t>SBI Securities</t>
        </is>
      </c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8" t="n">
        <v>44053</v>
      </c>
      <c r="B73" s="34" t="inlineStr">
        <is>
          <t>NSE</t>
        </is>
      </c>
      <c r="C73" s="34" t="inlineStr">
        <is>
          <t>Buy</t>
        </is>
      </c>
      <c r="D73" s="55" t="n">
        <v>50</v>
      </c>
      <c r="E73" s="49" t="n">
        <v>51.6024</v>
      </c>
      <c r="F73" s="56" t="n">
        <v>2598.38</v>
      </c>
      <c r="G73" s="34" t="inlineStr">
        <is>
          <t>~</t>
        </is>
      </c>
      <c r="H73" s="35" t="n">
        <v>2.57</v>
      </c>
      <c r="I73" s="35" t="n">
        <v>15.81</v>
      </c>
      <c r="J73" s="49" t="n">
        <v>262</v>
      </c>
      <c r="K73" s="38">
        <f>IF(AND( C71="Buy", ISBLANK(W71), B71&lt;&gt;"DIV"), (M71/F71)-1, "")</f>
        <v/>
      </c>
      <c r="L73" s="39">
        <f>IF(AND( C71="Buy", ISBLANK(W71), B71&lt;&gt;"DIV"), (1-Index!$F$2*2)*((J71*D71)-(E71*D71)), "")</f>
        <v/>
      </c>
      <c r="M73" s="39">
        <f>IF(AND( C71="Buy", ISBLANK(W71), B71&lt;&gt;"DIV"), ((E71*D71)+L71), "")</f>
        <v/>
      </c>
      <c r="N73" s="40">
        <f>IF(AND( C71="Buy", ISBLANK(W71), B71&lt;&gt;"DIV"), D71, "")</f>
        <v/>
      </c>
      <c r="O73" s="38">
        <f>IF(AND( C71="Buy", ISBLANK(W71), Q71&lt;&gt;"", B71&lt;&gt;"DIV"), (Q71/F71)-1, "")</f>
        <v/>
      </c>
      <c r="P73" s="39">
        <f>IF(AND( C71="Buy", ISBLANK(W71), B71&lt;&gt;"DIV", NOW()-A71 &lt; 365), (1-Index!$F$2*2)*((J71*D71)-(E71*D71)), "")</f>
        <v/>
      </c>
      <c r="Q73" s="39">
        <f>IF(AND( C71="Buy", ISBLANK(W71), B71&lt;&gt;"DIV", NOW()-A71 &lt; 365), ((E71*D71)+P71), "")</f>
        <v/>
      </c>
      <c r="R73" s="39">
        <f>IF(AND( C71="Buy", ISBLANK(W71), B71&lt;&gt;"DIV", NOW()-A71 &lt; 365), D71, "")</f>
        <v/>
      </c>
      <c r="S73" s="38">
        <f>IF(AND( C71="Buy", ISBLANK(W71), U71&lt;&gt;"", B71&lt;&gt;"DIV"), (U71/F71)-1, "")</f>
        <v/>
      </c>
      <c r="T73" s="39">
        <f>IF(AND( C71="Buy", ISBLANK(W71), B71&lt;&gt;"DIV", NOW()-A71 &gt; 365), (J71*D71)-(E71*D71)-(2*sum(H71:I71)), "")</f>
        <v/>
      </c>
      <c r="U73" s="39">
        <f>IF(AND( C71="Buy", ISBLANK(W71), B71&lt;&gt;"DIV", NOW()-A71 &gt; 365), ((E71*D71)+T71), "")</f>
        <v/>
      </c>
      <c r="V73" s="39">
        <f>IF(AND( C71="Buy", ISBLANK(W71), B71&lt;&gt;"DIV", NOW()-A71 &gt; 365), D71, "")</f>
        <v/>
      </c>
      <c r="W73" s="43" t="n">
        <v>132.9398</v>
      </c>
      <c r="X73" s="48" t="n">
        <v>44230</v>
      </c>
      <c r="Y73" s="38">
        <f>IF(AND( C71="Buy", W71&lt;&gt;"", AA71&lt;&gt;"", B71&lt;&gt;"DIV"), Z71/sum(F71:I71), "")</f>
        <v/>
      </c>
      <c r="Z73" s="57">
        <f>(1-Index!$F$2*2)*((W71*D71)-(E71*D71))</f>
        <v/>
      </c>
      <c r="AA73" s="57">
        <f>((E71*D71)+Z71)</f>
        <v/>
      </c>
      <c r="AB73" s="58">
        <f>D71</f>
        <v/>
      </c>
      <c r="AC73" s="45" t="n"/>
      <c r="AD73" s="54" t="inlineStr">
        <is>
          <t>SBI Securities</t>
        </is>
      </c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8" t="n">
        <v>44050</v>
      </c>
      <c r="B74" s="34" t="inlineStr">
        <is>
          <t>NSE</t>
        </is>
      </c>
      <c r="C74" s="34" t="inlineStr">
        <is>
          <t>Buy</t>
        </is>
      </c>
      <c r="D74" s="55" t="n">
        <v>50</v>
      </c>
      <c r="E74" s="49" t="n">
        <v>49.7504</v>
      </c>
      <c r="F74" s="56" t="n">
        <v>2504.98</v>
      </c>
      <c r="G74" s="34" t="inlineStr">
        <is>
          <t>~</t>
        </is>
      </c>
      <c r="H74" s="35" t="n">
        <v>2.47</v>
      </c>
      <c r="I74" s="35" t="n">
        <v>15.01</v>
      </c>
      <c r="J74" s="49" t="n">
        <v>262</v>
      </c>
      <c r="K74" s="38">
        <f>IF(AND( C72="Buy", ISBLANK(W72), B72&lt;&gt;"DIV"), (M72/F72)-1, "")</f>
        <v/>
      </c>
      <c r="L74" s="39">
        <f>IF(AND( C72="Buy", ISBLANK(W72), B72&lt;&gt;"DIV"), (1-Index!$F$2*2)*((J72*D72)-(E72*D72)), "")</f>
        <v/>
      </c>
      <c r="M74" s="39">
        <f>IF(AND( C72="Buy", ISBLANK(W72), B72&lt;&gt;"DIV"), ((E72*D72)+L72), "")</f>
        <v/>
      </c>
      <c r="N74" s="40">
        <f>IF(AND( C72="Buy", ISBLANK(W72), B72&lt;&gt;"DIV"), D72, "")</f>
        <v/>
      </c>
      <c r="O74" s="38">
        <f>IF(AND( C72="Buy", ISBLANK(W72), Q72&lt;&gt;"", B72&lt;&gt;"DIV"), (Q72/F72)-1, "")</f>
        <v/>
      </c>
      <c r="P74" s="39">
        <f>IF(AND( C72="Buy", ISBLANK(W72), B72&lt;&gt;"DIV", NOW()-A72 &lt; 365), (1-Index!$F$2*2)*((J72*D72)-(E72*D72)), "")</f>
        <v/>
      </c>
      <c r="Q74" s="39">
        <f>IF(AND( C72="Buy", ISBLANK(W72), B72&lt;&gt;"DIV", NOW()-A72 &lt; 365), ((E72*D72)+P72), "")</f>
        <v/>
      </c>
      <c r="R74" s="39">
        <f>IF(AND( C72="Buy", ISBLANK(W72), B72&lt;&gt;"DIV", NOW()-A72 &lt; 365), D72, "")</f>
        <v/>
      </c>
      <c r="S74" s="38">
        <f>IF(AND( C72="Buy", ISBLANK(W72), U72&lt;&gt;"", B72&lt;&gt;"DIV"), (U72/F72)-1, "")</f>
        <v/>
      </c>
      <c r="T74" s="39">
        <f>IF(AND( C72="Buy", ISBLANK(W72), B72&lt;&gt;"DIV", NOW()-A72 &gt; 365), (J72*D72)-(E72*D72)-(2*sum(H72:I72)), "")</f>
        <v/>
      </c>
      <c r="U74" s="39">
        <f>IF(AND( C72="Buy", ISBLANK(W72), B72&lt;&gt;"DIV", NOW()-A72 &gt; 365), ((E72*D72)+T72), "")</f>
        <v/>
      </c>
      <c r="V74" s="39">
        <f>IF(AND( C72="Buy", ISBLANK(W72), B72&lt;&gt;"DIV", NOW()-A72 &gt; 365), D72, "")</f>
        <v/>
      </c>
      <c r="W74" s="43" t="n">
        <v>132.9398</v>
      </c>
      <c r="X74" s="48" t="n">
        <v>44230</v>
      </c>
      <c r="Y74" s="38">
        <f>IF(AND( C72="Buy", W72&lt;&gt;"", AA72&lt;&gt;"", B72&lt;&gt;"DIV"), Z72/sum(F72:I72), "")</f>
        <v/>
      </c>
      <c r="Z74" s="57">
        <f>(1-Index!$F$2*2)*((W72*D72)-(E72*D72))</f>
        <v/>
      </c>
      <c r="AA74" s="57">
        <f>((E72*D72)+Z72)</f>
        <v/>
      </c>
      <c r="AB74" s="58">
        <f>D72</f>
        <v/>
      </c>
      <c r="AC74" s="45" t="n"/>
      <c r="AD74" s="54" t="inlineStr">
        <is>
          <t>SBI Securities</t>
        </is>
      </c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8" t="n">
        <v>44049</v>
      </c>
      <c r="B75" s="34" t="inlineStr">
        <is>
          <t>NSE</t>
        </is>
      </c>
      <c r="C75" s="34" t="inlineStr">
        <is>
          <t>Buy</t>
        </is>
      </c>
      <c r="D75" s="55" t="n">
        <v>50</v>
      </c>
      <c r="E75" s="49" t="n">
        <v>49.4992</v>
      </c>
      <c r="F75" s="56" t="n">
        <v>2492.54</v>
      </c>
      <c r="G75" s="34" t="inlineStr">
        <is>
          <t>~</t>
        </is>
      </c>
      <c r="H75" s="35" t="n">
        <v>2.48</v>
      </c>
      <c r="I75" s="35" t="n">
        <v>15.06</v>
      </c>
      <c r="J75" s="49" t="n">
        <v>262</v>
      </c>
      <c r="K75" s="38">
        <f>IF(AND( C73="Buy", ISBLANK(W73), B73&lt;&gt;"DIV"), (M73/F73)-1, "")</f>
        <v/>
      </c>
      <c r="L75" s="39">
        <f>IF(AND( C73="Buy", ISBLANK(W73), B73&lt;&gt;"DIV"), (1-Index!$F$2*2)*((J73*D73)-(E73*D73)), "")</f>
        <v/>
      </c>
      <c r="M75" s="39">
        <f>IF(AND( C73="Buy", ISBLANK(W73), B73&lt;&gt;"DIV"), ((E73*D73)+L73), "")</f>
        <v/>
      </c>
      <c r="N75" s="40">
        <f>IF(AND( C73="Buy", ISBLANK(W73), B73&lt;&gt;"DIV"), D73, "")</f>
        <v/>
      </c>
      <c r="O75" s="38">
        <f>IF(AND( C73="Buy", ISBLANK(W73), Q73&lt;&gt;"", B73&lt;&gt;"DIV"), (Q73/F73)-1, "")</f>
        <v/>
      </c>
      <c r="P75" s="39">
        <f>IF(AND( C73="Buy", ISBLANK(W73), B73&lt;&gt;"DIV", NOW()-A73 &lt; 365), (1-Index!$F$2*2)*((J73*D73)-(E73*D73)), "")</f>
        <v/>
      </c>
      <c r="Q75" s="39">
        <f>IF(AND( C73="Buy", ISBLANK(W73), B73&lt;&gt;"DIV", NOW()-A73 &lt; 365), ((E73*D73)+P73), "")</f>
        <v/>
      </c>
      <c r="R75" s="39">
        <f>IF(AND( C73="Buy", ISBLANK(W73), B73&lt;&gt;"DIV", NOW()-A73 &lt; 365), D73, "")</f>
        <v/>
      </c>
      <c r="S75" s="38">
        <f>IF(AND( C73="Buy", ISBLANK(W73), U73&lt;&gt;"", B73&lt;&gt;"DIV"), (U73/F73)-1, "")</f>
        <v/>
      </c>
      <c r="T75" s="39">
        <f>IF(AND( C73="Buy", ISBLANK(W73), B73&lt;&gt;"DIV", NOW()-A73 &gt; 365), (J73*D73)-(E73*D73)-(2*sum(H73:I73)), "")</f>
        <v/>
      </c>
      <c r="U75" s="39">
        <f>IF(AND( C73="Buy", ISBLANK(W73), B73&lt;&gt;"DIV", NOW()-A73 &gt; 365), ((E73*D73)+T73), "")</f>
        <v/>
      </c>
      <c r="V75" s="39">
        <f>IF(AND( C73="Buy", ISBLANK(W73), B73&lt;&gt;"DIV", NOW()-A73 &gt; 365), D73, "")</f>
        <v/>
      </c>
      <c r="W75" s="43" t="n">
        <v>132.9398</v>
      </c>
      <c r="X75" s="48" t="n">
        <v>44230</v>
      </c>
      <c r="Y75" s="38">
        <f>IF(AND( C73="Buy", W73&lt;&gt;"", AA73&lt;&gt;"", B73&lt;&gt;"DIV"), Z73/sum(F73:I73), "")</f>
        <v/>
      </c>
      <c r="Z75" s="57">
        <f>(1-Index!$F$2*2)*((W73*D73)-(E73*D73))</f>
        <v/>
      </c>
      <c r="AA75" s="57">
        <f>((E73*D73)+Z73)</f>
        <v/>
      </c>
      <c r="AB75" s="58">
        <f>D73</f>
        <v/>
      </c>
      <c r="AC75" s="45" t="n"/>
      <c r="AD75" s="54" t="inlineStr">
        <is>
          <t>SBI Securities</t>
        </is>
      </c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8" t="n">
        <v>44048</v>
      </c>
      <c r="B76" s="34" t="inlineStr">
        <is>
          <t>NSE</t>
        </is>
      </c>
      <c r="C76" s="34" t="inlineStr">
        <is>
          <t>Buy</t>
        </is>
      </c>
      <c r="D76" s="55" t="n">
        <v>100</v>
      </c>
      <c r="E76" s="49" t="n">
        <v>49.4522</v>
      </c>
      <c r="F76" s="56" t="n">
        <v>4979.78</v>
      </c>
      <c r="G76" s="34" t="inlineStr">
        <is>
          <t>~</t>
        </is>
      </c>
      <c r="H76" s="35" t="n">
        <v>4.94</v>
      </c>
      <c r="I76" s="35" t="n">
        <v>29.84</v>
      </c>
      <c r="J76" s="49" t="n">
        <v>262</v>
      </c>
      <c r="K76" s="38">
        <f>IF(AND( C74="Buy", ISBLANK(W74), B74&lt;&gt;"DIV"), (M74/F74)-1, "")</f>
        <v/>
      </c>
      <c r="L76" s="39">
        <f>IF(AND( C74="Buy", ISBLANK(W74), B74&lt;&gt;"DIV"), (1-Index!$F$2*2)*((J74*D74)-(E74*D74)), "")</f>
        <v/>
      </c>
      <c r="M76" s="39">
        <f>IF(AND( C74="Buy", ISBLANK(W74), B74&lt;&gt;"DIV"), ((E74*D74)+L74), "")</f>
        <v/>
      </c>
      <c r="N76" s="40">
        <f>IF(AND( C74="Buy", ISBLANK(W74), B74&lt;&gt;"DIV"), D74, "")</f>
        <v/>
      </c>
      <c r="O76" s="38">
        <f>IF(AND( C74="Buy", ISBLANK(W74), Q74&lt;&gt;"", B74&lt;&gt;"DIV"), (Q74/F74)-1, "")</f>
        <v/>
      </c>
      <c r="P76" s="39">
        <f>IF(AND( C74="Buy", ISBLANK(W74), B74&lt;&gt;"DIV", NOW()-A74 &lt; 365), (1-Index!$F$2*2)*((J74*D74)-(E74*D74)), "")</f>
        <v/>
      </c>
      <c r="Q76" s="39">
        <f>IF(AND( C74="Buy", ISBLANK(W74), B74&lt;&gt;"DIV", NOW()-A74 &lt; 365), ((E74*D74)+P74), "")</f>
        <v/>
      </c>
      <c r="R76" s="39">
        <f>IF(AND( C74="Buy", ISBLANK(W74), B74&lt;&gt;"DIV", NOW()-A74 &lt; 365), D74, "")</f>
        <v/>
      </c>
      <c r="S76" s="38">
        <f>IF(AND( C74="Buy", ISBLANK(W74), U74&lt;&gt;"", B74&lt;&gt;"DIV"), (U74/F74)-1, "")</f>
        <v/>
      </c>
      <c r="T76" s="39">
        <f>IF(AND( C74="Buy", ISBLANK(W74), B74&lt;&gt;"DIV", NOW()-A74 &gt; 365), (J74*D74)-(E74*D74)-(2*sum(H74:I74)), "")</f>
        <v/>
      </c>
      <c r="U76" s="39">
        <f>IF(AND( C74="Buy", ISBLANK(W74), B74&lt;&gt;"DIV", NOW()-A74 &gt; 365), ((E74*D74)+T74), "")</f>
        <v/>
      </c>
      <c r="V76" s="39">
        <f>IF(AND( C74="Buy", ISBLANK(W74), B74&lt;&gt;"DIV", NOW()-A74 &gt; 365), D74, "")</f>
        <v/>
      </c>
      <c r="W76" s="43" t="n">
        <v>127.44895</v>
      </c>
      <c r="X76" s="48" t="n">
        <v>44229</v>
      </c>
      <c r="Y76" s="38">
        <f>IF(AND( C74="Buy", W74&lt;&gt;"", AA74&lt;&gt;"", B74&lt;&gt;"DIV"), Z74/sum(F74:I74), "")</f>
        <v/>
      </c>
      <c r="Z76" s="57">
        <f>(1-Index!$F$2*2)*((W74*D74)-(E74*D74))</f>
        <v/>
      </c>
      <c r="AA76" s="57">
        <f>((E74*D74)+Z74)</f>
        <v/>
      </c>
      <c r="AB76" s="58">
        <f>D74</f>
        <v/>
      </c>
      <c r="AC76" s="45" t="n"/>
      <c r="AD76" s="54" t="inlineStr">
        <is>
          <t>SBI Securities</t>
        </is>
      </c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8" t="n">
        <v>44047</v>
      </c>
      <c r="B77" s="34" t="inlineStr">
        <is>
          <t>NSE</t>
        </is>
      </c>
      <c r="C77" s="34" t="inlineStr">
        <is>
          <t>Buy</t>
        </is>
      </c>
      <c r="D77" s="55" t="n">
        <v>100</v>
      </c>
      <c r="E77" s="49" t="n">
        <v>50.2004</v>
      </c>
      <c r="F77" s="56" t="n">
        <v>5054.96</v>
      </c>
      <c r="G77" s="34" t="inlineStr">
        <is>
          <t>~</t>
        </is>
      </c>
      <c r="H77" s="35" t="n">
        <v>5.03</v>
      </c>
      <c r="I77" s="35" t="n">
        <v>29.93</v>
      </c>
      <c r="J77" s="49" t="n">
        <v>262</v>
      </c>
      <c r="K77" s="38">
        <f>IF(AND( C75="Buy", ISBLANK(W75), B75&lt;&gt;"DIV"), (M75/F75)-1, "")</f>
        <v/>
      </c>
      <c r="L77" s="39">
        <f>IF(AND( C75="Buy", ISBLANK(W75), B75&lt;&gt;"DIV"), (1-Index!$F$2*2)*((J75*D75)-(E75*D75)), "")</f>
        <v/>
      </c>
      <c r="M77" s="39">
        <f>IF(AND( C75="Buy", ISBLANK(W75), B75&lt;&gt;"DIV"), ((E75*D75)+L75), "")</f>
        <v/>
      </c>
      <c r="N77" s="40">
        <f>IF(AND( C75="Buy", ISBLANK(W75), B75&lt;&gt;"DIV"), D75, "")</f>
        <v/>
      </c>
      <c r="O77" s="38">
        <f>IF(AND( C75="Buy", ISBLANK(W75), Q75&lt;&gt;"", B75&lt;&gt;"DIV"), (Q75/F75)-1, "")</f>
        <v/>
      </c>
      <c r="P77" s="39">
        <f>IF(AND( C75="Buy", ISBLANK(W75), B75&lt;&gt;"DIV", NOW()-A75 &lt; 365), (1-Index!$F$2*2)*((J75*D75)-(E75*D75)), "")</f>
        <v/>
      </c>
      <c r="Q77" s="39">
        <f>IF(AND( C75="Buy", ISBLANK(W75), B75&lt;&gt;"DIV", NOW()-A75 &lt; 365), ((E75*D75)+P75), "")</f>
        <v/>
      </c>
      <c r="R77" s="39">
        <f>IF(AND( C75="Buy", ISBLANK(W75), B75&lt;&gt;"DIV", NOW()-A75 &lt; 365), D75, "")</f>
        <v/>
      </c>
      <c r="S77" s="38">
        <f>IF(AND( C75="Buy", ISBLANK(W75), U75&lt;&gt;"", B75&lt;&gt;"DIV"), (U75/F75)-1, "")</f>
        <v/>
      </c>
      <c r="T77" s="39">
        <f>IF(AND( C75="Buy", ISBLANK(W75), B75&lt;&gt;"DIV", NOW()-A75 &gt; 365), (J75*D75)-(E75*D75)-(2*sum(H75:I75)), "")</f>
        <v/>
      </c>
      <c r="U77" s="39">
        <f>IF(AND( C75="Buy", ISBLANK(W75), B75&lt;&gt;"DIV", NOW()-A75 &gt; 365), ((E75*D75)+T75), "")</f>
        <v/>
      </c>
      <c r="V77" s="39">
        <f>IF(AND( C75="Buy", ISBLANK(W75), B75&lt;&gt;"DIV", NOW()-A75 &gt; 365), D75, "")</f>
        <v/>
      </c>
      <c r="W77" s="43" t="n">
        <v>127.44895</v>
      </c>
      <c r="X77" s="48" t="n">
        <v>44229</v>
      </c>
      <c r="Y77" s="38">
        <f>IF(AND( C75="Buy", W75&lt;&gt;"", AA75&lt;&gt;"", B75&lt;&gt;"DIV"), Z75/sum(F75:I75), "")</f>
        <v/>
      </c>
      <c r="Z77" s="57">
        <f>(1-Index!$F$2*2)*((W75*D75)-(E75*D75))</f>
        <v/>
      </c>
      <c r="AA77" s="57">
        <f>((E75*D75)+Z75)</f>
        <v/>
      </c>
      <c r="AB77" s="58">
        <f>D75</f>
        <v/>
      </c>
      <c r="AC77" s="45" t="n"/>
      <c r="AD77" s="54" t="inlineStr">
        <is>
          <t>SBI Securities</t>
        </is>
      </c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8" t="n">
        <v>44046</v>
      </c>
      <c r="B78" s="34" t="inlineStr">
        <is>
          <t>NSE</t>
        </is>
      </c>
      <c r="C78" s="34" t="inlineStr">
        <is>
          <t>Buy</t>
        </is>
      </c>
      <c r="D78" s="55" t="n">
        <v>50</v>
      </c>
      <c r="E78" s="49" t="n">
        <v>49.7492</v>
      </c>
      <c r="F78" s="56" t="n">
        <v>2505.04</v>
      </c>
      <c r="G78" s="34" t="inlineStr">
        <is>
          <t>~</t>
        </is>
      </c>
      <c r="H78" s="35" t="n">
        <v>2.51</v>
      </c>
      <c r="I78" s="35" t="n">
        <v>15.03</v>
      </c>
      <c r="J78" s="49" t="n">
        <v>262</v>
      </c>
      <c r="K78" s="38">
        <f>IF(AND( C76="Buy", ISBLANK(W76), B76&lt;&gt;"DIV"), (M76/F76)-1, "")</f>
        <v/>
      </c>
      <c r="L78" s="39">
        <f>IF(AND( C76="Buy", ISBLANK(W76), B76&lt;&gt;"DIV"), (1-Index!$F$2*2)*((J76*D76)-(E76*D76)), "")</f>
        <v/>
      </c>
      <c r="M78" s="39">
        <f>IF(AND( C76="Buy", ISBLANK(W76), B76&lt;&gt;"DIV"), ((E76*D76)+L76), "")</f>
        <v/>
      </c>
      <c r="N78" s="40">
        <f>IF(AND( C76="Buy", ISBLANK(W76), B76&lt;&gt;"DIV"), D76, "")</f>
        <v/>
      </c>
      <c r="O78" s="38">
        <f>IF(AND( C76="Buy", ISBLANK(W76), Q76&lt;&gt;"", B76&lt;&gt;"DIV"), (Q76/F76)-1, "")</f>
        <v/>
      </c>
      <c r="P78" s="39">
        <f>IF(AND( C76="Buy", ISBLANK(W76), B76&lt;&gt;"DIV", NOW()-A76 &lt; 365), (1-Index!$F$2*2)*((J76*D76)-(E76*D76)), "")</f>
        <v/>
      </c>
      <c r="Q78" s="39">
        <f>IF(AND( C76="Buy", ISBLANK(W76), B76&lt;&gt;"DIV", NOW()-A76 &lt; 365), ((E76*D76)+P76), "")</f>
        <v/>
      </c>
      <c r="R78" s="39">
        <f>IF(AND( C76="Buy", ISBLANK(W76), B76&lt;&gt;"DIV", NOW()-A76 &lt; 365), D76, "")</f>
        <v/>
      </c>
      <c r="S78" s="38">
        <f>IF(AND( C76="Buy", ISBLANK(W76), U76&lt;&gt;"", B76&lt;&gt;"DIV"), (U76/F76)-1, "")</f>
        <v/>
      </c>
      <c r="T78" s="39">
        <f>IF(AND( C76="Buy", ISBLANK(W76), B76&lt;&gt;"DIV", NOW()-A76 &gt; 365), (J76*D76)-(E76*D76)-(2*sum(H76:I76)), "")</f>
        <v/>
      </c>
      <c r="U78" s="39">
        <f>IF(AND( C76="Buy", ISBLANK(W76), B76&lt;&gt;"DIV", NOW()-A76 &gt; 365), ((E76*D76)+T76), "")</f>
        <v/>
      </c>
      <c r="V78" s="39">
        <f>IF(AND( C76="Buy", ISBLANK(W76), B76&lt;&gt;"DIV", NOW()-A76 &gt; 365), D76, "")</f>
        <v/>
      </c>
      <c r="W78" s="43" t="n">
        <v>120.103933</v>
      </c>
      <c r="X78" s="48" t="n">
        <v>44228</v>
      </c>
      <c r="Y78" s="38">
        <f>IF(AND( C76="Buy", W76&lt;&gt;"", AA76&lt;&gt;"", B76&lt;&gt;"DIV"), Z76/sum(F76:I76), "")</f>
        <v/>
      </c>
      <c r="Z78" s="57">
        <f>(1-Index!$F$2*2)*((W76*D76)-(E76*D76))</f>
        <v/>
      </c>
      <c r="AA78" s="57">
        <f>((E76*D76)+Z76)</f>
        <v/>
      </c>
      <c r="AB78" s="58">
        <f>D76</f>
        <v/>
      </c>
      <c r="AC78" s="45" t="n"/>
      <c r="AD78" s="54" t="inlineStr">
        <is>
          <t>SBI Securities</t>
        </is>
      </c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8" t="n">
        <v>43985</v>
      </c>
      <c r="B79" s="34" t="inlineStr">
        <is>
          <t>NSE</t>
        </is>
      </c>
      <c r="C79" s="34" t="inlineStr">
        <is>
          <t>Buy</t>
        </is>
      </c>
      <c r="D79" s="55" t="n">
        <v>100</v>
      </c>
      <c r="E79" s="49" t="n">
        <v>48.6545</v>
      </c>
      <c r="F79" s="56" t="n">
        <v>4898.55</v>
      </c>
      <c r="G79" s="34" t="inlineStr">
        <is>
          <t>~</t>
        </is>
      </c>
      <c r="H79" s="35" t="n">
        <v>4.74</v>
      </c>
      <c r="I79" s="35" t="n">
        <v>28.81</v>
      </c>
      <c r="J79" s="49" t="n">
        <v>262</v>
      </c>
      <c r="K79" s="38">
        <f>IF(AND( C77="Buy", ISBLANK(W77), B77&lt;&gt;"DIV"), (M77/F77)-1, "")</f>
        <v/>
      </c>
      <c r="L79" s="39">
        <f>IF(AND( C77="Buy", ISBLANK(W77), B77&lt;&gt;"DIV"), (1-Index!$F$2*2)*((J77*D77)-(E77*D77)), "")</f>
        <v/>
      </c>
      <c r="M79" s="39">
        <f>IF(AND( C77="Buy", ISBLANK(W77), B77&lt;&gt;"DIV"), ((E77*D77)+L77), "")</f>
        <v/>
      </c>
      <c r="N79" s="40">
        <f>IF(AND( C77="Buy", ISBLANK(W77), B77&lt;&gt;"DIV"), D77, "")</f>
        <v/>
      </c>
      <c r="O79" s="38">
        <f>IF(AND( C77="Buy", ISBLANK(W77), Q77&lt;&gt;"", B77&lt;&gt;"DIV"), (Q77/F77)-1, "")</f>
        <v/>
      </c>
      <c r="P79" s="39">
        <f>IF(AND( C77="Buy", ISBLANK(W77), B77&lt;&gt;"DIV", NOW()-A77 &lt; 365), (1-Index!$F$2*2)*((J77*D77)-(E77*D77)), "")</f>
        <v/>
      </c>
      <c r="Q79" s="39">
        <f>IF(AND( C77="Buy", ISBLANK(W77), B77&lt;&gt;"DIV", NOW()-A77 &lt; 365), ((E77*D77)+P77), "")</f>
        <v/>
      </c>
      <c r="R79" s="39">
        <f>IF(AND( C77="Buy", ISBLANK(W77), B77&lt;&gt;"DIV", NOW()-A77 &lt; 365), D77, "")</f>
        <v/>
      </c>
      <c r="S79" s="38">
        <f>IF(AND( C77="Buy", ISBLANK(W77), U77&lt;&gt;"", B77&lt;&gt;"DIV"), (U77/F77)-1, "")</f>
        <v/>
      </c>
      <c r="T79" s="39">
        <f>IF(AND( C77="Buy", ISBLANK(W77), B77&lt;&gt;"DIV", NOW()-A77 &gt; 365), (J77*D77)-(E77*D77)-(2*sum(H77:I77)), "")</f>
        <v/>
      </c>
      <c r="U79" s="39">
        <f>IF(AND( C77="Buy", ISBLANK(W77), B77&lt;&gt;"DIV", NOW()-A77 &gt; 365), ((E77*D77)+T77), "")</f>
        <v/>
      </c>
      <c r="V79" s="39">
        <f>IF(AND( C77="Buy", ISBLANK(W77), B77&lt;&gt;"DIV", NOW()-A77 &gt; 365), D77, "")</f>
        <v/>
      </c>
      <c r="W79" s="43" t="n">
        <v>120.103933</v>
      </c>
      <c r="X79" s="48" t="n">
        <v>44228</v>
      </c>
      <c r="Y79" s="38">
        <f>IF(AND( C77="Buy", W77&lt;&gt;"", AA77&lt;&gt;"", B77&lt;&gt;"DIV"), Z77/sum(F77:I77), "")</f>
        <v/>
      </c>
      <c r="Z79" s="57">
        <f>(1-Index!$F$2*2)*((W77*D77)-(E77*D77))</f>
        <v/>
      </c>
      <c r="AA79" s="57">
        <f>((E77*D77)+Z77)</f>
        <v/>
      </c>
      <c r="AB79" s="58">
        <f>D77</f>
        <v/>
      </c>
      <c r="AC79" s="45" t="n"/>
      <c r="AD79" s="54" t="inlineStr">
        <is>
          <t>SBI Securities</t>
        </is>
      </c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8" t="n">
        <v>43909</v>
      </c>
      <c r="B80" s="34" t="inlineStr">
        <is>
          <t>DIV</t>
        </is>
      </c>
      <c r="C80" s="34" t="inlineStr">
        <is>
          <t>Buy</t>
        </is>
      </c>
      <c r="D80" s="55" t="n">
        <v>1300</v>
      </c>
      <c r="E80" s="49" t="n">
        <v>0.5</v>
      </c>
      <c r="F80" s="56" t="n">
        <v>650</v>
      </c>
      <c r="G80" s="34" t="inlineStr">
        <is>
          <t>Interim-Dividend of Rs.0.5000/- per share on Ex-Date: 19-MAR-2020</t>
        </is>
      </c>
      <c r="H80" s="35" t="n">
        <v>0</v>
      </c>
      <c r="I80" s="35" t="n">
        <v>0</v>
      </c>
      <c r="J80" s="49" t="n">
        <v>262</v>
      </c>
      <c r="K80" s="38">
        <f>IF(AND( C78="Buy", ISBLANK(W78), B78&lt;&gt;"DIV"), (M78/F78)-1, "")</f>
        <v/>
      </c>
      <c r="L80" s="39">
        <f>IF(AND( C78="Buy", ISBLANK(W78), B78&lt;&gt;"DIV"), (1-Index!$F$2*2)*((J78*D78)-(E78*D78)), "")</f>
        <v/>
      </c>
      <c r="M80" s="39">
        <f>IF(AND( C78="Buy", ISBLANK(W78), B78&lt;&gt;"DIV"), ((E78*D78)+L78), "")</f>
        <v/>
      </c>
      <c r="N80" s="40">
        <f>IF(AND( C78="Buy", ISBLANK(W78), B78&lt;&gt;"DIV"), D78, "")</f>
        <v/>
      </c>
      <c r="O80" s="38">
        <f>IF(AND( C78="Buy", ISBLANK(W78), Q78&lt;&gt;"", B78&lt;&gt;"DIV"), (Q78/F78)-1, "")</f>
        <v/>
      </c>
      <c r="P80" s="39">
        <f>IF(AND( C78="Buy", ISBLANK(W78), B78&lt;&gt;"DIV", NOW()-A78 &lt; 365), (1-Index!$F$2*2)*((J78*D78)-(E78*D78)), "")</f>
        <v/>
      </c>
      <c r="Q80" s="39">
        <f>IF(AND( C78="Buy", ISBLANK(W78), B78&lt;&gt;"DIV", NOW()-A78 &lt; 365), ((E78*D78)+P78), "")</f>
        <v/>
      </c>
      <c r="R80" s="39">
        <f>IF(AND( C78="Buy", ISBLANK(W78), B78&lt;&gt;"DIV", NOW()-A78 &lt; 365), D78, "")</f>
        <v/>
      </c>
      <c r="S80" s="38">
        <f>IF(AND( C78="Buy", ISBLANK(W78), U78&lt;&gt;"", B78&lt;&gt;"DIV"), (U78/F78)-1, "")</f>
        <v/>
      </c>
      <c r="T80" s="39">
        <f>IF(AND( C78="Buy", ISBLANK(W78), B78&lt;&gt;"DIV", NOW()-A78 &gt; 365), (J78*D78)-(E78*D78)-(2*sum(H78:I78)), "")</f>
        <v/>
      </c>
      <c r="U80" s="39">
        <f>IF(AND( C78="Buy", ISBLANK(W78), B78&lt;&gt;"DIV", NOW()-A78 &gt; 365), ((E78*D78)+T78), "")</f>
        <v/>
      </c>
      <c r="V80" s="39">
        <f>IF(AND( C78="Buy", ISBLANK(W78), B78&lt;&gt;"DIV", NOW()-A78 &gt; 365), D78, "")</f>
        <v/>
      </c>
      <c r="W80" s="43" t="n"/>
      <c r="X80" s="48" t="n"/>
      <c r="Y80" s="38">
        <f>IF(AND( C78="Buy", W78&lt;&gt;"", AA78&lt;&gt;"", B78&lt;&gt;"DIV"), Z78/sum(F78:I78), "")</f>
        <v/>
      </c>
      <c r="Z80" s="43" t="n"/>
      <c r="AA80" s="43" t="n"/>
      <c r="AB80" s="44" t="n"/>
      <c r="AC80" s="45">
        <f>if(B78="DIV", F78,"")</f>
        <v/>
      </c>
      <c r="AD80" s="54" t="inlineStr">
        <is>
          <t>SBI Securities</t>
        </is>
      </c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8" t="n">
        <v>43775</v>
      </c>
      <c r="B81" s="34" t="inlineStr">
        <is>
          <t>NSE</t>
        </is>
      </c>
      <c r="C81" s="34" t="inlineStr">
        <is>
          <t>Buy</t>
        </is>
      </c>
      <c r="D81" s="55" t="n">
        <v>30</v>
      </c>
      <c r="E81" s="49" t="n">
        <v>74.80333330000001</v>
      </c>
      <c r="F81" s="56" t="n">
        <v>2258.6</v>
      </c>
      <c r="G81" s="34" t="inlineStr">
        <is>
          <t>~</t>
        </is>
      </c>
      <c r="H81" s="35" t="n">
        <v>1.28</v>
      </c>
      <c r="I81" s="35" t="n">
        <v>13.32</v>
      </c>
      <c r="J81" s="49" t="n">
        <v>262</v>
      </c>
      <c r="K81" s="38">
        <f>IF(AND( C79="Buy", ISBLANK(W79), B79&lt;&gt;"DIV"), (M79/F79)-1, "")</f>
        <v/>
      </c>
      <c r="L81" s="39">
        <f>IF(AND( C79="Buy", ISBLANK(W79), B79&lt;&gt;"DIV"), (1-Index!$F$2*2)*((J79*D79)-(E79*D79)), "")</f>
        <v/>
      </c>
      <c r="M81" s="39">
        <f>IF(AND( C79="Buy", ISBLANK(W79), B79&lt;&gt;"DIV"), ((E79*D79)+L79), "")</f>
        <v/>
      </c>
      <c r="N81" s="40">
        <f>IF(AND( C79="Buy", ISBLANK(W79), B79&lt;&gt;"DIV"), D79, "")</f>
        <v/>
      </c>
      <c r="O81" s="38">
        <f>IF(AND( C79="Buy", ISBLANK(W79), Q79&lt;&gt;"", B79&lt;&gt;"DIV"), (Q79/F79)-1, "")</f>
        <v/>
      </c>
      <c r="P81" s="39">
        <f>IF(AND( C79="Buy", ISBLANK(W79), B79&lt;&gt;"DIV", NOW()-A79 &lt; 365), (1-Index!$F$2*2)*((J79*D79)-(E79*D79)), "")</f>
        <v/>
      </c>
      <c r="Q81" s="39">
        <f>IF(AND( C79="Buy", ISBLANK(W79), B79&lt;&gt;"DIV", NOW()-A79 &lt; 365), ((E79*D79)+P79), "")</f>
        <v/>
      </c>
      <c r="R81" s="39">
        <f>IF(AND( C79="Buy", ISBLANK(W79), B79&lt;&gt;"DIV", NOW()-A79 &lt; 365), D79, "")</f>
        <v/>
      </c>
      <c r="S81" s="38">
        <f>IF(AND( C79="Buy", ISBLANK(W79), U79&lt;&gt;"", B79&lt;&gt;"DIV"), (U79/F79)-1, "")</f>
        <v/>
      </c>
      <c r="T81" s="39">
        <f>IF(AND( C79="Buy", ISBLANK(W79), B79&lt;&gt;"DIV", NOW()-A79 &gt; 365), (J79*D79)-(E79*D79)-(2*sum(H79:I79)), "")</f>
        <v/>
      </c>
      <c r="U81" s="39">
        <f>IF(AND( C79="Buy", ISBLANK(W79), B79&lt;&gt;"DIV", NOW()-A79 &gt; 365), ((E79*D79)+T79), "")</f>
        <v/>
      </c>
      <c r="V81" s="39">
        <f>IF(AND( C79="Buy", ISBLANK(W79), B79&lt;&gt;"DIV", NOW()-A79 &gt; 365), D79, "")</f>
        <v/>
      </c>
      <c r="W81" s="43" t="n">
        <v>120.103933</v>
      </c>
      <c r="X81" s="48" t="n">
        <v>44228</v>
      </c>
      <c r="Y81" s="38">
        <f>IF(AND( C79="Buy", W79&lt;&gt;"", AA79&lt;&gt;"", B79&lt;&gt;"DIV"), Z79/sum(F79:I79), "")</f>
        <v/>
      </c>
      <c r="Z81" s="57">
        <f>(1-Index!$F$2*2)*((W79*D79)-(E79*D79))</f>
        <v/>
      </c>
      <c r="AA81" s="57">
        <f>((E79*D79)+Z79)</f>
        <v/>
      </c>
      <c r="AB81" s="58">
        <f>D79</f>
        <v/>
      </c>
      <c r="AC81" s="45" t="n"/>
      <c r="AD81" s="54" t="inlineStr">
        <is>
          <t>SBI Securities</t>
        </is>
      </c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8" t="n">
        <v>43707</v>
      </c>
      <c r="B82" s="34" t="inlineStr">
        <is>
          <t>NSE</t>
        </is>
      </c>
      <c r="C82" s="34" t="inlineStr">
        <is>
          <t>Buy</t>
        </is>
      </c>
      <c r="D82" s="55" t="n">
        <v>20</v>
      </c>
      <c r="E82" s="49" t="n">
        <v>64.7495</v>
      </c>
      <c r="F82" s="56" t="n">
        <v>1304.01</v>
      </c>
      <c r="G82" s="34" t="inlineStr">
        <is>
          <t>~</t>
        </is>
      </c>
      <c r="H82" s="35" t="n">
        <v>1.28</v>
      </c>
      <c r="I82" s="35" t="n">
        <v>7.73</v>
      </c>
      <c r="J82" s="49" t="n">
        <v>262</v>
      </c>
      <c r="K82" s="38">
        <f>IF(AND( C80="Buy", ISBLANK(W80), B80&lt;&gt;"DIV"), (M80/F80)-1, "")</f>
        <v/>
      </c>
      <c r="L82" s="39">
        <f>IF(AND( C80="Buy", ISBLANK(W80), B80&lt;&gt;"DIV"), (1-Index!$F$2*2)*((J80*D80)-(E80*D80)), "")</f>
        <v/>
      </c>
      <c r="M82" s="39">
        <f>IF(AND( C80="Buy", ISBLANK(W80), B80&lt;&gt;"DIV"), ((E80*D80)+L80), "")</f>
        <v/>
      </c>
      <c r="N82" s="40">
        <f>IF(AND( C80="Buy", ISBLANK(W80), B80&lt;&gt;"DIV"), D80, "")</f>
        <v/>
      </c>
      <c r="O82" s="38">
        <f>IF(AND( C80="Buy", ISBLANK(W80), Q80&lt;&gt;"", B80&lt;&gt;"DIV"), (Q80/F80)-1, "")</f>
        <v/>
      </c>
      <c r="P82" s="39">
        <f>IF(AND( C80="Buy", ISBLANK(W80), B80&lt;&gt;"DIV", NOW()-A80 &lt; 365), (1-Index!$F$2*2)*((J80*D80)-(E80*D80)), "")</f>
        <v/>
      </c>
      <c r="Q82" s="39">
        <f>IF(AND( C80="Buy", ISBLANK(W80), B80&lt;&gt;"DIV", NOW()-A80 &lt; 365), ((E80*D80)+P80), "")</f>
        <v/>
      </c>
      <c r="R82" s="39">
        <f>IF(AND( C80="Buy", ISBLANK(W80), B80&lt;&gt;"DIV", NOW()-A80 &lt; 365), D80, "")</f>
        <v/>
      </c>
      <c r="S82" s="38">
        <f>IF(AND( C80="Buy", ISBLANK(W80), U80&lt;&gt;"", B80&lt;&gt;"DIV"), (U80/F80)-1, "")</f>
        <v/>
      </c>
      <c r="T82" s="39">
        <f>IF(AND( C80="Buy", ISBLANK(W80), B80&lt;&gt;"DIV", NOW()-A80 &gt; 365), (J80*D80)-(E80*D80)-(2*sum(H80:I80)), "")</f>
        <v/>
      </c>
      <c r="U82" s="39">
        <f>IF(AND( C80="Buy", ISBLANK(W80), B80&lt;&gt;"DIV", NOW()-A80 &gt; 365), ((E80*D80)+T80), "")</f>
        <v/>
      </c>
      <c r="V82" s="39">
        <f>IF(AND( C80="Buy", ISBLANK(W80), B80&lt;&gt;"DIV", NOW()-A80 &gt; 365), D80, "")</f>
        <v/>
      </c>
      <c r="W82" s="43" t="n">
        <v>120.103933</v>
      </c>
      <c r="X82" s="48" t="n">
        <v>44228</v>
      </c>
      <c r="Y82" s="38">
        <f>IF(AND( C80="Buy", W80&lt;&gt;"", AA80&lt;&gt;"", B80&lt;&gt;"DIV"), Z80/sum(F80:I80), "")</f>
        <v/>
      </c>
      <c r="Z82" s="57">
        <f>(1-Index!$F$2*2)*((W80*D80)-(E80*D80))</f>
        <v/>
      </c>
      <c r="AA82" s="57">
        <f>((E80*D80)+Z80)</f>
        <v/>
      </c>
      <c r="AB82" s="58">
        <f>D80</f>
        <v/>
      </c>
      <c r="AC82" s="45" t="n"/>
      <c r="AD82" s="54" t="inlineStr">
        <is>
          <t>SBI Securities</t>
        </is>
      </c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8" t="n">
        <v>43700</v>
      </c>
      <c r="B83" s="34" t="inlineStr">
        <is>
          <t>NSE</t>
        </is>
      </c>
      <c r="C83" s="34" t="inlineStr">
        <is>
          <t>Buy</t>
        </is>
      </c>
      <c r="D83" s="55" t="n">
        <v>50</v>
      </c>
      <c r="E83" s="49" t="n">
        <v>58.0514</v>
      </c>
      <c r="F83" s="56" t="n">
        <v>2922.93</v>
      </c>
      <c r="G83" s="34" t="inlineStr">
        <is>
          <t>~</t>
        </is>
      </c>
      <c r="H83" s="35" t="n">
        <v>2.91</v>
      </c>
      <c r="I83" s="35" t="n">
        <v>17.52</v>
      </c>
      <c r="J83" s="49" t="n">
        <v>262</v>
      </c>
      <c r="K83" s="38">
        <f>IF(AND( C81="Buy", ISBLANK(W81), B81&lt;&gt;"DIV"), (M81/F81)-1, "")</f>
        <v/>
      </c>
      <c r="L83" s="39">
        <f>IF(AND( C81="Buy", ISBLANK(W81), B81&lt;&gt;"DIV"), (1-Index!$F$2*2)*((J81*D81)-(E81*D81)), "")</f>
        <v/>
      </c>
      <c r="M83" s="39">
        <f>IF(AND( C81="Buy", ISBLANK(W81), B81&lt;&gt;"DIV"), ((E81*D81)+L81), "")</f>
        <v/>
      </c>
      <c r="N83" s="40">
        <f>IF(AND( C81="Buy", ISBLANK(W81), B81&lt;&gt;"DIV"), D81, "")</f>
        <v/>
      </c>
      <c r="O83" s="38">
        <f>IF(AND( C81="Buy", ISBLANK(W81), Q81&lt;&gt;"", B81&lt;&gt;"DIV"), (Q81/F81)-1, "")</f>
        <v/>
      </c>
      <c r="P83" s="39">
        <f>IF(AND( C81="Buy", ISBLANK(W81), B81&lt;&gt;"DIV", NOW()-A81 &lt; 365), (1-Index!$F$2*2)*((J81*D81)-(E81*D81)), "")</f>
        <v/>
      </c>
      <c r="Q83" s="39">
        <f>IF(AND( C81="Buy", ISBLANK(W81), B81&lt;&gt;"DIV", NOW()-A81 &lt; 365), ((E81*D81)+P81), "")</f>
        <v/>
      </c>
      <c r="R83" s="39">
        <f>IF(AND( C81="Buy", ISBLANK(W81), B81&lt;&gt;"DIV", NOW()-A81 &lt; 365), D81, "")</f>
        <v/>
      </c>
      <c r="S83" s="38">
        <f>IF(AND( C81="Buy", ISBLANK(W81), U81&lt;&gt;"", B81&lt;&gt;"DIV"), (U81/F81)-1, "")</f>
        <v/>
      </c>
      <c r="T83" s="39">
        <f>IF(AND( C81="Buy", ISBLANK(W81), B81&lt;&gt;"DIV", NOW()-A81 &gt; 365), (J81*D81)-(E81*D81)-(2*sum(H81:I81)), "")</f>
        <v/>
      </c>
      <c r="U83" s="39">
        <f>IF(AND( C81="Buy", ISBLANK(W81), B81&lt;&gt;"DIV", NOW()-A81 &gt; 365), ((E81*D81)+T81), "")</f>
        <v/>
      </c>
      <c r="V83" s="39">
        <f>IF(AND( C81="Buy", ISBLANK(W81), B81&lt;&gt;"DIV", NOW()-A81 &gt; 365), D81, "")</f>
        <v/>
      </c>
      <c r="W83" s="43" t="n">
        <v>120.103933</v>
      </c>
      <c r="X83" s="48" t="n">
        <v>44228</v>
      </c>
      <c r="Y83" s="38">
        <f>IF(AND( C81="Buy", W81&lt;&gt;"", AA81&lt;&gt;"", B81&lt;&gt;"DIV"), Z81/sum(F81:I81), "")</f>
        <v/>
      </c>
      <c r="Z83" s="57">
        <f>(1-Index!$F$2*2)*((W81*D81)-(E81*D81))</f>
        <v/>
      </c>
      <c r="AA83" s="57">
        <f>((E81*D81)+Z81)</f>
        <v/>
      </c>
      <c r="AB83" s="58">
        <f>D81</f>
        <v/>
      </c>
      <c r="AC83" s="45" t="n"/>
      <c r="AD83" s="54" t="inlineStr">
        <is>
          <t>SBI Securities</t>
        </is>
      </c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8" t="n">
        <v>43683</v>
      </c>
      <c r="B84" s="34" t="inlineStr">
        <is>
          <t>NSE</t>
        </is>
      </c>
      <c r="C84" s="34" t="inlineStr">
        <is>
          <t>Buy</t>
        </is>
      </c>
      <c r="D84" s="55" t="n">
        <v>30</v>
      </c>
      <c r="E84" s="49" t="n">
        <v>63.396</v>
      </c>
      <c r="F84" s="56" t="n">
        <v>1915.62</v>
      </c>
      <c r="G84" s="34" t="inlineStr">
        <is>
          <t>~</t>
        </is>
      </c>
      <c r="H84" s="35" t="n">
        <v>1.9</v>
      </c>
      <c r="I84" s="35" t="n">
        <v>11.72</v>
      </c>
      <c r="J84" s="49" t="n">
        <v>262</v>
      </c>
      <c r="K84" s="38">
        <f>IF(AND( C82="Buy", ISBLANK(W82), B82&lt;&gt;"DIV"), (M82/F82)-1, "")</f>
        <v/>
      </c>
      <c r="L84" s="39">
        <f>IF(AND( C82="Buy", ISBLANK(W82), B82&lt;&gt;"DIV"), (1-Index!$F$2*2)*((J82*D82)-(E82*D82)), "")</f>
        <v/>
      </c>
      <c r="M84" s="39">
        <f>IF(AND( C82="Buy", ISBLANK(W82), B82&lt;&gt;"DIV"), ((E82*D82)+L82), "")</f>
        <v/>
      </c>
      <c r="N84" s="40">
        <f>IF(AND( C82="Buy", ISBLANK(W82), B82&lt;&gt;"DIV"), D82, "")</f>
        <v/>
      </c>
      <c r="O84" s="38">
        <f>IF(AND( C82="Buy", ISBLANK(W82), Q82&lt;&gt;"", B82&lt;&gt;"DIV"), (Q82/F82)-1, "")</f>
        <v/>
      </c>
      <c r="P84" s="39">
        <f>IF(AND( C82="Buy", ISBLANK(W82), B82&lt;&gt;"DIV", NOW()-A82 &lt; 365), (1-Index!$F$2*2)*((J82*D82)-(E82*D82)), "")</f>
        <v/>
      </c>
      <c r="Q84" s="39">
        <f>IF(AND( C82="Buy", ISBLANK(W82), B82&lt;&gt;"DIV", NOW()-A82 &lt; 365), ((E82*D82)+P82), "")</f>
        <v/>
      </c>
      <c r="R84" s="39">
        <f>IF(AND( C82="Buy", ISBLANK(W82), B82&lt;&gt;"DIV", NOW()-A82 &lt; 365), D82, "")</f>
        <v/>
      </c>
      <c r="S84" s="38">
        <f>IF(AND( C82="Buy", ISBLANK(W82), U82&lt;&gt;"", B82&lt;&gt;"DIV"), (U82/F82)-1, "")</f>
        <v/>
      </c>
      <c r="T84" s="39">
        <f>IF(AND( C82="Buy", ISBLANK(W82), B82&lt;&gt;"DIV", NOW()-A82 &gt; 365), (J82*D82)-(E82*D82)-(2*sum(H82:I82)), "")</f>
        <v/>
      </c>
      <c r="U84" s="39">
        <f>IF(AND( C82="Buy", ISBLANK(W82), B82&lt;&gt;"DIV", NOW()-A82 &gt; 365), ((E82*D82)+T82), "")</f>
        <v/>
      </c>
      <c r="V84" s="39">
        <f>IF(AND( C82="Buy", ISBLANK(W82), B82&lt;&gt;"DIV", NOW()-A82 &gt; 365), D82, "")</f>
        <v/>
      </c>
      <c r="W84" s="43" t="n">
        <v>120.103933</v>
      </c>
      <c r="X84" s="48" t="n">
        <v>44228</v>
      </c>
      <c r="Y84" s="38">
        <f>IF(AND( C82="Buy", W82&lt;&gt;"", AA82&lt;&gt;"", B82&lt;&gt;"DIV"), Z82/sum(F82:I82), "")</f>
        <v/>
      </c>
      <c r="Z84" s="57">
        <f>(1-Index!$F$2*2)*((W82*D82)-(E82*D82))</f>
        <v/>
      </c>
      <c r="AA84" s="57">
        <f>((E82*D82)+Z82)</f>
        <v/>
      </c>
      <c r="AB84" s="58">
        <f>D82</f>
        <v/>
      </c>
      <c r="AC84" s="45" t="n"/>
      <c r="AD84" s="54" t="inlineStr">
        <is>
          <t>SBI Securities</t>
        </is>
      </c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8" t="n">
        <v>43682</v>
      </c>
      <c r="B85" s="34" t="inlineStr">
        <is>
          <t>NSE</t>
        </is>
      </c>
      <c r="C85" s="34" t="inlineStr">
        <is>
          <t>Buy</t>
        </is>
      </c>
      <c r="D85" s="55" t="n">
        <v>20</v>
      </c>
      <c r="E85" s="49" t="n">
        <v>63.2515</v>
      </c>
      <c r="F85" s="56" t="n">
        <v>1273.97</v>
      </c>
      <c r="G85" s="34" t="inlineStr">
        <is>
          <t>~</t>
        </is>
      </c>
      <c r="H85" s="35" t="n">
        <v>1.26</v>
      </c>
      <c r="I85" s="35" t="n">
        <v>7.71</v>
      </c>
      <c r="J85" s="49" t="n">
        <v>262</v>
      </c>
      <c r="K85" s="38">
        <f>IF(AND( C83="Buy", ISBLANK(W83), B83&lt;&gt;"DIV"), (M83/F83)-1, "")</f>
        <v/>
      </c>
      <c r="L85" s="39">
        <f>IF(AND( C83="Buy", ISBLANK(W83), B83&lt;&gt;"DIV"), (1-Index!$F$2*2)*((J83*D83)-(E83*D83)), "")</f>
        <v/>
      </c>
      <c r="M85" s="39">
        <f>IF(AND( C83="Buy", ISBLANK(W83), B83&lt;&gt;"DIV"), ((E83*D83)+L83), "")</f>
        <v/>
      </c>
      <c r="N85" s="40">
        <f>IF(AND( C83="Buy", ISBLANK(W83), B83&lt;&gt;"DIV"), D83, "")</f>
        <v/>
      </c>
      <c r="O85" s="38">
        <f>IF(AND( C83="Buy", ISBLANK(W83), Q83&lt;&gt;"", B83&lt;&gt;"DIV"), (Q83/F83)-1, "")</f>
        <v/>
      </c>
      <c r="P85" s="39">
        <f>IF(AND( C83="Buy", ISBLANK(W83), B83&lt;&gt;"DIV", NOW()-A83 &lt; 365), (1-Index!$F$2*2)*((J83*D83)-(E83*D83)), "")</f>
        <v/>
      </c>
      <c r="Q85" s="39">
        <f>IF(AND( C83="Buy", ISBLANK(W83), B83&lt;&gt;"DIV", NOW()-A83 &lt; 365), ((E83*D83)+P83), "")</f>
        <v/>
      </c>
      <c r="R85" s="39">
        <f>IF(AND( C83="Buy", ISBLANK(W83), B83&lt;&gt;"DIV", NOW()-A83 &lt; 365), D83, "")</f>
        <v/>
      </c>
      <c r="S85" s="38">
        <f>IF(AND( C83="Buy", ISBLANK(W83), U83&lt;&gt;"", B83&lt;&gt;"DIV"), (U83/F83)-1, "")</f>
        <v/>
      </c>
      <c r="T85" s="39">
        <f>IF(AND( C83="Buy", ISBLANK(W83), B83&lt;&gt;"DIV", NOW()-A83 &gt; 365), (J83*D83)-(E83*D83)-(2*sum(H83:I83)), "")</f>
        <v/>
      </c>
      <c r="U85" s="39">
        <f>IF(AND( C83="Buy", ISBLANK(W83), B83&lt;&gt;"DIV", NOW()-A83 &gt; 365), ((E83*D83)+T83), "")</f>
        <v/>
      </c>
      <c r="V85" s="39">
        <f>IF(AND( C83="Buy", ISBLANK(W83), B83&lt;&gt;"DIV", NOW()-A83 &gt; 365), D83, "")</f>
        <v/>
      </c>
      <c r="W85" s="43" t="n">
        <v>120.103933</v>
      </c>
      <c r="X85" s="48" t="n">
        <v>44228</v>
      </c>
      <c r="Y85" s="38">
        <f>IF(AND( C83="Buy", W83&lt;&gt;"", AA83&lt;&gt;"", B83&lt;&gt;"DIV"), Z83/sum(F83:I83), "")</f>
        <v/>
      </c>
      <c r="Z85" s="57">
        <f>(1-Index!$F$2*2)*((W83*D83)-(E83*D83))</f>
        <v/>
      </c>
      <c r="AA85" s="57">
        <f>((E83*D83)+Z83)</f>
        <v/>
      </c>
      <c r="AB85" s="58">
        <f>D83</f>
        <v/>
      </c>
      <c r="AC85" s="45" t="n"/>
      <c r="AD85" s="54" t="inlineStr">
        <is>
          <t>SBI Securities</t>
        </is>
      </c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8" t="n">
        <v>43669</v>
      </c>
      <c r="B86" s="34" t="inlineStr">
        <is>
          <t>DIV</t>
        </is>
      </c>
      <c r="C86" s="34" t="inlineStr">
        <is>
          <t>Buy</t>
        </is>
      </c>
      <c r="D86" s="55" t="n">
        <v>1150</v>
      </c>
      <c r="E86" s="49" t="n">
        <v>3.1</v>
      </c>
      <c r="F86" s="56" t="n">
        <v>3565</v>
      </c>
      <c r="G86" s="34" t="inlineStr">
        <is>
          <t>Dividend of Rs.3.1000/- per share on 23-JUL-2019</t>
        </is>
      </c>
      <c r="H86" s="35" t="n">
        <v>0</v>
      </c>
      <c r="I86" s="35" t="n">
        <v>0</v>
      </c>
      <c r="J86" s="49" t="n">
        <v>262</v>
      </c>
      <c r="K86" s="38">
        <f>IF(AND( C84="Buy", ISBLANK(W84), B84&lt;&gt;"DIV"), (M84/F84)-1, "")</f>
        <v/>
      </c>
      <c r="L86" s="39">
        <f>IF(AND( C84="Buy", ISBLANK(W84), B84&lt;&gt;"DIV"), (1-Index!$F$2*2)*((J84*D84)-(E84*D84)), "")</f>
        <v/>
      </c>
      <c r="M86" s="39">
        <f>IF(AND( C84="Buy", ISBLANK(W84), B84&lt;&gt;"DIV"), ((E84*D84)+L84), "")</f>
        <v/>
      </c>
      <c r="N86" s="40">
        <f>IF(AND( C84="Buy", ISBLANK(W84), B84&lt;&gt;"DIV"), D84, "")</f>
        <v/>
      </c>
      <c r="O86" s="38">
        <f>IF(AND( C84="Buy", ISBLANK(W84), Q84&lt;&gt;"", B84&lt;&gt;"DIV"), (Q84/F84)-1, "")</f>
        <v/>
      </c>
      <c r="P86" s="39">
        <f>IF(AND( C84="Buy", ISBLANK(W84), B84&lt;&gt;"DIV", NOW()-A84 &lt; 365), (1-Index!$F$2*2)*((J84*D84)-(E84*D84)), "")</f>
        <v/>
      </c>
      <c r="Q86" s="39">
        <f>IF(AND( C84="Buy", ISBLANK(W84), B84&lt;&gt;"DIV", NOW()-A84 &lt; 365), ((E84*D84)+P84), "")</f>
        <v/>
      </c>
      <c r="R86" s="39">
        <f>IF(AND( C84="Buy", ISBLANK(W84), B84&lt;&gt;"DIV", NOW()-A84 &lt; 365), D84, "")</f>
        <v/>
      </c>
      <c r="S86" s="38">
        <f>IF(AND( C84="Buy", ISBLANK(W84), U84&lt;&gt;"", B84&lt;&gt;"DIV"), (U84/F84)-1, "")</f>
        <v/>
      </c>
      <c r="T86" s="39">
        <f>IF(AND( C84="Buy", ISBLANK(W84), B84&lt;&gt;"DIV", NOW()-A84 &gt; 365), (J84*D84)-(E84*D84)-(2*sum(H84:I84)), "")</f>
        <v/>
      </c>
      <c r="U86" s="39">
        <f>IF(AND( C84="Buy", ISBLANK(W84), B84&lt;&gt;"DIV", NOW()-A84 &gt; 365), ((E84*D84)+T84), "")</f>
        <v/>
      </c>
      <c r="V86" s="39">
        <f>IF(AND( C84="Buy", ISBLANK(W84), B84&lt;&gt;"DIV", NOW()-A84 &gt; 365), D84, "")</f>
        <v/>
      </c>
      <c r="W86" s="43" t="n"/>
      <c r="X86" s="48" t="n"/>
      <c r="Y86" s="38">
        <f>IF(AND( C84="Buy", W84&lt;&gt;"", AA84&lt;&gt;"", B84&lt;&gt;"DIV"), Z84/sum(F84:I84), "")</f>
        <v/>
      </c>
      <c r="Z86" s="43" t="n"/>
      <c r="AA86" s="43" t="n"/>
      <c r="AB86" s="44" t="n"/>
      <c r="AC86" s="45">
        <f>if(B84="DIV", F84,"")</f>
        <v/>
      </c>
      <c r="AD86" s="54" t="inlineStr">
        <is>
          <t>SBI Securities</t>
        </is>
      </c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8" t="n">
        <v>43619</v>
      </c>
      <c r="B87" s="34" t="inlineStr">
        <is>
          <t>NSE</t>
        </is>
      </c>
      <c r="C87" s="34" t="inlineStr">
        <is>
          <t>Buy</t>
        </is>
      </c>
      <c r="D87" s="55" t="n">
        <v>50</v>
      </c>
      <c r="E87" s="49" t="n">
        <v>90.8964</v>
      </c>
      <c r="F87" s="56" t="n">
        <v>4576.68</v>
      </c>
      <c r="G87" s="34" t="inlineStr">
        <is>
          <t>~</t>
        </is>
      </c>
      <c r="H87" s="35" t="n">
        <v>4.45</v>
      </c>
      <c r="I87" s="35" t="n">
        <v>27.23</v>
      </c>
      <c r="J87" s="49" t="n">
        <v>262</v>
      </c>
      <c r="K87" s="38">
        <f>IF(AND( C85="Buy", ISBLANK(W85), B85&lt;&gt;"DIV"), (M85/F85)-1, "")</f>
        <v/>
      </c>
      <c r="L87" s="39">
        <f>IF(AND( C85="Buy", ISBLANK(W85), B85&lt;&gt;"DIV"), (1-Index!$F$2*2)*((J85*D85)-(E85*D85)), "")</f>
        <v/>
      </c>
      <c r="M87" s="39">
        <f>IF(AND( C85="Buy", ISBLANK(W85), B85&lt;&gt;"DIV"), ((E85*D85)+L85), "")</f>
        <v/>
      </c>
      <c r="N87" s="40">
        <f>IF(AND( C85="Buy", ISBLANK(W85), B85&lt;&gt;"DIV"), D85, "")</f>
        <v/>
      </c>
      <c r="O87" s="38">
        <f>IF(AND( C85="Buy", ISBLANK(W85), Q85&lt;&gt;"", B85&lt;&gt;"DIV"), (Q85/F85)-1, "")</f>
        <v/>
      </c>
      <c r="P87" s="39">
        <f>IF(AND( C85="Buy", ISBLANK(W85), B85&lt;&gt;"DIV", NOW()-A85 &lt; 365), (1-Index!$F$2*2)*((J85*D85)-(E85*D85)), "")</f>
        <v/>
      </c>
      <c r="Q87" s="39">
        <f>IF(AND( C85="Buy", ISBLANK(W85), B85&lt;&gt;"DIV", NOW()-A85 &lt; 365), ((E85*D85)+P85), "")</f>
        <v/>
      </c>
      <c r="R87" s="39">
        <f>IF(AND( C85="Buy", ISBLANK(W85), B85&lt;&gt;"DIV", NOW()-A85 &lt; 365), D85, "")</f>
        <v/>
      </c>
      <c r="S87" s="38">
        <f>IF(AND( C85="Buy", ISBLANK(W85), U85&lt;&gt;"", B85&lt;&gt;"DIV"), (U85/F85)-1, "")</f>
        <v/>
      </c>
      <c r="T87" s="39">
        <f>IF(AND( C85="Buy", ISBLANK(W85), B85&lt;&gt;"DIV", NOW()-A85 &gt; 365), (J85*D85)-(E85*D85)-(2*sum(H85:I85)), "")</f>
        <v/>
      </c>
      <c r="U87" s="39">
        <f>IF(AND( C85="Buy", ISBLANK(W85), B85&lt;&gt;"DIV", NOW()-A85 &gt; 365), ((E85*D85)+T85), "")</f>
        <v/>
      </c>
      <c r="V87" s="39">
        <f>IF(AND( C85="Buy", ISBLANK(W85), B85&lt;&gt;"DIV", NOW()-A85 &gt; 365), D85, "")</f>
        <v/>
      </c>
      <c r="W87" s="43" t="n">
        <v>119.238667</v>
      </c>
      <c r="X87" s="48" t="n">
        <v>44211</v>
      </c>
      <c r="Y87" s="38">
        <f>IF(AND( C85="Buy", W85&lt;&gt;"", AA85&lt;&gt;"", B85&lt;&gt;"DIV"), Z85/sum(F85:I85), "")</f>
        <v/>
      </c>
      <c r="Z87" s="57">
        <f>(1-Index!$F$2*2)*((W85*D85)-(E85*D85))</f>
        <v/>
      </c>
      <c r="AA87" s="57">
        <f>((E85*D85)+Z85)</f>
        <v/>
      </c>
      <c r="AB87" s="58">
        <f>D85</f>
        <v/>
      </c>
      <c r="AC87" s="45" t="n"/>
      <c r="AD87" s="54" t="inlineStr">
        <is>
          <t>SBI Securities</t>
        </is>
      </c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8" t="n">
        <v>43593</v>
      </c>
      <c r="B88" s="34" t="inlineStr">
        <is>
          <t>NSE</t>
        </is>
      </c>
      <c r="C88" s="34" t="inlineStr">
        <is>
          <t>Buy</t>
        </is>
      </c>
      <c r="D88" s="55" t="n">
        <v>50</v>
      </c>
      <c r="E88" s="49" t="n">
        <v>85.84739999999999</v>
      </c>
      <c r="F88" s="56" t="n">
        <v>4322.63</v>
      </c>
      <c r="G88" s="34" t="inlineStr">
        <is>
          <t>~</t>
        </is>
      </c>
      <c r="H88" s="35" t="n">
        <v>4.21</v>
      </c>
      <c r="I88" s="35" t="n">
        <v>25.92</v>
      </c>
      <c r="J88" s="49" t="n">
        <v>262</v>
      </c>
      <c r="K88" s="38">
        <f>IF(AND( C86="Buy", ISBLANK(W86), B86&lt;&gt;"DIV"), (M86/F86)-1, "")</f>
        <v/>
      </c>
      <c r="L88" s="39">
        <f>IF(AND( C86="Buy", ISBLANK(W86), B86&lt;&gt;"DIV"), (1-Index!$F$2*2)*((J86*D86)-(E86*D86)), "")</f>
        <v/>
      </c>
      <c r="M88" s="39">
        <f>IF(AND( C86="Buy", ISBLANK(W86), B86&lt;&gt;"DIV"), ((E86*D86)+L86), "")</f>
        <v/>
      </c>
      <c r="N88" s="40">
        <f>IF(AND( C86="Buy", ISBLANK(W86), B86&lt;&gt;"DIV"), D86, "")</f>
        <v/>
      </c>
      <c r="O88" s="38">
        <f>IF(AND( C86="Buy", ISBLANK(W86), Q86&lt;&gt;"", B86&lt;&gt;"DIV"), (Q86/F86)-1, "")</f>
        <v/>
      </c>
      <c r="P88" s="39">
        <f>IF(AND( C86="Buy", ISBLANK(W86), B86&lt;&gt;"DIV", NOW()-A86 &lt; 365), (1-Index!$F$2*2)*((J86*D86)-(E86*D86)), "")</f>
        <v/>
      </c>
      <c r="Q88" s="39">
        <f>IF(AND( C86="Buy", ISBLANK(W86), B86&lt;&gt;"DIV", NOW()-A86 &lt; 365), ((E86*D86)+P86), "")</f>
        <v/>
      </c>
      <c r="R88" s="39">
        <f>IF(AND( C86="Buy", ISBLANK(W86), B86&lt;&gt;"DIV", NOW()-A86 &lt; 365), D86, "")</f>
        <v/>
      </c>
      <c r="S88" s="38">
        <f>IF(AND( C86="Buy", ISBLANK(W86), U86&lt;&gt;"", B86&lt;&gt;"DIV"), (U86/F86)-1, "")</f>
        <v/>
      </c>
      <c r="T88" s="39">
        <f>IF(AND( C86="Buy", ISBLANK(W86), B86&lt;&gt;"DIV", NOW()-A86 &gt; 365), (J86*D86)-(E86*D86)-(2*sum(H86:I86)), "")</f>
        <v/>
      </c>
      <c r="U88" s="39">
        <f>IF(AND( C86="Buy", ISBLANK(W86), B86&lt;&gt;"DIV", NOW()-A86 &gt; 365), ((E86*D86)+T86), "")</f>
        <v/>
      </c>
      <c r="V88" s="39">
        <f>IF(AND( C86="Buy", ISBLANK(W86), B86&lt;&gt;"DIV", NOW()-A86 &gt; 365), D86, "")</f>
        <v/>
      </c>
      <c r="W88" s="43" t="n">
        <v>119.238667</v>
      </c>
      <c r="X88" s="48" t="n">
        <v>44211</v>
      </c>
      <c r="Y88" s="38">
        <f>IF(AND( C86="Buy", W86&lt;&gt;"", AA86&lt;&gt;"", B86&lt;&gt;"DIV"), Z86/sum(F86:I86), "")</f>
        <v/>
      </c>
      <c r="Z88" s="57">
        <f>(1-Index!$F$2*2)*((W86*D86)-(E86*D86))</f>
        <v/>
      </c>
      <c r="AA88" s="57">
        <f>((E86*D86)+Z86)</f>
        <v/>
      </c>
      <c r="AB88" s="58">
        <f>D86</f>
        <v/>
      </c>
      <c r="AC88" s="45" t="n"/>
      <c r="AD88" s="54" t="inlineStr">
        <is>
          <t>SBI Securities</t>
        </is>
      </c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8" t="n">
        <v>43480</v>
      </c>
      <c r="B89" s="34" t="inlineStr">
        <is>
          <t>NSE</t>
        </is>
      </c>
      <c r="C89" s="34" t="inlineStr">
        <is>
          <t>Buy</t>
        </is>
      </c>
      <c r="D89" s="55" t="n">
        <v>50</v>
      </c>
      <c r="E89" s="49" t="n">
        <v>94.3028</v>
      </c>
      <c r="F89" s="56" t="n">
        <v>4747.86</v>
      </c>
      <c r="G89" s="34" t="inlineStr">
        <is>
          <t>~</t>
        </is>
      </c>
      <c r="H89" s="35" t="n">
        <v>4.65</v>
      </c>
      <c r="I89" s="35" t="n">
        <v>28.21</v>
      </c>
      <c r="J89" s="49" t="n">
        <v>262</v>
      </c>
      <c r="K89" s="38">
        <f>IF(AND( C87="Buy", ISBLANK(W87), B87&lt;&gt;"DIV"), (M87/F87)-1, "")</f>
        <v/>
      </c>
      <c r="L89" s="39">
        <f>IF(AND( C87="Buy", ISBLANK(W87), B87&lt;&gt;"DIV"), (1-Index!$F$2*2)*((J87*D87)-(E87*D87)), "")</f>
        <v/>
      </c>
      <c r="M89" s="39">
        <f>IF(AND( C87="Buy", ISBLANK(W87), B87&lt;&gt;"DIV"), ((E87*D87)+L87), "")</f>
        <v/>
      </c>
      <c r="N89" s="40">
        <f>IF(AND( C87="Buy", ISBLANK(W87), B87&lt;&gt;"DIV"), D87, "")</f>
        <v/>
      </c>
      <c r="O89" s="38">
        <f>IF(AND( C87="Buy", ISBLANK(W87), Q87&lt;&gt;"", B87&lt;&gt;"DIV"), (Q87/F87)-1, "")</f>
        <v/>
      </c>
      <c r="P89" s="39">
        <f>IF(AND( C87="Buy", ISBLANK(W87), B87&lt;&gt;"DIV", NOW()-A87 &lt; 365), (1-Index!$F$2*2)*((J87*D87)-(E87*D87)), "")</f>
        <v/>
      </c>
      <c r="Q89" s="39">
        <f>IF(AND( C87="Buy", ISBLANK(W87), B87&lt;&gt;"DIV", NOW()-A87 &lt; 365), ((E87*D87)+P87), "")</f>
        <v/>
      </c>
      <c r="R89" s="39">
        <f>IF(AND( C87="Buy", ISBLANK(W87), B87&lt;&gt;"DIV", NOW()-A87 &lt; 365), D87, "")</f>
        <v/>
      </c>
      <c r="S89" s="38">
        <f>IF(AND( C87="Buy", ISBLANK(W87), U87&lt;&gt;"", B87&lt;&gt;"DIV"), (U87/F87)-1, "")</f>
        <v/>
      </c>
      <c r="T89" s="39">
        <f>IF(AND( C87="Buy", ISBLANK(W87), B87&lt;&gt;"DIV", NOW()-A87 &gt; 365), (J87*D87)-(E87*D87)-(2*sum(H87:I87)), "")</f>
        <v/>
      </c>
      <c r="U89" s="39">
        <f>IF(AND( C87="Buy", ISBLANK(W87), B87&lt;&gt;"DIV", NOW()-A87 &gt; 365), ((E87*D87)+T87), "")</f>
        <v/>
      </c>
      <c r="V89" s="39">
        <f>IF(AND( C87="Buy", ISBLANK(W87), B87&lt;&gt;"DIV", NOW()-A87 &gt; 365), D87, "")</f>
        <v/>
      </c>
      <c r="W89" s="43" t="n">
        <v>119.238667</v>
      </c>
      <c r="X89" s="48" t="n">
        <v>44211</v>
      </c>
      <c r="Y89" s="38">
        <f>IF(AND( C87="Buy", W87&lt;&gt;"", AA87&lt;&gt;"", B87&lt;&gt;"DIV"), Z87/sum(F87:I87), "")</f>
        <v/>
      </c>
      <c r="Z89" s="57">
        <f>(1-Index!$F$2*2)*((W87*D87)-(E87*D87))</f>
        <v/>
      </c>
      <c r="AA89" s="57">
        <f>((E87*D87)+Z87)</f>
        <v/>
      </c>
      <c r="AB89" s="58">
        <f>D87</f>
        <v/>
      </c>
      <c r="AC89" s="45" t="n"/>
      <c r="AD89" s="54" t="inlineStr">
        <is>
          <t>SBI Securities</t>
        </is>
      </c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8" t="n">
        <v>43420</v>
      </c>
      <c r="B90" s="34" t="inlineStr">
        <is>
          <t>NSE</t>
        </is>
      </c>
      <c r="C90" s="34" t="inlineStr">
        <is>
          <t>Buy</t>
        </is>
      </c>
      <c r="D90" s="55" t="n">
        <v>100</v>
      </c>
      <c r="E90" s="49" t="n">
        <v>106.9005</v>
      </c>
      <c r="F90" s="56" t="n">
        <v>10764.95</v>
      </c>
      <c r="G90" s="34" t="inlineStr">
        <is>
          <t>~</t>
        </is>
      </c>
      <c r="H90" s="35" t="n">
        <v>11</v>
      </c>
      <c r="I90" s="35" t="n">
        <v>63.95</v>
      </c>
      <c r="J90" s="49" t="n">
        <v>262</v>
      </c>
      <c r="K90" s="38">
        <f>IF(AND( C88="Buy", ISBLANK(W88), B88&lt;&gt;"DIV"), (M88/F88)-1, "")</f>
        <v/>
      </c>
      <c r="L90" s="39">
        <f>IF(AND( C88="Buy", ISBLANK(W88), B88&lt;&gt;"DIV"), (1-Index!$F$2*2)*((J88*D88)-(E88*D88)), "")</f>
        <v/>
      </c>
      <c r="M90" s="39">
        <f>IF(AND( C88="Buy", ISBLANK(W88), B88&lt;&gt;"DIV"), ((E88*D88)+L88), "")</f>
        <v/>
      </c>
      <c r="N90" s="40">
        <f>IF(AND( C88="Buy", ISBLANK(W88), B88&lt;&gt;"DIV"), D88, "")</f>
        <v/>
      </c>
      <c r="O90" s="38">
        <f>IF(AND( C88="Buy", ISBLANK(W88), Q88&lt;&gt;"", B88&lt;&gt;"DIV"), (Q88/F88)-1, "")</f>
        <v/>
      </c>
      <c r="P90" s="39">
        <f>IF(AND( C88="Buy", ISBLANK(W88), B88&lt;&gt;"DIV", NOW()-A88 &lt; 365), (1-Index!$F$2*2)*((J88*D88)-(E88*D88)), "")</f>
        <v/>
      </c>
      <c r="Q90" s="39">
        <f>IF(AND( C88="Buy", ISBLANK(W88), B88&lt;&gt;"DIV", NOW()-A88 &lt; 365), ((E88*D88)+P88), "")</f>
        <v/>
      </c>
      <c r="R90" s="39">
        <f>IF(AND( C88="Buy", ISBLANK(W88), B88&lt;&gt;"DIV", NOW()-A88 &lt; 365), D88, "")</f>
        <v/>
      </c>
      <c r="S90" s="38">
        <f>IF(AND( C88="Buy", ISBLANK(W88), U88&lt;&gt;"", B88&lt;&gt;"DIV"), (U88/F88)-1, "")</f>
        <v/>
      </c>
      <c r="T90" s="39">
        <f>IF(AND( C88="Buy", ISBLANK(W88), B88&lt;&gt;"DIV", NOW()-A88 &gt; 365), (J88*D88)-(E88*D88)-(2*sum(H88:I88)), "")</f>
        <v/>
      </c>
      <c r="U90" s="39">
        <f>IF(AND( C88="Buy", ISBLANK(W88), B88&lt;&gt;"DIV", NOW()-A88 &gt; 365), ((E88*D88)+T88), "")</f>
        <v/>
      </c>
      <c r="V90" s="39">
        <f>IF(AND( C88="Buy", ISBLANK(W88), B88&lt;&gt;"DIV", NOW()-A88 &gt; 365), D88, "")</f>
        <v/>
      </c>
      <c r="W90" s="43" t="n">
        <v>119.238667</v>
      </c>
      <c r="X90" s="48" t="n">
        <v>44211</v>
      </c>
      <c r="Y90" s="38">
        <f>IF(AND( C88="Buy", W88&lt;&gt;"", AA88&lt;&gt;"", B88&lt;&gt;"DIV"), Z88/sum(F88:I88), "")</f>
        <v/>
      </c>
      <c r="Z90" s="57">
        <f>(1-Index!$F$2*2)*((W88*D88)-(E88*D88))</f>
        <v/>
      </c>
      <c r="AA90" s="57">
        <f>((E88*D88)+Z88)</f>
        <v/>
      </c>
      <c r="AB90" s="58">
        <f>D88</f>
        <v/>
      </c>
      <c r="AC90" s="45" t="n"/>
      <c r="AD90" s="54" t="inlineStr">
        <is>
          <t>SBI Securities</t>
        </is>
      </c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8" t="n">
        <v>43392</v>
      </c>
      <c r="B91" s="34" t="inlineStr">
        <is>
          <t>NSE</t>
        </is>
      </c>
      <c r="C91" s="34" t="inlineStr">
        <is>
          <t>Buy</t>
        </is>
      </c>
      <c r="D91" s="55" t="n">
        <v>50</v>
      </c>
      <c r="E91" s="49" t="n">
        <v>114.396</v>
      </c>
      <c r="F91" s="56" t="n">
        <v>5760.2</v>
      </c>
      <c r="G91" s="34" t="inlineStr">
        <is>
          <t>~</t>
        </is>
      </c>
      <c r="H91" s="35" t="n">
        <v>5.84166</v>
      </c>
      <c r="I91" s="35" t="n">
        <v>34.35833</v>
      </c>
      <c r="J91" s="49" t="n">
        <v>262</v>
      </c>
      <c r="K91" s="38">
        <f>IF(AND( C89="Buy", ISBLANK(W89), B89&lt;&gt;"DIV"), (M89/F89)-1, "")</f>
        <v/>
      </c>
      <c r="L91" s="39">
        <f>IF(AND( C89="Buy", ISBLANK(W89), B89&lt;&gt;"DIV"), (1-Index!$F$2*2)*((J89*D89)-(E89*D89)), "")</f>
        <v/>
      </c>
      <c r="M91" s="39">
        <f>IF(AND( C89="Buy", ISBLANK(W89), B89&lt;&gt;"DIV"), ((E89*D89)+L89), "")</f>
        <v/>
      </c>
      <c r="N91" s="40">
        <f>IF(AND( C89="Buy", ISBLANK(W89), B89&lt;&gt;"DIV"), D89, "")</f>
        <v/>
      </c>
      <c r="O91" s="38">
        <f>IF(AND( C89="Buy", ISBLANK(W89), Q89&lt;&gt;"", B89&lt;&gt;"DIV"), (Q89/F89)-1, "")</f>
        <v/>
      </c>
      <c r="P91" s="39">
        <f>IF(AND( C89="Buy", ISBLANK(W89), B89&lt;&gt;"DIV", NOW()-A89 &lt; 365), (1-Index!$F$2*2)*((J89*D89)-(E89*D89)), "")</f>
        <v/>
      </c>
      <c r="Q91" s="39">
        <f>IF(AND( C89="Buy", ISBLANK(W89), B89&lt;&gt;"DIV", NOW()-A89 &lt; 365), ((E89*D89)+P89), "")</f>
        <v/>
      </c>
      <c r="R91" s="39">
        <f>IF(AND( C89="Buy", ISBLANK(W89), B89&lt;&gt;"DIV", NOW()-A89 &lt; 365), D89, "")</f>
        <v/>
      </c>
      <c r="S91" s="38">
        <f>IF(AND( C89="Buy", ISBLANK(W89), U89&lt;&gt;"", B89&lt;&gt;"DIV"), (U89/F89)-1, "")</f>
        <v/>
      </c>
      <c r="T91" s="39">
        <f>IF(AND( C89="Buy", ISBLANK(W89), B89&lt;&gt;"DIV", NOW()-A89 &gt; 365), (J89*D89)-(E89*D89)-(2*sum(H89:I89)), "")</f>
        <v/>
      </c>
      <c r="U91" s="39">
        <f>IF(AND( C89="Buy", ISBLANK(W89), B89&lt;&gt;"DIV", NOW()-A89 &gt; 365), ((E89*D89)+T89), "")</f>
        <v/>
      </c>
      <c r="V91" s="39">
        <f>IF(AND( C89="Buy", ISBLANK(W89), B89&lt;&gt;"DIV", NOW()-A89 &gt; 365), D89, "")</f>
        <v/>
      </c>
      <c r="W91" s="43" t="n">
        <v>119.238667</v>
      </c>
      <c r="X91" s="48" t="n">
        <v>44211</v>
      </c>
      <c r="Y91" s="38">
        <f>IF(AND( C89="Buy", W89&lt;&gt;"", AA89&lt;&gt;"", B89&lt;&gt;"DIV"), Z89/sum(F89:I89), "")</f>
        <v/>
      </c>
      <c r="Z91" s="57">
        <f>(1-Index!$F$2*2)*((W89*D89)-(E89*D89))</f>
        <v/>
      </c>
      <c r="AA91" s="57">
        <f>((E89*D89)+Z89)</f>
        <v/>
      </c>
      <c r="AB91" s="58">
        <f>D89</f>
        <v/>
      </c>
      <c r="AC91" s="45" t="n"/>
      <c r="AD91" s="54" t="inlineStr">
        <is>
          <t>SBI Securities</t>
        </is>
      </c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8" t="n">
        <v>43392</v>
      </c>
      <c r="B92" s="34" t="inlineStr">
        <is>
          <t>NSE</t>
        </is>
      </c>
      <c r="C92" s="34" t="inlineStr">
        <is>
          <t>Buy</t>
        </is>
      </c>
      <c r="D92" s="55" t="n">
        <v>10</v>
      </c>
      <c r="E92" s="49" t="n">
        <v>114.396001</v>
      </c>
      <c r="F92" s="56" t="n">
        <v>1152.04</v>
      </c>
      <c r="G92" s="34" t="inlineStr">
        <is>
          <t>~</t>
        </is>
      </c>
      <c r="H92" s="35" t="n">
        <v>1.16833</v>
      </c>
      <c r="I92" s="35" t="n">
        <v>6.87166</v>
      </c>
      <c r="J92" s="49" t="n">
        <v>262</v>
      </c>
      <c r="K92" s="38">
        <f>IF(AND( C90="Buy", ISBLANK(W90), B90&lt;&gt;"DIV"), (M90/F90)-1, "")</f>
        <v/>
      </c>
      <c r="L92" s="39">
        <f>IF(AND( C90="Buy", ISBLANK(W90), B90&lt;&gt;"DIV"), (1-Index!$F$2*2)*((J90*D90)-(E90*D90)), "")</f>
        <v/>
      </c>
      <c r="M92" s="39">
        <f>IF(AND( C90="Buy", ISBLANK(W90), B90&lt;&gt;"DIV"), ((E90*D90)+L90), "")</f>
        <v/>
      </c>
      <c r="N92" s="40">
        <f>IF(AND( C90="Buy", ISBLANK(W90), B90&lt;&gt;"DIV"), D90, "")</f>
        <v/>
      </c>
      <c r="O92" s="38">
        <f>IF(AND( C90="Buy", ISBLANK(W90), Q90&lt;&gt;"", B90&lt;&gt;"DIV"), (Q90/F90)-1, "")</f>
        <v/>
      </c>
      <c r="P92" s="39">
        <f>IF(AND( C90="Buy", ISBLANK(W90), B90&lt;&gt;"DIV", NOW()-A90 &lt; 365), (1-Index!$F$2*2)*((J90*D90)-(E90*D90)), "")</f>
        <v/>
      </c>
      <c r="Q92" s="39">
        <f>IF(AND( C90="Buy", ISBLANK(W90), B90&lt;&gt;"DIV", NOW()-A90 &lt; 365), ((E90*D90)+P90), "")</f>
        <v/>
      </c>
      <c r="R92" s="39">
        <f>IF(AND( C90="Buy", ISBLANK(W90), B90&lt;&gt;"DIV", NOW()-A90 &lt; 365), D90, "")</f>
        <v/>
      </c>
      <c r="S92" s="38">
        <f>IF(AND( C90="Buy", ISBLANK(W90), U90&lt;&gt;"", B90&lt;&gt;"DIV"), (U90/F90)-1, "")</f>
        <v/>
      </c>
      <c r="T92" s="39">
        <f>IF(AND( C90="Buy", ISBLANK(W90), B90&lt;&gt;"DIV", NOW()-A90 &gt; 365), (J90*D90)-(E90*D90)-(2*sum(H90:I90)), "")</f>
        <v/>
      </c>
      <c r="U92" s="39">
        <f>IF(AND( C90="Buy", ISBLANK(W90), B90&lt;&gt;"DIV", NOW()-A90 &gt; 365), ((E90*D90)+T90), "")</f>
        <v/>
      </c>
      <c r="V92" s="39">
        <f>IF(AND( C90="Buy", ISBLANK(W90), B90&lt;&gt;"DIV", NOW()-A90 &gt; 365), D90, "")</f>
        <v/>
      </c>
      <c r="W92" s="43" t="n">
        <v>111.770971</v>
      </c>
      <c r="X92" s="48" t="n">
        <v>44204</v>
      </c>
      <c r="Y92" s="38">
        <f>IF(AND( C90="Buy", W90&lt;&gt;"", AA90&lt;&gt;"", B90&lt;&gt;"DIV"), Z90/sum(F90:I90), "")</f>
        <v/>
      </c>
      <c r="Z92" s="57">
        <f>(1-Index!$F$2*2)*((W90*D90)-(E90*D90))</f>
        <v/>
      </c>
      <c r="AA92" s="57">
        <f>((E90*D90)+Z90)</f>
        <v/>
      </c>
      <c r="AB92" s="58">
        <f>D90</f>
        <v/>
      </c>
      <c r="AC92" s="45" t="n"/>
      <c r="AD92" s="54" t="inlineStr">
        <is>
          <t>SBI Securities</t>
        </is>
      </c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8" t="n">
        <v>43304</v>
      </c>
      <c r="B93" s="34" t="inlineStr">
        <is>
          <t>NSE</t>
        </is>
      </c>
      <c r="C93" s="34" t="inlineStr">
        <is>
          <t>Buy</t>
        </is>
      </c>
      <c r="D93" s="55" t="n">
        <v>100</v>
      </c>
      <c r="E93" s="49" t="n">
        <v>108.5029</v>
      </c>
      <c r="F93" s="56" t="n">
        <v>10925.71</v>
      </c>
      <c r="G93" s="34" t="inlineStr">
        <is>
          <t>~</t>
        </is>
      </c>
      <c r="H93" s="35" t="n">
        <v>10.86</v>
      </c>
      <c r="I93" s="35" t="n">
        <v>64.84999999999999</v>
      </c>
      <c r="J93" s="49" t="n">
        <v>262</v>
      </c>
      <c r="K93" s="38">
        <f>IF(AND( C91="Buy", ISBLANK(W91), B91&lt;&gt;"DIV"), (M91/F91)-1, "")</f>
        <v/>
      </c>
      <c r="L93" s="39">
        <f>IF(AND( C91="Buy", ISBLANK(W91), B91&lt;&gt;"DIV"), (1-Index!$F$2*2)*((J91*D91)-(E91*D91)), "")</f>
        <v/>
      </c>
      <c r="M93" s="39">
        <f>IF(AND( C91="Buy", ISBLANK(W91), B91&lt;&gt;"DIV"), ((E91*D91)+L91), "")</f>
        <v/>
      </c>
      <c r="N93" s="40">
        <f>IF(AND( C91="Buy", ISBLANK(W91), B91&lt;&gt;"DIV"), D91, "")</f>
        <v/>
      </c>
      <c r="O93" s="38">
        <f>IF(AND( C91="Buy", ISBLANK(W91), Q91&lt;&gt;"", B91&lt;&gt;"DIV"), (Q91/F91)-1, "")</f>
        <v/>
      </c>
      <c r="P93" s="39">
        <f>IF(AND( C91="Buy", ISBLANK(W91), B91&lt;&gt;"DIV", NOW()-A91 &lt; 365), (1-Index!$F$2*2)*((J91*D91)-(E91*D91)), "")</f>
        <v/>
      </c>
      <c r="Q93" s="39">
        <f>IF(AND( C91="Buy", ISBLANK(W91), B91&lt;&gt;"DIV", NOW()-A91 &lt; 365), ((E91*D91)+P91), "")</f>
        <v/>
      </c>
      <c r="R93" s="39">
        <f>IF(AND( C91="Buy", ISBLANK(W91), B91&lt;&gt;"DIV", NOW()-A91 &lt; 365), D91, "")</f>
        <v/>
      </c>
      <c r="S93" s="38">
        <f>IF(AND( C91="Buy", ISBLANK(W91), U91&lt;&gt;"", B91&lt;&gt;"DIV"), (U91/F91)-1, "")</f>
        <v/>
      </c>
      <c r="T93" s="39">
        <f>IF(AND( C91="Buy", ISBLANK(W91), B91&lt;&gt;"DIV", NOW()-A91 &gt; 365), (J91*D91)-(E91*D91)-(2*sum(H91:I91)), "")</f>
        <v/>
      </c>
      <c r="U93" s="39">
        <f>IF(AND( C91="Buy", ISBLANK(W91), B91&lt;&gt;"DIV", NOW()-A91 &gt; 365), ((E91*D91)+T91), "")</f>
        <v/>
      </c>
      <c r="V93" s="39">
        <f>IF(AND( C91="Buy", ISBLANK(W91), B91&lt;&gt;"DIV", NOW()-A91 &gt; 365), D91, "")</f>
        <v/>
      </c>
      <c r="W93" s="43" t="n">
        <v>111.770971</v>
      </c>
      <c r="X93" s="48" t="n">
        <v>44204</v>
      </c>
      <c r="Y93" s="38">
        <f>IF(AND( C91="Buy", W91&lt;&gt;"", AA91&lt;&gt;"", B91&lt;&gt;"DIV"), Z91/sum(F91:I91), "")</f>
        <v/>
      </c>
      <c r="Z93" s="57">
        <f>(1-Index!$F$2*2)*((W91*D91)-(E91*D91))</f>
        <v/>
      </c>
      <c r="AA93" s="57">
        <f>((E91*D91)+Z91)</f>
        <v/>
      </c>
      <c r="AB93" s="58">
        <f>D91</f>
        <v/>
      </c>
      <c r="AC93" s="45" t="n"/>
      <c r="AD93" s="54" t="inlineStr">
        <is>
          <t>SBI Securities</t>
        </is>
      </c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8" t="n">
        <v>43290</v>
      </c>
      <c r="B94" s="34" t="inlineStr">
        <is>
          <t>DIV</t>
        </is>
      </c>
      <c r="C94" s="34" t="inlineStr">
        <is>
          <t>Buy</t>
        </is>
      </c>
      <c r="D94" s="55" t="n">
        <v>740</v>
      </c>
      <c r="E94" s="49" t="n">
        <v>2.43</v>
      </c>
      <c r="F94" s="56" t="n">
        <v>1798.2</v>
      </c>
      <c r="G94" s="34" t="inlineStr">
        <is>
          <t>Dividend of Rs.2.4300/- per share on 09-JUL-2018</t>
        </is>
      </c>
      <c r="H94" s="35" t="n">
        <v>0</v>
      </c>
      <c r="I94" s="35" t="n">
        <v>0</v>
      </c>
      <c r="J94" s="49" t="n">
        <v>262</v>
      </c>
      <c r="K94" s="38">
        <f>IF(AND( C92="Buy", ISBLANK(W92), B92&lt;&gt;"DIV"), (M92/F92)-1, "")</f>
        <v/>
      </c>
      <c r="L94" s="39">
        <f>IF(AND( C92="Buy", ISBLANK(W92), B92&lt;&gt;"DIV"), (1-Index!$F$2*2)*((J92*D92)-(E92*D92)), "")</f>
        <v/>
      </c>
      <c r="M94" s="39">
        <f>IF(AND( C92="Buy", ISBLANK(W92), B92&lt;&gt;"DIV"), ((E92*D92)+L92), "")</f>
        <v/>
      </c>
      <c r="N94" s="40">
        <f>IF(AND( C92="Buy", ISBLANK(W92), B92&lt;&gt;"DIV"), D92, "")</f>
        <v/>
      </c>
      <c r="O94" s="38">
        <f>IF(AND( C92="Buy", ISBLANK(W92), Q92&lt;&gt;"", B92&lt;&gt;"DIV"), (Q92/F92)-1, "")</f>
        <v/>
      </c>
      <c r="P94" s="39">
        <f>IF(AND( C92="Buy", ISBLANK(W92), B92&lt;&gt;"DIV", NOW()-A92 &lt; 365), (1-Index!$F$2*2)*((J92*D92)-(E92*D92)), "")</f>
        <v/>
      </c>
      <c r="Q94" s="39">
        <f>IF(AND( C92="Buy", ISBLANK(W92), B92&lt;&gt;"DIV", NOW()-A92 &lt; 365), ((E92*D92)+P92), "")</f>
        <v/>
      </c>
      <c r="R94" s="39">
        <f>IF(AND( C92="Buy", ISBLANK(W92), B92&lt;&gt;"DIV", NOW()-A92 &lt; 365), D92, "")</f>
        <v/>
      </c>
      <c r="S94" s="38">
        <f>IF(AND( C92="Buy", ISBLANK(W92), U92&lt;&gt;"", B92&lt;&gt;"DIV"), (U92/F92)-1, "")</f>
        <v/>
      </c>
      <c r="T94" s="39">
        <f>IF(AND( C92="Buy", ISBLANK(W92), B92&lt;&gt;"DIV", NOW()-A92 &gt; 365), (J92*D92)-(E92*D92)-(2*sum(H92:I92)), "")</f>
        <v/>
      </c>
      <c r="U94" s="39">
        <f>IF(AND( C92="Buy", ISBLANK(W92), B92&lt;&gt;"DIV", NOW()-A92 &gt; 365), ((E92*D92)+T92), "")</f>
        <v/>
      </c>
      <c r="V94" s="39">
        <f>IF(AND( C92="Buy", ISBLANK(W92), B92&lt;&gt;"DIV", NOW()-A92 &gt; 365), D92, "")</f>
        <v/>
      </c>
      <c r="W94" s="43" t="n"/>
      <c r="X94" s="48" t="n"/>
      <c r="Y94" s="38">
        <f>IF(AND( C92="Buy", W92&lt;&gt;"", AA92&lt;&gt;"", B92&lt;&gt;"DIV"), Z92/sum(F92:I92), "")</f>
        <v/>
      </c>
      <c r="Z94" s="43" t="n"/>
      <c r="AA94" s="43" t="n"/>
      <c r="AB94" s="44" t="n"/>
      <c r="AC94" s="45">
        <f>if(B92="DIV", F92,"")</f>
        <v/>
      </c>
      <c r="AD94" s="54" t="inlineStr">
        <is>
          <t>SBI Securities</t>
        </is>
      </c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8" t="n">
        <v>43276</v>
      </c>
      <c r="B95" s="34" t="inlineStr">
        <is>
          <t>NSE</t>
        </is>
      </c>
      <c r="C95" s="34" t="inlineStr">
        <is>
          <t>Buy</t>
        </is>
      </c>
      <c r="D95" s="55" t="n">
        <v>90</v>
      </c>
      <c r="E95" s="49" t="n">
        <v>133.903889</v>
      </c>
      <c r="F95" s="56" t="n">
        <v>12135.25</v>
      </c>
      <c r="G95" s="34" t="inlineStr">
        <is>
          <t>~</t>
        </is>
      </c>
      <c r="H95" s="35" t="n">
        <v>11.89</v>
      </c>
      <c r="I95" s="35" t="n">
        <v>72.36</v>
      </c>
      <c r="J95" s="49" t="n">
        <v>262</v>
      </c>
      <c r="K95" s="38">
        <f>IF(AND( C93="Buy", ISBLANK(W93), B93&lt;&gt;"DIV"), (M93/F93)-1, "")</f>
        <v/>
      </c>
      <c r="L95" s="39">
        <f>IF(AND( C93="Buy", ISBLANK(W93), B93&lt;&gt;"DIV"), (1-Index!$F$2*2)*((J93*D93)-(E93*D93)), "")</f>
        <v/>
      </c>
      <c r="M95" s="39">
        <f>IF(AND( C93="Buy", ISBLANK(W93), B93&lt;&gt;"DIV"), ((E93*D93)+L93), "")</f>
        <v/>
      </c>
      <c r="N95" s="40">
        <f>IF(AND( C93="Buy", ISBLANK(W93), B93&lt;&gt;"DIV"), D93, "")</f>
        <v/>
      </c>
      <c r="O95" s="38">
        <f>IF(AND( C93="Buy", ISBLANK(W93), Q93&lt;&gt;"", B93&lt;&gt;"DIV"), (Q93/F93)-1, "")</f>
        <v/>
      </c>
      <c r="P95" s="39">
        <f>IF(AND( C93="Buy", ISBLANK(W93), B93&lt;&gt;"DIV", NOW()-A93 &lt; 365), (1-Index!$F$2*2)*((J93*D93)-(E93*D93)), "")</f>
        <v/>
      </c>
      <c r="Q95" s="39">
        <f>IF(AND( C93="Buy", ISBLANK(W93), B93&lt;&gt;"DIV", NOW()-A93 &lt; 365), ((E93*D93)+P93), "")</f>
        <v/>
      </c>
      <c r="R95" s="39">
        <f>IF(AND( C93="Buy", ISBLANK(W93), B93&lt;&gt;"DIV", NOW()-A93 &lt; 365), D93, "")</f>
        <v/>
      </c>
      <c r="S95" s="38">
        <f>IF(AND( C93="Buy", ISBLANK(W93), U93&lt;&gt;"", B93&lt;&gt;"DIV"), (U93/F93)-1, "")</f>
        <v/>
      </c>
      <c r="T95" s="39">
        <f>IF(AND( C93="Buy", ISBLANK(W93), B93&lt;&gt;"DIV", NOW()-A93 &gt; 365), (J93*D93)-(E93*D93)-(2*sum(H93:I93)), "")</f>
        <v/>
      </c>
      <c r="U95" s="39">
        <f>IF(AND( C93="Buy", ISBLANK(W93), B93&lt;&gt;"DIV", NOW()-A93 &gt; 365), ((E93*D93)+T93), "")</f>
        <v/>
      </c>
      <c r="V95" s="39">
        <f>IF(AND( C93="Buy", ISBLANK(W93), B93&lt;&gt;"DIV", NOW()-A93 &gt; 365), D93, "")</f>
        <v/>
      </c>
      <c r="W95" s="43" t="n">
        <v>111.770971</v>
      </c>
      <c r="X95" s="48" t="n">
        <v>44204</v>
      </c>
      <c r="Y95" s="38">
        <f>IF(AND( C93="Buy", W93&lt;&gt;"", AA93&lt;&gt;"", B93&lt;&gt;"DIV"), Z93/sum(F93:I93), "")</f>
        <v/>
      </c>
      <c r="Z95" s="57">
        <f>(1-Index!$F$2*2)*((W93*D93)-(E93*D93))</f>
        <v/>
      </c>
      <c r="AA95" s="57">
        <f>((E93*D93)+Z93)</f>
        <v/>
      </c>
      <c r="AB95" s="58">
        <f>D93</f>
        <v/>
      </c>
      <c r="AC95" s="45" t="n"/>
      <c r="AD95" s="54" t="inlineStr">
        <is>
          <t>SBI Securities</t>
        </is>
      </c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8" t="n">
        <v>42927</v>
      </c>
      <c r="B96" s="34" t="inlineStr">
        <is>
          <t>DIV</t>
        </is>
      </c>
      <c r="C96" s="34" t="inlineStr">
        <is>
          <t>Buy</t>
        </is>
      </c>
      <c r="D96" s="55" t="n">
        <v>650</v>
      </c>
      <c r="E96" s="49" t="n">
        <v>1.56</v>
      </c>
      <c r="F96" s="56" t="n">
        <v>1014</v>
      </c>
      <c r="G96" s="34" t="inlineStr">
        <is>
          <t>Dividend of Rs.1.5600/- per share on 11-JUL-2017</t>
        </is>
      </c>
      <c r="H96" s="35" t="n">
        <v>0</v>
      </c>
      <c r="I96" s="35" t="n">
        <v>0</v>
      </c>
      <c r="J96" s="49" t="n">
        <v>262</v>
      </c>
      <c r="K96" s="38">
        <f>IF(AND( C94="Buy", ISBLANK(W94), B94&lt;&gt;"DIV"), (M94/F94)-1, "")</f>
        <v/>
      </c>
      <c r="L96" s="39">
        <f>IF(AND( C94="Buy", ISBLANK(W94), B94&lt;&gt;"DIV"), (1-Index!$F$2*2)*((J94*D94)-(E94*D94)), "")</f>
        <v/>
      </c>
      <c r="M96" s="39">
        <f>IF(AND( C94="Buy", ISBLANK(W94), B94&lt;&gt;"DIV"), ((E94*D94)+L94), "")</f>
        <v/>
      </c>
      <c r="N96" s="40">
        <f>IF(AND( C94="Buy", ISBLANK(W94), B94&lt;&gt;"DIV"), D94, "")</f>
        <v/>
      </c>
      <c r="O96" s="38">
        <f>IF(AND( C94="Buy", ISBLANK(W94), Q94&lt;&gt;"", B94&lt;&gt;"DIV"), (Q94/F94)-1, "")</f>
        <v/>
      </c>
      <c r="P96" s="39">
        <f>IF(AND( C94="Buy", ISBLANK(W94), B94&lt;&gt;"DIV", NOW()-A94 &lt; 365), (1-Index!$F$2*2)*((J94*D94)-(E94*D94)), "")</f>
        <v/>
      </c>
      <c r="Q96" s="39">
        <f>IF(AND( C94="Buy", ISBLANK(W94), B94&lt;&gt;"DIV", NOW()-A94 &lt; 365), ((E94*D94)+P94), "")</f>
        <v/>
      </c>
      <c r="R96" s="39">
        <f>IF(AND( C94="Buy", ISBLANK(W94), B94&lt;&gt;"DIV", NOW()-A94 &lt; 365), D94, "")</f>
        <v/>
      </c>
      <c r="S96" s="38">
        <f>IF(AND( C94="Buy", ISBLANK(W94), U94&lt;&gt;"", B94&lt;&gt;"DIV"), (U94/F94)-1, "")</f>
        <v/>
      </c>
      <c r="T96" s="39">
        <f>IF(AND( C94="Buy", ISBLANK(W94), B94&lt;&gt;"DIV", NOW()-A94 &gt; 365), (J94*D94)-(E94*D94)-(2*sum(H94:I94)), "")</f>
        <v/>
      </c>
      <c r="U96" s="39">
        <f>IF(AND( C94="Buy", ISBLANK(W94), B94&lt;&gt;"DIV", NOW()-A94 &gt; 365), ((E94*D94)+T94), "")</f>
        <v/>
      </c>
      <c r="V96" s="39">
        <f>IF(AND( C94="Buy", ISBLANK(W94), B94&lt;&gt;"DIV", NOW()-A94 &gt; 365), D94, "")</f>
        <v/>
      </c>
      <c r="W96" s="43" t="n"/>
      <c r="X96" s="48" t="n"/>
      <c r="Y96" s="38">
        <f>IF(AND( C94="Buy", W94&lt;&gt;"", AA94&lt;&gt;"", B94&lt;&gt;"DIV"), Z94/sum(F94:I94), "")</f>
        <v/>
      </c>
      <c r="Z96" s="43" t="n"/>
      <c r="AA96" s="43" t="n"/>
      <c r="AB96" s="44" t="n"/>
      <c r="AC96" s="45">
        <f>if(B94="DIV", F94,"")</f>
        <v/>
      </c>
      <c r="AD96" s="54" t="inlineStr">
        <is>
          <t>SBI Securities</t>
        </is>
      </c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8" t="n">
        <v>42902</v>
      </c>
      <c r="B97" s="34" t="inlineStr">
        <is>
          <t>NSE</t>
        </is>
      </c>
      <c r="C97" s="34" t="inlineStr">
        <is>
          <t>Buy</t>
        </is>
      </c>
      <c r="D97" s="55" t="n">
        <v>100</v>
      </c>
      <c r="E97" s="49" t="n">
        <v>94.797</v>
      </c>
      <c r="F97" s="56" t="n">
        <v>9544.299999999999</v>
      </c>
      <c r="G97" s="34" t="inlineStr">
        <is>
          <t>~</t>
        </is>
      </c>
      <c r="H97" s="35" t="n">
        <v>9.32</v>
      </c>
      <c r="I97" s="35" t="n">
        <v>54.98</v>
      </c>
      <c r="J97" s="49" t="n">
        <v>262</v>
      </c>
      <c r="K97" s="38">
        <f>IF(AND( C95="Buy", ISBLANK(W95), B95&lt;&gt;"DIV"), (M95/F95)-1, "")</f>
        <v/>
      </c>
      <c r="L97" s="39">
        <f>IF(AND( C95="Buy", ISBLANK(W95), B95&lt;&gt;"DIV"), (1-Index!$F$2*2)*((J95*D95)-(E95*D95)), "")</f>
        <v/>
      </c>
      <c r="M97" s="39">
        <f>IF(AND( C95="Buy", ISBLANK(W95), B95&lt;&gt;"DIV"), ((E95*D95)+L95), "")</f>
        <v/>
      </c>
      <c r="N97" s="40">
        <f>IF(AND( C95="Buy", ISBLANK(W95), B95&lt;&gt;"DIV"), D95, "")</f>
        <v/>
      </c>
      <c r="O97" s="38">
        <f>IF(AND( C95="Buy", ISBLANK(W95), Q95&lt;&gt;"", B95&lt;&gt;"DIV"), (Q95/F95)-1, "")</f>
        <v/>
      </c>
      <c r="P97" s="39">
        <f>IF(AND( C95="Buy", ISBLANK(W95), B95&lt;&gt;"DIV", NOW()-A95 &lt; 365), (1-Index!$F$2*2)*((J95*D95)-(E95*D95)), "")</f>
        <v/>
      </c>
      <c r="Q97" s="39">
        <f>IF(AND( C95="Buy", ISBLANK(W95), B95&lt;&gt;"DIV", NOW()-A95 &lt; 365), ((E95*D95)+P95), "")</f>
        <v/>
      </c>
      <c r="R97" s="39">
        <f>IF(AND( C95="Buy", ISBLANK(W95), B95&lt;&gt;"DIV", NOW()-A95 &lt; 365), D95, "")</f>
        <v/>
      </c>
      <c r="S97" s="38">
        <f>IF(AND( C95="Buy", ISBLANK(W95), U95&lt;&gt;"", B95&lt;&gt;"DIV"), (U95/F95)-1, "")</f>
        <v/>
      </c>
      <c r="T97" s="39">
        <f>IF(AND( C95="Buy", ISBLANK(W95), B95&lt;&gt;"DIV", NOW()-A95 &gt; 365), (J95*D95)-(E95*D95)-(2*sum(H95:I95)), "")</f>
        <v/>
      </c>
      <c r="U97" s="39">
        <f>IF(AND( C95="Buy", ISBLANK(W95), B95&lt;&gt;"DIV", NOW()-A95 &gt; 365), ((E95*D95)+T95), "")</f>
        <v/>
      </c>
      <c r="V97" s="39">
        <f>IF(AND( C95="Buy", ISBLANK(W95), B95&lt;&gt;"DIV", NOW()-A95 &gt; 365), D95, "")</f>
        <v/>
      </c>
      <c r="W97" s="43" t="n">
        <v>111.770971</v>
      </c>
      <c r="X97" s="48" t="n">
        <v>44204</v>
      </c>
      <c r="Y97" s="38">
        <f>IF(AND( C95="Buy", W95&lt;&gt;"", AA95&lt;&gt;"", B95&lt;&gt;"DIV"), Z95/sum(F95:I95), "")</f>
        <v/>
      </c>
      <c r="Z97" s="57">
        <f>(1-Index!$F$2*2)*((W95*D95)-(E95*D95))</f>
        <v/>
      </c>
      <c r="AA97" s="57">
        <f>((E95*D95)+Z95)</f>
        <v/>
      </c>
      <c r="AB97" s="58">
        <f>D95</f>
        <v/>
      </c>
      <c r="AC97" s="45" t="n"/>
      <c r="AD97" s="54" t="inlineStr">
        <is>
          <t>SBI Securities</t>
        </is>
      </c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8" t="n">
        <v>42849</v>
      </c>
      <c r="B98" s="34" t="inlineStr">
        <is>
          <t>NSE</t>
        </is>
      </c>
      <c r="C98" s="34" t="inlineStr">
        <is>
          <t>Buy</t>
        </is>
      </c>
      <c r="D98" s="55" t="n">
        <v>50</v>
      </c>
      <c r="E98" s="49" t="n">
        <v>87.04559999999999</v>
      </c>
      <c r="F98" s="56" t="n">
        <v>4382.22</v>
      </c>
      <c r="G98" s="34" t="inlineStr">
        <is>
          <t>~</t>
        </is>
      </c>
      <c r="H98" s="35" t="n">
        <v>4</v>
      </c>
      <c r="I98" s="35" t="n">
        <v>25.72</v>
      </c>
      <c r="J98" s="49" t="n">
        <v>262</v>
      </c>
      <c r="K98" s="38">
        <f>IF(AND( C96="Buy", ISBLANK(W96), B96&lt;&gt;"DIV"), (M96/F96)-1, "")</f>
        <v/>
      </c>
      <c r="L98" s="39">
        <f>IF(AND( C96="Buy", ISBLANK(W96), B96&lt;&gt;"DIV"), (1-Index!$F$2*2)*((J96*D96)-(E96*D96)), "")</f>
        <v/>
      </c>
      <c r="M98" s="39">
        <f>IF(AND( C96="Buy", ISBLANK(W96), B96&lt;&gt;"DIV"), ((E96*D96)+L96), "")</f>
        <v/>
      </c>
      <c r="N98" s="40">
        <f>IF(AND( C96="Buy", ISBLANK(W96), B96&lt;&gt;"DIV"), D96, "")</f>
        <v/>
      </c>
      <c r="O98" s="38">
        <f>IF(AND( C96="Buy", ISBLANK(W96), Q96&lt;&gt;"", B96&lt;&gt;"DIV"), (Q96/F96)-1, "")</f>
        <v/>
      </c>
      <c r="P98" s="39">
        <f>IF(AND( C96="Buy", ISBLANK(W96), B96&lt;&gt;"DIV", NOW()-A96 &lt; 365), (1-Index!$F$2*2)*((J96*D96)-(E96*D96)), "")</f>
        <v/>
      </c>
      <c r="Q98" s="39">
        <f>IF(AND( C96="Buy", ISBLANK(W96), B96&lt;&gt;"DIV", NOW()-A96 &lt; 365), ((E96*D96)+P96), "")</f>
        <v/>
      </c>
      <c r="R98" s="39">
        <f>IF(AND( C96="Buy", ISBLANK(W96), B96&lt;&gt;"DIV", NOW()-A96 &lt; 365), D96, "")</f>
        <v/>
      </c>
      <c r="S98" s="38">
        <f>IF(AND( C96="Buy", ISBLANK(W96), U96&lt;&gt;"", B96&lt;&gt;"DIV"), (U96/F96)-1, "")</f>
        <v/>
      </c>
      <c r="T98" s="39">
        <f>IF(AND( C96="Buy", ISBLANK(W96), B96&lt;&gt;"DIV", NOW()-A96 &gt; 365), (J96*D96)-(E96*D96)-(2*sum(H96:I96)), "")</f>
        <v/>
      </c>
      <c r="U98" s="39">
        <f>IF(AND( C96="Buy", ISBLANK(W96), B96&lt;&gt;"DIV", NOW()-A96 &gt; 365), ((E96*D96)+T96), "")</f>
        <v/>
      </c>
      <c r="V98" s="39">
        <f>IF(AND( C96="Buy", ISBLANK(W96), B96&lt;&gt;"DIV", NOW()-A96 &gt; 365), D96, "")</f>
        <v/>
      </c>
      <c r="W98" s="43" t="n">
        <v>111.770971</v>
      </c>
      <c r="X98" s="48" t="n">
        <v>44204</v>
      </c>
      <c r="Y98" s="38">
        <f>IF(AND( C96="Buy", W96&lt;&gt;"", AA96&lt;&gt;"", B96&lt;&gt;"DIV"), Z96/sum(F96:I96), "")</f>
        <v/>
      </c>
      <c r="Z98" s="57">
        <f>(1-Index!$F$2*2)*((W96*D96)-(E96*D96))</f>
        <v/>
      </c>
      <c r="AA98" s="57">
        <f>((E96*D96)+Z96)</f>
        <v/>
      </c>
      <c r="AB98" s="58">
        <f>D96</f>
        <v/>
      </c>
      <c r="AC98" s="45" t="n"/>
      <c r="AD98" s="54" t="inlineStr">
        <is>
          <t>SBI Securities</t>
        </is>
      </c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8" t="n">
        <v>42762</v>
      </c>
      <c r="B99" s="34" t="inlineStr">
        <is>
          <t>NSE</t>
        </is>
      </c>
      <c r="C99" s="34" t="inlineStr">
        <is>
          <t>Buy</t>
        </is>
      </c>
      <c r="D99" s="55" t="n">
        <v>100</v>
      </c>
      <c r="E99" s="49" t="n">
        <v>92.0004</v>
      </c>
      <c r="F99" s="56" t="n">
        <v>9262.959999999999</v>
      </c>
      <c r="G99" s="34" t="inlineStr">
        <is>
          <t>~</t>
        </is>
      </c>
      <c r="H99" s="35" t="n">
        <v>9.17</v>
      </c>
      <c r="I99" s="35" t="n">
        <v>53.79</v>
      </c>
      <c r="J99" s="49" t="n">
        <v>262</v>
      </c>
      <c r="K99" s="38">
        <f>IF(AND( C97="Buy", ISBLANK(W97), B97&lt;&gt;"DIV"), (M97/F97)-1, "")</f>
        <v/>
      </c>
      <c r="L99" s="39">
        <f>IF(AND( C97="Buy", ISBLANK(W97), B97&lt;&gt;"DIV"), (1-Index!$F$2*2)*((J97*D97)-(E97*D97)), "")</f>
        <v/>
      </c>
      <c r="M99" s="39">
        <f>IF(AND( C97="Buy", ISBLANK(W97), B97&lt;&gt;"DIV"), ((E97*D97)+L97), "")</f>
        <v/>
      </c>
      <c r="N99" s="40">
        <f>IF(AND( C97="Buy", ISBLANK(W97), B97&lt;&gt;"DIV"), D97, "")</f>
        <v/>
      </c>
      <c r="O99" s="38">
        <f>IF(AND( C97="Buy", ISBLANK(W97), Q97&lt;&gt;"", B97&lt;&gt;"DIV"), (Q97/F97)-1, "")</f>
        <v/>
      </c>
      <c r="P99" s="39">
        <f>IF(AND( C97="Buy", ISBLANK(W97), B97&lt;&gt;"DIV", NOW()-A97 &lt; 365), (1-Index!$F$2*2)*((J97*D97)-(E97*D97)), "")</f>
        <v/>
      </c>
      <c r="Q99" s="39">
        <f>IF(AND( C97="Buy", ISBLANK(W97), B97&lt;&gt;"DIV", NOW()-A97 &lt; 365), ((E97*D97)+P97), "")</f>
        <v/>
      </c>
      <c r="R99" s="39">
        <f>IF(AND( C97="Buy", ISBLANK(W97), B97&lt;&gt;"DIV", NOW()-A97 &lt; 365), D97, "")</f>
        <v/>
      </c>
      <c r="S99" s="38">
        <f>IF(AND( C97="Buy", ISBLANK(W97), U97&lt;&gt;"", B97&lt;&gt;"DIV"), (U97/F97)-1, "")</f>
        <v/>
      </c>
      <c r="T99" s="39">
        <f>IF(AND( C97="Buy", ISBLANK(W97), B97&lt;&gt;"DIV", NOW()-A97 &gt; 365), (J97*D97)-(E97*D97)-(2*sum(H97:I97)), "")</f>
        <v/>
      </c>
      <c r="U99" s="39">
        <f>IF(AND( C97="Buy", ISBLANK(W97), B97&lt;&gt;"DIV", NOW()-A97 &gt; 365), ((E97*D97)+T97), "")</f>
        <v/>
      </c>
      <c r="V99" s="39">
        <f>IF(AND( C97="Buy", ISBLANK(W97), B97&lt;&gt;"DIV", NOW()-A97 &gt; 365), D97, "")</f>
        <v/>
      </c>
      <c r="W99" s="43" t="n">
        <v>83.38578</v>
      </c>
      <c r="X99" s="48" t="n">
        <v>44138</v>
      </c>
      <c r="Y99" s="38">
        <f>IF(AND( C97="Buy", W97&lt;&gt;"", AA97&lt;&gt;"", B97&lt;&gt;"DIV"), Z97/sum(F97:I97), "")</f>
        <v/>
      </c>
      <c r="Z99" s="57">
        <f>(1-Index!$F$2*2)*((W97*D97)-(E97*D97))</f>
        <v/>
      </c>
      <c r="AA99" s="57">
        <f>((E97*D97)+Z97)</f>
        <v/>
      </c>
      <c r="AB99" s="58">
        <f>D97</f>
        <v/>
      </c>
      <c r="AC99" s="45" t="n"/>
      <c r="AD99" s="54" t="inlineStr">
        <is>
          <t>SBI Securities</t>
        </is>
      </c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8" t="n">
        <v>42762</v>
      </c>
      <c r="B100" s="34" t="inlineStr">
        <is>
          <t>NSE</t>
        </is>
      </c>
      <c r="C100" s="34" t="inlineStr">
        <is>
          <t>Buy</t>
        </is>
      </c>
      <c r="D100" s="55" t="n">
        <v>400</v>
      </c>
      <c r="E100" s="49" t="n">
        <v>92.00035</v>
      </c>
      <c r="F100" s="56" t="n">
        <v>37051.88</v>
      </c>
      <c r="G100" s="34" t="inlineStr">
        <is>
          <t>~</t>
        </is>
      </c>
      <c r="H100" s="35" t="n">
        <v>36.67</v>
      </c>
      <c r="I100" s="35" t="n">
        <v>215.19</v>
      </c>
      <c r="J100" s="49" t="n">
        <v>262</v>
      </c>
      <c r="K100" s="38">
        <f>IF(AND( C98="Buy", ISBLANK(W98), B98&lt;&gt;"DIV"), (M98/F98)-1, "")</f>
        <v/>
      </c>
      <c r="L100" s="39">
        <f>IF(AND( C98="Buy", ISBLANK(W98), B98&lt;&gt;"DIV"), (1-Index!$F$2*2)*((J98*D98)-(E98*D98)), "")</f>
        <v/>
      </c>
      <c r="M100" s="39">
        <f>IF(AND( C98="Buy", ISBLANK(W98), B98&lt;&gt;"DIV"), ((E98*D98)+L98), "")</f>
        <v/>
      </c>
      <c r="N100" s="40">
        <f>IF(AND( C98="Buy", ISBLANK(W98), B98&lt;&gt;"DIV"), D98, "")</f>
        <v/>
      </c>
      <c r="O100" s="38">
        <f>IF(AND( C98="Buy", ISBLANK(W98), Q98&lt;&gt;"", B98&lt;&gt;"DIV"), (Q98/F98)-1, "")</f>
        <v/>
      </c>
      <c r="P100" s="39">
        <f>IF(AND( C98="Buy", ISBLANK(W98), B98&lt;&gt;"DIV", NOW()-A98 &lt; 365), (1-Index!$F$2*2)*((J98*D98)-(E98*D98)), "")</f>
        <v/>
      </c>
      <c r="Q100" s="39">
        <f>IF(AND( C98="Buy", ISBLANK(W98), B98&lt;&gt;"DIV", NOW()-A98 &lt; 365), ((E98*D98)+P98), "")</f>
        <v/>
      </c>
      <c r="R100" s="39">
        <f>IF(AND( C98="Buy", ISBLANK(W98), B98&lt;&gt;"DIV", NOW()-A98 &lt; 365), D98, "")</f>
        <v/>
      </c>
      <c r="S100" s="38">
        <f>IF(AND( C98="Buy", ISBLANK(W98), U98&lt;&gt;"", B98&lt;&gt;"DIV"), (U98/F98)-1, "")</f>
        <v/>
      </c>
      <c r="T100" s="39">
        <f>IF(AND( C98="Buy", ISBLANK(W98), B98&lt;&gt;"DIV", NOW()-A98 &gt; 365), (J98*D98)-(E98*D98)-(2*sum(H98:I98)), "")</f>
        <v/>
      </c>
      <c r="U100" s="39">
        <f>IF(AND( C98="Buy", ISBLANK(W98), B98&lt;&gt;"DIV", NOW()-A98 &gt; 365), ((E98*D98)+T98), "")</f>
        <v/>
      </c>
      <c r="V100" s="39">
        <f>IF(AND( C98="Buy", ISBLANK(W98), B98&lt;&gt;"DIV", NOW()-A98 &gt; 365), D98, "")</f>
        <v/>
      </c>
      <c r="W100" s="43" t="n">
        <v>83.38578</v>
      </c>
      <c r="X100" s="48" t="n">
        <v>44138</v>
      </c>
      <c r="Y100" s="38">
        <f>IF(AND( C98="Buy", W98&lt;&gt;"", AA98&lt;&gt;"", B98&lt;&gt;"DIV"), Z98/sum(F98:I98), "")</f>
        <v/>
      </c>
      <c r="Z100" s="57">
        <f>(1-Index!$F$2*2)*((W98*D98)-(E98*D98))</f>
        <v/>
      </c>
      <c r="AA100" s="57">
        <f>((E98*D98)+Z98)</f>
        <v/>
      </c>
      <c r="AB100" s="58">
        <f>D98</f>
        <v/>
      </c>
      <c r="AC100" s="45" t="n"/>
      <c r="AD100" s="54" t="inlineStr">
        <is>
          <t>SBI Securities</t>
        </is>
      </c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9" t="n"/>
      <c r="F101" s="59" t="n"/>
      <c r="G101" s="60" t="n"/>
      <c r="H101" s="47" t="n"/>
      <c r="I101" s="47" t="n"/>
      <c r="J101" s="59" t="n"/>
      <c r="K101" s="59" t="n"/>
      <c r="L101" s="59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9" t="n"/>
      <c r="X101" s="61" t="n"/>
      <c r="Y101" s="59" t="n"/>
      <c r="Z101" s="59" t="n"/>
      <c r="AA101" s="59" t="n"/>
      <c r="AB101" s="59" t="n"/>
      <c r="AC101" s="59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9" t="n"/>
      <c r="F102" s="59" t="n"/>
      <c r="G102" s="60" t="n"/>
      <c r="H102" s="47" t="n"/>
      <c r="I102" s="47" t="n"/>
      <c r="J102" s="59" t="n"/>
      <c r="K102" s="59" t="n"/>
      <c r="L102" s="59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9" t="n"/>
      <c r="X102" s="61" t="n"/>
      <c r="Y102" s="59" t="n"/>
      <c r="Z102" s="59" t="n"/>
      <c r="AA102" s="59" t="n"/>
      <c r="AB102" s="59" t="n"/>
      <c r="AC102" s="59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9" t="n"/>
      <c r="F103" s="59" t="n"/>
      <c r="G103" s="60" t="n"/>
      <c r="H103" s="47" t="n"/>
      <c r="I103" s="47" t="n"/>
      <c r="J103" s="59" t="n"/>
      <c r="K103" s="59" t="n"/>
      <c r="L103" s="59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9" t="n"/>
      <c r="X103" s="61" t="n"/>
      <c r="Y103" s="59" t="n"/>
      <c r="Z103" s="59" t="n"/>
      <c r="AA103" s="59" t="n"/>
      <c r="AB103" s="59" t="n"/>
      <c r="AC103" s="59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9" t="n"/>
      <c r="F104" s="59" t="n"/>
      <c r="G104" s="60" t="n"/>
      <c r="H104" s="47" t="n"/>
      <c r="I104" s="47" t="n"/>
      <c r="J104" s="59" t="n"/>
      <c r="K104" s="59" t="n"/>
      <c r="L104" s="59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9" t="n"/>
      <c r="X104" s="61" t="n"/>
      <c r="Y104" s="59" t="n"/>
      <c r="Z104" s="59" t="n"/>
      <c r="AA104" s="59" t="n"/>
      <c r="AB104" s="59" t="n"/>
      <c r="AC104" s="59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9" t="n"/>
      <c r="F105" s="59" t="n"/>
      <c r="G105" s="60" t="n"/>
      <c r="H105" s="47" t="n"/>
      <c r="I105" s="47" t="n"/>
      <c r="J105" s="59" t="n"/>
      <c r="K105" s="59" t="n"/>
      <c r="L105" s="59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9" t="n"/>
      <c r="X105" s="61" t="n"/>
      <c r="Y105" s="59" t="n"/>
      <c r="Z105" s="59" t="n"/>
      <c r="AA105" s="59" t="n"/>
      <c r="AB105" s="59" t="n"/>
      <c r="AC105" s="59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9" t="n"/>
      <c r="F106" s="59" t="n"/>
      <c r="G106" s="60" t="n"/>
      <c r="H106" s="47" t="n"/>
      <c r="I106" s="47" t="n"/>
      <c r="J106" s="59" t="n"/>
      <c r="K106" s="59" t="n"/>
      <c r="L106" s="59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9" t="n"/>
      <c r="X106" s="61" t="n"/>
      <c r="Y106" s="59" t="n"/>
      <c r="Z106" s="59" t="n"/>
      <c r="AA106" s="59" t="n"/>
      <c r="AB106" s="59" t="n"/>
      <c r="AC106" s="59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9" t="n"/>
      <c r="F107" s="59" t="n"/>
      <c r="G107" s="60" t="n"/>
      <c r="H107" s="47" t="n"/>
      <c r="I107" s="47" t="n"/>
      <c r="J107" s="59" t="n"/>
      <c r="K107" s="59" t="n"/>
      <c r="L107" s="59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9" t="n"/>
      <c r="X107" s="61" t="n"/>
      <c r="Y107" s="59" t="n"/>
      <c r="Z107" s="59" t="n"/>
      <c r="AA107" s="59" t="n"/>
      <c r="AB107" s="59" t="n"/>
      <c r="AC107" s="59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9" t="n"/>
      <c r="F108" s="59" t="n"/>
      <c r="G108" s="60" t="n"/>
      <c r="H108" s="47" t="n"/>
      <c r="I108" s="47" t="n"/>
      <c r="J108" s="59" t="n"/>
      <c r="K108" s="59" t="n"/>
      <c r="L108" s="59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9" t="n"/>
      <c r="X108" s="61" t="n"/>
      <c r="Y108" s="59" t="n"/>
      <c r="Z108" s="59" t="n"/>
      <c r="AA108" s="59" t="n"/>
      <c r="AB108" s="59" t="n"/>
      <c r="AC108" s="59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9" t="n"/>
      <c r="F109" s="59" t="n"/>
      <c r="G109" s="60" t="n"/>
      <c r="H109" s="47" t="n"/>
      <c r="I109" s="47" t="n"/>
      <c r="J109" s="59" t="n"/>
      <c r="K109" s="59" t="n"/>
      <c r="L109" s="59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9" t="n"/>
      <c r="X109" s="61" t="n"/>
      <c r="Y109" s="59" t="n"/>
      <c r="Z109" s="59" t="n"/>
      <c r="AA109" s="59" t="n"/>
      <c r="AB109" s="59" t="n"/>
      <c r="AC109" s="59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9" t="n"/>
      <c r="F110" s="59" t="n"/>
      <c r="G110" s="60" t="n"/>
      <c r="H110" s="47" t="n"/>
      <c r="I110" s="47" t="n"/>
      <c r="J110" s="59" t="n"/>
      <c r="K110" s="59" t="n"/>
      <c r="L110" s="59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9" t="n"/>
      <c r="X110" s="61" t="n"/>
      <c r="Y110" s="59" t="n"/>
      <c r="Z110" s="59" t="n"/>
      <c r="AA110" s="59" t="n"/>
      <c r="AB110" s="59" t="n"/>
      <c r="AC110" s="59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9" t="n"/>
      <c r="F111" s="59" t="n"/>
      <c r="G111" s="60" t="n"/>
      <c r="H111" s="47" t="n"/>
      <c r="I111" s="47" t="n"/>
      <c r="J111" s="59" t="n"/>
      <c r="K111" s="59" t="n"/>
      <c r="L111" s="59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9" t="n"/>
      <c r="X111" s="61" t="n"/>
      <c r="Y111" s="59" t="n"/>
      <c r="Z111" s="59" t="n"/>
      <c r="AA111" s="59" t="n"/>
      <c r="AB111" s="59" t="n"/>
      <c r="AC111" s="59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9" t="n"/>
      <c r="F112" s="59" t="n"/>
      <c r="G112" s="60" t="n"/>
      <c r="H112" s="47" t="n"/>
      <c r="I112" s="47" t="n"/>
      <c r="J112" s="59" t="n"/>
      <c r="K112" s="59" t="n"/>
      <c r="L112" s="59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9" t="n"/>
      <c r="X112" s="61" t="n"/>
      <c r="Y112" s="59" t="n"/>
      <c r="Z112" s="59" t="n"/>
      <c r="AA112" s="59" t="n"/>
      <c r="AB112" s="59" t="n"/>
      <c r="AC112" s="59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9" t="n"/>
      <c r="F113" s="59" t="n"/>
      <c r="G113" s="60" t="n"/>
      <c r="H113" s="47" t="n"/>
      <c r="I113" s="47" t="n"/>
      <c r="J113" s="59" t="n"/>
      <c r="K113" s="59" t="n"/>
      <c r="L113" s="59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9" t="n"/>
      <c r="X113" s="61" t="n"/>
      <c r="Y113" s="59" t="n"/>
      <c r="Z113" s="59" t="n"/>
      <c r="AA113" s="59" t="n"/>
      <c r="AB113" s="59" t="n"/>
      <c r="AC113" s="59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9" t="n"/>
      <c r="F114" s="59" t="n"/>
      <c r="G114" s="60" t="n"/>
      <c r="H114" s="47" t="n"/>
      <c r="I114" s="47" t="n"/>
      <c r="J114" s="59" t="n"/>
      <c r="K114" s="59" t="n"/>
      <c r="L114" s="59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9" t="n"/>
      <c r="X114" s="61" t="n"/>
      <c r="Y114" s="59" t="n"/>
      <c r="Z114" s="59" t="n"/>
      <c r="AA114" s="59" t="n"/>
      <c r="AB114" s="59" t="n"/>
      <c r="AC114" s="59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9" t="n"/>
      <c r="F115" s="59" t="n"/>
      <c r="G115" s="60" t="n"/>
      <c r="H115" s="47" t="n"/>
      <c r="I115" s="47" t="n"/>
      <c r="J115" s="59" t="n"/>
      <c r="K115" s="59" t="n"/>
      <c r="L115" s="59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9" t="n"/>
      <c r="X115" s="61" t="n"/>
      <c r="Y115" s="59" t="n"/>
      <c r="Z115" s="59" t="n"/>
      <c r="AA115" s="59" t="n"/>
      <c r="AB115" s="59" t="n"/>
      <c r="AC115" s="59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9" t="n"/>
      <c r="F116" s="59" t="n"/>
      <c r="G116" s="60" t="n"/>
      <c r="H116" s="47" t="n"/>
      <c r="I116" s="47" t="n"/>
      <c r="J116" s="59" t="n"/>
      <c r="K116" s="59" t="n"/>
      <c r="L116" s="59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9" t="n"/>
      <c r="X116" s="61" t="n"/>
      <c r="Y116" s="59" t="n"/>
      <c r="Z116" s="59" t="n"/>
      <c r="AA116" s="59" t="n"/>
      <c r="AB116" s="59" t="n"/>
      <c r="AC116" s="59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9" t="n"/>
      <c r="F117" s="59" t="n"/>
      <c r="G117" s="60" t="n"/>
      <c r="H117" s="47" t="n"/>
      <c r="I117" s="47" t="n"/>
      <c r="J117" s="59" t="n"/>
      <c r="K117" s="59" t="n"/>
      <c r="L117" s="59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9" t="n"/>
      <c r="X117" s="61" t="n"/>
      <c r="Y117" s="59" t="n"/>
      <c r="Z117" s="59" t="n"/>
      <c r="AA117" s="59" t="n"/>
      <c r="AB117" s="59" t="n"/>
      <c r="AC117" s="59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9" t="n"/>
      <c r="F118" s="59" t="n"/>
      <c r="G118" s="60" t="n"/>
      <c r="H118" s="47" t="n"/>
      <c r="I118" s="47" t="n"/>
      <c r="J118" s="59" t="n"/>
      <c r="K118" s="59" t="n"/>
      <c r="L118" s="59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9" t="n"/>
      <c r="X118" s="61" t="n"/>
      <c r="Y118" s="59" t="n"/>
      <c r="Z118" s="59" t="n"/>
      <c r="AA118" s="59" t="n"/>
      <c r="AB118" s="59" t="n"/>
      <c r="AC118" s="59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9" t="n"/>
      <c r="F119" s="59" t="n"/>
      <c r="G119" s="60" t="n"/>
      <c r="H119" s="47" t="n"/>
      <c r="I119" s="47" t="n"/>
      <c r="J119" s="59" t="n"/>
      <c r="K119" s="59" t="n"/>
      <c r="L119" s="59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9" t="n"/>
      <c r="X119" s="61" t="n"/>
      <c r="Y119" s="59" t="n"/>
      <c r="Z119" s="59" t="n"/>
      <c r="AA119" s="59" t="n"/>
      <c r="AB119" s="59" t="n"/>
      <c r="AC119" s="59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9" t="n"/>
      <c r="F120" s="59" t="n"/>
      <c r="G120" s="60" t="n"/>
      <c r="H120" s="47" t="n"/>
      <c r="I120" s="47" t="n"/>
      <c r="J120" s="59" t="n"/>
      <c r="K120" s="59" t="n"/>
      <c r="L120" s="59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9" t="n"/>
      <c r="X120" s="61" t="n"/>
      <c r="Y120" s="59" t="n"/>
      <c r="Z120" s="59" t="n"/>
      <c r="AA120" s="59" t="n"/>
      <c r="AB120" s="59" t="n"/>
      <c r="AC120" s="59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9" t="n"/>
      <c r="F121" s="59" t="n"/>
      <c r="G121" s="60" t="n"/>
      <c r="H121" s="47" t="n"/>
      <c r="I121" s="47" t="n"/>
      <c r="J121" s="59" t="n"/>
      <c r="K121" s="59" t="n"/>
      <c r="L121" s="59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9" t="n"/>
      <c r="X121" s="61" t="n"/>
      <c r="Y121" s="59" t="n"/>
      <c r="Z121" s="59" t="n"/>
      <c r="AA121" s="59" t="n"/>
      <c r="AB121" s="59" t="n"/>
      <c r="AC121" s="59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9" t="n"/>
      <c r="F122" s="59" t="n"/>
      <c r="G122" s="60" t="n"/>
      <c r="H122" s="47" t="n"/>
      <c r="I122" s="47" t="n"/>
      <c r="J122" s="59" t="n"/>
      <c r="K122" s="59" t="n"/>
      <c r="L122" s="59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9" t="n"/>
      <c r="X122" s="61" t="n"/>
      <c r="Y122" s="59" t="n"/>
      <c r="Z122" s="59" t="n"/>
      <c r="AA122" s="59" t="n"/>
      <c r="AB122" s="59" t="n"/>
      <c r="AC122" s="59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9" t="n"/>
      <c r="F123" s="59" t="n"/>
      <c r="G123" s="60" t="n"/>
      <c r="H123" s="47" t="n"/>
      <c r="I123" s="47" t="n"/>
      <c r="J123" s="59" t="n"/>
      <c r="K123" s="59" t="n"/>
      <c r="L123" s="59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9" t="n"/>
      <c r="X123" s="61" t="n"/>
      <c r="Y123" s="59" t="n"/>
      <c r="Z123" s="59" t="n"/>
      <c r="AA123" s="59" t="n"/>
      <c r="AB123" s="59" t="n"/>
      <c r="AC123" s="59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9" t="n"/>
      <c r="F124" s="59" t="n"/>
      <c r="G124" s="60" t="n"/>
      <c r="H124" s="47" t="n"/>
      <c r="I124" s="47" t="n"/>
      <c r="J124" s="59" t="n"/>
      <c r="K124" s="59" t="n"/>
      <c r="L124" s="59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9" t="n"/>
      <c r="X124" s="61" t="n"/>
      <c r="Y124" s="59" t="n"/>
      <c r="Z124" s="59" t="n"/>
      <c r="AA124" s="59" t="n"/>
      <c r="AB124" s="59" t="n"/>
      <c r="AC124" s="59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9" t="n"/>
      <c r="F125" s="59" t="n"/>
      <c r="G125" s="60" t="n"/>
      <c r="H125" s="47" t="n"/>
      <c r="I125" s="47" t="n"/>
      <c r="J125" s="59" t="n"/>
      <c r="K125" s="59" t="n"/>
      <c r="L125" s="59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9" t="n"/>
      <c r="X125" s="61" t="n"/>
      <c r="Y125" s="59" t="n"/>
      <c r="Z125" s="59" t="n"/>
      <c r="AA125" s="59" t="n"/>
      <c r="AB125" s="59" t="n"/>
      <c r="AC125" s="59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9" t="n"/>
      <c r="F126" s="59" t="n"/>
      <c r="G126" s="60" t="n"/>
      <c r="H126" s="47" t="n"/>
      <c r="I126" s="47" t="n"/>
      <c r="J126" s="59" t="n"/>
      <c r="K126" s="59" t="n"/>
      <c r="L126" s="59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9" t="n"/>
      <c r="X126" s="61" t="n"/>
      <c r="Y126" s="59" t="n"/>
      <c r="Z126" s="59" t="n"/>
      <c r="AA126" s="59" t="n"/>
      <c r="AB126" s="59" t="n"/>
      <c r="AC126" s="59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9" t="n"/>
      <c r="F127" s="59" t="n"/>
      <c r="G127" s="60" t="n"/>
      <c r="H127" s="47" t="n"/>
      <c r="I127" s="47" t="n"/>
      <c r="J127" s="59" t="n"/>
      <c r="K127" s="59" t="n"/>
      <c r="L127" s="59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9" t="n"/>
      <c r="X127" s="61" t="n"/>
      <c r="Y127" s="59" t="n"/>
      <c r="Z127" s="59" t="n"/>
      <c r="AA127" s="59" t="n"/>
      <c r="AB127" s="59" t="n"/>
      <c r="AC127" s="59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9" t="n"/>
      <c r="F128" s="59" t="n"/>
      <c r="G128" s="60" t="n"/>
      <c r="H128" s="47" t="n"/>
      <c r="I128" s="47" t="n"/>
      <c r="J128" s="59" t="n"/>
      <c r="K128" s="59" t="n"/>
      <c r="L128" s="59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9" t="n"/>
      <c r="X128" s="61" t="n"/>
      <c r="Y128" s="59" t="n"/>
      <c r="Z128" s="59" t="n"/>
      <c r="AA128" s="59" t="n"/>
      <c r="AB128" s="59" t="n"/>
      <c r="AC128" s="59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9" t="n"/>
      <c r="F129" s="59" t="n"/>
      <c r="G129" s="60" t="n"/>
      <c r="H129" s="47" t="n"/>
      <c r="I129" s="47" t="n"/>
      <c r="J129" s="59" t="n"/>
      <c r="K129" s="59" t="n"/>
      <c r="L129" s="59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9" t="n"/>
      <c r="X129" s="61" t="n"/>
      <c r="Y129" s="59" t="n"/>
      <c r="Z129" s="59" t="n"/>
      <c r="AA129" s="59" t="n"/>
      <c r="AB129" s="59" t="n"/>
      <c r="AC129" s="59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9" t="n"/>
      <c r="F130" s="59" t="n"/>
      <c r="G130" s="60" t="n"/>
      <c r="H130" s="47" t="n"/>
      <c r="I130" s="47" t="n"/>
      <c r="J130" s="59" t="n"/>
      <c r="K130" s="59" t="n"/>
      <c r="L130" s="59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9" t="n"/>
      <c r="X130" s="61" t="n"/>
      <c r="Y130" s="59" t="n"/>
      <c r="Z130" s="59" t="n"/>
      <c r="AA130" s="59" t="n"/>
      <c r="AB130" s="59" t="n"/>
      <c r="AC130" s="59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9" t="n"/>
      <c r="F131" s="59" t="n"/>
      <c r="G131" s="60" t="n"/>
      <c r="H131" s="47" t="n"/>
      <c r="I131" s="47" t="n"/>
      <c r="J131" s="59" t="n"/>
      <c r="K131" s="59" t="n"/>
      <c r="L131" s="59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9" t="n"/>
      <c r="X131" s="61" t="n"/>
      <c r="Y131" s="59" t="n"/>
      <c r="Z131" s="59" t="n"/>
      <c r="AA131" s="59" t="n"/>
      <c r="AB131" s="59" t="n"/>
      <c r="AC131" s="59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9" t="n"/>
      <c r="F132" s="59" t="n"/>
      <c r="G132" s="60" t="n"/>
      <c r="H132" s="47" t="n"/>
      <c r="I132" s="47" t="n"/>
      <c r="J132" s="59" t="n"/>
      <c r="K132" s="59" t="n"/>
      <c r="L132" s="59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9" t="n"/>
      <c r="X132" s="61" t="n"/>
      <c r="Y132" s="59" t="n"/>
      <c r="Z132" s="59" t="n"/>
      <c r="AA132" s="59" t="n"/>
      <c r="AB132" s="59" t="n"/>
      <c r="AC132" s="59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9" t="n"/>
      <c r="F133" s="59" t="n"/>
      <c r="G133" s="60" t="n"/>
      <c r="H133" s="47" t="n"/>
      <c r="I133" s="47" t="n"/>
      <c r="J133" s="59" t="n"/>
      <c r="K133" s="59" t="n"/>
      <c r="L133" s="59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9" t="n"/>
      <c r="X133" s="61" t="n"/>
      <c r="Y133" s="59" t="n"/>
      <c r="Z133" s="59" t="n"/>
      <c r="AA133" s="59" t="n"/>
      <c r="AB133" s="59" t="n"/>
      <c r="AC133" s="59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9" t="n"/>
      <c r="F134" s="59" t="n"/>
      <c r="G134" s="60" t="n"/>
      <c r="H134" s="47" t="n"/>
      <c r="I134" s="47" t="n"/>
      <c r="J134" s="59" t="n"/>
      <c r="K134" s="59" t="n"/>
      <c r="L134" s="59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9" t="n"/>
      <c r="X134" s="61" t="n"/>
      <c r="Y134" s="59" t="n"/>
      <c r="Z134" s="59" t="n"/>
      <c r="AA134" s="59" t="n"/>
      <c r="AB134" s="59" t="n"/>
      <c r="AC134" s="59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9" t="n"/>
      <c r="F135" s="59" t="n"/>
      <c r="G135" s="60" t="n"/>
      <c r="H135" s="47" t="n"/>
      <c r="I135" s="47" t="n"/>
      <c r="J135" s="59" t="n"/>
      <c r="K135" s="59" t="n"/>
      <c r="L135" s="59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9" t="n"/>
      <c r="X135" s="61" t="n"/>
      <c r="Y135" s="59" t="n"/>
      <c r="Z135" s="59" t="n"/>
      <c r="AA135" s="59" t="n"/>
      <c r="AB135" s="59" t="n"/>
      <c r="AC135" s="59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9" t="n"/>
      <c r="F136" s="59" t="n"/>
      <c r="G136" s="60" t="n"/>
      <c r="H136" s="47" t="n"/>
      <c r="I136" s="47" t="n"/>
      <c r="J136" s="59" t="n"/>
      <c r="K136" s="59" t="n"/>
      <c r="L136" s="59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9" t="n"/>
      <c r="X136" s="61" t="n"/>
      <c r="Y136" s="59" t="n"/>
      <c r="Z136" s="59" t="n"/>
      <c r="AA136" s="59" t="n"/>
      <c r="AB136" s="59" t="n"/>
      <c r="AC136" s="59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9" t="n"/>
      <c r="F137" s="59" t="n"/>
      <c r="G137" s="60" t="n"/>
      <c r="H137" s="47" t="n"/>
      <c r="I137" s="47" t="n"/>
      <c r="J137" s="59" t="n"/>
      <c r="K137" s="59" t="n"/>
      <c r="L137" s="59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9" t="n"/>
      <c r="X137" s="61" t="n"/>
      <c r="Y137" s="59" t="n"/>
      <c r="Z137" s="59" t="n"/>
      <c r="AA137" s="59" t="n"/>
      <c r="AB137" s="59" t="n"/>
      <c r="AC137" s="59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9" t="n"/>
      <c r="F138" s="59" t="n"/>
      <c r="G138" s="60" t="n"/>
      <c r="H138" s="47" t="n"/>
      <c r="I138" s="47" t="n"/>
      <c r="J138" s="59" t="n"/>
      <c r="K138" s="59" t="n"/>
      <c r="L138" s="59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9" t="n"/>
      <c r="X138" s="61" t="n"/>
      <c r="Y138" s="59" t="n"/>
      <c r="Z138" s="59" t="n"/>
      <c r="AA138" s="59" t="n"/>
      <c r="AB138" s="59" t="n"/>
      <c r="AC138" s="59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9" t="n"/>
      <c r="F139" s="59" t="n"/>
      <c r="G139" s="60" t="n"/>
      <c r="H139" s="47" t="n"/>
      <c r="I139" s="47" t="n"/>
      <c r="J139" s="59" t="n"/>
      <c r="K139" s="59" t="n"/>
      <c r="L139" s="59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9" t="n"/>
      <c r="X139" s="61" t="n"/>
      <c r="Y139" s="59" t="n"/>
      <c r="Z139" s="59" t="n"/>
      <c r="AA139" s="59" t="n"/>
      <c r="AB139" s="59" t="n"/>
      <c r="AC139" s="59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9" t="n"/>
      <c r="F140" s="59" t="n"/>
      <c r="G140" s="60" t="n"/>
      <c r="H140" s="47" t="n"/>
      <c r="I140" s="47" t="n"/>
      <c r="J140" s="59" t="n"/>
      <c r="K140" s="59" t="n"/>
      <c r="L140" s="59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9" t="n"/>
      <c r="X140" s="61" t="n"/>
      <c r="Y140" s="59" t="n"/>
      <c r="Z140" s="59" t="n"/>
      <c r="AA140" s="59" t="n"/>
      <c r="AB140" s="59" t="n"/>
      <c r="AC140" s="59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9" t="n"/>
      <c r="F141" s="59" t="n"/>
      <c r="G141" s="60" t="n"/>
      <c r="H141" s="47" t="n"/>
      <c r="I141" s="47" t="n"/>
      <c r="J141" s="59" t="n"/>
      <c r="K141" s="59" t="n"/>
      <c r="L141" s="59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9" t="n"/>
      <c r="X141" s="61" t="n"/>
      <c r="Y141" s="59" t="n"/>
      <c r="Z141" s="59" t="n"/>
      <c r="AA141" s="59" t="n"/>
      <c r="AB141" s="59" t="n"/>
      <c r="AC141" s="59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9" t="n"/>
      <c r="F142" s="59" t="n"/>
      <c r="G142" s="60" t="n"/>
      <c r="H142" s="47" t="n"/>
      <c r="I142" s="47" t="n"/>
      <c r="J142" s="59" t="n"/>
      <c r="K142" s="59" t="n"/>
      <c r="L142" s="59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9" t="n"/>
      <c r="X142" s="61" t="n"/>
      <c r="Y142" s="59" t="n"/>
      <c r="Z142" s="59" t="n"/>
      <c r="AA142" s="59" t="n"/>
      <c r="AB142" s="59" t="n"/>
      <c r="AC142" s="59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9" t="n"/>
      <c r="F143" s="59" t="n"/>
      <c r="G143" s="60" t="n"/>
      <c r="H143" s="47" t="n"/>
      <c r="I143" s="47" t="n"/>
      <c r="J143" s="59" t="n"/>
      <c r="K143" s="59" t="n"/>
      <c r="L143" s="59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9" t="n"/>
      <c r="X143" s="61" t="n"/>
      <c r="Y143" s="59" t="n"/>
      <c r="Z143" s="59" t="n"/>
      <c r="AA143" s="59" t="n"/>
      <c r="AB143" s="59" t="n"/>
      <c r="AC143" s="59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9" t="n"/>
      <c r="F144" s="59" t="n"/>
      <c r="G144" s="60" t="n"/>
      <c r="H144" s="47" t="n"/>
      <c r="I144" s="47" t="n"/>
      <c r="J144" s="59" t="n"/>
      <c r="K144" s="59" t="n"/>
      <c r="L144" s="59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9" t="n"/>
      <c r="X144" s="61" t="n"/>
      <c r="Y144" s="59" t="n"/>
      <c r="Z144" s="59" t="n"/>
      <c r="AA144" s="59" t="n"/>
      <c r="AB144" s="59" t="n"/>
      <c r="AC144" s="59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9" t="n"/>
      <c r="F145" s="59" t="n"/>
      <c r="G145" s="60" t="n"/>
      <c r="H145" s="47" t="n"/>
      <c r="I145" s="47" t="n"/>
      <c r="J145" s="59" t="n"/>
      <c r="K145" s="59" t="n"/>
      <c r="L145" s="59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9" t="n"/>
      <c r="X145" s="61" t="n"/>
      <c r="Y145" s="59" t="n"/>
      <c r="Z145" s="59" t="n"/>
      <c r="AA145" s="59" t="n"/>
      <c r="AB145" s="59" t="n"/>
      <c r="AC145" s="59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9" t="n"/>
      <c r="F146" s="59" t="n"/>
      <c r="G146" s="60" t="n"/>
      <c r="H146" s="47" t="n"/>
      <c r="I146" s="47" t="n"/>
      <c r="J146" s="59" t="n"/>
      <c r="K146" s="59" t="n"/>
      <c r="L146" s="59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9" t="n"/>
      <c r="X146" s="61" t="n"/>
      <c r="Y146" s="59" t="n"/>
      <c r="Z146" s="59" t="n"/>
      <c r="AA146" s="59" t="n"/>
      <c r="AB146" s="59" t="n"/>
      <c r="AC146" s="59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9" t="n"/>
      <c r="F147" s="59" t="n"/>
      <c r="G147" s="60" t="n"/>
      <c r="H147" s="47" t="n"/>
      <c r="I147" s="47" t="n"/>
      <c r="J147" s="59" t="n"/>
      <c r="K147" s="59" t="n"/>
      <c r="L147" s="59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9" t="n"/>
      <c r="X147" s="61" t="n"/>
      <c r="Y147" s="59" t="n"/>
      <c r="Z147" s="59" t="n"/>
      <c r="AA147" s="59" t="n"/>
      <c r="AB147" s="59" t="n"/>
      <c r="AC147" s="59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9" t="n"/>
      <c r="F148" s="59" t="n"/>
      <c r="G148" s="60" t="n"/>
      <c r="H148" s="47" t="n"/>
      <c r="I148" s="47" t="n"/>
      <c r="J148" s="59" t="n"/>
      <c r="K148" s="59" t="n"/>
      <c r="L148" s="59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9" t="n"/>
      <c r="X148" s="61" t="n"/>
      <c r="Y148" s="59" t="n"/>
      <c r="Z148" s="59" t="n"/>
      <c r="AA148" s="59" t="n"/>
      <c r="AB148" s="59" t="n"/>
      <c r="AC148" s="59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9" t="n"/>
      <c r="F149" s="59" t="n"/>
      <c r="G149" s="60" t="n"/>
      <c r="H149" s="47" t="n"/>
      <c r="I149" s="47" t="n"/>
      <c r="J149" s="59" t="n"/>
      <c r="K149" s="59" t="n"/>
      <c r="L149" s="59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9" t="n"/>
      <c r="X149" s="61" t="n"/>
      <c r="Y149" s="59" t="n"/>
      <c r="Z149" s="59" t="n"/>
      <c r="AA149" s="59" t="n"/>
      <c r="AB149" s="59" t="n"/>
      <c r="AC149" s="59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9" t="n"/>
      <c r="F150" s="59" t="n"/>
      <c r="G150" s="60" t="n"/>
      <c r="H150" s="47" t="n"/>
      <c r="I150" s="47" t="n"/>
      <c r="J150" s="59" t="n"/>
      <c r="K150" s="59" t="n"/>
      <c r="L150" s="59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9" t="n"/>
      <c r="X150" s="61" t="n"/>
      <c r="Y150" s="59" t="n"/>
      <c r="Z150" s="59" t="n"/>
      <c r="AA150" s="59" t="n"/>
      <c r="AB150" s="59" t="n"/>
      <c r="AC150" s="59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9" t="n"/>
      <c r="F151" s="59" t="n"/>
      <c r="G151" s="60" t="n"/>
      <c r="H151" s="47" t="n"/>
      <c r="I151" s="47" t="n"/>
      <c r="J151" s="59" t="n"/>
      <c r="K151" s="59" t="n"/>
      <c r="L151" s="59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9" t="n"/>
      <c r="X151" s="61" t="n"/>
      <c r="Y151" s="59" t="n"/>
      <c r="Z151" s="59" t="n"/>
      <c r="AA151" s="59" t="n"/>
      <c r="AB151" s="59" t="n"/>
      <c r="AC151" s="59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9" t="n"/>
      <c r="F152" s="59" t="n"/>
      <c r="G152" s="60" t="n"/>
      <c r="H152" s="47" t="n"/>
      <c r="I152" s="47" t="n"/>
      <c r="J152" s="59" t="n"/>
      <c r="K152" s="59" t="n"/>
      <c r="L152" s="59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9" t="n"/>
      <c r="X152" s="61" t="n"/>
      <c r="Y152" s="59" t="n"/>
      <c r="Z152" s="59" t="n"/>
      <c r="AA152" s="59" t="n"/>
      <c r="AB152" s="59" t="n"/>
      <c r="AC152" s="59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9" t="n"/>
      <c r="F153" s="59" t="n"/>
      <c r="G153" s="60" t="n"/>
      <c r="H153" s="47" t="n"/>
      <c r="I153" s="47" t="n"/>
      <c r="J153" s="59" t="n"/>
      <c r="K153" s="59" t="n"/>
      <c r="L153" s="59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9" t="n"/>
      <c r="X153" s="61" t="n"/>
      <c r="Y153" s="59" t="n"/>
      <c r="Z153" s="59" t="n"/>
      <c r="AA153" s="59" t="n"/>
      <c r="AB153" s="59" t="n"/>
      <c r="AC153" s="59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9" t="n"/>
      <c r="F154" s="59" t="n"/>
      <c r="G154" s="60" t="n"/>
      <c r="H154" s="47" t="n"/>
      <c r="I154" s="47" t="n"/>
      <c r="J154" s="59" t="n"/>
      <c r="K154" s="59" t="n"/>
      <c r="L154" s="59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9" t="n"/>
      <c r="X154" s="61" t="n"/>
      <c r="Y154" s="59" t="n"/>
      <c r="Z154" s="59" t="n"/>
      <c r="AA154" s="59" t="n"/>
      <c r="AB154" s="59" t="n"/>
      <c r="AC154" s="59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9" t="n"/>
      <c r="F155" s="59" t="n"/>
      <c r="G155" s="60" t="n"/>
      <c r="H155" s="47" t="n"/>
      <c r="I155" s="47" t="n"/>
      <c r="J155" s="59" t="n"/>
      <c r="K155" s="59" t="n"/>
      <c r="L155" s="59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9" t="n"/>
      <c r="X155" s="61" t="n"/>
      <c r="Y155" s="59" t="n"/>
      <c r="Z155" s="59" t="n"/>
      <c r="AA155" s="59" t="n"/>
      <c r="AB155" s="59" t="n"/>
      <c r="AC155" s="59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9" t="n"/>
      <c r="F156" s="59" t="n"/>
      <c r="G156" s="60" t="n"/>
      <c r="H156" s="47" t="n"/>
      <c r="I156" s="47" t="n"/>
      <c r="J156" s="59" t="n"/>
      <c r="K156" s="59" t="n"/>
      <c r="L156" s="59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9" t="n"/>
      <c r="X156" s="61" t="n"/>
      <c r="Y156" s="59" t="n"/>
      <c r="Z156" s="59" t="n"/>
      <c r="AA156" s="59" t="n"/>
      <c r="AB156" s="59" t="n"/>
      <c r="AC156" s="59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9" t="n"/>
      <c r="F157" s="59" t="n"/>
      <c r="G157" s="60" t="n"/>
      <c r="H157" s="47" t="n"/>
      <c r="I157" s="47" t="n"/>
      <c r="J157" s="59" t="n"/>
      <c r="K157" s="59" t="n"/>
      <c r="L157" s="59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9" t="n"/>
      <c r="X157" s="61" t="n"/>
      <c r="Y157" s="59" t="n"/>
      <c r="Z157" s="59" t="n"/>
      <c r="AA157" s="59" t="n"/>
      <c r="AB157" s="59" t="n"/>
      <c r="AC157" s="59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9" t="n"/>
      <c r="F158" s="59" t="n"/>
      <c r="G158" s="60" t="n"/>
      <c r="H158" s="47" t="n"/>
      <c r="I158" s="47" t="n"/>
      <c r="J158" s="59" t="n"/>
      <c r="K158" s="59" t="n"/>
      <c r="L158" s="59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9" t="n"/>
      <c r="X158" s="61" t="n"/>
      <c r="Y158" s="59" t="n"/>
      <c r="Z158" s="59" t="n"/>
      <c r="AA158" s="59" t="n"/>
      <c r="AB158" s="59" t="n"/>
      <c r="AC158" s="59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9" t="n"/>
      <c r="F159" s="59" t="n"/>
      <c r="G159" s="60" t="n"/>
      <c r="H159" s="47" t="n"/>
      <c r="I159" s="47" t="n"/>
      <c r="J159" s="59" t="n"/>
      <c r="K159" s="59" t="n"/>
      <c r="L159" s="59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9" t="n"/>
      <c r="X159" s="61" t="n"/>
      <c r="Y159" s="59" t="n"/>
      <c r="Z159" s="59" t="n"/>
      <c r="AA159" s="59" t="n"/>
      <c r="AB159" s="59" t="n"/>
      <c r="AC159" s="59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9" t="n"/>
      <c r="F160" s="59" t="n"/>
      <c r="G160" s="60" t="n"/>
      <c r="H160" s="47" t="n"/>
      <c r="I160" s="47" t="n"/>
      <c r="J160" s="59" t="n"/>
      <c r="K160" s="59" t="n"/>
      <c r="L160" s="59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9" t="n"/>
      <c r="X160" s="61" t="n"/>
      <c r="Y160" s="59" t="n"/>
      <c r="Z160" s="59" t="n"/>
      <c r="AA160" s="59" t="n"/>
      <c r="AB160" s="59" t="n"/>
      <c r="AC160" s="59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9" t="n"/>
      <c r="F161" s="59" t="n"/>
      <c r="G161" s="60" t="n"/>
      <c r="H161" s="47" t="n"/>
      <c r="I161" s="47" t="n"/>
      <c r="J161" s="59" t="n"/>
      <c r="K161" s="59" t="n"/>
      <c r="L161" s="59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9" t="n"/>
      <c r="X161" s="61" t="n"/>
      <c r="Y161" s="59" t="n"/>
      <c r="Z161" s="59" t="n"/>
      <c r="AA161" s="59" t="n"/>
      <c r="AB161" s="59" t="n"/>
      <c r="AC161" s="59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9" t="n"/>
      <c r="F162" s="59" t="n"/>
      <c r="G162" s="60" t="n"/>
      <c r="H162" s="47" t="n"/>
      <c r="I162" s="47" t="n"/>
      <c r="J162" s="59" t="n"/>
      <c r="K162" s="59" t="n"/>
      <c r="L162" s="59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9" t="n"/>
      <c r="X162" s="61" t="n"/>
      <c r="Y162" s="59" t="n"/>
      <c r="Z162" s="59" t="n"/>
      <c r="AA162" s="59" t="n"/>
      <c r="AB162" s="59" t="n"/>
      <c r="AC162" s="59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9" t="n"/>
      <c r="F163" s="59" t="n"/>
      <c r="G163" s="60" t="n"/>
      <c r="H163" s="47" t="n"/>
      <c r="I163" s="47" t="n"/>
      <c r="J163" s="59" t="n"/>
      <c r="K163" s="59" t="n"/>
      <c r="L163" s="59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9" t="n"/>
      <c r="X163" s="61" t="n"/>
      <c r="Y163" s="59" t="n"/>
      <c r="Z163" s="59" t="n"/>
      <c r="AA163" s="59" t="n"/>
      <c r="AB163" s="59" t="n"/>
      <c r="AC163" s="59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9" t="n"/>
      <c r="F164" s="59" t="n"/>
      <c r="G164" s="60" t="n"/>
      <c r="H164" s="47" t="n"/>
      <c r="I164" s="47" t="n"/>
      <c r="J164" s="59" t="n"/>
      <c r="K164" s="59" t="n"/>
      <c r="L164" s="59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9" t="n"/>
      <c r="X164" s="61" t="n"/>
      <c r="Y164" s="59" t="n"/>
      <c r="Z164" s="59" t="n"/>
      <c r="AA164" s="59" t="n"/>
      <c r="AB164" s="59" t="n"/>
      <c r="AC164" s="59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9" t="n"/>
      <c r="F165" s="59" t="n"/>
      <c r="G165" s="60" t="n"/>
      <c r="H165" s="47" t="n"/>
      <c r="I165" s="47" t="n"/>
      <c r="J165" s="59" t="n"/>
      <c r="K165" s="59" t="n"/>
      <c r="L165" s="59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9" t="n"/>
      <c r="X165" s="61" t="n"/>
      <c r="Y165" s="59" t="n"/>
      <c r="Z165" s="59" t="n"/>
      <c r="AA165" s="59" t="n"/>
      <c r="AB165" s="59" t="n"/>
      <c r="AC165" s="59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9" t="n"/>
      <c r="F166" s="59" t="n"/>
      <c r="G166" s="60" t="n"/>
      <c r="H166" s="47" t="n"/>
      <c r="I166" s="47" t="n"/>
      <c r="J166" s="59" t="n"/>
      <c r="K166" s="59" t="n"/>
      <c r="L166" s="59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9" t="n"/>
      <c r="X166" s="61" t="n"/>
      <c r="Y166" s="59" t="n"/>
      <c r="Z166" s="59" t="n"/>
      <c r="AA166" s="59" t="n"/>
      <c r="AB166" s="59" t="n"/>
      <c r="AC166" s="59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9" t="n"/>
      <c r="F167" s="59" t="n"/>
      <c r="G167" s="60" t="n"/>
      <c r="H167" s="47" t="n"/>
      <c r="I167" s="47" t="n"/>
      <c r="J167" s="59" t="n"/>
      <c r="K167" s="59" t="n"/>
      <c r="L167" s="59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9" t="n"/>
      <c r="X167" s="61" t="n"/>
      <c r="Y167" s="59" t="n"/>
      <c r="Z167" s="59" t="n"/>
      <c r="AA167" s="59" t="n"/>
      <c r="AB167" s="59" t="n"/>
      <c r="AC167" s="59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9" t="n"/>
      <c r="F168" s="59" t="n"/>
      <c r="G168" s="60" t="n"/>
      <c r="H168" s="47" t="n"/>
      <c r="I168" s="47" t="n"/>
      <c r="J168" s="59" t="n"/>
      <c r="K168" s="59" t="n"/>
      <c r="L168" s="59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9" t="n"/>
      <c r="X168" s="61" t="n"/>
      <c r="Y168" s="59" t="n"/>
      <c r="Z168" s="59" t="n"/>
      <c r="AA168" s="59" t="n"/>
      <c r="AB168" s="59" t="n"/>
      <c r="AC168" s="59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9" t="n"/>
      <c r="F169" s="59" t="n"/>
      <c r="G169" s="60" t="n"/>
      <c r="H169" s="47" t="n"/>
      <c r="I169" s="47" t="n"/>
      <c r="J169" s="59" t="n"/>
      <c r="K169" s="59" t="n"/>
      <c r="L169" s="59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9" t="n"/>
      <c r="X169" s="61" t="n"/>
      <c r="Y169" s="59" t="n"/>
      <c r="Z169" s="59" t="n"/>
      <c r="AA169" s="59" t="n"/>
      <c r="AB169" s="59" t="n"/>
      <c r="AC169" s="59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9" t="n"/>
      <c r="F170" s="59" t="n"/>
      <c r="G170" s="60" t="n"/>
      <c r="H170" s="47" t="n"/>
      <c r="I170" s="47" t="n"/>
      <c r="J170" s="59" t="n"/>
      <c r="K170" s="59" t="n"/>
      <c r="L170" s="59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9" t="n"/>
      <c r="X170" s="61" t="n"/>
      <c r="Y170" s="59" t="n"/>
      <c r="Z170" s="59" t="n"/>
      <c r="AA170" s="59" t="n"/>
      <c r="AB170" s="59" t="n"/>
      <c r="AC170" s="59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9" t="n"/>
      <c r="F171" s="59" t="n"/>
      <c r="G171" s="60" t="n"/>
      <c r="H171" s="47" t="n"/>
      <c r="I171" s="47" t="n"/>
      <c r="J171" s="59" t="n"/>
      <c r="K171" s="59" t="n"/>
      <c r="L171" s="59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9" t="n"/>
      <c r="X171" s="61" t="n"/>
      <c r="Y171" s="59" t="n"/>
      <c r="Z171" s="59" t="n"/>
      <c r="AA171" s="59" t="n"/>
      <c r="AB171" s="59" t="n"/>
      <c r="AC171" s="59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9" t="n"/>
      <c r="F172" s="59" t="n"/>
      <c r="G172" s="60" t="n"/>
      <c r="H172" s="47" t="n"/>
      <c r="I172" s="47" t="n"/>
      <c r="J172" s="59" t="n"/>
      <c r="K172" s="59" t="n"/>
      <c r="L172" s="59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9" t="n"/>
      <c r="X172" s="61" t="n"/>
      <c r="Y172" s="59" t="n"/>
      <c r="Z172" s="59" t="n"/>
      <c r="AA172" s="59" t="n"/>
      <c r="AB172" s="59" t="n"/>
      <c r="AC172" s="59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9" t="n"/>
      <c r="F173" s="59" t="n"/>
      <c r="G173" s="60" t="n"/>
      <c r="H173" s="47" t="n"/>
      <c r="I173" s="47" t="n"/>
      <c r="J173" s="59" t="n"/>
      <c r="K173" s="59" t="n"/>
      <c r="L173" s="59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9" t="n"/>
      <c r="X173" s="61" t="n"/>
      <c r="Y173" s="59" t="n"/>
      <c r="Z173" s="59" t="n"/>
      <c r="AA173" s="59" t="n"/>
      <c r="AB173" s="59" t="n"/>
      <c r="AC173" s="59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9" t="n"/>
      <c r="F174" s="59" t="n"/>
      <c r="G174" s="60" t="n"/>
      <c r="H174" s="47" t="n"/>
      <c r="I174" s="47" t="n"/>
      <c r="J174" s="59" t="n"/>
      <c r="K174" s="59" t="n"/>
      <c r="L174" s="59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9" t="n"/>
      <c r="X174" s="61" t="n"/>
      <c r="Y174" s="59" t="n"/>
      <c r="Z174" s="59" t="n"/>
      <c r="AA174" s="59" t="n"/>
      <c r="AB174" s="59" t="n"/>
      <c r="AC174" s="59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9" t="n"/>
      <c r="F175" s="59" t="n"/>
      <c r="G175" s="60" t="n"/>
      <c r="H175" s="47" t="n"/>
      <c r="I175" s="47" t="n"/>
      <c r="J175" s="59" t="n"/>
      <c r="K175" s="59" t="n"/>
      <c r="L175" s="59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9" t="n"/>
      <c r="X175" s="61" t="n"/>
      <c r="Y175" s="59" t="n"/>
      <c r="Z175" s="59" t="n"/>
      <c r="AA175" s="59" t="n"/>
      <c r="AB175" s="59" t="n"/>
      <c r="AC175" s="59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9" t="n"/>
      <c r="F176" s="59" t="n"/>
      <c r="G176" s="60" t="n"/>
      <c r="H176" s="47" t="n"/>
      <c r="I176" s="47" t="n"/>
      <c r="J176" s="59" t="n"/>
      <c r="K176" s="59" t="n"/>
      <c r="L176" s="59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9" t="n"/>
      <c r="X176" s="61" t="n"/>
      <c r="Y176" s="59" t="n"/>
      <c r="Z176" s="59" t="n"/>
      <c r="AA176" s="59" t="n"/>
      <c r="AB176" s="59" t="n"/>
      <c r="AC176" s="59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9" t="n"/>
      <c r="F177" s="59" t="n"/>
      <c r="G177" s="60" t="n"/>
      <c r="H177" s="47" t="n"/>
      <c r="I177" s="47" t="n"/>
      <c r="J177" s="59" t="n"/>
      <c r="K177" s="59" t="n"/>
      <c r="L177" s="59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9" t="n"/>
      <c r="X177" s="61" t="n"/>
      <c r="Y177" s="59" t="n"/>
      <c r="Z177" s="59" t="n"/>
      <c r="AA177" s="59" t="n"/>
      <c r="AB177" s="59" t="n"/>
      <c r="AC177" s="59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9" t="n"/>
      <c r="F178" s="59" t="n"/>
      <c r="G178" s="60" t="n"/>
      <c r="H178" s="47" t="n"/>
      <c r="I178" s="47" t="n"/>
      <c r="J178" s="59" t="n"/>
      <c r="K178" s="59" t="n"/>
      <c r="L178" s="59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9" t="n"/>
      <c r="X178" s="61" t="n"/>
      <c r="Y178" s="59" t="n"/>
      <c r="Z178" s="59" t="n"/>
      <c r="AA178" s="59" t="n"/>
      <c r="AB178" s="59" t="n"/>
      <c r="AC178" s="59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9" t="n"/>
      <c r="F179" s="59" t="n"/>
      <c r="G179" s="60" t="n"/>
      <c r="H179" s="47" t="n"/>
      <c r="I179" s="47" t="n"/>
      <c r="J179" s="59" t="n"/>
      <c r="K179" s="59" t="n"/>
      <c r="L179" s="59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9" t="n"/>
      <c r="X179" s="61" t="n"/>
      <c r="Y179" s="59" t="n"/>
      <c r="Z179" s="59" t="n"/>
      <c r="AA179" s="59" t="n"/>
      <c r="AB179" s="59" t="n"/>
      <c r="AC179" s="59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9" t="n"/>
      <c r="F180" s="59" t="n"/>
      <c r="G180" s="60" t="n"/>
      <c r="H180" s="47" t="n"/>
      <c r="I180" s="47" t="n"/>
      <c r="J180" s="59" t="n"/>
      <c r="K180" s="59" t="n"/>
      <c r="L180" s="59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9" t="n"/>
      <c r="X180" s="61" t="n"/>
      <c r="Y180" s="59" t="n"/>
      <c r="Z180" s="59" t="n"/>
      <c r="AA180" s="59" t="n"/>
      <c r="AB180" s="59" t="n"/>
      <c r="AC180" s="59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9" t="n"/>
      <c r="F181" s="59" t="n"/>
      <c r="G181" s="60" t="n"/>
      <c r="H181" s="47" t="n"/>
      <c r="I181" s="47" t="n"/>
      <c r="J181" s="59" t="n"/>
      <c r="K181" s="59" t="n"/>
      <c r="L181" s="59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9" t="n"/>
      <c r="X181" s="61" t="n"/>
      <c r="Y181" s="59" t="n"/>
      <c r="Z181" s="59" t="n"/>
      <c r="AA181" s="59" t="n"/>
      <c r="AB181" s="59" t="n"/>
      <c r="AC181" s="59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9" t="n"/>
      <c r="F182" s="59" t="n"/>
      <c r="G182" s="60" t="n"/>
      <c r="H182" s="47" t="n"/>
      <c r="I182" s="47" t="n"/>
      <c r="J182" s="59" t="n"/>
      <c r="K182" s="59" t="n"/>
      <c r="L182" s="59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9" t="n"/>
      <c r="X182" s="61" t="n"/>
      <c r="Y182" s="59" t="n"/>
      <c r="Z182" s="59" t="n"/>
      <c r="AA182" s="59" t="n"/>
      <c r="AB182" s="59" t="n"/>
      <c r="AC182" s="59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9" t="n"/>
      <c r="F183" s="59" t="n"/>
      <c r="G183" s="60" t="n"/>
      <c r="H183" s="47" t="n"/>
      <c r="I183" s="47" t="n"/>
      <c r="J183" s="59" t="n"/>
      <c r="K183" s="59" t="n"/>
      <c r="L183" s="59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9" t="n"/>
      <c r="X183" s="61" t="n"/>
      <c r="Y183" s="59" t="n"/>
      <c r="Z183" s="59" t="n"/>
      <c r="AA183" s="59" t="n"/>
      <c r="AB183" s="59" t="n"/>
      <c r="AC183" s="59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9" t="n"/>
      <c r="F184" s="59" t="n"/>
      <c r="G184" s="60" t="n"/>
      <c r="H184" s="47" t="n"/>
      <c r="I184" s="47" t="n"/>
      <c r="J184" s="59" t="n"/>
      <c r="K184" s="59" t="n"/>
      <c r="L184" s="59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9" t="n"/>
      <c r="X184" s="61" t="n"/>
      <c r="Y184" s="59" t="n"/>
      <c r="Z184" s="59" t="n"/>
      <c r="AA184" s="59" t="n"/>
      <c r="AB184" s="59" t="n"/>
      <c r="AC184" s="59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9" t="n"/>
      <c r="F185" s="59" t="n"/>
      <c r="G185" s="60" t="n"/>
      <c r="H185" s="47" t="n"/>
      <c r="I185" s="47" t="n"/>
      <c r="J185" s="59" t="n"/>
      <c r="K185" s="59" t="n"/>
      <c r="L185" s="59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9" t="n"/>
      <c r="X185" s="61" t="n"/>
      <c r="Y185" s="59" t="n"/>
      <c r="Z185" s="59" t="n"/>
      <c r="AA185" s="59" t="n"/>
      <c r="AB185" s="59" t="n"/>
      <c r="AC185" s="59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9" t="n"/>
      <c r="F186" s="59" t="n"/>
      <c r="G186" s="60" t="n"/>
      <c r="H186" s="47" t="n"/>
      <c r="I186" s="47" t="n"/>
      <c r="J186" s="59" t="n"/>
      <c r="K186" s="59" t="n"/>
      <c r="L186" s="59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9" t="n"/>
      <c r="X186" s="61" t="n"/>
      <c r="Y186" s="59" t="n"/>
      <c r="Z186" s="59" t="n"/>
      <c r="AA186" s="59" t="n"/>
      <c r="AB186" s="59" t="n"/>
      <c r="AC186" s="59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9" t="n"/>
      <c r="F187" s="59" t="n"/>
      <c r="G187" s="60" t="n"/>
      <c r="H187" s="47" t="n"/>
      <c r="I187" s="47" t="n"/>
      <c r="J187" s="59" t="n"/>
      <c r="K187" s="59" t="n"/>
      <c r="L187" s="59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9" t="n"/>
      <c r="X187" s="61" t="n"/>
      <c r="Y187" s="59" t="n"/>
      <c r="Z187" s="59" t="n"/>
      <c r="AA187" s="59" t="n"/>
      <c r="AB187" s="59" t="n"/>
      <c r="AC187" s="59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9" t="n"/>
      <c r="F188" s="59" t="n"/>
      <c r="G188" s="60" t="n"/>
      <c r="H188" s="47" t="n"/>
      <c r="I188" s="47" t="n"/>
      <c r="J188" s="59" t="n"/>
      <c r="K188" s="59" t="n"/>
      <c r="L188" s="59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9" t="n"/>
      <c r="X188" s="61" t="n"/>
      <c r="Y188" s="59" t="n"/>
      <c r="Z188" s="59" t="n"/>
      <c r="AA188" s="59" t="n"/>
      <c r="AB188" s="59" t="n"/>
      <c r="AC188" s="59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9" t="n"/>
      <c r="F189" s="59" t="n"/>
      <c r="G189" s="60" t="n"/>
      <c r="H189" s="47" t="n"/>
      <c r="I189" s="47" t="n"/>
      <c r="J189" s="59" t="n"/>
      <c r="K189" s="59" t="n"/>
      <c r="L189" s="59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9" t="n"/>
      <c r="X189" s="61" t="n"/>
      <c r="Y189" s="59" t="n"/>
      <c r="Z189" s="59" t="n"/>
      <c r="AA189" s="59" t="n"/>
      <c r="AB189" s="59" t="n"/>
      <c r="AC189" s="59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9" t="n"/>
      <c r="F190" s="59" t="n"/>
      <c r="G190" s="60" t="n"/>
      <c r="H190" s="47" t="n"/>
      <c r="I190" s="47" t="n"/>
      <c r="J190" s="59" t="n"/>
      <c r="K190" s="59" t="n"/>
      <c r="L190" s="59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9" t="n"/>
      <c r="X190" s="61" t="n"/>
      <c r="Y190" s="59" t="n"/>
      <c r="Z190" s="59" t="n"/>
      <c r="AA190" s="59" t="n"/>
      <c r="AB190" s="59" t="n"/>
      <c r="AC190" s="59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9" t="n"/>
      <c r="F191" s="59" t="n"/>
      <c r="G191" s="60" t="n"/>
      <c r="H191" s="47" t="n"/>
      <c r="I191" s="47" t="n"/>
      <c r="J191" s="59" t="n"/>
      <c r="K191" s="59" t="n"/>
      <c r="L191" s="59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9" t="n"/>
      <c r="X191" s="61" t="n"/>
      <c r="Y191" s="59" t="n"/>
      <c r="Z191" s="59" t="n"/>
      <c r="AA191" s="59" t="n"/>
      <c r="AB191" s="59" t="n"/>
      <c r="AC191" s="59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9" t="n"/>
      <c r="F192" s="59" t="n"/>
      <c r="G192" s="60" t="n"/>
      <c r="H192" s="47" t="n"/>
      <c r="I192" s="47" t="n"/>
      <c r="J192" s="59" t="n"/>
      <c r="K192" s="59" t="n"/>
      <c r="L192" s="59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9" t="n"/>
      <c r="X192" s="61" t="n"/>
      <c r="Y192" s="59" t="n"/>
      <c r="Z192" s="59" t="n"/>
      <c r="AA192" s="59" t="n"/>
      <c r="AB192" s="59" t="n"/>
      <c r="AC192" s="59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9" t="n"/>
      <c r="F193" s="59" t="n"/>
      <c r="G193" s="60" t="n"/>
      <c r="H193" s="47" t="n"/>
      <c r="I193" s="47" t="n"/>
      <c r="J193" s="59" t="n"/>
      <c r="K193" s="59" t="n"/>
      <c r="L193" s="59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9" t="n"/>
      <c r="X193" s="61" t="n"/>
      <c r="Y193" s="59" t="n"/>
      <c r="Z193" s="59" t="n"/>
      <c r="AA193" s="59" t="n"/>
      <c r="AB193" s="59" t="n"/>
      <c r="AC193" s="59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9" t="n"/>
      <c r="F194" s="59" t="n"/>
      <c r="G194" s="60" t="n"/>
      <c r="H194" s="47" t="n"/>
      <c r="I194" s="47" t="n"/>
      <c r="J194" s="59" t="n"/>
      <c r="K194" s="59" t="n"/>
      <c r="L194" s="59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9" t="n"/>
      <c r="X194" s="61" t="n"/>
      <c r="Y194" s="59" t="n"/>
      <c r="Z194" s="59" t="n"/>
      <c r="AA194" s="59" t="n"/>
      <c r="AB194" s="59" t="n"/>
      <c r="AC194" s="59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9" t="n"/>
      <c r="F195" s="59" t="n"/>
      <c r="G195" s="60" t="n"/>
      <c r="H195" s="47" t="n"/>
      <c r="I195" s="47" t="n"/>
      <c r="J195" s="59" t="n"/>
      <c r="K195" s="59" t="n"/>
      <c r="L195" s="59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9" t="n"/>
      <c r="X195" s="61" t="n"/>
      <c r="Y195" s="59" t="n"/>
      <c r="Z195" s="59" t="n"/>
      <c r="AA195" s="59" t="n"/>
      <c r="AB195" s="59" t="n"/>
      <c r="AC195" s="59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9" t="n"/>
      <c r="F196" s="59" t="n"/>
      <c r="G196" s="60" t="n"/>
      <c r="H196" s="47" t="n"/>
      <c r="I196" s="47" t="n"/>
      <c r="J196" s="59" t="n"/>
      <c r="K196" s="59" t="n"/>
      <c r="L196" s="59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9" t="n"/>
      <c r="X196" s="61" t="n"/>
      <c r="Y196" s="59" t="n"/>
      <c r="Z196" s="59" t="n"/>
      <c r="AA196" s="59" t="n"/>
      <c r="AB196" s="59" t="n"/>
      <c r="AC196" s="59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9" t="n"/>
      <c r="F197" s="59" t="n"/>
      <c r="G197" s="60" t="n"/>
      <c r="H197" s="47" t="n"/>
      <c r="I197" s="47" t="n"/>
      <c r="J197" s="59" t="n"/>
      <c r="K197" s="59" t="n"/>
      <c r="L197" s="59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9" t="n"/>
      <c r="X197" s="61" t="n"/>
      <c r="Y197" s="59" t="n"/>
      <c r="Z197" s="59" t="n"/>
      <c r="AA197" s="59" t="n"/>
      <c r="AB197" s="59" t="n"/>
      <c r="AC197" s="59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9" t="n"/>
      <c r="F198" s="59" t="n"/>
      <c r="G198" s="60" t="n"/>
      <c r="H198" s="47" t="n"/>
      <c r="I198" s="47" t="n"/>
      <c r="J198" s="59" t="n"/>
      <c r="K198" s="59" t="n"/>
      <c r="L198" s="59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9" t="n"/>
      <c r="X198" s="61" t="n"/>
      <c r="Y198" s="59" t="n"/>
      <c r="Z198" s="59" t="n"/>
      <c r="AA198" s="59" t="n"/>
      <c r="AB198" s="59" t="n"/>
      <c r="AC198" s="59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9" t="n"/>
      <c r="F199" s="59" t="n"/>
      <c r="G199" s="60" t="n"/>
      <c r="H199" s="47" t="n"/>
      <c r="I199" s="47" t="n"/>
      <c r="J199" s="59" t="n"/>
      <c r="K199" s="59" t="n"/>
      <c r="L199" s="59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9" t="n"/>
      <c r="X199" s="61" t="n"/>
      <c r="Y199" s="59" t="n"/>
      <c r="Z199" s="59" t="n"/>
      <c r="AA199" s="59" t="n"/>
      <c r="AB199" s="59" t="n"/>
      <c r="AC199" s="59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9" t="n"/>
      <c r="F200" s="59" t="n"/>
      <c r="G200" s="60" t="n"/>
      <c r="H200" s="47" t="n"/>
      <c r="I200" s="47" t="n"/>
      <c r="J200" s="59" t="n"/>
      <c r="K200" s="59" t="n"/>
      <c r="L200" s="59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9" t="n"/>
      <c r="X200" s="61" t="n"/>
      <c r="Y200" s="59" t="n"/>
      <c r="Z200" s="59" t="n"/>
      <c r="AA200" s="59" t="n"/>
      <c r="AB200" s="59" t="n"/>
      <c r="AC200" s="59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9" t="n"/>
      <c r="F201" s="59" t="n"/>
      <c r="G201" s="60" t="n"/>
      <c r="H201" s="47" t="n"/>
      <c r="I201" s="47" t="n"/>
      <c r="J201" s="59" t="n"/>
      <c r="K201" s="59" t="n"/>
      <c r="L201" s="59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9" t="n"/>
      <c r="X201" s="61" t="n"/>
      <c r="Y201" s="59" t="n"/>
      <c r="Z201" s="59" t="n"/>
      <c r="AA201" s="59" t="n"/>
      <c r="AB201" s="59" t="n"/>
      <c r="AC201" s="59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9" t="n"/>
      <c r="F202" s="59" t="n"/>
      <c r="G202" s="60" t="n"/>
      <c r="H202" s="47" t="n"/>
      <c r="I202" s="47" t="n"/>
      <c r="J202" s="59" t="n"/>
      <c r="K202" s="59" t="n"/>
      <c r="L202" s="59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9" t="n"/>
      <c r="X202" s="61" t="n"/>
      <c r="Y202" s="59" t="n"/>
      <c r="Z202" s="59" t="n"/>
      <c r="AA202" s="59" t="n"/>
      <c r="AB202" s="59" t="n"/>
      <c r="AC202" s="59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9" t="n"/>
      <c r="F203" s="59" t="n"/>
      <c r="G203" s="60" t="n"/>
      <c r="H203" s="47" t="n"/>
      <c r="I203" s="47" t="n"/>
      <c r="J203" s="59" t="n"/>
      <c r="K203" s="59" t="n"/>
      <c r="L203" s="59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9" t="n"/>
      <c r="X203" s="61" t="n"/>
      <c r="Y203" s="59" t="n"/>
      <c r="Z203" s="59" t="n"/>
      <c r="AA203" s="59" t="n"/>
      <c r="AB203" s="59" t="n"/>
      <c r="AC203" s="59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9" t="n"/>
      <c r="F204" s="59" t="n"/>
      <c r="G204" s="60" t="n"/>
      <c r="H204" s="47" t="n"/>
      <c r="I204" s="47" t="n"/>
      <c r="J204" s="59" t="n"/>
      <c r="K204" s="59" t="n"/>
      <c r="L204" s="59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9" t="n"/>
      <c r="X204" s="61" t="n"/>
      <c r="Y204" s="59" t="n"/>
      <c r="Z204" s="59" t="n"/>
      <c r="AA204" s="59" t="n"/>
      <c r="AB204" s="59" t="n"/>
      <c r="AC204" s="59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9" t="n"/>
      <c r="F205" s="59" t="n"/>
      <c r="G205" s="60" t="n"/>
      <c r="H205" s="47" t="n"/>
      <c r="I205" s="47" t="n"/>
      <c r="J205" s="59" t="n"/>
      <c r="K205" s="59" t="n"/>
      <c r="L205" s="59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9" t="n"/>
      <c r="X205" s="61" t="n"/>
      <c r="Y205" s="59" t="n"/>
      <c r="Z205" s="59" t="n"/>
      <c r="AA205" s="59" t="n"/>
      <c r="AB205" s="59" t="n"/>
      <c r="AC205" s="59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9" t="n"/>
      <c r="F206" s="59" t="n"/>
      <c r="G206" s="60" t="n"/>
      <c r="H206" s="47" t="n"/>
      <c r="I206" s="47" t="n"/>
      <c r="J206" s="59" t="n"/>
      <c r="K206" s="59" t="n"/>
      <c r="L206" s="59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9" t="n"/>
      <c r="X206" s="61" t="n"/>
      <c r="Y206" s="59" t="n"/>
      <c r="Z206" s="59" t="n"/>
      <c r="AA206" s="59" t="n"/>
      <c r="AB206" s="59" t="n"/>
      <c r="AC206" s="59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9" t="n"/>
      <c r="F207" s="59" t="n"/>
      <c r="G207" s="60" t="n"/>
      <c r="H207" s="47" t="n"/>
      <c r="I207" s="47" t="n"/>
      <c r="J207" s="59" t="n"/>
      <c r="K207" s="59" t="n"/>
      <c r="L207" s="59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9" t="n"/>
      <c r="X207" s="61" t="n"/>
      <c r="Y207" s="59" t="n"/>
      <c r="Z207" s="59" t="n"/>
      <c r="AA207" s="59" t="n"/>
      <c r="AB207" s="59" t="n"/>
      <c r="AC207" s="59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9" t="n"/>
      <c r="F208" s="59" t="n"/>
      <c r="G208" s="60" t="n"/>
      <c r="H208" s="47" t="n"/>
      <c r="I208" s="47" t="n"/>
      <c r="J208" s="59" t="n"/>
      <c r="K208" s="59" t="n"/>
      <c r="L208" s="59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9" t="n"/>
      <c r="X208" s="61" t="n"/>
      <c r="Y208" s="59" t="n"/>
      <c r="Z208" s="59" t="n"/>
      <c r="AA208" s="59" t="n"/>
      <c r="AB208" s="59" t="n"/>
      <c r="AC208" s="59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9" t="n"/>
      <c r="F209" s="59" t="n"/>
      <c r="G209" s="60" t="n"/>
      <c r="H209" s="47" t="n"/>
      <c r="I209" s="47" t="n"/>
      <c r="J209" s="59" t="n"/>
      <c r="K209" s="59" t="n"/>
      <c r="L209" s="59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9" t="n"/>
      <c r="X209" s="61" t="n"/>
      <c r="Y209" s="59" t="n"/>
      <c r="Z209" s="59" t="n"/>
      <c r="AA209" s="59" t="n"/>
      <c r="AB209" s="59" t="n"/>
      <c r="AC209" s="59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9" t="n"/>
      <c r="F210" s="59" t="n"/>
      <c r="G210" s="60" t="n"/>
      <c r="H210" s="47" t="n"/>
      <c r="I210" s="47" t="n"/>
      <c r="J210" s="59" t="n"/>
      <c r="K210" s="59" t="n"/>
      <c r="L210" s="59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9" t="n"/>
      <c r="X210" s="61" t="n"/>
      <c r="Y210" s="59" t="n"/>
      <c r="Z210" s="59" t="n"/>
      <c r="AA210" s="59" t="n"/>
      <c r="AB210" s="59" t="n"/>
      <c r="AC210" s="59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9" t="n"/>
      <c r="F211" s="59" t="n"/>
      <c r="G211" s="60" t="n"/>
      <c r="H211" s="47" t="n"/>
      <c r="I211" s="47" t="n"/>
      <c r="J211" s="59" t="n"/>
      <c r="K211" s="59" t="n"/>
      <c r="L211" s="59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9" t="n"/>
      <c r="X211" s="61" t="n"/>
      <c r="Y211" s="59" t="n"/>
      <c r="Z211" s="59" t="n"/>
      <c r="AA211" s="59" t="n"/>
      <c r="AB211" s="59" t="n"/>
      <c r="AC211" s="59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9" t="n"/>
      <c r="F212" s="59" t="n"/>
      <c r="G212" s="60" t="n"/>
      <c r="H212" s="47" t="n"/>
      <c r="I212" s="47" t="n"/>
      <c r="J212" s="59" t="n"/>
      <c r="K212" s="59" t="n"/>
      <c r="L212" s="59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9" t="n"/>
      <c r="X212" s="61" t="n"/>
      <c r="Y212" s="59" t="n"/>
      <c r="Z212" s="59" t="n"/>
      <c r="AA212" s="59" t="n"/>
      <c r="AB212" s="59" t="n"/>
      <c r="AC212" s="59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9" t="n"/>
      <c r="F213" s="59" t="n"/>
      <c r="G213" s="60" t="n"/>
      <c r="H213" s="47" t="n"/>
      <c r="I213" s="47" t="n"/>
      <c r="J213" s="59" t="n"/>
      <c r="K213" s="59" t="n"/>
      <c r="L213" s="59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9" t="n"/>
      <c r="X213" s="61" t="n"/>
      <c r="Y213" s="59" t="n"/>
      <c r="Z213" s="59" t="n"/>
      <c r="AA213" s="59" t="n"/>
      <c r="AB213" s="59" t="n"/>
      <c r="AC213" s="59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9" t="n"/>
      <c r="F214" s="59" t="n"/>
      <c r="G214" s="60" t="n"/>
      <c r="H214" s="47" t="n"/>
      <c r="I214" s="47" t="n"/>
      <c r="J214" s="59" t="n"/>
      <c r="K214" s="59" t="n"/>
      <c r="L214" s="59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9" t="n"/>
      <c r="X214" s="61" t="n"/>
      <c r="Y214" s="59" t="n"/>
      <c r="Z214" s="59" t="n"/>
      <c r="AA214" s="59" t="n"/>
      <c r="AB214" s="59" t="n"/>
      <c r="AC214" s="59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9" t="n"/>
      <c r="F215" s="59" t="n"/>
      <c r="G215" s="60" t="n"/>
      <c r="H215" s="47" t="n"/>
      <c r="I215" s="47" t="n"/>
      <c r="J215" s="59" t="n"/>
      <c r="K215" s="59" t="n"/>
      <c r="L215" s="59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9" t="n"/>
      <c r="X215" s="61" t="n"/>
      <c r="Y215" s="59" t="n"/>
      <c r="Z215" s="59" t="n"/>
      <c r="AA215" s="59" t="n"/>
      <c r="AB215" s="59" t="n"/>
      <c r="AC215" s="59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9" t="n"/>
      <c r="F216" s="59" t="n"/>
      <c r="G216" s="60" t="n"/>
      <c r="H216" s="47" t="n"/>
      <c r="I216" s="47" t="n"/>
      <c r="J216" s="59" t="n"/>
      <c r="K216" s="59" t="n"/>
      <c r="L216" s="59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9" t="n"/>
      <c r="X216" s="61" t="n"/>
      <c r="Y216" s="59" t="n"/>
      <c r="Z216" s="59" t="n"/>
      <c r="AA216" s="59" t="n"/>
      <c r="AB216" s="59" t="n"/>
      <c r="AC216" s="59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9" t="n"/>
      <c r="F217" s="59" t="n"/>
      <c r="G217" s="60" t="n"/>
      <c r="H217" s="47" t="n"/>
      <c r="I217" s="47" t="n"/>
      <c r="J217" s="59" t="n"/>
      <c r="K217" s="59" t="n"/>
      <c r="L217" s="59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9" t="n"/>
      <c r="X217" s="61" t="n"/>
      <c r="Y217" s="59" t="n"/>
      <c r="Z217" s="59" t="n"/>
      <c r="AA217" s="59" t="n"/>
      <c r="AB217" s="59" t="n"/>
      <c r="AC217" s="59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9" t="n"/>
      <c r="F218" s="59" t="n"/>
      <c r="G218" s="60" t="n"/>
      <c r="H218" s="47" t="n"/>
      <c r="I218" s="47" t="n"/>
      <c r="J218" s="59" t="n"/>
      <c r="K218" s="59" t="n"/>
      <c r="L218" s="59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9" t="n"/>
      <c r="X218" s="61" t="n"/>
      <c r="Y218" s="59" t="n"/>
      <c r="Z218" s="59" t="n"/>
      <c r="AA218" s="59" t="n"/>
      <c r="AB218" s="59" t="n"/>
      <c r="AC218" s="59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9" t="n"/>
      <c r="F219" s="59" t="n"/>
      <c r="G219" s="60" t="n"/>
      <c r="H219" s="47" t="n"/>
      <c r="I219" s="47" t="n"/>
      <c r="J219" s="59" t="n"/>
      <c r="K219" s="59" t="n"/>
      <c r="L219" s="59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9" t="n"/>
      <c r="X219" s="61" t="n"/>
      <c r="Y219" s="59" t="n"/>
      <c r="Z219" s="59" t="n"/>
      <c r="AA219" s="59" t="n"/>
      <c r="AB219" s="59" t="n"/>
      <c r="AC219" s="59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9" t="n"/>
      <c r="F220" s="59" t="n"/>
      <c r="G220" s="60" t="n"/>
      <c r="H220" s="47" t="n"/>
      <c r="I220" s="47" t="n"/>
      <c r="J220" s="59" t="n"/>
      <c r="K220" s="59" t="n"/>
      <c r="L220" s="59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9" t="n"/>
      <c r="X220" s="61" t="n"/>
      <c r="Y220" s="59" t="n"/>
      <c r="Z220" s="59" t="n"/>
      <c r="AA220" s="59" t="n"/>
      <c r="AB220" s="59" t="n"/>
      <c r="AC220" s="59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9" t="n"/>
      <c r="F221" s="59" t="n"/>
      <c r="G221" s="60" t="n"/>
      <c r="H221" s="47" t="n"/>
      <c r="I221" s="47" t="n"/>
      <c r="J221" s="59" t="n"/>
      <c r="K221" s="59" t="n"/>
      <c r="L221" s="59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9" t="n"/>
      <c r="X221" s="61" t="n"/>
      <c r="Y221" s="59" t="n"/>
      <c r="Z221" s="59" t="n"/>
      <c r="AA221" s="59" t="n"/>
      <c r="AB221" s="59" t="n"/>
      <c r="AC221" s="59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9" t="n"/>
      <c r="F222" s="59" t="n"/>
      <c r="G222" s="60" t="n"/>
      <c r="H222" s="47" t="n"/>
      <c r="I222" s="47" t="n"/>
      <c r="J222" s="59" t="n"/>
      <c r="K222" s="59" t="n"/>
      <c r="L222" s="59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9" t="n"/>
      <c r="X222" s="61" t="n"/>
      <c r="Y222" s="59" t="n"/>
      <c r="Z222" s="59" t="n"/>
      <c r="AA222" s="59" t="n"/>
      <c r="AB222" s="59" t="n"/>
      <c r="AC222" s="59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9" t="n"/>
      <c r="F223" s="59" t="n"/>
      <c r="G223" s="60" t="n"/>
      <c r="H223" s="47" t="n"/>
      <c r="I223" s="47" t="n"/>
      <c r="J223" s="59" t="n"/>
      <c r="K223" s="59" t="n"/>
      <c r="L223" s="59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9" t="n"/>
      <c r="X223" s="61" t="n"/>
      <c r="Y223" s="59" t="n"/>
      <c r="Z223" s="59" t="n"/>
      <c r="AA223" s="59" t="n"/>
      <c r="AB223" s="59" t="n"/>
      <c r="AC223" s="59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9" t="n"/>
      <c r="F224" s="59" t="n"/>
      <c r="G224" s="60" t="n"/>
      <c r="H224" s="47" t="n"/>
      <c r="I224" s="47" t="n"/>
      <c r="J224" s="59" t="n"/>
      <c r="K224" s="59" t="n"/>
      <c r="L224" s="59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9" t="n"/>
      <c r="X224" s="61" t="n"/>
      <c r="Y224" s="59" t="n"/>
      <c r="Z224" s="59" t="n"/>
      <c r="AA224" s="59" t="n"/>
      <c r="AB224" s="59" t="n"/>
      <c r="AC224" s="59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9" t="n"/>
      <c r="F225" s="59" t="n"/>
      <c r="G225" s="60" t="n"/>
      <c r="H225" s="47" t="n"/>
      <c r="I225" s="47" t="n"/>
      <c r="J225" s="59" t="n"/>
      <c r="K225" s="59" t="n"/>
      <c r="L225" s="59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9" t="n"/>
      <c r="X225" s="61" t="n"/>
      <c r="Y225" s="59" t="n"/>
      <c r="Z225" s="59" t="n"/>
      <c r="AA225" s="59" t="n"/>
      <c r="AB225" s="59" t="n"/>
      <c r="AC225" s="59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9" t="n"/>
      <c r="F226" s="59" t="n"/>
      <c r="G226" s="60" t="n"/>
      <c r="H226" s="47" t="n"/>
      <c r="I226" s="47" t="n"/>
      <c r="J226" s="59" t="n"/>
      <c r="K226" s="59" t="n"/>
      <c r="L226" s="59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9" t="n"/>
      <c r="X226" s="61" t="n"/>
      <c r="Y226" s="59" t="n"/>
      <c r="Z226" s="59" t="n"/>
      <c r="AA226" s="59" t="n"/>
      <c r="AB226" s="59" t="n"/>
      <c r="AC226" s="59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9" t="n"/>
      <c r="F227" s="59" t="n"/>
      <c r="G227" s="60" t="n"/>
      <c r="H227" s="47" t="n"/>
      <c r="I227" s="47" t="n"/>
      <c r="J227" s="59" t="n"/>
      <c r="K227" s="59" t="n"/>
      <c r="L227" s="59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9" t="n"/>
      <c r="X227" s="61" t="n"/>
      <c r="Y227" s="59" t="n"/>
      <c r="Z227" s="59" t="n"/>
      <c r="AA227" s="59" t="n"/>
      <c r="AB227" s="59" t="n"/>
      <c r="AC227" s="59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9" t="n"/>
      <c r="F228" s="59" t="n"/>
      <c r="G228" s="60" t="n"/>
      <c r="H228" s="47" t="n"/>
      <c r="I228" s="47" t="n"/>
      <c r="J228" s="59" t="n"/>
      <c r="K228" s="59" t="n"/>
      <c r="L228" s="59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9" t="n"/>
      <c r="X228" s="61" t="n"/>
      <c r="Y228" s="59" t="n"/>
      <c r="Z228" s="59" t="n"/>
      <c r="AA228" s="59" t="n"/>
      <c r="AB228" s="59" t="n"/>
      <c r="AC228" s="59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9" t="n"/>
      <c r="F229" s="59" t="n"/>
      <c r="G229" s="60" t="n"/>
      <c r="H229" s="47" t="n"/>
      <c r="I229" s="47" t="n"/>
      <c r="J229" s="59" t="n"/>
      <c r="K229" s="59" t="n"/>
      <c r="L229" s="59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9" t="n"/>
      <c r="X229" s="61" t="n"/>
      <c r="Y229" s="59" t="n"/>
      <c r="Z229" s="59" t="n"/>
      <c r="AA229" s="59" t="n"/>
      <c r="AB229" s="59" t="n"/>
      <c r="AC229" s="59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9" t="n"/>
      <c r="F230" s="59" t="n"/>
      <c r="G230" s="60" t="n"/>
      <c r="H230" s="47" t="n"/>
      <c r="I230" s="47" t="n"/>
      <c r="J230" s="59" t="n"/>
      <c r="K230" s="59" t="n"/>
      <c r="L230" s="59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9" t="n"/>
      <c r="X230" s="61" t="n"/>
      <c r="Y230" s="59" t="n"/>
      <c r="Z230" s="59" t="n"/>
      <c r="AA230" s="59" t="n"/>
      <c r="AB230" s="59" t="n"/>
      <c r="AC230" s="59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9" t="n"/>
      <c r="F231" s="59" t="n"/>
      <c r="G231" s="60" t="n"/>
      <c r="H231" s="47" t="n"/>
      <c r="I231" s="47" t="n"/>
      <c r="J231" s="59" t="n"/>
      <c r="K231" s="59" t="n"/>
      <c r="L231" s="59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9" t="n"/>
      <c r="X231" s="61" t="n"/>
      <c r="Y231" s="59" t="n"/>
      <c r="Z231" s="59" t="n"/>
      <c r="AA231" s="59" t="n"/>
      <c r="AB231" s="59" t="n"/>
      <c r="AC231" s="59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9" t="n"/>
      <c r="F232" s="59" t="n"/>
      <c r="G232" s="60" t="n"/>
      <c r="H232" s="47" t="n"/>
      <c r="I232" s="47" t="n"/>
      <c r="J232" s="59" t="n"/>
      <c r="K232" s="59" t="n"/>
      <c r="L232" s="59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9" t="n"/>
      <c r="X232" s="61" t="n"/>
      <c r="Y232" s="59" t="n"/>
      <c r="Z232" s="59" t="n"/>
      <c r="AA232" s="59" t="n"/>
      <c r="AB232" s="59" t="n"/>
      <c r="AC232" s="59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9" t="n"/>
      <c r="F233" s="59" t="n"/>
      <c r="G233" s="60" t="n"/>
      <c r="H233" s="47" t="n"/>
      <c r="I233" s="47" t="n"/>
      <c r="J233" s="59" t="n"/>
      <c r="K233" s="59" t="n"/>
      <c r="L233" s="59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9" t="n"/>
      <c r="X233" s="61" t="n"/>
      <c r="Y233" s="59" t="n"/>
      <c r="Z233" s="59" t="n"/>
      <c r="AA233" s="59" t="n"/>
      <c r="AB233" s="59" t="n"/>
      <c r="AC233" s="59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9" t="n"/>
      <c r="F234" s="59" t="n"/>
      <c r="G234" s="60" t="n"/>
      <c r="H234" s="47" t="n"/>
      <c r="I234" s="47" t="n"/>
      <c r="J234" s="59" t="n"/>
      <c r="K234" s="59" t="n"/>
      <c r="L234" s="59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9" t="n"/>
      <c r="X234" s="61" t="n"/>
      <c r="Y234" s="59" t="n"/>
      <c r="Z234" s="59" t="n"/>
      <c r="AA234" s="59" t="n"/>
      <c r="AB234" s="59" t="n"/>
      <c r="AC234" s="59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9" t="n"/>
      <c r="F235" s="59" t="n"/>
      <c r="G235" s="60" t="n"/>
      <c r="H235" s="47" t="n"/>
      <c r="I235" s="47" t="n"/>
      <c r="J235" s="59" t="n"/>
      <c r="K235" s="59" t="n"/>
      <c r="L235" s="59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9" t="n"/>
      <c r="X235" s="61" t="n"/>
      <c r="Y235" s="59" t="n"/>
      <c r="Z235" s="59" t="n"/>
      <c r="AA235" s="59" t="n"/>
      <c r="AB235" s="59" t="n"/>
      <c r="AC235" s="59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9" t="n"/>
      <c r="F236" s="59" t="n"/>
      <c r="G236" s="60" t="n"/>
      <c r="H236" s="47" t="n"/>
      <c r="I236" s="47" t="n"/>
      <c r="J236" s="59" t="n"/>
      <c r="K236" s="59" t="n"/>
      <c r="L236" s="59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9" t="n"/>
      <c r="X236" s="61" t="n"/>
      <c r="Y236" s="59" t="n"/>
      <c r="Z236" s="59" t="n"/>
      <c r="AA236" s="59" t="n"/>
      <c r="AB236" s="59" t="n"/>
      <c r="AC236" s="59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9" t="n"/>
      <c r="F237" s="59" t="n"/>
      <c r="G237" s="60" t="n"/>
      <c r="H237" s="47" t="n"/>
      <c r="I237" s="47" t="n"/>
      <c r="J237" s="59" t="n"/>
      <c r="K237" s="59" t="n"/>
      <c r="L237" s="59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9" t="n"/>
      <c r="X237" s="61" t="n"/>
      <c r="Y237" s="59" t="n"/>
      <c r="Z237" s="59" t="n"/>
      <c r="AA237" s="59" t="n"/>
      <c r="AB237" s="59" t="n"/>
      <c r="AC237" s="59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9" t="n"/>
      <c r="F238" s="59" t="n"/>
      <c r="G238" s="60" t="n"/>
      <c r="H238" s="47" t="n"/>
      <c r="I238" s="47" t="n"/>
      <c r="J238" s="59" t="n"/>
      <c r="K238" s="59" t="n"/>
      <c r="L238" s="59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9" t="n"/>
      <c r="X238" s="61" t="n"/>
      <c r="Y238" s="59" t="n"/>
      <c r="Z238" s="59" t="n"/>
      <c r="AA238" s="59" t="n"/>
      <c r="AB238" s="59" t="n"/>
      <c r="AC238" s="59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9" t="n"/>
      <c r="F239" s="59" t="n"/>
      <c r="G239" s="60" t="n"/>
      <c r="H239" s="47" t="n"/>
      <c r="I239" s="47" t="n"/>
      <c r="J239" s="59" t="n"/>
      <c r="K239" s="59" t="n"/>
      <c r="L239" s="59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9" t="n"/>
      <c r="X239" s="61" t="n"/>
      <c r="Y239" s="59" t="n"/>
      <c r="Z239" s="59" t="n"/>
      <c r="AA239" s="59" t="n"/>
      <c r="AB239" s="59" t="n"/>
      <c r="AC239" s="59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9" t="n"/>
      <c r="F240" s="59" t="n"/>
      <c r="G240" s="60" t="n"/>
      <c r="H240" s="47" t="n"/>
      <c r="I240" s="47" t="n"/>
      <c r="J240" s="59" t="n"/>
      <c r="K240" s="59" t="n"/>
      <c r="L240" s="59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9" t="n"/>
      <c r="X240" s="61" t="n"/>
      <c r="Y240" s="59" t="n"/>
      <c r="Z240" s="59" t="n"/>
      <c r="AA240" s="59" t="n"/>
      <c r="AB240" s="59" t="n"/>
      <c r="AC240" s="59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9" t="n"/>
      <c r="F241" s="59" t="n"/>
      <c r="G241" s="60" t="n"/>
      <c r="H241" s="47" t="n"/>
      <c r="I241" s="47" t="n"/>
      <c r="J241" s="59" t="n"/>
      <c r="K241" s="59" t="n"/>
      <c r="L241" s="59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9" t="n"/>
      <c r="X241" s="61" t="n"/>
      <c r="Y241" s="59" t="n"/>
      <c r="Z241" s="59" t="n"/>
      <c r="AA241" s="59" t="n"/>
      <c r="AB241" s="59" t="n"/>
      <c r="AC241" s="59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9" t="n"/>
      <c r="F242" s="59" t="n"/>
      <c r="G242" s="60" t="n"/>
      <c r="H242" s="47" t="n"/>
      <c r="I242" s="47" t="n"/>
      <c r="J242" s="59" t="n"/>
      <c r="K242" s="59" t="n"/>
      <c r="L242" s="59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9" t="n"/>
      <c r="X242" s="61" t="n"/>
      <c r="Y242" s="59" t="n"/>
      <c r="Z242" s="59" t="n"/>
      <c r="AA242" s="59" t="n"/>
      <c r="AB242" s="59" t="n"/>
      <c r="AC242" s="59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9" t="n"/>
      <c r="F243" s="59" t="n"/>
      <c r="G243" s="60" t="n"/>
      <c r="H243" s="47" t="n"/>
      <c r="I243" s="47" t="n"/>
      <c r="J243" s="59" t="n"/>
      <c r="K243" s="59" t="n"/>
      <c r="L243" s="59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9" t="n"/>
      <c r="X243" s="61" t="n"/>
      <c r="Y243" s="59" t="n"/>
      <c r="Z243" s="59" t="n"/>
      <c r="AA243" s="59" t="n"/>
      <c r="AB243" s="59" t="n"/>
      <c r="AC243" s="59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9" t="n"/>
      <c r="F244" s="59" t="n"/>
      <c r="G244" s="60" t="n"/>
      <c r="H244" s="47" t="n"/>
      <c r="I244" s="47" t="n"/>
      <c r="J244" s="59" t="n"/>
      <c r="K244" s="59" t="n"/>
      <c r="L244" s="59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9" t="n"/>
      <c r="X244" s="61" t="n"/>
      <c r="Y244" s="59" t="n"/>
      <c r="Z244" s="59" t="n"/>
      <c r="AA244" s="59" t="n"/>
      <c r="AB244" s="59" t="n"/>
      <c r="AC244" s="59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9" t="n"/>
      <c r="F245" s="59" t="n"/>
      <c r="G245" s="60" t="n"/>
      <c r="H245" s="47" t="n"/>
      <c r="I245" s="47" t="n"/>
      <c r="J245" s="59" t="n"/>
      <c r="K245" s="59" t="n"/>
      <c r="L245" s="59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9" t="n"/>
      <c r="X245" s="61" t="n"/>
      <c r="Y245" s="59" t="n"/>
      <c r="Z245" s="59" t="n"/>
      <c r="AA245" s="59" t="n"/>
      <c r="AB245" s="59" t="n"/>
      <c r="AC245" s="59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9" t="n"/>
      <c r="F246" s="59" t="n"/>
      <c r="G246" s="60" t="n"/>
      <c r="H246" s="47" t="n"/>
      <c r="I246" s="47" t="n"/>
      <c r="J246" s="59" t="n"/>
      <c r="K246" s="59" t="n"/>
      <c r="L246" s="59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9" t="n"/>
      <c r="X246" s="61" t="n"/>
      <c r="Y246" s="59" t="n"/>
      <c r="Z246" s="59" t="n"/>
      <c r="AA246" s="59" t="n"/>
      <c r="AB246" s="59" t="n"/>
      <c r="AC246" s="59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9" t="n"/>
      <c r="F247" s="59" t="n"/>
      <c r="G247" s="60" t="n"/>
      <c r="H247" s="47" t="n"/>
      <c r="I247" s="47" t="n"/>
      <c r="J247" s="59" t="n"/>
      <c r="K247" s="59" t="n"/>
      <c r="L247" s="59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9" t="n"/>
      <c r="X247" s="61" t="n"/>
      <c r="Y247" s="59" t="n"/>
      <c r="Z247" s="59" t="n"/>
      <c r="AA247" s="59" t="n"/>
      <c r="AB247" s="59" t="n"/>
      <c r="AC247" s="59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9" t="n"/>
      <c r="F248" s="59" t="n"/>
      <c r="G248" s="60" t="n"/>
      <c r="H248" s="47" t="n"/>
      <c r="I248" s="47" t="n"/>
      <c r="J248" s="59" t="n"/>
      <c r="K248" s="59" t="n"/>
      <c r="L248" s="59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9" t="n"/>
      <c r="X248" s="61" t="n"/>
      <c r="Y248" s="59" t="n"/>
      <c r="Z248" s="59" t="n"/>
      <c r="AA248" s="59" t="n"/>
      <c r="AB248" s="59" t="n"/>
      <c r="AC248" s="59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9" t="n"/>
      <c r="F249" s="59" t="n"/>
      <c r="G249" s="60" t="n"/>
      <c r="H249" s="47" t="n"/>
      <c r="I249" s="47" t="n"/>
      <c r="J249" s="59" t="n"/>
      <c r="K249" s="59" t="n"/>
      <c r="L249" s="59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9" t="n"/>
      <c r="X249" s="61" t="n"/>
      <c r="Y249" s="59" t="n"/>
      <c r="Z249" s="59" t="n"/>
      <c r="AA249" s="59" t="n"/>
      <c r="AB249" s="59" t="n"/>
      <c r="AC249" s="59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9" t="n"/>
      <c r="F250" s="59" t="n"/>
      <c r="G250" s="60" t="n"/>
      <c r="H250" s="47" t="n"/>
      <c r="I250" s="47" t="n"/>
      <c r="J250" s="59" t="n"/>
      <c r="K250" s="59" t="n"/>
      <c r="L250" s="59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9" t="n"/>
      <c r="X250" s="61" t="n"/>
      <c r="Y250" s="59" t="n"/>
      <c r="Z250" s="59" t="n"/>
      <c r="AA250" s="59" t="n"/>
      <c r="AB250" s="59" t="n"/>
      <c r="AC250" s="59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9" t="n"/>
      <c r="F251" s="59" t="n"/>
      <c r="G251" s="60" t="n"/>
      <c r="H251" s="47" t="n"/>
      <c r="I251" s="47" t="n"/>
      <c r="J251" s="59" t="n"/>
      <c r="K251" s="59" t="n"/>
      <c r="L251" s="59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9" t="n"/>
      <c r="X251" s="61" t="n"/>
      <c r="Y251" s="59" t="n"/>
      <c r="Z251" s="59" t="n"/>
      <c r="AA251" s="59" t="n"/>
      <c r="AB251" s="59" t="n"/>
      <c r="AC251" s="59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9" t="n"/>
      <c r="F252" s="59" t="n"/>
      <c r="G252" s="60" t="n"/>
      <c r="H252" s="47" t="n"/>
      <c r="I252" s="47" t="n"/>
      <c r="J252" s="59" t="n"/>
      <c r="K252" s="59" t="n"/>
      <c r="L252" s="59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9" t="n"/>
      <c r="X252" s="61" t="n"/>
      <c r="Y252" s="59" t="n"/>
      <c r="Z252" s="59" t="n"/>
      <c r="AA252" s="59" t="n"/>
      <c r="AB252" s="59" t="n"/>
      <c r="AC252" s="59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9" t="n"/>
      <c r="F253" s="59" t="n"/>
      <c r="G253" s="60" t="n"/>
      <c r="H253" s="47" t="n"/>
      <c r="I253" s="47" t="n"/>
      <c r="J253" s="59" t="n"/>
      <c r="K253" s="59" t="n"/>
      <c r="L253" s="59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9" t="n"/>
      <c r="X253" s="61" t="n"/>
      <c r="Y253" s="59" t="n"/>
      <c r="Z253" s="59" t="n"/>
      <c r="AA253" s="59" t="n"/>
      <c r="AB253" s="59" t="n"/>
      <c r="AC253" s="59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9" t="n"/>
      <c r="F254" s="59" t="n"/>
      <c r="G254" s="60" t="n"/>
      <c r="H254" s="47" t="n"/>
      <c r="I254" s="47" t="n"/>
      <c r="J254" s="59" t="n"/>
      <c r="K254" s="59" t="n"/>
      <c r="L254" s="59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9" t="n"/>
      <c r="X254" s="61" t="n"/>
      <c r="Y254" s="59" t="n"/>
      <c r="Z254" s="59" t="n"/>
      <c r="AA254" s="59" t="n"/>
      <c r="AB254" s="59" t="n"/>
      <c r="AC254" s="59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9" t="n"/>
      <c r="F255" s="59" t="n"/>
      <c r="G255" s="60" t="n"/>
      <c r="H255" s="47" t="n"/>
      <c r="I255" s="47" t="n"/>
      <c r="J255" s="59" t="n"/>
      <c r="K255" s="59" t="n"/>
      <c r="L255" s="59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9" t="n"/>
      <c r="X255" s="61" t="n"/>
      <c r="Y255" s="59" t="n"/>
      <c r="Z255" s="59" t="n"/>
      <c r="AA255" s="59" t="n"/>
      <c r="AB255" s="59" t="n"/>
      <c r="AC255" s="59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9" t="n"/>
      <c r="F256" s="59" t="n"/>
      <c r="G256" s="60" t="n"/>
      <c r="H256" s="47" t="n"/>
      <c r="I256" s="47" t="n"/>
      <c r="J256" s="59" t="n"/>
      <c r="K256" s="59" t="n"/>
      <c r="L256" s="59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9" t="n"/>
      <c r="X256" s="61" t="n"/>
      <c r="Y256" s="59" t="n"/>
      <c r="Z256" s="59" t="n"/>
      <c r="AA256" s="59" t="n"/>
      <c r="AB256" s="59" t="n"/>
      <c r="AC256" s="59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9" t="n"/>
      <c r="F257" s="59" t="n"/>
      <c r="G257" s="60" t="n"/>
      <c r="H257" s="47" t="n"/>
      <c r="I257" s="47" t="n"/>
      <c r="J257" s="59" t="n"/>
      <c r="K257" s="59" t="n"/>
      <c r="L257" s="59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9" t="n"/>
      <c r="X257" s="61" t="n"/>
      <c r="Y257" s="59" t="n"/>
      <c r="Z257" s="59" t="n"/>
      <c r="AA257" s="59" t="n"/>
      <c r="AB257" s="59" t="n"/>
      <c r="AC257" s="59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9" t="n"/>
      <c r="F258" s="59" t="n"/>
      <c r="G258" s="60" t="n"/>
      <c r="H258" s="47" t="n"/>
      <c r="I258" s="47" t="n"/>
      <c r="J258" s="59" t="n"/>
      <c r="K258" s="59" t="n"/>
      <c r="L258" s="59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9" t="n"/>
      <c r="X258" s="61" t="n"/>
      <c r="Y258" s="59" t="n"/>
      <c r="Z258" s="59" t="n"/>
      <c r="AA258" s="59" t="n"/>
      <c r="AB258" s="59" t="n"/>
      <c r="AC258" s="59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9" t="n"/>
      <c r="F259" s="59" t="n"/>
      <c r="G259" s="60" t="n"/>
      <c r="H259" s="47" t="n"/>
      <c r="I259" s="47" t="n"/>
      <c r="J259" s="59" t="n"/>
      <c r="K259" s="59" t="n"/>
      <c r="L259" s="59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9" t="n"/>
      <c r="X259" s="61" t="n"/>
      <c r="Y259" s="59" t="n"/>
      <c r="Z259" s="59" t="n"/>
      <c r="AA259" s="59" t="n"/>
      <c r="AB259" s="59" t="n"/>
      <c r="AC259" s="59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9" t="n"/>
      <c r="F260" s="59" t="n"/>
      <c r="G260" s="60" t="n"/>
      <c r="H260" s="47" t="n"/>
      <c r="I260" s="47" t="n"/>
      <c r="J260" s="59" t="n"/>
      <c r="K260" s="59" t="n"/>
      <c r="L260" s="59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9" t="n"/>
      <c r="X260" s="61" t="n"/>
      <c r="Y260" s="59" t="n"/>
      <c r="Z260" s="59" t="n"/>
      <c r="AA260" s="59" t="n"/>
      <c r="AB260" s="59" t="n"/>
      <c r="AC260" s="59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9" t="n"/>
      <c r="F261" s="59" t="n"/>
      <c r="G261" s="60" t="n"/>
      <c r="H261" s="47" t="n"/>
      <c r="I261" s="47" t="n"/>
      <c r="J261" s="59" t="n"/>
      <c r="K261" s="59" t="n"/>
      <c r="L261" s="59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9" t="n"/>
      <c r="X261" s="61" t="n"/>
      <c r="Y261" s="59" t="n"/>
      <c r="Z261" s="59" t="n"/>
      <c r="AA261" s="59" t="n"/>
      <c r="AB261" s="59" t="n"/>
      <c r="AC261" s="59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9" t="n"/>
      <c r="F262" s="59" t="n"/>
      <c r="G262" s="60" t="n"/>
      <c r="H262" s="47" t="n"/>
      <c r="I262" s="47" t="n"/>
      <c r="J262" s="59" t="n"/>
      <c r="K262" s="59" t="n"/>
      <c r="L262" s="59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9" t="n"/>
      <c r="X262" s="61" t="n"/>
      <c r="Y262" s="59" t="n"/>
      <c r="Z262" s="59" t="n"/>
      <c r="AA262" s="59" t="n"/>
      <c r="AB262" s="59" t="n"/>
      <c r="AC262" s="59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9" t="n"/>
      <c r="F263" s="59" t="n"/>
      <c r="G263" s="60" t="n"/>
      <c r="H263" s="47" t="n"/>
      <c r="I263" s="47" t="n"/>
      <c r="J263" s="59" t="n"/>
      <c r="K263" s="59" t="n"/>
      <c r="L263" s="59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9" t="n"/>
      <c r="X263" s="61" t="n"/>
      <c r="Y263" s="59" t="n"/>
      <c r="Z263" s="59" t="n"/>
      <c r="AA263" s="59" t="n"/>
      <c r="AB263" s="59" t="n"/>
      <c r="AC263" s="59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9" t="n"/>
      <c r="F264" s="59" t="n"/>
      <c r="G264" s="60" t="n"/>
      <c r="H264" s="47" t="n"/>
      <c r="I264" s="47" t="n"/>
      <c r="J264" s="59" t="n"/>
      <c r="K264" s="59" t="n"/>
      <c r="L264" s="59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9" t="n"/>
      <c r="X264" s="61" t="n"/>
      <c r="Y264" s="59" t="n"/>
      <c r="Z264" s="59" t="n"/>
      <c r="AA264" s="59" t="n"/>
      <c r="AB264" s="59" t="n"/>
      <c r="AC264" s="59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9" t="n"/>
      <c r="F265" s="59" t="n"/>
      <c r="G265" s="60" t="n"/>
      <c r="H265" s="47" t="n"/>
      <c r="I265" s="47" t="n"/>
      <c r="J265" s="59" t="n"/>
      <c r="K265" s="59" t="n"/>
      <c r="L265" s="59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9" t="n"/>
      <c r="X265" s="61" t="n"/>
      <c r="Y265" s="59" t="n"/>
      <c r="Z265" s="59" t="n"/>
      <c r="AA265" s="59" t="n"/>
      <c r="AB265" s="59" t="n"/>
      <c r="AC265" s="59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9" t="n"/>
      <c r="F266" s="59" t="n"/>
      <c r="G266" s="60" t="n"/>
      <c r="H266" s="47" t="n"/>
      <c r="I266" s="47" t="n"/>
      <c r="J266" s="59" t="n"/>
      <c r="K266" s="59" t="n"/>
      <c r="L266" s="59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9" t="n"/>
      <c r="X266" s="61" t="n"/>
      <c r="Y266" s="59" t="n"/>
      <c r="Z266" s="59" t="n"/>
      <c r="AA266" s="59" t="n"/>
      <c r="AB266" s="59" t="n"/>
      <c r="AC266" s="59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9" t="n"/>
      <c r="F267" s="59" t="n"/>
      <c r="G267" s="60" t="n"/>
      <c r="H267" s="47" t="n"/>
      <c r="I267" s="47" t="n"/>
      <c r="J267" s="59" t="n"/>
      <c r="K267" s="59" t="n"/>
      <c r="L267" s="59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9" t="n"/>
      <c r="X267" s="61" t="n"/>
      <c r="Y267" s="59" t="n"/>
      <c r="Z267" s="59" t="n"/>
      <c r="AA267" s="59" t="n"/>
      <c r="AB267" s="59" t="n"/>
      <c r="AC267" s="59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9" t="n"/>
      <c r="F268" s="59" t="n"/>
      <c r="G268" s="60" t="n"/>
      <c r="H268" s="47" t="n"/>
      <c r="I268" s="47" t="n"/>
      <c r="J268" s="59" t="n"/>
      <c r="K268" s="59" t="n"/>
      <c r="L268" s="59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9" t="n"/>
      <c r="X268" s="61" t="n"/>
      <c r="Y268" s="59" t="n"/>
      <c r="Z268" s="59" t="n"/>
      <c r="AA268" s="59" t="n"/>
      <c r="AB268" s="59" t="n"/>
      <c r="AC268" s="59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9" t="n"/>
      <c r="F269" s="59" t="n"/>
      <c r="G269" s="60" t="n"/>
      <c r="H269" s="47" t="n"/>
      <c r="I269" s="47" t="n"/>
      <c r="J269" s="59" t="n"/>
      <c r="K269" s="59" t="n"/>
      <c r="L269" s="59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9" t="n"/>
      <c r="X269" s="61" t="n"/>
      <c r="Y269" s="59" t="n"/>
      <c r="Z269" s="59" t="n"/>
      <c r="AA269" s="59" t="n"/>
      <c r="AB269" s="59" t="n"/>
      <c r="AC269" s="59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9" t="n"/>
      <c r="F270" s="59" t="n"/>
      <c r="G270" s="60" t="n"/>
      <c r="H270" s="47" t="n"/>
      <c r="I270" s="47" t="n"/>
      <c r="J270" s="59" t="n"/>
      <c r="K270" s="59" t="n"/>
      <c r="L270" s="59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9" t="n"/>
      <c r="X270" s="61" t="n"/>
      <c r="Y270" s="59" t="n"/>
      <c r="Z270" s="59" t="n"/>
      <c r="AA270" s="59" t="n"/>
      <c r="AB270" s="59" t="n"/>
      <c r="AC270" s="59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9" t="n"/>
      <c r="F271" s="59" t="n"/>
      <c r="G271" s="60" t="n"/>
      <c r="H271" s="47" t="n"/>
      <c r="I271" s="47" t="n"/>
      <c r="J271" s="59" t="n"/>
      <c r="K271" s="59" t="n"/>
      <c r="L271" s="59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9" t="n"/>
      <c r="X271" s="61" t="n"/>
      <c r="Y271" s="59" t="n"/>
      <c r="Z271" s="59" t="n"/>
      <c r="AA271" s="59" t="n"/>
      <c r="AB271" s="59" t="n"/>
      <c r="AC271" s="59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9" t="n"/>
      <c r="F272" s="59" t="n"/>
      <c r="G272" s="60" t="n"/>
      <c r="H272" s="47" t="n"/>
      <c r="I272" s="47" t="n"/>
      <c r="J272" s="59" t="n"/>
      <c r="K272" s="59" t="n"/>
      <c r="L272" s="59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9" t="n"/>
      <c r="X272" s="61" t="n"/>
      <c r="Y272" s="59" t="n"/>
      <c r="Z272" s="59" t="n"/>
      <c r="AA272" s="59" t="n"/>
      <c r="AB272" s="59" t="n"/>
      <c r="AC272" s="59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9" t="n"/>
      <c r="F273" s="59" t="n"/>
      <c r="G273" s="60" t="n"/>
      <c r="H273" s="47" t="n"/>
      <c r="I273" s="47" t="n"/>
      <c r="J273" s="59" t="n"/>
      <c r="K273" s="59" t="n"/>
      <c r="L273" s="59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9" t="n"/>
      <c r="X273" s="61" t="n"/>
      <c r="Y273" s="59" t="n"/>
      <c r="Z273" s="59" t="n"/>
      <c r="AA273" s="59" t="n"/>
      <c r="AB273" s="59" t="n"/>
      <c r="AC273" s="59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9" t="n"/>
      <c r="F274" s="59" t="n"/>
      <c r="G274" s="60" t="n"/>
      <c r="H274" s="47" t="n"/>
      <c r="I274" s="47" t="n"/>
      <c r="J274" s="59" t="n"/>
      <c r="K274" s="59" t="n"/>
      <c r="L274" s="59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9" t="n"/>
      <c r="X274" s="61" t="n"/>
      <c r="Y274" s="59" t="n"/>
      <c r="Z274" s="59" t="n"/>
      <c r="AA274" s="59" t="n"/>
      <c r="AB274" s="59" t="n"/>
      <c r="AC274" s="59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9" t="n"/>
      <c r="F275" s="59" t="n"/>
      <c r="G275" s="60" t="n"/>
      <c r="H275" s="47" t="n"/>
      <c r="I275" s="47" t="n"/>
      <c r="J275" s="59" t="n"/>
      <c r="K275" s="59" t="n"/>
      <c r="L275" s="59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9" t="n"/>
      <c r="X275" s="61" t="n"/>
      <c r="Y275" s="59" t="n"/>
      <c r="Z275" s="59" t="n"/>
      <c r="AA275" s="59" t="n"/>
      <c r="AB275" s="59" t="n"/>
      <c r="AC275" s="59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9" t="n"/>
      <c r="F276" s="59" t="n"/>
      <c r="G276" s="60" t="n"/>
      <c r="H276" s="47" t="n"/>
      <c r="I276" s="47" t="n"/>
      <c r="J276" s="59" t="n"/>
      <c r="K276" s="59" t="n"/>
      <c r="L276" s="59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9" t="n"/>
      <c r="X276" s="61" t="n"/>
      <c r="Y276" s="59" t="n"/>
      <c r="Z276" s="59" t="n"/>
      <c r="AA276" s="59" t="n"/>
      <c r="AB276" s="59" t="n"/>
      <c r="AC276" s="59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9" t="n"/>
      <c r="F277" s="59" t="n"/>
      <c r="G277" s="60" t="n"/>
      <c r="H277" s="47" t="n"/>
      <c r="I277" s="47" t="n"/>
      <c r="J277" s="59" t="n"/>
      <c r="K277" s="59" t="n"/>
      <c r="L277" s="59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9" t="n"/>
      <c r="X277" s="61" t="n"/>
      <c r="Y277" s="59" t="n"/>
      <c r="Z277" s="59" t="n"/>
      <c r="AA277" s="59" t="n"/>
      <c r="AB277" s="59" t="n"/>
      <c r="AC277" s="59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9" t="n"/>
      <c r="F278" s="59" t="n"/>
      <c r="G278" s="60" t="n"/>
      <c r="H278" s="47" t="n"/>
      <c r="I278" s="47" t="n"/>
      <c r="J278" s="59" t="n"/>
      <c r="K278" s="59" t="n"/>
      <c r="L278" s="59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9" t="n"/>
      <c r="X278" s="61" t="n"/>
      <c r="Y278" s="59" t="n"/>
      <c r="Z278" s="59" t="n"/>
      <c r="AA278" s="59" t="n"/>
      <c r="AB278" s="59" t="n"/>
      <c r="AC278" s="59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9" t="n"/>
      <c r="F279" s="59" t="n"/>
      <c r="G279" s="60" t="n"/>
      <c r="H279" s="47" t="n"/>
      <c r="I279" s="47" t="n"/>
      <c r="J279" s="59" t="n"/>
      <c r="K279" s="59" t="n"/>
      <c r="L279" s="59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9" t="n"/>
      <c r="X279" s="61" t="n"/>
      <c r="Y279" s="59" t="n"/>
      <c r="Z279" s="59" t="n"/>
      <c r="AA279" s="59" t="n"/>
      <c r="AB279" s="59" t="n"/>
      <c r="AC279" s="59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9" t="n"/>
      <c r="F280" s="59" t="n"/>
      <c r="G280" s="60" t="n"/>
      <c r="H280" s="47" t="n"/>
      <c r="I280" s="47" t="n"/>
      <c r="J280" s="59" t="n"/>
      <c r="K280" s="59" t="n"/>
      <c r="L280" s="59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9" t="n"/>
      <c r="X280" s="61" t="n"/>
      <c r="Y280" s="59" t="n"/>
      <c r="Z280" s="59" t="n"/>
      <c r="AA280" s="59" t="n"/>
      <c r="AB280" s="59" t="n"/>
      <c r="AC280" s="59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9" t="n"/>
      <c r="F281" s="59" t="n"/>
      <c r="G281" s="60" t="n"/>
      <c r="H281" s="47" t="n"/>
      <c r="I281" s="47" t="n"/>
      <c r="J281" s="59" t="n"/>
      <c r="K281" s="59" t="n"/>
      <c r="L281" s="59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9" t="n"/>
      <c r="X281" s="61" t="n"/>
      <c r="Y281" s="59" t="n"/>
      <c r="Z281" s="59" t="n"/>
      <c r="AA281" s="59" t="n"/>
      <c r="AB281" s="59" t="n"/>
      <c r="AC281" s="59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9" t="n"/>
      <c r="F282" s="59" t="n"/>
      <c r="G282" s="60" t="n"/>
      <c r="H282" s="47" t="n"/>
      <c r="I282" s="47" t="n"/>
      <c r="J282" s="59" t="n"/>
      <c r="K282" s="59" t="n"/>
      <c r="L282" s="59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9" t="n"/>
      <c r="X282" s="61" t="n"/>
      <c r="Y282" s="59" t="n"/>
      <c r="Z282" s="59" t="n"/>
      <c r="AA282" s="59" t="n"/>
      <c r="AB282" s="59" t="n"/>
      <c r="AC282" s="59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9" t="n"/>
      <c r="F283" s="59" t="n"/>
      <c r="G283" s="60" t="n"/>
      <c r="H283" s="47" t="n"/>
      <c r="I283" s="47" t="n"/>
      <c r="J283" s="59" t="n"/>
      <c r="K283" s="59" t="n"/>
      <c r="L283" s="59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9" t="n"/>
      <c r="X283" s="61" t="n"/>
      <c r="Y283" s="59" t="n"/>
      <c r="Z283" s="59" t="n"/>
      <c r="AA283" s="59" t="n"/>
      <c r="AB283" s="59" t="n"/>
      <c r="AC283" s="59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9" t="n"/>
      <c r="F284" s="59" t="n"/>
      <c r="G284" s="60" t="n"/>
      <c r="H284" s="47" t="n"/>
      <c r="I284" s="47" t="n"/>
      <c r="J284" s="59" t="n"/>
      <c r="K284" s="59" t="n"/>
      <c r="L284" s="59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9" t="n"/>
      <c r="X284" s="61" t="n"/>
      <c r="Y284" s="59" t="n"/>
      <c r="Z284" s="59" t="n"/>
      <c r="AA284" s="59" t="n"/>
      <c r="AB284" s="59" t="n"/>
      <c r="AC284" s="59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9" t="n"/>
      <c r="F285" s="59" t="n"/>
      <c r="G285" s="60" t="n"/>
      <c r="H285" s="47" t="n"/>
      <c r="I285" s="47" t="n"/>
      <c r="J285" s="59" t="n"/>
      <c r="K285" s="59" t="n"/>
      <c r="L285" s="59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9" t="n"/>
      <c r="X285" s="61" t="n"/>
      <c r="Y285" s="59" t="n"/>
      <c r="Z285" s="59" t="n"/>
      <c r="AA285" s="59" t="n"/>
      <c r="AB285" s="59" t="n"/>
      <c r="AC285" s="59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9" t="n"/>
      <c r="F286" s="59" t="n"/>
      <c r="G286" s="60" t="n"/>
      <c r="H286" s="47" t="n"/>
      <c r="I286" s="47" t="n"/>
      <c r="J286" s="59" t="n"/>
      <c r="K286" s="59" t="n"/>
      <c r="L286" s="59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9" t="n"/>
      <c r="X286" s="61" t="n"/>
      <c r="Y286" s="59" t="n"/>
      <c r="Z286" s="59" t="n"/>
      <c r="AA286" s="59" t="n"/>
      <c r="AB286" s="59" t="n"/>
      <c r="AC286" s="59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9" t="n"/>
      <c r="F287" s="59" t="n"/>
      <c r="G287" s="60" t="n"/>
      <c r="H287" s="47" t="n"/>
      <c r="I287" s="47" t="n"/>
      <c r="J287" s="59" t="n"/>
      <c r="K287" s="59" t="n"/>
      <c r="L287" s="59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9" t="n"/>
      <c r="X287" s="61" t="n"/>
      <c r="Y287" s="59" t="n"/>
      <c r="Z287" s="59" t="n"/>
      <c r="AA287" s="59" t="n"/>
      <c r="AB287" s="59" t="n"/>
      <c r="AC287" s="59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9" t="n"/>
      <c r="F288" s="59" t="n"/>
      <c r="G288" s="60" t="n"/>
      <c r="H288" s="47" t="n"/>
      <c r="I288" s="47" t="n"/>
      <c r="J288" s="59" t="n"/>
      <c r="K288" s="59" t="n"/>
      <c r="L288" s="59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9" t="n"/>
      <c r="X288" s="61" t="n"/>
      <c r="Y288" s="59" t="n"/>
      <c r="Z288" s="59" t="n"/>
      <c r="AA288" s="59" t="n"/>
      <c r="AB288" s="59" t="n"/>
      <c r="AC288" s="59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9" t="n"/>
      <c r="F289" s="59" t="n"/>
      <c r="G289" s="60" t="n"/>
      <c r="H289" s="47" t="n"/>
      <c r="I289" s="47" t="n"/>
      <c r="J289" s="59" t="n"/>
      <c r="K289" s="59" t="n"/>
      <c r="L289" s="59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9" t="n"/>
      <c r="X289" s="61" t="n"/>
      <c r="Y289" s="59" t="n"/>
      <c r="Z289" s="59" t="n"/>
      <c r="AA289" s="59" t="n"/>
      <c r="AB289" s="59" t="n"/>
      <c r="AC289" s="59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9" t="n"/>
      <c r="F290" s="59" t="n"/>
      <c r="G290" s="60" t="n"/>
      <c r="H290" s="47" t="n"/>
      <c r="I290" s="47" t="n"/>
      <c r="J290" s="59" t="n"/>
      <c r="K290" s="59" t="n"/>
      <c r="L290" s="59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9" t="n"/>
      <c r="X290" s="61" t="n"/>
      <c r="Y290" s="59" t="n"/>
      <c r="Z290" s="59" t="n"/>
      <c r="AA290" s="59" t="n"/>
      <c r="AB290" s="59" t="n"/>
      <c r="AC290" s="59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9" t="n"/>
      <c r="F291" s="59" t="n"/>
      <c r="G291" s="60" t="n"/>
      <c r="H291" s="47" t="n"/>
      <c r="I291" s="47" t="n"/>
      <c r="J291" s="59" t="n"/>
      <c r="K291" s="59" t="n"/>
      <c r="L291" s="59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9" t="n"/>
      <c r="X291" s="61" t="n"/>
      <c r="Y291" s="59" t="n"/>
      <c r="Z291" s="59" t="n"/>
      <c r="AA291" s="59" t="n"/>
      <c r="AB291" s="59" t="n"/>
      <c r="AC291" s="59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9" t="n"/>
      <c r="F292" s="59" t="n"/>
      <c r="G292" s="60" t="n"/>
      <c r="H292" s="47" t="n"/>
      <c r="I292" s="47" t="n"/>
      <c r="J292" s="59" t="n"/>
      <c r="K292" s="59" t="n"/>
      <c r="L292" s="59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9" t="n"/>
      <c r="X292" s="61" t="n"/>
      <c r="Y292" s="59" t="n"/>
      <c r="Z292" s="59" t="n"/>
      <c r="AA292" s="59" t="n"/>
      <c r="AB292" s="59" t="n"/>
      <c r="AC292" s="59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9" t="n"/>
      <c r="F293" s="59" t="n"/>
      <c r="G293" s="60" t="n"/>
      <c r="H293" s="47" t="n"/>
      <c r="I293" s="47" t="n"/>
      <c r="J293" s="59" t="n"/>
      <c r="K293" s="59" t="n"/>
      <c r="L293" s="59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9" t="n"/>
      <c r="X293" s="61" t="n"/>
      <c r="Y293" s="59" t="n"/>
      <c r="Z293" s="59" t="n"/>
      <c r="AA293" s="59" t="n"/>
      <c r="AB293" s="59" t="n"/>
      <c r="AC293" s="59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9" t="n"/>
      <c r="F294" s="59" t="n"/>
      <c r="G294" s="60" t="n"/>
      <c r="H294" s="47" t="n"/>
      <c r="I294" s="47" t="n"/>
      <c r="J294" s="59" t="n"/>
      <c r="K294" s="59" t="n"/>
      <c r="L294" s="59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9" t="n"/>
      <c r="X294" s="61" t="n"/>
      <c r="Y294" s="59" t="n"/>
      <c r="Z294" s="59" t="n"/>
      <c r="AA294" s="59" t="n"/>
      <c r="AB294" s="59" t="n"/>
      <c r="AC294" s="59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9" t="n"/>
      <c r="F295" s="59" t="n"/>
      <c r="G295" s="60" t="n"/>
      <c r="H295" s="47" t="n"/>
      <c r="I295" s="47" t="n"/>
      <c r="J295" s="59" t="n"/>
      <c r="K295" s="59" t="n"/>
      <c r="L295" s="59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9" t="n"/>
      <c r="X295" s="61" t="n"/>
      <c r="Y295" s="59" t="n"/>
      <c r="Z295" s="59" t="n"/>
      <c r="AA295" s="59" t="n"/>
      <c r="AB295" s="59" t="n"/>
      <c r="AC295" s="59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9" t="n"/>
      <c r="F296" s="59" t="n"/>
      <c r="G296" s="60" t="n"/>
      <c r="H296" s="47" t="n"/>
      <c r="I296" s="47" t="n"/>
      <c r="J296" s="59" t="n"/>
      <c r="K296" s="59" t="n"/>
      <c r="L296" s="59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9" t="n"/>
      <c r="X296" s="61" t="n"/>
      <c r="Y296" s="59" t="n"/>
      <c r="Z296" s="59" t="n"/>
      <c r="AA296" s="59" t="n"/>
      <c r="AB296" s="59" t="n"/>
      <c r="AC296" s="59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9" t="n"/>
      <c r="F297" s="59" t="n"/>
      <c r="G297" s="60" t="n"/>
      <c r="H297" s="47" t="n"/>
      <c r="I297" s="47" t="n"/>
      <c r="J297" s="59" t="n"/>
      <c r="K297" s="59" t="n"/>
      <c r="L297" s="59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9" t="n"/>
      <c r="X297" s="61" t="n"/>
      <c r="Y297" s="59" t="n"/>
      <c r="Z297" s="59" t="n"/>
      <c r="AA297" s="59" t="n"/>
      <c r="AB297" s="59" t="n"/>
      <c r="AC297" s="59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9" t="n"/>
      <c r="F298" s="59" t="n"/>
      <c r="G298" s="60" t="n"/>
      <c r="H298" s="47" t="n"/>
      <c r="I298" s="47" t="n"/>
      <c r="J298" s="59" t="n"/>
      <c r="K298" s="59" t="n"/>
      <c r="L298" s="59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9" t="n"/>
      <c r="X298" s="61" t="n"/>
      <c r="Y298" s="59" t="n"/>
      <c r="Z298" s="59" t="n"/>
      <c r="AA298" s="59" t="n"/>
      <c r="AB298" s="59" t="n"/>
      <c r="AC298" s="59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9" t="n"/>
      <c r="F299" s="59" t="n"/>
      <c r="G299" s="60" t="n"/>
      <c r="H299" s="47" t="n"/>
      <c r="I299" s="47" t="n"/>
      <c r="J299" s="59" t="n"/>
      <c r="K299" s="59" t="n"/>
      <c r="L299" s="59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9" t="n"/>
      <c r="X299" s="61" t="n"/>
      <c r="Y299" s="59" t="n"/>
      <c r="Z299" s="59" t="n"/>
      <c r="AA299" s="59" t="n"/>
      <c r="AB299" s="59" t="n"/>
      <c r="AC299" s="59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9" t="n"/>
      <c r="F300" s="59" t="n"/>
      <c r="G300" s="60" t="n"/>
      <c r="H300" s="47" t="n"/>
      <c r="I300" s="47" t="n"/>
      <c r="J300" s="59" t="n"/>
      <c r="K300" s="59" t="n"/>
      <c r="L300" s="59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9" t="n"/>
      <c r="X300" s="61" t="n"/>
      <c r="Y300" s="59" t="n"/>
      <c r="Z300" s="59" t="n"/>
      <c r="AA300" s="59" t="n"/>
      <c r="AB300" s="59" t="n"/>
      <c r="AC300" s="59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9" t="n"/>
      <c r="F301" s="59" t="n"/>
      <c r="G301" s="60" t="n"/>
      <c r="H301" s="47" t="n"/>
      <c r="I301" s="47" t="n"/>
      <c r="J301" s="59" t="n"/>
      <c r="K301" s="59" t="n"/>
      <c r="L301" s="59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9" t="n"/>
      <c r="X301" s="61" t="n"/>
      <c r="Y301" s="59" t="n"/>
      <c r="Z301" s="59" t="n"/>
      <c r="AA301" s="59" t="n"/>
      <c r="AB301" s="59" t="n"/>
      <c r="AC301" s="59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9" t="n"/>
      <c r="F302" s="59" t="n"/>
      <c r="G302" s="60" t="n"/>
      <c r="H302" s="47" t="n"/>
      <c r="I302" s="47" t="n"/>
      <c r="J302" s="59" t="n"/>
      <c r="K302" s="59" t="n"/>
      <c r="L302" s="59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9" t="n"/>
      <c r="X302" s="61" t="n"/>
      <c r="Y302" s="59" t="n"/>
      <c r="Z302" s="59" t="n"/>
      <c r="AA302" s="59" t="n"/>
      <c r="AB302" s="59" t="n"/>
      <c r="AC302" s="59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9" t="n"/>
      <c r="F303" s="59" t="n"/>
      <c r="G303" s="60" t="n"/>
      <c r="H303" s="47" t="n"/>
      <c r="I303" s="47" t="n"/>
      <c r="J303" s="59" t="n"/>
      <c r="K303" s="59" t="n"/>
      <c r="L303" s="59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9" t="n"/>
      <c r="X303" s="61" t="n"/>
      <c r="Y303" s="59" t="n"/>
      <c r="Z303" s="59" t="n"/>
      <c r="AA303" s="59" t="n"/>
      <c r="AB303" s="59" t="n"/>
      <c r="AC303" s="59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9" t="n"/>
      <c r="F304" s="59" t="n"/>
      <c r="G304" s="60" t="n"/>
      <c r="H304" s="47" t="n"/>
      <c r="I304" s="47" t="n"/>
      <c r="J304" s="59" t="n"/>
      <c r="K304" s="59" t="n"/>
      <c r="L304" s="59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9" t="n"/>
      <c r="X304" s="61" t="n"/>
      <c r="Y304" s="59" t="n"/>
      <c r="Z304" s="59" t="n"/>
      <c r="AA304" s="59" t="n"/>
      <c r="AB304" s="59" t="n"/>
      <c r="AC304" s="59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9" t="n"/>
      <c r="F305" s="59" t="n"/>
      <c r="G305" s="60" t="n"/>
      <c r="H305" s="47" t="n"/>
      <c r="I305" s="47" t="n"/>
      <c r="J305" s="59" t="n"/>
      <c r="K305" s="59" t="n"/>
      <c r="L305" s="59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9" t="n"/>
      <c r="X305" s="61" t="n"/>
      <c r="Y305" s="59" t="n"/>
      <c r="Z305" s="59" t="n"/>
      <c r="AA305" s="59" t="n"/>
      <c r="AB305" s="59" t="n"/>
      <c r="AC305" s="59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9" t="n"/>
      <c r="F306" s="59" t="n"/>
      <c r="G306" s="60" t="n"/>
      <c r="H306" s="47" t="n"/>
      <c r="I306" s="47" t="n"/>
      <c r="J306" s="59" t="n"/>
      <c r="K306" s="59" t="n"/>
      <c r="L306" s="59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9" t="n"/>
      <c r="X306" s="61" t="n"/>
      <c r="Y306" s="59" t="n"/>
      <c r="Z306" s="59" t="n"/>
      <c r="AA306" s="59" t="n"/>
      <c r="AB306" s="59" t="n"/>
      <c r="AC306" s="59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9" t="n"/>
      <c r="F307" s="59" t="n"/>
      <c r="G307" s="60" t="n"/>
      <c r="H307" s="47" t="n"/>
      <c r="I307" s="47" t="n"/>
      <c r="J307" s="59" t="n"/>
      <c r="K307" s="59" t="n"/>
      <c r="L307" s="59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9" t="n"/>
      <c r="X307" s="61" t="n"/>
      <c r="Y307" s="59" t="n"/>
      <c r="Z307" s="59" t="n"/>
      <c r="AA307" s="59" t="n"/>
      <c r="AB307" s="59" t="n"/>
      <c r="AC307" s="59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9" t="n"/>
      <c r="F308" s="59" t="n"/>
      <c r="G308" s="60" t="n"/>
      <c r="H308" s="47" t="n"/>
      <c r="I308" s="47" t="n"/>
      <c r="J308" s="59" t="n"/>
      <c r="K308" s="59" t="n"/>
      <c r="L308" s="59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9" t="n"/>
      <c r="X308" s="61" t="n"/>
      <c r="Y308" s="59" t="n"/>
      <c r="Z308" s="59" t="n"/>
      <c r="AA308" s="59" t="n"/>
      <c r="AB308" s="59" t="n"/>
      <c r="AC308" s="59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9" t="n"/>
      <c r="F309" s="59" t="n"/>
      <c r="G309" s="60" t="n"/>
      <c r="H309" s="47" t="n"/>
      <c r="I309" s="47" t="n"/>
      <c r="J309" s="59" t="n"/>
      <c r="K309" s="59" t="n"/>
      <c r="L309" s="59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9" t="n"/>
      <c r="X309" s="61" t="n"/>
      <c r="Y309" s="59" t="n"/>
      <c r="Z309" s="59" t="n"/>
      <c r="AA309" s="59" t="n"/>
      <c r="AB309" s="59" t="n"/>
      <c r="AC309" s="59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9" t="n"/>
      <c r="F310" s="59" t="n"/>
      <c r="G310" s="60" t="n"/>
      <c r="H310" s="47" t="n"/>
      <c r="I310" s="47" t="n"/>
      <c r="J310" s="59" t="n"/>
      <c r="K310" s="59" t="n"/>
      <c r="L310" s="59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9" t="n"/>
      <c r="X310" s="61" t="n"/>
      <c r="Y310" s="59" t="n"/>
      <c r="Z310" s="59" t="n"/>
      <c r="AA310" s="59" t="n"/>
      <c r="AB310" s="59" t="n"/>
      <c r="AC310" s="59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9" t="n"/>
      <c r="F311" s="59" t="n"/>
      <c r="G311" s="60" t="n"/>
      <c r="H311" s="47" t="n"/>
      <c r="I311" s="47" t="n"/>
      <c r="J311" s="59" t="n"/>
      <c r="K311" s="59" t="n"/>
      <c r="L311" s="59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9" t="n"/>
      <c r="X311" s="61" t="n"/>
      <c r="Y311" s="59" t="n"/>
      <c r="Z311" s="59" t="n"/>
      <c r="AA311" s="59" t="n"/>
      <c r="AB311" s="59" t="n"/>
      <c r="AC311" s="59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9" t="n"/>
      <c r="F312" s="59" t="n"/>
      <c r="G312" s="60" t="n"/>
      <c r="H312" s="47" t="n"/>
      <c r="I312" s="47" t="n"/>
      <c r="J312" s="59" t="n"/>
      <c r="K312" s="59" t="n"/>
      <c r="L312" s="59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9" t="n"/>
      <c r="X312" s="61" t="n"/>
      <c r="Y312" s="59" t="n"/>
      <c r="Z312" s="59" t="n"/>
      <c r="AA312" s="59" t="n"/>
      <c r="AB312" s="59" t="n"/>
      <c r="AC312" s="59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9" t="n"/>
      <c r="F313" s="59" t="n"/>
      <c r="G313" s="60" t="n"/>
      <c r="H313" s="47" t="n"/>
      <c r="I313" s="47" t="n"/>
      <c r="J313" s="59" t="n"/>
      <c r="K313" s="59" t="n"/>
      <c r="L313" s="59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9" t="n"/>
      <c r="X313" s="61" t="n"/>
      <c r="Y313" s="59" t="n"/>
      <c r="Z313" s="59" t="n"/>
      <c r="AA313" s="59" t="n"/>
      <c r="AB313" s="59" t="n"/>
      <c r="AC313" s="59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9" t="n"/>
      <c r="F314" s="59" t="n"/>
      <c r="G314" s="60" t="n"/>
      <c r="H314" s="47" t="n"/>
      <c r="I314" s="47" t="n"/>
      <c r="J314" s="59" t="n"/>
      <c r="K314" s="59" t="n"/>
      <c r="L314" s="59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9" t="n"/>
      <c r="X314" s="61" t="n"/>
      <c r="Y314" s="59" t="n"/>
      <c r="Z314" s="59" t="n"/>
      <c r="AA314" s="59" t="n"/>
      <c r="AB314" s="59" t="n"/>
      <c r="AC314" s="59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9" t="n"/>
      <c r="F315" s="59" t="n"/>
      <c r="G315" s="60" t="n"/>
      <c r="H315" s="47" t="n"/>
      <c r="I315" s="47" t="n"/>
      <c r="J315" s="59" t="n"/>
      <c r="K315" s="59" t="n"/>
      <c r="L315" s="59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9" t="n"/>
      <c r="X315" s="61" t="n"/>
      <c r="Y315" s="59" t="n"/>
      <c r="Z315" s="59" t="n"/>
      <c r="AA315" s="59" t="n"/>
      <c r="AB315" s="59" t="n"/>
      <c r="AC315" s="59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9" t="n"/>
      <c r="F316" s="59" t="n"/>
      <c r="G316" s="60" t="n"/>
      <c r="H316" s="47" t="n"/>
      <c r="I316" s="47" t="n"/>
      <c r="J316" s="59" t="n"/>
      <c r="K316" s="59" t="n"/>
      <c r="L316" s="59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9" t="n"/>
      <c r="X316" s="61" t="n"/>
      <c r="Y316" s="59" t="n"/>
      <c r="Z316" s="59" t="n"/>
      <c r="AA316" s="59" t="n"/>
      <c r="AB316" s="59" t="n"/>
      <c r="AC316" s="59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9" t="n"/>
      <c r="F317" s="59" t="n"/>
      <c r="G317" s="60" t="n"/>
      <c r="H317" s="47" t="n"/>
      <c r="I317" s="47" t="n"/>
      <c r="J317" s="59" t="n"/>
      <c r="K317" s="59" t="n"/>
      <c r="L317" s="59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9" t="n"/>
      <c r="X317" s="61" t="n"/>
      <c r="Y317" s="59" t="n"/>
      <c r="Z317" s="59" t="n"/>
      <c r="AA317" s="59" t="n"/>
      <c r="AB317" s="59" t="n"/>
      <c r="AC317" s="59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9" t="n"/>
      <c r="F318" s="59" t="n"/>
      <c r="G318" s="60" t="n"/>
      <c r="H318" s="47" t="n"/>
      <c r="I318" s="47" t="n"/>
      <c r="J318" s="59" t="n"/>
      <c r="K318" s="59" t="n"/>
      <c r="L318" s="59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9" t="n"/>
      <c r="X318" s="61" t="n"/>
      <c r="Y318" s="59" t="n"/>
      <c r="Z318" s="59" t="n"/>
      <c r="AA318" s="59" t="n"/>
      <c r="AB318" s="59" t="n"/>
      <c r="AC318" s="59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9" t="n"/>
      <c r="F319" s="59" t="n"/>
      <c r="G319" s="60" t="n"/>
      <c r="H319" s="47" t="n"/>
      <c r="I319" s="47" t="n"/>
      <c r="J319" s="59" t="n"/>
      <c r="K319" s="59" t="n"/>
      <c r="L319" s="59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9" t="n"/>
      <c r="X319" s="61" t="n"/>
      <c r="Y319" s="59" t="n"/>
      <c r="Z319" s="59" t="n"/>
      <c r="AA319" s="59" t="n"/>
      <c r="AB319" s="59" t="n"/>
      <c r="AC319" s="59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9" t="n"/>
      <c r="F320" s="59" t="n"/>
      <c r="G320" s="60" t="n"/>
      <c r="H320" s="47" t="n"/>
      <c r="I320" s="47" t="n"/>
      <c r="J320" s="59" t="n"/>
      <c r="K320" s="59" t="n"/>
      <c r="L320" s="59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9" t="n"/>
      <c r="X320" s="61" t="n"/>
      <c r="Y320" s="59" t="n"/>
      <c r="Z320" s="59" t="n"/>
      <c r="AA320" s="59" t="n"/>
      <c r="AB320" s="59" t="n"/>
      <c r="AC320" s="59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9" t="n"/>
      <c r="F321" s="59" t="n"/>
      <c r="G321" s="60" t="n"/>
      <c r="H321" s="47" t="n"/>
      <c r="I321" s="47" t="n"/>
      <c r="J321" s="59" t="n"/>
      <c r="K321" s="59" t="n"/>
      <c r="L321" s="59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9" t="n"/>
      <c r="X321" s="61" t="n"/>
      <c r="Y321" s="59" t="n"/>
      <c r="Z321" s="59" t="n"/>
      <c r="AA321" s="59" t="n"/>
      <c r="AB321" s="59" t="n"/>
      <c r="AC321" s="59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9" t="n"/>
      <c r="F322" s="59" t="n"/>
      <c r="G322" s="60" t="n"/>
      <c r="H322" s="47" t="n"/>
      <c r="I322" s="47" t="n"/>
      <c r="J322" s="59" t="n"/>
      <c r="K322" s="59" t="n"/>
      <c r="L322" s="59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9" t="n"/>
      <c r="X322" s="61" t="n"/>
      <c r="Y322" s="59" t="n"/>
      <c r="Z322" s="59" t="n"/>
      <c r="AA322" s="59" t="n"/>
      <c r="AB322" s="59" t="n"/>
      <c r="AC322" s="59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9" t="n"/>
      <c r="F323" s="59" t="n"/>
      <c r="G323" s="60" t="n"/>
      <c r="H323" s="47" t="n"/>
      <c r="I323" s="47" t="n"/>
      <c r="J323" s="59" t="n"/>
      <c r="K323" s="59" t="n"/>
      <c r="L323" s="59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9" t="n"/>
      <c r="X323" s="61" t="n"/>
      <c r="Y323" s="59" t="n"/>
      <c r="Z323" s="59" t="n"/>
      <c r="AA323" s="59" t="n"/>
      <c r="AB323" s="59" t="n"/>
      <c r="AC323" s="59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9" t="n"/>
      <c r="F324" s="59" t="n"/>
      <c r="G324" s="60" t="n"/>
      <c r="H324" s="47" t="n"/>
      <c r="I324" s="47" t="n"/>
      <c r="J324" s="59" t="n"/>
      <c r="K324" s="59" t="n"/>
      <c r="L324" s="59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9" t="n"/>
      <c r="X324" s="61" t="n"/>
      <c r="Y324" s="59" t="n"/>
      <c r="Z324" s="59" t="n"/>
      <c r="AA324" s="59" t="n"/>
      <c r="AB324" s="59" t="n"/>
      <c r="AC324" s="59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9" t="n"/>
      <c r="F325" s="59" t="n"/>
      <c r="G325" s="60" t="n"/>
      <c r="H325" s="47" t="n"/>
      <c r="I325" s="47" t="n"/>
      <c r="J325" s="59" t="n"/>
      <c r="K325" s="59" t="n"/>
      <c r="L325" s="59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9" t="n"/>
      <c r="X325" s="61" t="n"/>
      <c r="Y325" s="59" t="n"/>
      <c r="Z325" s="59" t="n"/>
      <c r="AA325" s="59" t="n"/>
      <c r="AB325" s="59" t="n"/>
      <c r="AC325" s="59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9" t="n"/>
      <c r="F326" s="59" t="n"/>
      <c r="G326" s="60" t="n"/>
      <c r="H326" s="47" t="n"/>
      <c r="I326" s="47" t="n"/>
      <c r="J326" s="59" t="n"/>
      <c r="K326" s="59" t="n"/>
      <c r="L326" s="59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9" t="n"/>
      <c r="X326" s="61" t="n"/>
      <c r="Y326" s="59" t="n"/>
      <c r="Z326" s="59" t="n"/>
      <c r="AA326" s="59" t="n"/>
      <c r="AB326" s="59" t="n"/>
      <c r="AC326" s="59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9" t="n"/>
      <c r="F327" s="59" t="n"/>
      <c r="G327" s="60" t="n"/>
      <c r="H327" s="47" t="n"/>
      <c r="I327" s="47" t="n"/>
      <c r="J327" s="59" t="n"/>
      <c r="K327" s="59" t="n"/>
      <c r="L327" s="59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9" t="n"/>
      <c r="X327" s="61" t="n"/>
      <c r="Y327" s="59" t="n"/>
      <c r="Z327" s="59" t="n"/>
      <c r="AA327" s="59" t="n"/>
      <c r="AB327" s="59" t="n"/>
      <c r="AC327" s="59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9" t="n"/>
      <c r="F328" s="59" t="n"/>
      <c r="G328" s="60" t="n"/>
      <c r="H328" s="47" t="n"/>
      <c r="I328" s="47" t="n"/>
      <c r="J328" s="59" t="n"/>
      <c r="K328" s="59" t="n"/>
      <c r="L328" s="59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9" t="n"/>
      <c r="X328" s="61" t="n"/>
      <c r="Y328" s="59" t="n"/>
      <c r="Z328" s="59" t="n"/>
      <c r="AA328" s="59" t="n"/>
      <c r="AB328" s="59" t="n"/>
      <c r="AC328" s="59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9" t="n"/>
      <c r="F329" s="59" t="n"/>
      <c r="G329" s="60" t="n"/>
      <c r="H329" s="47" t="n"/>
      <c r="I329" s="47" t="n"/>
      <c r="J329" s="59" t="n"/>
      <c r="K329" s="59" t="n"/>
      <c r="L329" s="59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9" t="n"/>
      <c r="X329" s="61" t="n"/>
      <c r="Y329" s="59" t="n"/>
      <c r="Z329" s="59" t="n"/>
      <c r="AA329" s="59" t="n"/>
      <c r="AB329" s="59" t="n"/>
      <c r="AC329" s="59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9" t="n"/>
      <c r="F330" s="59" t="n"/>
      <c r="G330" s="60" t="n"/>
      <c r="H330" s="47" t="n"/>
      <c r="I330" s="47" t="n"/>
      <c r="J330" s="59" t="n"/>
      <c r="K330" s="59" t="n"/>
      <c r="L330" s="59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9" t="n"/>
      <c r="X330" s="61" t="n"/>
      <c r="Y330" s="59" t="n"/>
      <c r="Z330" s="59" t="n"/>
      <c r="AA330" s="59" t="n"/>
      <c r="AB330" s="59" t="n"/>
      <c r="AC330" s="59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9" t="n"/>
      <c r="F331" s="59" t="n"/>
      <c r="G331" s="60" t="n"/>
      <c r="H331" s="47" t="n"/>
      <c r="I331" s="47" t="n"/>
      <c r="J331" s="59" t="n"/>
      <c r="K331" s="59" t="n"/>
      <c r="L331" s="59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9" t="n"/>
      <c r="X331" s="61" t="n"/>
      <c r="Y331" s="59" t="n"/>
      <c r="Z331" s="59" t="n"/>
      <c r="AA331" s="59" t="n"/>
      <c r="AB331" s="59" t="n"/>
      <c r="AC331" s="59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9" t="n"/>
      <c r="F332" s="59" t="n"/>
      <c r="G332" s="60" t="n"/>
      <c r="H332" s="47" t="n"/>
      <c r="I332" s="47" t="n"/>
      <c r="J332" s="59" t="n"/>
      <c r="K332" s="59" t="n"/>
      <c r="L332" s="59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9" t="n"/>
      <c r="X332" s="61" t="n"/>
      <c r="Y332" s="59" t="n"/>
      <c r="Z332" s="59" t="n"/>
      <c r="AA332" s="59" t="n"/>
      <c r="AB332" s="59" t="n"/>
      <c r="AC332" s="59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9" t="n"/>
      <c r="F333" s="59" t="n"/>
      <c r="G333" s="60" t="n"/>
      <c r="H333" s="47" t="n"/>
      <c r="I333" s="47" t="n"/>
      <c r="J333" s="59" t="n"/>
      <c r="K333" s="59" t="n"/>
      <c r="L333" s="59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9" t="n"/>
      <c r="X333" s="61" t="n"/>
      <c r="Y333" s="59" t="n"/>
      <c r="Z333" s="59" t="n"/>
      <c r="AA333" s="59" t="n"/>
      <c r="AB333" s="59" t="n"/>
      <c r="AC333" s="59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9" t="n"/>
      <c r="F334" s="59" t="n"/>
      <c r="G334" s="60" t="n"/>
      <c r="H334" s="47" t="n"/>
      <c r="I334" s="47" t="n"/>
      <c r="J334" s="59" t="n"/>
      <c r="K334" s="59" t="n"/>
      <c r="L334" s="59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9" t="n"/>
      <c r="X334" s="61" t="n"/>
      <c r="Y334" s="59" t="n"/>
      <c r="Z334" s="59" t="n"/>
      <c r="AA334" s="59" t="n"/>
      <c r="AB334" s="59" t="n"/>
      <c r="AC334" s="59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9" t="n"/>
      <c r="F335" s="59" t="n"/>
      <c r="G335" s="60" t="n"/>
      <c r="H335" s="47" t="n"/>
      <c r="I335" s="47" t="n"/>
      <c r="J335" s="59" t="n"/>
      <c r="K335" s="59" t="n"/>
      <c r="L335" s="59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9" t="n"/>
      <c r="X335" s="61" t="n"/>
      <c r="Y335" s="59" t="n"/>
      <c r="Z335" s="59" t="n"/>
      <c r="AA335" s="59" t="n"/>
      <c r="AB335" s="59" t="n"/>
      <c r="AC335" s="59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9" t="n"/>
      <c r="F336" s="59" t="n"/>
      <c r="G336" s="60" t="n"/>
      <c r="H336" s="47" t="n"/>
      <c r="I336" s="47" t="n"/>
      <c r="J336" s="59" t="n"/>
      <c r="K336" s="59" t="n"/>
      <c r="L336" s="59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9" t="n"/>
      <c r="X336" s="61" t="n"/>
      <c r="Y336" s="59" t="n"/>
      <c r="Z336" s="59" t="n"/>
      <c r="AA336" s="59" t="n"/>
      <c r="AB336" s="59" t="n"/>
      <c r="AC336" s="59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9" t="n"/>
      <c r="F337" s="59" t="n"/>
      <c r="G337" s="60" t="n"/>
      <c r="H337" s="47" t="n"/>
      <c r="I337" s="47" t="n"/>
      <c r="J337" s="59" t="n"/>
      <c r="K337" s="59" t="n"/>
      <c r="L337" s="59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9" t="n"/>
      <c r="X337" s="61" t="n"/>
      <c r="Y337" s="59" t="n"/>
      <c r="Z337" s="59" t="n"/>
      <c r="AA337" s="59" t="n"/>
      <c r="AB337" s="59" t="n"/>
      <c r="AC337" s="59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9" t="n"/>
      <c r="F338" s="59" t="n"/>
      <c r="G338" s="60" t="n"/>
      <c r="H338" s="47" t="n"/>
      <c r="I338" s="47" t="n"/>
      <c r="J338" s="59" t="n"/>
      <c r="K338" s="59" t="n"/>
      <c r="L338" s="59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9" t="n"/>
      <c r="X338" s="61" t="n"/>
      <c r="Y338" s="59" t="n"/>
      <c r="Z338" s="59" t="n"/>
      <c r="AA338" s="59" t="n"/>
      <c r="AB338" s="59" t="n"/>
      <c r="AC338" s="59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9" t="n"/>
      <c r="F339" s="59" t="n"/>
      <c r="G339" s="60" t="n"/>
      <c r="H339" s="47" t="n"/>
      <c r="I339" s="47" t="n"/>
      <c r="J339" s="59" t="n"/>
      <c r="K339" s="59" t="n"/>
      <c r="L339" s="59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9" t="n"/>
      <c r="X339" s="61" t="n"/>
      <c r="Y339" s="59" t="n"/>
      <c r="Z339" s="59" t="n"/>
      <c r="AA339" s="59" t="n"/>
      <c r="AB339" s="59" t="n"/>
      <c r="AC339" s="59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9" t="n"/>
      <c r="F340" s="59" t="n"/>
      <c r="G340" s="60" t="n"/>
      <c r="H340" s="47" t="n"/>
      <c r="I340" s="47" t="n"/>
      <c r="J340" s="59" t="n"/>
      <c r="K340" s="59" t="n"/>
      <c r="L340" s="59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9" t="n"/>
      <c r="X340" s="61" t="n"/>
      <c r="Y340" s="59" t="n"/>
      <c r="Z340" s="59" t="n"/>
      <c r="AA340" s="59" t="n"/>
      <c r="AB340" s="59" t="n"/>
      <c r="AC340" s="59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9" t="n"/>
      <c r="F341" s="59" t="n"/>
      <c r="G341" s="60" t="n"/>
      <c r="H341" s="47" t="n"/>
      <c r="I341" s="47" t="n"/>
      <c r="J341" s="59" t="n"/>
      <c r="K341" s="59" t="n"/>
      <c r="L341" s="59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9" t="n"/>
      <c r="X341" s="61" t="n"/>
      <c r="Y341" s="59" t="n"/>
      <c r="Z341" s="59" t="n"/>
      <c r="AA341" s="59" t="n"/>
      <c r="AB341" s="59" t="n"/>
      <c r="AC341" s="59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9" t="n"/>
      <c r="F342" s="59" t="n"/>
      <c r="G342" s="60" t="n"/>
      <c r="H342" s="47" t="n"/>
      <c r="I342" s="47" t="n"/>
      <c r="J342" s="59" t="n"/>
      <c r="K342" s="59" t="n"/>
      <c r="L342" s="59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9" t="n"/>
      <c r="X342" s="61" t="n"/>
      <c r="Y342" s="59" t="n"/>
      <c r="Z342" s="59" t="n"/>
      <c r="AA342" s="59" t="n"/>
      <c r="AB342" s="59" t="n"/>
      <c r="AC342" s="59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9" t="n"/>
      <c r="F343" s="59" t="n"/>
      <c r="G343" s="60" t="n"/>
      <c r="H343" s="47" t="n"/>
      <c r="I343" s="47" t="n"/>
      <c r="J343" s="59" t="n"/>
      <c r="K343" s="59" t="n"/>
      <c r="L343" s="59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9" t="n"/>
      <c r="X343" s="61" t="n"/>
      <c r="Y343" s="59" t="n"/>
      <c r="Z343" s="59" t="n"/>
      <c r="AA343" s="59" t="n"/>
      <c r="AB343" s="59" t="n"/>
      <c r="AC343" s="59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9" t="n"/>
      <c r="F344" s="59" t="n"/>
      <c r="G344" s="60" t="n"/>
      <c r="H344" s="47" t="n"/>
      <c r="I344" s="47" t="n"/>
      <c r="J344" s="59" t="n"/>
      <c r="K344" s="59" t="n"/>
      <c r="L344" s="59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9" t="n"/>
      <c r="X344" s="61" t="n"/>
      <c r="Y344" s="59" t="n"/>
      <c r="Z344" s="59" t="n"/>
      <c r="AA344" s="59" t="n"/>
      <c r="AB344" s="59" t="n"/>
      <c r="AC344" s="59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9" t="n"/>
      <c r="F345" s="59" t="n"/>
      <c r="G345" s="60" t="n"/>
      <c r="H345" s="47" t="n"/>
      <c r="I345" s="47" t="n"/>
      <c r="J345" s="59" t="n"/>
      <c r="K345" s="59" t="n"/>
      <c r="L345" s="59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9" t="n"/>
      <c r="X345" s="61" t="n"/>
      <c r="Y345" s="59" t="n"/>
      <c r="Z345" s="59" t="n"/>
      <c r="AA345" s="59" t="n"/>
      <c r="AB345" s="59" t="n"/>
      <c r="AC345" s="59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9" t="n"/>
      <c r="F346" s="59" t="n"/>
      <c r="G346" s="60" t="n"/>
      <c r="H346" s="47" t="n"/>
      <c r="I346" s="47" t="n"/>
      <c r="J346" s="59" t="n"/>
      <c r="K346" s="59" t="n"/>
      <c r="L346" s="59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9" t="n"/>
      <c r="X346" s="61" t="n"/>
      <c r="Y346" s="59" t="n"/>
      <c r="Z346" s="59" t="n"/>
      <c r="AA346" s="59" t="n"/>
      <c r="AB346" s="59" t="n"/>
      <c r="AC346" s="59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9" t="n"/>
      <c r="F347" s="59" t="n"/>
      <c r="G347" s="60" t="n"/>
      <c r="H347" s="47" t="n"/>
      <c r="I347" s="47" t="n"/>
      <c r="J347" s="59" t="n"/>
      <c r="K347" s="59" t="n"/>
      <c r="L347" s="59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9" t="n"/>
      <c r="X347" s="61" t="n"/>
      <c r="Y347" s="59" t="n"/>
      <c r="Z347" s="59" t="n"/>
      <c r="AA347" s="59" t="n"/>
      <c r="AB347" s="59" t="n"/>
      <c r="AC347" s="59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9" t="n"/>
      <c r="F348" s="59" t="n"/>
      <c r="G348" s="60" t="n"/>
      <c r="H348" s="47" t="n"/>
      <c r="I348" s="47" t="n"/>
      <c r="J348" s="59" t="n"/>
      <c r="K348" s="59" t="n"/>
      <c r="L348" s="59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9" t="n"/>
      <c r="X348" s="61" t="n"/>
      <c r="Y348" s="59" t="n"/>
      <c r="Z348" s="59" t="n"/>
      <c r="AA348" s="59" t="n"/>
      <c r="AB348" s="59" t="n"/>
      <c r="AC348" s="59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9" t="n"/>
      <c r="F349" s="59" t="n"/>
      <c r="G349" s="60" t="n"/>
      <c r="H349" s="47" t="n"/>
      <c r="I349" s="47" t="n"/>
      <c r="J349" s="59" t="n"/>
      <c r="K349" s="59" t="n"/>
      <c r="L349" s="59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9" t="n"/>
      <c r="X349" s="61" t="n"/>
      <c r="Y349" s="59" t="n"/>
      <c r="Z349" s="59" t="n"/>
      <c r="AA349" s="59" t="n"/>
      <c r="AB349" s="59" t="n"/>
      <c r="AC349" s="59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9" t="n"/>
      <c r="F350" s="59" t="n"/>
      <c r="G350" s="60" t="n"/>
      <c r="H350" s="47" t="n"/>
      <c r="I350" s="47" t="n"/>
      <c r="J350" s="59" t="n"/>
      <c r="K350" s="59" t="n"/>
      <c r="L350" s="59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9" t="n"/>
      <c r="X350" s="61" t="n"/>
      <c r="Y350" s="59" t="n"/>
      <c r="Z350" s="59" t="n"/>
      <c r="AA350" s="59" t="n"/>
      <c r="AB350" s="59" t="n"/>
      <c r="AC350" s="59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9" t="n"/>
      <c r="F351" s="59" t="n"/>
      <c r="G351" s="60" t="n"/>
      <c r="H351" s="47" t="n"/>
      <c r="I351" s="47" t="n"/>
      <c r="J351" s="59" t="n"/>
      <c r="K351" s="59" t="n"/>
      <c r="L351" s="59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9" t="n"/>
      <c r="X351" s="61" t="n"/>
      <c r="Y351" s="59" t="n"/>
      <c r="Z351" s="59" t="n"/>
      <c r="AA351" s="59" t="n"/>
      <c r="AB351" s="59" t="n"/>
      <c r="AC351" s="59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9" t="n"/>
      <c r="F352" s="59" t="n"/>
      <c r="G352" s="60" t="n"/>
      <c r="H352" s="47" t="n"/>
      <c r="I352" s="47" t="n"/>
      <c r="J352" s="59" t="n"/>
      <c r="K352" s="59" t="n"/>
      <c r="L352" s="59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9" t="n"/>
      <c r="X352" s="61" t="n"/>
      <c r="Y352" s="59" t="n"/>
      <c r="Z352" s="59" t="n"/>
      <c r="AA352" s="59" t="n"/>
      <c r="AB352" s="59" t="n"/>
      <c r="AC352" s="59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9" t="n"/>
      <c r="F353" s="59" t="n"/>
      <c r="G353" s="60" t="n"/>
      <c r="H353" s="47" t="n"/>
      <c r="I353" s="47" t="n"/>
      <c r="J353" s="59" t="n"/>
      <c r="K353" s="59" t="n"/>
      <c r="L353" s="59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9" t="n"/>
      <c r="X353" s="61" t="n"/>
      <c r="Y353" s="59" t="n"/>
      <c r="Z353" s="59" t="n"/>
      <c r="AA353" s="59" t="n"/>
      <c r="AB353" s="59" t="n"/>
      <c r="AC353" s="59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9" t="n"/>
      <c r="F354" s="59" t="n"/>
      <c r="G354" s="60" t="n"/>
      <c r="H354" s="47" t="n"/>
      <c r="I354" s="47" t="n"/>
      <c r="J354" s="59" t="n"/>
      <c r="K354" s="59" t="n"/>
      <c r="L354" s="59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9" t="n"/>
      <c r="X354" s="61" t="n"/>
      <c r="Y354" s="59" t="n"/>
      <c r="Z354" s="59" t="n"/>
      <c r="AA354" s="59" t="n"/>
      <c r="AB354" s="59" t="n"/>
      <c r="AC354" s="59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9" t="n"/>
      <c r="F355" s="59" t="n"/>
      <c r="G355" s="60" t="n"/>
      <c r="H355" s="47" t="n"/>
      <c r="I355" s="47" t="n"/>
      <c r="J355" s="59" t="n"/>
      <c r="K355" s="59" t="n"/>
      <c r="L355" s="59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9" t="n"/>
      <c r="X355" s="61" t="n"/>
      <c r="Y355" s="59" t="n"/>
      <c r="Z355" s="59" t="n"/>
      <c r="AA355" s="59" t="n"/>
      <c r="AB355" s="59" t="n"/>
      <c r="AC355" s="59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9" t="n"/>
      <c r="F356" s="59" t="n"/>
      <c r="G356" s="60" t="n"/>
      <c r="H356" s="47" t="n"/>
      <c r="I356" s="47" t="n"/>
      <c r="J356" s="59" t="n"/>
      <c r="K356" s="59" t="n"/>
      <c r="L356" s="59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9" t="n"/>
      <c r="X356" s="61" t="n"/>
      <c r="Y356" s="59" t="n"/>
      <c r="Z356" s="59" t="n"/>
      <c r="AA356" s="59" t="n"/>
      <c r="AB356" s="59" t="n"/>
      <c r="AC356" s="59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9" t="n"/>
      <c r="F357" s="59" t="n"/>
      <c r="G357" s="60" t="n"/>
      <c r="H357" s="47" t="n"/>
      <c r="I357" s="47" t="n"/>
      <c r="J357" s="59" t="n"/>
      <c r="K357" s="59" t="n"/>
      <c r="L357" s="59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9" t="n"/>
      <c r="X357" s="61" t="n"/>
      <c r="Y357" s="59" t="n"/>
      <c r="Z357" s="59" t="n"/>
      <c r="AA357" s="59" t="n"/>
      <c r="AB357" s="59" t="n"/>
      <c r="AC357" s="59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9" t="n"/>
      <c r="F358" s="59" t="n"/>
      <c r="G358" s="60" t="n"/>
      <c r="H358" s="47" t="n"/>
      <c r="I358" s="47" t="n"/>
      <c r="J358" s="59" t="n"/>
      <c r="K358" s="59" t="n"/>
      <c r="L358" s="59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9" t="n"/>
      <c r="X358" s="61" t="n"/>
      <c r="Y358" s="59" t="n"/>
      <c r="Z358" s="59" t="n"/>
      <c r="AA358" s="59" t="n"/>
      <c r="AB358" s="59" t="n"/>
      <c r="AC358" s="59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9" t="n"/>
      <c r="F359" s="59" t="n"/>
      <c r="G359" s="60" t="n"/>
      <c r="H359" s="47" t="n"/>
      <c r="I359" s="47" t="n"/>
      <c r="J359" s="59" t="n"/>
      <c r="K359" s="59" t="n"/>
      <c r="L359" s="59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9" t="n"/>
      <c r="X359" s="61" t="n"/>
      <c r="Y359" s="59" t="n"/>
      <c r="Z359" s="59" t="n"/>
      <c r="AA359" s="59" t="n"/>
      <c r="AB359" s="59" t="n"/>
      <c r="AC359" s="59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9" t="n"/>
      <c r="F360" s="59" t="n"/>
      <c r="G360" s="60" t="n"/>
      <c r="H360" s="47" t="n"/>
      <c r="I360" s="47" t="n"/>
      <c r="J360" s="59" t="n"/>
      <c r="K360" s="59" t="n"/>
      <c r="L360" s="59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9" t="n"/>
      <c r="X360" s="61" t="n"/>
      <c r="Y360" s="59" t="n"/>
      <c r="Z360" s="59" t="n"/>
      <c r="AA360" s="59" t="n"/>
      <c r="AB360" s="59" t="n"/>
      <c r="AC360" s="59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9" t="n"/>
      <c r="F361" s="59" t="n"/>
      <c r="G361" s="60" t="n"/>
      <c r="H361" s="47" t="n"/>
      <c r="I361" s="47" t="n"/>
      <c r="J361" s="59" t="n"/>
      <c r="K361" s="59" t="n"/>
      <c r="L361" s="59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9" t="n"/>
      <c r="X361" s="61" t="n"/>
      <c r="Y361" s="59" t="n"/>
      <c r="Z361" s="59" t="n"/>
      <c r="AA361" s="59" t="n"/>
      <c r="AB361" s="59" t="n"/>
      <c r="AC361" s="59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9" t="n"/>
      <c r="F362" s="59" t="n"/>
      <c r="G362" s="60" t="n"/>
      <c r="H362" s="47" t="n"/>
      <c r="I362" s="47" t="n"/>
      <c r="J362" s="59" t="n"/>
      <c r="K362" s="59" t="n"/>
      <c r="L362" s="59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9" t="n"/>
      <c r="X362" s="61" t="n"/>
      <c r="Y362" s="59" t="n"/>
      <c r="Z362" s="59" t="n"/>
      <c r="AA362" s="59" t="n"/>
      <c r="AB362" s="59" t="n"/>
      <c r="AC362" s="59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9" t="n"/>
      <c r="F363" s="59" t="n"/>
      <c r="G363" s="60" t="n"/>
      <c r="H363" s="47" t="n"/>
      <c r="I363" s="47" t="n"/>
      <c r="J363" s="59" t="n"/>
      <c r="K363" s="59" t="n"/>
      <c r="L363" s="59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9" t="n"/>
      <c r="X363" s="61" t="n"/>
      <c r="Y363" s="59" t="n"/>
      <c r="Z363" s="59" t="n"/>
      <c r="AA363" s="59" t="n"/>
      <c r="AB363" s="59" t="n"/>
      <c r="AC363" s="59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9" t="n"/>
      <c r="F364" s="59" t="n"/>
      <c r="G364" s="60" t="n"/>
      <c r="H364" s="47" t="n"/>
      <c r="I364" s="47" t="n"/>
      <c r="J364" s="59" t="n"/>
      <c r="K364" s="59" t="n"/>
      <c r="L364" s="59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9" t="n"/>
      <c r="X364" s="61" t="n"/>
      <c r="Y364" s="59" t="n"/>
      <c r="Z364" s="59" t="n"/>
      <c r="AA364" s="59" t="n"/>
      <c r="AB364" s="59" t="n"/>
      <c r="AC364" s="59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9" t="n"/>
      <c r="F365" s="59" t="n"/>
      <c r="G365" s="60" t="n"/>
      <c r="H365" s="47" t="n"/>
      <c r="I365" s="47" t="n"/>
      <c r="J365" s="59" t="n"/>
      <c r="K365" s="59" t="n"/>
      <c r="L365" s="59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9" t="n"/>
      <c r="X365" s="61" t="n"/>
      <c r="Y365" s="59" t="n"/>
      <c r="Z365" s="59" t="n"/>
      <c r="AA365" s="59" t="n"/>
      <c r="AB365" s="59" t="n"/>
      <c r="AC365" s="59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9" t="n"/>
      <c r="F366" s="59" t="n"/>
      <c r="G366" s="60" t="n"/>
      <c r="H366" s="47" t="n"/>
      <c r="I366" s="47" t="n"/>
      <c r="J366" s="59" t="n"/>
      <c r="K366" s="59" t="n"/>
      <c r="L366" s="59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9" t="n"/>
      <c r="X366" s="61" t="n"/>
      <c r="Y366" s="59" t="n"/>
      <c r="Z366" s="59" t="n"/>
      <c r="AA366" s="59" t="n"/>
      <c r="AB366" s="59" t="n"/>
      <c r="AC366" s="59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9" t="n"/>
      <c r="F367" s="59" t="n"/>
      <c r="G367" s="60" t="n"/>
      <c r="H367" s="47" t="n"/>
      <c r="I367" s="47" t="n"/>
      <c r="J367" s="59" t="n"/>
      <c r="K367" s="59" t="n"/>
      <c r="L367" s="59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9" t="n"/>
      <c r="X367" s="61" t="n"/>
      <c r="Y367" s="59" t="n"/>
      <c r="Z367" s="59" t="n"/>
      <c r="AA367" s="59" t="n"/>
      <c r="AB367" s="59" t="n"/>
      <c r="AC367" s="59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9" t="n"/>
      <c r="F368" s="59" t="n"/>
      <c r="G368" s="60" t="n"/>
      <c r="H368" s="47" t="n"/>
      <c r="I368" s="47" t="n"/>
      <c r="J368" s="59" t="n"/>
      <c r="K368" s="59" t="n"/>
      <c r="L368" s="59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9" t="n"/>
      <c r="X368" s="61" t="n"/>
      <c r="Y368" s="59" t="n"/>
      <c r="Z368" s="59" t="n"/>
      <c r="AA368" s="59" t="n"/>
      <c r="AB368" s="59" t="n"/>
      <c r="AC368" s="59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9" t="n"/>
      <c r="F369" s="59" t="n"/>
      <c r="G369" s="60" t="n"/>
      <c r="H369" s="47" t="n"/>
      <c r="I369" s="47" t="n"/>
      <c r="J369" s="59" t="n"/>
      <c r="K369" s="59" t="n"/>
      <c r="L369" s="59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9" t="n"/>
      <c r="X369" s="61" t="n"/>
      <c r="Y369" s="59" t="n"/>
      <c r="Z369" s="59" t="n"/>
      <c r="AA369" s="59" t="n"/>
      <c r="AB369" s="59" t="n"/>
      <c r="AC369" s="59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9" t="n"/>
      <c r="F370" s="59" t="n"/>
      <c r="G370" s="60" t="n"/>
      <c r="H370" s="47" t="n"/>
      <c r="I370" s="47" t="n"/>
      <c r="J370" s="59" t="n"/>
      <c r="K370" s="59" t="n"/>
      <c r="L370" s="59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9" t="n"/>
      <c r="X370" s="61" t="n"/>
      <c r="Y370" s="59" t="n"/>
      <c r="Z370" s="59" t="n"/>
      <c r="AA370" s="59" t="n"/>
      <c r="AB370" s="59" t="n"/>
      <c r="AC370" s="59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9" t="n"/>
      <c r="F371" s="59" t="n"/>
      <c r="G371" s="60" t="n"/>
      <c r="H371" s="47" t="n"/>
      <c r="I371" s="47" t="n"/>
      <c r="J371" s="59" t="n"/>
      <c r="K371" s="59" t="n"/>
      <c r="L371" s="59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9" t="n"/>
      <c r="X371" s="61" t="n"/>
      <c r="Y371" s="59" t="n"/>
      <c r="Z371" s="59" t="n"/>
      <c r="AA371" s="59" t="n"/>
      <c r="AB371" s="59" t="n"/>
      <c r="AC371" s="59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9" t="n"/>
      <c r="F372" s="59" t="n"/>
      <c r="G372" s="60" t="n"/>
      <c r="H372" s="47" t="n"/>
      <c r="I372" s="47" t="n"/>
      <c r="J372" s="59" t="n"/>
      <c r="K372" s="59" t="n"/>
      <c r="L372" s="59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9" t="n"/>
      <c r="X372" s="61" t="n"/>
      <c r="Y372" s="59" t="n"/>
      <c r="Z372" s="59" t="n"/>
      <c r="AA372" s="59" t="n"/>
      <c r="AB372" s="59" t="n"/>
      <c r="AC372" s="59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9" t="n"/>
      <c r="F373" s="59" t="n"/>
      <c r="G373" s="60" t="n"/>
      <c r="H373" s="47" t="n"/>
      <c r="I373" s="47" t="n"/>
      <c r="J373" s="59" t="n"/>
      <c r="K373" s="59" t="n"/>
      <c r="L373" s="59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9" t="n"/>
      <c r="X373" s="61" t="n"/>
      <c r="Y373" s="59" t="n"/>
      <c r="Z373" s="59" t="n"/>
      <c r="AA373" s="59" t="n"/>
      <c r="AB373" s="59" t="n"/>
      <c r="AC373" s="59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9" t="n"/>
      <c r="F374" s="59" t="n"/>
      <c r="G374" s="60" t="n"/>
      <c r="H374" s="47" t="n"/>
      <c r="I374" s="47" t="n"/>
      <c r="J374" s="59" t="n"/>
      <c r="K374" s="59" t="n"/>
      <c r="L374" s="59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9" t="n"/>
      <c r="X374" s="61" t="n"/>
      <c r="Y374" s="59" t="n"/>
      <c r="Z374" s="59" t="n"/>
      <c r="AA374" s="59" t="n"/>
      <c r="AB374" s="59" t="n"/>
      <c r="AC374" s="59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9" t="n"/>
      <c r="F375" s="59" t="n"/>
      <c r="G375" s="60" t="n"/>
      <c r="H375" s="47" t="n"/>
      <c r="I375" s="47" t="n"/>
      <c r="J375" s="59" t="n"/>
      <c r="K375" s="59" t="n"/>
      <c r="L375" s="59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9" t="n"/>
      <c r="X375" s="61" t="n"/>
      <c r="Y375" s="59" t="n"/>
      <c r="Z375" s="59" t="n"/>
      <c r="AA375" s="59" t="n"/>
      <c r="AB375" s="59" t="n"/>
      <c r="AC375" s="59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9" t="n"/>
      <c r="F376" s="59" t="n"/>
      <c r="G376" s="60" t="n"/>
      <c r="H376" s="47" t="n"/>
      <c r="I376" s="47" t="n"/>
      <c r="J376" s="59" t="n"/>
      <c r="K376" s="59" t="n"/>
      <c r="L376" s="59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9" t="n"/>
      <c r="X376" s="61" t="n"/>
      <c r="Y376" s="59" t="n"/>
      <c r="Z376" s="59" t="n"/>
      <c r="AA376" s="59" t="n"/>
      <c r="AB376" s="59" t="n"/>
      <c r="AC376" s="59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9" t="n"/>
      <c r="F377" s="59" t="n"/>
      <c r="G377" s="60" t="n"/>
      <c r="H377" s="47" t="n"/>
      <c r="I377" s="47" t="n"/>
      <c r="J377" s="59" t="n"/>
      <c r="K377" s="59" t="n"/>
      <c r="L377" s="59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9" t="n"/>
      <c r="X377" s="61" t="n"/>
      <c r="Y377" s="59" t="n"/>
      <c r="Z377" s="59" t="n"/>
      <c r="AA377" s="59" t="n"/>
      <c r="AB377" s="59" t="n"/>
      <c r="AC377" s="59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9" t="n"/>
      <c r="F378" s="59" t="n"/>
      <c r="G378" s="60" t="n"/>
      <c r="H378" s="47" t="n"/>
      <c r="I378" s="47" t="n"/>
      <c r="J378" s="59" t="n"/>
      <c r="K378" s="59" t="n"/>
      <c r="L378" s="59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9" t="n"/>
      <c r="X378" s="61" t="n"/>
      <c r="Y378" s="59" t="n"/>
      <c r="Z378" s="59" t="n"/>
      <c r="AA378" s="59" t="n"/>
      <c r="AB378" s="59" t="n"/>
      <c r="AC378" s="59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9" t="n"/>
      <c r="F379" s="59" t="n"/>
      <c r="G379" s="60" t="n"/>
      <c r="H379" s="47" t="n"/>
      <c r="I379" s="47" t="n"/>
      <c r="J379" s="59" t="n"/>
      <c r="K379" s="59" t="n"/>
      <c r="L379" s="59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9" t="n"/>
      <c r="X379" s="61" t="n"/>
      <c r="Y379" s="59" t="n"/>
      <c r="Z379" s="59" t="n"/>
      <c r="AA379" s="59" t="n"/>
      <c r="AB379" s="59" t="n"/>
      <c r="AC379" s="59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9" t="n"/>
      <c r="F380" s="59" t="n"/>
      <c r="G380" s="60" t="n"/>
      <c r="H380" s="47" t="n"/>
      <c r="I380" s="47" t="n"/>
      <c r="J380" s="59" t="n"/>
      <c r="K380" s="59" t="n"/>
      <c r="L380" s="59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9" t="n"/>
      <c r="X380" s="61" t="n"/>
      <c r="Y380" s="59" t="n"/>
      <c r="Z380" s="59" t="n"/>
      <c r="AA380" s="59" t="n"/>
      <c r="AB380" s="59" t="n"/>
      <c r="AC380" s="59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9" t="n"/>
      <c r="F381" s="59" t="n"/>
      <c r="G381" s="60" t="n"/>
      <c r="H381" s="47" t="n"/>
      <c r="I381" s="47" t="n"/>
      <c r="J381" s="59" t="n"/>
      <c r="K381" s="59" t="n"/>
      <c r="L381" s="59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9" t="n"/>
      <c r="X381" s="61" t="n"/>
      <c r="Y381" s="59" t="n"/>
      <c r="Z381" s="59" t="n"/>
      <c r="AA381" s="59" t="n"/>
      <c r="AB381" s="59" t="n"/>
      <c r="AC381" s="59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9" t="n"/>
      <c r="F382" s="59" t="n"/>
      <c r="G382" s="60" t="n"/>
      <c r="H382" s="47" t="n"/>
      <c r="I382" s="47" t="n"/>
      <c r="J382" s="59" t="n"/>
      <c r="K382" s="59" t="n"/>
      <c r="L382" s="59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9" t="n"/>
      <c r="X382" s="61" t="n"/>
      <c r="Y382" s="59" t="n"/>
      <c r="Z382" s="59" t="n"/>
      <c r="AA382" s="59" t="n"/>
      <c r="AB382" s="59" t="n"/>
      <c r="AC382" s="59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9" t="n"/>
      <c r="F383" s="59" t="n"/>
      <c r="G383" s="60" t="n"/>
      <c r="H383" s="47" t="n"/>
      <c r="I383" s="47" t="n"/>
      <c r="J383" s="59" t="n"/>
      <c r="K383" s="59" t="n"/>
      <c r="L383" s="59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9" t="n"/>
      <c r="X383" s="61" t="n"/>
      <c r="Y383" s="59" t="n"/>
      <c r="Z383" s="59" t="n"/>
      <c r="AA383" s="59" t="n"/>
      <c r="AB383" s="59" t="n"/>
      <c r="AC383" s="59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9" t="n"/>
      <c r="F384" s="59" t="n"/>
      <c r="G384" s="60" t="n"/>
      <c r="H384" s="47" t="n"/>
      <c r="I384" s="47" t="n"/>
      <c r="J384" s="59" t="n"/>
      <c r="K384" s="59" t="n"/>
      <c r="L384" s="59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9" t="n"/>
      <c r="X384" s="61" t="n"/>
      <c r="Y384" s="59" t="n"/>
      <c r="Z384" s="59" t="n"/>
      <c r="AA384" s="59" t="n"/>
      <c r="AB384" s="59" t="n"/>
      <c r="AC384" s="59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9" t="n"/>
      <c r="F385" s="59" t="n"/>
      <c r="G385" s="60" t="n"/>
      <c r="H385" s="47" t="n"/>
      <c r="I385" s="47" t="n"/>
      <c r="J385" s="59" t="n"/>
      <c r="K385" s="59" t="n"/>
      <c r="L385" s="59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9" t="n"/>
      <c r="X385" s="61" t="n"/>
      <c r="Y385" s="59" t="n"/>
      <c r="Z385" s="59" t="n"/>
      <c r="AA385" s="59" t="n"/>
      <c r="AB385" s="59" t="n"/>
      <c r="AC385" s="59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9" t="n"/>
      <c r="F386" s="59" t="n"/>
      <c r="G386" s="60" t="n"/>
      <c r="H386" s="47" t="n"/>
      <c r="I386" s="47" t="n"/>
      <c r="J386" s="59" t="n"/>
      <c r="K386" s="59" t="n"/>
      <c r="L386" s="59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9" t="n"/>
      <c r="X386" s="61" t="n"/>
      <c r="Y386" s="59" t="n"/>
      <c r="Z386" s="59" t="n"/>
      <c r="AA386" s="59" t="n"/>
      <c r="AB386" s="59" t="n"/>
      <c r="AC386" s="59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9" t="n"/>
      <c r="F387" s="59" t="n"/>
      <c r="G387" s="60" t="n"/>
      <c r="H387" s="47" t="n"/>
      <c r="I387" s="47" t="n"/>
      <c r="J387" s="59" t="n"/>
      <c r="K387" s="59" t="n"/>
      <c r="L387" s="59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9" t="n"/>
      <c r="X387" s="61" t="n"/>
      <c r="Y387" s="59" t="n"/>
      <c r="Z387" s="59" t="n"/>
      <c r="AA387" s="59" t="n"/>
      <c r="AB387" s="59" t="n"/>
      <c r="AC387" s="59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9" t="n"/>
      <c r="F388" s="59" t="n"/>
      <c r="G388" s="60" t="n"/>
      <c r="H388" s="47" t="n"/>
      <c r="I388" s="47" t="n"/>
      <c r="J388" s="59" t="n"/>
      <c r="K388" s="59" t="n"/>
      <c r="L388" s="59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9" t="n"/>
      <c r="X388" s="61" t="n"/>
      <c r="Y388" s="59" t="n"/>
      <c r="Z388" s="59" t="n"/>
      <c r="AA388" s="59" t="n"/>
      <c r="AB388" s="59" t="n"/>
      <c r="AC388" s="59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9" t="n"/>
      <c r="F389" s="59" t="n"/>
      <c r="G389" s="60" t="n"/>
      <c r="H389" s="47" t="n"/>
      <c r="I389" s="47" t="n"/>
      <c r="J389" s="59" t="n"/>
      <c r="K389" s="59" t="n"/>
      <c r="L389" s="59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9" t="n"/>
      <c r="X389" s="61" t="n"/>
      <c r="Y389" s="59" t="n"/>
      <c r="Z389" s="59" t="n"/>
      <c r="AA389" s="59" t="n"/>
      <c r="AB389" s="59" t="n"/>
      <c r="AC389" s="59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9" t="n"/>
      <c r="F390" s="59" t="n"/>
      <c r="G390" s="60" t="n"/>
      <c r="H390" s="47" t="n"/>
      <c r="I390" s="47" t="n"/>
      <c r="J390" s="59" t="n"/>
      <c r="K390" s="59" t="n"/>
      <c r="L390" s="59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9" t="n"/>
      <c r="X390" s="61" t="n"/>
      <c r="Y390" s="59" t="n"/>
      <c r="Z390" s="59" t="n"/>
      <c r="AA390" s="59" t="n"/>
      <c r="AB390" s="59" t="n"/>
      <c r="AC390" s="59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9" t="n"/>
      <c r="F391" s="59" t="n"/>
      <c r="G391" s="60" t="n"/>
      <c r="H391" s="47" t="n"/>
      <c r="I391" s="47" t="n"/>
      <c r="J391" s="59" t="n"/>
      <c r="K391" s="59" t="n"/>
      <c r="L391" s="59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9" t="n"/>
      <c r="X391" s="61" t="n"/>
      <c r="Y391" s="59" t="n"/>
      <c r="Z391" s="59" t="n"/>
      <c r="AA391" s="59" t="n"/>
      <c r="AB391" s="59" t="n"/>
      <c r="AC391" s="59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9" t="n"/>
      <c r="F392" s="59" t="n"/>
      <c r="G392" s="60" t="n"/>
      <c r="H392" s="47" t="n"/>
      <c r="I392" s="47" t="n"/>
      <c r="J392" s="59" t="n"/>
      <c r="K392" s="59" t="n"/>
      <c r="L392" s="59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9" t="n"/>
      <c r="X392" s="61" t="n"/>
      <c r="Y392" s="59" t="n"/>
      <c r="Z392" s="59" t="n"/>
      <c r="AA392" s="59" t="n"/>
      <c r="AB392" s="59" t="n"/>
      <c r="AC392" s="59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9" t="n"/>
      <c r="F393" s="59" t="n"/>
      <c r="G393" s="60" t="n"/>
      <c r="H393" s="47" t="n"/>
      <c r="I393" s="47" t="n"/>
      <c r="J393" s="59" t="n"/>
      <c r="K393" s="59" t="n"/>
      <c r="L393" s="59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9" t="n"/>
      <c r="X393" s="61" t="n"/>
      <c r="Y393" s="59" t="n"/>
      <c r="Z393" s="59" t="n"/>
      <c r="AA393" s="59" t="n"/>
      <c r="AB393" s="59" t="n"/>
      <c r="AC393" s="59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9" t="n"/>
      <c r="F394" s="59" t="n"/>
      <c r="G394" s="60" t="n"/>
      <c r="H394" s="47" t="n"/>
      <c r="I394" s="47" t="n"/>
      <c r="J394" s="59" t="n"/>
      <c r="K394" s="59" t="n"/>
      <c r="L394" s="59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9" t="n"/>
      <c r="X394" s="61" t="n"/>
      <c r="Y394" s="59" t="n"/>
      <c r="Z394" s="59" t="n"/>
      <c r="AA394" s="59" t="n"/>
      <c r="AB394" s="59" t="n"/>
      <c r="AC394" s="59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9" t="n"/>
      <c r="F395" s="59" t="n"/>
      <c r="G395" s="60" t="n"/>
      <c r="H395" s="47" t="n"/>
      <c r="I395" s="47" t="n"/>
      <c r="J395" s="59" t="n"/>
      <c r="K395" s="59" t="n"/>
      <c r="L395" s="59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9" t="n"/>
      <c r="X395" s="61" t="n"/>
      <c r="Y395" s="59" t="n"/>
      <c r="Z395" s="59" t="n"/>
      <c r="AA395" s="59" t="n"/>
      <c r="AB395" s="59" t="n"/>
      <c r="AC395" s="59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9" t="n"/>
      <c r="F396" s="59" t="n"/>
      <c r="G396" s="60" t="n"/>
      <c r="H396" s="47" t="n"/>
      <c r="I396" s="47" t="n"/>
      <c r="J396" s="59" t="n"/>
      <c r="K396" s="59" t="n"/>
      <c r="L396" s="59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9" t="n"/>
      <c r="X396" s="61" t="n"/>
      <c r="Y396" s="59" t="n"/>
      <c r="Z396" s="59" t="n"/>
      <c r="AA396" s="59" t="n"/>
      <c r="AB396" s="59" t="n"/>
      <c r="AC396" s="59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9" t="n"/>
      <c r="F397" s="59" t="n"/>
      <c r="G397" s="60" t="n"/>
      <c r="H397" s="47" t="n"/>
      <c r="I397" s="47" t="n"/>
      <c r="J397" s="59" t="n"/>
      <c r="K397" s="59" t="n"/>
      <c r="L397" s="59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9" t="n"/>
      <c r="X397" s="61" t="n"/>
      <c r="Y397" s="59" t="n"/>
      <c r="Z397" s="59" t="n"/>
      <c r="AA397" s="59" t="n"/>
      <c r="AB397" s="59" t="n"/>
      <c r="AC397" s="59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9" t="n"/>
      <c r="F398" s="59" t="n"/>
      <c r="G398" s="60" t="n"/>
      <c r="H398" s="47" t="n"/>
      <c r="I398" s="47" t="n"/>
      <c r="J398" s="59" t="n"/>
      <c r="K398" s="59" t="n"/>
      <c r="L398" s="59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9" t="n"/>
      <c r="X398" s="61" t="n"/>
      <c r="Y398" s="59" t="n"/>
      <c r="Z398" s="59" t="n"/>
      <c r="AA398" s="59" t="n"/>
      <c r="AB398" s="59" t="n"/>
      <c r="AC398" s="59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9" t="n"/>
      <c r="F399" s="59" t="n"/>
      <c r="G399" s="60" t="n"/>
      <c r="H399" s="47" t="n"/>
      <c r="I399" s="47" t="n"/>
      <c r="J399" s="59" t="n"/>
      <c r="K399" s="59" t="n"/>
      <c r="L399" s="59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9" t="n"/>
      <c r="X399" s="61" t="n"/>
      <c r="Y399" s="59" t="n"/>
      <c r="Z399" s="59" t="n"/>
      <c r="AA399" s="59" t="n"/>
      <c r="AB399" s="59" t="n"/>
      <c r="AC399" s="59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9" t="n"/>
      <c r="F400" s="59" t="n"/>
      <c r="G400" s="60" t="n"/>
      <c r="H400" s="47" t="n"/>
      <c r="I400" s="47" t="n"/>
      <c r="J400" s="59" t="n"/>
      <c r="K400" s="59" t="n"/>
      <c r="L400" s="59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9" t="n"/>
      <c r="X400" s="61" t="n"/>
      <c r="Y400" s="59" t="n"/>
      <c r="Z400" s="59" t="n"/>
      <c r="AA400" s="59" t="n"/>
      <c r="AB400" s="59" t="n"/>
      <c r="AC400" s="59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9" t="n"/>
      <c r="F401" s="59" t="n"/>
      <c r="G401" s="60" t="n"/>
      <c r="H401" s="47" t="n"/>
      <c r="I401" s="47" t="n"/>
      <c r="J401" s="59" t="n"/>
      <c r="K401" s="59" t="n"/>
      <c r="L401" s="59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9" t="n"/>
      <c r="X401" s="61" t="n"/>
      <c r="Y401" s="59" t="n"/>
      <c r="Z401" s="59" t="n"/>
      <c r="AA401" s="59" t="n"/>
      <c r="AB401" s="59" t="n"/>
      <c r="AC401" s="59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9" t="n"/>
      <c r="F402" s="59" t="n"/>
      <c r="G402" s="60" t="n"/>
      <c r="H402" s="47" t="n"/>
      <c r="I402" s="47" t="n"/>
      <c r="J402" s="59" t="n"/>
      <c r="K402" s="59" t="n"/>
      <c r="L402" s="59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9" t="n"/>
      <c r="X402" s="61" t="n"/>
      <c r="Y402" s="59" t="n"/>
      <c r="Z402" s="59" t="n"/>
      <c r="AA402" s="59" t="n"/>
      <c r="AB402" s="59" t="n"/>
      <c r="AC402" s="59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9" t="n"/>
      <c r="F403" s="59" t="n"/>
      <c r="G403" s="60" t="n"/>
      <c r="H403" s="47" t="n"/>
      <c r="I403" s="47" t="n"/>
      <c r="J403" s="59" t="n"/>
      <c r="K403" s="59" t="n"/>
      <c r="L403" s="59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9" t="n"/>
      <c r="X403" s="61" t="n"/>
      <c r="Y403" s="59" t="n"/>
      <c r="Z403" s="59" t="n"/>
      <c r="AA403" s="59" t="n"/>
      <c r="AB403" s="59" t="n"/>
      <c r="AC403" s="59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9" t="n"/>
      <c r="F404" s="59" t="n"/>
      <c r="G404" s="60" t="n"/>
      <c r="H404" s="47" t="n"/>
      <c r="I404" s="47" t="n"/>
      <c r="J404" s="59" t="n"/>
      <c r="K404" s="59" t="n"/>
      <c r="L404" s="59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9" t="n"/>
      <c r="X404" s="61" t="n"/>
      <c r="Y404" s="59" t="n"/>
      <c r="Z404" s="59" t="n"/>
      <c r="AA404" s="59" t="n"/>
      <c r="AB404" s="59" t="n"/>
      <c r="AC404" s="59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9" t="n"/>
      <c r="F405" s="59" t="n"/>
      <c r="G405" s="60" t="n"/>
      <c r="H405" s="47" t="n"/>
      <c r="I405" s="47" t="n"/>
      <c r="J405" s="59" t="n"/>
      <c r="K405" s="59" t="n"/>
      <c r="L405" s="59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9" t="n"/>
      <c r="X405" s="61" t="n"/>
      <c r="Y405" s="59" t="n"/>
      <c r="Z405" s="59" t="n"/>
      <c r="AA405" s="59" t="n"/>
      <c r="AB405" s="59" t="n"/>
      <c r="AC405" s="59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9" t="n"/>
      <c r="F406" s="59" t="n"/>
      <c r="G406" s="60" t="n"/>
      <c r="H406" s="47" t="n"/>
      <c r="I406" s="47" t="n"/>
      <c r="J406" s="59" t="n"/>
      <c r="K406" s="59" t="n"/>
      <c r="L406" s="59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9" t="n"/>
      <c r="X406" s="61" t="n"/>
      <c r="Y406" s="59" t="n"/>
      <c r="Z406" s="59" t="n"/>
      <c r="AA406" s="59" t="n"/>
      <c r="AB406" s="59" t="n"/>
      <c r="AC406" s="59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9" t="n"/>
      <c r="F407" s="59" t="n"/>
      <c r="G407" s="60" t="n"/>
      <c r="H407" s="47" t="n"/>
      <c r="I407" s="47" t="n"/>
      <c r="J407" s="59" t="n"/>
      <c r="K407" s="59" t="n"/>
      <c r="L407" s="59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9" t="n"/>
      <c r="X407" s="61" t="n"/>
      <c r="Y407" s="59" t="n"/>
      <c r="Z407" s="59" t="n"/>
      <c r="AA407" s="59" t="n"/>
      <c r="AB407" s="59" t="n"/>
      <c r="AC407" s="59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9" t="n"/>
      <c r="F408" s="59" t="n"/>
      <c r="G408" s="60" t="n"/>
      <c r="H408" s="47" t="n"/>
      <c r="I408" s="47" t="n"/>
      <c r="J408" s="59" t="n"/>
      <c r="K408" s="59" t="n"/>
      <c r="L408" s="59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9" t="n"/>
      <c r="X408" s="61" t="n"/>
      <c r="Y408" s="59" t="n"/>
      <c r="Z408" s="59" t="n"/>
      <c r="AA408" s="59" t="n"/>
      <c r="AB408" s="59" t="n"/>
      <c r="AC408" s="59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9" t="n"/>
      <c r="F409" s="59" t="n"/>
      <c r="G409" s="60" t="n"/>
      <c r="H409" s="47" t="n"/>
      <c r="I409" s="47" t="n"/>
      <c r="J409" s="59" t="n"/>
      <c r="K409" s="59" t="n"/>
      <c r="L409" s="59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9" t="n"/>
      <c r="X409" s="61" t="n"/>
      <c r="Y409" s="59" t="n"/>
      <c r="Z409" s="59" t="n"/>
      <c r="AA409" s="59" t="n"/>
      <c r="AB409" s="59" t="n"/>
      <c r="AC409" s="59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9" t="n"/>
      <c r="F410" s="59" t="n"/>
      <c r="G410" s="60" t="n"/>
      <c r="H410" s="47" t="n"/>
      <c r="I410" s="47" t="n"/>
      <c r="J410" s="59" t="n"/>
      <c r="K410" s="59" t="n"/>
      <c r="L410" s="59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9" t="n"/>
      <c r="X410" s="61" t="n"/>
      <c r="Y410" s="59" t="n"/>
      <c r="Z410" s="59" t="n"/>
      <c r="AA410" s="59" t="n"/>
      <c r="AB410" s="59" t="n"/>
      <c r="AC410" s="59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9" t="n"/>
      <c r="F411" s="59" t="n"/>
      <c r="G411" s="60" t="n"/>
      <c r="H411" s="47" t="n"/>
      <c r="I411" s="47" t="n"/>
      <c r="J411" s="59" t="n"/>
      <c r="K411" s="59" t="n"/>
      <c r="L411" s="59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9" t="n"/>
      <c r="X411" s="61" t="n"/>
      <c r="Y411" s="59" t="n"/>
      <c r="Z411" s="59" t="n"/>
      <c r="AA411" s="59" t="n"/>
      <c r="AB411" s="59" t="n"/>
      <c r="AC411" s="59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9" t="n"/>
      <c r="F412" s="59" t="n"/>
      <c r="G412" s="60" t="n"/>
      <c r="H412" s="47" t="n"/>
      <c r="I412" s="47" t="n"/>
      <c r="J412" s="59" t="n"/>
      <c r="K412" s="59" t="n"/>
      <c r="L412" s="59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9" t="n"/>
      <c r="X412" s="61" t="n"/>
      <c r="Y412" s="59" t="n"/>
      <c r="Z412" s="59" t="n"/>
      <c r="AA412" s="59" t="n"/>
      <c r="AB412" s="59" t="n"/>
      <c r="AC412" s="59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9" t="n"/>
      <c r="F413" s="59" t="n"/>
      <c r="G413" s="60" t="n"/>
      <c r="H413" s="47" t="n"/>
      <c r="I413" s="47" t="n"/>
      <c r="J413" s="59" t="n"/>
      <c r="K413" s="59" t="n"/>
      <c r="L413" s="59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9" t="n"/>
      <c r="X413" s="61" t="n"/>
      <c r="Y413" s="59" t="n"/>
      <c r="Z413" s="59" t="n"/>
      <c r="AA413" s="59" t="n"/>
      <c r="AB413" s="59" t="n"/>
      <c r="AC413" s="59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9" t="n"/>
      <c r="F414" s="59" t="n"/>
      <c r="G414" s="60" t="n"/>
      <c r="H414" s="47" t="n"/>
      <c r="I414" s="47" t="n"/>
      <c r="J414" s="59" t="n"/>
      <c r="K414" s="59" t="n"/>
      <c r="L414" s="59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9" t="n"/>
      <c r="X414" s="61" t="n"/>
      <c r="Y414" s="59" t="n"/>
      <c r="Z414" s="59" t="n"/>
      <c r="AA414" s="59" t="n"/>
      <c r="AB414" s="59" t="n"/>
      <c r="AC414" s="59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9" t="n"/>
      <c r="F415" s="59" t="n"/>
      <c r="G415" s="60" t="n"/>
      <c r="H415" s="47" t="n"/>
      <c r="I415" s="47" t="n"/>
      <c r="J415" s="59" t="n"/>
      <c r="K415" s="59" t="n"/>
      <c r="L415" s="59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9" t="n"/>
      <c r="X415" s="61" t="n"/>
      <c r="Y415" s="59" t="n"/>
      <c r="Z415" s="59" t="n"/>
      <c r="AA415" s="59" t="n"/>
      <c r="AB415" s="59" t="n"/>
      <c r="AC415" s="59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9" t="n"/>
      <c r="F416" s="59" t="n"/>
      <c r="G416" s="60" t="n"/>
      <c r="H416" s="47" t="n"/>
      <c r="I416" s="47" t="n"/>
      <c r="J416" s="59" t="n"/>
      <c r="K416" s="59" t="n"/>
      <c r="L416" s="59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9" t="n"/>
      <c r="X416" s="61" t="n"/>
      <c r="Y416" s="59" t="n"/>
      <c r="Z416" s="59" t="n"/>
      <c r="AA416" s="59" t="n"/>
      <c r="AB416" s="59" t="n"/>
      <c r="AC416" s="59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9" t="n"/>
      <c r="F417" s="59" t="n"/>
      <c r="G417" s="60" t="n"/>
      <c r="H417" s="47" t="n"/>
      <c r="I417" s="47" t="n"/>
      <c r="J417" s="59" t="n"/>
      <c r="K417" s="59" t="n"/>
      <c r="L417" s="59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9" t="n"/>
      <c r="X417" s="61" t="n"/>
      <c r="Y417" s="59" t="n"/>
      <c r="Z417" s="59" t="n"/>
      <c r="AA417" s="59" t="n"/>
      <c r="AB417" s="59" t="n"/>
      <c r="AC417" s="59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9" t="n"/>
      <c r="F418" s="59" t="n"/>
      <c r="G418" s="60" t="n"/>
      <c r="H418" s="47" t="n"/>
      <c r="I418" s="47" t="n"/>
      <c r="J418" s="59" t="n"/>
      <c r="K418" s="59" t="n"/>
      <c r="L418" s="59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9" t="n"/>
      <c r="X418" s="61" t="n"/>
      <c r="Y418" s="59" t="n"/>
      <c r="Z418" s="59" t="n"/>
      <c r="AA418" s="59" t="n"/>
      <c r="AB418" s="59" t="n"/>
      <c r="AC418" s="59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9" t="n"/>
      <c r="F419" s="59" t="n"/>
      <c r="G419" s="60" t="n"/>
      <c r="H419" s="47" t="n"/>
      <c r="I419" s="47" t="n"/>
      <c r="J419" s="59" t="n"/>
      <c r="K419" s="59" t="n"/>
      <c r="L419" s="59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9" t="n"/>
      <c r="X419" s="61" t="n"/>
      <c r="Y419" s="59" t="n"/>
      <c r="Z419" s="59" t="n"/>
      <c r="AA419" s="59" t="n"/>
      <c r="AB419" s="59" t="n"/>
      <c r="AC419" s="59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9" t="n"/>
      <c r="F420" s="59" t="n"/>
      <c r="G420" s="60" t="n"/>
      <c r="H420" s="47" t="n"/>
      <c r="I420" s="47" t="n"/>
      <c r="J420" s="59" t="n"/>
      <c r="K420" s="59" t="n"/>
      <c r="L420" s="59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9" t="n"/>
      <c r="X420" s="61" t="n"/>
      <c r="Y420" s="59" t="n"/>
      <c r="Z420" s="59" t="n"/>
      <c r="AA420" s="59" t="n"/>
      <c r="AB420" s="59" t="n"/>
      <c r="AC420" s="59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9" t="n"/>
      <c r="F421" s="59" t="n"/>
      <c r="G421" s="60" t="n"/>
      <c r="H421" s="47" t="n"/>
      <c r="I421" s="47" t="n"/>
      <c r="J421" s="59" t="n"/>
      <c r="K421" s="59" t="n"/>
      <c r="L421" s="59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9" t="n"/>
      <c r="X421" s="61" t="n"/>
      <c r="Y421" s="59" t="n"/>
      <c r="Z421" s="59" t="n"/>
      <c r="AA421" s="59" t="n"/>
      <c r="AB421" s="59" t="n"/>
      <c r="AC421" s="59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9" t="n"/>
      <c r="F422" s="59" t="n"/>
      <c r="G422" s="60" t="n"/>
      <c r="H422" s="47" t="n"/>
      <c r="I422" s="47" t="n"/>
      <c r="J422" s="59" t="n"/>
      <c r="K422" s="59" t="n"/>
      <c r="L422" s="59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9" t="n"/>
      <c r="X422" s="61" t="n"/>
      <c r="Y422" s="59" t="n"/>
      <c r="Z422" s="59" t="n"/>
      <c r="AA422" s="59" t="n"/>
      <c r="AB422" s="59" t="n"/>
      <c r="AC422" s="59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9" t="n"/>
      <c r="F423" s="59" t="n"/>
      <c r="G423" s="60" t="n"/>
      <c r="H423" s="47" t="n"/>
      <c r="I423" s="47" t="n"/>
      <c r="J423" s="59" t="n"/>
      <c r="K423" s="59" t="n"/>
      <c r="L423" s="59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9" t="n"/>
      <c r="X423" s="61" t="n"/>
      <c r="Y423" s="59" t="n"/>
      <c r="Z423" s="59" t="n"/>
      <c r="AA423" s="59" t="n"/>
      <c r="AB423" s="59" t="n"/>
      <c r="AC423" s="59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9" t="n"/>
      <c r="F424" s="59" t="n"/>
      <c r="G424" s="60" t="n"/>
      <c r="H424" s="47" t="n"/>
      <c r="I424" s="47" t="n"/>
      <c r="J424" s="59" t="n"/>
      <c r="K424" s="59" t="n"/>
      <c r="L424" s="59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9" t="n"/>
      <c r="X424" s="61" t="n"/>
      <c r="Y424" s="59" t="n"/>
      <c r="Z424" s="59" t="n"/>
      <c r="AA424" s="59" t="n"/>
      <c r="AB424" s="59" t="n"/>
      <c r="AC424" s="59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9" t="n"/>
      <c r="F425" s="59" t="n"/>
      <c r="G425" s="60" t="n"/>
      <c r="H425" s="47" t="n"/>
      <c r="I425" s="47" t="n"/>
      <c r="J425" s="59" t="n"/>
      <c r="K425" s="59" t="n"/>
      <c r="L425" s="59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9" t="n"/>
      <c r="X425" s="61" t="n"/>
      <c r="Y425" s="59" t="n"/>
      <c r="Z425" s="59" t="n"/>
      <c r="AA425" s="59" t="n"/>
      <c r="AB425" s="59" t="n"/>
      <c r="AC425" s="59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9" t="n"/>
      <c r="F426" s="59" t="n"/>
      <c r="G426" s="60" t="n"/>
      <c r="H426" s="47" t="n"/>
      <c r="I426" s="47" t="n"/>
      <c r="J426" s="59" t="n"/>
      <c r="K426" s="59" t="n"/>
      <c r="L426" s="59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9" t="n"/>
      <c r="X426" s="61" t="n"/>
      <c r="Y426" s="59" t="n"/>
      <c r="Z426" s="59" t="n"/>
      <c r="AA426" s="59" t="n"/>
      <c r="AB426" s="59" t="n"/>
      <c r="AC426" s="59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9" t="n"/>
      <c r="F427" s="59" t="n"/>
      <c r="G427" s="60" t="n"/>
      <c r="H427" s="47" t="n"/>
      <c r="I427" s="47" t="n"/>
      <c r="J427" s="59" t="n"/>
      <c r="K427" s="59" t="n"/>
      <c r="L427" s="59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9" t="n"/>
      <c r="X427" s="61" t="n"/>
      <c r="Y427" s="59" t="n"/>
      <c r="Z427" s="59" t="n"/>
      <c r="AA427" s="59" t="n"/>
      <c r="AB427" s="59" t="n"/>
      <c r="AC427" s="59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9" t="n"/>
      <c r="F428" s="59" t="n"/>
      <c r="G428" s="60" t="n"/>
      <c r="H428" s="47" t="n"/>
      <c r="I428" s="47" t="n"/>
      <c r="J428" s="59" t="n"/>
      <c r="K428" s="59" t="n"/>
      <c r="L428" s="59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9" t="n"/>
      <c r="X428" s="61" t="n"/>
      <c r="Y428" s="59" t="n"/>
      <c r="Z428" s="59" t="n"/>
      <c r="AA428" s="59" t="n"/>
      <c r="AB428" s="59" t="n"/>
      <c r="AC428" s="59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9" t="n"/>
      <c r="F429" s="59" t="n"/>
      <c r="G429" s="60" t="n"/>
      <c r="H429" s="47" t="n"/>
      <c r="I429" s="47" t="n"/>
      <c r="J429" s="59" t="n"/>
      <c r="K429" s="59" t="n"/>
      <c r="L429" s="59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9" t="n"/>
      <c r="X429" s="61" t="n"/>
      <c r="Y429" s="59" t="n"/>
      <c r="Z429" s="59" t="n"/>
      <c r="AA429" s="59" t="n"/>
      <c r="AB429" s="59" t="n"/>
      <c r="AC429" s="59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9" t="n"/>
      <c r="F430" s="59" t="n"/>
      <c r="G430" s="60" t="n"/>
      <c r="H430" s="47" t="n"/>
      <c r="I430" s="47" t="n"/>
      <c r="J430" s="59" t="n"/>
      <c r="K430" s="59" t="n"/>
      <c r="L430" s="59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9" t="n"/>
      <c r="X430" s="61" t="n"/>
      <c r="Y430" s="59" t="n"/>
      <c r="Z430" s="59" t="n"/>
      <c r="AA430" s="59" t="n"/>
      <c r="AB430" s="59" t="n"/>
      <c r="AC430" s="59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9" t="n"/>
      <c r="F431" s="59" t="n"/>
      <c r="G431" s="60" t="n"/>
      <c r="H431" s="47" t="n"/>
      <c r="I431" s="47" t="n"/>
      <c r="J431" s="59" t="n"/>
      <c r="K431" s="59" t="n"/>
      <c r="L431" s="59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9" t="n"/>
      <c r="X431" s="61" t="n"/>
      <c r="Y431" s="59" t="n"/>
      <c r="Z431" s="59" t="n"/>
      <c r="AA431" s="59" t="n"/>
      <c r="AB431" s="59" t="n"/>
      <c r="AC431" s="59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9" t="n"/>
      <c r="F432" s="59" t="n"/>
      <c r="G432" s="60" t="n"/>
      <c r="H432" s="47" t="n"/>
      <c r="I432" s="47" t="n"/>
      <c r="J432" s="59" t="n"/>
      <c r="K432" s="59" t="n"/>
      <c r="L432" s="59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9" t="n"/>
      <c r="X432" s="61" t="n"/>
      <c r="Y432" s="59" t="n"/>
      <c r="Z432" s="59" t="n"/>
      <c r="AA432" s="59" t="n"/>
      <c r="AB432" s="59" t="n"/>
      <c r="AC432" s="59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9" t="n"/>
      <c r="F433" s="59" t="n"/>
      <c r="G433" s="60" t="n"/>
      <c r="H433" s="47" t="n"/>
      <c r="I433" s="47" t="n"/>
      <c r="J433" s="59" t="n"/>
      <c r="K433" s="59" t="n"/>
      <c r="L433" s="59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9" t="n"/>
      <c r="X433" s="61" t="n"/>
      <c r="Y433" s="59" t="n"/>
      <c r="Z433" s="59" t="n"/>
      <c r="AA433" s="59" t="n"/>
      <c r="AB433" s="59" t="n"/>
      <c r="AC433" s="59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9" t="n"/>
      <c r="F434" s="59" t="n"/>
      <c r="G434" s="60" t="n"/>
      <c r="H434" s="47" t="n"/>
      <c r="I434" s="47" t="n"/>
      <c r="J434" s="59" t="n"/>
      <c r="K434" s="59" t="n"/>
      <c r="L434" s="59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9" t="n"/>
      <c r="X434" s="61" t="n"/>
      <c r="Y434" s="59" t="n"/>
      <c r="Z434" s="59" t="n"/>
      <c r="AA434" s="59" t="n"/>
      <c r="AB434" s="59" t="n"/>
      <c r="AC434" s="59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9" t="n"/>
      <c r="F435" s="59" t="n"/>
      <c r="G435" s="60" t="n"/>
      <c r="H435" s="47" t="n"/>
      <c r="I435" s="47" t="n"/>
      <c r="J435" s="59" t="n"/>
      <c r="K435" s="59" t="n"/>
      <c r="L435" s="59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9" t="n"/>
      <c r="X435" s="61" t="n"/>
      <c r="Y435" s="59" t="n"/>
      <c r="Z435" s="59" t="n"/>
      <c r="AA435" s="59" t="n"/>
      <c r="AB435" s="59" t="n"/>
      <c r="AC435" s="59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9" t="n"/>
      <c r="F436" s="59" t="n"/>
      <c r="G436" s="60" t="n"/>
      <c r="H436" s="47" t="n"/>
      <c r="I436" s="47" t="n"/>
      <c r="J436" s="59" t="n"/>
      <c r="K436" s="59" t="n"/>
      <c r="L436" s="59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9" t="n"/>
      <c r="X436" s="61" t="n"/>
      <c r="Y436" s="59" t="n"/>
      <c r="Z436" s="59" t="n"/>
      <c r="AA436" s="59" t="n"/>
      <c r="AB436" s="59" t="n"/>
      <c r="AC436" s="59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9" t="n"/>
      <c r="F437" s="59" t="n"/>
      <c r="G437" s="60" t="n"/>
      <c r="H437" s="47" t="n"/>
      <c r="I437" s="47" t="n"/>
      <c r="J437" s="59" t="n"/>
      <c r="K437" s="59" t="n"/>
      <c r="L437" s="59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9" t="n"/>
      <c r="X437" s="61" t="n"/>
      <c r="Y437" s="59" t="n"/>
      <c r="Z437" s="59" t="n"/>
      <c r="AA437" s="59" t="n"/>
      <c r="AB437" s="59" t="n"/>
      <c r="AC437" s="59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9" t="n"/>
      <c r="F438" s="59" t="n"/>
      <c r="G438" s="60" t="n"/>
      <c r="H438" s="47" t="n"/>
      <c r="I438" s="47" t="n"/>
      <c r="J438" s="59" t="n"/>
      <c r="K438" s="59" t="n"/>
      <c r="L438" s="59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9" t="n"/>
      <c r="X438" s="61" t="n"/>
      <c r="Y438" s="59" t="n"/>
      <c r="Z438" s="59" t="n"/>
      <c r="AA438" s="59" t="n"/>
      <c r="AB438" s="59" t="n"/>
      <c r="AC438" s="59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9" t="n"/>
      <c r="F439" s="59" t="n"/>
      <c r="G439" s="60" t="n"/>
      <c r="H439" s="47" t="n"/>
      <c r="I439" s="47" t="n"/>
      <c r="J439" s="59" t="n"/>
      <c r="K439" s="59" t="n"/>
      <c r="L439" s="59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9" t="n"/>
      <c r="X439" s="61" t="n"/>
      <c r="Y439" s="59" t="n"/>
      <c r="Z439" s="59" t="n"/>
      <c r="AA439" s="59" t="n"/>
      <c r="AB439" s="59" t="n"/>
      <c r="AC439" s="59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9" t="n"/>
      <c r="F440" s="59" t="n"/>
      <c r="G440" s="60" t="n"/>
      <c r="H440" s="47" t="n"/>
      <c r="I440" s="47" t="n"/>
      <c r="J440" s="59" t="n"/>
      <c r="K440" s="59" t="n"/>
      <c r="L440" s="59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9" t="n"/>
      <c r="X440" s="61" t="n"/>
      <c r="Y440" s="59" t="n"/>
      <c r="Z440" s="59" t="n"/>
      <c r="AA440" s="59" t="n"/>
      <c r="AB440" s="59" t="n"/>
      <c r="AC440" s="59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9" t="n"/>
      <c r="F441" s="59" t="n"/>
      <c r="G441" s="60" t="n"/>
      <c r="H441" s="47" t="n"/>
      <c r="I441" s="47" t="n"/>
      <c r="J441" s="59" t="n"/>
      <c r="K441" s="59" t="n"/>
      <c r="L441" s="59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9" t="n"/>
      <c r="X441" s="61" t="n"/>
      <c r="Y441" s="59" t="n"/>
      <c r="Z441" s="59" t="n"/>
      <c r="AA441" s="59" t="n"/>
      <c r="AB441" s="59" t="n"/>
      <c r="AC441" s="59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9" t="n"/>
      <c r="F442" s="59" t="n"/>
      <c r="G442" s="60" t="n"/>
      <c r="H442" s="47" t="n"/>
      <c r="I442" s="47" t="n"/>
      <c r="J442" s="59" t="n"/>
      <c r="K442" s="59" t="n"/>
      <c r="L442" s="59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9" t="n"/>
      <c r="X442" s="61" t="n"/>
      <c r="Y442" s="59" t="n"/>
      <c r="Z442" s="59" t="n"/>
      <c r="AA442" s="59" t="n"/>
      <c r="AB442" s="59" t="n"/>
      <c r="AC442" s="59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9" t="n"/>
      <c r="F443" s="59" t="n"/>
      <c r="G443" s="60" t="n"/>
      <c r="H443" s="47" t="n"/>
      <c r="I443" s="47" t="n"/>
      <c r="J443" s="59" t="n"/>
      <c r="K443" s="59" t="n"/>
      <c r="L443" s="59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9" t="n"/>
      <c r="X443" s="61" t="n"/>
      <c r="Y443" s="59" t="n"/>
      <c r="Z443" s="59" t="n"/>
      <c r="AA443" s="59" t="n"/>
      <c r="AB443" s="59" t="n"/>
      <c r="AC443" s="59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9" t="n"/>
      <c r="F444" s="59" t="n"/>
      <c r="G444" s="60" t="n"/>
      <c r="H444" s="47" t="n"/>
      <c r="I444" s="47" t="n"/>
      <c r="J444" s="59" t="n"/>
      <c r="K444" s="59" t="n"/>
      <c r="L444" s="59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9" t="n"/>
      <c r="X444" s="61" t="n"/>
      <c r="Y444" s="59" t="n"/>
      <c r="Z444" s="59" t="n"/>
      <c r="AA444" s="59" t="n"/>
      <c r="AB444" s="59" t="n"/>
      <c r="AC444" s="59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9" t="n"/>
      <c r="F445" s="59" t="n"/>
      <c r="G445" s="60" t="n"/>
      <c r="H445" s="47" t="n"/>
      <c r="I445" s="47" t="n"/>
      <c r="J445" s="59" t="n"/>
      <c r="K445" s="59" t="n"/>
      <c r="L445" s="59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9" t="n"/>
      <c r="X445" s="61" t="n"/>
      <c r="Y445" s="59" t="n"/>
      <c r="Z445" s="59" t="n"/>
      <c r="AA445" s="59" t="n"/>
      <c r="AB445" s="59" t="n"/>
      <c r="AC445" s="59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9" t="n"/>
      <c r="F446" s="59" t="n"/>
      <c r="G446" s="60" t="n"/>
      <c r="H446" s="47" t="n"/>
      <c r="I446" s="47" t="n"/>
      <c r="J446" s="59" t="n"/>
      <c r="K446" s="59" t="n"/>
      <c r="L446" s="59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9" t="n"/>
      <c r="X446" s="61" t="n"/>
      <c r="Y446" s="59" t="n"/>
      <c r="Z446" s="59" t="n"/>
      <c r="AA446" s="59" t="n"/>
      <c r="AB446" s="59" t="n"/>
      <c r="AC446" s="59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9" t="n"/>
      <c r="F447" s="59" t="n"/>
      <c r="G447" s="60" t="n"/>
      <c r="H447" s="47" t="n"/>
      <c r="I447" s="47" t="n"/>
      <c r="J447" s="59" t="n"/>
      <c r="K447" s="59" t="n"/>
      <c r="L447" s="59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9" t="n"/>
      <c r="X447" s="61" t="n"/>
      <c r="Y447" s="59" t="n"/>
      <c r="Z447" s="59" t="n"/>
      <c r="AA447" s="59" t="n"/>
      <c r="AB447" s="59" t="n"/>
      <c r="AC447" s="59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9" t="n"/>
      <c r="F448" s="59" t="n"/>
      <c r="G448" s="60" t="n"/>
      <c r="H448" s="47" t="n"/>
      <c r="I448" s="47" t="n"/>
      <c r="J448" s="59" t="n"/>
      <c r="K448" s="59" t="n"/>
      <c r="L448" s="59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9" t="n"/>
      <c r="X448" s="61" t="n"/>
      <c r="Y448" s="59" t="n"/>
      <c r="Z448" s="59" t="n"/>
      <c r="AA448" s="59" t="n"/>
      <c r="AB448" s="59" t="n"/>
      <c r="AC448" s="59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9" t="n"/>
      <c r="F449" s="59" t="n"/>
      <c r="G449" s="60" t="n"/>
      <c r="H449" s="47" t="n"/>
      <c r="I449" s="47" t="n"/>
      <c r="J449" s="59" t="n"/>
      <c r="K449" s="59" t="n"/>
      <c r="L449" s="59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9" t="n"/>
      <c r="X449" s="61" t="n"/>
      <c r="Y449" s="59" t="n"/>
      <c r="Z449" s="59" t="n"/>
      <c r="AA449" s="59" t="n"/>
      <c r="AB449" s="59" t="n"/>
      <c r="AC449" s="59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9" t="n"/>
      <c r="F450" s="59" t="n"/>
      <c r="G450" s="60" t="n"/>
      <c r="H450" s="47" t="n"/>
      <c r="I450" s="47" t="n"/>
      <c r="J450" s="59" t="n"/>
      <c r="K450" s="59" t="n"/>
      <c r="L450" s="59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9" t="n"/>
      <c r="X450" s="61" t="n"/>
      <c r="Y450" s="59" t="n"/>
      <c r="Z450" s="59" t="n"/>
      <c r="AA450" s="59" t="n"/>
      <c r="AB450" s="59" t="n"/>
      <c r="AC450" s="59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9" t="n"/>
      <c r="F451" s="59" t="n"/>
      <c r="G451" s="60" t="n"/>
      <c r="H451" s="47" t="n"/>
      <c r="I451" s="47" t="n"/>
      <c r="J451" s="59" t="n"/>
      <c r="K451" s="59" t="n"/>
      <c r="L451" s="59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9" t="n"/>
      <c r="X451" s="61" t="n"/>
      <c r="Y451" s="59" t="n"/>
      <c r="Z451" s="59" t="n"/>
      <c r="AA451" s="59" t="n"/>
      <c r="AB451" s="59" t="n"/>
      <c r="AC451" s="59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9" t="n"/>
      <c r="F452" s="59" t="n"/>
      <c r="G452" s="60" t="n"/>
      <c r="H452" s="47" t="n"/>
      <c r="I452" s="47" t="n"/>
      <c r="J452" s="59" t="n"/>
      <c r="K452" s="59" t="n"/>
      <c r="L452" s="59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9" t="n"/>
      <c r="X452" s="61" t="n"/>
      <c r="Y452" s="59" t="n"/>
      <c r="Z452" s="59" t="n"/>
      <c r="AA452" s="59" t="n"/>
      <c r="AB452" s="59" t="n"/>
      <c r="AC452" s="59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9" t="n"/>
      <c r="F453" s="59" t="n"/>
      <c r="G453" s="60" t="n"/>
      <c r="H453" s="47" t="n"/>
      <c r="I453" s="47" t="n"/>
      <c r="J453" s="59" t="n"/>
      <c r="K453" s="59" t="n"/>
      <c r="L453" s="59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9" t="n"/>
      <c r="X453" s="61" t="n"/>
      <c r="Y453" s="59" t="n"/>
      <c r="Z453" s="59" t="n"/>
      <c r="AA453" s="59" t="n"/>
      <c r="AB453" s="59" t="n"/>
      <c r="AC453" s="59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9" t="n"/>
      <c r="F454" s="59" t="n"/>
      <c r="G454" s="60" t="n"/>
      <c r="H454" s="47" t="n"/>
      <c r="I454" s="47" t="n"/>
      <c r="J454" s="59" t="n"/>
      <c r="K454" s="59" t="n"/>
      <c r="L454" s="59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9" t="n"/>
      <c r="X454" s="61" t="n"/>
      <c r="Y454" s="59" t="n"/>
      <c r="Z454" s="59" t="n"/>
      <c r="AA454" s="59" t="n"/>
      <c r="AB454" s="59" t="n"/>
      <c r="AC454" s="59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9" t="n"/>
      <c r="F455" s="59" t="n"/>
      <c r="G455" s="60" t="n"/>
      <c r="H455" s="47" t="n"/>
      <c r="I455" s="47" t="n"/>
      <c r="J455" s="59" t="n"/>
      <c r="K455" s="59" t="n"/>
      <c r="L455" s="59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9" t="n"/>
      <c r="X455" s="61" t="n"/>
      <c r="Y455" s="59" t="n"/>
      <c r="Z455" s="59" t="n"/>
      <c r="AA455" s="59" t="n"/>
      <c r="AB455" s="59" t="n"/>
      <c r="AC455" s="59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9" t="n"/>
      <c r="F456" s="59" t="n"/>
      <c r="G456" s="60" t="n"/>
      <c r="H456" s="47" t="n"/>
      <c r="I456" s="47" t="n"/>
      <c r="J456" s="59" t="n"/>
      <c r="K456" s="59" t="n"/>
      <c r="L456" s="59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9" t="n"/>
      <c r="X456" s="61" t="n"/>
      <c r="Y456" s="59" t="n"/>
      <c r="Z456" s="59" t="n"/>
      <c r="AA456" s="59" t="n"/>
      <c r="AB456" s="59" t="n"/>
      <c r="AC456" s="59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9" t="n"/>
      <c r="F457" s="59" t="n"/>
      <c r="G457" s="60" t="n"/>
      <c r="H457" s="47" t="n"/>
      <c r="I457" s="47" t="n"/>
      <c r="J457" s="59" t="n"/>
      <c r="K457" s="59" t="n"/>
      <c r="L457" s="59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9" t="n"/>
      <c r="X457" s="61" t="n"/>
      <c r="Y457" s="59" t="n"/>
      <c r="Z457" s="59" t="n"/>
      <c r="AA457" s="59" t="n"/>
      <c r="AB457" s="59" t="n"/>
      <c r="AC457" s="59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9" t="n"/>
      <c r="F458" s="59" t="n"/>
      <c r="G458" s="60" t="n"/>
      <c r="H458" s="47" t="n"/>
      <c r="I458" s="47" t="n"/>
      <c r="J458" s="59" t="n"/>
      <c r="K458" s="59" t="n"/>
      <c r="L458" s="59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9" t="n"/>
      <c r="X458" s="61" t="n"/>
      <c r="Y458" s="59" t="n"/>
      <c r="Z458" s="59" t="n"/>
      <c r="AA458" s="59" t="n"/>
      <c r="AB458" s="59" t="n"/>
      <c r="AC458" s="59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9" t="n"/>
      <c r="F459" s="59" t="n"/>
      <c r="G459" s="60" t="n"/>
      <c r="H459" s="47" t="n"/>
      <c r="I459" s="47" t="n"/>
      <c r="J459" s="59" t="n"/>
      <c r="K459" s="59" t="n"/>
      <c r="L459" s="59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9" t="n"/>
      <c r="X459" s="61" t="n"/>
      <c r="Y459" s="59" t="n"/>
      <c r="Z459" s="59" t="n"/>
      <c r="AA459" s="59" t="n"/>
      <c r="AB459" s="59" t="n"/>
      <c r="AC459" s="59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9" t="n"/>
      <c r="F460" s="59" t="n"/>
      <c r="G460" s="60" t="n"/>
      <c r="H460" s="47" t="n"/>
      <c r="I460" s="47" t="n"/>
      <c r="J460" s="59" t="n"/>
      <c r="K460" s="59" t="n"/>
      <c r="L460" s="59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9" t="n"/>
      <c r="X460" s="61" t="n"/>
      <c r="Y460" s="59" t="n"/>
      <c r="Z460" s="59" t="n"/>
      <c r="AA460" s="59" t="n"/>
      <c r="AB460" s="59" t="n"/>
      <c r="AC460" s="59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9" t="n"/>
      <c r="F461" s="59" t="n"/>
      <c r="G461" s="60" t="n"/>
      <c r="H461" s="47" t="n"/>
      <c r="I461" s="47" t="n"/>
      <c r="J461" s="59" t="n"/>
      <c r="K461" s="59" t="n"/>
      <c r="L461" s="59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9" t="n"/>
      <c r="X461" s="61" t="n"/>
      <c r="Y461" s="59" t="n"/>
      <c r="Z461" s="59" t="n"/>
      <c r="AA461" s="59" t="n"/>
      <c r="AB461" s="59" t="n"/>
      <c r="AC461" s="59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9" t="n"/>
      <c r="F462" s="59" t="n"/>
      <c r="G462" s="60" t="n"/>
      <c r="H462" s="47" t="n"/>
      <c r="I462" s="47" t="n"/>
      <c r="J462" s="59" t="n"/>
      <c r="K462" s="59" t="n"/>
      <c r="L462" s="59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9" t="n"/>
      <c r="X462" s="61" t="n"/>
      <c r="Y462" s="59" t="n"/>
      <c r="Z462" s="59" t="n"/>
      <c r="AA462" s="59" t="n"/>
      <c r="AB462" s="59" t="n"/>
      <c r="AC462" s="59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9" t="n"/>
      <c r="F463" s="59" t="n"/>
      <c r="G463" s="60" t="n"/>
      <c r="H463" s="47" t="n"/>
      <c r="I463" s="47" t="n"/>
      <c r="J463" s="59" t="n"/>
      <c r="K463" s="59" t="n"/>
      <c r="L463" s="59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9" t="n"/>
      <c r="X463" s="61" t="n"/>
      <c r="Y463" s="59" t="n"/>
      <c r="Z463" s="59" t="n"/>
      <c r="AA463" s="59" t="n"/>
      <c r="AB463" s="59" t="n"/>
      <c r="AC463" s="59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9" t="n"/>
      <c r="F464" s="59" t="n"/>
      <c r="G464" s="60" t="n"/>
      <c r="H464" s="47" t="n"/>
      <c r="I464" s="47" t="n"/>
      <c r="J464" s="59" t="n"/>
      <c r="K464" s="59" t="n"/>
      <c r="L464" s="59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9" t="n"/>
      <c r="X464" s="61" t="n"/>
      <c r="Y464" s="59" t="n"/>
      <c r="Z464" s="59" t="n"/>
      <c r="AA464" s="59" t="n"/>
      <c r="AB464" s="59" t="n"/>
      <c r="AC464" s="59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9" t="n"/>
      <c r="F465" s="59" t="n"/>
      <c r="G465" s="60" t="n"/>
      <c r="H465" s="47" t="n"/>
      <c r="I465" s="47" t="n"/>
      <c r="J465" s="59" t="n"/>
      <c r="K465" s="59" t="n"/>
      <c r="L465" s="59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9" t="n"/>
      <c r="X465" s="61" t="n"/>
      <c r="Y465" s="59" t="n"/>
      <c r="Z465" s="59" t="n"/>
      <c r="AA465" s="59" t="n"/>
      <c r="AB465" s="59" t="n"/>
      <c r="AC465" s="59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9" t="n"/>
      <c r="F466" s="59" t="n"/>
      <c r="G466" s="60" t="n"/>
      <c r="H466" s="47" t="n"/>
      <c r="I466" s="47" t="n"/>
      <c r="J466" s="59" t="n"/>
      <c r="K466" s="59" t="n"/>
      <c r="L466" s="59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9" t="n"/>
      <c r="X466" s="61" t="n"/>
      <c r="Y466" s="59" t="n"/>
      <c r="Z466" s="59" t="n"/>
      <c r="AA466" s="59" t="n"/>
      <c r="AB466" s="59" t="n"/>
      <c r="AC466" s="59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9" t="n"/>
      <c r="F467" s="59" t="n"/>
      <c r="G467" s="60" t="n"/>
      <c r="H467" s="47" t="n"/>
      <c r="I467" s="47" t="n"/>
      <c r="J467" s="59" t="n"/>
      <c r="K467" s="59" t="n"/>
      <c r="L467" s="59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9" t="n"/>
      <c r="X467" s="61" t="n"/>
      <c r="Y467" s="59" t="n"/>
      <c r="Z467" s="59" t="n"/>
      <c r="AA467" s="59" t="n"/>
      <c r="AB467" s="59" t="n"/>
      <c r="AC467" s="59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9" t="n"/>
      <c r="F468" s="59" t="n"/>
      <c r="G468" s="60" t="n"/>
      <c r="H468" s="47" t="n"/>
      <c r="I468" s="47" t="n"/>
      <c r="J468" s="59" t="n"/>
      <c r="K468" s="59" t="n"/>
      <c r="L468" s="59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9" t="n"/>
      <c r="X468" s="61" t="n"/>
      <c r="Y468" s="59" t="n"/>
      <c r="Z468" s="59" t="n"/>
      <c r="AA468" s="59" t="n"/>
      <c r="AB468" s="59" t="n"/>
      <c r="AC468" s="59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9" t="n"/>
      <c r="F469" s="59" t="n"/>
      <c r="G469" s="60" t="n"/>
      <c r="H469" s="47" t="n"/>
      <c r="I469" s="47" t="n"/>
      <c r="J469" s="59" t="n"/>
      <c r="K469" s="59" t="n"/>
      <c r="L469" s="59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9" t="n"/>
      <c r="X469" s="61" t="n"/>
      <c r="Y469" s="59" t="n"/>
      <c r="Z469" s="59" t="n"/>
      <c r="AA469" s="59" t="n"/>
      <c r="AB469" s="59" t="n"/>
      <c r="AC469" s="59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9" t="n"/>
      <c r="F470" s="59" t="n"/>
      <c r="G470" s="60" t="n"/>
      <c r="H470" s="47" t="n"/>
      <c r="I470" s="47" t="n"/>
      <c r="J470" s="59" t="n"/>
      <c r="K470" s="59" t="n"/>
      <c r="L470" s="59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9" t="n"/>
      <c r="X470" s="61" t="n"/>
      <c r="Y470" s="59" t="n"/>
      <c r="Z470" s="59" t="n"/>
      <c r="AA470" s="59" t="n"/>
      <c r="AB470" s="59" t="n"/>
      <c r="AC470" s="59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9" t="n"/>
      <c r="F471" s="59" t="n"/>
      <c r="G471" s="60" t="n"/>
      <c r="H471" s="47" t="n"/>
      <c r="I471" s="47" t="n"/>
      <c r="J471" s="59" t="n"/>
      <c r="K471" s="59" t="n"/>
      <c r="L471" s="59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9" t="n"/>
      <c r="X471" s="61" t="n"/>
      <c r="Y471" s="59" t="n"/>
      <c r="Z471" s="59" t="n"/>
      <c r="AA471" s="59" t="n"/>
      <c r="AB471" s="59" t="n"/>
      <c r="AC471" s="59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9" t="n"/>
      <c r="F472" s="59" t="n"/>
      <c r="G472" s="60" t="n"/>
      <c r="H472" s="47" t="n"/>
      <c r="I472" s="47" t="n"/>
      <c r="J472" s="59" t="n"/>
      <c r="K472" s="59" t="n"/>
      <c r="L472" s="59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9" t="n"/>
      <c r="X472" s="61" t="n"/>
      <c r="Y472" s="59" t="n"/>
      <c r="Z472" s="59" t="n"/>
      <c r="AA472" s="59" t="n"/>
      <c r="AB472" s="59" t="n"/>
      <c r="AC472" s="59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9" t="n"/>
      <c r="F473" s="59" t="n"/>
      <c r="G473" s="60" t="n"/>
      <c r="H473" s="47" t="n"/>
      <c r="I473" s="47" t="n"/>
      <c r="J473" s="59" t="n"/>
      <c r="K473" s="59" t="n"/>
      <c r="L473" s="59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9" t="n"/>
      <c r="X473" s="61" t="n"/>
      <c r="Y473" s="59" t="n"/>
      <c r="Z473" s="59" t="n"/>
      <c r="AA473" s="59" t="n"/>
      <c r="AB473" s="59" t="n"/>
      <c r="AC473" s="59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9" t="n"/>
      <c r="F474" s="59" t="n"/>
      <c r="G474" s="60" t="n"/>
      <c r="H474" s="47" t="n"/>
      <c r="I474" s="47" t="n"/>
      <c r="J474" s="59" t="n"/>
      <c r="K474" s="59" t="n"/>
      <c r="L474" s="59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9" t="n"/>
      <c r="X474" s="61" t="n"/>
      <c r="Y474" s="59" t="n"/>
      <c r="Z474" s="59" t="n"/>
      <c r="AA474" s="59" t="n"/>
      <c r="AB474" s="59" t="n"/>
      <c r="AC474" s="59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9" t="n"/>
      <c r="F475" s="59" t="n"/>
      <c r="G475" s="60" t="n"/>
      <c r="H475" s="47" t="n"/>
      <c r="I475" s="47" t="n"/>
      <c r="J475" s="59" t="n"/>
      <c r="K475" s="59" t="n"/>
      <c r="L475" s="59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9" t="n"/>
      <c r="X475" s="61" t="n"/>
      <c r="Y475" s="59" t="n"/>
      <c r="Z475" s="59" t="n"/>
      <c r="AA475" s="59" t="n"/>
      <c r="AB475" s="59" t="n"/>
      <c r="AC475" s="59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9" t="n"/>
      <c r="F476" s="59" t="n"/>
      <c r="G476" s="60" t="n"/>
      <c r="H476" s="47" t="n"/>
      <c r="I476" s="47" t="n"/>
      <c r="J476" s="59" t="n"/>
      <c r="K476" s="59" t="n"/>
      <c r="L476" s="59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9" t="n"/>
      <c r="X476" s="61" t="n"/>
      <c r="Y476" s="59" t="n"/>
      <c r="Z476" s="59" t="n"/>
      <c r="AA476" s="59" t="n"/>
      <c r="AB476" s="59" t="n"/>
      <c r="AC476" s="59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9" t="n"/>
      <c r="F477" s="59" t="n"/>
      <c r="G477" s="60" t="n"/>
      <c r="H477" s="47" t="n"/>
      <c r="I477" s="47" t="n"/>
      <c r="J477" s="59" t="n"/>
      <c r="K477" s="59" t="n"/>
      <c r="L477" s="59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9" t="n"/>
      <c r="X477" s="61" t="n"/>
      <c r="Y477" s="59" t="n"/>
      <c r="Z477" s="59" t="n"/>
      <c r="AA477" s="59" t="n"/>
      <c r="AB477" s="59" t="n"/>
      <c r="AC477" s="59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9" t="n"/>
      <c r="F478" s="59" t="n"/>
      <c r="G478" s="60" t="n"/>
      <c r="H478" s="47" t="n"/>
      <c r="I478" s="47" t="n"/>
      <c r="J478" s="59" t="n"/>
      <c r="K478" s="59" t="n"/>
      <c r="L478" s="59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9" t="n"/>
      <c r="X478" s="61" t="n"/>
      <c r="Y478" s="59" t="n"/>
      <c r="Z478" s="59" t="n"/>
      <c r="AA478" s="59" t="n"/>
      <c r="AB478" s="59" t="n"/>
      <c r="AC478" s="59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9" t="n"/>
      <c r="F479" s="59" t="n"/>
      <c r="G479" s="60" t="n"/>
      <c r="H479" s="47" t="n"/>
      <c r="I479" s="47" t="n"/>
      <c r="J479" s="59" t="n"/>
      <c r="K479" s="59" t="n"/>
      <c r="L479" s="59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9" t="n"/>
      <c r="X479" s="61" t="n"/>
      <c r="Y479" s="59" t="n"/>
      <c r="Z479" s="59" t="n"/>
      <c r="AA479" s="59" t="n"/>
      <c r="AB479" s="59" t="n"/>
      <c r="AC479" s="59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9" t="n"/>
      <c r="F480" s="59" t="n"/>
      <c r="G480" s="60" t="n"/>
      <c r="H480" s="47" t="n"/>
      <c r="I480" s="47" t="n"/>
      <c r="J480" s="59" t="n"/>
      <c r="K480" s="59" t="n"/>
      <c r="L480" s="59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9" t="n"/>
      <c r="X480" s="61" t="n"/>
      <c r="Y480" s="59" t="n"/>
      <c r="Z480" s="59" t="n"/>
      <c r="AA480" s="59" t="n"/>
      <c r="AB480" s="59" t="n"/>
      <c r="AC480" s="59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9" t="n"/>
      <c r="F481" s="59" t="n"/>
      <c r="G481" s="60" t="n"/>
      <c r="H481" s="47" t="n"/>
      <c r="I481" s="47" t="n"/>
      <c r="J481" s="59" t="n"/>
      <c r="K481" s="59" t="n"/>
      <c r="L481" s="59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9" t="n"/>
      <c r="X481" s="61" t="n"/>
      <c r="Y481" s="59" t="n"/>
      <c r="Z481" s="59" t="n"/>
      <c r="AA481" s="59" t="n"/>
      <c r="AB481" s="59" t="n"/>
      <c r="AC481" s="59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9" t="n"/>
      <c r="F482" s="59" t="n"/>
      <c r="G482" s="60" t="n"/>
      <c r="H482" s="47" t="n"/>
      <c r="I482" s="47" t="n"/>
      <c r="J482" s="59" t="n"/>
      <c r="K482" s="59" t="n"/>
      <c r="L482" s="59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9" t="n"/>
      <c r="X482" s="61" t="n"/>
      <c r="Y482" s="59" t="n"/>
      <c r="Z482" s="59" t="n"/>
      <c r="AA482" s="59" t="n"/>
      <c r="AB482" s="59" t="n"/>
      <c r="AC482" s="59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9" t="n"/>
      <c r="F483" s="59" t="n"/>
      <c r="G483" s="60" t="n"/>
      <c r="H483" s="47" t="n"/>
      <c r="I483" s="47" t="n"/>
      <c r="J483" s="59" t="n"/>
      <c r="K483" s="59" t="n"/>
      <c r="L483" s="59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9" t="n"/>
      <c r="X483" s="61" t="n"/>
      <c r="Y483" s="59" t="n"/>
      <c r="Z483" s="59" t="n"/>
      <c r="AA483" s="59" t="n"/>
      <c r="AB483" s="59" t="n"/>
      <c r="AC483" s="59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9" t="n"/>
      <c r="F484" s="59" t="n"/>
      <c r="G484" s="60" t="n"/>
      <c r="H484" s="47" t="n"/>
      <c r="I484" s="47" t="n"/>
      <c r="J484" s="59" t="n"/>
      <c r="K484" s="59" t="n"/>
      <c r="L484" s="59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9" t="n"/>
      <c r="X484" s="61" t="n"/>
      <c r="Y484" s="59" t="n"/>
      <c r="Z484" s="59" t="n"/>
      <c r="AA484" s="59" t="n"/>
      <c r="AB484" s="59" t="n"/>
      <c r="AC484" s="59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9" t="n"/>
      <c r="F485" s="59" t="n"/>
      <c r="G485" s="60" t="n"/>
      <c r="H485" s="47" t="n"/>
      <c r="I485" s="47" t="n"/>
      <c r="J485" s="59" t="n"/>
      <c r="K485" s="59" t="n"/>
      <c r="L485" s="59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9" t="n"/>
      <c r="X485" s="61" t="n"/>
      <c r="Y485" s="59" t="n"/>
      <c r="Z485" s="59" t="n"/>
      <c r="AA485" s="59" t="n"/>
      <c r="AB485" s="59" t="n"/>
      <c r="AC485" s="59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9" t="n"/>
      <c r="F486" s="59" t="n"/>
      <c r="G486" s="60" t="n"/>
      <c r="H486" s="47" t="n"/>
      <c r="I486" s="47" t="n"/>
      <c r="J486" s="59" t="n"/>
      <c r="K486" s="59" t="n"/>
      <c r="L486" s="59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9" t="n"/>
      <c r="X486" s="61" t="n"/>
      <c r="Y486" s="59" t="n"/>
      <c r="Z486" s="59" t="n"/>
      <c r="AA486" s="59" t="n"/>
      <c r="AB486" s="59" t="n"/>
      <c r="AC486" s="59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9" t="n"/>
      <c r="F487" s="59" t="n"/>
      <c r="G487" s="60" t="n"/>
      <c r="H487" s="47" t="n"/>
      <c r="I487" s="47" t="n"/>
      <c r="J487" s="59" t="n"/>
      <c r="K487" s="59" t="n"/>
      <c r="L487" s="59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9" t="n"/>
      <c r="X487" s="61" t="n"/>
      <c r="Y487" s="59" t="n"/>
      <c r="Z487" s="59" t="n"/>
      <c r="AA487" s="59" t="n"/>
      <c r="AB487" s="59" t="n"/>
      <c r="AC487" s="59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9" t="n"/>
      <c r="F488" s="59" t="n"/>
      <c r="G488" s="60" t="n"/>
      <c r="H488" s="47" t="n"/>
      <c r="I488" s="47" t="n"/>
      <c r="J488" s="59" t="n"/>
      <c r="K488" s="59" t="n"/>
      <c r="L488" s="59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9" t="n"/>
      <c r="X488" s="61" t="n"/>
      <c r="Y488" s="59" t="n"/>
      <c r="Z488" s="59" t="n"/>
      <c r="AA488" s="59" t="n"/>
      <c r="AB488" s="59" t="n"/>
      <c r="AC488" s="59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9" t="n"/>
      <c r="F489" s="59" t="n"/>
      <c r="G489" s="60" t="n"/>
      <c r="H489" s="47" t="n"/>
      <c r="I489" s="47" t="n"/>
      <c r="J489" s="59" t="n"/>
      <c r="K489" s="59" t="n"/>
      <c r="L489" s="59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9" t="n"/>
      <c r="X489" s="61" t="n"/>
      <c r="Y489" s="59" t="n"/>
      <c r="Z489" s="59" t="n"/>
      <c r="AA489" s="59" t="n"/>
      <c r="AB489" s="59" t="n"/>
      <c r="AC489" s="59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9" t="n"/>
      <c r="F490" s="59" t="n"/>
      <c r="G490" s="60" t="n"/>
      <c r="H490" s="47" t="n"/>
      <c r="I490" s="47" t="n"/>
      <c r="J490" s="59" t="n"/>
      <c r="K490" s="59" t="n"/>
      <c r="L490" s="59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9" t="n"/>
      <c r="X490" s="61" t="n"/>
      <c r="Y490" s="59" t="n"/>
      <c r="Z490" s="59" t="n"/>
      <c r="AA490" s="59" t="n"/>
      <c r="AB490" s="59" t="n"/>
      <c r="AC490" s="59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9" t="n"/>
      <c r="F491" s="59" t="n"/>
      <c r="G491" s="60" t="n"/>
      <c r="H491" s="47" t="n"/>
      <c r="I491" s="47" t="n"/>
      <c r="J491" s="59" t="n"/>
      <c r="K491" s="59" t="n"/>
      <c r="L491" s="59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9" t="n"/>
      <c r="X491" s="61" t="n"/>
      <c r="Y491" s="59" t="n"/>
      <c r="Z491" s="59" t="n"/>
      <c r="AA491" s="59" t="n"/>
      <c r="AB491" s="59" t="n"/>
      <c r="AC491" s="59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9" t="n"/>
      <c r="F492" s="59" t="n"/>
      <c r="G492" s="60" t="n"/>
      <c r="H492" s="47" t="n"/>
      <c r="I492" s="47" t="n"/>
      <c r="J492" s="59" t="n"/>
      <c r="K492" s="59" t="n"/>
      <c r="L492" s="59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9" t="n"/>
      <c r="X492" s="61" t="n"/>
      <c r="Y492" s="59" t="n"/>
      <c r="Z492" s="59" t="n"/>
      <c r="AA492" s="59" t="n"/>
      <c r="AB492" s="59" t="n"/>
      <c r="AC492" s="59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9" t="n"/>
      <c r="F493" s="59" t="n"/>
      <c r="G493" s="60" t="n"/>
      <c r="H493" s="47" t="n"/>
      <c r="I493" s="47" t="n"/>
      <c r="J493" s="59" t="n"/>
      <c r="K493" s="59" t="n"/>
      <c r="L493" s="59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9" t="n"/>
      <c r="X493" s="61" t="n"/>
      <c r="Y493" s="59" t="n"/>
      <c r="Z493" s="59" t="n"/>
      <c r="AA493" s="59" t="n"/>
      <c r="AB493" s="59" t="n"/>
      <c r="AC493" s="59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9" t="n"/>
      <c r="F494" s="59" t="n"/>
      <c r="G494" s="60" t="n"/>
      <c r="H494" s="47" t="n"/>
      <c r="I494" s="47" t="n"/>
      <c r="J494" s="59" t="n"/>
      <c r="K494" s="59" t="n"/>
      <c r="L494" s="59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9" t="n"/>
      <c r="X494" s="61" t="n"/>
      <c r="Y494" s="59" t="n"/>
      <c r="Z494" s="59" t="n"/>
      <c r="AA494" s="59" t="n"/>
      <c r="AB494" s="59" t="n"/>
      <c r="AC494" s="59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9" t="n"/>
      <c r="F495" s="59" t="n"/>
      <c r="G495" s="60" t="n"/>
      <c r="H495" s="47" t="n"/>
      <c r="I495" s="47" t="n"/>
      <c r="J495" s="59" t="n"/>
      <c r="K495" s="59" t="n"/>
      <c r="L495" s="59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9" t="n"/>
      <c r="X495" s="61" t="n"/>
      <c r="Y495" s="59" t="n"/>
      <c r="Z495" s="59" t="n"/>
      <c r="AA495" s="59" t="n"/>
      <c r="AB495" s="59" t="n"/>
      <c r="AC495" s="59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9" t="n"/>
      <c r="F496" s="59" t="n"/>
      <c r="G496" s="60" t="n"/>
      <c r="H496" s="47" t="n"/>
      <c r="I496" s="47" t="n"/>
      <c r="J496" s="59" t="n"/>
      <c r="K496" s="59" t="n"/>
      <c r="L496" s="59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9" t="n"/>
      <c r="X496" s="61" t="n"/>
      <c r="Y496" s="59" t="n"/>
      <c r="Z496" s="59" t="n"/>
      <c r="AA496" s="59" t="n"/>
      <c r="AB496" s="59" t="n"/>
      <c r="AC496" s="59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9" t="n"/>
      <c r="F497" s="59" t="n"/>
      <c r="G497" s="60" t="n"/>
      <c r="H497" s="47" t="n"/>
      <c r="I497" s="47" t="n"/>
      <c r="J497" s="59" t="n"/>
      <c r="K497" s="59" t="n"/>
      <c r="L497" s="59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9" t="n"/>
      <c r="X497" s="61" t="n"/>
      <c r="Y497" s="59" t="n"/>
      <c r="Z497" s="59" t="n"/>
      <c r="AA497" s="59" t="n"/>
      <c r="AB497" s="59" t="n"/>
      <c r="AC497" s="59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9" t="n"/>
      <c r="F498" s="59" t="n"/>
      <c r="G498" s="60" t="n"/>
      <c r="H498" s="47" t="n"/>
      <c r="I498" s="47" t="n"/>
      <c r="J498" s="59" t="n"/>
      <c r="K498" s="59" t="n"/>
      <c r="L498" s="59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9" t="n"/>
      <c r="X498" s="61" t="n"/>
      <c r="Y498" s="59" t="n"/>
      <c r="Z498" s="59" t="n"/>
      <c r="AA498" s="59" t="n"/>
      <c r="AB498" s="59" t="n"/>
      <c r="AC498" s="59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9" t="n"/>
      <c r="F499" s="59" t="n"/>
      <c r="G499" s="60" t="n"/>
      <c r="H499" s="47" t="n"/>
      <c r="I499" s="47" t="n"/>
      <c r="J499" s="59" t="n"/>
      <c r="K499" s="59" t="n"/>
      <c r="L499" s="59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9" t="n"/>
      <c r="X499" s="61" t="n"/>
      <c r="Y499" s="59" t="n"/>
      <c r="Z499" s="59" t="n"/>
      <c r="AA499" s="59" t="n"/>
      <c r="AB499" s="59" t="n"/>
      <c r="AC499" s="59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9" t="n"/>
      <c r="F500" s="59" t="n"/>
      <c r="G500" s="60" t="n"/>
      <c r="H500" s="47" t="n"/>
      <c r="I500" s="47" t="n"/>
      <c r="J500" s="59" t="n"/>
      <c r="K500" s="59" t="n"/>
      <c r="L500" s="59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9" t="n"/>
      <c r="X500" s="61" t="n"/>
      <c r="Y500" s="59" t="n"/>
      <c r="Z500" s="59" t="n"/>
      <c r="AA500" s="59" t="n"/>
      <c r="AB500" s="59" t="n"/>
      <c r="AC500" s="59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9" t="n"/>
      <c r="F501" s="59" t="n"/>
      <c r="G501" s="60" t="n"/>
      <c r="H501" s="47" t="n"/>
      <c r="I501" s="47" t="n"/>
      <c r="J501" s="59" t="n"/>
      <c r="K501" s="59" t="n"/>
      <c r="L501" s="59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9" t="n"/>
      <c r="X501" s="61" t="n"/>
      <c r="Y501" s="59" t="n"/>
      <c r="Z501" s="59" t="n"/>
      <c r="AA501" s="59" t="n"/>
      <c r="AB501" s="59" t="n"/>
      <c r="AC501" s="59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9" t="n"/>
      <c r="F502" s="59" t="n"/>
      <c r="G502" s="60" t="n"/>
      <c r="H502" s="47" t="n"/>
      <c r="I502" s="47" t="n"/>
      <c r="J502" s="59" t="n"/>
      <c r="K502" s="59" t="n"/>
      <c r="L502" s="59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9" t="n"/>
      <c r="X502" s="61" t="n"/>
      <c r="Y502" s="59" t="n"/>
      <c r="Z502" s="59" t="n"/>
      <c r="AA502" s="59" t="n"/>
      <c r="AB502" s="59" t="n"/>
      <c r="AC502" s="59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9" t="n"/>
      <c r="F503" s="59" t="n"/>
      <c r="G503" s="60" t="n"/>
      <c r="H503" s="47" t="n"/>
      <c r="I503" s="47" t="n"/>
      <c r="J503" s="59" t="n"/>
      <c r="K503" s="59" t="n"/>
      <c r="L503" s="59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9" t="n"/>
      <c r="X503" s="61" t="n"/>
      <c r="Y503" s="59" t="n"/>
      <c r="Z503" s="59" t="n"/>
      <c r="AA503" s="59" t="n"/>
      <c r="AB503" s="59" t="n"/>
      <c r="AC503" s="59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9" t="n"/>
      <c r="F504" s="59" t="n"/>
      <c r="G504" s="60" t="n"/>
      <c r="H504" s="47" t="n"/>
      <c r="I504" s="47" t="n"/>
      <c r="J504" s="59" t="n"/>
      <c r="K504" s="59" t="n"/>
      <c r="L504" s="59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9" t="n"/>
      <c r="X504" s="61" t="n"/>
      <c r="Y504" s="59" t="n"/>
      <c r="Z504" s="59" t="n"/>
      <c r="AA504" s="59" t="n"/>
      <c r="AB504" s="59" t="n"/>
      <c r="AC504" s="59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9" t="n"/>
      <c r="F505" s="59" t="n"/>
      <c r="G505" s="60" t="n"/>
      <c r="H505" s="47" t="n"/>
      <c r="I505" s="47" t="n"/>
      <c r="J505" s="59" t="n"/>
      <c r="K505" s="59" t="n"/>
      <c r="L505" s="59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9" t="n"/>
      <c r="X505" s="61" t="n"/>
      <c r="Y505" s="59" t="n"/>
      <c r="Z505" s="59" t="n"/>
      <c r="AA505" s="59" t="n"/>
      <c r="AB505" s="59" t="n"/>
      <c r="AC505" s="59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9" t="n"/>
      <c r="F506" s="59" t="n"/>
      <c r="G506" s="60" t="n"/>
      <c r="H506" s="47" t="n"/>
      <c r="I506" s="47" t="n"/>
      <c r="J506" s="59" t="n"/>
      <c r="K506" s="59" t="n"/>
      <c r="L506" s="59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9" t="n"/>
      <c r="X506" s="61" t="n"/>
      <c r="Y506" s="59" t="n"/>
      <c r="Z506" s="59" t="n"/>
      <c r="AA506" s="59" t="n"/>
      <c r="AB506" s="59" t="n"/>
      <c r="AC506" s="59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9" t="n"/>
      <c r="F507" s="59" t="n"/>
      <c r="G507" s="60" t="n"/>
      <c r="H507" s="47" t="n"/>
      <c r="I507" s="47" t="n"/>
      <c r="J507" s="59" t="n"/>
      <c r="K507" s="59" t="n"/>
      <c r="L507" s="59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9" t="n"/>
      <c r="X507" s="61" t="n"/>
      <c r="Y507" s="59" t="n"/>
      <c r="Z507" s="59" t="n"/>
      <c r="AA507" s="59" t="n"/>
      <c r="AB507" s="59" t="n"/>
      <c r="AC507" s="59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9" t="n"/>
      <c r="F508" s="59" t="n"/>
      <c r="G508" s="60" t="n"/>
      <c r="H508" s="47" t="n"/>
      <c r="I508" s="47" t="n"/>
      <c r="J508" s="59" t="n"/>
      <c r="K508" s="59" t="n"/>
      <c r="L508" s="59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9" t="n"/>
      <c r="X508" s="61" t="n"/>
      <c r="Y508" s="59" t="n"/>
      <c r="Z508" s="59" t="n"/>
      <c r="AA508" s="59" t="n"/>
      <c r="AB508" s="59" t="n"/>
      <c r="AC508" s="59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9" t="n"/>
      <c r="F509" s="59" t="n"/>
      <c r="G509" s="60" t="n"/>
      <c r="H509" s="47" t="n"/>
      <c r="I509" s="47" t="n"/>
      <c r="J509" s="59" t="n"/>
      <c r="K509" s="59" t="n"/>
      <c r="L509" s="59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9" t="n"/>
      <c r="X509" s="61" t="n"/>
      <c r="Y509" s="59" t="n"/>
      <c r="Z509" s="59" t="n"/>
      <c r="AA509" s="59" t="n"/>
      <c r="AB509" s="59" t="n"/>
      <c r="AC509" s="59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9" t="n"/>
      <c r="F510" s="59" t="n"/>
      <c r="G510" s="60" t="n"/>
      <c r="H510" s="47" t="n"/>
      <c r="I510" s="47" t="n"/>
      <c r="J510" s="59" t="n"/>
      <c r="K510" s="59" t="n"/>
      <c r="L510" s="59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9" t="n"/>
      <c r="X510" s="61" t="n"/>
      <c r="Y510" s="59" t="n"/>
      <c r="Z510" s="59" t="n"/>
      <c r="AA510" s="59" t="n"/>
      <c r="AB510" s="59" t="n"/>
      <c r="AC510" s="59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9" t="n"/>
      <c r="F511" s="59" t="n"/>
      <c r="G511" s="60" t="n"/>
      <c r="H511" s="47" t="n"/>
      <c r="I511" s="47" t="n"/>
      <c r="J511" s="59" t="n"/>
      <c r="K511" s="59" t="n"/>
      <c r="L511" s="59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9" t="n"/>
      <c r="X511" s="61" t="n"/>
      <c r="Y511" s="59" t="n"/>
      <c r="Z511" s="59" t="n"/>
      <c r="AA511" s="59" t="n"/>
      <c r="AB511" s="59" t="n"/>
      <c r="AC511" s="59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9" t="n"/>
      <c r="F512" s="59" t="n"/>
      <c r="G512" s="60" t="n"/>
      <c r="H512" s="47" t="n"/>
      <c r="I512" s="47" t="n"/>
      <c r="J512" s="59" t="n"/>
      <c r="K512" s="59" t="n"/>
      <c r="L512" s="59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9" t="n"/>
      <c r="X512" s="61" t="n"/>
      <c r="Y512" s="59" t="n"/>
      <c r="Z512" s="59" t="n"/>
      <c r="AA512" s="59" t="n"/>
      <c r="AB512" s="59" t="n"/>
      <c r="AC512" s="59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9" t="n"/>
      <c r="F513" s="59" t="n"/>
      <c r="G513" s="60" t="n"/>
      <c r="H513" s="47" t="n"/>
      <c r="I513" s="47" t="n"/>
      <c r="J513" s="59" t="n"/>
      <c r="K513" s="59" t="n"/>
      <c r="L513" s="59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9" t="n"/>
      <c r="X513" s="61" t="n"/>
      <c r="Y513" s="59" t="n"/>
      <c r="Z513" s="59" t="n"/>
      <c r="AA513" s="59" t="n"/>
      <c r="AB513" s="59" t="n"/>
      <c r="AC513" s="59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9" t="n"/>
      <c r="F514" s="59" t="n"/>
      <c r="G514" s="60" t="n"/>
      <c r="H514" s="47" t="n"/>
      <c r="I514" s="47" t="n"/>
      <c r="J514" s="59" t="n"/>
      <c r="K514" s="59" t="n"/>
      <c r="L514" s="59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9" t="n"/>
      <c r="X514" s="61" t="n"/>
      <c r="Y514" s="59" t="n"/>
      <c r="Z514" s="59" t="n"/>
      <c r="AA514" s="59" t="n"/>
      <c r="AB514" s="59" t="n"/>
      <c r="AC514" s="59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9" t="n"/>
      <c r="F515" s="59" t="n"/>
      <c r="G515" s="60" t="n"/>
      <c r="H515" s="47" t="n"/>
      <c r="I515" s="47" t="n"/>
      <c r="J515" s="59" t="n"/>
      <c r="K515" s="59" t="n"/>
      <c r="L515" s="59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9" t="n"/>
      <c r="X515" s="61" t="n"/>
      <c r="Y515" s="59" t="n"/>
      <c r="Z515" s="59" t="n"/>
      <c r="AA515" s="59" t="n"/>
      <c r="AB515" s="59" t="n"/>
      <c r="AC515" s="59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9" t="n"/>
      <c r="F516" s="59" t="n"/>
      <c r="G516" s="60" t="n"/>
      <c r="H516" s="47" t="n"/>
      <c r="I516" s="47" t="n"/>
      <c r="J516" s="59" t="n"/>
      <c r="K516" s="59" t="n"/>
      <c r="L516" s="59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9" t="n"/>
      <c r="X516" s="61" t="n"/>
      <c r="Y516" s="59" t="n"/>
      <c r="Z516" s="59" t="n"/>
      <c r="AA516" s="59" t="n"/>
      <c r="AB516" s="59" t="n"/>
      <c r="AC516" s="59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9" t="n"/>
      <c r="F517" s="59" t="n"/>
      <c r="G517" s="60" t="n"/>
      <c r="H517" s="47" t="n"/>
      <c r="I517" s="47" t="n"/>
      <c r="J517" s="59" t="n"/>
      <c r="K517" s="59" t="n"/>
      <c r="L517" s="59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9" t="n"/>
      <c r="X517" s="61" t="n"/>
      <c r="Y517" s="59" t="n"/>
      <c r="Z517" s="59" t="n"/>
      <c r="AA517" s="59" t="n"/>
      <c r="AB517" s="59" t="n"/>
      <c r="AC517" s="59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9" t="n"/>
      <c r="F518" s="59" t="n"/>
      <c r="G518" s="60" t="n"/>
      <c r="H518" s="47" t="n"/>
      <c r="I518" s="47" t="n"/>
      <c r="J518" s="59" t="n"/>
      <c r="K518" s="59" t="n"/>
      <c r="L518" s="59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9" t="n"/>
      <c r="X518" s="61" t="n"/>
      <c r="Y518" s="59" t="n"/>
      <c r="Z518" s="59" t="n"/>
      <c r="AA518" s="59" t="n"/>
      <c r="AB518" s="59" t="n"/>
      <c r="AC518" s="59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9" t="n"/>
      <c r="F519" s="59" t="n"/>
      <c r="G519" s="60" t="n"/>
      <c r="H519" s="47" t="n"/>
      <c r="I519" s="47" t="n"/>
      <c r="J519" s="59" t="n"/>
      <c r="K519" s="59" t="n"/>
      <c r="L519" s="59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9" t="n"/>
      <c r="X519" s="61" t="n"/>
      <c r="Y519" s="59" t="n"/>
      <c r="Z519" s="59" t="n"/>
      <c r="AA519" s="59" t="n"/>
      <c r="AB519" s="59" t="n"/>
      <c r="AC519" s="59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9" t="n"/>
      <c r="F520" s="59" t="n"/>
      <c r="G520" s="60" t="n"/>
      <c r="H520" s="47" t="n"/>
      <c r="I520" s="47" t="n"/>
      <c r="J520" s="59" t="n"/>
      <c r="K520" s="59" t="n"/>
      <c r="L520" s="59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9" t="n"/>
      <c r="X520" s="61" t="n"/>
      <c r="Y520" s="59" t="n"/>
      <c r="Z520" s="59" t="n"/>
      <c r="AA520" s="59" t="n"/>
      <c r="AB520" s="59" t="n"/>
      <c r="AC520" s="59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9" t="n"/>
      <c r="F521" s="59" t="n"/>
      <c r="G521" s="60" t="n"/>
      <c r="H521" s="47" t="n"/>
      <c r="I521" s="47" t="n"/>
      <c r="J521" s="59" t="n"/>
      <c r="K521" s="59" t="n"/>
      <c r="L521" s="59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9" t="n"/>
      <c r="X521" s="61" t="n"/>
      <c r="Y521" s="59" t="n"/>
      <c r="Z521" s="59" t="n"/>
      <c r="AA521" s="59" t="n"/>
      <c r="AB521" s="59" t="n"/>
      <c r="AC521" s="59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9" t="n"/>
      <c r="F522" s="59" t="n"/>
      <c r="G522" s="60" t="n"/>
      <c r="H522" s="47" t="n"/>
      <c r="I522" s="47" t="n"/>
      <c r="J522" s="59" t="n"/>
      <c r="K522" s="59" t="n"/>
      <c r="L522" s="59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9" t="n"/>
      <c r="X522" s="61" t="n"/>
      <c r="Y522" s="59" t="n"/>
      <c r="Z522" s="59" t="n"/>
      <c r="AA522" s="59" t="n"/>
      <c r="AB522" s="59" t="n"/>
      <c r="AC522" s="59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9" t="n"/>
      <c r="F523" s="59" t="n"/>
      <c r="G523" s="60" t="n"/>
      <c r="H523" s="47" t="n"/>
      <c r="I523" s="47" t="n"/>
      <c r="J523" s="59" t="n"/>
      <c r="K523" s="59" t="n"/>
      <c r="L523" s="59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9" t="n"/>
      <c r="X523" s="61" t="n"/>
      <c r="Y523" s="59" t="n"/>
      <c r="Z523" s="59" t="n"/>
      <c r="AA523" s="59" t="n"/>
      <c r="AB523" s="59" t="n"/>
      <c r="AC523" s="59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9" t="n"/>
      <c r="F524" s="59" t="n"/>
      <c r="G524" s="60" t="n"/>
      <c r="H524" s="47" t="n"/>
      <c r="I524" s="47" t="n"/>
      <c r="J524" s="59" t="n"/>
      <c r="K524" s="59" t="n"/>
      <c r="L524" s="59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9" t="n"/>
      <c r="X524" s="61" t="n"/>
      <c r="Y524" s="59" t="n"/>
      <c r="Z524" s="59" t="n"/>
      <c r="AA524" s="59" t="n"/>
      <c r="AB524" s="59" t="n"/>
      <c r="AC524" s="59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9" t="n"/>
      <c r="F525" s="59" t="n"/>
      <c r="G525" s="60" t="n"/>
      <c r="H525" s="47" t="n"/>
      <c r="I525" s="47" t="n"/>
      <c r="J525" s="59" t="n"/>
      <c r="K525" s="59" t="n"/>
      <c r="L525" s="59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9" t="n"/>
      <c r="X525" s="61" t="n"/>
      <c r="Y525" s="59" t="n"/>
      <c r="Z525" s="59" t="n"/>
      <c r="AA525" s="59" t="n"/>
      <c r="AB525" s="59" t="n"/>
      <c r="AC525" s="59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9" t="n"/>
      <c r="F526" s="59" t="n"/>
      <c r="G526" s="60" t="n"/>
      <c r="H526" s="47" t="n"/>
      <c r="I526" s="47" t="n"/>
      <c r="J526" s="59" t="n"/>
      <c r="K526" s="59" t="n"/>
      <c r="L526" s="59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9" t="n"/>
      <c r="X526" s="61" t="n"/>
      <c r="Y526" s="59" t="n"/>
      <c r="Z526" s="59" t="n"/>
      <c r="AA526" s="59" t="n"/>
      <c r="AB526" s="59" t="n"/>
      <c r="AC526" s="59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9" t="n"/>
      <c r="F527" s="59" t="n"/>
      <c r="G527" s="60" t="n"/>
      <c r="H527" s="47" t="n"/>
      <c r="I527" s="47" t="n"/>
      <c r="J527" s="59" t="n"/>
      <c r="K527" s="59" t="n"/>
      <c r="L527" s="59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9" t="n"/>
      <c r="X527" s="61" t="n"/>
      <c r="Y527" s="59" t="n"/>
      <c r="Z527" s="59" t="n"/>
      <c r="AA527" s="59" t="n"/>
      <c r="AB527" s="59" t="n"/>
      <c r="AC527" s="59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9" t="n"/>
      <c r="F528" s="59" t="n"/>
      <c r="G528" s="60" t="n"/>
      <c r="H528" s="47" t="n"/>
      <c r="I528" s="47" t="n"/>
      <c r="J528" s="59" t="n"/>
      <c r="K528" s="59" t="n"/>
      <c r="L528" s="59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9" t="n"/>
      <c r="X528" s="61" t="n"/>
      <c r="Y528" s="59" t="n"/>
      <c r="Z528" s="59" t="n"/>
      <c r="AA528" s="59" t="n"/>
      <c r="AB528" s="59" t="n"/>
      <c r="AC528" s="59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9" t="n"/>
      <c r="F529" s="59" t="n"/>
      <c r="G529" s="60" t="n"/>
      <c r="H529" s="47" t="n"/>
      <c r="I529" s="47" t="n"/>
      <c r="J529" s="59" t="n"/>
      <c r="K529" s="59" t="n"/>
      <c r="L529" s="59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9" t="n"/>
      <c r="X529" s="61" t="n"/>
      <c r="Y529" s="59" t="n"/>
      <c r="Z529" s="59" t="n"/>
      <c r="AA529" s="59" t="n"/>
      <c r="AB529" s="59" t="n"/>
      <c r="AC529" s="59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9" t="n"/>
      <c r="F530" s="59" t="n"/>
      <c r="G530" s="60" t="n"/>
      <c r="H530" s="47" t="n"/>
      <c r="I530" s="47" t="n"/>
      <c r="J530" s="59" t="n"/>
      <c r="K530" s="59" t="n"/>
      <c r="L530" s="59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9" t="n"/>
      <c r="X530" s="61" t="n"/>
      <c r="Y530" s="59" t="n"/>
      <c r="Z530" s="59" t="n"/>
      <c r="AA530" s="59" t="n"/>
      <c r="AB530" s="59" t="n"/>
      <c r="AC530" s="59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9" t="n"/>
      <c r="F531" s="59" t="n"/>
      <c r="G531" s="60" t="n"/>
      <c r="H531" s="47" t="n"/>
      <c r="I531" s="47" t="n"/>
      <c r="J531" s="59" t="n"/>
      <c r="K531" s="59" t="n"/>
      <c r="L531" s="59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9" t="n"/>
      <c r="X531" s="61" t="n"/>
      <c r="Y531" s="59" t="n"/>
      <c r="Z531" s="59" t="n"/>
      <c r="AA531" s="59" t="n"/>
      <c r="AB531" s="59" t="n"/>
      <c r="AC531" s="59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9" t="n"/>
      <c r="F532" s="59" t="n"/>
      <c r="G532" s="60" t="n"/>
      <c r="H532" s="47" t="n"/>
      <c r="I532" s="47" t="n"/>
      <c r="J532" s="59" t="n"/>
      <c r="K532" s="59" t="n"/>
      <c r="L532" s="59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9" t="n"/>
      <c r="X532" s="61" t="n"/>
      <c r="Y532" s="59" t="n"/>
      <c r="Z532" s="59" t="n"/>
      <c r="AA532" s="59" t="n"/>
      <c r="AB532" s="59" t="n"/>
      <c r="AC532" s="59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9" t="n"/>
      <c r="F533" s="59" t="n"/>
      <c r="G533" s="60" t="n"/>
      <c r="H533" s="47" t="n"/>
      <c r="I533" s="47" t="n"/>
      <c r="J533" s="59" t="n"/>
      <c r="K533" s="59" t="n"/>
      <c r="L533" s="59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9" t="n"/>
      <c r="X533" s="61" t="n"/>
      <c r="Y533" s="59" t="n"/>
      <c r="Z533" s="59" t="n"/>
      <c r="AA533" s="59" t="n"/>
      <c r="AB533" s="59" t="n"/>
      <c r="AC533" s="59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9" t="n"/>
      <c r="F534" s="59" t="n"/>
      <c r="G534" s="60" t="n"/>
      <c r="H534" s="47" t="n"/>
      <c r="I534" s="47" t="n"/>
      <c r="J534" s="59" t="n"/>
      <c r="K534" s="59" t="n"/>
      <c r="L534" s="59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9" t="n"/>
      <c r="X534" s="61" t="n"/>
      <c r="Y534" s="59" t="n"/>
      <c r="Z534" s="59" t="n"/>
      <c r="AA534" s="59" t="n"/>
      <c r="AB534" s="59" t="n"/>
      <c r="AC534" s="59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9" t="n"/>
      <c r="F535" s="59" t="n"/>
      <c r="G535" s="60" t="n"/>
      <c r="H535" s="47" t="n"/>
      <c r="I535" s="47" t="n"/>
      <c r="J535" s="59" t="n"/>
      <c r="K535" s="59" t="n"/>
      <c r="L535" s="59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9" t="n"/>
      <c r="X535" s="61" t="n"/>
      <c r="Y535" s="59" t="n"/>
      <c r="Z535" s="59" t="n"/>
      <c r="AA535" s="59" t="n"/>
      <c r="AB535" s="59" t="n"/>
      <c r="AC535" s="59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9" t="n"/>
      <c r="F536" s="59" t="n"/>
      <c r="G536" s="60" t="n"/>
      <c r="H536" s="47" t="n"/>
      <c r="I536" s="47" t="n"/>
      <c r="J536" s="59" t="n"/>
      <c r="K536" s="59" t="n"/>
      <c r="L536" s="59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9" t="n"/>
      <c r="X536" s="61" t="n"/>
      <c r="Y536" s="59" t="n"/>
      <c r="Z536" s="59" t="n"/>
      <c r="AA536" s="59" t="n"/>
      <c r="AB536" s="59" t="n"/>
      <c r="AC536" s="59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9" t="n"/>
      <c r="F537" s="59" t="n"/>
      <c r="G537" s="60" t="n"/>
      <c r="H537" s="47" t="n"/>
      <c r="I537" s="47" t="n"/>
      <c r="J537" s="59" t="n"/>
      <c r="K537" s="59" t="n"/>
      <c r="L537" s="59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9" t="n"/>
      <c r="X537" s="61" t="n"/>
      <c r="Y537" s="59" t="n"/>
      <c r="Z537" s="59" t="n"/>
      <c r="AA537" s="59" t="n"/>
      <c r="AB537" s="59" t="n"/>
      <c r="AC537" s="59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9" t="n"/>
      <c r="F538" s="59" t="n"/>
      <c r="G538" s="60" t="n"/>
      <c r="H538" s="47" t="n"/>
      <c r="I538" s="47" t="n"/>
      <c r="J538" s="59" t="n"/>
      <c r="K538" s="59" t="n"/>
      <c r="L538" s="59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9" t="n"/>
      <c r="X538" s="61" t="n"/>
      <c r="Y538" s="59" t="n"/>
      <c r="Z538" s="59" t="n"/>
      <c r="AA538" s="59" t="n"/>
      <c r="AB538" s="59" t="n"/>
      <c r="AC538" s="59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9" t="n"/>
      <c r="F539" s="59" t="n"/>
      <c r="G539" s="60" t="n"/>
      <c r="H539" s="47" t="n"/>
      <c r="I539" s="47" t="n"/>
      <c r="J539" s="59" t="n"/>
      <c r="K539" s="59" t="n"/>
      <c r="L539" s="59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9" t="n"/>
      <c r="X539" s="61" t="n"/>
      <c r="Y539" s="59" t="n"/>
      <c r="Z539" s="59" t="n"/>
      <c r="AA539" s="59" t="n"/>
      <c r="AB539" s="59" t="n"/>
      <c r="AC539" s="59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9" t="n"/>
      <c r="F540" s="59" t="n"/>
      <c r="G540" s="60" t="n"/>
      <c r="H540" s="47" t="n"/>
      <c r="I540" s="47" t="n"/>
      <c r="J540" s="59" t="n"/>
      <c r="K540" s="59" t="n"/>
      <c r="L540" s="59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9" t="n"/>
      <c r="X540" s="61" t="n"/>
      <c r="Y540" s="59" t="n"/>
      <c r="Z540" s="59" t="n"/>
      <c r="AA540" s="59" t="n"/>
      <c r="AB540" s="59" t="n"/>
      <c r="AC540" s="59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9" t="n"/>
      <c r="F541" s="59" t="n"/>
      <c r="G541" s="60" t="n"/>
      <c r="H541" s="47" t="n"/>
      <c r="I541" s="47" t="n"/>
      <c r="J541" s="59" t="n"/>
      <c r="K541" s="59" t="n"/>
      <c r="L541" s="59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9" t="n"/>
      <c r="X541" s="61" t="n"/>
      <c r="Y541" s="59" t="n"/>
      <c r="Z541" s="59" t="n"/>
      <c r="AA541" s="59" t="n"/>
      <c r="AB541" s="59" t="n"/>
      <c r="AC541" s="59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9" t="n"/>
      <c r="F542" s="59" t="n"/>
      <c r="G542" s="60" t="n"/>
      <c r="H542" s="47" t="n"/>
      <c r="I542" s="47" t="n"/>
      <c r="J542" s="59" t="n"/>
      <c r="K542" s="59" t="n"/>
      <c r="L542" s="59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9" t="n"/>
      <c r="X542" s="61" t="n"/>
      <c r="Y542" s="59" t="n"/>
      <c r="Z542" s="59" t="n"/>
      <c r="AA542" s="59" t="n"/>
      <c r="AB542" s="59" t="n"/>
      <c r="AC542" s="59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9" t="n"/>
      <c r="F543" s="59" t="n"/>
      <c r="G543" s="60" t="n"/>
      <c r="H543" s="47" t="n"/>
      <c r="I543" s="47" t="n"/>
      <c r="J543" s="59" t="n"/>
      <c r="K543" s="59" t="n"/>
      <c r="L543" s="59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9" t="n"/>
      <c r="X543" s="61" t="n"/>
      <c r="Y543" s="59" t="n"/>
      <c r="Z543" s="59" t="n"/>
      <c r="AA543" s="59" t="n"/>
      <c r="AB543" s="59" t="n"/>
      <c r="AC543" s="59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9" t="n"/>
      <c r="F544" s="59" t="n"/>
      <c r="G544" s="60" t="n"/>
      <c r="H544" s="47" t="n"/>
      <c r="I544" s="47" t="n"/>
      <c r="J544" s="59" t="n"/>
      <c r="K544" s="59" t="n"/>
      <c r="L544" s="59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9" t="n"/>
      <c r="X544" s="61" t="n"/>
      <c r="Y544" s="59" t="n"/>
      <c r="Z544" s="59" t="n"/>
      <c r="AA544" s="59" t="n"/>
      <c r="AB544" s="59" t="n"/>
      <c r="AC544" s="59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9" t="n"/>
      <c r="F545" s="59" t="n"/>
      <c r="G545" s="60" t="n"/>
      <c r="H545" s="47" t="n"/>
      <c r="I545" s="47" t="n"/>
      <c r="J545" s="59" t="n"/>
      <c r="K545" s="59" t="n"/>
      <c r="L545" s="59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9" t="n"/>
      <c r="X545" s="61" t="n"/>
      <c r="Y545" s="59" t="n"/>
      <c r="Z545" s="59" t="n"/>
      <c r="AA545" s="59" t="n"/>
      <c r="AB545" s="59" t="n"/>
      <c r="AC545" s="59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9" t="n"/>
      <c r="F546" s="59" t="n"/>
      <c r="G546" s="60" t="n"/>
      <c r="H546" s="47" t="n"/>
      <c r="I546" s="47" t="n"/>
      <c r="J546" s="59" t="n"/>
      <c r="K546" s="59" t="n"/>
      <c r="L546" s="59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9" t="n"/>
      <c r="X546" s="61" t="n"/>
      <c r="Y546" s="59" t="n"/>
      <c r="Z546" s="59" t="n"/>
      <c r="AA546" s="59" t="n"/>
      <c r="AB546" s="59" t="n"/>
      <c r="AC546" s="59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9" t="n"/>
      <c r="F547" s="59" t="n"/>
      <c r="G547" s="60" t="n"/>
      <c r="H547" s="47" t="n"/>
      <c r="I547" s="47" t="n"/>
      <c r="J547" s="59" t="n"/>
      <c r="K547" s="59" t="n"/>
      <c r="L547" s="59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9" t="n"/>
      <c r="X547" s="61" t="n"/>
      <c r="Y547" s="59" t="n"/>
      <c r="Z547" s="59" t="n"/>
      <c r="AA547" s="59" t="n"/>
      <c r="AB547" s="59" t="n"/>
      <c r="AC547" s="59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9" t="n"/>
      <c r="F548" s="59" t="n"/>
      <c r="G548" s="60" t="n"/>
      <c r="H548" s="47" t="n"/>
      <c r="I548" s="47" t="n"/>
      <c r="J548" s="59" t="n"/>
      <c r="K548" s="59" t="n"/>
      <c r="L548" s="59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9" t="n"/>
      <c r="X548" s="61" t="n"/>
      <c r="Y548" s="59" t="n"/>
      <c r="Z548" s="59" t="n"/>
      <c r="AA548" s="59" t="n"/>
      <c r="AB548" s="59" t="n"/>
      <c r="AC548" s="59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9" t="n"/>
      <c r="F549" s="59" t="n"/>
      <c r="G549" s="60" t="n"/>
      <c r="H549" s="47" t="n"/>
      <c r="I549" s="47" t="n"/>
      <c r="J549" s="59" t="n"/>
      <c r="K549" s="59" t="n"/>
      <c r="L549" s="59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9" t="n"/>
      <c r="X549" s="61" t="n"/>
      <c r="Y549" s="59" t="n"/>
      <c r="Z549" s="59" t="n"/>
      <c r="AA549" s="59" t="n"/>
      <c r="AB549" s="59" t="n"/>
      <c r="AC549" s="59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9" t="n"/>
      <c r="F550" s="59" t="n"/>
      <c r="G550" s="60" t="n"/>
      <c r="H550" s="47" t="n"/>
      <c r="I550" s="47" t="n"/>
      <c r="J550" s="59" t="n"/>
      <c r="K550" s="59" t="n"/>
      <c r="L550" s="59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9" t="n"/>
      <c r="X550" s="61" t="n"/>
      <c r="Y550" s="59" t="n"/>
      <c r="Z550" s="59" t="n"/>
      <c r="AA550" s="59" t="n"/>
      <c r="AB550" s="59" t="n"/>
      <c r="AC550" s="59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9" t="n"/>
      <c r="F551" s="59" t="n"/>
      <c r="G551" s="60" t="n"/>
      <c r="H551" s="47" t="n"/>
      <c r="I551" s="47" t="n"/>
      <c r="J551" s="59" t="n"/>
      <c r="K551" s="59" t="n"/>
      <c r="L551" s="59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9" t="n"/>
      <c r="X551" s="61" t="n"/>
      <c r="Y551" s="59" t="n"/>
      <c r="Z551" s="59" t="n"/>
      <c r="AA551" s="59" t="n"/>
      <c r="AB551" s="59" t="n"/>
      <c r="AC551" s="59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9" t="n"/>
      <c r="F552" s="59" t="n"/>
      <c r="G552" s="60" t="n"/>
      <c r="H552" s="47" t="n"/>
      <c r="I552" s="47" t="n"/>
      <c r="J552" s="59" t="n"/>
      <c r="K552" s="59" t="n"/>
      <c r="L552" s="59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9" t="n"/>
      <c r="X552" s="61" t="n"/>
      <c r="Y552" s="59" t="n"/>
      <c r="Z552" s="59" t="n"/>
      <c r="AA552" s="59" t="n"/>
      <c r="AB552" s="59" t="n"/>
      <c r="AC552" s="59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9" t="n"/>
      <c r="F553" s="59" t="n"/>
      <c r="G553" s="60" t="n"/>
      <c r="H553" s="47" t="n"/>
      <c r="I553" s="47" t="n"/>
      <c r="J553" s="59" t="n"/>
      <c r="K553" s="59" t="n"/>
      <c r="L553" s="59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9" t="n"/>
      <c r="X553" s="61" t="n"/>
      <c r="Y553" s="59" t="n"/>
      <c r="Z553" s="59" t="n"/>
      <c r="AA553" s="59" t="n"/>
      <c r="AB553" s="59" t="n"/>
      <c r="AC553" s="59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9" t="n"/>
      <c r="F554" s="59" t="n"/>
      <c r="G554" s="60" t="n"/>
      <c r="H554" s="47" t="n"/>
      <c r="I554" s="47" t="n"/>
      <c r="J554" s="59" t="n"/>
      <c r="K554" s="59" t="n"/>
      <c r="L554" s="59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9" t="n"/>
      <c r="X554" s="61" t="n"/>
      <c r="Y554" s="59" t="n"/>
      <c r="Z554" s="59" t="n"/>
      <c r="AA554" s="59" t="n"/>
      <c r="AB554" s="59" t="n"/>
      <c r="AC554" s="59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9" t="n"/>
      <c r="F555" s="59" t="n"/>
      <c r="G555" s="60" t="n"/>
      <c r="H555" s="47" t="n"/>
      <c r="I555" s="47" t="n"/>
      <c r="J555" s="59" t="n"/>
      <c r="K555" s="59" t="n"/>
      <c r="L555" s="59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9" t="n"/>
      <c r="X555" s="61" t="n"/>
      <c r="Y555" s="59" t="n"/>
      <c r="Z555" s="59" t="n"/>
      <c r="AA555" s="59" t="n"/>
      <c r="AB555" s="59" t="n"/>
      <c r="AC555" s="59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9" t="n"/>
      <c r="F556" s="59" t="n"/>
      <c r="G556" s="60" t="n"/>
      <c r="H556" s="47" t="n"/>
      <c r="I556" s="47" t="n"/>
      <c r="J556" s="59" t="n"/>
      <c r="K556" s="59" t="n"/>
      <c r="L556" s="59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9" t="n"/>
      <c r="X556" s="61" t="n"/>
      <c r="Y556" s="59" t="n"/>
      <c r="Z556" s="59" t="n"/>
      <c r="AA556" s="59" t="n"/>
      <c r="AB556" s="59" t="n"/>
      <c r="AC556" s="59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9" t="n"/>
      <c r="F557" s="59" t="n"/>
      <c r="G557" s="60" t="n"/>
      <c r="H557" s="47" t="n"/>
      <c r="I557" s="47" t="n"/>
      <c r="J557" s="59" t="n"/>
      <c r="K557" s="59" t="n"/>
      <c r="L557" s="59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9" t="n"/>
      <c r="X557" s="61" t="n"/>
      <c r="Y557" s="59" t="n"/>
      <c r="Z557" s="59" t="n"/>
      <c r="AA557" s="59" t="n"/>
      <c r="AB557" s="59" t="n"/>
      <c r="AC557" s="59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9" t="n"/>
      <c r="F558" s="59" t="n"/>
      <c r="G558" s="60" t="n"/>
      <c r="H558" s="47" t="n"/>
      <c r="I558" s="47" t="n"/>
      <c r="J558" s="59" t="n"/>
      <c r="K558" s="59" t="n"/>
      <c r="L558" s="59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9" t="n"/>
      <c r="X558" s="61" t="n"/>
      <c r="Y558" s="59" t="n"/>
      <c r="Z558" s="59" t="n"/>
      <c r="AA558" s="59" t="n"/>
      <c r="AB558" s="59" t="n"/>
      <c r="AC558" s="59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9" t="n"/>
      <c r="F559" s="59" t="n"/>
      <c r="G559" s="60" t="n"/>
      <c r="H559" s="47" t="n"/>
      <c r="I559" s="47" t="n"/>
      <c r="J559" s="59" t="n"/>
      <c r="K559" s="59" t="n"/>
      <c r="L559" s="59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9" t="n"/>
      <c r="X559" s="61" t="n"/>
      <c r="Y559" s="59" t="n"/>
      <c r="Z559" s="59" t="n"/>
      <c r="AA559" s="59" t="n"/>
      <c r="AB559" s="59" t="n"/>
      <c r="AC559" s="59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9" t="n"/>
      <c r="F560" s="59" t="n"/>
      <c r="G560" s="60" t="n"/>
      <c r="H560" s="47" t="n"/>
      <c r="I560" s="47" t="n"/>
      <c r="J560" s="59" t="n"/>
      <c r="K560" s="59" t="n"/>
      <c r="L560" s="59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9" t="n"/>
      <c r="X560" s="61" t="n"/>
      <c r="Y560" s="59" t="n"/>
      <c r="Z560" s="59" t="n"/>
      <c r="AA560" s="59" t="n"/>
      <c r="AB560" s="59" t="n"/>
      <c r="AC560" s="59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9" t="n"/>
      <c r="F561" s="59" t="n"/>
      <c r="G561" s="60" t="n"/>
      <c r="H561" s="47" t="n"/>
      <c r="I561" s="47" t="n"/>
      <c r="J561" s="59" t="n"/>
      <c r="K561" s="59" t="n"/>
      <c r="L561" s="59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9" t="n"/>
      <c r="X561" s="61" t="n"/>
      <c r="Y561" s="59" t="n"/>
      <c r="Z561" s="59" t="n"/>
      <c r="AA561" s="59" t="n"/>
      <c r="AB561" s="59" t="n"/>
      <c r="AC561" s="59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9" t="n"/>
      <c r="F562" s="59" t="n"/>
      <c r="G562" s="60" t="n"/>
      <c r="H562" s="47" t="n"/>
      <c r="I562" s="47" t="n"/>
      <c r="J562" s="59" t="n"/>
      <c r="K562" s="59" t="n"/>
      <c r="L562" s="59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9" t="n"/>
      <c r="X562" s="61" t="n"/>
      <c r="Y562" s="59" t="n"/>
      <c r="Z562" s="59" t="n"/>
      <c r="AA562" s="59" t="n"/>
      <c r="AB562" s="59" t="n"/>
      <c r="AC562" s="59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9" t="n"/>
      <c r="F563" s="59" t="n"/>
      <c r="G563" s="60" t="n"/>
      <c r="H563" s="47" t="n"/>
      <c r="I563" s="47" t="n"/>
      <c r="J563" s="59" t="n"/>
      <c r="K563" s="59" t="n"/>
      <c r="L563" s="59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9" t="n"/>
      <c r="X563" s="61" t="n"/>
      <c r="Y563" s="59" t="n"/>
      <c r="Z563" s="59" t="n"/>
      <c r="AA563" s="59" t="n"/>
      <c r="AB563" s="59" t="n"/>
      <c r="AC563" s="59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9" t="n"/>
      <c r="F564" s="59" t="n"/>
      <c r="G564" s="60" t="n"/>
      <c r="H564" s="47" t="n"/>
      <c r="I564" s="47" t="n"/>
      <c r="J564" s="59" t="n"/>
      <c r="K564" s="59" t="n"/>
      <c r="L564" s="59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9" t="n"/>
      <c r="X564" s="61" t="n"/>
      <c r="Y564" s="59" t="n"/>
      <c r="Z564" s="59" t="n"/>
      <c r="AA564" s="59" t="n"/>
      <c r="AB564" s="59" t="n"/>
      <c r="AC564" s="59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9" t="n"/>
      <c r="F565" s="59" t="n"/>
      <c r="G565" s="60" t="n"/>
      <c r="H565" s="47" t="n"/>
      <c r="I565" s="47" t="n"/>
      <c r="J565" s="59" t="n"/>
      <c r="K565" s="59" t="n"/>
      <c r="L565" s="59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9" t="n"/>
      <c r="X565" s="61" t="n"/>
      <c r="Y565" s="59" t="n"/>
      <c r="Z565" s="59" t="n"/>
      <c r="AA565" s="59" t="n"/>
      <c r="AB565" s="59" t="n"/>
      <c r="AC565" s="59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9" t="n"/>
      <c r="F566" s="59" t="n"/>
      <c r="G566" s="60" t="n"/>
      <c r="H566" s="47" t="n"/>
      <c r="I566" s="47" t="n"/>
      <c r="J566" s="59" t="n"/>
      <c r="K566" s="59" t="n"/>
      <c r="L566" s="59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9" t="n"/>
      <c r="X566" s="61" t="n"/>
      <c r="Y566" s="59" t="n"/>
      <c r="Z566" s="59" t="n"/>
      <c r="AA566" s="59" t="n"/>
      <c r="AB566" s="59" t="n"/>
      <c r="AC566" s="59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9" t="n"/>
      <c r="F567" s="59" t="n"/>
      <c r="G567" s="60" t="n"/>
      <c r="H567" s="47" t="n"/>
      <c r="I567" s="47" t="n"/>
      <c r="J567" s="59" t="n"/>
      <c r="K567" s="59" t="n"/>
      <c r="L567" s="59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9" t="n"/>
      <c r="X567" s="61" t="n"/>
      <c r="Y567" s="59" t="n"/>
      <c r="Z567" s="59" t="n"/>
      <c r="AA567" s="59" t="n"/>
      <c r="AB567" s="59" t="n"/>
      <c r="AC567" s="59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9" t="n"/>
      <c r="F568" s="59" t="n"/>
      <c r="G568" s="60" t="n"/>
      <c r="H568" s="47" t="n"/>
      <c r="I568" s="47" t="n"/>
      <c r="J568" s="59" t="n"/>
      <c r="K568" s="59" t="n"/>
      <c r="L568" s="59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9" t="n"/>
      <c r="X568" s="61" t="n"/>
      <c r="Y568" s="59" t="n"/>
      <c r="Z568" s="59" t="n"/>
      <c r="AA568" s="59" t="n"/>
      <c r="AB568" s="59" t="n"/>
      <c r="AC568" s="59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9" t="n"/>
      <c r="F569" s="59" t="n"/>
      <c r="G569" s="60" t="n"/>
      <c r="H569" s="47" t="n"/>
      <c r="I569" s="47" t="n"/>
      <c r="J569" s="59" t="n"/>
      <c r="K569" s="59" t="n"/>
      <c r="L569" s="59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9" t="n"/>
      <c r="X569" s="61" t="n"/>
      <c r="Y569" s="59" t="n"/>
      <c r="Z569" s="59" t="n"/>
      <c r="AA569" s="59" t="n"/>
      <c r="AB569" s="59" t="n"/>
      <c r="AC569" s="59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9" t="n"/>
      <c r="F570" s="59" t="n"/>
      <c r="G570" s="60" t="n"/>
      <c r="H570" s="47" t="n"/>
      <c r="I570" s="47" t="n"/>
      <c r="J570" s="59" t="n"/>
      <c r="K570" s="59" t="n"/>
      <c r="L570" s="59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9" t="n"/>
      <c r="X570" s="61" t="n"/>
      <c r="Y570" s="59" t="n"/>
      <c r="Z570" s="59" t="n"/>
      <c r="AA570" s="59" t="n"/>
      <c r="AB570" s="59" t="n"/>
      <c r="AC570" s="59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9" t="n"/>
      <c r="F571" s="59" t="n"/>
      <c r="G571" s="60" t="n"/>
      <c r="H571" s="47" t="n"/>
      <c r="I571" s="47" t="n"/>
      <c r="J571" s="59" t="n"/>
      <c r="K571" s="59" t="n"/>
      <c r="L571" s="59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9" t="n"/>
      <c r="X571" s="61" t="n"/>
      <c r="Y571" s="59" t="n"/>
      <c r="Z571" s="59" t="n"/>
      <c r="AA571" s="59" t="n"/>
      <c r="AB571" s="59" t="n"/>
      <c r="AC571" s="59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9" t="n"/>
      <c r="F572" s="59" t="n"/>
      <c r="G572" s="60" t="n"/>
      <c r="H572" s="47" t="n"/>
      <c r="I572" s="47" t="n"/>
      <c r="J572" s="59" t="n"/>
      <c r="K572" s="59" t="n"/>
      <c r="L572" s="59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9" t="n"/>
      <c r="X572" s="61" t="n"/>
      <c r="Y572" s="59" t="n"/>
      <c r="Z572" s="59" t="n"/>
      <c r="AA572" s="59" t="n"/>
      <c r="AB572" s="59" t="n"/>
      <c r="AC572" s="59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9" t="n"/>
      <c r="F573" s="59" t="n"/>
      <c r="G573" s="60" t="n"/>
      <c r="H573" s="47" t="n"/>
      <c r="I573" s="47" t="n"/>
      <c r="J573" s="59" t="n"/>
      <c r="K573" s="59" t="n"/>
      <c r="L573" s="59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9" t="n"/>
      <c r="X573" s="61" t="n"/>
      <c r="Y573" s="59" t="n"/>
      <c r="Z573" s="59" t="n"/>
      <c r="AA573" s="59" t="n"/>
      <c r="AB573" s="59" t="n"/>
      <c r="AC573" s="59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9" t="n"/>
      <c r="F574" s="59" t="n"/>
      <c r="G574" s="60" t="n"/>
      <c r="H574" s="47" t="n"/>
      <c r="I574" s="47" t="n"/>
      <c r="J574" s="59" t="n"/>
      <c r="K574" s="59" t="n"/>
      <c r="L574" s="59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9" t="n"/>
      <c r="X574" s="61" t="n"/>
      <c r="Y574" s="59" t="n"/>
      <c r="Z574" s="59" t="n"/>
      <c r="AA574" s="59" t="n"/>
      <c r="AB574" s="59" t="n"/>
      <c r="AC574" s="59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9" t="n"/>
      <c r="F575" s="59" t="n"/>
      <c r="G575" s="60" t="n"/>
      <c r="H575" s="47" t="n"/>
      <c r="I575" s="47" t="n"/>
      <c r="J575" s="59" t="n"/>
      <c r="K575" s="59" t="n"/>
      <c r="L575" s="59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9" t="n"/>
      <c r="X575" s="61" t="n"/>
      <c r="Y575" s="59" t="n"/>
      <c r="Z575" s="59" t="n"/>
      <c r="AA575" s="59" t="n"/>
      <c r="AB575" s="59" t="n"/>
      <c r="AC575" s="59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9" t="n"/>
      <c r="F576" s="59" t="n"/>
      <c r="G576" s="60" t="n"/>
      <c r="H576" s="47" t="n"/>
      <c r="I576" s="47" t="n"/>
      <c r="J576" s="59" t="n"/>
      <c r="K576" s="59" t="n"/>
      <c r="L576" s="59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9" t="n"/>
      <c r="X576" s="61" t="n"/>
      <c r="Y576" s="59" t="n"/>
      <c r="Z576" s="59" t="n"/>
      <c r="AA576" s="59" t="n"/>
      <c r="AB576" s="59" t="n"/>
      <c r="AC576" s="59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9" t="n"/>
      <c r="F577" s="59" t="n"/>
      <c r="G577" s="60" t="n"/>
      <c r="H577" s="47" t="n"/>
      <c r="I577" s="47" t="n"/>
      <c r="J577" s="59" t="n"/>
      <c r="K577" s="59" t="n"/>
      <c r="L577" s="59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9" t="n"/>
      <c r="X577" s="61" t="n"/>
      <c r="Y577" s="59" t="n"/>
      <c r="Z577" s="59" t="n"/>
      <c r="AA577" s="59" t="n"/>
      <c r="AB577" s="59" t="n"/>
      <c r="AC577" s="59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9" t="n"/>
      <c r="F578" s="59" t="n"/>
      <c r="G578" s="60" t="n"/>
      <c r="H578" s="47" t="n"/>
      <c r="I578" s="47" t="n"/>
      <c r="J578" s="59" t="n"/>
      <c r="K578" s="59" t="n"/>
      <c r="L578" s="59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9" t="n"/>
      <c r="X578" s="61" t="n"/>
      <c r="Y578" s="59" t="n"/>
      <c r="Z578" s="59" t="n"/>
      <c r="AA578" s="59" t="n"/>
      <c r="AB578" s="59" t="n"/>
      <c r="AC578" s="59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9" t="n"/>
      <c r="F579" s="59" t="n"/>
      <c r="G579" s="60" t="n"/>
      <c r="H579" s="47" t="n"/>
      <c r="I579" s="47" t="n"/>
      <c r="J579" s="59" t="n"/>
      <c r="K579" s="59" t="n"/>
      <c r="L579" s="59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9" t="n"/>
      <c r="X579" s="61" t="n"/>
      <c r="Y579" s="59" t="n"/>
      <c r="Z579" s="59" t="n"/>
      <c r="AA579" s="59" t="n"/>
      <c r="AB579" s="59" t="n"/>
      <c r="AC579" s="59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9" t="n"/>
      <c r="F580" s="59" t="n"/>
      <c r="G580" s="60" t="n"/>
      <c r="H580" s="47" t="n"/>
      <c r="I580" s="47" t="n"/>
      <c r="J580" s="59" t="n"/>
      <c r="K580" s="59" t="n"/>
      <c r="L580" s="59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9" t="n"/>
      <c r="X580" s="61" t="n"/>
      <c r="Y580" s="59" t="n"/>
      <c r="Z580" s="59" t="n"/>
      <c r="AA580" s="59" t="n"/>
      <c r="AB580" s="59" t="n"/>
      <c r="AC580" s="59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9" t="n"/>
      <c r="F581" s="59" t="n"/>
      <c r="G581" s="60" t="n"/>
      <c r="H581" s="47" t="n"/>
      <c r="I581" s="47" t="n"/>
      <c r="J581" s="59" t="n"/>
      <c r="K581" s="59" t="n"/>
      <c r="L581" s="59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9" t="n"/>
      <c r="X581" s="61" t="n"/>
      <c r="Y581" s="59" t="n"/>
      <c r="Z581" s="59" t="n"/>
      <c r="AA581" s="59" t="n"/>
      <c r="AB581" s="59" t="n"/>
      <c r="AC581" s="59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9" t="n"/>
      <c r="F582" s="59" t="n"/>
      <c r="G582" s="60" t="n"/>
      <c r="H582" s="47" t="n"/>
      <c r="I582" s="47" t="n"/>
      <c r="J582" s="59" t="n"/>
      <c r="K582" s="59" t="n"/>
      <c r="L582" s="59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9" t="n"/>
      <c r="X582" s="61" t="n"/>
      <c r="Y582" s="59" t="n"/>
      <c r="Z582" s="59" t="n"/>
      <c r="AA582" s="59" t="n"/>
      <c r="AB582" s="59" t="n"/>
      <c r="AC582" s="59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9" t="n"/>
      <c r="F583" s="59" t="n"/>
      <c r="G583" s="60" t="n"/>
      <c r="H583" s="47" t="n"/>
      <c r="I583" s="47" t="n"/>
      <c r="J583" s="59" t="n"/>
      <c r="K583" s="59" t="n"/>
      <c r="L583" s="59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9" t="n"/>
      <c r="X583" s="61" t="n"/>
      <c r="Y583" s="59" t="n"/>
      <c r="Z583" s="59" t="n"/>
      <c r="AA583" s="59" t="n"/>
      <c r="AB583" s="59" t="n"/>
      <c r="AC583" s="59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9" t="n"/>
      <c r="F584" s="59" t="n"/>
      <c r="G584" s="60" t="n"/>
      <c r="H584" s="47" t="n"/>
      <c r="I584" s="47" t="n"/>
      <c r="J584" s="59" t="n"/>
      <c r="K584" s="59" t="n"/>
      <c r="L584" s="59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9" t="n"/>
      <c r="X584" s="61" t="n"/>
      <c r="Y584" s="59" t="n"/>
      <c r="Z584" s="59" t="n"/>
      <c r="AA584" s="59" t="n"/>
      <c r="AB584" s="59" t="n"/>
      <c r="AC584" s="59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9" t="n"/>
      <c r="F585" s="59" t="n"/>
      <c r="G585" s="60" t="n"/>
      <c r="H585" s="47" t="n"/>
      <c r="I585" s="47" t="n"/>
      <c r="J585" s="59" t="n"/>
      <c r="K585" s="59" t="n"/>
      <c r="L585" s="59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9" t="n"/>
      <c r="X585" s="61" t="n"/>
      <c r="Y585" s="59" t="n"/>
      <c r="Z585" s="59" t="n"/>
      <c r="AA585" s="59" t="n"/>
      <c r="AB585" s="59" t="n"/>
      <c r="AC585" s="59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9" t="n"/>
      <c r="F586" s="59" t="n"/>
      <c r="G586" s="60" t="n"/>
      <c r="H586" s="47" t="n"/>
      <c r="I586" s="47" t="n"/>
      <c r="J586" s="59" t="n"/>
      <c r="K586" s="59" t="n"/>
      <c r="L586" s="59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9" t="n"/>
      <c r="X586" s="61" t="n"/>
      <c r="Y586" s="59" t="n"/>
      <c r="Z586" s="59" t="n"/>
      <c r="AA586" s="59" t="n"/>
      <c r="AB586" s="59" t="n"/>
      <c r="AC586" s="59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9" t="n"/>
      <c r="F587" s="59" t="n"/>
      <c r="G587" s="60" t="n"/>
      <c r="H587" s="47" t="n"/>
      <c r="I587" s="47" t="n"/>
      <c r="J587" s="59" t="n"/>
      <c r="K587" s="59" t="n"/>
      <c r="L587" s="59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9" t="n"/>
      <c r="X587" s="61" t="n"/>
      <c r="Y587" s="59" t="n"/>
      <c r="Z587" s="59" t="n"/>
      <c r="AA587" s="59" t="n"/>
      <c r="AB587" s="59" t="n"/>
      <c r="AC587" s="59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9" t="n"/>
      <c r="F588" s="59" t="n"/>
      <c r="G588" s="60" t="n"/>
      <c r="H588" s="47" t="n"/>
      <c r="I588" s="47" t="n"/>
      <c r="J588" s="59" t="n"/>
      <c r="K588" s="59" t="n"/>
      <c r="L588" s="59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9" t="n"/>
      <c r="X588" s="61" t="n"/>
      <c r="Y588" s="59" t="n"/>
      <c r="Z588" s="59" t="n"/>
      <c r="AA588" s="59" t="n"/>
      <c r="AB588" s="59" t="n"/>
      <c r="AC588" s="59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9" t="n"/>
      <c r="F589" s="59" t="n"/>
      <c r="G589" s="60" t="n"/>
      <c r="H589" s="47" t="n"/>
      <c r="I589" s="47" t="n"/>
      <c r="J589" s="59" t="n"/>
      <c r="K589" s="59" t="n"/>
      <c r="L589" s="59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9" t="n"/>
      <c r="X589" s="61" t="n"/>
      <c r="Y589" s="59" t="n"/>
      <c r="Z589" s="59" t="n"/>
      <c r="AA589" s="59" t="n"/>
      <c r="AB589" s="59" t="n"/>
      <c r="AC589" s="59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9" t="n"/>
      <c r="F590" s="59" t="n"/>
      <c r="G590" s="60" t="n"/>
      <c r="H590" s="47" t="n"/>
      <c r="I590" s="47" t="n"/>
      <c r="J590" s="59" t="n"/>
      <c r="K590" s="59" t="n"/>
      <c r="L590" s="59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9" t="n"/>
      <c r="X590" s="61" t="n"/>
      <c r="Y590" s="59" t="n"/>
      <c r="Z590" s="59" t="n"/>
      <c r="AA590" s="59" t="n"/>
      <c r="AB590" s="59" t="n"/>
      <c r="AC590" s="59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9" t="n"/>
      <c r="F591" s="59" t="n"/>
      <c r="G591" s="60" t="n"/>
      <c r="H591" s="47" t="n"/>
      <c r="I591" s="47" t="n"/>
      <c r="J591" s="59" t="n"/>
      <c r="K591" s="59" t="n"/>
      <c r="L591" s="59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9" t="n"/>
      <c r="X591" s="61" t="n"/>
      <c r="Y591" s="59" t="n"/>
      <c r="Z591" s="59" t="n"/>
      <c r="AA591" s="59" t="n"/>
      <c r="AB591" s="59" t="n"/>
      <c r="AC591" s="59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9" t="n"/>
      <c r="F592" s="59" t="n"/>
      <c r="G592" s="60" t="n"/>
      <c r="H592" s="47" t="n"/>
      <c r="I592" s="47" t="n"/>
      <c r="J592" s="59" t="n"/>
      <c r="K592" s="59" t="n"/>
      <c r="L592" s="59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9" t="n"/>
      <c r="X592" s="61" t="n"/>
      <c r="Y592" s="59" t="n"/>
      <c r="Z592" s="59" t="n"/>
      <c r="AA592" s="59" t="n"/>
      <c r="AB592" s="59" t="n"/>
      <c r="AC592" s="59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9" t="n"/>
      <c r="F593" s="59" t="n"/>
      <c r="G593" s="60" t="n"/>
      <c r="H593" s="47" t="n"/>
      <c r="I593" s="47" t="n"/>
      <c r="J593" s="59" t="n"/>
      <c r="K593" s="59" t="n"/>
      <c r="L593" s="59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9" t="n"/>
      <c r="X593" s="61" t="n"/>
      <c r="Y593" s="59" t="n"/>
      <c r="Z593" s="59" t="n"/>
      <c r="AA593" s="59" t="n"/>
      <c r="AB593" s="59" t="n"/>
      <c r="AC593" s="59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9" t="n"/>
      <c r="F594" s="59" t="n"/>
      <c r="G594" s="60" t="n"/>
      <c r="H594" s="47" t="n"/>
      <c r="I594" s="47" t="n"/>
      <c r="J594" s="59" t="n"/>
      <c r="K594" s="59" t="n"/>
      <c r="L594" s="59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9" t="n"/>
      <c r="X594" s="61" t="n"/>
      <c r="Y594" s="59" t="n"/>
      <c r="Z594" s="59" t="n"/>
      <c r="AA594" s="59" t="n"/>
      <c r="AB594" s="59" t="n"/>
      <c r="AC594" s="59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9" t="n"/>
      <c r="F595" s="59" t="n"/>
      <c r="G595" s="60" t="n"/>
      <c r="H595" s="47" t="n"/>
      <c r="I595" s="47" t="n"/>
      <c r="J595" s="59" t="n"/>
      <c r="K595" s="59" t="n"/>
      <c r="L595" s="59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9" t="n"/>
      <c r="X595" s="61" t="n"/>
      <c r="Y595" s="59" t="n"/>
      <c r="Z595" s="59" t="n"/>
      <c r="AA595" s="59" t="n"/>
      <c r="AB595" s="59" t="n"/>
      <c r="AC595" s="59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9" t="n"/>
      <c r="F596" s="59" t="n"/>
      <c r="G596" s="60" t="n"/>
      <c r="H596" s="47" t="n"/>
      <c r="I596" s="47" t="n"/>
      <c r="J596" s="59" t="n"/>
      <c r="K596" s="59" t="n"/>
      <c r="L596" s="59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9" t="n"/>
      <c r="X596" s="61" t="n"/>
      <c r="Y596" s="59" t="n"/>
      <c r="Z596" s="59" t="n"/>
      <c r="AA596" s="59" t="n"/>
      <c r="AB596" s="59" t="n"/>
      <c r="AC596" s="59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9" t="n"/>
      <c r="F597" s="59" t="n"/>
      <c r="G597" s="60" t="n"/>
      <c r="H597" s="47" t="n"/>
      <c r="I597" s="47" t="n"/>
      <c r="J597" s="59" t="n"/>
      <c r="K597" s="59" t="n"/>
      <c r="L597" s="59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9" t="n"/>
      <c r="X597" s="61" t="n"/>
      <c r="Y597" s="59" t="n"/>
      <c r="Z597" s="59" t="n"/>
      <c r="AA597" s="59" t="n"/>
      <c r="AB597" s="59" t="n"/>
      <c r="AC597" s="59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9" t="n"/>
      <c r="F598" s="59" t="n"/>
      <c r="G598" s="60" t="n"/>
      <c r="H598" s="47" t="n"/>
      <c r="I598" s="47" t="n"/>
      <c r="J598" s="59" t="n"/>
      <c r="K598" s="59" t="n"/>
      <c r="L598" s="59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9" t="n"/>
      <c r="X598" s="61" t="n"/>
      <c r="Y598" s="59" t="n"/>
      <c r="Z598" s="59" t="n"/>
      <c r="AA598" s="59" t="n"/>
      <c r="AB598" s="59" t="n"/>
      <c r="AC598" s="59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9" t="n"/>
      <c r="F599" s="59" t="n"/>
      <c r="G599" s="60" t="n"/>
      <c r="H599" s="47" t="n"/>
      <c r="I599" s="47" t="n"/>
      <c r="J599" s="59" t="n"/>
      <c r="K599" s="59" t="n"/>
      <c r="L599" s="59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9" t="n"/>
      <c r="X599" s="61" t="n"/>
      <c r="Y599" s="59" t="n"/>
      <c r="Z599" s="59" t="n"/>
      <c r="AA599" s="59" t="n"/>
      <c r="AB599" s="59" t="n"/>
      <c r="AC599" s="59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9" t="n"/>
      <c r="F600" s="59" t="n"/>
      <c r="G600" s="60" t="n"/>
      <c r="H600" s="47" t="n"/>
      <c r="I600" s="47" t="n"/>
      <c r="J600" s="59" t="n"/>
      <c r="K600" s="59" t="n"/>
      <c r="L600" s="59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9" t="n"/>
      <c r="X600" s="61" t="n"/>
      <c r="Y600" s="59" t="n"/>
      <c r="Z600" s="59" t="n"/>
      <c r="AA600" s="59" t="n"/>
      <c r="AB600" s="59" t="n"/>
      <c r="AC600" s="59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9" t="n"/>
      <c r="F601" s="59" t="n"/>
      <c r="G601" s="60" t="n"/>
      <c r="H601" s="47" t="n"/>
      <c r="I601" s="47" t="n"/>
      <c r="J601" s="59" t="n"/>
      <c r="K601" s="59" t="n"/>
      <c r="L601" s="59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9" t="n"/>
      <c r="X601" s="61" t="n"/>
      <c r="Y601" s="59" t="n"/>
      <c r="Z601" s="59" t="n"/>
      <c r="AA601" s="59" t="n"/>
      <c r="AB601" s="59" t="n"/>
      <c r="AC601" s="59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9" t="n"/>
      <c r="F602" s="59" t="n"/>
      <c r="G602" s="60" t="n"/>
      <c r="H602" s="47" t="n"/>
      <c r="I602" s="47" t="n"/>
      <c r="J602" s="59" t="n"/>
      <c r="K602" s="59" t="n"/>
      <c r="L602" s="59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9" t="n"/>
      <c r="X602" s="61" t="n"/>
      <c r="Y602" s="59" t="n"/>
      <c r="Z602" s="59" t="n"/>
      <c r="AA602" s="59" t="n"/>
      <c r="AB602" s="59" t="n"/>
      <c r="AC602" s="59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9" t="n"/>
      <c r="F603" s="59" t="n"/>
      <c r="G603" s="60" t="n"/>
      <c r="H603" s="47" t="n"/>
      <c r="I603" s="47" t="n"/>
      <c r="J603" s="59" t="n"/>
      <c r="K603" s="59" t="n"/>
      <c r="L603" s="59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9" t="n"/>
      <c r="X603" s="61" t="n"/>
      <c r="Y603" s="59" t="n"/>
      <c r="Z603" s="59" t="n"/>
      <c r="AA603" s="59" t="n"/>
      <c r="AB603" s="59" t="n"/>
      <c r="AC603" s="59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9" t="n"/>
      <c r="F604" s="59" t="n"/>
      <c r="G604" s="60" t="n"/>
      <c r="H604" s="47" t="n"/>
      <c r="I604" s="47" t="n"/>
      <c r="J604" s="59" t="n"/>
      <c r="K604" s="59" t="n"/>
      <c r="L604" s="59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9" t="n"/>
      <c r="X604" s="61" t="n"/>
      <c r="Y604" s="59" t="n"/>
      <c r="Z604" s="59" t="n"/>
      <c r="AA604" s="59" t="n"/>
      <c r="AB604" s="59" t="n"/>
      <c r="AC604" s="59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9" t="n"/>
      <c r="F605" s="59" t="n"/>
      <c r="G605" s="60" t="n"/>
      <c r="H605" s="47" t="n"/>
      <c r="I605" s="47" t="n"/>
      <c r="J605" s="59" t="n"/>
      <c r="K605" s="59" t="n"/>
      <c r="L605" s="59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9" t="n"/>
      <c r="X605" s="61" t="n"/>
      <c r="Y605" s="59" t="n"/>
      <c r="Z605" s="59" t="n"/>
      <c r="AA605" s="59" t="n"/>
      <c r="AB605" s="59" t="n"/>
      <c r="AC605" s="59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9" t="n"/>
      <c r="F606" s="59" t="n"/>
      <c r="G606" s="60" t="n"/>
      <c r="H606" s="47" t="n"/>
      <c r="I606" s="47" t="n"/>
      <c r="J606" s="59" t="n"/>
      <c r="K606" s="59" t="n"/>
      <c r="L606" s="59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9" t="n"/>
      <c r="X606" s="61" t="n"/>
      <c r="Y606" s="59" t="n"/>
      <c r="Z606" s="59" t="n"/>
      <c r="AA606" s="59" t="n"/>
      <c r="AB606" s="59" t="n"/>
      <c r="AC606" s="59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9" t="n"/>
      <c r="F607" s="59" t="n"/>
      <c r="G607" s="60" t="n"/>
      <c r="H607" s="47" t="n"/>
      <c r="I607" s="47" t="n"/>
      <c r="J607" s="59" t="n"/>
      <c r="K607" s="59" t="n"/>
      <c r="L607" s="59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9" t="n"/>
      <c r="X607" s="61" t="n"/>
      <c r="Y607" s="59" t="n"/>
      <c r="Z607" s="59" t="n"/>
      <c r="AA607" s="59" t="n"/>
      <c r="AB607" s="59" t="n"/>
      <c r="AC607" s="59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9" t="n"/>
      <c r="F608" s="59" t="n"/>
      <c r="G608" s="60" t="n"/>
      <c r="H608" s="47" t="n"/>
      <c r="I608" s="47" t="n"/>
      <c r="J608" s="59" t="n"/>
      <c r="K608" s="59" t="n"/>
      <c r="L608" s="59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9" t="n"/>
      <c r="X608" s="61" t="n"/>
      <c r="Y608" s="59" t="n"/>
      <c r="Z608" s="59" t="n"/>
      <c r="AA608" s="59" t="n"/>
      <c r="AB608" s="59" t="n"/>
      <c r="AC608" s="59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9" t="n"/>
      <c r="F609" s="59" t="n"/>
      <c r="G609" s="60" t="n"/>
      <c r="H609" s="47" t="n"/>
      <c r="I609" s="47" t="n"/>
      <c r="J609" s="59" t="n"/>
      <c r="K609" s="59" t="n"/>
      <c r="L609" s="59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9" t="n"/>
      <c r="X609" s="61" t="n"/>
      <c r="Y609" s="59" t="n"/>
      <c r="Z609" s="59" t="n"/>
      <c r="AA609" s="59" t="n"/>
      <c r="AB609" s="59" t="n"/>
      <c r="AC609" s="59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9" t="n"/>
      <c r="F610" s="59" t="n"/>
      <c r="G610" s="60" t="n"/>
      <c r="H610" s="47" t="n"/>
      <c r="I610" s="47" t="n"/>
      <c r="J610" s="59" t="n"/>
      <c r="K610" s="59" t="n"/>
      <c r="L610" s="59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9" t="n"/>
      <c r="X610" s="61" t="n"/>
      <c r="Y610" s="59" t="n"/>
      <c r="Z610" s="59" t="n"/>
      <c r="AA610" s="59" t="n"/>
      <c r="AB610" s="59" t="n"/>
      <c r="AC610" s="59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9" t="n"/>
      <c r="F611" s="59" t="n"/>
      <c r="G611" s="60" t="n"/>
      <c r="H611" s="47" t="n"/>
      <c r="I611" s="47" t="n"/>
      <c r="J611" s="59" t="n"/>
      <c r="K611" s="59" t="n"/>
      <c r="L611" s="59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9" t="n"/>
      <c r="X611" s="61" t="n"/>
      <c r="Y611" s="59" t="n"/>
      <c r="Z611" s="59" t="n"/>
      <c r="AA611" s="59" t="n"/>
      <c r="AB611" s="59" t="n"/>
      <c r="AC611" s="59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9" t="n"/>
      <c r="F612" s="59" t="n"/>
      <c r="G612" s="60" t="n"/>
      <c r="H612" s="47" t="n"/>
      <c r="I612" s="47" t="n"/>
      <c r="J612" s="59" t="n"/>
      <c r="K612" s="59" t="n"/>
      <c r="L612" s="59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9" t="n"/>
      <c r="X612" s="61" t="n"/>
      <c r="Y612" s="59" t="n"/>
      <c r="Z612" s="59" t="n"/>
      <c r="AA612" s="59" t="n"/>
      <c r="AB612" s="59" t="n"/>
      <c r="AC612" s="59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9" t="n"/>
      <c r="F613" s="59" t="n"/>
      <c r="G613" s="60" t="n"/>
      <c r="H613" s="47" t="n"/>
      <c r="I613" s="47" t="n"/>
      <c r="J613" s="59" t="n"/>
      <c r="K613" s="59" t="n"/>
      <c r="L613" s="59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9" t="n"/>
      <c r="X613" s="61" t="n"/>
      <c r="Y613" s="59" t="n"/>
      <c r="Z613" s="59" t="n"/>
      <c r="AA613" s="59" t="n"/>
      <c r="AB613" s="59" t="n"/>
      <c r="AC613" s="59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9" t="n"/>
      <c r="F614" s="59" t="n"/>
      <c r="G614" s="60" t="n"/>
      <c r="H614" s="47" t="n"/>
      <c r="I614" s="47" t="n"/>
      <c r="J614" s="59" t="n"/>
      <c r="K614" s="59" t="n"/>
      <c r="L614" s="59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9" t="n"/>
      <c r="X614" s="61" t="n"/>
      <c r="Y614" s="59" t="n"/>
      <c r="Z614" s="59" t="n"/>
      <c r="AA614" s="59" t="n"/>
      <c r="AB614" s="59" t="n"/>
      <c r="AC614" s="59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9" t="n"/>
      <c r="F615" s="59" t="n"/>
      <c r="G615" s="60" t="n"/>
      <c r="H615" s="47" t="n"/>
      <c r="I615" s="47" t="n"/>
      <c r="J615" s="59" t="n"/>
      <c r="K615" s="59" t="n"/>
      <c r="L615" s="59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9" t="n"/>
      <c r="X615" s="61" t="n"/>
      <c r="Y615" s="59" t="n"/>
      <c r="Z615" s="59" t="n"/>
      <c r="AA615" s="59" t="n"/>
      <c r="AB615" s="59" t="n"/>
      <c r="AC615" s="59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9" t="n"/>
      <c r="F616" s="59" t="n"/>
      <c r="G616" s="60" t="n"/>
      <c r="H616" s="47" t="n"/>
      <c r="I616" s="47" t="n"/>
      <c r="J616" s="59" t="n"/>
      <c r="K616" s="59" t="n"/>
      <c r="L616" s="59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9" t="n"/>
      <c r="X616" s="61" t="n"/>
      <c r="Y616" s="59" t="n"/>
      <c r="Z616" s="59" t="n"/>
      <c r="AA616" s="59" t="n"/>
      <c r="AB616" s="59" t="n"/>
      <c r="AC616" s="59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9" t="n"/>
      <c r="F617" s="59" t="n"/>
      <c r="G617" s="60" t="n"/>
      <c r="H617" s="47" t="n"/>
      <c r="I617" s="47" t="n"/>
      <c r="J617" s="59" t="n"/>
      <c r="K617" s="59" t="n"/>
      <c r="L617" s="59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9" t="n"/>
      <c r="X617" s="61" t="n"/>
      <c r="Y617" s="59" t="n"/>
      <c r="Z617" s="59" t="n"/>
      <c r="AA617" s="59" t="n"/>
      <c r="AB617" s="59" t="n"/>
      <c r="AC617" s="59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9" t="n"/>
      <c r="F618" s="59" t="n"/>
      <c r="G618" s="60" t="n"/>
      <c r="H618" s="47" t="n"/>
      <c r="I618" s="47" t="n"/>
      <c r="J618" s="59" t="n"/>
      <c r="K618" s="59" t="n"/>
      <c r="L618" s="59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9" t="n"/>
      <c r="X618" s="61" t="n"/>
      <c r="Y618" s="59" t="n"/>
      <c r="Z618" s="59" t="n"/>
      <c r="AA618" s="59" t="n"/>
      <c r="AB618" s="59" t="n"/>
      <c r="AC618" s="59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9" t="n"/>
      <c r="F619" s="59" t="n"/>
      <c r="G619" s="60" t="n"/>
      <c r="H619" s="47" t="n"/>
      <c r="I619" s="47" t="n"/>
      <c r="J619" s="59" t="n"/>
      <c r="K619" s="59" t="n"/>
      <c r="L619" s="59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9" t="n"/>
      <c r="X619" s="61" t="n"/>
      <c r="Y619" s="59" t="n"/>
      <c r="Z619" s="59" t="n"/>
      <c r="AA619" s="59" t="n"/>
      <c r="AB619" s="59" t="n"/>
      <c r="AC619" s="59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9" t="n"/>
      <c r="F620" s="59" t="n"/>
      <c r="G620" s="60" t="n"/>
      <c r="H620" s="47" t="n"/>
      <c r="I620" s="47" t="n"/>
      <c r="J620" s="59" t="n"/>
      <c r="K620" s="59" t="n"/>
      <c r="L620" s="59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9" t="n"/>
      <c r="X620" s="61" t="n"/>
      <c r="Y620" s="59" t="n"/>
      <c r="Z620" s="59" t="n"/>
      <c r="AA620" s="59" t="n"/>
      <c r="AB620" s="59" t="n"/>
      <c r="AC620" s="59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9" t="n"/>
      <c r="F621" s="59" t="n"/>
      <c r="G621" s="60" t="n"/>
      <c r="H621" s="47" t="n"/>
      <c r="I621" s="47" t="n"/>
      <c r="J621" s="59" t="n"/>
      <c r="K621" s="59" t="n"/>
      <c r="L621" s="59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9" t="n"/>
      <c r="X621" s="61" t="n"/>
      <c r="Y621" s="59" t="n"/>
      <c r="Z621" s="59" t="n"/>
      <c r="AA621" s="59" t="n"/>
      <c r="AB621" s="59" t="n"/>
      <c r="AC621" s="59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9" t="n"/>
      <c r="F622" s="59" t="n"/>
      <c r="G622" s="60" t="n"/>
      <c r="H622" s="47" t="n"/>
      <c r="I622" s="47" t="n"/>
      <c r="J622" s="59" t="n"/>
      <c r="K622" s="59" t="n"/>
      <c r="L622" s="59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9" t="n"/>
      <c r="X622" s="61" t="n"/>
      <c r="Y622" s="59" t="n"/>
      <c r="Z622" s="59" t="n"/>
      <c r="AA622" s="59" t="n"/>
      <c r="AB622" s="59" t="n"/>
      <c r="AC622" s="59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9" t="n"/>
      <c r="F623" s="59" t="n"/>
      <c r="G623" s="60" t="n"/>
      <c r="H623" s="47" t="n"/>
      <c r="I623" s="47" t="n"/>
      <c r="J623" s="59" t="n"/>
      <c r="K623" s="59" t="n"/>
      <c r="L623" s="59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9" t="n"/>
      <c r="X623" s="61" t="n"/>
      <c r="Y623" s="59" t="n"/>
      <c r="Z623" s="59" t="n"/>
      <c r="AA623" s="59" t="n"/>
      <c r="AB623" s="59" t="n"/>
      <c r="AC623" s="59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9" t="n"/>
      <c r="F624" s="59" t="n"/>
      <c r="G624" s="60" t="n"/>
      <c r="H624" s="47" t="n"/>
      <c r="I624" s="47" t="n"/>
      <c r="J624" s="59" t="n"/>
      <c r="K624" s="59" t="n"/>
      <c r="L624" s="59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9" t="n"/>
      <c r="X624" s="61" t="n"/>
      <c r="Y624" s="59" t="n"/>
      <c r="Z624" s="59" t="n"/>
      <c r="AA624" s="59" t="n"/>
      <c r="AB624" s="59" t="n"/>
      <c r="AC624" s="59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9" t="n"/>
      <c r="F625" s="59" t="n"/>
      <c r="G625" s="60" t="n"/>
      <c r="H625" s="47" t="n"/>
      <c r="I625" s="47" t="n"/>
      <c r="J625" s="59" t="n"/>
      <c r="K625" s="59" t="n"/>
      <c r="L625" s="59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9" t="n"/>
      <c r="X625" s="61" t="n"/>
      <c r="Y625" s="59" t="n"/>
      <c r="Z625" s="59" t="n"/>
      <c r="AA625" s="59" t="n"/>
      <c r="AB625" s="59" t="n"/>
      <c r="AC625" s="59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9" t="n"/>
      <c r="F626" s="59" t="n"/>
      <c r="G626" s="60" t="n"/>
      <c r="H626" s="47" t="n"/>
      <c r="I626" s="47" t="n"/>
      <c r="J626" s="59" t="n"/>
      <c r="K626" s="59" t="n"/>
      <c r="L626" s="59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9" t="n"/>
      <c r="X626" s="61" t="n"/>
      <c r="Y626" s="59" t="n"/>
      <c r="Z626" s="59" t="n"/>
      <c r="AA626" s="59" t="n"/>
      <c r="AB626" s="59" t="n"/>
      <c r="AC626" s="59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9" t="n"/>
      <c r="F627" s="59" t="n"/>
      <c r="G627" s="60" t="n"/>
      <c r="H627" s="47" t="n"/>
      <c r="I627" s="47" t="n"/>
      <c r="J627" s="59" t="n"/>
      <c r="K627" s="59" t="n"/>
      <c r="L627" s="59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9" t="n"/>
      <c r="X627" s="61" t="n"/>
      <c r="Y627" s="59" t="n"/>
      <c r="Z627" s="59" t="n"/>
      <c r="AA627" s="59" t="n"/>
      <c r="AB627" s="59" t="n"/>
      <c r="AC627" s="59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9" t="n"/>
      <c r="F628" s="59" t="n"/>
      <c r="G628" s="60" t="n"/>
      <c r="H628" s="47" t="n"/>
      <c r="I628" s="47" t="n"/>
      <c r="J628" s="59" t="n"/>
      <c r="K628" s="59" t="n"/>
      <c r="L628" s="59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9" t="n"/>
      <c r="X628" s="61" t="n"/>
      <c r="Y628" s="59" t="n"/>
      <c r="Z628" s="59" t="n"/>
      <c r="AA628" s="59" t="n"/>
      <c r="AB628" s="59" t="n"/>
      <c r="AC628" s="59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9" t="n"/>
      <c r="F629" s="59" t="n"/>
      <c r="G629" s="60" t="n"/>
      <c r="H629" s="47" t="n"/>
      <c r="I629" s="47" t="n"/>
      <c r="J629" s="59" t="n"/>
      <c r="K629" s="59" t="n"/>
      <c r="L629" s="59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9" t="n"/>
      <c r="X629" s="61" t="n"/>
      <c r="Y629" s="59" t="n"/>
      <c r="Z629" s="59" t="n"/>
      <c r="AA629" s="59" t="n"/>
      <c r="AB629" s="59" t="n"/>
      <c r="AC629" s="59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9" t="n"/>
      <c r="F630" s="59" t="n"/>
      <c r="G630" s="60" t="n"/>
      <c r="H630" s="47" t="n"/>
      <c r="I630" s="47" t="n"/>
      <c r="J630" s="59" t="n"/>
      <c r="K630" s="59" t="n"/>
      <c r="L630" s="59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9" t="n"/>
      <c r="X630" s="61" t="n"/>
      <c r="Y630" s="59" t="n"/>
      <c r="Z630" s="59" t="n"/>
      <c r="AA630" s="59" t="n"/>
      <c r="AB630" s="59" t="n"/>
      <c r="AC630" s="59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9" t="n"/>
      <c r="F631" s="59" t="n"/>
      <c r="G631" s="60" t="n"/>
      <c r="H631" s="47" t="n"/>
      <c r="I631" s="47" t="n"/>
      <c r="J631" s="59" t="n"/>
      <c r="K631" s="59" t="n"/>
      <c r="L631" s="59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9" t="n"/>
      <c r="X631" s="61" t="n"/>
      <c r="Y631" s="59" t="n"/>
      <c r="Z631" s="59" t="n"/>
      <c r="AA631" s="59" t="n"/>
      <c r="AB631" s="59" t="n"/>
      <c r="AC631" s="59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9" t="n"/>
      <c r="F632" s="59" t="n"/>
      <c r="G632" s="60" t="n"/>
      <c r="H632" s="47" t="n"/>
      <c r="I632" s="47" t="n"/>
      <c r="J632" s="59" t="n"/>
      <c r="K632" s="59" t="n"/>
      <c r="L632" s="59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9" t="n"/>
      <c r="X632" s="61" t="n"/>
      <c r="Y632" s="59" t="n"/>
      <c r="Z632" s="59" t="n"/>
      <c r="AA632" s="59" t="n"/>
      <c r="AB632" s="59" t="n"/>
      <c r="AC632" s="59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9" t="n"/>
      <c r="F633" s="59" t="n"/>
      <c r="G633" s="60" t="n"/>
      <c r="H633" s="47" t="n"/>
      <c r="I633" s="47" t="n"/>
      <c r="J633" s="59" t="n"/>
      <c r="K633" s="59" t="n"/>
      <c r="L633" s="59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9" t="n"/>
      <c r="X633" s="61" t="n"/>
      <c r="Y633" s="59" t="n"/>
      <c r="Z633" s="59" t="n"/>
      <c r="AA633" s="59" t="n"/>
      <c r="AB633" s="59" t="n"/>
      <c r="AC633" s="59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9" t="n"/>
      <c r="F634" s="59" t="n"/>
      <c r="G634" s="60" t="n"/>
      <c r="H634" s="47" t="n"/>
      <c r="I634" s="47" t="n"/>
      <c r="J634" s="59" t="n"/>
      <c r="K634" s="59" t="n"/>
      <c r="L634" s="59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9" t="n"/>
      <c r="X634" s="61" t="n"/>
      <c r="Y634" s="59" t="n"/>
      <c r="Z634" s="59" t="n"/>
      <c r="AA634" s="59" t="n"/>
      <c r="AB634" s="59" t="n"/>
      <c r="AC634" s="59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9" t="n"/>
      <c r="F635" s="59" t="n"/>
      <c r="G635" s="60" t="n"/>
      <c r="H635" s="47" t="n"/>
      <c r="I635" s="47" t="n"/>
      <c r="J635" s="59" t="n"/>
      <c r="K635" s="59" t="n"/>
      <c r="L635" s="59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9" t="n"/>
      <c r="X635" s="61" t="n"/>
      <c r="Y635" s="59" t="n"/>
      <c r="Z635" s="59" t="n"/>
      <c r="AA635" s="59" t="n"/>
      <c r="AB635" s="59" t="n"/>
      <c r="AC635" s="59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9" t="n"/>
      <c r="F636" s="59" t="n"/>
      <c r="G636" s="60" t="n"/>
      <c r="H636" s="47" t="n"/>
      <c r="I636" s="47" t="n"/>
      <c r="J636" s="59" t="n"/>
      <c r="K636" s="59" t="n"/>
      <c r="L636" s="59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9" t="n"/>
      <c r="X636" s="61" t="n"/>
      <c r="Y636" s="59" t="n"/>
      <c r="Z636" s="59" t="n"/>
      <c r="AA636" s="59" t="n"/>
      <c r="AB636" s="59" t="n"/>
      <c r="AC636" s="59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9" t="n"/>
      <c r="F637" s="59" t="n"/>
      <c r="G637" s="60" t="n"/>
      <c r="H637" s="47" t="n"/>
      <c r="I637" s="47" t="n"/>
      <c r="J637" s="59" t="n"/>
      <c r="K637" s="59" t="n"/>
      <c r="L637" s="59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9" t="n"/>
      <c r="X637" s="61" t="n"/>
      <c r="Y637" s="59" t="n"/>
      <c r="Z637" s="59" t="n"/>
      <c r="AA637" s="59" t="n"/>
      <c r="AB637" s="59" t="n"/>
      <c r="AC637" s="59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9" t="n"/>
      <c r="F638" s="59" t="n"/>
      <c r="G638" s="60" t="n"/>
      <c r="H638" s="47" t="n"/>
      <c r="I638" s="47" t="n"/>
      <c r="J638" s="59" t="n"/>
      <c r="K638" s="59" t="n"/>
      <c r="L638" s="59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9" t="n"/>
      <c r="X638" s="61" t="n"/>
      <c r="Y638" s="59" t="n"/>
      <c r="Z638" s="59" t="n"/>
      <c r="AA638" s="59" t="n"/>
      <c r="AB638" s="59" t="n"/>
      <c r="AC638" s="59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9" t="n"/>
      <c r="F639" s="59" t="n"/>
      <c r="G639" s="60" t="n"/>
      <c r="H639" s="47" t="n"/>
      <c r="I639" s="47" t="n"/>
      <c r="J639" s="59" t="n"/>
      <c r="K639" s="59" t="n"/>
      <c r="L639" s="59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9" t="n"/>
      <c r="X639" s="61" t="n"/>
      <c r="Y639" s="59" t="n"/>
      <c r="Z639" s="59" t="n"/>
      <c r="AA639" s="59" t="n"/>
      <c r="AB639" s="59" t="n"/>
      <c r="AC639" s="59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9" t="n"/>
      <c r="F640" s="59" t="n"/>
      <c r="G640" s="60" t="n"/>
      <c r="H640" s="47" t="n"/>
      <c r="I640" s="47" t="n"/>
      <c r="J640" s="59" t="n"/>
      <c r="K640" s="59" t="n"/>
      <c r="L640" s="59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9" t="n"/>
      <c r="X640" s="61" t="n"/>
      <c r="Y640" s="59" t="n"/>
      <c r="Z640" s="59" t="n"/>
      <c r="AA640" s="59" t="n"/>
      <c r="AB640" s="59" t="n"/>
      <c r="AC640" s="59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9" t="n"/>
      <c r="F641" s="59" t="n"/>
      <c r="G641" s="60" t="n"/>
      <c r="H641" s="47" t="n"/>
      <c r="I641" s="47" t="n"/>
      <c r="J641" s="59" t="n"/>
      <c r="K641" s="59" t="n"/>
      <c r="L641" s="59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9" t="n"/>
      <c r="X641" s="61" t="n"/>
      <c r="Y641" s="59" t="n"/>
      <c r="Z641" s="59" t="n"/>
      <c r="AA641" s="59" t="n"/>
      <c r="AB641" s="59" t="n"/>
      <c r="AC641" s="59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9" t="n"/>
      <c r="F642" s="59" t="n"/>
      <c r="G642" s="60" t="n"/>
      <c r="H642" s="47" t="n"/>
      <c r="I642" s="47" t="n"/>
      <c r="J642" s="59" t="n"/>
      <c r="K642" s="59" t="n"/>
      <c r="L642" s="59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9" t="n"/>
      <c r="X642" s="61" t="n"/>
      <c r="Y642" s="59" t="n"/>
      <c r="Z642" s="59" t="n"/>
      <c r="AA642" s="59" t="n"/>
      <c r="AB642" s="59" t="n"/>
      <c r="AC642" s="59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9" t="n"/>
      <c r="F643" s="59" t="n"/>
      <c r="G643" s="60" t="n"/>
      <c r="H643" s="47" t="n"/>
      <c r="I643" s="47" t="n"/>
      <c r="J643" s="59" t="n"/>
      <c r="K643" s="59" t="n"/>
      <c r="L643" s="59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9" t="n"/>
      <c r="X643" s="61" t="n"/>
      <c r="Y643" s="59" t="n"/>
      <c r="Z643" s="59" t="n"/>
      <c r="AA643" s="59" t="n"/>
      <c r="AB643" s="59" t="n"/>
      <c r="AC643" s="59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9" t="n"/>
      <c r="F644" s="59" t="n"/>
      <c r="G644" s="60" t="n"/>
      <c r="H644" s="47" t="n"/>
      <c r="I644" s="47" t="n"/>
      <c r="J644" s="59" t="n"/>
      <c r="K644" s="59" t="n"/>
      <c r="L644" s="59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9" t="n"/>
      <c r="X644" s="61" t="n"/>
      <c r="Y644" s="59" t="n"/>
      <c r="Z644" s="59" t="n"/>
      <c r="AA644" s="59" t="n"/>
      <c r="AB644" s="59" t="n"/>
      <c r="AC644" s="59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9" t="n"/>
      <c r="F645" s="59" t="n"/>
      <c r="G645" s="60" t="n"/>
      <c r="H645" s="47" t="n"/>
      <c r="I645" s="47" t="n"/>
      <c r="J645" s="59" t="n"/>
      <c r="K645" s="59" t="n"/>
      <c r="L645" s="59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9" t="n"/>
      <c r="X645" s="61" t="n"/>
      <c r="Y645" s="59" t="n"/>
      <c r="Z645" s="59" t="n"/>
      <c r="AA645" s="59" t="n"/>
      <c r="AB645" s="59" t="n"/>
      <c r="AC645" s="59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9" t="n"/>
      <c r="F646" s="59" t="n"/>
      <c r="G646" s="60" t="n"/>
      <c r="H646" s="47" t="n"/>
      <c r="I646" s="47" t="n"/>
      <c r="J646" s="59" t="n"/>
      <c r="K646" s="59" t="n"/>
      <c r="L646" s="59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9" t="n"/>
      <c r="X646" s="61" t="n"/>
      <c r="Y646" s="59" t="n"/>
      <c r="Z646" s="59" t="n"/>
      <c r="AA646" s="59" t="n"/>
      <c r="AB646" s="59" t="n"/>
      <c r="AC646" s="59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9" t="n"/>
      <c r="F647" s="59" t="n"/>
      <c r="G647" s="60" t="n"/>
      <c r="H647" s="47" t="n"/>
      <c r="I647" s="47" t="n"/>
      <c r="J647" s="59" t="n"/>
      <c r="K647" s="59" t="n"/>
      <c r="L647" s="59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9" t="n"/>
      <c r="X647" s="61" t="n"/>
      <c r="Y647" s="59" t="n"/>
      <c r="Z647" s="59" t="n"/>
      <c r="AA647" s="59" t="n"/>
      <c r="AB647" s="59" t="n"/>
      <c r="AC647" s="59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9" t="n"/>
      <c r="F648" s="59" t="n"/>
      <c r="G648" s="60" t="n"/>
      <c r="H648" s="47" t="n"/>
      <c r="I648" s="47" t="n"/>
      <c r="J648" s="59" t="n"/>
      <c r="K648" s="59" t="n"/>
      <c r="L648" s="59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9" t="n"/>
      <c r="X648" s="61" t="n"/>
      <c r="Y648" s="59" t="n"/>
      <c r="Z648" s="59" t="n"/>
      <c r="AA648" s="59" t="n"/>
      <c r="AB648" s="59" t="n"/>
      <c r="AC648" s="59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9" t="n"/>
      <c r="F649" s="59" t="n"/>
      <c r="G649" s="60" t="n"/>
      <c r="H649" s="47" t="n"/>
      <c r="I649" s="47" t="n"/>
      <c r="J649" s="59" t="n"/>
      <c r="K649" s="59" t="n"/>
      <c r="L649" s="59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9" t="n"/>
      <c r="X649" s="61" t="n"/>
      <c r="Y649" s="59" t="n"/>
      <c r="Z649" s="59" t="n"/>
      <c r="AA649" s="59" t="n"/>
      <c r="AB649" s="59" t="n"/>
      <c r="AC649" s="59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9" t="n"/>
      <c r="F650" s="59" t="n"/>
      <c r="G650" s="60" t="n"/>
      <c r="H650" s="47" t="n"/>
      <c r="I650" s="47" t="n"/>
      <c r="J650" s="59" t="n"/>
      <c r="K650" s="59" t="n"/>
      <c r="L650" s="59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9" t="n"/>
      <c r="X650" s="61" t="n"/>
      <c r="Y650" s="59" t="n"/>
      <c r="Z650" s="59" t="n"/>
      <c r="AA650" s="59" t="n"/>
      <c r="AB650" s="59" t="n"/>
      <c r="AC650" s="59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9" t="n"/>
      <c r="F651" s="59" t="n"/>
      <c r="G651" s="60" t="n"/>
      <c r="H651" s="47" t="n"/>
      <c r="I651" s="47" t="n"/>
      <c r="J651" s="59" t="n"/>
      <c r="K651" s="59" t="n"/>
      <c r="L651" s="59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9" t="n"/>
      <c r="X651" s="61" t="n"/>
      <c r="Y651" s="59" t="n"/>
      <c r="Z651" s="59" t="n"/>
      <c r="AA651" s="59" t="n"/>
      <c r="AB651" s="59" t="n"/>
      <c r="AC651" s="59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9" t="n"/>
      <c r="F652" s="59" t="n"/>
      <c r="G652" s="60" t="n"/>
      <c r="H652" s="47" t="n"/>
      <c r="I652" s="47" t="n"/>
      <c r="J652" s="59" t="n"/>
      <c r="K652" s="59" t="n"/>
      <c r="L652" s="59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9" t="n"/>
      <c r="X652" s="61" t="n"/>
      <c r="Y652" s="59" t="n"/>
      <c r="Z652" s="59" t="n"/>
      <c r="AA652" s="59" t="n"/>
      <c r="AB652" s="59" t="n"/>
      <c r="AC652" s="59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9" t="n"/>
      <c r="F653" s="59" t="n"/>
      <c r="G653" s="60" t="n"/>
      <c r="H653" s="47" t="n"/>
      <c r="I653" s="47" t="n"/>
      <c r="J653" s="59" t="n"/>
      <c r="K653" s="59" t="n"/>
      <c r="L653" s="59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9" t="n"/>
      <c r="X653" s="61" t="n"/>
      <c r="Y653" s="59" t="n"/>
      <c r="Z653" s="59" t="n"/>
      <c r="AA653" s="59" t="n"/>
      <c r="AB653" s="59" t="n"/>
      <c r="AC653" s="59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9" t="n"/>
      <c r="F654" s="59" t="n"/>
      <c r="G654" s="60" t="n"/>
      <c r="H654" s="47" t="n"/>
      <c r="I654" s="47" t="n"/>
      <c r="J654" s="59" t="n"/>
      <c r="K654" s="59" t="n"/>
      <c r="L654" s="59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9" t="n"/>
      <c r="X654" s="61" t="n"/>
      <c r="Y654" s="59" t="n"/>
      <c r="Z654" s="59" t="n"/>
      <c r="AA654" s="59" t="n"/>
      <c r="AB654" s="59" t="n"/>
      <c r="AC654" s="59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9" t="n"/>
      <c r="F655" s="59" t="n"/>
      <c r="G655" s="60" t="n"/>
      <c r="H655" s="47" t="n"/>
      <c r="I655" s="47" t="n"/>
      <c r="J655" s="59" t="n"/>
      <c r="K655" s="59" t="n"/>
      <c r="L655" s="59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9" t="n"/>
      <c r="X655" s="61" t="n"/>
      <c r="Y655" s="59" t="n"/>
      <c r="Z655" s="59" t="n"/>
      <c r="AA655" s="59" t="n"/>
      <c r="AB655" s="59" t="n"/>
      <c r="AC655" s="59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9" t="n"/>
      <c r="F656" s="59" t="n"/>
      <c r="G656" s="60" t="n"/>
      <c r="H656" s="47" t="n"/>
      <c r="I656" s="47" t="n"/>
      <c r="J656" s="59" t="n"/>
      <c r="K656" s="59" t="n"/>
      <c r="L656" s="59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9" t="n"/>
      <c r="X656" s="61" t="n"/>
      <c r="Y656" s="59" t="n"/>
      <c r="Z656" s="59" t="n"/>
      <c r="AA656" s="59" t="n"/>
      <c r="AB656" s="59" t="n"/>
      <c r="AC656" s="59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9" t="n"/>
      <c r="F657" s="59" t="n"/>
      <c r="G657" s="60" t="n"/>
      <c r="H657" s="47" t="n"/>
      <c r="I657" s="47" t="n"/>
      <c r="J657" s="59" t="n"/>
      <c r="K657" s="59" t="n"/>
      <c r="L657" s="59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9" t="n"/>
      <c r="X657" s="61" t="n"/>
      <c r="Y657" s="59" t="n"/>
      <c r="Z657" s="59" t="n"/>
      <c r="AA657" s="59" t="n"/>
      <c r="AB657" s="59" t="n"/>
      <c r="AC657" s="59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9" t="n"/>
      <c r="F658" s="59" t="n"/>
      <c r="G658" s="60" t="n"/>
      <c r="H658" s="47" t="n"/>
      <c r="I658" s="47" t="n"/>
      <c r="J658" s="59" t="n"/>
      <c r="K658" s="59" t="n"/>
      <c r="L658" s="59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9" t="n"/>
      <c r="X658" s="61" t="n"/>
      <c r="Y658" s="59" t="n"/>
      <c r="Z658" s="59" t="n"/>
      <c r="AA658" s="59" t="n"/>
      <c r="AB658" s="59" t="n"/>
      <c r="AC658" s="59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9" t="n"/>
      <c r="F659" s="59" t="n"/>
      <c r="G659" s="60" t="n"/>
      <c r="H659" s="47" t="n"/>
      <c r="I659" s="47" t="n"/>
      <c r="J659" s="59" t="n"/>
      <c r="K659" s="59" t="n"/>
      <c r="L659" s="59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9" t="n"/>
      <c r="X659" s="61" t="n"/>
      <c r="Y659" s="59" t="n"/>
      <c r="Z659" s="59" t="n"/>
      <c r="AA659" s="59" t="n"/>
      <c r="AB659" s="59" t="n"/>
      <c r="AC659" s="59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9" t="n"/>
      <c r="F660" s="59" t="n"/>
      <c r="G660" s="60" t="n"/>
      <c r="H660" s="47" t="n"/>
      <c r="I660" s="47" t="n"/>
      <c r="J660" s="59" t="n"/>
      <c r="K660" s="59" t="n"/>
      <c r="L660" s="59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9" t="n"/>
      <c r="X660" s="61" t="n"/>
      <c r="Y660" s="59" t="n"/>
      <c r="Z660" s="59" t="n"/>
      <c r="AA660" s="59" t="n"/>
      <c r="AB660" s="59" t="n"/>
      <c r="AC660" s="59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9" t="n"/>
      <c r="F661" s="59" t="n"/>
      <c r="G661" s="60" t="n"/>
      <c r="H661" s="47" t="n"/>
      <c r="I661" s="47" t="n"/>
      <c r="J661" s="59" t="n"/>
      <c r="K661" s="59" t="n"/>
      <c r="L661" s="59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9" t="n"/>
      <c r="X661" s="61" t="n"/>
      <c r="Y661" s="59" t="n"/>
      <c r="Z661" s="59" t="n"/>
      <c r="AA661" s="59" t="n"/>
      <c r="AB661" s="59" t="n"/>
      <c r="AC661" s="59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9" t="n"/>
      <c r="F662" s="59" t="n"/>
      <c r="G662" s="60" t="n"/>
      <c r="H662" s="47" t="n"/>
      <c r="I662" s="47" t="n"/>
      <c r="J662" s="59" t="n"/>
      <c r="K662" s="59" t="n"/>
      <c r="L662" s="59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9" t="n"/>
      <c r="X662" s="61" t="n"/>
      <c r="Y662" s="59" t="n"/>
      <c r="Z662" s="59" t="n"/>
      <c r="AA662" s="59" t="n"/>
      <c r="AB662" s="59" t="n"/>
      <c r="AC662" s="59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9" t="n"/>
      <c r="F663" s="59" t="n"/>
      <c r="G663" s="60" t="n"/>
      <c r="H663" s="47" t="n"/>
      <c r="I663" s="47" t="n"/>
      <c r="J663" s="59" t="n"/>
      <c r="K663" s="59" t="n"/>
      <c r="L663" s="59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9" t="n"/>
      <c r="X663" s="61" t="n"/>
      <c r="Y663" s="59" t="n"/>
      <c r="Z663" s="59" t="n"/>
      <c r="AA663" s="59" t="n"/>
      <c r="AB663" s="59" t="n"/>
      <c r="AC663" s="59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9" t="n"/>
      <c r="F664" s="59" t="n"/>
      <c r="G664" s="60" t="n"/>
      <c r="H664" s="47" t="n"/>
      <c r="I664" s="47" t="n"/>
      <c r="J664" s="59" t="n"/>
      <c r="K664" s="59" t="n"/>
      <c r="L664" s="59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9" t="n"/>
      <c r="X664" s="61" t="n"/>
      <c r="Y664" s="59" t="n"/>
      <c r="Z664" s="59" t="n"/>
      <c r="AA664" s="59" t="n"/>
      <c r="AB664" s="59" t="n"/>
      <c r="AC664" s="59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9" t="n"/>
      <c r="F665" s="59" t="n"/>
      <c r="G665" s="60" t="n"/>
      <c r="H665" s="47" t="n"/>
      <c r="I665" s="47" t="n"/>
      <c r="J665" s="59" t="n"/>
      <c r="K665" s="59" t="n"/>
      <c r="L665" s="59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9" t="n"/>
      <c r="X665" s="61" t="n"/>
      <c r="Y665" s="59" t="n"/>
      <c r="Z665" s="59" t="n"/>
      <c r="AA665" s="59" t="n"/>
      <c r="AB665" s="59" t="n"/>
      <c r="AC665" s="59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9" t="n"/>
      <c r="F666" s="59" t="n"/>
      <c r="G666" s="60" t="n"/>
      <c r="H666" s="47" t="n"/>
      <c r="I666" s="47" t="n"/>
      <c r="J666" s="59" t="n"/>
      <c r="K666" s="59" t="n"/>
      <c r="L666" s="59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9" t="n"/>
      <c r="X666" s="61" t="n"/>
      <c r="Y666" s="59" t="n"/>
      <c r="Z666" s="59" t="n"/>
      <c r="AA666" s="59" t="n"/>
      <c r="AB666" s="59" t="n"/>
      <c r="AC666" s="59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9" t="n"/>
      <c r="F667" s="59" t="n"/>
      <c r="G667" s="60" t="n"/>
      <c r="H667" s="47" t="n"/>
      <c r="I667" s="47" t="n"/>
      <c r="J667" s="59" t="n"/>
      <c r="K667" s="59" t="n"/>
      <c r="L667" s="59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9" t="n"/>
      <c r="X667" s="61" t="n"/>
      <c r="Y667" s="59" t="n"/>
      <c r="Z667" s="59" t="n"/>
      <c r="AA667" s="59" t="n"/>
      <c r="AB667" s="59" t="n"/>
      <c r="AC667" s="59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9" t="n"/>
      <c r="F668" s="59" t="n"/>
      <c r="G668" s="60" t="n"/>
      <c r="H668" s="47" t="n"/>
      <c r="I668" s="47" t="n"/>
      <c r="J668" s="59" t="n"/>
      <c r="K668" s="59" t="n"/>
      <c r="L668" s="59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9" t="n"/>
      <c r="X668" s="61" t="n"/>
      <c r="Y668" s="59" t="n"/>
      <c r="Z668" s="59" t="n"/>
      <c r="AA668" s="59" t="n"/>
      <c r="AB668" s="59" t="n"/>
      <c r="AC668" s="59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9" t="n"/>
      <c r="F669" s="59" t="n"/>
      <c r="G669" s="60" t="n"/>
      <c r="H669" s="47" t="n"/>
      <c r="I669" s="47" t="n"/>
      <c r="J669" s="59" t="n"/>
      <c r="K669" s="59" t="n"/>
      <c r="L669" s="59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9" t="n"/>
      <c r="X669" s="61" t="n"/>
      <c r="Y669" s="59" t="n"/>
      <c r="Z669" s="59" t="n"/>
      <c r="AA669" s="59" t="n"/>
      <c r="AB669" s="59" t="n"/>
      <c r="AC669" s="59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9" t="n"/>
      <c r="F670" s="59" t="n"/>
      <c r="G670" s="60" t="n"/>
      <c r="H670" s="47" t="n"/>
      <c r="I670" s="47" t="n"/>
      <c r="J670" s="59" t="n"/>
      <c r="K670" s="59" t="n"/>
      <c r="L670" s="59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9" t="n"/>
      <c r="X670" s="61" t="n"/>
      <c r="Y670" s="59" t="n"/>
      <c r="Z670" s="59" t="n"/>
      <c r="AA670" s="59" t="n"/>
      <c r="AB670" s="59" t="n"/>
      <c r="AC670" s="59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9" t="n"/>
      <c r="F671" s="59" t="n"/>
      <c r="G671" s="60" t="n"/>
      <c r="H671" s="47" t="n"/>
      <c r="I671" s="47" t="n"/>
      <c r="J671" s="59" t="n"/>
      <c r="K671" s="59" t="n"/>
      <c r="L671" s="59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9" t="n"/>
      <c r="X671" s="61" t="n"/>
      <c r="Y671" s="59" t="n"/>
      <c r="Z671" s="59" t="n"/>
      <c r="AA671" s="59" t="n"/>
      <c r="AB671" s="59" t="n"/>
      <c r="AC671" s="59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9" t="n"/>
      <c r="F672" s="59" t="n"/>
      <c r="G672" s="60" t="n"/>
      <c r="H672" s="47" t="n"/>
      <c r="I672" s="47" t="n"/>
      <c r="J672" s="59" t="n"/>
      <c r="K672" s="59" t="n"/>
      <c r="L672" s="59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9" t="n"/>
      <c r="X672" s="61" t="n"/>
      <c r="Y672" s="59" t="n"/>
      <c r="Z672" s="59" t="n"/>
      <c r="AA672" s="59" t="n"/>
      <c r="AB672" s="59" t="n"/>
      <c r="AC672" s="59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9" t="n"/>
      <c r="F673" s="59" t="n"/>
      <c r="G673" s="60" t="n"/>
      <c r="H673" s="47" t="n"/>
      <c r="I673" s="47" t="n"/>
      <c r="J673" s="59" t="n"/>
      <c r="K673" s="59" t="n"/>
      <c r="L673" s="59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9" t="n"/>
      <c r="X673" s="61" t="n"/>
      <c r="Y673" s="59" t="n"/>
      <c r="Z673" s="59" t="n"/>
      <c r="AA673" s="59" t="n"/>
      <c r="AB673" s="59" t="n"/>
      <c r="AC673" s="59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9" t="n"/>
      <c r="F674" s="59" t="n"/>
      <c r="G674" s="60" t="n"/>
      <c r="H674" s="47" t="n"/>
      <c r="I674" s="47" t="n"/>
      <c r="J674" s="59" t="n"/>
      <c r="K674" s="59" t="n"/>
      <c r="L674" s="59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9" t="n"/>
      <c r="X674" s="61" t="n"/>
      <c r="Y674" s="59" t="n"/>
      <c r="Z674" s="59" t="n"/>
      <c r="AA674" s="59" t="n"/>
      <c r="AB674" s="59" t="n"/>
      <c r="AC674" s="59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9" t="n"/>
      <c r="F675" s="59" t="n"/>
      <c r="G675" s="60" t="n"/>
      <c r="H675" s="47" t="n"/>
      <c r="I675" s="47" t="n"/>
      <c r="J675" s="59" t="n"/>
      <c r="K675" s="59" t="n"/>
      <c r="L675" s="59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9" t="n"/>
      <c r="X675" s="61" t="n"/>
      <c r="Y675" s="59" t="n"/>
      <c r="Z675" s="59" t="n"/>
      <c r="AA675" s="59" t="n"/>
      <c r="AB675" s="59" t="n"/>
      <c r="AC675" s="59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9" t="n"/>
      <c r="F676" s="59" t="n"/>
      <c r="G676" s="60" t="n"/>
      <c r="H676" s="47" t="n"/>
      <c r="I676" s="47" t="n"/>
      <c r="J676" s="59" t="n"/>
      <c r="K676" s="59" t="n"/>
      <c r="L676" s="59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9" t="n"/>
      <c r="X676" s="61" t="n"/>
      <c r="Y676" s="59" t="n"/>
      <c r="Z676" s="59" t="n"/>
      <c r="AA676" s="59" t="n"/>
      <c r="AB676" s="59" t="n"/>
      <c r="AC676" s="59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9" t="n"/>
      <c r="F677" s="59" t="n"/>
      <c r="G677" s="60" t="n"/>
      <c r="H677" s="47" t="n"/>
      <c r="I677" s="47" t="n"/>
      <c r="J677" s="59" t="n"/>
      <c r="K677" s="59" t="n"/>
      <c r="L677" s="59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9" t="n"/>
      <c r="X677" s="61" t="n"/>
      <c r="Y677" s="59" t="n"/>
      <c r="Z677" s="59" t="n"/>
      <c r="AA677" s="59" t="n"/>
      <c r="AB677" s="59" t="n"/>
      <c r="AC677" s="59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9" t="n"/>
      <c r="F678" s="59" t="n"/>
      <c r="G678" s="60" t="n"/>
      <c r="H678" s="47" t="n"/>
      <c r="I678" s="47" t="n"/>
      <c r="J678" s="59" t="n"/>
      <c r="K678" s="59" t="n"/>
      <c r="L678" s="59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9" t="n"/>
      <c r="X678" s="61" t="n"/>
      <c r="Y678" s="59" t="n"/>
      <c r="Z678" s="59" t="n"/>
      <c r="AA678" s="59" t="n"/>
      <c r="AB678" s="59" t="n"/>
      <c r="AC678" s="59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9" t="n"/>
      <c r="F679" s="59" t="n"/>
      <c r="G679" s="60" t="n"/>
      <c r="H679" s="47" t="n"/>
      <c r="I679" s="47" t="n"/>
      <c r="J679" s="59" t="n"/>
      <c r="K679" s="59" t="n"/>
      <c r="L679" s="59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9" t="n"/>
      <c r="X679" s="61" t="n"/>
      <c r="Y679" s="59" t="n"/>
      <c r="Z679" s="59" t="n"/>
      <c r="AA679" s="59" t="n"/>
      <c r="AB679" s="59" t="n"/>
      <c r="AC679" s="59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9" t="n"/>
      <c r="F680" s="59" t="n"/>
      <c r="G680" s="60" t="n"/>
      <c r="H680" s="47" t="n"/>
      <c r="I680" s="47" t="n"/>
      <c r="J680" s="59" t="n"/>
      <c r="K680" s="59" t="n"/>
      <c r="L680" s="59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9" t="n"/>
      <c r="X680" s="61" t="n"/>
      <c r="Y680" s="59" t="n"/>
      <c r="Z680" s="59" t="n"/>
      <c r="AA680" s="59" t="n"/>
      <c r="AB680" s="59" t="n"/>
      <c r="AC680" s="59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9" t="n"/>
      <c r="F681" s="59" t="n"/>
      <c r="G681" s="60" t="n"/>
      <c r="H681" s="47" t="n"/>
      <c r="I681" s="47" t="n"/>
      <c r="J681" s="59" t="n"/>
      <c r="K681" s="59" t="n"/>
      <c r="L681" s="59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9" t="n"/>
      <c r="X681" s="61" t="n"/>
      <c r="Y681" s="59" t="n"/>
      <c r="Z681" s="59" t="n"/>
      <c r="AA681" s="59" t="n"/>
      <c r="AB681" s="59" t="n"/>
      <c r="AC681" s="59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9" t="n"/>
      <c r="F682" s="59" t="n"/>
      <c r="G682" s="60" t="n"/>
      <c r="H682" s="47" t="n"/>
      <c r="I682" s="47" t="n"/>
      <c r="J682" s="59" t="n"/>
      <c r="K682" s="59" t="n"/>
      <c r="L682" s="59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9" t="n"/>
      <c r="X682" s="61" t="n"/>
      <c r="Y682" s="59" t="n"/>
      <c r="Z682" s="59" t="n"/>
      <c r="AA682" s="59" t="n"/>
      <c r="AB682" s="59" t="n"/>
      <c r="AC682" s="59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9" t="n"/>
      <c r="F683" s="59" t="n"/>
      <c r="G683" s="60" t="n"/>
      <c r="H683" s="47" t="n"/>
      <c r="I683" s="47" t="n"/>
      <c r="J683" s="59" t="n"/>
      <c r="K683" s="59" t="n"/>
      <c r="L683" s="59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9" t="n"/>
      <c r="X683" s="61" t="n"/>
      <c r="Y683" s="59" t="n"/>
      <c r="Z683" s="59" t="n"/>
      <c r="AA683" s="59" t="n"/>
      <c r="AB683" s="59" t="n"/>
      <c r="AC683" s="59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9" t="n"/>
      <c r="F684" s="59" t="n"/>
      <c r="G684" s="60" t="n"/>
      <c r="H684" s="47" t="n"/>
      <c r="I684" s="47" t="n"/>
      <c r="J684" s="59" t="n"/>
      <c r="K684" s="59" t="n"/>
      <c r="L684" s="59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9" t="n"/>
      <c r="X684" s="61" t="n"/>
      <c r="Y684" s="59" t="n"/>
      <c r="Z684" s="59" t="n"/>
      <c r="AA684" s="59" t="n"/>
      <c r="AB684" s="59" t="n"/>
      <c r="AC684" s="59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9" t="n"/>
      <c r="F685" s="59" t="n"/>
      <c r="G685" s="60" t="n"/>
      <c r="H685" s="47" t="n"/>
      <c r="I685" s="47" t="n"/>
      <c r="J685" s="59" t="n"/>
      <c r="K685" s="59" t="n"/>
      <c r="L685" s="59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9" t="n"/>
      <c r="X685" s="61" t="n"/>
      <c r="Y685" s="59" t="n"/>
      <c r="Z685" s="59" t="n"/>
      <c r="AA685" s="59" t="n"/>
      <c r="AB685" s="59" t="n"/>
      <c r="AC685" s="59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9" t="n"/>
      <c r="F686" s="59" t="n"/>
      <c r="G686" s="60" t="n"/>
      <c r="H686" s="47" t="n"/>
      <c r="I686" s="47" t="n"/>
      <c r="J686" s="59" t="n"/>
      <c r="K686" s="59" t="n"/>
      <c r="L686" s="59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9" t="n"/>
      <c r="X686" s="61" t="n"/>
      <c r="Y686" s="59" t="n"/>
      <c r="Z686" s="59" t="n"/>
      <c r="AA686" s="59" t="n"/>
      <c r="AB686" s="59" t="n"/>
      <c r="AC686" s="59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9" t="n"/>
      <c r="F687" s="59" t="n"/>
      <c r="G687" s="60" t="n"/>
      <c r="H687" s="47" t="n"/>
      <c r="I687" s="47" t="n"/>
      <c r="J687" s="59" t="n"/>
      <c r="K687" s="59" t="n"/>
      <c r="L687" s="59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9" t="n"/>
      <c r="X687" s="61" t="n"/>
      <c r="Y687" s="59" t="n"/>
      <c r="Z687" s="59" t="n"/>
      <c r="AA687" s="59" t="n"/>
      <c r="AB687" s="59" t="n"/>
      <c r="AC687" s="59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9" t="n"/>
      <c r="F688" s="59" t="n"/>
      <c r="G688" s="60" t="n"/>
      <c r="H688" s="47" t="n"/>
      <c r="I688" s="47" t="n"/>
      <c r="J688" s="59" t="n"/>
      <c r="K688" s="59" t="n"/>
      <c r="L688" s="59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9" t="n"/>
      <c r="X688" s="61" t="n"/>
      <c r="Y688" s="59" t="n"/>
      <c r="Z688" s="59" t="n"/>
      <c r="AA688" s="59" t="n"/>
      <c r="AB688" s="59" t="n"/>
      <c r="AC688" s="59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9" t="n"/>
      <c r="F689" s="59" t="n"/>
      <c r="G689" s="60" t="n"/>
      <c r="H689" s="47" t="n"/>
      <c r="I689" s="47" t="n"/>
      <c r="J689" s="59" t="n"/>
      <c r="K689" s="59" t="n"/>
      <c r="L689" s="59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9" t="n"/>
      <c r="X689" s="61" t="n"/>
      <c r="Y689" s="59" t="n"/>
      <c r="Z689" s="59" t="n"/>
      <c r="AA689" s="59" t="n"/>
      <c r="AB689" s="59" t="n"/>
      <c r="AC689" s="59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9" t="n"/>
      <c r="F690" s="59" t="n"/>
      <c r="G690" s="60" t="n"/>
      <c r="H690" s="47" t="n"/>
      <c r="I690" s="47" t="n"/>
      <c r="J690" s="59" t="n"/>
      <c r="K690" s="59" t="n"/>
      <c r="L690" s="59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9" t="n"/>
      <c r="X690" s="61" t="n"/>
      <c r="Y690" s="59" t="n"/>
      <c r="Z690" s="59" t="n"/>
      <c r="AA690" s="59" t="n"/>
      <c r="AB690" s="59" t="n"/>
      <c r="AC690" s="59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9" t="n"/>
      <c r="F691" s="59" t="n"/>
      <c r="G691" s="60" t="n"/>
      <c r="H691" s="47" t="n"/>
      <c r="I691" s="47" t="n"/>
      <c r="J691" s="59" t="n"/>
      <c r="K691" s="59" t="n"/>
      <c r="L691" s="59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9" t="n"/>
      <c r="X691" s="61" t="n"/>
      <c r="Y691" s="59" t="n"/>
      <c r="Z691" s="59" t="n"/>
      <c r="AA691" s="59" t="n"/>
      <c r="AB691" s="59" t="n"/>
      <c r="AC691" s="59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9" t="n"/>
      <c r="F692" s="59" t="n"/>
      <c r="G692" s="60" t="n"/>
      <c r="H692" s="47" t="n"/>
      <c r="I692" s="47" t="n"/>
      <c r="J692" s="59" t="n"/>
      <c r="K692" s="59" t="n"/>
      <c r="L692" s="59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9" t="n"/>
      <c r="X692" s="61" t="n"/>
      <c r="Y692" s="59" t="n"/>
      <c r="Z692" s="59" t="n"/>
      <c r="AA692" s="59" t="n"/>
      <c r="AB692" s="59" t="n"/>
      <c r="AC692" s="59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9" t="n"/>
      <c r="F693" s="59" t="n"/>
      <c r="G693" s="60" t="n"/>
      <c r="H693" s="47" t="n"/>
      <c r="I693" s="47" t="n"/>
      <c r="J693" s="59" t="n"/>
      <c r="K693" s="59" t="n"/>
      <c r="L693" s="59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9" t="n"/>
      <c r="X693" s="61" t="n"/>
      <c r="Y693" s="59" t="n"/>
      <c r="Z693" s="59" t="n"/>
      <c r="AA693" s="59" t="n"/>
      <c r="AB693" s="59" t="n"/>
      <c r="AC693" s="59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9" t="n"/>
      <c r="F694" s="59" t="n"/>
      <c r="G694" s="60" t="n"/>
      <c r="H694" s="47" t="n"/>
      <c r="I694" s="47" t="n"/>
      <c r="J694" s="59" t="n"/>
      <c r="K694" s="59" t="n"/>
      <c r="L694" s="59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9" t="n"/>
      <c r="X694" s="61" t="n"/>
      <c r="Y694" s="59" t="n"/>
      <c r="Z694" s="59" t="n"/>
      <c r="AA694" s="59" t="n"/>
      <c r="AB694" s="59" t="n"/>
      <c r="AC694" s="59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9" t="n"/>
      <c r="F695" s="59" t="n"/>
      <c r="G695" s="60" t="n"/>
      <c r="H695" s="47" t="n"/>
      <c r="I695" s="47" t="n"/>
      <c r="J695" s="59" t="n"/>
      <c r="K695" s="59" t="n"/>
      <c r="L695" s="59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9" t="n"/>
      <c r="X695" s="61" t="n"/>
      <c r="Y695" s="59" t="n"/>
      <c r="Z695" s="59" t="n"/>
      <c r="AA695" s="59" t="n"/>
      <c r="AB695" s="59" t="n"/>
      <c r="AC695" s="59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9" t="n"/>
      <c r="F696" s="59" t="n"/>
      <c r="G696" s="60" t="n"/>
      <c r="H696" s="47" t="n"/>
      <c r="I696" s="47" t="n"/>
      <c r="J696" s="59" t="n"/>
      <c r="K696" s="59" t="n"/>
      <c r="L696" s="59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9" t="n"/>
      <c r="X696" s="61" t="n"/>
      <c r="Y696" s="59" t="n"/>
      <c r="Z696" s="59" t="n"/>
      <c r="AA696" s="59" t="n"/>
      <c r="AB696" s="59" t="n"/>
      <c r="AC696" s="59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9" t="n"/>
      <c r="F697" s="59" t="n"/>
      <c r="G697" s="60" t="n"/>
      <c r="H697" s="47" t="n"/>
      <c r="I697" s="47" t="n"/>
      <c r="J697" s="59" t="n"/>
      <c r="K697" s="59" t="n"/>
      <c r="L697" s="59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9" t="n"/>
      <c r="X697" s="61" t="n"/>
      <c r="Y697" s="59" t="n"/>
      <c r="Z697" s="59" t="n"/>
      <c r="AA697" s="59" t="n"/>
      <c r="AB697" s="59" t="n"/>
      <c r="AC697" s="59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9" t="n"/>
      <c r="F698" s="59" t="n"/>
      <c r="G698" s="60" t="n"/>
      <c r="H698" s="47" t="n"/>
      <c r="I698" s="47" t="n"/>
      <c r="J698" s="59" t="n"/>
      <c r="K698" s="59" t="n"/>
      <c r="L698" s="59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9" t="n"/>
      <c r="X698" s="61" t="n"/>
      <c r="Y698" s="59" t="n"/>
      <c r="Z698" s="59" t="n"/>
      <c r="AA698" s="59" t="n"/>
      <c r="AB698" s="59" t="n"/>
      <c r="AC698" s="59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9" t="n"/>
      <c r="F699" s="59" t="n"/>
      <c r="G699" s="60" t="n"/>
      <c r="H699" s="47" t="n"/>
      <c r="I699" s="47" t="n"/>
      <c r="J699" s="59" t="n"/>
      <c r="K699" s="59" t="n"/>
      <c r="L699" s="59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9" t="n"/>
      <c r="X699" s="61" t="n"/>
      <c r="Y699" s="59" t="n"/>
      <c r="Z699" s="59" t="n"/>
      <c r="AA699" s="59" t="n"/>
      <c r="AB699" s="59" t="n"/>
      <c r="AC699" s="59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9" t="n"/>
      <c r="F700" s="59" t="n"/>
      <c r="G700" s="60" t="n"/>
      <c r="H700" s="47" t="n"/>
      <c r="I700" s="47" t="n"/>
      <c r="J700" s="59" t="n"/>
      <c r="K700" s="59" t="n"/>
      <c r="L700" s="59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9" t="n"/>
      <c r="X700" s="61" t="n"/>
      <c r="Y700" s="59" t="n"/>
      <c r="Z700" s="59" t="n"/>
      <c r="AA700" s="59" t="n"/>
      <c r="AB700" s="59" t="n"/>
      <c r="AC700" s="59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9" t="n"/>
      <c r="F701" s="59" t="n"/>
      <c r="G701" s="60" t="n"/>
      <c r="H701" s="47" t="n"/>
      <c r="I701" s="47" t="n"/>
      <c r="J701" s="59" t="n"/>
      <c r="K701" s="59" t="n"/>
      <c r="L701" s="59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9" t="n"/>
      <c r="X701" s="61" t="n"/>
      <c r="Y701" s="59" t="n"/>
      <c r="Z701" s="59" t="n"/>
      <c r="AA701" s="59" t="n"/>
      <c r="AB701" s="59" t="n"/>
      <c r="AC701" s="59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9" t="n"/>
      <c r="F702" s="59" t="n"/>
      <c r="G702" s="60" t="n"/>
      <c r="H702" s="47" t="n"/>
      <c r="I702" s="47" t="n"/>
      <c r="J702" s="59" t="n"/>
      <c r="K702" s="59" t="n"/>
      <c r="L702" s="59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9" t="n"/>
      <c r="X702" s="61" t="n"/>
      <c r="Y702" s="59" t="n"/>
      <c r="Z702" s="59" t="n"/>
      <c r="AA702" s="59" t="n"/>
      <c r="AB702" s="59" t="n"/>
      <c r="AC702" s="59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9" t="n"/>
      <c r="F703" s="59" t="n"/>
      <c r="G703" s="60" t="n"/>
      <c r="H703" s="47" t="n"/>
      <c r="I703" s="47" t="n"/>
      <c r="J703" s="59" t="n"/>
      <c r="K703" s="59" t="n"/>
      <c r="L703" s="59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9" t="n"/>
      <c r="X703" s="61" t="n"/>
      <c r="Y703" s="59" t="n"/>
      <c r="Z703" s="59" t="n"/>
      <c r="AA703" s="59" t="n"/>
      <c r="AB703" s="59" t="n"/>
      <c r="AC703" s="59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9" t="n"/>
      <c r="F704" s="59" t="n"/>
      <c r="G704" s="60" t="n"/>
      <c r="H704" s="47" t="n"/>
      <c r="I704" s="47" t="n"/>
      <c r="J704" s="59" t="n"/>
      <c r="K704" s="59" t="n"/>
      <c r="L704" s="59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9" t="n"/>
      <c r="X704" s="61" t="n"/>
      <c r="Y704" s="59" t="n"/>
      <c r="Z704" s="59" t="n"/>
      <c r="AA704" s="59" t="n"/>
      <c r="AB704" s="59" t="n"/>
      <c r="AC704" s="59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9" t="n"/>
      <c r="F705" s="59" t="n"/>
      <c r="G705" s="60" t="n"/>
      <c r="H705" s="47" t="n"/>
      <c r="I705" s="47" t="n"/>
      <c r="J705" s="59" t="n"/>
      <c r="K705" s="59" t="n"/>
      <c r="L705" s="59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9" t="n"/>
      <c r="X705" s="61" t="n"/>
      <c r="Y705" s="59" t="n"/>
      <c r="Z705" s="59" t="n"/>
      <c r="AA705" s="59" t="n"/>
      <c r="AB705" s="59" t="n"/>
      <c r="AC705" s="59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9" t="n"/>
      <c r="F706" s="59" t="n"/>
      <c r="G706" s="60" t="n"/>
      <c r="H706" s="47" t="n"/>
      <c r="I706" s="47" t="n"/>
      <c r="J706" s="59" t="n"/>
      <c r="K706" s="59" t="n"/>
      <c r="L706" s="59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9" t="n"/>
      <c r="X706" s="61" t="n"/>
      <c r="Y706" s="59" t="n"/>
      <c r="Z706" s="59" t="n"/>
      <c r="AA706" s="59" t="n"/>
      <c r="AB706" s="59" t="n"/>
      <c r="AC706" s="59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9" t="n"/>
      <c r="F707" s="59" t="n"/>
      <c r="G707" s="60" t="n"/>
      <c r="H707" s="47" t="n"/>
      <c r="I707" s="47" t="n"/>
      <c r="J707" s="59" t="n"/>
      <c r="K707" s="59" t="n"/>
      <c r="L707" s="59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9" t="n"/>
      <c r="X707" s="61" t="n"/>
      <c r="Y707" s="59" t="n"/>
      <c r="Z707" s="59" t="n"/>
      <c r="AA707" s="59" t="n"/>
      <c r="AB707" s="59" t="n"/>
      <c r="AC707" s="59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9" t="n"/>
      <c r="F708" s="59" t="n"/>
      <c r="G708" s="60" t="n"/>
      <c r="H708" s="47" t="n"/>
      <c r="I708" s="47" t="n"/>
      <c r="J708" s="59" t="n"/>
      <c r="K708" s="59" t="n"/>
      <c r="L708" s="59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9" t="n"/>
      <c r="X708" s="61" t="n"/>
      <c r="Y708" s="59" t="n"/>
      <c r="Z708" s="59" t="n"/>
      <c r="AA708" s="59" t="n"/>
      <c r="AB708" s="59" t="n"/>
      <c r="AC708" s="59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9" t="n"/>
      <c r="F709" s="59" t="n"/>
      <c r="G709" s="60" t="n"/>
      <c r="H709" s="47" t="n"/>
      <c r="I709" s="47" t="n"/>
      <c r="J709" s="59" t="n"/>
      <c r="K709" s="59" t="n"/>
      <c r="L709" s="59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9" t="n"/>
      <c r="X709" s="61" t="n"/>
      <c r="Y709" s="59" t="n"/>
      <c r="Z709" s="59" t="n"/>
      <c r="AA709" s="59" t="n"/>
      <c r="AB709" s="59" t="n"/>
      <c r="AC709" s="59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9" t="n"/>
      <c r="F710" s="59" t="n"/>
      <c r="G710" s="60" t="n"/>
      <c r="H710" s="47" t="n"/>
      <c r="I710" s="47" t="n"/>
      <c r="J710" s="59" t="n"/>
      <c r="K710" s="59" t="n"/>
      <c r="L710" s="59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9" t="n"/>
      <c r="X710" s="61" t="n"/>
      <c r="Y710" s="59" t="n"/>
      <c r="Z710" s="59" t="n"/>
      <c r="AA710" s="59" t="n"/>
      <c r="AB710" s="59" t="n"/>
      <c r="AC710" s="59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9" t="n"/>
      <c r="F711" s="59" t="n"/>
      <c r="G711" s="60" t="n"/>
      <c r="H711" s="47" t="n"/>
      <c r="I711" s="47" t="n"/>
      <c r="J711" s="59" t="n"/>
      <c r="K711" s="59" t="n"/>
      <c r="L711" s="59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9" t="n"/>
      <c r="X711" s="61" t="n"/>
      <c r="Y711" s="59" t="n"/>
      <c r="Z711" s="59" t="n"/>
      <c r="AA711" s="59" t="n"/>
      <c r="AB711" s="59" t="n"/>
      <c r="AC711" s="59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9" t="n"/>
      <c r="F712" s="59" t="n"/>
      <c r="G712" s="60" t="n"/>
      <c r="H712" s="47" t="n"/>
      <c r="I712" s="47" t="n"/>
      <c r="J712" s="59" t="n"/>
      <c r="K712" s="59" t="n"/>
      <c r="L712" s="59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9" t="n"/>
      <c r="X712" s="61" t="n"/>
      <c r="Y712" s="59" t="n"/>
      <c r="Z712" s="59" t="n"/>
      <c r="AA712" s="59" t="n"/>
      <c r="AB712" s="59" t="n"/>
      <c r="AC712" s="59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9" t="n"/>
      <c r="F713" s="59" t="n"/>
      <c r="G713" s="60" t="n"/>
      <c r="H713" s="47" t="n"/>
      <c r="I713" s="47" t="n"/>
      <c r="J713" s="59" t="n"/>
      <c r="K713" s="59" t="n"/>
      <c r="L713" s="59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9" t="n"/>
      <c r="X713" s="61" t="n"/>
      <c r="Y713" s="59" t="n"/>
      <c r="Z713" s="59" t="n"/>
      <c r="AA713" s="59" t="n"/>
      <c r="AB713" s="59" t="n"/>
      <c r="AC713" s="59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9" t="n"/>
      <c r="F714" s="59" t="n"/>
      <c r="G714" s="60" t="n"/>
      <c r="H714" s="47" t="n"/>
      <c r="I714" s="47" t="n"/>
      <c r="J714" s="59" t="n"/>
      <c r="K714" s="59" t="n"/>
      <c r="L714" s="59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9" t="n"/>
      <c r="X714" s="61" t="n"/>
      <c r="Y714" s="59" t="n"/>
      <c r="Z714" s="59" t="n"/>
      <c r="AA714" s="59" t="n"/>
      <c r="AB714" s="59" t="n"/>
      <c r="AC714" s="59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9" t="n"/>
      <c r="F715" s="59" t="n"/>
      <c r="G715" s="60" t="n"/>
      <c r="H715" s="47" t="n"/>
      <c r="I715" s="47" t="n"/>
      <c r="J715" s="59" t="n"/>
      <c r="K715" s="59" t="n"/>
      <c r="L715" s="59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9" t="n"/>
      <c r="X715" s="61" t="n"/>
      <c r="Y715" s="59" t="n"/>
      <c r="Z715" s="59" t="n"/>
      <c r="AA715" s="59" t="n"/>
      <c r="AB715" s="59" t="n"/>
      <c r="AC715" s="59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9" t="n"/>
      <c r="F716" s="59" t="n"/>
      <c r="G716" s="60" t="n"/>
      <c r="H716" s="47" t="n"/>
      <c r="I716" s="47" t="n"/>
      <c r="J716" s="59" t="n"/>
      <c r="K716" s="59" t="n"/>
      <c r="L716" s="59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9" t="n"/>
      <c r="X716" s="61" t="n"/>
      <c r="Y716" s="59" t="n"/>
      <c r="Z716" s="59" t="n"/>
      <c r="AA716" s="59" t="n"/>
      <c r="AB716" s="59" t="n"/>
      <c r="AC716" s="59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9" t="n"/>
      <c r="F717" s="59" t="n"/>
      <c r="G717" s="60" t="n"/>
      <c r="H717" s="47" t="n"/>
      <c r="I717" s="47" t="n"/>
      <c r="J717" s="59" t="n"/>
      <c r="K717" s="59" t="n"/>
      <c r="L717" s="59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9" t="n"/>
      <c r="X717" s="61" t="n"/>
      <c r="Y717" s="59" t="n"/>
      <c r="Z717" s="59" t="n"/>
      <c r="AA717" s="59" t="n"/>
      <c r="AB717" s="59" t="n"/>
      <c r="AC717" s="59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9" t="n"/>
      <c r="F718" s="59" t="n"/>
      <c r="G718" s="60" t="n"/>
      <c r="H718" s="47" t="n"/>
      <c r="I718" s="47" t="n"/>
      <c r="J718" s="59" t="n"/>
      <c r="K718" s="59" t="n"/>
      <c r="L718" s="59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9" t="n"/>
      <c r="X718" s="61" t="n"/>
      <c r="Y718" s="59" t="n"/>
      <c r="Z718" s="59" t="n"/>
      <c r="AA718" s="59" t="n"/>
      <c r="AB718" s="59" t="n"/>
      <c r="AC718" s="59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9" t="n"/>
      <c r="F719" s="59" t="n"/>
      <c r="G719" s="60" t="n"/>
      <c r="H719" s="47" t="n"/>
      <c r="I719" s="47" t="n"/>
      <c r="J719" s="59" t="n"/>
      <c r="K719" s="59" t="n"/>
      <c r="L719" s="59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9" t="n"/>
      <c r="X719" s="61" t="n"/>
      <c r="Y719" s="59" t="n"/>
      <c r="Z719" s="59" t="n"/>
      <c r="AA719" s="59" t="n"/>
      <c r="AB719" s="59" t="n"/>
      <c r="AC719" s="59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9" t="n"/>
      <c r="F720" s="59" t="n"/>
      <c r="G720" s="60" t="n"/>
      <c r="H720" s="47" t="n"/>
      <c r="I720" s="47" t="n"/>
      <c r="J720" s="59" t="n"/>
      <c r="K720" s="59" t="n"/>
      <c r="L720" s="59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9" t="n"/>
      <c r="X720" s="61" t="n"/>
      <c r="Y720" s="59" t="n"/>
      <c r="Z720" s="59" t="n"/>
      <c r="AA720" s="59" t="n"/>
      <c r="AB720" s="59" t="n"/>
      <c r="AC720" s="59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9" t="n"/>
      <c r="F721" s="59" t="n"/>
      <c r="G721" s="60" t="n"/>
      <c r="H721" s="47" t="n"/>
      <c r="I721" s="47" t="n"/>
      <c r="J721" s="59" t="n"/>
      <c r="K721" s="59" t="n"/>
      <c r="L721" s="59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9" t="n"/>
      <c r="X721" s="61" t="n"/>
      <c r="Y721" s="59" t="n"/>
      <c r="Z721" s="59" t="n"/>
      <c r="AA721" s="59" t="n"/>
      <c r="AB721" s="59" t="n"/>
      <c r="AC721" s="59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9" t="n"/>
      <c r="F722" s="59" t="n"/>
      <c r="G722" s="60" t="n"/>
      <c r="H722" s="47" t="n"/>
      <c r="I722" s="47" t="n"/>
      <c r="J722" s="59" t="n"/>
      <c r="K722" s="59" t="n"/>
      <c r="L722" s="59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9" t="n"/>
      <c r="X722" s="61" t="n"/>
      <c r="Y722" s="59" t="n"/>
      <c r="Z722" s="59" t="n"/>
      <c r="AA722" s="59" t="n"/>
      <c r="AB722" s="59" t="n"/>
      <c r="AC722" s="59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9" t="n"/>
      <c r="F723" s="59" t="n"/>
      <c r="G723" s="60" t="n"/>
      <c r="H723" s="47" t="n"/>
      <c r="I723" s="47" t="n"/>
      <c r="J723" s="59" t="n"/>
      <c r="K723" s="59" t="n"/>
      <c r="L723" s="59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9" t="n"/>
      <c r="X723" s="61" t="n"/>
      <c r="Y723" s="59" t="n"/>
      <c r="Z723" s="59" t="n"/>
      <c r="AA723" s="59" t="n"/>
      <c r="AB723" s="59" t="n"/>
      <c r="AC723" s="59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9" t="n"/>
      <c r="F724" s="59" t="n"/>
      <c r="G724" s="60" t="n"/>
      <c r="H724" s="47" t="n"/>
      <c r="I724" s="47" t="n"/>
      <c r="J724" s="59" t="n"/>
      <c r="K724" s="59" t="n"/>
      <c r="L724" s="59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9" t="n"/>
      <c r="X724" s="61" t="n"/>
      <c r="Y724" s="59" t="n"/>
      <c r="Z724" s="59" t="n"/>
      <c r="AA724" s="59" t="n"/>
      <c r="AB724" s="59" t="n"/>
      <c r="AC724" s="59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9" t="n"/>
      <c r="F725" s="59" t="n"/>
      <c r="G725" s="60" t="n"/>
      <c r="H725" s="47" t="n"/>
      <c r="I725" s="47" t="n"/>
      <c r="J725" s="59" t="n"/>
      <c r="K725" s="59" t="n"/>
      <c r="L725" s="59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9" t="n"/>
      <c r="X725" s="61" t="n"/>
      <c r="Y725" s="59" t="n"/>
      <c r="Z725" s="59" t="n"/>
      <c r="AA725" s="59" t="n"/>
      <c r="AB725" s="59" t="n"/>
      <c r="AC725" s="59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9" t="n"/>
      <c r="F726" s="59" t="n"/>
      <c r="G726" s="60" t="n"/>
      <c r="H726" s="47" t="n"/>
      <c r="I726" s="47" t="n"/>
      <c r="J726" s="59" t="n"/>
      <c r="K726" s="59" t="n"/>
      <c r="L726" s="59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9" t="n"/>
      <c r="X726" s="61" t="n"/>
      <c r="Y726" s="59" t="n"/>
      <c r="Z726" s="59" t="n"/>
      <c r="AA726" s="59" t="n"/>
      <c r="AB726" s="59" t="n"/>
      <c r="AC726" s="59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9" t="n"/>
      <c r="F727" s="59" t="n"/>
      <c r="G727" s="60" t="n"/>
      <c r="H727" s="47" t="n"/>
      <c r="I727" s="47" t="n"/>
      <c r="J727" s="59" t="n"/>
      <c r="K727" s="59" t="n"/>
      <c r="L727" s="59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9" t="n"/>
      <c r="X727" s="61" t="n"/>
      <c r="Y727" s="59" t="n"/>
      <c r="Z727" s="59" t="n"/>
      <c r="AA727" s="59" t="n"/>
      <c r="AB727" s="59" t="n"/>
      <c r="AC727" s="59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9" t="n"/>
      <c r="F728" s="59" t="n"/>
      <c r="G728" s="60" t="n"/>
      <c r="H728" s="47" t="n"/>
      <c r="I728" s="47" t="n"/>
      <c r="J728" s="59" t="n"/>
      <c r="K728" s="59" t="n"/>
      <c r="L728" s="59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9" t="n"/>
      <c r="X728" s="61" t="n"/>
      <c r="Y728" s="59" t="n"/>
      <c r="Z728" s="59" t="n"/>
      <c r="AA728" s="59" t="n"/>
      <c r="AB728" s="59" t="n"/>
      <c r="AC728" s="59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9" t="n"/>
      <c r="F729" s="59" t="n"/>
      <c r="G729" s="60" t="n"/>
      <c r="H729" s="47" t="n"/>
      <c r="I729" s="47" t="n"/>
      <c r="J729" s="59" t="n"/>
      <c r="K729" s="59" t="n"/>
      <c r="L729" s="59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9" t="n"/>
      <c r="X729" s="61" t="n"/>
      <c r="Y729" s="59" t="n"/>
      <c r="Z729" s="59" t="n"/>
      <c r="AA729" s="59" t="n"/>
      <c r="AB729" s="59" t="n"/>
      <c r="AC729" s="59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9" t="n"/>
      <c r="F730" s="59" t="n"/>
      <c r="G730" s="60" t="n"/>
      <c r="H730" s="47" t="n"/>
      <c r="I730" s="47" t="n"/>
      <c r="J730" s="59" t="n"/>
      <c r="K730" s="59" t="n"/>
      <c r="L730" s="59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9" t="n"/>
      <c r="X730" s="61" t="n"/>
      <c r="Y730" s="59" t="n"/>
      <c r="Z730" s="59" t="n"/>
      <c r="AA730" s="59" t="n"/>
      <c r="AB730" s="59" t="n"/>
      <c r="AC730" s="59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9" t="n"/>
      <c r="F731" s="59" t="n"/>
      <c r="G731" s="60" t="n"/>
      <c r="H731" s="47" t="n"/>
      <c r="I731" s="47" t="n"/>
      <c r="J731" s="59" t="n"/>
      <c r="K731" s="59" t="n"/>
      <c r="L731" s="59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9" t="n"/>
      <c r="X731" s="61" t="n"/>
      <c r="Y731" s="59" t="n"/>
      <c r="Z731" s="59" t="n"/>
      <c r="AA731" s="59" t="n"/>
      <c r="AB731" s="59" t="n"/>
      <c r="AC731" s="59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9" t="n"/>
      <c r="F732" s="59" t="n"/>
      <c r="G732" s="60" t="n"/>
      <c r="H732" s="47" t="n"/>
      <c r="I732" s="47" t="n"/>
      <c r="J732" s="59" t="n"/>
      <c r="K732" s="59" t="n"/>
      <c r="L732" s="59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9" t="n"/>
      <c r="X732" s="61" t="n"/>
      <c r="Y732" s="59" t="n"/>
      <c r="Z732" s="59" t="n"/>
      <c r="AA732" s="59" t="n"/>
      <c r="AB732" s="59" t="n"/>
      <c r="AC732" s="59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9" t="n"/>
      <c r="F733" s="59" t="n"/>
      <c r="G733" s="60" t="n"/>
      <c r="H733" s="47" t="n"/>
      <c r="I733" s="47" t="n"/>
      <c r="J733" s="59" t="n"/>
      <c r="K733" s="59" t="n"/>
      <c r="L733" s="59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9" t="n"/>
      <c r="X733" s="61" t="n"/>
      <c r="Y733" s="59" t="n"/>
      <c r="Z733" s="59" t="n"/>
      <c r="AA733" s="59" t="n"/>
      <c r="AB733" s="59" t="n"/>
      <c r="AC733" s="59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9" t="n"/>
      <c r="F734" s="59" t="n"/>
      <c r="G734" s="60" t="n"/>
      <c r="H734" s="47" t="n"/>
      <c r="I734" s="47" t="n"/>
      <c r="J734" s="59" t="n"/>
      <c r="K734" s="59" t="n"/>
      <c r="L734" s="59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9" t="n"/>
      <c r="X734" s="61" t="n"/>
      <c r="Y734" s="59" t="n"/>
      <c r="Z734" s="59" t="n"/>
      <c r="AA734" s="59" t="n"/>
      <c r="AB734" s="59" t="n"/>
      <c r="AC734" s="59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9" t="n"/>
      <c r="F735" s="59" t="n"/>
      <c r="G735" s="60" t="n"/>
      <c r="H735" s="47" t="n"/>
      <c r="I735" s="47" t="n"/>
      <c r="J735" s="59" t="n"/>
      <c r="K735" s="59" t="n"/>
      <c r="L735" s="59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9" t="n"/>
      <c r="X735" s="61" t="n"/>
      <c r="Y735" s="59" t="n"/>
      <c r="Z735" s="59" t="n"/>
      <c r="AA735" s="59" t="n"/>
      <c r="AB735" s="59" t="n"/>
      <c r="AC735" s="59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9" t="n"/>
      <c r="F736" s="59" t="n"/>
      <c r="G736" s="60" t="n"/>
      <c r="H736" s="47" t="n"/>
      <c r="I736" s="47" t="n"/>
      <c r="J736" s="59" t="n"/>
      <c r="K736" s="59" t="n"/>
      <c r="L736" s="59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9" t="n"/>
      <c r="X736" s="61" t="n"/>
      <c r="Y736" s="59" t="n"/>
      <c r="Z736" s="59" t="n"/>
      <c r="AA736" s="59" t="n"/>
      <c r="AB736" s="59" t="n"/>
      <c r="AC736" s="59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9" t="n"/>
      <c r="F737" s="59" t="n"/>
      <c r="G737" s="60" t="n"/>
      <c r="H737" s="47" t="n"/>
      <c r="I737" s="47" t="n"/>
      <c r="J737" s="59" t="n"/>
      <c r="K737" s="59" t="n"/>
      <c r="L737" s="59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9" t="n"/>
      <c r="X737" s="61" t="n"/>
      <c r="Y737" s="59" t="n"/>
      <c r="Z737" s="59" t="n"/>
      <c r="AA737" s="59" t="n"/>
      <c r="AB737" s="59" t="n"/>
      <c r="AC737" s="59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9" t="n"/>
      <c r="F738" s="59" t="n"/>
      <c r="G738" s="60" t="n"/>
      <c r="H738" s="47" t="n"/>
      <c r="I738" s="47" t="n"/>
      <c r="J738" s="59" t="n"/>
      <c r="K738" s="59" t="n"/>
      <c r="L738" s="59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9" t="n"/>
      <c r="X738" s="61" t="n"/>
      <c r="Y738" s="59" t="n"/>
      <c r="Z738" s="59" t="n"/>
      <c r="AA738" s="59" t="n"/>
      <c r="AB738" s="59" t="n"/>
      <c r="AC738" s="59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9" t="n"/>
      <c r="F739" s="59" t="n"/>
      <c r="G739" s="60" t="n"/>
      <c r="H739" s="47" t="n"/>
      <c r="I739" s="47" t="n"/>
      <c r="J739" s="59" t="n"/>
      <c r="K739" s="59" t="n"/>
      <c r="L739" s="59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9" t="n"/>
      <c r="X739" s="61" t="n"/>
      <c r="Y739" s="59" t="n"/>
      <c r="Z739" s="59" t="n"/>
      <c r="AA739" s="59" t="n"/>
      <c r="AB739" s="59" t="n"/>
      <c r="AC739" s="59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9" t="n"/>
      <c r="F740" s="59" t="n"/>
      <c r="G740" s="60" t="n"/>
      <c r="H740" s="47" t="n"/>
      <c r="I740" s="47" t="n"/>
      <c r="J740" s="59" t="n"/>
      <c r="K740" s="59" t="n"/>
      <c r="L740" s="59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9" t="n"/>
      <c r="X740" s="61" t="n"/>
      <c r="Y740" s="59" t="n"/>
      <c r="Z740" s="59" t="n"/>
      <c r="AA740" s="59" t="n"/>
      <c r="AB740" s="59" t="n"/>
      <c r="AC740" s="59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9" t="n"/>
      <c r="F741" s="59" t="n"/>
      <c r="G741" s="60" t="n"/>
      <c r="H741" s="47" t="n"/>
      <c r="I741" s="47" t="n"/>
      <c r="J741" s="59" t="n"/>
      <c r="K741" s="59" t="n"/>
      <c r="L741" s="59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9" t="n"/>
      <c r="X741" s="61" t="n"/>
      <c r="Y741" s="59" t="n"/>
      <c r="Z741" s="59" t="n"/>
      <c r="AA741" s="59" t="n"/>
      <c r="AB741" s="59" t="n"/>
      <c r="AC741" s="59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9" t="n"/>
      <c r="F742" s="59" t="n"/>
      <c r="G742" s="60" t="n"/>
      <c r="H742" s="47" t="n"/>
      <c r="I742" s="47" t="n"/>
      <c r="J742" s="59" t="n"/>
      <c r="K742" s="59" t="n"/>
      <c r="L742" s="59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9" t="n"/>
      <c r="X742" s="61" t="n"/>
      <c r="Y742" s="59" t="n"/>
      <c r="Z742" s="59" t="n"/>
      <c r="AA742" s="59" t="n"/>
      <c r="AB742" s="59" t="n"/>
      <c r="AC742" s="59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9" t="n"/>
      <c r="F743" s="59" t="n"/>
      <c r="G743" s="60" t="n"/>
      <c r="H743" s="47" t="n"/>
      <c r="I743" s="47" t="n"/>
      <c r="J743" s="59" t="n"/>
      <c r="K743" s="59" t="n"/>
      <c r="L743" s="59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9" t="n"/>
      <c r="X743" s="61" t="n"/>
      <c r="Y743" s="59" t="n"/>
      <c r="Z743" s="59" t="n"/>
      <c r="AA743" s="59" t="n"/>
      <c r="AB743" s="59" t="n"/>
      <c r="AC743" s="59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9" t="n"/>
      <c r="F744" s="59" t="n"/>
      <c r="G744" s="60" t="n"/>
      <c r="H744" s="47" t="n"/>
      <c r="I744" s="47" t="n"/>
      <c r="J744" s="59" t="n"/>
      <c r="K744" s="59" t="n"/>
      <c r="L744" s="59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9" t="n"/>
      <c r="X744" s="61" t="n"/>
      <c r="Y744" s="59" t="n"/>
      <c r="Z744" s="59" t="n"/>
      <c r="AA744" s="59" t="n"/>
      <c r="AB744" s="59" t="n"/>
      <c r="AC744" s="59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9" t="n"/>
      <c r="F745" s="59" t="n"/>
      <c r="G745" s="60" t="n"/>
      <c r="H745" s="47" t="n"/>
      <c r="I745" s="47" t="n"/>
      <c r="J745" s="59" t="n"/>
      <c r="K745" s="59" t="n"/>
      <c r="L745" s="59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9" t="n"/>
      <c r="X745" s="61" t="n"/>
      <c r="Y745" s="59" t="n"/>
      <c r="Z745" s="59" t="n"/>
      <c r="AA745" s="59" t="n"/>
      <c r="AB745" s="59" t="n"/>
      <c r="AC745" s="59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9" t="n"/>
      <c r="F746" s="59" t="n"/>
      <c r="G746" s="60" t="n"/>
      <c r="H746" s="47" t="n"/>
      <c r="I746" s="47" t="n"/>
      <c r="J746" s="59" t="n"/>
      <c r="K746" s="59" t="n"/>
      <c r="L746" s="59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9" t="n"/>
      <c r="X746" s="61" t="n"/>
      <c r="Y746" s="59" t="n"/>
      <c r="Z746" s="59" t="n"/>
      <c r="AA746" s="59" t="n"/>
      <c r="AB746" s="59" t="n"/>
      <c r="AC746" s="59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9" t="n"/>
      <c r="F747" s="59" t="n"/>
      <c r="G747" s="60" t="n"/>
      <c r="H747" s="47" t="n"/>
      <c r="I747" s="47" t="n"/>
      <c r="J747" s="59" t="n"/>
      <c r="K747" s="59" t="n"/>
      <c r="L747" s="59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9" t="n"/>
      <c r="X747" s="61" t="n"/>
      <c r="Y747" s="59" t="n"/>
      <c r="Z747" s="59" t="n"/>
      <c r="AA747" s="59" t="n"/>
      <c r="AB747" s="59" t="n"/>
      <c r="AC747" s="59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9" t="n"/>
      <c r="F748" s="59" t="n"/>
      <c r="G748" s="60" t="n"/>
      <c r="H748" s="47" t="n"/>
      <c r="I748" s="47" t="n"/>
      <c r="J748" s="59" t="n"/>
      <c r="K748" s="59" t="n"/>
      <c r="L748" s="59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9" t="n"/>
      <c r="X748" s="61" t="n"/>
      <c r="Y748" s="59" t="n"/>
      <c r="Z748" s="59" t="n"/>
      <c r="AA748" s="59" t="n"/>
      <c r="AB748" s="59" t="n"/>
      <c r="AC748" s="59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9" t="n"/>
      <c r="F749" s="59" t="n"/>
      <c r="G749" s="60" t="n"/>
      <c r="H749" s="47" t="n"/>
      <c r="I749" s="47" t="n"/>
      <c r="J749" s="59" t="n"/>
      <c r="K749" s="59" t="n"/>
      <c r="L749" s="59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9" t="n"/>
      <c r="X749" s="61" t="n"/>
      <c r="Y749" s="59" t="n"/>
      <c r="Z749" s="59" t="n"/>
      <c r="AA749" s="59" t="n"/>
      <c r="AB749" s="59" t="n"/>
      <c r="AC749" s="59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9" t="n"/>
      <c r="F750" s="59" t="n"/>
      <c r="G750" s="60" t="n"/>
      <c r="H750" s="47" t="n"/>
      <c r="I750" s="47" t="n"/>
      <c r="J750" s="59" t="n"/>
      <c r="K750" s="59" t="n"/>
      <c r="L750" s="59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9" t="n"/>
      <c r="X750" s="61" t="n"/>
      <c r="Y750" s="59" t="n"/>
      <c r="Z750" s="59" t="n"/>
      <c r="AA750" s="59" t="n"/>
      <c r="AB750" s="59" t="n"/>
      <c r="AC750" s="59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9" t="n"/>
      <c r="F751" s="59" t="n"/>
      <c r="G751" s="60" t="n"/>
      <c r="H751" s="47" t="n"/>
      <c r="I751" s="47" t="n"/>
      <c r="J751" s="59" t="n"/>
      <c r="K751" s="59" t="n"/>
      <c r="L751" s="59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9" t="n"/>
      <c r="X751" s="61" t="n"/>
      <c r="Y751" s="59" t="n"/>
      <c r="Z751" s="59" t="n"/>
      <c r="AA751" s="59" t="n"/>
      <c r="AB751" s="59" t="n"/>
      <c r="AC751" s="59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9" t="n"/>
      <c r="F752" s="59" t="n"/>
      <c r="G752" s="60" t="n"/>
      <c r="H752" s="47" t="n"/>
      <c r="I752" s="47" t="n"/>
      <c r="J752" s="59" t="n"/>
      <c r="K752" s="59" t="n"/>
      <c r="L752" s="59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9" t="n"/>
      <c r="X752" s="61" t="n"/>
      <c r="Y752" s="59" t="n"/>
      <c r="Z752" s="59" t="n"/>
      <c r="AA752" s="59" t="n"/>
      <c r="AB752" s="59" t="n"/>
      <c r="AC752" s="59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9" t="n"/>
      <c r="F753" s="59" t="n"/>
      <c r="G753" s="60" t="n"/>
      <c r="H753" s="47" t="n"/>
      <c r="I753" s="47" t="n"/>
      <c r="J753" s="59" t="n"/>
      <c r="K753" s="59" t="n"/>
      <c r="L753" s="59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9" t="n"/>
      <c r="X753" s="61" t="n"/>
      <c r="Y753" s="59" t="n"/>
      <c r="Z753" s="59" t="n"/>
      <c r="AA753" s="59" t="n"/>
      <c r="AB753" s="59" t="n"/>
      <c r="AC753" s="59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9" t="n"/>
      <c r="F754" s="59" t="n"/>
      <c r="G754" s="60" t="n"/>
      <c r="H754" s="47" t="n"/>
      <c r="I754" s="47" t="n"/>
      <c r="J754" s="59" t="n"/>
      <c r="K754" s="59" t="n"/>
      <c r="L754" s="59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9" t="n"/>
      <c r="X754" s="61" t="n"/>
      <c r="Y754" s="59" t="n"/>
      <c r="Z754" s="59" t="n"/>
      <c r="AA754" s="59" t="n"/>
      <c r="AB754" s="59" t="n"/>
      <c r="AC754" s="59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9" t="n"/>
      <c r="F755" s="59" t="n"/>
      <c r="G755" s="60" t="n"/>
      <c r="H755" s="47" t="n"/>
      <c r="I755" s="47" t="n"/>
      <c r="J755" s="59" t="n"/>
      <c r="K755" s="59" t="n"/>
      <c r="L755" s="59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9" t="n"/>
      <c r="X755" s="61" t="n"/>
      <c r="Y755" s="59" t="n"/>
      <c r="Z755" s="59" t="n"/>
      <c r="AA755" s="59" t="n"/>
      <c r="AB755" s="59" t="n"/>
      <c r="AC755" s="59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9" t="n"/>
      <c r="F756" s="59" t="n"/>
      <c r="G756" s="60" t="n"/>
      <c r="H756" s="47" t="n"/>
      <c r="I756" s="47" t="n"/>
      <c r="J756" s="59" t="n"/>
      <c r="K756" s="59" t="n"/>
      <c r="L756" s="59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9" t="n"/>
      <c r="X756" s="61" t="n"/>
      <c r="Y756" s="59" t="n"/>
      <c r="Z756" s="59" t="n"/>
      <c r="AA756" s="59" t="n"/>
      <c r="AB756" s="59" t="n"/>
      <c r="AC756" s="59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9" t="n"/>
      <c r="F757" s="59" t="n"/>
      <c r="G757" s="60" t="n"/>
      <c r="H757" s="47" t="n"/>
      <c r="I757" s="47" t="n"/>
      <c r="J757" s="59" t="n"/>
      <c r="K757" s="59" t="n"/>
      <c r="L757" s="59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9" t="n"/>
      <c r="X757" s="61" t="n"/>
      <c r="Y757" s="59" t="n"/>
      <c r="Z757" s="59" t="n"/>
      <c r="AA757" s="59" t="n"/>
      <c r="AB757" s="59" t="n"/>
      <c r="AC757" s="59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9" t="n"/>
      <c r="F758" s="59" t="n"/>
      <c r="G758" s="60" t="n"/>
      <c r="H758" s="47" t="n"/>
      <c r="I758" s="47" t="n"/>
      <c r="J758" s="59" t="n"/>
      <c r="K758" s="59" t="n"/>
      <c r="L758" s="59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9" t="n"/>
      <c r="X758" s="61" t="n"/>
      <c r="Y758" s="59" t="n"/>
      <c r="Z758" s="59" t="n"/>
      <c r="AA758" s="59" t="n"/>
      <c r="AB758" s="59" t="n"/>
      <c r="AC758" s="59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9" t="n"/>
      <c r="F759" s="59" t="n"/>
      <c r="G759" s="60" t="n"/>
      <c r="H759" s="47" t="n"/>
      <c r="I759" s="47" t="n"/>
      <c r="J759" s="59" t="n"/>
      <c r="K759" s="59" t="n"/>
      <c r="L759" s="59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9" t="n"/>
      <c r="X759" s="61" t="n"/>
      <c r="Y759" s="59" t="n"/>
      <c r="Z759" s="59" t="n"/>
      <c r="AA759" s="59" t="n"/>
      <c r="AB759" s="59" t="n"/>
      <c r="AC759" s="59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9" t="n"/>
      <c r="F760" s="59" t="n"/>
      <c r="G760" s="60" t="n"/>
      <c r="H760" s="47" t="n"/>
      <c r="I760" s="47" t="n"/>
      <c r="J760" s="59" t="n"/>
      <c r="K760" s="59" t="n"/>
      <c r="L760" s="59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9" t="n"/>
      <c r="X760" s="61" t="n"/>
      <c r="Y760" s="59" t="n"/>
      <c r="Z760" s="59" t="n"/>
      <c r="AA760" s="59" t="n"/>
      <c r="AB760" s="59" t="n"/>
      <c r="AC760" s="59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9" t="n"/>
      <c r="F761" s="59" t="n"/>
      <c r="G761" s="60" t="n"/>
      <c r="H761" s="47" t="n"/>
      <c r="I761" s="47" t="n"/>
      <c r="J761" s="59" t="n"/>
      <c r="K761" s="59" t="n"/>
      <c r="L761" s="59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9" t="n"/>
      <c r="X761" s="61" t="n"/>
      <c r="Y761" s="59" t="n"/>
      <c r="Z761" s="59" t="n"/>
      <c r="AA761" s="59" t="n"/>
      <c r="AB761" s="59" t="n"/>
      <c r="AC761" s="59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9" t="n"/>
      <c r="F762" s="59" t="n"/>
      <c r="G762" s="60" t="n"/>
      <c r="H762" s="47" t="n"/>
      <c r="I762" s="47" t="n"/>
      <c r="J762" s="59" t="n"/>
      <c r="K762" s="59" t="n"/>
      <c r="L762" s="59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9" t="n"/>
      <c r="X762" s="61" t="n"/>
      <c r="Y762" s="59" t="n"/>
      <c r="Z762" s="59" t="n"/>
      <c r="AA762" s="59" t="n"/>
      <c r="AB762" s="59" t="n"/>
      <c r="AC762" s="59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9" t="n"/>
      <c r="F763" s="59" t="n"/>
      <c r="G763" s="60" t="n"/>
      <c r="H763" s="47" t="n"/>
      <c r="I763" s="47" t="n"/>
      <c r="J763" s="59" t="n"/>
      <c r="K763" s="59" t="n"/>
      <c r="L763" s="59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9" t="n"/>
      <c r="X763" s="61" t="n"/>
      <c r="Y763" s="59" t="n"/>
      <c r="Z763" s="59" t="n"/>
      <c r="AA763" s="59" t="n"/>
      <c r="AB763" s="59" t="n"/>
      <c r="AC763" s="59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9" t="n"/>
      <c r="F764" s="59" t="n"/>
      <c r="G764" s="60" t="n"/>
      <c r="H764" s="47" t="n"/>
      <c r="I764" s="47" t="n"/>
      <c r="J764" s="59" t="n"/>
      <c r="K764" s="59" t="n"/>
      <c r="L764" s="59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9" t="n"/>
      <c r="X764" s="61" t="n"/>
      <c r="Y764" s="59" t="n"/>
      <c r="Z764" s="59" t="n"/>
      <c r="AA764" s="59" t="n"/>
      <c r="AB764" s="59" t="n"/>
      <c r="AC764" s="59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9" t="n"/>
      <c r="F765" s="59" t="n"/>
      <c r="G765" s="60" t="n"/>
      <c r="H765" s="47" t="n"/>
      <c r="I765" s="47" t="n"/>
      <c r="J765" s="59" t="n"/>
      <c r="K765" s="59" t="n"/>
      <c r="L765" s="59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9" t="n"/>
      <c r="X765" s="61" t="n"/>
      <c r="Y765" s="59" t="n"/>
      <c r="Z765" s="59" t="n"/>
      <c r="AA765" s="59" t="n"/>
      <c r="AB765" s="59" t="n"/>
      <c r="AC765" s="59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9" t="n"/>
      <c r="F766" s="59" t="n"/>
      <c r="G766" s="60" t="n"/>
      <c r="H766" s="47" t="n"/>
      <c r="I766" s="47" t="n"/>
      <c r="J766" s="59" t="n"/>
      <c r="K766" s="59" t="n"/>
      <c r="L766" s="59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9" t="n"/>
      <c r="X766" s="61" t="n"/>
      <c r="Y766" s="59" t="n"/>
      <c r="Z766" s="59" t="n"/>
      <c r="AA766" s="59" t="n"/>
      <c r="AB766" s="59" t="n"/>
      <c r="AC766" s="59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9" t="n"/>
      <c r="F767" s="59" t="n"/>
      <c r="G767" s="60" t="n"/>
      <c r="H767" s="47" t="n"/>
      <c r="I767" s="47" t="n"/>
      <c r="J767" s="59" t="n"/>
      <c r="K767" s="59" t="n"/>
      <c r="L767" s="59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9" t="n"/>
      <c r="X767" s="61" t="n"/>
      <c r="Y767" s="59" t="n"/>
      <c r="Z767" s="59" t="n"/>
      <c r="AA767" s="59" t="n"/>
      <c r="AB767" s="59" t="n"/>
      <c r="AC767" s="59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9" t="n"/>
      <c r="F768" s="59" t="n"/>
      <c r="G768" s="60" t="n"/>
      <c r="H768" s="47" t="n"/>
      <c r="I768" s="47" t="n"/>
      <c r="J768" s="59" t="n"/>
      <c r="K768" s="59" t="n"/>
      <c r="L768" s="59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9" t="n"/>
      <c r="X768" s="61" t="n"/>
      <c r="Y768" s="59" t="n"/>
      <c r="Z768" s="59" t="n"/>
      <c r="AA768" s="59" t="n"/>
      <c r="AB768" s="59" t="n"/>
      <c r="AC768" s="59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9" t="n"/>
      <c r="F769" s="59" t="n"/>
      <c r="G769" s="60" t="n"/>
      <c r="H769" s="47" t="n"/>
      <c r="I769" s="47" t="n"/>
      <c r="J769" s="59" t="n"/>
      <c r="K769" s="59" t="n"/>
      <c r="L769" s="59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9" t="n"/>
      <c r="X769" s="61" t="n"/>
      <c r="Y769" s="59" t="n"/>
      <c r="Z769" s="59" t="n"/>
      <c r="AA769" s="59" t="n"/>
      <c r="AB769" s="59" t="n"/>
      <c r="AC769" s="59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9" t="n"/>
      <c r="F770" s="59" t="n"/>
      <c r="G770" s="60" t="n"/>
      <c r="H770" s="47" t="n"/>
      <c r="I770" s="47" t="n"/>
      <c r="J770" s="59" t="n"/>
      <c r="K770" s="59" t="n"/>
      <c r="L770" s="59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9" t="n"/>
      <c r="X770" s="61" t="n"/>
      <c r="Y770" s="59" t="n"/>
      <c r="Z770" s="59" t="n"/>
      <c r="AA770" s="59" t="n"/>
      <c r="AB770" s="59" t="n"/>
      <c r="AC770" s="59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9" t="n"/>
      <c r="F771" s="59" t="n"/>
      <c r="G771" s="60" t="n"/>
      <c r="H771" s="47" t="n"/>
      <c r="I771" s="47" t="n"/>
      <c r="J771" s="59" t="n"/>
      <c r="K771" s="59" t="n"/>
      <c r="L771" s="59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9" t="n"/>
      <c r="X771" s="61" t="n"/>
      <c r="Y771" s="59" t="n"/>
      <c r="Z771" s="59" t="n"/>
      <c r="AA771" s="59" t="n"/>
      <c r="AB771" s="59" t="n"/>
      <c r="AC771" s="59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9" t="n"/>
      <c r="F772" s="59" t="n"/>
      <c r="G772" s="60" t="n"/>
      <c r="H772" s="47" t="n"/>
      <c r="I772" s="47" t="n"/>
      <c r="J772" s="59" t="n"/>
      <c r="K772" s="59" t="n"/>
      <c r="L772" s="59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9" t="n"/>
      <c r="X772" s="61" t="n"/>
      <c r="Y772" s="59" t="n"/>
      <c r="Z772" s="59" t="n"/>
      <c r="AA772" s="59" t="n"/>
      <c r="AB772" s="59" t="n"/>
      <c r="AC772" s="59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9" t="n"/>
      <c r="F773" s="59" t="n"/>
      <c r="G773" s="60" t="n"/>
      <c r="H773" s="47" t="n"/>
      <c r="I773" s="47" t="n"/>
      <c r="J773" s="59" t="n"/>
      <c r="K773" s="59" t="n"/>
      <c r="L773" s="59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9" t="n"/>
      <c r="X773" s="61" t="n"/>
      <c r="Y773" s="59" t="n"/>
      <c r="Z773" s="59" t="n"/>
      <c r="AA773" s="59" t="n"/>
      <c r="AB773" s="59" t="n"/>
      <c r="AC773" s="59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9" t="n"/>
      <c r="F774" s="59" t="n"/>
      <c r="G774" s="60" t="n"/>
      <c r="H774" s="47" t="n"/>
      <c r="I774" s="47" t="n"/>
      <c r="J774" s="59" t="n"/>
      <c r="K774" s="59" t="n"/>
      <c r="L774" s="59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9" t="n"/>
      <c r="X774" s="61" t="n"/>
      <c r="Y774" s="59" t="n"/>
      <c r="Z774" s="59" t="n"/>
      <c r="AA774" s="59" t="n"/>
      <c r="AB774" s="59" t="n"/>
      <c r="AC774" s="59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9" t="n"/>
      <c r="F775" s="59" t="n"/>
      <c r="G775" s="60" t="n"/>
      <c r="H775" s="47" t="n"/>
      <c r="I775" s="47" t="n"/>
      <c r="J775" s="59" t="n"/>
      <c r="K775" s="59" t="n"/>
      <c r="L775" s="59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9" t="n"/>
      <c r="X775" s="61" t="n"/>
      <c r="Y775" s="59" t="n"/>
      <c r="Z775" s="59" t="n"/>
      <c r="AA775" s="59" t="n"/>
      <c r="AB775" s="59" t="n"/>
      <c r="AC775" s="59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9" t="n"/>
      <c r="F776" s="59" t="n"/>
      <c r="G776" s="60" t="n"/>
      <c r="H776" s="47" t="n"/>
      <c r="I776" s="47" t="n"/>
      <c r="J776" s="59" t="n"/>
      <c r="K776" s="59" t="n"/>
      <c r="L776" s="59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9" t="n"/>
      <c r="X776" s="61" t="n"/>
      <c r="Y776" s="59" t="n"/>
      <c r="Z776" s="59" t="n"/>
      <c r="AA776" s="59" t="n"/>
      <c r="AB776" s="59" t="n"/>
      <c r="AC776" s="59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9" t="n"/>
      <c r="F777" s="59" t="n"/>
      <c r="G777" s="60" t="n"/>
      <c r="H777" s="47" t="n"/>
      <c r="I777" s="47" t="n"/>
      <c r="J777" s="59" t="n"/>
      <c r="K777" s="59" t="n"/>
      <c r="L777" s="59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9" t="n"/>
      <c r="X777" s="61" t="n"/>
      <c r="Y777" s="59" t="n"/>
      <c r="Z777" s="59" t="n"/>
      <c r="AA777" s="59" t="n"/>
      <c r="AB777" s="59" t="n"/>
      <c r="AC777" s="59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9" t="n"/>
      <c r="F778" s="59" t="n"/>
      <c r="G778" s="60" t="n"/>
      <c r="H778" s="47" t="n"/>
      <c r="I778" s="47" t="n"/>
      <c r="J778" s="59" t="n"/>
      <c r="K778" s="59" t="n"/>
      <c r="L778" s="59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9" t="n"/>
      <c r="X778" s="61" t="n"/>
      <c r="Y778" s="59" t="n"/>
      <c r="Z778" s="59" t="n"/>
      <c r="AA778" s="59" t="n"/>
      <c r="AB778" s="59" t="n"/>
      <c r="AC778" s="59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9" t="n"/>
      <c r="F779" s="59" t="n"/>
      <c r="G779" s="60" t="n"/>
      <c r="H779" s="47" t="n"/>
      <c r="I779" s="47" t="n"/>
      <c r="J779" s="59" t="n"/>
      <c r="K779" s="59" t="n"/>
      <c r="L779" s="59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9" t="n"/>
      <c r="X779" s="61" t="n"/>
      <c r="Y779" s="59" t="n"/>
      <c r="Z779" s="59" t="n"/>
      <c r="AA779" s="59" t="n"/>
      <c r="AB779" s="59" t="n"/>
      <c r="AC779" s="59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9" t="n"/>
      <c r="F780" s="59" t="n"/>
      <c r="G780" s="60" t="n"/>
      <c r="H780" s="47" t="n"/>
      <c r="I780" s="47" t="n"/>
      <c r="J780" s="59" t="n"/>
      <c r="K780" s="59" t="n"/>
      <c r="L780" s="59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9" t="n"/>
      <c r="X780" s="61" t="n"/>
      <c r="Y780" s="59" t="n"/>
      <c r="Z780" s="59" t="n"/>
      <c r="AA780" s="59" t="n"/>
      <c r="AB780" s="59" t="n"/>
      <c r="AC780" s="59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9" t="n"/>
      <c r="F781" s="59" t="n"/>
      <c r="G781" s="60" t="n"/>
      <c r="H781" s="47" t="n"/>
      <c r="I781" s="47" t="n"/>
      <c r="J781" s="59" t="n"/>
      <c r="K781" s="59" t="n"/>
      <c r="L781" s="59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9" t="n"/>
      <c r="X781" s="61" t="n"/>
      <c r="Y781" s="59" t="n"/>
      <c r="Z781" s="59" t="n"/>
      <c r="AA781" s="59" t="n"/>
      <c r="AB781" s="59" t="n"/>
      <c r="AC781" s="59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9" t="n"/>
      <c r="F782" s="59" t="n"/>
      <c r="G782" s="60" t="n"/>
      <c r="H782" s="47" t="n"/>
      <c r="I782" s="47" t="n"/>
      <c r="J782" s="59" t="n"/>
      <c r="K782" s="59" t="n"/>
      <c r="L782" s="59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9" t="n"/>
      <c r="X782" s="61" t="n"/>
      <c r="Y782" s="59" t="n"/>
      <c r="Z782" s="59" t="n"/>
      <c r="AA782" s="59" t="n"/>
      <c r="AB782" s="59" t="n"/>
      <c r="AC782" s="59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9" t="n"/>
      <c r="F783" s="59" t="n"/>
      <c r="G783" s="60" t="n"/>
      <c r="H783" s="47" t="n"/>
      <c r="I783" s="47" t="n"/>
      <c r="J783" s="59" t="n"/>
      <c r="K783" s="59" t="n"/>
      <c r="L783" s="59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9" t="n"/>
      <c r="X783" s="61" t="n"/>
      <c r="Y783" s="59" t="n"/>
      <c r="Z783" s="59" t="n"/>
      <c r="AA783" s="59" t="n"/>
      <c r="AB783" s="59" t="n"/>
      <c r="AC783" s="59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9" t="n"/>
      <c r="F784" s="59" t="n"/>
      <c r="G784" s="60" t="n"/>
      <c r="H784" s="47" t="n"/>
      <c r="I784" s="47" t="n"/>
      <c r="J784" s="59" t="n"/>
      <c r="K784" s="59" t="n"/>
      <c r="L784" s="59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9" t="n"/>
      <c r="X784" s="61" t="n"/>
      <c r="Y784" s="59" t="n"/>
      <c r="Z784" s="59" t="n"/>
      <c r="AA784" s="59" t="n"/>
      <c r="AB784" s="59" t="n"/>
      <c r="AC784" s="59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9" t="n"/>
      <c r="F785" s="59" t="n"/>
      <c r="G785" s="60" t="n"/>
      <c r="H785" s="47" t="n"/>
      <c r="I785" s="47" t="n"/>
      <c r="J785" s="59" t="n"/>
      <c r="K785" s="59" t="n"/>
      <c r="L785" s="59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9" t="n"/>
      <c r="X785" s="61" t="n"/>
      <c r="Y785" s="59" t="n"/>
      <c r="Z785" s="59" t="n"/>
      <c r="AA785" s="59" t="n"/>
      <c r="AB785" s="59" t="n"/>
      <c r="AC785" s="59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9" t="n"/>
      <c r="F786" s="59" t="n"/>
      <c r="G786" s="60" t="n"/>
      <c r="H786" s="47" t="n"/>
      <c r="I786" s="47" t="n"/>
      <c r="J786" s="59" t="n"/>
      <c r="K786" s="59" t="n"/>
      <c r="L786" s="59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9" t="n"/>
      <c r="X786" s="61" t="n"/>
      <c r="Y786" s="59" t="n"/>
      <c r="Z786" s="59" t="n"/>
      <c r="AA786" s="59" t="n"/>
      <c r="AB786" s="59" t="n"/>
      <c r="AC786" s="59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9" t="n"/>
      <c r="F787" s="59" t="n"/>
      <c r="G787" s="60" t="n"/>
      <c r="H787" s="47" t="n"/>
      <c r="I787" s="47" t="n"/>
      <c r="J787" s="59" t="n"/>
      <c r="K787" s="59" t="n"/>
      <c r="L787" s="59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9" t="n"/>
      <c r="X787" s="61" t="n"/>
      <c r="Y787" s="59" t="n"/>
      <c r="Z787" s="59" t="n"/>
      <c r="AA787" s="59" t="n"/>
      <c r="AB787" s="59" t="n"/>
      <c r="AC787" s="59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9" t="n"/>
      <c r="F788" s="59" t="n"/>
      <c r="G788" s="60" t="n"/>
      <c r="H788" s="47" t="n"/>
      <c r="I788" s="47" t="n"/>
      <c r="J788" s="59" t="n"/>
      <c r="K788" s="59" t="n"/>
      <c r="L788" s="59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9" t="n"/>
      <c r="X788" s="61" t="n"/>
      <c r="Y788" s="59" t="n"/>
      <c r="Z788" s="59" t="n"/>
      <c r="AA788" s="59" t="n"/>
      <c r="AB788" s="59" t="n"/>
      <c r="AC788" s="59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9" t="n"/>
      <c r="F789" s="59" t="n"/>
      <c r="G789" s="60" t="n"/>
      <c r="H789" s="47" t="n"/>
      <c r="I789" s="47" t="n"/>
      <c r="J789" s="59" t="n"/>
      <c r="K789" s="59" t="n"/>
      <c r="L789" s="59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9" t="n"/>
      <c r="X789" s="61" t="n"/>
      <c r="Y789" s="59" t="n"/>
      <c r="Z789" s="59" t="n"/>
      <c r="AA789" s="59" t="n"/>
      <c r="AB789" s="59" t="n"/>
      <c r="AC789" s="59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9" t="n"/>
      <c r="F790" s="59" t="n"/>
      <c r="G790" s="60" t="n"/>
      <c r="H790" s="47" t="n"/>
      <c r="I790" s="47" t="n"/>
      <c r="J790" s="59" t="n"/>
      <c r="K790" s="59" t="n"/>
      <c r="L790" s="59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9" t="n"/>
      <c r="X790" s="61" t="n"/>
      <c r="Y790" s="59" t="n"/>
      <c r="Z790" s="59" t="n"/>
      <c r="AA790" s="59" t="n"/>
      <c r="AB790" s="59" t="n"/>
      <c r="AC790" s="59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9" t="n"/>
      <c r="F791" s="59" t="n"/>
      <c r="G791" s="60" t="n"/>
      <c r="H791" s="47" t="n"/>
      <c r="I791" s="47" t="n"/>
      <c r="J791" s="59" t="n"/>
      <c r="K791" s="59" t="n"/>
      <c r="L791" s="59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9" t="n"/>
      <c r="X791" s="61" t="n"/>
      <c r="Y791" s="59" t="n"/>
      <c r="Z791" s="59" t="n"/>
      <c r="AA791" s="59" t="n"/>
      <c r="AB791" s="59" t="n"/>
      <c r="AC791" s="59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9" t="n"/>
      <c r="F792" s="59" t="n"/>
      <c r="G792" s="60" t="n"/>
      <c r="H792" s="47" t="n"/>
      <c r="I792" s="47" t="n"/>
      <c r="J792" s="59" t="n"/>
      <c r="K792" s="59" t="n"/>
      <c r="L792" s="59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9" t="n"/>
      <c r="X792" s="61" t="n"/>
      <c r="Y792" s="59" t="n"/>
      <c r="Z792" s="59" t="n"/>
      <c r="AA792" s="59" t="n"/>
      <c r="AB792" s="59" t="n"/>
      <c r="AC792" s="59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9" t="n"/>
      <c r="F793" s="59" t="n"/>
      <c r="G793" s="60" t="n"/>
      <c r="H793" s="47" t="n"/>
      <c r="I793" s="47" t="n"/>
      <c r="J793" s="59" t="n"/>
      <c r="K793" s="59" t="n"/>
      <c r="L793" s="59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9" t="n"/>
      <c r="X793" s="61" t="n"/>
      <c r="Y793" s="59" t="n"/>
      <c r="Z793" s="59" t="n"/>
      <c r="AA793" s="59" t="n"/>
      <c r="AB793" s="59" t="n"/>
      <c r="AC793" s="59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9" t="n"/>
      <c r="F794" s="59" t="n"/>
      <c r="G794" s="60" t="n"/>
      <c r="H794" s="47" t="n"/>
      <c r="I794" s="47" t="n"/>
      <c r="J794" s="59" t="n"/>
      <c r="K794" s="59" t="n"/>
      <c r="L794" s="59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9" t="n"/>
      <c r="X794" s="61" t="n"/>
      <c r="Y794" s="59" t="n"/>
      <c r="Z794" s="59" t="n"/>
      <c r="AA794" s="59" t="n"/>
      <c r="AB794" s="59" t="n"/>
      <c r="AC794" s="59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9" t="n"/>
      <c r="F795" s="59" t="n"/>
      <c r="G795" s="60" t="n"/>
      <c r="H795" s="47" t="n"/>
      <c r="I795" s="47" t="n"/>
      <c r="J795" s="59" t="n"/>
      <c r="K795" s="59" t="n"/>
      <c r="L795" s="59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9" t="n"/>
      <c r="X795" s="61" t="n"/>
      <c r="Y795" s="59" t="n"/>
      <c r="Z795" s="59" t="n"/>
      <c r="AA795" s="59" t="n"/>
      <c r="AB795" s="59" t="n"/>
      <c r="AC795" s="59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9" t="n"/>
      <c r="F796" s="59" t="n"/>
      <c r="G796" s="60" t="n"/>
      <c r="H796" s="47" t="n"/>
      <c r="I796" s="47" t="n"/>
      <c r="J796" s="59" t="n"/>
      <c r="K796" s="59" t="n"/>
      <c r="L796" s="59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9" t="n"/>
      <c r="X796" s="61" t="n"/>
      <c r="Y796" s="59" t="n"/>
      <c r="Z796" s="59" t="n"/>
      <c r="AA796" s="59" t="n"/>
      <c r="AB796" s="59" t="n"/>
      <c r="AC796" s="59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9" t="n"/>
      <c r="F797" s="59" t="n"/>
      <c r="G797" s="60" t="n"/>
      <c r="H797" s="47" t="n"/>
      <c r="I797" s="47" t="n"/>
      <c r="J797" s="59" t="n"/>
      <c r="K797" s="59" t="n"/>
      <c r="L797" s="59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9" t="n"/>
      <c r="X797" s="61" t="n"/>
      <c r="Y797" s="59" t="n"/>
      <c r="Z797" s="59" t="n"/>
      <c r="AA797" s="59" t="n"/>
      <c r="AB797" s="59" t="n"/>
      <c r="AC797" s="59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9" t="n"/>
      <c r="F798" s="59" t="n"/>
      <c r="G798" s="60" t="n"/>
      <c r="H798" s="47" t="n"/>
      <c r="I798" s="47" t="n"/>
      <c r="J798" s="59" t="n"/>
      <c r="K798" s="59" t="n"/>
      <c r="L798" s="59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9" t="n"/>
      <c r="X798" s="61" t="n"/>
      <c r="Y798" s="59" t="n"/>
      <c r="Z798" s="59" t="n"/>
      <c r="AA798" s="59" t="n"/>
      <c r="AB798" s="59" t="n"/>
      <c r="AC798" s="59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9" t="n"/>
      <c r="F799" s="59" t="n"/>
      <c r="G799" s="60" t="n"/>
      <c r="H799" s="47" t="n"/>
      <c r="I799" s="47" t="n"/>
      <c r="J799" s="59" t="n"/>
      <c r="K799" s="59" t="n"/>
      <c r="L799" s="59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9" t="n"/>
      <c r="X799" s="61" t="n"/>
      <c r="Y799" s="59" t="n"/>
      <c r="Z799" s="59" t="n"/>
      <c r="AA799" s="59" t="n"/>
      <c r="AB799" s="59" t="n"/>
      <c r="AC799" s="59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9" t="n"/>
      <c r="F800" s="59" t="n"/>
      <c r="G800" s="60" t="n"/>
      <c r="H800" s="47" t="n"/>
      <c r="I800" s="47" t="n"/>
      <c r="J800" s="59" t="n"/>
      <c r="K800" s="59" t="n"/>
      <c r="L800" s="59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9" t="n"/>
      <c r="X800" s="61" t="n"/>
      <c r="Y800" s="59" t="n"/>
      <c r="Z800" s="59" t="n"/>
      <c r="AA800" s="59" t="n"/>
      <c r="AB800" s="59" t="n"/>
      <c r="AC800" s="59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9" t="n"/>
      <c r="F801" s="59" t="n"/>
      <c r="G801" s="60" t="n"/>
      <c r="H801" s="47" t="n"/>
      <c r="I801" s="47" t="n"/>
      <c r="J801" s="59" t="n"/>
      <c r="K801" s="59" t="n"/>
      <c r="L801" s="59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9" t="n"/>
      <c r="X801" s="61" t="n"/>
      <c r="Y801" s="59" t="n"/>
      <c r="Z801" s="59" t="n"/>
      <c r="AA801" s="59" t="n"/>
      <c r="AB801" s="59" t="n"/>
      <c r="AC801" s="59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9" t="n"/>
      <c r="F802" s="59" t="n"/>
      <c r="G802" s="60" t="n"/>
      <c r="H802" s="47" t="n"/>
      <c r="I802" s="47" t="n"/>
      <c r="J802" s="59" t="n"/>
      <c r="K802" s="59" t="n"/>
      <c r="L802" s="59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9" t="n"/>
      <c r="X802" s="61" t="n"/>
      <c r="Y802" s="59" t="n"/>
      <c r="Z802" s="59" t="n"/>
      <c r="AA802" s="59" t="n"/>
      <c r="AB802" s="59" t="n"/>
      <c r="AC802" s="59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9" t="n"/>
      <c r="F803" s="59" t="n"/>
      <c r="G803" s="60" t="n"/>
      <c r="H803" s="47" t="n"/>
      <c r="I803" s="47" t="n"/>
      <c r="J803" s="59" t="n"/>
      <c r="K803" s="59" t="n"/>
      <c r="L803" s="59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9" t="n"/>
      <c r="X803" s="61" t="n"/>
      <c r="Y803" s="59" t="n"/>
      <c r="Z803" s="59" t="n"/>
      <c r="AA803" s="59" t="n"/>
      <c r="AB803" s="59" t="n"/>
      <c r="AC803" s="59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9" t="n"/>
      <c r="F804" s="59" t="n"/>
      <c r="G804" s="60" t="n"/>
      <c r="H804" s="47" t="n"/>
      <c r="I804" s="47" t="n"/>
      <c r="J804" s="59" t="n"/>
      <c r="K804" s="59" t="n"/>
      <c r="L804" s="59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9" t="n"/>
      <c r="X804" s="61" t="n"/>
      <c r="Y804" s="59" t="n"/>
      <c r="Z804" s="59" t="n"/>
      <c r="AA804" s="59" t="n"/>
      <c r="AB804" s="59" t="n"/>
      <c r="AC804" s="59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9" t="n"/>
      <c r="F805" s="59" t="n"/>
      <c r="G805" s="60" t="n"/>
      <c r="H805" s="47" t="n"/>
      <c r="I805" s="47" t="n"/>
      <c r="J805" s="59" t="n"/>
      <c r="K805" s="59" t="n"/>
      <c r="L805" s="59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9" t="n"/>
      <c r="X805" s="61" t="n"/>
      <c r="Y805" s="59" t="n"/>
      <c r="Z805" s="59" t="n"/>
      <c r="AA805" s="59" t="n"/>
      <c r="AB805" s="59" t="n"/>
      <c r="AC805" s="59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9" t="n"/>
      <c r="F806" s="59" t="n"/>
      <c r="G806" s="60" t="n"/>
      <c r="H806" s="47" t="n"/>
      <c r="I806" s="47" t="n"/>
      <c r="J806" s="59" t="n"/>
      <c r="K806" s="59" t="n"/>
      <c r="L806" s="59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9" t="n"/>
      <c r="X806" s="61" t="n"/>
      <c r="Y806" s="59" t="n"/>
      <c r="Z806" s="59" t="n"/>
      <c r="AA806" s="59" t="n"/>
      <c r="AB806" s="59" t="n"/>
      <c r="AC806" s="59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9" t="n"/>
      <c r="F807" s="59" t="n"/>
      <c r="G807" s="60" t="n"/>
      <c r="H807" s="47" t="n"/>
      <c r="I807" s="47" t="n"/>
      <c r="J807" s="59" t="n"/>
      <c r="K807" s="59" t="n"/>
      <c r="L807" s="59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9" t="n"/>
      <c r="X807" s="61" t="n"/>
      <c r="Y807" s="59" t="n"/>
      <c r="Z807" s="59" t="n"/>
      <c r="AA807" s="59" t="n"/>
      <c r="AB807" s="59" t="n"/>
      <c r="AC807" s="59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9" t="n"/>
      <c r="F808" s="59" t="n"/>
      <c r="G808" s="60" t="n"/>
      <c r="H808" s="47" t="n"/>
      <c r="I808" s="47" t="n"/>
      <c r="J808" s="59" t="n"/>
      <c r="K808" s="59" t="n"/>
      <c r="L808" s="59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9" t="n"/>
      <c r="X808" s="61" t="n"/>
      <c r="Y808" s="59" t="n"/>
      <c r="Z808" s="59" t="n"/>
      <c r="AA808" s="59" t="n"/>
      <c r="AB808" s="59" t="n"/>
      <c r="AC808" s="59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9" t="n"/>
      <c r="F809" s="59" t="n"/>
      <c r="G809" s="60" t="n"/>
      <c r="H809" s="47" t="n"/>
      <c r="I809" s="47" t="n"/>
      <c r="J809" s="59" t="n"/>
      <c r="K809" s="59" t="n"/>
      <c r="L809" s="59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9" t="n"/>
      <c r="X809" s="61" t="n"/>
      <c r="Y809" s="59" t="n"/>
      <c r="Z809" s="59" t="n"/>
      <c r="AA809" s="59" t="n"/>
      <c r="AB809" s="59" t="n"/>
      <c r="AC809" s="59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9" t="n"/>
      <c r="F810" s="59" t="n"/>
      <c r="G810" s="60" t="n"/>
      <c r="H810" s="47" t="n"/>
      <c r="I810" s="47" t="n"/>
      <c r="J810" s="59" t="n"/>
      <c r="K810" s="59" t="n"/>
      <c r="L810" s="59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9" t="n"/>
      <c r="X810" s="61" t="n"/>
      <c r="Y810" s="59" t="n"/>
      <c r="Z810" s="59" t="n"/>
      <c r="AA810" s="59" t="n"/>
      <c r="AB810" s="59" t="n"/>
      <c r="AC810" s="59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9" t="n"/>
      <c r="F811" s="59" t="n"/>
      <c r="G811" s="60" t="n"/>
      <c r="H811" s="47" t="n"/>
      <c r="I811" s="47" t="n"/>
      <c r="J811" s="59" t="n"/>
      <c r="K811" s="59" t="n"/>
      <c r="L811" s="59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9" t="n"/>
      <c r="X811" s="61" t="n"/>
      <c r="Y811" s="59" t="n"/>
      <c r="Z811" s="59" t="n"/>
      <c r="AA811" s="59" t="n"/>
      <c r="AB811" s="59" t="n"/>
      <c r="AC811" s="59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9" t="n"/>
      <c r="F812" s="59" t="n"/>
      <c r="G812" s="60" t="n"/>
      <c r="H812" s="47" t="n"/>
      <c r="I812" s="47" t="n"/>
      <c r="J812" s="59" t="n"/>
      <c r="K812" s="59" t="n"/>
      <c r="L812" s="59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9" t="n"/>
      <c r="X812" s="61" t="n"/>
      <c r="Y812" s="59" t="n"/>
      <c r="Z812" s="59" t="n"/>
      <c r="AA812" s="59" t="n"/>
      <c r="AB812" s="59" t="n"/>
      <c r="AC812" s="59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9" t="n"/>
      <c r="F813" s="59" t="n"/>
      <c r="G813" s="60" t="n"/>
      <c r="H813" s="47" t="n"/>
      <c r="I813" s="47" t="n"/>
      <c r="J813" s="59" t="n"/>
      <c r="K813" s="59" t="n"/>
      <c r="L813" s="59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9" t="n"/>
      <c r="X813" s="61" t="n"/>
      <c r="Y813" s="59" t="n"/>
      <c r="Z813" s="59" t="n"/>
      <c r="AA813" s="59" t="n"/>
      <c r="AB813" s="59" t="n"/>
      <c r="AC813" s="59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9" t="n"/>
      <c r="F814" s="59" t="n"/>
      <c r="G814" s="60" t="n"/>
      <c r="H814" s="47" t="n"/>
      <c r="I814" s="47" t="n"/>
      <c r="J814" s="59" t="n"/>
      <c r="K814" s="59" t="n"/>
      <c r="L814" s="59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9" t="n"/>
      <c r="X814" s="61" t="n"/>
      <c r="Y814" s="59" t="n"/>
      <c r="Z814" s="59" t="n"/>
      <c r="AA814" s="59" t="n"/>
      <c r="AB814" s="59" t="n"/>
      <c r="AC814" s="59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9" t="n"/>
      <c r="F815" s="59" t="n"/>
      <c r="G815" s="60" t="n"/>
      <c r="H815" s="47" t="n"/>
      <c r="I815" s="47" t="n"/>
      <c r="J815" s="59" t="n"/>
      <c r="K815" s="59" t="n"/>
      <c r="L815" s="59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9" t="n"/>
      <c r="X815" s="61" t="n"/>
      <c r="Y815" s="59" t="n"/>
      <c r="Z815" s="59" t="n"/>
      <c r="AA815" s="59" t="n"/>
      <c r="AB815" s="59" t="n"/>
      <c r="AC815" s="59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9" t="n"/>
      <c r="F816" s="59" t="n"/>
      <c r="G816" s="60" t="n"/>
      <c r="H816" s="47" t="n"/>
      <c r="I816" s="47" t="n"/>
      <c r="J816" s="59" t="n"/>
      <c r="K816" s="59" t="n"/>
      <c r="L816" s="59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9" t="n"/>
      <c r="X816" s="61" t="n"/>
      <c r="Y816" s="59" t="n"/>
      <c r="Z816" s="59" t="n"/>
      <c r="AA816" s="59" t="n"/>
      <c r="AB816" s="59" t="n"/>
      <c r="AC816" s="59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9" t="n"/>
      <c r="F817" s="59" t="n"/>
      <c r="G817" s="60" t="n"/>
      <c r="H817" s="47" t="n"/>
      <c r="I817" s="47" t="n"/>
      <c r="J817" s="59" t="n"/>
      <c r="K817" s="59" t="n"/>
      <c r="L817" s="59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9" t="n"/>
      <c r="X817" s="61" t="n"/>
      <c r="Y817" s="59" t="n"/>
      <c r="Z817" s="59" t="n"/>
      <c r="AA817" s="59" t="n"/>
      <c r="AB817" s="59" t="n"/>
      <c r="AC817" s="59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9" t="n"/>
      <c r="F818" s="59" t="n"/>
      <c r="G818" s="60" t="n"/>
      <c r="H818" s="47" t="n"/>
      <c r="I818" s="47" t="n"/>
      <c r="J818" s="59" t="n"/>
      <c r="K818" s="59" t="n"/>
      <c r="L818" s="59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9" t="n"/>
      <c r="X818" s="61" t="n"/>
      <c r="Y818" s="59" t="n"/>
      <c r="Z818" s="59" t="n"/>
      <c r="AA818" s="59" t="n"/>
      <c r="AB818" s="59" t="n"/>
      <c r="AC818" s="59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9" t="n"/>
      <c r="F819" s="59" t="n"/>
      <c r="G819" s="60" t="n"/>
      <c r="H819" s="47" t="n"/>
      <c r="I819" s="47" t="n"/>
      <c r="J819" s="59" t="n"/>
      <c r="K819" s="59" t="n"/>
      <c r="L819" s="59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9" t="n"/>
      <c r="X819" s="61" t="n"/>
      <c r="Y819" s="59" t="n"/>
      <c r="Z819" s="59" t="n"/>
      <c r="AA819" s="59" t="n"/>
      <c r="AB819" s="59" t="n"/>
      <c r="AC819" s="59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9" t="n"/>
      <c r="F820" s="59" t="n"/>
      <c r="G820" s="60" t="n"/>
      <c r="H820" s="47" t="n"/>
      <c r="I820" s="47" t="n"/>
      <c r="J820" s="59" t="n"/>
      <c r="K820" s="59" t="n"/>
      <c r="L820" s="59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9" t="n"/>
      <c r="X820" s="61" t="n"/>
      <c r="Y820" s="59" t="n"/>
      <c r="Z820" s="59" t="n"/>
      <c r="AA820" s="59" t="n"/>
      <c r="AB820" s="59" t="n"/>
      <c r="AC820" s="59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9" t="n"/>
      <c r="F821" s="59" t="n"/>
      <c r="G821" s="60" t="n"/>
      <c r="H821" s="47" t="n"/>
      <c r="I821" s="47" t="n"/>
      <c r="J821" s="59" t="n"/>
      <c r="K821" s="59" t="n"/>
      <c r="L821" s="59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9" t="n"/>
      <c r="X821" s="61" t="n"/>
      <c r="Y821" s="59" t="n"/>
      <c r="Z821" s="59" t="n"/>
      <c r="AA821" s="59" t="n"/>
      <c r="AB821" s="59" t="n"/>
      <c r="AC821" s="59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9" t="n"/>
      <c r="F822" s="59" t="n"/>
      <c r="G822" s="60" t="n"/>
      <c r="H822" s="47" t="n"/>
      <c r="I822" s="47" t="n"/>
      <c r="J822" s="59" t="n"/>
      <c r="K822" s="59" t="n"/>
      <c r="L822" s="59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9" t="n"/>
      <c r="X822" s="61" t="n"/>
      <c r="Y822" s="59" t="n"/>
      <c r="Z822" s="59" t="n"/>
      <c r="AA822" s="59" t="n"/>
      <c r="AB822" s="59" t="n"/>
      <c r="AC822" s="59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9" t="n"/>
      <c r="F823" s="59" t="n"/>
      <c r="G823" s="60" t="n"/>
      <c r="H823" s="47" t="n"/>
      <c r="I823" s="47" t="n"/>
      <c r="J823" s="59" t="n"/>
      <c r="K823" s="59" t="n"/>
      <c r="L823" s="59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9" t="n"/>
      <c r="X823" s="61" t="n"/>
      <c r="Y823" s="59" t="n"/>
      <c r="Z823" s="59" t="n"/>
      <c r="AA823" s="59" t="n"/>
      <c r="AB823" s="59" t="n"/>
      <c r="AC823" s="59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9" t="n"/>
      <c r="F824" s="59" t="n"/>
      <c r="G824" s="60" t="n"/>
      <c r="H824" s="47" t="n"/>
      <c r="I824" s="47" t="n"/>
      <c r="J824" s="59" t="n"/>
      <c r="K824" s="59" t="n"/>
      <c r="L824" s="59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9" t="n"/>
      <c r="X824" s="61" t="n"/>
      <c r="Y824" s="59" t="n"/>
      <c r="Z824" s="59" t="n"/>
      <c r="AA824" s="59" t="n"/>
      <c r="AB824" s="59" t="n"/>
      <c r="AC824" s="59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9" t="n"/>
      <c r="F825" s="59" t="n"/>
      <c r="G825" s="60" t="n"/>
      <c r="H825" s="47" t="n"/>
      <c r="I825" s="47" t="n"/>
      <c r="J825" s="59" t="n"/>
      <c r="K825" s="59" t="n"/>
      <c r="L825" s="59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9" t="n"/>
      <c r="X825" s="61" t="n"/>
      <c r="Y825" s="59" t="n"/>
      <c r="Z825" s="59" t="n"/>
      <c r="AA825" s="59" t="n"/>
      <c r="AB825" s="59" t="n"/>
      <c r="AC825" s="59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9" t="n"/>
      <c r="F826" s="59" t="n"/>
      <c r="G826" s="60" t="n"/>
      <c r="H826" s="47" t="n"/>
      <c r="I826" s="47" t="n"/>
      <c r="J826" s="59" t="n"/>
      <c r="K826" s="59" t="n"/>
      <c r="L826" s="59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9" t="n"/>
      <c r="X826" s="61" t="n"/>
      <c r="Y826" s="59" t="n"/>
      <c r="Z826" s="59" t="n"/>
      <c r="AA826" s="59" t="n"/>
      <c r="AB826" s="59" t="n"/>
      <c r="AC826" s="59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9" t="n"/>
      <c r="F827" s="59" t="n"/>
      <c r="G827" s="60" t="n"/>
      <c r="H827" s="47" t="n"/>
      <c r="I827" s="47" t="n"/>
      <c r="J827" s="59" t="n"/>
      <c r="K827" s="59" t="n"/>
      <c r="L827" s="59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9" t="n"/>
      <c r="X827" s="61" t="n"/>
      <c r="Y827" s="59" t="n"/>
      <c r="Z827" s="59" t="n"/>
      <c r="AA827" s="59" t="n"/>
      <c r="AB827" s="59" t="n"/>
      <c r="AC827" s="59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9" t="n"/>
      <c r="F828" s="59" t="n"/>
      <c r="G828" s="60" t="n"/>
      <c r="H828" s="47" t="n"/>
      <c r="I828" s="47" t="n"/>
      <c r="J828" s="59" t="n"/>
      <c r="K828" s="59" t="n"/>
      <c r="L828" s="59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9" t="n"/>
      <c r="X828" s="61" t="n"/>
      <c r="Y828" s="59" t="n"/>
      <c r="Z828" s="59" t="n"/>
      <c r="AA828" s="59" t="n"/>
      <c r="AB828" s="59" t="n"/>
      <c r="AC828" s="59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9" t="n"/>
      <c r="F829" s="59" t="n"/>
      <c r="G829" s="60" t="n"/>
      <c r="H829" s="47" t="n"/>
      <c r="I829" s="47" t="n"/>
      <c r="J829" s="59" t="n"/>
      <c r="K829" s="59" t="n"/>
      <c r="L829" s="59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9" t="n"/>
      <c r="X829" s="61" t="n"/>
      <c r="Y829" s="59" t="n"/>
      <c r="Z829" s="59" t="n"/>
      <c r="AA829" s="59" t="n"/>
      <c r="AB829" s="59" t="n"/>
      <c r="AC829" s="59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9" t="n"/>
      <c r="F830" s="59" t="n"/>
      <c r="G830" s="60" t="n"/>
      <c r="H830" s="47" t="n"/>
      <c r="I830" s="47" t="n"/>
      <c r="J830" s="59" t="n"/>
      <c r="K830" s="59" t="n"/>
      <c r="L830" s="59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9" t="n"/>
      <c r="X830" s="61" t="n"/>
      <c r="Y830" s="59" t="n"/>
      <c r="Z830" s="59" t="n"/>
      <c r="AA830" s="59" t="n"/>
      <c r="AB830" s="59" t="n"/>
      <c r="AC830" s="59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9" t="n"/>
      <c r="F831" s="59" t="n"/>
      <c r="G831" s="60" t="n"/>
      <c r="H831" s="47" t="n"/>
      <c r="I831" s="47" t="n"/>
      <c r="J831" s="59" t="n"/>
      <c r="K831" s="59" t="n"/>
      <c r="L831" s="59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9" t="n"/>
      <c r="X831" s="61" t="n"/>
      <c r="Y831" s="59" t="n"/>
      <c r="Z831" s="59" t="n"/>
      <c r="AA831" s="59" t="n"/>
      <c r="AB831" s="59" t="n"/>
      <c r="AC831" s="59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9" t="n"/>
      <c r="F832" s="59" t="n"/>
      <c r="G832" s="60" t="n"/>
      <c r="H832" s="47" t="n"/>
      <c r="I832" s="47" t="n"/>
      <c r="J832" s="59" t="n"/>
      <c r="K832" s="59" t="n"/>
      <c r="L832" s="59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9" t="n"/>
      <c r="X832" s="61" t="n"/>
      <c r="Y832" s="59" t="n"/>
      <c r="Z832" s="59" t="n"/>
      <c r="AA832" s="59" t="n"/>
      <c r="AB832" s="59" t="n"/>
      <c r="AC832" s="59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9" t="n"/>
      <c r="F833" s="59" t="n"/>
      <c r="G833" s="60" t="n"/>
      <c r="H833" s="47" t="n"/>
      <c r="I833" s="47" t="n"/>
      <c r="J833" s="59" t="n"/>
      <c r="K833" s="59" t="n"/>
      <c r="L833" s="59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9" t="n"/>
      <c r="X833" s="61" t="n"/>
      <c r="Y833" s="59" t="n"/>
      <c r="Z833" s="59" t="n"/>
      <c r="AA833" s="59" t="n"/>
      <c r="AB833" s="59" t="n"/>
      <c r="AC833" s="59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9" t="n"/>
      <c r="F834" s="59" t="n"/>
      <c r="G834" s="60" t="n"/>
      <c r="H834" s="47" t="n"/>
      <c r="I834" s="47" t="n"/>
      <c r="J834" s="59" t="n"/>
      <c r="K834" s="59" t="n"/>
      <c r="L834" s="59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9" t="n"/>
      <c r="X834" s="61" t="n"/>
      <c r="Y834" s="59" t="n"/>
      <c r="Z834" s="59" t="n"/>
      <c r="AA834" s="59" t="n"/>
      <c r="AB834" s="59" t="n"/>
      <c r="AC834" s="59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9" t="n"/>
      <c r="F835" s="59" t="n"/>
      <c r="G835" s="60" t="n"/>
      <c r="H835" s="47" t="n"/>
      <c r="I835" s="47" t="n"/>
      <c r="J835" s="59" t="n"/>
      <c r="K835" s="59" t="n"/>
      <c r="L835" s="59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9" t="n"/>
      <c r="X835" s="61" t="n"/>
      <c r="Y835" s="59" t="n"/>
      <c r="Z835" s="59" t="n"/>
      <c r="AA835" s="59" t="n"/>
      <c r="AB835" s="59" t="n"/>
      <c r="AC835" s="59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9" t="n"/>
      <c r="F836" s="59" t="n"/>
      <c r="G836" s="60" t="n"/>
      <c r="H836" s="47" t="n"/>
      <c r="I836" s="47" t="n"/>
      <c r="J836" s="59" t="n"/>
      <c r="K836" s="59" t="n"/>
      <c r="L836" s="59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9" t="n"/>
      <c r="X836" s="61" t="n"/>
      <c r="Y836" s="59" t="n"/>
      <c r="Z836" s="59" t="n"/>
      <c r="AA836" s="59" t="n"/>
      <c r="AB836" s="59" t="n"/>
      <c r="AC836" s="59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9" t="n"/>
      <c r="F837" s="59" t="n"/>
      <c r="G837" s="60" t="n"/>
      <c r="H837" s="47" t="n"/>
      <c r="I837" s="47" t="n"/>
      <c r="J837" s="59" t="n"/>
      <c r="K837" s="59" t="n"/>
      <c r="L837" s="59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9" t="n"/>
      <c r="X837" s="61" t="n"/>
      <c r="Y837" s="59" t="n"/>
      <c r="Z837" s="59" t="n"/>
      <c r="AA837" s="59" t="n"/>
      <c r="AB837" s="59" t="n"/>
      <c r="AC837" s="59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9" t="n"/>
      <c r="F838" s="59" t="n"/>
      <c r="G838" s="60" t="n"/>
      <c r="H838" s="47" t="n"/>
      <c r="I838" s="47" t="n"/>
      <c r="J838" s="59" t="n"/>
      <c r="K838" s="59" t="n"/>
      <c r="L838" s="59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9" t="n"/>
      <c r="X838" s="61" t="n"/>
      <c r="Y838" s="59" t="n"/>
      <c r="Z838" s="59" t="n"/>
      <c r="AA838" s="59" t="n"/>
      <c r="AB838" s="59" t="n"/>
      <c r="AC838" s="59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9" t="n"/>
      <c r="F839" s="59" t="n"/>
      <c r="G839" s="60" t="n"/>
      <c r="H839" s="47" t="n"/>
      <c r="I839" s="47" t="n"/>
      <c r="J839" s="59" t="n"/>
      <c r="K839" s="59" t="n"/>
      <c r="L839" s="59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9" t="n"/>
      <c r="X839" s="61" t="n"/>
      <c r="Y839" s="59" t="n"/>
      <c r="Z839" s="59" t="n"/>
      <c r="AA839" s="59" t="n"/>
      <c r="AB839" s="59" t="n"/>
      <c r="AC839" s="59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9" t="n"/>
      <c r="F840" s="59" t="n"/>
      <c r="G840" s="60" t="n"/>
      <c r="H840" s="47" t="n"/>
      <c r="I840" s="47" t="n"/>
      <c r="J840" s="59" t="n"/>
      <c r="K840" s="59" t="n"/>
      <c r="L840" s="59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9" t="n"/>
      <c r="X840" s="61" t="n"/>
      <c r="Y840" s="59" t="n"/>
      <c r="Z840" s="59" t="n"/>
      <c r="AA840" s="59" t="n"/>
      <c r="AB840" s="59" t="n"/>
      <c r="AC840" s="59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9" t="n"/>
      <c r="F841" s="59" t="n"/>
      <c r="G841" s="60" t="n"/>
      <c r="H841" s="47" t="n"/>
      <c r="I841" s="47" t="n"/>
      <c r="J841" s="59" t="n"/>
      <c r="K841" s="59" t="n"/>
      <c r="L841" s="59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9" t="n"/>
      <c r="X841" s="61" t="n"/>
      <c r="Y841" s="59" t="n"/>
      <c r="Z841" s="59" t="n"/>
      <c r="AA841" s="59" t="n"/>
      <c r="AB841" s="59" t="n"/>
      <c r="AC841" s="59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9" t="n"/>
      <c r="F842" s="59" t="n"/>
      <c r="G842" s="60" t="n"/>
      <c r="H842" s="47" t="n"/>
      <c r="I842" s="47" t="n"/>
      <c r="J842" s="59" t="n"/>
      <c r="K842" s="59" t="n"/>
      <c r="L842" s="59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9" t="n"/>
      <c r="X842" s="61" t="n"/>
      <c r="Y842" s="59" t="n"/>
      <c r="Z842" s="59" t="n"/>
      <c r="AA842" s="59" t="n"/>
      <c r="AB842" s="59" t="n"/>
      <c r="AC842" s="59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9" t="n"/>
      <c r="F843" s="59" t="n"/>
      <c r="G843" s="60" t="n"/>
      <c r="H843" s="47" t="n"/>
      <c r="I843" s="47" t="n"/>
      <c r="J843" s="59" t="n"/>
      <c r="K843" s="59" t="n"/>
      <c r="L843" s="59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9" t="n"/>
      <c r="X843" s="61" t="n"/>
      <c r="Y843" s="59" t="n"/>
      <c r="Z843" s="59" t="n"/>
      <c r="AA843" s="59" t="n"/>
      <c r="AB843" s="59" t="n"/>
      <c r="AC843" s="59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9" t="n"/>
      <c r="F844" s="59" t="n"/>
      <c r="G844" s="60" t="n"/>
      <c r="H844" s="47" t="n"/>
      <c r="I844" s="47" t="n"/>
      <c r="J844" s="59" t="n"/>
      <c r="K844" s="59" t="n"/>
      <c r="L844" s="59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9" t="n"/>
      <c r="X844" s="61" t="n"/>
      <c r="Y844" s="59" t="n"/>
      <c r="Z844" s="59" t="n"/>
      <c r="AA844" s="59" t="n"/>
      <c r="AB844" s="59" t="n"/>
      <c r="AC844" s="59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9" t="n"/>
      <c r="F845" s="59" t="n"/>
      <c r="G845" s="60" t="n"/>
      <c r="H845" s="47" t="n"/>
      <c r="I845" s="47" t="n"/>
      <c r="J845" s="59" t="n"/>
      <c r="K845" s="59" t="n"/>
      <c r="L845" s="59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9" t="n"/>
      <c r="X845" s="61" t="n"/>
      <c r="Y845" s="59" t="n"/>
      <c r="Z845" s="59" t="n"/>
      <c r="AA845" s="59" t="n"/>
      <c r="AB845" s="59" t="n"/>
      <c r="AC845" s="59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9" t="n"/>
      <c r="F846" s="59" t="n"/>
      <c r="G846" s="60" t="n"/>
      <c r="H846" s="47" t="n"/>
      <c r="I846" s="47" t="n"/>
      <c r="J846" s="59" t="n"/>
      <c r="K846" s="59" t="n"/>
      <c r="L846" s="59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9" t="n"/>
      <c r="X846" s="61" t="n"/>
      <c r="Y846" s="59" t="n"/>
      <c r="Z846" s="59" t="n"/>
      <c r="AA846" s="59" t="n"/>
      <c r="AB846" s="59" t="n"/>
      <c r="AC846" s="59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9" t="n"/>
      <c r="F847" s="59" t="n"/>
      <c r="G847" s="60" t="n"/>
      <c r="H847" s="47" t="n"/>
      <c r="I847" s="47" t="n"/>
      <c r="J847" s="59" t="n"/>
      <c r="K847" s="59" t="n"/>
      <c r="L847" s="59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9" t="n"/>
      <c r="X847" s="61" t="n"/>
      <c r="Y847" s="59" t="n"/>
      <c r="Z847" s="59" t="n"/>
      <c r="AA847" s="59" t="n"/>
      <c r="AB847" s="59" t="n"/>
      <c r="AC847" s="59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9" t="n"/>
      <c r="F848" s="59" t="n"/>
      <c r="G848" s="60" t="n"/>
      <c r="H848" s="47" t="n"/>
      <c r="I848" s="47" t="n"/>
      <c r="J848" s="59" t="n"/>
      <c r="K848" s="59" t="n"/>
      <c r="L848" s="59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9" t="n"/>
      <c r="X848" s="61" t="n"/>
      <c r="Y848" s="59" t="n"/>
      <c r="Z848" s="59" t="n"/>
      <c r="AA848" s="59" t="n"/>
      <c r="AB848" s="59" t="n"/>
      <c r="AC848" s="59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9" t="n"/>
      <c r="F849" s="59" t="n"/>
      <c r="G849" s="60" t="n"/>
      <c r="H849" s="47" t="n"/>
      <c r="I849" s="47" t="n"/>
      <c r="J849" s="59" t="n"/>
      <c r="K849" s="59" t="n"/>
      <c r="L849" s="59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9" t="n"/>
      <c r="X849" s="61" t="n"/>
      <c r="Y849" s="59" t="n"/>
      <c r="Z849" s="59" t="n"/>
      <c r="AA849" s="59" t="n"/>
      <c r="AB849" s="59" t="n"/>
      <c r="AC849" s="59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9" t="n"/>
      <c r="F850" s="59" t="n"/>
      <c r="G850" s="60" t="n"/>
      <c r="H850" s="47" t="n"/>
      <c r="I850" s="47" t="n"/>
      <c r="J850" s="59" t="n"/>
      <c r="K850" s="59" t="n"/>
      <c r="L850" s="59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9" t="n"/>
      <c r="X850" s="61" t="n"/>
      <c r="Y850" s="59" t="n"/>
      <c r="Z850" s="59" t="n"/>
      <c r="AA850" s="59" t="n"/>
      <c r="AB850" s="59" t="n"/>
      <c r="AC850" s="59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9" t="n"/>
      <c r="F851" s="59" t="n"/>
      <c r="G851" s="60" t="n"/>
      <c r="H851" s="47" t="n"/>
      <c r="I851" s="47" t="n"/>
      <c r="J851" s="59" t="n"/>
      <c r="K851" s="59" t="n"/>
      <c r="L851" s="59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9" t="n"/>
      <c r="X851" s="61" t="n"/>
      <c r="Y851" s="59" t="n"/>
      <c r="Z851" s="59" t="n"/>
      <c r="AA851" s="59" t="n"/>
      <c r="AB851" s="59" t="n"/>
      <c r="AC851" s="59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9" t="n"/>
      <c r="F852" s="59" t="n"/>
      <c r="G852" s="60" t="n"/>
      <c r="H852" s="47" t="n"/>
      <c r="I852" s="47" t="n"/>
      <c r="J852" s="59" t="n"/>
      <c r="K852" s="59" t="n"/>
      <c r="L852" s="59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9" t="n"/>
      <c r="X852" s="61" t="n"/>
      <c r="Y852" s="59" t="n"/>
      <c r="Z852" s="59" t="n"/>
      <c r="AA852" s="59" t="n"/>
      <c r="AB852" s="59" t="n"/>
      <c r="AC852" s="59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9" t="n"/>
      <c r="F853" s="59" t="n"/>
      <c r="G853" s="60" t="n"/>
      <c r="H853" s="47" t="n"/>
      <c r="I853" s="47" t="n"/>
      <c r="J853" s="59" t="n"/>
      <c r="K853" s="59" t="n"/>
      <c r="L853" s="59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9" t="n"/>
      <c r="X853" s="61" t="n"/>
      <c r="Y853" s="59" t="n"/>
      <c r="Z853" s="59" t="n"/>
      <c r="AA853" s="59" t="n"/>
      <c r="AB853" s="59" t="n"/>
      <c r="AC853" s="59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9" t="n"/>
      <c r="F854" s="59" t="n"/>
      <c r="G854" s="60" t="n"/>
      <c r="H854" s="47" t="n"/>
      <c r="I854" s="47" t="n"/>
      <c r="J854" s="59" t="n"/>
      <c r="K854" s="59" t="n"/>
      <c r="L854" s="59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9" t="n"/>
      <c r="X854" s="61" t="n"/>
      <c r="Y854" s="59" t="n"/>
      <c r="Z854" s="59" t="n"/>
      <c r="AA854" s="59" t="n"/>
      <c r="AB854" s="59" t="n"/>
      <c r="AC854" s="59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9" t="n"/>
      <c r="F855" s="59" t="n"/>
      <c r="G855" s="60" t="n"/>
      <c r="H855" s="47" t="n"/>
      <c r="I855" s="47" t="n"/>
      <c r="J855" s="59" t="n"/>
      <c r="K855" s="59" t="n"/>
      <c r="L855" s="59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9" t="n"/>
      <c r="X855" s="61" t="n"/>
      <c r="Y855" s="59" t="n"/>
      <c r="Z855" s="59" t="n"/>
      <c r="AA855" s="59" t="n"/>
      <c r="AB855" s="59" t="n"/>
      <c r="AC855" s="59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9" t="n"/>
      <c r="F856" s="59" t="n"/>
      <c r="G856" s="60" t="n"/>
      <c r="H856" s="47" t="n"/>
      <c r="I856" s="47" t="n"/>
      <c r="J856" s="59" t="n"/>
      <c r="K856" s="59" t="n"/>
      <c r="L856" s="59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9" t="n"/>
      <c r="X856" s="61" t="n"/>
      <c r="Y856" s="59" t="n"/>
      <c r="Z856" s="59" t="n"/>
      <c r="AA856" s="59" t="n"/>
      <c r="AB856" s="59" t="n"/>
      <c r="AC856" s="59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9" t="n"/>
      <c r="F857" s="59" t="n"/>
      <c r="G857" s="60" t="n"/>
      <c r="H857" s="47" t="n"/>
      <c r="I857" s="47" t="n"/>
      <c r="J857" s="59" t="n"/>
      <c r="K857" s="59" t="n"/>
      <c r="L857" s="59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9" t="n"/>
      <c r="X857" s="61" t="n"/>
      <c r="Y857" s="59" t="n"/>
      <c r="Z857" s="59" t="n"/>
      <c r="AA857" s="59" t="n"/>
      <c r="AB857" s="59" t="n"/>
      <c r="AC857" s="59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9" t="n"/>
      <c r="F858" s="59" t="n"/>
      <c r="G858" s="60" t="n"/>
      <c r="H858" s="47" t="n"/>
      <c r="I858" s="47" t="n"/>
      <c r="J858" s="59" t="n"/>
      <c r="K858" s="59" t="n"/>
      <c r="L858" s="59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9" t="n"/>
      <c r="X858" s="61" t="n"/>
      <c r="Y858" s="59" t="n"/>
      <c r="Z858" s="59" t="n"/>
      <c r="AA858" s="59" t="n"/>
      <c r="AB858" s="59" t="n"/>
      <c r="AC858" s="59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9" t="n"/>
      <c r="F859" s="59" t="n"/>
      <c r="G859" s="60" t="n"/>
      <c r="H859" s="47" t="n"/>
      <c r="I859" s="47" t="n"/>
      <c r="J859" s="59" t="n"/>
      <c r="K859" s="59" t="n"/>
      <c r="L859" s="59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9" t="n"/>
      <c r="X859" s="61" t="n"/>
      <c r="Y859" s="59" t="n"/>
      <c r="Z859" s="59" t="n"/>
      <c r="AA859" s="59" t="n"/>
      <c r="AB859" s="59" t="n"/>
      <c r="AC859" s="59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9" t="n"/>
      <c r="F860" s="59" t="n"/>
      <c r="G860" s="60" t="n"/>
      <c r="H860" s="47" t="n"/>
      <c r="I860" s="47" t="n"/>
      <c r="J860" s="59" t="n"/>
      <c r="K860" s="59" t="n"/>
      <c r="L860" s="59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9" t="n"/>
      <c r="X860" s="61" t="n"/>
      <c r="Y860" s="59" t="n"/>
      <c r="Z860" s="59" t="n"/>
      <c r="AA860" s="59" t="n"/>
      <c r="AB860" s="59" t="n"/>
      <c r="AC860" s="59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9" t="n"/>
      <c r="F861" s="59" t="n"/>
      <c r="G861" s="60" t="n"/>
      <c r="H861" s="47" t="n"/>
      <c r="I861" s="47" t="n"/>
      <c r="J861" s="59" t="n"/>
      <c r="K861" s="59" t="n"/>
      <c r="L861" s="59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9" t="n"/>
      <c r="X861" s="61" t="n"/>
      <c r="Y861" s="59" t="n"/>
      <c r="Z861" s="59" t="n"/>
      <c r="AA861" s="59" t="n"/>
      <c r="AB861" s="59" t="n"/>
      <c r="AC861" s="59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9" t="n"/>
      <c r="F862" s="59" t="n"/>
      <c r="G862" s="60" t="n"/>
      <c r="H862" s="47" t="n"/>
      <c r="I862" s="47" t="n"/>
      <c r="J862" s="59" t="n"/>
      <c r="K862" s="59" t="n"/>
      <c r="L862" s="59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9" t="n"/>
      <c r="X862" s="61" t="n"/>
      <c r="Y862" s="59" t="n"/>
      <c r="Z862" s="59" t="n"/>
      <c r="AA862" s="59" t="n"/>
      <c r="AB862" s="59" t="n"/>
      <c r="AC862" s="59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9" t="n"/>
      <c r="F863" s="59" t="n"/>
      <c r="G863" s="60" t="n"/>
      <c r="H863" s="47" t="n"/>
      <c r="I863" s="47" t="n"/>
      <c r="J863" s="59" t="n"/>
      <c r="K863" s="59" t="n"/>
      <c r="L863" s="59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9" t="n"/>
      <c r="X863" s="61" t="n"/>
      <c r="Y863" s="59" t="n"/>
      <c r="Z863" s="59" t="n"/>
      <c r="AA863" s="59" t="n"/>
      <c r="AB863" s="59" t="n"/>
      <c r="AC863" s="59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9" t="n"/>
      <c r="F864" s="59" t="n"/>
      <c r="G864" s="60" t="n"/>
      <c r="H864" s="47" t="n"/>
      <c r="I864" s="47" t="n"/>
      <c r="J864" s="59" t="n"/>
      <c r="K864" s="59" t="n"/>
      <c r="L864" s="59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9" t="n"/>
      <c r="X864" s="61" t="n"/>
      <c r="Y864" s="59" t="n"/>
      <c r="Z864" s="59" t="n"/>
      <c r="AA864" s="59" t="n"/>
      <c r="AB864" s="59" t="n"/>
      <c r="AC864" s="59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9" t="n"/>
      <c r="F865" s="59" t="n"/>
      <c r="G865" s="60" t="n"/>
      <c r="H865" s="47" t="n"/>
      <c r="I865" s="47" t="n"/>
      <c r="J865" s="59" t="n"/>
      <c r="K865" s="59" t="n"/>
      <c r="L865" s="59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9" t="n"/>
      <c r="X865" s="61" t="n"/>
      <c r="Y865" s="59" t="n"/>
      <c r="Z865" s="59" t="n"/>
      <c r="AA865" s="59" t="n"/>
      <c r="AB865" s="59" t="n"/>
      <c r="AC865" s="59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9" t="n"/>
      <c r="F866" s="59" t="n"/>
      <c r="G866" s="60" t="n"/>
      <c r="H866" s="47" t="n"/>
      <c r="I866" s="47" t="n"/>
      <c r="J866" s="59" t="n"/>
      <c r="K866" s="59" t="n"/>
      <c r="L866" s="59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9" t="n"/>
      <c r="X866" s="61" t="n"/>
      <c r="Y866" s="59" t="n"/>
      <c r="Z866" s="59" t="n"/>
      <c r="AA866" s="59" t="n"/>
      <c r="AB866" s="59" t="n"/>
      <c r="AC866" s="59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9" t="n"/>
      <c r="F867" s="59" t="n"/>
      <c r="G867" s="60" t="n"/>
      <c r="H867" s="47" t="n"/>
      <c r="I867" s="47" t="n"/>
      <c r="J867" s="59" t="n"/>
      <c r="K867" s="59" t="n"/>
      <c r="L867" s="59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9" t="n"/>
      <c r="X867" s="61" t="n"/>
      <c r="Y867" s="59" t="n"/>
      <c r="Z867" s="59" t="n"/>
      <c r="AA867" s="59" t="n"/>
      <c r="AB867" s="59" t="n"/>
      <c r="AC867" s="59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9" t="n"/>
      <c r="F868" s="59" t="n"/>
      <c r="G868" s="60" t="n"/>
      <c r="H868" s="47" t="n"/>
      <c r="I868" s="47" t="n"/>
      <c r="J868" s="59" t="n"/>
      <c r="K868" s="59" t="n"/>
      <c r="L868" s="59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9" t="n"/>
      <c r="X868" s="61" t="n"/>
      <c r="Y868" s="59" t="n"/>
      <c r="Z868" s="59" t="n"/>
      <c r="AA868" s="59" t="n"/>
      <c r="AB868" s="59" t="n"/>
      <c r="AC868" s="59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9" t="n"/>
      <c r="F869" s="59" t="n"/>
      <c r="G869" s="60" t="n"/>
      <c r="H869" s="47" t="n"/>
      <c r="I869" s="47" t="n"/>
      <c r="J869" s="59" t="n"/>
      <c r="K869" s="59" t="n"/>
      <c r="L869" s="59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9" t="n"/>
      <c r="X869" s="61" t="n"/>
      <c r="Y869" s="59" t="n"/>
      <c r="Z869" s="59" t="n"/>
      <c r="AA869" s="59" t="n"/>
      <c r="AB869" s="59" t="n"/>
      <c r="AC869" s="59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9" t="n"/>
      <c r="F870" s="59" t="n"/>
      <c r="G870" s="60" t="n"/>
      <c r="H870" s="47" t="n"/>
      <c r="I870" s="47" t="n"/>
      <c r="J870" s="59" t="n"/>
      <c r="K870" s="59" t="n"/>
      <c r="L870" s="59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9" t="n"/>
      <c r="X870" s="61" t="n"/>
      <c r="Y870" s="59" t="n"/>
      <c r="Z870" s="59" t="n"/>
      <c r="AA870" s="59" t="n"/>
      <c r="AB870" s="59" t="n"/>
      <c r="AC870" s="59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9" t="n"/>
      <c r="F871" s="59" t="n"/>
      <c r="G871" s="60" t="n"/>
      <c r="H871" s="47" t="n"/>
      <c r="I871" s="47" t="n"/>
      <c r="J871" s="59" t="n"/>
      <c r="K871" s="59" t="n"/>
      <c r="L871" s="59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9" t="n"/>
      <c r="X871" s="61" t="n"/>
      <c r="Y871" s="59" t="n"/>
      <c r="Z871" s="59" t="n"/>
      <c r="AA871" s="59" t="n"/>
      <c r="AB871" s="59" t="n"/>
      <c r="AC871" s="59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9" t="n"/>
      <c r="F872" s="59" t="n"/>
      <c r="G872" s="60" t="n"/>
      <c r="H872" s="47" t="n"/>
      <c r="I872" s="47" t="n"/>
      <c r="J872" s="59" t="n"/>
      <c r="K872" s="59" t="n"/>
      <c r="L872" s="59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9" t="n"/>
      <c r="X872" s="61" t="n"/>
      <c r="Y872" s="59" t="n"/>
      <c r="Z872" s="59" t="n"/>
      <c r="AA872" s="59" t="n"/>
      <c r="AB872" s="59" t="n"/>
      <c r="AC872" s="59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9" t="n"/>
      <c r="F873" s="59" t="n"/>
      <c r="G873" s="60" t="n"/>
      <c r="H873" s="47" t="n"/>
      <c r="I873" s="47" t="n"/>
      <c r="J873" s="59" t="n"/>
      <c r="K873" s="59" t="n"/>
      <c r="L873" s="59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9" t="n"/>
      <c r="X873" s="61" t="n"/>
      <c r="Y873" s="59" t="n"/>
      <c r="Z873" s="59" t="n"/>
      <c r="AA873" s="59" t="n"/>
      <c r="AB873" s="59" t="n"/>
      <c r="AC873" s="59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9" t="n"/>
      <c r="F874" s="59" t="n"/>
      <c r="G874" s="60" t="n"/>
      <c r="H874" s="47" t="n"/>
      <c r="I874" s="47" t="n"/>
      <c r="J874" s="59" t="n"/>
      <c r="K874" s="59" t="n"/>
      <c r="L874" s="59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9" t="n"/>
      <c r="X874" s="61" t="n"/>
      <c r="Y874" s="59" t="n"/>
      <c r="Z874" s="59" t="n"/>
      <c r="AA874" s="59" t="n"/>
      <c r="AB874" s="59" t="n"/>
      <c r="AC874" s="59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9" t="n"/>
      <c r="F875" s="59" t="n"/>
      <c r="G875" s="60" t="n"/>
      <c r="H875" s="47" t="n"/>
      <c r="I875" s="47" t="n"/>
      <c r="J875" s="59" t="n"/>
      <c r="K875" s="59" t="n"/>
      <c r="L875" s="59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9" t="n"/>
      <c r="X875" s="61" t="n"/>
      <c r="Y875" s="59" t="n"/>
      <c r="Z875" s="59" t="n"/>
      <c r="AA875" s="59" t="n"/>
      <c r="AB875" s="59" t="n"/>
      <c r="AC875" s="59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9" t="n"/>
      <c r="F876" s="59" t="n"/>
      <c r="G876" s="60" t="n"/>
      <c r="H876" s="47" t="n"/>
      <c r="I876" s="47" t="n"/>
      <c r="J876" s="59" t="n"/>
      <c r="K876" s="59" t="n"/>
      <c r="L876" s="59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9" t="n"/>
      <c r="X876" s="61" t="n"/>
      <c r="Y876" s="59" t="n"/>
      <c r="Z876" s="59" t="n"/>
      <c r="AA876" s="59" t="n"/>
      <c r="AB876" s="59" t="n"/>
      <c r="AC876" s="59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9" t="n"/>
      <c r="F877" s="59" t="n"/>
      <c r="G877" s="60" t="n"/>
      <c r="H877" s="47" t="n"/>
      <c r="I877" s="47" t="n"/>
      <c r="J877" s="59" t="n"/>
      <c r="K877" s="59" t="n"/>
      <c r="L877" s="59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9" t="n"/>
      <c r="X877" s="61" t="n"/>
      <c r="Y877" s="59" t="n"/>
      <c r="Z877" s="59" t="n"/>
      <c r="AA877" s="59" t="n"/>
      <c r="AB877" s="59" t="n"/>
      <c r="AC877" s="59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9" t="n"/>
      <c r="F878" s="59" t="n"/>
      <c r="G878" s="60" t="n"/>
      <c r="H878" s="47" t="n"/>
      <c r="I878" s="47" t="n"/>
      <c r="J878" s="59" t="n"/>
      <c r="K878" s="59" t="n"/>
      <c r="L878" s="59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9" t="n"/>
      <c r="X878" s="61" t="n"/>
      <c r="Y878" s="59" t="n"/>
      <c r="Z878" s="59" t="n"/>
      <c r="AA878" s="59" t="n"/>
      <c r="AB878" s="59" t="n"/>
      <c r="AC878" s="59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9" t="n"/>
      <c r="F879" s="59" t="n"/>
      <c r="G879" s="60" t="n"/>
      <c r="H879" s="47" t="n"/>
      <c r="I879" s="47" t="n"/>
      <c r="J879" s="59" t="n"/>
      <c r="K879" s="59" t="n"/>
      <c r="L879" s="59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9" t="n"/>
      <c r="X879" s="61" t="n"/>
      <c r="Y879" s="59" t="n"/>
      <c r="Z879" s="59" t="n"/>
      <c r="AA879" s="59" t="n"/>
      <c r="AB879" s="59" t="n"/>
      <c r="AC879" s="59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9" t="n"/>
      <c r="F880" s="59" t="n"/>
      <c r="G880" s="60" t="n"/>
      <c r="H880" s="47" t="n"/>
      <c r="I880" s="47" t="n"/>
      <c r="J880" s="59" t="n"/>
      <c r="K880" s="59" t="n"/>
      <c r="L880" s="59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9" t="n"/>
      <c r="X880" s="61" t="n"/>
      <c r="Y880" s="59" t="n"/>
      <c r="Z880" s="59" t="n"/>
      <c r="AA880" s="59" t="n"/>
      <c r="AB880" s="59" t="n"/>
      <c r="AC880" s="59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9" t="n"/>
      <c r="F881" s="59" t="n"/>
      <c r="G881" s="60" t="n"/>
      <c r="H881" s="47" t="n"/>
      <c r="I881" s="47" t="n"/>
      <c r="J881" s="59" t="n"/>
      <c r="K881" s="59" t="n"/>
      <c r="L881" s="59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9" t="n"/>
      <c r="X881" s="61" t="n"/>
      <c r="Y881" s="59" t="n"/>
      <c r="Z881" s="59" t="n"/>
      <c r="AA881" s="59" t="n"/>
      <c r="AB881" s="59" t="n"/>
      <c r="AC881" s="59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9" t="n"/>
      <c r="F882" s="59" t="n"/>
      <c r="G882" s="60" t="n"/>
      <c r="H882" s="47" t="n"/>
      <c r="I882" s="47" t="n"/>
      <c r="J882" s="59" t="n"/>
      <c r="K882" s="59" t="n"/>
      <c r="L882" s="59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9" t="n"/>
      <c r="X882" s="61" t="n"/>
      <c r="Y882" s="59" t="n"/>
      <c r="Z882" s="59" t="n"/>
      <c r="AA882" s="59" t="n"/>
      <c r="AB882" s="59" t="n"/>
      <c r="AC882" s="59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9" t="n"/>
      <c r="F883" s="59" t="n"/>
      <c r="G883" s="60" t="n"/>
      <c r="H883" s="47" t="n"/>
      <c r="I883" s="47" t="n"/>
      <c r="J883" s="59" t="n"/>
      <c r="K883" s="59" t="n"/>
      <c r="L883" s="59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9" t="n"/>
      <c r="X883" s="61" t="n"/>
      <c r="Y883" s="59" t="n"/>
      <c r="Z883" s="59" t="n"/>
      <c r="AA883" s="59" t="n"/>
      <c r="AB883" s="59" t="n"/>
      <c r="AC883" s="59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9" t="n"/>
      <c r="F884" s="59" t="n"/>
      <c r="G884" s="60" t="n"/>
      <c r="H884" s="47" t="n"/>
      <c r="I884" s="47" t="n"/>
      <c r="J884" s="59" t="n"/>
      <c r="K884" s="59" t="n"/>
      <c r="L884" s="59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9" t="n"/>
      <c r="X884" s="61" t="n"/>
      <c r="Y884" s="59" t="n"/>
      <c r="Z884" s="59" t="n"/>
      <c r="AA884" s="59" t="n"/>
      <c r="AB884" s="59" t="n"/>
      <c r="AC884" s="59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9" t="n"/>
      <c r="F885" s="59" t="n"/>
      <c r="G885" s="60" t="n"/>
      <c r="H885" s="47" t="n"/>
      <c r="I885" s="47" t="n"/>
      <c r="J885" s="59" t="n"/>
      <c r="K885" s="59" t="n"/>
      <c r="L885" s="59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9" t="n"/>
      <c r="X885" s="61" t="n"/>
      <c r="Y885" s="59" t="n"/>
      <c r="Z885" s="59" t="n"/>
      <c r="AA885" s="59" t="n"/>
      <c r="AB885" s="59" t="n"/>
      <c r="AC885" s="59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9" t="n"/>
      <c r="F886" s="59" t="n"/>
      <c r="G886" s="60" t="n"/>
      <c r="H886" s="47" t="n"/>
      <c r="I886" s="47" t="n"/>
      <c r="J886" s="59" t="n"/>
      <c r="K886" s="59" t="n"/>
      <c r="L886" s="59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9" t="n"/>
      <c r="X886" s="61" t="n"/>
      <c r="Y886" s="59" t="n"/>
      <c r="Z886" s="59" t="n"/>
      <c r="AA886" s="59" t="n"/>
      <c r="AB886" s="59" t="n"/>
      <c r="AC886" s="59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9" t="n"/>
      <c r="F887" s="59" t="n"/>
      <c r="G887" s="60" t="n"/>
      <c r="H887" s="47" t="n"/>
      <c r="I887" s="47" t="n"/>
      <c r="J887" s="59" t="n"/>
      <c r="K887" s="59" t="n"/>
      <c r="L887" s="59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9" t="n"/>
      <c r="X887" s="61" t="n"/>
      <c r="Y887" s="59" t="n"/>
      <c r="Z887" s="59" t="n"/>
      <c r="AA887" s="59" t="n"/>
      <c r="AB887" s="59" t="n"/>
      <c r="AC887" s="59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9" t="n"/>
      <c r="F888" s="59" t="n"/>
      <c r="G888" s="60" t="n"/>
      <c r="H888" s="47" t="n"/>
      <c r="I888" s="47" t="n"/>
      <c r="J888" s="59" t="n"/>
      <c r="K888" s="59" t="n"/>
      <c r="L888" s="59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9" t="n"/>
      <c r="X888" s="61" t="n"/>
      <c r="Y888" s="59" t="n"/>
      <c r="Z888" s="59" t="n"/>
      <c r="AA888" s="59" t="n"/>
      <c r="AB888" s="59" t="n"/>
      <c r="AC888" s="59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9" t="n"/>
      <c r="F889" s="59" t="n"/>
      <c r="G889" s="60" t="n"/>
      <c r="H889" s="47" t="n"/>
      <c r="I889" s="47" t="n"/>
      <c r="J889" s="59" t="n"/>
      <c r="K889" s="59" t="n"/>
      <c r="L889" s="59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9" t="n"/>
      <c r="X889" s="61" t="n"/>
      <c r="Y889" s="59" t="n"/>
      <c r="Z889" s="59" t="n"/>
      <c r="AA889" s="59" t="n"/>
      <c r="AB889" s="59" t="n"/>
      <c r="AC889" s="59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9" t="n"/>
      <c r="F890" s="59" t="n"/>
      <c r="G890" s="60" t="n"/>
      <c r="H890" s="47" t="n"/>
      <c r="I890" s="47" t="n"/>
      <c r="J890" s="59" t="n"/>
      <c r="K890" s="59" t="n"/>
      <c r="L890" s="59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9" t="n"/>
      <c r="X890" s="61" t="n"/>
      <c r="Y890" s="59" t="n"/>
      <c r="Z890" s="59" t="n"/>
      <c r="AA890" s="59" t="n"/>
      <c r="AB890" s="59" t="n"/>
      <c r="AC890" s="59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9" t="n"/>
      <c r="F891" s="59" t="n"/>
      <c r="G891" s="60" t="n"/>
      <c r="H891" s="47" t="n"/>
      <c r="I891" s="47" t="n"/>
      <c r="J891" s="59" t="n"/>
      <c r="K891" s="59" t="n"/>
      <c r="L891" s="59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9" t="n"/>
      <c r="X891" s="61" t="n"/>
      <c r="Y891" s="59" t="n"/>
      <c r="Z891" s="59" t="n"/>
      <c r="AA891" s="59" t="n"/>
      <c r="AB891" s="59" t="n"/>
      <c r="AC891" s="59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9" t="n"/>
      <c r="F892" s="59" t="n"/>
      <c r="G892" s="60" t="n"/>
      <c r="H892" s="47" t="n"/>
      <c r="I892" s="47" t="n"/>
      <c r="J892" s="59" t="n"/>
      <c r="K892" s="59" t="n"/>
      <c r="L892" s="59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9" t="n"/>
      <c r="X892" s="61" t="n"/>
      <c r="Y892" s="59" t="n"/>
      <c r="Z892" s="59" t="n"/>
      <c r="AA892" s="59" t="n"/>
      <c r="AB892" s="59" t="n"/>
      <c r="AC892" s="59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9" t="n"/>
      <c r="F893" s="59" t="n"/>
      <c r="G893" s="60" t="n"/>
      <c r="H893" s="47" t="n"/>
      <c r="I893" s="47" t="n"/>
      <c r="J893" s="59" t="n"/>
      <c r="K893" s="59" t="n"/>
      <c r="L893" s="59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9" t="n"/>
      <c r="X893" s="61" t="n"/>
      <c r="Y893" s="59" t="n"/>
      <c r="Z893" s="59" t="n"/>
      <c r="AA893" s="59" t="n"/>
      <c r="AB893" s="59" t="n"/>
      <c r="AC893" s="59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9" t="n"/>
      <c r="F894" s="59" t="n"/>
      <c r="G894" s="60" t="n"/>
      <c r="H894" s="47" t="n"/>
      <c r="I894" s="47" t="n"/>
      <c r="J894" s="59" t="n"/>
      <c r="K894" s="59" t="n"/>
      <c r="L894" s="59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9" t="n"/>
      <c r="X894" s="61" t="n"/>
      <c r="Y894" s="59" t="n"/>
      <c r="Z894" s="59" t="n"/>
      <c r="AA894" s="59" t="n"/>
      <c r="AB894" s="59" t="n"/>
      <c r="AC894" s="59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9" t="n"/>
      <c r="F895" s="59" t="n"/>
      <c r="G895" s="60" t="n"/>
      <c r="H895" s="47" t="n"/>
      <c r="I895" s="47" t="n"/>
      <c r="J895" s="59" t="n"/>
      <c r="K895" s="59" t="n"/>
      <c r="L895" s="59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9" t="n"/>
      <c r="X895" s="61" t="n"/>
      <c r="Y895" s="59" t="n"/>
      <c r="Z895" s="59" t="n"/>
      <c r="AA895" s="59" t="n"/>
      <c r="AB895" s="59" t="n"/>
      <c r="AC895" s="59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9" t="n"/>
      <c r="F896" s="59" t="n"/>
      <c r="G896" s="60" t="n"/>
      <c r="H896" s="47" t="n"/>
      <c r="I896" s="47" t="n"/>
      <c r="J896" s="59" t="n"/>
      <c r="K896" s="59" t="n"/>
      <c r="L896" s="59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9" t="n"/>
      <c r="X896" s="61" t="n"/>
      <c r="Y896" s="59" t="n"/>
      <c r="Z896" s="59" t="n"/>
      <c r="AA896" s="59" t="n"/>
      <c r="AB896" s="59" t="n"/>
      <c r="AC896" s="59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9" t="n"/>
      <c r="F897" s="59" t="n"/>
      <c r="G897" s="60" t="n"/>
      <c r="H897" s="47" t="n"/>
      <c r="I897" s="47" t="n"/>
      <c r="J897" s="59" t="n"/>
      <c r="K897" s="59" t="n"/>
      <c r="L897" s="59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9" t="n"/>
      <c r="X897" s="61" t="n"/>
      <c r="Y897" s="59" t="n"/>
      <c r="Z897" s="59" t="n"/>
      <c r="AA897" s="59" t="n"/>
      <c r="AB897" s="59" t="n"/>
      <c r="AC897" s="59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9" t="n"/>
      <c r="F898" s="59" t="n"/>
      <c r="G898" s="60" t="n"/>
      <c r="H898" s="47" t="n"/>
      <c r="I898" s="47" t="n"/>
      <c r="J898" s="59" t="n"/>
      <c r="K898" s="59" t="n"/>
      <c r="L898" s="59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9" t="n"/>
      <c r="X898" s="61" t="n"/>
      <c r="Y898" s="59" t="n"/>
      <c r="Z898" s="59" t="n"/>
      <c r="AA898" s="59" t="n"/>
      <c r="AB898" s="59" t="n"/>
      <c r="AC898" s="59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9" t="n"/>
      <c r="F899" s="59" t="n"/>
      <c r="G899" s="60" t="n"/>
      <c r="H899" s="47" t="n"/>
      <c r="I899" s="47" t="n"/>
      <c r="J899" s="59" t="n"/>
      <c r="K899" s="59" t="n"/>
      <c r="L899" s="59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9" t="n"/>
      <c r="X899" s="61" t="n"/>
      <c r="Y899" s="59" t="n"/>
      <c r="Z899" s="59" t="n"/>
      <c r="AA899" s="59" t="n"/>
      <c r="AB899" s="59" t="n"/>
      <c r="AC899" s="59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9" t="n"/>
      <c r="F900" s="59" t="n"/>
      <c r="G900" s="60" t="n"/>
      <c r="H900" s="47" t="n"/>
      <c r="I900" s="47" t="n"/>
      <c r="J900" s="59" t="n"/>
      <c r="K900" s="59" t="n"/>
      <c r="L900" s="59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9" t="n"/>
      <c r="X900" s="61" t="n"/>
      <c r="Y900" s="59" t="n"/>
      <c r="Z900" s="59" t="n"/>
      <c r="AA900" s="59" t="n"/>
      <c r="AB900" s="59" t="n"/>
      <c r="AC900" s="59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9" t="n"/>
      <c r="F901" s="59" t="n"/>
      <c r="G901" s="60" t="n"/>
      <c r="H901" s="47" t="n"/>
      <c r="I901" s="47" t="n"/>
      <c r="J901" s="59" t="n"/>
      <c r="K901" s="59" t="n"/>
      <c r="L901" s="59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9" t="n"/>
      <c r="X901" s="61" t="n"/>
      <c r="Y901" s="59" t="n"/>
      <c r="Z901" s="59" t="n"/>
      <c r="AA901" s="59" t="n"/>
      <c r="AB901" s="59" t="n"/>
      <c r="AC901" s="59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9" t="n"/>
      <c r="F902" s="59" t="n"/>
      <c r="G902" s="60" t="n"/>
      <c r="H902" s="47" t="n"/>
      <c r="I902" s="47" t="n"/>
      <c r="J902" s="59" t="n"/>
      <c r="K902" s="59" t="n"/>
      <c r="L902" s="59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9" t="n"/>
      <c r="X902" s="61" t="n"/>
      <c r="Y902" s="59" t="n"/>
      <c r="Z902" s="59" t="n"/>
      <c r="AA902" s="59" t="n"/>
      <c r="AB902" s="59" t="n"/>
      <c r="AC902" s="59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9" t="n"/>
      <c r="F903" s="59" t="n"/>
      <c r="G903" s="60" t="n"/>
      <c r="H903" s="47" t="n"/>
      <c r="I903" s="47" t="n"/>
      <c r="J903" s="59" t="n"/>
      <c r="K903" s="59" t="n"/>
      <c r="L903" s="59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9" t="n"/>
      <c r="X903" s="61" t="n"/>
      <c r="Y903" s="59" t="n"/>
      <c r="Z903" s="59" t="n"/>
      <c r="AA903" s="59" t="n"/>
      <c r="AB903" s="59" t="n"/>
      <c r="AC903" s="59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9" t="n"/>
      <c r="F904" s="59" t="n"/>
      <c r="G904" s="60" t="n"/>
      <c r="H904" s="47" t="n"/>
      <c r="I904" s="47" t="n"/>
      <c r="J904" s="59" t="n"/>
      <c r="K904" s="59" t="n"/>
      <c r="L904" s="59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9" t="n"/>
      <c r="X904" s="61" t="n"/>
      <c r="Y904" s="59" t="n"/>
      <c r="Z904" s="59" t="n"/>
      <c r="AA904" s="59" t="n"/>
      <c r="AB904" s="59" t="n"/>
      <c r="AC904" s="59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9" t="n"/>
      <c r="F905" s="59" t="n"/>
      <c r="G905" s="60" t="n"/>
      <c r="H905" s="47" t="n"/>
      <c r="I905" s="47" t="n"/>
      <c r="J905" s="59" t="n"/>
      <c r="K905" s="59" t="n"/>
      <c r="L905" s="59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9" t="n"/>
      <c r="X905" s="61" t="n"/>
      <c r="Y905" s="59" t="n"/>
      <c r="Z905" s="59" t="n"/>
      <c r="AA905" s="59" t="n"/>
      <c r="AB905" s="59" t="n"/>
      <c r="AC905" s="59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9" t="n"/>
      <c r="F906" s="59" t="n"/>
      <c r="G906" s="60" t="n"/>
      <c r="H906" s="47" t="n"/>
      <c r="I906" s="47" t="n"/>
      <c r="J906" s="59" t="n"/>
      <c r="K906" s="59" t="n"/>
      <c r="L906" s="59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9" t="n"/>
      <c r="X906" s="61" t="n"/>
      <c r="Y906" s="59" t="n"/>
      <c r="Z906" s="59" t="n"/>
      <c r="AA906" s="59" t="n"/>
      <c r="AB906" s="59" t="n"/>
      <c r="AC906" s="59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9" t="n"/>
      <c r="F907" s="59" t="n"/>
      <c r="G907" s="60" t="n"/>
      <c r="H907" s="47" t="n"/>
      <c r="I907" s="47" t="n"/>
      <c r="J907" s="59" t="n"/>
      <c r="K907" s="59" t="n"/>
      <c r="L907" s="59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9" t="n"/>
      <c r="X907" s="61" t="n"/>
      <c r="Y907" s="59" t="n"/>
      <c r="Z907" s="59" t="n"/>
      <c r="AA907" s="59" t="n"/>
      <c r="AB907" s="59" t="n"/>
      <c r="AC907" s="59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9" t="n"/>
      <c r="F908" s="59" t="n"/>
      <c r="G908" s="60" t="n"/>
      <c r="H908" s="47" t="n"/>
      <c r="I908" s="47" t="n"/>
      <c r="J908" s="59" t="n"/>
      <c r="K908" s="59" t="n"/>
      <c r="L908" s="59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9" t="n"/>
      <c r="X908" s="61" t="n"/>
      <c r="Y908" s="59" t="n"/>
      <c r="Z908" s="59" t="n"/>
      <c r="AA908" s="59" t="n"/>
      <c r="AB908" s="59" t="n"/>
      <c r="AC908" s="59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9" t="n"/>
      <c r="F909" s="59" t="n"/>
      <c r="G909" s="60" t="n"/>
      <c r="H909" s="47" t="n"/>
      <c r="I909" s="47" t="n"/>
      <c r="J909" s="59" t="n"/>
      <c r="K909" s="59" t="n"/>
      <c r="L909" s="59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9" t="n"/>
      <c r="X909" s="61" t="n"/>
      <c r="Y909" s="59" t="n"/>
      <c r="Z909" s="59" t="n"/>
      <c r="AA909" s="59" t="n"/>
      <c r="AB909" s="59" t="n"/>
      <c r="AC909" s="59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9" t="n"/>
      <c r="F910" s="59" t="n"/>
      <c r="G910" s="60" t="n"/>
      <c r="H910" s="47" t="n"/>
      <c r="I910" s="47" t="n"/>
      <c r="J910" s="59" t="n"/>
      <c r="K910" s="59" t="n"/>
      <c r="L910" s="59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9" t="n"/>
      <c r="X910" s="61" t="n"/>
      <c r="Y910" s="59" t="n"/>
      <c r="Z910" s="59" t="n"/>
      <c r="AA910" s="59" t="n"/>
      <c r="AB910" s="59" t="n"/>
      <c r="AC910" s="59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9" t="n"/>
      <c r="F911" s="59" t="n"/>
      <c r="G911" s="60" t="n"/>
      <c r="H911" s="47" t="n"/>
      <c r="I911" s="47" t="n"/>
      <c r="J911" s="59" t="n"/>
      <c r="K911" s="59" t="n"/>
      <c r="L911" s="59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9" t="n"/>
      <c r="X911" s="61" t="n"/>
      <c r="Y911" s="59" t="n"/>
      <c r="Z911" s="59" t="n"/>
      <c r="AA911" s="59" t="n"/>
      <c r="AB911" s="59" t="n"/>
      <c r="AC911" s="59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9" t="n"/>
      <c r="F912" s="59" t="n"/>
      <c r="G912" s="60" t="n"/>
      <c r="H912" s="47" t="n"/>
      <c r="I912" s="47" t="n"/>
      <c r="J912" s="59" t="n"/>
      <c r="K912" s="59" t="n"/>
      <c r="L912" s="59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9" t="n"/>
      <c r="X912" s="61" t="n"/>
      <c r="Y912" s="59" t="n"/>
      <c r="Z912" s="59" t="n"/>
      <c r="AA912" s="59" t="n"/>
      <c r="AB912" s="59" t="n"/>
      <c r="AC912" s="59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9" t="n"/>
      <c r="F913" s="59" t="n"/>
      <c r="G913" s="60" t="n"/>
      <c r="H913" s="47" t="n"/>
      <c r="I913" s="47" t="n"/>
      <c r="J913" s="59" t="n"/>
      <c r="K913" s="59" t="n"/>
      <c r="L913" s="59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9" t="n"/>
      <c r="X913" s="61" t="n"/>
      <c r="Y913" s="59" t="n"/>
      <c r="Z913" s="59" t="n"/>
      <c r="AA913" s="59" t="n"/>
      <c r="AB913" s="59" t="n"/>
      <c r="AC913" s="59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9" t="n"/>
      <c r="F914" s="59" t="n"/>
      <c r="G914" s="60" t="n"/>
      <c r="H914" s="47" t="n"/>
      <c r="I914" s="47" t="n"/>
      <c r="J914" s="59" t="n"/>
      <c r="K914" s="59" t="n"/>
      <c r="L914" s="59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9" t="n"/>
      <c r="X914" s="61" t="n"/>
      <c r="Y914" s="59" t="n"/>
      <c r="Z914" s="59" t="n"/>
      <c r="AA914" s="59" t="n"/>
      <c r="AB914" s="59" t="n"/>
      <c r="AC914" s="59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9" t="n"/>
      <c r="F915" s="59" t="n"/>
      <c r="G915" s="60" t="n"/>
      <c r="H915" s="47" t="n"/>
      <c r="I915" s="47" t="n"/>
      <c r="J915" s="59" t="n"/>
      <c r="K915" s="59" t="n"/>
      <c r="L915" s="59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9" t="n"/>
      <c r="X915" s="61" t="n"/>
      <c r="Y915" s="59" t="n"/>
      <c r="Z915" s="59" t="n"/>
      <c r="AA915" s="59" t="n"/>
      <c r="AB915" s="59" t="n"/>
      <c r="AC915" s="59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9" t="n"/>
      <c r="F916" s="59" t="n"/>
      <c r="G916" s="60" t="n"/>
      <c r="H916" s="47" t="n"/>
      <c r="I916" s="47" t="n"/>
      <c r="J916" s="59" t="n"/>
      <c r="K916" s="59" t="n"/>
      <c r="L916" s="59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9" t="n"/>
      <c r="X916" s="61" t="n"/>
      <c r="Y916" s="59" t="n"/>
      <c r="Z916" s="59" t="n"/>
      <c r="AA916" s="59" t="n"/>
      <c r="AB916" s="59" t="n"/>
      <c r="AC916" s="59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9" t="n"/>
      <c r="F917" s="59" t="n"/>
      <c r="G917" s="60" t="n"/>
      <c r="H917" s="47" t="n"/>
      <c r="I917" s="47" t="n"/>
      <c r="J917" s="59" t="n"/>
      <c r="K917" s="59" t="n"/>
      <c r="L917" s="59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9" t="n"/>
      <c r="X917" s="61" t="n"/>
      <c r="Y917" s="59" t="n"/>
      <c r="Z917" s="59" t="n"/>
      <c r="AA917" s="59" t="n"/>
      <c r="AB917" s="59" t="n"/>
      <c r="AC917" s="59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9" t="n"/>
      <c r="F918" s="59" t="n"/>
      <c r="G918" s="60" t="n"/>
      <c r="H918" s="47" t="n"/>
      <c r="I918" s="47" t="n"/>
      <c r="J918" s="59" t="n"/>
      <c r="K918" s="59" t="n"/>
      <c r="L918" s="59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9" t="n"/>
      <c r="X918" s="61" t="n"/>
      <c r="Y918" s="59" t="n"/>
      <c r="Z918" s="59" t="n"/>
      <c r="AA918" s="59" t="n"/>
      <c r="AB918" s="59" t="n"/>
      <c r="AC918" s="59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9" t="n"/>
      <c r="F919" s="59" t="n"/>
      <c r="G919" s="60" t="n"/>
      <c r="H919" s="47" t="n"/>
      <c r="I919" s="47" t="n"/>
      <c r="J919" s="59" t="n"/>
      <c r="K919" s="59" t="n"/>
      <c r="L919" s="59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9" t="n"/>
      <c r="X919" s="61" t="n"/>
      <c r="Y919" s="59" t="n"/>
      <c r="Z919" s="59" t="n"/>
      <c r="AA919" s="59" t="n"/>
      <c r="AB919" s="59" t="n"/>
      <c r="AC919" s="59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9" t="n"/>
      <c r="F920" s="59" t="n"/>
      <c r="G920" s="60" t="n"/>
      <c r="H920" s="47" t="n"/>
      <c r="I920" s="47" t="n"/>
      <c r="J920" s="59" t="n"/>
      <c r="K920" s="59" t="n"/>
      <c r="L920" s="59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9" t="n"/>
      <c r="X920" s="61" t="n"/>
      <c r="Y920" s="59" t="n"/>
      <c r="Z920" s="59" t="n"/>
      <c r="AA920" s="59" t="n"/>
      <c r="AB920" s="59" t="n"/>
      <c r="AC920" s="59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9" t="n"/>
      <c r="F921" s="59" t="n"/>
      <c r="G921" s="60" t="n"/>
      <c r="H921" s="47" t="n"/>
      <c r="I921" s="47" t="n"/>
      <c r="J921" s="59" t="n"/>
      <c r="K921" s="59" t="n"/>
      <c r="L921" s="59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9" t="n"/>
      <c r="X921" s="61" t="n"/>
      <c r="Y921" s="59" t="n"/>
      <c r="Z921" s="59" t="n"/>
      <c r="AA921" s="59" t="n"/>
      <c r="AB921" s="59" t="n"/>
      <c r="AC921" s="59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9" t="n"/>
      <c r="F922" s="59" t="n"/>
      <c r="G922" s="60" t="n"/>
      <c r="H922" s="47" t="n"/>
      <c r="I922" s="47" t="n"/>
      <c r="J922" s="59" t="n"/>
      <c r="K922" s="59" t="n"/>
      <c r="L922" s="59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9" t="n"/>
      <c r="X922" s="61" t="n"/>
      <c r="Y922" s="59" t="n"/>
      <c r="Z922" s="59" t="n"/>
      <c r="AA922" s="59" t="n"/>
      <c r="AB922" s="59" t="n"/>
      <c r="AC922" s="59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9" t="n"/>
      <c r="F923" s="59" t="n"/>
      <c r="G923" s="60" t="n"/>
      <c r="H923" s="47" t="n"/>
      <c r="I923" s="47" t="n"/>
      <c r="J923" s="59" t="n"/>
      <c r="K923" s="59" t="n"/>
      <c r="L923" s="59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9" t="n"/>
      <c r="X923" s="61" t="n"/>
      <c r="Y923" s="59" t="n"/>
      <c r="Z923" s="59" t="n"/>
      <c r="AA923" s="59" t="n"/>
      <c r="AB923" s="59" t="n"/>
      <c r="AC923" s="59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9" t="n"/>
      <c r="F924" s="59" t="n"/>
      <c r="G924" s="60" t="n"/>
      <c r="H924" s="47" t="n"/>
      <c r="I924" s="47" t="n"/>
      <c r="J924" s="59" t="n"/>
      <c r="K924" s="59" t="n"/>
      <c r="L924" s="59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9" t="n"/>
      <c r="X924" s="61" t="n"/>
      <c r="Y924" s="59" t="n"/>
      <c r="Z924" s="59" t="n"/>
      <c r="AA924" s="59" t="n"/>
      <c r="AB924" s="59" t="n"/>
      <c r="AC924" s="59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9" t="n"/>
      <c r="F925" s="59" t="n"/>
      <c r="G925" s="60" t="n"/>
      <c r="H925" s="47" t="n"/>
      <c r="I925" s="47" t="n"/>
      <c r="J925" s="59" t="n"/>
      <c r="K925" s="59" t="n"/>
      <c r="L925" s="59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9" t="n"/>
      <c r="X925" s="61" t="n"/>
      <c r="Y925" s="59" t="n"/>
      <c r="Z925" s="59" t="n"/>
      <c r="AA925" s="59" t="n"/>
      <c r="AB925" s="59" t="n"/>
      <c r="AC925" s="59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9" t="n"/>
      <c r="F926" s="59" t="n"/>
      <c r="G926" s="60" t="n"/>
      <c r="H926" s="47" t="n"/>
      <c r="I926" s="47" t="n"/>
      <c r="J926" s="59" t="n"/>
      <c r="K926" s="59" t="n"/>
      <c r="L926" s="59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9" t="n"/>
      <c r="X926" s="61" t="n"/>
      <c r="Y926" s="59" t="n"/>
      <c r="Z926" s="59" t="n"/>
      <c r="AA926" s="59" t="n"/>
      <c r="AB926" s="59" t="n"/>
      <c r="AC926" s="59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9" t="n"/>
      <c r="F927" s="59" t="n"/>
      <c r="G927" s="60" t="n"/>
      <c r="H927" s="47" t="n"/>
      <c r="I927" s="47" t="n"/>
      <c r="J927" s="59" t="n"/>
      <c r="K927" s="59" t="n"/>
      <c r="L927" s="59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9" t="n"/>
      <c r="X927" s="61" t="n"/>
      <c r="Y927" s="59" t="n"/>
      <c r="Z927" s="59" t="n"/>
      <c r="AA927" s="59" t="n"/>
      <c r="AB927" s="59" t="n"/>
      <c r="AC927" s="59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9" t="n"/>
      <c r="F928" s="59" t="n"/>
      <c r="G928" s="60" t="n"/>
      <c r="H928" s="47" t="n"/>
      <c r="I928" s="47" t="n"/>
      <c r="J928" s="59" t="n"/>
      <c r="K928" s="59" t="n"/>
      <c r="L928" s="59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9" t="n"/>
      <c r="X928" s="61" t="n"/>
      <c r="Y928" s="59" t="n"/>
      <c r="Z928" s="59" t="n"/>
      <c r="AA928" s="59" t="n"/>
      <c r="AB928" s="59" t="n"/>
      <c r="AC928" s="59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9" t="n"/>
      <c r="F929" s="59" t="n"/>
      <c r="G929" s="60" t="n"/>
      <c r="H929" s="47" t="n"/>
      <c r="I929" s="47" t="n"/>
      <c r="J929" s="59" t="n"/>
      <c r="K929" s="59" t="n"/>
      <c r="L929" s="59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9" t="n"/>
      <c r="X929" s="61" t="n"/>
      <c r="Y929" s="59" t="n"/>
      <c r="Z929" s="59" t="n"/>
      <c r="AA929" s="59" t="n"/>
      <c r="AB929" s="59" t="n"/>
      <c r="AC929" s="59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9" t="n"/>
      <c r="F930" s="59" t="n"/>
      <c r="G930" s="60" t="n"/>
      <c r="H930" s="47" t="n"/>
      <c r="I930" s="47" t="n"/>
      <c r="J930" s="59" t="n"/>
      <c r="K930" s="59" t="n"/>
      <c r="L930" s="59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9" t="n"/>
      <c r="X930" s="61" t="n"/>
      <c r="Y930" s="59" t="n"/>
      <c r="Z930" s="59" t="n"/>
      <c r="AA930" s="59" t="n"/>
      <c r="AB930" s="59" t="n"/>
      <c r="AC930" s="59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9" t="n"/>
      <c r="F931" s="59" t="n"/>
      <c r="G931" s="60" t="n"/>
      <c r="H931" s="47" t="n"/>
      <c r="I931" s="47" t="n"/>
      <c r="J931" s="59" t="n"/>
      <c r="K931" s="59" t="n"/>
      <c r="L931" s="59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9" t="n"/>
      <c r="X931" s="61" t="n"/>
      <c r="Y931" s="59" t="n"/>
      <c r="Z931" s="59" t="n"/>
      <c r="AA931" s="59" t="n"/>
      <c r="AB931" s="59" t="n"/>
      <c r="AC931" s="59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9" t="n"/>
      <c r="F932" s="59" t="n"/>
      <c r="G932" s="60" t="n"/>
      <c r="H932" s="47" t="n"/>
      <c r="I932" s="47" t="n"/>
      <c r="J932" s="59" t="n"/>
      <c r="K932" s="59" t="n"/>
      <c r="L932" s="59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9" t="n"/>
      <c r="X932" s="61" t="n"/>
      <c r="Y932" s="59" t="n"/>
      <c r="Z932" s="59" t="n"/>
      <c r="AA932" s="59" t="n"/>
      <c r="AB932" s="59" t="n"/>
      <c r="AC932" s="59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9" t="n"/>
      <c r="F933" s="59" t="n"/>
      <c r="G933" s="60" t="n"/>
      <c r="H933" s="47" t="n"/>
      <c r="I933" s="47" t="n"/>
      <c r="J933" s="59" t="n"/>
      <c r="K933" s="59" t="n"/>
      <c r="L933" s="59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9" t="n"/>
      <c r="X933" s="61" t="n"/>
      <c r="Y933" s="59" t="n"/>
      <c r="Z933" s="59" t="n"/>
      <c r="AA933" s="59" t="n"/>
      <c r="AB933" s="59" t="n"/>
      <c r="AC933" s="59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9" t="n"/>
      <c r="F934" s="59" t="n"/>
      <c r="G934" s="60" t="n"/>
      <c r="H934" s="47" t="n"/>
      <c r="I934" s="47" t="n"/>
      <c r="J934" s="59" t="n"/>
      <c r="K934" s="59" t="n"/>
      <c r="L934" s="59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9" t="n"/>
      <c r="X934" s="61" t="n"/>
      <c r="Y934" s="59" t="n"/>
      <c r="Z934" s="59" t="n"/>
      <c r="AA934" s="59" t="n"/>
      <c r="AB934" s="59" t="n"/>
      <c r="AC934" s="59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9" t="n"/>
      <c r="F935" s="59" t="n"/>
      <c r="G935" s="60" t="n"/>
      <c r="H935" s="47" t="n"/>
      <c r="I935" s="47" t="n"/>
      <c r="J935" s="59" t="n"/>
      <c r="K935" s="59" t="n"/>
      <c r="L935" s="59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9" t="n"/>
      <c r="X935" s="61" t="n"/>
      <c r="Y935" s="59" t="n"/>
      <c r="Z935" s="59" t="n"/>
      <c r="AA935" s="59" t="n"/>
      <c r="AB935" s="59" t="n"/>
      <c r="AC935" s="59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9" t="n"/>
      <c r="F936" s="59" t="n"/>
      <c r="G936" s="60" t="n"/>
      <c r="H936" s="47" t="n"/>
      <c r="I936" s="47" t="n"/>
      <c r="J936" s="59" t="n"/>
      <c r="K936" s="59" t="n"/>
      <c r="L936" s="59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9" t="n"/>
      <c r="X936" s="61" t="n"/>
      <c r="Y936" s="59" t="n"/>
      <c r="Z936" s="59" t="n"/>
      <c r="AA936" s="59" t="n"/>
      <c r="AB936" s="59" t="n"/>
      <c r="AC936" s="59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9" t="n"/>
      <c r="F937" s="59" t="n"/>
      <c r="G937" s="60" t="n"/>
      <c r="H937" s="47" t="n"/>
      <c r="I937" s="47" t="n"/>
      <c r="J937" s="59" t="n"/>
      <c r="K937" s="59" t="n"/>
      <c r="L937" s="59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9" t="n"/>
      <c r="X937" s="61" t="n"/>
      <c r="Y937" s="59" t="n"/>
      <c r="Z937" s="59" t="n"/>
      <c r="AA937" s="59" t="n"/>
      <c r="AB937" s="59" t="n"/>
      <c r="AC937" s="59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9" t="n"/>
      <c r="F938" s="59" t="n"/>
      <c r="G938" s="60" t="n"/>
      <c r="H938" s="47" t="n"/>
      <c r="I938" s="47" t="n"/>
      <c r="J938" s="59" t="n"/>
      <c r="K938" s="59" t="n"/>
      <c r="L938" s="59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9" t="n"/>
      <c r="X938" s="61" t="n"/>
      <c r="Y938" s="59" t="n"/>
      <c r="Z938" s="59" t="n"/>
      <c r="AA938" s="59" t="n"/>
      <c r="AB938" s="59" t="n"/>
      <c r="AC938" s="59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9" t="n"/>
      <c r="F939" s="59" t="n"/>
      <c r="G939" s="60" t="n"/>
      <c r="H939" s="47" t="n"/>
      <c r="I939" s="47" t="n"/>
      <c r="J939" s="59" t="n"/>
      <c r="K939" s="59" t="n"/>
      <c r="L939" s="59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9" t="n"/>
      <c r="X939" s="61" t="n"/>
      <c r="Y939" s="59" t="n"/>
      <c r="Z939" s="59" t="n"/>
      <c r="AA939" s="59" t="n"/>
      <c r="AB939" s="59" t="n"/>
      <c r="AC939" s="59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9" t="n"/>
      <c r="F940" s="59" t="n"/>
      <c r="G940" s="60" t="n"/>
      <c r="H940" s="47" t="n"/>
      <c r="I940" s="47" t="n"/>
      <c r="J940" s="59" t="n"/>
      <c r="K940" s="59" t="n"/>
      <c r="L940" s="59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9" t="n"/>
      <c r="X940" s="61" t="n"/>
      <c r="Y940" s="59" t="n"/>
      <c r="Z940" s="59" t="n"/>
      <c r="AA940" s="59" t="n"/>
      <c r="AB940" s="59" t="n"/>
      <c r="AC940" s="59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9" t="n"/>
      <c r="F941" s="59" t="n"/>
      <c r="G941" s="60" t="n"/>
      <c r="H941" s="47" t="n"/>
      <c r="I941" s="47" t="n"/>
      <c r="J941" s="59" t="n"/>
      <c r="K941" s="59" t="n"/>
      <c r="L941" s="59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9" t="n"/>
      <c r="X941" s="61" t="n"/>
      <c r="Y941" s="59" t="n"/>
      <c r="Z941" s="59" t="n"/>
      <c r="AA941" s="59" t="n"/>
      <c r="AB941" s="59" t="n"/>
      <c r="AC941" s="59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9" t="n"/>
      <c r="F942" s="59" t="n"/>
      <c r="G942" s="60" t="n"/>
      <c r="H942" s="47" t="n"/>
      <c r="I942" s="47" t="n"/>
      <c r="J942" s="59" t="n"/>
      <c r="K942" s="59" t="n"/>
      <c r="L942" s="59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9" t="n"/>
      <c r="X942" s="61" t="n"/>
      <c r="Y942" s="59" t="n"/>
      <c r="Z942" s="59" t="n"/>
      <c r="AA942" s="59" t="n"/>
      <c r="AB942" s="59" t="n"/>
      <c r="AC942" s="59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9" t="n"/>
      <c r="F943" s="59" t="n"/>
      <c r="G943" s="60" t="n"/>
      <c r="H943" s="47" t="n"/>
      <c r="I943" s="47" t="n"/>
      <c r="J943" s="59" t="n"/>
      <c r="K943" s="59" t="n"/>
      <c r="L943" s="59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9" t="n"/>
      <c r="X943" s="61" t="n"/>
      <c r="Y943" s="59" t="n"/>
      <c r="Z943" s="59" t="n"/>
      <c r="AA943" s="59" t="n"/>
      <c r="AB943" s="59" t="n"/>
      <c r="AC943" s="59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9" t="n"/>
      <c r="F944" s="59" t="n"/>
      <c r="G944" s="60" t="n"/>
      <c r="H944" s="47" t="n"/>
      <c r="I944" s="47" t="n"/>
      <c r="J944" s="59" t="n"/>
      <c r="K944" s="59" t="n"/>
      <c r="L944" s="59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9" t="n"/>
      <c r="X944" s="61" t="n"/>
      <c r="Y944" s="59" t="n"/>
      <c r="Z944" s="59" t="n"/>
      <c r="AA944" s="59" t="n"/>
      <c r="AB944" s="59" t="n"/>
      <c r="AC944" s="59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9" t="n"/>
      <c r="F945" s="59" t="n"/>
      <c r="G945" s="60" t="n"/>
      <c r="H945" s="47" t="n"/>
      <c r="I945" s="47" t="n"/>
      <c r="J945" s="59" t="n"/>
      <c r="K945" s="59" t="n"/>
      <c r="L945" s="59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9" t="n"/>
      <c r="X945" s="61" t="n"/>
      <c r="Y945" s="59" t="n"/>
      <c r="Z945" s="59" t="n"/>
      <c r="AA945" s="59" t="n"/>
      <c r="AB945" s="59" t="n"/>
      <c r="AC945" s="59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9" t="n"/>
      <c r="F946" s="59" t="n"/>
      <c r="G946" s="60" t="n"/>
      <c r="H946" s="47" t="n"/>
      <c r="I946" s="47" t="n"/>
      <c r="J946" s="59" t="n"/>
      <c r="K946" s="59" t="n"/>
      <c r="L946" s="59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9" t="n"/>
      <c r="X946" s="61" t="n"/>
      <c r="Y946" s="59" t="n"/>
      <c r="Z946" s="59" t="n"/>
      <c r="AA946" s="59" t="n"/>
      <c r="AB946" s="59" t="n"/>
      <c r="AC946" s="59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9" t="n"/>
      <c r="F947" s="59" t="n"/>
      <c r="G947" s="60" t="n"/>
      <c r="H947" s="47" t="n"/>
      <c r="I947" s="47" t="n"/>
      <c r="J947" s="59" t="n"/>
      <c r="K947" s="59" t="n"/>
      <c r="L947" s="59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9" t="n"/>
      <c r="X947" s="61" t="n"/>
      <c r="Y947" s="59" t="n"/>
      <c r="Z947" s="59" t="n"/>
      <c r="AA947" s="59" t="n"/>
      <c r="AB947" s="59" t="n"/>
      <c r="AC947" s="59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9" t="n"/>
      <c r="F948" s="59" t="n"/>
      <c r="G948" s="60" t="n"/>
      <c r="H948" s="47" t="n"/>
      <c r="I948" s="47" t="n"/>
      <c r="J948" s="59" t="n"/>
      <c r="K948" s="59" t="n"/>
      <c r="L948" s="59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9" t="n"/>
      <c r="X948" s="61" t="n"/>
      <c r="Y948" s="59" t="n"/>
      <c r="Z948" s="59" t="n"/>
      <c r="AA948" s="59" t="n"/>
      <c r="AB948" s="59" t="n"/>
      <c r="AC948" s="59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9" t="n"/>
      <c r="F949" s="59" t="n"/>
      <c r="G949" s="60" t="n"/>
      <c r="H949" s="47" t="n"/>
      <c r="I949" s="47" t="n"/>
      <c r="J949" s="59" t="n"/>
      <c r="K949" s="59" t="n"/>
      <c r="L949" s="59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9" t="n"/>
      <c r="X949" s="61" t="n"/>
      <c r="Y949" s="59" t="n"/>
      <c r="Z949" s="59" t="n"/>
      <c r="AA949" s="59" t="n"/>
      <c r="AB949" s="59" t="n"/>
      <c r="AC949" s="59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9" t="n"/>
      <c r="F950" s="59" t="n"/>
      <c r="G950" s="60" t="n"/>
      <c r="H950" s="47" t="n"/>
      <c r="I950" s="47" t="n"/>
      <c r="J950" s="59" t="n"/>
      <c r="K950" s="59" t="n"/>
      <c r="L950" s="59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9" t="n"/>
      <c r="X950" s="61" t="n"/>
      <c r="Y950" s="59" t="n"/>
      <c r="Z950" s="59" t="n"/>
      <c r="AA950" s="59" t="n"/>
      <c r="AB950" s="59" t="n"/>
      <c r="AC950" s="59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9" t="n"/>
      <c r="F951" s="59" t="n"/>
      <c r="G951" s="60" t="n"/>
      <c r="H951" s="47" t="n"/>
      <c r="I951" s="47" t="n"/>
      <c r="J951" s="59" t="n"/>
      <c r="K951" s="59" t="n"/>
      <c r="L951" s="59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9" t="n"/>
      <c r="X951" s="61" t="n"/>
      <c r="Y951" s="59" t="n"/>
      <c r="Z951" s="59" t="n"/>
      <c r="AA951" s="59" t="n"/>
      <c r="AB951" s="59" t="n"/>
      <c r="AC951" s="59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9" t="n"/>
      <c r="F952" s="59" t="n"/>
      <c r="G952" s="60" t="n"/>
      <c r="H952" s="47" t="n"/>
      <c r="I952" s="47" t="n"/>
      <c r="J952" s="59" t="n"/>
      <c r="K952" s="59" t="n"/>
      <c r="L952" s="59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9" t="n"/>
      <c r="X952" s="61" t="n"/>
      <c r="Y952" s="59" t="n"/>
      <c r="Z952" s="59" t="n"/>
      <c r="AA952" s="59" t="n"/>
      <c r="AB952" s="59" t="n"/>
      <c r="AC952" s="59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9" t="n"/>
      <c r="F953" s="59" t="n"/>
      <c r="G953" s="60" t="n"/>
      <c r="H953" s="47" t="n"/>
      <c r="I953" s="47" t="n"/>
      <c r="J953" s="59" t="n"/>
      <c r="K953" s="59" t="n"/>
      <c r="L953" s="59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9" t="n"/>
      <c r="X953" s="61" t="n"/>
      <c r="Y953" s="59" t="n"/>
      <c r="Z953" s="59" t="n"/>
      <c r="AA953" s="59" t="n"/>
      <c r="AB953" s="59" t="n"/>
      <c r="AC953" s="59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9" t="n"/>
      <c r="F954" s="59" t="n"/>
      <c r="G954" s="60" t="n"/>
      <c r="H954" s="47" t="n"/>
      <c r="I954" s="47" t="n"/>
      <c r="J954" s="59" t="n"/>
      <c r="K954" s="59" t="n"/>
      <c r="L954" s="59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9" t="n"/>
      <c r="X954" s="61" t="n"/>
      <c r="Y954" s="59" t="n"/>
      <c r="Z954" s="59" t="n"/>
      <c r="AA954" s="59" t="n"/>
      <c r="AB954" s="59" t="n"/>
      <c r="AC954" s="59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9" t="n"/>
      <c r="F955" s="59" t="n"/>
      <c r="G955" s="60" t="n"/>
      <c r="H955" s="47" t="n"/>
      <c r="I955" s="47" t="n"/>
      <c r="J955" s="59" t="n"/>
      <c r="K955" s="59" t="n"/>
      <c r="L955" s="59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9" t="n"/>
      <c r="X955" s="61" t="n"/>
      <c r="Y955" s="59" t="n"/>
      <c r="Z955" s="59" t="n"/>
      <c r="AA955" s="59" t="n"/>
      <c r="AB955" s="59" t="n"/>
      <c r="AC955" s="59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9" t="n"/>
      <c r="F956" s="59" t="n"/>
      <c r="G956" s="60" t="n"/>
      <c r="H956" s="47" t="n"/>
      <c r="I956" s="47" t="n"/>
      <c r="J956" s="59" t="n"/>
      <c r="K956" s="59" t="n"/>
      <c r="L956" s="59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9" t="n"/>
      <c r="X956" s="61" t="n"/>
      <c r="Y956" s="59" t="n"/>
      <c r="Z956" s="59" t="n"/>
      <c r="AA956" s="59" t="n"/>
      <c r="AB956" s="59" t="n"/>
      <c r="AC956" s="59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9" t="n"/>
      <c r="F957" s="59" t="n"/>
      <c r="G957" s="60" t="n"/>
      <c r="H957" s="47" t="n"/>
      <c r="I957" s="47" t="n"/>
      <c r="J957" s="59" t="n"/>
      <c r="K957" s="59" t="n"/>
      <c r="L957" s="59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9" t="n"/>
      <c r="X957" s="61" t="n"/>
      <c r="Y957" s="59" t="n"/>
      <c r="Z957" s="59" t="n"/>
      <c r="AA957" s="59" t="n"/>
      <c r="AB957" s="59" t="n"/>
      <c r="AC957" s="59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9" t="n"/>
      <c r="F958" s="59" t="n"/>
      <c r="G958" s="60" t="n"/>
      <c r="H958" s="47" t="n"/>
      <c r="I958" s="47" t="n"/>
      <c r="J958" s="59" t="n"/>
      <c r="K958" s="59" t="n"/>
      <c r="L958" s="59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9" t="n"/>
      <c r="X958" s="61" t="n"/>
      <c r="Y958" s="59" t="n"/>
      <c r="Z958" s="59" t="n"/>
      <c r="AA958" s="59" t="n"/>
      <c r="AB958" s="59" t="n"/>
      <c r="AC958" s="59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9" t="n"/>
      <c r="F959" s="59" t="n"/>
      <c r="G959" s="60" t="n"/>
      <c r="H959" s="47" t="n"/>
      <c r="I959" s="47" t="n"/>
      <c r="J959" s="59" t="n"/>
      <c r="K959" s="59" t="n"/>
      <c r="L959" s="59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9" t="n"/>
      <c r="X959" s="61" t="n"/>
      <c r="Y959" s="59" t="n"/>
      <c r="Z959" s="59" t="n"/>
      <c r="AA959" s="59" t="n"/>
      <c r="AB959" s="59" t="n"/>
      <c r="AC959" s="59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9" t="n"/>
      <c r="F960" s="59" t="n"/>
      <c r="G960" s="60" t="n"/>
      <c r="H960" s="47" t="n"/>
      <c r="I960" s="47" t="n"/>
      <c r="J960" s="59" t="n"/>
      <c r="K960" s="59" t="n"/>
      <c r="L960" s="59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9" t="n"/>
      <c r="X960" s="61" t="n"/>
      <c r="Y960" s="59" t="n"/>
      <c r="Z960" s="59" t="n"/>
      <c r="AA960" s="59" t="n"/>
      <c r="AB960" s="59" t="n"/>
      <c r="AC960" s="59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9" t="n"/>
      <c r="F961" s="59" t="n"/>
      <c r="G961" s="60" t="n"/>
      <c r="H961" s="47" t="n"/>
      <c r="I961" s="47" t="n"/>
      <c r="J961" s="59" t="n"/>
      <c r="K961" s="59" t="n"/>
      <c r="L961" s="59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9" t="n"/>
      <c r="X961" s="61" t="n"/>
      <c r="Y961" s="59" t="n"/>
      <c r="Z961" s="59" t="n"/>
      <c r="AA961" s="59" t="n"/>
      <c r="AB961" s="59" t="n"/>
      <c r="AC961" s="59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9" t="n"/>
      <c r="F962" s="59" t="n"/>
      <c r="G962" s="60" t="n"/>
      <c r="H962" s="47" t="n"/>
      <c r="I962" s="47" t="n"/>
      <c r="J962" s="59" t="n"/>
      <c r="K962" s="59" t="n"/>
      <c r="L962" s="59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9" t="n"/>
      <c r="X962" s="61" t="n"/>
      <c r="Y962" s="59" t="n"/>
      <c r="Z962" s="59" t="n"/>
      <c r="AA962" s="59" t="n"/>
      <c r="AB962" s="59" t="n"/>
      <c r="AC962" s="59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9" t="n"/>
      <c r="F963" s="59" t="n"/>
      <c r="G963" s="60" t="n"/>
      <c r="H963" s="47" t="n"/>
      <c r="I963" s="47" t="n"/>
      <c r="J963" s="59" t="n"/>
      <c r="K963" s="59" t="n"/>
      <c r="L963" s="59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9" t="n"/>
      <c r="X963" s="61" t="n"/>
      <c r="Y963" s="59" t="n"/>
      <c r="Z963" s="59" t="n"/>
      <c r="AA963" s="59" t="n"/>
      <c r="AB963" s="59" t="n"/>
      <c r="AC963" s="59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9" t="n"/>
      <c r="F964" s="59" t="n"/>
      <c r="G964" s="60" t="n"/>
      <c r="H964" s="47" t="n"/>
      <c r="I964" s="47" t="n"/>
      <c r="J964" s="59" t="n"/>
      <c r="K964" s="59" t="n"/>
      <c r="L964" s="59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9" t="n"/>
      <c r="X964" s="61" t="n"/>
      <c r="Y964" s="59" t="n"/>
      <c r="Z964" s="59" t="n"/>
      <c r="AA964" s="59" t="n"/>
      <c r="AB964" s="59" t="n"/>
      <c r="AC964" s="59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9" t="n"/>
      <c r="F965" s="59" t="n"/>
      <c r="G965" s="60" t="n"/>
      <c r="H965" s="47" t="n"/>
      <c r="I965" s="47" t="n"/>
      <c r="J965" s="59" t="n"/>
      <c r="K965" s="59" t="n"/>
      <c r="L965" s="59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9" t="n"/>
      <c r="X965" s="61" t="n"/>
      <c r="Y965" s="59" t="n"/>
      <c r="Z965" s="59" t="n"/>
      <c r="AA965" s="59" t="n"/>
      <c r="AB965" s="59" t="n"/>
      <c r="AC965" s="59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9" t="n"/>
      <c r="F966" s="59" t="n"/>
      <c r="G966" s="60" t="n"/>
      <c r="H966" s="47" t="n"/>
      <c r="I966" s="47" t="n"/>
      <c r="J966" s="59" t="n"/>
      <c r="K966" s="59" t="n"/>
      <c r="L966" s="59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9" t="n"/>
      <c r="X966" s="61" t="n"/>
      <c r="Y966" s="59" t="n"/>
      <c r="Z966" s="59" t="n"/>
      <c r="AA966" s="59" t="n"/>
      <c r="AB966" s="59" t="n"/>
      <c r="AC966" s="59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9" t="n"/>
      <c r="F967" s="59" t="n"/>
      <c r="G967" s="60" t="n"/>
      <c r="H967" s="47" t="n"/>
      <c r="I967" s="47" t="n"/>
      <c r="J967" s="59" t="n"/>
      <c r="K967" s="59" t="n"/>
      <c r="L967" s="59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9" t="n"/>
      <c r="X967" s="61" t="n"/>
      <c r="Y967" s="59" t="n"/>
      <c r="Z967" s="59" t="n"/>
      <c r="AA967" s="59" t="n"/>
      <c r="AB967" s="59" t="n"/>
      <c r="AC967" s="59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9" t="n"/>
      <c r="F968" s="59" t="n"/>
      <c r="G968" s="60" t="n"/>
      <c r="H968" s="47" t="n"/>
      <c r="I968" s="47" t="n"/>
      <c r="J968" s="59" t="n"/>
      <c r="K968" s="59" t="n"/>
      <c r="L968" s="59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9" t="n"/>
      <c r="X968" s="61" t="n"/>
      <c r="Y968" s="59" t="n"/>
      <c r="Z968" s="59" t="n"/>
      <c r="AA968" s="59" t="n"/>
      <c r="AB968" s="59" t="n"/>
      <c r="AC968" s="59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9" t="n"/>
      <c r="F969" s="59" t="n"/>
      <c r="G969" s="60" t="n"/>
      <c r="H969" s="47" t="n"/>
      <c r="I969" s="47" t="n"/>
      <c r="J969" s="59" t="n"/>
      <c r="K969" s="59" t="n"/>
      <c r="L969" s="59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9" t="n"/>
      <c r="X969" s="61" t="n"/>
      <c r="Y969" s="59" t="n"/>
      <c r="Z969" s="59" t="n"/>
      <c r="AA969" s="59" t="n"/>
      <c r="AB969" s="59" t="n"/>
      <c r="AC969" s="59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9" t="n"/>
      <c r="F970" s="59" t="n"/>
      <c r="G970" s="60" t="n"/>
      <c r="H970" s="47" t="n"/>
      <c r="I970" s="47" t="n"/>
      <c r="J970" s="59" t="n"/>
      <c r="K970" s="59" t="n"/>
      <c r="L970" s="59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9" t="n"/>
      <c r="X970" s="61" t="n"/>
      <c r="Y970" s="59" t="n"/>
      <c r="Z970" s="59" t="n"/>
      <c r="AA970" s="59" t="n"/>
      <c r="AB970" s="59" t="n"/>
      <c r="AC970" s="59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9" t="n"/>
      <c r="F971" s="59" t="n"/>
      <c r="G971" s="60" t="n"/>
      <c r="H971" s="47" t="n"/>
      <c r="I971" s="47" t="n"/>
      <c r="J971" s="59" t="n"/>
      <c r="K971" s="59" t="n"/>
      <c r="L971" s="59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9" t="n"/>
      <c r="X971" s="61" t="n"/>
      <c r="Y971" s="59" t="n"/>
      <c r="Z971" s="59" t="n"/>
      <c r="AA971" s="59" t="n"/>
      <c r="AB971" s="59" t="n"/>
      <c r="AC971" s="59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9" t="n"/>
      <c r="F972" s="59" t="n"/>
      <c r="G972" s="60" t="n"/>
      <c r="H972" s="47" t="n"/>
      <c r="I972" s="47" t="n"/>
      <c r="J972" s="59" t="n"/>
      <c r="K972" s="59" t="n"/>
      <c r="L972" s="59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9" t="n"/>
      <c r="X972" s="61" t="n"/>
      <c r="Y972" s="59" t="n"/>
      <c r="Z972" s="59" t="n"/>
      <c r="AA972" s="59" t="n"/>
      <c r="AB972" s="59" t="n"/>
      <c r="AC972" s="59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9" t="n"/>
      <c r="F973" s="59" t="n"/>
      <c r="G973" s="60" t="n"/>
      <c r="H973" s="47" t="n"/>
      <c r="I973" s="47" t="n"/>
      <c r="J973" s="59" t="n"/>
      <c r="K973" s="59" t="n"/>
      <c r="L973" s="59" t="n"/>
      <c r="M973" s="3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9" t="n"/>
      <c r="X973" s="61" t="n"/>
      <c r="Y973" s="59" t="n"/>
      <c r="Z973" s="59" t="n"/>
      <c r="AA973" s="59" t="n"/>
      <c r="AB973" s="59" t="n"/>
      <c r="AC973" s="59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9" t="n"/>
      <c r="F974" s="59" t="n"/>
      <c r="G974" s="60" t="n"/>
      <c r="H974" s="47" t="n"/>
      <c r="I974" s="47" t="n"/>
      <c r="J974" s="59" t="n"/>
      <c r="K974" s="59" t="n"/>
      <c r="L974" s="59" t="n"/>
      <c r="M974" s="3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9" t="n"/>
      <c r="X974" s="61" t="n"/>
      <c r="Y974" s="59" t="n"/>
      <c r="Z974" s="59" t="n"/>
      <c r="AA974" s="59" t="n"/>
      <c r="AB974" s="59" t="n"/>
      <c r="AC974" s="59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9" t="n"/>
      <c r="F975" s="59" t="n"/>
      <c r="G975" s="60" t="n"/>
      <c r="H975" s="47" t="n"/>
      <c r="I975" s="47" t="n"/>
      <c r="J975" s="59" t="n"/>
      <c r="K975" s="59" t="n"/>
      <c r="L975" s="59" t="n"/>
      <c r="M975" s="3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9" t="n"/>
      <c r="X975" s="61" t="n"/>
      <c r="Y975" s="59" t="n"/>
      <c r="Z975" s="59" t="n"/>
      <c r="AA975" s="59" t="n"/>
      <c r="AB975" s="59" t="n"/>
      <c r="AC975" s="59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9" t="n"/>
      <c r="F976" s="59" t="n"/>
      <c r="G976" s="60" t="n"/>
      <c r="H976" s="47" t="n"/>
      <c r="I976" s="47" t="n"/>
      <c r="J976" s="59" t="n"/>
      <c r="K976" s="59" t="n"/>
      <c r="L976" s="59" t="n"/>
      <c r="M976" s="3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9" t="n"/>
      <c r="X976" s="61" t="n"/>
      <c r="Y976" s="59" t="n"/>
      <c r="Z976" s="59" t="n"/>
      <c r="AA976" s="59" t="n"/>
      <c r="AB976" s="59" t="n"/>
      <c r="AC976" s="59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9" t="n"/>
      <c r="F977" s="59" t="n"/>
      <c r="G977" s="60" t="n"/>
      <c r="H977" s="47" t="n"/>
      <c r="I977" s="47" t="n"/>
      <c r="J977" s="59" t="n"/>
      <c r="K977" s="59" t="n"/>
      <c r="L977" s="59" t="n"/>
      <c r="M977" s="3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9" t="n"/>
      <c r="X977" s="61" t="n"/>
      <c r="Y977" s="59" t="n"/>
      <c r="Z977" s="59" t="n"/>
      <c r="AA977" s="59" t="n"/>
      <c r="AB977" s="59" t="n"/>
      <c r="AC977" s="59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9" t="n"/>
      <c r="F978" s="59" t="n"/>
      <c r="G978" s="60" t="n"/>
      <c r="H978" s="47" t="n"/>
      <c r="I978" s="47" t="n"/>
      <c r="J978" s="59" t="n"/>
      <c r="K978" s="59" t="n"/>
      <c r="L978" s="59" t="n"/>
      <c r="M978" s="3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9" t="n"/>
      <c r="X978" s="61" t="n"/>
      <c r="Y978" s="59" t="n"/>
      <c r="Z978" s="59" t="n"/>
      <c r="AA978" s="59" t="n"/>
      <c r="AB978" s="59" t="n"/>
      <c r="AC978" s="59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9" t="n"/>
      <c r="F979" s="59" t="n"/>
      <c r="G979" s="60" t="n"/>
      <c r="H979" s="47" t="n"/>
      <c r="I979" s="47" t="n"/>
      <c r="J979" s="59" t="n"/>
      <c r="K979" s="59" t="n"/>
      <c r="L979" s="59" t="n"/>
      <c r="M979" s="3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9" t="n"/>
      <c r="X979" s="61" t="n"/>
      <c r="Y979" s="59" t="n"/>
      <c r="Z979" s="59" t="n"/>
      <c r="AA979" s="59" t="n"/>
      <c r="AB979" s="59" t="n"/>
      <c r="AC979" s="59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9" t="n"/>
      <c r="F980" s="59" t="n"/>
      <c r="G980" s="60" t="n"/>
      <c r="H980" s="47" t="n"/>
      <c r="I980" s="47" t="n"/>
      <c r="J980" s="59" t="n"/>
      <c r="K980" s="59" t="n"/>
      <c r="L980" s="59" t="n"/>
      <c r="M980" s="3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9" t="n"/>
      <c r="X980" s="61" t="n"/>
      <c r="Y980" s="59" t="n"/>
      <c r="Z980" s="59" t="n"/>
      <c r="AA980" s="59" t="n"/>
      <c r="AB980" s="59" t="n"/>
      <c r="AC980" s="59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9" t="n"/>
      <c r="F981" s="59" t="n"/>
      <c r="G981" s="60" t="n"/>
      <c r="H981" s="47" t="n"/>
      <c r="I981" s="47" t="n"/>
      <c r="J981" s="59" t="n"/>
      <c r="K981" s="59" t="n"/>
      <c r="L981" s="59" t="n"/>
      <c r="M981" s="3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9" t="n"/>
      <c r="X981" s="61" t="n"/>
      <c r="Y981" s="59" t="n"/>
      <c r="Z981" s="59" t="n"/>
      <c r="AA981" s="59" t="n"/>
      <c r="AB981" s="59" t="n"/>
      <c r="AC981" s="59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9" t="n"/>
      <c r="F982" s="59" t="n"/>
      <c r="G982" s="60" t="n"/>
      <c r="H982" s="47" t="n"/>
      <c r="I982" s="47" t="n"/>
      <c r="J982" s="59" t="n"/>
      <c r="K982" s="59" t="n"/>
      <c r="L982" s="59" t="n"/>
      <c r="M982" s="3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9" t="n"/>
      <c r="X982" s="61" t="n"/>
      <c r="Y982" s="59" t="n"/>
      <c r="Z982" s="59" t="n"/>
      <c r="AA982" s="59" t="n"/>
      <c r="AB982" s="59" t="n"/>
      <c r="AC982" s="59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9" t="n"/>
      <c r="F983" s="59" t="n"/>
      <c r="G983" s="60" t="n"/>
      <c r="H983" s="47" t="n"/>
      <c r="I983" s="47" t="n"/>
      <c r="J983" s="59" t="n"/>
      <c r="K983" s="59" t="n"/>
      <c r="L983" s="59" t="n"/>
      <c r="M983" s="3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9" t="n"/>
      <c r="X983" s="61" t="n"/>
      <c r="Y983" s="59" t="n"/>
      <c r="Z983" s="59" t="n"/>
      <c r="AA983" s="59" t="n"/>
      <c r="AB983" s="59" t="n"/>
      <c r="AC983" s="59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9" t="n"/>
      <c r="F984" s="59" t="n"/>
      <c r="G984" s="60" t="n"/>
      <c r="H984" s="47" t="n"/>
      <c r="I984" s="47" t="n"/>
      <c r="J984" s="59" t="n"/>
      <c r="K984" s="59" t="n"/>
      <c r="L984" s="59" t="n"/>
      <c r="M984" s="3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9" t="n"/>
      <c r="X984" s="61" t="n"/>
      <c r="Y984" s="59" t="n"/>
      <c r="Z984" s="59" t="n"/>
      <c r="AA984" s="59" t="n"/>
      <c r="AB984" s="59" t="n"/>
      <c r="AC984" s="59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9" t="n"/>
      <c r="F985" s="59" t="n"/>
      <c r="G985" s="60" t="n"/>
      <c r="H985" s="47" t="n"/>
      <c r="I985" s="47" t="n"/>
      <c r="J985" s="59" t="n"/>
      <c r="K985" s="59" t="n"/>
      <c r="L985" s="59" t="n"/>
      <c r="M985" s="3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9" t="n"/>
      <c r="X985" s="61" t="n"/>
      <c r="Y985" s="59" t="n"/>
      <c r="Z985" s="59" t="n"/>
      <c r="AA985" s="59" t="n"/>
      <c r="AB985" s="59" t="n"/>
      <c r="AC985" s="59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9" t="n"/>
      <c r="F986" s="59" t="n"/>
      <c r="G986" s="60" t="n"/>
      <c r="H986" s="47" t="n"/>
      <c r="I986" s="47" t="n"/>
      <c r="J986" s="59" t="n"/>
      <c r="K986" s="59" t="n"/>
      <c r="L986" s="59" t="n"/>
      <c r="M986" s="3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9" t="n"/>
      <c r="X986" s="61" t="n"/>
      <c r="Y986" s="59" t="n"/>
      <c r="Z986" s="59" t="n"/>
      <c r="AA986" s="59" t="n"/>
      <c r="AB986" s="59" t="n"/>
      <c r="AC986" s="59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9" t="n"/>
      <c r="F987" s="59" t="n"/>
      <c r="G987" s="60" t="n"/>
      <c r="H987" s="47" t="n"/>
      <c r="I987" s="47" t="n"/>
      <c r="J987" s="59" t="n"/>
      <c r="K987" s="59" t="n"/>
      <c r="L987" s="59" t="n"/>
      <c r="M987" s="3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9" t="n"/>
      <c r="X987" s="61" t="n"/>
      <c r="Y987" s="59" t="n"/>
      <c r="Z987" s="59" t="n"/>
      <c r="AA987" s="59" t="n"/>
      <c r="AB987" s="59" t="n"/>
      <c r="AC987" s="59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9" t="n"/>
      <c r="F988" s="59" t="n"/>
      <c r="G988" s="60" t="n"/>
      <c r="H988" s="47" t="n"/>
      <c r="I988" s="47" t="n"/>
      <c r="J988" s="59" t="n"/>
      <c r="K988" s="59" t="n"/>
      <c r="L988" s="59" t="n"/>
      <c r="M988" s="3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9" t="n"/>
      <c r="X988" s="61" t="n"/>
      <c r="Y988" s="59" t="n"/>
      <c r="Z988" s="59" t="n"/>
      <c r="AA988" s="59" t="n"/>
      <c r="AB988" s="59" t="n"/>
      <c r="AC988" s="59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9" t="n"/>
      <c r="F989" s="59" t="n"/>
      <c r="G989" s="60" t="n"/>
      <c r="H989" s="47" t="n"/>
      <c r="I989" s="47" t="n"/>
      <c r="J989" s="59" t="n"/>
      <c r="K989" s="59" t="n"/>
      <c r="L989" s="59" t="n"/>
      <c r="M989" s="3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9" t="n"/>
      <c r="X989" s="61" t="n"/>
      <c r="Y989" s="59" t="n"/>
      <c r="Z989" s="59" t="n"/>
      <c r="AA989" s="59" t="n"/>
      <c r="AB989" s="59" t="n"/>
      <c r="AC989" s="59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  <row r="990">
      <c r="A990" s="47" t="n"/>
      <c r="B990" s="47" t="n"/>
      <c r="C990" s="47" t="n"/>
      <c r="D990" s="47" t="n"/>
      <c r="E990" s="59" t="n"/>
      <c r="F990" s="59" t="n"/>
      <c r="G990" s="60" t="n"/>
      <c r="H990" s="47" t="n"/>
      <c r="I990" s="47" t="n"/>
      <c r="J990" s="59" t="n"/>
      <c r="K990" s="59" t="n"/>
      <c r="L990" s="59" t="n"/>
      <c r="M990" s="3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59" t="n"/>
      <c r="X990" s="61" t="n"/>
      <c r="Y990" s="59" t="n"/>
      <c r="Z990" s="59" t="n"/>
      <c r="AA990" s="59" t="n"/>
      <c r="AB990" s="59" t="n"/>
      <c r="AC990" s="59" t="n"/>
      <c r="AD990" s="47" t="n"/>
      <c r="AE990" s="47" t="n"/>
      <c r="AF990" s="47" t="n"/>
      <c r="AG990" s="47" t="n"/>
      <c r="AH990" s="47" t="n"/>
      <c r="AI990" s="47" t="n"/>
      <c r="AJ990" s="47" t="n"/>
      <c r="AK990" s="47" t="n"/>
      <c r="AL990" s="47" t="n"/>
      <c r="AM990" s="47" t="n"/>
      <c r="AN990" s="47" t="n"/>
      <c r="AO990" s="47" t="n"/>
      <c r="AP990" s="47" t="n"/>
    </row>
    <row r="991">
      <c r="A991" s="47" t="n"/>
      <c r="B991" s="47" t="n"/>
      <c r="C991" s="47" t="n"/>
      <c r="D991" s="47" t="n"/>
      <c r="E991" s="59" t="n"/>
      <c r="F991" s="59" t="n"/>
      <c r="G991" s="60" t="n"/>
      <c r="H991" s="47" t="n"/>
      <c r="I991" s="47" t="n"/>
      <c r="J991" s="59" t="n"/>
      <c r="K991" s="59" t="n"/>
      <c r="L991" s="59" t="n"/>
      <c r="M991" s="3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59" t="n"/>
      <c r="X991" s="61" t="n"/>
      <c r="Y991" s="59" t="n"/>
      <c r="Z991" s="59" t="n"/>
      <c r="AA991" s="59" t="n"/>
      <c r="AB991" s="59" t="n"/>
      <c r="AC991" s="59" t="n"/>
      <c r="AD991" s="47" t="n"/>
      <c r="AE991" s="47" t="n"/>
      <c r="AF991" s="47" t="n"/>
      <c r="AG991" s="47" t="n"/>
      <c r="AH991" s="47" t="n"/>
      <c r="AI991" s="47" t="n"/>
      <c r="AJ991" s="47" t="n"/>
      <c r="AK991" s="47" t="n"/>
      <c r="AL991" s="47" t="n"/>
      <c r="AM991" s="47" t="n"/>
      <c r="AN991" s="47" t="n"/>
      <c r="AO991" s="47" t="n"/>
      <c r="AP991" s="47" t="n"/>
    </row>
    <row r="992">
      <c r="A992" s="47" t="n"/>
      <c r="B992" s="47" t="n"/>
      <c r="C992" s="47" t="n"/>
      <c r="D992" s="47" t="n"/>
      <c r="E992" s="59" t="n"/>
      <c r="F992" s="59" t="n"/>
      <c r="G992" s="60" t="n"/>
      <c r="H992" s="47" t="n"/>
      <c r="I992" s="47" t="n"/>
      <c r="J992" s="59" t="n"/>
      <c r="K992" s="59" t="n"/>
      <c r="L992" s="59" t="n"/>
      <c r="M992" s="3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59" t="n"/>
      <c r="X992" s="61" t="n"/>
      <c r="Y992" s="59" t="n"/>
      <c r="Z992" s="59" t="n"/>
      <c r="AA992" s="59" t="n"/>
      <c r="AB992" s="59" t="n"/>
      <c r="AC992" s="59" t="n"/>
      <c r="AD992" s="47" t="n"/>
      <c r="AE992" s="47" t="n"/>
      <c r="AF992" s="47" t="n"/>
      <c r="AG992" s="47" t="n"/>
      <c r="AH992" s="47" t="n"/>
      <c r="AI992" s="47" t="n"/>
      <c r="AJ992" s="47" t="n"/>
      <c r="AK992" s="47" t="n"/>
      <c r="AL992" s="47" t="n"/>
      <c r="AM992" s="47" t="n"/>
      <c r="AN992" s="47" t="n"/>
      <c r="AO992" s="47" t="n"/>
      <c r="AP992" s="47" t="n"/>
    </row>
    <row r="993">
      <c r="A993" s="47" t="n"/>
      <c r="B993" s="47" t="n"/>
      <c r="C993" s="47" t="n"/>
      <c r="D993" s="47" t="n"/>
      <c r="E993" s="59" t="n"/>
      <c r="F993" s="59" t="n"/>
      <c r="G993" s="60" t="n"/>
      <c r="H993" s="47" t="n"/>
      <c r="I993" s="47" t="n"/>
      <c r="J993" s="59" t="n"/>
      <c r="K993" s="59" t="n"/>
      <c r="L993" s="59" t="n"/>
      <c r="M993" s="3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59" t="n"/>
      <c r="X993" s="61" t="n"/>
      <c r="Y993" s="59" t="n"/>
      <c r="Z993" s="59" t="n"/>
      <c r="AA993" s="59" t="n"/>
      <c r="AB993" s="59" t="n"/>
      <c r="AC993" s="59" t="n"/>
      <c r="AD993" s="47" t="n"/>
      <c r="AE993" s="47" t="n"/>
      <c r="AF993" s="47" t="n"/>
      <c r="AG993" s="47" t="n"/>
      <c r="AH993" s="47" t="n"/>
      <c r="AI993" s="47" t="n"/>
      <c r="AJ993" s="47" t="n"/>
      <c r="AK993" s="47" t="n"/>
      <c r="AL993" s="47" t="n"/>
      <c r="AM993" s="47" t="n"/>
      <c r="AN993" s="47" t="n"/>
      <c r="AO993" s="47" t="n"/>
      <c r="AP993" s="47" t="n"/>
    </row>
    <row r="994">
      <c r="A994" s="47" t="n"/>
      <c r="B994" s="47" t="n"/>
      <c r="C994" s="47" t="n"/>
      <c r="D994" s="47" t="n"/>
      <c r="E994" s="59" t="n"/>
      <c r="F994" s="59" t="n"/>
      <c r="G994" s="60" t="n"/>
      <c r="H994" s="47" t="n"/>
      <c r="I994" s="47" t="n"/>
      <c r="J994" s="59" t="n"/>
      <c r="K994" s="59" t="n"/>
      <c r="L994" s="59" t="n"/>
      <c r="M994" s="3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59" t="n"/>
      <c r="X994" s="61" t="n"/>
      <c r="Y994" s="59" t="n"/>
      <c r="Z994" s="59" t="n"/>
      <c r="AA994" s="59" t="n"/>
      <c r="AB994" s="59" t="n"/>
      <c r="AC994" s="59" t="n"/>
      <c r="AD994" s="47" t="n"/>
      <c r="AE994" s="47" t="n"/>
      <c r="AF994" s="47" t="n"/>
      <c r="AG994" s="47" t="n"/>
      <c r="AH994" s="47" t="n"/>
      <c r="AI994" s="47" t="n"/>
      <c r="AJ994" s="47" t="n"/>
      <c r="AK994" s="47" t="n"/>
      <c r="AL994" s="47" t="n"/>
      <c r="AM994" s="47" t="n"/>
      <c r="AN994" s="47" t="n"/>
      <c r="AO994" s="47" t="n"/>
      <c r="AP994" s="47" t="n"/>
    </row>
    <row r="995">
      <c r="A995" s="47" t="n"/>
      <c r="B995" s="47" t="n"/>
      <c r="C995" s="47" t="n"/>
      <c r="D995" s="47" t="n"/>
      <c r="E995" s="59" t="n"/>
      <c r="F995" s="59" t="n"/>
      <c r="G995" s="60" t="n"/>
      <c r="H995" s="47" t="n"/>
      <c r="I995" s="47" t="n"/>
      <c r="J995" s="59" t="n"/>
      <c r="K995" s="59" t="n"/>
      <c r="L995" s="59" t="n"/>
      <c r="M995" s="3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59" t="n"/>
      <c r="X995" s="61" t="n"/>
      <c r="Y995" s="59" t="n"/>
      <c r="Z995" s="59" t="n"/>
      <c r="AA995" s="59" t="n"/>
      <c r="AB995" s="59" t="n"/>
      <c r="AC995" s="59" t="n"/>
      <c r="AD995" s="47" t="n"/>
      <c r="AE995" s="47" t="n"/>
      <c r="AF995" s="47" t="n"/>
      <c r="AG995" s="47" t="n"/>
      <c r="AH995" s="47" t="n"/>
      <c r="AI995" s="47" t="n"/>
      <c r="AJ995" s="47" t="n"/>
      <c r="AK995" s="47" t="n"/>
      <c r="AL995" s="47" t="n"/>
      <c r="AM995" s="47" t="n"/>
      <c r="AN995" s="47" t="n"/>
      <c r="AO995" s="47" t="n"/>
      <c r="AP995" s="47" t="n"/>
    </row>
    <row r="996">
      <c r="A996" s="47" t="n"/>
      <c r="B996" s="47" t="n"/>
      <c r="C996" s="47" t="n"/>
      <c r="D996" s="47" t="n"/>
      <c r="E996" s="59" t="n"/>
      <c r="F996" s="59" t="n"/>
      <c r="G996" s="60" t="n"/>
      <c r="H996" s="47" t="n"/>
      <c r="I996" s="47" t="n"/>
      <c r="J996" s="59" t="n"/>
      <c r="K996" s="59" t="n"/>
      <c r="L996" s="59" t="n"/>
      <c r="M996" s="3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59" t="n"/>
      <c r="X996" s="61" t="n"/>
      <c r="Y996" s="59" t="n"/>
      <c r="Z996" s="59" t="n"/>
      <c r="AA996" s="59" t="n"/>
      <c r="AB996" s="59" t="n"/>
      <c r="AC996" s="59" t="n"/>
      <c r="AD996" s="47" t="n"/>
      <c r="AE996" s="47" t="n"/>
      <c r="AF996" s="47" t="n"/>
      <c r="AG996" s="47" t="n"/>
      <c r="AH996" s="47" t="n"/>
      <c r="AI996" s="47" t="n"/>
      <c r="AJ996" s="47" t="n"/>
      <c r="AK996" s="47" t="n"/>
      <c r="AL996" s="47" t="n"/>
      <c r="AM996" s="47" t="n"/>
      <c r="AN996" s="47" t="n"/>
      <c r="AO996" s="47" t="n"/>
      <c r="AP996" s="47" t="n"/>
    </row>
    <row r="997">
      <c r="A997" s="47" t="n"/>
      <c r="B997" s="47" t="n"/>
      <c r="C997" s="47" t="n"/>
      <c r="D997" s="47" t="n"/>
      <c r="E997" s="59" t="n"/>
      <c r="F997" s="59" t="n"/>
      <c r="G997" s="60" t="n"/>
      <c r="H997" s="47" t="n"/>
      <c r="I997" s="47" t="n"/>
      <c r="J997" s="59" t="n"/>
      <c r="K997" s="59" t="n"/>
      <c r="L997" s="59" t="n"/>
      <c r="M997" s="3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59" t="n"/>
      <c r="X997" s="61" t="n"/>
      <c r="Y997" s="59" t="n"/>
      <c r="Z997" s="59" t="n"/>
      <c r="AA997" s="59" t="n"/>
      <c r="AB997" s="59" t="n"/>
      <c r="AC997" s="59" t="n"/>
      <c r="AD997" s="47" t="n"/>
      <c r="AE997" s="47" t="n"/>
      <c r="AF997" s="47" t="n"/>
      <c r="AG997" s="47" t="n"/>
      <c r="AH997" s="47" t="n"/>
      <c r="AI997" s="47" t="n"/>
      <c r="AJ997" s="47" t="n"/>
      <c r="AK997" s="47" t="n"/>
      <c r="AL997" s="47" t="n"/>
      <c r="AM997" s="47" t="n"/>
      <c r="AN997" s="47" t="n"/>
      <c r="AO997" s="47" t="n"/>
      <c r="AP997" s="47" t="n"/>
    </row>
    <row r="998">
      <c r="A998" s="47" t="n"/>
      <c r="B998" s="47" t="n"/>
      <c r="C998" s="47" t="n"/>
      <c r="D998" s="47" t="n"/>
      <c r="E998" s="59" t="n"/>
      <c r="F998" s="59" t="n"/>
      <c r="G998" s="60" t="n"/>
      <c r="H998" s="47" t="n"/>
      <c r="I998" s="47" t="n"/>
      <c r="J998" s="59" t="n"/>
      <c r="K998" s="59" t="n"/>
      <c r="L998" s="59" t="n"/>
      <c r="M998" s="3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59" t="n"/>
      <c r="X998" s="61" t="n"/>
      <c r="Y998" s="59" t="n"/>
      <c r="Z998" s="59" t="n"/>
      <c r="AA998" s="59" t="n"/>
      <c r="AB998" s="59" t="n"/>
      <c r="AC998" s="59" t="n"/>
      <c r="AD998" s="47" t="n"/>
      <c r="AE998" s="47" t="n"/>
      <c r="AF998" s="47" t="n"/>
      <c r="AG998" s="47" t="n"/>
      <c r="AH998" s="47" t="n"/>
      <c r="AI998" s="47" t="n"/>
      <c r="AJ998" s="47" t="n"/>
      <c r="AK998" s="47" t="n"/>
      <c r="AL998" s="47" t="n"/>
      <c r="AM998" s="47" t="n"/>
      <c r="AN998" s="47" t="n"/>
      <c r="AO998" s="47" t="n"/>
      <c r="AP998" s="47" t="n"/>
    </row>
    <row r="999">
      <c r="A999" s="47" t="n"/>
      <c r="B999" s="47" t="n"/>
      <c r="C999" s="47" t="n"/>
      <c r="D999" s="47" t="n"/>
      <c r="E999" s="59" t="n"/>
      <c r="F999" s="59" t="n"/>
      <c r="G999" s="60" t="n"/>
      <c r="H999" s="47" t="n"/>
      <c r="I999" s="47" t="n"/>
      <c r="J999" s="59" t="n"/>
      <c r="K999" s="59" t="n"/>
      <c r="L999" s="59" t="n"/>
      <c r="M999" s="3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59" t="n"/>
      <c r="X999" s="61" t="n"/>
      <c r="Y999" s="59" t="n"/>
      <c r="Z999" s="59" t="n"/>
      <c r="AA999" s="59" t="n"/>
      <c r="AB999" s="59" t="n"/>
      <c r="AC999" s="59" t="n"/>
      <c r="AD999" s="47" t="n"/>
      <c r="AE999" s="47" t="n"/>
      <c r="AF999" s="47" t="n"/>
      <c r="AG999" s="47" t="n"/>
      <c r="AH999" s="47" t="n"/>
      <c r="AI999" s="47" t="n"/>
      <c r="AJ999" s="47" t="n"/>
      <c r="AK999" s="47" t="n"/>
      <c r="AL999" s="47" t="n"/>
      <c r="AM999" s="47" t="n"/>
      <c r="AN999" s="47" t="n"/>
      <c r="AO999" s="47" t="n"/>
      <c r="AP999" s="47" t="n"/>
    </row>
    <row r="1000">
      <c r="A1000" s="47" t="n"/>
      <c r="B1000" s="47" t="n"/>
      <c r="C1000" s="47" t="n"/>
      <c r="D1000" s="47" t="n"/>
      <c r="E1000" s="59" t="n"/>
      <c r="F1000" s="59" t="n"/>
      <c r="G1000" s="60" t="n"/>
      <c r="H1000" s="47" t="n"/>
      <c r="I1000" s="47" t="n"/>
      <c r="J1000" s="59" t="n"/>
      <c r="K1000" s="59" t="n"/>
      <c r="L1000" s="59" t="n"/>
      <c r="M1000" s="3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59" t="n"/>
      <c r="X1000" s="61" t="n"/>
      <c r="Y1000" s="59" t="n"/>
      <c r="Z1000" s="59" t="n"/>
      <c r="AA1000" s="59" t="n"/>
      <c r="AB1000" s="59" t="n"/>
      <c r="AC1000" s="59" t="n"/>
      <c r="AD1000" s="47" t="n"/>
      <c r="AE1000" s="47" t="n"/>
      <c r="AF1000" s="47" t="n"/>
      <c r="AG1000" s="47" t="n"/>
      <c r="AH1000" s="47" t="n"/>
      <c r="AI1000" s="47" t="n"/>
      <c r="AJ1000" s="47" t="n"/>
      <c r="AK1000" s="47" t="n"/>
      <c r="AL1000" s="47" t="n"/>
      <c r="AM1000" s="47" t="n"/>
      <c r="AN1000" s="47" t="n"/>
      <c r="AO1000" s="47" t="n"/>
      <c r="AP1000" s="47" t="n"/>
    </row>
    <row r="1001">
      <c r="A1001" s="47" t="n"/>
      <c r="B1001" s="47" t="n"/>
      <c r="C1001" s="47" t="n"/>
      <c r="D1001" s="47" t="n"/>
      <c r="E1001" s="59" t="n"/>
      <c r="F1001" s="59" t="n"/>
      <c r="G1001" s="60" t="n"/>
      <c r="H1001" s="47" t="n"/>
      <c r="I1001" s="47" t="n"/>
      <c r="J1001" s="59" t="n"/>
      <c r="K1001" s="59" t="n"/>
      <c r="L1001" s="59" t="n"/>
      <c r="M1001" s="3" t="n"/>
      <c r="N1001" s="47" t="n"/>
      <c r="O1001" s="47" t="n"/>
      <c r="P1001" s="47" t="n"/>
      <c r="Q1001" s="47" t="n"/>
      <c r="R1001" s="47" t="n"/>
      <c r="S1001" s="47" t="n"/>
      <c r="T1001" s="47" t="n"/>
      <c r="U1001" s="47" t="n"/>
      <c r="V1001" s="47" t="n"/>
      <c r="W1001" s="59" t="n"/>
      <c r="X1001" s="61" t="n"/>
      <c r="Y1001" s="59" t="n"/>
      <c r="Z1001" s="59" t="n"/>
      <c r="AA1001" s="59" t="n"/>
      <c r="AB1001" s="59" t="n"/>
      <c r="AC1001" s="59" t="n"/>
      <c r="AD1001" s="47" t="n"/>
      <c r="AE1001" s="47" t="n"/>
      <c r="AF1001" s="47" t="n"/>
      <c r="AG1001" s="47" t="n"/>
      <c r="AH1001" s="47" t="n"/>
      <c r="AI1001" s="47" t="n"/>
      <c r="AJ1001" s="47" t="n"/>
      <c r="AK1001" s="47" t="n"/>
      <c r="AL1001" s="47" t="n"/>
      <c r="AM1001" s="47" t="n"/>
      <c r="AN1001" s="47" t="n"/>
      <c r="AO1001" s="47" t="n"/>
      <c r="AP1001" s="47" t="n"/>
    </row>
    <row r="1002">
      <c r="A1002" s="47" t="n"/>
      <c r="B1002" s="47" t="n"/>
      <c r="C1002" s="47" t="n"/>
      <c r="D1002" s="47" t="n"/>
      <c r="E1002" s="59" t="n"/>
      <c r="F1002" s="59" t="n"/>
      <c r="G1002" s="60" t="n"/>
      <c r="H1002" s="47" t="n"/>
      <c r="I1002" s="47" t="n"/>
      <c r="J1002" s="59" t="n"/>
      <c r="K1002" s="59" t="n"/>
      <c r="L1002" s="59" t="n"/>
      <c r="M1002" s="3" t="n"/>
      <c r="N1002" s="47" t="n"/>
      <c r="O1002" s="47" t="n"/>
      <c r="P1002" s="47" t="n"/>
      <c r="Q1002" s="47" t="n"/>
      <c r="R1002" s="47" t="n"/>
      <c r="S1002" s="47" t="n"/>
      <c r="T1002" s="47" t="n"/>
      <c r="U1002" s="47" t="n"/>
      <c r="V1002" s="47" t="n"/>
      <c r="W1002" s="59" t="n"/>
      <c r="X1002" s="61" t="n"/>
      <c r="Y1002" s="59" t="n"/>
      <c r="Z1002" s="59" t="n"/>
      <c r="AA1002" s="59" t="n"/>
      <c r="AB1002" s="59" t="n"/>
      <c r="AC1002" s="59" t="n"/>
      <c r="AD1002" s="47" t="n"/>
      <c r="AE1002" s="47" t="n"/>
      <c r="AF1002" s="47" t="n"/>
      <c r="AG1002" s="47" t="n"/>
      <c r="AH1002" s="47" t="n"/>
      <c r="AI1002" s="47" t="n"/>
      <c r="AJ1002" s="47" t="n"/>
      <c r="AK1002" s="47" t="n"/>
      <c r="AL1002" s="47" t="n"/>
      <c r="AM1002" s="47" t="n"/>
      <c r="AN1002" s="47" t="n"/>
      <c r="AO1002" s="47" t="n"/>
      <c r="AP1002" s="47" t="n"/>
    </row>
    <row r="1003">
      <c r="A1003" s="47" t="n"/>
      <c r="B1003" s="47" t="n"/>
      <c r="C1003" s="47" t="n"/>
      <c r="D1003" s="47" t="n"/>
      <c r="E1003" s="59" t="n"/>
      <c r="F1003" s="59" t="n"/>
      <c r="G1003" s="60" t="n"/>
      <c r="H1003" s="47" t="n"/>
      <c r="I1003" s="47" t="n"/>
      <c r="J1003" s="59" t="n"/>
      <c r="K1003" s="59" t="n"/>
      <c r="L1003" s="59" t="n"/>
      <c r="M1003" s="3" t="n"/>
      <c r="N1003" s="47" t="n"/>
      <c r="O1003" s="47" t="n"/>
      <c r="P1003" s="47" t="n"/>
      <c r="Q1003" s="47" t="n"/>
      <c r="R1003" s="47" t="n"/>
      <c r="S1003" s="47" t="n"/>
      <c r="T1003" s="47" t="n"/>
      <c r="U1003" s="47" t="n"/>
      <c r="V1003" s="47" t="n"/>
      <c r="W1003" s="59" t="n"/>
      <c r="X1003" s="61" t="n"/>
      <c r="Y1003" s="59" t="n"/>
      <c r="Z1003" s="59" t="n"/>
      <c r="AA1003" s="59" t="n"/>
      <c r="AB1003" s="59" t="n"/>
      <c r="AC1003" s="59" t="n"/>
      <c r="AD1003" s="47" t="n"/>
      <c r="AE1003" s="47" t="n"/>
      <c r="AF1003" s="47" t="n"/>
      <c r="AG1003" s="47" t="n"/>
      <c r="AH1003" s="47" t="n"/>
      <c r="AI1003" s="47" t="n"/>
      <c r="AJ1003" s="47" t="n"/>
      <c r="AK1003" s="47" t="n"/>
      <c r="AL1003" s="47" t="n"/>
      <c r="AM1003" s="47" t="n"/>
      <c r="AN1003" s="47" t="n"/>
      <c r="AO1003" s="47" t="n"/>
      <c r="AP1003" s="47" t="n"/>
    </row>
    <row r="1004">
      <c r="A1004" s="47" t="n"/>
      <c r="B1004" s="47" t="n"/>
      <c r="C1004" s="47" t="n"/>
      <c r="D1004" s="47" t="n"/>
      <c r="E1004" s="59" t="n"/>
      <c r="F1004" s="59" t="n"/>
      <c r="G1004" s="60" t="n"/>
      <c r="H1004" s="47" t="n"/>
      <c r="I1004" s="47" t="n"/>
      <c r="J1004" s="59" t="n"/>
      <c r="K1004" s="59" t="n"/>
      <c r="L1004" s="59" t="n"/>
      <c r="M1004" s="3" t="n"/>
      <c r="N1004" s="47" t="n"/>
      <c r="O1004" s="47" t="n"/>
      <c r="P1004" s="47" t="n"/>
      <c r="Q1004" s="47" t="n"/>
      <c r="R1004" s="47" t="n"/>
      <c r="S1004" s="47" t="n"/>
      <c r="T1004" s="47" t="n"/>
      <c r="U1004" s="47" t="n"/>
      <c r="V1004" s="47" t="n"/>
      <c r="W1004" s="59" t="n"/>
      <c r="X1004" s="61" t="n"/>
      <c r="Y1004" s="59" t="n"/>
      <c r="Z1004" s="59" t="n"/>
      <c r="AA1004" s="59" t="n"/>
      <c r="AB1004" s="59" t="n"/>
      <c r="AC1004" s="59" t="n"/>
      <c r="AD1004" s="47" t="n"/>
      <c r="AE1004" s="47" t="n"/>
      <c r="AF1004" s="47" t="n"/>
      <c r="AG1004" s="47" t="n"/>
      <c r="AH1004" s="47" t="n"/>
      <c r="AI1004" s="47" t="n"/>
      <c r="AJ1004" s="47" t="n"/>
      <c r="AK1004" s="47" t="n"/>
      <c r="AL1004" s="47" t="n"/>
      <c r="AM1004" s="47" t="n"/>
      <c r="AN1004" s="47" t="n"/>
      <c r="AO1004" s="47" t="n"/>
      <c r="AP1004" s="47" t="n"/>
    </row>
    <row r="1005">
      <c r="A1005" s="47" t="n"/>
      <c r="B1005" s="47" t="n"/>
      <c r="C1005" s="47" t="n"/>
      <c r="D1005" s="47" t="n"/>
      <c r="E1005" s="59" t="n"/>
      <c r="F1005" s="59" t="n"/>
      <c r="G1005" s="60" t="n"/>
      <c r="H1005" s="47" t="n"/>
      <c r="I1005" s="47" t="n"/>
      <c r="J1005" s="59" t="n"/>
      <c r="K1005" s="59" t="n"/>
      <c r="L1005" s="59" t="n"/>
      <c r="M1005" s="3" t="n"/>
      <c r="N1005" s="47" t="n"/>
      <c r="O1005" s="47" t="n"/>
      <c r="P1005" s="47" t="n"/>
      <c r="Q1005" s="47" t="n"/>
      <c r="R1005" s="47" t="n"/>
      <c r="S1005" s="47" t="n"/>
      <c r="T1005" s="47" t="n"/>
      <c r="U1005" s="47" t="n"/>
      <c r="V1005" s="47" t="n"/>
      <c r="W1005" s="59" t="n"/>
      <c r="X1005" s="61" t="n"/>
      <c r="Y1005" s="59" t="n"/>
      <c r="Z1005" s="59" t="n"/>
      <c r="AA1005" s="59" t="n"/>
      <c r="AB1005" s="59" t="n"/>
      <c r="AC1005" s="59" t="n"/>
      <c r="AD1005" s="47" t="n"/>
      <c r="AE1005" s="47" t="n"/>
      <c r="AF1005" s="47" t="n"/>
      <c r="AG1005" s="47" t="n"/>
      <c r="AH1005" s="47" t="n"/>
      <c r="AI1005" s="47" t="n"/>
      <c r="AJ1005" s="47" t="n"/>
      <c r="AK1005" s="47" t="n"/>
      <c r="AL1005" s="47" t="n"/>
      <c r="AM1005" s="47" t="n"/>
      <c r="AN1005" s="47" t="n"/>
      <c r="AO1005" s="47" t="n"/>
      <c r="AP1005" s="47" t="n"/>
    </row>
    <row r="1006">
      <c r="A1006" s="47" t="n"/>
      <c r="B1006" s="47" t="n"/>
      <c r="C1006" s="47" t="n"/>
      <c r="D1006" s="47" t="n"/>
      <c r="E1006" s="59" t="n"/>
      <c r="F1006" s="59" t="n"/>
      <c r="G1006" s="60" t="n"/>
      <c r="H1006" s="47" t="n"/>
      <c r="I1006" s="47" t="n"/>
      <c r="J1006" s="59" t="n"/>
      <c r="K1006" s="59" t="n"/>
      <c r="L1006" s="59" t="n"/>
      <c r="M1006" s="3" t="n"/>
      <c r="N1006" s="47" t="n"/>
      <c r="O1006" s="47" t="n"/>
      <c r="P1006" s="47" t="n"/>
      <c r="Q1006" s="47" t="n"/>
      <c r="R1006" s="47" t="n"/>
      <c r="S1006" s="47" t="n"/>
      <c r="T1006" s="47" t="n"/>
      <c r="U1006" s="47" t="n"/>
      <c r="V1006" s="47" t="n"/>
      <c r="W1006" s="59" t="n"/>
      <c r="X1006" s="61" t="n"/>
      <c r="Y1006" s="59" t="n"/>
      <c r="Z1006" s="59" t="n"/>
      <c r="AA1006" s="59" t="n"/>
      <c r="AB1006" s="59" t="n"/>
      <c r="AC1006" s="59" t="n"/>
      <c r="AD1006" s="47" t="n"/>
      <c r="AE1006" s="47" t="n"/>
      <c r="AF1006" s="47" t="n"/>
      <c r="AG1006" s="47" t="n"/>
      <c r="AH1006" s="47" t="n"/>
      <c r="AI1006" s="47" t="n"/>
      <c r="AJ1006" s="47" t="n"/>
      <c r="AK1006" s="47" t="n"/>
      <c r="AL1006" s="47" t="n"/>
      <c r="AM1006" s="47" t="n"/>
      <c r="AN1006" s="47" t="n"/>
      <c r="AO1006" s="47" t="n"/>
      <c r="AP1006" s="47" t="n"/>
    </row>
    <row r="1007">
      <c r="A1007" s="47" t="n"/>
      <c r="B1007" s="47" t="n"/>
      <c r="C1007" s="47" t="n"/>
      <c r="D1007" s="47" t="n"/>
      <c r="E1007" s="59" t="n"/>
      <c r="F1007" s="59" t="n"/>
      <c r="G1007" s="60" t="n"/>
      <c r="H1007" s="47" t="n"/>
      <c r="I1007" s="47" t="n"/>
      <c r="J1007" s="59" t="n"/>
      <c r="K1007" s="59" t="n"/>
      <c r="L1007" s="59" t="n"/>
      <c r="M1007" s="3" t="n"/>
      <c r="N1007" s="47" t="n"/>
      <c r="O1007" s="47" t="n"/>
      <c r="P1007" s="47" t="n"/>
      <c r="Q1007" s="47" t="n"/>
      <c r="R1007" s="47" t="n"/>
      <c r="S1007" s="47" t="n"/>
      <c r="T1007" s="47" t="n"/>
      <c r="U1007" s="47" t="n"/>
      <c r="V1007" s="47" t="n"/>
      <c r="W1007" s="59" t="n"/>
      <c r="X1007" s="61" t="n"/>
      <c r="Y1007" s="59" t="n"/>
      <c r="Z1007" s="59" t="n"/>
      <c r="AA1007" s="59" t="n"/>
      <c r="AB1007" s="59" t="n"/>
      <c r="AC1007" s="59" t="n"/>
      <c r="AD1007" s="47" t="n"/>
      <c r="AE1007" s="47" t="n"/>
      <c r="AF1007" s="47" t="n"/>
      <c r="AG1007" s="47" t="n"/>
      <c r="AH1007" s="47" t="n"/>
      <c r="AI1007" s="47" t="n"/>
      <c r="AJ1007" s="47" t="n"/>
      <c r="AK1007" s="47" t="n"/>
      <c r="AL1007" s="47" t="n"/>
      <c r="AM1007" s="47" t="n"/>
      <c r="AN1007" s="47" t="n"/>
      <c r="AO1007" s="47" t="n"/>
      <c r="AP1007" s="47" t="n"/>
    </row>
    <row r="1008">
      <c r="A1008" s="47" t="n"/>
      <c r="B1008" s="47" t="n"/>
      <c r="C1008" s="47" t="n"/>
      <c r="D1008" s="47" t="n"/>
      <c r="E1008" s="59" t="n"/>
      <c r="F1008" s="59" t="n"/>
      <c r="G1008" s="60" t="n"/>
      <c r="H1008" s="47" t="n"/>
      <c r="I1008" s="47" t="n"/>
      <c r="J1008" s="59" t="n"/>
      <c r="K1008" s="59" t="n"/>
      <c r="L1008" s="59" t="n"/>
      <c r="M1008" s="3" t="n"/>
      <c r="N1008" s="47" t="n"/>
      <c r="O1008" s="47" t="n"/>
      <c r="P1008" s="47" t="n"/>
      <c r="Q1008" s="47" t="n"/>
      <c r="R1008" s="47" t="n"/>
      <c r="S1008" s="47" t="n"/>
      <c r="T1008" s="47" t="n"/>
      <c r="U1008" s="47" t="n"/>
      <c r="V1008" s="47" t="n"/>
      <c r="W1008" s="59" t="n"/>
      <c r="X1008" s="61" t="n"/>
      <c r="Y1008" s="59" t="n"/>
      <c r="Z1008" s="59" t="n"/>
      <c r="AA1008" s="59" t="n"/>
      <c r="AB1008" s="59" t="n"/>
      <c r="AC1008" s="59" t="n"/>
      <c r="AD1008" s="47" t="n"/>
      <c r="AE1008" s="47" t="n"/>
      <c r="AF1008" s="47" t="n"/>
      <c r="AG1008" s="47" t="n"/>
      <c r="AH1008" s="47" t="n"/>
      <c r="AI1008" s="47" t="n"/>
      <c r="AJ1008" s="47" t="n"/>
      <c r="AK1008" s="47" t="n"/>
      <c r="AL1008" s="47" t="n"/>
      <c r="AM1008" s="47" t="n"/>
      <c r="AN1008" s="47" t="n"/>
      <c r="AO1008" s="47" t="n"/>
      <c r="AP1008" s="47" t="n"/>
    </row>
    <row r="1009">
      <c r="A1009" s="47" t="n"/>
      <c r="B1009" s="47" t="n"/>
      <c r="C1009" s="47" t="n"/>
      <c r="D1009" s="47" t="n"/>
      <c r="E1009" s="59" t="n"/>
      <c r="F1009" s="59" t="n"/>
      <c r="G1009" s="60" t="n"/>
      <c r="H1009" s="47" t="n"/>
      <c r="I1009" s="47" t="n"/>
      <c r="J1009" s="59" t="n"/>
      <c r="K1009" s="59" t="n"/>
      <c r="L1009" s="59" t="n"/>
      <c r="M1009" s="3" t="n"/>
      <c r="N1009" s="47" t="n"/>
      <c r="O1009" s="47" t="n"/>
      <c r="P1009" s="47" t="n"/>
      <c r="Q1009" s="47" t="n"/>
      <c r="R1009" s="47" t="n"/>
      <c r="S1009" s="47" t="n"/>
      <c r="T1009" s="47" t="n"/>
      <c r="U1009" s="47" t="n"/>
      <c r="V1009" s="47" t="n"/>
      <c r="W1009" s="59" t="n"/>
      <c r="X1009" s="61" t="n"/>
      <c r="Y1009" s="59" t="n"/>
      <c r="Z1009" s="59" t="n"/>
      <c r="AA1009" s="59" t="n"/>
      <c r="AB1009" s="59" t="n"/>
      <c r="AC1009" s="59" t="n"/>
      <c r="AD1009" s="47" t="n"/>
      <c r="AE1009" s="47" t="n"/>
      <c r="AF1009" s="47" t="n"/>
      <c r="AG1009" s="47" t="n"/>
      <c r="AH1009" s="47" t="n"/>
      <c r="AI1009" s="47" t="n"/>
      <c r="AJ1009" s="47" t="n"/>
      <c r="AK1009" s="47" t="n"/>
      <c r="AL1009" s="47" t="n"/>
      <c r="AM1009" s="47" t="n"/>
      <c r="AN1009" s="47" t="n"/>
      <c r="AO1009" s="47" t="n"/>
      <c r="AP1009" s="47" t="n"/>
    </row>
    <row r="1010">
      <c r="A1010" s="47" t="n"/>
      <c r="B1010" s="47" t="n"/>
      <c r="C1010" s="47" t="n"/>
      <c r="D1010" s="47" t="n"/>
      <c r="E1010" s="59" t="n"/>
      <c r="F1010" s="59" t="n"/>
      <c r="G1010" s="60" t="n"/>
      <c r="H1010" s="47" t="n"/>
      <c r="I1010" s="47" t="n"/>
      <c r="J1010" s="59" t="n"/>
      <c r="K1010" s="59" t="n"/>
      <c r="L1010" s="59" t="n"/>
      <c r="M1010" s="3" t="n"/>
      <c r="N1010" s="47" t="n"/>
      <c r="O1010" s="47" t="n"/>
      <c r="P1010" s="47" t="n"/>
      <c r="Q1010" s="47" t="n"/>
      <c r="R1010" s="47" t="n"/>
      <c r="S1010" s="47" t="n"/>
      <c r="T1010" s="47" t="n"/>
      <c r="U1010" s="47" t="n"/>
      <c r="V1010" s="47" t="n"/>
      <c r="W1010" s="59" t="n"/>
      <c r="X1010" s="61" t="n"/>
      <c r="Y1010" s="59" t="n"/>
      <c r="Z1010" s="59" t="n"/>
      <c r="AA1010" s="59" t="n"/>
      <c r="AB1010" s="59" t="n"/>
      <c r="AC1010" s="59" t="n"/>
      <c r="AD1010" s="47" t="n"/>
      <c r="AE1010" s="47" t="n"/>
      <c r="AF1010" s="47" t="n"/>
      <c r="AG1010" s="47" t="n"/>
      <c r="AH1010" s="47" t="n"/>
      <c r="AI1010" s="47" t="n"/>
      <c r="AJ1010" s="47" t="n"/>
      <c r="AK1010" s="47" t="n"/>
      <c r="AL1010" s="47" t="n"/>
      <c r="AM1010" s="47" t="n"/>
      <c r="AN1010" s="47" t="n"/>
      <c r="AO1010" s="47" t="n"/>
      <c r="AP1010" s="47" t="n"/>
    </row>
    <row r="1011">
      <c r="A1011" s="47" t="n"/>
      <c r="B1011" s="47" t="n"/>
      <c r="C1011" s="47" t="n"/>
      <c r="D1011" s="47" t="n"/>
      <c r="E1011" s="59" t="n"/>
      <c r="F1011" s="59" t="n"/>
      <c r="G1011" s="60" t="n"/>
      <c r="H1011" s="47" t="n"/>
      <c r="I1011" s="47" t="n"/>
      <c r="J1011" s="59" t="n"/>
      <c r="K1011" s="59" t="n"/>
      <c r="L1011" s="59" t="n"/>
      <c r="M1011" s="3" t="n"/>
      <c r="N1011" s="47" t="n"/>
      <c r="O1011" s="47" t="n"/>
      <c r="P1011" s="47" t="n"/>
      <c r="Q1011" s="47" t="n"/>
      <c r="R1011" s="47" t="n"/>
      <c r="S1011" s="47" t="n"/>
      <c r="T1011" s="47" t="n"/>
      <c r="U1011" s="47" t="n"/>
      <c r="V1011" s="47" t="n"/>
      <c r="W1011" s="59" t="n"/>
      <c r="X1011" s="61" t="n"/>
      <c r="Y1011" s="59" t="n"/>
      <c r="Z1011" s="59" t="n"/>
      <c r="AA1011" s="59" t="n"/>
      <c r="AB1011" s="59" t="n"/>
      <c r="AC1011" s="59" t="n"/>
      <c r="AD1011" s="47" t="n"/>
      <c r="AE1011" s="47" t="n"/>
      <c r="AF1011" s="47" t="n"/>
      <c r="AG1011" s="47" t="n"/>
      <c r="AH1011" s="47" t="n"/>
      <c r="AI1011" s="47" t="n"/>
      <c r="AJ1011" s="47" t="n"/>
      <c r="AK1011" s="47" t="n"/>
      <c r="AL1011" s="47" t="n"/>
      <c r="AM1011" s="47" t="n"/>
      <c r="AN1011" s="47" t="n"/>
      <c r="AO1011" s="47" t="n"/>
      <c r="AP1011" s="47" t="n"/>
    </row>
    <row r="1012">
      <c r="A1012" s="47" t="n"/>
      <c r="B1012" s="47" t="n"/>
      <c r="C1012" s="47" t="n"/>
      <c r="D1012" s="47" t="n"/>
      <c r="E1012" s="59" t="n"/>
      <c r="F1012" s="59" t="n"/>
      <c r="G1012" s="60" t="n"/>
      <c r="H1012" s="47" t="n"/>
      <c r="I1012" s="47" t="n"/>
      <c r="J1012" s="59" t="n"/>
      <c r="K1012" s="59" t="n"/>
      <c r="L1012" s="59" t="n"/>
      <c r="M1012" s="3" t="n"/>
      <c r="N1012" s="47" t="n"/>
      <c r="O1012" s="47" t="n"/>
      <c r="P1012" s="47" t="n"/>
      <c r="Q1012" s="47" t="n"/>
      <c r="R1012" s="47" t="n"/>
      <c r="S1012" s="47" t="n"/>
      <c r="T1012" s="47" t="n"/>
      <c r="U1012" s="47" t="n"/>
      <c r="V1012" s="47" t="n"/>
      <c r="W1012" s="59" t="n"/>
      <c r="X1012" s="61" t="n"/>
      <c r="Y1012" s="59" t="n"/>
      <c r="Z1012" s="59" t="n"/>
      <c r="AA1012" s="59" t="n"/>
      <c r="AB1012" s="59" t="n"/>
      <c r="AC1012" s="59" t="n"/>
      <c r="AD1012" s="47" t="n"/>
      <c r="AE1012" s="47" t="n"/>
      <c r="AF1012" s="47" t="n"/>
      <c r="AG1012" s="47" t="n"/>
      <c r="AH1012" s="47" t="n"/>
      <c r="AI1012" s="47" t="n"/>
      <c r="AJ1012" s="47" t="n"/>
      <c r="AK1012" s="47" t="n"/>
      <c r="AL1012" s="47" t="n"/>
      <c r="AM1012" s="47" t="n"/>
      <c r="AN1012" s="47" t="n"/>
      <c r="AO1012" s="47" t="n"/>
      <c r="AP1012" s="47" t="n"/>
    </row>
    <row r="1013">
      <c r="A1013" s="47" t="n"/>
      <c r="B1013" s="47" t="n"/>
      <c r="C1013" s="47" t="n"/>
      <c r="D1013" s="47" t="n"/>
      <c r="E1013" s="59" t="n"/>
      <c r="F1013" s="59" t="n"/>
      <c r="G1013" s="60" t="n"/>
      <c r="H1013" s="47" t="n"/>
      <c r="I1013" s="47" t="n"/>
      <c r="J1013" s="59" t="n"/>
      <c r="K1013" s="59" t="n"/>
      <c r="L1013" s="59" t="n"/>
      <c r="M1013" s="3" t="n"/>
      <c r="N1013" s="47" t="n"/>
      <c r="O1013" s="47" t="n"/>
      <c r="P1013" s="47" t="n"/>
      <c r="Q1013" s="47" t="n"/>
      <c r="R1013" s="47" t="n"/>
      <c r="S1013" s="47" t="n"/>
      <c r="T1013" s="47" t="n"/>
      <c r="U1013" s="47" t="n"/>
      <c r="V1013" s="47" t="n"/>
      <c r="W1013" s="59" t="n"/>
      <c r="X1013" s="61" t="n"/>
      <c r="Y1013" s="59" t="n"/>
      <c r="Z1013" s="59" t="n"/>
      <c r="AA1013" s="59" t="n"/>
      <c r="AB1013" s="59" t="n"/>
      <c r="AC1013" s="59" t="n"/>
      <c r="AD1013" s="47" t="n"/>
      <c r="AE1013" s="47" t="n"/>
      <c r="AF1013" s="47" t="n"/>
      <c r="AG1013" s="47" t="n"/>
      <c r="AH1013" s="47" t="n"/>
      <c r="AI1013" s="47" t="n"/>
      <c r="AJ1013" s="47" t="n"/>
      <c r="AK1013" s="47" t="n"/>
      <c r="AL1013" s="47" t="n"/>
      <c r="AM1013" s="47" t="n"/>
      <c r="AN1013" s="47" t="n"/>
      <c r="AO1013" s="47" t="n"/>
      <c r="AP1013" s="47" t="n"/>
    </row>
    <row r="1014">
      <c r="A1014" s="47" t="n"/>
      <c r="B1014" s="47" t="n"/>
      <c r="C1014" s="47" t="n"/>
      <c r="D1014" s="47" t="n"/>
      <c r="E1014" s="59" t="n"/>
      <c r="F1014" s="59" t="n"/>
      <c r="G1014" s="60" t="n"/>
      <c r="H1014" s="47" t="n"/>
      <c r="I1014" s="47" t="n"/>
      <c r="J1014" s="59" t="n"/>
      <c r="K1014" s="59" t="n"/>
      <c r="L1014" s="59" t="n"/>
      <c r="M1014" s="3" t="n"/>
      <c r="N1014" s="47" t="n"/>
      <c r="O1014" s="47" t="n"/>
      <c r="P1014" s="47" t="n"/>
      <c r="Q1014" s="47" t="n"/>
      <c r="R1014" s="47" t="n"/>
      <c r="S1014" s="47" t="n"/>
      <c r="T1014" s="47" t="n"/>
      <c r="U1014" s="47" t="n"/>
      <c r="V1014" s="47" t="n"/>
      <c r="W1014" s="59" t="n"/>
      <c r="X1014" s="61" t="n"/>
      <c r="Y1014" s="59" t="n"/>
      <c r="Z1014" s="59" t="n"/>
      <c r="AA1014" s="59" t="n"/>
      <c r="AB1014" s="59" t="n"/>
      <c r="AC1014" s="59" t="n"/>
      <c r="AD1014" s="47" t="n"/>
      <c r="AE1014" s="47" t="n"/>
      <c r="AF1014" s="47" t="n"/>
      <c r="AG1014" s="47" t="n"/>
      <c r="AH1014" s="47" t="n"/>
      <c r="AI1014" s="47" t="n"/>
      <c r="AJ1014" s="47" t="n"/>
      <c r="AK1014" s="47" t="n"/>
      <c r="AL1014" s="47" t="n"/>
      <c r="AM1014" s="47" t="n"/>
      <c r="AN1014" s="47" t="n"/>
      <c r="AO1014" s="47" t="n"/>
      <c r="AP1014" s="47" t="n"/>
    </row>
    <row r="1015">
      <c r="A1015" s="47" t="n"/>
      <c r="B1015" s="47" t="n"/>
      <c r="C1015" s="47" t="n"/>
      <c r="D1015" s="47" t="n"/>
      <c r="E1015" s="59" t="n"/>
      <c r="F1015" s="59" t="n"/>
      <c r="G1015" s="60" t="n"/>
      <c r="H1015" s="47" t="n"/>
      <c r="I1015" s="47" t="n"/>
      <c r="J1015" s="59" t="n"/>
      <c r="K1015" s="59" t="n"/>
      <c r="L1015" s="59" t="n"/>
      <c r="M1015" s="3" t="n"/>
      <c r="N1015" s="47" t="n"/>
      <c r="O1015" s="47" t="n"/>
      <c r="P1015" s="47" t="n"/>
      <c r="Q1015" s="47" t="n"/>
      <c r="R1015" s="47" t="n"/>
      <c r="S1015" s="47" t="n"/>
      <c r="T1015" s="47" t="n"/>
      <c r="U1015" s="47" t="n"/>
      <c r="V1015" s="47" t="n"/>
      <c r="W1015" s="59" t="n"/>
      <c r="X1015" s="61" t="n"/>
      <c r="Y1015" s="59" t="n"/>
      <c r="Z1015" s="59" t="n"/>
      <c r="AA1015" s="59" t="n"/>
      <c r="AB1015" s="59" t="n"/>
      <c r="AC1015" s="59" t="n"/>
      <c r="AD1015" s="47" t="n"/>
      <c r="AE1015" s="47" t="n"/>
      <c r="AF1015" s="47" t="n"/>
      <c r="AG1015" s="47" t="n"/>
      <c r="AH1015" s="47" t="n"/>
      <c r="AI1015" s="47" t="n"/>
      <c r="AJ1015" s="47" t="n"/>
      <c r="AK1015" s="47" t="n"/>
      <c r="AL1015" s="47" t="n"/>
      <c r="AM1015" s="47" t="n"/>
      <c r="AN1015" s="47" t="n"/>
      <c r="AO1015" s="47" t="n"/>
      <c r="AP1015" s="47" t="n"/>
    </row>
    <row r="1016">
      <c r="A1016" s="47" t="n"/>
      <c r="B1016" s="47" t="n"/>
      <c r="C1016" s="47" t="n"/>
      <c r="D1016" s="47" t="n"/>
      <c r="E1016" s="59" t="n"/>
      <c r="F1016" s="59" t="n"/>
      <c r="G1016" s="60" t="n"/>
      <c r="H1016" s="47" t="n"/>
      <c r="I1016" s="47" t="n"/>
      <c r="J1016" s="59" t="n"/>
      <c r="K1016" s="59" t="n"/>
      <c r="L1016" s="59" t="n"/>
      <c r="M1016" s="3" t="n"/>
      <c r="N1016" s="47" t="n"/>
      <c r="O1016" s="47" t="n"/>
      <c r="P1016" s="47" t="n"/>
      <c r="Q1016" s="47" t="n"/>
      <c r="R1016" s="47" t="n"/>
      <c r="S1016" s="47" t="n"/>
      <c r="T1016" s="47" t="n"/>
      <c r="U1016" s="47" t="n"/>
      <c r="V1016" s="47" t="n"/>
      <c r="W1016" s="59" t="n"/>
      <c r="X1016" s="61" t="n"/>
      <c r="Y1016" s="59" t="n"/>
      <c r="Z1016" s="59" t="n"/>
      <c r="AA1016" s="59" t="n"/>
      <c r="AB1016" s="59" t="n"/>
      <c r="AC1016" s="59" t="n"/>
      <c r="AD1016" s="47" t="n"/>
      <c r="AE1016" s="47" t="n"/>
      <c r="AF1016" s="47" t="n"/>
      <c r="AG1016" s="47" t="n"/>
      <c r="AH1016" s="47" t="n"/>
      <c r="AI1016" s="47" t="n"/>
      <c r="AJ1016" s="47" t="n"/>
      <c r="AK1016" s="47" t="n"/>
      <c r="AL1016" s="47" t="n"/>
      <c r="AM1016" s="47" t="n"/>
      <c r="AN1016" s="47" t="n"/>
      <c r="AO1016" s="47" t="n"/>
      <c r="AP1016" s="47" t="n"/>
    </row>
    <row r="1017">
      <c r="A1017" s="47" t="n"/>
      <c r="B1017" s="47" t="n"/>
      <c r="C1017" s="47" t="n"/>
      <c r="D1017" s="47" t="n"/>
      <c r="E1017" s="59" t="n"/>
      <c r="F1017" s="59" t="n"/>
      <c r="G1017" s="60" t="n"/>
      <c r="H1017" s="47" t="n"/>
      <c r="I1017" s="47" t="n"/>
      <c r="J1017" s="59" t="n"/>
      <c r="K1017" s="59" t="n"/>
      <c r="L1017" s="59" t="n"/>
      <c r="M1017" s="3" t="n"/>
      <c r="N1017" s="47" t="n"/>
      <c r="O1017" s="47" t="n"/>
      <c r="P1017" s="47" t="n"/>
      <c r="Q1017" s="47" t="n"/>
      <c r="R1017" s="47" t="n"/>
      <c r="S1017" s="47" t="n"/>
      <c r="T1017" s="47" t="n"/>
      <c r="U1017" s="47" t="n"/>
      <c r="V1017" s="47" t="n"/>
      <c r="W1017" s="59" t="n"/>
      <c r="X1017" s="61" t="n"/>
      <c r="Y1017" s="59" t="n"/>
      <c r="Z1017" s="59" t="n"/>
      <c r="AA1017" s="59" t="n"/>
      <c r="AB1017" s="59" t="n"/>
      <c r="AC1017" s="59" t="n"/>
      <c r="AD1017" s="47" t="n"/>
      <c r="AE1017" s="47" t="n"/>
      <c r="AF1017" s="47" t="n"/>
      <c r="AG1017" s="47" t="n"/>
      <c r="AH1017" s="47" t="n"/>
      <c r="AI1017" s="47" t="n"/>
      <c r="AJ1017" s="47" t="n"/>
      <c r="AK1017" s="47" t="n"/>
      <c r="AL1017" s="47" t="n"/>
      <c r="AM1017" s="47" t="n"/>
      <c r="AN1017" s="47" t="n"/>
      <c r="AO1017" s="47" t="n"/>
      <c r="AP1017" s="47" t="n"/>
    </row>
    <row r="1018">
      <c r="A1018" s="47" t="n"/>
      <c r="B1018" s="47" t="n"/>
      <c r="C1018" s="47" t="n"/>
      <c r="D1018" s="47" t="n"/>
      <c r="E1018" s="59" t="n"/>
      <c r="F1018" s="59" t="n"/>
      <c r="G1018" s="60" t="n"/>
      <c r="H1018" s="47" t="n"/>
      <c r="I1018" s="47" t="n"/>
      <c r="J1018" s="59" t="n"/>
      <c r="K1018" s="59" t="n"/>
      <c r="L1018" s="59" t="n"/>
      <c r="M1018" s="3" t="n"/>
      <c r="N1018" s="47" t="n"/>
      <c r="O1018" s="47" t="n"/>
      <c r="P1018" s="47" t="n"/>
      <c r="Q1018" s="47" t="n"/>
      <c r="R1018" s="47" t="n"/>
      <c r="S1018" s="47" t="n"/>
      <c r="T1018" s="47" t="n"/>
      <c r="U1018" s="47" t="n"/>
      <c r="V1018" s="47" t="n"/>
      <c r="W1018" s="59" t="n"/>
      <c r="X1018" s="61" t="n"/>
      <c r="Y1018" s="59" t="n"/>
      <c r="Z1018" s="59" t="n"/>
      <c r="AA1018" s="59" t="n"/>
      <c r="AB1018" s="59" t="n"/>
      <c r="AC1018" s="59" t="n"/>
      <c r="AD1018" s="47" t="n"/>
      <c r="AE1018" s="47" t="n"/>
      <c r="AF1018" s="47" t="n"/>
      <c r="AG1018" s="47" t="n"/>
      <c r="AH1018" s="47" t="n"/>
      <c r="AI1018" s="47" t="n"/>
      <c r="AJ1018" s="47" t="n"/>
      <c r="AK1018" s="47" t="n"/>
      <c r="AL1018" s="47" t="n"/>
      <c r="AM1018" s="47" t="n"/>
      <c r="AN1018" s="47" t="n"/>
      <c r="AO1018" s="47" t="n"/>
      <c r="AP1018" s="47" t="n"/>
    </row>
    <row r="1019">
      <c r="A1019" s="47" t="n"/>
      <c r="B1019" s="47" t="n"/>
      <c r="C1019" s="47" t="n"/>
      <c r="D1019" s="47" t="n"/>
      <c r="E1019" s="59" t="n"/>
      <c r="F1019" s="59" t="n"/>
      <c r="G1019" s="60" t="n"/>
      <c r="H1019" s="47" t="n"/>
      <c r="I1019" s="47" t="n"/>
      <c r="J1019" s="59" t="n"/>
      <c r="K1019" s="59" t="n"/>
      <c r="L1019" s="59" t="n"/>
      <c r="M1019" s="3" t="n"/>
      <c r="N1019" s="47" t="n"/>
      <c r="O1019" s="47" t="n"/>
      <c r="P1019" s="47" t="n"/>
      <c r="Q1019" s="47" t="n"/>
      <c r="R1019" s="47" t="n"/>
      <c r="S1019" s="47" t="n"/>
      <c r="T1019" s="47" t="n"/>
      <c r="U1019" s="47" t="n"/>
      <c r="V1019" s="47" t="n"/>
      <c r="W1019" s="59" t="n"/>
      <c r="X1019" s="61" t="n"/>
      <c r="Y1019" s="59" t="n"/>
      <c r="Z1019" s="59" t="n"/>
      <c r="AA1019" s="59" t="n"/>
      <c r="AB1019" s="59" t="n"/>
      <c r="AC1019" s="59" t="n"/>
      <c r="AD1019" s="47" t="n"/>
      <c r="AE1019" s="47" t="n"/>
      <c r="AF1019" s="47" t="n"/>
      <c r="AG1019" s="47" t="n"/>
      <c r="AH1019" s="47" t="n"/>
      <c r="AI1019" s="47" t="n"/>
      <c r="AJ1019" s="47" t="n"/>
      <c r="AK1019" s="47" t="n"/>
      <c r="AL1019" s="47" t="n"/>
      <c r="AM1019" s="47" t="n"/>
      <c r="AN1019" s="47" t="n"/>
      <c r="AO1019" s="47" t="n"/>
      <c r="AP1019" s="47" t="n"/>
    </row>
    <row r="1020">
      <c r="A1020" s="47" t="n"/>
      <c r="B1020" s="47" t="n"/>
      <c r="C1020" s="47" t="n"/>
      <c r="D1020" s="47" t="n"/>
      <c r="E1020" s="59" t="n"/>
      <c r="F1020" s="59" t="n"/>
      <c r="G1020" s="60" t="n"/>
      <c r="H1020" s="47" t="n"/>
      <c r="I1020" s="47" t="n"/>
      <c r="J1020" s="59" t="n"/>
      <c r="K1020" s="59" t="n"/>
      <c r="L1020" s="59" t="n"/>
      <c r="M1020" s="3" t="n"/>
      <c r="N1020" s="47" t="n"/>
      <c r="O1020" s="47" t="n"/>
      <c r="P1020" s="47" t="n"/>
      <c r="Q1020" s="47" t="n"/>
      <c r="R1020" s="47" t="n"/>
      <c r="S1020" s="47" t="n"/>
      <c r="T1020" s="47" t="n"/>
      <c r="U1020" s="47" t="n"/>
      <c r="V1020" s="47" t="n"/>
      <c r="W1020" s="59" t="n"/>
      <c r="X1020" s="61" t="n"/>
      <c r="Y1020" s="59" t="n"/>
      <c r="Z1020" s="59" t="n"/>
      <c r="AA1020" s="59" t="n"/>
      <c r="AB1020" s="59" t="n"/>
      <c r="AC1020" s="59" t="n"/>
      <c r="AD1020" s="47" t="n"/>
      <c r="AE1020" s="47" t="n"/>
      <c r="AF1020" s="47" t="n"/>
      <c r="AG1020" s="47" t="n"/>
      <c r="AH1020" s="47" t="n"/>
      <c r="AI1020" s="47" t="n"/>
      <c r="AJ1020" s="47" t="n"/>
      <c r="AK1020" s="47" t="n"/>
      <c r="AL1020" s="47" t="n"/>
      <c r="AM1020" s="47" t="n"/>
      <c r="AN1020" s="47" t="n"/>
      <c r="AO1020" s="47" t="n"/>
      <c r="AP1020" s="47" t="n"/>
    </row>
    <row r="1021">
      <c r="A1021" s="47" t="n"/>
      <c r="B1021" s="47" t="n"/>
      <c r="C1021" s="47" t="n"/>
      <c r="D1021" s="47" t="n"/>
      <c r="E1021" s="59" t="n"/>
      <c r="F1021" s="59" t="n"/>
      <c r="G1021" s="60" t="n"/>
      <c r="H1021" s="47" t="n"/>
      <c r="I1021" s="47" t="n"/>
      <c r="J1021" s="59" t="n"/>
      <c r="K1021" s="59" t="n"/>
      <c r="L1021" s="59" t="n"/>
      <c r="M1021" s="3" t="n"/>
      <c r="N1021" s="47" t="n"/>
      <c r="O1021" s="47" t="n"/>
      <c r="P1021" s="47" t="n"/>
      <c r="Q1021" s="47" t="n"/>
      <c r="R1021" s="47" t="n"/>
      <c r="S1021" s="47" t="n"/>
      <c r="T1021" s="47" t="n"/>
      <c r="U1021" s="47" t="n"/>
      <c r="V1021" s="47" t="n"/>
      <c r="W1021" s="59" t="n"/>
      <c r="X1021" s="61" t="n"/>
      <c r="Y1021" s="59" t="n"/>
      <c r="Z1021" s="59" t="n"/>
      <c r="AA1021" s="59" t="n"/>
      <c r="AB1021" s="59" t="n"/>
      <c r="AC1021" s="59" t="n"/>
      <c r="AD1021" s="47" t="n"/>
      <c r="AE1021" s="47" t="n"/>
      <c r="AF1021" s="47" t="n"/>
      <c r="AG1021" s="47" t="n"/>
      <c r="AH1021" s="47" t="n"/>
      <c r="AI1021" s="47" t="n"/>
      <c r="AJ1021" s="47" t="n"/>
      <c r="AK1021" s="47" t="n"/>
      <c r="AL1021" s="47" t="n"/>
      <c r="AM1021" s="47" t="n"/>
      <c r="AN1021" s="47" t="n"/>
      <c r="AO1021" s="47" t="n"/>
      <c r="AP1021" s="47" t="n"/>
    </row>
    <row r="1022">
      <c r="A1022" s="47" t="n"/>
      <c r="B1022" s="47" t="n"/>
      <c r="C1022" s="47" t="n"/>
      <c r="D1022" s="47" t="n"/>
      <c r="E1022" s="59" t="n"/>
      <c r="F1022" s="59" t="n"/>
      <c r="G1022" s="60" t="n"/>
      <c r="H1022" s="47" t="n"/>
      <c r="I1022" s="47" t="n"/>
      <c r="J1022" s="59" t="n"/>
      <c r="K1022" s="59" t="n"/>
      <c r="L1022" s="59" t="n"/>
      <c r="M1022" s="3" t="n"/>
      <c r="N1022" s="47" t="n"/>
      <c r="O1022" s="47" t="n"/>
      <c r="P1022" s="47" t="n"/>
      <c r="Q1022" s="47" t="n"/>
      <c r="R1022" s="47" t="n"/>
      <c r="S1022" s="47" t="n"/>
      <c r="T1022" s="47" t="n"/>
      <c r="U1022" s="47" t="n"/>
      <c r="V1022" s="47" t="n"/>
      <c r="W1022" s="59" t="n"/>
      <c r="X1022" s="61" t="n"/>
      <c r="Y1022" s="59" t="n"/>
      <c r="Z1022" s="59" t="n"/>
      <c r="AA1022" s="59" t="n"/>
      <c r="AB1022" s="59" t="n"/>
      <c r="AC1022" s="59" t="n"/>
      <c r="AD1022" s="47" t="n"/>
      <c r="AE1022" s="47" t="n"/>
      <c r="AF1022" s="47" t="n"/>
      <c r="AG1022" s="47" t="n"/>
      <c r="AH1022" s="47" t="n"/>
      <c r="AI1022" s="47" t="n"/>
      <c r="AJ1022" s="47" t="n"/>
      <c r="AK1022" s="47" t="n"/>
      <c r="AL1022" s="47" t="n"/>
      <c r="AM1022" s="47" t="n"/>
      <c r="AN1022" s="47" t="n"/>
      <c r="AO1022" s="47" t="n"/>
      <c r="AP1022" s="47" t="n"/>
    </row>
    <row r="1023">
      <c r="A1023" s="47" t="n"/>
      <c r="B1023" s="47" t="n"/>
      <c r="C1023" s="47" t="n"/>
      <c r="D1023" s="47" t="n"/>
      <c r="E1023" s="59" t="n"/>
      <c r="F1023" s="59" t="n"/>
      <c r="G1023" s="60" t="n"/>
      <c r="H1023" s="47" t="n"/>
      <c r="I1023" s="47" t="n"/>
      <c r="J1023" s="59" t="n"/>
      <c r="K1023" s="59" t="n"/>
      <c r="L1023" s="59" t="n"/>
      <c r="M1023" s="3" t="n"/>
      <c r="N1023" s="47" t="n"/>
      <c r="O1023" s="47" t="n"/>
      <c r="P1023" s="47" t="n"/>
      <c r="Q1023" s="47" t="n"/>
      <c r="R1023" s="47" t="n"/>
      <c r="S1023" s="47" t="n"/>
      <c r="T1023" s="47" t="n"/>
      <c r="U1023" s="47" t="n"/>
      <c r="V1023" s="47" t="n"/>
      <c r="W1023" s="59" t="n"/>
      <c r="X1023" s="61" t="n"/>
      <c r="Y1023" s="59" t="n"/>
      <c r="Z1023" s="59" t="n"/>
      <c r="AA1023" s="59" t="n"/>
      <c r="AB1023" s="59" t="n"/>
      <c r="AC1023" s="59" t="n"/>
      <c r="AD1023" s="47" t="n"/>
      <c r="AE1023" s="47" t="n"/>
      <c r="AF1023" s="47" t="n"/>
      <c r="AG1023" s="47" t="n"/>
      <c r="AH1023" s="47" t="n"/>
      <c r="AI1023" s="47" t="n"/>
      <c r="AJ1023" s="47" t="n"/>
      <c r="AK1023" s="47" t="n"/>
      <c r="AL1023" s="47" t="n"/>
      <c r="AM1023" s="47" t="n"/>
      <c r="AN1023" s="47" t="n"/>
      <c r="AO1023" s="47" t="n"/>
      <c r="AP1023" s="47" t="n"/>
    </row>
    <row r="1024">
      <c r="A1024" s="47" t="n"/>
      <c r="B1024" s="47" t="n"/>
      <c r="C1024" s="47" t="n"/>
      <c r="D1024" s="47" t="n"/>
      <c r="E1024" s="59" t="n"/>
      <c r="F1024" s="59" t="n"/>
      <c r="G1024" s="60" t="n"/>
      <c r="H1024" s="47" t="n"/>
      <c r="I1024" s="47" t="n"/>
      <c r="J1024" s="59" t="n"/>
      <c r="K1024" s="59" t="n"/>
      <c r="L1024" s="59" t="n"/>
      <c r="M1024" s="3" t="n"/>
      <c r="N1024" s="47" t="n"/>
      <c r="O1024" s="47" t="n"/>
      <c r="P1024" s="47" t="n"/>
      <c r="Q1024" s="47" t="n"/>
      <c r="R1024" s="47" t="n"/>
      <c r="S1024" s="47" t="n"/>
      <c r="T1024" s="47" t="n"/>
      <c r="U1024" s="47" t="n"/>
      <c r="V1024" s="47" t="n"/>
      <c r="W1024" s="59" t="n"/>
      <c r="X1024" s="61" t="n"/>
      <c r="Y1024" s="59" t="n"/>
      <c r="Z1024" s="59" t="n"/>
      <c r="AA1024" s="59" t="n"/>
      <c r="AB1024" s="59" t="n"/>
      <c r="AC1024" s="59" t="n"/>
      <c r="AD1024" s="47" t="n"/>
      <c r="AE1024" s="47" t="n"/>
      <c r="AF1024" s="47" t="n"/>
      <c r="AG1024" s="47" t="n"/>
      <c r="AH1024" s="47" t="n"/>
      <c r="AI1024" s="47" t="n"/>
      <c r="AJ1024" s="47" t="n"/>
      <c r="AK1024" s="47" t="n"/>
      <c r="AL1024" s="47" t="n"/>
      <c r="AM1024" s="47" t="n"/>
      <c r="AN1024" s="47" t="n"/>
      <c r="AO1024" s="47" t="n"/>
      <c r="AP1024" s="47" t="n"/>
    </row>
    <row r="1025">
      <c r="A1025" s="47" t="n"/>
      <c r="B1025" s="47" t="n"/>
      <c r="C1025" s="47" t="n"/>
      <c r="D1025" s="47" t="n"/>
      <c r="E1025" s="59" t="n"/>
      <c r="F1025" s="59" t="n"/>
      <c r="G1025" s="60" t="n"/>
      <c r="H1025" s="47" t="n"/>
      <c r="I1025" s="47" t="n"/>
      <c r="J1025" s="59" t="n"/>
      <c r="K1025" s="59" t="n"/>
      <c r="L1025" s="59" t="n"/>
      <c r="M1025" s="3" t="n"/>
      <c r="N1025" s="47" t="n"/>
      <c r="O1025" s="47" t="n"/>
      <c r="P1025" s="47" t="n"/>
      <c r="Q1025" s="47" t="n"/>
      <c r="R1025" s="47" t="n"/>
      <c r="S1025" s="47" t="n"/>
      <c r="T1025" s="47" t="n"/>
      <c r="U1025" s="47" t="n"/>
      <c r="V1025" s="47" t="n"/>
      <c r="W1025" s="59" t="n"/>
      <c r="X1025" s="61" t="n"/>
      <c r="Y1025" s="59" t="n"/>
      <c r="Z1025" s="59" t="n"/>
      <c r="AA1025" s="59" t="n"/>
      <c r="AB1025" s="59" t="n"/>
      <c r="AC1025" s="59" t="n"/>
      <c r="AD1025" s="47" t="n"/>
      <c r="AE1025" s="47" t="n"/>
      <c r="AF1025" s="47" t="n"/>
      <c r="AG1025" s="47" t="n"/>
      <c r="AH1025" s="47" t="n"/>
      <c r="AI1025" s="47" t="n"/>
      <c r="AJ1025" s="47" t="n"/>
      <c r="AK1025" s="47" t="n"/>
      <c r="AL1025" s="47" t="n"/>
      <c r="AM1025" s="47" t="n"/>
      <c r="AN1025" s="47" t="n"/>
      <c r="AO1025" s="47" t="n"/>
      <c r="AP1025" s="47" t="n"/>
    </row>
    <row r="1026">
      <c r="A1026" s="47" t="n"/>
      <c r="B1026" s="47" t="n"/>
      <c r="C1026" s="47" t="n"/>
      <c r="D1026" s="47" t="n"/>
      <c r="E1026" s="59" t="n"/>
      <c r="F1026" s="59" t="n"/>
      <c r="G1026" s="60" t="n"/>
      <c r="H1026" s="47" t="n"/>
      <c r="I1026" s="47" t="n"/>
      <c r="J1026" s="59" t="n"/>
      <c r="K1026" s="59" t="n"/>
      <c r="L1026" s="59" t="n"/>
      <c r="M1026" s="3" t="n"/>
      <c r="N1026" s="47" t="n"/>
      <c r="O1026" s="47" t="n"/>
      <c r="P1026" s="47" t="n"/>
      <c r="Q1026" s="47" t="n"/>
      <c r="R1026" s="47" t="n"/>
      <c r="S1026" s="47" t="n"/>
      <c r="T1026" s="47" t="n"/>
      <c r="U1026" s="47" t="n"/>
      <c r="V1026" s="47" t="n"/>
      <c r="W1026" s="59" t="n"/>
      <c r="X1026" s="61" t="n"/>
      <c r="Y1026" s="59" t="n"/>
      <c r="Z1026" s="59" t="n"/>
      <c r="AA1026" s="59" t="n"/>
      <c r="AB1026" s="59" t="n"/>
      <c r="AC1026" s="59" t="n"/>
      <c r="AD1026" s="47" t="n"/>
      <c r="AE1026" s="47" t="n"/>
      <c r="AF1026" s="47" t="n"/>
      <c r="AG1026" s="47" t="n"/>
      <c r="AH1026" s="47" t="n"/>
      <c r="AI1026" s="47" t="n"/>
      <c r="AJ1026" s="47" t="n"/>
      <c r="AK1026" s="47" t="n"/>
      <c r="AL1026" s="47" t="n"/>
      <c r="AM1026" s="47" t="n"/>
      <c r="AN1026" s="47" t="n"/>
      <c r="AO1026" s="47" t="n"/>
      <c r="AP1026" s="47" t="n"/>
    </row>
    <row r="1027">
      <c r="A1027" s="47" t="n"/>
      <c r="B1027" s="47" t="n"/>
      <c r="C1027" s="47" t="n"/>
      <c r="D1027" s="47" t="n"/>
      <c r="E1027" s="59" t="n"/>
      <c r="F1027" s="59" t="n"/>
      <c r="G1027" s="60" t="n"/>
      <c r="H1027" s="47" t="n"/>
      <c r="I1027" s="47" t="n"/>
      <c r="J1027" s="59" t="n"/>
      <c r="K1027" s="59" t="n"/>
      <c r="L1027" s="59" t="n"/>
      <c r="M1027" s="3" t="n"/>
      <c r="N1027" s="47" t="n"/>
      <c r="O1027" s="47" t="n"/>
      <c r="P1027" s="47" t="n"/>
      <c r="Q1027" s="47" t="n"/>
      <c r="R1027" s="47" t="n"/>
      <c r="S1027" s="47" t="n"/>
      <c r="T1027" s="47" t="n"/>
      <c r="U1027" s="47" t="n"/>
      <c r="V1027" s="47" t="n"/>
      <c r="W1027" s="59" t="n"/>
      <c r="X1027" s="61" t="n"/>
      <c r="Y1027" s="59" t="n"/>
      <c r="Z1027" s="59" t="n"/>
      <c r="AA1027" s="59" t="n"/>
      <c r="AB1027" s="59" t="n"/>
      <c r="AC1027" s="59" t="n"/>
      <c r="AD1027" s="47" t="n"/>
      <c r="AE1027" s="47" t="n"/>
      <c r="AF1027" s="47" t="n"/>
      <c r="AG1027" s="47" t="n"/>
      <c r="AH1027" s="47" t="n"/>
      <c r="AI1027" s="47" t="n"/>
      <c r="AJ1027" s="47" t="n"/>
      <c r="AK1027" s="47" t="n"/>
      <c r="AL1027" s="47" t="n"/>
      <c r="AM1027" s="47" t="n"/>
      <c r="AN1027" s="47" t="n"/>
      <c r="AO1027" s="47" t="n"/>
      <c r="AP1027" s="47" t="n"/>
    </row>
    <row r="1028">
      <c r="A1028" s="47" t="n"/>
      <c r="B1028" s="47" t="n"/>
      <c r="C1028" s="47" t="n"/>
      <c r="D1028" s="47" t="n"/>
      <c r="E1028" s="59" t="n"/>
      <c r="F1028" s="59" t="n"/>
      <c r="G1028" s="60" t="n"/>
      <c r="H1028" s="47" t="n"/>
      <c r="I1028" s="47" t="n"/>
      <c r="J1028" s="59" t="n"/>
      <c r="K1028" s="59" t="n"/>
      <c r="L1028" s="59" t="n"/>
      <c r="M1028" s="3" t="n"/>
      <c r="N1028" s="47" t="n"/>
      <c r="O1028" s="47" t="n"/>
      <c r="P1028" s="47" t="n"/>
      <c r="Q1028" s="47" t="n"/>
      <c r="R1028" s="47" t="n"/>
      <c r="S1028" s="47" t="n"/>
      <c r="T1028" s="47" t="n"/>
      <c r="U1028" s="47" t="n"/>
      <c r="V1028" s="47" t="n"/>
      <c r="W1028" s="59" t="n"/>
      <c r="X1028" s="61" t="n"/>
      <c r="Y1028" s="59" t="n"/>
      <c r="Z1028" s="59" t="n"/>
      <c r="AA1028" s="59" t="n"/>
      <c r="AB1028" s="59" t="n"/>
      <c r="AC1028" s="59" t="n"/>
      <c r="AD1028" s="47" t="n"/>
      <c r="AE1028" s="47" t="n"/>
      <c r="AF1028" s="47" t="n"/>
      <c r="AG1028" s="47" t="n"/>
      <c r="AH1028" s="47" t="n"/>
      <c r="AI1028" s="47" t="n"/>
      <c r="AJ1028" s="47" t="n"/>
      <c r="AK1028" s="47" t="n"/>
      <c r="AL1028" s="47" t="n"/>
      <c r="AM1028" s="47" t="n"/>
      <c r="AN1028" s="47" t="n"/>
      <c r="AO1028" s="47" t="n"/>
      <c r="AP1028" s="47" t="n"/>
    </row>
    <row r="1029">
      <c r="A1029" s="47" t="n"/>
      <c r="B1029" s="47" t="n"/>
      <c r="C1029" s="47" t="n"/>
      <c r="D1029" s="47" t="n"/>
      <c r="E1029" s="59" t="n"/>
      <c r="F1029" s="59" t="n"/>
      <c r="G1029" s="60" t="n"/>
      <c r="H1029" s="47" t="n"/>
      <c r="I1029" s="47" t="n"/>
      <c r="J1029" s="59" t="n"/>
      <c r="K1029" s="59" t="n"/>
      <c r="L1029" s="59" t="n"/>
      <c r="M1029" s="3" t="n"/>
      <c r="N1029" s="47" t="n"/>
      <c r="O1029" s="47" t="n"/>
      <c r="P1029" s="47" t="n"/>
      <c r="Q1029" s="47" t="n"/>
      <c r="R1029" s="47" t="n"/>
      <c r="S1029" s="47" t="n"/>
      <c r="T1029" s="47" t="n"/>
      <c r="U1029" s="47" t="n"/>
      <c r="V1029" s="47" t="n"/>
      <c r="W1029" s="59" t="n"/>
      <c r="X1029" s="61" t="n"/>
      <c r="Y1029" s="59" t="n"/>
      <c r="Z1029" s="59" t="n"/>
      <c r="AA1029" s="59" t="n"/>
      <c r="AB1029" s="59" t="n"/>
      <c r="AC1029" s="59" t="n"/>
      <c r="AD1029" s="47" t="n"/>
      <c r="AE1029" s="47" t="n"/>
      <c r="AF1029" s="47" t="n"/>
      <c r="AG1029" s="47" t="n"/>
      <c r="AH1029" s="47" t="n"/>
      <c r="AI1029" s="47" t="n"/>
      <c r="AJ1029" s="47" t="n"/>
      <c r="AK1029" s="47" t="n"/>
      <c r="AL1029" s="47" t="n"/>
      <c r="AM1029" s="47" t="n"/>
      <c r="AN1029" s="47" t="n"/>
      <c r="AO1029" s="47" t="n"/>
      <c r="AP1029" s="47" t="n"/>
    </row>
    <row r="1030">
      <c r="A1030" s="47" t="n"/>
      <c r="B1030" s="47" t="n"/>
      <c r="C1030" s="47" t="n"/>
      <c r="D1030" s="47" t="n"/>
      <c r="E1030" s="59" t="n"/>
      <c r="F1030" s="59" t="n"/>
      <c r="G1030" s="60" t="n"/>
      <c r="H1030" s="47" t="n"/>
      <c r="I1030" s="47" t="n"/>
      <c r="J1030" s="59" t="n"/>
      <c r="K1030" s="59" t="n"/>
      <c r="L1030" s="59" t="n"/>
      <c r="M1030" s="3" t="n"/>
      <c r="N1030" s="47" t="n"/>
      <c r="O1030" s="47" t="n"/>
      <c r="P1030" s="47" t="n"/>
      <c r="Q1030" s="47" t="n"/>
      <c r="R1030" s="47" t="n"/>
      <c r="S1030" s="47" t="n"/>
      <c r="T1030" s="47" t="n"/>
      <c r="U1030" s="47" t="n"/>
      <c r="V1030" s="47" t="n"/>
      <c r="W1030" s="59" t="n"/>
      <c r="X1030" s="61" t="n"/>
      <c r="Y1030" s="59" t="n"/>
      <c r="Z1030" s="59" t="n"/>
      <c r="AA1030" s="59" t="n"/>
      <c r="AB1030" s="59" t="n"/>
      <c r="AC1030" s="59" t="n"/>
      <c r="AD1030" s="47" t="n"/>
      <c r="AE1030" s="47" t="n"/>
      <c r="AF1030" s="47" t="n"/>
      <c r="AG1030" s="47" t="n"/>
      <c r="AH1030" s="47" t="n"/>
      <c r="AI1030" s="47" t="n"/>
      <c r="AJ1030" s="47" t="n"/>
      <c r="AK1030" s="47" t="n"/>
      <c r="AL1030" s="47" t="n"/>
      <c r="AM1030" s="47" t="n"/>
      <c r="AN1030" s="47" t="n"/>
      <c r="AO1030" s="47" t="n"/>
      <c r="AP1030" s="47" t="n"/>
    </row>
    <row r="1031">
      <c r="A1031" s="47" t="n"/>
      <c r="B1031" s="47" t="n"/>
      <c r="C1031" s="47" t="n"/>
      <c r="D1031" s="47" t="n"/>
      <c r="E1031" s="59" t="n"/>
      <c r="F1031" s="59" t="n"/>
      <c r="G1031" s="60" t="n"/>
      <c r="H1031" s="47" t="n"/>
      <c r="I1031" s="47" t="n"/>
      <c r="J1031" s="59" t="n"/>
      <c r="K1031" s="59" t="n"/>
      <c r="L1031" s="59" t="n"/>
      <c r="M1031" s="3" t="n"/>
      <c r="N1031" s="47" t="n"/>
      <c r="O1031" s="47" t="n"/>
      <c r="P1031" s="47" t="n"/>
      <c r="Q1031" s="47" t="n"/>
      <c r="R1031" s="47" t="n"/>
      <c r="S1031" s="47" t="n"/>
      <c r="T1031" s="47" t="n"/>
      <c r="U1031" s="47" t="n"/>
      <c r="V1031" s="47" t="n"/>
      <c r="W1031" s="59" t="n"/>
      <c r="X1031" s="61" t="n"/>
      <c r="Y1031" s="59" t="n"/>
      <c r="Z1031" s="59" t="n"/>
      <c r="AA1031" s="59" t="n"/>
      <c r="AB1031" s="59" t="n"/>
      <c r="AC1031" s="59" t="n"/>
      <c r="AD1031" s="47" t="n"/>
      <c r="AE1031" s="47" t="n"/>
      <c r="AF1031" s="47" t="n"/>
      <c r="AG1031" s="47" t="n"/>
      <c r="AH1031" s="47" t="n"/>
      <c r="AI1031" s="47" t="n"/>
      <c r="AJ1031" s="47" t="n"/>
      <c r="AK1031" s="47" t="n"/>
      <c r="AL1031" s="47" t="n"/>
      <c r="AM1031" s="47" t="n"/>
      <c r="AN1031" s="47" t="n"/>
      <c r="AO1031" s="47" t="n"/>
      <c r="AP1031" s="47" t="n"/>
    </row>
    <row r="1032">
      <c r="A1032" s="47" t="n"/>
      <c r="B1032" s="47" t="n"/>
      <c r="C1032" s="47" t="n"/>
      <c r="D1032" s="47" t="n"/>
      <c r="E1032" s="59" t="n"/>
      <c r="F1032" s="59" t="n"/>
      <c r="G1032" s="60" t="n"/>
      <c r="H1032" s="47" t="n"/>
      <c r="I1032" s="47" t="n"/>
      <c r="J1032" s="59" t="n"/>
      <c r="K1032" s="59" t="n"/>
      <c r="L1032" s="59" t="n"/>
      <c r="M1032" s="3" t="n"/>
      <c r="N1032" s="47" t="n"/>
      <c r="O1032" s="47" t="n"/>
      <c r="P1032" s="47" t="n"/>
      <c r="Q1032" s="47" t="n"/>
      <c r="R1032" s="47" t="n"/>
      <c r="S1032" s="47" t="n"/>
      <c r="T1032" s="47" t="n"/>
      <c r="U1032" s="47" t="n"/>
      <c r="V1032" s="47" t="n"/>
      <c r="W1032" s="59" t="n"/>
      <c r="X1032" s="61" t="n"/>
      <c r="Y1032" s="59" t="n"/>
      <c r="Z1032" s="59" t="n"/>
      <c r="AA1032" s="59" t="n"/>
      <c r="AB1032" s="59" t="n"/>
      <c r="AC1032" s="59" t="n"/>
      <c r="AD1032" s="47" t="n"/>
      <c r="AE1032" s="47" t="n"/>
      <c r="AF1032" s="47" t="n"/>
      <c r="AG1032" s="47" t="n"/>
      <c r="AH1032" s="47" t="n"/>
      <c r="AI1032" s="47" t="n"/>
      <c r="AJ1032" s="47" t="n"/>
      <c r="AK1032" s="47" t="n"/>
      <c r="AL1032" s="47" t="n"/>
      <c r="AM1032" s="47" t="n"/>
      <c r="AN1032" s="47" t="n"/>
      <c r="AO1032" s="47" t="n"/>
      <c r="AP1032" s="47" t="n"/>
    </row>
    <row r="1033">
      <c r="A1033" s="47" t="n"/>
      <c r="B1033" s="47" t="n"/>
      <c r="C1033" s="47" t="n"/>
      <c r="D1033" s="47" t="n"/>
      <c r="E1033" s="59" t="n"/>
      <c r="F1033" s="59" t="n"/>
      <c r="G1033" s="60" t="n"/>
      <c r="H1033" s="47" t="n"/>
      <c r="I1033" s="47" t="n"/>
      <c r="J1033" s="59" t="n"/>
      <c r="K1033" s="59" t="n"/>
      <c r="L1033" s="59" t="n"/>
      <c r="M1033" s="3" t="n"/>
      <c r="N1033" s="47" t="n"/>
      <c r="O1033" s="47" t="n"/>
      <c r="P1033" s="47" t="n"/>
      <c r="Q1033" s="47" t="n"/>
      <c r="R1033" s="47" t="n"/>
      <c r="S1033" s="47" t="n"/>
      <c r="T1033" s="47" t="n"/>
      <c r="U1033" s="47" t="n"/>
      <c r="V1033" s="47" t="n"/>
      <c r="W1033" s="59" t="n"/>
      <c r="X1033" s="61" t="n"/>
      <c r="Y1033" s="59" t="n"/>
      <c r="Z1033" s="59" t="n"/>
      <c r="AA1033" s="59" t="n"/>
      <c r="AB1033" s="59" t="n"/>
      <c r="AC1033" s="59" t="n"/>
      <c r="AD1033" s="47" t="n"/>
      <c r="AE1033" s="47" t="n"/>
      <c r="AF1033" s="47" t="n"/>
      <c r="AG1033" s="47" t="n"/>
      <c r="AH1033" s="47" t="n"/>
      <c r="AI1033" s="47" t="n"/>
      <c r="AJ1033" s="47" t="n"/>
      <c r="AK1033" s="47" t="n"/>
      <c r="AL1033" s="47" t="n"/>
      <c r="AM1033" s="47" t="n"/>
      <c r="AN1033" s="47" t="n"/>
      <c r="AO1033" s="47" t="n"/>
      <c r="AP1033" s="47" t="n"/>
    </row>
    <row r="1034">
      <c r="A1034" s="47" t="n"/>
      <c r="B1034" s="47" t="n"/>
      <c r="C1034" s="47" t="n"/>
      <c r="D1034" s="47" t="n"/>
      <c r="E1034" s="59" t="n"/>
      <c r="F1034" s="59" t="n"/>
      <c r="G1034" s="60" t="n"/>
      <c r="H1034" s="47" t="n"/>
      <c r="I1034" s="47" t="n"/>
      <c r="J1034" s="59" t="n"/>
      <c r="K1034" s="59" t="n"/>
      <c r="L1034" s="59" t="n"/>
      <c r="M1034" s="3" t="n"/>
      <c r="N1034" s="47" t="n"/>
      <c r="O1034" s="47" t="n"/>
      <c r="P1034" s="47" t="n"/>
      <c r="Q1034" s="47" t="n"/>
      <c r="R1034" s="47" t="n"/>
      <c r="S1034" s="47" t="n"/>
      <c r="T1034" s="47" t="n"/>
      <c r="U1034" s="47" t="n"/>
      <c r="V1034" s="47" t="n"/>
      <c r="W1034" s="59" t="n"/>
      <c r="X1034" s="61" t="n"/>
      <c r="Y1034" s="59" t="n"/>
      <c r="Z1034" s="59" t="n"/>
      <c r="AA1034" s="59" t="n"/>
      <c r="AB1034" s="59" t="n"/>
      <c r="AC1034" s="59" t="n"/>
      <c r="AD1034" s="47" t="n"/>
      <c r="AE1034" s="47" t="n"/>
      <c r="AF1034" s="47" t="n"/>
      <c r="AG1034" s="47" t="n"/>
      <c r="AH1034" s="47" t="n"/>
      <c r="AI1034" s="47" t="n"/>
      <c r="AJ1034" s="47" t="n"/>
      <c r="AK1034" s="47" t="n"/>
      <c r="AL1034" s="47" t="n"/>
      <c r="AM1034" s="47" t="n"/>
      <c r="AN1034" s="47" t="n"/>
      <c r="AO1034" s="47" t="n"/>
      <c r="AP1034" s="47" t="n"/>
    </row>
    <row r="1035">
      <c r="A1035" s="47" t="n"/>
      <c r="B1035" s="47" t="n"/>
      <c r="C1035" s="47" t="n"/>
      <c r="D1035" s="47" t="n"/>
      <c r="E1035" s="59" t="n"/>
      <c r="F1035" s="59" t="n"/>
      <c r="G1035" s="60" t="n"/>
      <c r="H1035" s="47" t="n"/>
      <c r="I1035" s="47" t="n"/>
      <c r="J1035" s="59" t="n"/>
      <c r="K1035" s="59" t="n"/>
      <c r="L1035" s="59" t="n"/>
      <c r="M1035" s="3" t="n"/>
      <c r="N1035" s="47" t="n"/>
      <c r="O1035" s="47" t="n"/>
      <c r="P1035" s="47" t="n"/>
      <c r="Q1035" s="47" t="n"/>
      <c r="R1035" s="47" t="n"/>
      <c r="S1035" s="47" t="n"/>
      <c r="T1035" s="47" t="n"/>
      <c r="U1035" s="47" t="n"/>
      <c r="V1035" s="47" t="n"/>
      <c r="W1035" s="59" t="n"/>
      <c r="X1035" s="61" t="n"/>
      <c r="Y1035" s="59" t="n"/>
      <c r="Z1035" s="59" t="n"/>
      <c r="AA1035" s="59" t="n"/>
      <c r="AB1035" s="59" t="n"/>
      <c r="AC1035" s="59" t="n"/>
      <c r="AD1035" s="47" t="n"/>
      <c r="AE1035" s="47" t="n"/>
      <c r="AF1035" s="47" t="n"/>
      <c r="AG1035" s="47" t="n"/>
      <c r="AH1035" s="47" t="n"/>
      <c r="AI1035" s="47" t="n"/>
      <c r="AJ1035" s="47" t="n"/>
      <c r="AK1035" s="47" t="n"/>
      <c r="AL1035" s="47" t="n"/>
      <c r="AM1035" s="47" t="n"/>
      <c r="AN1035" s="47" t="n"/>
      <c r="AO1035" s="47" t="n"/>
      <c r="AP1035" s="47" t="n"/>
    </row>
    <row r="1036">
      <c r="A1036" s="47" t="n"/>
      <c r="B1036" s="47" t="n"/>
      <c r="C1036" s="47" t="n"/>
      <c r="D1036" s="47" t="n"/>
      <c r="E1036" s="59" t="n"/>
      <c r="F1036" s="59" t="n"/>
      <c r="G1036" s="60" t="n"/>
      <c r="H1036" s="47" t="n"/>
      <c r="I1036" s="47" t="n"/>
      <c r="J1036" s="59" t="n"/>
      <c r="K1036" s="59" t="n"/>
      <c r="L1036" s="59" t="n"/>
      <c r="M1036" s="3" t="n"/>
      <c r="N1036" s="47" t="n"/>
      <c r="O1036" s="47" t="n"/>
      <c r="P1036" s="47" t="n"/>
      <c r="Q1036" s="47" t="n"/>
      <c r="R1036" s="47" t="n"/>
      <c r="S1036" s="47" t="n"/>
      <c r="T1036" s="47" t="n"/>
      <c r="U1036" s="47" t="n"/>
      <c r="V1036" s="47" t="n"/>
      <c r="W1036" s="59" t="n"/>
      <c r="X1036" s="61" t="n"/>
      <c r="Y1036" s="59" t="n"/>
      <c r="Z1036" s="59" t="n"/>
      <c r="AA1036" s="59" t="n"/>
      <c r="AB1036" s="59" t="n"/>
      <c r="AC1036" s="59" t="n"/>
      <c r="AD1036" s="47" t="n"/>
      <c r="AE1036" s="47" t="n"/>
      <c r="AF1036" s="47" t="n"/>
      <c r="AG1036" s="47" t="n"/>
      <c r="AH1036" s="47" t="n"/>
      <c r="AI1036" s="47" t="n"/>
      <c r="AJ1036" s="47" t="n"/>
      <c r="AK1036" s="47" t="n"/>
      <c r="AL1036" s="47" t="n"/>
      <c r="AM1036" s="47" t="n"/>
      <c r="AN1036" s="47" t="n"/>
      <c r="AO1036" s="47" t="n"/>
      <c r="AP1036" s="47" t="n"/>
    </row>
    <row r="1037">
      <c r="A1037" s="47" t="n"/>
      <c r="B1037" s="47" t="n"/>
      <c r="C1037" s="47" t="n"/>
      <c r="D1037" s="47" t="n"/>
      <c r="E1037" s="59" t="n"/>
      <c r="F1037" s="59" t="n"/>
      <c r="G1037" s="60" t="n"/>
      <c r="H1037" s="47" t="n"/>
      <c r="I1037" s="47" t="n"/>
      <c r="J1037" s="59" t="n"/>
      <c r="K1037" s="59" t="n"/>
      <c r="L1037" s="59" t="n"/>
      <c r="M1037" s="3" t="n"/>
      <c r="N1037" s="47" t="n"/>
      <c r="O1037" s="47" t="n"/>
      <c r="P1037" s="47" t="n"/>
      <c r="Q1037" s="47" t="n"/>
      <c r="R1037" s="47" t="n"/>
      <c r="S1037" s="47" t="n"/>
      <c r="T1037" s="47" t="n"/>
      <c r="U1037" s="47" t="n"/>
      <c r="V1037" s="47" t="n"/>
      <c r="W1037" s="59" t="n"/>
      <c r="X1037" s="61" t="n"/>
      <c r="Y1037" s="59" t="n"/>
      <c r="Z1037" s="59" t="n"/>
      <c r="AA1037" s="59" t="n"/>
      <c r="AB1037" s="59" t="n"/>
      <c r="AC1037" s="59" t="n"/>
      <c r="AD1037" s="47" t="n"/>
      <c r="AE1037" s="47" t="n"/>
      <c r="AF1037" s="47" t="n"/>
      <c r="AG1037" s="47" t="n"/>
      <c r="AH1037" s="47" t="n"/>
      <c r="AI1037" s="47" t="n"/>
      <c r="AJ1037" s="47" t="n"/>
      <c r="AK1037" s="47" t="n"/>
      <c r="AL1037" s="47" t="n"/>
      <c r="AM1037" s="47" t="n"/>
      <c r="AN1037" s="47" t="n"/>
      <c r="AO1037" s="47" t="n"/>
      <c r="AP1037" s="47" t="n"/>
    </row>
    <row r="1038">
      <c r="A1038" s="47" t="n"/>
      <c r="B1038" s="47" t="n"/>
      <c r="C1038" s="47" t="n"/>
      <c r="D1038" s="47" t="n"/>
      <c r="E1038" s="59" t="n"/>
      <c r="F1038" s="59" t="n"/>
      <c r="G1038" s="60" t="n"/>
      <c r="H1038" s="47" t="n"/>
      <c r="I1038" s="47" t="n"/>
      <c r="J1038" s="59" t="n"/>
      <c r="K1038" s="59" t="n"/>
      <c r="L1038" s="59" t="n"/>
      <c r="M1038" s="47" t="n"/>
      <c r="N1038" s="47" t="n"/>
      <c r="O1038" s="47" t="n"/>
      <c r="P1038" s="47" t="n"/>
      <c r="Q1038" s="47" t="n"/>
      <c r="R1038" s="47" t="n"/>
      <c r="S1038" s="47" t="n"/>
      <c r="T1038" s="47" t="n"/>
      <c r="U1038" s="47" t="n"/>
      <c r="V1038" s="47" t="n"/>
      <c r="W1038" s="59" t="n"/>
      <c r="X1038" s="61" t="n"/>
      <c r="Y1038" s="59" t="n"/>
      <c r="Z1038" s="59" t="n"/>
      <c r="AA1038" s="59" t="n"/>
      <c r="AB1038" s="59" t="n"/>
      <c r="AC1038" s="59" t="n"/>
      <c r="AD1038" s="47" t="n"/>
      <c r="AE1038" s="47" t="n"/>
      <c r="AF1038" s="47" t="n"/>
      <c r="AG1038" s="47" t="n"/>
      <c r="AH1038" s="47" t="n"/>
      <c r="AI1038" s="47" t="n"/>
      <c r="AJ1038" s="47" t="n"/>
      <c r="AK1038" s="47" t="n"/>
      <c r="AL1038" s="47" t="n"/>
      <c r="AM1038" s="47" t="n"/>
      <c r="AN1038" s="47" t="n"/>
      <c r="AO1038" s="47" t="n"/>
      <c r="AP1038" s="47" t="n"/>
    </row>
    <row r="1039">
      <c r="A1039" s="47" t="n"/>
      <c r="B1039" s="47" t="n"/>
      <c r="C1039" s="47" t="n"/>
      <c r="D1039" s="47" t="n"/>
      <c r="E1039" s="59" t="n"/>
      <c r="F1039" s="59" t="n"/>
      <c r="G1039" s="60" t="n"/>
      <c r="H1039" s="47" t="n"/>
      <c r="I1039" s="47" t="n"/>
      <c r="J1039" s="59" t="n"/>
      <c r="K1039" s="59" t="n"/>
      <c r="L1039" s="59" t="n"/>
      <c r="M1039" s="47" t="n"/>
      <c r="N1039" s="47" t="n"/>
      <c r="O1039" s="47" t="n"/>
      <c r="P1039" s="47" t="n"/>
      <c r="Q1039" s="47" t="n"/>
      <c r="R1039" s="47" t="n"/>
      <c r="S1039" s="47" t="n"/>
      <c r="T1039" s="47" t="n"/>
      <c r="U1039" s="47" t="n"/>
      <c r="V1039" s="47" t="n"/>
      <c r="W1039" s="59" t="n"/>
      <c r="X1039" s="61" t="n"/>
      <c r="Y1039" s="59" t="n"/>
      <c r="Z1039" s="59" t="n"/>
      <c r="AA1039" s="59" t="n"/>
      <c r="AB1039" s="59" t="n"/>
      <c r="AC1039" s="59" t="n"/>
      <c r="AD1039" s="47" t="n"/>
      <c r="AE1039" s="47" t="n"/>
      <c r="AF1039" s="47" t="n"/>
      <c r="AG1039" s="47" t="n"/>
      <c r="AH1039" s="47" t="n"/>
      <c r="AI1039" s="47" t="n"/>
      <c r="AJ1039" s="47" t="n"/>
      <c r="AK1039" s="47" t="n"/>
      <c r="AL1039" s="47" t="n"/>
      <c r="AM1039" s="47" t="n"/>
      <c r="AN1039" s="47" t="n"/>
      <c r="AO1039" s="47" t="n"/>
      <c r="AP1039" s="47" t="n"/>
    </row>
    <row r="1040">
      <c r="A1040" s="47" t="n"/>
      <c r="B1040" s="47" t="n"/>
      <c r="C1040" s="47" t="n"/>
      <c r="D1040" s="47" t="n"/>
      <c r="E1040" s="59" t="n"/>
      <c r="F1040" s="59" t="n"/>
      <c r="G1040" s="60" t="n"/>
      <c r="H1040" s="47" t="n"/>
      <c r="I1040" s="47" t="n"/>
      <c r="J1040" s="59" t="n"/>
      <c r="K1040" s="59" t="n"/>
      <c r="L1040" s="59" t="n"/>
      <c r="M1040" s="47" t="n"/>
      <c r="N1040" s="47" t="n"/>
      <c r="O1040" s="47" t="n"/>
      <c r="P1040" s="47" t="n"/>
      <c r="Q1040" s="47" t="n"/>
      <c r="R1040" s="47" t="n"/>
      <c r="S1040" s="47" t="n"/>
      <c r="T1040" s="47" t="n"/>
      <c r="U1040" s="47" t="n"/>
      <c r="V1040" s="47" t="n"/>
      <c r="W1040" s="59" t="n"/>
      <c r="X1040" s="61" t="n"/>
      <c r="Y1040" s="59" t="n"/>
      <c r="Z1040" s="59" t="n"/>
      <c r="AA1040" s="59" t="n"/>
      <c r="AB1040" s="59" t="n"/>
      <c r="AC1040" s="59" t="n"/>
      <c r="AD1040" s="47" t="n"/>
      <c r="AE1040" s="47" t="n"/>
      <c r="AF1040" s="47" t="n"/>
      <c r="AG1040" s="47" t="n"/>
      <c r="AH1040" s="47" t="n"/>
      <c r="AI1040" s="47" t="n"/>
      <c r="AJ1040" s="47" t="n"/>
      <c r="AK1040" s="47" t="n"/>
      <c r="AL1040" s="47" t="n"/>
      <c r="AM1040" s="47" t="n"/>
      <c r="AN1040" s="47" t="n"/>
      <c r="AO1040" s="47" t="n"/>
      <c r="AP1040" s="47" t="n"/>
    </row>
    <row r="1041">
      <c r="A1041" s="47" t="n"/>
      <c r="B1041" s="47" t="n"/>
      <c r="C1041" s="47" t="n"/>
      <c r="D1041" s="47" t="n"/>
      <c r="E1041" s="59" t="n"/>
      <c r="F1041" s="59" t="n"/>
      <c r="G1041" s="60" t="n"/>
      <c r="H1041" s="47" t="n"/>
      <c r="I1041" s="47" t="n"/>
      <c r="J1041" s="59" t="n"/>
      <c r="K1041" s="59" t="n"/>
      <c r="L1041" s="59" t="n"/>
      <c r="M1041" s="47" t="n"/>
      <c r="N1041" s="47" t="n"/>
      <c r="O1041" s="47" t="n"/>
      <c r="P1041" s="47" t="n"/>
      <c r="Q1041" s="47" t="n"/>
      <c r="R1041" s="47" t="n"/>
      <c r="S1041" s="47" t="n"/>
      <c r="T1041" s="47" t="n"/>
      <c r="U1041" s="47" t="n"/>
      <c r="V1041" s="47" t="n"/>
      <c r="W1041" s="59" t="n"/>
      <c r="X1041" s="61" t="n"/>
      <c r="Y1041" s="59" t="n"/>
      <c r="Z1041" s="59" t="n"/>
      <c r="AA1041" s="59" t="n"/>
      <c r="AB1041" s="59" t="n"/>
      <c r="AC1041" s="59" t="n"/>
      <c r="AD1041" s="47" t="n"/>
      <c r="AE1041" s="47" t="n"/>
      <c r="AF1041" s="47" t="n"/>
      <c r="AG1041" s="47" t="n"/>
      <c r="AH1041" s="47" t="n"/>
      <c r="AI1041" s="47" t="n"/>
      <c r="AJ1041" s="47" t="n"/>
      <c r="AK1041" s="47" t="n"/>
      <c r="AL1041" s="47" t="n"/>
      <c r="AM1041" s="47" t="n"/>
      <c r="AN1041" s="47" t="n"/>
      <c r="AO1041" s="47" t="n"/>
      <c r="AP1041" s="47" t="n"/>
    </row>
    <row r="1042">
      <c r="A1042" s="47" t="n"/>
      <c r="B1042" s="47" t="n"/>
      <c r="C1042" s="47" t="n"/>
      <c r="D1042" s="47" t="n"/>
      <c r="E1042" s="59" t="n"/>
      <c r="F1042" s="59" t="n"/>
      <c r="G1042" s="60" t="n"/>
      <c r="H1042" s="47" t="n"/>
      <c r="I1042" s="47" t="n"/>
      <c r="J1042" s="59" t="n"/>
      <c r="K1042" s="59" t="n"/>
      <c r="L1042" s="59" t="n"/>
      <c r="M1042" s="47" t="n"/>
      <c r="N1042" s="47" t="n"/>
      <c r="O1042" s="47" t="n"/>
      <c r="P1042" s="47" t="n"/>
      <c r="Q1042" s="47" t="n"/>
      <c r="R1042" s="47" t="n"/>
      <c r="S1042" s="47" t="n"/>
      <c r="T1042" s="47" t="n"/>
      <c r="U1042" s="47" t="n"/>
      <c r="V1042" s="47" t="n"/>
      <c r="W1042" s="59" t="n"/>
      <c r="X1042" s="61" t="n"/>
      <c r="Y1042" s="59" t="n"/>
      <c r="Z1042" s="59" t="n"/>
      <c r="AA1042" s="59" t="n"/>
      <c r="AB1042" s="59" t="n"/>
      <c r="AC1042" s="59" t="n"/>
      <c r="AD1042" s="47" t="n"/>
      <c r="AE1042" s="47" t="n"/>
      <c r="AF1042" s="47" t="n"/>
      <c r="AG1042" s="47" t="n"/>
      <c r="AH1042" s="47" t="n"/>
      <c r="AI1042" s="47" t="n"/>
      <c r="AJ1042" s="47" t="n"/>
      <c r="AK1042" s="47" t="n"/>
      <c r="AL1042" s="47" t="n"/>
      <c r="AM1042" s="47" t="n"/>
      <c r="AN1042" s="47" t="n"/>
      <c r="AO1042" s="47" t="n"/>
      <c r="AP1042" s="47" t="n"/>
    </row>
    <row r="1043">
      <c r="A1043" s="47" t="n"/>
      <c r="B1043" s="47" t="n"/>
      <c r="C1043" s="47" t="n"/>
      <c r="D1043" s="47" t="n"/>
      <c r="E1043" s="59" t="n"/>
      <c r="F1043" s="59" t="n"/>
      <c r="G1043" s="60" t="n"/>
      <c r="H1043" s="47" t="n"/>
      <c r="I1043" s="47" t="n"/>
      <c r="J1043" s="59" t="n"/>
      <c r="K1043" s="59" t="n"/>
      <c r="L1043" s="59" t="n"/>
      <c r="M1043" s="47" t="n"/>
      <c r="N1043" s="47" t="n"/>
      <c r="O1043" s="47" t="n"/>
      <c r="P1043" s="47" t="n"/>
      <c r="Q1043" s="47" t="n"/>
      <c r="R1043" s="47" t="n"/>
      <c r="S1043" s="47" t="n"/>
      <c r="T1043" s="47" t="n"/>
      <c r="U1043" s="47" t="n"/>
      <c r="V1043" s="47" t="n"/>
      <c r="W1043" s="59" t="n"/>
      <c r="X1043" s="61" t="n"/>
      <c r="Y1043" s="59" t="n"/>
      <c r="Z1043" s="59" t="n"/>
      <c r="AA1043" s="59" t="n"/>
      <c r="AB1043" s="59" t="n"/>
      <c r="AC1043" s="59" t="n"/>
      <c r="AD1043" s="47" t="n"/>
      <c r="AE1043" s="47" t="n"/>
      <c r="AF1043" s="47" t="n"/>
      <c r="AG1043" s="47" t="n"/>
      <c r="AH1043" s="47" t="n"/>
      <c r="AI1043" s="47" t="n"/>
      <c r="AJ1043" s="47" t="n"/>
      <c r="AK1043" s="47" t="n"/>
      <c r="AL1043" s="47" t="n"/>
      <c r="AM1043" s="47" t="n"/>
      <c r="AN1043" s="47" t="n"/>
      <c r="AO1043" s="47" t="n"/>
      <c r="AP1043" s="47" t="n"/>
    </row>
    <row r="1044">
      <c r="A1044" s="47" t="n"/>
      <c r="B1044" s="47" t="n"/>
      <c r="C1044" s="47" t="n"/>
      <c r="D1044" s="47" t="n"/>
      <c r="E1044" s="59" t="n"/>
      <c r="F1044" s="59" t="n"/>
      <c r="G1044" s="60" t="n"/>
      <c r="H1044" s="47" t="n"/>
      <c r="I1044" s="47" t="n"/>
      <c r="J1044" s="59" t="n"/>
      <c r="K1044" s="59" t="n"/>
      <c r="L1044" s="59" t="n"/>
      <c r="M1044" s="47" t="n"/>
      <c r="N1044" s="47" t="n"/>
      <c r="O1044" s="47" t="n"/>
      <c r="P1044" s="47" t="n"/>
      <c r="Q1044" s="47" t="n"/>
      <c r="R1044" s="47" t="n"/>
      <c r="S1044" s="47" t="n"/>
      <c r="T1044" s="47" t="n"/>
      <c r="U1044" s="47" t="n"/>
      <c r="V1044" s="47" t="n"/>
      <c r="W1044" s="59" t="n"/>
      <c r="X1044" s="61" t="n"/>
      <c r="Y1044" s="59" t="n"/>
      <c r="Z1044" s="59" t="n"/>
      <c r="AA1044" s="59" t="n"/>
      <c r="AB1044" s="59" t="n"/>
      <c r="AC1044" s="59" t="n"/>
      <c r="AD1044" s="47" t="n"/>
      <c r="AE1044" s="47" t="n"/>
      <c r="AF1044" s="47" t="n"/>
      <c r="AG1044" s="47" t="n"/>
      <c r="AH1044" s="47" t="n"/>
      <c r="AI1044" s="47" t="n"/>
      <c r="AJ1044" s="47" t="n"/>
      <c r="AK1044" s="47" t="n"/>
      <c r="AL1044" s="47" t="n"/>
      <c r="AM1044" s="47" t="n"/>
      <c r="AN1044" s="47" t="n"/>
      <c r="AO1044" s="47" t="n"/>
      <c r="AP1044" s="47" t="n"/>
    </row>
    <row r="1045">
      <c r="A1045" s="47" t="n"/>
      <c r="B1045" s="47" t="n"/>
      <c r="C1045" s="47" t="n"/>
      <c r="D1045" s="47" t="n"/>
      <c r="E1045" s="59" t="n"/>
      <c r="F1045" s="59" t="n"/>
      <c r="G1045" s="60" t="n"/>
      <c r="H1045" s="47" t="n"/>
      <c r="I1045" s="47" t="n"/>
      <c r="J1045" s="59" t="n"/>
      <c r="K1045" s="59" t="n"/>
      <c r="L1045" s="59" t="n"/>
      <c r="M1045" s="47" t="n"/>
      <c r="N1045" s="47" t="n"/>
      <c r="O1045" s="47" t="n"/>
      <c r="P1045" s="47" t="n"/>
      <c r="Q1045" s="47" t="n"/>
      <c r="R1045" s="47" t="n"/>
      <c r="S1045" s="47" t="n"/>
      <c r="T1045" s="47" t="n"/>
      <c r="U1045" s="47" t="n"/>
      <c r="V1045" s="47" t="n"/>
      <c r="W1045" s="59" t="n"/>
      <c r="X1045" s="61" t="n"/>
      <c r="Y1045" s="59" t="n"/>
      <c r="Z1045" s="59" t="n"/>
      <c r="AA1045" s="59" t="n"/>
      <c r="AB1045" s="59" t="n"/>
      <c r="AC1045" s="59" t="n"/>
      <c r="AD1045" s="47" t="n"/>
      <c r="AE1045" s="47" t="n"/>
      <c r="AF1045" s="47" t="n"/>
      <c r="AG1045" s="47" t="n"/>
      <c r="AH1045" s="47" t="n"/>
      <c r="AI1045" s="47" t="n"/>
      <c r="AJ1045" s="47" t="n"/>
      <c r="AK1045" s="47" t="n"/>
      <c r="AL1045" s="47" t="n"/>
      <c r="AM1045" s="47" t="n"/>
      <c r="AN1045" s="47" t="n"/>
      <c r="AO1045" s="47" t="n"/>
      <c r="AP1045" s="47" t="n"/>
    </row>
    <row r="1046">
      <c r="A1046" s="47" t="n"/>
      <c r="B1046" s="47" t="n"/>
      <c r="C1046" s="47" t="n"/>
      <c r="D1046" s="47" t="n"/>
      <c r="E1046" s="59" t="n"/>
      <c r="F1046" s="59" t="n"/>
      <c r="G1046" s="60" t="n"/>
      <c r="H1046" s="47" t="n"/>
      <c r="I1046" s="47" t="n"/>
      <c r="J1046" s="59" t="n"/>
      <c r="K1046" s="59" t="n"/>
      <c r="L1046" s="59" t="n"/>
      <c r="M1046" s="47" t="n"/>
      <c r="N1046" s="47" t="n"/>
      <c r="O1046" s="47" t="n"/>
      <c r="P1046" s="47" t="n"/>
      <c r="Q1046" s="47" t="n"/>
      <c r="R1046" s="47" t="n"/>
      <c r="S1046" s="47" t="n"/>
      <c r="T1046" s="47" t="n"/>
      <c r="U1046" s="47" t="n"/>
      <c r="V1046" s="47" t="n"/>
      <c r="W1046" s="59" t="n"/>
      <c r="X1046" s="61" t="n"/>
      <c r="Y1046" s="59" t="n"/>
      <c r="Z1046" s="59" t="n"/>
      <c r="AA1046" s="59" t="n"/>
      <c r="AB1046" s="59" t="n"/>
      <c r="AC1046" s="59" t="n"/>
      <c r="AD1046" s="47" t="n"/>
      <c r="AE1046" s="47" t="n"/>
      <c r="AF1046" s="47" t="n"/>
      <c r="AG1046" s="47" t="n"/>
      <c r="AH1046" s="47" t="n"/>
      <c r="AI1046" s="47" t="n"/>
      <c r="AJ1046" s="47" t="n"/>
      <c r="AK1046" s="47" t="n"/>
      <c r="AL1046" s="47" t="n"/>
      <c r="AM1046" s="47" t="n"/>
      <c r="AN1046" s="47" t="n"/>
      <c r="AO1046" s="47" t="n"/>
      <c r="AP1046" s="47" t="n"/>
    </row>
    <row r="1047">
      <c r="A1047" s="47" t="n"/>
      <c r="B1047" s="47" t="n"/>
      <c r="C1047" s="47" t="n"/>
      <c r="D1047" s="47" t="n"/>
      <c r="E1047" s="59" t="n"/>
      <c r="F1047" s="59" t="n"/>
      <c r="G1047" s="60" t="n"/>
      <c r="H1047" s="47" t="n"/>
      <c r="I1047" s="47" t="n"/>
      <c r="J1047" s="59" t="n"/>
      <c r="K1047" s="59" t="n"/>
      <c r="L1047" s="59" t="n"/>
      <c r="M1047" s="47" t="n"/>
      <c r="N1047" s="47" t="n"/>
      <c r="O1047" s="47" t="n"/>
      <c r="P1047" s="47" t="n"/>
      <c r="Q1047" s="47" t="n"/>
      <c r="R1047" s="47" t="n"/>
      <c r="S1047" s="47" t="n"/>
      <c r="T1047" s="47" t="n"/>
      <c r="U1047" s="47" t="n"/>
      <c r="V1047" s="47" t="n"/>
      <c r="W1047" s="59" t="n"/>
      <c r="X1047" s="61" t="n"/>
      <c r="Y1047" s="59" t="n"/>
      <c r="Z1047" s="59" t="n"/>
      <c r="AA1047" s="59" t="n"/>
      <c r="AB1047" s="59" t="n"/>
      <c r="AC1047" s="59" t="n"/>
      <c r="AD1047" s="47" t="n"/>
      <c r="AE1047" s="47" t="n"/>
      <c r="AF1047" s="47" t="n"/>
      <c r="AG1047" s="47" t="n"/>
      <c r="AH1047" s="47" t="n"/>
      <c r="AI1047" s="47" t="n"/>
      <c r="AJ1047" s="47" t="n"/>
      <c r="AK1047" s="47" t="n"/>
      <c r="AL1047" s="47" t="n"/>
      <c r="AM1047" s="47" t="n"/>
      <c r="AN1047" s="47" t="n"/>
      <c r="AO1047" s="47" t="n"/>
      <c r="AP1047" s="47" t="n"/>
    </row>
    <row r="1048">
      <c r="A1048" s="47" t="n"/>
      <c r="B1048" s="47" t="n"/>
      <c r="C1048" s="47" t="n"/>
      <c r="D1048" s="47" t="n"/>
      <c r="E1048" s="59" t="n"/>
      <c r="F1048" s="59" t="n"/>
      <c r="G1048" s="60" t="n"/>
      <c r="H1048" s="47" t="n"/>
      <c r="I1048" s="47" t="n"/>
      <c r="J1048" s="59" t="n"/>
      <c r="K1048" s="59" t="n"/>
      <c r="L1048" s="59" t="n"/>
      <c r="M1048" s="47" t="n"/>
      <c r="N1048" s="47" t="n"/>
      <c r="O1048" s="47" t="n"/>
      <c r="P1048" s="47" t="n"/>
      <c r="Q1048" s="47" t="n"/>
      <c r="R1048" s="47" t="n"/>
      <c r="S1048" s="47" t="n"/>
      <c r="T1048" s="47" t="n"/>
      <c r="U1048" s="47" t="n"/>
      <c r="V1048" s="47" t="n"/>
      <c r="W1048" s="59" t="n"/>
      <c r="X1048" s="61" t="n"/>
      <c r="Y1048" s="59" t="n"/>
      <c r="Z1048" s="59" t="n"/>
      <c r="AA1048" s="59" t="n"/>
      <c r="AB1048" s="59" t="n"/>
      <c r="AC1048" s="59" t="n"/>
      <c r="AD1048" s="47" t="n"/>
      <c r="AE1048" s="47" t="n"/>
      <c r="AF1048" s="47" t="n"/>
      <c r="AG1048" s="47" t="n"/>
      <c r="AH1048" s="47" t="n"/>
      <c r="AI1048" s="47" t="n"/>
      <c r="AJ1048" s="47" t="n"/>
      <c r="AK1048" s="47" t="n"/>
      <c r="AL1048" s="47" t="n"/>
      <c r="AM1048" s="47" t="n"/>
      <c r="AN1048" s="47" t="n"/>
      <c r="AO1048" s="47" t="n"/>
      <c r="AP1048" s="47" t="n"/>
    </row>
    <row r="1049">
      <c r="A1049" s="47" t="n"/>
      <c r="B1049" s="47" t="n"/>
      <c r="C1049" s="47" t="n"/>
      <c r="D1049" s="47" t="n"/>
      <c r="E1049" s="59" t="n"/>
      <c r="F1049" s="59" t="n"/>
      <c r="G1049" s="60" t="n"/>
      <c r="H1049" s="47" t="n"/>
      <c r="I1049" s="47" t="n"/>
      <c r="J1049" s="59" t="n"/>
      <c r="K1049" s="59" t="n"/>
      <c r="L1049" s="59" t="n"/>
      <c r="M1049" s="47" t="n"/>
      <c r="N1049" s="47" t="n"/>
      <c r="O1049" s="47" t="n"/>
      <c r="P1049" s="47" t="n"/>
      <c r="Q1049" s="47" t="n"/>
      <c r="R1049" s="47" t="n"/>
      <c r="S1049" s="47" t="n"/>
      <c r="T1049" s="47" t="n"/>
      <c r="U1049" s="47" t="n"/>
      <c r="V1049" s="47" t="n"/>
      <c r="W1049" s="59" t="n"/>
      <c r="X1049" s="61" t="n"/>
      <c r="Y1049" s="59" t="n"/>
      <c r="Z1049" s="59" t="n"/>
      <c r="AA1049" s="59" t="n"/>
      <c r="AB1049" s="59" t="n"/>
      <c r="AC1049" s="59" t="n"/>
      <c r="AD1049" s="47" t="n"/>
      <c r="AE1049" s="47" t="n"/>
      <c r="AF1049" s="47" t="n"/>
      <c r="AG1049" s="47" t="n"/>
      <c r="AH1049" s="47" t="n"/>
      <c r="AI1049" s="47" t="n"/>
      <c r="AJ1049" s="47" t="n"/>
      <c r="AK1049" s="47" t="n"/>
      <c r="AL1049" s="47" t="n"/>
      <c r="AM1049" s="47" t="n"/>
      <c r="AN1049" s="47" t="n"/>
      <c r="AO1049" s="47" t="n"/>
      <c r="AP1049" s="47" t="n"/>
    </row>
    <row r="1050">
      <c r="A1050" s="47" t="n"/>
      <c r="B1050" s="47" t="n"/>
      <c r="C1050" s="47" t="n"/>
      <c r="D1050" s="47" t="n"/>
      <c r="E1050" s="59" t="n"/>
      <c r="F1050" s="59" t="n"/>
      <c r="G1050" s="60" t="n"/>
      <c r="H1050" s="47" t="n"/>
      <c r="I1050" s="47" t="n"/>
      <c r="J1050" s="59" t="n"/>
      <c r="K1050" s="59" t="n"/>
      <c r="L1050" s="59" t="n"/>
      <c r="M1050" s="47" t="n"/>
      <c r="N1050" s="47" t="n"/>
      <c r="O1050" s="47" t="n"/>
      <c r="P1050" s="47" t="n"/>
      <c r="Q1050" s="47" t="n"/>
      <c r="R1050" s="47" t="n"/>
      <c r="S1050" s="47" t="n"/>
      <c r="T1050" s="47" t="n"/>
      <c r="U1050" s="47" t="n"/>
      <c r="V1050" s="47" t="n"/>
      <c r="W1050" s="59" t="n"/>
      <c r="X1050" s="61" t="n"/>
      <c r="Y1050" s="59" t="n"/>
      <c r="Z1050" s="59" t="n"/>
      <c r="AA1050" s="59" t="n"/>
      <c r="AB1050" s="59" t="n"/>
      <c r="AC1050" s="59" t="n"/>
      <c r="AD1050" s="47" t="n"/>
      <c r="AE1050" s="47" t="n"/>
      <c r="AF1050" s="47" t="n"/>
      <c r="AG1050" s="47" t="n"/>
      <c r="AH1050" s="47" t="n"/>
      <c r="AI1050" s="47" t="n"/>
      <c r="AJ1050" s="47" t="n"/>
      <c r="AK1050" s="47" t="n"/>
      <c r="AL1050" s="47" t="n"/>
      <c r="AM1050" s="47" t="n"/>
      <c r="AN1050" s="47" t="n"/>
      <c r="AO1050" s="47" t="n"/>
      <c r="AP1050" s="47" t="n"/>
    </row>
    <row r="1051">
      <c r="A1051" s="47" t="n"/>
      <c r="B1051" s="47" t="n"/>
      <c r="C1051" s="47" t="n"/>
      <c r="D1051" s="47" t="n"/>
      <c r="E1051" s="59" t="n"/>
      <c r="F1051" s="59" t="n"/>
      <c r="G1051" s="60" t="n"/>
      <c r="H1051" s="47" t="n"/>
      <c r="I1051" s="47" t="n"/>
      <c r="J1051" s="59" t="n"/>
      <c r="K1051" s="59" t="n"/>
      <c r="L1051" s="59" t="n"/>
      <c r="M1051" s="47" t="n"/>
      <c r="N1051" s="47" t="n"/>
      <c r="O1051" s="47" t="n"/>
      <c r="P1051" s="47" t="n"/>
      <c r="Q1051" s="47" t="n"/>
      <c r="R1051" s="47" t="n"/>
      <c r="S1051" s="47" t="n"/>
      <c r="T1051" s="47" t="n"/>
      <c r="U1051" s="47" t="n"/>
      <c r="V1051" s="47" t="n"/>
      <c r="W1051" s="59" t="n"/>
      <c r="X1051" s="61" t="n"/>
      <c r="Y1051" s="59" t="n"/>
      <c r="Z1051" s="59" t="n"/>
      <c r="AA1051" s="59" t="n"/>
      <c r="AB1051" s="59" t="n"/>
      <c r="AC1051" s="59" t="n"/>
      <c r="AD1051" s="47" t="n"/>
      <c r="AE1051" s="47" t="n"/>
      <c r="AF1051" s="47" t="n"/>
      <c r="AG1051" s="47" t="n"/>
      <c r="AH1051" s="47" t="n"/>
      <c r="AI1051" s="47" t="n"/>
      <c r="AJ1051" s="47" t="n"/>
      <c r="AK1051" s="47" t="n"/>
      <c r="AL1051" s="47" t="n"/>
      <c r="AM1051" s="47" t="n"/>
      <c r="AN1051" s="47" t="n"/>
      <c r="AO1051" s="47" t="n"/>
      <c r="AP1051" s="47" t="n"/>
    </row>
    <row r="1052">
      <c r="A1052" s="47" t="n"/>
      <c r="B1052" s="47" t="n"/>
      <c r="C1052" s="47" t="n"/>
      <c r="D1052" s="47" t="n"/>
      <c r="E1052" s="59" t="n"/>
      <c r="F1052" s="59" t="n"/>
      <c r="G1052" s="60" t="n"/>
      <c r="H1052" s="47" t="n"/>
      <c r="I1052" s="47" t="n"/>
      <c r="J1052" s="59" t="n"/>
      <c r="K1052" s="59" t="n"/>
      <c r="L1052" s="59" t="n"/>
      <c r="M1052" s="47" t="n"/>
      <c r="N1052" s="47" t="n"/>
      <c r="O1052" s="47" t="n"/>
      <c r="P1052" s="47" t="n"/>
      <c r="Q1052" s="47" t="n"/>
      <c r="R1052" s="47" t="n"/>
      <c r="S1052" s="47" t="n"/>
      <c r="T1052" s="47" t="n"/>
      <c r="U1052" s="47" t="n"/>
      <c r="V1052" s="47" t="n"/>
      <c r="W1052" s="59" t="n"/>
      <c r="X1052" s="61" t="n"/>
      <c r="Y1052" s="59" t="n"/>
      <c r="Z1052" s="59" t="n"/>
      <c r="AA1052" s="59" t="n"/>
      <c r="AB1052" s="59" t="n"/>
      <c r="AC1052" s="59" t="n"/>
      <c r="AD1052" s="47" t="n"/>
      <c r="AE1052" s="47" t="n"/>
      <c r="AF1052" s="47" t="n"/>
      <c r="AG1052" s="47" t="n"/>
      <c r="AH1052" s="47" t="n"/>
      <c r="AI1052" s="47" t="n"/>
      <c r="AJ1052" s="47" t="n"/>
      <c r="AK1052" s="47" t="n"/>
      <c r="AL1052" s="47" t="n"/>
      <c r="AM1052" s="47" t="n"/>
      <c r="AN1052" s="47" t="n"/>
      <c r="AO1052" s="47" t="n"/>
      <c r="AP1052" s="47" t="n"/>
    </row>
    <row r="1053">
      <c r="A1053" s="47" t="n"/>
      <c r="B1053" s="47" t="n"/>
      <c r="C1053" s="47" t="n"/>
      <c r="D1053" s="47" t="n"/>
      <c r="E1053" s="59" t="n"/>
      <c r="F1053" s="59" t="n"/>
      <c r="G1053" s="60" t="n"/>
      <c r="H1053" s="47" t="n"/>
      <c r="I1053" s="47" t="n"/>
      <c r="J1053" s="59" t="n"/>
      <c r="K1053" s="59" t="n"/>
      <c r="L1053" s="59" t="n"/>
      <c r="M1053" s="47" t="n"/>
      <c r="N1053" s="47" t="n"/>
      <c r="O1053" s="47" t="n"/>
      <c r="P1053" s="47" t="n"/>
      <c r="Q1053" s="47" t="n"/>
      <c r="R1053" s="47" t="n"/>
      <c r="S1053" s="47" t="n"/>
      <c r="T1053" s="47" t="n"/>
      <c r="U1053" s="47" t="n"/>
      <c r="V1053" s="47" t="n"/>
      <c r="W1053" s="59" t="n"/>
      <c r="X1053" s="61" t="n"/>
      <c r="Y1053" s="59" t="n"/>
      <c r="Z1053" s="59" t="n"/>
      <c r="AA1053" s="59" t="n"/>
      <c r="AB1053" s="59" t="n"/>
      <c r="AC1053" s="59" t="n"/>
      <c r="AD1053" s="47" t="n"/>
      <c r="AE1053" s="47" t="n"/>
      <c r="AF1053" s="47" t="n"/>
      <c r="AG1053" s="47" t="n"/>
      <c r="AH1053" s="47" t="n"/>
      <c r="AI1053" s="47" t="n"/>
      <c r="AJ1053" s="47" t="n"/>
      <c r="AK1053" s="47" t="n"/>
      <c r="AL1053" s="47" t="n"/>
      <c r="AM1053" s="47" t="n"/>
      <c r="AN1053" s="47" t="n"/>
      <c r="AO1053" s="47" t="n"/>
      <c r="AP1053" s="47" t="n"/>
    </row>
    <row r="1054">
      <c r="A1054" s="47" t="n"/>
      <c r="B1054" s="47" t="n"/>
      <c r="C1054" s="47" t="n"/>
      <c r="D1054" s="47" t="n"/>
      <c r="E1054" s="59" t="n"/>
      <c r="F1054" s="59" t="n"/>
      <c r="G1054" s="60" t="n"/>
      <c r="H1054" s="47" t="n"/>
      <c r="I1054" s="47" t="n"/>
      <c r="J1054" s="59" t="n"/>
      <c r="K1054" s="59" t="n"/>
      <c r="L1054" s="59" t="n"/>
      <c r="M1054" s="47" t="n"/>
      <c r="N1054" s="47" t="n"/>
      <c r="O1054" s="47" t="n"/>
      <c r="P1054" s="47" t="n"/>
      <c r="Q1054" s="47" t="n"/>
      <c r="R1054" s="47" t="n"/>
      <c r="S1054" s="47" t="n"/>
      <c r="T1054" s="47" t="n"/>
      <c r="U1054" s="47" t="n"/>
      <c r="V1054" s="47" t="n"/>
      <c r="W1054" s="59" t="n"/>
      <c r="X1054" s="61" t="n"/>
      <c r="Y1054" s="59" t="n"/>
      <c r="Z1054" s="59" t="n"/>
      <c r="AA1054" s="59" t="n"/>
      <c r="AB1054" s="59" t="n"/>
      <c r="AC1054" s="59" t="n"/>
      <c r="AD1054" s="47" t="n"/>
      <c r="AE1054" s="47" t="n"/>
      <c r="AF1054" s="47" t="n"/>
      <c r="AG1054" s="47" t="n"/>
      <c r="AH1054" s="47" t="n"/>
      <c r="AI1054" s="47" t="n"/>
      <c r="AJ1054" s="47" t="n"/>
      <c r="AK1054" s="47" t="n"/>
      <c r="AL1054" s="47" t="n"/>
      <c r="AM1054" s="47" t="n"/>
      <c r="AN1054" s="47" t="n"/>
      <c r="AO1054" s="47" t="n"/>
      <c r="AP1054" s="47" t="n"/>
    </row>
  </sheetData>
  <autoFilter ref="$A$4:$AO$131"/>
  <mergeCells count="5">
    <mergeCell ref="W2:AC3"/>
    <mergeCell ref="S3:V3"/>
    <mergeCell ref="K2:V2"/>
    <mergeCell ref="K3:N3"/>
    <mergeCell ref="O3:R3"/>
  </mergeCells>
  <conditionalFormatting sqref="C1:C105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2">
    <cfRule type="containsText" priority="3" operator="containsText" dxfId="2" text="DIV">
      <formula>NOT(ISERROR(SEARCH(("DIV"),(B1))))</formula>
    </cfRule>
  </conditionalFormatting>
  <conditionalFormatting sqref="A5:AD98">
    <cfRule type="expression" priority="4" dxfId="1">
      <formula>NOT(ISBLANK($W5))</formula>
    </cfRule>
  </conditionalFormatting>
  <conditionalFormatting sqref="K5:K98 O5:O98 S5:S9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NSE:ASHOKLEY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 t="n">
        <v>201.5</v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 t="n">
        <v>205.19</v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 t="n">
        <v>95.93000000000001</v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8" t="n"/>
      <c r="C5" s="68" t="n"/>
      <c r="D5" s="68" t="n"/>
      <c r="E5" s="68" t="n"/>
      <c r="F5" s="68" t="n"/>
      <c r="G5" s="68" t="n"/>
      <c r="H5" s="68" t="n"/>
      <c r="I5" s="68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9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8" t="n"/>
      <c r="C7" s="64" t="n"/>
      <c r="D7" s="64" t="n"/>
      <c r="E7" s="68" t="n"/>
      <c r="F7" s="64" t="n"/>
      <c r="G7" s="64" t="n"/>
      <c r="H7" s="68" t="n"/>
      <c r="I7" s="64" t="n"/>
      <c r="J7" s="64" t="n"/>
      <c r="K7" s="68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1" t="inlineStr">
        <is>
          <t>All</t>
        </is>
      </c>
      <c r="B8" s="72" t="inlineStr">
        <is>
          <t>Units</t>
        </is>
      </c>
      <c r="C8" s="73">
        <f>SUM('Trading History'!$N$4:$N1004)</f>
        <v/>
      </c>
      <c r="D8" s="69" t="n"/>
      <c r="E8" s="74" t="inlineStr">
        <is>
          <t>ST Units</t>
        </is>
      </c>
      <c r="F8" s="73">
        <f>IFERROR(SUM('Trading History'!$R$4:$R1004), 0)</f>
        <v/>
      </c>
      <c r="G8" s="69" t="n"/>
      <c r="H8" s="75" t="inlineStr">
        <is>
          <t>LT Units</t>
        </is>
      </c>
      <c r="I8" s="73">
        <f>SUM('Trading History'!$V$4:$V1004)</f>
        <v/>
      </c>
      <c r="J8" s="69" t="n"/>
      <c r="K8" s="76" t="inlineStr">
        <is>
          <t>Units</t>
        </is>
      </c>
      <c r="L8" s="73">
        <f>SUM('Trading History'!$AB$4:$AB1004)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7" t="n"/>
      <c r="B9" s="78" t="inlineStr">
        <is>
          <t>Avg %</t>
        </is>
      </c>
      <c r="C9" s="66">
        <f>IFERROR(Index!C10/(Index!C8*Index!$C$2), 0)</f>
        <v/>
      </c>
      <c r="D9" s="69" t="n"/>
      <c r="E9" s="79" t="inlineStr">
        <is>
          <t>ST Avg %</t>
        </is>
      </c>
      <c r="F9" s="66">
        <f>IFERROR(Index!F10/(Index!F8*Index!$C$2), 0)</f>
        <v/>
      </c>
      <c r="G9" s="69" t="n"/>
      <c r="H9" s="80" t="inlineStr">
        <is>
          <t>LT Avg %</t>
        </is>
      </c>
      <c r="I9" s="66">
        <f>IFERROR(Index!I10/(Index!I8*Index!$C$2), 0)</f>
        <v/>
      </c>
      <c r="J9" s="69" t="n"/>
      <c r="K9" s="81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7" t="n"/>
      <c r="B10" s="78" t="inlineStr">
        <is>
          <t>Gain</t>
        </is>
      </c>
      <c r="C10" s="82">
        <f>SUM('Trading History'!$L$4:$L1004)</f>
        <v/>
      </c>
      <c r="D10" s="69" t="n"/>
      <c r="E10" s="79" t="inlineStr">
        <is>
          <t>ST Gain</t>
        </is>
      </c>
      <c r="F10" s="82">
        <f>SUM('Trading History'!$P$4:$P1004)</f>
        <v/>
      </c>
      <c r="G10" s="69" t="n"/>
      <c r="H10" s="80" t="inlineStr">
        <is>
          <t>LT Gain</t>
        </is>
      </c>
      <c r="I10" s="82">
        <f>SUM('Trading History'!$T$4:$T1004)</f>
        <v/>
      </c>
      <c r="J10" s="69" t="n"/>
      <c r="K10" s="81" t="inlineStr">
        <is>
          <t>Gain</t>
        </is>
      </c>
      <c r="L10" s="82">
        <f>SUM('Trading History'!$Z$4:$Z1004)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7" t="n"/>
      <c r="B11" s="78" t="inlineStr">
        <is>
          <t>Invested</t>
        </is>
      </c>
      <c r="C11" s="82">
        <f>Index!C12-Index!C10</f>
        <v/>
      </c>
      <c r="D11" s="69" t="n"/>
      <c r="E11" s="79" t="inlineStr">
        <is>
          <t>ST Invested</t>
        </is>
      </c>
      <c r="F11" s="82">
        <f>Index!F12-Index!F10</f>
        <v/>
      </c>
      <c r="G11" s="69" t="n"/>
      <c r="H11" s="80" t="inlineStr">
        <is>
          <t>LT Invested</t>
        </is>
      </c>
      <c r="I11" s="82">
        <f>Index!I12-Index!I10</f>
        <v/>
      </c>
      <c r="J11" s="69" t="n"/>
      <c r="K11" s="81" t="inlineStr">
        <is>
          <t>Invested</t>
        </is>
      </c>
      <c r="L11" s="82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7" t="n"/>
      <c r="B12" s="78" t="inlineStr">
        <is>
          <t>Gross</t>
        </is>
      </c>
      <c r="C12" s="82">
        <f>SUM('Trading History'!$M$4:$M1004)</f>
        <v/>
      </c>
      <c r="D12" s="69" t="n"/>
      <c r="E12" s="79" t="inlineStr">
        <is>
          <t>ST Gross</t>
        </is>
      </c>
      <c r="F12" s="82">
        <f>SUM('Trading History'!$Q$4:$Q1004)</f>
        <v/>
      </c>
      <c r="G12" s="69" t="n"/>
      <c r="H12" s="80" t="inlineStr">
        <is>
          <t>LT Gross</t>
        </is>
      </c>
      <c r="I12" s="82">
        <f>SUM('Trading History'!$U$4:$U1004)</f>
        <v/>
      </c>
      <c r="J12" s="69" t="n"/>
      <c r="K12" s="81" t="inlineStr">
        <is>
          <t>Gross</t>
        </is>
      </c>
      <c r="L12" s="82">
        <f>SUM('Trading History'!$AA$4:$AA1004)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7" t="n"/>
      <c r="B13" s="64" t="n"/>
      <c r="C13" s="83" t="n"/>
      <c r="D13" s="64" t="n"/>
      <c r="E13" s="84" t="n"/>
      <c r="F13" s="83" t="n"/>
      <c r="G13" s="64" t="n"/>
      <c r="H13" s="84" t="n"/>
      <c r="I13" s="83" t="n"/>
      <c r="J13" s="64" t="n"/>
      <c r="K13" s="81" t="inlineStr">
        <is>
          <t>Dividends</t>
        </is>
      </c>
      <c r="L13" s="82">
        <f>SUMIF('Trading History'!$B16:$B1004,"DIV",'Trading History'!$AC$4:$AC1004)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7" t="n"/>
      <c r="B14" s="64" t="n"/>
      <c r="C14" s="83" t="n"/>
      <c r="D14" s="64" t="n"/>
      <c r="E14" s="84" t="n"/>
      <c r="F14" s="83" t="n"/>
      <c r="G14" s="64" t="n"/>
      <c r="H14" s="84" t="n"/>
      <c r="I14" s="83" t="n"/>
      <c r="J14" s="64" t="n"/>
      <c r="K14" s="84" t="n"/>
      <c r="L14" s="83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1" t="n">
        <v>0.5</v>
      </c>
      <c r="B15" s="72" t="inlineStr">
        <is>
          <t>Units</t>
        </is>
      </c>
      <c r="C15" s="73">
        <f>SUMIFS('Trading History'!$N$4:$N1004, 'Trading History'!$K$4:$K1004, CONCAT("&gt;", $A15))</f>
        <v/>
      </c>
      <c r="D15" s="69" t="n"/>
      <c r="E15" s="74" t="inlineStr">
        <is>
          <t>ST Units</t>
        </is>
      </c>
      <c r="F15" s="73">
        <f>IFERROR(SUMIFS('Trading History'!$R$4:$R1004, 'Trading History'!$O$4:$O1004, CONCAT("&gt;", $A15)), 0)</f>
        <v/>
      </c>
      <c r="G15" s="69" t="n"/>
      <c r="H15" s="75" t="inlineStr">
        <is>
          <t>LT Units</t>
        </is>
      </c>
      <c r="I15" s="73">
        <f>SUMIFS('Trading History'!$V$4:$V1004, 'Trading History'!$S$4:$S1004, CONCAT("&gt;", $A15))</f>
        <v/>
      </c>
      <c r="J15" s="69" t="n"/>
      <c r="K15" s="76" t="inlineStr">
        <is>
          <t>Units</t>
        </is>
      </c>
      <c r="L15" s="73">
        <f>SUMIFS('Trading History'!$AB$4:$AB1004, 'Trading History'!$Y$4:$Y1004,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8" t="inlineStr">
        <is>
          <t>Avg %</t>
        </is>
      </c>
      <c r="C16" s="66">
        <f>IFERROR(Index!C17/(Index!C15*Index!$C$2), 0)</f>
        <v/>
      </c>
      <c r="D16" s="69" t="n"/>
      <c r="E16" s="79" t="inlineStr">
        <is>
          <t>ST Avg %</t>
        </is>
      </c>
      <c r="F16" s="66">
        <f>IFERROR(Index!F17/(Index!F15*Index!$C$2), 0)</f>
        <v/>
      </c>
      <c r="G16" s="69" t="n"/>
      <c r="H16" s="80" t="inlineStr">
        <is>
          <t>LT Avg %</t>
        </is>
      </c>
      <c r="I16" s="66">
        <f>IFERROR(Index!I17/(Index!I15*Index!$C$2), 0)</f>
        <v/>
      </c>
      <c r="J16" s="69" t="n"/>
      <c r="K16" s="81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8" t="inlineStr">
        <is>
          <t>Gain</t>
        </is>
      </c>
      <c r="C17" s="82">
        <f>SUMIFS('Trading History'!$L$4:$L1004, 'Trading History'!$K$4:$K1004, CONCAT("&gt;", $A15))</f>
        <v/>
      </c>
      <c r="D17" s="69" t="n"/>
      <c r="E17" s="79" t="inlineStr">
        <is>
          <t>ST Gain</t>
        </is>
      </c>
      <c r="F17" s="82">
        <f>SUMIFS('Trading History'!$P$4:$P1004, 'Trading History'!$O$4:$O1004, CONCAT("&gt;", $A15))</f>
        <v/>
      </c>
      <c r="G17" s="69" t="n"/>
      <c r="H17" s="80" t="inlineStr">
        <is>
          <t>LT Gain</t>
        </is>
      </c>
      <c r="I17" s="82">
        <f>SUMIFS('Trading History'!$T$4:$T1004, 'Trading History'!$S$4:$S1004, CONCAT("&gt;", $A15))</f>
        <v/>
      </c>
      <c r="J17" s="69" t="n"/>
      <c r="K17" s="81" t="inlineStr">
        <is>
          <t>Gain</t>
        </is>
      </c>
      <c r="L17" s="82">
        <f>SUMIFS('Trading History'!$Z$4:$Z1004, 'Trading History'!$Y$4:$Y1004,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8" t="inlineStr">
        <is>
          <t>Invested</t>
        </is>
      </c>
      <c r="C18" s="82">
        <f>Index!C19-Index!C17</f>
        <v/>
      </c>
      <c r="D18" s="69" t="n"/>
      <c r="E18" s="79" t="inlineStr">
        <is>
          <t>ST Invested</t>
        </is>
      </c>
      <c r="F18" s="82">
        <f>Index!F19-Index!F17</f>
        <v/>
      </c>
      <c r="G18" s="69" t="n"/>
      <c r="H18" s="80" t="inlineStr">
        <is>
          <t>LT Invested</t>
        </is>
      </c>
      <c r="I18" s="82">
        <f>Index!I19-Index!I17</f>
        <v/>
      </c>
      <c r="J18" s="69" t="n"/>
      <c r="K18" s="81" t="inlineStr">
        <is>
          <t>Invested</t>
        </is>
      </c>
      <c r="L18" s="82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8" t="inlineStr">
        <is>
          <t>Gross</t>
        </is>
      </c>
      <c r="C19" s="82">
        <f>SUMIFS('Trading History'!$M$4:$M1004, 'Trading History'!$K$4:$K1004, CONCAT("&gt;", $A15))</f>
        <v/>
      </c>
      <c r="D19" s="69" t="n"/>
      <c r="E19" s="79" t="inlineStr">
        <is>
          <t>ST Gross</t>
        </is>
      </c>
      <c r="F19" s="82">
        <f>SUMIFS('Trading History'!$Q$4:$Q1004, 'Trading History'!$O$4:$O1004, CONCAT("&gt;", $A15))</f>
        <v/>
      </c>
      <c r="G19" s="69" t="n"/>
      <c r="H19" s="80" t="inlineStr">
        <is>
          <t>LT Gross</t>
        </is>
      </c>
      <c r="I19" s="82">
        <f>SUMIFS('Trading History'!$U$4:$U1004, 'Trading History'!$S$4:$S1004, CONCAT("&gt;", $A15))</f>
        <v/>
      </c>
      <c r="J19" s="69" t="n"/>
      <c r="K19" s="81" t="inlineStr">
        <is>
          <t>Gross</t>
        </is>
      </c>
      <c r="L19" s="82">
        <f>SUMIFS('Trading History'!$AA$4:$AA1004, 'Trading History'!$Y$4:$Y1004,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84" t="n"/>
      <c r="L20" s="84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1" t="n">
        <v>0.45</v>
      </c>
      <c r="B22" s="72" t="inlineStr">
        <is>
          <t>Units</t>
        </is>
      </c>
      <c r="C22" s="73">
        <f>SUMIFS('Trading History'!$N$4:$N1004, 'Trading History'!$K$4:$K1004, CONCAT("&gt;", $A22))</f>
        <v/>
      </c>
      <c r="D22" s="69" t="n"/>
      <c r="E22" s="74" t="inlineStr">
        <is>
          <t>ST Units</t>
        </is>
      </c>
      <c r="F22" s="73">
        <f>IFERROR(SUMIFS('Trading History'!$R$4:$R1004, 'Trading History'!$O$4:$O1004, CONCAT("&gt;", $A22)), 0)</f>
        <v/>
      </c>
      <c r="G22" s="69" t="n"/>
      <c r="H22" s="75" t="inlineStr">
        <is>
          <t>LT Units</t>
        </is>
      </c>
      <c r="I22" s="73">
        <f>SUMIFS('Trading History'!$V$4:$V1004, 'Trading History'!$S$4:$S1004, CONCAT("&gt;", $A22))</f>
        <v/>
      </c>
      <c r="J22" s="69" t="n"/>
      <c r="K22" s="76" t="inlineStr">
        <is>
          <t>Units</t>
        </is>
      </c>
      <c r="L22" s="73">
        <f>SUMIFS('Trading History'!$AB$4:$AB1004, 'Trading History'!$Y$4:$Y1004,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8" t="inlineStr">
        <is>
          <t>Avg %</t>
        </is>
      </c>
      <c r="C23" s="66">
        <f>IFERROR(Index!C24/(Index!C22*Index!$C$2), 0)</f>
        <v/>
      </c>
      <c r="D23" s="69" t="n"/>
      <c r="E23" s="79" t="inlineStr">
        <is>
          <t>ST Avg %</t>
        </is>
      </c>
      <c r="F23" s="66">
        <f>IFERROR(Index!F24/(Index!F22*Index!$C$2), 0)</f>
        <v/>
      </c>
      <c r="G23" s="69" t="n"/>
      <c r="H23" s="80" t="inlineStr">
        <is>
          <t>LT Avg %</t>
        </is>
      </c>
      <c r="I23" s="66">
        <f>IFERROR(Index!I24/(Index!I22*Index!$C$2), 0)</f>
        <v/>
      </c>
      <c r="J23" s="69" t="n"/>
      <c r="K23" s="81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8" t="inlineStr">
        <is>
          <t>Gain</t>
        </is>
      </c>
      <c r="C24" s="82">
        <f>SUMIFS('Trading History'!$L$4:$L1004, 'Trading History'!$K$4:$K1004, CONCAT("&gt;", $A22))</f>
        <v/>
      </c>
      <c r="D24" s="69" t="n"/>
      <c r="E24" s="79" t="inlineStr">
        <is>
          <t>ST Gain</t>
        </is>
      </c>
      <c r="F24" s="82">
        <f>SUMIFS('Trading History'!$P$4:$P1004, 'Trading History'!$O$4:$O1004, CONCAT("&gt;", $A22))</f>
        <v/>
      </c>
      <c r="G24" s="69" t="n"/>
      <c r="H24" s="80" t="inlineStr">
        <is>
          <t>LT Gain</t>
        </is>
      </c>
      <c r="I24" s="82">
        <f>SUMIFS('Trading History'!$T$4:$T1004, 'Trading History'!$S$4:$S1004, CONCAT("&gt;", $A22))</f>
        <v/>
      </c>
      <c r="J24" s="69" t="n"/>
      <c r="K24" s="81" t="inlineStr">
        <is>
          <t>Gain</t>
        </is>
      </c>
      <c r="L24" s="82">
        <f>SUMIFS('Trading History'!$Z$4:$Z1004, 'Trading History'!$Y$4:$Y1004,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8" t="inlineStr">
        <is>
          <t>Invested</t>
        </is>
      </c>
      <c r="C25" s="82">
        <f>Index!C26-Index!C24</f>
        <v/>
      </c>
      <c r="D25" s="69" t="n"/>
      <c r="E25" s="79" t="inlineStr">
        <is>
          <t>ST Invested</t>
        </is>
      </c>
      <c r="F25" s="82">
        <f>Index!F26-Index!F24</f>
        <v/>
      </c>
      <c r="G25" s="69" t="n"/>
      <c r="H25" s="80" t="inlineStr">
        <is>
          <t>LT Invested</t>
        </is>
      </c>
      <c r="I25" s="82">
        <f>Index!I26-Index!I24</f>
        <v/>
      </c>
      <c r="J25" s="69" t="n"/>
      <c r="K25" s="81" t="inlineStr">
        <is>
          <t>Invested</t>
        </is>
      </c>
      <c r="L25" s="82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8" t="inlineStr">
        <is>
          <t>Gross</t>
        </is>
      </c>
      <c r="C26" s="82">
        <f>SUMIFS('Trading History'!$M$4:$M1004, 'Trading History'!$K$4:$K1004, CONCAT("&gt;", $A22))</f>
        <v/>
      </c>
      <c r="D26" s="69" t="n"/>
      <c r="E26" s="79" t="inlineStr">
        <is>
          <t>ST Gross</t>
        </is>
      </c>
      <c r="F26" s="82">
        <f>SUMIFS('Trading History'!$Q$4:$Q1004, 'Trading History'!$O$4:$O1004, CONCAT("&gt;", $A22))</f>
        <v/>
      </c>
      <c r="G26" s="69" t="n"/>
      <c r="H26" s="80" t="inlineStr">
        <is>
          <t>LT Gross</t>
        </is>
      </c>
      <c r="I26" s="82">
        <f>SUMIFS('Trading History'!$U$4:$U1004, 'Trading History'!$S$4:$S1004, CONCAT("&gt;", $A22))</f>
        <v/>
      </c>
      <c r="J26" s="69" t="n"/>
      <c r="K26" s="81" t="inlineStr">
        <is>
          <t>Gross</t>
        </is>
      </c>
      <c r="L26" s="82">
        <f>SUMIFS('Trading History'!$AA$4:$AA1004, 'Trading History'!$Y$4:$Y1004,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1" t="n">
        <v>0.4</v>
      </c>
      <c r="B29" s="72" t="inlineStr">
        <is>
          <t>Units</t>
        </is>
      </c>
      <c r="C29" s="73">
        <f>SUMIFS('Trading History'!$N$4:$N1004, 'Trading History'!$K$4:$K1004, CONCAT("&gt;", $A29))</f>
        <v/>
      </c>
      <c r="D29" s="69" t="n"/>
      <c r="E29" s="74" t="inlineStr">
        <is>
          <t>ST Units</t>
        </is>
      </c>
      <c r="F29" s="73">
        <f>IFERROR(SUMIFS('Trading History'!$R$4:$R1004, 'Trading History'!$O$4:$O1004, CONCAT("&gt;", $A29)), 0)</f>
        <v/>
      </c>
      <c r="G29" s="69" t="n"/>
      <c r="H29" s="75" t="inlineStr">
        <is>
          <t>LT Units</t>
        </is>
      </c>
      <c r="I29" s="73">
        <f>SUMIFS('Trading History'!$V$4:$V1004, 'Trading History'!$S$4:$S1004, CONCAT("&gt;", $A29))</f>
        <v/>
      </c>
      <c r="J29" s="69" t="n"/>
      <c r="K29" s="76" t="inlineStr">
        <is>
          <t>Units</t>
        </is>
      </c>
      <c r="L29" s="73">
        <f>SUMIFS('Trading History'!$AB$4:$AB1004, 'Trading History'!$Y$4:$Y1004,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8" t="inlineStr">
        <is>
          <t>Avg %</t>
        </is>
      </c>
      <c r="C30" s="66">
        <f>IFERROR(Index!C31/(Index!C29*Index!$C$2), 0)</f>
        <v/>
      </c>
      <c r="D30" s="69" t="n"/>
      <c r="E30" s="79" t="inlineStr">
        <is>
          <t>ST Avg %</t>
        </is>
      </c>
      <c r="F30" s="66">
        <f>IFERROR(Index!F31/(Index!F29*Index!$C$2), 0)</f>
        <v/>
      </c>
      <c r="G30" s="69" t="n"/>
      <c r="H30" s="80" t="inlineStr">
        <is>
          <t>LT Avg %</t>
        </is>
      </c>
      <c r="I30" s="66">
        <f>IFERROR(Index!I31/(Index!I29*Index!$C$2), 0)</f>
        <v/>
      </c>
      <c r="J30" s="69" t="n"/>
      <c r="K30" s="81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8" t="inlineStr">
        <is>
          <t>Gain</t>
        </is>
      </c>
      <c r="C31" s="82">
        <f>SUMIFS('Trading History'!$L$4:$L1004, 'Trading History'!$K$4:$K1004, CONCAT("&gt;", $A29))</f>
        <v/>
      </c>
      <c r="D31" s="69" t="n"/>
      <c r="E31" s="79" t="inlineStr">
        <is>
          <t>ST Gain</t>
        </is>
      </c>
      <c r="F31" s="82">
        <f>SUMIFS('Trading History'!$P$4:$P1004, 'Trading History'!$O$4:$O1004, CONCAT("&gt;", $A29))</f>
        <v/>
      </c>
      <c r="G31" s="69" t="n"/>
      <c r="H31" s="80" t="inlineStr">
        <is>
          <t>LT Gain</t>
        </is>
      </c>
      <c r="I31" s="82">
        <f>SUMIFS('Trading History'!$T$4:$T1004, 'Trading History'!$S$4:$S1004, CONCAT("&gt;", $A29))</f>
        <v/>
      </c>
      <c r="J31" s="69" t="n"/>
      <c r="K31" s="81" t="inlineStr">
        <is>
          <t>Gain</t>
        </is>
      </c>
      <c r="L31" s="82">
        <f>SUMIFS('Trading History'!$Z$4:$Z1004, 'Trading History'!$Y$4:$Y1004,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8" t="inlineStr">
        <is>
          <t>Invested</t>
        </is>
      </c>
      <c r="C32" s="82">
        <f>Index!C33-Index!C31</f>
        <v/>
      </c>
      <c r="D32" s="69" t="n"/>
      <c r="E32" s="79" t="inlineStr">
        <is>
          <t>ST Invested</t>
        </is>
      </c>
      <c r="F32" s="82">
        <f>Index!F33-Index!F31</f>
        <v/>
      </c>
      <c r="G32" s="69" t="n"/>
      <c r="H32" s="80" t="inlineStr">
        <is>
          <t>LT Invested</t>
        </is>
      </c>
      <c r="I32" s="82">
        <f>Index!I33-Index!I31</f>
        <v/>
      </c>
      <c r="J32" s="69" t="n"/>
      <c r="K32" s="81" t="inlineStr">
        <is>
          <t>Invested</t>
        </is>
      </c>
      <c r="L32" s="82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8" t="inlineStr">
        <is>
          <t>Gross</t>
        </is>
      </c>
      <c r="C33" s="82">
        <f>SUMIFS('Trading History'!$M$4:$M1004, 'Trading History'!$K$4:$K1004, CONCAT("&gt;", $A29))</f>
        <v/>
      </c>
      <c r="D33" s="69" t="n"/>
      <c r="E33" s="79" t="inlineStr">
        <is>
          <t>ST Gross</t>
        </is>
      </c>
      <c r="F33" s="82">
        <f>SUMIFS('Trading History'!$Q$4:$Q1004, 'Trading History'!$O$4:$O1004, CONCAT("&gt;", $A29))</f>
        <v/>
      </c>
      <c r="G33" s="69" t="n"/>
      <c r="H33" s="80" t="inlineStr">
        <is>
          <t>LT Gross</t>
        </is>
      </c>
      <c r="I33" s="82">
        <f>SUMIFS('Trading History'!$U$4:$U1004, 'Trading History'!$S$4:$S1004, CONCAT("&gt;", $A29))</f>
        <v/>
      </c>
      <c r="J33" s="69" t="n"/>
      <c r="K33" s="81" t="inlineStr">
        <is>
          <t>Gross</t>
        </is>
      </c>
      <c r="L33" s="82">
        <f>SUMIFS('Trading History'!$AA$4:$AA1004, 'Trading History'!$Y$4:$Y1004,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1" t="n">
        <v>0.35</v>
      </c>
      <c r="B36" s="72" t="inlineStr">
        <is>
          <t>Units</t>
        </is>
      </c>
      <c r="C36" s="73">
        <f>SUMIFS('Trading History'!$N$4:$N1004, 'Trading History'!$K$4:$K1004, CONCAT("&gt;", $A36))</f>
        <v/>
      </c>
      <c r="D36" s="69" t="n"/>
      <c r="E36" s="74" t="inlineStr">
        <is>
          <t>ST Units</t>
        </is>
      </c>
      <c r="F36" s="73">
        <f>IFERROR(SUMIFS('Trading History'!$R$4:$R1004, 'Trading History'!$O$4:$O1004, CONCAT("&gt;", $A36)), 0)</f>
        <v/>
      </c>
      <c r="G36" s="69" t="n"/>
      <c r="H36" s="75" t="inlineStr">
        <is>
          <t>LT Units</t>
        </is>
      </c>
      <c r="I36" s="73">
        <f>SUMIFS('Trading History'!$V$4:$V1004, 'Trading History'!$S$4:$S1004, CONCAT("&gt;", $A36))</f>
        <v/>
      </c>
      <c r="J36" s="69" t="n"/>
      <c r="K36" s="76" t="inlineStr">
        <is>
          <t>Units</t>
        </is>
      </c>
      <c r="L36" s="73">
        <f>SUMIFS('Trading History'!$AB$4:$AB1004, 'Trading History'!$Y$4:$Y1004,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8" t="inlineStr">
        <is>
          <t>Avg %</t>
        </is>
      </c>
      <c r="C37" s="66">
        <f>IFERROR(Index!C38/(Index!C36*Index!$C$2), 0)</f>
        <v/>
      </c>
      <c r="D37" s="69" t="n"/>
      <c r="E37" s="79" t="inlineStr">
        <is>
          <t>ST Avg %</t>
        </is>
      </c>
      <c r="F37" s="66">
        <f>IFERROR(Index!F38/(Index!F36*Index!$C$2), 0)</f>
        <v/>
      </c>
      <c r="G37" s="69" t="n"/>
      <c r="H37" s="80" t="inlineStr">
        <is>
          <t>LT Avg %</t>
        </is>
      </c>
      <c r="I37" s="66">
        <f>IFERROR(Index!I38/(Index!I36*Index!$C$2), 0)</f>
        <v/>
      </c>
      <c r="J37" s="69" t="n"/>
      <c r="K37" s="81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8" t="inlineStr">
        <is>
          <t>Gain</t>
        </is>
      </c>
      <c r="C38" s="82">
        <f>SUMIFS('Trading History'!$L$4:$L1004, 'Trading History'!$K$4:$K1004, CONCAT("&gt;", $A36))</f>
        <v/>
      </c>
      <c r="D38" s="69" t="n"/>
      <c r="E38" s="79" t="inlineStr">
        <is>
          <t>ST Gain</t>
        </is>
      </c>
      <c r="F38" s="82">
        <f>SUMIFS('Trading History'!$P$4:$P1004, 'Trading History'!$O$4:$O1004, CONCAT("&gt;", $A36))</f>
        <v/>
      </c>
      <c r="G38" s="69" t="n"/>
      <c r="H38" s="80" t="inlineStr">
        <is>
          <t>LT Gain</t>
        </is>
      </c>
      <c r="I38" s="82">
        <f>SUMIFS('Trading History'!$T$4:$T1004, 'Trading History'!$S$4:$S1004, CONCAT("&gt;", $A36))</f>
        <v/>
      </c>
      <c r="J38" s="69" t="n"/>
      <c r="K38" s="81" t="inlineStr">
        <is>
          <t>Gain</t>
        </is>
      </c>
      <c r="L38" s="82">
        <f>SUMIFS('Trading History'!$Z$4:$Z1004, 'Trading History'!$Y$4:$Y1004,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8" t="inlineStr">
        <is>
          <t>Invested</t>
        </is>
      </c>
      <c r="C39" s="82">
        <f>Index!C40-Index!C38</f>
        <v/>
      </c>
      <c r="D39" s="69" t="n"/>
      <c r="E39" s="79" t="inlineStr">
        <is>
          <t>ST Invested</t>
        </is>
      </c>
      <c r="F39" s="82">
        <f>Index!F40-Index!F38</f>
        <v/>
      </c>
      <c r="G39" s="69" t="n"/>
      <c r="H39" s="80" t="inlineStr">
        <is>
          <t>LT Invested</t>
        </is>
      </c>
      <c r="I39" s="82">
        <f>Index!I40-Index!I38</f>
        <v/>
      </c>
      <c r="J39" s="69" t="n"/>
      <c r="K39" s="81" t="inlineStr">
        <is>
          <t>Invested</t>
        </is>
      </c>
      <c r="L39" s="82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8" t="inlineStr">
        <is>
          <t>Gross</t>
        </is>
      </c>
      <c r="C40" s="82">
        <f>SUMIFS('Trading History'!$M$4:$M1004, 'Trading History'!$K$4:$K1004, CONCAT("&gt;", $A36))</f>
        <v/>
      </c>
      <c r="D40" s="69" t="n"/>
      <c r="E40" s="79" t="inlineStr">
        <is>
          <t>ST Gross</t>
        </is>
      </c>
      <c r="F40" s="82">
        <f>SUMIFS('Trading History'!$Q$4:$Q1004, 'Trading History'!$O$4:$O1004, CONCAT("&gt;", $A36))</f>
        <v/>
      </c>
      <c r="G40" s="69" t="n"/>
      <c r="H40" s="80" t="inlineStr">
        <is>
          <t>LT Gross</t>
        </is>
      </c>
      <c r="I40" s="82">
        <f>SUMIFS('Trading History'!$U$4:$U1004, 'Trading History'!$S$4:$S1004, CONCAT("&gt;", $A36))</f>
        <v/>
      </c>
      <c r="J40" s="69" t="n"/>
      <c r="K40" s="81" t="inlineStr">
        <is>
          <t>Gross</t>
        </is>
      </c>
      <c r="L40" s="82">
        <f>SUMIFS('Trading History'!$AA$4:$AA1004, 'Trading History'!$Y$4:$Y1004,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1" t="n">
        <v>0.3</v>
      </c>
      <c r="B43" s="72" t="inlineStr">
        <is>
          <t>Units</t>
        </is>
      </c>
      <c r="C43" s="73">
        <f>SUMIFS('Trading History'!$N$4:$N1004, 'Trading History'!$K$4:$K1004, CONCAT("&gt;", $A43))</f>
        <v/>
      </c>
      <c r="D43" s="69" t="n"/>
      <c r="E43" s="74" t="inlineStr">
        <is>
          <t>ST Units</t>
        </is>
      </c>
      <c r="F43" s="73">
        <f>IFERROR(SUMIFS('Trading History'!$R$4:$R1004, 'Trading History'!$O$4:$O1004, CONCAT("&gt;", $A43)), 0)</f>
        <v/>
      </c>
      <c r="G43" s="69" t="n"/>
      <c r="H43" s="75" t="inlineStr">
        <is>
          <t>LT Units</t>
        </is>
      </c>
      <c r="I43" s="73">
        <f>SUMIFS('Trading History'!$V$4:$V1004, 'Trading History'!$S$4:$S1004, CONCAT("&gt;", $A43))</f>
        <v/>
      </c>
      <c r="J43" s="69" t="n"/>
      <c r="K43" s="76" t="inlineStr">
        <is>
          <t>Units</t>
        </is>
      </c>
      <c r="L43" s="73">
        <f>SUMIFS('Trading History'!$AB$4:$AB1004, 'Trading History'!$Y$4:$Y1004,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8" t="inlineStr">
        <is>
          <t>Avg %</t>
        </is>
      </c>
      <c r="C44" s="66">
        <f>IFERROR(Index!C45/(Index!C43*Index!$C$2), 0)</f>
        <v/>
      </c>
      <c r="D44" s="69" t="n"/>
      <c r="E44" s="79" t="inlineStr">
        <is>
          <t>ST Avg %</t>
        </is>
      </c>
      <c r="F44" s="66">
        <f>IFERROR(Index!F45/(Index!F43*Index!$C$2), 0)</f>
        <v/>
      </c>
      <c r="G44" s="69" t="n"/>
      <c r="H44" s="80" t="inlineStr">
        <is>
          <t>LT Avg %</t>
        </is>
      </c>
      <c r="I44" s="66">
        <f>IFERROR(Index!I45/(Index!I43*Index!$C$2), 0)</f>
        <v/>
      </c>
      <c r="J44" s="69" t="n"/>
      <c r="K44" s="81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8" t="inlineStr">
        <is>
          <t>Gain</t>
        </is>
      </c>
      <c r="C45" s="82">
        <f>SUMIFS('Trading History'!$L$4:$L1004, 'Trading History'!$K$4:$K1004, CONCAT("&gt;", $A43))</f>
        <v/>
      </c>
      <c r="D45" s="69" t="n"/>
      <c r="E45" s="79" t="inlineStr">
        <is>
          <t>ST Gain</t>
        </is>
      </c>
      <c r="F45" s="82">
        <f>SUMIFS('Trading History'!$P$4:$P1004, 'Trading History'!$O$4:$O1004, CONCAT("&gt;", $A43))</f>
        <v/>
      </c>
      <c r="G45" s="69" t="n"/>
      <c r="H45" s="80" t="inlineStr">
        <is>
          <t>LT Gain</t>
        </is>
      </c>
      <c r="I45" s="82">
        <f>SUMIFS('Trading History'!$T$4:$T1004, 'Trading History'!$S$4:$S1004, CONCAT("&gt;", $A43))</f>
        <v/>
      </c>
      <c r="J45" s="69" t="n"/>
      <c r="K45" s="81" t="inlineStr">
        <is>
          <t>Gain</t>
        </is>
      </c>
      <c r="L45" s="82">
        <f>SUMIFS('Trading History'!$Z$4:$Z1004, 'Trading History'!$Y$4:$Y1004,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8" t="inlineStr">
        <is>
          <t>Invested</t>
        </is>
      </c>
      <c r="C46" s="82">
        <f>Index!C47-Index!C45</f>
        <v/>
      </c>
      <c r="D46" s="69" t="n"/>
      <c r="E46" s="79" t="inlineStr">
        <is>
          <t>ST Invested</t>
        </is>
      </c>
      <c r="F46" s="82">
        <f>Index!F47-Index!F45</f>
        <v/>
      </c>
      <c r="G46" s="69" t="n"/>
      <c r="H46" s="80" t="inlineStr">
        <is>
          <t>LT Invested</t>
        </is>
      </c>
      <c r="I46" s="82">
        <f>Index!I47-Index!I45</f>
        <v/>
      </c>
      <c r="J46" s="69" t="n"/>
      <c r="K46" s="81" t="inlineStr">
        <is>
          <t>Invested</t>
        </is>
      </c>
      <c r="L46" s="82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8" t="inlineStr">
        <is>
          <t>Gross</t>
        </is>
      </c>
      <c r="C47" s="82">
        <f>SUMIFS('Trading History'!$M$4:$M1004, 'Trading History'!$K$4:$K1004, CONCAT("&gt;", $A43))</f>
        <v/>
      </c>
      <c r="D47" s="69" t="n"/>
      <c r="E47" s="79" t="inlineStr">
        <is>
          <t>ST Gross</t>
        </is>
      </c>
      <c r="F47" s="82">
        <f>SUMIFS('Trading History'!$Q$4:$Q1004, 'Trading History'!$O$4:$O1004, CONCAT("&gt;", $A43))</f>
        <v/>
      </c>
      <c r="G47" s="69" t="n"/>
      <c r="H47" s="80" t="inlineStr">
        <is>
          <t>LT Gross</t>
        </is>
      </c>
      <c r="I47" s="82">
        <f>SUMIFS('Trading History'!$U$4:$U1004, 'Trading History'!$S$4:$S1004, CONCAT("&gt;", $A43))</f>
        <v/>
      </c>
      <c r="J47" s="69" t="n"/>
      <c r="K47" s="81" t="inlineStr">
        <is>
          <t>Gross</t>
        </is>
      </c>
      <c r="L47" s="82">
        <f>SUMIFS('Trading History'!$AA$4:$AA1004, 'Trading History'!$Y$4:$Y1004,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1" t="n">
        <v>0.25</v>
      </c>
      <c r="B50" s="72" t="inlineStr">
        <is>
          <t>Units</t>
        </is>
      </c>
      <c r="C50" s="73">
        <f>SUMIFS('Trading History'!$N$4:$N1004, 'Trading History'!$K$4:$K1004, CONCAT("&gt;", $A50))</f>
        <v/>
      </c>
      <c r="D50" s="69" t="n"/>
      <c r="E50" s="74" t="inlineStr">
        <is>
          <t>ST Units</t>
        </is>
      </c>
      <c r="F50" s="73">
        <f>IFERROR(SUMIFS('Trading History'!$R$4:$R1004, 'Trading History'!$O$4:$O1004, CONCAT("&gt;", $A50)), 0)</f>
        <v/>
      </c>
      <c r="G50" s="69" t="n"/>
      <c r="H50" s="75" t="inlineStr">
        <is>
          <t>LT Units</t>
        </is>
      </c>
      <c r="I50" s="73">
        <f>SUMIFS('Trading History'!$V$4:$V1004, 'Trading History'!$S$4:$S1004, CONCAT("&gt;", $A50))</f>
        <v/>
      </c>
      <c r="J50" s="69" t="n"/>
      <c r="K50" s="76" t="inlineStr">
        <is>
          <t>Units</t>
        </is>
      </c>
      <c r="L50" s="73">
        <f>SUMIFS('Trading History'!$AB$4:$AB1004, 'Trading History'!$Y$4:$Y1004,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8" t="inlineStr">
        <is>
          <t>Avg %</t>
        </is>
      </c>
      <c r="C51" s="66">
        <f>IFERROR(Index!C52/(Index!C50*Index!$C$2), 0)</f>
        <v/>
      </c>
      <c r="D51" s="69" t="n"/>
      <c r="E51" s="79" t="inlineStr">
        <is>
          <t>ST Avg %</t>
        </is>
      </c>
      <c r="F51" s="66">
        <f>IFERROR(Index!F52/(Index!F50*Index!$C$2), 0)</f>
        <v/>
      </c>
      <c r="G51" s="69" t="n"/>
      <c r="H51" s="80" t="inlineStr">
        <is>
          <t>LT Avg %</t>
        </is>
      </c>
      <c r="I51" s="66">
        <f>IFERROR(Index!I52/(Index!I50*Index!$C$2), 0)</f>
        <v/>
      </c>
      <c r="J51" s="69" t="n"/>
      <c r="K51" s="81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8" t="inlineStr">
        <is>
          <t>Gain</t>
        </is>
      </c>
      <c r="C52" s="82">
        <f>SUMIFS('Trading History'!$L$4:$L1004, 'Trading History'!$K$4:$K1004, CONCAT("&gt;", $A50))</f>
        <v/>
      </c>
      <c r="D52" s="69" t="n"/>
      <c r="E52" s="79" t="inlineStr">
        <is>
          <t>ST Gain</t>
        </is>
      </c>
      <c r="F52" s="82">
        <f>SUMIFS('Trading History'!$P$4:$P1004, 'Trading History'!$O$4:$O1004, CONCAT("&gt;", $A50))</f>
        <v/>
      </c>
      <c r="G52" s="69" t="n"/>
      <c r="H52" s="80" t="inlineStr">
        <is>
          <t>LT Gain</t>
        </is>
      </c>
      <c r="I52" s="82">
        <f>SUMIFS('Trading History'!$T$4:$T1004, 'Trading History'!$S$4:$S1004, CONCAT("&gt;", $A50))</f>
        <v/>
      </c>
      <c r="J52" s="69" t="n"/>
      <c r="K52" s="81" t="inlineStr">
        <is>
          <t>Gain</t>
        </is>
      </c>
      <c r="L52" s="82">
        <f>SUMIFS('Trading History'!$Z$4:$Z1004, 'Trading History'!$Y$4:$Y1004,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8" t="inlineStr">
        <is>
          <t>Invested</t>
        </is>
      </c>
      <c r="C53" s="82">
        <f>Index!C54-Index!C52</f>
        <v/>
      </c>
      <c r="D53" s="69" t="n"/>
      <c r="E53" s="79" t="inlineStr">
        <is>
          <t>ST Invested</t>
        </is>
      </c>
      <c r="F53" s="82">
        <f>Index!F54-Index!F52</f>
        <v/>
      </c>
      <c r="G53" s="69" t="n"/>
      <c r="H53" s="80" t="inlineStr">
        <is>
          <t>LT Invested</t>
        </is>
      </c>
      <c r="I53" s="82">
        <f>Index!I54-Index!I52</f>
        <v/>
      </c>
      <c r="J53" s="69" t="n"/>
      <c r="K53" s="81" t="inlineStr">
        <is>
          <t>Invested</t>
        </is>
      </c>
      <c r="L53" s="82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8" t="inlineStr">
        <is>
          <t>Gross</t>
        </is>
      </c>
      <c r="C54" s="82">
        <f>SUMIFS('Trading History'!$M$4:$M1004, 'Trading History'!$K$4:$K1004, CONCAT("&gt;", $A50))</f>
        <v/>
      </c>
      <c r="D54" s="69" t="n"/>
      <c r="E54" s="79" t="inlineStr">
        <is>
          <t>ST Gross</t>
        </is>
      </c>
      <c r="F54" s="82">
        <f>SUMIFS('Trading History'!$Q$4:$Q1004, 'Trading History'!$O$4:$O1004, CONCAT("&gt;", $A50))</f>
        <v/>
      </c>
      <c r="G54" s="69" t="n"/>
      <c r="H54" s="80" t="inlineStr">
        <is>
          <t>LT Gross</t>
        </is>
      </c>
      <c r="I54" s="82">
        <f>SUMIFS('Trading History'!$U$4:$U1004, 'Trading History'!$S$4:$S1004, CONCAT("&gt;", $A50))</f>
        <v/>
      </c>
      <c r="J54" s="69" t="n"/>
      <c r="K54" s="81" t="inlineStr">
        <is>
          <t>Gross</t>
        </is>
      </c>
      <c r="L54" s="82">
        <f>SUMIFS('Trading History'!$AA$4:$AA1004, 'Trading History'!$Y$4:$Y1004,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84" t="n"/>
      <c r="L55" s="84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1" t="n">
        <v>0.2</v>
      </c>
      <c r="B57" s="72" t="inlineStr">
        <is>
          <t>Units</t>
        </is>
      </c>
      <c r="C57" s="73">
        <f>SUMIFS('Trading History'!$N$4:$N1004, 'Trading History'!$K$4:$K1004, CONCAT("&gt;", $A57))</f>
        <v/>
      </c>
      <c r="D57" s="69" t="n"/>
      <c r="E57" s="74" t="inlineStr">
        <is>
          <t>ST Units</t>
        </is>
      </c>
      <c r="F57" s="73">
        <f>IFERROR(SUMIFS('Trading History'!$R$4:$R1004, 'Trading History'!$O$4:$O1004, CONCAT("&gt;", $A57)), 0)</f>
        <v/>
      </c>
      <c r="G57" s="69" t="n"/>
      <c r="H57" s="75" t="inlineStr">
        <is>
          <t>LT Units</t>
        </is>
      </c>
      <c r="I57" s="73">
        <f>SUMIFS('Trading History'!$V$4:$V1004, 'Trading History'!$S$4:$S1004, CONCAT("&gt;", $A57))</f>
        <v/>
      </c>
      <c r="J57" s="69" t="n"/>
      <c r="K57" s="76" t="inlineStr">
        <is>
          <t>Units</t>
        </is>
      </c>
      <c r="L57" s="73">
        <f>SUMIFS('Trading History'!$AB$4:$AB1004, 'Trading History'!$Y$4:$Y1004,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8" t="inlineStr">
        <is>
          <t>Avg %</t>
        </is>
      </c>
      <c r="C58" s="66">
        <f>IFERROR(Index!C59/(Index!C57*Index!$C$2), 0)</f>
        <v/>
      </c>
      <c r="D58" s="69" t="n"/>
      <c r="E58" s="79" t="inlineStr">
        <is>
          <t>ST Avg %</t>
        </is>
      </c>
      <c r="F58" s="66">
        <f>IFERROR(Index!F59/(Index!F57*Index!$C$2), 0)</f>
        <v/>
      </c>
      <c r="G58" s="69" t="n"/>
      <c r="H58" s="80" t="inlineStr">
        <is>
          <t>LT Avg %</t>
        </is>
      </c>
      <c r="I58" s="66">
        <f>IFERROR(Index!I59/(Index!I57*Index!$C$2), 0)</f>
        <v/>
      </c>
      <c r="J58" s="69" t="n"/>
      <c r="K58" s="81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8" t="inlineStr">
        <is>
          <t>Gain</t>
        </is>
      </c>
      <c r="C59" s="82">
        <f>SUMIFS('Trading History'!$L$4:$L1004, 'Trading History'!$K$4:$K1004, CONCAT("&gt;", $A57))</f>
        <v/>
      </c>
      <c r="D59" s="69" t="n"/>
      <c r="E59" s="79" t="inlineStr">
        <is>
          <t>ST Gain</t>
        </is>
      </c>
      <c r="F59" s="82">
        <f>SUMIFS('Trading History'!$P$4:$P1004, 'Trading History'!$O$4:$O1004, CONCAT("&gt;", $A57))</f>
        <v/>
      </c>
      <c r="G59" s="69" t="n"/>
      <c r="H59" s="80" t="inlineStr">
        <is>
          <t>LT Gain</t>
        </is>
      </c>
      <c r="I59" s="82">
        <f>SUMIFS('Trading History'!$T$4:$T1004, 'Trading History'!$S$4:$S1004, CONCAT("&gt;", $A57))</f>
        <v/>
      </c>
      <c r="J59" s="69" t="n"/>
      <c r="K59" s="81" t="inlineStr">
        <is>
          <t>Gain</t>
        </is>
      </c>
      <c r="L59" s="82">
        <f>SUMIFS('Trading History'!$Z$4:$Z1004, 'Trading History'!$Y$4:$Y1004,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8" t="inlineStr">
        <is>
          <t>Invested</t>
        </is>
      </c>
      <c r="C60" s="82">
        <f>Index!C61-Index!C59</f>
        <v/>
      </c>
      <c r="D60" s="69" t="n"/>
      <c r="E60" s="79" t="inlineStr">
        <is>
          <t>ST Invested</t>
        </is>
      </c>
      <c r="F60" s="82">
        <f>Index!F61-Index!F59</f>
        <v/>
      </c>
      <c r="G60" s="69" t="n"/>
      <c r="H60" s="80" t="inlineStr">
        <is>
          <t>LT Invested</t>
        </is>
      </c>
      <c r="I60" s="82">
        <f>Index!I61-Index!I59</f>
        <v/>
      </c>
      <c r="J60" s="69" t="n"/>
      <c r="K60" s="81" t="inlineStr">
        <is>
          <t>Invested</t>
        </is>
      </c>
      <c r="L60" s="82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8" t="inlineStr">
        <is>
          <t>Gross</t>
        </is>
      </c>
      <c r="C61" s="82">
        <f>SUMIFS('Trading History'!$M$4:$M1004, 'Trading History'!$K$4:$K1004, CONCAT("&gt;", $A57))</f>
        <v/>
      </c>
      <c r="D61" s="69" t="n"/>
      <c r="E61" s="79" t="inlineStr">
        <is>
          <t>ST Gross</t>
        </is>
      </c>
      <c r="F61" s="82">
        <f>SUMIFS('Trading History'!$Q$4:$Q1004, 'Trading History'!$O$4:$O1004, CONCAT("&gt;", $A57))</f>
        <v/>
      </c>
      <c r="G61" s="69" t="n"/>
      <c r="H61" s="80" t="inlineStr">
        <is>
          <t>LT Gross</t>
        </is>
      </c>
      <c r="I61" s="82">
        <f>SUMIFS('Trading History'!$U$4:$U1004, 'Trading History'!$S$4:$S1004, CONCAT("&gt;", $A57))</f>
        <v/>
      </c>
      <c r="J61" s="69" t="n"/>
      <c r="K61" s="81" t="inlineStr">
        <is>
          <t>Gross</t>
        </is>
      </c>
      <c r="L61" s="82">
        <f>SUMIFS('Trading History'!$AA$4:$AA1004, 'Trading History'!$Y$4:$Y1004,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1" t="n">
        <v>0.15</v>
      </c>
      <c r="B64" s="72" t="inlineStr">
        <is>
          <t>Units</t>
        </is>
      </c>
      <c r="C64" s="73">
        <f>SUMIFS('Trading History'!$N$4:$N1004, 'Trading History'!$K$4:$K1004, CONCAT("&gt;", $A64))</f>
        <v/>
      </c>
      <c r="D64" s="69" t="n"/>
      <c r="E64" s="74" t="inlineStr">
        <is>
          <t>ST Units</t>
        </is>
      </c>
      <c r="F64" s="73">
        <f>IFERROR(SUMIFS('Trading History'!$R$4:$R1004, 'Trading History'!$O$4:$O1004, CONCAT("&gt;", $A64)), 0)</f>
        <v/>
      </c>
      <c r="G64" s="69" t="n"/>
      <c r="H64" s="75" t="inlineStr">
        <is>
          <t>LT Units</t>
        </is>
      </c>
      <c r="I64" s="73">
        <f>SUMIFS('Trading History'!$V$4:$V1004, 'Trading History'!$S$4:$S1004, CONCAT("&gt;", $A64))</f>
        <v/>
      </c>
      <c r="J64" s="69" t="n"/>
      <c r="K64" s="76" t="inlineStr">
        <is>
          <t>Units</t>
        </is>
      </c>
      <c r="L64" s="73">
        <f>SUMIFS('Trading History'!$AB$4:$AB1004, 'Trading History'!$Y$4:$Y1004,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8" t="inlineStr">
        <is>
          <t>Avg %</t>
        </is>
      </c>
      <c r="C65" s="66">
        <f>IFERROR(Index!C66/(Index!C64*Index!$C$2), 0)</f>
        <v/>
      </c>
      <c r="D65" s="69" t="n"/>
      <c r="E65" s="79" t="inlineStr">
        <is>
          <t>ST Avg %</t>
        </is>
      </c>
      <c r="F65" s="66">
        <f>IFERROR(Index!F66/(Index!F64*Index!$C$2), 0)</f>
        <v/>
      </c>
      <c r="G65" s="69" t="n"/>
      <c r="H65" s="80" t="inlineStr">
        <is>
          <t>LT Avg %</t>
        </is>
      </c>
      <c r="I65" s="66">
        <f>IFERROR(Index!I66/(Index!I64*Index!$C$2), 0)</f>
        <v/>
      </c>
      <c r="J65" s="69" t="n"/>
      <c r="K65" s="81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8" t="inlineStr">
        <is>
          <t>Gain</t>
        </is>
      </c>
      <c r="C66" s="82">
        <f>SUMIFS('Trading History'!$L$4:$L1004, 'Trading History'!$K$4:$K1004, CONCAT("&gt;", $A64))</f>
        <v/>
      </c>
      <c r="D66" s="69" t="n"/>
      <c r="E66" s="79" t="inlineStr">
        <is>
          <t>ST Gain</t>
        </is>
      </c>
      <c r="F66" s="82">
        <f>SUMIFS('Trading History'!$P$4:$P1004, 'Trading History'!$O$4:$O1004, CONCAT("&gt;", $A64))</f>
        <v/>
      </c>
      <c r="G66" s="69" t="n"/>
      <c r="H66" s="80" t="inlineStr">
        <is>
          <t>LT Gain</t>
        </is>
      </c>
      <c r="I66" s="82">
        <f>SUMIFS('Trading History'!$T$4:$T1004, 'Trading History'!$S$4:$S1004, CONCAT("&gt;", $A64))</f>
        <v/>
      </c>
      <c r="J66" s="69" t="n"/>
      <c r="K66" s="81" t="inlineStr">
        <is>
          <t>Gain</t>
        </is>
      </c>
      <c r="L66" s="82">
        <f>SUMIFS('Trading History'!$Z$4:$Z1004, 'Trading History'!$Y$4:$Y1004,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8" t="inlineStr">
        <is>
          <t>Invested</t>
        </is>
      </c>
      <c r="C67" s="82">
        <f>Index!C68-Index!C66</f>
        <v/>
      </c>
      <c r="D67" s="69" t="n"/>
      <c r="E67" s="79" t="inlineStr">
        <is>
          <t>ST Invested</t>
        </is>
      </c>
      <c r="F67" s="82">
        <f>Index!F68-Index!F66</f>
        <v/>
      </c>
      <c r="G67" s="69" t="n"/>
      <c r="H67" s="80" t="inlineStr">
        <is>
          <t>LT Invested</t>
        </is>
      </c>
      <c r="I67" s="82">
        <f>Index!I68-Index!I66</f>
        <v/>
      </c>
      <c r="J67" s="69" t="n"/>
      <c r="K67" s="81" t="inlineStr">
        <is>
          <t>Invested</t>
        </is>
      </c>
      <c r="L67" s="82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8" t="inlineStr">
        <is>
          <t>Gross</t>
        </is>
      </c>
      <c r="C68" s="82">
        <f>SUMIFS('Trading History'!$M$4:$M1004, 'Trading History'!$K$4:$K1004, CONCAT("&gt;", $A64))</f>
        <v/>
      </c>
      <c r="D68" s="69" t="n"/>
      <c r="E68" s="79" t="inlineStr">
        <is>
          <t>ST Gross</t>
        </is>
      </c>
      <c r="F68" s="82">
        <f>SUMIFS('Trading History'!$Q$4:$Q1004, 'Trading History'!$O$4:$O1004, CONCAT("&gt;", $A64))</f>
        <v/>
      </c>
      <c r="G68" s="69" t="n"/>
      <c r="H68" s="80" t="inlineStr">
        <is>
          <t>LT Gross</t>
        </is>
      </c>
      <c r="I68" s="82">
        <f>SUMIFS('Trading History'!$U$4:$U1004, 'Trading History'!$S$4:$S1004, CONCAT("&gt;", $A64))</f>
        <v/>
      </c>
      <c r="J68" s="69" t="n"/>
      <c r="K68" s="81" t="inlineStr">
        <is>
          <t>Gross</t>
        </is>
      </c>
      <c r="L68" s="82">
        <f>SUMIFS('Trading History'!$AA$4:$AA1004, 'Trading History'!$Y$4:$Y1004,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1" t="n">
        <v>0.1</v>
      </c>
      <c r="B71" s="72" t="inlineStr">
        <is>
          <t>Units</t>
        </is>
      </c>
      <c r="C71" s="73">
        <f>SUMIFS('Trading History'!$N$4:$N1004, 'Trading History'!$K$4:$K1004, CONCAT("&gt;", $A71))</f>
        <v/>
      </c>
      <c r="D71" s="69" t="n"/>
      <c r="E71" s="74" t="inlineStr">
        <is>
          <t>ST Units</t>
        </is>
      </c>
      <c r="F71" s="73">
        <f>IFERROR(SUMIFS('Trading History'!$R$4:$R1004, 'Trading History'!$O$4:$O1004, CONCAT("&gt;", $A71)), 0)</f>
        <v/>
      </c>
      <c r="G71" s="69" t="n"/>
      <c r="H71" s="75" t="inlineStr">
        <is>
          <t>LT Units</t>
        </is>
      </c>
      <c r="I71" s="73">
        <f>SUMIFS('Trading History'!$V$4:$V1004, 'Trading History'!$S$4:$S1004, CONCAT("&gt;", $A71))</f>
        <v/>
      </c>
      <c r="J71" s="69" t="n"/>
      <c r="K71" s="76" t="inlineStr">
        <is>
          <t>Units</t>
        </is>
      </c>
      <c r="L71" s="73">
        <f>SUMIFS('Trading History'!$AB$4:$AB1004, 'Trading History'!$Y$4:$Y1004,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8" t="inlineStr">
        <is>
          <t>Avg %</t>
        </is>
      </c>
      <c r="C72" s="66">
        <f>IFERROR(Index!C73/(Index!C71*Index!$C$2), 0)</f>
        <v/>
      </c>
      <c r="D72" s="69" t="n"/>
      <c r="E72" s="79" t="inlineStr">
        <is>
          <t>ST Avg %</t>
        </is>
      </c>
      <c r="F72" s="66">
        <f>IFERROR(Index!F73/(Index!F71*Index!$C$2), 0)</f>
        <v/>
      </c>
      <c r="G72" s="69" t="n"/>
      <c r="H72" s="80" t="inlineStr">
        <is>
          <t>LT Avg %</t>
        </is>
      </c>
      <c r="I72" s="66">
        <f>IFERROR(Index!I73/(Index!I71*Index!$C$2), 0)</f>
        <v/>
      </c>
      <c r="J72" s="69" t="n"/>
      <c r="K72" s="81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8" t="inlineStr">
        <is>
          <t>Gain</t>
        </is>
      </c>
      <c r="C73" s="82">
        <f>SUMIFS('Trading History'!$L$4:$L1004, 'Trading History'!$K$4:$K1004, CONCAT("&gt;", $A71))</f>
        <v/>
      </c>
      <c r="D73" s="69" t="n"/>
      <c r="E73" s="79" t="inlineStr">
        <is>
          <t>ST Gain</t>
        </is>
      </c>
      <c r="F73" s="82">
        <f>SUMIFS('Trading History'!$P$4:$P1004, 'Trading History'!$O$4:$O1004, CONCAT("&gt;", $A71))</f>
        <v/>
      </c>
      <c r="G73" s="69" t="n"/>
      <c r="H73" s="80" t="inlineStr">
        <is>
          <t>LT Gain</t>
        </is>
      </c>
      <c r="I73" s="82">
        <f>SUMIFS('Trading History'!$T$4:$T1004, 'Trading History'!$S$4:$S1004, CONCAT("&gt;", $A71))</f>
        <v/>
      </c>
      <c r="J73" s="69" t="n"/>
      <c r="K73" s="81" t="inlineStr">
        <is>
          <t>Gain</t>
        </is>
      </c>
      <c r="L73" s="82">
        <f>SUMIFS('Trading History'!$Z$4:$Z1004, 'Trading History'!$Y$4:$Y1004,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8" t="inlineStr">
        <is>
          <t>Invested</t>
        </is>
      </c>
      <c r="C74" s="82">
        <f>Index!C75-Index!C73</f>
        <v/>
      </c>
      <c r="D74" s="69" t="n"/>
      <c r="E74" s="79" t="inlineStr">
        <is>
          <t>ST Invested</t>
        </is>
      </c>
      <c r="F74" s="82">
        <f>Index!F75-Index!F73</f>
        <v/>
      </c>
      <c r="G74" s="69" t="n"/>
      <c r="H74" s="80" t="inlineStr">
        <is>
          <t>LT Invested</t>
        </is>
      </c>
      <c r="I74" s="82">
        <f>Index!I75-Index!I73</f>
        <v/>
      </c>
      <c r="J74" s="69" t="n"/>
      <c r="K74" s="81" t="inlineStr">
        <is>
          <t>Invested</t>
        </is>
      </c>
      <c r="L74" s="82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8" t="inlineStr">
        <is>
          <t>Gross</t>
        </is>
      </c>
      <c r="C75" s="82">
        <f>SUMIFS('Trading History'!$M$4:$M1004, 'Trading History'!$K$4:$K1004, CONCAT("&gt;", $A71))</f>
        <v/>
      </c>
      <c r="D75" s="69" t="n"/>
      <c r="E75" s="79" t="inlineStr">
        <is>
          <t>ST Gross</t>
        </is>
      </c>
      <c r="F75" s="82">
        <f>SUMIFS('Trading History'!$Q$4:$Q1004, 'Trading History'!$O$4:$O1004, CONCAT("&gt;", $A71))</f>
        <v/>
      </c>
      <c r="G75" s="69" t="n"/>
      <c r="H75" s="80" t="inlineStr">
        <is>
          <t>LT Gross</t>
        </is>
      </c>
      <c r="I75" s="82">
        <f>SUMIFS('Trading History'!$U$4:$U1004, 'Trading History'!$S$4:$S1004, CONCAT("&gt;", $A71))</f>
        <v/>
      </c>
      <c r="J75" s="69" t="n"/>
      <c r="K75" s="81" t="inlineStr">
        <is>
          <t>Gross</t>
        </is>
      </c>
      <c r="L75" s="82">
        <f>SUMIFS('Trading History'!$AA$4:$AA1004, 'Trading History'!$Y$4:$Y1004,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1" t="n">
        <v>0.05</v>
      </c>
      <c r="B78" s="72" t="inlineStr">
        <is>
          <t>Units</t>
        </is>
      </c>
      <c r="C78" s="73">
        <f>SUMIFS('Trading History'!$N$4:$N1004, 'Trading History'!$K$4:$K1004, CONCAT("&gt;", $A78))</f>
        <v/>
      </c>
      <c r="D78" s="69" t="n"/>
      <c r="E78" s="74" t="inlineStr">
        <is>
          <t>ST Units</t>
        </is>
      </c>
      <c r="F78" s="73">
        <f>IFERROR(SUMIFS('Trading History'!$R$4:$R1004, 'Trading History'!$O$4:$O1004, CONCAT("&gt;", $A78)), 0)</f>
        <v/>
      </c>
      <c r="G78" s="69" t="n"/>
      <c r="H78" s="75" t="inlineStr">
        <is>
          <t>LT Units</t>
        </is>
      </c>
      <c r="I78" s="73">
        <f>SUMIFS('Trading History'!$V$4:$V1004, 'Trading History'!$S$4:$S1004, CONCAT("&gt;", $A78))</f>
        <v/>
      </c>
      <c r="J78" s="69" t="n"/>
      <c r="K78" s="76" t="inlineStr">
        <is>
          <t>Units</t>
        </is>
      </c>
      <c r="L78" s="73">
        <f>SUMIFS('Trading History'!$AB$4:$AB1004, 'Trading History'!$Y$4:$Y1004,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8" t="inlineStr">
        <is>
          <t>Avg %</t>
        </is>
      </c>
      <c r="C79" s="66">
        <f>IFERROR(Index!C80/(Index!C78*Index!$C$2), 0)</f>
        <v/>
      </c>
      <c r="D79" s="69" t="n"/>
      <c r="E79" s="79" t="inlineStr">
        <is>
          <t>ST Avg %</t>
        </is>
      </c>
      <c r="F79" s="66">
        <f>IFERROR(Index!F80/(Index!F78*Index!$C$2), 0)</f>
        <v/>
      </c>
      <c r="G79" s="69" t="n"/>
      <c r="H79" s="80" t="inlineStr">
        <is>
          <t>LT Avg %</t>
        </is>
      </c>
      <c r="I79" s="66">
        <f>IFERROR(Index!I80/(Index!I78*Index!$C$2), 0)</f>
        <v/>
      </c>
      <c r="J79" s="69" t="n"/>
      <c r="K79" s="81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8" t="inlineStr">
        <is>
          <t>Gain</t>
        </is>
      </c>
      <c r="C80" s="82">
        <f>SUMIFS('Trading History'!$L$4:$L1004, 'Trading History'!$K$4:$K1004, CONCAT("&gt;", $A78))</f>
        <v/>
      </c>
      <c r="D80" s="69" t="n"/>
      <c r="E80" s="79" t="inlineStr">
        <is>
          <t>ST Gain</t>
        </is>
      </c>
      <c r="F80" s="82">
        <f>SUMIFS('Trading History'!$P$4:$P1004, 'Trading History'!$O$4:$O1004, CONCAT("&gt;", $A78))</f>
        <v/>
      </c>
      <c r="G80" s="69" t="n"/>
      <c r="H80" s="80" t="inlineStr">
        <is>
          <t>LT Gain</t>
        </is>
      </c>
      <c r="I80" s="82">
        <f>SUMIFS('Trading History'!$T$4:$T1004, 'Trading History'!$S$4:$S1004, CONCAT("&gt;", $A78))</f>
        <v/>
      </c>
      <c r="J80" s="69" t="n"/>
      <c r="K80" s="81" t="inlineStr">
        <is>
          <t>Gain</t>
        </is>
      </c>
      <c r="L80" s="82">
        <f>SUMIFS('Trading History'!$Z$4:$Z1004, 'Trading History'!$Y$4:$Y1004,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8" t="inlineStr">
        <is>
          <t>Invested</t>
        </is>
      </c>
      <c r="C81" s="82">
        <f>Index!C82-Index!C80</f>
        <v/>
      </c>
      <c r="D81" s="69" t="n"/>
      <c r="E81" s="79" t="inlineStr">
        <is>
          <t>ST Invested</t>
        </is>
      </c>
      <c r="F81" s="82">
        <f>Index!F82-Index!F80</f>
        <v/>
      </c>
      <c r="G81" s="69" t="n"/>
      <c r="H81" s="80" t="inlineStr">
        <is>
          <t>LT Invested</t>
        </is>
      </c>
      <c r="I81" s="82">
        <f>Index!I82-Index!I80</f>
        <v/>
      </c>
      <c r="J81" s="69" t="n"/>
      <c r="K81" s="81" t="inlineStr">
        <is>
          <t>Invested</t>
        </is>
      </c>
      <c r="L81" s="82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8" t="inlineStr">
        <is>
          <t>Gross</t>
        </is>
      </c>
      <c r="C82" s="82">
        <f>SUMIFS('Trading History'!$M$4:$M1004, 'Trading History'!$K$4:$K1004, CONCAT("&gt;", $A78))</f>
        <v/>
      </c>
      <c r="D82" s="69" t="n"/>
      <c r="E82" s="79" t="inlineStr">
        <is>
          <t>ST Gross</t>
        </is>
      </c>
      <c r="F82" s="82">
        <f>SUMIFS('Trading History'!$Q$4:$Q1004, 'Trading History'!$O$4:$O1004, CONCAT("&gt;", $A78))</f>
        <v/>
      </c>
      <c r="G82" s="69" t="n"/>
      <c r="H82" s="80" t="inlineStr">
        <is>
          <t>LT Gross</t>
        </is>
      </c>
      <c r="I82" s="82">
        <f>SUMIFS('Trading History'!$U$4:$U1004, 'Trading History'!$S$4:$S1004, CONCAT("&gt;", $A78))</f>
        <v/>
      </c>
      <c r="J82" s="69" t="n"/>
      <c r="K82" s="81" t="inlineStr">
        <is>
          <t>Gross</t>
        </is>
      </c>
      <c r="L82" s="82">
        <f>SUMIFS('Trading History'!$AA$4:$AA1004, 'Trading History'!$Y$4:$Y1004,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1" t="n">
        <v>0</v>
      </c>
      <c r="B85" s="72" t="inlineStr">
        <is>
          <t>Units</t>
        </is>
      </c>
      <c r="C85" s="73">
        <f>SUMIFS('Trading History'!$N$4:$N1004, 'Trading History'!$K$4:$K1004, CONCAT("&gt;", $A85))</f>
        <v/>
      </c>
      <c r="D85" s="69" t="n"/>
      <c r="E85" s="74" t="inlineStr">
        <is>
          <t>ST Units</t>
        </is>
      </c>
      <c r="F85" s="73">
        <f>IFERROR(SUMIFS('Trading History'!$R$4:$R1004, 'Trading History'!$O$4:$O1004, CONCAT("&gt;", $A85)), 0)</f>
        <v/>
      </c>
      <c r="G85" s="69" t="n"/>
      <c r="H85" s="75" t="inlineStr">
        <is>
          <t>LT Units</t>
        </is>
      </c>
      <c r="I85" s="73">
        <f>SUMIFS('Trading History'!$V$4:$V1004, 'Trading History'!$S$4:$S1004, CONCAT("&gt;", $A85))</f>
        <v/>
      </c>
      <c r="J85" s="69" t="n"/>
      <c r="K85" s="76" t="inlineStr">
        <is>
          <t>Units</t>
        </is>
      </c>
      <c r="L85" s="73">
        <f>SUMIFS('Trading History'!$AB$4:$AB1004, 'Trading History'!$Y$4:$Y1004,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8" t="inlineStr">
        <is>
          <t>Avg %</t>
        </is>
      </c>
      <c r="C86" s="66">
        <f>IFERROR(Index!C87/(Index!C85*Index!$C$2), 0)</f>
        <v/>
      </c>
      <c r="D86" s="69" t="n"/>
      <c r="E86" s="79" t="inlineStr">
        <is>
          <t>ST Avg %</t>
        </is>
      </c>
      <c r="F86" s="66">
        <f>IFERROR(Index!F87/(Index!F85*Index!$C$2), 0)</f>
        <v/>
      </c>
      <c r="G86" s="69" t="n"/>
      <c r="H86" s="80" t="inlineStr">
        <is>
          <t>LT Avg %</t>
        </is>
      </c>
      <c r="I86" s="66">
        <f>IFERROR(Index!I87/(Index!I85*Index!$C$2), 0)</f>
        <v/>
      </c>
      <c r="J86" s="69" t="n"/>
      <c r="K86" s="81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8" t="inlineStr">
        <is>
          <t>Gain</t>
        </is>
      </c>
      <c r="C87" s="82">
        <f>SUMIFS('Trading History'!$L$4:$L1004, 'Trading History'!$K$4:$K1004, CONCAT("&gt;", $A85))</f>
        <v/>
      </c>
      <c r="D87" s="69" t="n"/>
      <c r="E87" s="79" t="inlineStr">
        <is>
          <t>ST Gain</t>
        </is>
      </c>
      <c r="F87" s="82">
        <f>SUMIFS('Trading History'!$P$4:$P1004, 'Trading History'!$O$4:$O1004, CONCAT("&gt;", $A85))</f>
        <v/>
      </c>
      <c r="G87" s="69" t="n"/>
      <c r="H87" s="80" t="inlineStr">
        <is>
          <t>LT Gain</t>
        </is>
      </c>
      <c r="I87" s="82">
        <f>SUMIFS('Trading History'!$T$4:$T1004, 'Trading History'!$S$4:$S1004, CONCAT("&gt;", $A85))</f>
        <v/>
      </c>
      <c r="J87" s="69" t="n"/>
      <c r="K87" s="81" t="inlineStr">
        <is>
          <t>Gain</t>
        </is>
      </c>
      <c r="L87" s="82">
        <f>SUMIFS('Trading History'!$Z$4:$Z1004, 'Trading History'!$Y$4:$Y1004,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8" t="inlineStr">
        <is>
          <t>Invested</t>
        </is>
      </c>
      <c r="C88" s="82">
        <f>Index!C89-Index!C87</f>
        <v/>
      </c>
      <c r="D88" s="69" t="n"/>
      <c r="E88" s="79" t="inlineStr">
        <is>
          <t>ST Invested</t>
        </is>
      </c>
      <c r="F88" s="82">
        <f>Index!F89-Index!F87</f>
        <v/>
      </c>
      <c r="G88" s="69" t="n"/>
      <c r="H88" s="80" t="inlineStr">
        <is>
          <t>LT Invested</t>
        </is>
      </c>
      <c r="I88" s="82">
        <f>Index!I89-Index!I87</f>
        <v/>
      </c>
      <c r="J88" s="69" t="n"/>
      <c r="K88" s="81" t="inlineStr">
        <is>
          <t>Invested</t>
        </is>
      </c>
      <c r="L88" s="82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8" t="inlineStr">
        <is>
          <t>Gross</t>
        </is>
      </c>
      <c r="C89" s="82">
        <f>SUMIFS('Trading History'!$M$4:$M1004, 'Trading History'!$K$4:$K1004, CONCAT("&gt;", $A85))</f>
        <v/>
      </c>
      <c r="D89" s="69" t="n"/>
      <c r="E89" s="79" t="inlineStr">
        <is>
          <t>ST Gross</t>
        </is>
      </c>
      <c r="F89" s="82">
        <f>SUMIFS('Trading History'!$Q$4:$Q1004, 'Trading History'!$O$4:$O1004, CONCAT("&gt;", $A85))</f>
        <v/>
      </c>
      <c r="G89" s="69" t="n"/>
      <c r="H89" s="80" t="inlineStr">
        <is>
          <t>LT Gross</t>
        </is>
      </c>
      <c r="I89" s="82">
        <f>SUMIFS('Trading History'!$U$4:$U1004, 'Trading History'!$S$4:$S1004, CONCAT("&gt;", $A85))</f>
        <v/>
      </c>
      <c r="J89" s="69" t="n"/>
      <c r="K89" s="81" t="inlineStr">
        <is>
          <t>Gross</t>
        </is>
      </c>
      <c r="L89" s="82">
        <f>SUMIFS('Trading History'!$AA$4:$AA1004, 'Trading History'!$Y$4:$Y1004,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84" t="n"/>
      <c r="L90" s="84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2026-02-07T07:12:14Z</dcterms:created>
  <dcterms:modified xmlns:dcterms="http://purl.org/dc/terms/" xmlns:xsi="http://www.w3.org/2001/XMLSchema-instance" xsi:type="dcterms:W3CDTF">2026-02-07T14:33:06Z</dcterms:modified>
</cp:coreProperties>
</file>