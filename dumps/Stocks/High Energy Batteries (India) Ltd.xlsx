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History'!$A$4:$AO$53</definedName>
    <definedName name="_xlnm._FilterDatabase" localSheetId="0" hidden="1">'Trading History'!$A$4:$AO$53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23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/>
  <cols>
    <col width="10.83203125" customWidth="1" style="62" min="1" max="1"/>
    <col width="8.1640625" customWidth="1" style="62" min="2" max="2"/>
    <col width="9.83203125" customWidth="1" style="62" min="3" max="3"/>
    <col width="6.83203125" customWidth="1" style="62" min="4" max="4"/>
    <col width="8.6640625" customWidth="1" style="62" min="5" max="5"/>
    <col width="9.1640625" customWidth="1" style="62" min="6" max="6"/>
    <col width="6.5" customWidth="1" style="62" min="7" max="7"/>
    <col width="6.6640625" customWidth="1" style="62" min="8" max="8"/>
    <col width="12.5" customWidth="1" style="62" min="9" max="9"/>
    <col width="14" customWidth="1" style="62" min="10" max="10"/>
    <col width="10.1640625" customWidth="1" style="62" min="11" max="12"/>
    <col width="9.1640625" customWidth="1" style="62" min="13" max="13"/>
    <col width="7.6640625" customWidth="1" style="62" min="14" max="14"/>
    <col width="9.6640625" customWidth="1" style="62" min="15" max="16"/>
    <col width="8.6640625" customWidth="1" style="62" min="17" max="17"/>
    <col width="8.1640625" customWidth="1" style="62" min="18" max="18"/>
    <col width="9.5" customWidth="1" style="62" min="19" max="20"/>
    <col width="9.1640625" customWidth="1" style="62" min="21" max="21"/>
    <col width="7.6640625" customWidth="1" style="62" min="22" max="22"/>
    <col width="7.83203125" customWidth="1" style="62" min="23" max="23"/>
    <col width="11.1640625" customWidth="1" style="62" min="24" max="24"/>
    <col width="12.5" customWidth="1" style="62" min="25" max="26"/>
    <col width="8.33203125" customWidth="1" style="62" min="27" max="29"/>
    <col width="16.33203125" customWidth="1" style="62" min="30" max="30"/>
  </cols>
  <sheetData>
    <row r="1" ht="15.75" customHeight="1" s="6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7" t="inlineStr">
        <is>
          <t>UnRealised</t>
        </is>
      </c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9" t="n"/>
      <c r="W2" s="61" t="inlineStr">
        <is>
          <t>Realised</t>
        </is>
      </c>
      <c r="AC2" s="6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0" t="inlineStr">
        <is>
          <t>Total</t>
        </is>
      </c>
      <c r="L3" s="68" t="n"/>
      <c r="M3" s="68" t="n"/>
      <c r="N3" s="69" t="n"/>
      <c r="O3" s="71" t="inlineStr">
        <is>
          <t>Short Term</t>
        </is>
      </c>
      <c r="P3" s="64" t="n"/>
      <c r="Q3" s="64" t="n"/>
      <c r="R3" s="65" t="n"/>
      <c r="S3" s="66" t="inlineStr">
        <is>
          <t>Long Term</t>
        </is>
      </c>
      <c r="T3" s="64" t="n"/>
      <c r="U3" s="64" t="n"/>
      <c r="V3" s="65" t="n"/>
      <c r="W3" s="64" t="n"/>
      <c r="X3" s="64" t="n"/>
      <c r="Y3" s="64" t="n"/>
      <c r="Z3" s="64" t="n"/>
      <c r="AA3" s="64" t="n"/>
      <c r="AB3" s="64" t="n"/>
      <c r="AC3" s="6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2">
      <c r="A5" s="73" t="n">
        <v>46063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589.75</v>
      </c>
      <c r="F5" t="n">
        <v>5927</v>
      </c>
      <c r="G5" t="inlineStr">
        <is>
          <t>CN#252611730667</t>
        </is>
      </c>
      <c r="I5" t="n">
        <v>29.5</v>
      </c>
      <c r="J5">
        <f>Index!$C$2</f>
        <v/>
      </c>
    </row>
    <row r="6" ht="15.75" customHeight="1" s="62">
      <c r="A6" s="73" t="n">
        <v>46050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530</v>
      </c>
      <c r="F6" t="n">
        <v>5326.5</v>
      </c>
      <c r="G6" t="inlineStr">
        <is>
          <t>CN#252611091662</t>
        </is>
      </c>
      <c r="I6" t="n">
        <v>26.5</v>
      </c>
      <c r="J6">
        <f>Index!$C$2</f>
        <v/>
      </c>
    </row>
    <row r="7" ht="15.75" customHeight="1" s="62">
      <c r="A7" s="73" t="n">
        <v>46049</v>
      </c>
      <c r="B7" t="inlineStr">
        <is>
          <t>BSE</t>
        </is>
      </c>
      <c r="C7" t="inlineStr">
        <is>
          <t>Buy</t>
        </is>
      </c>
      <c r="D7" t="n">
        <v>5</v>
      </c>
      <c r="E7" t="n">
        <v>534.7</v>
      </c>
      <c r="F7" t="n">
        <v>2686.85</v>
      </c>
      <c r="G7" t="inlineStr">
        <is>
          <t>CN#252611030591</t>
        </is>
      </c>
      <c r="I7" t="n">
        <v>13.35</v>
      </c>
      <c r="J7">
        <f>Index!$C$2</f>
        <v/>
      </c>
    </row>
    <row r="8" ht="15.75" customHeight="1" s="62">
      <c r="A8" s="73" t="n">
        <v>46042</v>
      </c>
      <c r="B8" t="inlineStr">
        <is>
          <t>BSE</t>
        </is>
      </c>
      <c r="C8" t="inlineStr">
        <is>
          <t>Buy</t>
        </is>
      </c>
      <c r="D8" t="n">
        <v>10</v>
      </c>
      <c r="E8" t="n">
        <v>541</v>
      </c>
      <c r="F8" t="n">
        <v>5437.1</v>
      </c>
      <c r="G8" t="inlineStr">
        <is>
          <t>CN#252610779339</t>
        </is>
      </c>
      <c r="I8" t="n">
        <v>27.1</v>
      </c>
      <c r="J8">
        <f>Index!$C$2</f>
        <v/>
      </c>
    </row>
    <row r="9" ht="15.75" customHeight="1" s="62">
      <c r="A9" s="73" t="n">
        <v>46030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563.85</v>
      </c>
      <c r="F9" t="n">
        <v>5666.7</v>
      </c>
      <c r="G9" t="inlineStr">
        <is>
          <t>CN#252610347614</t>
        </is>
      </c>
      <c r="I9" t="n">
        <v>28.2</v>
      </c>
      <c r="J9">
        <f>Index!$C$2</f>
        <v/>
      </c>
    </row>
    <row r="10" ht="15.75" customHeight="1" s="62">
      <c r="A10" s="73" t="n">
        <v>46017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545.525</v>
      </c>
      <c r="F10" t="n">
        <v>5482.55</v>
      </c>
      <c r="G10" t="inlineStr">
        <is>
          <t>CN#252609810990</t>
        </is>
      </c>
      <c r="I10" t="n">
        <v>27.3</v>
      </c>
      <c r="J10">
        <f>Index!$C$2</f>
        <v/>
      </c>
    </row>
    <row r="11" ht="15.75" customHeight="1" s="62">
      <c r="A11" s="73" t="n">
        <v>46015</v>
      </c>
      <c r="B11" t="inlineStr">
        <is>
          <t>BSE</t>
        </is>
      </c>
      <c r="C11" t="inlineStr">
        <is>
          <t>Buy</t>
        </is>
      </c>
      <c r="D11" t="n">
        <v>10</v>
      </c>
      <c r="E11" t="n">
        <v>545.25</v>
      </c>
      <c r="F11" t="n">
        <v>5479.8</v>
      </c>
      <c r="G11" t="inlineStr">
        <is>
          <t>CN#252609755521</t>
        </is>
      </c>
      <c r="I11" t="n">
        <v>27.3</v>
      </c>
      <c r="J11">
        <f>Index!$C$2</f>
        <v/>
      </c>
    </row>
    <row r="12" ht="15.75" customHeight="1" s="62">
      <c r="A12" s="73" t="n">
        <v>46014</v>
      </c>
      <c r="B12" t="inlineStr">
        <is>
          <t>BSE</t>
        </is>
      </c>
      <c r="C12" t="inlineStr">
        <is>
          <t>Buy</t>
        </is>
      </c>
      <c r="D12" t="n">
        <v>10</v>
      </c>
      <c r="E12" t="n">
        <v>548.9</v>
      </c>
      <c r="F12" t="n">
        <v>5516.4</v>
      </c>
      <c r="G12" t="inlineStr">
        <is>
          <t>CN#252609701573</t>
        </is>
      </c>
      <c r="I12" t="n">
        <v>27.4</v>
      </c>
      <c r="J12">
        <f>Index!$C$2</f>
        <v/>
      </c>
    </row>
    <row r="13" ht="15.75" customHeight="1" s="62">
      <c r="A13" s="73" t="n">
        <v>46007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541.3</v>
      </c>
      <c r="F13" t="n">
        <v>5440.1</v>
      </c>
      <c r="G13" t="inlineStr">
        <is>
          <t>CN#252609425003</t>
        </is>
      </c>
      <c r="I13" t="n">
        <v>27.1</v>
      </c>
      <c r="J13">
        <f>Index!$C$2</f>
        <v/>
      </c>
    </row>
    <row r="14" ht="15.75" customHeight="1" s="62">
      <c r="A14" s="73" t="n">
        <v>46002</v>
      </c>
      <c r="B14" t="inlineStr">
        <is>
          <t>BSE</t>
        </is>
      </c>
      <c r="C14" t="inlineStr">
        <is>
          <t>Buy</t>
        </is>
      </c>
      <c r="D14" t="n">
        <v>5</v>
      </c>
      <c r="E14" t="n">
        <v>547.9</v>
      </c>
      <c r="F14" t="n">
        <v>2753.2</v>
      </c>
      <c r="G14" t="inlineStr">
        <is>
          <t>CN#252609267726</t>
        </is>
      </c>
      <c r="I14" t="n">
        <v>13.7</v>
      </c>
      <c r="J14">
        <f>Index!$C$2</f>
        <v/>
      </c>
    </row>
    <row r="15" ht="15.75" customHeight="1" s="62">
      <c r="A15" s="73" t="n">
        <v>46000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560.975</v>
      </c>
      <c r="F15" t="n">
        <v>5637.8</v>
      </c>
      <c r="G15" t="inlineStr">
        <is>
          <t>CN#252609157599</t>
        </is>
      </c>
      <c r="I15" t="n">
        <v>28.05</v>
      </c>
      <c r="J15">
        <f>Index!$C$2</f>
        <v/>
      </c>
    </row>
    <row r="16" ht="15.75" customHeight="1" s="62">
      <c r="A16" s="73" t="n">
        <v>45996</v>
      </c>
      <c r="B16" t="inlineStr">
        <is>
          <t>BSE</t>
        </is>
      </c>
      <c r="C16" t="inlineStr">
        <is>
          <t>Buy</t>
        </is>
      </c>
      <c r="D16" t="n">
        <v>10</v>
      </c>
      <c r="E16" t="n">
        <v>573.95</v>
      </c>
      <c r="F16" t="n">
        <v>5768.2</v>
      </c>
      <c r="G16" t="inlineStr">
        <is>
          <t>CN#252609039305</t>
        </is>
      </c>
      <c r="I16" t="n">
        <v>28.7</v>
      </c>
      <c r="J16">
        <f>Index!$C$2</f>
        <v/>
      </c>
    </row>
    <row r="17" ht="15.75" customHeight="1" s="62">
      <c r="A17" s="73" t="n">
        <v>45989</v>
      </c>
      <c r="B17" t="inlineStr">
        <is>
          <t>BSE</t>
        </is>
      </c>
      <c r="C17" t="inlineStr">
        <is>
          <t>Buy</t>
        </is>
      </c>
      <c r="D17" t="n">
        <v>5</v>
      </c>
      <c r="E17" t="n">
        <v>586.95</v>
      </c>
      <c r="F17" t="n">
        <v>2949.4</v>
      </c>
      <c r="G17" t="inlineStr">
        <is>
          <t>CN#252608755594</t>
        </is>
      </c>
      <c r="I17" t="n">
        <v>14.65</v>
      </c>
      <c r="J17">
        <f>Index!$C$2</f>
        <v/>
      </c>
    </row>
    <row r="18" ht="15.75" customHeight="1" s="62">
      <c r="A18" s="73" t="n">
        <v>45982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621</v>
      </c>
      <c r="F18" t="n">
        <v>3120.55</v>
      </c>
      <c r="G18" t="inlineStr">
        <is>
          <t>CN#252608495287</t>
        </is>
      </c>
      <c r="I18" t="n">
        <v>15.55</v>
      </c>
      <c r="J18">
        <f>Index!$C$2</f>
        <v/>
      </c>
    </row>
    <row r="19" ht="15.75" customHeight="1" s="62">
      <c r="A19" s="73" t="n">
        <v>45979</v>
      </c>
      <c r="B19" t="inlineStr">
        <is>
          <t>BSE</t>
        </is>
      </c>
      <c r="C19" t="inlineStr">
        <is>
          <t>Buy</t>
        </is>
      </c>
      <c r="D19" t="n">
        <v>5</v>
      </c>
      <c r="E19" t="n">
        <v>623.66</v>
      </c>
      <c r="F19" t="n">
        <v>3133.87</v>
      </c>
      <c r="G19" t="inlineStr">
        <is>
          <t>CN#252608322011</t>
        </is>
      </c>
      <c r="I19" t="n">
        <v>15.57</v>
      </c>
      <c r="J19">
        <f>Index!$C$2</f>
        <v/>
      </c>
    </row>
    <row r="20" ht="15.75" customHeight="1" s="62">
      <c r="A20" s="73" t="n">
        <v>45978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657.58</v>
      </c>
      <c r="F20" t="n">
        <v>3304.35</v>
      </c>
      <c r="G20" t="inlineStr">
        <is>
          <t>CN#252608260909</t>
        </is>
      </c>
      <c r="I20" t="n">
        <v>16.45</v>
      </c>
      <c r="J20">
        <f>Index!$C$2</f>
        <v/>
      </c>
    </row>
    <row r="21" ht="15.75" customHeight="1" s="62">
      <c r="A21" s="73" t="n">
        <v>45967</v>
      </c>
      <c r="B21" t="inlineStr">
        <is>
          <t>BSE</t>
        </is>
      </c>
      <c r="C21" t="inlineStr">
        <is>
          <t>Buy</t>
        </is>
      </c>
      <c r="D21" t="n">
        <v>10</v>
      </c>
      <c r="E21" t="n">
        <v>570.45</v>
      </c>
      <c r="F21" t="n">
        <v>5733</v>
      </c>
      <c r="G21" t="inlineStr">
        <is>
          <t>CN#252607785263</t>
        </is>
      </c>
      <c r="I21" t="n">
        <v>28.5</v>
      </c>
      <c r="J21">
        <f>Index!$C$2</f>
        <v/>
      </c>
    </row>
    <row r="22" ht="15.75" customHeight="1" s="62">
      <c r="A22" s="73" t="n">
        <v>45961</v>
      </c>
      <c r="B22" t="inlineStr">
        <is>
          <t>BSE</t>
        </is>
      </c>
      <c r="C22" t="inlineStr">
        <is>
          <t>Buy</t>
        </is>
      </c>
      <c r="D22" t="n">
        <v>5</v>
      </c>
      <c r="E22" t="n">
        <v>596.15</v>
      </c>
      <c r="F22" t="n">
        <v>2995.65</v>
      </c>
      <c r="G22" t="inlineStr">
        <is>
          <t>CN#252607606298</t>
        </is>
      </c>
      <c r="I22" t="n">
        <v>14.9</v>
      </c>
      <c r="J22">
        <f>Index!$C$2</f>
        <v/>
      </c>
    </row>
    <row r="23" ht="15.75" customHeight="1" s="62">
      <c r="A23" s="73" t="n">
        <v>45957</v>
      </c>
      <c r="B23" t="inlineStr">
        <is>
          <t>BSE</t>
        </is>
      </c>
      <c r="C23" t="inlineStr">
        <is>
          <t>Buy</t>
        </is>
      </c>
      <c r="D23" t="n">
        <v>10</v>
      </c>
      <c r="E23" t="n">
        <v>607.4</v>
      </c>
      <c r="F23" t="n">
        <v>6104.4</v>
      </c>
      <c r="G23" t="inlineStr">
        <is>
          <t>CN#252607382790</t>
        </is>
      </c>
      <c r="I23" t="n">
        <v>30.4</v>
      </c>
      <c r="J23">
        <f>Index!$C$2</f>
        <v/>
      </c>
    </row>
    <row r="24" ht="15.75" customHeight="1" s="62">
      <c r="A24" s="73" t="n">
        <v>46063</v>
      </c>
      <c r="B24" t="inlineStr">
        <is>
          <t>BSE</t>
        </is>
      </c>
      <c r="C24" t="inlineStr">
        <is>
          <t>Buy</t>
        </is>
      </c>
      <c r="D24" t="n">
        <v>10</v>
      </c>
      <c r="E24" t="n">
        <v>589.75</v>
      </c>
      <c r="F24" t="n">
        <v>5946.05</v>
      </c>
      <c r="G24" t="inlineStr">
        <is>
          <t>CN#252611730667</t>
        </is>
      </c>
      <c r="H24" t="n">
        <v>5.89</v>
      </c>
      <c r="I24" t="n">
        <v>42.66</v>
      </c>
      <c r="J24">
        <f>Index!$C$2</f>
        <v/>
      </c>
    </row>
    <row r="25" ht="15.75" customHeight="1" s="62">
      <c r="A25" s="60" t="n">
        <v>46050</v>
      </c>
      <c r="B25" t="inlineStr">
        <is>
          <t>BSE</t>
        </is>
      </c>
      <c r="C25" t="inlineStr">
        <is>
          <t>Buy</t>
        </is>
      </c>
      <c r="D25" t="n">
        <v>10</v>
      </c>
      <c r="E25" t="n">
        <v>530</v>
      </c>
      <c r="F25" t="n">
        <v>5343.69</v>
      </c>
      <c r="G25" t="inlineStr">
        <is>
          <t>~</t>
        </is>
      </c>
      <c r="H25" t="n">
        <v>5.33</v>
      </c>
      <c r="I25" t="n">
        <v>38.36</v>
      </c>
    </row>
    <row r="26" ht="15.75" customHeight="1" s="62">
      <c r="A26" s="60" t="n">
        <v>46049</v>
      </c>
      <c r="B26" t="inlineStr">
        <is>
          <t>BSE</t>
        </is>
      </c>
      <c r="C26" t="inlineStr">
        <is>
          <t>Buy</t>
        </is>
      </c>
      <c r="D26" t="n">
        <v>5</v>
      </c>
      <c r="E26" t="n">
        <v>534.7</v>
      </c>
      <c r="F26" t="n">
        <v>2695.48</v>
      </c>
      <c r="G26" t="inlineStr">
        <is>
          <t>~</t>
        </is>
      </c>
      <c r="H26" t="n">
        <v>2.67</v>
      </c>
      <c r="I26" t="n">
        <v>19.31</v>
      </c>
    </row>
    <row r="27" ht="15.75" customHeight="1" s="62">
      <c r="A27" s="60" t="n">
        <v>46042</v>
      </c>
      <c r="B27" t="inlineStr">
        <is>
          <t>BSE</t>
        </is>
      </c>
      <c r="C27" t="inlineStr">
        <is>
          <t>Buy</t>
        </is>
      </c>
      <c r="D27" t="n">
        <v>10</v>
      </c>
      <c r="E27" t="n">
        <v>541</v>
      </c>
      <c r="F27" t="n">
        <v>5454.64</v>
      </c>
      <c r="G27" t="inlineStr">
        <is>
          <t>~</t>
        </is>
      </c>
      <c r="H27" t="n">
        <v>5.42</v>
      </c>
      <c r="I27" t="n">
        <v>39.22</v>
      </c>
    </row>
    <row r="28" ht="15.75" customHeight="1" s="62">
      <c r="A28" s="60" t="n">
        <v>46030</v>
      </c>
      <c r="B28" t="inlineStr">
        <is>
          <t>BSE</t>
        </is>
      </c>
      <c r="C28" t="inlineStr">
        <is>
          <t>Buy</t>
        </is>
      </c>
      <c r="D28" t="n">
        <v>10</v>
      </c>
      <c r="E28" t="n">
        <v>563.85</v>
      </c>
      <c r="F28" t="n">
        <v>5684.91</v>
      </c>
      <c r="G28" t="inlineStr">
        <is>
          <t>~</t>
        </is>
      </c>
      <c r="H28" t="n">
        <v>5.62</v>
      </c>
      <c r="I28" t="n">
        <v>40.79</v>
      </c>
    </row>
    <row r="29" ht="15.75" customHeight="1" s="62">
      <c r="A29" s="60" t="n">
        <v>46017</v>
      </c>
      <c r="B29" t="inlineStr">
        <is>
          <t>BSE</t>
        </is>
      </c>
      <c r="C29" t="inlineStr">
        <is>
          <t>Buy</t>
        </is>
      </c>
      <c r="D29" t="n">
        <v>5</v>
      </c>
      <c r="E29" t="n">
        <v>545.55</v>
      </c>
      <c r="F29" t="n">
        <v>2750.24</v>
      </c>
      <c r="G29" t="inlineStr">
        <is>
          <t>~</t>
        </is>
      </c>
      <c r="H29" t="n">
        <v>2.74</v>
      </c>
      <c r="I29" t="n">
        <v>19.75</v>
      </c>
    </row>
    <row r="30" ht="15.75" customHeight="1" s="62">
      <c r="A30" s="60" t="n">
        <v>46017</v>
      </c>
      <c r="B30" t="inlineStr">
        <is>
          <t>BSE</t>
        </is>
      </c>
      <c r="C30" t="inlineStr">
        <is>
          <t>Buy</t>
        </is>
      </c>
      <c r="D30" t="n">
        <v>5</v>
      </c>
      <c r="E30" t="n">
        <v>545.5</v>
      </c>
      <c r="F30" t="n">
        <v>2749.99</v>
      </c>
      <c r="G30" t="inlineStr">
        <is>
          <t>~</t>
        </is>
      </c>
      <c r="H30" t="n">
        <v>2.74</v>
      </c>
      <c r="I30" t="n">
        <v>19.75</v>
      </c>
    </row>
    <row r="31" ht="15.75" customHeight="1" s="62">
      <c r="A31" s="60" t="n">
        <v>46015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545.25</v>
      </c>
      <c r="F31" t="n">
        <v>5497.42</v>
      </c>
      <c r="G31" t="inlineStr">
        <is>
          <t>~</t>
        </is>
      </c>
      <c r="H31" t="n">
        <v>5.42</v>
      </c>
      <c r="I31" t="n">
        <v>39.5</v>
      </c>
    </row>
    <row r="32" ht="15.75" customHeight="1" s="62">
      <c r="A32" s="60" t="n">
        <v>46014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548.9</v>
      </c>
      <c r="F32" t="n">
        <v>5534.11</v>
      </c>
      <c r="G32" t="inlineStr">
        <is>
          <t>~</t>
        </is>
      </c>
      <c r="H32" t="n">
        <v>5.47</v>
      </c>
      <c r="I32" t="n">
        <v>39.64</v>
      </c>
    </row>
    <row r="33" ht="15.75" customHeight="1" s="62">
      <c r="A33" s="60" t="n">
        <v>46007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541.3</v>
      </c>
      <c r="F33" t="n">
        <v>5457.59</v>
      </c>
      <c r="G33" t="inlineStr">
        <is>
          <t>~</t>
        </is>
      </c>
      <c r="H33" t="n">
        <v>5.39</v>
      </c>
      <c r="I33" t="n">
        <v>39.2</v>
      </c>
    </row>
    <row r="34" ht="15.75" customHeight="1" s="62">
      <c r="A34" s="60" t="n">
        <v>46002</v>
      </c>
      <c r="B34" t="inlineStr">
        <is>
          <t>BSE</t>
        </is>
      </c>
      <c r="C34" t="inlineStr">
        <is>
          <t>Buy</t>
        </is>
      </c>
      <c r="D34" t="n">
        <v>5</v>
      </c>
      <c r="E34" t="n">
        <v>547.9</v>
      </c>
      <c r="F34" t="n">
        <v>2762.01</v>
      </c>
      <c r="G34" t="inlineStr">
        <is>
          <t>~</t>
        </is>
      </c>
      <c r="H34" t="n">
        <v>2.75</v>
      </c>
      <c r="I34" t="n">
        <v>19.76</v>
      </c>
    </row>
    <row r="35" ht="15.75" customHeight="1" s="62">
      <c r="A35" s="60" t="n">
        <v>46000</v>
      </c>
      <c r="B35" t="inlineStr">
        <is>
          <t>BSE</t>
        </is>
      </c>
      <c r="C35" t="inlineStr">
        <is>
          <t>Buy</t>
        </is>
      </c>
      <c r="D35" t="n">
        <v>5</v>
      </c>
      <c r="E35" t="n">
        <v>560.95</v>
      </c>
      <c r="F35" t="n">
        <v>2827.8</v>
      </c>
      <c r="G35" t="inlineStr">
        <is>
          <t>~</t>
        </is>
      </c>
      <c r="H35" t="n">
        <v>2.8</v>
      </c>
      <c r="I35" t="n">
        <v>20.25</v>
      </c>
    </row>
    <row r="36" ht="15.75" customHeight="1" s="62">
      <c r="A36" s="60" t="n">
        <v>46000</v>
      </c>
      <c r="B36" t="inlineStr">
        <is>
          <t>BSE</t>
        </is>
      </c>
      <c r="C36" t="inlineStr">
        <is>
          <t>Buy</t>
        </is>
      </c>
      <c r="D36" t="n">
        <v>5</v>
      </c>
      <c r="E36" t="n">
        <v>561</v>
      </c>
      <c r="F36" t="n">
        <v>2828.11</v>
      </c>
      <c r="G36" t="inlineStr">
        <is>
          <t>~</t>
        </is>
      </c>
      <c r="H36" t="n">
        <v>2.8</v>
      </c>
      <c r="I36" t="n">
        <v>20.31</v>
      </c>
    </row>
    <row r="37" ht="15.75" customHeight="1" s="62">
      <c r="A37" s="60" t="n">
        <v>45996</v>
      </c>
      <c r="B37" t="inlineStr">
        <is>
          <t>BSE</t>
        </is>
      </c>
      <c r="C37" t="inlineStr">
        <is>
          <t>Buy</t>
        </is>
      </c>
      <c r="D37" t="n">
        <v>10</v>
      </c>
      <c r="E37" t="n">
        <v>573.95</v>
      </c>
      <c r="F37" t="n">
        <v>5786.76</v>
      </c>
      <c r="G37" t="inlineStr">
        <is>
          <t>~</t>
        </is>
      </c>
      <c r="H37" t="n">
        <v>5.72</v>
      </c>
      <c r="I37" t="n">
        <v>41.54</v>
      </c>
    </row>
    <row r="38" ht="15.75" customHeight="1" s="62">
      <c r="A38" s="60" t="n">
        <v>45989</v>
      </c>
      <c r="B38" t="inlineStr">
        <is>
          <t>BSE</t>
        </is>
      </c>
      <c r="C38" t="inlineStr">
        <is>
          <t>Buy</t>
        </is>
      </c>
      <c r="D38" t="n">
        <v>5</v>
      </c>
      <c r="E38" t="n">
        <v>586.95</v>
      </c>
      <c r="F38" t="n">
        <v>2958.88</v>
      </c>
      <c r="G38" t="inlineStr">
        <is>
          <t>~</t>
        </is>
      </c>
      <c r="H38" t="n">
        <v>2.93</v>
      </c>
      <c r="I38" t="n">
        <v>21.2</v>
      </c>
    </row>
    <row r="39" ht="15.75" customHeight="1" s="62">
      <c r="A39" s="60" t="n">
        <v>45982</v>
      </c>
      <c r="B39" t="inlineStr">
        <is>
          <t>BSE</t>
        </is>
      </c>
      <c r="C39" t="inlineStr">
        <is>
          <t>Buy</t>
        </is>
      </c>
      <c r="D39" t="n">
        <v>5</v>
      </c>
      <c r="E39" t="n">
        <v>621</v>
      </c>
      <c r="F39" t="n">
        <v>3130.59</v>
      </c>
      <c r="G39" t="inlineStr">
        <is>
          <t>~</t>
        </is>
      </c>
      <c r="H39" t="n">
        <v>3.11</v>
      </c>
      <c r="I39" t="n">
        <v>22.48</v>
      </c>
    </row>
    <row r="40" ht="15.75" customHeight="1" s="62">
      <c r="A40" s="60" t="n">
        <v>45979</v>
      </c>
      <c r="B40" t="inlineStr">
        <is>
          <t>BSE</t>
        </is>
      </c>
      <c r="C40" t="inlineStr">
        <is>
          <t>Buy</t>
        </is>
      </c>
      <c r="D40" t="n">
        <v>2</v>
      </c>
      <c r="E40" t="n">
        <v>624.95</v>
      </c>
      <c r="F40" t="n">
        <v>1260.17</v>
      </c>
      <c r="G40" t="inlineStr">
        <is>
          <t>~</t>
        </is>
      </c>
      <c r="H40" t="n">
        <v>1.25</v>
      </c>
      <c r="I40" t="n">
        <v>9.02</v>
      </c>
    </row>
    <row r="41" ht="15.75" customHeight="1" s="62">
      <c r="A41" s="60" t="n">
        <v>45979</v>
      </c>
      <c r="B41" t="inlineStr">
        <is>
          <t>BSE</t>
        </is>
      </c>
      <c r="C41" t="inlineStr">
        <is>
          <t>Buy</t>
        </is>
      </c>
      <c r="D41" t="n">
        <v>3</v>
      </c>
      <c r="E41" t="n">
        <v>622.8</v>
      </c>
      <c r="F41" t="n">
        <v>1883.78</v>
      </c>
      <c r="G41" t="inlineStr">
        <is>
          <t>~</t>
        </is>
      </c>
      <c r="H41" t="n">
        <v>1.88</v>
      </c>
      <c r="I41" t="n">
        <v>13.5</v>
      </c>
    </row>
    <row r="42" ht="15.75" customHeight="1" s="62">
      <c r="A42" s="60" t="n">
        <v>45978</v>
      </c>
      <c r="B42" t="inlineStr">
        <is>
          <t>BSE</t>
        </is>
      </c>
      <c r="C42" t="inlineStr">
        <is>
          <t>Buy</t>
        </is>
      </c>
      <c r="D42" t="n">
        <v>1</v>
      </c>
      <c r="E42" t="n">
        <v>658</v>
      </c>
      <c r="F42" t="n">
        <v>663.4299999999999</v>
      </c>
      <c r="G42" t="inlineStr">
        <is>
          <t>~</t>
        </is>
      </c>
      <c r="H42" t="n">
        <v>0.66</v>
      </c>
      <c r="I42" t="n">
        <v>4.77</v>
      </c>
    </row>
    <row r="43" ht="15.75" customHeight="1" s="62">
      <c r="A43" s="60" t="n">
        <v>45978</v>
      </c>
      <c r="B43" t="inlineStr">
        <is>
          <t>BSE</t>
        </is>
      </c>
      <c r="C43" t="inlineStr">
        <is>
          <t>Buy</t>
        </is>
      </c>
      <c r="D43" t="n">
        <v>2</v>
      </c>
      <c r="E43" t="n">
        <v>657.95</v>
      </c>
      <c r="F43" t="n">
        <v>1326.73</v>
      </c>
      <c r="G43" t="inlineStr">
        <is>
          <t>~</t>
        </is>
      </c>
      <c r="H43" t="n">
        <v>1.32</v>
      </c>
      <c r="I43" t="n">
        <v>9.51</v>
      </c>
    </row>
    <row r="44" ht="15.75" customHeight="1" s="62">
      <c r="A44" s="60" t="n">
        <v>45978</v>
      </c>
      <c r="B44" t="inlineStr">
        <is>
          <t>BSE</t>
        </is>
      </c>
      <c r="C44" t="inlineStr">
        <is>
          <t>Buy</t>
        </is>
      </c>
      <c r="D44" t="n">
        <v>2</v>
      </c>
      <c r="E44" t="n">
        <v>657</v>
      </c>
      <c r="F44" t="n">
        <v>1324.82</v>
      </c>
      <c r="G44" t="inlineStr">
        <is>
          <t>~</t>
        </is>
      </c>
      <c r="H44" t="n">
        <v>1.32</v>
      </c>
      <c r="I44" t="n">
        <v>9.5</v>
      </c>
    </row>
    <row r="45" ht="15.75" customHeight="1" s="62">
      <c r="A45" s="60" t="n">
        <v>45967</v>
      </c>
      <c r="B45" t="inlineStr">
        <is>
          <t>BSE</t>
        </is>
      </c>
      <c r="C45" t="inlineStr">
        <is>
          <t>Buy</t>
        </is>
      </c>
      <c r="D45" t="n">
        <v>10</v>
      </c>
      <c r="E45" t="n">
        <v>570.45</v>
      </c>
      <c r="F45" t="n">
        <v>5751.49</v>
      </c>
      <c r="G45" t="inlineStr">
        <is>
          <t>~</t>
        </is>
      </c>
      <c r="H45" t="n">
        <v>5.74</v>
      </c>
      <c r="I45" t="n">
        <v>41.25</v>
      </c>
    </row>
    <row r="46" ht="15.75" customHeight="1" s="62">
      <c r="A46" s="60" t="n">
        <v>45961</v>
      </c>
      <c r="B46" t="inlineStr">
        <is>
          <t>BSE</t>
        </is>
      </c>
      <c r="C46" t="inlineStr">
        <is>
          <t>Buy</t>
        </is>
      </c>
      <c r="D46" t="n">
        <v>5</v>
      </c>
      <c r="E46" t="n">
        <v>596.15</v>
      </c>
      <c r="F46" t="n">
        <v>3005.27</v>
      </c>
      <c r="G46" t="inlineStr">
        <is>
          <t>~</t>
        </is>
      </c>
      <c r="H46" t="n">
        <v>2.97</v>
      </c>
      <c r="I46" t="n">
        <v>21.55</v>
      </c>
    </row>
    <row r="47" ht="15.75" customHeight="1" s="62">
      <c r="A47" s="60" t="n">
        <v>45957</v>
      </c>
      <c r="B47" t="inlineStr">
        <is>
          <t>BSE</t>
        </is>
      </c>
      <c r="C47" t="inlineStr">
        <is>
          <t>Buy</t>
        </is>
      </c>
      <c r="D47" t="n">
        <v>10</v>
      </c>
      <c r="E47" t="n">
        <v>607.4</v>
      </c>
      <c r="F47" t="n">
        <v>6124.02</v>
      </c>
      <c r="G47" t="inlineStr">
        <is>
          <t>~</t>
        </is>
      </c>
      <c r="H47" t="n">
        <v>6.08</v>
      </c>
      <c r="I47" t="n">
        <v>43.94</v>
      </c>
    </row>
    <row r="48" ht="15.75" customHeight="1" s="62">
      <c r="A48" s="60" t="n">
        <v>45954</v>
      </c>
      <c r="B48" t="inlineStr">
        <is>
          <t>BSE</t>
        </is>
      </c>
      <c r="C48" t="inlineStr">
        <is>
          <t>Buy</t>
        </is>
      </c>
      <c r="D48" t="n">
        <v>5</v>
      </c>
      <c r="E48" t="n">
        <v>647.9</v>
      </c>
      <c r="F48" t="n">
        <v>3266.17</v>
      </c>
      <c r="G48" t="inlineStr">
        <is>
          <t>~</t>
        </is>
      </c>
      <c r="H48" t="n">
        <v>3.24</v>
      </c>
      <c r="I48" t="n">
        <v>23.43</v>
      </c>
    </row>
    <row r="49" ht="15.75" customHeight="1" s="62">
      <c r="A49" s="60" t="n">
        <v>45953</v>
      </c>
      <c r="B49" t="inlineStr">
        <is>
          <t>BSE</t>
        </is>
      </c>
      <c r="C49" t="inlineStr">
        <is>
          <t>Buy</t>
        </is>
      </c>
      <c r="D49" t="n">
        <v>10</v>
      </c>
      <c r="E49" t="n">
        <v>651.4</v>
      </c>
      <c r="F49" t="n">
        <v>6567.59</v>
      </c>
      <c r="G49" t="inlineStr">
        <is>
          <t>~</t>
        </is>
      </c>
      <c r="H49" t="n">
        <v>6.49</v>
      </c>
      <c r="I49" t="n">
        <v>47.1</v>
      </c>
    </row>
    <row r="50" ht="15.75" customHeight="1" s="62">
      <c r="A50" s="60" t="n">
        <v>45950</v>
      </c>
      <c r="B50" t="inlineStr">
        <is>
          <t>BSE</t>
        </is>
      </c>
      <c r="C50" t="inlineStr">
        <is>
          <t>Buy</t>
        </is>
      </c>
      <c r="D50" t="n">
        <v>10</v>
      </c>
      <c r="E50" t="n">
        <v>640.95</v>
      </c>
      <c r="F50" t="n">
        <v>6462.21</v>
      </c>
      <c r="G50" t="inlineStr">
        <is>
          <t>~</t>
        </is>
      </c>
      <c r="H50" t="n">
        <v>6.4</v>
      </c>
      <c r="I50" t="n">
        <v>46.31</v>
      </c>
    </row>
    <row r="51" ht="15.75" customHeight="1" s="62">
      <c r="A51" s="60" t="n">
        <v>45947</v>
      </c>
      <c r="B51" t="inlineStr">
        <is>
          <t>BSE</t>
        </is>
      </c>
      <c r="C51" t="inlineStr">
        <is>
          <t>Buy</t>
        </is>
      </c>
      <c r="D51" t="n">
        <v>10</v>
      </c>
      <c r="E51" t="n">
        <v>610.5</v>
      </c>
      <c r="F51" t="n">
        <v>6155.25</v>
      </c>
      <c r="G51" t="inlineStr">
        <is>
          <t>~</t>
        </is>
      </c>
      <c r="H51" t="n">
        <v>6.12</v>
      </c>
      <c r="I51" t="n">
        <v>44.13</v>
      </c>
    </row>
    <row r="52" ht="15.75" customHeight="1" s="62">
      <c r="A52" s="36" t="n">
        <v>45807</v>
      </c>
      <c r="B52" s="25" t="inlineStr">
        <is>
          <t>BSE</t>
        </is>
      </c>
      <c r="C52" s="25" t="inlineStr">
        <is>
          <t>Sell</t>
        </is>
      </c>
      <c r="D52" s="26" t="n">
        <v>50</v>
      </c>
      <c r="E52" s="27" t="n">
        <v>714.28</v>
      </c>
      <c r="F52" s="27">
        <f>D7*E7</f>
        <v/>
      </c>
      <c r="G52" s="25" t="inlineStr">
        <is>
          <t>~</t>
        </is>
      </c>
      <c r="H52" s="26" t="n"/>
      <c r="I52" s="26" t="n"/>
      <c r="J52" s="28">
        <f>Index!$C$2</f>
        <v/>
      </c>
      <c r="K52" s="29">
        <f>IF(AND( C7="Buy", ISBLANK(W7), B7&lt;&gt;"DIV"), L7/SUM(F7:I7), "")</f>
        <v/>
      </c>
      <c r="L52" s="30">
        <f>IF(AND( C7="Buy", ISBLANK(W7), B7&lt;&gt;"DIV"), (1-Index!$F$2*2)*((J7*D7)-(E7*D7)), "")</f>
        <v/>
      </c>
      <c r="M52" s="30">
        <f>IF(AND( C7="Buy", ISBLANK(W7), B7&lt;&gt;"DIV"), ((E7*D7)+L7), "")</f>
        <v/>
      </c>
      <c r="N52" s="31">
        <f>IF(AND( C7="Buy", ISBLANK(W7), B7&lt;&gt;"DIV"), D7, "")</f>
        <v/>
      </c>
      <c r="O52" s="29">
        <f>IF(AND( C7="Buy", ISBLANK(W7), B7&lt;&gt;"DIV", NOW()-A7 &lt; 365), P7/SUM(F7:I7), "")</f>
        <v/>
      </c>
      <c r="P52" s="30">
        <f>IF(AND( C7="Buy", ISBLANK(W7), B7&lt;&gt;"DIV", NOW()-A7 &lt; 365), (1-Index!$F$2*2)*((J7*D7)-(E7*D7)), "")</f>
        <v/>
      </c>
      <c r="Q52" s="30">
        <f>IF(AND( C7="Buy", ISBLANK(W7), B7&lt;&gt;"DIV", NOW()-A7 &lt; 365), ((E7*D7)+P7), "")</f>
        <v/>
      </c>
      <c r="R52" s="30">
        <f>IF(AND( C7="Buy", ISBLANK(W7), B7&lt;&gt;"DIV", NOW()-A7 &lt; 365), D7, "")</f>
        <v/>
      </c>
      <c r="S52" s="32">
        <f>IF(AND( C7="Buy", ISBLANK(W7), B7&lt;&gt;"DIV", NOW()-A7 &gt; 365), T7/SUM(F7:I7), "")</f>
        <v/>
      </c>
      <c r="T52" s="33">
        <f>IF(AND( C7="Buy", ISBLANK(W7), B7&lt;&gt;"DIV", NOW()-A7 &gt; 365), (1-Index!$F$2*2)*((J7*D7)-(E7*D7)), "")</f>
        <v/>
      </c>
      <c r="U52" s="33">
        <f>IF(AND( C7="Buy", ISBLANK(W7), B7&lt;&gt;"DIV", NOW()-A7 &gt; 365), ((E7*D7)+T7), "")</f>
        <v/>
      </c>
      <c r="V52" s="33">
        <f>IF(AND( C7="Buy", ISBLANK(W7), B7&lt;&gt;"DIV", NOW()-A7 &gt; 365), D7, "")</f>
        <v/>
      </c>
      <c r="W52" s="33" t="n"/>
      <c r="X52" s="33" t="n"/>
      <c r="Y52" s="32">
        <f>IF(AND( C7="Buy", W7&lt;&gt;"", AA7&lt;&gt;"", B7&lt;&gt;"DIV"), Z7/SUM(F7:I7), "")</f>
        <v/>
      </c>
      <c r="Z52" s="33" t="n"/>
      <c r="AA52" s="33" t="n"/>
      <c r="AB52" s="34" t="n"/>
      <c r="AC52" s="30">
        <f>IF(B7="DIV", F7,"")</f>
        <v/>
      </c>
      <c r="AD52" s="35" t="n"/>
    </row>
    <row r="53" ht="15.75" customHeight="1" s="62">
      <c r="A53" s="36" t="n">
        <v>45806</v>
      </c>
      <c r="B53" s="25" t="inlineStr">
        <is>
          <t>BSE</t>
        </is>
      </c>
      <c r="C53" s="25" t="inlineStr">
        <is>
          <t>Sell</t>
        </is>
      </c>
      <c r="D53" s="26" t="n">
        <v>6</v>
      </c>
      <c r="E53" s="27" t="n">
        <v>699.39</v>
      </c>
      <c r="F53" s="27">
        <f>D8*E8</f>
        <v/>
      </c>
      <c r="G53" s="25" t="inlineStr">
        <is>
          <t>~</t>
        </is>
      </c>
      <c r="H53" s="26" t="n"/>
      <c r="I53" s="26" t="n"/>
      <c r="J53" s="28">
        <f>Index!$C$2</f>
        <v/>
      </c>
      <c r="K53" s="29">
        <f>IF(AND( C8="Buy", ISBLANK(W8), B8&lt;&gt;"DIV"), L8/SUM(F8:I8), "")</f>
        <v/>
      </c>
      <c r="L53" s="30">
        <f>IF(AND( C8="Buy", ISBLANK(W8), B8&lt;&gt;"DIV"), (1-Index!$F$2*2)*((J8*D8)-(E8*D8)), "")</f>
        <v/>
      </c>
      <c r="M53" s="30">
        <f>IF(AND( C8="Buy", ISBLANK(W8), B8&lt;&gt;"DIV"), ((E8*D8)+L8), "")</f>
        <v/>
      </c>
      <c r="N53" s="31">
        <f>IF(AND( C8="Buy", ISBLANK(W8), B8&lt;&gt;"DIV"), D8, "")</f>
        <v/>
      </c>
      <c r="O53" s="29">
        <f>IF(AND( C8="Buy", ISBLANK(W8), B8&lt;&gt;"DIV", NOW()-A8 &lt; 365), P8/SUM(F8:I8), "")</f>
        <v/>
      </c>
      <c r="P53" s="30">
        <f>IF(AND( C8="Buy", ISBLANK(W8), B8&lt;&gt;"DIV", NOW()-A8 &lt; 365), (1-Index!$F$2*2)*((J8*D8)-(E8*D8)), "")</f>
        <v/>
      </c>
      <c r="Q53" s="30">
        <f>IF(AND( C8="Buy", ISBLANK(W8), B8&lt;&gt;"DIV", NOW()-A8 &lt; 365), ((E8*D8)+P8), "")</f>
        <v/>
      </c>
      <c r="R53" s="30">
        <f>IF(AND( C8="Buy", ISBLANK(W8), B8&lt;&gt;"DIV", NOW()-A8 &lt; 365), D8, "")</f>
        <v/>
      </c>
      <c r="S53" s="32">
        <f>IF(AND( C8="Buy", ISBLANK(W8), B8&lt;&gt;"DIV", NOW()-A8 &gt; 365), T8/SUM(F8:I8), "")</f>
        <v/>
      </c>
      <c r="T53" s="33">
        <f>IF(AND( C8="Buy", ISBLANK(W8), B8&lt;&gt;"DIV", NOW()-A8 &gt; 365), (1-Index!$F$2*2)*((J8*D8)-(E8*D8)), "")</f>
        <v/>
      </c>
      <c r="U53" s="33">
        <f>IF(AND( C8="Buy", ISBLANK(W8), B8&lt;&gt;"DIV", NOW()-A8 &gt; 365), ((E8*D8)+T8), "")</f>
        <v/>
      </c>
      <c r="V53" s="33">
        <f>IF(AND( C8="Buy", ISBLANK(W8), B8&lt;&gt;"DIV", NOW()-A8 &gt; 365), D8, "")</f>
        <v/>
      </c>
      <c r="W53" s="33" t="n"/>
      <c r="X53" s="33" t="n"/>
      <c r="Y53" s="32">
        <f>IF(AND( C8="Buy", W8&lt;&gt;"", AA8&lt;&gt;"", B8&lt;&gt;"DIV"), Z8/SUM(F8:I8), "")</f>
        <v/>
      </c>
      <c r="Z53" s="33" t="n"/>
      <c r="AA53" s="33" t="n"/>
      <c r="AB53" s="34" t="n"/>
      <c r="AC53" s="30">
        <f>IF(B8="DIV", F8,"")</f>
        <v/>
      </c>
      <c r="AD53" s="35" t="n"/>
    </row>
    <row r="54" ht="15.75" customHeight="1" s="62">
      <c r="A54" s="36" t="n">
        <v>45806</v>
      </c>
      <c r="B54" s="25" t="inlineStr">
        <is>
          <t>BSE</t>
        </is>
      </c>
      <c r="C54" s="25" t="inlineStr">
        <is>
          <t>Sell</t>
        </is>
      </c>
      <c r="D54" s="26" t="n">
        <v>19</v>
      </c>
      <c r="E54" s="27" t="n">
        <v>702.78</v>
      </c>
      <c r="F54" s="27">
        <f>D9*E9</f>
        <v/>
      </c>
      <c r="G54" s="25" t="inlineStr">
        <is>
          <t>~</t>
        </is>
      </c>
      <c r="H54" s="26" t="n"/>
      <c r="I54" s="26" t="n"/>
      <c r="J54" s="28">
        <f>Index!$C$2</f>
        <v/>
      </c>
      <c r="K54" s="29">
        <f>IF(AND( C9="Buy", ISBLANK(W9), B9&lt;&gt;"DIV"), L9/SUM(F9:I9), "")</f>
        <v/>
      </c>
      <c r="L54" s="30">
        <f>IF(AND( C9="Buy", ISBLANK(W9), B9&lt;&gt;"DIV"), (1-Index!$F$2*2)*((J9*D9)-(E9*D9)), "")</f>
        <v/>
      </c>
      <c r="M54" s="30">
        <f>IF(AND( C9="Buy", ISBLANK(W9), B9&lt;&gt;"DIV"), ((E9*D9)+L9), "")</f>
        <v/>
      </c>
      <c r="N54" s="31">
        <f>IF(AND( C9="Buy", ISBLANK(W9), B9&lt;&gt;"DIV"), D9, "")</f>
        <v/>
      </c>
      <c r="O54" s="29">
        <f>IF(AND( C9="Buy", ISBLANK(W9), B9&lt;&gt;"DIV", NOW()-A9 &lt; 365), P9/SUM(F9:I9), "")</f>
        <v/>
      </c>
      <c r="P54" s="30">
        <f>IF(AND( C9="Buy", ISBLANK(W9), B9&lt;&gt;"DIV", NOW()-A9 &lt; 365), (1-Index!$F$2*2)*((J9*D9)-(E9*D9)), "")</f>
        <v/>
      </c>
      <c r="Q54" s="30">
        <f>IF(AND( C9="Buy", ISBLANK(W9), B9&lt;&gt;"DIV", NOW()-A9 &lt; 365), ((E9*D9)+P9), "")</f>
        <v/>
      </c>
      <c r="R54" s="30">
        <f>IF(AND( C9="Buy", ISBLANK(W9), B9&lt;&gt;"DIV", NOW()-A9 &lt; 365), D9, "")</f>
        <v/>
      </c>
      <c r="S54" s="32">
        <f>IF(AND( C9="Buy", ISBLANK(W9), B9&lt;&gt;"DIV", NOW()-A9 &gt; 365), T9/SUM(F9:I9), "")</f>
        <v/>
      </c>
      <c r="T54" s="33">
        <f>IF(AND( C9="Buy", ISBLANK(W9), B9&lt;&gt;"DIV", NOW()-A9 &gt; 365), (1-Index!$F$2*2)*((J9*D9)-(E9*D9)), "")</f>
        <v/>
      </c>
      <c r="U54" s="33">
        <f>IF(AND( C9="Buy", ISBLANK(W9), B9&lt;&gt;"DIV", NOW()-A9 &gt; 365), ((E9*D9)+T9), "")</f>
        <v/>
      </c>
      <c r="V54" s="33">
        <f>IF(AND( C9="Buy", ISBLANK(W9), B9&lt;&gt;"DIV", NOW()-A9 &gt; 365), D9, "")</f>
        <v/>
      </c>
      <c r="W54" s="33" t="n"/>
      <c r="X54" s="33" t="n"/>
      <c r="Y54" s="32">
        <f>IF(AND( C9="Buy", W9&lt;&gt;"", AA9&lt;&gt;"", B9&lt;&gt;"DIV"), Z9/SUM(F9:I9), "")</f>
        <v/>
      </c>
      <c r="Z54" s="33" t="n"/>
      <c r="AA54" s="33" t="n"/>
      <c r="AB54" s="34" t="n"/>
      <c r="AC54" s="30">
        <f>IF(B9="DIV", F9,"")</f>
        <v/>
      </c>
      <c r="AD54" s="35" t="n"/>
    </row>
    <row r="55" ht="15.75" customHeight="1" s="62">
      <c r="A55" s="36" t="n">
        <v>45806</v>
      </c>
      <c r="B55" s="25" t="inlineStr">
        <is>
          <t>BSE</t>
        </is>
      </c>
      <c r="C55" s="25" t="inlineStr">
        <is>
          <t>Sell</t>
        </is>
      </c>
      <c r="D55" s="26" t="n">
        <v>25</v>
      </c>
      <c r="E55" s="27" t="n">
        <v>699.29</v>
      </c>
      <c r="F55" s="27">
        <f>D10*E10</f>
        <v/>
      </c>
      <c r="G55" s="25" t="inlineStr">
        <is>
          <t>~</t>
        </is>
      </c>
      <c r="H55" s="26" t="n"/>
      <c r="I55" s="26" t="n"/>
      <c r="J55" s="28">
        <f>Index!$C$2</f>
        <v/>
      </c>
      <c r="K55" s="29">
        <f>IF(AND( C10="Buy", ISBLANK(W10), B10&lt;&gt;"DIV"), L10/SUM(F10:I10), "")</f>
        <v/>
      </c>
      <c r="L55" s="30">
        <f>IF(AND( C10="Buy", ISBLANK(W10), B10&lt;&gt;"DIV"), (1-Index!$F$2*2)*((J10*D10)-(E10*D10)), "")</f>
        <v/>
      </c>
      <c r="M55" s="30">
        <f>IF(AND( C10="Buy", ISBLANK(W10), B10&lt;&gt;"DIV"), ((E10*D10)+L10), "")</f>
        <v/>
      </c>
      <c r="N55" s="31">
        <f>IF(AND( C10="Buy", ISBLANK(W10), B10&lt;&gt;"DIV"), D10, "")</f>
        <v/>
      </c>
      <c r="O55" s="29">
        <f>IF(AND( C10="Buy", ISBLANK(W10), B10&lt;&gt;"DIV", NOW()-A10 &lt; 365), P10/SUM(F10:I10), "")</f>
        <v/>
      </c>
      <c r="P55" s="30">
        <f>IF(AND( C10="Buy", ISBLANK(W10), B10&lt;&gt;"DIV", NOW()-A10 &lt; 365), (1-Index!$F$2*2)*((J10*D10)-(E10*D10)), "")</f>
        <v/>
      </c>
      <c r="Q55" s="30">
        <f>IF(AND( C10="Buy", ISBLANK(W10), B10&lt;&gt;"DIV", NOW()-A10 &lt; 365), ((E10*D10)+P10), "")</f>
        <v/>
      </c>
      <c r="R55" s="30">
        <f>IF(AND( C10="Buy", ISBLANK(W10), B10&lt;&gt;"DIV", NOW()-A10 &lt; 365), D10, "")</f>
        <v/>
      </c>
      <c r="S55" s="32">
        <f>IF(AND( C10="Buy", ISBLANK(W10), B10&lt;&gt;"DIV", NOW()-A10 &gt; 365), T10/SUM(F10:I10), "")</f>
        <v/>
      </c>
      <c r="T55" s="33">
        <f>IF(AND( C10="Buy", ISBLANK(W10), B10&lt;&gt;"DIV", NOW()-A10 &gt; 365), (1-Index!$F$2*2)*((J10*D10)-(E10*D10)), "")</f>
        <v/>
      </c>
      <c r="U55" s="33">
        <f>IF(AND( C10="Buy", ISBLANK(W10), B10&lt;&gt;"DIV", NOW()-A10 &gt; 365), ((E10*D10)+T10), "")</f>
        <v/>
      </c>
      <c r="V55" s="33">
        <f>IF(AND( C10="Buy", ISBLANK(W10), B10&lt;&gt;"DIV", NOW()-A10 &gt; 365), D10, "")</f>
        <v/>
      </c>
      <c r="W55" s="33" t="n"/>
      <c r="X55" s="33" t="n"/>
      <c r="Y55" s="32">
        <f>IF(AND( C10="Buy", W10&lt;&gt;"", AA10&lt;&gt;"", B10&lt;&gt;"DIV"), Z10/SUM(F10:I10), "")</f>
        <v/>
      </c>
      <c r="Z55" s="33" t="n"/>
      <c r="AA55" s="33" t="n"/>
      <c r="AB55" s="34" t="n"/>
      <c r="AC55" s="30">
        <f>IF(B10="DIV", F10,"")</f>
        <v/>
      </c>
      <c r="AD55" s="35" t="n"/>
    </row>
    <row r="56" ht="15.75" customHeight="1" s="62">
      <c r="A56" s="36" t="n">
        <v>45712</v>
      </c>
      <c r="B56" s="25" t="inlineStr">
        <is>
          <t>BSE</t>
        </is>
      </c>
      <c r="C56" s="25" t="inlineStr">
        <is>
          <t>Buy</t>
        </is>
      </c>
      <c r="D56" s="26" t="n">
        <v>2</v>
      </c>
      <c r="E56" s="27" t="n">
        <v>484.4</v>
      </c>
      <c r="F56" s="27" t="n">
        <v>968.8099999999999</v>
      </c>
      <c r="G56" s="25" t="inlineStr">
        <is>
          <t>~</t>
        </is>
      </c>
      <c r="H56" s="26" t="n">
        <v>0.97</v>
      </c>
      <c r="I56" s="26" t="n">
        <v>6.94</v>
      </c>
      <c r="J56" s="28">
        <f>Index!$C$2</f>
        <v/>
      </c>
      <c r="K56" s="29">
        <f>IF(AND( C11="Buy", ISBLANK(W11), B11&lt;&gt;"DIV"), L11/SUM(F11:I11), "")</f>
        <v/>
      </c>
      <c r="L56" s="30">
        <f>IF(AND( C11="Buy", ISBLANK(W11), B11&lt;&gt;"DIV"), (1-Index!$F$2*2)*((J11*D11)-(E11*D11)), "")</f>
        <v/>
      </c>
      <c r="M56" s="30">
        <f>IF(AND( C11="Buy", ISBLANK(W11), B11&lt;&gt;"DIV"), ((E11*D11)+L11), "")</f>
        <v/>
      </c>
      <c r="N56" s="31">
        <f>IF(AND( C11="Buy", ISBLANK(W11), B11&lt;&gt;"DIV"), D11, "")</f>
        <v/>
      </c>
      <c r="O56" s="29">
        <f>IF(AND( C11="Buy", ISBLANK(W11), B11&lt;&gt;"DIV", NOW()-A11 &lt; 365), P11/SUM(F11:I11), "")</f>
        <v/>
      </c>
      <c r="P56" s="30">
        <f>IF(AND( C11="Buy", ISBLANK(W11), B11&lt;&gt;"DIV", NOW()-A11 &lt; 365), (1-Index!$F$2*2)*((J11*D11)-(E11*D11)), "")</f>
        <v/>
      </c>
      <c r="Q56" s="30">
        <f>IF(AND( C11="Buy", ISBLANK(W11), B11&lt;&gt;"DIV", NOW()-A11 &lt; 365), ((E11*D11)+P11), "")</f>
        <v/>
      </c>
      <c r="R56" s="30">
        <f>IF(AND( C11="Buy", ISBLANK(W11), B11&lt;&gt;"DIV", NOW()-A11 &lt; 365), D11, "")</f>
        <v/>
      </c>
      <c r="S56" s="32">
        <f>IF(AND( C11="Buy", ISBLANK(W11), B11&lt;&gt;"DIV", NOW()-A11 &gt; 365), T11/SUM(F11:I11), "")</f>
        <v/>
      </c>
      <c r="T56" s="33">
        <f>IF(AND( C11="Buy", ISBLANK(W11), B11&lt;&gt;"DIV", NOW()-A11 &gt; 365), (1-Index!$F$2*2)*((J11*D11)-(E11*D11)), "")</f>
        <v/>
      </c>
      <c r="U56" s="33">
        <f>IF(AND( C11="Buy", ISBLANK(W11), B11&lt;&gt;"DIV", NOW()-A11 &gt; 365), ((E11*D11)+T11), "")</f>
        <v/>
      </c>
      <c r="V56" s="33">
        <f>IF(AND( C11="Buy", ISBLANK(W11), B11&lt;&gt;"DIV", NOW()-A11 &gt; 365), D11, "")</f>
        <v/>
      </c>
      <c r="W56" s="33" t="n">
        <v>703.9400000000001</v>
      </c>
      <c r="X56" s="36" t="n">
        <v>45806</v>
      </c>
      <c r="Y56" s="37">
        <f>IF(AND( C11="Buy", W11&lt;&gt;"", AA11&lt;&gt;"", B11&lt;&gt;"DIV"), Z11/SUM(F11:I11), "")</f>
        <v/>
      </c>
      <c r="Z56" s="38" t="n">
        <v>-5376.165</v>
      </c>
      <c r="AA56" s="38" t="n">
        <v>5452.5</v>
      </c>
      <c r="AB56" s="39" t="n">
        <v>10</v>
      </c>
      <c r="AC56" s="30">
        <f>IF(B11="DIV", F11,"")</f>
        <v/>
      </c>
      <c r="AD56" s="35" t="n"/>
      <c r="AE56" s="40" t="n"/>
      <c r="AF56" s="40" t="n"/>
      <c r="AG56" s="40" t="n"/>
      <c r="AH56" s="40" t="n"/>
      <c r="AI56" s="40" t="n"/>
      <c r="AJ56" s="40" t="n"/>
      <c r="AK56" s="40" t="n"/>
      <c r="AL56" s="40" t="n"/>
      <c r="AM56" s="40" t="n"/>
      <c r="AN56" s="40" t="n"/>
      <c r="AO56" s="40" t="n"/>
      <c r="AP56" s="40" t="n"/>
    </row>
    <row r="57" ht="15.75" customHeight="1" s="62">
      <c r="A57" s="36" t="n">
        <v>45712</v>
      </c>
      <c r="B57" s="25" t="inlineStr">
        <is>
          <t>BSE</t>
        </is>
      </c>
      <c r="C57" s="25" t="inlineStr">
        <is>
          <t>Buy</t>
        </is>
      </c>
      <c r="D57" s="26" t="n">
        <v>2</v>
      </c>
      <c r="E57" s="27" t="n">
        <v>486.42</v>
      </c>
      <c r="F57" s="27" t="n">
        <v>972.83</v>
      </c>
      <c r="G57" s="25" t="inlineStr">
        <is>
          <t>~</t>
        </is>
      </c>
      <c r="H57" s="26" t="n">
        <v>0.97</v>
      </c>
      <c r="I57" s="26" t="n">
        <v>6.96</v>
      </c>
      <c r="J57" s="28">
        <f>Index!$C$2</f>
        <v/>
      </c>
      <c r="K57" s="29">
        <f>IF(AND( C12="Buy", ISBLANK(W12), B12&lt;&gt;"DIV"), L12/SUM(F12:I12), "")</f>
        <v/>
      </c>
      <c r="L57" s="30">
        <f>IF(AND( C12="Buy", ISBLANK(W12), B12&lt;&gt;"DIV"), (1-Index!$F$2*2)*((J12*D12)-(E12*D12)), "")</f>
        <v/>
      </c>
      <c r="M57" s="30">
        <f>IF(AND( C12="Buy", ISBLANK(W12), B12&lt;&gt;"DIV"), ((E12*D12)+L12), "")</f>
        <v/>
      </c>
      <c r="N57" s="31">
        <f>IF(AND( C12="Buy", ISBLANK(W12), B12&lt;&gt;"DIV"), D12, "")</f>
        <v/>
      </c>
      <c r="O57" s="29">
        <f>IF(AND( C12="Buy", ISBLANK(W12), B12&lt;&gt;"DIV", NOW()-A12 &lt; 365), P12/SUM(F12:I12), "")</f>
        <v/>
      </c>
      <c r="P57" s="30">
        <f>IF(AND( C12="Buy", ISBLANK(W12), B12&lt;&gt;"DIV", NOW()-A12 &lt; 365), (1-Index!$F$2*2)*((J12*D12)-(E12*D12)), "")</f>
        <v/>
      </c>
      <c r="Q57" s="30">
        <f>IF(AND( C12="Buy", ISBLANK(W12), B12&lt;&gt;"DIV", NOW()-A12 &lt; 365), ((E12*D12)+P12), "")</f>
        <v/>
      </c>
      <c r="R57" s="30">
        <f>IF(AND( C12="Buy", ISBLANK(W12), B12&lt;&gt;"DIV", NOW()-A12 &lt; 365), D12, "")</f>
        <v/>
      </c>
      <c r="S57" s="32">
        <f>IF(AND( C12="Buy", ISBLANK(W12), B12&lt;&gt;"DIV", NOW()-A12 &gt; 365), T12/SUM(F12:I12), "")</f>
        <v/>
      </c>
      <c r="T57" s="33">
        <f>IF(AND( C12="Buy", ISBLANK(W12), B12&lt;&gt;"DIV", NOW()-A12 &gt; 365), (1-Index!$F$2*2)*((J12*D12)-(E12*D12)), "")</f>
        <v/>
      </c>
      <c r="U57" s="33">
        <f>IF(AND( C12="Buy", ISBLANK(W12), B12&lt;&gt;"DIV", NOW()-A12 &gt; 365), ((E12*D12)+T12), "")</f>
        <v/>
      </c>
      <c r="V57" s="33">
        <f>IF(AND( C12="Buy", ISBLANK(W12), B12&lt;&gt;"DIV", NOW()-A12 &gt; 365), D12, "")</f>
        <v/>
      </c>
      <c r="W57" s="33" t="n">
        <v>703.9400000000001</v>
      </c>
      <c r="X57" s="36" t="n">
        <v>45806</v>
      </c>
      <c r="Y57" s="37">
        <f>IF(AND( C12="Buy", W12&lt;&gt;"", AA12&lt;&gt;"", B12&lt;&gt;"DIV"), Z12/SUM(F12:I12), "")</f>
        <v/>
      </c>
      <c r="Z57" s="38" t="n">
        <v>-5412.154</v>
      </c>
      <c r="AA57" s="38" t="n">
        <v>5489</v>
      </c>
      <c r="AB57" s="39" t="n">
        <v>10</v>
      </c>
      <c r="AC57" s="30">
        <f>IF(B12="DIV", F12,"")</f>
        <v/>
      </c>
      <c r="AD57" s="35" t="n"/>
      <c r="AE57" s="40" t="n"/>
      <c r="AF57" s="40" t="n"/>
      <c r="AG57" s="40" t="n"/>
      <c r="AH57" s="40" t="n"/>
      <c r="AI57" s="40" t="n"/>
      <c r="AJ57" s="40" t="n"/>
      <c r="AK57" s="40" t="n"/>
      <c r="AL57" s="40" t="n"/>
      <c r="AM57" s="40" t="n"/>
      <c r="AN57" s="40" t="n"/>
      <c r="AO57" s="40" t="n"/>
      <c r="AP57" s="40" t="n"/>
    </row>
    <row r="58" ht="15.75" customHeight="1" s="62">
      <c r="A58" s="36" t="n">
        <v>45712</v>
      </c>
      <c r="B58" s="25" t="inlineStr">
        <is>
          <t>BSE</t>
        </is>
      </c>
      <c r="C58" s="25" t="inlineStr">
        <is>
          <t>Buy</t>
        </is>
      </c>
      <c r="D58" s="26" t="n">
        <v>2</v>
      </c>
      <c r="E58" s="27" t="n">
        <v>485.17</v>
      </c>
      <c r="F58" s="27" t="n">
        <v>970.33</v>
      </c>
      <c r="G58" s="25" t="inlineStr">
        <is>
          <t>~</t>
        </is>
      </c>
      <c r="H58" s="26" t="n">
        <v>0.97</v>
      </c>
      <c r="I58" s="26" t="n">
        <v>6.96</v>
      </c>
      <c r="J58" s="28">
        <f>Index!$C$2</f>
        <v/>
      </c>
      <c r="K58" s="29">
        <f>IF(AND( C13="Buy", ISBLANK(W13), B13&lt;&gt;"DIV"), L13/SUM(F13:I13), "")</f>
        <v/>
      </c>
      <c r="L58" s="30">
        <f>IF(AND( C13="Buy", ISBLANK(W13), B13&lt;&gt;"DIV"), (1-Index!$F$2*2)*((J13*D13)-(E13*D13)), "")</f>
        <v/>
      </c>
      <c r="M58" s="30">
        <f>IF(AND( C13="Buy", ISBLANK(W13), B13&lt;&gt;"DIV"), ((E13*D13)+L13), "")</f>
        <v/>
      </c>
      <c r="N58" s="31">
        <f>IF(AND( C13="Buy", ISBLANK(W13), B13&lt;&gt;"DIV"), D13, "")</f>
        <v/>
      </c>
      <c r="O58" s="29">
        <f>IF(AND( C13="Buy", ISBLANK(W13), B13&lt;&gt;"DIV", NOW()-A13 &lt; 365), P13/SUM(F13:I13), "")</f>
        <v/>
      </c>
      <c r="P58" s="30">
        <f>IF(AND( C13="Buy", ISBLANK(W13), B13&lt;&gt;"DIV", NOW()-A13 &lt; 365), (1-Index!$F$2*2)*((J13*D13)-(E13*D13)), "")</f>
        <v/>
      </c>
      <c r="Q58" s="30">
        <f>IF(AND( C13="Buy", ISBLANK(W13), B13&lt;&gt;"DIV", NOW()-A13 &lt; 365), ((E13*D13)+P13), "")</f>
        <v/>
      </c>
      <c r="R58" s="30">
        <f>IF(AND( C13="Buy", ISBLANK(W13), B13&lt;&gt;"DIV", NOW()-A13 &lt; 365), D13, "")</f>
        <v/>
      </c>
      <c r="S58" s="32">
        <f>IF(AND( C13="Buy", ISBLANK(W13), B13&lt;&gt;"DIV", NOW()-A13 &gt; 365), T13/SUM(F13:I13), "")</f>
        <v/>
      </c>
      <c r="T58" s="33">
        <f>IF(AND( C13="Buy", ISBLANK(W13), B13&lt;&gt;"DIV", NOW()-A13 &gt; 365), (1-Index!$F$2*2)*((J13*D13)-(E13*D13)), "")</f>
        <v/>
      </c>
      <c r="U58" s="33">
        <f>IF(AND( C13="Buy", ISBLANK(W13), B13&lt;&gt;"DIV", NOW()-A13 &gt; 365), ((E13*D13)+T13), "")</f>
        <v/>
      </c>
      <c r="V58" s="33">
        <f>IF(AND( C13="Buy", ISBLANK(W13), B13&lt;&gt;"DIV", NOW()-A13 &gt; 365), D13, "")</f>
        <v/>
      </c>
      <c r="W58" s="33" t="n">
        <v>703.9400000000001</v>
      </c>
      <c r="X58" s="36" t="n">
        <v>45806</v>
      </c>
      <c r="Y58" s="37">
        <f>IF(AND( C13="Buy", W13&lt;&gt;"", AA13&lt;&gt;"", B13&lt;&gt;"DIV"), Z13/SUM(F13:I13), "")</f>
        <v/>
      </c>
      <c r="Z58" s="38" t="n">
        <v>-5337.218</v>
      </c>
      <c r="AA58" s="38" t="n">
        <v>5413</v>
      </c>
      <c r="AB58" s="39" t="n">
        <v>10</v>
      </c>
      <c r="AC58" s="30">
        <f>IF(B13="DIV", F13,"")</f>
        <v/>
      </c>
      <c r="AD58" s="35" t="n"/>
      <c r="AE58" s="40" t="n"/>
      <c r="AF58" s="40" t="n"/>
      <c r="AG58" s="40" t="n"/>
      <c r="AH58" s="40" t="n"/>
      <c r="AI58" s="40" t="n"/>
      <c r="AJ58" s="40" t="n"/>
      <c r="AK58" s="40" t="n"/>
      <c r="AL58" s="40" t="n"/>
      <c r="AM58" s="40" t="n"/>
      <c r="AN58" s="40" t="n"/>
      <c r="AO58" s="40" t="n"/>
      <c r="AP58" s="40" t="n"/>
    </row>
    <row r="59" ht="15.75" customHeight="1" s="62">
      <c r="A59" s="36" t="n">
        <v>45712</v>
      </c>
      <c r="B59" s="25" t="inlineStr">
        <is>
          <t>BSE</t>
        </is>
      </c>
      <c r="C59" s="25" t="inlineStr">
        <is>
          <t>Buy</t>
        </is>
      </c>
      <c r="D59" s="26" t="n">
        <v>2</v>
      </c>
      <c r="E59" s="27" t="n">
        <v>485.42</v>
      </c>
      <c r="F59" s="27" t="n">
        <v>970.83</v>
      </c>
      <c r="G59" s="25" t="inlineStr">
        <is>
          <t>~</t>
        </is>
      </c>
      <c r="H59" s="26" t="n">
        <v>0.97</v>
      </c>
      <c r="I59" s="26" t="n">
        <v>6.96</v>
      </c>
      <c r="J59" s="28">
        <f>Index!$C$2</f>
        <v/>
      </c>
      <c r="K59" s="29">
        <f>IF(AND( C14="Buy", ISBLANK(W14), B14&lt;&gt;"DIV"), L14/SUM(F14:I14), "")</f>
        <v/>
      </c>
      <c r="L59" s="30">
        <f>IF(AND( C14="Buy", ISBLANK(W14), B14&lt;&gt;"DIV"), (1-Index!$F$2*2)*((J14*D14)-(E14*D14)), "")</f>
        <v/>
      </c>
      <c r="M59" s="30">
        <f>IF(AND( C14="Buy", ISBLANK(W14), B14&lt;&gt;"DIV"), ((E14*D14)+L14), "")</f>
        <v/>
      </c>
      <c r="N59" s="31">
        <f>IF(AND( C14="Buy", ISBLANK(W14), B14&lt;&gt;"DIV"), D14, "")</f>
        <v/>
      </c>
      <c r="O59" s="29">
        <f>IF(AND( C14="Buy", ISBLANK(W14), B14&lt;&gt;"DIV", NOW()-A14 &lt; 365), P14/SUM(F14:I14), "")</f>
        <v/>
      </c>
      <c r="P59" s="30">
        <f>IF(AND( C14="Buy", ISBLANK(W14), B14&lt;&gt;"DIV", NOW()-A14 &lt; 365), (1-Index!$F$2*2)*((J14*D14)-(E14*D14)), "")</f>
        <v/>
      </c>
      <c r="Q59" s="30">
        <f>IF(AND( C14="Buy", ISBLANK(W14), B14&lt;&gt;"DIV", NOW()-A14 &lt; 365), ((E14*D14)+P14), "")</f>
        <v/>
      </c>
      <c r="R59" s="30">
        <f>IF(AND( C14="Buy", ISBLANK(W14), B14&lt;&gt;"DIV", NOW()-A14 &lt; 365), D14, "")</f>
        <v/>
      </c>
      <c r="S59" s="32">
        <f>IF(AND( C14="Buy", ISBLANK(W14), B14&lt;&gt;"DIV", NOW()-A14 &gt; 365), T14/SUM(F14:I14), "")</f>
        <v/>
      </c>
      <c r="T59" s="33">
        <f>IF(AND( C14="Buy", ISBLANK(W14), B14&lt;&gt;"DIV", NOW()-A14 &gt; 365), (1-Index!$F$2*2)*((J14*D14)-(E14*D14)), "")</f>
        <v/>
      </c>
      <c r="U59" s="33">
        <f>IF(AND( C14="Buy", ISBLANK(W14), B14&lt;&gt;"DIV", NOW()-A14 &gt; 365), ((E14*D14)+T14), "")</f>
        <v/>
      </c>
      <c r="V59" s="33">
        <f>IF(AND( C14="Buy", ISBLANK(W14), B14&lt;&gt;"DIV", NOW()-A14 &gt; 365), D14, "")</f>
        <v/>
      </c>
      <c r="W59" s="33" t="n">
        <v>703.9400000000001</v>
      </c>
      <c r="X59" s="36" t="n">
        <v>45806</v>
      </c>
      <c r="Y59" s="37">
        <f>IF(AND( C14="Buy", W14&lt;&gt;"", AA14&lt;&gt;"", B14&lt;&gt;"DIV"), Z14/SUM(F14:I14), "")</f>
        <v/>
      </c>
      <c r="Z59" s="38" t="n">
        <v>-2701.147</v>
      </c>
      <c r="AA59" s="38" t="n">
        <v>2739.5</v>
      </c>
      <c r="AB59" s="39" t="n">
        <v>5</v>
      </c>
      <c r="AC59" s="30">
        <f>IF(B14="DIV", F14,"")</f>
        <v/>
      </c>
      <c r="AD59" s="35" t="n"/>
      <c r="AE59" s="40" t="n"/>
      <c r="AF59" s="40" t="n"/>
      <c r="AG59" s="40" t="n"/>
      <c r="AH59" s="40" t="n"/>
      <c r="AI59" s="40" t="n"/>
      <c r="AJ59" s="40" t="n"/>
      <c r="AK59" s="40" t="n"/>
      <c r="AL59" s="40" t="n"/>
      <c r="AM59" s="40" t="n"/>
      <c r="AN59" s="40" t="n"/>
      <c r="AO59" s="40" t="n"/>
      <c r="AP59" s="40" t="n"/>
    </row>
    <row r="60" ht="15.75" customHeight="1" s="62">
      <c r="A60" s="36" t="n">
        <v>45712</v>
      </c>
      <c r="B60" s="25" t="inlineStr">
        <is>
          <t>BSE</t>
        </is>
      </c>
      <c r="C60" s="25" t="inlineStr">
        <is>
          <t>Buy</t>
        </is>
      </c>
      <c r="D60" s="26" t="n">
        <v>2</v>
      </c>
      <c r="E60" s="27" t="n">
        <v>484.15</v>
      </c>
      <c r="F60" s="27" t="n">
        <v>968.3099999999999</v>
      </c>
      <c r="G60" s="25" t="inlineStr">
        <is>
          <t>~</t>
        </is>
      </c>
      <c r="H60" s="26" t="n">
        <v>0.97</v>
      </c>
      <c r="I60" s="26" t="n">
        <v>6.94</v>
      </c>
      <c r="J60" s="28">
        <f>Index!$C$2</f>
        <v/>
      </c>
      <c r="K60" s="29">
        <f>IF(AND( C15="Buy", ISBLANK(W15), B15&lt;&gt;"DIV"), L15/SUM(F15:I15), "")</f>
        <v/>
      </c>
      <c r="L60" s="30">
        <f>IF(AND( C15="Buy", ISBLANK(W15), B15&lt;&gt;"DIV"), (1-Index!$F$2*2)*((J15*D15)-(E15*D15)), "")</f>
        <v/>
      </c>
      <c r="M60" s="30">
        <f>IF(AND( C15="Buy", ISBLANK(W15), B15&lt;&gt;"DIV"), ((E15*D15)+L15), "")</f>
        <v/>
      </c>
      <c r="N60" s="31">
        <f>IF(AND( C15="Buy", ISBLANK(W15), B15&lt;&gt;"DIV"), D15, "")</f>
        <v/>
      </c>
      <c r="O60" s="29">
        <f>IF(AND( C15="Buy", ISBLANK(W15), B15&lt;&gt;"DIV", NOW()-A15 &lt; 365), P15/SUM(F15:I15), "")</f>
        <v/>
      </c>
      <c r="P60" s="30">
        <f>IF(AND( C15="Buy", ISBLANK(W15), B15&lt;&gt;"DIV", NOW()-A15 &lt; 365), (1-Index!$F$2*2)*((J15*D15)-(E15*D15)), "")</f>
        <v/>
      </c>
      <c r="Q60" s="30">
        <f>IF(AND( C15="Buy", ISBLANK(W15), B15&lt;&gt;"DIV", NOW()-A15 &lt; 365), ((E15*D15)+P15), "")</f>
        <v/>
      </c>
      <c r="R60" s="30">
        <f>IF(AND( C15="Buy", ISBLANK(W15), B15&lt;&gt;"DIV", NOW()-A15 &lt; 365), D15, "")</f>
        <v/>
      </c>
      <c r="S60" s="32">
        <f>IF(AND( C15="Buy", ISBLANK(W15), B15&lt;&gt;"DIV", NOW()-A15 &gt; 365), T15/SUM(F15:I15), "")</f>
        <v/>
      </c>
      <c r="T60" s="33">
        <f>IF(AND( C15="Buy", ISBLANK(W15), B15&lt;&gt;"DIV", NOW()-A15 &gt; 365), (1-Index!$F$2*2)*((J15*D15)-(E15*D15)), "")</f>
        <v/>
      </c>
      <c r="U60" s="33">
        <f>IF(AND( C15="Buy", ISBLANK(W15), B15&lt;&gt;"DIV", NOW()-A15 &gt; 365), ((E15*D15)+T15), "")</f>
        <v/>
      </c>
      <c r="V60" s="33">
        <f>IF(AND( C15="Buy", ISBLANK(W15), B15&lt;&gt;"DIV", NOW()-A15 &gt; 365), D15, "")</f>
        <v/>
      </c>
      <c r="W60" s="33" t="n">
        <v>703.9400000000001</v>
      </c>
      <c r="X60" s="36" t="n">
        <v>45806</v>
      </c>
      <c r="Y60" s="37">
        <f>IF(AND( C15="Buy", W15&lt;&gt;"", AA15&lt;&gt;"", B15&lt;&gt;"DIV"), Z15/SUM(F15:I15), "")</f>
        <v/>
      </c>
      <c r="Z60" s="38" t="n">
        <v>-2765.4835</v>
      </c>
      <c r="AA60" s="38" t="n">
        <v>2804.75</v>
      </c>
      <c r="AB60" s="39" t="n">
        <v>5</v>
      </c>
      <c r="AC60" s="30">
        <f>IF(B15="DIV", F15,"")</f>
        <v/>
      </c>
      <c r="AD60" s="35" t="n"/>
      <c r="AE60" s="40" t="n"/>
      <c r="AF60" s="40" t="n"/>
      <c r="AG60" s="40" t="n"/>
      <c r="AH60" s="40" t="n"/>
      <c r="AI60" s="40" t="n"/>
      <c r="AJ60" s="40" t="n"/>
      <c r="AK60" s="40" t="n"/>
      <c r="AL60" s="40" t="n"/>
      <c r="AM60" s="40" t="n"/>
      <c r="AN60" s="40" t="n"/>
      <c r="AO60" s="40" t="n"/>
      <c r="AP60" s="40" t="n"/>
    </row>
    <row r="61" ht="15.75" customHeight="1" s="62">
      <c r="A61" s="36" t="n">
        <v>45712</v>
      </c>
      <c r="B61" s="25" t="inlineStr">
        <is>
          <t>BSE</t>
        </is>
      </c>
      <c r="C61" s="25" t="inlineStr">
        <is>
          <t>Buy</t>
        </is>
      </c>
      <c r="D61" s="26" t="n">
        <v>28</v>
      </c>
      <c r="E61" s="27" t="n">
        <v>490.95</v>
      </c>
      <c r="F61" s="27" t="n">
        <v>13746.59</v>
      </c>
      <c r="G61" s="25" t="inlineStr">
        <is>
          <t>~</t>
        </is>
      </c>
      <c r="H61" s="26" t="n">
        <v>13.53</v>
      </c>
      <c r="I61" s="26" t="n">
        <v>98.45999999999999</v>
      </c>
      <c r="J61" s="28">
        <f>Index!$C$2</f>
        <v/>
      </c>
      <c r="K61" s="29">
        <f>IF(AND( C16="Buy", ISBLANK(W16), B16&lt;&gt;"DIV"), L16/SUM(F16:I16), "")</f>
        <v/>
      </c>
      <c r="L61" s="30">
        <f>IF(AND( C16="Buy", ISBLANK(W16), B16&lt;&gt;"DIV"), (1-Index!$F$2*2)*((J16*D16)-(E16*D16)), "")</f>
        <v/>
      </c>
      <c r="M61" s="30">
        <f>IF(AND( C16="Buy", ISBLANK(W16), B16&lt;&gt;"DIV"), ((E16*D16)+L16), "")</f>
        <v/>
      </c>
      <c r="N61" s="31">
        <f>IF(AND( C16="Buy", ISBLANK(W16), B16&lt;&gt;"DIV"), D16, "")</f>
        <v/>
      </c>
      <c r="O61" s="29">
        <f>IF(AND( C16="Buy", ISBLANK(W16), B16&lt;&gt;"DIV", NOW()-A16 &lt; 365), P16/SUM(F16:I16), "")</f>
        <v/>
      </c>
      <c r="P61" s="30">
        <f>IF(AND( C16="Buy", ISBLANK(W16), B16&lt;&gt;"DIV", NOW()-A16 &lt; 365), (1-Index!$F$2*2)*((J16*D16)-(E16*D16)), "")</f>
        <v/>
      </c>
      <c r="Q61" s="30">
        <f>IF(AND( C16="Buy", ISBLANK(W16), B16&lt;&gt;"DIV", NOW()-A16 &lt; 365), ((E16*D16)+P16), "")</f>
        <v/>
      </c>
      <c r="R61" s="30">
        <f>IF(AND( C16="Buy", ISBLANK(W16), B16&lt;&gt;"DIV", NOW()-A16 &lt; 365), D16, "")</f>
        <v/>
      </c>
      <c r="S61" s="32">
        <f>IF(AND( C16="Buy", ISBLANK(W16), B16&lt;&gt;"DIV", NOW()-A16 &gt; 365), T16/SUM(F16:I16), "")</f>
        <v/>
      </c>
      <c r="T61" s="33">
        <f>IF(AND( C16="Buy", ISBLANK(W16), B16&lt;&gt;"DIV", NOW()-A16 &gt; 365), (1-Index!$F$2*2)*((J16*D16)-(E16*D16)), "")</f>
        <v/>
      </c>
      <c r="U61" s="33">
        <f>IF(AND( C16="Buy", ISBLANK(W16), B16&lt;&gt;"DIV", NOW()-A16 &gt; 365), ((E16*D16)+T16), "")</f>
        <v/>
      </c>
      <c r="V61" s="33">
        <f>IF(AND( C16="Buy", ISBLANK(W16), B16&lt;&gt;"DIV", NOW()-A16 &gt; 365), D16, "")</f>
        <v/>
      </c>
      <c r="W61" s="33" t="n">
        <v>703.9400000000001</v>
      </c>
      <c r="X61" s="36" t="n">
        <v>45806</v>
      </c>
      <c r="Y61" s="37">
        <f>IF(AND( C16="Buy", W16&lt;&gt;"", AA16&lt;&gt;"", B16&lt;&gt;"DIV"), Z16/SUM(F16:I16), "")</f>
        <v/>
      </c>
      <c r="Z61" s="38" t="n">
        <v>-2765.73</v>
      </c>
      <c r="AA61" s="38" t="n">
        <v>2805</v>
      </c>
      <c r="AB61" s="39" t="n">
        <v>5</v>
      </c>
      <c r="AC61" s="30">
        <f>IF(B16="DIV", F16,"")</f>
        <v/>
      </c>
      <c r="AD61" s="35" t="n"/>
      <c r="AE61" s="40" t="n"/>
      <c r="AF61" s="40" t="n"/>
      <c r="AG61" s="40" t="n"/>
      <c r="AH61" s="40" t="n"/>
      <c r="AI61" s="40" t="n"/>
      <c r="AJ61" s="40" t="n"/>
      <c r="AK61" s="40" t="n"/>
      <c r="AL61" s="40" t="n"/>
      <c r="AM61" s="40" t="n"/>
      <c r="AN61" s="40" t="n"/>
      <c r="AO61" s="40" t="n"/>
      <c r="AP61" s="40" t="n"/>
    </row>
    <row r="62" ht="13" customHeight="1" s="62">
      <c r="A62" s="36" t="n">
        <v>45712</v>
      </c>
      <c r="B62" s="25" t="inlineStr">
        <is>
          <t>BSE</t>
        </is>
      </c>
      <c r="C62" s="25" t="inlineStr">
        <is>
          <t>Buy</t>
        </is>
      </c>
      <c r="D62" s="26" t="n">
        <v>2</v>
      </c>
      <c r="E62" s="27" t="n">
        <v>484.9</v>
      </c>
      <c r="F62" s="27" t="n">
        <v>969.8099999999999</v>
      </c>
      <c r="G62" s="25" t="inlineStr">
        <is>
          <t>~</t>
        </is>
      </c>
      <c r="H62" s="26" t="n">
        <v>0.97</v>
      </c>
      <c r="I62" s="26" t="n">
        <v>6.94</v>
      </c>
      <c r="J62" s="28">
        <f>Index!$C$2</f>
        <v/>
      </c>
      <c r="K62" s="29">
        <f>IF(AND( C17="Buy", ISBLANK(W17), B17&lt;&gt;"DIV"), L17/SUM(F17:I17), "")</f>
        <v/>
      </c>
      <c r="L62" s="30">
        <f>IF(AND( C17="Buy", ISBLANK(W17), B17&lt;&gt;"DIV"), (1-Index!$F$2*2)*((J17*D17)-(E17*D17)), "")</f>
        <v/>
      </c>
      <c r="M62" s="30">
        <f>IF(AND( C17="Buy", ISBLANK(W17), B17&lt;&gt;"DIV"), ((E17*D17)+L17), "")</f>
        <v/>
      </c>
      <c r="N62" s="31">
        <f>IF(AND( C17="Buy", ISBLANK(W17), B17&lt;&gt;"DIV"), D17, "")</f>
        <v/>
      </c>
      <c r="O62" s="29">
        <f>IF(AND( C17="Buy", ISBLANK(W17), B17&lt;&gt;"DIV", NOW()-A17 &lt; 365), P17/SUM(F17:I17), "")</f>
        <v/>
      </c>
      <c r="P62" s="30">
        <f>IF(AND( C17="Buy", ISBLANK(W17), B17&lt;&gt;"DIV", NOW()-A17 &lt; 365), (1-Index!$F$2*2)*((J17*D17)-(E17*D17)), "")</f>
        <v/>
      </c>
      <c r="Q62" s="30">
        <f>IF(AND( C17="Buy", ISBLANK(W17), B17&lt;&gt;"DIV", NOW()-A17 &lt; 365), ((E17*D17)+P17), "")</f>
        <v/>
      </c>
      <c r="R62" s="30">
        <f>IF(AND( C17="Buy", ISBLANK(W17), B17&lt;&gt;"DIV", NOW()-A17 &lt; 365), D17, "")</f>
        <v/>
      </c>
      <c r="S62" s="32">
        <f>IF(AND( C17="Buy", ISBLANK(W17), B17&lt;&gt;"DIV", NOW()-A17 &gt; 365), T17/SUM(F17:I17), "")</f>
        <v/>
      </c>
      <c r="T62" s="33">
        <f>IF(AND( C17="Buy", ISBLANK(W17), B17&lt;&gt;"DIV", NOW()-A17 &gt; 365), (1-Index!$F$2*2)*((J17*D17)-(E17*D17)), "")</f>
        <v/>
      </c>
      <c r="U62" s="33">
        <f>IF(AND( C17="Buy", ISBLANK(W17), B17&lt;&gt;"DIV", NOW()-A17 &gt; 365), ((E17*D17)+T17), "")</f>
        <v/>
      </c>
      <c r="V62" s="33">
        <f>IF(AND( C17="Buy", ISBLANK(W17), B17&lt;&gt;"DIV", NOW()-A17 &gt; 365), D17, "")</f>
        <v/>
      </c>
      <c r="W62" s="33" t="n">
        <v>703.9400000000001</v>
      </c>
      <c r="X62" s="36" t="n">
        <v>45806</v>
      </c>
      <c r="Y62" s="37">
        <f>IF(AND( C17="Buy", W17&lt;&gt;"", AA17&lt;&gt;"", B17&lt;&gt;"DIV"), Z17/SUM(F17:I17), "")</f>
        <v/>
      </c>
      <c r="Z62" s="38" t="n">
        <v>-5659.147</v>
      </c>
      <c r="AA62" s="38" t="n">
        <v>5739.5</v>
      </c>
      <c r="AB62" s="39" t="n">
        <v>10</v>
      </c>
      <c r="AC62" s="30">
        <f>IF(B17="DIV", F17,"")</f>
        <v/>
      </c>
      <c r="AD62" s="35" t="n"/>
      <c r="AE62" s="40" t="n"/>
      <c r="AF62" s="40" t="n"/>
      <c r="AG62" s="40" t="n"/>
      <c r="AH62" s="40" t="n"/>
      <c r="AI62" s="40" t="n"/>
      <c r="AJ62" s="40" t="n"/>
      <c r="AK62" s="40" t="n"/>
      <c r="AL62" s="40" t="n"/>
      <c r="AM62" s="40" t="n"/>
      <c r="AN62" s="40" t="n"/>
      <c r="AO62" s="40" t="n"/>
      <c r="AP62" s="40" t="n"/>
    </row>
    <row r="63" ht="13" customHeight="1" s="62">
      <c r="A63" s="36" t="n">
        <v>45712</v>
      </c>
      <c r="B63" s="25" t="inlineStr">
        <is>
          <t>BSE</t>
        </is>
      </c>
      <c r="C63" s="25" t="inlineStr">
        <is>
          <t>Buy</t>
        </is>
      </c>
      <c r="D63" s="26" t="n">
        <v>2</v>
      </c>
      <c r="E63" s="27" t="n">
        <v>485.67</v>
      </c>
      <c r="F63" s="27" t="n">
        <v>971.33</v>
      </c>
      <c r="G63" s="25" t="inlineStr">
        <is>
          <t>~</t>
        </is>
      </c>
      <c r="H63" s="26" t="n">
        <v>0.97</v>
      </c>
      <c r="I63" s="26" t="n">
        <v>6.96</v>
      </c>
      <c r="J63" s="28">
        <f>Index!$C$2</f>
        <v/>
      </c>
      <c r="K63" s="29">
        <f>IF(AND( C18="Buy", ISBLANK(W18), B18&lt;&gt;"DIV"), L18/SUM(F18:I18), "")</f>
        <v/>
      </c>
      <c r="L63" s="30">
        <f>IF(AND( C18="Buy", ISBLANK(W18), B18&lt;&gt;"DIV"), (1-Index!$F$2*2)*((J18*D18)-(E18*D18)), "")</f>
        <v/>
      </c>
      <c r="M63" s="30">
        <f>IF(AND( C18="Buy", ISBLANK(W18), B18&lt;&gt;"DIV"), ((E18*D18)+L18), "")</f>
        <v/>
      </c>
      <c r="N63" s="31">
        <f>IF(AND( C18="Buy", ISBLANK(W18), B18&lt;&gt;"DIV"), D18, "")</f>
        <v/>
      </c>
      <c r="O63" s="29">
        <f>IF(AND( C18="Buy", ISBLANK(W18), B18&lt;&gt;"DIV", NOW()-A18 &lt; 365), P18/SUM(F18:I18), "")</f>
        <v/>
      </c>
      <c r="P63" s="30">
        <f>IF(AND( C18="Buy", ISBLANK(W18), B18&lt;&gt;"DIV", NOW()-A18 &lt; 365), (1-Index!$F$2*2)*((J18*D18)-(E18*D18)), "")</f>
        <v/>
      </c>
      <c r="Q63" s="30">
        <f>IF(AND( C18="Buy", ISBLANK(W18), B18&lt;&gt;"DIV", NOW()-A18 &lt; 365), ((E18*D18)+P18), "")</f>
        <v/>
      </c>
      <c r="R63" s="30">
        <f>IF(AND( C18="Buy", ISBLANK(W18), B18&lt;&gt;"DIV", NOW()-A18 &lt; 365), D18, "")</f>
        <v/>
      </c>
      <c r="S63" s="32">
        <f>IF(AND( C18="Buy", ISBLANK(W18), B18&lt;&gt;"DIV", NOW()-A18 &gt; 365), T18/SUM(F18:I18), "")</f>
        <v/>
      </c>
      <c r="T63" s="33">
        <f>IF(AND( C18="Buy", ISBLANK(W18), B18&lt;&gt;"DIV", NOW()-A18 &gt; 365), (1-Index!$F$2*2)*((J18*D18)-(E18*D18)), "")</f>
        <v/>
      </c>
      <c r="U63" s="33">
        <f>IF(AND( C18="Buy", ISBLANK(W18), B18&lt;&gt;"DIV", NOW()-A18 &gt; 365), ((E18*D18)+T18), "")</f>
        <v/>
      </c>
      <c r="V63" s="33">
        <f>IF(AND( C18="Buy", ISBLANK(W18), B18&lt;&gt;"DIV", NOW()-A18 &gt; 365), D18, "")</f>
        <v/>
      </c>
      <c r="W63" s="33" t="n">
        <v>703.9400000000001</v>
      </c>
      <c r="X63" s="36" t="n">
        <v>45806</v>
      </c>
      <c r="Y63" s="37">
        <f>IF(AND( C18="Buy", W18&lt;&gt;"", AA18&lt;&gt;"", B18&lt;&gt;"DIV"), Z18/SUM(F18:I18), "")</f>
        <v/>
      </c>
      <c r="Z63" s="38" t="n">
        <v>-2893.6635</v>
      </c>
      <c r="AA63" s="38" t="n">
        <v>2934.75</v>
      </c>
      <c r="AB63" s="39" t="n">
        <v>5</v>
      </c>
      <c r="AC63" s="30">
        <f>IF(B18="DIV", F18,"")</f>
        <v/>
      </c>
      <c r="AD63" s="35" t="n"/>
      <c r="AE63" s="40" t="n"/>
      <c r="AF63" s="40" t="n"/>
      <c r="AG63" s="40" t="n"/>
      <c r="AH63" s="40" t="n"/>
      <c r="AI63" s="40" t="n"/>
      <c r="AJ63" s="40" t="n"/>
      <c r="AK63" s="40" t="n"/>
      <c r="AL63" s="40" t="n"/>
      <c r="AM63" s="40" t="n"/>
      <c r="AN63" s="40" t="n"/>
      <c r="AO63" s="40" t="n"/>
      <c r="AP63" s="40" t="n"/>
    </row>
    <row r="64" ht="13" customHeight="1" s="62">
      <c r="A64" s="36" t="n">
        <v>45712</v>
      </c>
      <c r="B64" s="25" t="inlineStr">
        <is>
          <t>BSE</t>
        </is>
      </c>
      <c r="C64" s="25" t="inlineStr">
        <is>
          <t>Buy</t>
        </is>
      </c>
      <c r="D64" s="26" t="n">
        <v>2</v>
      </c>
      <c r="E64" s="27" t="n">
        <v>485.92</v>
      </c>
      <c r="F64" s="27" t="n">
        <v>971.83</v>
      </c>
      <c r="G64" s="25" t="inlineStr">
        <is>
          <t>~</t>
        </is>
      </c>
      <c r="H64" s="26" t="n">
        <v>0.97</v>
      </c>
      <c r="I64" s="26" t="n">
        <v>6.96</v>
      </c>
      <c r="J64" s="28">
        <f>Index!$C$2</f>
        <v/>
      </c>
      <c r="K64" s="29">
        <f>IF(AND( C19="Buy", ISBLANK(W19), B19&lt;&gt;"DIV"), L19/SUM(F19:I19), "")</f>
        <v/>
      </c>
      <c r="L64" s="30">
        <f>IF(AND( C19="Buy", ISBLANK(W19), B19&lt;&gt;"DIV"), (1-Index!$F$2*2)*((J19*D19)-(E19*D19)), "")</f>
        <v/>
      </c>
      <c r="M64" s="30">
        <f>IF(AND( C19="Buy", ISBLANK(W19), B19&lt;&gt;"DIV"), ((E19*D19)+L19), "")</f>
        <v/>
      </c>
      <c r="N64" s="31">
        <f>IF(AND( C19="Buy", ISBLANK(W19), B19&lt;&gt;"DIV"), D19, "")</f>
        <v/>
      </c>
      <c r="O64" s="29">
        <f>IF(AND( C19="Buy", ISBLANK(W19), B19&lt;&gt;"DIV", NOW()-A19 &lt; 365), P19/SUM(F19:I19), "")</f>
        <v/>
      </c>
      <c r="P64" s="30">
        <f>IF(AND( C19="Buy", ISBLANK(W19), B19&lt;&gt;"DIV", NOW()-A19 &lt; 365), (1-Index!$F$2*2)*((J19*D19)-(E19*D19)), "")</f>
        <v/>
      </c>
      <c r="Q64" s="30">
        <f>IF(AND( C19="Buy", ISBLANK(W19), B19&lt;&gt;"DIV", NOW()-A19 &lt; 365), ((E19*D19)+P19), "")</f>
        <v/>
      </c>
      <c r="R64" s="30">
        <f>IF(AND( C19="Buy", ISBLANK(W19), B19&lt;&gt;"DIV", NOW()-A19 &lt; 365), D19, "")</f>
        <v/>
      </c>
      <c r="S64" s="32">
        <f>IF(AND( C19="Buy", ISBLANK(W19), B19&lt;&gt;"DIV", NOW()-A19 &gt; 365), T19/SUM(F19:I19), "")</f>
        <v/>
      </c>
      <c r="T64" s="33">
        <f>IF(AND( C19="Buy", ISBLANK(W19), B19&lt;&gt;"DIV", NOW()-A19 &gt; 365), (1-Index!$F$2*2)*((J19*D19)-(E19*D19)), "")</f>
        <v/>
      </c>
      <c r="U64" s="33">
        <f>IF(AND( C19="Buy", ISBLANK(W19), B19&lt;&gt;"DIV", NOW()-A19 &gt; 365), ((E19*D19)+T19), "")</f>
        <v/>
      </c>
      <c r="V64" s="33">
        <f>IF(AND( C19="Buy", ISBLANK(W19), B19&lt;&gt;"DIV", NOW()-A19 &gt; 365), D19, "")</f>
        <v/>
      </c>
      <c r="W64" s="33" t="n">
        <v>703.9400000000001</v>
      </c>
      <c r="X64" s="36" t="n">
        <v>45806</v>
      </c>
      <c r="Y64" s="37">
        <f>IF(AND( C19="Buy", W19&lt;&gt;"", AA19&lt;&gt;"", B19&lt;&gt;"DIV"), Z19/SUM(F19:I19), "")</f>
        <v/>
      </c>
      <c r="Z64" s="38" t="n">
        <v>-3061.53</v>
      </c>
      <c r="AA64" s="38" t="n">
        <v>3105</v>
      </c>
      <c r="AB64" s="39" t="n">
        <v>5</v>
      </c>
      <c r="AC64" s="30">
        <f>IF(B19="DIV", F19,"")</f>
        <v/>
      </c>
      <c r="AD64" s="35" t="n"/>
      <c r="AE64" s="40" t="n"/>
      <c r="AF64" s="40" t="n"/>
      <c r="AG64" s="40" t="n"/>
      <c r="AH64" s="40" t="n"/>
      <c r="AI64" s="40" t="n"/>
      <c r="AJ64" s="40" t="n"/>
      <c r="AK64" s="40" t="n"/>
      <c r="AL64" s="40" t="n"/>
      <c r="AM64" s="40" t="n"/>
      <c r="AN64" s="40" t="n"/>
      <c r="AO64" s="40" t="n"/>
      <c r="AP64" s="40" t="n"/>
    </row>
    <row r="65" ht="13" customHeight="1" s="62">
      <c r="A65" s="36" t="n">
        <v>45712</v>
      </c>
      <c r="B65" s="25" t="inlineStr">
        <is>
          <t>BSE</t>
        </is>
      </c>
      <c r="C65" s="25" t="inlineStr">
        <is>
          <t>Buy</t>
        </is>
      </c>
      <c r="D65" s="26" t="n">
        <v>2</v>
      </c>
      <c r="E65" s="27" t="n">
        <v>483.95</v>
      </c>
      <c r="F65" s="27" t="n">
        <v>967.91</v>
      </c>
      <c r="G65" s="25" t="inlineStr">
        <is>
          <t>~</t>
        </is>
      </c>
      <c r="H65" s="26" t="n">
        <v>0.97</v>
      </c>
      <c r="I65" s="26" t="n">
        <v>6.94</v>
      </c>
      <c r="J65" s="28">
        <f>Index!$C$2</f>
        <v/>
      </c>
      <c r="K65" s="29">
        <f>IF(AND( C20="Buy", ISBLANK(W20), B20&lt;&gt;"DIV"), L20/SUM(F20:I20), "")</f>
        <v/>
      </c>
      <c r="L65" s="30">
        <f>IF(AND( C20="Buy", ISBLANK(W20), B20&lt;&gt;"DIV"), (1-Index!$F$2*2)*((J20*D20)-(E20*D20)), "")</f>
        <v/>
      </c>
      <c r="M65" s="30">
        <f>IF(AND( C20="Buy", ISBLANK(W20), B20&lt;&gt;"DIV"), ((E20*D20)+L20), "")</f>
        <v/>
      </c>
      <c r="N65" s="31">
        <f>IF(AND( C20="Buy", ISBLANK(W20), B20&lt;&gt;"DIV"), D20, "")</f>
        <v/>
      </c>
      <c r="O65" s="29">
        <f>IF(AND( C20="Buy", ISBLANK(W20), B20&lt;&gt;"DIV", NOW()-A20 &lt; 365), P20/SUM(F20:I20), "")</f>
        <v/>
      </c>
      <c r="P65" s="30">
        <f>IF(AND( C20="Buy", ISBLANK(W20), B20&lt;&gt;"DIV", NOW()-A20 &lt; 365), (1-Index!$F$2*2)*((J20*D20)-(E20*D20)), "")</f>
        <v/>
      </c>
      <c r="Q65" s="30">
        <f>IF(AND( C20="Buy", ISBLANK(W20), B20&lt;&gt;"DIV", NOW()-A20 &lt; 365), ((E20*D20)+P20), "")</f>
        <v/>
      </c>
      <c r="R65" s="30">
        <f>IF(AND( C20="Buy", ISBLANK(W20), B20&lt;&gt;"DIV", NOW()-A20 &lt; 365), D20, "")</f>
        <v/>
      </c>
      <c r="S65" s="32">
        <f>IF(AND( C20="Buy", ISBLANK(W20), B20&lt;&gt;"DIV", NOW()-A20 &gt; 365), T20/SUM(F20:I20), "")</f>
        <v/>
      </c>
      <c r="T65" s="33">
        <f>IF(AND( C20="Buy", ISBLANK(W20), B20&lt;&gt;"DIV", NOW()-A20 &gt; 365), (1-Index!$F$2*2)*((J20*D20)-(E20*D20)), "")</f>
        <v/>
      </c>
      <c r="U65" s="33">
        <f>IF(AND( C20="Buy", ISBLANK(W20), B20&lt;&gt;"DIV", NOW()-A20 &gt; 365), ((E20*D20)+T20), "")</f>
        <v/>
      </c>
      <c r="V65" s="33">
        <f>IF(AND( C20="Buy", ISBLANK(W20), B20&lt;&gt;"DIV", NOW()-A20 &gt; 365), D20, "")</f>
        <v/>
      </c>
      <c r="W65" s="33" t="n">
        <v>703.9400000000001</v>
      </c>
      <c r="X65" s="36" t="n">
        <v>45806</v>
      </c>
      <c r="Y65" s="37">
        <f>IF(AND( C20="Buy", W20&lt;&gt;"", AA20&lt;&gt;"", B20&lt;&gt;"DIV"), Z20/SUM(F20:I20), "")</f>
        <v/>
      </c>
      <c r="Z65" s="38" t="n">
        <v>-1232.4014</v>
      </c>
      <c r="AA65" s="38" t="n">
        <v>1249.9</v>
      </c>
      <c r="AB65" s="39" t="n">
        <v>2</v>
      </c>
      <c r="AC65" s="30">
        <f>IF(B20="DIV", F20,"")</f>
        <v/>
      </c>
      <c r="AD65" s="35" t="n"/>
      <c r="AE65" s="40" t="n"/>
      <c r="AF65" s="40" t="n"/>
      <c r="AG65" s="40" t="n"/>
      <c r="AH65" s="40" t="n"/>
      <c r="AI65" s="40" t="n"/>
      <c r="AJ65" s="40" t="n"/>
      <c r="AK65" s="40" t="n"/>
      <c r="AL65" s="40" t="n"/>
      <c r="AM65" s="40" t="n"/>
      <c r="AN65" s="40" t="n"/>
      <c r="AO65" s="40" t="n"/>
      <c r="AP65" s="40" t="n"/>
    </row>
    <row r="66" ht="13" customHeight="1" s="62">
      <c r="A66" s="36" t="n">
        <v>45712</v>
      </c>
      <c r="B66" s="25" t="inlineStr">
        <is>
          <t>BSE</t>
        </is>
      </c>
      <c r="C66" s="25" t="inlineStr">
        <is>
          <t>Buy</t>
        </is>
      </c>
      <c r="D66" s="26" t="n">
        <v>2</v>
      </c>
      <c r="E66" s="27" t="n">
        <v>484.65</v>
      </c>
      <c r="F66" s="27" t="n">
        <v>969.3099999999999</v>
      </c>
      <c r="G66" s="25" t="inlineStr">
        <is>
          <t>~</t>
        </is>
      </c>
      <c r="H66" s="26" t="n">
        <v>0.97</v>
      </c>
      <c r="I66" s="26" t="n">
        <v>6.94</v>
      </c>
      <c r="J66" s="28">
        <f>Index!$C$2</f>
        <v/>
      </c>
      <c r="K66" s="29">
        <f>IF(AND( C21="Buy", ISBLANK(W21), B21&lt;&gt;"DIV"), L21/SUM(F21:I21), "")</f>
        <v/>
      </c>
      <c r="L66" s="30">
        <f>IF(AND( C21="Buy", ISBLANK(W21), B21&lt;&gt;"DIV"), (1-Index!$F$2*2)*((J21*D21)-(E21*D21)), "")</f>
        <v/>
      </c>
      <c r="M66" s="30">
        <f>IF(AND( C21="Buy", ISBLANK(W21), B21&lt;&gt;"DIV"), ((E21*D21)+L21), "")</f>
        <v/>
      </c>
      <c r="N66" s="31">
        <f>IF(AND( C21="Buy", ISBLANK(W21), B21&lt;&gt;"DIV"), D21, "")</f>
        <v/>
      </c>
      <c r="O66" s="29">
        <f>IF(AND( C21="Buy", ISBLANK(W21), B21&lt;&gt;"DIV", NOW()-A21 &lt; 365), P21/SUM(F21:I21), "")</f>
        <v/>
      </c>
      <c r="P66" s="30">
        <f>IF(AND( C21="Buy", ISBLANK(W21), B21&lt;&gt;"DIV", NOW()-A21 &lt; 365), (1-Index!$F$2*2)*((J21*D21)-(E21*D21)), "")</f>
        <v/>
      </c>
      <c r="Q66" s="30">
        <f>IF(AND( C21="Buy", ISBLANK(W21), B21&lt;&gt;"DIV", NOW()-A21 &lt; 365), ((E21*D21)+P21), "")</f>
        <v/>
      </c>
      <c r="R66" s="30">
        <f>IF(AND( C21="Buy", ISBLANK(W21), B21&lt;&gt;"DIV", NOW()-A21 &lt; 365), D21, "")</f>
        <v/>
      </c>
      <c r="S66" s="32">
        <f>IF(AND( C21="Buy", ISBLANK(W21), B21&lt;&gt;"DIV", NOW()-A21 &gt; 365), T21/SUM(F21:I21), "")</f>
        <v/>
      </c>
      <c r="T66" s="33">
        <f>IF(AND( C21="Buy", ISBLANK(W21), B21&lt;&gt;"DIV", NOW()-A21 &gt; 365), (1-Index!$F$2*2)*((J21*D21)-(E21*D21)), "")</f>
        <v/>
      </c>
      <c r="U66" s="33">
        <f>IF(AND( C21="Buy", ISBLANK(W21), B21&lt;&gt;"DIV", NOW()-A21 &gt; 365), ((E21*D21)+T21), "")</f>
        <v/>
      </c>
      <c r="V66" s="33">
        <f>IF(AND( C21="Buy", ISBLANK(W21), B21&lt;&gt;"DIV", NOW()-A21 &gt; 365), D21, "")</f>
        <v/>
      </c>
      <c r="W66" s="33" t="n">
        <v>703.9400000000001</v>
      </c>
      <c r="X66" s="36" t="n">
        <v>45806</v>
      </c>
      <c r="Y66" s="37">
        <f>IF(AND( C21="Buy", W21&lt;&gt;"", AA21&lt;&gt;"", B21&lt;&gt;"DIV"), Z21/SUM(F21:I21), "")</f>
        <v/>
      </c>
      <c r="Z66" s="38" t="n">
        <v>-1842.2424</v>
      </c>
      <c r="AA66" s="38" t="n">
        <v>1868.4</v>
      </c>
      <c r="AB66" s="39" t="n">
        <v>3</v>
      </c>
      <c r="AC66" s="30">
        <f>IF(B21="DIV", F21,"")</f>
        <v/>
      </c>
      <c r="AD66" s="35" t="n"/>
      <c r="AE66" s="40" t="n"/>
      <c r="AF66" s="40" t="n"/>
      <c r="AG66" s="40" t="n"/>
      <c r="AH66" s="40" t="n"/>
      <c r="AI66" s="40" t="n"/>
      <c r="AJ66" s="40" t="n"/>
      <c r="AK66" s="40" t="n"/>
      <c r="AL66" s="40" t="n"/>
      <c r="AM66" s="40" t="n"/>
      <c r="AN66" s="40" t="n"/>
      <c r="AO66" s="40" t="n"/>
      <c r="AP66" s="40" t="n"/>
    </row>
    <row r="67" ht="13" customHeight="1" s="62">
      <c r="A67" s="36" t="n">
        <v>45712</v>
      </c>
      <c r="B67" s="25" t="inlineStr">
        <is>
          <t>BSE</t>
        </is>
      </c>
      <c r="C67" s="25" t="inlineStr">
        <is>
          <t>Buy</t>
        </is>
      </c>
      <c r="D67" s="26" t="n">
        <v>2</v>
      </c>
      <c r="E67" s="27" t="n">
        <v>486.17</v>
      </c>
      <c r="F67" s="27" t="n">
        <v>972.33</v>
      </c>
      <c r="G67" s="25" t="inlineStr">
        <is>
          <t>~</t>
        </is>
      </c>
      <c r="H67" s="26" t="n">
        <v>0.97</v>
      </c>
      <c r="I67" s="26" t="n">
        <v>6.96</v>
      </c>
      <c r="J67" s="28">
        <f>Index!$C$2</f>
        <v/>
      </c>
      <c r="K67" s="29">
        <f>IF(AND( C22="Buy", ISBLANK(W22), B22&lt;&gt;"DIV"), L22/SUM(F22:I22), "")</f>
        <v/>
      </c>
      <c r="L67" s="30">
        <f>IF(AND( C22="Buy", ISBLANK(W22), B22&lt;&gt;"DIV"), (1-Index!$F$2*2)*((J22*D22)-(E22*D22)), "")</f>
        <v/>
      </c>
      <c r="M67" s="30">
        <f>IF(AND( C22="Buy", ISBLANK(W22), B22&lt;&gt;"DIV"), ((E22*D22)+L22), "")</f>
        <v/>
      </c>
      <c r="N67" s="31">
        <f>IF(AND( C22="Buy", ISBLANK(W22), B22&lt;&gt;"DIV"), D22, "")</f>
        <v/>
      </c>
      <c r="O67" s="29">
        <f>IF(AND( C22="Buy", ISBLANK(W22), B22&lt;&gt;"DIV", NOW()-A22 &lt; 365), P22/SUM(F22:I22), "")</f>
        <v/>
      </c>
      <c r="P67" s="30">
        <f>IF(AND( C22="Buy", ISBLANK(W22), B22&lt;&gt;"DIV", NOW()-A22 &lt; 365), (1-Index!$F$2*2)*((J22*D22)-(E22*D22)), "")</f>
        <v/>
      </c>
      <c r="Q67" s="30">
        <f>IF(AND( C22="Buy", ISBLANK(W22), B22&lt;&gt;"DIV", NOW()-A22 &lt; 365), ((E22*D22)+P22), "")</f>
        <v/>
      </c>
      <c r="R67" s="30">
        <f>IF(AND( C22="Buy", ISBLANK(W22), B22&lt;&gt;"DIV", NOW()-A22 &lt; 365), D22, "")</f>
        <v/>
      </c>
      <c r="S67" s="32">
        <f>IF(AND( C22="Buy", ISBLANK(W22), B22&lt;&gt;"DIV", NOW()-A22 &gt; 365), T22/SUM(F22:I22), "")</f>
        <v/>
      </c>
      <c r="T67" s="33">
        <f>IF(AND( C22="Buy", ISBLANK(W22), B22&lt;&gt;"DIV", NOW()-A22 &gt; 365), (1-Index!$F$2*2)*((J22*D22)-(E22*D22)), "")</f>
        <v/>
      </c>
      <c r="U67" s="33">
        <f>IF(AND( C22="Buy", ISBLANK(W22), B22&lt;&gt;"DIV", NOW()-A22 &gt; 365), ((E22*D22)+T22), "")</f>
        <v/>
      </c>
      <c r="V67" s="33">
        <f>IF(AND( C22="Buy", ISBLANK(W22), B22&lt;&gt;"DIV", NOW()-A22 &gt; 365), D22, "")</f>
        <v/>
      </c>
      <c r="W67" s="33" t="n">
        <v>703.9400000000001</v>
      </c>
      <c r="X67" s="36" t="n">
        <v>45806</v>
      </c>
      <c r="Y67" s="37">
        <f>IF(AND( C22="Buy", W22&lt;&gt;"", AA22&lt;&gt;"", B22&lt;&gt;"DIV"), Z22/SUM(F22:I22), "")</f>
        <v/>
      </c>
      <c r="Z67" s="38" t="n">
        <v>-648.788</v>
      </c>
      <c r="AA67" s="38" t="n">
        <v>658</v>
      </c>
      <c r="AB67" s="39" t="n">
        <v>1</v>
      </c>
      <c r="AC67" s="30">
        <f>IF(B22="DIV", F22,"")</f>
        <v/>
      </c>
      <c r="AD67" s="35" t="n"/>
      <c r="AE67" s="40" t="n"/>
      <c r="AF67" s="40" t="n"/>
      <c r="AG67" s="40" t="n"/>
      <c r="AH67" s="40" t="n"/>
      <c r="AI67" s="40" t="n"/>
      <c r="AJ67" s="40" t="n"/>
      <c r="AK67" s="40" t="n"/>
      <c r="AL67" s="40" t="n"/>
      <c r="AM67" s="40" t="n"/>
      <c r="AN67" s="40" t="n"/>
      <c r="AO67" s="40" t="n"/>
      <c r="AP67" s="40" t="n"/>
    </row>
    <row r="68" ht="13" customHeight="1" s="62">
      <c r="A68" s="36" t="n">
        <v>45705</v>
      </c>
      <c r="B68" s="25" t="inlineStr">
        <is>
          <t>BSE</t>
        </is>
      </c>
      <c r="C68" s="25" t="inlineStr">
        <is>
          <t>Buy</t>
        </is>
      </c>
      <c r="D68" s="26" t="n">
        <v>20</v>
      </c>
      <c r="E68" s="27" t="n">
        <v>445.69</v>
      </c>
      <c r="F68" s="27" t="n">
        <v>8913.73</v>
      </c>
      <c r="G68" s="25" t="inlineStr">
        <is>
          <t>~</t>
        </is>
      </c>
      <c r="H68" s="26" t="n">
        <v>8.83</v>
      </c>
      <c r="I68" s="26" t="n">
        <v>63.9</v>
      </c>
      <c r="J68" s="28">
        <f>Index!$C$2</f>
        <v/>
      </c>
      <c r="K68" s="29">
        <f>IF(AND( C23="Buy", ISBLANK(W23), B23&lt;&gt;"DIV"), L23/SUM(F23:I23), "")</f>
        <v/>
      </c>
      <c r="L68" s="30">
        <f>IF(AND( C23="Buy", ISBLANK(W23), B23&lt;&gt;"DIV"), (1-Index!$F$2*2)*((J23*D23)-(E23*D23)), "")</f>
        <v/>
      </c>
      <c r="M68" s="30">
        <f>IF(AND( C23="Buy", ISBLANK(W23), B23&lt;&gt;"DIV"), ((E23*D23)+L23), "")</f>
        <v/>
      </c>
      <c r="N68" s="31">
        <f>IF(AND( C23="Buy", ISBLANK(W23), B23&lt;&gt;"DIV"), D23, "")</f>
        <v/>
      </c>
      <c r="O68" s="29">
        <f>IF(AND( C23="Buy", ISBLANK(W23), B23&lt;&gt;"DIV", NOW()-A23 &lt; 365), P23/SUM(F23:I23), "")</f>
        <v/>
      </c>
      <c r="P68" s="30">
        <f>IF(AND( C23="Buy", ISBLANK(W23), B23&lt;&gt;"DIV", NOW()-A23 &lt; 365), (1-Index!$F$2*2)*((J23*D23)-(E23*D23)), "")</f>
        <v/>
      </c>
      <c r="Q68" s="30">
        <f>IF(AND( C23="Buy", ISBLANK(W23), B23&lt;&gt;"DIV", NOW()-A23 &lt; 365), ((E23*D23)+P23), "")</f>
        <v/>
      </c>
      <c r="R68" s="30">
        <f>IF(AND( C23="Buy", ISBLANK(W23), B23&lt;&gt;"DIV", NOW()-A23 &lt; 365), D23, "")</f>
        <v/>
      </c>
      <c r="S68" s="32">
        <f>IF(AND( C23="Buy", ISBLANK(W23), B23&lt;&gt;"DIV", NOW()-A23 &gt; 365), T23/SUM(F23:I23), "")</f>
        <v/>
      </c>
      <c r="T68" s="33">
        <f>IF(AND( C23="Buy", ISBLANK(W23), B23&lt;&gt;"DIV", NOW()-A23 &gt; 365), (1-Index!$F$2*2)*((J23*D23)-(E23*D23)), "")</f>
        <v/>
      </c>
      <c r="U68" s="33">
        <f>IF(AND( C23="Buy", ISBLANK(W23), B23&lt;&gt;"DIV", NOW()-A23 &gt; 365), ((E23*D23)+T23), "")</f>
        <v/>
      </c>
      <c r="V68" s="33">
        <f>IF(AND( C23="Buy", ISBLANK(W23), B23&lt;&gt;"DIV", NOW()-A23 &gt; 365), D23, "")</f>
        <v/>
      </c>
      <c r="W68" s="33" t="n">
        <v>703.9400000000001</v>
      </c>
      <c r="X68" s="36" t="n">
        <v>45806</v>
      </c>
      <c r="Y68" s="37">
        <f>IF(AND( C23="Buy", W23&lt;&gt;"", AA23&lt;&gt;"", B23&lt;&gt;"DIV"), Z23/SUM(F23:I23), "")</f>
        <v/>
      </c>
      <c r="Z68" s="38" t="n">
        <v>-1297.4774</v>
      </c>
      <c r="AA68" s="38" t="n">
        <v>1315.9</v>
      </c>
      <c r="AB68" s="39" t="n">
        <v>2</v>
      </c>
      <c r="AC68" s="30">
        <f>IF(B23="DIV", F23,"")</f>
        <v/>
      </c>
      <c r="AD68" s="35" t="n"/>
      <c r="AE68" s="40" t="n"/>
      <c r="AF68" s="40" t="n"/>
      <c r="AG68" s="40" t="n"/>
      <c r="AH68" s="40" t="n"/>
      <c r="AI68" s="40" t="n"/>
      <c r="AJ68" s="40" t="n"/>
      <c r="AK68" s="40" t="n"/>
      <c r="AL68" s="40" t="n"/>
      <c r="AM68" s="40" t="n"/>
      <c r="AN68" s="40" t="n"/>
      <c r="AO68" s="40" t="n"/>
      <c r="AP68" s="40" t="n"/>
    </row>
    <row r="69" ht="13" customHeight="1" s="62">
      <c r="A69" s="36" t="n">
        <v>45699</v>
      </c>
      <c r="B69" s="25" t="inlineStr">
        <is>
          <t>BSE</t>
        </is>
      </c>
      <c r="C69" s="25" t="inlineStr">
        <is>
          <t>Buy</t>
        </is>
      </c>
      <c r="D69" s="26" t="n">
        <v>10</v>
      </c>
      <c r="E69" s="27" t="n">
        <v>509.46</v>
      </c>
      <c r="F69" s="27" t="n">
        <v>5094.65</v>
      </c>
      <c r="G69" s="25" t="inlineStr">
        <is>
          <t>~</t>
        </is>
      </c>
      <c r="H69" s="26" t="n">
        <v>5.05</v>
      </c>
      <c r="I69" s="26" t="n">
        <v>36.6</v>
      </c>
      <c r="J69" s="28">
        <f>Index!$C$2</f>
        <v/>
      </c>
      <c r="K69" s="29">
        <f>IF(AND( C24="Buy", ISBLANK(W24), B24&lt;&gt;"DIV"), L24/SUM(F24:I24), "")</f>
        <v/>
      </c>
      <c r="L69" s="30">
        <f>IF(AND( C24="Buy", ISBLANK(W24), B24&lt;&gt;"DIV"), (1-Index!$F$2*2)*((J24*D24)-(E24*D24)), "")</f>
        <v/>
      </c>
      <c r="M69" s="30">
        <f>IF(AND( C24="Buy", ISBLANK(W24), B24&lt;&gt;"DIV"), ((E24*D24)+L24), "")</f>
        <v/>
      </c>
      <c r="N69" s="31">
        <f>IF(AND( C24="Buy", ISBLANK(W24), B24&lt;&gt;"DIV"), D24, "")</f>
        <v/>
      </c>
      <c r="O69" s="29">
        <f>IF(AND( C24="Buy", ISBLANK(W24), B24&lt;&gt;"DIV", NOW()-A24 &lt; 365), P24/SUM(F24:I24), "")</f>
        <v/>
      </c>
      <c r="P69" s="30">
        <f>IF(AND( C24="Buy", ISBLANK(W24), B24&lt;&gt;"DIV", NOW()-A24 &lt; 365), (1-Index!$F$2*2)*((J24*D24)-(E24*D24)), "")</f>
        <v/>
      </c>
      <c r="Q69" s="30">
        <f>IF(AND( C24="Buy", ISBLANK(W24), B24&lt;&gt;"DIV", NOW()-A24 &lt; 365), ((E24*D24)+P24), "")</f>
        <v/>
      </c>
      <c r="R69" s="30">
        <f>IF(AND( C24="Buy", ISBLANK(W24), B24&lt;&gt;"DIV", NOW()-A24 &lt; 365), D24, "")</f>
        <v/>
      </c>
      <c r="S69" s="32">
        <f>IF(AND( C24="Buy", ISBLANK(W24), B24&lt;&gt;"DIV", NOW()-A24 &gt; 365), T24/SUM(F24:I24), "")</f>
        <v/>
      </c>
      <c r="T69" s="33">
        <f>IF(AND( C24="Buy", ISBLANK(W24), B24&lt;&gt;"DIV", NOW()-A24 &gt; 365), (1-Index!$F$2*2)*((J24*D24)-(E24*D24)), "")</f>
        <v/>
      </c>
      <c r="U69" s="33">
        <f>IF(AND( C24="Buy", ISBLANK(W24), B24&lt;&gt;"DIV", NOW()-A24 &gt; 365), ((E24*D24)+T24), "")</f>
        <v/>
      </c>
      <c r="V69" s="33">
        <f>IF(AND( C24="Buy", ISBLANK(W24), B24&lt;&gt;"DIV", NOW()-A24 &gt; 365), D24, "")</f>
        <v/>
      </c>
      <c r="W69" s="33" t="n">
        <v>703.9400000000001</v>
      </c>
      <c r="X69" s="36" t="n">
        <v>45806</v>
      </c>
      <c r="Y69" s="37">
        <f>IF(AND( C24="Buy", W24&lt;&gt;"", AA24&lt;&gt;"", B24&lt;&gt;"DIV"), Z24/SUM(F24:I24), "")</f>
        <v/>
      </c>
      <c r="Z69" s="38" t="n">
        <v>-1295.604</v>
      </c>
      <c r="AA69" s="38" t="n">
        <v>1314</v>
      </c>
      <c r="AB69" s="39" t="n">
        <v>2</v>
      </c>
      <c r="AC69" s="30">
        <f>IF(B24="DIV", F24,"")</f>
        <v/>
      </c>
      <c r="AD69" s="35" t="n"/>
      <c r="AE69" s="40" t="n"/>
      <c r="AF69" s="40" t="n"/>
      <c r="AG69" s="40" t="n"/>
      <c r="AH69" s="40" t="n"/>
      <c r="AI69" s="40" t="n"/>
      <c r="AJ69" s="40" t="n"/>
      <c r="AK69" s="40" t="n"/>
      <c r="AL69" s="40" t="n"/>
      <c r="AM69" s="40" t="n"/>
      <c r="AN69" s="40" t="n"/>
      <c r="AO69" s="40" t="n"/>
      <c r="AP69" s="40" t="n"/>
    </row>
    <row r="70" ht="13" customHeight="1" s="62">
      <c r="A70" s="36" t="n">
        <v>45694</v>
      </c>
      <c r="B70" s="25" t="inlineStr">
        <is>
          <t>BSE</t>
        </is>
      </c>
      <c r="C70" s="25" t="inlineStr">
        <is>
          <t>Buy</t>
        </is>
      </c>
      <c r="D70" s="26" t="n">
        <v>20</v>
      </c>
      <c r="E70" s="27" t="n">
        <v>529.3200000000001</v>
      </c>
      <c r="F70" s="27" t="n">
        <v>10586.46</v>
      </c>
      <c r="G70" s="25" t="inlineStr">
        <is>
          <t>~</t>
        </is>
      </c>
      <c r="H70" s="26" t="n">
        <v>10.47</v>
      </c>
      <c r="I70" s="26" t="n">
        <v>75.98999999999999</v>
      </c>
      <c r="J70" s="28">
        <f>Index!$C$2</f>
        <v/>
      </c>
      <c r="K70" s="29">
        <f>IF(AND( C25="Buy", ISBLANK(W25), B25&lt;&gt;"DIV"), L25/SUM(F25:I25), "")</f>
        <v/>
      </c>
      <c r="L70" s="30">
        <f>IF(AND( C25="Buy", ISBLANK(W25), B25&lt;&gt;"DIV"), (1-Index!$F$2*2)*((J25*D25)-(E25*D25)), "")</f>
        <v/>
      </c>
      <c r="M70" s="30">
        <f>IF(AND( C25="Buy", ISBLANK(W25), B25&lt;&gt;"DIV"), ((E25*D25)+L25), "")</f>
        <v/>
      </c>
      <c r="N70" s="31">
        <f>IF(AND( C25="Buy", ISBLANK(W25), B25&lt;&gt;"DIV"), D25, "")</f>
        <v/>
      </c>
      <c r="O70" s="29">
        <f>IF(AND( C25="Buy", ISBLANK(W25), B25&lt;&gt;"DIV", NOW()-A25 &lt; 365), P25/SUM(F25:I25), "")</f>
        <v/>
      </c>
      <c r="P70" s="30">
        <f>IF(AND( C25="Buy", ISBLANK(W25), B25&lt;&gt;"DIV", NOW()-A25 &lt; 365), (1-Index!$F$2*2)*((J25*D25)-(E25*D25)), "")</f>
        <v/>
      </c>
      <c r="Q70" s="30">
        <f>IF(AND( C25="Buy", ISBLANK(W25), B25&lt;&gt;"DIV", NOW()-A25 &lt; 365), ((E25*D25)+P25), "")</f>
        <v/>
      </c>
      <c r="R70" s="30">
        <f>IF(AND( C25="Buy", ISBLANK(W25), B25&lt;&gt;"DIV", NOW()-A25 &lt; 365), D25, "")</f>
        <v/>
      </c>
      <c r="S70" s="32">
        <f>IF(AND( C25="Buy", ISBLANK(W25), B25&lt;&gt;"DIV", NOW()-A25 &gt; 365), T25/SUM(F25:I25), "")</f>
        <v/>
      </c>
      <c r="T70" s="33">
        <f>IF(AND( C25="Buy", ISBLANK(W25), B25&lt;&gt;"DIV", NOW()-A25 &gt; 365), (1-Index!$F$2*2)*((J25*D25)-(E25*D25)), "")</f>
        <v/>
      </c>
      <c r="U70" s="33">
        <f>IF(AND( C25="Buy", ISBLANK(W25), B25&lt;&gt;"DIV", NOW()-A25 &gt; 365), ((E25*D25)+T25), "")</f>
        <v/>
      </c>
      <c r="V70" s="33">
        <f>IF(AND( C25="Buy", ISBLANK(W25), B25&lt;&gt;"DIV", NOW()-A25 &gt; 365), D25, "")</f>
        <v/>
      </c>
      <c r="W70" s="33" t="n">
        <v>703.9400000000001</v>
      </c>
      <c r="X70" s="36" t="n">
        <v>45806</v>
      </c>
      <c r="Y70" s="37">
        <f>IF(AND( C25="Buy", W25&lt;&gt;"", AA25&lt;&gt;"", B25&lt;&gt;"DIV"), Z25/SUM(F25:I25), "")</f>
        <v/>
      </c>
      <c r="Z70" s="38" t="n">
        <v>-5624.637</v>
      </c>
      <c r="AA70" s="38" t="n">
        <v>5704.5</v>
      </c>
      <c r="AB70" s="39" t="n">
        <v>10</v>
      </c>
      <c r="AC70" s="30">
        <f>IF(B25="DIV", F25,"")</f>
        <v/>
      </c>
      <c r="AD70" s="35" t="n"/>
      <c r="AE70" s="40" t="n"/>
      <c r="AF70" s="40" t="n"/>
      <c r="AG70" s="40" t="n"/>
      <c r="AH70" s="40" t="n"/>
      <c r="AI70" s="40" t="n"/>
      <c r="AJ70" s="40" t="n"/>
      <c r="AK70" s="40" t="n"/>
      <c r="AL70" s="40" t="n"/>
      <c r="AM70" s="40" t="n"/>
      <c r="AN70" s="40" t="n"/>
      <c r="AO70" s="40" t="n"/>
      <c r="AP70" s="40" t="n"/>
    </row>
    <row r="71" ht="13" customHeight="1" s="62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2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2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2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2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2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2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2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2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2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2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2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2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2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2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2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2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2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2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2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2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2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2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2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2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2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2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2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2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2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2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2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2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2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2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2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2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2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2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2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2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2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2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2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2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2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2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2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2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2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2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2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2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2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2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2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2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2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2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2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2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2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2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2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2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2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2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2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2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2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2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2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2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2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2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2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2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2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2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2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2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2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2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2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2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2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2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2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2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2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2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2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2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2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2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2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2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2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2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2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2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2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2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2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2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2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2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2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2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2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2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2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2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2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2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2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2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2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2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2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2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2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2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2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2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2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2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2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2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2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2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2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2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2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2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2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2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2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2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2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2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2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2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2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2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2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2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2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2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2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2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2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2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2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2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2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2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2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2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2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2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2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2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2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2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2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2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2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2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2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2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2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2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2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2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2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2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2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2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2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2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2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2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2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2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2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2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2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2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2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2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2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2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2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2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2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2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2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2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2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2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2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2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2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2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2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2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2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2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2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2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2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2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2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2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2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2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2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2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2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2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2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2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2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2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2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2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2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2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2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2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2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2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2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2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2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2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2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2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2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2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2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2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2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2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2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2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2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2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2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2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2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2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2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2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2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2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2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2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2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2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2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2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2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2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2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2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2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2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2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2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2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2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2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2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2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2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2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2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2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2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2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2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2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2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2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2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2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2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2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2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2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2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2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2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2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2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2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2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2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2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2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2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2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2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2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2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2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2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2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2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2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2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2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2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2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2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2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2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2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2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2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2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2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2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2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2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2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2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2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2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2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2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2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2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2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2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2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2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2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2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2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2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2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2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2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2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2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2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2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2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2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2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2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2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2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2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2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2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2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2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2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2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2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2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2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2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2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2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2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2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2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2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2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2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2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2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2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2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2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2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2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2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2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2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2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2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2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2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2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2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2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2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2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2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2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2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2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2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2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2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2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2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2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2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2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2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2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2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2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2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2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2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2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2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2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2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2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2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2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2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2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2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2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2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2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2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2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2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2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2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2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2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2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2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2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2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2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2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2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2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2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2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2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2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2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2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2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2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2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2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2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2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2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2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2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2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2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2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2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2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2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2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2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2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2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2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2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2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2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2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2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2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2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2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2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2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2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2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2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2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2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2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2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2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2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2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2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2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2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2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2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2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2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2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2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2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2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2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2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2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2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2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2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2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2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2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2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2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2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2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2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2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2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2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2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2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2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2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2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2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2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2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2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2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2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2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2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2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2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2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2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2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2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2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2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2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2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2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2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2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2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2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2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2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2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2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2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2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2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2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2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2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2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2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2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2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2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2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2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2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2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2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2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2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2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2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2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2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2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2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2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2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2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2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2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2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2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2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2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2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2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2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2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2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2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2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2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2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2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2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2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2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2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2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2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2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2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2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2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2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2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2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2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2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2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2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2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2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2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2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2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2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2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2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2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2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2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2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2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2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2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2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2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2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2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2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2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2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2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2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2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2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2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2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2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2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2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2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2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2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2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2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2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2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2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2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2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2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2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2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2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2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2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2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2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2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2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2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2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2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2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2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2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2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2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2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2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2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2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2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2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2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2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2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2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2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2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2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2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2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2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2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2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2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2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2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2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2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2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2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2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2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2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2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2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2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2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2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2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2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2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2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2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2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2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2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2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2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2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2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2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2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2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2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2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2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2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2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2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2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2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2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2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2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2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2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2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2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2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2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2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2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2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2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2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2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2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2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2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2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2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2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2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2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2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2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2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2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2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2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2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2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2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2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2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2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2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2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2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2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2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2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2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2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2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2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2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2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2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2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2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2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2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2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2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2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2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2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2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2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2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2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2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2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2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2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2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2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2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2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2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2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2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2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2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2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2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2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2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2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2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2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2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2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2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2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2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2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2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2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2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2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2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2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2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2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2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2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2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2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2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2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2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2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2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2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2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2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2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2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2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2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2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2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2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2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2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2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2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2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2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2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2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2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2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2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2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2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2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2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2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2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2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2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2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2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2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2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2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2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2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2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2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2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2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2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2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2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2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2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2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2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2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2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2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2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2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2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2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2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2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2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2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2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2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2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2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2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2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2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2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2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2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2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2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2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2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2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2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2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2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2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2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2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2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2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2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2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2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2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2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2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2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2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2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2">
      <c r="E988" s="41" t="n"/>
      <c r="F988" s="41" t="n"/>
      <c r="G988" s="42" t="n"/>
      <c r="J988" s="41" t="n"/>
      <c r="K988" s="41" t="n"/>
      <c r="L988" s="41" t="n"/>
      <c r="M988" s="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2">
      <c r="E989" s="41" t="n"/>
      <c r="F989" s="41" t="n"/>
      <c r="G989" s="42" t="n"/>
      <c r="J989" s="41" t="n"/>
      <c r="K989" s="41" t="n"/>
      <c r="L989" s="41" t="n"/>
      <c r="M989" s="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2">
      <c r="E990" s="41" t="n"/>
      <c r="F990" s="41" t="n"/>
      <c r="G990" s="42" t="n"/>
      <c r="J990" s="41" t="n"/>
      <c r="K990" s="41" t="n"/>
      <c r="L990" s="41" t="n"/>
      <c r="M990" s="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2">
      <c r="E991" s="41" t="n"/>
      <c r="F991" s="41" t="n"/>
      <c r="G991" s="42" t="n"/>
      <c r="J991" s="41" t="n"/>
      <c r="K991" s="41" t="n"/>
      <c r="L991" s="41" t="n"/>
      <c r="M991" s="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2">
      <c r="E992" s="41" t="n"/>
      <c r="F992" s="41" t="n"/>
      <c r="G992" s="42" t="n"/>
      <c r="J992" s="41" t="n"/>
      <c r="K992" s="41" t="n"/>
      <c r="L992" s="41" t="n"/>
      <c r="M992" s="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2">
      <c r="E993" s="41" t="n"/>
      <c r="F993" s="41" t="n"/>
      <c r="G993" s="42" t="n"/>
      <c r="J993" s="41" t="n"/>
      <c r="K993" s="41" t="n"/>
      <c r="L993" s="41" t="n"/>
      <c r="M993" s="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2">
      <c r="E994" s="41" t="n"/>
      <c r="F994" s="41" t="n"/>
      <c r="G994" s="42" t="n"/>
      <c r="J994" s="41" t="n"/>
      <c r="K994" s="41" t="n"/>
      <c r="L994" s="41" t="n"/>
      <c r="M994" s="1" t="n"/>
      <c r="W994" s="41" t="n"/>
      <c r="X994" s="41" t="n"/>
      <c r="Y994" s="41" t="n"/>
      <c r="Z994" s="41" t="n"/>
      <c r="AA994" s="41" t="n"/>
      <c r="AB994" s="41" t="n"/>
      <c r="AC994" s="41" t="n"/>
    </row>
    <row r="995" ht="13" customHeight="1" s="62">
      <c r="E995" s="41" t="n"/>
      <c r="F995" s="41" t="n"/>
      <c r="G995" s="42" t="n"/>
      <c r="J995" s="41" t="n"/>
      <c r="K995" s="41" t="n"/>
      <c r="L995" s="41" t="n"/>
      <c r="M995" s="1" t="n"/>
      <c r="W995" s="41" t="n"/>
      <c r="X995" s="41" t="n"/>
      <c r="Y995" s="41" t="n"/>
      <c r="Z995" s="41" t="n"/>
      <c r="AA995" s="41" t="n"/>
      <c r="AB995" s="41" t="n"/>
      <c r="AC995" s="41" t="n"/>
    </row>
    <row r="996" ht="13" customHeight="1" s="62">
      <c r="E996" s="41" t="n"/>
      <c r="F996" s="41" t="n"/>
      <c r="G996" s="42" t="n"/>
      <c r="J996" s="41" t="n"/>
      <c r="K996" s="41" t="n"/>
      <c r="L996" s="41" t="n"/>
      <c r="M996" s="1" t="n"/>
      <c r="W996" s="41" t="n"/>
      <c r="X996" s="41" t="n"/>
      <c r="Y996" s="41" t="n"/>
      <c r="Z996" s="41" t="n"/>
      <c r="AA996" s="41" t="n"/>
      <c r="AB996" s="41" t="n"/>
      <c r="AC996" s="41" t="n"/>
    </row>
    <row r="997" ht="13" customHeight="1" s="62">
      <c r="E997" s="41" t="n"/>
      <c r="F997" s="41" t="n"/>
      <c r="G997" s="42" t="n"/>
      <c r="J997" s="41" t="n"/>
      <c r="K997" s="41" t="n"/>
      <c r="L997" s="41" t="n"/>
      <c r="M997" s="1" t="n"/>
      <c r="W997" s="41" t="n"/>
      <c r="X997" s="41" t="n"/>
      <c r="Y997" s="41" t="n"/>
      <c r="Z997" s="41" t="n"/>
      <c r="AA997" s="41" t="n"/>
      <c r="AB997" s="41" t="n"/>
      <c r="AC997" s="41" t="n"/>
    </row>
    <row r="998" ht="13" customHeight="1" s="62">
      <c r="E998" s="41" t="n"/>
      <c r="F998" s="41" t="n"/>
      <c r="G998" s="42" t="n"/>
      <c r="J998" s="41" t="n"/>
      <c r="K998" s="41" t="n"/>
      <c r="L998" s="41" t="n"/>
      <c r="M998" s="1" t="n"/>
      <c r="W998" s="41" t="n"/>
      <c r="X998" s="41" t="n"/>
      <c r="Y998" s="41" t="n"/>
      <c r="Z998" s="41" t="n"/>
      <c r="AA998" s="41" t="n"/>
      <c r="AB998" s="41" t="n"/>
      <c r="AC998" s="41" t="n"/>
    </row>
    <row r="999" ht="13" customHeight="1" s="62">
      <c r="E999" s="41" t="n"/>
      <c r="F999" s="41" t="n"/>
      <c r="G999" s="42" t="n"/>
      <c r="J999" s="41" t="n"/>
      <c r="K999" s="41" t="n"/>
      <c r="L999" s="41" t="n"/>
      <c r="M999" s="1" t="n"/>
      <c r="W999" s="41" t="n"/>
      <c r="X999" s="41" t="n"/>
      <c r="Y999" s="41" t="n"/>
      <c r="Z999" s="41" t="n"/>
      <c r="AA999" s="41" t="n"/>
      <c r="AB999" s="41" t="n"/>
      <c r="AC999" s="41" t="n"/>
    </row>
    <row r="1000" ht="13" customHeight="1" s="62">
      <c r="E1000" s="41" t="n"/>
      <c r="F1000" s="41" t="n"/>
      <c r="G1000" s="42" t="n"/>
      <c r="J1000" s="41" t="n"/>
      <c r="K1000" s="41" t="n"/>
      <c r="L1000" s="41" t="n"/>
      <c r="M1000" s="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 ht="13" customHeight="1" s="62">
      <c r="E1001" s="41" t="n"/>
      <c r="F1001" s="41" t="n"/>
      <c r="G1001" s="42" t="n"/>
      <c r="J1001" s="41" t="n"/>
      <c r="K1001" s="41" t="n"/>
      <c r="L1001" s="41" t="n"/>
      <c r="M1001" s="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 ht="13" customHeight="1" s="62">
      <c r="E1002" s="41" t="n"/>
      <c r="F1002" s="41" t="n"/>
      <c r="G1002" s="42" t="n"/>
      <c r="J1002" s="41" t="n"/>
      <c r="K1002" s="41" t="n"/>
      <c r="L1002" s="41" t="n"/>
      <c r="M1002" s="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 ht="13" customHeight="1" s="62">
      <c r="E1003" s="41" t="n"/>
      <c r="F1003" s="41" t="n"/>
      <c r="G1003" s="42" t="n"/>
      <c r="J1003" s="41" t="n"/>
      <c r="K1003" s="41" t="n"/>
      <c r="L1003" s="41" t="n"/>
      <c r="M1003" s="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M1004" s="1" t="n"/>
      <c r="W1004" s="41" t="n"/>
      <c r="X1004" s="41" t="n"/>
      <c r="Y1004" s="41" t="n"/>
      <c r="Z1004" s="41" t="n"/>
      <c r="AA1004" s="41" t="n"/>
      <c r="AB1004" s="41" t="n"/>
      <c r="AC1004" s="41" t="n"/>
    </row>
    <row r="1005">
      <c r="E1005" s="41" t="n"/>
      <c r="F1005" s="41" t="n"/>
      <c r="G1005" s="42" t="n"/>
      <c r="J1005" s="41" t="n"/>
      <c r="K1005" s="41" t="n"/>
      <c r="L1005" s="41" t="n"/>
      <c r="M1005" s="1" t="n"/>
      <c r="W1005" s="41" t="n"/>
      <c r="X1005" s="41" t="n"/>
      <c r="Y1005" s="41" t="n"/>
      <c r="Z1005" s="41" t="n"/>
      <c r="AA1005" s="41" t="n"/>
      <c r="AB1005" s="41" t="n"/>
      <c r="AC1005" s="41" t="n"/>
    </row>
    <row r="1006">
      <c r="E1006" s="41" t="n"/>
      <c r="F1006" s="41" t="n"/>
      <c r="G1006" s="42" t="n"/>
      <c r="J1006" s="41" t="n"/>
      <c r="K1006" s="41" t="n"/>
      <c r="L1006" s="41" t="n"/>
      <c r="M1006" s="1" t="n"/>
      <c r="W1006" s="41" t="n"/>
      <c r="X1006" s="41" t="n"/>
      <c r="Y1006" s="41" t="n"/>
      <c r="Z1006" s="41" t="n"/>
      <c r="AA1006" s="41" t="n"/>
      <c r="AB1006" s="41" t="n"/>
      <c r="AC1006" s="41" t="n"/>
    </row>
    <row r="1007">
      <c r="E1007" s="41" t="n"/>
      <c r="F1007" s="41" t="n"/>
      <c r="G1007" s="42" t="n"/>
      <c r="J1007" s="41" t="n"/>
      <c r="K1007" s="41" t="n"/>
      <c r="L1007" s="41" t="n"/>
      <c r="W1007" s="41" t="n"/>
      <c r="X1007" s="41" t="n"/>
      <c r="Y1007" s="41" t="n"/>
      <c r="Z1007" s="41" t="n"/>
      <c r="AA1007" s="41" t="n"/>
      <c r="AB1007" s="41" t="n"/>
      <c r="AC1007" s="41" t="n"/>
    </row>
    <row r="1008">
      <c r="E1008" s="41" t="n"/>
      <c r="F1008" s="41" t="n"/>
      <c r="G1008" s="42" t="n"/>
      <c r="J1008" s="41" t="n"/>
      <c r="K1008" s="41" t="n"/>
      <c r="L1008" s="41" t="n"/>
      <c r="W1008" s="41" t="n"/>
      <c r="X1008" s="41" t="n"/>
      <c r="Y1008" s="41" t="n"/>
      <c r="Z1008" s="41" t="n"/>
      <c r="AA1008" s="41" t="n"/>
      <c r="AB1008" s="41" t="n"/>
      <c r="AC1008" s="41" t="n"/>
    </row>
    <row r="1009">
      <c r="E1009" s="41" t="n"/>
      <c r="F1009" s="41" t="n"/>
      <c r="G1009" s="42" t="n"/>
      <c r="J1009" s="41" t="n"/>
      <c r="K1009" s="41" t="n"/>
      <c r="L1009" s="41" t="n"/>
      <c r="W1009" s="41" t="n"/>
      <c r="X1009" s="41" t="n"/>
      <c r="Y1009" s="41" t="n"/>
      <c r="Z1009" s="41" t="n"/>
      <c r="AA1009" s="41" t="n"/>
      <c r="AB1009" s="41" t="n"/>
      <c r="AC1009" s="41" t="n"/>
    </row>
    <row r="1010">
      <c r="E1010" s="41" t="n"/>
      <c r="F1010" s="41" t="n"/>
      <c r="G1010" s="42" t="n"/>
      <c r="J1010" s="41" t="n"/>
      <c r="K1010" s="41" t="n"/>
      <c r="L1010" s="41" t="n"/>
      <c r="W1010" s="41" t="n"/>
      <c r="X1010" s="41" t="n"/>
      <c r="Y1010" s="41" t="n"/>
      <c r="Z1010" s="41" t="n"/>
      <c r="AA1010" s="41" t="n"/>
      <c r="AB1010" s="41" t="n"/>
      <c r="AC1010" s="41" t="n"/>
    </row>
    <row r="1011">
      <c r="E1011" s="41" t="n"/>
      <c r="F1011" s="41" t="n"/>
      <c r="G1011" s="42" t="n"/>
      <c r="J1011" s="41" t="n"/>
      <c r="K1011" s="41" t="n"/>
      <c r="L1011" s="41" t="n"/>
      <c r="W1011" s="41" t="n"/>
      <c r="X1011" s="41" t="n"/>
      <c r="Y1011" s="41" t="n"/>
      <c r="Z1011" s="41" t="n"/>
      <c r="AA1011" s="41" t="n"/>
      <c r="AB1011" s="41" t="n"/>
      <c r="AC1011" s="41" t="n"/>
    </row>
    <row r="1012">
      <c r="E1012" s="41" t="n"/>
      <c r="F1012" s="41" t="n"/>
      <c r="G1012" s="42" t="n"/>
      <c r="J1012" s="41" t="n"/>
      <c r="K1012" s="41" t="n"/>
      <c r="L1012" s="41" t="n"/>
      <c r="W1012" s="41" t="n"/>
      <c r="X1012" s="41" t="n"/>
      <c r="Y1012" s="41" t="n"/>
      <c r="Z1012" s="41" t="n"/>
      <c r="AA1012" s="41" t="n"/>
      <c r="AB1012" s="41" t="n"/>
      <c r="AC1012" s="41" t="n"/>
    </row>
    <row r="1013">
      <c r="E1013" s="41" t="n"/>
      <c r="F1013" s="41" t="n"/>
      <c r="G1013" s="42" t="n"/>
      <c r="J1013" s="41" t="n"/>
      <c r="K1013" s="41" t="n"/>
      <c r="L1013" s="41" t="n"/>
      <c r="W1013" s="41" t="n"/>
      <c r="X1013" s="41" t="n"/>
      <c r="Y1013" s="41" t="n"/>
      <c r="Z1013" s="41" t="n"/>
      <c r="AA1013" s="41" t="n"/>
      <c r="AB1013" s="41" t="n"/>
      <c r="AC1013" s="41" t="n"/>
    </row>
    <row r="1014">
      <c r="E1014" s="41" t="n"/>
      <c r="F1014" s="41" t="n"/>
      <c r="G1014" s="42" t="n"/>
      <c r="J1014" s="41" t="n"/>
      <c r="K1014" s="41" t="n"/>
      <c r="L1014" s="41" t="n"/>
      <c r="W1014" s="41" t="n"/>
      <c r="X1014" s="41" t="n"/>
      <c r="Y1014" s="41" t="n"/>
      <c r="Z1014" s="41" t="n"/>
      <c r="AA1014" s="41" t="n"/>
      <c r="AB1014" s="41" t="n"/>
      <c r="AC1014" s="41" t="n"/>
    </row>
    <row r="1015">
      <c r="E1015" s="41" t="n"/>
      <c r="F1015" s="41" t="n"/>
      <c r="G1015" s="42" t="n"/>
      <c r="J1015" s="41" t="n"/>
      <c r="K1015" s="41" t="n"/>
      <c r="L1015" s="41" t="n"/>
      <c r="W1015" s="41" t="n"/>
      <c r="X1015" s="41" t="n"/>
      <c r="Y1015" s="41" t="n"/>
      <c r="Z1015" s="41" t="n"/>
      <c r="AA1015" s="41" t="n"/>
      <c r="AB1015" s="41" t="n"/>
      <c r="AC1015" s="41" t="n"/>
    </row>
    <row r="1016">
      <c r="E1016" s="41" t="n"/>
      <c r="F1016" s="41" t="n"/>
      <c r="G1016" s="42" t="n"/>
      <c r="J1016" s="41" t="n"/>
      <c r="K1016" s="41" t="n"/>
      <c r="L1016" s="41" t="n"/>
      <c r="W1016" s="41" t="n"/>
      <c r="X1016" s="41" t="n"/>
      <c r="Y1016" s="41" t="n"/>
      <c r="Z1016" s="41" t="n"/>
      <c r="AA1016" s="41" t="n"/>
      <c r="AB1016" s="41" t="n"/>
      <c r="AC1016" s="41" t="n"/>
    </row>
    <row r="1017">
      <c r="E1017" s="41" t="n"/>
      <c r="F1017" s="41" t="n"/>
      <c r="G1017" s="42" t="n"/>
      <c r="J1017" s="41" t="n"/>
      <c r="K1017" s="41" t="n"/>
      <c r="L1017" s="41" t="n"/>
      <c r="W1017" s="41" t="n"/>
      <c r="X1017" s="41" t="n"/>
      <c r="Y1017" s="41" t="n"/>
      <c r="Z1017" s="41" t="n"/>
      <c r="AA1017" s="41" t="n"/>
      <c r="AB1017" s="41" t="n"/>
      <c r="AC1017" s="41" t="n"/>
    </row>
    <row r="1018">
      <c r="E1018" s="41" t="n"/>
      <c r="F1018" s="41" t="n"/>
      <c r="G1018" s="42" t="n"/>
      <c r="J1018" s="41" t="n"/>
      <c r="K1018" s="41" t="n"/>
      <c r="L1018" s="41" t="n"/>
      <c r="W1018" s="41" t="n"/>
      <c r="X1018" s="41" t="n"/>
      <c r="Y1018" s="41" t="n"/>
      <c r="Z1018" s="41" t="n"/>
      <c r="AA1018" s="41" t="n"/>
      <c r="AB1018" s="41" t="n"/>
      <c r="AC1018" s="41" t="n"/>
    </row>
    <row r="1019">
      <c r="E1019" s="41" t="n"/>
      <c r="F1019" s="41" t="n"/>
      <c r="G1019" s="42" t="n"/>
      <c r="J1019" s="41" t="n"/>
      <c r="K1019" s="41" t="n"/>
      <c r="L1019" s="41" t="n"/>
      <c r="W1019" s="41" t="n"/>
      <c r="X1019" s="41" t="n"/>
      <c r="Y1019" s="41" t="n"/>
      <c r="Z1019" s="41" t="n"/>
      <c r="AA1019" s="41" t="n"/>
      <c r="AB1019" s="41" t="n"/>
      <c r="AC1019" s="41" t="n"/>
    </row>
    <row r="1020">
      <c r="E1020" s="41" t="n"/>
      <c r="F1020" s="41" t="n"/>
      <c r="G1020" s="42" t="n"/>
      <c r="J1020" s="41" t="n"/>
      <c r="K1020" s="41" t="n"/>
      <c r="L1020" s="41" t="n"/>
      <c r="W1020" s="41" t="n"/>
      <c r="X1020" s="41" t="n"/>
      <c r="Y1020" s="41" t="n"/>
      <c r="Z1020" s="41" t="n"/>
      <c r="AA1020" s="41" t="n"/>
      <c r="AB1020" s="41" t="n"/>
      <c r="AC1020" s="41" t="n"/>
    </row>
    <row r="1021">
      <c r="E1021" s="41" t="n"/>
      <c r="F1021" s="41" t="n"/>
      <c r="G1021" s="42" t="n"/>
      <c r="J1021" s="41" t="n"/>
      <c r="K1021" s="41" t="n"/>
      <c r="L1021" s="41" t="n"/>
      <c r="W1021" s="41" t="n"/>
      <c r="X1021" s="41" t="n"/>
      <c r="Y1021" s="41" t="n"/>
      <c r="Z1021" s="41" t="n"/>
      <c r="AA1021" s="41" t="n"/>
      <c r="AB1021" s="41" t="n"/>
      <c r="AC1021" s="41" t="n"/>
    </row>
    <row r="1022">
      <c r="E1022" s="41" t="n"/>
      <c r="F1022" s="41" t="n"/>
      <c r="G1022" s="42" t="n"/>
      <c r="J1022" s="41" t="n"/>
      <c r="K1022" s="41" t="n"/>
      <c r="L1022" s="41" t="n"/>
      <c r="W1022" s="41" t="n"/>
      <c r="X1022" s="41" t="n"/>
      <c r="Y1022" s="41" t="n"/>
      <c r="Z1022" s="41" t="n"/>
      <c r="AA1022" s="41" t="n"/>
      <c r="AB1022" s="41" t="n"/>
      <c r="AC1022" s="41" t="n"/>
    </row>
    <row r="1023">
      <c r="E1023" s="41" t="n"/>
      <c r="F1023" s="41" t="n"/>
      <c r="G1023" s="42" t="n"/>
      <c r="J1023" s="41" t="n"/>
      <c r="K1023" s="41" t="n"/>
      <c r="L1023" s="41" t="n"/>
      <c r="W1023" s="41" t="n"/>
      <c r="X1023" s="41" t="n"/>
      <c r="Y1023" s="41" t="n"/>
      <c r="Z1023" s="41" t="n"/>
      <c r="AA1023" s="41" t="n"/>
      <c r="AB1023" s="41" t="n"/>
      <c r="AC1023" s="41" t="n"/>
    </row>
  </sheetData>
  <autoFilter ref="A4:AO53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6">
    <cfRule type="containsText" priority="3" operator="containsText" dxfId="0" text="DIV">
      <formula>NOT(ISERROR(SEARCH(("DIV"),(B1))))</formula>
    </cfRule>
  </conditionalFormatting>
  <conditionalFormatting sqref="C1:C976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2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2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2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2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2">
      <c r="A6" s="46" t="n"/>
      <c r="B6" s="72" t="inlineStr">
        <is>
          <t>UnRealised</t>
        </is>
      </c>
      <c r="C6" s="64" t="n"/>
      <c r="D6" s="64" t="n"/>
      <c r="E6" s="64" t="n"/>
      <c r="F6" s="64" t="n"/>
      <c r="G6" s="64" t="n"/>
      <c r="H6" s="64" t="n"/>
      <c r="I6" s="6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2">
      <c r="A8" s="47" t="inlineStr">
        <is>
          <t>All</t>
        </is>
      </c>
      <c r="B8" s="48" t="inlineStr">
        <is>
          <t>Units</t>
        </is>
      </c>
      <c r="C8" s="49">
        <f>SUM('Trading History'!$N$4:$N1002)</f>
        <v/>
      </c>
      <c r="D8" s="46" t="n"/>
      <c r="E8" s="50" t="inlineStr">
        <is>
          <t>ST Units</t>
        </is>
      </c>
      <c r="F8" s="49">
        <f>IFERROR(SUM('Trading History'!$R$4:$R1002), 0)</f>
        <v/>
      </c>
      <c r="G8" s="46" t="n"/>
      <c r="H8" s="51" t="inlineStr">
        <is>
          <t>LT Units</t>
        </is>
      </c>
      <c r="I8" s="49">
        <f>SUM('Trading History'!$V$4:$V1002)</f>
        <v/>
      </c>
      <c r="J8" s="46" t="n"/>
      <c r="K8" s="52" t="inlineStr">
        <is>
          <t>Units</t>
        </is>
      </c>
      <c r="L8" s="49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2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2">
      <c r="A10" s="53" t="n"/>
      <c r="B10" s="54" t="inlineStr">
        <is>
          <t>Gain</t>
        </is>
      </c>
      <c r="C10" s="58">
        <f>SUM('Trading History'!$L$4:$L1002)</f>
        <v/>
      </c>
      <c r="D10" s="46" t="n"/>
      <c r="E10" s="55" t="inlineStr">
        <is>
          <t>ST Gain</t>
        </is>
      </c>
      <c r="F10" s="58">
        <f>SUM('Trading History'!$P$4:$P1002)</f>
        <v/>
      </c>
      <c r="G10" s="46" t="n"/>
      <c r="H10" s="56" t="inlineStr">
        <is>
          <t>LT Gain</t>
        </is>
      </c>
      <c r="I10" s="58">
        <f>SUM('Trading History'!$T$4:$T1002)</f>
        <v/>
      </c>
      <c r="J10" s="46" t="n"/>
      <c r="K10" s="57" t="inlineStr">
        <is>
          <t>Gain</t>
        </is>
      </c>
      <c r="L10" s="58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2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2">
      <c r="A12" s="53" t="n"/>
      <c r="B12" s="54" t="inlineStr">
        <is>
          <t>Gross</t>
        </is>
      </c>
      <c r="C12" s="58">
        <f>SUM('Trading History'!$M$4:$M1002)</f>
        <v/>
      </c>
      <c r="D12" s="46" t="n"/>
      <c r="E12" s="55" t="inlineStr">
        <is>
          <t>ST Gross</t>
        </is>
      </c>
      <c r="F12" s="58">
        <f>SUM('Trading History'!$Q$4:$Q1002)</f>
        <v/>
      </c>
      <c r="G12" s="46" t="n"/>
      <c r="H12" s="56" t="inlineStr">
        <is>
          <t>LT Gross</t>
        </is>
      </c>
      <c r="I12" s="58">
        <f>SUM('Trading History'!$U$4:$U1002)</f>
        <v/>
      </c>
      <c r="J12" s="46" t="n"/>
      <c r="K12" s="57" t="inlineStr">
        <is>
          <t>Gross</t>
        </is>
      </c>
      <c r="L12" s="58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2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History'!$B18:$B1002,"DIV",'Trading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2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2">
      <c r="A15" s="47" t="n">
        <v>0.5</v>
      </c>
      <c r="B15" s="48" t="inlineStr">
        <is>
          <t>Units</t>
        </is>
      </c>
      <c r="C15" s="49">
        <f>SUMIFS('Trading History'!$N$4:$N1002, 'Trading History'!$K$4:$K1002, _xludf.CONCAT("&gt;", $A15))</f>
        <v/>
      </c>
      <c r="D15" s="46" t="n"/>
      <c r="E15" s="50" t="inlineStr">
        <is>
          <t>ST Units</t>
        </is>
      </c>
      <c r="F15" s="49">
        <f>IFERROR(SUMIFS('Trading History'!$R$4:$R1002, 'Trading History'!$O$4:$O1002, _xludf.CONCAT("&gt;", $A15)), 0)</f>
        <v/>
      </c>
      <c r="G15" s="46" t="n"/>
      <c r="H15" s="51" t="inlineStr">
        <is>
          <t>LT Units</t>
        </is>
      </c>
      <c r="I15" s="49">
        <f>SUMIFS('Trading History'!$V$4:$V1002, 'Trading History'!$S$4:$S1002, _xludf.CONCAT("&gt;", $A15))</f>
        <v/>
      </c>
      <c r="J15" s="46" t="n"/>
      <c r="K15" s="52" t="inlineStr">
        <is>
          <t>Units</t>
        </is>
      </c>
      <c r="L15" s="49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2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2">
      <c r="A17" s="1" t="n"/>
      <c r="B17" s="54" t="inlineStr">
        <is>
          <t>Gain</t>
        </is>
      </c>
      <c r="C17" s="58">
        <f>SUMIFS('Trading History'!$L$4:$L1002, 'Trading History'!$K$4:$K1002, _xludf.CONCAT("&gt;", $A15))</f>
        <v/>
      </c>
      <c r="D17" s="46" t="n"/>
      <c r="E17" s="55" t="inlineStr">
        <is>
          <t>ST Gain</t>
        </is>
      </c>
      <c r="F17" s="58">
        <f>SUMIFS('Trading History'!$P$4:$P1002, 'Trading History'!$O$4:$O1002, _xludf.CONCAT("&gt;", $A15))</f>
        <v/>
      </c>
      <c r="G17" s="46" t="n"/>
      <c r="H17" s="56" t="inlineStr">
        <is>
          <t>LT Gain</t>
        </is>
      </c>
      <c r="I17" s="58">
        <f>SUMIFS('Trading History'!$T$4:$T1002, 'Trading History'!$S$4:$S1002, _xludf.CONCAT("&gt;", $A15))</f>
        <v/>
      </c>
      <c r="J17" s="46" t="n"/>
      <c r="K17" s="57" t="inlineStr">
        <is>
          <t>Gain</t>
        </is>
      </c>
      <c r="L17" s="58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2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2">
      <c r="A19" s="1" t="n"/>
      <c r="B19" s="54" t="inlineStr">
        <is>
          <t>Gross</t>
        </is>
      </c>
      <c r="C19" s="58">
        <f>SUMIFS('Trading History'!$M$4:$M1002, 'Trading History'!$K$4:$K1002, _xludf.CONCAT("&gt;", $A15))</f>
        <v/>
      </c>
      <c r="D19" s="46" t="n"/>
      <c r="E19" s="55" t="inlineStr">
        <is>
          <t>ST Gross</t>
        </is>
      </c>
      <c r="F19" s="58">
        <f>SUMIFS('Trading History'!$Q$4:$Q1002, 'Trading History'!$O$4:$O1002, _xludf.CONCAT("&gt;", $A15))</f>
        <v/>
      </c>
      <c r="G19" s="46" t="n"/>
      <c r="H19" s="56" t="inlineStr">
        <is>
          <t>LT Gross</t>
        </is>
      </c>
      <c r="I19" s="58">
        <f>SUMIFS('Trading History'!$U$4:$U1002, 'Trading History'!$S$4:$S1002, _xludf.CONCAT("&gt;", $A15))</f>
        <v/>
      </c>
      <c r="J19" s="46" t="n"/>
      <c r="K19" s="57" t="inlineStr">
        <is>
          <t>Gross</t>
        </is>
      </c>
      <c r="L19" s="58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2">
      <c r="A22" s="47" t="n">
        <v>0.45</v>
      </c>
      <c r="B22" s="48" t="inlineStr">
        <is>
          <t>Units</t>
        </is>
      </c>
      <c r="C22" s="49">
        <f>SUMIFS('Trading History'!$N$4:$N1002, 'Trading History'!$K$4:$K1002, _xludf.CONCAT("&gt;", $A22))</f>
        <v/>
      </c>
      <c r="D22" s="46" t="n"/>
      <c r="E22" s="50" t="inlineStr">
        <is>
          <t>ST Units</t>
        </is>
      </c>
      <c r="F22" s="49">
        <f>IFERROR(SUMIFS('Trading History'!$R$4:$R1002, 'Trading History'!$O$4:$O1002, _xludf.CONCAT("&gt;", $A22)), 0)</f>
        <v/>
      </c>
      <c r="G22" s="46" t="n"/>
      <c r="H22" s="51" t="inlineStr">
        <is>
          <t>LT Units</t>
        </is>
      </c>
      <c r="I22" s="49">
        <f>SUMIFS('Trading History'!$V$4:$V1002, 'Trading History'!$S$4:$S1002, _xludf.CONCAT("&gt;", $A22))</f>
        <v/>
      </c>
      <c r="J22" s="46" t="n"/>
      <c r="K22" s="52" t="inlineStr">
        <is>
          <t>Units</t>
        </is>
      </c>
      <c r="L22" s="49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2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2">
      <c r="A24" s="1" t="n"/>
      <c r="B24" s="54" t="inlineStr">
        <is>
          <t>Gain</t>
        </is>
      </c>
      <c r="C24" s="58">
        <f>SUMIFS('Trading History'!$L$4:$L1002, 'Trading History'!$K$4:$K1002, _xludf.CONCAT("&gt;", $A22))</f>
        <v/>
      </c>
      <c r="D24" s="46" t="n"/>
      <c r="E24" s="55" t="inlineStr">
        <is>
          <t>ST Gain</t>
        </is>
      </c>
      <c r="F24" s="58">
        <f>SUMIFS('Trading History'!$P$4:$P1002, 'Trading History'!$O$4:$O1002, _xludf.CONCAT("&gt;", $A22))</f>
        <v/>
      </c>
      <c r="G24" s="46" t="n"/>
      <c r="H24" s="56" t="inlineStr">
        <is>
          <t>LT Gain</t>
        </is>
      </c>
      <c r="I24" s="58">
        <f>SUMIFS('Trading History'!$T$4:$T1002, 'Trading History'!$S$4:$S1002, _xludf.CONCAT("&gt;", $A22))</f>
        <v/>
      </c>
      <c r="J24" s="46" t="n"/>
      <c r="K24" s="57" t="inlineStr">
        <is>
          <t>Gain</t>
        </is>
      </c>
      <c r="L24" s="58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2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2">
      <c r="A26" s="1" t="n"/>
      <c r="B26" s="54" t="inlineStr">
        <is>
          <t>Gross</t>
        </is>
      </c>
      <c r="C26" s="58">
        <f>SUMIFS('Trading History'!$M$4:$M1002, 'Trading History'!$K$4:$K1002, _xludf.CONCAT("&gt;", $A22))</f>
        <v/>
      </c>
      <c r="D26" s="46" t="n"/>
      <c r="E26" s="55" t="inlineStr">
        <is>
          <t>ST Gross</t>
        </is>
      </c>
      <c r="F26" s="58">
        <f>SUMIFS('Trading History'!$Q$4:$Q1002, 'Trading History'!$O$4:$O1002, _xludf.CONCAT("&gt;", $A22))</f>
        <v/>
      </c>
      <c r="G26" s="46" t="n"/>
      <c r="H26" s="56" t="inlineStr">
        <is>
          <t>LT Gross</t>
        </is>
      </c>
      <c r="I26" s="58">
        <f>SUMIFS('Trading History'!$U$4:$U1002, 'Trading History'!$S$4:$S1002, _xludf.CONCAT("&gt;", $A22))</f>
        <v/>
      </c>
      <c r="J26" s="46" t="n"/>
      <c r="K26" s="57" t="inlineStr">
        <is>
          <t>Gross</t>
        </is>
      </c>
      <c r="L26" s="58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2">
      <c r="A29" s="47" t="n">
        <v>0.4</v>
      </c>
      <c r="B29" s="48" t="inlineStr">
        <is>
          <t>Units</t>
        </is>
      </c>
      <c r="C29" s="49">
        <f>SUMIFS('Trading History'!$N$4:$N1002, 'Trading History'!$K$4:$K1002, _xludf.CONCAT("&gt;", $A29))</f>
        <v/>
      </c>
      <c r="D29" s="46" t="n"/>
      <c r="E29" s="50" t="inlineStr">
        <is>
          <t>ST Units</t>
        </is>
      </c>
      <c r="F29" s="49">
        <f>IFERROR(SUMIFS('Trading History'!$R$4:$R1002, 'Trading History'!$O$4:$O1002, _xludf.CONCAT("&gt;", $A29)), 0)</f>
        <v/>
      </c>
      <c r="G29" s="46" t="n"/>
      <c r="H29" s="51" t="inlineStr">
        <is>
          <t>LT Units</t>
        </is>
      </c>
      <c r="I29" s="49">
        <f>SUMIFS('Trading History'!$V$4:$V1002, 'Trading History'!$S$4:$S1002, _xludf.CONCAT("&gt;", $A29))</f>
        <v/>
      </c>
      <c r="J29" s="46" t="n"/>
      <c r="K29" s="52" t="inlineStr">
        <is>
          <t>Units</t>
        </is>
      </c>
      <c r="L29" s="49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2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2">
      <c r="A31" s="1" t="n"/>
      <c r="B31" s="54" t="inlineStr">
        <is>
          <t>Gain</t>
        </is>
      </c>
      <c r="C31" s="58">
        <f>SUMIFS('Trading History'!$L$4:$L1002, 'Trading History'!$K$4:$K1002, _xludf.CONCAT("&gt;", $A29))</f>
        <v/>
      </c>
      <c r="D31" s="46" t="n"/>
      <c r="E31" s="55" t="inlineStr">
        <is>
          <t>ST Gain</t>
        </is>
      </c>
      <c r="F31" s="58">
        <f>SUMIFS('Trading History'!$P$4:$P1002, 'Trading History'!$O$4:$O1002, _xludf.CONCAT("&gt;", $A29))</f>
        <v/>
      </c>
      <c r="G31" s="46" t="n"/>
      <c r="H31" s="56" t="inlineStr">
        <is>
          <t>LT Gain</t>
        </is>
      </c>
      <c r="I31" s="58">
        <f>SUMIFS('Trading History'!$T$4:$T1002, 'Trading History'!$S$4:$S1002, _xludf.CONCAT("&gt;", $A29))</f>
        <v/>
      </c>
      <c r="J31" s="46" t="n"/>
      <c r="K31" s="57" t="inlineStr">
        <is>
          <t>Gain</t>
        </is>
      </c>
      <c r="L31" s="58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2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2">
      <c r="A33" s="1" t="n"/>
      <c r="B33" s="54" t="inlineStr">
        <is>
          <t>Gross</t>
        </is>
      </c>
      <c r="C33" s="58">
        <f>SUMIFS('Trading History'!$M$4:$M1002, 'Trading History'!$K$4:$K1002, _xludf.CONCAT("&gt;", $A29))</f>
        <v/>
      </c>
      <c r="D33" s="46" t="n"/>
      <c r="E33" s="55" t="inlineStr">
        <is>
          <t>ST Gross</t>
        </is>
      </c>
      <c r="F33" s="58">
        <f>SUMIFS('Trading History'!$Q$4:$Q1002, 'Trading History'!$O$4:$O1002, _xludf.CONCAT("&gt;", $A29))</f>
        <v/>
      </c>
      <c r="G33" s="46" t="n"/>
      <c r="H33" s="56" t="inlineStr">
        <is>
          <t>LT Gross</t>
        </is>
      </c>
      <c r="I33" s="58">
        <f>SUMIFS('Trading History'!$U$4:$U1002, 'Trading History'!$S$4:$S1002, _xludf.CONCAT("&gt;", $A29))</f>
        <v/>
      </c>
      <c r="J33" s="46" t="n"/>
      <c r="K33" s="57" t="inlineStr">
        <is>
          <t>Gross</t>
        </is>
      </c>
      <c r="L33" s="58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2">
      <c r="A36" s="47" t="n">
        <v>0.35</v>
      </c>
      <c r="B36" s="48" t="inlineStr">
        <is>
          <t>Units</t>
        </is>
      </c>
      <c r="C36" s="49">
        <f>SUMIFS('Trading History'!$N$4:$N1002, 'Trading History'!$K$4:$K1002, _xludf.CONCAT("&gt;", $A36))</f>
        <v/>
      </c>
      <c r="D36" s="46" t="n"/>
      <c r="E36" s="50" t="inlineStr">
        <is>
          <t>ST Units</t>
        </is>
      </c>
      <c r="F36" s="49">
        <f>IFERROR(SUMIFS('Trading History'!$R$4:$R1002, 'Trading History'!$O$4:$O1002, _xludf.CONCAT("&gt;", $A36)), 0)</f>
        <v/>
      </c>
      <c r="G36" s="46" t="n"/>
      <c r="H36" s="51" t="inlineStr">
        <is>
          <t>LT Units</t>
        </is>
      </c>
      <c r="I36" s="49">
        <f>SUMIFS('Trading History'!$V$4:$V1002, 'Trading History'!$S$4:$S1002, _xludf.CONCAT("&gt;", $A36))</f>
        <v/>
      </c>
      <c r="J36" s="46" t="n"/>
      <c r="K36" s="52" t="inlineStr">
        <is>
          <t>Units</t>
        </is>
      </c>
      <c r="L36" s="49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2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2">
      <c r="A38" s="1" t="n"/>
      <c r="B38" s="54" t="inlineStr">
        <is>
          <t>Gain</t>
        </is>
      </c>
      <c r="C38" s="58">
        <f>SUMIFS('Trading History'!$L$4:$L1002, 'Trading History'!$K$4:$K1002, _xludf.CONCAT("&gt;", $A36))</f>
        <v/>
      </c>
      <c r="D38" s="46" t="n"/>
      <c r="E38" s="55" t="inlineStr">
        <is>
          <t>ST Gain</t>
        </is>
      </c>
      <c r="F38" s="58">
        <f>SUMIFS('Trading History'!$P$4:$P1002, 'Trading History'!$O$4:$O1002, _xludf.CONCAT("&gt;", $A36))</f>
        <v/>
      </c>
      <c r="G38" s="46" t="n"/>
      <c r="H38" s="56" t="inlineStr">
        <is>
          <t>LT Gain</t>
        </is>
      </c>
      <c r="I38" s="58">
        <f>SUMIFS('Trading History'!$T$4:$T1002, 'Trading History'!$S$4:$S1002, _xludf.CONCAT("&gt;", $A36))</f>
        <v/>
      </c>
      <c r="J38" s="46" t="n"/>
      <c r="K38" s="57" t="inlineStr">
        <is>
          <t>Gain</t>
        </is>
      </c>
      <c r="L38" s="58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2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2">
      <c r="A40" s="1" t="n"/>
      <c r="B40" s="54" t="inlineStr">
        <is>
          <t>Gross</t>
        </is>
      </c>
      <c r="C40" s="58">
        <f>SUMIFS('Trading History'!$M$4:$M1002, 'Trading History'!$K$4:$K1002, _xludf.CONCAT("&gt;", $A36))</f>
        <v/>
      </c>
      <c r="D40" s="46" t="n"/>
      <c r="E40" s="55" t="inlineStr">
        <is>
          <t>ST Gross</t>
        </is>
      </c>
      <c r="F40" s="58">
        <f>SUMIFS('Trading History'!$Q$4:$Q1002, 'Trading History'!$O$4:$O1002, _xludf.CONCAT("&gt;", $A36))</f>
        <v/>
      </c>
      <c r="G40" s="46" t="n"/>
      <c r="H40" s="56" t="inlineStr">
        <is>
          <t>LT Gross</t>
        </is>
      </c>
      <c r="I40" s="58">
        <f>SUMIFS('Trading History'!$U$4:$U1002, 'Trading History'!$S$4:$S1002, _xludf.CONCAT("&gt;", $A36))</f>
        <v/>
      </c>
      <c r="J40" s="46" t="n"/>
      <c r="K40" s="57" t="inlineStr">
        <is>
          <t>Gross</t>
        </is>
      </c>
      <c r="L40" s="58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2">
      <c r="A43" s="47" t="n">
        <v>0.3</v>
      </c>
      <c r="B43" s="48" t="inlineStr">
        <is>
          <t>Units</t>
        </is>
      </c>
      <c r="C43" s="49">
        <f>SUMIFS('Trading History'!$N$4:$N1002, 'Trading History'!$K$4:$K1002, _xludf.CONCAT("&gt;", $A43))</f>
        <v/>
      </c>
      <c r="D43" s="46" t="n"/>
      <c r="E43" s="50" t="inlineStr">
        <is>
          <t>ST Units</t>
        </is>
      </c>
      <c r="F43" s="49">
        <f>IFERROR(SUMIFS('Trading History'!$R$4:$R1002, 'Trading History'!$O$4:$O1002, _xludf.CONCAT("&gt;", $A43)), 0)</f>
        <v/>
      </c>
      <c r="G43" s="46" t="n"/>
      <c r="H43" s="51" t="inlineStr">
        <is>
          <t>LT Units</t>
        </is>
      </c>
      <c r="I43" s="49">
        <f>SUMIFS('Trading History'!$V$4:$V1002, 'Trading History'!$S$4:$S1002, _xludf.CONCAT("&gt;", $A43))</f>
        <v/>
      </c>
      <c r="J43" s="46" t="n"/>
      <c r="K43" s="52" t="inlineStr">
        <is>
          <t>Units</t>
        </is>
      </c>
      <c r="L43" s="49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2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2">
      <c r="A45" s="1" t="n"/>
      <c r="B45" s="54" t="inlineStr">
        <is>
          <t>Gain</t>
        </is>
      </c>
      <c r="C45" s="58">
        <f>SUMIFS('Trading History'!$L$4:$L1002, 'Trading History'!$K$4:$K1002, _xludf.CONCAT("&gt;", $A43))</f>
        <v/>
      </c>
      <c r="D45" s="46" t="n"/>
      <c r="E45" s="55" t="inlineStr">
        <is>
          <t>ST Gain</t>
        </is>
      </c>
      <c r="F45" s="58">
        <f>SUMIFS('Trading History'!$P$4:$P1002, 'Trading History'!$O$4:$O1002, _xludf.CONCAT("&gt;", $A43))</f>
        <v/>
      </c>
      <c r="G45" s="46" t="n"/>
      <c r="H45" s="56" t="inlineStr">
        <is>
          <t>LT Gain</t>
        </is>
      </c>
      <c r="I45" s="58">
        <f>SUMIFS('Trading History'!$T$4:$T1002, 'Trading History'!$S$4:$S1002, _xludf.CONCAT("&gt;", $A43))</f>
        <v/>
      </c>
      <c r="J45" s="46" t="n"/>
      <c r="K45" s="57" t="inlineStr">
        <is>
          <t>Gain</t>
        </is>
      </c>
      <c r="L45" s="58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2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2">
      <c r="A47" s="1" t="n"/>
      <c r="B47" s="54" t="inlineStr">
        <is>
          <t>Gross</t>
        </is>
      </c>
      <c r="C47" s="58">
        <f>SUMIFS('Trading History'!$M$4:$M1002, 'Trading History'!$K$4:$K1002, _xludf.CONCAT("&gt;", $A43))</f>
        <v/>
      </c>
      <c r="D47" s="46" t="n"/>
      <c r="E47" s="55" t="inlineStr">
        <is>
          <t>ST Gross</t>
        </is>
      </c>
      <c r="F47" s="58">
        <f>SUMIFS('Trading History'!$Q$4:$Q1002, 'Trading History'!$O$4:$O1002, _xludf.CONCAT("&gt;", $A43))</f>
        <v/>
      </c>
      <c r="G47" s="46" t="n"/>
      <c r="H47" s="56" t="inlineStr">
        <is>
          <t>LT Gross</t>
        </is>
      </c>
      <c r="I47" s="58">
        <f>SUMIFS('Trading History'!$U$4:$U1002, 'Trading History'!$S$4:$S1002, _xludf.CONCAT("&gt;", $A43))</f>
        <v/>
      </c>
      <c r="J47" s="46" t="n"/>
      <c r="K47" s="57" t="inlineStr">
        <is>
          <t>Gross</t>
        </is>
      </c>
      <c r="L47" s="58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2">
      <c r="A50" s="47" t="n">
        <v>0.25</v>
      </c>
      <c r="B50" s="48" t="inlineStr">
        <is>
          <t>Units</t>
        </is>
      </c>
      <c r="C50" s="49">
        <f>SUMIFS('Trading History'!$N$4:$N1002, 'Trading History'!$K$4:$K1002, _xludf.CONCAT("&gt;", $A50))</f>
        <v/>
      </c>
      <c r="D50" s="46" t="n"/>
      <c r="E50" s="50" t="inlineStr">
        <is>
          <t>ST Units</t>
        </is>
      </c>
      <c r="F50" s="49">
        <f>IFERROR(SUMIFS('Trading History'!$R$4:$R1002, 'Trading History'!$O$4:$O1002, _xludf.CONCAT("&gt;", $A50)), 0)</f>
        <v/>
      </c>
      <c r="G50" s="46" t="n"/>
      <c r="H50" s="51" t="inlineStr">
        <is>
          <t>LT Units</t>
        </is>
      </c>
      <c r="I50" s="49">
        <f>SUMIFS('Trading History'!$V$4:$V1002, 'Trading History'!$S$4:$S1002, _xludf.CONCAT("&gt;", $A50))</f>
        <v/>
      </c>
      <c r="J50" s="46" t="n"/>
      <c r="K50" s="52" t="inlineStr">
        <is>
          <t>Units</t>
        </is>
      </c>
      <c r="L50" s="49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2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2">
      <c r="A52" s="1" t="n"/>
      <c r="B52" s="54" t="inlineStr">
        <is>
          <t>Gain</t>
        </is>
      </c>
      <c r="C52" s="58">
        <f>SUMIFS('Trading History'!$L$4:$L1002, 'Trading History'!$K$4:$K1002, _xludf.CONCAT("&gt;", $A50))</f>
        <v/>
      </c>
      <c r="D52" s="46" t="n"/>
      <c r="E52" s="55" t="inlineStr">
        <is>
          <t>ST Gain</t>
        </is>
      </c>
      <c r="F52" s="58">
        <f>SUMIFS('Trading History'!$P$4:$P1002, 'Trading History'!$O$4:$O1002, _xludf.CONCAT("&gt;", $A50))</f>
        <v/>
      </c>
      <c r="G52" s="46" t="n"/>
      <c r="H52" s="56" t="inlineStr">
        <is>
          <t>LT Gain</t>
        </is>
      </c>
      <c r="I52" s="58">
        <f>SUMIFS('Trading History'!$T$4:$T1002, 'Trading History'!$S$4:$S1002, _xludf.CONCAT("&gt;", $A50))</f>
        <v/>
      </c>
      <c r="J52" s="46" t="n"/>
      <c r="K52" s="57" t="inlineStr">
        <is>
          <t>Gain</t>
        </is>
      </c>
      <c r="L52" s="58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2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2">
      <c r="A54" s="1" t="n"/>
      <c r="B54" s="54" t="inlineStr">
        <is>
          <t>Gross</t>
        </is>
      </c>
      <c r="C54" s="58">
        <f>SUMIFS('Trading History'!$M$4:$M1002, 'Trading History'!$K$4:$K1002, _xludf.CONCAT("&gt;", $A50))</f>
        <v/>
      </c>
      <c r="D54" s="46" t="n"/>
      <c r="E54" s="55" t="inlineStr">
        <is>
          <t>ST Gross</t>
        </is>
      </c>
      <c r="F54" s="58">
        <f>SUMIFS('Trading History'!$Q$4:$Q1002, 'Trading History'!$O$4:$O1002, _xludf.CONCAT("&gt;", $A50))</f>
        <v/>
      </c>
      <c r="G54" s="46" t="n"/>
      <c r="H54" s="56" t="inlineStr">
        <is>
          <t>LT Gross</t>
        </is>
      </c>
      <c r="I54" s="58">
        <f>SUMIFS('Trading History'!$U$4:$U1002, 'Trading History'!$S$4:$S1002, _xludf.CONCAT("&gt;", $A50))</f>
        <v/>
      </c>
      <c r="J54" s="46" t="n"/>
      <c r="K54" s="57" t="inlineStr">
        <is>
          <t>Gross</t>
        </is>
      </c>
      <c r="L54" s="58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2">
      <c r="A57" s="47" t="n">
        <v>0.2</v>
      </c>
      <c r="B57" s="48" t="inlineStr">
        <is>
          <t>Units</t>
        </is>
      </c>
      <c r="C57" s="49">
        <f>SUMIFS('Trading History'!$N$4:$N1002, 'Trading History'!$K$4:$K1002, _xludf.CONCAT("&gt;", $A57))</f>
        <v/>
      </c>
      <c r="D57" s="46" t="n"/>
      <c r="E57" s="50" t="inlineStr">
        <is>
          <t>ST Units</t>
        </is>
      </c>
      <c r="F57" s="49">
        <f>IFERROR(SUMIFS('Trading History'!$R$4:$R1002, 'Trading History'!$O$4:$O1002, _xludf.CONCAT("&gt;", $A57)), 0)</f>
        <v/>
      </c>
      <c r="G57" s="46" t="n"/>
      <c r="H57" s="51" t="inlineStr">
        <is>
          <t>LT Units</t>
        </is>
      </c>
      <c r="I57" s="49">
        <f>SUMIFS('Trading History'!$V$4:$V1002, 'Trading History'!$S$4:$S1002, _xludf.CONCAT("&gt;", $A57))</f>
        <v/>
      </c>
      <c r="J57" s="46" t="n"/>
      <c r="K57" s="52" t="inlineStr">
        <is>
          <t>Units</t>
        </is>
      </c>
      <c r="L57" s="49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2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2">
      <c r="A59" s="1" t="n"/>
      <c r="B59" s="54" t="inlineStr">
        <is>
          <t>Gain</t>
        </is>
      </c>
      <c r="C59" s="58">
        <f>SUMIFS('Trading History'!$L$4:$L1002, 'Trading History'!$K$4:$K1002, _xludf.CONCAT("&gt;", $A57))</f>
        <v/>
      </c>
      <c r="D59" s="46" t="n"/>
      <c r="E59" s="55" t="inlineStr">
        <is>
          <t>ST Gain</t>
        </is>
      </c>
      <c r="F59" s="58">
        <f>SUMIFS('Trading History'!$P$4:$P1002, 'Trading History'!$O$4:$O1002, _xludf.CONCAT("&gt;", $A57))</f>
        <v/>
      </c>
      <c r="G59" s="46" t="n"/>
      <c r="H59" s="56" t="inlineStr">
        <is>
          <t>LT Gain</t>
        </is>
      </c>
      <c r="I59" s="58">
        <f>SUMIFS('Trading History'!$T$4:$T1002, 'Trading History'!$S$4:$S1002, _xludf.CONCAT("&gt;", $A57))</f>
        <v/>
      </c>
      <c r="J59" s="46" t="n"/>
      <c r="K59" s="57" t="inlineStr">
        <is>
          <t>Gain</t>
        </is>
      </c>
      <c r="L59" s="58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2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2">
      <c r="A61" s="1" t="n"/>
      <c r="B61" s="54" t="inlineStr">
        <is>
          <t>Gross</t>
        </is>
      </c>
      <c r="C61" s="58">
        <f>SUMIFS('Trading History'!$M$4:$M1002, 'Trading History'!$K$4:$K1002, _xludf.CONCAT("&gt;", $A57))</f>
        <v/>
      </c>
      <c r="D61" s="46" t="n"/>
      <c r="E61" s="55" t="inlineStr">
        <is>
          <t>ST Gross</t>
        </is>
      </c>
      <c r="F61" s="58">
        <f>SUMIFS('Trading History'!$Q$4:$Q1002, 'Trading History'!$O$4:$O1002, _xludf.CONCAT("&gt;", $A57))</f>
        <v/>
      </c>
      <c r="G61" s="46" t="n"/>
      <c r="H61" s="56" t="inlineStr">
        <is>
          <t>LT Gross</t>
        </is>
      </c>
      <c r="I61" s="58">
        <f>SUMIFS('Trading History'!$U$4:$U1002, 'Trading History'!$S$4:$S1002, _xludf.CONCAT("&gt;", $A57))</f>
        <v/>
      </c>
      <c r="J61" s="46" t="n"/>
      <c r="K61" s="57" t="inlineStr">
        <is>
          <t>Gross</t>
        </is>
      </c>
      <c r="L61" s="58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2">
      <c r="A64" s="47" t="n">
        <v>0.15</v>
      </c>
      <c r="B64" s="48" t="inlineStr">
        <is>
          <t>Units</t>
        </is>
      </c>
      <c r="C64" s="49">
        <f>SUMIFS('Trading History'!$N$4:$N1002, 'Trading History'!$K$4:$K1002, _xludf.CONCAT("&gt;", $A64))</f>
        <v/>
      </c>
      <c r="D64" s="46" t="n"/>
      <c r="E64" s="50" t="inlineStr">
        <is>
          <t>ST Units</t>
        </is>
      </c>
      <c r="F64" s="49">
        <f>IFERROR(SUMIFS('Trading History'!$R$4:$R1002, 'Trading History'!$O$4:$O1002, _xludf.CONCAT("&gt;", $A64)), 0)</f>
        <v/>
      </c>
      <c r="G64" s="46" t="n"/>
      <c r="H64" s="51" t="inlineStr">
        <is>
          <t>LT Units</t>
        </is>
      </c>
      <c r="I64" s="49">
        <f>SUMIFS('Trading History'!$V$4:$V1002, 'Trading History'!$S$4:$S1002, _xludf.CONCAT("&gt;", $A64))</f>
        <v/>
      </c>
      <c r="J64" s="46" t="n"/>
      <c r="K64" s="52" t="inlineStr">
        <is>
          <t>Units</t>
        </is>
      </c>
      <c r="L64" s="49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2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2">
      <c r="A66" s="1" t="n"/>
      <c r="B66" s="54" t="inlineStr">
        <is>
          <t>Gain</t>
        </is>
      </c>
      <c r="C66" s="58">
        <f>SUMIFS('Trading History'!$L$4:$L1002, 'Trading History'!$K$4:$K1002, _xludf.CONCAT("&gt;", $A64))</f>
        <v/>
      </c>
      <c r="D66" s="46" t="n"/>
      <c r="E66" s="55" t="inlineStr">
        <is>
          <t>ST Gain</t>
        </is>
      </c>
      <c r="F66" s="58">
        <f>SUMIFS('Trading History'!$P$4:$P1002, 'Trading History'!$O$4:$O1002, _xludf.CONCAT("&gt;", $A64))</f>
        <v/>
      </c>
      <c r="G66" s="46" t="n"/>
      <c r="H66" s="56" t="inlineStr">
        <is>
          <t>LT Gain</t>
        </is>
      </c>
      <c r="I66" s="58">
        <f>SUMIFS('Trading History'!$T$4:$T1002, 'Trading History'!$S$4:$S1002, _xludf.CONCAT("&gt;", $A64))</f>
        <v/>
      </c>
      <c r="J66" s="46" t="n"/>
      <c r="K66" s="57" t="inlineStr">
        <is>
          <t>Gain</t>
        </is>
      </c>
      <c r="L66" s="58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2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2">
      <c r="A68" s="1" t="n"/>
      <c r="B68" s="54" t="inlineStr">
        <is>
          <t>Gross</t>
        </is>
      </c>
      <c r="C68" s="58">
        <f>SUMIFS('Trading History'!$M$4:$M1002, 'Trading History'!$K$4:$K1002, _xludf.CONCAT("&gt;", $A64))</f>
        <v/>
      </c>
      <c r="D68" s="46" t="n"/>
      <c r="E68" s="55" t="inlineStr">
        <is>
          <t>ST Gross</t>
        </is>
      </c>
      <c r="F68" s="58">
        <f>SUMIFS('Trading History'!$Q$4:$Q1002, 'Trading History'!$O$4:$O1002, _xludf.CONCAT("&gt;", $A64))</f>
        <v/>
      </c>
      <c r="G68" s="46" t="n"/>
      <c r="H68" s="56" t="inlineStr">
        <is>
          <t>LT Gross</t>
        </is>
      </c>
      <c r="I68" s="58">
        <f>SUMIFS('Trading History'!$U$4:$U1002, 'Trading History'!$S$4:$S1002, _xludf.CONCAT("&gt;", $A64))</f>
        <v/>
      </c>
      <c r="J68" s="46" t="n"/>
      <c r="K68" s="57" t="inlineStr">
        <is>
          <t>Gross</t>
        </is>
      </c>
      <c r="L68" s="58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2">
      <c r="A71" s="47" t="n">
        <v>0.1</v>
      </c>
      <c r="B71" s="48" t="inlineStr">
        <is>
          <t>Units</t>
        </is>
      </c>
      <c r="C71" s="49">
        <f>SUMIFS('Trading History'!$N$4:$N1002, 'Trading History'!$K$4:$K1002, _xludf.CONCAT("&gt;", $A71))</f>
        <v/>
      </c>
      <c r="D71" s="46" t="n"/>
      <c r="E71" s="50" t="inlineStr">
        <is>
          <t>ST Units</t>
        </is>
      </c>
      <c r="F71" s="49">
        <f>IFERROR(SUMIFS('Trading History'!$R$4:$R1002, 'Trading History'!$O$4:$O1002, _xludf.CONCAT("&gt;", $A71)), 0)</f>
        <v/>
      </c>
      <c r="G71" s="46" t="n"/>
      <c r="H71" s="51" t="inlineStr">
        <is>
          <t>LT Units</t>
        </is>
      </c>
      <c r="I71" s="49">
        <f>SUMIFS('Trading History'!$V$4:$V1002, 'Trading History'!$S$4:$S1002, _xludf.CONCAT("&gt;", $A71))</f>
        <v/>
      </c>
      <c r="J71" s="46" t="n"/>
      <c r="K71" s="52" t="inlineStr">
        <is>
          <t>Units</t>
        </is>
      </c>
      <c r="L71" s="49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2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2">
      <c r="A73" s="1" t="n"/>
      <c r="B73" s="54" t="inlineStr">
        <is>
          <t>Gain</t>
        </is>
      </c>
      <c r="C73" s="58">
        <f>SUMIFS('Trading History'!$L$4:$L1002, 'Trading History'!$K$4:$K1002, _xludf.CONCAT("&gt;", $A71))</f>
        <v/>
      </c>
      <c r="D73" s="46" t="n"/>
      <c r="E73" s="55" t="inlineStr">
        <is>
          <t>ST Gain</t>
        </is>
      </c>
      <c r="F73" s="58">
        <f>SUMIFS('Trading History'!$P$4:$P1002, 'Trading History'!$O$4:$O1002, _xludf.CONCAT("&gt;", $A71))</f>
        <v/>
      </c>
      <c r="G73" s="46" t="n"/>
      <c r="H73" s="56" t="inlineStr">
        <is>
          <t>LT Gain</t>
        </is>
      </c>
      <c r="I73" s="58">
        <f>SUMIFS('Trading History'!$T$4:$T1002, 'Trading History'!$S$4:$S1002, _xludf.CONCAT("&gt;", $A71))</f>
        <v/>
      </c>
      <c r="J73" s="46" t="n"/>
      <c r="K73" s="57" t="inlineStr">
        <is>
          <t>Gain</t>
        </is>
      </c>
      <c r="L73" s="58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2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2">
      <c r="A75" s="1" t="n"/>
      <c r="B75" s="54" t="inlineStr">
        <is>
          <t>Gross</t>
        </is>
      </c>
      <c r="C75" s="58">
        <f>SUMIFS('Trading History'!$M$4:$M1002, 'Trading History'!$K$4:$K1002, _xludf.CONCAT("&gt;", $A71))</f>
        <v/>
      </c>
      <c r="D75" s="46" t="n"/>
      <c r="E75" s="55" t="inlineStr">
        <is>
          <t>ST Gross</t>
        </is>
      </c>
      <c r="F75" s="58">
        <f>SUMIFS('Trading History'!$Q$4:$Q1002, 'Trading History'!$O$4:$O1002, _xludf.CONCAT("&gt;", $A71))</f>
        <v/>
      </c>
      <c r="G75" s="46" t="n"/>
      <c r="H75" s="56" t="inlineStr">
        <is>
          <t>LT Gross</t>
        </is>
      </c>
      <c r="I75" s="58">
        <f>SUMIFS('Trading History'!$U$4:$U1002, 'Trading History'!$S$4:$S1002, _xludf.CONCAT("&gt;", $A71))</f>
        <v/>
      </c>
      <c r="J75" s="46" t="n"/>
      <c r="K75" s="57" t="inlineStr">
        <is>
          <t>Gross</t>
        </is>
      </c>
      <c r="L75" s="58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2">
      <c r="A78" s="47" t="n">
        <v>0.05</v>
      </c>
      <c r="B78" s="48" t="inlineStr">
        <is>
          <t>Units</t>
        </is>
      </c>
      <c r="C78" s="49">
        <f>SUMIFS('Trading History'!$N$4:$N1002, 'Trading History'!$K$4:$K1002, _xludf.CONCAT("&gt;", $A78))</f>
        <v/>
      </c>
      <c r="D78" s="46" t="n"/>
      <c r="E78" s="50" t="inlineStr">
        <is>
          <t>ST Units</t>
        </is>
      </c>
      <c r="F78" s="49">
        <f>IFERROR(SUMIFS('Trading History'!$R$4:$R1002, 'Trading History'!$O$4:$O1002, _xludf.CONCAT("&gt;", $A78)), 0)</f>
        <v/>
      </c>
      <c r="G78" s="46" t="n"/>
      <c r="H78" s="51" t="inlineStr">
        <is>
          <t>LT Units</t>
        </is>
      </c>
      <c r="I78" s="49">
        <f>SUMIFS('Trading History'!$V$4:$V1002, 'Trading History'!$S$4:$S1002, _xludf.CONCAT("&gt;", $A78))</f>
        <v/>
      </c>
      <c r="J78" s="46" t="n"/>
      <c r="K78" s="52" t="inlineStr">
        <is>
          <t>Units</t>
        </is>
      </c>
      <c r="L78" s="49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2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2">
      <c r="A80" s="1" t="n"/>
      <c r="B80" s="54" t="inlineStr">
        <is>
          <t>Gain</t>
        </is>
      </c>
      <c r="C80" s="58">
        <f>SUMIFS('Trading History'!$L$4:$L1002, 'Trading History'!$K$4:$K1002, _xludf.CONCAT("&gt;", $A78))</f>
        <v/>
      </c>
      <c r="D80" s="46" t="n"/>
      <c r="E80" s="55" t="inlineStr">
        <is>
          <t>ST Gain</t>
        </is>
      </c>
      <c r="F80" s="58">
        <f>SUMIFS('Trading History'!$P$4:$P1002, 'Trading History'!$O$4:$O1002, _xludf.CONCAT("&gt;", $A78))</f>
        <v/>
      </c>
      <c r="G80" s="46" t="n"/>
      <c r="H80" s="56" t="inlineStr">
        <is>
          <t>LT Gain</t>
        </is>
      </c>
      <c r="I80" s="58">
        <f>SUMIFS('Trading History'!$T$4:$T1002, 'Trading History'!$S$4:$S1002, _xludf.CONCAT("&gt;", $A78))</f>
        <v/>
      </c>
      <c r="J80" s="46" t="n"/>
      <c r="K80" s="57" t="inlineStr">
        <is>
          <t>Gain</t>
        </is>
      </c>
      <c r="L80" s="58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2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2">
      <c r="A82" s="1" t="n"/>
      <c r="B82" s="54" t="inlineStr">
        <is>
          <t>Gross</t>
        </is>
      </c>
      <c r="C82" s="58">
        <f>SUMIFS('Trading History'!$M$4:$M1002, 'Trading History'!$K$4:$K1002, _xludf.CONCAT("&gt;", $A78))</f>
        <v/>
      </c>
      <c r="D82" s="46" t="n"/>
      <c r="E82" s="55" t="inlineStr">
        <is>
          <t>ST Gross</t>
        </is>
      </c>
      <c r="F82" s="58">
        <f>SUMIFS('Trading History'!$Q$4:$Q1002, 'Trading History'!$O$4:$O1002, _xludf.CONCAT("&gt;", $A78))</f>
        <v/>
      </c>
      <c r="G82" s="46" t="n"/>
      <c r="H82" s="56" t="inlineStr">
        <is>
          <t>LT Gross</t>
        </is>
      </c>
      <c r="I82" s="58">
        <f>SUMIFS('Trading History'!$U$4:$U1002, 'Trading History'!$S$4:$S1002, _xludf.CONCAT("&gt;", $A78))</f>
        <v/>
      </c>
      <c r="J82" s="46" t="n"/>
      <c r="K82" s="57" t="inlineStr">
        <is>
          <t>Gross</t>
        </is>
      </c>
      <c r="L82" s="58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2">
      <c r="A85" s="47" t="n">
        <v>0</v>
      </c>
      <c r="B85" s="48" t="inlineStr">
        <is>
          <t>Units</t>
        </is>
      </c>
      <c r="C85" s="49">
        <f>SUMIFS('Trading History'!$N$4:$N1002, 'Trading History'!$K$4:$K1002, _xludf.CONCAT("&gt;", $A85))</f>
        <v/>
      </c>
      <c r="D85" s="46" t="n"/>
      <c r="E85" s="50" t="inlineStr">
        <is>
          <t>ST Units</t>
        </is>
      </c>
      <c r="F85" s="49">
        <f>IFERROR(SUMIFS('Trading History'!$R$4:$R1002, 'Trading History'!$O$4:$O1002, _xludf.CONCAT("&gt;", $A85)), 0)</f>
        <v/>
      </c>
      <c r="G85" s="46" t="n"/>
      <c r="H85" s="51" t="inlineStr">
        <is>
          <t>LT Units</t>
        </is>
      </c>
      <c r="I85" s="49">
        <f>SUMIFS('Trading History'!$V$4:$V1002, 'Trading History'!$S$4:$S1002, _xludf.CONCAT("&gt;", $A85))</f>
        <v/>
      </c>
      <c r="J85" s="46" t="n"/>
      <c r="K85" s="52" t="inlineStr">
        <is>
          <t>Units</t>
        </is>
      </c>
      <c r="L85" s="49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2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2">
      <c r="A87" s="1" t="n"/>
      <c r="B87" s="54" t="inlineStr">
        <is>
          <t>Gain</t>
        </is>
      </c>
      <c r="C87" s="58">
        <f>SUMIFS('Trading History'!$L$4:$L1002, 'Trading History'!$K$4:$K1002, _xludf.CONCAT("&gt;", $A85))</f>
        <v/>
      </c>
      <c r="D87" s="46" t="n"/>
      <c r="E87" s="55" t="inlineStr">
        <is>
          <t>ST Gain</t>
        </is>
      </c>
      <c r="F87" s="58">
        <f>SUMIFS('Trading History'!$P$4:$P1002, 'Trading History'!$O$4:$O1002, _xludf.CONCAT("&gt;", $A85))</f>
        <v/>
      </c>
      <c r="G87" s="46" t="n"/>
      <c r="H87" s="56" t="inlineStr">
        <is>
          <t>LT Gain</t>
        </is>
      </c>
      <c r="I87" s="58">
        <f>SUMIFS('Trading History'!$T$4:$T1002, 'Trading History'!$S$4:$S1002, _xludf.CONCAT("&gt;", $A85))</f>
        <v/>
      </c>
      <c r="J87" s="46" t="n"/>
      <c r="K87" s="57" t="inlineStr">
        <is>
          <t>Gain</t>
        </is>
      </c>
      <c r="L87" s="58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2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2">
      <c r="A89" s="1" t="n"/>
      <c r="B89" s="54" t="inlineStr">
        <is>
          <t>Gross</t>
        </is>
      </c>
      <c r="C89" s="58">
        <f>SUMIFS('Trading History'!$M$4:$M1002, 'Trading History'!$K$4:$K1002, _xludf.CONCAT("&gt;", $A85))</f>
        <v/>
      </c>
      <c r="D89" s="46" t="n"/>
      <c r="E89" s="55" t="inlineStr">
        <is>
          <t>ST Gross</t>
        </is>
      </c>
      <c r="F89" s="58">
        <f>SUMIFS('Trading History'!$Q$4:$Q1002, 'Trading History'!$O$4:$O1002, _xludf.CONCAT("&gt;", $A85))</f>
        <v/>
      </c>
      <c r="G89" s="46" t="n"/>
      <c r="H89" s="56" t="inlineStr">
        <is>
          <t>LT Gross</t>
        </is>
      </c>
      <c r="I89" s="58">
        <f>SUMIFS('Trading History'!$U$4:$U1002, 'Trading History'!$S$4:$S1002, _xludf.CONCAT("&gt;", $A85))</f>
        <v/>
      </c>
      <c r="J89" s="46" t="n"/>
      <c r="K89" s="57" t="inlineStr">
        <is>
          <t>Gross</t>
        </is>
      </c>
      <c r="L89" s="58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2026-02-12T00:13:50Z</dcterms:modified>
  <cp:lastModifiedBy>Lenin Soundararajan Vijaya</cp:lastModifiedBy>
</cp:coreProperties>
</file>