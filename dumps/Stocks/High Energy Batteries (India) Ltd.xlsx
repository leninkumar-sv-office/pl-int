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History'!$A$4:$AO$53</definedName>
    <definedName name="_xlnm._FilterDatabase" localSheetId="0" hidden="1">'Trading History'!$A$4:$AO$53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7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/>
  <cols>
    <col width="10.83203125" customWidth="1" style="62" min="1" max="1"/>
    <col width="8.1640625" customWidth="1" style="62" min="2" max="2"/>
    <col width="9.83203125" customWidth="1" style="62" min="3" max="3"/>
    <col width="6.83203125" customWidth="1" style="62" min="4" max="4"/>
    <col width="8.6640625" customWidth="1" style="62" min="5" max="5"/>
    <col width="9.1640625" customWidth="1" style="62" min="6" max="6"/>
    <col width="6.5" customWidth="1" style="62" min="7" max="7"/>
    <col width="6.6640625" customWidth="1" style="62" min="8" max="8"/>
    <col width="12.5" customWidth="1" style="62" min="9" max="9"/>
    <col width="14" customWidth="1" style="62" min="10" max="10"/>
    <col width="10.1640625" customWidth="1" style="62" min="11" max="12"/>
    <col width="9.1640625" customWidth="1" style="62" min="13" max="13"/>
    <col width="7.6640625" customWidth="1" style="62" min="14" max="14"/>
    <col width="9.6640625" customWidth="1" style="62" min="15" max="16"/>
    <col width="8.6640625" customWidth="1" style="62" min="17" max="17"/>
    <col width="8.1640625" customWidth="1" style="62" min="18" max="18"/>
    <col width="9.5" customWidth="1" style="62" min="19" max="20"/>
    <col width="9.1640625" customWidth="1" style="62" min="21" max="21"/>
    <col width="7.6640625" customWidth="1" style="62" min="22" max="22"/>
    <col width="7.83203125" customWidth="1" style="62" min="23" max="23"/>
    <col width="11.1640625" customWidth="1" style="62" min="24" max="24"/>
    <col width="12.5" customWidth="1" style="62" min="25" max="26"/>
    <col width="8.33203125" customWidth="1" style="62" min="27" max="29"/>
    <col width="16.33203125" customWidth="1" style="62" min="30" max="30"/>
  </cols>
  <sheetData>
    <row r="1" ht="15.75" customHeight="1" s="6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7" t="inlineStr">
        <is>
          <t>UnRealised</t>
        </is>
      </c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9" t="n"/>
      <c r="W2" s="61" t="inlineStr">
        <is>
          <t>Realised</t>
        </is>
      </c>
      <c r="AC2" s="6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0" t="inlineStr">
        <is>
          <t>Total</t>
        </is>
      </c>
      <c r="L3" s="68" t="n"/>
      <c r="M3" s="68" t="n"/>
      <c r="N3" s="69" t="n"/>
      <c r="O3" s="71" t="inlineStr">
        <is>
          <t>Short Term</t>
        </is>
      </c>
      <c r="P3" s="64" t="n"/>
      <c r="Q3" s="64" t="n"/>
      <c r="R3" s="65" t="n"/>
      <c r="S3" s="66" t="inlineStr">
        <is>
          <t>Long Term</t>
        </is>
      </c>
      <c r="T3" s="64" t="n"/>
      <c r="U3" s="64" t="n"/>
      <c r="V3" s="65" t="n"/>
      <c r="W3" s="64" t="n"/>
      <c r="X3" s="64" t="n"/>
      <c r="Y3" s="64" t="n"/>
      <c r="Z3" s="64" t="n"/>
      <c r="AA3" s="64" t="n"/>
      <c r="AB3" s="64" t="n"/>
      <c r="AC3" s="6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2">
      <c r="A5" s="73" t="n">
        <v>45967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570.45</v>
      </c>
      <c r="F5" t="n">
        <v>5733</v>
      </c>
      <c r="G5" t="inlineStr">
        <is>
          <t>CN#252607785263</t>
        </is>
      </c>
      <c r="I5" t="n">
        <v>28.5</v>
      </c>
      <c r="J5">
        <f>Index!$C$2</f>
        <v/>
      </c>
    </row>
    <row r="6" ht="15.75" customHeight="1" s="62">
      <c r="A6" s="73" t="n">
        <v>45961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596.15</v>
      </c>
      <c r="F6" t="n">
        <v>2995.65</v>
      </c>
      <c r="G6" t="inlineStr">
        <is>
          <t>CN#252607606298</t>
        </is>
      </c>
      <c r="I6" t="n">
        <v>14.9</v>
      </c>
      <c r="J6">
        <f>Index!$C$2</f>
        <v/>
      </c>
    </row>
    <row r="7" ht="15.75" customHeight="1" s="62">
      <c r="A7" s="73" t="n">
        <v>45957</v>
      </c>
      <c r="B7" t="inlineStr">
        <is>
          <t>BSE</t>
        </is>
      </c>
      <c r="C7" t="inlineStr">
        <is>
          <t>Buy</t>
        </is>
      </c>
      <c r="D7" t="n">
        <v>10</v>
      </c>
      <c r="E7" t="n">
        <v>607.4</v>
      </c>
      <c r="F7" t="n">
        <v>6104.4</v>
      </c>
      <c r="G7" t="inlineStr">
        <is>
          <t>CN#252607382790</t>
        </is>
      </c>
      <c r="I7" t="n">
        <v>30.4</v>
      </c>
      <c r="J7">
        <f>Index!$C$2</f>
        <v/>
      </c>
    </row>
    <row r="8" ht="15.75" customHeight="1" s="62">
      <c r="A8" s="73" t="n">
        <v>46063</v>
      </c>
      <c r="B8" t="inlineStr">
        <is>
          <t>BSE</t>
        </is>
      </c>
      <c r="C8" t="inlineStr">
        <is>
          <t>Buy</t>
        </is>
      </c>
      <c r="D8" t="n">
        <v>10</v>
      </c>
      <c r="E8" t="n">
        <v>589.75</v>
      </c>
      <c r="F8" t="n">
        <v>5946.05</v>
      </c>
      <c r="G8" t="inlineStr">
        <is>
          <t>CN#252611730667</t>
        </is>
      </c>
      <c r="H8" t="n">
        <v>5.89</v>
      </c>
      <c r="I8" t="n">
        <v>42.66</v>
      </c>
      <c r="J8">
        <f>Index!$C$2</f>
        <v/>
      </c>
    </row>
    <row r="9" ht="15.75" customHeight="1" s="62">
      <c r="A9" s="60" t="n">
        <v>46050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530</v>
      </c>
      <c r="F9" t="n">
        <v>5343.69</v>
      </c>
      <c r="G9" t="inlineStr">
        <is>
          <t>~</t>
        </is>
      </c>
      <c r="H9" t="n">
        <v>5.33</v>
      </c>
      <c r="I9" t="n">
        <v>38.36</v>
      </c>
    </row>
    <row r="10" ht="15.75" customHeight="1" s="62">
      <c r="A10" s="60" t="n">
        <v>46049</v>
      </c>
      <c r="B10" t="inlineStr">
        <is>
          <t>BSE</t>
        </is>
      </c>
      <c r="C10" t="inlineStr">
        <is>
          <t>Buy</t>
        </is>
      </c>
      <c r="D10" t="n">
        <v>5</v>
      </c>
      <c r="E10" t="n">
        <v>534.7</v>
      </c>
      <c r="F10" t="n">
        <v>2695.48</v>
      </c>
      <c r="G10" t="inlineStr">
        <is>
          <t>~</t>
        </is>
      </c>
      <c r="H10" t="n">
        <v>2.67</v>
      </c>
      <c r="I10" t="n">
        <v>19.31</v>
      </c>
    </row>
    <row r="11" ht="15.75" customHeight="1" s="62">
      <c r="A11" s="60" t="n">
        <v>46042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541</v>
      </c>
      <c r="F11" t="n">
        <v>5454.64</v>
      </c>
      <c r="G11" t="inlineStr">
        <is>
          <t>~</t>
        </is>
      </c>
      <c r="H11" t="n">
        <v>5.42</v>
      </c>
      <c r="I11" t="n">
        <v>39.22</v>
      </c>
    </row>
    <row r="12" ht="15.75" customHeight="1" s="62">
      <c r="A12" s="60" t="n">
        <v>46030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563.85</v>
      </c>
      <c r="F12" t="n">
        <v>5684.91</v>
      </c>
      <c r="G12" t="inlineStr">
        <is>
          <t>~</t>
        </is>
      </c>
      <c r="H12" t="n">
        <v>5.62</v>
      </c>
      <c r="I12" t="n">
        <v>40.79</v>
      </c>
    </row>
    <row r="13" ht="15.75" customHeight="1" s="62">
      <c r="A13" s="60" t="n">
        <v>46017</v>
      </c>
      <c r="B13" t="inlineStr">
        <is>
          <t>BSE</t>
        </is>
      </c>
      <c r="C13" t="inlineStr">
        <is>
          <t>Buy</t>
        </is>
      </c>
      <c r="D13" t="n">
        <v>5</v>
      </c>
      <c r="E13" t="n">
        <v>545.55</v>
      </c>
      <c r="F13" t="n">
        <v>2750.24</v>
      </c>
      <c r="G13" t="inlineStr">
        <is>
          <t>~</t>
        </is>
      </c>
      <c r="H13" t="n">
        <v>2.74</v>
      </c>
      <c r="I13" t="n">
        <v>19.75</v>
      </c>
    </row>
    <row r="14" ht="15.75" customHeight="1" s="62">
      <c r="A14" s="60" t="n">
        <v>46017</v>
      </c>
      <c r="B14" t="inlineStr">
        <is>
          <t>BSE</t>
        </is>
      </c>
      <c r="C14" t="inlineStr">
        <is>
          <t>Buy</t>
        </is>
      </c>
      <c r="D14" t="n">
        <v>5</v>
      </c>
      <c r="E14" t="n">
        <v>545.5</v>
      </c>
      <c r="F14" t="n">
        <v>2749.99</v>
      </c>
      <c r="G14" t="inlineStr">
        <is>
          <t>~</t>
        </is>
      </c>
      <c r="H14" t="n">
        <v>2.74</v>
      </c>
      <c r="I14" t="n">
        <v>19.75</v>
      </c>
    </row>
    <row r="15" ht="15.75" customHeight="1" s="62">
      <c r="A15" s="60" t="n">
        <v>46015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545.25</v>
      </c>
      <c r="F15" t="n">
        <v>5497.42</v>
      </c>
      <c r="G15" t="inlineStr">
        <is>
          <t>~</t>
        </is>
      </c>
      <c r="H15" t="n">
        <v>5.42</v>
      </c>
      <c r="I15" t="n">
        <v>39.5</v>
      </c>
    </row>
    <row r="16" ht="15.75" customHeight="1" s="62">
      <c r="A16" s="60" t="n">
        <v>46014</v>
      </c>
      <c r="B16" t="inlineStr">
        <is>
          <t>BSE</t>
        </is>
      </c>
      <c r="C16" t="inlineStr">
        <is>
          <t>Buy</t>
        </is>
      </c>
      <c r="D16" t="n">
        <v>10</v>
      </c>
      <c r="E16" t="n">
        <v>548.9</v>
      </c>
      <c r="F16" t="n">
        <v>5534.11</v>
      </c>
      <c r="G16" t="inlineStr">
        <is>
          <t>~</t>
        </is>
      </c>
      <c r="H16" t="n">
        <v>5.47</v>
      </c>
      <c r="I16" t="n">
        <v>39.64</v>
      </c>
    </row>
    <row r="17" ht="15.75" customHeight="1" s="62">
      <c r="A17" s="60" t="n">
        <v>46007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541.3</v>
      </c>
      <c r="F17" t="n">
        <v>5457.59</v>
      </c>
      <c r="G17" t="inlineStr">
        <is>
          <t>~</t>
        </is>
      </c>
      <c r="H17" t="n">
        <v>5.39</v>
      </c>
      <c r="I17" t="n">
        <v>39.2</v>
      </c>
    </row>
    <row r="18" ht="15.75" customHeight="1" s="62">
      <c r="A18" s="60" t="n">
        <v>46002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547.9</v>
      </c>
      <c r="F18" t="n">
        <v>2762.01</v>
      </c>
      <c r="G18" t="inlineStr">
        <is>
          <t>~</t>
        </is>
      </c>
      <c r="H18" t="n">
        <v>2.75</v>
      </c>
      <c r="I18" t="n">
        <v>19.76</v>
      </c>
    </row>
    <row r="19" ht="15.75" customHeight="1" s="62">
      <c r="A19" s="60" t="n">
        <v>46000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560.95</v>
      </c>
      <c r="F19" t="n">
        <v>2827.8</v>
      </c>
      <c r="G19" t="inlineStr">
        <is>
          <t>~</t>
        </is>
      </c>
      <c r="H19" t="n">
        <v>2.8</v>
      </c>
      <c r="I19" t="n">
        <v>20.25</v>
      </c>
    </row>
    <row r="20" ht="15.75" customHeight="1" s="62">
      <c r="A20" s="60" t="n">
        <v>46000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561</v>
      </c>
      <c r="F20" t="n">
        <v>2828.11</v>
      </c>
      <c r="G20" t="inlineStr">
        <is>
          <t>~</t>
        </is>
      </c>
      <c r="H20" t="n">
        <v>2.8</v>
      </c>
      <c r="I20" t="n">
        <v>20.31</v>
      </c>
    </row>
    <row r="21" ht="15.75" customHeight="1" s="62">
      <c r="A21" s="60" t="n">
        <v>45996</v>
      </c>
      <c r="B21" t="inlineStr">
        <is>
          <t>BSE</t>
        </is>
      </c>
      <c r="C21" t="inlineStr">
        <is>
          <t>Buy</t>
        </is>
      </c>
      <c r="D21" t="n">
        <v>10</v>
      </c>
      <c r="E21" t="n">
        <v>573.95</v>
      </c>
      <c r="F21" t="n">
        <v>5786.76</v>
      </c>
      <c r="G21" t="inlineStr">
        <is>
          <t>~</t>
        </is>
      </c>
      <c r="H21" t="n">
        <v>5.72</v>
      </c>
      <c r="I21" t="n">
        <v>41.54</v>
      </c>
    </row>
    <row r="22" ht="15.75" customHeight="1" s="62">
      <c r="A22" s="60" t="n">
        <v>45989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586.95</v>
      </c>
      <c r="F22" t="n">
        <v>2958.88</v>
      </c>
      <c r="G22" t="inlineStr">
        <is>
          <t>~</t>
        </is>
      </c>
      <c r="H22" t="n">
        <v>2.93</v>
      </c>
      <c r="I22" t="n">
        <v>21.2</v>
      </c>
    </row>
    <row r="23" ht="15.75" customHeight="1" s="62">
      <c r="A23" s="60" t="n">
        <v>45982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621</v>
      </c>
      <c r="F23" t="n">
        <v>3130.59</v>
      </c>
      <c r="G23" t="inlineStr">
        <is>
          <t>~</t>
        </is>
      </c>
      <c r="H23" t="n">
        <v>3.11</v>
      </c>
      <c r="I23" t="n">
        <v>22.48</v>
      </c>
    </row>
    <row r="24" ht="15.75" customHeight="1" s="62">
      <c r="A24" s="60" t="n">
        <v>45979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624.95</v>
      </c>
      <c r="F24" t="n">
        <v>1260.17</v>
      </c>
      <c r="G24" t="inlineStr">
        <is>
          <t>~</t>
        </is>
      </c>
      <c r="H24" t="n">
        <v>1.25</v>
      </c>
      <c r="I24" t="n">
        <v>9.02</v>
      </c>
    </row>
    <row r="25" ht="15.75" customHeight="1" s="62">
      <c r="A25" s="60" t="n">
        <v>45979</v>
      </c>
      <c r="B25" t="inlineStr">
        <is>
          <t>BSE</t>
        </is>
      </c>
      <c r="C25" t="inlineStr">
        <is>
          <t>Buy</t>
        </is>
      </c>
      <c r="D25" t="n">
        <v>3</v>
      </c>
      <c r="E25" t="n">
        <v>622.8</v>
      </c>
      <c r="F25" t="n">
        <v>1883.78</v>
      </c>
      <c r="G25" t="inlineStr">
        <is>
          <t>~</t>
        </is>
      </c>
      <c r="H25" t="n">
        <v>1.88</v>
      </c>
      <c r="I25" t="n">
        <v>13.5</v>
      </c>
    </row>
    <row r="26" ht="15.75" customHeight="1" s="62">
      <c r="A26" s="60" t="n">
        <v>45978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658</v>
      </c>
      <c r="F26" t="n">
        <v>663.4299999999999</v>
      </c>
      <c r="G26" t="inlineStr">
        <is>
          <t>~</t>
        </is>
      </c>
      <c r="H26" t="n">
        <v>0.66</v>
      </c>
      <c r="I26" t="n">
        <v>4.77</v>
      </c>
    </row>
    <row r="27" ht="15.75" customHeight="1" s="62">
      <c r="A27" s="60" t="n">
        <v>45978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657.95</v>
      </c>
      <c r="F27" t="n">
        <v>1326.73</v>
      </c>
      <c r="G27" t="inlineStr">
        <is>
          <t>~</t>
        </is>
      </c>
      <c r="H27" t="n">
        <v>1.32</v>
      </c>
      <c r="I27" t="n">
        <v>9.51</v>
      </c>
    </row>
    <row r="28" ht="15.75" customHeight="1" s="62">
      <c r="A28" s="60" t="n">
        <v>45978</v>
      </c>
      <c r="B28" t="inlineStr">
        <is>
          <t>BSE</t>
        </is>
      </c>
      <c r="C28" t="inlineStr">
        <is>
          <t>Buy</t>
        </is>
      </c>
      <c r="D28" t="n">
        <v>2</v>
      </c>
      <c r="E28" t="n">
        <v>657</v>
      </c>
      <c r="F28" t="n">
        <v>1324.82</v>
      </c>
      <c r="G28" t="inlineStr">
        <is>
          <t>~</t>
        </is>
      </c>
      <c r="H28" t="n">
        <v>1.32</v>
      </c>
      <c r="I28" t="n">
        <v>9.5</v>
      </c>
    </row>
    <row r="29" ht="15.75" customHeight="1" s="62">
      <c r="A29" s="60" t="n">
        <v>45967</v>
      </c>
      <c r="B29" t="inlineStr">
        <is>
          <t>BSE</t>
        </is>
      </c>
      <c r="C29" t="inlineStr">
        <is>
          <t>Buy</t>
        </is>
      </c>
      <c r="D29" t="n">
        <v>10</v>
      </c>
      <c r="E29" t="n">
        <v>570.45</v>
      </c>
      <c r="F29" t="n">
        <v>5751.49</v>
      </c>
      <c r="G29" t="inlineStr">
        <is>
          <t>~</t>
        </is>
      </c>
      <c r="H29" t="n">
        <v>5.74</v>
      </c>
      <c r="I29" t="n">
        <v>41.25</v>
      </c>
    </row>
    <row r="30" ht="15.75" customHeight="1" s="62">
      <c r="A30" s="60" t="n">
        <v>45961</v>
      </c>
      <c r="B30" t="inlineStr">
        <is>
          <t>BSE</t>
        </is>
      </c>
      <c r="C30" t="inlineStr">
        <is>
          <t>Buy</t>
        </is>
      </c>
      <c r="D30" t="n">
        <v>5</v>
      </c>
      <c r="E30" t="n">
        <v>596.15</v>
      </c>
      <c r="F30" t="n">
        <v>3005.27</v>
      </c>
      <c r="G30" t="inlineStr">
        <is>
          <t>~</t>
        </is>
      </c>
      <c r="H30" t="n">
        <v>2.97</v>
      </c>
      <c r="I30" t="n">
        <v>21.55</v>
      </c>
    </row>
    <row r="31" ht="15.75" customHeight="1" s="62">
      <c r="A31" s="60" t="n">
        <v>45957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607.4</v>
      </c>
      <c r="F31" t="n">
        <v>6124.02</v>
      </c>
      <c r="G31" t="inlineStr">
        <is>
          <t>~</t>
        </is>
      </c>
      <c r="H31" t="n">
        <v>6.08</v>
      </c>
      <c r="I31" t="n">
        <v>43.94</v>
      </c>
    </row>
    <row r="32" ht="15.75" customHeight="1" s="62">
      <c r="A32" s="60" t="n">
        <v>45954</v>
      </c>
      <c r="B32" t="inlineStr">
        <is>
          <t>BSE</t>
        </is>
      </c>
      <c r="C32" t="inlineStr">
        <is>
          <t>Buy</t>
        </is>
      </c>
      <c r="D32" t="n">
        <v>5</v>
      </c>
      <c r="E32" t="n">
        <v>647.9</v>
      </c>
      <c r="F32" t="n">
        <v>3266.17</v>
      </c>
      <c r="G32" t="inlineStr">
        <is>
          <t>~</t>
        </is>
      </c>
      <c r="H32" t="n">
        <v>3.24</v>
      </c>
      <c r="I32" t="n">
        <v>23.43</v>
      </c>
    </row>
    <row r="33" ht="15.75" customHeight="1" s="62">
      <c r="A33" s="60" t="n">
        <v>45953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651.4</v>
      </c>
      <c r="F33" t="n">
        <v>6567.59</v>
      </c>
      <c r="G33" t="inlineStr">
        <is>
          <t>~</t>
        </is>
      </c>
      <c r="H33" t="n">
        <v>6.49</v>
      </c>
      <c r="I33" t="n">
        <v>47.1</v>
      </c>
    </row>
    <row r="34" ht="15.75" customHeight="1" s="62">
      <c r="A34" s="60" t="n">
        <v>45950</v>
      </c>
      <c r="B34" t="inlineStr">
        <is>
          <t>BSE</t>
        </is>
      </c>
      <c r="C34" t="inlineStr">
        <is>
          <t>Buy</t>
        </is>
      </c>
      <c r="D34" t="n">
        <v>10</v>
      </c>
      <c r="E34" t="n">
        <v>640.95</v>
      </c>
      <c r="F34" t="n">
        <v>6462.21</v>
      </c>
      <c r="G34" t="inlineStr">
        <is>
          <t>~</t>
        </is>
      </c>
      <c r="H34" t="n">
        <v>6.4</v>
      </c>
      <c r="I34" t="n">
        <v>46.31</v>
      </c>
    </row>
    <row r="35" ht="15.75" customHeight="1" s="62">
      <c r="A35" s="60" t="n">
        <v>45947</v>
      </c>
      <c r="B35" t="inlineStr">
        <is>
          <t>BSE</t>
        </is>
      </c>
      <c r="C35" t="inlineStr">
        <is>
          <t>Buy</t>
        </is>
      </c>
      <c r="D35" t="n">
        <v>10</v>
      </c>
      <c r="E35" t="n">
        <v>610.5</v>
      </c>
      <c r="F35" t="n">
        <v>6155.25</v>
      </c>
      <c r="G35" t="inlineStr">
        <is>
          <t>~</t>
        </is>
      </c>
      <c r="H35" t="n">
        <v>6.12</v>
      </c>
      <c r="I35" t="n">
        <v>44.13</v>
      </c>
    </row>
    <row r="36" ht="15.75" customHeight="1" s="62">
      <c r="A36" s="36" t="n">
        <v>45807</v>
      </c>
      <c r="B36" s="25" t="inlineStr">
        <is>
          <t>BSE</t>
        </is>
      </c>
      <c r="C36" s="25" t="inlineStr">
        <is>
          <t>Sell</t>
        </is>
      </c>
      <c r="D36" s="26" t="n">
        <v>50</v>
      </c>
      <c r="E36" s="27" t="n">
        <v>714.28</v>
      </c>
      <c r="F36" s="27">
        <f>D7*E7</f>
        <v/>
      </c>
      <c r="G36" s="25" t="inlineStr">
        <is>
          <t>~</t>
        </is>
      </c>
      <c r="H36" s="26" t="n"/>
      <c r="I36" s="26" t="n"/>
      <c r="J36" s="28">
        <f>Index!$C$2</f>
        <v/>
      </c>
      <c r="K36" s="29">
        <f>IF(AND( C7="Buy", ISBLANK(W7), B7&lt;&gt;"DIV"), L7/SUM(F7:I7), "")</f>
        <v/>
      </c>
      <c r="L36" s="30">
        <f>IF(AND( C7="Buy", ISBLANK(W7), B7&lt;&gt;"DIV"), (1-Index!$F$2*2)*((J7*D7)-(E7*D7)), "")</f>
        <v/>
      </c>
      <c r="M36" s="30">
        <f>IF(AND( C7="Buy", ISBLANK(W7), B7&lt;&gt;"DIV"), ((E7*D7)+L7), "")</f>
        <v/>
      </c>
      <c r="N36" s="31">
        <f>IF(AND( C7="Buy", ISBLANK(W7), B7&lt;&gt;"DIV"), D7, "")</f>
        <v/>
      </c>
      <c r="O36" s="29">
        <f>IF(AND( C7="Buy", ISBLANK(W7), B7&lt;&gt;"DIV", NOW()-A7 &lt; 365), P7/SUM(F7:I7), "")</f>
        <v/>
      </c>
      <c r="P36" s="30">
        <f>IF(AND( C7="Buy", ISBLANK(W7), B7&lt;&gt;"DIV", NOW()-A7 &lt; 365), (1-Index!$F$2*2)*((J7*D7)-(E7*D7)), "")</f>
        <v/>
      </c>
      <c r="Q36" s="30">
        <f>IF(AND( C7="Buy", ISBLANK(W7), B7&lt;&gt;"DIV", NOW()-A7 &lt; 365), ((E7*D7)+P7), "")</f>
        <v/>
      </c>
      <c r="R36" s="30">
        <f>IF(AND( C7="Buy", ISBLANK(W7), B7&lt;&gt;"DIV", NOW()-A7 &lt; 365), D7, "")</f>
        <v/>
      </c>
      <c r="S36" s="32">
        <f>IF(AND( C7="Buy", ISBLANK(W7), B7&lt;&gt;"DIV", NOW()-A7 &gt; 365), T7/SUM(F7:I7), "")</f>
        <v/>
      </c>
      <c r="T36" s="33">
        <f>IF(AND( C7="Buy", ISBLANK(W7), B7&lt;&gt;"DIV", NOW()-A7 &gt; 365), (1-Index!$F$2*2)*((J7*D7)-(E7*D7)), "")</f>
        <v/>
      </c>
      <c r="U36" s="33">
        <f>IF(AND( C7="Buy", ISBLANK(W7), B7&lt;&gt;"DIV", NOW()-A7 &gt; 365), ((E7*D7)+T7), "")</f>
        <v/>
      </c>
      <c r="V36" s="33">
        <f>IF(AND( C7="Buy", ISBLANK(W7), B7&lt;&gt;"DIV", NOW()-A7 &gt; 365), D7, "")</f>
        <v/>
      </c>
      <c r="W36" s="33" t="n"/>
      <c r="X36" s="33" t="n"/>
      <c r="Y36" s="32">
        <f>IF(AND( C7="Buy", W7&lt;&gt;"", AA7&lt;&gt;"", B7&lt;&gt;"DIV"), Z7/SUM(F7:I7), "")</f>
        <v/>
      </c>
      <c r="Z36" s="33" t="n"/>
      <c r="AA36" s="33" t="n"/>
      <c r="AB36" s="34" t="n"/>
      <c r="AC36" s="30">
        <f>IF(B7="DIV", F7,"")</f>
        <v/>
      </c>
      <c r="AD36" s="35" t="n"/>
    </row>
    <row r="37" ht="15.75" customHeight="1" s="62">
      <c r="A37" s="36" t="n">
        <v>45806</v>
      </c>
      <c r="B37" s="25" t="inlineStr">
        <is>
          <t>BSE</t>
        </is>
      </c>
      <c r="C37" s="25" t="inlineStr">
        <is>
          <t>Sell</t>
        </is>
      </c>
      <c r="D37" s="26" t="n">
        <v>6</v>
      </c>
      <c r="E37" s="27" t="n">
        <v>699.39</v>
      </c>
      <c r="F37" s="27">
        <f>D8*E8</f>
        <v/>
      </c>
      <c r="G37" s="25" t="inlineStr">
        <is>
          <t>~</t>
        </is>
      </c>
      <c r="H37" s="26" t="n"/>
      <c r="I37" s="26" t="n"/>
      <c r="J37" s="28">
        <f>Index!$C$2</f>
        <v/>
      </c>
      <c r="K37" s="29">
        <f>IF(AND( C8="Buy", ISBLANK(W8), B8&lt;&gt;"DIV"), L8/SUM(F8:I8), "")</f>
        <v/>
      </c>
      <c r="L37" s="30">
        <f>IF(AND( C8="Buy", ISBLANK(W8), B8&lt;&gt;"DIV"), (1-Index!$F$2*2)*((J8*D8)-(E8*D8)), "")</f>
        <v/>
      </c>
      <c r="M37" s="30">
        <f>IF(AND( C8="Buy", ISBLANK(W8), B8&lt;&gt;"DIV"), ((E8*D8)+L8), "")</f>
        <v/>
      </c>
      <c r="N37" s="31">
        <f>IF(AND( C8="Buy", ISBLANK(W8), B8&lt;&gt;"DIV"), D8, "")</f>
        <v/>
      </c>
      <c r="O37" s="29">
        <f>IF(AND( C8="Buy", ISBLANK(W8), B8&lt;&gt;"DIV", NOW()-A8 &lt; 365), P8/SUM(F8:I8), "")</f>
        <v/>
      </c>
      <c r="P37" s="30">
        <f>IF(AND( C8="Buy", ISBLANK(W8), B8&lt;&gt;"DIV", NOW()-A8 &lt; 365), (1-Index!$F$2*2)*((J8*D8)-(E8*D8)), "")</f>
        <v/>
      </c>
      <c r="Q37" s="30">
        <f>IF(AND( C8="Buy", ISBLANK(W8), B8&lt;&gt;"DIV", NOW()-A8 &lt; 365), ((E8*D8)+P8), "")</f>
        <v/>
      </c>
      <c r="R37" s="30">
        <f>IF(AND( C8="Buy", ISBLANK(W8), B8&lt;&gt;"DIV", NOW()-A8 &lt; 365), D8, "")</f>
        <v/>
      </c>
      <c r="S37" s="32">
        <f>IF(AND( C8="Buy", ISBLANK(W8), B8&lt;&gt;"DIV", NOW()-A8 &gt; 365), T8/SUM(F8:I8), "")</f>
        <v/>
      </c>
      <c r="T37" s="33">
        <f>IF(AND( C8="Buy", ISBLANK(W8), B8&lt;&gt;"DIV", NOW()-A8 &gt; 365), (1-Index!$F$2*2)*((J8*D8)-(E8*D8)), "")</f>
        <v/>
      </c>
      <c r="U37" s="33">
        <f>IF(AND( C8="Buy", ISBLANK(W8), B8&lt;&gt;"DIV", NOW()-A8 &gt; 365), ((E8*D8)+T8), "")</f>
        <v/>
      </c>
      <c r="V37" s="33">
        <f>IF(AND( C8="Buy", ISBLANK(W8), B8&lt;&gt;"DIV", NOW()-A8 &gt; 365), D8, "")</f>
        <v/>
      </c>
      <c r="W37" s="33" t="n"/>
      <c r="X37" s="33" t="n"/>
      <c r="Y37" s="32">
        <f>IF(AND( C8="Buy", W8&lt;&gt;"", AA8&lt;&gt;"", B8&lt;&gt;"DIV"), Z8/SUM(F8:I8), "")</f>
        <v/>
      </c>
      <c r="Z37" s="33" t="n"/>
      <c r="AA37" s="33" t="n"/>
      <c r="AB37" s="34" t="n"/>
      <c r="AC37" s="30">
        <f>IF(B8="DIV", F8,"")</f>
        <v/>
      </c>
      <c r="AD37" s="35" t="n"/>
    </row>
    <row r="38" ht="15.75" customHeight="1" s="62">
      <c r="A38" s="36" t="n">
        <v>45806</v>
      </c>
      <c r="B38" s="25" t="inlineStr">
        <is>
          <t>BSE</t>
        </is>
      </c>
      <c r="C38" s="25" t="inlineStr">
        <is>
          <t>Sell</t>
        </is>
      </c>
      <c r="D38" s="26" t="n">
        <v>19</v>
      </c>
      <c r="E38" s="27" t="n">
        <v>702.78</v>
      </c>
      <c r="F38" s="27">
        <f>D9*E9</f>
        <v/>
      </c>
      <c r="G38" s="25" t="inlineStr">
        <is>
          <t>~</t>
        </is>
      </c>
      <c r="H38" s="26" t="n"/>
      <c r="I38" s="26" t="n"/>
      <c r="J38" s="28">
        <f>Index!$C$2</f>
        <v/>
      </c>
      <c r="K38" s="29">
        <f>IF(AND( C9="Buy", ISBLANK(W9), B9&lt;&gt;"DIV"), L9/SUM(F9:I9), "")</f>
        <v/>
      </c>
      <c r="L38" s="30">
        <f>IF(AND( C9="Buy", ISBLANK(W9), B9&lt;&gt;"DIV"), (1-Index!$F$2*2)*((J9*D9)-(E9*D9)), "")</f>
        <v/>
      </c>
      <c r="M38" s="30">
        <f>IF(AND( C9="Buy", ISBLANK(W9), B9&lt;&gt;"DIV"), ((E9*D9)+L9), "")</f>
        <v/>
      </c>
      <c r="N38" s="31">
        <f>IF(AND( C9="Buy", ISBLANK(W9), B9&lt;&gt;"DIV"), D9, "")</f>
        <v/>
      </c>
      <c r="O38" s="29">
        <f>IF(AND( C9="Buy", ISBLANK(W9), B9&lt;&gt;"DIV", NOW()-A9 &lt; 365), P9/SUM(F9:I9), "")</f>
        <v/>
      </c>
      <c r="P38" s="30">
        <f>IF(AND( C9="Buy", ISBLANK(W9), B9&lt;&gt;"DIV", NOW()-A9 &lt; 365), (1-Index!$F$2*2)*((J9*D9)-(E9*D9)), "")</f>
        <v/>
      </c>
      <c r="Q38" s="30">
        <f>IF(AND( C9="Buy", ISBLANK(W9), B9&lt;&gt;"DIV", NOW()-A9 &lt; 365), ((E9*D9)+P9), "")</f>
        <v/>
      </c>
      <c r="R38" s="30">
        <f>IF(AND( C9="Buy", ISBLANK(W9), B9&lt;&gt;"DIV", NOW()-A9 &lt; 365), D9, "")</f>
        <v/>
      </c>
      <c r="S38" s="32">
        <f>IF(AND( C9="Buy", ISBLANK(W9), B9&lt;&gt;"DIV", NOW()-A9 &gt; 365), T9/SUM(F9:I9), "")</f>
        <v/>
      </c>
      <c r="T38" s="33">
        <f>IF(AND( C9="Buy", ISBLANK(W9), B9&lt;&gt;"DIV", NOW()-A9 &gt; 365), (1-Index!$F$2*2)*((J9*D9)-(E9*D9)), "")</f>
        <v/>
      </c>
      <c r="U38" s="33">
        <f>IF(AND( C9="Buy", ISBLANK(W9), B9&lt;&gt;"DIV", NOW()-A9 &gt; 365), ((E9*D9)+T9), "")</f>
        <v/>
      </c>
      <c r="V38" s="33">
        <f>IF(AND( C9="Buy", ISBLANK(W9), B9&lt;&gt;"DIV", NOW()-A9 &gt; 365), D9, "")</f>
        <v/>
      </c>
      <c r="W38" s="33" t="n"/>
      <c r="X38" s="33" t="n"/>
      <c r="Y38" s="32">
        <f>IF(AND( C9="Buy", W9&lt;&gt;"", AA9&lt;&gt;"", B9&lt;&gt;"DIV"), Z9/SUM(F9:I9), "")</f>
        <v/>
      </c>
      <c r="Z38" s="33" t="n"/>
      <c r="AA38" s="33" t="n"/>
      <c r="AB38" s="34" t="n"/>
      <c r="AC38" s="30">
        <f>IF(B9="DIV", F9,"")</f>
        <v/>
      </c>
      <c r="AD38" s="35" t="n"/>
    </row>
    <row r="39" ht="15.75" customHeight="1" s="62">
      <c r="A39" s="36" t="n">
        <v>45806</v>
      </c>
      <c r="B39" s="25" t="inlineStr">
        <is>
          <t>BSE</t>
        </is>
      </c>
      <c r="C39" s="25" t="inlineStr">
        <is>
          <t>Sell</t>
        </is>
      </c>
      <c r="D39" s="26" t="n">
        <v>25</v>
      </c>
      <c r="E39" s="27" t="n">
        <v>699.29</v>
      </c>
      <c r="F39" s="27">
        <f>D10*E10</f>
        <v/>
      </c>
      <c r="G39" s="25" t="inlineStr">
        <is>
          <t>~</t>
        </is>
      </c>
      <c r="H39" s="26" t="n"/>
      <c r="I39" s="26" t="n"/>
      <c r="J39" s="28">
        <f>Index!$C$2</f>
        <v/>
      </c>
      <c r="K39" s="29">
        <f>IF(AND( C10="Buy", ISBLANK(W10), B10&lt;&gt;"DIV"), L10/SUM(F10:I10), "")</f>
        <v/>
      </c>
      <c r="L39" s="30">
        <f>IF(AND( C10="Buy", ISBLANK(W10), B10&lt;&gt;"DIV"), (1-Index!$F$2*2)*((J10*D10)-(E10*D10)), "")</f>
        <v/>
      </c>
      <c r="M39" s="30">
        <f>IF(AND( C10="Buy", ISBLANK(W10), B10&lt;&gt;"DIV"), ((E10*D10)+L10), "")</f>
        <v/>
      </c>
      <c r="N39" s="31">
        <f>IF(AND( C10="Buy", ISBLANK(W10), B10&lt;&gt;"DIV"), D10, "")</f>
        <v/>
      </c>
      <c r="O39" s="29">
        <f>IF(AND( C10="Buy", ISBLANK(W10), B10&lt;&gt;"DIV", NOW()-A10 &lt; 365), P10/SUM(F10:I10), "")</f>
        <v/>
      </c>
      <c r="P39" s="30">
        <f>IF(AND( C10="Buy", ISBLANK(W10), B10&lt;&gt;"DIV", NOW()-A10 &lt; 365), (1-Index!$F$2*2)*((J10*D10)-(E10*D10)), "")</f>
        <v/>
      </c>
      <c r="Q39" s="30">
        <f>IF(AND( C10="Buy", ISBLANK(W10), B10&lt;&gt;"DIV", NOW()-A10 &lt; 365), ((E10*D10)+P10), "")</f>
        <v/>
      </c>
      <c r="R39" s="30">
        <f>IF(AND( C10="Buy", ISBLANK(W10), B10&lt;&gt;"DIV", NOW()-A10 &lt; 365), D10, "")</f>
        <v/>
      </c>
      <c r="S39" s="32">
        <f>IF(AND( C10="Buy", ISBLANK(W10), B10&lt;&gt;"DIV", NOW()-A10 &gt; 365), T10/SUM(F10:I10), "")</f>
        <v/>
      </c>
      <c r="T39" s="33">
        <f>IF(AND( C10="Buy", ISBLANK(W10), B10&lt;&gt;"DIV", NOW()-A10 &gt; 365), (1-Index!$F$2*2)*((J10*D10)-(E10*D10)), "")</f>
        <v/>
      </c>
      <c r="U39" s="33">
        <f>IF(AND( C10="Buy", ISBLANK(W10), B10&lt;&gt;"DIV", NOW()-A10 &gt; 365), ((E10*D10)+T10), "")</f>
        <v/>
      </c>
      <c r="V39" s="33">
        <f>IF(AND( C10="Buy", ISBLANK(W10), B10&lt;&gt;"DIV", NOW()-A10 &gt; 365), D10, "")</f>
        <v/>
      </c>
      <c r="W39" s="33" t="n"/>
      <c r="X39" s="33" t="n"/>
      <c r="Y39" s="32">
        <f>IF(AND( C10="Buy", W10&lt;&gt;"", AA10&lt;&gt;"", B10&lt;&gt;"DIV"), Z10/SUM(F10:I10), "")</f>
        <v/>
      </c>
      <c r="Z39" s="33" t="n"/>
      <c r="AA39" s="33" t="n"/>
      <c r="AB39" s="34" t="n"/>
      <c r="AC39" s="30">
        <f>IF(B10="DIV", F10,"")</f>
        <v/>
      </c>
      <c r="AD39" s="35" t="n"/>
    </row>
    <row r="40" ht="15.75" customHeight="1" s="62">
      <c r="A40" s="36" t="n">
        <v>45712</v>
      </c>
      <c r="B40" s="25" t="inlineStr">
        <is>
          <t>BSE</t>
        </is>
      </c>
      <c r="C40" s="25" t="inlineStr">
        <is>
          <t>Buy</t>
        </is>
      </c>
      <c r="D40" s="26" t="n">
        <v>2</v>
      </c>
      <c r="E40" s="27" t="n">
        <v>484.4</v>
      </c>
      <c r="F40" s="27" t="n">
        <v>968.8099999999999</v>
      </c>
      <c r="G40" s="25" t="inlineStr">
        <is>
          <t>~</t>
        </is>
      </c>
      <c r="H40" s="26" t="n">
        <v>0.97</v>
      </c>
      <c r="I40" s="26" t="n">
        <v>6.94</v>
      </c>
      <c r="J40" s="28">
        <f>Index!$C$2</f>
        <v/>
      </c>
      <c r="K40" s="29">
        <f>IF(AND( C11="Buy", ISBLANK(W11), B11&lt;&gt;"DIV"), L11/SUM(F11:I11), "")</f>
        <v/>
      </c>
      <c r="L40" s="30">
        <f>IF(AND( C11="Buy", ISBLANK(W11), B11&lt;&gt;"DIV"), (1-Index!$F$2*2)*((J11*D11)-(E11*D11)), "")</f>
        <v/>
      </c>
      <c r="M40" s="30">
        <f>IF(AND( C11="Buy", ISBLANK(W11), B11&lt;&gt;"DIV"), ((E11*D11)+L11), "")</f>
        <v/>
      </c>
      <c r="N40" s="31">
        <f>IF(AND( C11="Buy", ISBLANK(W11), B11&lt;&gt;"DIV"), D11, "")</f>
        <v/>
      </c>
      <c r="O40" s="29">
        <f>IF(AND( C11="Buy", ISBLANK(W11), B11&lt;&gt;"DIV", NOW()-A11 &lt; 365), P11/SUM(F11:I11), "")</f>
        <v/>
      </c>
      <c r="P40" s="30">
        <f>IF(AND( C11="Buy", ISBLANK(W11), B11&lt;&gt;"DIV", NOW()-A11 &lt; 365), (1-Index!$F$2*2)*((J11*D11)-(E11*D11)), "")</f>
        <v/>
      </c>
      <c r="Q40" s="30">
        <f>IF(AND( C11="Buy", ISBLANK(W11), B11&lt;&gt;"DIV", NOW()-A11 &lt; 365), ((E11*D11)+P11), "")</f>
        <v/>
      </c>
      <c r="R40" s="30">
        <f>IF(AND( C11="Buy", ISBLANK(W11), B11&lt;&gt;"DIV", NOW()-A11 &lt; 365), D11, "")</f>
        <v/>
      </c>
      <c r="S40" s="32">
        <f>IF(AND( C11="Buy", ISBLANK(W11), B11&lt;&gt;"DIV", NOW()-A11 &gt; 365), T11/SUM(F11:I11), "")</f>
        <v/>
      </c>
      <c r="T40" s="33">
        <f>IF(AND( C11="Buy", ISBLANK(W11), B11&lt;&gt;"DIV", NOW()-A11 &gt; 365), (1-Index!$F$2*2)*((J11*D11)-(E11*D11)), "")</f>
        <v/>
      </c>
      <c r="U40" s="33">
        <f>IF(AND( C11="Buy", ISBLANK(W11), B11&lt;&gt;"DIV", NOW()-A11 &gt; 365), ((E11*D11)+T11), "")</f>
        <v/>
      </c>
      <c r="V40" s="33">
        <f>IF(AND( C11="Buy", ISBLANK(W11), B11&lt;&gt;"DIV", NOW()-A11 &gt; 365), D11, "")</f>
        <v/>
      </c>
      <c r="W40" s="33" t="n">
        <v>703.9400000000001</v>
      </c>
      <c r="X40" s="36" t="n">
        <v>45806</v>
      </c>
      <c r="Y40" s="37">
        <f>IF(AND( C11="Buy", W11&lt;&gt;"", AA11&lt;&gt;"", B11&lt;&gt;"DIV"), Z11/SUM(F11:I11), "")</f>
        <v/>
      </c>
      <c r="Z40" s="38" t="n">
        <v>-5376.165</v>
      </c>
      <c r="AA40" s="38" t="n">
        <v>5452.5</v>
      </c>
      <c r="AB40" s="39" t="n">
        <v>10</v>
      </c>
      <c r="AC40" s="30">
        <f>IF(B11="DIV", F11,"")</f>
        <v/>
      </c>
      <c r="AD40" s="35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</row>
    <row r="41" ht="15.75" customHeight="1" s="62">
      <c r="A41" s="36" t="n">
        <v>45712</v>
      </c>
      <c r="B41" s="25" t="inlineStr">
        <is>
          <t>BSE</t>
        </is>
      </c>
      <c r="C41" s="25" t="inlineStr">
        <is>
          <t>Buy</t>
        </is>
      </c>
      <c r="D41" s="26" t="n">
        <v>2</v>
      </c>
      <c r="E41" s="27" t="n">
        <v>486.42</v>
      </c>
      <c r="F41" s="27" t="n">
        <v>972.83</v>
      </c>
      <c r="G41" s="25" t="inlineStr">
        <is>
          <t>~</t>
        </is>
      </c>
      <c r="H41" s="26" t="n">
        <v>0.97</v>
      </c>
      <c r="I41" s="26" t="n">
        <v>6.96</v>
      </c>
      <c r="J41" s="28">
        <f>Index!$C$2</f>
        <v/>
      </c>
      <c r="K41" s="29">
        <f>IF(AND( C12="Buy", ISBLANK(W12), B12&lt;&gt;"DIV"), L12/SUM(F12:I12), "")</f>
        <v/>
      </c>
      <c r="L41" s="30">
        <f>IF(AND( C12="Buy", ISBLANK(W12), B12&lt;&gt;"DIV"), (1-Index!$F$2*2)*((J12*D12)-(E12*D12)), "")</f>
        <v/>
      </c>
      <c r="M41" s="30">
        <f>IF(AND( C12="Buy", ISBLANK(W12), B12&lt;&gt;"DIV"), ((E12*D12)+L12), "")</f>
        <v/>
      </c>
      <c r="N41" s="31">
        <f>IF(AND( C12="Buy", ISBLANK(W12), B12&lt;&gt;"DIV"), D12, "")</f>
        <v/>
      </c>
      <c r="O41" s="29">
        <f>IF(AND( C12="Buy", ISBLANK(W12), B12&lt;&gt;"DIV", NOW()-A12 &lt; 365), P12/SUM(F12:I12), "")</f>
        <v/>
      </c>
      <c r="P41" s="30">
        <f>IF(AND( C12="Buy", ISBLANK(W12), B12&lt;&gt;"DIV", NOW()-A12 &lt; 365), (1-Index!$F$2*2)*((J12*D12)-(E12*D12)), "")</f>
        <v/>
      </c>
      <c r="Q41" s="30">
        <f>IF(AND( C12="Buy", ISBLANK(W12), B12&lt;&gt;"DIV", NOW()-A12 &lt; 365), ((E12*D12)+P12), "")</f>
        <v/>
      </c>
      <c r="R41" s="30">
        <f>IF(AND( C12="Buy", ISBLANK(W12), B12&lt;&gt;"DIV", NOW()-A12 &lt; 365), D12, "")</f>
        <v/>
      </c>
      <c r="S41" s="32">
        <f>IF(AND( C12="Buy", ISBLANK(W12), B12&lt;&gt;"DIV", NOW()-A12 &gt; 365), T12/SUM(F12:I12), "")</f>
        <v/>
      </c>
      <c r="T41" s="33">
        <f>IF(AND( C12="Buy", ISBLANK(W12), B12&lt;&gt;"DIV", NOW()-A12 &gt; 365), (1-Index!$F$2*2)*((J12*D12)-(E12*D12)), "")</f>
        <v/>
      </c>
      <c r="U41" s="33">
        <f>IF(AND( C12="Buy", ISBLANK(W12), B12&lt;&gt;"DIV", NOW()-A12 &gt; 365), ((E12*D12)+T12), "")</f>
        <v/>
      </c>
      <c r="V41" s="33">
        <f>IF(AND( C12="Buy", ISBLANK(W12), B12&lt;&gt;"DIV", NOW()-A12 &gt; 365), D12, "")</f>
        <v/>
      </c>
      <c r="W41" s="33" t="n">
        <v>703.9400000000001</v>
      </c>
      <c r="X41" s="36" t="n">
        <v>45806</v>
      </c>
      <c r="Y41" s="37">
        <f>IF(AND( C12="Buy", W12&lt;&gt;"", AA12&lt;&gt;"", B12&lt;&gt;"DIV"), Z12/SUM(F12:I12), "")</f>
        <v/>
      </c>
      <c r="Z41" s="38" t="n">
        <v>-5412.154</v>
      </c>
      <c r="AA41" s="38" t="n">
        <v>5489</v>
      </c>
      <c r="AB41" s="39" t="n">
        <v>10</v>
      </c>
      <c r="AC41" s="30">
        <f>IF(B12="DIV", F12,"")</f>
        <v/>
      </c>
      <c r="AD41" s="35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</row>
    <row r="42" ht="15.75" customHeight="1" s="62">
      <c r="A42" s="36" t="n">
        <v>45712</v>
      </c>
      <c r="B42" s="25" t="inlineStr">
        <is>
          <t>BSE</t>
        </is>
      </c>
      <c r="C42" s="25" t="inlineStr">
        <is>
          <t>Buy</t>
        </is>
      </c>
      <c r="D42" s="26" t="n">
        <v>2</v>
      </c>
      <c r="E42" s="27" t="n">
        <v>485.17</v>
      </c>
      <c r="F42" s="27" t="n">
        <v>970.33</v>
      </c>
      <c r="G42" s="25" t="inlineStr">
        <is>
          <t>~</t>
        </is>
      </c>
      <c r="H42" s="26" t="n">
        <v>0.97</v>
      </c>
      <c r="I42" s="26" t="n">
        <v>6.96</v>
      </c>
      <c r="J42" s="28">
        <f>Index!$C$2</f>
        <v/>
      </c>
      <c r="K42" s="29">
        <f>IF(AND( C13="Buy", ISBLANK(W13), B13&lt;&gt;"DIV"), L13/SUM(F13:I13), "")</f>
        <v/>
      </c>
      <c r="L42" s="30">
        <f>IF(AND( C13="Buy", ISBLANK(W13), B13&lt;&gt;"DIV"), (1-Index!$F$2*2)*((J13*D13)-(E13*D13)), "")</f>
        <v/>
      </c>
      <c r="M42" s="30">
        <f>IF(AND( C13="Buy", ISBLANK(W13), B13&lt;&gt;"DIV"), ((E13*D13)+L13), "")</f>
        <v/>
      </c>
      <c r="N42" s="31">
        <f>IF(AND( C13="Buy", ISBLANK(W13), B13&lt;&gt;"DIV"), D13, "")</f>
        <v/>
      </c>
      <c r="O42" s="29">
        <f>IF(AND( C13="Buy", ISBLANK(W13), B13&lt;&gt;"DIV", NOW()-A13 &lt; 365), P13/SUM(F13:I13), "")</f>
        <v/>
      </c>
      <c r="P42" s="30">
        <f>IF(AND( C13="Buy", ISBLANK(W13), B13&lt;&gt;"DIV", NOW()-A13 &lt; 365), (1-Index!$F$2*2)*((J13*D13)-(E13*D13)), "")</f>
        <v/>
      </c>
      <c r="Q42" s="30">
        <f>IF(AND( C13="Buy", ISBLANK(W13), B13&lt;&gt;"DIV", NOW()-A13 &lt; 365), ((E13*D13)+P13), "")</f>
        <v/>
      </c>
      <c r="R42" s="30">
        <f>IF(AND( C13="Buy", ISBLANK(W13), B13&lt;&gt;"DIV", NOW()-A13 &lt; 365), D13, "")</f>
        <v/>
      </c>
      <c r="S42" s="32">
        <f>IF(AND( C13="Buy", ISBLANK(W13), B13&lt;&gt;"DIV", NOW()-A13 &gt; 365), T13/SUM(F13:I13), "")</f>
        <v/>
      </c>
      <c r="T42" s="33">
        <f>IF(AND( C13="Buy", ISBLANK(W13), B13&lt;&gt;"DIV", NOW()-A13 &gt; 365), (1-Index!$F$2*2)*((J13*D13)-(E13*D13)), "")</f>
        <v/>
      </c>
      <c r="U42" s="33">
        <f>IF(AND( C13="Buy", ISBLANK(W13), B13&lt;&gt;"DIV", NOW()-A13 &gt; 365), ((E13*D13)+T13), "")</f>
        <v/>
      </c>
      <c r="V42" s="33">
        <f>IF(AND( C13="Buy", ISBLANK(W13), B13&lt;&gt;"DIV", NOW()-A13 &gt; 365), D13, "")</f>
        <v/>
      </c>
      <c r="W42" s="33" t="n">
        <v>703.9400000000001</v>
      </c>
      <c r="X42" s="36" t="n">
        <v>45806</v>
      </c>
      <c r="Y42" s="37">
        <f>IF(AND( C13="Buy", W13&lt;&gt;"", AA13&lt;&gt;"", B13&lt;&gt;"DIV"), Z13/SUM(F13:I13), "")</f>
        <v/>
      </c>
      <c r="Z42" s="38" t="n">
        <v>-5337.218</v>
      </c>
      <c r="AA42" s="38" t="n">
        <v>5413</v>
      </c>
      <c r="AB42" s="39" t="n">
        <v>10</v>
      </c>
      <c r="AC42" s="30">
        <f>IF(B13="DIV", F13,"")</f>
        <v/>
      </c>
      <c r="AD42" s="35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</row>
    <row r="43" ht="15.75" customHeight="1" s="62">
      <c r="A43" s="36" t="n">
        <v>45712</v>
      </c>
      <c r="B43" s="25" t="inlineStr">
        <is>
          <t>BSE</t>
        </is>
      </c>
      <c r="C43" s="25" t="inlineStr">
        <is>
          <t>Buy</t>
        </is>
      </c>
      <c r="D43" s="26" t="n">
        <v>2</v>
      </c>
      <c r="E43" s="27" t="n">
        <v>485.42</v>
      </c>
      <c r="F43" s="27" t="n">
        <v>970.83</v>
      </c>
      <c r="G43" s="25" t="inlineStr">
        <is>
          <t>~</t>
        </is>
      </c>
      <c r="H43" s="26" t="n">
        <v>0.97</v>
      </c>
      <c r="I43" s="26" t="n">
        <v>6.96</v>
      </c>
      <c r="J43" s="28">
        <f>Index!$C$2</f>
        <v/>
      </c>
      <c r="K43" s="29">
        <f>IF(AND( C14="Buy", ISBLANK(W14), B14&lt;&gt;"DIV"), L14/SUM(F14:I14), "")</f>
        <v/>
      </c>
      <c r="L43" s="30">
        <f>IF(AND( C14="Buy", ISBLANK(W14), B14&lt;&gt;"DIV"), (1-Index!$F$2*2)*((J14*D14)-(E14*D14)), "")</f>
        <v/>
      </c>
      <c r="M43" s="30">
        <f>IF(AND( C14="Buy", ISBLANK(W14), B14&lt;&gt;"DIV"), ((E14*D14)+L14), "")</f>
        <v/>
      </c>
      <c r="N43" s="31">
        <f>IF(AND( C14="Buy", ISBLANK(W14), B14&lt;&gt;"DIV"), D14, "")</f>
        <v/>
      </c>
      <c r="O43" s="29">
        <f>IF(AND( C14="Buy", ISBLANK(W14), B14&lt;&gt;"DIV", NOW()-A14 &lt; 365), P14/SUM(F14:I14), "")</f>
        <v/>
      </c>
      <c r="P43" s="30">
        <f>IF(AND( C14="Buy", ISBLANK(W14), B14&lt;&gt;"DIV", NOW()-A14 &lt; 365), (1-Index!$F$2*2)*((J14*D14)-(E14*D14)), "")</f>
        <v/>
      </c>
      <c r="Q43" s="30">
        <f>IF(AND( C14="Buy", ISBLANK(W14), B14&lt;&gt;"DIV", NOW()-A14 &lt; 365), ((E14*D14)+P14), "")</f>
        <v/>
      </c>
      <c r="R43" s="30">
        <f>IF(AND( C14="Buy", ISBLANK(W14), B14&lt;&gt;"DIV", NOW()-A14 &lt; 365), D14, "")</f>
        <v/>
      </c>
      <c r="S43" s="32">
        <f>IF(AND( C14="Buy", ISBLANK(W14), B14&lt;&gt;"DIV", NOW()-A14 &gt; 365), T14/SUM(F14:I14), "")</f>
        <v/>
      </c>
      <c r="T43" s="33">
        <f>IF(AND( C14="Buy", ISBLANK(W14), B14&lt;&gt;"DIV", NOW()-A14 &gt; 365), (1-Index!$F$2*2)*((J14*D14)-(E14*D14)), "")</f>
        <v/>
      </c>
      <c r="U43" s="33">
        <f>IF(AND( C14="Buy", ISBLANK(W14), B14&lt;&gt;"DIV", NOW()-A14 &gt; 365), ((E14*D14)+T14), "")</f>
        <v/>
      </c>
      <c r="V43" s="33">
        <f>IF(AND( C14="Buy", ISBLANK(W14), B14&lt;&gt;"DIV", NOW()-A14 &gt; 365), D14, "")</f>
        <v/>
      </c>
      <c r="W43" s="33" t="n">
        <v>703.9400000000001</v>
      </c>
      <c r="X43" s="36" t="n">
        <v>45806</v>
      </c>
      <c r="Y43" s="37">
        <f>IF(AND( C14="Buy", W14&lt;&gt;"", AA14&lt;&gt;"", B14&lt;&gt;"DIV"), Z14/SUM(F14:I14), "")</f>
        <v/>
      </c>
      <c r="Z43" s="38" t="n">
        <v>-2701.147</v>
      </c>
      <c r="AA43" s="38" t="n">
        <v>2739.5</v>
      </c>
      <c r="AB43" s="39" t="n">
        <v>5</v>
      </c>
      <c r="AC43" s="30">
        <f>IF(B14="DIV", F14,"")</f>
        <v/>
      </c>
      <c r="AD43" s="35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</row>
    <row r="44" ht="15.75" customHeight="1" s="62">
      <c r="A44" s="36" t="n">
        <v>45712</v>
      </c>
      <c r="B44" s="25" t="inlineStr">
        <is>
          <t>BSE</t>
        </is>
      </c>
      <c r="C44" s="25" t="inlineStr">
        <is>
          <t>Buy</t>
        </is>
      </c>
      <c r="D44" s="26" t="n">
        <v>2</v>
      </c>
      <c r="E44" s="27" t="n">
        <v>484.15</v>
      </c>
      <c r="F44" s="27" t="n">
        <v>968.3099999999999</v>
      </c>
      <c r="G44" s="25" t="inlineStr">
        <is>
          <t>~</t>
        </is>
      </c>
      <c r="H44" s="26" t="n">
        <v>0.97</v>
      </c>
      <c r="I44" s="26" t="n">
        <v>6.94</v>
      </c>
      <c r="J44" s="28">
        <f>Index!$C$2</f>
        <v/>
      </c>
      <c r="K44" s="29">
        <f>IF(AND( C15="Buy", ISBLANK(W15), B15&lt;&gt;"DIV"), L15/SUM(F15:I15), "")</f>
        <v/>
      </c>
      <c r="L44" s="30">
        <f>IF(AND( C15="Buy", ISBLANK(W15), B15&lt;&gt;"DIV"), (1-Index!$F$2*2)*((J15*D15)-(E15*D15)), "")</f>
        <v/>
      </c>
      <c r="M44" s="30">
        <f>IF(AND( C15="Buy", ISBLANK(W15), B15&lt;&gt;"DIV"), ((E15*D15)+L15), "")</f>
        <v/>
      </c>
      <c r="N44" s="31">
        <f>IF(AND( C15="Buy", ISBLANK(W15), B15&lt;&gt;"DIV"), D15, "")</f>
        <v/>
      </c>
      <c r="O44" s="29">
        <f>IF(AND( C15="Buy", ISBLANK(W15), B15&lt;&gt;"DIV", NOW()-A15 &lt; 365), P15/SUM(F15:I15), "")</f>
        <v/>
      </c>
      <c r="P44" s="30">
        <f>IF(AND( C15="Buy", ISBLANK(W15), B15&lt;&gt;"DIV", NOW()-A15 &lt; 365), (1-Index!$F$2*2)*((J15*D15)-(E15*D15)), "")</f>
        <v/>
      </c>
      <c r="Q44" s="30">
        <f>IF(AND( C15="Buy", ISBLANK(W15), B15&lt;&gt;"DIV", NOW()-A15 &lt; 365), ((E15*D15)+P15), "")</f>
        <v/>
      </c>
      <c r="R44" s="30">
        <f>IF(AND( C15="Buy", ISBLANK(W15), B15&lt;&gt;"DIV", NOW()-A15 &lt; 365), D15, "")</f>
        <v/>
      </c>
      <c r="S44" s="32">
        <f>IF(AND( C15="Buy", ISBLANK(W15), B15&lt;&gt;"DIV", NOW()-A15 &gt; 365), T15/SUM(F15:I15), "")</f>
        <v/>
      </c>
      <c r="T44" s="33">
        <f>IF(AND( C15="Buy", ISBLANK(W15), B15&lt;&gt;"DIV", NOW()-A15 &gt; 365), (1-Index!$F$2*2)*((J15*D15)-(E15*D15)), "")</f>
        <v/>
      </c>
      <c r="U44" s="33">
        <f>IF(AND( C15="Buy", ISBLANK(W15), B15&lt;&gt;"DIV", NOW()-A15 &gt; 365), ((E15*D15)+T15), "")</f>
        <v/>
      </c>
      <c r="V44" s="33">
        <f>IF(AND( C15="Buy", ISBLANK(W15), B15&lt;&gt;"DIV", NOW()-A15 &gt; 365), D15, "")</f>
        <v/>
      </c>
      <c r="W44" s="33" t="n">
        <v>703.9400000000001</v>
      </c>
      <c r="X44" s="36" t="n">
        <v>45806</v>
      </c>
      <c r="Y44" s="37">
        <f>IF(AND( C15="Buy", W15&lt;&gt;"", AA15&lt;&gt;"", B15&lt;&gt;"DIV"), Z15/SUM(F15:I15), "")</f>
        <v/>
      </c>
      <c r="Z44" s="38" t="n">
        <v>-2765.4835</v>
      </c>
      <c r="AA44" s="38" t="n">
        <v>2804.75</v>
      </c>
      <c r="AB44" s="39" t="n">
        <v>5</v>
      </c>
      <c r="AC44" s="30">
        <f>IF(B15="DIV", F15,"")</f>
        <v/>
      </c>
      <c r="AD44" s="35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</row>
    <row r="45" ht="15.75" customHeight="1" s="62">
      <c r="A45" s="36" t="n">
        <v>45712</v>
      </c>
      <c r="B45" s="25" t="inlineStr">
        <is>
          <t>BSE</t>
        </is>
      </c>
      <c r="C45" s="25" t="inlineStr">
        <is>
          <t>Buy</t>
        </is>
      </c>
      <c r="D45" s="26" t="n">
        <v>28</v>
      </c>
      <c r="E45" s="27" t="n">
        <v>490.95</v>
      </c>
      <c r="F45" s="27" t="n">
        <v>13746.59</v>
      </c>
      <c r="G45" s="25" t="inlineStr">
        <is>
          <t>~</t>
        </is>
      </c>
      <c r="H45" s="26" t="n">
        <v>13.53</v>
      </c>
      <c r="I45" s="26" t="n">
        <v>98.45999999999999</v>
      </c>
      <c r="J45" s="28">
        <f>Index!$C$2</f>
        <v/>
      </c>
      <c r="K45" s="29">
        <f>IF(AND( C16="Buy", ISBLANK(W16), B16&lt;&gt;"DIV"), L16/SUM(F16:I16), "")</f>
        <v/>
      </c>
      <c r="L45" s="30">
        <f>IF(AND( C16="Buy", ISBLANK(W16), B16&lt;&gt;"DIV"), (1-Index!$F$2*2)*((J16*D16)-(E16*D16)), "")</f>
        <v/>
      </c>
      <c r="M45" s="30">
        <f>IF(AND( C16="Buy", ISBLANK(W16), B16&lt;&gt;"DIV"), ((E16*D16)+L16), "")</f>
        <v/>
      </c>
      <c r="N45" s="31">
        <f>IF(AND( C16="Buy", ISBLANK(W16), B16&lt;&gt;"DIV"), D16, "")</f>
        <v/>
      </c>
      <c r="O45" s="29">
        <f>IF(AND( C16="Buy", ISBLANK(W16), B16&lt;&gt;"DIV", NOW()-A16 &lt; 365), P16/SUM(F16:I16), "")</f>
        <v/>
      </c>
      <c r="P45" s="30">
        <f>IF(AND( C16="Buy", ISBLANK(W16), B16&lt;&gt;"DIV", NOW()-A16 &lt; 365), (1-Index!$F$2*2)*((J16*D16)-(E16*D16)), "")</f>
        <v/>
      </c>
      <c r="Q45" s="30">
        <f>IF(AND( C16="Buy", ISBLANK(W16), B16&lt;&gt;"DIV", NOW()-A16 &lt; 365), ((E16*D16)+P16), "")</f>
        <v/>
      </c>
      <c r="R45" s="30">
        <f>IF(AND( C16="Buy", ISBLANK(W16), B16&lt;&gt;"DIV", NOW()-A16 &lt; 365), D16, "")</f>
        <v/>
      </c>
      <c r="S45" s="32">
        <f>IF(AND( C16="Buy", ISBLANK(W16), B16&lt;&gt;"DIV", NOW()-A16 &gt; 365), T16/SUM(F16:I16), "")</f>
        <v/>
      </c>
      <c r="T45" s="33">
        <f>IF(AND( C16="Buy", ISBLANK(W16), B16&lt;&gt;"DIV", NOW()-A16 &gt; 365), (1-Index!$F$2*2)*((J16*D16)-(E16*D16)), "")</f>
        <v/>
      </c>
      <c r="U45" s="33">
        <f>IF(AND( C16="Buy", ISBLANK(W16), B16&lt;&gt;"DIV", NOW()-A16 &gt; 365), ((E16*D16)+T16), "")</f>
        <v/>
      </c>
      <c r="V45" s="33">
        <f>IF(AND( C16="Buy", ISBLANK(W16), B16&lt;&gt;"DIV", NOW()-A16 &gt; 365), D16, "")</f>
        <v/>
      </c>
      <c r="W45" s="33" t="n">
        <v>703.9400000000001</v>
      </c>
      <c r="X45" s="36" t="n">
        <v>45806</v>
      </c>
      <c r="Y45" s="37">
        <f>IF(AND( C16="Buy", W16&lt;&gt;"", AA16&lt;&gt;"", B16&lt;&gt;"DIV"), Z16/SUM(F16:I16), "")</f>
        <v/>
      </c>
      <c r="Z45" s="38" t="n">
        <v>-2765.73</v>
      </c>
      <c r="AA45" s="38" t="n">
        <v>2805</v>
      </c>
      <c r="AB45" s="39" t="n">
        <v>5</v>
      </c>
      <c r="AC45" s="30">
        <f>IF(B16="DIV", F16,"")</f>
        <v/>
      </c>
      <c r="AD45" s="35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</row>
    <row r="46" ht="15.75" customHeight="1" s="62">
      <c r="A46" s="36" t="n">
        <v>45712</v>
      </c>
      <c r="B46" s="25" t="inlineStr">
        <is>
          <t>BSE</t>
        </is>
      </c>
      <c r="C46" s="25" t="inlineStr">
        <is>
          <t>Buy</t>
        </is>
      </c>
      <c r="D46" s="26" t="n">
        <v>2</v>
      </c>
      <c r="E46" s="27" t="n">
        <v>484.9</v>
      </c>
      <c r="F46" s="27" t="n">
        <v>969.8099999999999</v>
      </c>
      <c r="G46" s="25" t="inlineStr">
        <is>
          <t>~</t>
        </is>
      </c>
      <c r="H46" s="26" t="n">
        <v>0.97</v>
      </c>
      <c r="I46" s="26" t="n">
        <v>6.94</v>
      </c>
      <c r="J46" s="28">
        <f>Index!$C$2</f>
        <v/>
      </c>
      <c r="K46" s="29">
        <f>IF(AND( C17="Buy", ISBLANK(W17), B17&lt;&gt;"DIV"), L17/SUM(F17:I17), "")</f>
        <v/>
      </c>
      <c r="L46" s="30">
        <f>IF(AND( C17="Buy", ISBLANK(W17), B17&lt;&gt;"DIV"), (1-Index!$F$2*2)*((J17*D17)-(E17*D17)), "")</f>
        <v/>
      </c>
      <c r="M46" s="30">
        <f>IF(AND( C17="Buy", ISBLANK(W17), B17&lt;&gt;"DIV"), ((E17*D17)+L17), "")</f>
        <v/>
      </c>
      <c r="N46" s="31">
        <f>IF(AND( C17="Buy", ISBLANK(W17), B17&lt;&gt;"DIV"), D17, "")</f>
        <v/>
      </c>
      <c r="O46" s="29">
        <f>IF(AND( C17="Buy", ISBLANK(W17), B17&lt;&gt;"DIV", NOW()-A17 &lt; 365), P17/SUM(F17:I17), "")</f>
        <v/>
      </c>
      <c r="P46" s="30">
        <f>IF(AND( C17="Buy", ISBLANK(W17), B17&lt;&gt;"DIV", NOW()-A17 &lt; 365), (1-Index!$F$2*2)*((J17*D17)-(E17*D17)), "")</f>
        <v/>
      </c>
      <c r="Q46" s="30">
        <f>IF(AND( C17="Buy", ISBLANK(W17), B17&lt;&gt;"DIV", NOW()-A17 &lt; 365), ((E17*D17)+P17), "")</f>
        <v/>
      </c>
      <c r="R46" s="30">
        <f>IF(AND( C17="Buy", ISBLANK(W17), B17&lt;&gt;"DIV", NOW()-A17 &lt; 365), D17, "")</f>
        <v/>
      </c>
      <c r="S46" s="32">
        <f>IF(AND( C17="Buy", ISBLANK(W17), B17&lt;&gt;"DIV", NOW()-A17 &gt; 365), T17/SUM(F17:I17), "")</f>
        <v/>
      </c>
      <c r="T46" s="33">
        <f>IF(AND( C17="Buy", ISBLANK(W17), B17&lt;&gt;"DIV", NOW()-A17 &gt; 365), (1-Index!$F$2*2)*((J17*D17)-(E17*D17)), "")</f>
        <v/>
      </c>
      <c r="U46" s="33">
        <f>IF(AND( C17="Buy", ISBLANK(W17), B17&lt;&gt;"DIV", NOW()-A17 &gt; 365), ((E17*D17)+T17), "")</f>
        <v/>
      </c>
      <c r="V46" s="33">
        <f>IF(AND( C17="Buy", ISBLANK(W17), B17&lt;&gt;"DIV", NOW()-A17 &gt; 365), D17, "")</f>
        <v/>
      </c>
      <c r="W46" s="33" t="n">
        <v>703.9400000000001</v>
      </c>
      <c r="X46" s="36" t="n">
        <v>45806</v>
      </c>
      <c r="Y46" s="37">
        <f>IF(AND( C17="Buy", W17&lt;&gt;"", AA17&lt;&gt;"", B17&lt;&gt;"DIV"), Z17/SUM(F17:I17), "")</f>
        <v/>
      </c>
      <c r="Z46" s="38" t="n">
        <v>-5659.147</v>
      </c>
      <c r="AA46" s="38" t="n">
        <v>5739.5</v>
      </c>
      <c r="AB46" s="39" t="n">
        <v>10</v>
      </c>
      <c r="AC46" s="30">
        <f>IF(B17="DIV", F17,"")</f>
        <v/>
      </c>
      <c r="AD46" s="35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</row>
    <row r="47" ht="15.75" customHeight="1" s="62">
      <c r="A47" s="36" t="n">
        <v>45712</v>
      </c>
      <c r="B47" s="25" t="inlineStr">
        <is>
          <t>BSE</t>
        </is>
      </c>
      <c r="C47" s="25" t="inlineStr">
        <is>
          <t>Buy</t>
        </is>
      </c>
      <c r="D47" s="26" t="n">
        <v>2</v>
      </c>
      <c r="E47" s="27" t="n">
        <v>485.67</v>
      </c>
      <c r="F47" s="27" t="n">
        <v>971.33</v>
      </c>
      <c r="G47" s="25" t="inlineStr">
        <is>
          <t>~</t>
        </is>
      </c>
      <c r="H47" s="26" t="n">
        <v>0.97</v>
      </c>
      <c r="I47" s="26" t="n">
        <v>6.96</v>
      </c>
      <c r="J47" s="28">
        <f>Index!$C$2</f>
        <v/>
      </c>
      <c r="K47" s="29">
        <f>IF(AND( C18="Buy", ISBLANK(W18), B18&lt;&gt;"DIV"), L18/SUM(F18:I18), "")</f>
        <v/>
      </c>
      <c r="L47" s="30">
        <f>IF(AND( C18="Buy", ISBLANK(W18), B18&lt;&gt;"DIV"), (1-Index!$F$2*2)*((J18*D18)-(E18*D18)), "")</f>
        <v/>
      </c>
      <c r="M47" s="30">
        <f>IF(AND( C18="Buy", ISBLANK(W18), B18&lt;&gt;"DIV"), ((E18*D18)+L18), "")</f>
        <v/>
      </c>
      <c r="N47" s="31">
        <f>IF(AND( C18="Buy", ISBLANK(W18), B18&lt;&gt;"DIV"), D18, "")</f>
        <v/>
      </c>
      <c r="O47" s="29">
        <f>IF(AND( C18="Buy", ISBLANK(W18), B18&lt;&gt;"DIV", NOW()-A18 &lt; 365), P18/SUM(F18:I18), "")</f>
        <v/>
      </c>
      <c r="P47" s="30">
        <f>IF(AND( C18="Buy", ISBLANK(W18), B18&lt;&gt;"DIV", NOW()-A18 &lt; 365), (1-Index!$F$2*2)*((J18*D18)-(E18*D18)), "")</f>
        <v/>
      </c>
      <c r="Q47" s="30">
        <f>IF(AND( C18="Buy", ISBLANK(W18), B18&lt;&gt;"DIV", NOW()-A18 &lt; 365), ((E18*D18)+P18), "")</f>
        <v/>
      </c>
      <c r="R47" s="30">
        <f>IF(AND( C18="Buy", ISBLANK(W18), B18&lt;&gt;"DIV", NOW()-A18 &lt; 365), D18, "")</f>
        <v/>
      </c>
      <c r="S47" s="32">
        <f>IF(AND( C18="Buy", ISBLANK(W18), B18&lt;&gt;"DIV", NOW()-A18 &gt; 365), T18/SUM(F18:I18), "")</f>
        <v/>
      </c>
      <c r="T47" s="33">
        <f>IF(AND( C18="Buy", ISBLANK(W18), B18&lt;&gt;"DIV", NOW()-A18 &gt; 365), (1-Index!$F$2*2)*((J18*D18)-(E18*D18)), "")</f>
        <v/>
      </c>
      <c r="U47" s="33">
        <f>IF(AND( C18="Buy", ISBLANK(W18), B18&lt;&gt;"DIV", NOW()-A18 &gt; 365), ((E18*D18)+T18), "")</f>
        <v/>
      </c>
      <c r="V47" s="33">
        <f>IF(AND( C18="Buy", ISBLANK(W18), B18&lt;&gt;"DIV", NOW()-A18 &gt; 365), D18, "")</f>
        <v/>
      </c>
      <c r="W47" s="33" t="n">
        <v>703.9400000000001</v>
      </c>
      <c r="X47" s="36" t="n">
        <v>45806</v>
      </c>
      <c r="Y47" s="37">
        <f>IF(AND( C18="Buy", W18&lt;&gt;"", AA18&lt;&gt;"", B18&lt;&gt;"DIV"), Z18/SUM(F18:I18), "")</f>
        <v/>
      </c>
      <c r="Z47" s="38" t="n">
        <v>-2893.6635</v>
      </c>
      <c r="AA47" s="38" t="n">
        <v>2934.75</v>
      </c>
      <c r="AB47" s="39" t="n">
        <v>5</v>
      </c>
      <c r="AC47" s="30">
        <f>IF(B18="DIV", F18,"")</f>
        <v/>
      </c>
      <c r="AD47" s="35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</row>
    <row r="48" ht="15.75" customHeight="1" s="62">
      <c r="A48" s="36" t="n">
        <v>45712</v>
      </c>
      <c r="B48" s="25" t="inlineStr">
        <is>
          <t>BSE</t>
        </is>
      </c>
      <c r="C48" s="25" t="inlineStr">
        <is>
          <t>Buy</t>
        </is>
      </c>
      <c r="D48" s="26" t="n">
        <v>2</v>
      </c>
      <c r="E48" s="27" t="n">
        <v>485.92</v>
      </c>
      <c r="F48" s="27" t="n">
        <v>971.83</v>
      </c>
      <c r="G48" s="25" t="inlineStr">
        <is>
          <t>~</t>
        </is>
      </c>
      <c r="H48" s="26" t="n">
        <v>0.97</v>
      </c>
      <c r="I48" s="26" t="n">
        <v>6.96</v>
      </c>
      <c r="J48" s="28">
        <f>Index!$C$2</f>
        <v/>
      </c>
      <c r="K48" s="29">
        <f>IF(AND( C19="Buy", ISBLANK(W19), B19&lt;&gt;"DIV"), L19/SUM(F19:I19), "")</f>
        <v/>
      </c>
      <c r="L48" s="30">
        <f>IF(AND( C19="Buy", ISBLANK(W19), B19&lt;&gt;"DIV"), (1-Index!$F$2*2)*((J19*D19)-(E19*D19)), "")</f>
        <v/>
      </c>
      <c r="M48" s="30">
        <f>IF(AND( C19="Buy", ISBLANK(W19), B19&lt;&gt;"DIV"), ((E19*D19)+L19), "")</f>
        <v/>
      </c>
      <c r="N48" s="31">
        <f>IF(AND( C19="Buy", ISBLANK(W19), B19&lt;&gt;"DIV"), D19, "")</f>
        <v/>
      </c>
      <c r="O48" s="29">
        <f>IF(AND( C19="Buy", ISBLANK(W19), B19&lt;&gt;"DIV", NOW()-A19 &lt; 365), P19/SUM(F19:I19), "")</f>
        <v/>
      </c>
      <c r="P48" s="30">
        <f>IF(AND( C19="Buy", ISBLANK(W19), B19&lt;&gt;"DIV", NOW()-A19 &lt; 365), (1-Index!$F$2*2)*((J19*D19)-(E19*D19)), "")</f>
        <v/>
      </c>
      <c r="Q48" s="30">
        <f>IF(AND( C19="Buy", ISBLANK(W19), B19&lt;&gt;"DIV", NOW()-A19 &lt; 365), ((E19*D19)+P19), "")</f>
        <v/>
      </c>
      <c r="R48" s="30">
        <f>IF(AND( C19="Buy", ISBLANK(W19), B19&lt;&gt;"DIV", NOW()-A19 &lt; 365), D19, "")</f>
        <v/>
      </c>
      <c r="S48" s="32">
        <f>IF(AND( C19="Buy", ISBLANK(W19), B19&lt;&gt;"DIV", NOW()-A19 &gt; 365), T19/SUM(F19:I19), "")</f>
        <v/>
      </c>
      <c r="T48" s="33">
        <f>IF(AND( C19="Buy", ISBLANK(W19), B19&lt;&gt;"DIV", NOW()-A19 &gt; 365), (1-Index!$F$2*2)*((J19*D19)-(E19*D19)), "")</f>
        <v/>
      </c>
      <c r="U48" s="33">
        <f>IF(AND( C19="Buy", ISBLANK(W19), B19&lt;&gt;"DIV", NOW()-A19 &gt; 365), ((E19*D19)+T19), "")</f>
        <v/>
      </c>
      <c r="V48" s="33">
        <f>IF(AND( C19="Buy", ISBLANK(W19), B19&lt;&gt;"DIV", NOW()-A19 &gt; 365), D19, "")</f>
        <v/>
      </c>
      <c r="W48" s="33" t="n">
        <v>703.9400000000001</v>
      </c>
      <c r="X48" s="36" t="n">
        <v>45806</v>
      </c>
      <c r="Y48" s="37">
        <f>IF(AND( C19="Buy", W19&lt;&gt;"", AA19&lt;&gt;"", B19&lt;&gt;"DIV"), Z19/SUM(F19:I19), "")</f>
        <v/>
      </c>
      <c r="Z48" s="38" t="n">
        <v>-3061.53</v>
      </c>
      <c r="AA48" s="38" t="n">
        <v>3105</v>
      </c>
      <c r="AB48" s="39" t="n">
        <v>5</v>
      </c>
      <c r="AC48" s="30">
        <f>IF(B19="DIV", F19,"")</f>
        <v/>
      </c>
      <c r="AD48" s="35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</row>
    <row r="49" ht="15.75" customHeight="1" s="62">
      <c r="A49" s="36" t="n">
        <v>45712</v>
      </c>
      <c r="B49" s="25" t="inlineStr">
        <is>
          <t>BSE</t>
        </is>
      </c>
      <c r="C49" s="25" t="inlineStr">
        <is>
          <t>Buy</t>
        </is>
      </c>
      <c r="D49" s="26" t="n">
        <v>2</v>
      </c>
      <c r="E49" s="27" t="n">
        <v>483.95</v>
      </c>
      <c r="F49" s="27" t="n">
        <v>967.91</v>
      </c>
      <c r="G49" s="25" t="inlineStr">
        <is>
          <t>~</t>
        </is>
      </c>
      <c r="H49" s="26" t="n">
        <v>0.97</v>
      </c>
      <c r="I49" s="26" t="n">
        <v>6.94</v>
      </c>
      <c r="J49" s="28">
        <f>Index!$C$2</f>
        <v/>
      </c>
      <c r="K49" s="29">
        <f>IF(AND( C20="Buy", ISBLANK(W20), B20&lt;&gt;"DIV"), L20/SUM(F20:I20), "")</f>
        <v/>
      </c>
      <c r="L49" s="30">
        <f>IF(AND( C20="Buy", ISBLANK(W20), B20&lt;&gt;"DIV"), (1-Index!$F$2*2)*((J20*D20)-(E20*D20)), "")</f>
        <v/>
      </c>
      <c r="M49" s="30">
        <f>IF(AND( C20="Buy", ISBLANK(W20), B20&lt;&gt;"DIV"), ((E20*D20)+L20), "")</f>
        <v/>
      </c>
      <c r="N49" s="31">
        <f>IF(AND( C20="Buy", ISBLANK(W20), B20&lt;&gt;"DIV"), D20, "")</f>
        <v/>
      </c>
      <c r="O49" s="29">
        <f>IF(AND( C20="Buy", ISBLANK(W20), B20&lt;&gt;"DIV", NOW()-A20 &lt; 365), P20/SUM(F20:I20), "")</f>
        <v/>
      </c>
      <c r="P49" s="30">
        <f>IF(AND( C20="Buy", ISBLANK(W20), B20&lt;&gt;"DIV", NOW()-A20 &lt; 365), (1-Index!$F$2*2)*((J20*D20)-(E20*D20)), "")</f>
        <v/>
      </c>
      <c r="Q49" s="30">
        <f>IF(AND( C20="Buy", ISBLANK(W20), B20&lt;&gt;"DIV", NOW()-A20 &lt; 365), ((E20*D20)+P20), "")</f>
        <v/>
      </c>
      <c r="R49" s="30">
        <f>IF(AND( C20="Buy", ISBLANK(W20), B20&lt;&gt;"DIV", NOW()-A20 &lt; 365), D20, "")</f>
        <v/>
      </c>
      <c r="S49" s="32">
        <f>IF(AND( C20="Buy", ISBLANK(W20), B20&lt;&gt;"DIV", NOW()-A20 &gt; 365), T20/SUM(F20:I20), "")</f>
        <v/>
      </c>
      <c r="T49" s="33">
        <f>IF(AND( C20="Buy", ISBLANK(W20), B20&lt;&gt;"DIV", NOW()-A20 &gt; 365), (1-Index!$F$2*2)*((J20*D20)-(E20*D20)), "")</f>
        <v/>
      </c>
      <c r="U49" s="33">
        <f>IF(AND( C20="Buy", ISBLANK(W20), B20&lt;&gt;"DIV", NOW()-A20 &gt; 365), ((E20*D20)+T20), "")</f>
        <v/>
      </c>
      <c r="V49" s="33">
        <f>IF(AND( C20="Buy", ISBLANK(W20), B20&lt;&gt;"DIV", NOW()-A20 &gt; 365), D20, "")</f>
        <v/>
      </c>
      <c r="W49" s="33" t="n">
        <v>703.9400000000001</v>
      </c>
      <c r="X49" s="36" t="n">
        <v>45806</v>
      </c>
      <c r="Y49" s="37">
        <f>IF(AND( C20="Buy", W20&lt;&gt;"", AA20&lt;&gt;"", B20&lt;&gt;"DIV"), Z20/SUM(F20:I20), "")</f>
        <v/>
      </c>
      <c r="Z49" s="38" t="n">
        <v>-1232.4014</v>
      </c>
      <c r="AA49" s="38" t="n">
        <v>1249.9</v>
      </c>
      <c r="AB49" s="39" t="n">
        <v>2</v>
      </c>
      <c r="AC49" s="30">
        <f>IF(B20="DIV", F20,"")</f>
        <v/>
      </c>
      <c r="AD49" s="35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</row>
    <row r="50" ht="15.75" customHeight="1" s="62">
      <c r="A50" s="36" t="n">
        <v>45712</v>
      </c>
      <c r="B50" s="25" t="inlineStr">
        <is>
          <t>BSE</t>
        </is>
      </c>
      <c r="C50" s="25" t="inlineStr">
        <is>
          <t>Buy</t>
        </is>
      </c>
      <c r="D50" s="26" t="n">
        <v>2</v>
      </c>
      <c r="E50" s="27" t="n">
        <v>484.65</v>
      </c>
      <c r="F50" s="27" t="n">
        <v>969.3099999999999</v>
      </c>
      <c r="G50" s="25" t="inlineStr">
        <is>
          <t>~</t>
        </is>
      </c>
      <c r="H50" s="26" t="n">
        <v>0.97</v>
      </c>
      <c r="I50" s="26" t="n">
        <v>6.94</v>
      </c>
      <c r="J50" s="28">
        <f>Index!$C$2</f>
        <v/>
      </c>
      <c r="K50" s="29">
        <f>IF(AND( C21="Buy", ISBLANK(W21), B21&lt;&gt;"DIV"), L21/SUM(F21:I21), "")</f>
        <v/>
      </c>
      <c r="L50" s="30">
        <f>IF(AND( C21="Buy", ISBLANK(W21), B21&lt;&gt;"DIV"), (1-Index!$F$2*2)*((J21*D21)-(E21*D21)), "")</f>
        <v/>
      </c>
      <c r="M50" s="30">
        <f>IF(AND( C21="Buy", ISBLANK(W21), B21&lt;&gt;"DIV"), ((E21*D21)+L21), "")</f>
        <v/>
      </c>
      <c r="N50" s="31">
        <f>IF(AND( C21="Buy", ISBLANK(W21), B21&lt;&gt;"DIV"), D21, "")</f>
        <v/>
      </c>
      <c r="O50" s="29">
        <f>IF(AND( C21="Buy", ISBLANK(W21), B21&lt;&gt;"DIV", NOW()-A21 &lt; 365), P21/SUM(F21:I21), "")</f>
        <v/>
      </c>
      <c r="P50" s="30">
        <f>IF(AND( C21="Buy", ISBLANK(W21), B21&lt;&gt;"DIV", NOW()-A21 &lt; 365), (1-Index!$F$2*2)*((J21*D21)-(E21*D21)), "")</f>
        <v/>
      </c>
      <c r="Q50" s="30">
        <f>IF(AND( C21="Buy", ISBLANK(W21), B21&lt;&gt;"DIV", NOW()-A21 &lt; 365), ((E21*D21)+P21), "")</f>
        <v/>
      </c>
      <c r="R50" s="30">
        <f>IF(AND( C21="Buy", ISBLANK(W21), B21&lt;&gt;"DIV", NOW()-A21 &lt; 365), D21, "")</f>
        <v/>
      </c>
      <c r="S50" s="32">
        <f>IF(AND( C21="Buy", ISBLANK(W21), B21&lt;&gt;"DIV", NOW()-A21 &gt; 365), T21/SUM(F21:I21), "")</f>
        <v/>
      </c>
      <c r="T50" s="33">
        <f>IF(AND( C21="Buy", ISBLANK(W21), B21&lt;&gt;"DIV", NOW()-A21 &gt; 365), (1-Index!$F$2*2)*((J21*D21)-(E21*D21)), "")</f>
        <v/>
      </c>
      <c r="U50" s="33">
        <f>IF(AND( C21="Buy", ISBLANK(W21), B21&lt;&gt;"DIV", NOW()-A21 &gt; 365), ((E21*D21)+T21), "")</f>
        <v/>
      </c>
      <c r="V50" s="33">
        <f>IF(AND( C21="Buy", ISBLANK(W21), B21&lt;&gt;"DIV", NOW()-A21 &gt; 365), D21, "")</f>
        <v/>
      </c>
      <c r="W50" s="33" t="n">
        <v>703.9400000000001</v>
      </c>
      <c r="X50" s="36" t="n">
        <v>45806</v>
      </c>
      <c r="Y50" s="37">
        <f>IF(AND( C21="Buy", W21&lt;&gt;"", AA21&lt;&gt;"", B21&lt;&gt;"DIV"), Z21/SUM(F21:I21), "")</f>
        <v/>
      </c>
      <c r="Z50" s="38" t="n">
        <v>-1842.2424</v>
      </c>
      <c r="AA50" s="38" t="n">
        <v>1868.4</v>
      </c>
      <c r="AB50" s="39" t="n">
        <v>3</v>
      </c>
      <c r="AC50" s="30">
        <f>IF(B21="DIV", F21,"")</f>
        <v/>
      </c>
      <c r="AD50" s="35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</row>
    <row r="51" ht="15.75" customHeight="1" s="62">
      <c r="A51" s="36" t="n">
        <v>45712</v>
      </c>
      <c r="B51" s="25" t="inlineStr">
        <is>
          <t>BSE</t>
        </is>
      </c>
      <c r="C51" s="25" t="inlineStr">
        <is>
          <t>Buy</t>
        </is>
      </c>
      <c r="D51" s="26" t="n">
        <v>2</v>
      </c>
      <c r="E51" s="27" t="n">
        <v>486.17</v>
      </c>
      <c r="F51" s="27" t="n">
        <v>972.33</v>
      </c>
      <c r="G51" s="25" t="inlineStr">
        <is>
          <t>~</t>
        </is>
      </c>
      <c r="H51" s="26" t="n">
        <v>0.97</v>
      </c>
      <c r="I51" s="26" t="n">
        <v>6.96</v>
      </c>
      <c r="J51" s="28">
        <f>Index!$C$2</f>
        <v/>
      </c>
      <c r="K51" s="29">
        <f>IF(AND( C22="Buy", ISBLANK(W22), B22&lt;&gt;"DIV"), L22/SUM(F22:I22), "")</f>
        <v/>
      </c>
      <c r="L51" s="30">
        <f>IF(AND( C22="Buy", ISBLANK(W22), B22&lt;&gt;"DIV"), (1-Index!$F$2*2)*((J22*D22)-(E22*D22)), "")</f>
        <v/>
      </c>
      <c r="M51" s="30">
        <f>IF(AND( C22="Buy", ISBLANK(W22), B22&lt;&gt;"DIV"), ((E22*D22)+L22), "")</f>
        <v/>
      </c>
      <c r="N51" s="31">
        <f>IF(AND( C22="Buy", ISBLANK(W22), B22&lt;&gt;"DIV"), D22, "")</f>
        <v/>
      </c>
      <c r="O51" s="29">
        <f>IF(AND( C22="Buy", ISBLANK(W22), B22&lt;&gt;"DIV", NOW()-A22 &lt; 365), P22/SUM(F22:I22), "")</f>
        <v/>
      </c>
      <c r="P51" s="30">
        <f>IF(AND( C22="Buy", ISBLANK(W22), B22&lt;&gt;"DIV", NOW()-A22 &lt; 365), (1-Index!$F$2*2)*((J22*D22)-(E22*D22)), "")</f>
        <v/>
      </c>
      <c r="Q51" s="30">
        <f>IF(AND( C22="Buy", ISBLANK(W22), B22&lt;&gt;"DIV", NOW()-A22 &lt; 365), ((E22*D22)+P22), "")</f>
        <v/>
      </c>
      <c r="R51" s="30">
        <f>IF(AND( C22="Buy", ISBLANK(W22), B22&lt;&gt;"DIV", NOW()-A22 &lt; 365), D22, "")</f>
        <v/>
      </c>
      <c r="S51" s="32">
        <f>IF(AND( C22="Buy", ISBLANK(W22), B22&lt;&gt;"DIV", NOW()-A22 &gt; 365), T22/SUM(F22:I22), "")</f>
        <v/>
      </c>
      <c r="T51" s="33">
        <f>IF(AND( C22="Buy", ISBLANK(W22), B22&lt;&gt;"DIV", NOW()-A22 &gt; 365), (1-Index!$F$2*2)*((J22*D22)-(E22*D22)), "")</f>
        <v/>
      </c>
      <c r="U51" s="33">
        <f>IF(AND( C22="Buy", ISBLANK(W22), B22&lt;&gt;"DIV", NOW()-A22 &gt; 365), ((E22*D22)+T22), "")</f>
        <v/>
      </c>
      <c r="V51" s="33">
        <f>IF(AND( C22="Buy", ISBLANK(W22), B22&lt;&gt;"DIV", NOW()-A22 &gt; 365), D22, "")</f>
        <v/>
      </c>
      <c r="W51" s="33" t="n">
        <v>703.9400000000001</v>
      </c>
      <c r="X51" s="36" t="n">
        <v>45806</v>
      </c>
      <c r="Y51" s="37">
        <f>IF(AND( C22="Buy", W22&lt;&gt;"", AA22&lt;&gt;"", B22&lt;&gt;"DIV"), Z22/SUM(F22:I22), "")</f>
        <v/>
      </c>
      <c r="Z51" s="38" t="n">
        <v>-648.788</v>
      </c>
      <c r="AA51" s="38" t="n">
        <v>658</v>
      </c>
      <c r="AB51" s="39" t="n">
        <v>1</v>
      </c>
      <c r="AC51" s="30">
        <f>IF(B22="DIV", F22,"")</f>
        <v/>
      </c>
      <c r="AD51" s="35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</row>
    <row r="52" ht="15.75" customHeight="1" s="62">
      <c r="A52" s="36" t="n">
        <v>45705</v>
      </c>
      <c r="B52" s="25" t="inlineStr">
        <is>
          <t>BSE</t>
        </is>
      </c>
      <c r="C52" s="25" t="inlineStr">
        <is>
          <t>Buy</t>
        </is>
      </c>
      <c r="D52" s="26" t="n">
        <v>20</v>
      </c>
      <c r="E52" s="27" t="n">
        <v>445.69</v>
      </c>
      <c r="F52" s="27" t="n">
        <v>8913.73</v>
      </c>
      <c r="G52" s="25" t="inlineStr">
        <is>
          <t>~</t>
        </is>
      </c>
      <c r="H52" s="26" t="n">
        <v>8.83</v>
      </c>
      <c r="I52" s="26" t="n">
        <v>63.9</v>
      </c>
      <c r="J52" s="28">
        <f>Index!$C$2</f>
        <v/>
      </c>
      <c r="K52" s="29">
        <f>IF(AND( C23="Buy", ISBLANK(W23), B23&lt;&gt;"DIV"), L23/SUM(F23:I23), "")</f>
        <v/>
      </c>
      <c r="L52" s="30">
        <f>IF(AND( C23="Buy", ISBLANK(W23), B23&lt;&gt;"DIV"), (1-Index!$F$2*2)*((J23*D23)-(E23*D23)), "")</f>
        <v/>
      </c>
      <c r="M52" s="30">
        <f>IF(AND( C23="Buy", ISBLANK(W23), B23&lt;&gt;"DIV"), ((E23*D23)+L23), "")</f>
        <v/>
      </c>
      <c r="N52" s="31">
        <f>IF(AND( C23="Buy", ISBLANK(W23), B23&lt;&gt;"DIV"), D23, "")</f>
        <v/>
      </c>
      <c r="O52" s="29">
        <f>IF(AND( C23="Buy", ISBLANK(W23), B23&lt;&gt;"DIV", NOW()-A23 &lt; 365), P23/SUM(F23:I23), "")</f>
        <v/>
      </c>
      <c r="P52" s="30">
        <f>IF(AND( C23="Buy", ISBLANK(W23), B23&lt;&gt;"DIV", NOW()-A23 &lt; 365), (1-Index!$F$2*2)*((J23*D23)-(E23*D23)), "")</f>
        <v/>
      </c>
      <c r="Q52" s="30">
        <f>IF(AND( C23="Buy", ISBLANK(W23), B23&lt;&gt;"DIV", NOW()-A23 &lt; 365), ((E23*D23)+P23), "")</f>
        <v/>
      </c>
      <c r="R52" s="30">
        <f>IF(AND( C23="Buy", ISBLANK(W23), B23&lt;&gt;"DIV", NOW()-A23 &lt; 365), D23, "")</f>
        <v/>
      </c>
      <c r="S52" s="32">
        <f>IF(AND( C23="Buy", ISBLANK(W23), B23&lt;&gt;"DIV", NOW()-A23 &gt; 365), T23/SUM(F23:I23), "")</f>
        <v/>
      </c>
      <c r="T52" s="33">
        <f>IF(AND( C23="Buy", ISBLANK(W23), B23&lt;&gt;"DIV", NOW()-A23 &gt; 365), (1-Index!$F$2*2)*((J23*D23)-(E23*D23)), "")</f>
        <v/>
      </c>
      <c r="U52" s="33">
        <f>IF(AND( C23="Buy", ISBLANK(W23), B23&lt;&gt;"DIV", NOW()-A23 &gt; 365), ((E23*D23)+T23), "")</f>
        <v/>
      </c>
      <c r="V52" s="33">
        <f>IF(AND( C23="Buy", ISBLANK(W23), B23&lt;&gt;"DIV", NOW()-A23 &gt; 365), D23, "")</f>
        <v/>
      </c>
      <c r="W52" s="33" t="n">
        <v>703.9400000000001</v>
      </c>
      <c r="X52" s="36" t="n">
        <v>45806</v>
      </c>
      <c r="Y52" s="37">
        <f>IF(AND( C23="Buy", W23&lt;&gt;"", AA23&lt;&gt;"", B23&lt;&gt;"DIV"), Z23/SUM(F23:I23), "")</f>
        <v/>
      </c>
      <c r="Z52" s="38" t="n">
        <v>-1297.4774</v>
      </c>
      <c r="AA52" s="38" t="n">
        <v>1315.9</v>
      </c>
      <c r="AB52" s="39" t="n">
        <v>2</v>
      </c>
      <c r="AC52" s="30">
        <f>IF(B23="DIV", F23,"")</f>
        <v/>
      </c>
      <c r="AD52" s="35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</row>
    <row r="53" ht="15.75" customHeight="1" s="62">
      <c r="A53" s="36" t="n">
        <v>45699</v>
      </c>
      <c r="B53" s="25" t="inlineStr">
        <is>
          <t>BSE</t>
        </is>
      </c>
      <c r="C53" s="25" t="inlineStr">
        <is>
          <t>Buy</t>
        </is>
      </c>
      <c r="D53" s="26" t="n">
        <v>10</v>
      </c>
      <c r="E53" s="27" t="n">
        <v>509.46</v>
      </c>
      <c r="F53" s="27" t="n">
        <v>5094.65</v>
      </c>
      <c r="G53" s="25" t="inlineStr">
        <is>
          <t>~</t>
        </is>
      </c>
      <c r="H53" s="26" t="n">
        <v>5.05</v>
      </c>
      <c r="I53" s="26" t="n">
        <v>36.6</v>
      </c>
      <c r="J53" s="28">
        <f>Index!$C$2</f>
        <v/>
      </c>
      <c r="K53" s="29">
        <f>IF(AND( C24="Buy", ISBLANK(W24), B24&lt;&gt;"DIV"), L24/SUM(F24:I24), "")</f>
        <v/>
      </c>
      <c r="L53" s="30">
        <f>IF(AND( C24="Buy", ISBLANK(W24), B24&lt;&gt;"DIV"), (1-Index!$F$2*2)*((J24*D24)-(E24*D24)), "")</f>
        <v/>
      </c>
      <c r="M53" s="30">
        <f>IF(AND( C24="Buy", ISBLANK(W24), B24&lt;&gt;"DIV"), ((E24*D24)+L24), "")</f>
        <v/>
      </c>
      <c r="N53" s="31">
        <f>IF(AND( C24="Buy", ISBLANK(W24), B24&lt;&gt;"DIV"), D24, "")</f>
        <v/>
      </c>
      <c r="O53" s="29">
        <f>IF(AND( C24="Buy", ISBLANK(W24), B24&lt;&gt;"DIV", NOW()-A24 &lt; 365), P24/SUM(F24:I24), "")</f>
        <v/>
      </c>
      <c r="P53" s="30">
        <f>IF(AND( C24="Buy", ISBLANK(W24), B24&lt;&gt;"DIV", NOW()-A24 &lt; 365), (1-Index!$F$2*2)*((J24*D24)-(E24*D24)), "")</f>
        <v/>
      </c>
      <c r="Q53" s="30">
        <f>IF(AND( C24="Buy", ISBLANK(W24), B24&lt;&gt;"DIV", NOW()-A24 &lt; 365), ((E24*D24)+P24), "")</f>
        <v/>
      </c>
      <c r="R53" s="30">
        <f>IF(AND( C24="Buy", ISBLANK(W24), B24&lt;&gt;"DIV", NOW()-A24 &lt; 365), D24, "")</f>
        <v/>
      </c>
      <c r="S53" s="32">
        <f>IF(AND( C24="Buy", ISBLANK(W24), B24&lt;&gt;"DIV", NOW()-A24 &gt; 365), T24/SUM(F24:I24), "")</f>
        <v/>
      </c>
      <c r="T53" s="33">
        <f>IF(AND( C24="Buy", ISBLANK(W24), B24&lt;&gt;"DIV", NOW()-A24 &gt; 365), (1-Index!$F$2*2)*((J24*D24)-(E24*D24)), "")</f>
        <v/>
      </c>
      <c r="U53" s="33">
        <f>IF(AND( C24="Buy", ISBLANK(W24), B24&lt;&gt;"DIV", NOW()-A24 &gt; 365), ((E24*D24)+T24), "")</f>
        <v/>
      </c>
      <c r="V53" s="33">
        <f>IF(AND( C24="Buy", ISBLANK(W24), B24&lt;&gt;"DIV", NOW()-A24 &gt; 365), D24, "")</f>
        <v/>
      </c>
      <c r="W53" s="33" t="n">
        <v>703.9400000000001</v>
      </c>
      <c r="X53" s="36" t="n">
        <v>45806</v>
      </c>
      <c r="Y53" s="37">
        <f>IF(AND( C24="Buy", W24&lt;&gt;"", AA24&lt;&gt;"", B24&lt;&gt;"DIV"), Z24/SUM(F24:I24), "")</f>
        <v/>
      </c>
      <c r="Z53" s="38" t="n">
        <v>-1295.604</v>
      </c>
      <c r="AA53" s="38" t="n">
        <v>1314</v>
      </c>
      <c r="AB53" s="39" t="n">
        <v>2</v>
      </c>
      <c r="AC53" s="30">
        <f>IF(B24="DIV", F24,"")</f>
        <v/>
      </c>
      <c r="AD53" s="35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</row>
    <row r="54" ht="15.75" customHeight="1" s="62">
      <c r="A54" s="36" t="n">
        <v>45694</v>
      </c>
      <c r="B54" s="25" t="inlineStr">
        <is>
          <t>BSE</t>
        </is>
      </c>
      <c r="C54" s="25" t="inlineStr">
        <is>
          <t>Buy</t>
        </is>
      </c>
      <c r="D54" s="26" t="n">
        <v>20</v>
      </c>
      <c r="E54" s="27" t="n">
        <v>529.3200000000001</v>
      </c>
      <c r="F54" s="27" t="n">
        <v>10586.46</v>
      </c>
      <c r="G54" s="25" t="inlineStr">
        <is>
          <t>~</t>
        </is>
      </c>
      <c r="H54" s="26" t="n">
        <v>10.47</v>
      </c>
      <c r="I54" s="26" t="n">
        <v>75.98999999999999</v>
      </c>
      <c r="J54" s="28">
        <f>Index!$C$2</f>
        <v/>
      </c>
      <c r="K54" s="29">
        <f>IF(AND( C25="Buy", ISBLANK(W25), B25&lt;&gt;"DIV"), L25/SUM(F25:I25), "")</f>
        <v/>
      </c>
      <c r="L54" s="30">
        <f>IF(AND( C25="Buy", ISBLANK(W25), B25&lt;&gt;"DIV"), (1-Index!$F$2*2)*((J25*D25)-(E25*D25)), "")</f>
        <v/>
      </c>
      <c r="M54" s="30">
        <f>IF(AND( C25="Buy", ISBLANK(W25), B25&lt;&gt;"DIV"), ((E25*D25)+L25), "")</f>
        <v/>
      </c>
      <c r="N54" s="31">
        <f>IF(AND( C25="Buy", ISBLANK(W25), B25&lt;&gt;"DIV"), D25, "")</f>
        <v/>
      </c>
      <c r="O54" s="29">
        <f>IF(AND( C25="Buy", ISBLANK(W25), B25&lt;&gt;"DIV", NOW()-A25 &lt; 365), P25/SUM(F25:I25), "")</f>
        <v/>
      </c>
      <c r="P54" s="30">
        <f>IF(AND( C25="Buy", ISBLANK(W25), B25&lt;&gt;"DIV", NOW()-A25 &lt; 365), (1-Index!$F$2*2)*((J25*D25)-(E25*D25)), "")</f>
        <v/>
      </c>
      <c r="Q54" s="30">
        <f>IF(AND( C25="Buy", ISBLANK(W25), B25&lt;&gt;"DIV", NOW()-A25 &lt; 365), ((E25*D25)+P25), "")</f>
        <v/>
      </c>
      <c r="R54" s="30">
        <f>IF(AND( C25="Buy", ISBLANK(W25), B25&lt;&gt;"DIV", NOW()-A25 &lt; 365), D25, "")</f>
        <v/>
      </c>
      <c r="S54" s="32">
        <f>IF(AND( C25="Buy", ISBLANK(W25), B25&lt;&gt;"DIV", NOW()-A25 &gt; 365), T25/SUM(F25:I25), "")</f>
        <v/>
      </c>
      <c r="T54" s="33">
        <f>IF(AND( C25="Buy", ISBLANK(W25), B25&lt;&gt;"DIV", NOW()-A25 &gt; 365), (1-Index!$F$2*2)*((J25*D25)-(E25*D25)), "")</f>
        <v/>
      </c>
      <c r="U54" s="33">
        <f>IF(AND( C25="Buy", ISBLANK(W25), B25&lt;&gt;"DIV", NOW()-A25 &gt; 365), ((E25*D25)+T25), "")</f>
        <v/>
      </c>
      <c r="V54" s="33">
        <f>IF(AND( C25="Buy", ISBLANK(W25), B25&lt;&gt;"DIV", NOW()-A25 &gt; 365), D25, "")</f>
        <v/>
      </c>
      <c r="W54" s="33" t="n">
        <v>703.9400000000001</v>
      </c>
      <c r="X54" s="36" t="n">
        <v>45806</v>
      </c>
      <c r="Y54" s="37">
        <f>IF(AND( C25="Buy", W25&lt;&gt;"", AA25&lt;&gt;"", B25&lt;&gt;"DIV"), Z25/SUM(F25:I25), "")</f>
        <v/>
      </c>
      <c r="Z54" s="38" t="n">
        <v>-5624.637</v>
      </c>
      <c r="AA54" s="38" t="n">
        <v>5704.5</v>
      </c>
      <c r="AB54" s="39" t="n">
        <v>10</v>
      </c>
      <c r="AC54" s="30">
        <f>IF(B25="DIV", F25,"")</f>
        <v/>
      </c>
      <c r="AD54" s="35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</row>
    <row r="55" ht="15.75" customHeight="1" s="62">
      <c r="E55" s="41" t="n"/>
      <c r="F55" s="41" t="n"/>
      <c r="G55" s="42" t="n"/>
      <c r="J55" s="41" t="n"/>
      <c r="K55" s="41" t="n"/>
      <c r="L55" s="41" t="n"/>
      <c r="M55" s="1" t="n"/>
      <c r="W55" s="41" t="n"/>
      <c r="X55" s="41" t="n"/>
      <c r="Y55" s="41" t="n"/>
      <c r="Z55" s="41" t="n"/>
      <c r="AA55" s="41" t="n"/>
      <c r="AB55" s="41" t="n"/>
      <c r="AC55" s="41" t="n"/>
    </row>
    <row r="56" ht="15.75" customHeight="1" s="62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2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2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2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2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2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3" customHeight="1" s="62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2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2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2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2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2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2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2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2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2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2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2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2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2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2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2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2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2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2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2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2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2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2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2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2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2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2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2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2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2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2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2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2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2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2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2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2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2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2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2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2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2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2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2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2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2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2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2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2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2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2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2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2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2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2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2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2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2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2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2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2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2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2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2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2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2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2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2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2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2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2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2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2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2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2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2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2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2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2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2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2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2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2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2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2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2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2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2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2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2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2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2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2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2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2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2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2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2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2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2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2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2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2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2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2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2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2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2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2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2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2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2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2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2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2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2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2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2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2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2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2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2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2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2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2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2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2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2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2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2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2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2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2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2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2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2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2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2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2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2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2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2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2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2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2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2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2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2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2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2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2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2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2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2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2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2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2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2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2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2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2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2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2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2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2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2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2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2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2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2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2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2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2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2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2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2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2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2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2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2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2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2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2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2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2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2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2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2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2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2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2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2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2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2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2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2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2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2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2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2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2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2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2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2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2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2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2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2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2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2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2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2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2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2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2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2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2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2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2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2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2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2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2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2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2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2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2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2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2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2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2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2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2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2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2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2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2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2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2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2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2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2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2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2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2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2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2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2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2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2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2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2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2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2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2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2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2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2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2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2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2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2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2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2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2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2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2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2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2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2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2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2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2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2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2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2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2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2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2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2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2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2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2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2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2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2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2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2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2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2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2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2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2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2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2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2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2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2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2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2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2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2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2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2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2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2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2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2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2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2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2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2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2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2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2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2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2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2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2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2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2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2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2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2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2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2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2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2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2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2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2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2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2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2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2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2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2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2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2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2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2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2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2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2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2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2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2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2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2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2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2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2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2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2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2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2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2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2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2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2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2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2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2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2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2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2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2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2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2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2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2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2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2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2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2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2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2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2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2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2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2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2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2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2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2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2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2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2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2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2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2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2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2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2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2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2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2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2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2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2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2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2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2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2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2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2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2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2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2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2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2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2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2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2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2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2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2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2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2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2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2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2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2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2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2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2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2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2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2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2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2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2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2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2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2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2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2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2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2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2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2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2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2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2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2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2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2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2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2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2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2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2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2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2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2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2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2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2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2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2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2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2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2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2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2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2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2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2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2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2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2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2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2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2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2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2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2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2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2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2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2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2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2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2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2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2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2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2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2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2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2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2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2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2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2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2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2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2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2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2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2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2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2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2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2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2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2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2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2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2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2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2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2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2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2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2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2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2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2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2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2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2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2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2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2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2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2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2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2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2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2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2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2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2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2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2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2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2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2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2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2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2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2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2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2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2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2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2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2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2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2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2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2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2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2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2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2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2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2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2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2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2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2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2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2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2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2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2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2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2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2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2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2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2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2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2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2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2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2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2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2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2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2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2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2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2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2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2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2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2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2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2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2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2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2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2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2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2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2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2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2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2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2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2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2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2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2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2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2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2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2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2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2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2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2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2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2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2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2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2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2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2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2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2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2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2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2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2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2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2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2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2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2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2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2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2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2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2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2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2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2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2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2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2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2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2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2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2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2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2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2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2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2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2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2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2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2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2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2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2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2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2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2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2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2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2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2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2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2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2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2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2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2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2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2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2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2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2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2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2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2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2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2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2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2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2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2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2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2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2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2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2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2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2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2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2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2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2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2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2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2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2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2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2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2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2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2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2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2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2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2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2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2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2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2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2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2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2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2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2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2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2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2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2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2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2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2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2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2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2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2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2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2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2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2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2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2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2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2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2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2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2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2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2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2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2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2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2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2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2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2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2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2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2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2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2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2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2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2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2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2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2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2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2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2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2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2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2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2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2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2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2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2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2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2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2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2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2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2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2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2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2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2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2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2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2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2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2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2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2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2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2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2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2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2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2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2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2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2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2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2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2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2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2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2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2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2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2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2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2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2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2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2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2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2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2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2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2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2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2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2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2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2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2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2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2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2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2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2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2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2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2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2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2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2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2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2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2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2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2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2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2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2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2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2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2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2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2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2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2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2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2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2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2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2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2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2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2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2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2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2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2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2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2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2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2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2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2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2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2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2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2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2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2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2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2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2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2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2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2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2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2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2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2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2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2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2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2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2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2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2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2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2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2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2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2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2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2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2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2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2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2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2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2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2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2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2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2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2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2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2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2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2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2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2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2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2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2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2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2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2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2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2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2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2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2">
      <c r="E988" s="41" t="n"/>
      <c r="F988" s="41" t="n"/>
      <c r="G988" s="42" t="n"/>
      <c r="J988" s="41" t="n"/>
      <c r="K988" s="41" t="n"/>
      <c r="L988" s="41" t="n"/>
      <c r="M988" s="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2">
      <c r="E989" s="41" t="n"/>
      <c r="F989" s="41" t="n"/>
      <c r="G989" s="42" t="n"/>
      <c r="J989" s="41" t="n"/>
      <c r="K989" s="41" t="n"/>
      <c r="L989" s="41" t="n"/>
      <c r="M989" s="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2">
      <c r="E990" s="41" t="n"/>
      <c r="F990" s="41" t="n"/>
      <c r="G990" s="42" t="n"/>
      <c r="J990" s="41" t="n"/>
      <c r="K990" s="41" t="n"/>
      <c r="L990" s="41" t="n"/>
      <c r="M990" s="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2">
      <c r="E991" s="41" t="n"/>
      <c r="F991" s="41" t="n"/>
      <c r="G991" s="42" t="n"/>
      <c r="J991" s="41" t="n"/>
      <c r="K991" s="41" t="n"/>
      <c r="L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2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2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2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 ht="13" customHeight="1" s="62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 ht="13" customHeight="1" s="62">
      <c r="E996" s="41" t="n"/>
      <c r="F996" s="41" t="n"/>
      <c r="G996" s="42" t="n"/>
      <c r="J996" s="41" t="n"/>
      <c r="K996" s="41" t="n"/>
      <c r="L996" s="41" t="n"/>
      <c r="W996" s="41" t="n"/>
      <c r="X996" s="41" t="n"/>
      <c r="Y996" s="41" t="n"/>
      <c r="Z996" s="41" t="n"/>
      <c r="AA996" s="41" t="n"/>
      <c r="AB996" s="41" t="n"/>
      <c r="AC996" s="41" t="n"/>
    </row>
    <row r="997" ht="13" customHeight="1" s="62">
      <c r="E997" s="41" t="n"/>
      <c r="F997" s="41" t="n"/>
      <c r="G997" s="42" t="n"/>
      <c r="J997" s="41" t="n"/>
      <c r="K997" s="41" t="n"/>
      <c r="L997" s="41" t="n"/>
      <c r="W997" s="41" t="n"/>
      <c r="X997" s="41" t="n"/>
      <c r="Y997" s="41" t="n"/>
      <c r="Z997" s="41" t="n"/>
      <c r="AA997" s="41" t="n"/>
      <c r="AB997" s="41" t="n"/>
      <c r="AC997" s="41" t="n"/>
    </row>
    <row r="998" ht="13" customHeight="1" s="62">
      <c r="E998" s="41" t="n"/>
      <c r="F998" s="41" t="n"/>
      <c r="G998" s="42" t="n"/>
      <c r="J998" s="41" t="n"/>
      <c r="K998" s="41" t="n"/>
      <c r="L998" s="41" t="n"/>
      <c r="W998" s="41" t="n"/>
      <c r="X998" s="41" t="n"/>
      <c r="Y998" s="41" t="n"/>
      <c r="Z998" s="41" t="n"/>
      <c r="AA998" s="41" t="n"/>
      <c r="AB998" s="41" t="n"/>
      <c r="AC998" s="41" t="n"/>
    </row>
    <row r="999" ht="13" customHeight="1" s="62">
      <c r="E999" s="41" t="n"/>
      <c r="F999" s="41" t="n"/>
      <c r="G999" s="42" t="n"/>
      <c r="J999" s="41" t="n"/>
      <c r="K999" s="41" t="n"/>
      <c r="L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 ht="13" customHeight="1" s="62">
      <c r="E1000" s="41" t="n"/>
      <c r="F1000" s="41" t="n"/>
      <c r="G1000" s="42" t="n"/>
      <c r="J1000" s="41" t="n"/>
      <c r="K1000" s="41" t="n"/>
      <c r="L1000" s="4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 ht="13" customHeight="1" s="62">
      <c r="E1001" s="41" t="n"/>
      <c r="F1001" s="41" t="n"/>
      <c r="G1001" s="42" t="n"/>
      <c r="J1001" s="41" t="n"/>
      <c r="K1001" s="41" t="n"/>
      <c r="L1001" s="4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 ht="13" customHeight="1" s="62">
      <c r="E1002" s="41" t="n"/>
      <c r="F1002" s="41" t="n"/>
      <c r="G1002" s="42" t="n"/>
      <c r="J1002" s="41" t="n"/>
      <c r="K1002" s="41" t="n"/>
      <c r="L1002" s="4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 ht="13" customHeight="1" s="62">
      <c r="E1003" s="41" t="n"/>
      <c r="F1003" s="41" t="n"/>
      <c r="G1003" s="42" t="n"/>
      <c r="J1003" s="41" t="n"/>
      <c r="K1003" s="41" t="n"/>
      <c r="L1003" s="4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W1004" s="41" t="n"/>
      <c r="X1004" s="41" t="n"/>
      <c r="Y1004" s="41" t="n"/>
      <c r="Z1004" s="41" t="n"/>
      <c r="AA1004" s="41" t="n"/>
      <c r="AB1004" s="41" t="n"/>
      <c r="AC1004" s="41" t="n"/>
    </row>
    <row r="1005">
      <c r="E1005" s="41" t="n"/>
      <c r="F1005" s="41" t="n"/>
      <c r="G1005" s="42" t="n"/>
      <c r="J1005" s="41" t="n"/>
      <c r="K1005" s="41" t="n"/>
      <c r="L1005" s="41" t="n"/>
      <c r="W1005" s="41" t="n"/>
      <c r="X1005" s="41" t="n"/>
      <c r="Y1005" s="41" t="n"/>
      <c r="Z1005" s="41" t="n"/>
      <c r="AA1005" s="41" t="n"/>
      <c r="AB1005" s="41" t="n"/>
      <c r="AC1005" s="41" t="n"/>
    </row>
    <row r="1006">
      <c r="E1006" s="41" t="n"/>
      <c r="F1006" s="41" t="n"/>
      <c r="G1006" s="42" t="n"/>
      <c r="J1006" s="41" t="n"/>
      <c r="K1006" s="41" t="n"/>
      <c r="L1006" s="41" t="n"/>
      <c r="W1006" s="41" t="n"/>
      <c r="X1006" s="41" t="n"/>
      <c r="Y1006" s="41" t="n"/>
      <c r="Z1006" s="41" t="n"/>
      <c r="AA1006" s="41" t="n"/>
      <c r="AB1006" s="41" t="n"/>
      <c r="AC1006" s="41" t="n"/>
    </row>
    <row r="1007">
      <c r="E1007" s="41" t="n"/>
      <c r="F1007" s="41" t="n"/>
      <c r="G1007" s="42" t="n"/>
      <c r="J1007" s="41" t="n"/>
      <c r="K1007" s="41" t="n"/>
      <c r="L1007" s="41" t="n"/>
      <c r="W1007" s="41" t="n"/>
      <c r="X1007" s="41" t="n"/>
      <c r="Y1007" s="41" t="n"/>
      <c r="Z1007" s="41" t="n"/>
      <c r="AA1007" s="41" t="n"/>
      <c r="AB1007" s="41" t="n"/>
      <c r="AC1007" s="41" t="n"/>
    </row>
  </sheetData>
  <autoFilter ref="A4:AO53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6">
    <cfRule type="containsText" priority="3" operator="containsText" dxfId="0" text="DIV">
      <formula>NOT(ISERROR(SEARCH(("DIV"),(B1))))</formula>
    </cfRule>
  </conditionalFormatting>
  <conditionalFormatting sqref="C1:C976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2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2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2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2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2">
      <c r="A6" s="46" t="n"/>
      <c r="B6" s="72" t="inlineStr">
        <is>
          <t>UnRealised</t>
        </is>
      </c>
      <c r="C6" s="64" t="n"/>
      <c r="D6" s="64" t="n"/>
      <c r="E6" s="64" t="n"/>
      <c r="F6" s="64" t="n"/>
      <c r="G6" s="64" t="n"/>
      <c r="H6" s="64" t="n"/>
      <c r="I6" s="6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2">
      <c r="A8" s="47" t="inlineStr">
        <is>
          <t>All</t>
        </is>
      </c>
      <c r="B8" s="48" t="inlineStr">
        <is>
          <t>Units</t>
        </is>
      </c>
      <c r="C8" s="49">
        <f>SUM('Trading History'!$N$4:$N1002)</f>
        <v/>
      </c>
      <c r="D8" s="46" t="n"/>
      <c r="E8" s="50" t="inlineStr">
        <is>
          <t>ST Units</t>
        </is>
      </c>
      <c r="F8" s="49">
        <f>IFERROR(SUM('Trading History'!$R$4:$R1002), 0)</f>
        <v/>
      </c>
      <c r="G8" s="46" t="n"/>
      <c r="H8" s="51" t="inlineStr">
        <is>
          <t>LT Units</t>
        </is>
      </c>
      <c r="I8" s="49">
        <f>SUM('Trading History'!$V$4:$V1002)</f>
        <v/>
      </c>
      <c r="J8" s="46" t="n"/>
      <c r="K8" s="52" t="inlineStr">
        <is>
          <t>Units</t>
        </is>
      </c>
      <c r="L8" s="49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2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2">
      <c r="A10" s="53" t="n"/>
      <c r="B10" s="54" t="inlineStr">
        <is>
          <t>Gain</t>
        </is>
      </c>
      <c r="C10" s="58">
        <f>SUM('Trading History'!$L$4:$L1002)</f>
        <v/>
      </c>
      <c r="D10" s="46" t="n"/>
      <c r="E10" s="55" t="inlineStr">
        <is>
          <t>ST Gain</t>
        </is>
      </c>
      <c r="F10" s="58">
        <f>SUM('Trading History'!$P$4:$P1002)</f>
        <v/>
      </c>
      <c r="G10" s="46" t="n"/>
      <c r="H10" s="56" t="inlineStr">
        <is>
          <t>LT Gain</t>
        </is>
      </c>
      <c r="I10" s="58">
        <f>SUM('Trading History'!$T$4:$T1002)</f>
        <v/>
      </c>
      <c r="J10" s="46" t="n"/>
      <c r="K10" s="57" t="inlineStr">
        <is>
          <t>Gain</t>
        </is>
      </c>
      <c r="L10" s="58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2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2">
      <c r="A12" s="53" t="n"/>
      <c r="B12" s="54" t="inlineStr">
        <is>
          <t>Gross</t>
        </is>
      </c>
      <c r="C12" s="58">
        <f>SUM('Trading History'!$M$4:$M1002)</f>
        <v/>
      </c>
      <c r="D12" s="46" t="n"/>
      <c r="E12" s="55" t="inlineStr">
        <is>
          <t>ST Gross</t>
        </is>
      </c>
      <c r="F12" s="58">
        <f>SUM('Trading History'!$Q$4:$Q1002)</f>
        <v/>
      </c>
      <c r="G12" s="46" t="n"/>
      <c r="H12" s="56" t="inlineStr">
        <is>
          <t>LT Gross</t>
        </is>
      </c>
      <c r="I12" s="58">
        <f>SUM('Trading History'!$U$4:$U1002)</f>
        <v/>
      </c>
      <c r="J12" s="46" t="n"/>
      <c r="K12" s="57" t="inlineStr">
        <is>
          <t>Gross</t>
        </is>
      </c>
      <c r="L12" s="58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2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History'!$B18:$B1002,"DIV",'Trading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2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2">
      <c r="A15" s="47" t="n">
        <v>0.5</v>
      </c>
      <c r="B15" s="48" t="inlineStr">
        <is>
          <t>Units</t>
        </is>
      </c>
      <c r="C15" s="49">
        <f>SUMIFS('Trading History'!$N$4:$N1002, 'Trading History'!$K$4:$K1002, _xludf.CONCAT("&gt;", $A15))</f>
        <v/>
      </c>
      <c r="D15" s="46" t="n"/>
      <c r="E15" s="50" t="inlineStr">
        <is>
          <t>ST Units</t>
        </is>
      </c>
      <c r="F15" s="49">
        <f>IFERROR(SUMIFS('Trading History'!$R$4:$R1002, 'Trading History'!$O$4:$O1002, _xludf.CONCAT("&gt;", $A15)), 0)</f>
        <v/>
      </c>
      <c r="G15" s="46" t="n"/>
      <c r="H15" s="51" t="inlineStr">
        <is>
          <t>LT Units</t>
        </is>
      </c>
      <c r="I15" s="49">
        <f>SUMIFS('Trading History'!$V$4:$V1002, 'Trading History'!$S$4:$S1002, _xludf.CONCAT("&gt;", $A15))</f>
        <v/>
      </c>
      <c r="J15" s="46" t="n"/>
      <c r="K15" s="52" t="inlineStr">
        <is>
          <t>Units</t>
        </is>
      </c>
      <c r="L15" s="49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2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2">
      <c r="A17" s="1" t="n"/>
      <c r="B17" s="54" t="inlineStr">
        <is>
          <t>Gain</t>
        </is>
      </c>
      <c r="C17" s="58">
        <f>SUMIFS('Trading History'!$L$4:$L1002, 'Trading History'!$K$4:$K1002, _xludf.CONCAT("&gt;", $A15))</f>
        <v/>
      </c>
      <c r="D17" s="46" t="n"/>
      <c r="E17" s="55" t="inlineStr">
        <is>
          <t>ST Gain</t>
        </is>
      </c>
      <c r="F17" s="58">
        <f>SUMIFS('Trading History'!$P$4:$P1002, 'Trading History'!$O$4:$O1002, _xludf.CONCAT("&gt;", $A15))</f>
        <v/>
      </c>
      <c r="G17" s="46" t="n"/>
      <c r="H17" s="56" t="inlineStr">
        <is>
          <t>LT Gain</t>
        </is>
      </c>
      <c r="I17" s="58">
        <f>SUMIFS('Trading History'!$T$4:$T1002, 'Trading History'!$S$4:$S1002, _xludf.CONCAT("&gt;", $A15))</f>
        <v/>
      </c>
      <c r="J17" s="46" t="n"/>
      <c r="K17" s="57" t="inlineStr">
        <is>
          <t>Gain</t>
        </is>
      </c>
      <c r="L17" s="58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2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2">
      <c r="A19" s="1" t="n"/>
      <c r="B19" s="54" t="inlineStr">
        <is>
          <t>Gross</t>
        </is>
      </c>
      <c r="C19" s="58">
        <f>SUMIFS('Trading History'!$M$4:$M1002, 'Trading History'!$K$4:$K1002, _xludf.CONCAT("&gt;", $A15))</f>
        <v/>
      </c>
      <c r="D19" s="46" t="n"/>
      <c r="E19" s="55" t="inlineStr">
        <is>
          <t>ST Gross</t>
        </is>
      </c>
      <c r="F19" s="58">
        <f>SUMIFS('Trading History'!$Q$4:$Q1002, 'Trading History'!$O$4:$O1002, _xludf.CONCAT("&gt;", $A15))</f>
        <v/>
      </c>
      <c r="G19" s="46" t="n"/>
      <c r="H19" s="56" t="inlineStr">
        <is>
          <t>LT Gross</t>
        </is>
      </c>
      <c r="I19" s="58">
        <f>SUMIFS('Trading History'!$U$4:$U1002, 'Trading History'!$S$4:$S1002, _xludf.CONCAT("&gt;", $A15))</f>
        <v/>
      </c>
      <c r="J19" s="46" t="n"/>
      <c r="K19" s="57" t="inlineStr">
        <is>
          <t>Gross</t>
        </is>
      </c>
      <c r="L19" s="58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2">
      <c r="A22" s="47" t="n">
        <v>0.45</v>
      </c>
      <c r="B22" s="48" t="inlineStr">
        <is>
          <t>Units</t>
        </is>
      </c>
      <c r="C22" s="49">
        <f>SUMIFS('Trading History'!$N$4:$N1002, 'Trading History'!$K$4:$K1002, _xludf.CONCAT("&gt;", $A22))</f>
        <v/>
      </c>
      <c r="D22" s="46" t="n"/>
      <c r="E22" s="50" t="inlineStr">
        <is>
          <t>ST Units</t>
        </is>
      </c>
      <c r="F22" s="49">
        <f>IFERROR(SUMIFS('Trading History'!$R$4:$R1002, 'Trading History'!$O$4:$O1002, _xludf.CONCAT("&gt;", $A22)), 0)</f>
        <v/>
      </c>
      <c r="G22" s="46" t="n"/>
      <c r="H22" s="51" t="inlineStr">
        <is>
          <t>LT Units</t>
        </is>
      </c>
      <c r="I22" s="49">
        <f>SUMIFS('Trading History'!$V$4:$V1002, 'Trading History'!$S$4:$S1002, _xludf.CONCAT("&gt;", $A22))</f>
        <v/>
      </c>
      <c r="J22" s="46" t="n"/>
      <c r="K22" s="52" t="inlineStr">
        <is>
          <t>Units</t>
        </is>
      </c>
      <c r="L22" s="49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2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2">
      <c r="A24" s="1" t="n"/>
      <c r="B24" s="54" t="inlineStr">
        <is>
          <t>Gain</t>
        </is>
      </c>
      <c r="C24" s="58">
        <f>SUMIFS('Trading History'!$L$4:$L1002, 'Trading History'!$K$4:$K1002, _xludf.CONCAT("&gt;", $A22))</f>
        <v/>
      </c>
      <c r="D24" s="46" t="n"/>
      <c r="E24" s="55" t="inlineStr">
        <is>
          <t>ST Gain</t>
        </is>
      </c>
      <c r="F24" s="58">
        <f>SUMIFS('Trading History'!$P$4:$P1002, 'Trading History'!$O$4:$O1002, _xludf.CONCAT("&gt;", $A22))</f>
        <v/>
      </c>
      <c r="G24" s="46" t="n"/>
      <c r="H24" s="56" t="inlineStr">
        <is>
          <t>LT Gain</t>
        </is>
      </c>
      <c r="I24" s="58">
        <f>SUMIFS('Trading History'!$T$4:$T1002, 'Trading History'!$S$4:$S1002, _xludf.CONCAT("&gt;", $A22))</f>
        <v/>
      </c>
      <c r="J24" s="46" t="n"/>
      <c r="K24" s="57" t="inlineStr">
        <is>
          <t>Gain</t>
        </is>
      </c>
      <c r="L24" s="58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2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2">
      <c r="A26" s="1" t="n"/>
      <c r="B26" s="54" t="inlineStr">
        <is>
          <t>Gross</t>
        </is>
      </c>
      <c r="C26" s="58">
        <f>SUMIFS('Trading History'!$M$4:$M1002, 'Trading History'!$K$4:$K1002, _xludf.CONCAT("&gt;", $A22))</f>
        <v/>
      </c>
      <c r="D26" s="46" t="n"/>
      <c r="E26" s="55" t="inlineStr">
        <is>
          <t>ST Gross</t>
        </is>
      </c>
      <c r="F26" s="58">
        <f>SUMIFS('Trading History'!$Q$4:$Q1002, 'Trading History'!$O$4:$O1002, _xludf.CONCAT("&gt;", $A22))</f>
        <v/>
      </c>
      <c r="G26" s="46" t="n"/>
      <c r="H26" s="56" t="inlineStr">
        <is>
          <t>LT Gross</t>
        </is>
      </c>
      <c r="I26" s="58">
        <f>SUMIFS('Trading History'!$U$4:$U1002, 'Trading History'!$S$4:$S1002, _xludf.CONCAT("&gt;", $A22))</f>
        <v/>
      </c>
      <c r="J26" s="46" t="n"/>
      <c r="K26" s="57" t="inlineStr">
        <is>
          <t>Gross</t>
        </is>
      </c>
      <c r="L26" s="58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2">
      <c r="A29" s="47" t="n">
        <v>0.4</v>
      </c>
      <c r="B29" s="48" t="inlineStr">
        <is>
          <t>Units</t>
        </is>
      </c>
      <c r="C29" s="49">
        <f>SUMIFS('Trading History'!$N$4:$N1002, 'Trading History'!$K$4:$K1002, _xludf.CONCAT("&gt;", $A29))</f>
        <v/>
      </c>
      <c r="D29" s="46" t="n"/>
      <c r="E29" s="50" t="inlineStr">
        <is>
          <t>ST Units</t>
        </is>
      </c>
      <c r="F29" s="49">
        <f>IFERROR(SUMIFS('Trading History'!$R$4:$R1002, 'Trading History'!$O$4:$O1002, _xludf.CONCAT("&gt;", $A29)), 0)</f>
        <v/>
      </c>
      <c r="G29" s="46" t="n"/>
      <c r="H29" s="51" t="inlineStr">
        <is>
          <t>LT Units</t>
        </is>
      </c>
      <c r="I29" s="49">
        <f>SUMIFS('Trading History'!$V$4:$V1002, 'Trading History'!$S$4:$S1002, _xludf.CONCAT("&gt;", $A29))</f>
        <v/>
      </c>
      <c r="J29" s="46" t="n"/>
      <c r="K29" s="52" t="inlineStr">
        <is>
          <t>Units</t>
        </is>
      </c>
      <c r="L29" s="49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2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2">
      <c r="A31" s="1" t="n"/>
      <c r="B31" s="54" t="inlineStr">
        <is>
          <t>Gain</t>
        </is>
      </c>
      <c r="C31" s="58">
        <f>SUMIFS('Trading History'!$L$4:$L1002, 'Trading History'!$K$4:$K1002, _xludf.CONCAT("&gt;", $A29))</f>
        <v/>
      </c>
      <c r="D31" s="46" t="n"/>
      <c r="E31" s="55" t="inlineStr">
        <is>
          <t>ST Gain</t>
        </is>
      </c>
      <c r="F31" s="58">
        <f>SUMIFS('Trading History'!$P$4:$P1002, 'Trading History'!$O$4:$O1002, _xludf.CONCAT("&gt;", $A29))</f>
        <v/>
      </c>
      <c r="G31" s="46" t="n"/>
      <c r="H31" s="56" t="inlineStr">
        <is>
          <t>LT Gain</t>
        </is>
      </c>
      <c r="I31" s="58">
        <f>SUMIFS('Trading History'!$T$4:$T1002, 'Trading History'!$S$4:$S1002, _xludf.CONCAT("&gt;", $A29))</f>
        <v/>
      </c>
      <c r="J31" s="46" t="n"/>
      <c r="K31" s="57" t="inlineStr">
        <is>
          <t>Gain</t>
        </is>
      </c>
      <c r="L31" s="58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2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2">
      <c r="A33" s="1" t="n"/>
      <c r="B33" s="54" t="inlineStr">
        <is>
          <t>Gross</t>
        </is>
      </c>
      <c r="C33" s="58">
        <f>SUMIFS('Trading History'!$M$4:$M1002, 'Trading History'!$K$4:$K1002, _xludf.CONCAT("&gt;", $A29))</f>
        <v/>
      </c>
      <c r="D33" s="46" t="n"/>
      <c r="E33" s="55" t="inlineStr">
        <is>
          <t>ST Gross</t>
        </is>
      </c>
      <c r="F33" s="58">
        <f>SUMIFS('Trading History'!$Q$4:$Q1002, 'Trading History'!$O$4:$O1002, _xludf.CONCAT("&gt;", $A29))</f>
        <v/>
      </c>
      <c r="G33" s="46" t="n"/>
      <c r="H33" s="56" t="inlineStr">
        <is>
          <t>LT Gross</t>
        </is>
      </c>
      <c r="I33" s="58">
        <f>SUMIFS('Trading History'!$U$4:$U1002, 'Trading History'!$S$4:$S1002, _xludf.CONCAT("&gt;", $A29))</f>
        <v/>
      </c>
      <c r="J33" s="46" t="n"/>
      <c r="K33" s="57" t="inlineStr">
        <is>
          <t>Gross</t>
        </is>
      </c>
      <c r="L33" s="58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2">
      <c r="A36" s="47" t="n">
        <v>0.35</v>
      </c>
      <c r="B36" s="48" t="inlineStr">
        <is>
          <t>Units</t>
        </is>
      </c>
      <c r="C36" s="49">
        <f>SUMIFS('Trading History'!$N$4:$N1002, 'Trading History'!$K$4:$K1002, _xludf.CONCAT("&gt;", $A36))</f>
        <v/>
      </c>
      <c r="D36" s="46" t="n"/>
      <c r="E36" s="50" t="inlineStr">
        <is>
          <t>ST Units</t>
        </is>
      </c>
      <c r="F36" s="49">
        <f>IFERROR(SUMIFS('Trading History'!$R$4:$R1002, 'Trading History'!$O$4:$O1002, _xludf.CONCAT("&gt;", $A36)), 0)</f>
        <v/>
      </c>
      <c r="G36" s="46" t="n"/>
      <c r="H36" s="51" t="inlineStr">
        <is>
          <t>LT Units</t>
        </is>
      </c>
      <c r="I36" s="49">
        <f>SUMIFS('Trading History'!$V$4:$V1002, 'Trading History'!$S$4:$S1002, _xludf.CONCAT("&gt;", $A36))</f>
        <v/>
      </c>
      <c r="J36" s="46" t="n"/>
      <c r="K36" s="52" t="inlineStr">
        <is>
          <t>Units</t>
        </is>
      </c>
      <c r="L36" s="49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2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2">
      <c r="A38" s="1" t="n"/>
      <c r="B38" s="54" t="inlineStr">
        <is>
          <t>Gain</t>
        </is>
      </c>
      <c r="C38" s="58">
        <f>SUMIFS('Trading History'!$L$4:$L1002, 'Trading History'!$K$4:$K1002, _xludf.CONCAT("&gt;", $A36))</f>
        <v/>
      </c>
      <c r="D38" s="46" t="n"/>
      <c r="E38" s="55" t="inlineStr">
        <is>
          <t>ST Gain</t>
        </is>
      </c>
      <c r="F38" s="58">
        <f>SUMIFS('Trading History'!$P$4:$P1002, 'Trading History'!$O$4:$O1002, _xludf.CONCAT("&gt;", $A36))</f>
        <v/>
      </c>
      <c r="G38" s="46" t="n"/>
      <c r="H38" s="56" t="inlineStr">
        <is>
          <t>LT Gain</t>
        </is>
      </c>
      <c r="I38" s="58">
        <f>SUMIFS('Trading History'!$T$4:$T1002, 'Trading History'!$S$4:$S1002, _xludf.CONCAT("&gt;", $A36))</f>
        <v/>
      </c>
      <c r="J38" s="46" t="n"/>
      <c r="K38" s="57" t="inlineStr">
        <is>
          <t>Gain</t>
        </is>
      </c>
      <c r="L38" s="58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2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2">
      <c r="A40" s="1" t="n"/>
      <c r="B40" s="54" t="inlineStr">
        <is>
          <t>Gross</t>
        </is>
      </c>
      <c r="C40" s="58">
        <f>SUMIFS('Trading History'!$M$4:$M1002, 'Trading History'!$K$4:$K1002, _xludf.CONCAT("&gt;", $A36))</f>
        <v/>
      </c>
      <c r="D40" s="46" t="n"/>
      <c r="E40" s="55" t="inlineStr">
        <is>
          <t>ST Gross</t>
        </is>
      </c>
      <c r="F40" s="58">
        <f>SUMIFS('Trading History'!$Q$4:$Q1002, 'Trading History'!$O$4:$O1002, _xludf.CONCAT("&gt;", $A36))</f>
        <v/>
      </c>
      <c r="G40" s="46" t="n"/>
      <c r="H40" s="56" t="inlineStr">
        <is>
          <t>LT Gross</t>
        </is>
      </c>
      <c r="I40" s="58">
        <f>SUMIFS('Trading History'!$U$4:$U1002, 'Trading History'!$S$4:$S1002, _xludf.CONCAT("&gt;", $A36))</f>
        <v/>
      </c>
      <c r="J40" s="46" t="n"/>
      <c r="K40" s="57" t="inlineStr">
        <is>
          <t>Gross</t>
        </is>
      </c>
      <c r="L40" s="58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2">
      <c r="A43" s="47" t="n">
        <v>0.3</v>
      </c>
      <c r="B43" s="48" t="inlineStr">
        <is>
          <t>Units</t>
        </is>
      </c>
      <c r="C43" s="49">
        <f>SUMIFS('Trading History'!$N$4:$N1002, 'Trading History'!$K$4:$K1002, _xludf.CONCAT("&gt;", $A43))</f>
        <v/>
      </c>
      <c r="D43" s="46" t="n"/>
      <c r="E43" s="50" t="inlineStr">
        <is>
          <t>ST Units</t>
        </is>
      </c>
      <c r="F43" s="49">
        <f>IFERROR(SUMIFS('Trading History'!$R$4:$R1002, 'Trading History'!$O$4:$O1002, _xludf.CONCAT("&gt;", $A43)), 0)</f>
        <v/>
      </c>
      <c r="G43" s="46" t="n"/>
      <c r="H43" s="51" t="inlineStr">
        <is>
          <t>LT Units</t>
        </is>
      </c>
      <c r="I43" s="49">
        <f>SUMIFS('Trading History'!$V$4:$V1002, 'Trading History'!$S$4:$S1002, _xludf.CONCAT("&gt;", $A43))</f>
        <v/>
      </c>
      <c r="J43" s="46" t="n"/>
      <c r="K43" s="52" t="inlineStr">
        <is>
          <t>Units</t>
        </is>
      </c>
      <c r="L43" s="49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2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2">
      <c r="A45" s="1" t="n"/>
      <c r="B45" s="54" t="inlineStr">
        <is>
          <t>Gain</t>
        </is>
      </c>
      <c r="C45" s="58">
        <f>SUMIFS('Trading History'!$L$4:$L1002, 'Trading History'!$K$4:$K1002, _xludf.CONCAT("&gt;", $A43))</f>
        <v/>
      </c>
      <c r="D45" s="46" t="n"/>
      <c r="E45" s="55" t="inlineStr">
        <is>
          <t>ST Gain</t>
        </is>
      </c>
      <c r="F45" s="58">
        <f>SUMIFS('Trading History'!$P$4:$P1002, 'Trading History'!$O$4:$O1002, _xludf.CONCAT("&gt;", $A43))</f>
        <v/>
      </c>
      <c r="G45" s="46" t="n"/>
      <c r="H45" s="56" t="inlineStr">
        <is>
          <t>LT Gain</t>
        </is>
      </c>
      <c r="I45" s="58">
        <f>SUMIFS('Trading History'!$T$4:$T1002, 'Trading History'!$S$4:$S1002, _xludf.CONCAT("&gt;", $A43))</f>
        <v/>
      </c>
      <c r="J45" s="46" t="n"/>
      <c r="K45" s="57" t="inlineStr">
        <is>
          <t>Gain</t>
        </is>
      </c>
      <c r="L45" s="58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2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2">
      <c r="A47" s="1" t="n"/>
      <c r="B47" s="54" t="inlineStr">
        <is>
          <t>Gross</t>
        </is>
      </c>
      <c r="C47" s="58">
        <f>SUMIFS('Trading History'!$M$4:$M1002, 'Trading History'!$K$4:$K1002, _xludf.CONCAT("&gt;", $A43))</f>
        <v/>
      </c>
      <c r="D47" s="46" t="n"/>
      <c r="E47" s="55" t="inlineStr">
        <is>
          <t>ST Gross</t>
        </is>
      </c>
      <c r="F47" s="58">
        <f>SUMIFS('Trading History'!$Q$4:$Q1002, 'Trading History'!$O$4:$O1002, _xludf.CONCAT("&gt;", $A43))</f>
        <v/>
      </c>
      <c r="G47" s="46" t="n"/>
      <c r="H47" s="56" t="inlineStr">
        <is>
          <t>LT Gross</t>
        </is>
      </c>
      <c r="I47" s="58">
        <f>SUMIFS('Trading History'!$U$4:$U1002, 'Trading History'!$S$4:$S1002, _xludf.CONCAT("&gt;", $A43))</f>
        <v/>
      </c>
      <c r="J47" s="46" t="n"/>
      <c r="K47" s="57" t="inlineStr">
        <is>
          <t>Gross</t>
        </is>
      </c>
      <c r="L47" s="58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2">
      <c r="A50" s="47" t="n">
        <v>0.25</v>
      </c>
      <c r="B50" s="48" t="inlineStr">
        <is>
          <t>Units</t>
        </is>
      </c>
      <c r="C50" s="49">
        <f>SUMIFS('Trading History'!$N$4:$N1002, 'Trading History'!$K$4:$K1002, _xludf.CONCAT("&gt;", $A50))</f>
        <v/>
      </c>
      <c r="D50" s="46" t="n"/>
      <c r="E50" s="50" t="inlineStr">
        <is>
          <t>ST Units</t>
        </is>
      </c>
      <c r="F50" s="49">
        <f>IFERROR(SUMIFS('Trading History'!$R$4:$R1002, 'Trading History'!$O$4:$O1002, _xludf.CONCAT("&gt;", $A50)), 0)</f>
        <v/>
      </c>
      <c r="G50" s="46" t="n"/>
      <c r="H50" s="51" t="inlineStr">
        <is>
          <t>LT Units</t>
        </is>
      </c>
      <c r="I50" s="49">
        <f>SUMIFS('Trading History'!$V$4:$V1002, 'Trading History'!$S$4:$S1002, _xludf.CONCAT("&gt;", $A50))</f>
        <v/>
      </c>
      <c r="J50" s="46" t="n"/>
      <c r="K50" s="52" t="inlineStr">
        <is>
          <t>Units</t>
        </is>
      </c>
      <c r="L50" s="49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2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2">
      <c r="A52" s="1" t="n"/>
      <c r="B52" s="54" t="inlineStr">
        <is>
          <t>Gain</t>
        </is>
      </c>
      <c r="C52" s="58">
        <f>SUMIFS('Trading History'!$L$4:$L1002, 'Trading History'!$K$4:$K1002, _xludf.CONCAT("&gt;", $A50))</f>
        <v/>
      </c>
      <c r="D52" s="46" t="n"/>
      <c r="E52" s="55" t="inlineStr">
        <is>
          <t>ST Gain</t>
        </is>
      </c>
      <c r="F52" s="58">
        <f>SUMIFS('Trading History'!$P$4:$P1002, 'Trading History'!$O$4:$O1002, _xludf.CONCAT("&gt;", $A50))</f>
        <v/>
      </c>
      <c r="G52" s="46" t="n"/>
      <c r="H52" s="56" t="inlineStr">
        <is>
          <t>LT Gain</t>
        </is>
      </c>
      <c r="I52" s="58">
        <f>SUMIFS('Trading History'!$T$4:$T1002, 'Trading History'!$S$4:$S1002, _xludf.CONCAT("&gt;", $A50))</f>
        <v/>
      </c>
      <c r="J52" s="46" t="n"/>
      <c r="K52" s="57" t="inlineStr">
        <is>
          <t>Gain</t>
        </is>
      </c>
      <c r="L52" s="58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2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2">
      <c r="A54" s="1" t="n"/>
      <c r="B54" s="54" t="inlineStr">
        <is>
          <t>Gross</t>
        </is>
      </c>
      <c r="C54" s="58">
        <f>SUMIFS('Trading History'!$M$4:$M1002, 'Trading History'!$K$4:$K1002, _xludf.CONCAT("&gt;", $A50))</f>
        <v/>
      </c>
      <c r="D54" s="46" t="n"/>
      <c r="E54" s="55" t="inlineStr">
        <is>
          <t>ST Gross</t>
        </is>
      </c>
      <c r="F54" s="58">
        <f>SUMIFS('Trading History'!$Q$4:$Q1002, 'Trading History'!$O$4:$O1002, _xludf.CONCAT("&gt;", $A50))</f>
        <v/>
      </c>
      <c r="G54" s="46" t="n"/>
      <c r="H54" s="56" t="inlineStr">
        <is>
          <t>LT Gross</t>
        </is>
      </c>
      <c r="I54" s="58">
        <f>SUMIFS('Trading History'!$U$4:$U1002, 'Trading History'!$S$4:$S1002, _xludf.CONCAT("&gt;", $A50))</f>
        <v/>
      </c>
      <c r="J54" s="46" t="n"/>
      <c r="K54" s="57" t="inlineStr">
        <is>
          <t>Gross</t>
        </is>
      </c>
      <c r="L54" s="58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2">
      <c r="A57" s="47" t="n">
        <v>0.2</v>
      </c>
      <c r="B57" s="48" t="inlineStr">
        <is>
          <t>Units</t>
        </is>
      </c>
      <c r="C57" s="49">
        <f>SUMIFS('Trading History'!$N$4:$N1002, 'Trading History'!$K$4:$K1002, _xludf.CONCAT("&gt;", $A57))</f>
        <v/>
      </c>
      <c r="D57" s="46" t="n"/>
      <c r="E57" s="50" t="inlineStr">
        <is>
          <t>ST Units</t>
        </is>
      </c>
      <c r="F57" s="49">
        <f>IFERROR(SUMIFS('Trading History'!$R$4:$R1002, 'Trading History'!$O$4:$O1002, _xludf.CONCAT("&gt;", $A57)), 0)</f>
        <v/>
      </c>
      <c r="G57" s="46" t="n"/>
      <c r="H57" s="51" t="inlineStr">
        <is>
          <t>LT Units</t>
        </is>
      </c>
      <c r="I57" s="49">
        <f>SUMIFS('Trading History'!$V$4:$V1002, 'Trading History'!$S$4:$S1002, _xludf.CONCAT("&gt;", $A57))</f>
        <v/>
      </c>
      <c r="J57" s="46" t="n"/>
      <c r="K57" s="52" t="inlineStr">
        <is>
          <t>Units</t>
        </is>
      </c>
      <c r="L57" s="49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2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2">
      <c r="A59" s="1" t="n"/>
      <c r="B59" s="54" t="inlineStr">
        <is>
          <t>Gain</t>
        </is>
      </c>
      <c r="C59" s="58">
        <f>SUMIFS('Trading History'!$L$4:$L1002, 'Trading History'!$K$4:$K1002, _xludf.CONCAT("&gt;", $A57))</f>
        <v/>
      </c>
      <c r="D59" s="46" t="n"/>
      <c r="E59" s="55" t="inlineStr">
        <is>
          <t>ST Gain</t>
        </is>
      </c>
      <c r="F59" s="58">
        <f>SUMIFS('Trading History'!$P$4:$P1002, 'Trading History'!$O$4:$O1002, _xludf.CONCAT("&gt;", $A57))</f>
        <v/>
      </c>
      <c r="G59" s="46" t="n"/>
      <c r="H59" s="56" t="inlineStr">
        <is>
          <t>LT Gain</t>
        </is>
      </c>
      <c r="I59" s="58">
        <f>SUMIFS('Trading History'!$T$4:$T1002, 'Trading History'!$S$4:$S1002, _xludf.CONCAT("&gt;", $A57))</f>
        <v/>
      </c>
      <c r="J59" s="46" t="n"/>
      <c r="K59" s="57" t="inlineStr">
        <is>
          <t>Gain</t>
        </is>
      </c>
      <c r="L59" s="58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2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2">
      <c r="A61" s="1" t="n"/>
      <c r="B61" s="54" t="inlineStr">
        <is>
          <t>Gross</t>
        </is>
      </c>
      <c r="C61" s="58">
        <f>SUMIFS('Trading History'!$M$4:$M1002, 'Trading History'!$K$4:$K1002, _xludf.CONCAT("&gt;", $A57))</f>
        <v/>
      </c>
      <c r="D61" s="46" t="n"/>
      <c r="E61" s="55" t="inlineStr">
        <is>
          <t>ST Gross</t>
        </is>
      </c>
      <c r="F61" s="58">
        <f>SUMIFS('Trading History'!$Q$4:$Q1002, 'Trading History'!$O$4:$O1002, _xludf.CONCAT("&gt;", $A57))</f>
        <v/>
      </c>
      <c r="G61" s="46" t="n"/>
      <c r="H61" s="56" t="inlineStr">
        <is>
          <t>LT Gross</t>
        </is>
      </c>
      <c r="I61" s="58">
        <f>SUMIFS('Trading History'!$U$4:$U1002, 'Trading History'!$S$4:$S1002, _xludf.CONCAT("&gt;", $A57))</f>
        <v/>
      </c>
      <c r="J61" s="46" t="n"/>
      <c r="K61" s="57" t="inlineStr">
        <is>
          <t>Gross</t>
        </is>
      </c>
      <c r="L61" s="58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2">
      <c r="A64" s="47" t="n">
        <v>0.15</v>
      </c>
      <c r="B64" s="48" t="inlineStr">
        <is>
          <t>Units</t>
        </is>
      </c>
      <c r="C64" s="49">
        <f>SUMIFS('Trading History'!$N$4:$N1002, 'Trading History'!$K$4:$K1002, _xludf.CONCAT("&gt;", $A64))</f>
        <v/>
      </c>
      <c r="D64" s="46" t="n"/>
      <c r="E64" s="50" t="inlineStr">
        <is>
          <t>ST Units</t>
        </is>
      </c>
      <c r="F64" s="49">
        <f>IFERROR(SUMIFS('Trading History'!$R$4:$R1002, 'Trading History'!$O$4:$O1002, _xludf.CONCAT("&gt;", $A64)), 0)</f>
        <v/>
      </c>
      <c r="G64" s="46" t="n"/>
      <c r="H64" s="51" t="inlineStr">
        <is>
          <t>LT Units</t>
        </is>
      </c>
      <c r="I64" s="49">
        <f>SUMIFS('Trading History'!$V$4:$V1002, 'Trading History'!$S$4:$S1002, _xludf.CONCAT("&gt;", $A64))</f>
        <v/>
      </c>
      <c r="J64" s="46" t="n"/>
      <c r="K64" s="52" t="inlineStr">
        <is>
          <t>Units</t>
        </is>
      </c>
      <c r="L64" s="49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2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2">
      <c r="A66" s="1" t="n"/>
      <c r="B66" s="54" t="inlineStr">
        <is>
          <t>Gain</t>
        </is>
      </c>
      <c r="C66" s="58">
        <f>SUMIFS('Trading History'!$L$4:$L1002, 'Trading History'!$K$4:$K1002, _xludf.CONCAT("&gt;", $A64))</f>
        <v/>
      </c>
      <c r="D66" s="46" t="n"/>
      <c r="E66" s="55" t="inlineStr">
        <is>
          <t>ST Gain</t>
        </is>
      </c>
      <c r="F66" s="58">
        <f>SUMIFS('Trading History'!$P$4:$P1002, 'Trading History'!$O$4:$O1002, _xludf.CONCAT("&gt;", $A64))</f>
        <v/>
      </c>
      <c r="G66" s="46" t="n"/>
      <c r="H66" s="56" t="inlineStr">
        <is>
          <t>LT Gain</t>
        </is>
      </c>
      <c r="I66" s="58">
        <f>SUMIFS('Trading History'!$T$4:$T1002, 'Trading History'!$S$4:$S1002, _xludf.CONCAT("&gt;", $A64))</f>
        <v/>
      </c>
      <c r="J66" s="46" t="n"/>
      <c r="K66" s="57" t="inlineStr">
        <is>
          <t>Gain</t>
        </is>
      </c>
      <c r="L66" s="58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2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2">
      <c r="A68" s="1" t="n"/>
      <c r="B68" s="54" t="inlineStr">
        <is>
          <t>Gross</t>
        </is>
      </c>
      <c r="C68" s="58">
        <f>SUMIFS('Trading History'!$M$4:$M1002, 'Trading History'!$K$4:$K1002, _xludf.CONCAT("&gt;", $A64))</f>
        <v/>
      </c>
      <c r="D68" s="46" t="n"/>
      <c r="E68" s="55" t="inlineStr">
        <is>
          <t>ST Gross</t>
        </is>
      </c>
      <c r="F68" s="58">
        <f>SUMIFS('Trading History'!$Q$4:$Q1002, 'Trading History'!$O$4:$O1002, _xludf.CONCAT("&gt;", $A64))</f>
        <v/>
      </c>
      <c r="G68" s="46" t="n"/>
      <c r="H68" s="56" t="inlineStr">
        <is>
          <t>LT Gross</t>
        </is>
      </c>
      <c r="I68" s="58">
        <f>SUMIFS('Trading History'!$U$4:$U1002, 'Trading History'!$S$4:$S1002, _xludf.CONCAT("&gt;", $A64))</f>
        <v/>
      </c>
      <c r="J68" s="46" t="n"/>
      <c r="K68" s="57" t="inlineStr">
        <is>
          <t>Gross</t>
        </is>
      </c>
      <c r="L68" s="58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2">
      <c r="A71" s="47" t="n">
        <v>0.1</v>
      </c>
      <c r="B71" s="48" t="inlineStr">
        <is>
          <t>Units</t>
        </is>
      </c>
      <c r="C71" s="49">
        <f>SUMIFS('Trading History'!$N$4:$N1002, 'Trading History'!$K$4:$K1002, _xludf.CONCAT("&gt;", $A71))</f>
        <v/>
      </c>
      <c r="D71" s="46" t="n"/>
      <c r="E71" s="50" t="inlineStr">
        <is>
          <t>ST Units</t>
        </is>
      </c>
      <c r="F71" s="49">
        <f>IFERROR(SUMIFS('Trading History'!$R$4:$R1002, 'Trading History'!$O$4:$O1002, _xludf.CONCAT("&gt;", $A71)), 0)</f>
        <v/>
      </c>
      <c r="G71" s="46" t="n"/>
      <c r="H71" s="51" t="inlineStr">
        <is>
          <t>LT Units</t>
        </is>
      </c>
      <c r="I71" s="49">
        <f>SUMIFS('Trading History'!$V$4:$V1002, 'Trading History'!$S$4:$S1002, _xludf.CONCAT("&gt;", $A71))</f>
        <v/>
      </c>
      <c r="J71" s="46" t="n"/>
      <c r="K71" s="52" t="inlineStr">
        <is>
          <t>Units</t>
        </is>
      </c>
      <c r="L71" s="49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2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2">
      <c r="A73" s="1" t="n"/>
      <c r="B73" s="54" t="inlineStr">
        <is>
          <t>Gain</t>
        </is>
      </c>
      <c r="C73" s="58">
        <f>SUMIFS('Trading History'!$L$4:$L1002, 'Trading History'!$K$4:$K1002, _xludf.CONCAT("&gt;", $A71))</f>
        <v/>
      </c>
      <c r="D73" s="46" t="n"/>
      <c r="E73" s="55" t="inlineStr">
        <is>
          <t>ST Gain</t>
        </is>
      </c>
      <c r="F73" s="58">
        <f>SUMIFS('Trading History'!$P$4:$P1002, 'Trading History'!$O$4:$O1002, _xludf.CONCAT("&gt;", $A71))</f>
        <v/>
      </c>
      <c r="G73" s="46" t="n"/>
      <c r="H73" s="56" t="inlineStr">
        <is>
          <t>LT Gain</t>
        </is>
      </c>
      <c r="I73" s="58">
        <f>SUMIFS('Trading History'!$T$4:$T1002, 'Trading History'!$S$4:$S1002, _xludf.CONCAT("&gt;", $A71))</f>
        <v/>
      </c>
      <c r="J73" s="46" t="n"/>
      <c r="K73" s="57" t="inlineStr">
        <is>
          <t>Gain</t>
        </is>
      </c>
      <c r="L73" s="58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2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2">
      <c r="A75" s="1" t="n"/>
      <c r="B75" s="54" t="inlineStr">
        <is>
          <t>Gross</t>
        </is>
      </c>
      <c r="C75" s="58">
        <f>SUMIFS('Trading History'!$M$4:$M1002, 'Trading History'!$K$4:$K1002, _xludf.CONCAT("&gt;", $A71))</f>
        <v/>
      </c>
      <c r="D75" s="46" t="n"/>
      <c r="E75" s="55" t="inlineStr">
        <is>
          <t>ST Gross</t>
        </is>
      </c>
      <c r="F75" s="58">
        <f>SUMIFS('Trading History'!$Q$4:$Q1002, 'Trading History'!$O$4:$O1002, _xludf.CONCAT("&gt;", $A71))</f>
        <v/>
      </c>
      <c r="G75" s="46" t="n"/>
      <c r="H75" s="56" t="inlineStr">
        <is>
          <t>LT Gross</t>
        </is>
      </c>
      <c r="I75" s="58">
        <f>SUMIFS('Trading History'!$U$4:$U1002, 'Trading History'!$S$4:$S1002, _xludf.CONCAT("&gt;", $A71))</f>
        <v/>
      </c>
      <c r="J75" s="46" t="n"/>
      <c r="K75" s="57" t="inlineStr">
        <is>
          <t>Gross</t>
        </is>
      </c>
      <c r="L75" s="58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2">
      <c r="A78" s="47" t="n">
        <v>0.05</v>
      </c>
      <c r="B78" s="48" t="inlineStr">
        <is>
          <t>Units</t>
        </is>
      </c>
      <c r="C78" s="49">
        <f>SUMIFS('Trading History'!$N$4:$N1002, 'Trading History'!$K$4:$K1002, _xludf.CONCAT("&gt;", $A78))</f>
        <v/>
      </c>
      <c r="D78" s="46" t="n"/>
      <c r="E78" s="50" t="inlineStr">
        <is>
          <t>ST Units</t>
        </is>
      </c>
      <c r="F78" s="49">
        <f>IFERROR(SUMIFS('Trading History'!$R$4:$R1002, 'Trading History'!$O$4:$O1002, _xludf.CONCAT("&gt;", $A78)), 0)</f>
        <v/>
      </c>
      <c r="G78" s="46" t="n"/>
      <c r="H78" s="51" t="inlineStr">
        <is>
          <t>LT Units</t>
        </is>
      </c>
      <c r="I78" s="49">
        <f>SUMIFS('Trading History'!$V$4:$V1002, 'Trading History'!$S$4:$S1002, _xludf.CONCAT("&gt;", $A78))</f>
        <v/>
      </c>
      <c r="J78" s="46" t="n"/>
      <c r="K78" s="52" t="inlineStr">
        <is>
          <t>Units</t>
        </is>
      </c>
      <c r="L78" s="49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2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2">
      <c r="A80" s="1" t="n"/>
      <c r="B80" s="54" t="inlineStr">
        <is>
          <t>Gain</t>
        </is>
      </c>
      <c r="C80" s="58">
        <f>SUMIFS('Trading History'!$L$4:$L1002, 'Trading History'!$K$4:$K1002, _xludf.CONCAT("&gt;", $A78))</f>
        <v/>
      </c>
      <c r="D80" s="46" t="n"/>
      <c r="E80" s="55" t="inlineStr">
        <is>
          <t>ST Gain</t>
        </is>
      </c>
      <c r="F80" s="58">
        <f>SUMIFS('Trading History'!$P$4:$P1002, 'Trading History'!$O$4:$O1002, _xludf.CONCAT("&gt;", $A78))</f>
        <v/>
      </c>
      <c r="G80" s="46" t="n"/>
      <c r="H80" s="56" t="inlineStr">
        <is>
          <t>LT Gain</t>
        </is>
      </c>
      <c r="I80" s="58">
        <f>SUMIFS('Trading History'!$T$4:$T1002, 'Trading History'!$S$4:$S1002, _xludf.CONCAT("&gt;", $A78))</f>
        <v/>
      </c>
      <c r="J80" s="46" t="n"/>
      <c r="K80" s="57" t="inlineStr">
        <is>
          <t>Gain</t>
        </is>
      </c>
      <c r="L80" s="58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2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2">
      <c r="A82" s="1" t="n"/>
      <c r="B82" s="54" t="inlineStr">
        <is>
          <t>Gross</t>
        </is>
      </c>
      <c r="C82" s="58">
        <f>SUMIFS('Trading History'!$M$4:$M1002, 'Trading History'!$K$4:$K1002, _xludf.CONCAT("&gt;", $A78))</f>
        <v/>
      </c>
      <c r="D82" s="46" t="n"/>
      <c r="E82" s="55" t="inlineStr">
        <is>
          <t>ST Gross</t>
        </is>
      </c>
      <c r="F82" s="58">
        <f>SUMIFS('Trading History'!$Q$4:$Q1002, 'Trading History'!$O$4:$O1002, _xludf.CONCAT("&gt;", $A78))</f>
        <v/>
      </c>
      <c r="G82" s="46" t="n"/>
      <c r="H82" s="56" t="inlineStr">
        <is>
          <t>LT Gross</t>
        </is>
      </c>
      <c r="I82" s="58">
        <f>SUMIFS('Trading History'!$U$4:$U1002, 'Trading History'!$S$4:$S1002, _xludf.CONCAT("&gt;", $A78))</f>
        <v/>
      </c>
      <c r="J82" s="46" t="n"/>
      <c r="K82" s="57" t="inlineStr">
        <is>
          <t>Gross</t>
        </is>
      </c>
      <c r="L82" s="58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2">
      <c r="A85" s="47" t="n">
        <v>0</v>
      </c>
      <c r="B85" s="48" t="inlineStr">
        <is>
          <t>Units</t>
        </is>
      </c>
      <c r="C85" s="49">
        <f>SUMIFS('Trading History'!$N$4:$N1002, 'Trading History'!$K$4:$K1002, _xludf.CONCAT("&gt;", $A85))</f>
        <v/>
      </c>
      <c r="D85" s="46" t="n"/>
      <c r="E85" s="50" t="inlineStr">
        <is>
          <t>ST Units</t>
        </is>
      </c>
      <c r="F85" s="49">
        <f>IFERROR(SUMIFS('Trading History'!$R$4:$R1002, 'Trading History'!$O$4:$O1002, _xludf.CONCAT("&gt;", $A85)), 0)</f>
        <v/>
      </c>
      <c r="G85" s="46" t="n"/>
      <c r="H85" s="51" t="inlineStr">
        <is>
          <t>LT Units</t>
        </is>
      </c>
      <c r="I85" s="49">
        <f>SUMIFS('Trading History'!$V$4:$V1002, 'Trading History'!$S$4:$S1002, _xludf.CONCAT("&gt;", $A85))</f>
        <v/>
      </c>
      <c r="J85" s="46" t="n"/>
      <c r="K85" s="52" t="inlineStr">
        <is>
          <t>Units</t>
        </is>
      </c>
      <c r="L85" s="49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2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2">
      <c r="A87" s="1" t="n"/>
      <c r="B87" s="54" t="inlineStr">
        <is>
          <t>Gain</t>
        </is>
      </c>
      <c r="C87" s="58">
        <f>SUMIFS('Trading History'!$L$4:$L1002, 'Trading History'!$K$4:$K1002, _xludf.CONCAT("&gt;", $A85))</f>
        <v/>
      </c>
      <c r="D87" s="46" t="n"/>
      <c r="E87" s="55" t="inlineStr">
        <is>
          <t>ST Gain</t>
        </is>
      </c>
      <c r="F87" s="58">
        <f>SUMIFS('Trading History'!$P$4:$P1002, 'Trading History'!$O$4:$O1002, _xludf.CONCAT("&gt;", $A85))</f>
        <v/>
      </c>
      <c r="G87" s="46" t="n"/>
      <c r="H87" s="56" t="inlineStr">
        <is>
          <t>LT Gain</t>
        </is>
      </c>
      <c r="I87" s="58">
        <f>SUMIFS('Trading History'!$T$4:$T1002, 'Trading History'!$S$4:$S1002, _xludf.CONCAT("&gt;", $A85))</f>
        <v/>
      </c>
      <c r="J87" s="46" t="n"/>
      <c r="K87" s="57" t="inlineStr">
        <is>
          <t>Gain</t>
        </is>
      </c>
      <c r="L87" s="58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2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2">
      <c r="A89" s="1" t="n"/>
      <c r="B89" s="54" t="inlineStr">
        <is>
          <t>Gross</t>
        </is>
      </c>
      <c r="C89" s="58">
        <f>SUMIFS('Trading History'!$M$4:$M1002, 'Trading History'!$K$4:$K1002, _xludf.CONCAT("&gt;", $A85))</f>
        <v/>
      </c>
      <c r="D89" s="46" t="n"/>
      <c r="E89" s="55" t="inlineStr">
        <is>
          <t>ST Gross</t>
        </is>
      </c>
      <c r="F89" s="58">
        <f>SUMIFS('Trading History'!$Q$4:$Q1002, 'Trading History'!$O$4:$O1002, _xludf.CONCAT("&gt;", $A85))</f>
        <v/>
      </c>
      <c r="G89" s="46" t="n"/>
      <c r="H89" s="56" t="inlineStr">
        <is>
          <t>LT Gross</t>
        </is>
      </c>
      <c r="I89" s="58">
        <f>SUMIFS('Trading History'!$U$4:$U1002, 'Trading History'!$S$4:$S1002, _xludf.CONCAT("&gt;", $A85))</f>
        <v/>
      </c>
      <c r="J89" s="46" t="n"/>
      <c r="K89" s="57" t="inlineStr">
        <is>
          <t>Gross</t>
        </is>
      </c>
      <c r="L89" s="58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2026-02-12T00:09:12Z</dcterms:modified>
  <cp:lastModifiedBy>Lenin Soundararajan Vijaya</cp:lastModifiedBy>
</cp:coreProperties>
</file>