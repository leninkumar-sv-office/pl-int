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67BA262_BD49_41CD_8213_05BCAED6E56B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[$₹]#,##0.00"/>
    <numFmt numFmtId="165" formatCode="M/d/yyyy"/>
    <numFmt numFmtId="166" formatCode="dd-mmm-yyyy"/>
    <numFmt numFmtId="167" formatCode="d-mmm-yyyy"/>
    <numFmt numFmtId="168" formatCode="YYYY-MM-DD"/>
    <numFmt numFmtId="169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90" t="n">
        <v>46063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3182.65</v>
      </c>
      <c r="F5" t="n">
        <v>6410.43</v>
      </c>
      <c r="G5" t="inlineStr">
        <is>
          <t>CN#252611730667</t>
        </is>
      </c>
      <c r="H5" t="n">
        <v>6.36</v>
      </c>
      <c r="I5" t="n">
        <v>38.77</v>
      </c>
      <c r="J5">
        <f>Index!$C$2</f>
        <v/>
      </c>
    </row>
    <row r="6">
      <c r="A6" s="90" t="n">
        <v>46062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3154.4</v>
      </c>
      <c r="F6" s="0" t="n">
        <v>6353.49</v>
      </c>
      <c r="G6" s="0" t="inlineStr">
        <is>
          <t>CN#252611665409</t>
        </is>
      </c>
      <c r="H6" s="0" t="n">
        <v>6.3</v>
      </c>
      <c r="I6" s="0" t="n">
        <v>38.39</v>
      </c>
      <c r="J6" s="0">
        <f>Index!$C$2</f>
        <v/>
      </c>
    </row>
    <row r="7">
      <c r="A7" s="89" t="n">
        <v>46057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3160</v>
      </c>
      <c r="F7" s="0" t="n">
        <v>3182.41</v>
      </c>
      <c r="G7" s="0" t="inlineStr">
        <is>
          <t>~</t>
        </is>
      </c>
      <c r="H7" s="0" t="n">
        <v>3.17</v>
      </c>
      <c r="I7" s="0" t="n">
        <v>19.24</v>
      </c>
    </row>
    <row r="8">
      <c r="A8" s="89" t="n">
        <v>46049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3177.3</v>
      </c>
      <c r="F8" s="0" t="n">
        <v>6399.67</v>
      </c>
      <c r="G8" s="0" t="inlineStr">
        <is>
          <t>~</t>
        </is>
      </c>
      <c r="H8" s="0" t="n">
        <v>6.35</v>
      </c>
      <c r="I8" s="0" t="n">
        <v>38.72</v>
      </c>
    </row>
    <row r="9">
      <c r="A9" s="89" t="n">
        <v>46038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3283.5</v>
      </c>
      <c r="F9" s="0" t="n">
        <v>3306.76</v>
      </c>
      <c r="G9" s="0" t="inlineStr">
        <is>
          <t>~</t>
        </is>
      </c>
      <c r="H9" s="0" t="n">
        <v>3.28</v>
      </c>
      <c r="I9" s="0" t="n">
        <v>19.98</v>
      </c>
    </row>
    <row r="10">
      <c r="A10" s="89" t="n">
        <v>46034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3217</v>
      </c>
      <c r="F10" s="0" t="n">
        <v>6479.64</v>
      </c>
      <c r="G10" s="0" t="inlineStr">
        <is>
          <t>~</t>
        </is>
      </c>
      <c r="H10" s="0" t="n">
        <v>6.45</v>
      </c>
      <c r="I10" s="0" t="n">
        <v>39.19</v>
      </c>
    </row>
    <row r="11">
      <c r="A11" s="89" t="n">
        <v>46020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3234</v>
      </c>
      <c r="F11" s="0" t="n">
        <v>3256.96</v>
      </c>
      <c r="G11" s="0" t="inlineStr">
        <is>
          <t>~</t>
        </is>
      </c>
      <c r="H11" s="0" t="n">
        <v>3.25</v>
      </c>
      <c r="I11" s="0" t="n">
        <v>19.71</v>
      </c>
    </row>
    <row r="12">
      <c r="A12" s="89" t="n">
        <v>46017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3218.4</v>
      </c>
      <c r="F12" s="0" t="n">
        <v>6482.47</v>
      </c>
      <c r="G12" s="0" t="inlineStr">
        <is>
          <t>~</t>
        </is>
      </c>
      <c r="H12" s="0" t="n">
        <v>6.46</v>
      </c>
      <c r="I12" s="0" t="n">
        <v>39.21</v>
      </c>
    </row>
    <row r="13">
      <c r="A13" s="89" t="n">
        <v>46015</v>
      </c>
      <c r="B13" s="0" t="inlineStr">
        <is>
          <t>BSE</t>
        </is>
      </c>
      <c r="C13" s="0" t="inlineStr">
        <is>
          <t>Buy</t>
        </is>
      </c>
      <c r="D13" s="0" t="n">
        <v>1</v>
      </c>
      <c r="E13" s="0" t="n">
        <v>3240.65</v>
      </c>
      <c r="F13" s="0" t="n">
        <v>3263.63</v>
      </c>
      <c r="G13" s="0" t="inlineStr">
        <is>
          <t>~</t>
        </is>
      </c>
      <c r="H13" s="0" t="n">
        <v>3.22</v>
      </c>
      <c r="I13" s="0" t="n">
        <v>19.76</v>
      </c>
    </row>
    <row r="14">
      <c r="A14" s="89" t="n">
        <v>46014</v>
      </c>
      <c r="B14" s="0" t="inlineStr">
        <is>
          <t>BSE</t>
        </is>
      </c>
      <c r="C14" s="0" t="inlineStr">
        <is>
          <t>Buy</t>
        </is>
      </c>
      <c r="D14" s="0" t="n">
        <v>1</v>
      </c>
      <c r="E14" s="0" t="n">
        <v>3268.15</v>
      </c>
      <c r="F14" s="0" t="n">
        <v>3291.31</v>
      </c>
      <c r="G14" s="0" t="inlineStr">
        <is>
          <t>~</t>
        </is>
      </c>
      <c r="H14" s="0" t="n">
        <v>3.26</v>
      </c>
      <c r="I14" s="0" t="n">
        <v>19.9</v>
      </c>
    </row>
    <row r="15">
      <c r="A15" s="89" t="n">
        <v>46009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3177.3</v>
      </c>
      <c r="F15" s="0" t="n">
        <v>3199.83</v>
      </c>
      <c r="G15" s="0" t="inlineStr">
        <is>
          <t>~</t>
        </is>
      </c>
      <c r="H15" s="0" t="n">
        <v>3.19</v>
      </c>
      <c r="I15" s="0" t="n">
        <v>19.34</v>
      </c>
    </row>
    <row r="16">
      <c r="A16" s="89" t="n">
        <v>46007</v>
      </c>
      <c r="B16" s="0" t="inlineStr">
        <is>
          <t>NSE</t>
        </is>
      </c>
      <c r="C16" s="0" t="inlineStr">
        <is>
          <t>Buy</t>
        </is>
      </c>
      <c r="D16" s="0" t="n">
        <v>2</v>
      </c>
      <c r="E16" s="0" t="n">
        <v>3251.8</v>
      </c>
      <c r="F16" s="0" t="n">
        <v>6549.71</v>
      </c>
      <c r="G16" s="0" t="inlineStr">
        <is>
          <t>~</t>
        </is>
      </c>
      <c r="H16" s="0" t="n">
        <v>6.48</v>
      </c>
      <c r="I16" s="0" t="n">
        <v>39.63</v>
      </c>
    </row>
    <row r="17">
      <c r="A17" s="89" t="n">
        <v>45978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3569.1</v>
      </c>
      <c r="F17" s="0" t="n">
        <v>3594.41</v>
      </c>
      <c r="G17" s="0" t="inlineStr">
        <is>
          <t>~</t>
        </is>
      </c>
      <c r="H17" s="0" t="n">
        <v>3.58</v>
      </c>
      <c r="I17" s="0" t="n">
        <v>21.73</v>
      </c>
    </row>
    <row r="18">
      <c r="A18" s="89" t="n">
        <v>45974</v>
      </c>
      <c r="B18" s="0" t="inlineStr">
        <is>
          <t>NSE</t>
        </is>
      </c>
      <c r="C18" s="0" t="inlineStr">
        <is>
          <t>Buy</t>
        </is>
      </c>
      <c r="D18" s="0" t="n">
        <v>2</v>
      </c>
      <c r="E18" s="0" t="n">
        <v>3571.9</v>
      </c>
      <c r="F18" s="0" t="n">
        <v>7194.42</v>
      </c>
      <c r="G18" s="0" t="inlineStr">
        <is>
          <t>~</t>
        </is>
      </c>
      <c r="H18" s="0" t="n">
        <v>7.11</v>
      </c>
      <c r="I18" s="0" t="n">
        <v>43.51</v>
      </c>
    </row>
    <row r="19">
      <c r="A19" s="89" t="n">
        <v>45968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3747</v>
      </c>
      <c r="F19" s="0" t="n">
        <v>3773.58</v>
      </c>
      <c r="G19" s="0" t="inlineStr">
        <is>
          <t>~</t>
        </is>
      </c>
      <c r="H19" s="0" t="n">
        <v>3.75</v>
      </c>
      <c r="I19" s="0" t="n">
        <v>22.83</v>
      </c>
    </row>
    <row r="20">
      <c r="A20" s="89" t="n">
        <v>45959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3593.2</v>
      </c>
      <c r="F20" s="0" t="n">
        <v>3618.66</v>
      </c>
      <c r="G20" s="0" t="inlineStr">
        <is>
          <t>~</t>
        </is>
      </c>
      <c r="H20" s="0" t="n">
        <v>3.59</v>
      </c>
      <c r="I20" s="0" t="n">
        <v>21.87</v>
      </c>
    </row>
    <row r="21">
      <c r="A21" s="89" t="n">
        <v>45959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3598.1</v>
      </c>
      <c r="F21" s="0" t="n">
        <v>3623.58</v>
      </c>
      <c r="G21" s="0" t="inlineStr">
        <is>
          <t>~</t>
        </is>
      </c>
      <c r="H21" s="0" t="n">
        <v>3.59</v>
      </c>
      <c r="I21" s="0" t="n">
        <v>21.89</v>
      </c>
    </row>
    <row r="22">
      <c r="A22" s="89" t="n">
        <v>45957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3644.4</v>
      </c>
      <c r="F22" s="0" t="n">
        <v>7340.49</v>
      </c>
      <c r="G22" s="0" t="inlineStr">
        <is>
          <t>~</t>
        </is>
      </c>
      <c r="H22" s="0" t="n">
        <v>7.32</v>
      </c>
      <c r="I22" s="0" t="n">
        <v>44.37</v>
      </c>
    </row>
    <row r="23">
      <c r="A23" s="89" t="n">
        <v>45954</v>
      </c>
      <c r="B23" s="0" t="inlineStr">
        <is>
          <t>BSE</t>
        </is>
      </c>
      <c r="C23" s="0" t="inlineStr">
        <is>
          <t>Buy</t>
        </is>
      </c>
      <c r="D23" s="0" t="n">
        <v>2</v>
      </c>
      <c r="E23" s="0" t="n">
        <v>3573.95</v>
      </c>
      <c r="F23" s="0" t="n">
        <v>7198.65</v>
      </c>
      <c r="G23" s="0" t="inlineStr">
        <is>
          <t>~</t>
        </is>
      </c>
      <c r="H23" s="0" t="n">
        <v>7.17</v>
      </c>
      <c r="I23" s="0" t="n">
        <v>43.58</v>
      </c>
    </row>
    <row r="24">
      <c r="A24" s="89" t="n">
        <v>45953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3580</v>
      </c>
      <c r="F24" s="0" t="n">
        <v>7210.72</v>
      </c>
      <c r="G24" s="0" t="inlineStr">
        <is>
          <t>~</t>
        </is>
      </c>
      <c r="H24" s="0" t="n">
        <v>7.13</v>
      </c>
      <c r="I24" s="0" t="n">
        <v>43.59</v>
      </c>
    </row>
    <row r="25">
      <c r="A25" s="89" t="n">
        <v>45950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3582.8</v>
      </c>
      <c r="F25" s="0" t="n">
        <v>7216.37</v>
      </c>
      <c r="G25" s="0" t="inlineStr">
        <is>
          <t>~</t>
        </is>
      </c>
      <c r="H25" s="0" t="n">
        <v>7.16</v>
      </c>
      <c r="I25" s="0" t="n">
        <v>43.61</v>
      </c>
    </row>
    <row r="26">
      <c r="A26" s="89" t="n">
        <v>45947</v>
      </c>
      <c r="B26" s="0" t="inlineStr">
        <is>
          <t>BSE</t>
        </is>
      </c>
      <c r="C26" s="0" t="inlineStr">
        <is>
          <t>Buy</t>
        </is>
      </c>
      <c r="D26" s="0" t="n">
        <v>2</v>
      </c>
      <c r="E26" s="0" t="n">
        <v>3539.5</v>
      </c>
      <c r="F26" s="0" t="n">
        <v>7129.24</v>
      </c>
      <c r="G26" s="0" t="inlineStr">
        <is>
          <t>~</t>
        </is>
      </c>
      <c r="H26" s="0" t="n">
        <v>7.09</v>
      </c>
      <c r="I26" s="0" t="n">
        <v>43.15</v>
      </c>
    </row>
    <row r="27">
      <c r="A27" s="89" t="n">
        <v>45903</v>
      </c>
      <c r="B27" s="0" t="inlineStr">
        <is>
          <t>BSE</t>
        </is>
      </c>
      <c r="C27" s="0" t="inlineStr">
        <is>
          <t>Buy</t>
        </is>
      </c>
      <c r="D27" s="0" t="n">
        <v>2</v>
      </c>
      <c r="E27" s="0" t="n">
        <v>3750.95</v>
      </c>
      <c r="F27" s="0" t="n">
        <v>7555.16</v>
      </c>
      <c r="G27" s="0" t="inlineStr">
        <is>
          <t>~</t>
        </is>
      </c>
      <c r="H27" s="0" t="n">
        <v>7.52</v>
      </c>
      <c r="I27" s="0" t="n">
        <v>45.74</v>
      </c>
    </row>
    <row r="28">
      <c r="A28" s="89" t="n">
        <v>45876</v>
      </c>
      <c r="B28" s="0" t="inlineStr">
        <is>
          <t>DIV</t>
        </is>
      </c>
      <c r="C28" s="0" t="inlineStr">
        <is>
          <t>Buy</t>
        </is>
      </c>
      <c r="D28" s="0" t="n">
        <v>6</v>
      </c>
      <c r="E28" s="0" t="n">
        <v>10</v>
      </c>
      <c r="F28" s="0" t="n">
        <v>60</v>
      </c>
      <c r="G28" s="0" t="inlineStr">
        <is>
          <t>Final-Dividend of Rs.10.0000/- per share on Ex-Date: 07-AUG-2025  Final-Dividend of Rs.10.0000/- per share on Ex-Date: 07-AUG-2025</t>
        </is>
      </c>
      <c r="H28" s="0" t="n">
        <v>0</v>
      </c>
      <c r="I28" s="0" t="n">
        <v>0</v>
      </c>
    </row>
    <row r="29">
      <c r="A29" s="33" t="n">
        <v>45950</v>
      </c>
      <c r="B29" s="34" t="inlineStr">
        <is>
          <t>BSE</t>
        </is>
      </c>
      <c r="C29" s="34" t="inlineStr">
        <is>
          <t>Buy</t>
        </is>
      </c>
      <c r="D29" s="35" t="n">
        <v>2</v>
      </c>
      <c r="E29" s="36" t="n">
        <v>3608.18</v>
      </c>
      <c r="F29" s="36">
        <f>D5*E5</f>
        <v/>
      </c>
      <c r="G29" s="34" t="inlineStr">
        <is>
          <t>~</t>
        </is>
      </c>
      <c r="H29" s="35" t="n"/>
      <c r="I29" s="35" t="n"/>
      <c r="J29" s="37">
        <f>Index!$C$2</f>
        <v/>
      </c>
      <c r="K29" s="38">
        <f>IF(AND( C5="Buy", ISBLANK(W5), B5&lt;&gt;"DIV"), L5/sum(F5:I5), "")</f>
        <v/>
      </c>
      <c r="L29" s="39">
        <f>IF(AND( C5="Buy", ISBLANK(W5), B5&lt;&gt;"DIV"), (1-Index!$F$2*2)*((J5*D5)-(E5*D5)), "")</f>
        <v/>
      </c>
      <c r="M29" s="39">
        <f>IF(AND( C5="Buy", ISBLANK(W5), B5&lt;&gt;"DIV"), ((E5*D5)+L5), "")</f>
        <v/>
      </c>
      <c r="N29" s="40">
        <f>IF(AND( C5="Buy", ISBLANK(W5), B5&lt;&gt;"DIV"), D5, "")</f>
        <v/>
      </c>
      <c r="O29" s="38">
        <f>IF(AND( C5="Buy", ISBLANK(W5), B5&lt;&gt;"DIV", NOW()-A5 &lt; 365), P5/sum(F5:I5), "")</f>
        <v/>
      </c>
      <c r="P29" s="39">
        <f>IF(AND( C5="Buy", ISBLANK(W5), B5&lt;&gt;"DIV", NOW()-A5 &lt; 365), (1-Index!$F$2*2)*((J5*D5)-(E5*D5)), "")</f>
        <v/>
      </c>
      <c r="Q29" s="39">
        <f>IF(AND( C5="Buy", ISBLANK(W5), B5&lt;&gt;"DIV", NOW()-A5 &lt; 365), ((E5*D5)+P5), "")</f>
        <v/>
      </c>
      <c r="R29" s="39">
        <f>IF(AND( C5="Buy", ISBLANK(W5), B5&lt;&gt;"DIV", NOW()-A5 &lt; 365), D5, "")</f>
        <v/>
      </c>
      <c r="S29" s="38">
        <f>IF(AND( C5="Buy", ISBLANK(W5), B5&lt;&gt;"DIV", NOW()-A5 &gt; 365), T5/sum(F5:I5), "")</f>
        <v/>
      </c>
      <c r="T29" s="39">
        <f>IF(AND( C5="Buy", ISBLANK(W5), B5&lt;&gt;"DIV", NOW()-A5 &gt; 365), (1-Index!$F$2*2)*((J5*D5)-(E5*D5)), "")</f>
        <v/>
      </c>
      <c r="U29" s="39">
        <f>IF(AND( C5="Buy", ISBLANK(W5), B5&lt;&gt;"DIV", NOW()-A5 &gt; 365), ((E5*D5)+T5), "")</f>
        <v/>
      </c>
      <c r="V29" s="39">
        <f>IF(AND( C5="Buy", ISBLANK(W5), B5&lt;&gt;"DIV", NOW()-A5 &gt; 365), D5, "")</f>
        <v/>
      </c>
      <c r="W29" s="43" t="n"/>
      <c r="X29" s="42" t="n"/>
      <c r="Y29" s="38">
        <f>IF(AND( C5="Buy", W5&lt;&gt;"", AA5&lt;&gt;"", B5&lt;&gt;"DIV"), Z5/sum(F5:I5), "")</f>
        <v/>
      </c>
      <c r="Z29" s="43" t="n"/>
      <c r="AA29" s="43" t="n"/>
      <c r="AB29" s="44" t="n"/>
      <c r="AC29" s="45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33" t="n">
        <v>45947</v>
      </c>
      <c r="B30" s="34" t="inlineStr">
        <is>
          <t>BSE</t>
        </is>
      </c>
      <c r="C30" s="34" t="inlineStr">
        <is>
          <t>Buy</t>
        </is>
      </c>
      <c r="D30" s="35" t="n">
        <v>2</v>
      </c>
      <c r="E30" s="36" t="n">
        <v>3564.62</v>
      </c>
      <c r="F30" s="36">
        <f>D6*E6</f>
        <v/>
      </c>
      <c r="G30" s="34" t="inlineStr">
        <is>
          <t>~</t>
        </is>
      </c>
      <c r="H30" s="35" t="n"/>
      <c r="I30" s="35" t="n"/>
      <c r="J30" s="37">
        <f>Index!$C$2</f>
        <v/>
      </c>
      <c r="K30" s="38">
        <f>IF(AND( C6="Buy", ISBLANK(W6), B6&lt;&gt;"DIV"), L6/sum(F6:I6), "")</f>
        <v/>
      </c>
      <c r="L30" s="39">
        <f>IF(AND( C6="Buy", ISBLANK(W6), B6&lt;&gt;"DIV"), (1-Index!$F$2*2)*((J6*D6)-(E6*D6)), "")</f>
        <v/>
      </c>
      <c r="M30" s="39">
        <f>IF(AND( C6="Buy", ISBLANK(W6), B6&lt;&gt;"DIV"), ((E6*D6)+L6), "")</f>
        <v/>
      </c>
      <c r="N30" s="40">
        <f>IF(AND( C6="Buy", ISBLANK(W6), B6&lt;&gt;"DIV"), D6, "")</f>
        <v/>
      </c>
      <c r="O30" s="38">
        <f>IF(AND( C6="Buy", ISBLANK(W6), B6&lt;&gt;"DIV", NOW()-A6 &lt; 365), P6/sum(F6:I6), "")</f>
        <v/>
      </c>
      <c r="P30" s="39">
        <f>IF(AND( C6="Buy", ISBLANK(W6), B6&lt;&gt;"DIV", NOW()-A6 &lt; 365), (1-Index!$F$2*2)*((J6*D6)-(E6*D6)), "")</f>
        <v/>
      </c>
      <c r="Q30" s="39">
        <f>IF(AND( C6="Buy", ISBLANK(W6), B6&lt;&gt;"DIV", NOW()-A6 &lt; 365), ((E6*D6)+P6), "")</f>
        <v/>
      </c>
      <c r="R30" s="39">
        <f>IF(AND( C6="Buy", ISBLANK(W6), B6&lt;&gt;"DIV", NOW()-A6 &lt; 365), D6, "")</f>
        <v/>
      </c>
      <c r="S30" s="38">
        <f>IF(AND( C6="Buy", ISBLANK(W6), B6&lt;&gt;"DIV", NOW()-A6 &gt; 365), T6/sum(F6:I6), "")</f>
        <v/>
      </c>
      <c r="T30" s="39">
        <f>IF(AND( C6="Buy", ISBLANK(W6), B6&lt;&gt;"DIV", NOW()-A6 &gt; 365), (1-Index!$F$2*2)*((J6*D6)-(E6*D6)), "")</f>
        <v/>
      </c>
      <c r="U30" s="39">
        <f>IF(AND( C6="Buy", ISBLANK(W6), B6&lt;&gt;"DIV", NOW()-A6 &gt; 365), ((E6*D6)+T6), "")</f>
        <v/>
      </c>
      <c r="V30" s="39">
        <f>IF(AND( C6="Buy", ISBLANK(W6), B6&lt;&gt;"DIV", NOW()-A6 &gt; 365), D6, "")</f>
        <v/>
      </c>
      <c r="W30" s="43" t="n"/>
      <c r="X30" s="42" t="n"/>
      <c r="Y30" s="38">
        <f>IF(AND( C6="Buy", W6&lt;&gt;"", AA6&lt;&gt;"", B6&lt;&gt;"DIV"), Z6/sum(F6:I6), "")</f>
        <v/>
      </c>
      <c r="Z30" s="43" t="n"/>
      <c r="AA30" s="43" t="n"/>
      <c r="AB30" s="44" t="n"/>
      <c r="AC30" s="45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8" t="n">
        <v>45903</v>
      </c>
      <c r="B31" s="34" t="inlineStr">
        <is>
          <t>BSE</t>
        </is>
      </c>
      <c r="C31" s="34" t="inlineStr">
        <is>
          <t>Buy</t>
        </is>
      </c>
      <c r="D31" s="35" t="n">
        <v>2</v>
      </c>
      <c r="E31" s="36" t="n">
        <v>3777.58</v>
      </c>
      <c r="F31" s="36" t="n">
        <v>7555.16</v>
      </c>
      <c r="G31" s="34" t="inlineStr">
        <is>
          <t>~</t>
        </is>
      </c>
      <c r="H31" s="35" t="n">
        <v>7.52</v>
      </c>
      <c r="I31" s="35" t="n">
        <v>45.74</v>
      </c>
      <c r="J31" s="37">
        <f>Index!$C$2</f>
        <v/>
      </c>
      <c r="K31" s="38">
        <f>IF(AND( C7="Buy", ISBLANK(W7), B7&lt;&gt;"DIV"), L7/sum(F7:I7), "")</f>
        <v/>
      </c>
      <c r="L31" s="39">
        <f>IF(AND( C7="Buy", ISBLANK(W7), B7&lt;&gt;"DIV"), (1-Index!$F$2*2)*((J7*D7)-(E7*D7)), "")</f>
        <v/>
      </c>
      <c r="M31" s="39">
        <f>IF(AND( C7="Buy", ISBLANK(W7), B7&lt;&gt;"DIV"), ((E7*D7)+L7), "")</f>
        <v/>
      </c>
      <c r="N31" s="40">
        <f>IF(AND( C7="Buy", ISBLANK(W7), B7&lt;&gt;"DIV"), D7, "")</f>
        <v/>
      </c>
      <c r="O31" s="38">
        <f>IF(AND( C7="Buy", ISBLANK(W7), B7&lt;&gt;"DIV", NOW()-A7 &lt; 365), P7/sum(F7:I7), "")</f>
        <v/>
      </c>
      <c r="P31" s="39">
        <f>IF(AND( C7="Buy", ISBLANK(W7), B7&lt;&gt;"DIV", NOW()-A7 &lt; 365), (1-Index!$F$2*2)*((J7*D7)-(E7*D7)), "")</f>
        <v/>
      </c>
      <c r="Q31" s="39">
        <f>IF(AND( C7="Buy", ISBLANK(W7), B7&lt;&gt;"DIV", NOW()-A7 &lt; 365), ((E7*D7)+P7), "")</f>
        <v/>
      </c>
      <c r="R31" s="39">
        <f>IF(AND( C7="Buy", ISBLANK(W7), B7&lt;&gt;"DIV", NOW()-A7 &lt; 365), D7, "")</f>
        <v/>
      </c>
      <c r="S31" s="38">
        <f>IF(AND( C7="Buy", ISBLANK(W7), B7&lt;&gt;"DIV", NOW()-A7 &gt; 365), T7/sum(F7:I7), "")</f>
        <v/>
      </c>
      <c r="T31" s="39">
        <f>IF(AND( C7="Buy", ISBLANK(W7), B7&lt;&gt;"DIV", NOW()-A7 &gt; 365), (1-Index!$F$2*2)*((J7*D7)-(E7*D7)), "")</f>
        <v/>
      </c>
      <c r="U31" s="39">
        <f>IF(AND( C7="Buy", ISBLANK(W7), B7&lt;&gt;"DIV", NOW()-A7 &gt; 365), ((E7*D7)+T7), "")</f>
        <v/>
      </c>
      <c r="V31" s="39">
        <f>IF(AND( C7="Buy", ISBLANK(W7), B7&lt;&gt;"DIV", NOW()-A7 &gt; 365), D7, "")</f>
        <v/>
      </c>
      <c r="W31" s="43" t="n"/>
      <c r="X31" s="42" t="n"/>
      <c r="Y31" s="38">
        <f>IF(AND( C7="Buy", W7&lt;&gt;"", AA7&lt;&gt;"", B7&lt;&gt;"DIV"), Z7/sum(F7:I7), "")</f>
        <v/>
      </c>
      <c r="Z31" s="43" t="n"/>
      <c r="AA31" s="43" t="n"/>
      <c r="AB31" s="44" t="n"/>
      <c r="AC31" s="45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45876</v>
      </c>
      <c r="B32" s="34" t="inlineStr">
        <is>
          <t>DIV</t>
        </is>
      </c>
      <c r="C32" s="34" t="inlineStr">
        <is>
          <t>Buy</t>
        </is>
      </c>
      <c r="D32" s="35" t="n">
        <v>4</v>
      </c>
      <c r="E32" s="36" t="n">
        <v>10</v>
      </c>
      <c r="F32" s="36" t="n">
        <v>40</v>
      </c>
      <c r="G32" s="34" t="inlineStr">
        <is>
          <t>Final-Dividend of Rs.10.0000/- per share on Ex-Date: 07-AUG-2025</t>
        </is>
      </c>
      <c r="H32" s="35" t="n">
        <v>0</v>
      </c>
      <c r="I32" s="35" t="n">
        <v>0</v>
      </c>
      <c r="J32" s="37">
        <f>Index!$C$2</f>
        <v/>
      </c>
      <c r="K32" s="38">
        <f>IF(AND( C8="Buy", ISBLANK(W8), B8&lt;&gt;"DIV"), L8/sum(F8:I8), "")</f>
        <v/>
      </c>
      <c r="L32" s="39">
        <f>IF(AND( C8="Buy", ISBLANK(W8), B8&lt;&gt;"DIV"), (1-Index!$F$2*2)*((J8*D8)-(E8*D8)), "")</f>
        <v/>
      </c>
      <c r="M32" s="39">
        <f>IF(AND( C8="Buy", ISBLANK(W8), B8&lt;&gt;"DIV"), ((E8*D8)+L8), "")</f>
        <v/>
      </c>
      <c r="N32" s="40">
        <f>IF(AND( C8="Buy", ISBLANK(W8), B8&lt;&gt;"DIV"), D8, "")</f>
        <v/>
      </c>
      <c r="O32" s="38">
        <f>IF(AND( C8="Buy", ISBLANK(W8), B8&lt;&gt;"DIV", NOW()-A8 &lt; 365), P8/sum(F8:I8), "")</f>
        <v/>
      </c>
      <c r="P32" s="39">
        <f>IF(AND( C8="Buy", ISBLANK(W8), B8&lt;&gt;"DIV", NOW()-A8 &lt; 365), (1-Index!$F$2*2)*((J8*D8)-(E8*D8)), "")</f>
        <v/>
      </c>
      <c r="Q32" s="39">
        <f>IF(AND( C8="Buy", ISBLANK(W8), B8&lt;&gt;"DIV", NOW()-A8 &lt; 365), ((E8*D8)+P8), "")</f>
        <v/>
      </c>
      <c r="R32" s="39">
        <f>IF(AND( C8="Buy", ISBLANK(W8), B8&lt;&gt;"DIV", NOW()-A8 &lt; 365), D8, "")</f>
        <v/>
      </c>
      <c r="S32" s="38">
        <f>IF(AND( C8="Buy", ISBLANK(W8), B8&lt;&gt;"DIV", NOW()-A8 &gt; 365), T8/sum(F8:I8), "")</f>
        <v/>
      </c>
      <c r="T32" s="39">
        <f>IF(AND( C8="Buy", ISBLANK(W8), B8&lt;&gt;"DIV", NOW()-A8 &gt; 365), (1-Index!$F$2*2)*((J8*D8)-(E8*D8)), "")</f>
        <v/>
      </c>
      <c r="U32" s="39">
        <f>IF(AND( C8="Buy", ISBLANK(W8), B8&lt;&gt;"DIV", NOW()-A8 &gt; 365), ((E8*D8)+T8), "")</f>
        <v/>
      </c>
      <c r="V32" s="39">
        <f>IF(AND( C8="Buy", ISBLANK(W8), B8&lt;&gt;"DIV", NOW()-A8 &gt; 365), D8, "")</f>
        <v/>
      </c>
      <c r="W32" s="43" t="n"/>
      <c r="X32" s="42" t="n"/>
      <c r="Y32" s="38">
        <f>IF(AND( C8="Buy", W8&lt;&gt;"", AA8&lt;&gt;"", B8&lt;&gt;"DIV"), Z8/sum(F8:I8), "")</f>
        <v/>
      </c>
      <c r="Z32" s="43" t="n"/>
      <c r="AA32" s="43" t="n"/>
      <c r="AB32" s="44" t="n"/>
      <c r="AC32" s="45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45876</v>
      </c>
      <c r="B33" s="34" t="inlineStr">
        <is>
          <t>DIV</t>
        </is>
      </c>
      <c r="C33" s="34" t="inlineStr">
        <is>
          <t>Buy</t>
        </is>
      </c>
      <c r="D33" s="35" t="n">
        <v>2</v>
      </c>
      <c r="E33" s="36" t="n">
        <v>10</v>
      </c>
      <c r="F33" s="36" t="n">
        <v>20</v>
      </c>
      <c r="G33" s="34" t="inlineStr">
        <is>
          <t>Final-Dividend of Rs.10.0000/- per share on Ex-Date: 07-AUG-2025</t>
        </is>
      </c>
      <c r="H33" s="35" t="n">
        <v>0</v>
      </c>
      <c r="I33" s="35" t="n">
        <v>0</v>
      </c>
      <c r="J33" s="37">
        <f>Index!$C$2</f>
        <v/>
      </c>
      <c r="K33" s="38">
        <f>IF(AND( C9="Buy", ISBLANK(W9), B9&lt;&gt;"DIV"), L9/sum(F9:I9), "")</f>
        <v/>
      </c>
      <c r="L33" s="39">
        <f>IF(AND( C9="Buy", ISBLANK(W9), B9&lt;&gt;"DIV"), (1-Index!$F$2*2)*((J9*D9)-(E9*D9)), "")</f>
        <v/>
      </c>
      <c r="M33" s="39">
        <f>IF(AND( C9="Buy", ISBLANK(W9), B9&lt;&gt;"DIV"), ((E9*D9)+L9), "")</f>
        <v/>
      </c>
      <c r="N33" s="40">
        <f>IF(AND( C9="Buy", ISBLANK(W9), B9&lt;&gt;"DIV"), D9, "")</f>
        <v/>
      </c>
      <c r="O33" s="38">
        <f>IF(AND( C9="Buy", ISBLANK(W9), B9&lt;&gt;"DIV", NOW()-A9 &lt; 365), P9/sum(F9:I9), "")</f>
        <v/>
      </c>
      <c r="P33" s="39">
        <f>IF(AND( C9="Buy", ISBLANK(W9), B9&lt;&gt;"DIV", NOW()-A9 &lt; 365), (1-Index!$F$2*2)*((J9*D9)-(E9*D9)), "")</f>
        <v/>
      </c>
      <c r="Q33" s="39">
        <f>IF(AND( C9="Buy", ISBLANK(W9), B9&lt;&gt;"DIV", NOW()-A9 &lt; 365), ((E9*D9)+P9), "")</f>
        <v/>
      </c>
      <c r="R33" s="39">
        <f>IF(AND( C9="Buy", ISBLANK(W9), B9&lt;&gt;"DIV", NOW()-A9 &lt; 365), D9, "")</f>
        <v/>
      </c>
      <c r="S33" s="38">
        <f>IF(AND( C9="Buy", ISBLANK(W9), B9&lt;&gt;"DIV", NOW()-A9 &gt; 365), T9/sum(F9:I9), "")</f>
        <v/>
      </c>
      <c r="T33" s="39">
        <f>IF(AND( C9="Buy", ISBLANK(W9), B9&lt;&gt;"DIV", NOW()-A9 &gt; 365), (1-Index!$F$2*2)*((J9*D9)-(E9*D9)), "")</f>
        <v/>
      </c>
      <c r="U33" s="39">
        <f>IF(AND( C9="Buy", ISBLANK(W9), B9&lt;&gt;"DIV", NOW()-A9 &gt; 365), ((E9*D9)+T9), "")</f>
        <v/>
      </c>
      <c r="V33" s="39">
        <f>IF(AND( C9="Buy", ISBLANK(W9), B9&lt;&gt;"DIV", NOW()-A9 &gt; 365), D9, "")</f>
        <v/>
      </c>
      <c r="W33" s="43" t="n"/>
      <c r="X33" s="42" t="n"/>
      <c r="Y33" s="38">
        <f>IF(AND( C9="Buy", W9&lt;&gt;"", AA9&lt;&gt;"", B9&lt;&gt;"DIV"), Z9/sum(F9:I9), "")</f>
        <v/>
      </c>
      <c r="Z33" s="43" t="n"/>
      <c r="AA33" s="43" t="n"/>
      <c r="AB33" s="44" t="n"/>
      <c r="AC33" s="45" t="n"/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8" t="n">
        <v>45855</v>
      </c>
      <c r="B34" s="34" t="inlineStr">
        <is>
          <t>BSE</t>
        </is>
      </c>
      <c r="C34" s="34" t="inlineStr">
        <is>
          <t>Buy</t>
        </is>
      </c>
      <c r="D34" s="35" t="n">
        <v>2</v>
      </c>
      <c r="E34" s="36" t="n">
        <v>4172.24</v>
      </c>
      <c r="F34" s="36" t="n">
        <v>8344.49</v>
      </c>
      <c r="G34" s="34" t="inlineStr">
        <is>
          <t>~</t>
        </is>
      </c>
      <c r="H34" s="35" t="n">
        <v>8.289999999999999</v>
      </c>
      <c r="I34" s="35" t="n">
        <v>50.5</v>
      </c>
      <c r="J34" s="37">
        <f>Index!$C$2</f>
        <v/>
      </c>
      <c r="K34" s="38">
        <f>IF(AND( C10="Buy", ISBLANK(W10), B10&lt;&gt;"DIV"), L10/sum(F10:I10), "")</f>
        <v/>
      </c>
      <c r="L34" s="39">
        <f>IF(AND( C10="Buy", ISBLANK(W10), B10&lt;&gt;"DIV"), (1-Index!$F$2*2)*((J10*D10)-(E10*D10)), "")</f>
        <v/>
      </c>
      <c r="M34" s="39">
        <f>IF(AND( C10="Buy", ISBLANK(W10), B10&lt;&gt;"DIV"), ((E10*D10)+L10), "")</f>
        <v/>
      </c>
      <c r="N34" s="40">
        <f>IF(AND( C10="Buy", ISBLANK(W10), B10&lt;&gt;"DIV"), D10, "")</f>
        <v/>
      </c>
      <c r="O34" s="38">
        <f>IF(AND( C10="Buy", ISBLANK(W10), B10&lt;&gt;"DIV", NOW()-A10 &lt; 365), P10/sum(F10:I10), "")</f>
        <v/>
      </c>
      <c r="P34" s="39">
        <f>IF(AND( C10="Buy", ISBLANK(W10), B10&lt;&gt;"DIV", NOW()-A10 &lt; 365), (1-Index!$F$2*2)*((J10*D10)-(E10*D10)), "")</f>
        <v/>
      </c>
      <c r="Q34" s="39">
        <f>IF(AND( C10="Buy", ISBLANK(W10), B10&lt;&gt;"DIV", NOW()-A10 &lt; 365), ((E10*D10)+P10), "")</f>
        <v/>
      </c>
      <c r="R34" s="39">
        <f>IF(AND( C10="Buy", ISBLANK(W10), B10&lt;&gt;"DIV", NOW()-A10 &lt; 365), D10, "")</f>
        <v/>
      </c>
      <c r="S34" s="38">
        <f>IF(AND( C10="Buy", ISBLANK(W10), B10&lt;&gt;"DIV", NOW()-A10 &gt; 365), T10/sum(F10:I10), "")</f>
        <v/>
      </c>
      <c r="T34" s="39">
        <f>IF(AND( C10="Buy", ISBLANK(W10), B10&lt;&gt;"DIV", NOW()-A10 &gt; 365), (1-Index!$F$2*2)*((J10*D10)-(E10*D10)), "")</f>
        <v/>
      </c>
      <c r="U34" s="39">
        <f>IF(AND( C10="Buy", ISBLANK(W10), B10&lt;&gt;"DIV", NOW()-A10 &gt; 365), ((E10*D10)+T10), "")</f>
        <v/>
      </c>
      <c r="V34" s="39">
        <f>IF(AND( C10="Buy", ISBLANK(W10), B10&lt;&gt;"DIV", NOW()-A10 &gt; 365), D10, "")</f>
        <v/>
      </c>
      <c r="W34" s="43" t="n"/>
      <c r="X34" s="42" t="n"/>
      <c r="Y34" s="38">
        <f>IF(AND( C10="Buy", W10&lt;&gt;"", AA10&lt;&gt;"", B10&lt;&gt;"DIV"), Z10/sum(F10:I10), "")</f>
        <v/>
      </c>
      <c r="Z34" s="43" t="n"/>
      <c r="AA34" s="43" t="n"/>
      <c r="AB34" s="44" t="n"/>
      <c r="AC34" s="45" t="n"/>
      <c r="AD34" s="46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8" t="n">
        <v>45812</v>
      </c>
      <c r="B35" s="34" t="inlineStr">
        <is>
          <t>NSE</t>
        </is>
      </c>
      <c r="C35" s="34" t="inlineStr">
        <is>
          <t>Buy</t>
        </is>
      </c>
      <c r="D35" s="35" t="n">
        <v>2</v>
      </c>
      <c r="E35" s="36" t="n">
        <v>3843.77</v>
      </c>
      <c r="F35" s="36" t="n">
        <v>7687.54</v>
      </c>
      <c r="G35" s="34" t="inlineStr">
        <is>
          <t>~</t>
        </is>
      </c>
      <c r="H35" s="35" t="n">
        <v>7.69</v>
      </c>
      <c r="I35" s="35" t="n">
        <v>46.45</v>
      </c>
      <c r="J35" s="37">
        <f>Index!$C$2</f>
        <v/>
      </c>
      <c r="K35" s="38">
        <f>IF(AND( C11="Buy", ISBLANK(W11), B11&lt;&gt;"DIV"), L11/sum(F11:I11), "")</f>
        <v/>
      </c>
      <c r="L35" s="39">
        <f>IF(AND( C11="Buy", ISBLANK(W11), B11&lt;&gt;"DIV"), (1-Index!$F$2*2)*((J11*D11)-(E11*D11)), "")</f>
        <v/>
      </c>
      <c r="M35" s="39">
        <f>IF(AND( C11="Buy", ISBLANK(W11), B11&lt;&gt;"DIV"), ((E11*D11)+L11), "")</f>
        <v/>
      </c>
      <c r="N35" s="40">
        <f>IF(AND( C11="Buy", ISBLANK(W11), B11&lt;&gt;"DIV"), D11, "")</f>
        <v/>
      </c>
      <c r="O35" s="38">
        <f>IF(AND( C11="Buy", ISBLANK(W11), B11&lt;&gt;"DIV", NOW()-A11 &lt; 365), P11/sum(F11:I11), "")</f>
        <v/>
      </c>
      <c r="P35" s="39">
        <f>IF(AND( C11="Buy", ISBLANK(W11), B11&lt;&gt;"DIV", NOW()-A11 &lt; 365), (1-Index!$F$2*2)*((J11*D11)-(E11*D11)), "")</f>
        <v/>
      </c>
      <c r="Q35" s="39">
        <f>IF(AND( C11="Buy", ISBLANK(W11), B11&lt;&gt;"DIV", NOW()-A11 &lt; 365), ((E11*D11)+P11), "")</f>
        <v/>
      </c>
      <c r="R35" s="39">
        <f>IF(AND( C11="Buy", ISBLANK(W11), B11&lt;&gt;"DIV", NOW()-A11 &lt; 365), D11, "")</f>
        <v/>
      </c>
      <c r="S35" s="38">
        <f>IF(AND( C11="Buy", ISBLANK(W11), B11&lt;&gt;"DIV", NOW()-A11 &gt; 365), T11/sum(F11:I11), "")</f>
        <v/>
      </c>
      <c r="T35" s="39">
        <f>IF(AND( C11="Buy", ISBLANK(W11), B11&lt;&gt;"DIV", NOW()-A11 &gt; 365), (1-Index!$F$2*2)*((J11*D11)-(E11*D11)), "")</f>
        <v/>
      </c>
      <c r="U35" s="39">
        <f>IF(AND( C11="Buy", ISBLANK(W11), B11&lt;&gt;"DIV", NOW()-A11 &gt; 365), ((E11*D11)+T11), "")</f>
        <v/>
      </c>
      <c r="V35" s="39">
        <f>IF(AND( C11="Buy", ISBLANK(W11), B11&lt;&gt;"DIV", NOW()-A11 &gt; 365), D11, "")</f>
        <v/>
      </c>
      <c r="W35" s="43" t="n"/>
      <c r="X35" s="42" t="n"/>
      <c r="Y35" s="38">
        <f>IF(AND( C11="Buy", W11&lt;&gt;"", AA11&lt;&gt;"", B11&lt;&gt;"DIV"), Z11/sum(F11:I11), "")</f>
        <v/>
      </c>
      <c r="Z35" s="43" t="n"/>
      <c r="AA35" s="43" t="n"/>
      <c r="AB35" s="44" t="n"/>
      <c r="AC35" s="45" t="n"/>
      <c r="AD35" s="46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8" t="n">
        <v>45811</v>
      </c>
      <c r="B36" s="34" t="inlineStr">
        <is>
          <t>NSE</t>
        </is>
      </c>
      <c r="C36" s="34" t="inlineStr">
        <is>
          <t>Buy</t>
        </is>
      </c>
      <c r="D36" s="35" t="n">
        <v>2</v>
      </c>
      <c r="E36" s="36" t="n">
        <v>3890.9</v>
      </c>
      <c r="F36" s="36" t="n">
        <v>7781.8</v>
      </c>
      <c r="G36" s="34" t="inlineStr">
        <is>
          <t>~</t>
        </is>
      </c>
      <c r="H36" s="35" t="n">
        <v>7.73</v>
      </c>
      <c r="I36" s="35" t="n">
        <v>47.07</v>
      </c>
      <c r="J36" s="37">
        <f>Index!$C$2</f>
        <v/>
      </c>
      <c r="K36" s="38">
        <f>IF(AND( C12="Buy", ISBLANK(W12), B12&lt;&gt;"DIV"), L12/sum(F12:I12), "")</f>
        <v/>
      </c>
      <c r="L36" s="39">
        <f>IF(AND( C12="Buy", ISBLANK(W12), B12&lt;&gt;"DIV"), (1-Index!$F$2*2)*((J12*D12)-(E12*D12)), "")</f>
        <v/>
      </c>
      <c r="M36" s="39">
        <f>IF(AND( C12="Buy", ISBLANK(W12), B12&lt;&gt;"DIV"), ((E12*D12)+L12), "")</f>
        <v/>
      </c>
      <c r="N36" s="40">
        <f>IF(AND( C12="Buy", ISBLANK(W12), B12&lt;&gt;"DIV"), D12, "")</f>
        <v/>
      </c>
      <c r="O36" s="38">
        <f>IF(AND( C12="Buy", ISBLANK(W12), B12&lt;&gt;"DIV", NOW()-A12 &lt; 365), P12/sum(F12:I12), "")</f>
        <v/>
      </c>
      <c r="P36" s="39">
        <f>IF(AND( C12="Buy", ISBLANK(W12), B12&lt;&gt;"DIV", NOW()-A12 &lt; 365), (1-Index!$F$2*2)*((J12*D12)-(E12*D12)), "")</f>
        <v/>
      </c>
      <c r="Q36" s="39">
        <f>IF(AND( C12="Buy", ISBLANK(W12), B12&lt;&gt;"DIV", NOW()-A12 &lt; 365), ((E12*D12)+P12), "")</f>
        <v/>
      </c>
      <c r="R36" s="39">
        <f>IF(AND( C12="Buy", ISBLANK(W12), B12&lt;&gt;"DIV", NOW()-A12 &lt; 365), D12, "")</f>
        <v/>
      </c>
      <c r="S36" s="38">
        <f>IF(AND( C12="Buy", ISBLANK(W12), B12&lt;&gt;"DIV", NOW()-A12 &gt; 365), T12/sum(F12:I12), "")</f>
        <v/>
      </c>
      <c r="T36" s="39">
        <f>IF(AND( C12="Buy", ISBLANK(W12), B12&lt;&gt;"DIV", NOW()-A12 &gt; 365), (1-Index!$F$2*2)*((J12*D12)-(E12*D12)), "")</f>
        <v/>
      </c>
      <c r="U36" s="39">
        <f>IF(AND( C12="Buy", ISBLANK(W12), B12&lt;&gt;"DIV", NOW()-A12 &gt; 365), ((E12*D12)+T12), "")</f>
        <v/>
      </c>
      <c r="V36" s="39">
        <f>IF(AND( C12="Buy", ISBLANK(W12), B12&lt;&gt;"DIV", NOW()-A12 &gt; 365), D12, "")</f>
        <v/>
      </c>
      <c r="W36" s="39" t="n"/>
      <c r="X36" s="39" t="n"/>
      <c r="Y36" s="38">
        <f>IF(AND( C12="Buy", W12&lt;&gt;"", AA12&lt;&gt;"", B12&lt;&gt;"DIV"), Z12/sum(F12:I12), "")</f>
        <v/>
      </c>
      <c r="Z36" s="39" t="n"/>
      <c r="AA36" s="39" t="n"/>
      <c r="AB36" s="40" t="n"/>
      <c r="AC36" s="49">
        <f>if(B12="DIV", F12,"")</f>
        <v/>
      </c>
      <c r="AD36" s="46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7" t="n"/>
      <c r="B37" s="47" t="n"/>
      <c r="C37" s="47" t="n"/>
      <c r="D37" s="47" t="n"/>
      <c r="E37" s="50" t="n"/>
      <c r="F37" s="50" t="n"/>
      <c r="G37" s="51" t="n"/>
      <c r="H37" s="47" t="n"/>
      <c r="I37" s="47" t="n"/>
      <c r="J37" s="50" t="n"/>
      <c r="K37" s="50" t="n"/>
      <c r="L37" s="50" t="n"/>
      <c r="M37" s="3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50" t="n"/>
      <c r="X37" s="52" t="n"/>
      <c r="Y37" s="50" t="n"/>
      <c r="Z37" s="50" t="n"/>
      <c r="AA37" s="50" t="n"/>
      <c r="AB37" s="50" t="n"/>
      <c r="AC37" s="50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7" t="n"/>
      <c r="B38" s="47" t="n"/>
      <c r="C38" s="47" t="n"/>
      <c r="D38" s="47" t="n"/>
      <c r="E38" s="50" t="n"/>
      <c r="F38" s="50" t="n"/>
      <c r="G38" s="51" t="n"/>
      <c r="H38" s="47" t="n"/>
      <c r="I38" s="47" t="n"/>
      <c r="J38" s="50" t="n"/>
      <c r="K38" s="50" t="n"/>
      <c r="L38" s="50" t="n"/>
      <c r="M38" s="3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50" t="n"/>
      <c r="X38" s="52" t="n"/>
      <c r="Y38" s="50" t="n"/>
      <c r="Z38" s="50" t="n"/>
      <c r="AA38" s="50" t="n"/>
      <c r="AB38" s="50" t="n"/>
      <c r="AC38" s="50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3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3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3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0" t="n"/>
      <c r="F985" s="50" t="n"/>
      <c r="G985" s="51" t="n"/>
      <c r="H985" s="47" t="n"/>
      <c r="I985" s="47" t="n"/>
      <c r="J985" s="50" t="n"/>
      <c r="K985" s="50" t="n"/>
      <c r="L985" s="50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0" t="n"/>
      <c r="X985" s="52" t="n"/>
      <c r="Y985" s="50" t="n"/>
      <c r="Z985" s="50" t="n"/>
      <c r="AA985" s="50" t="n"/>
      <c r="AB985" s="50" t="n"/>
      <c r="AC985" s="50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0" t="n"/>
      <c r="F986" s="50" t="n"/>
      <c r="G986" s="51" t="n"/>
      <c r="H986" s="47" t="n"/>
      <c r="I986" s="47" t="n"/>
      <c r="J986" s="50" t="n"/>
      <c r="K986" s="50" t="n"/>
      <c r="L986" s="50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0" t="n"/>
      <c r="X986" s="52" t="n"/>
      <c r="Y986" s="50" t="n"/>
      <c r="Z986" s="50" t="n"/>
      <c r="AA986" s="50" t="n"/>
      <c r="AB986" s="50" t="n"/>
      <c r="AC986" s="50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0" t="n"/>
      <c r="F987" s="50" t="n"/>
      <c r="G987" s="51" t="n"/>
      <c r="H987" s="47" t="n"/>
      <c r="I987" s="47" t="n"/>
      <c r="J987" s="50" t="n"/>
      <c r="K987" s="50" t="n"/>
      <c r="L987" s="50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0" t="n"/>
      <c r="X987" s="52" t="n"/>
      <c r="Y987" s="50" t="n"/>
      <c r="Z987" s="50" t="n"/>
      <c r="AA987" s="50" t="n"/>
      <c r="AB987" s="50" t="n"/>
      <c r="AC987" s="50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  <row r="988">
      <c r="A988" s="47" t="n"/>
      <c r="B988" s="47" t="n"/>
      <c r="C988" s="47" t="n"/>
      <c r="D988" s="47" t="n"/>
      <c r="E988" s="50" t="n"/>
      <c r="F988" s="50" t="n"/>
      <c r="G988" s="51" t="n"/>
      <c r="H988" s="47" t="n"/>
      <c r="I988" s="47" t="n"/>
      <c r="J988" s="50" t="n"/>
      <c r="K988" s="50" t="n"/>
      <c r="L988" s="50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50" t="n"/>
      <c r="X988" s="52" t="n"/>
      <c r="Y988" s="50" t="n"/>
      <c r="Z988" s="50" t="n"/>
      <c r="AA988" s="50" t="n"/>
      <c r="AB988" s="50" t="n"/>
      <c r="AC988" s="50" t="n"/>
      <c r="AD988" s="47" t="n"/>
      <c r="AE988" s="47" t="n"/>
      <c r="AF988" s="47" t="n"/>
      <c r="AG988" s="47" t="n"/>
      <c r="AH988" s="47" t="n"/>
      <c r="AI988" s="47" t="n"/>
      <c r="AJ988" s="47" t="n"/>
      <c r="AK988" s="47" t="n"/>
      <c r="AL988" s="47" t="n"/>
      <c r="AM988" s="47" t="n"/>
      <c r="AN988" s="47" t="n"/>
      <c r="AO988" s="47" t="n"/>
      <c r="AP988" s="47" t="n"/>
    </row>
    <row r="989">
      <c r="A989" s="47" t="n"/>
      <c r="B989" s="47" t="n"/>
      <c r="C989" s="47" t="n"/>
      <c r="D989" s="47" t="n"/>
      <c r="E989" s="50" t="n"/>
      <c r="F989" s="50" t="n"/>
      <c r="G989" s="51" t="n"/>
      <c r="H989" s="47" t="n"/>
      <c r="I989" s="47" t="n"/>
      <c r="J989" s="50" t="n"/>
      <c r="K989" s="50" t="n"/>
      <c r="L989" s="50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50" t="n"/>
      <c r="X989" s="52" t="n"/>
      <c r="Y989" s="50" t="n"/>
      <c r="Z989" s="50" t="n"/>
      <c r="AA989" s="50" t="n"/>
      <c r="AB989" s="50" t="n"/>
      <c r="AC989" s="50" t="n"/>
      <c r="AD989" s="47" t="n"/>
      <c r="AE989" s="47" t="n"/>
      <c r="AF989" s="47" t="n"/>
      <c r="AG989" s="47" t="n"/>
      <c r="AH989" s="47" t="n"/>
      <c r="AI989" s="47" t="n"/>
      <c r="AJ989" s="47" t="n"/>
      <c r="AK989" s="47" t="n"/>
      <c r="AL989" s="47" t="n"/>
      <c r="AM989" s="47" t="n"/>
      <c r="AN989" s="47" t="n"/>
      <c r="AO989" s="47" t="n"/>
      <c r="AP989" s="47" t="n"/>
    </row>
    <row r="990">
      <c r="A990" s="47" t="n"/>
      <c r="B990" s="47" t="n"/>
      <c r="C990" s="47" t="n"/>
      <c r="D990" s="47" t="n"/>
      <c r="E990" s="50" t="n"/>
      <c r="F990" s="50" t="n"/>
      <c r="G990" s="51" t="n"/>
      <c r="H990" s="47" t="n"/>
      <c r="I990" s="47" t="n"/>
      <c r="J990" s="50" t="n"/>
      <c r="K990" s="50" t="n"/>
      <c r="L990" s="50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50" t="n"/>
      <c r="X990" s="52" t="n"/>
      <c r="Y990" s="50" t="n"/>
      <c r="Z990" s="50" t="n"/>
      <c r="AA990" s="50" t="n"/>
      <c r="AB990" s="50" t="n"/>
      <c r="AC990" s="50" t="n"/>
      <c r="AD990" s="47" t="n"/>
      <c r="AE990" s="47" t="n"/>
      <c r="AF990" s="47" t="n"/>
      <c r="AG990" s="47" t="n"/>
      <c r="AH990" s="47" t="n"/>
      <c r="AI990" s="47" t="n"/>
      <c r="AJ990" s="47" t="n"/>
      <c r="AK990" s="47" t="n"/>
      <c r="AL990" s="47" t="n"/>
      <c r="AM990" s="47" t="n"/>
      <c r="AN990" s="47" t="n"/>
      <c r="AO990" s="47" t="n"/>
      <c r="AP990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 t="n">
        <v>3141.8</v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 t="n">
        <v>4330</v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 t="n">
        <v>2951.1</v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2026-02-07T07:12:24Z</dcterms:created>
  <dcterms:modified xmlns:dcterms="http://purl.org/dc/terms/" xmlns:xsi="http://www.w3.org/2001/XMLSchema-instance" xsi:type="dcterms:W3CDTF">2026-02-10T23:09:12Z</dcterms:modified>
</cp:coreProperties>
</file>