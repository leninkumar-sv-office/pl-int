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EB27F1E_CD28_41DF_86A4_54752028E13C_.wvu.FilterData" localSheetId="0" hidden="1">'Trading History'!$A$4:$AO$49</definedName>
    <definedName name="_xlnm._FilterDatabase" localSheetId="0" hidden="1">'Trading History'!$A$4:$AO$49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7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46060</v>
      </c>
      <c r="B5" t="inlineStr">
        <is>
          <t>NSE</t>
        </is>
      </c>
      <c r="C5" t="inlineStr">
        <is>
          <t>Sell</t>
        </is>
      </c>
      <c r="D5" t="n">
        <v>2</v>
      </c>
      <c r="E5" t="n">
        <v>620.5</v>
      </c>
      <c r="F5" t="n">
        <v>1241</v>
      </c>
      <c r="G5" t="inlineStr">
        <is>
          <t>APP_SELL</t>
        </is>
      </c>
    </row>
    <row r="6">
      <c r="A6" s="38" t="n">
        <v>45950</v>
      </c>
      <c r="B6" s="39" t="inlineStr">
        <is>
          <t>NSE</t>
        </is>
      </c>
      <c r="C6" s="39" t="inlineStr">
        <is>
          <t>Buy</t>
        </is>
      </c>
      <c r="D6" s="40" t="n">
        <v>5</v>
      </c>
      <c r="E6" s="41" t="n">
        <v>731.85</v>
      </c>
      <c r="F6" s="41">
        <f>D5*E5</f>
        <v/>
      </c>
      <c r="G6" s="39" t="inlineStr">
        <is>
          <t>~</t>
        </is>
      </c>
      <c r="H6" s="40" t="n"/>
      <c r="I6" s="40" t="n"/>
      <c r="J6" s="42">
        <f>Index!$C$2</f>
        <v/>
      </c>
      <c r="K6" s="43">
        <f>IF(AND( C5="Buy", ISBLANK(W5), B5&lt;&gt;"DIV"), L5/sum(F5:I5), "")</f>
        <v/>
      </c>
      <c r="L6" s="44">
        <f>IF(AND( C5="Buy", ISBLANK(W5), B5&lt;&gt;"DIV"), (1-Index!$F$2*2)*((J5*D5)-(E5*D5)), "")</f>
        <v/>
      </c>
      <c r="M6" s="44">
        <f>IF(AND( C5="Buy", ISBLANK(W5), B5&lt;&gt;"DIV"), ((E5*D5)+L5), "")</f>
        <v/>
      </c>
      <c r="N6" s="45">
        <f>IF(AND( C5="Buy", ISBLANK(W5), B5&lt;&gt;"DIV"), D5, "")</f>
        <v/>
      </c>
      <c r="O6" s="43">
        <f>IF(AND( C5="Buy", ISBLANK(W5), B5&lt;&gt;"DIV", NOW()-A5 &lt; 365), P5/sum(F5:I5), "")</f>
        <v/>
      </c>
      <c r="P6" s="44">
        <f>IF(AND( C5="Buy", ISBLANK(W5), B5&lt;&gt;"DIV", NOW()-A5 &lt; 365), (1-Index!$F$2*2)*((J5*D5)-(E5*D5)), "")</f>
        <v/>
      </c>
      <c r="Q6" s="44">
        <f>IF(AND( C5="Buy", ISBLANK(W5), B5&lt;&gt;"DIV", NOW()-A5 &lt; 365), ((E5*D5)+P5), "")</f>
        <v/>
      </c>
      <c r="R6" s="44">
        <f>IF(AND( C5="Buy", ISBLANK(W5), B5&lt;&gt;"DIV", NOW()-A5 &lt; 365), D5, "")</f>
        <v/>
      </c>
      <c r="S6" s="43">
        <f>IF(AND( C5="Buy", ISBLANK(W5), B5&lt;&gt;"DIV", NOW()-A5 &gt; 365), T5/sum(F5:I5), "")</f>
        <v/>
      </c>
      <c r="T6" s="44">
        <f>IF(AND( C5="Buy", ISBLANK(W5), B5&lt;&gt;"DIV", NOW()-A5 &gt; 365), (1-Index!$F$2*2)*((J5*D5)-(E5*D5)), "")</f>
        <v/>
      </c>
      <c r="U6" s="44">
        <f>IF(AND( C5="Buy", ISBLANK(W5), B5&lt;&gt;"DIV", NOW()-A5 &gt; 365), ((E5*D5)+T5), "")</f>
        <v/>
      </c>
      <c r="V6" s="44">
        <f>IF(AND( C5="Buy", ISBLANK(W5), B5&lt;&gt;"DIV", NOW()-A5 &gt; 365), D5, "")</f>
        <v/>
      </c>
      <c r="W6" s="44" t="n"/>
      <c r="X6" s="44" t="n"/>
      <c r="Y6" s="43">
        <f>IF(AND( C5="Buy", W5&lt;&gt;"", AA5&lt;&gt;"", B5&lt;&gt;"DIV"), Z5/sum(F5:I5), "")</f>
        <v/>
      </c>
      <c r="Z6" s="44" t="n"/>
      <c r="AA6" s="44" t="n"/>
      <c r="AB6" s="45" t="n"/>
      <c r="AC6" s="46">
        <f>if(B5="DIV", F5,"")</f>
        <v/>
      </c>
      <c r="AD6" s="47" t="n"/>
    </row>
    <row r="7">
      <c r="A7" s="38" t="n">
        <v>45947</v>
      </c>
      <c r="B7" s="39" t="inlineStr">
        <is>
          <t>NSE</t>
        </is>
      </c>
      <c r="C7" s="39" t="inlineStr">
        <is>
          <t>Buy</t>
        </is>
      </c>
      <c r="D7" s="40" t="n">
        <v>8</v>
      </c>
      <c r="E7" s="41" t="n">
        <v>723.59</v>
      </c>
      <c r="F7" s="41">
        <f>D6*E6</f>
        <v/>
      </c>
      <c r="G7" s="39" t="inlineStr">
        <is>
          <t>~</t>
        </is>
      </c>
      <c r="H7" s="40" t="n"/>
      <c r="I7" s="40" t="n"/>
      <c r="J7" s="42">
        <f>Index!$C$2</f>
        <v/>
      </c>
      <c r="K7" s="43">
        <f>IF(AND( C6="Buy", ISBLANK(W6), B6&lt;&gt;"DIV"), L6/sum(F6:I6), "")</f>
        <v/>
      </c>
      <c r="L7" s="44">
        <f>IF(AND( C6="Buy", ISBLANK(W6), B6&lt;&gt;"DIV"), (1-Index!$F$2*2)*((J6*D6)-(E6*D6)), "")</f>
        <v/>
      </c>
      <c r="M7" s="44">
        <f>IF(AND( C6="Buy", ISBLANK(W6), B6&lt;&gt;"DIV"), ((E6*D6)+L6), "")</f>
        <v/>
      </c>
      <c r="N7" s="45">
        <f>IF(AND( C6="Buy", ISBLANK(W6), B6&lt;&gt;"DIV"), D6, "")</f>
        <v/>
      </c>
      <c r="O7" s="43">
        <f>IF(AND( C6="Buy", ISBLANK(W6), B6&lt;&gt;"DIV", NOW()-A6 &lt; 365), P6/sum(F6:I6), "")</f>
        <v/>
      </c>
      <c r="P7" s="44">
        <f>IF(AND( C6="Buy", ISBLANK(W6), B6&lt;&gt;"DIV", NOW()-A6 &lt; 365), (1-Index!$F$2*2)*((J6*D6)-(E6*D6)), "")</f>
        <v/>
      </c>
      <c r="Q7" s="44">
        <f>IF(AND( C6="Buy", ISBLANK(W6), B6&lt;&gt;"DIV", NOW()-A6 &lt; 365), ((E6*D6)+P6), "")</f>
        <v/>
      </c>
      <c r="R7" s="44">
        <f>IF(AND( C6="Buy", ISBLANK(W6), B6&lt;&gt;"DIV", NOW()-A6 &lt; 365), D6, "")</f>
        <v/>
      </c>
      <c r="S7" s="43">
        <f>IF(AND( C6="Buy", ISBLANK(W6), B6&lt;&gt;"DIV", NOW()-A6 &gt; 365), T6/sum(F6:I6), "")</f>
        <v/>
      </c>
      <c r="T7" s="44">
        <f>IF(AND( C6="Buy", ISBLANK(W6), B6&lt;&gt;"DIV", NOW()-A6 &gt; 365), (1-Index!$F$2*2)*((J6*D6)-(E6*D6)), "")</f>
        <v/>
      </c>
      <c r="U7" s="44">
        <f>IF(AND( C6="Buy", ISBLANK(W6), B6&lt;&gt;"DIV", NOW()-A6 &gt; 365), ((E6*D6)+T6), "")</f>
        <v/>
      </c>
      <c r="V7" s="44">
        <f>IF(AND( C6="Buy", ISBLANK(W6), B6&lt;&gt;"DIV", NOW()-A6 &gt; 365), D6, "")</f>
        <v/>
      </c>
      <c r="W7" s="44" t="n"/>
      <c r="X7" s="44" t="n"/>
      <c r="Y7" s="43">
        <f>IF(AND( C6="Buy", W6&lt;&gt;"", AA6&lt;&gt;"", B6&lt;&gt;"DIV"), Z6/sum(F6:I6), "")</f>
        <v/>
      </c>
      <c r="Z7" s="44" t="n"/>
      <c r="AA7" s="44" t="n"/>
      <c r="AB7" s="45" t="n"/>
      <c r="AC7" s="46">
        <f>if(B6="DIV", F6,"")</f>
        <v/>
      </c>
      <c r="AD7" s="47" t="n"/>
    </row>
    <row r="8">
      <c r="A8" s="38" t="n">
        <v>45903</v>
      </c>
      <c r="B8" s="39" t="inlineStr">
        <is>
          <t>NSE</t>
        </is>
      </c>
      <c r="C8" s="39" t="inlineStr">
        <is>
          <t>Buy</t>
        </is>
      </c>
      <c r="D8" s="40" t="n">
        <v>5</v>
      </c>
      <c r="E8" s="41" t="n">
        <v>716.8</v>
      </c>
      <c r="F8" s="41" t="n">
        <v>3583.98</v>
      </c>
      <c r="G8" s="39" t="inlineStr">
        <is>
          <t>~</t>
        </is>
      </c>
      <c r="H8" s="40" t="n">
        <v>3.57</v>
      </c>
      <c r="I8" s="40" t="n">
        <v>21.66</v>
      </c>
      <c r="J8" s="42">
        <f>Index!$C$2</f>
        <v/>
      </c>
      <c r="K8" s="43">
        <f>IF(AND( C7="Buy", ISBLANK(W7), B7&lt;&gt;"DIV"), L7/sum(F7:I7), "")</f>
        <v/>
      </c>
      <c r="L8" s="44">
        <f>IF(AND( C7="Buy", ISBLANK(W7), B7&lt;&gt;"DIV"), (1-Index!$F$2*2)*((J7*D7)-(E7*D7)), "")</f>
        <v/>
      </c>
      <c r="M8" s="44">
        <f>IF(AND( C7="Buy", ISBLANK(W7), B7&lt;&gt;"DIV"), ((E7*D7)+L7), "")</f>
        <v/>
      </c>
      <c r="N8" s="45">
        <f>IF(AND( C7="Buy", ISBLANK(W7), B7&lt;&gt;"DIV"), D7, "")</f>
        <v/>
      </c>
      <c r="O8" s="43">
        <f>IF(AND( C7="Buy", ISBLANK(W7), B7&lt;&gt;"DIV", NOW()-A7 &lt; 365), P7/sum(F7:I7), "")</f>
        <v/>
      </c>
      <c r="P8" s="44">
        <f>IF(AND( C7="Buy", ISBLANK(W7), B7&lt;&gt;"DIV", NOW()-A7 &lt; 365), (1-Index!$F$2*2)*((J7*D7)-(E7*D7)), "")</f>
        <v/>
      </c>
      <c r="Q8" s="44">
        <f>IF(AND( C7="Buy", ISBLANK(W7), B7&lt;&gt;"DIV", NOW()-A7 &lt; 365), ((E7*D7)+P7), "")</f>
        <v/>
      </c>
      <c r="R8" s="44">
        <f>IF(AND( C7="Buy", ISBLANK(W7), B7&lt;&gt;"DIV", NOW()-A7 &lt; 365), D7, "")</f>
        <v/>
      </c>
      <c r="S8" s="43">
        <f>IF(AND( C7="Buy", ISBLANK(W7), B7&lt;&gt;"DIV", NOW()-A7 &gt; 365), T7/sum(F7:I7), "")</f>
        <v/>
      </c>
      <c r="T8" s="44">
        <f>IF(AND( C7="Buy", ISBLANK(W7), B7&lt;&gt;"DIV", NOW()-A7 &gt; 365), (1-Index!$F$2*2)*((J7*D7)-(E7*D7)), "")</f>
        <v/>
      </c>
      <c r="U8" s="44">
        <f>IF(AND( C7="Buy", ISBLANK(W7), B7&lt;&gt;"DIV", NOW()-A7 &gt; 365), ((E7*D7)+T7), "")</f>
        <v/>
      </c>
      <c r="V8" s="44">
        <f>IF(AND( C7="Buy", ISBLANK(W7), B7&lt;&gt;"DIV", NOW()-A7 &gt; 365), D7, "")</f>
        <v/>
      </c>
      <c r="W8" s="44" t="n"/>
      <c r="X8" s="44" t="n"/>
      <c r="Y8" s="43">
        <f>IF(AND( C7="Buy", W7&lt;&gt;"", AA7&lt;&gt;"", B7&lt;&gt;"DIV"), Z7/sum(F7:I7), "")</f>
        <v/>
      </c>
      <c r="Z8" s="44" t="n"/>
      <c r="AA8" s="44" t="n"/>
      <c r="AB8" s="45" t="n"/>
      <c r="AC8" s="46">
        <f>if(B7="DIV", F7,"")</f>
        <v/>
      </c>
      <c r="AD8" s="47" t="n"/>
    </row>
    <row r="9">
      <c r="A9" s="38" t="n">
        <v>45897</v>
      </c>
      <c r="B9" s="39" t="inlineStr">
        <is>
          <t>NSE</t>
        </is>
      </c>
      <c r="C9" s="39" t="inlineStr">
        <is>
          <t>Buy</t>
        </is>
      </c>
      <c r="D9" s="40" t="n">
        <v>2</v>
      </c>
      <c r="E9" s="41" t="n">
        <v>714.49</v>
      </c>
      <c r="F9" s="41" t="n">
        <v>1428.97</v>
      </c>
      <c r="G9" s="39" t="inlineStr">
        <is>
          <t>~</t>
        </is>
      </c>
      <c r="H9" s="40" t="n">
        <v>1.42</v>
      </c>
      <c r="I9" s="40" t="n">
        <v>8.65</v>
      </c>
      <c r="J9" s="42">
        <f>Index!$C$2</f>
        <v/>
      </c>
      <c r="K9" s="43">
        <f>IF(AND( C8="Buy", ISBLANK(W8), B8&lt;&gt;"DIV"), L8/sum(F8:I8), "")</f>
        <v/>
      </c>
      <c r="L9" s="44">
        <f>IF(AND( C8="Buy", ISBLANK(W8), B8&lt;&gt;"DIV"), (1-Index!$F$2*2)*((J8*D8)-(E8*D8)), "")</f>
        <v/>
      </c>
      <c r="M9" s="44">
        <f>IF(AND( C8="Buy", ISBLANK(W8), B8&lt;&gt;"DIV"), ((E8*D8)+L8), "")</f>
        <v/>
      </c>
      <c r="N9" s="45">
        <f>IF(AND( C8="Buy", ISBLANK(W8), B8&lt;&gt;"DIV"), D8, "")</f>
        <v/>
      </c>
      <c r="O9" s="43">
        <f>IF(AND( C8="Buy", ISBLANK(W8), B8&lt;&gt;"DIV", NOW()-A8 &lt; 365), P8/sum(F8:I8), "")</f>
        <v/>
      </c>
      <c r="P9" s="44">
        <f>IF(AND( C8="Buy", ISBLANK(W8), B8&lt;&gt;"DIV", NOW()-A8 &lt; 365), (1-Index!$F$2*2)*((J8*D8)-(E8*D8)), "")</f>
        <v/>
      </c>
      <c r="Q9" s="44">
        <f>IF(AND( C8="Buy", ISBLANK(W8), B8&lt;&gt;"DIV", NOW()-A8 &lt; 365), ((E8*D8)+P8), "")</f>
        <v/>
      </c>
      <c r="R9" s="44">
        <f>IF(AND( C8="Buy", ISBLANK(W8), B8&lt;&gt;"DIV", NOW()-A8 &lt; 365), D8, "")</f>
        <v/>
      </c>
      <c r="S9" s="43">
        <f>IF(AND( C8="Buy", ISBLANK(W8), B8&lt;&gt;"DIV", NOW()-A8 &gt; 365), T8/sum(F8:I8), "")</f>
        <v/>
      </c>
      <c r="T9" s="44">
        <f>IF(AND( C8="Buy", ISBLANK(W8), B8&lt;&gt;"DIV", NOW()-A8 &gt; 365), (1-Index!$F$2*2)*((J8*D8)-(E8*D8)), "")</f>
        <v/>
      </c>
      <c r="U9" s="44">
        <f>IF(AND( C8="Buy", ISBLANK(W8), B8&lt;&gt;"DIV", NOW()-A8 &gt; 365), ((E8*D8)+T8), "")</f>
        <v/>
      </c>
      <c r="V9" s="44">
        <f>IF(AND( C8="Buy", ISBLANK(W8), B8&lt;&gt;"DIV", NOW()-A8 &gt; 365), D8, "")</f>
        <v/>
      </c>
      <c r="W9" s="44" t="n"/>
      <c r="X9" s="44" t="n"/>
      <c r="Y9" s="43">
        <f>IF(AND( C8="Buy", W8&lt;&gt;"", AA8&lt;&gt;"", B8&lt;&gt;"DIV"), Z8/sum(F8:I8), "")</f>
        <v/>
      </c>
      <c r="Z9" s="44" t="n"/>
      <c r="AA9" s="44" t="n"/>
      <c r="AB9" s="45" t="n"/>
      <c r="AC9" s="46">
        <f>if(B8="DIV", F8,"")</f>
        <v/>
      </c>
      <c r="AD9" s="47" t="n"/>
    </row>
    <row r="10">
      <c r="A10" s="38" t="n">
        <v>45891</v>
      </c>
      <c r="B10" s="39" t="inlineStr">
        <is>
          <t>DIV</t>
        </is>
      </c>
      <c r="C10" s="39" t="inlineStr">
        <is>
          <t>Buy</t>
        </is>
      </c>
      <c r="D10" s="40" t="n">
        <v>60</v>
      </c>
      <c r="E10" s="41" t="n">
        <v>1</v>
      </c>
      <c r="F10" s="41" t="n">
        <v>60</v>
      </c>
      <c r="G10" s="39" t="inlineStr">
        <is>
          <t>Final-Dividend of Rs.1.0000/- per share on Ex-Date: 22-AUG-2025</t>
        </is>
      </c>
      <c r="H10" s="40" t="n">
        <v>0</v>
      </c>
      <c r="I10" s="40" t="n">
        <v>0</v>
      </c>
      <c r="J10" s="42">
        <f>Index!$C$2</f>
        <v/>
      </c>
      <c r="K10" s="43">
        <f>IF(AND( C9="Buy", ISBLANK(W9), B9&lt;&gt;"DIV"), L9/sum(F9:I9), "")</f>
        <v/>
      </c>
      <c r="L10" s="44">
        <f>IF(AND( C9="Buy", ISBLANK(W9), B9&lt;&gt;"DIV"), (1-Index!$F$2*2)*((J9*D9)-(E9*D9)), "")</f>
        <v/>
      </c>
      <c r="M10" s="44">
        <f>IF(AND( C9="Buy", ISBLANK(W9), B9&lt;&gt;"DIV"), ((E9*D9)+L9), "")</f>
        <v/>
      </c>
      <c r="N10" s="45">
        <f>IF(AND( C9="Buy", ISBLANK(W9), B9&lt;&gt;"DIV"), D9, "")</f>
        <v/>
      </c>
      <c r="O10" s="43">
        <f>IF(AND( C9="Buy", ISBLANK(W9), B9&lt;&gt;"DIV", NOW()-A9 &lt; 365), P9/sum(F9:I9), "")</f>
        <v/>
      </c>
      <c r="P10" s="44">
        <f>IF(AND( C9="Buy", ISBLANK(W9), B9&lt;&gt;"DIV", NOW()-A9 &lt; 365), (1-Index!$F$2*2)*((J9*D9)-(E9*D9)), "")</f>
        <v/>
      </c>
      <c r="Q10" s="44">
        <f>IF(AND( C9="Buy", ISBLANK(W9), B9&lt;&gt;"DIV", NOW()-A9 &lt; 365), ((E9*D9)+P9), "")</f>
        <v/>
      </c>
      <c r="R10" s="44">
        <f>IF(AND( C9="Buy", ISBLANK(W9), B9&lt;&gt;"DIV", NOW()-A9 &lt; 365), D9, "")</f>
        <v/>
      </c>
      <c r="S10" s="43">
        <f>IF(AND( C9="Buy", ISBLANK(W9), B9&lt;&gt;"DIV", NOW()-A9 &gt; 365), T9/sum(F9:I9), "")</f>
        <v/>
      </c>
      <c r="T10" s="44">
        <f>IF(AND( C9="Buy", ISBLANK(W9), B9&lt;&gt;"DIV", NOW()-A9 &gt; 365), (1-Index!$F$2*2)*((J9*D9)-(E9*D9)), "")</f>
        <v/>
      </c>
      <c r="U10" s="44">
        <f>IF(AND( C9="Buy", ISBLANK(W9), B9&lt;&gt;"DIV", NOW()-A9 &gt; 365), ((E9*D9)+T9), "")</f>
        <v/>
      </c>
      <c r="V10" s="44">
        <f>IF(AND( C9="Buy", ISBLANK(W9), B9&lt;&gt;"DIV", NOW()-A9 &gt; 365), D9, "")</f>
        <v/>
      </c>
      <c r="W10" s="44" t="n"/>
      <c r="X10" s="44" t="n"/>
      <c r="Y10" s="43">
        <f>IF(AND( C9="Buy", W9&lt;&gt;"", AA9&lt;&gt;"", B9&lt;&gt;"DIV"), Z9/sum(F9:I9), "")</f>
        <v/>
      </c>
      <c r="Z10" s="44" t="n"/>
      <c r="AA10" s="44" t="n"/>
      <c r="AB10" s="45" t="n"/>
      <c r="AC10" s="46">
        <f>if(B9="DIV", F9,"")</f>
        <v/>
      </c>
      <c r="AD10" s="47" t="n"/>
    </row>
    <row r="11">
      <c r="A11" s="38" t="n">
        <v>45855</v>
      </c>
      <c r="B11" s="39" t="inlineStr">
        <is>
          <t>NSE</t>
        </is>
      </c>
      <c r="C11" s="39" t="inlineStr">
        <is>
          <t>Buy</t>
        </is>
      </c>
      <c r="D11" s="40" t="n">
        <v>5</v>
      </c>
      <c r="E11" s="41" t="n">
        <v>781.8</v>
      </c>
      <c r="F11" s="41" t="n">
        <v>3909</v>
      </c>
      <c r="G11" s="39" t="inlineStr">
        <is>
          <t>~</t>
        </is>
      </c>
      <c r="H11" s="40" t="n">
        <v>3.88</v>
      </c>
      <c r="I11" s="40" t="n">
        <v>23.62</v>
      </c>
      <c r="J11" s="42">
        <f>Index!$C$2</f>
        <v/>
      </c>
      <c r="K11" s="43">
        <f>IF(AND( C10="Buy", ISBLANK(W10), B10&lt;&gt;"DIV"), L10/sum(F10:I10), "")</f>
        <v/>
      </c>
      <c r="L11" s="44">
        <f>IF(AND( C10="Buy", ISBLANK(W10), B10&lt;&gt;"DIV"), (1-Index!$F$2*2)*((J10*D10)-(E10*D10)), "")</f>
        <v/>
      </c>
      <c r="M11" s="44">
        <f>IF(AND( C10="Buy", ISBLANK(W10), B10&lt;&gt;"DIV"), ((E10*D10)+L10), "")</f>
        <v/>
      </c>
      <c r="N11" s="45">
        <f>IF(AND( C10="Buy", ISBLANK(W10), B10&lt;&gt;"DIV"), D10, "")</f>
        <v/>
      </c>
      <c r="O11" s="43">
        <f>IF(AND( C10="Buy", ISBLANK(W10), B10&lt;&gt;"DIV", NOW()-A10 &lt; 365), P10/sum(F10:I10), "")</f>
        <v/>
      </c>
      <c r="P11" s="44">
        <f>IF(AND( C10="Buy", ISBLANK(W10), B10&lt;&gt;"DIV", NOW()-A10 &lt; 365), (1-Index!$F$2*2)*((J10*D10)-(E10*D10)), "")</f>
        <v/>
      </c>
      <c r="Q11" s="44">
        <f>IF(AND( C10="Buy", ISBLANK(W10), B10&lt;&gt;"DIV", NOW()-A10 &lt; 365), ((E10*D10)+P10), "")</f>
        <v/>
      </c>
      <c r="R11" s="44">
        <f>IF(AND( C10="Buy", ISBLANK(W10), B10&lt;&gt;"DIV", NOW()-A10 &lt; 365), D10, "")</f>
        <v/>
      </c>
      <c r="S11" s="43">
        <f>IF(AND( C10="Buy", ISBLANK(W10), B10&lt;&gt;"DIV", NOW()-A10 &gt; 365), T10/sum(F10:I10), "")</f>
        <v/>
      </c>
      <c r="T11" s="44">
        <f>IF(AND( C10="Buy", ISBLANK(W10), B10&lt;&gt;"DIV", NOW()-A10 &gt; 365), (1-Index!$F$2*2)*((J10*D10)-(E10*D10)), "")</f>
        <v/>
      </c>
      <c r="U11" s="44">
        <f>IF(AND( C10="Buy", ISBLANK(W10), B10&lt;&gt;"DIV", NOW()-A10 &gt; 365), ((E10*D10)+T10), "")</f>
        <v/>
      </c>
      <c r="V11" s="44">
        <f>IF(AND( C10="Buy", ISBLANK(W10), B10&lt;&gt;"DIV", NOW()-A10 &gt; 365), D10, "")</f>
        <v/>
      </c>
      <c r="W11" s="44" t="n"/>
      <c r="X11" s="44" t="n"/>
      <c r="Y11" s="43">
        <f>IF(AND( C10="Buy", W10&lt;&gt;"", AA10&lt;&gt;"", B10&lt;&gt;"DIV"), Z10/sum(F10:I10), "")</f>
        <v/>
      </c>
      <c r="Z11" s="44" t="n"/>
      <c r="AA11" s="44" t="n"/>
      <c r="AB11" s="45" t="n"/>
      <c r="AC11" s="46">
        <f>if(B10="DIV", F10,"")</f>
        <v/>
      </c>
      <c r="AD11" s="47" t="n"/>
    </row>
    <row r="12">
      <c r="A12" s="38" t="n">
        <v>45820</v>
      </c>
      <c r="B12" s="39" t="inlineStr">
        <is>
          <t>NSE</t>
        </is>
      </c>
      <c r="C12" s="39" t="inlineStr">
        <is>
          <t>Buy</t>
        </is>
      </c>
      <c r="D12" s="40" t="n">
        <v>5</v>
      </c>
      <c r="E12" s="41" t="n">
        <v>790.15</v>
      </c>
      <c r="F12" s="41" t="n">
        <v>3950.75</v>
      </c>
      <c r="G12" s="39" t="inlineStr">
        <is>
          <t>~</t>
        </is>
      </c>
      <c r="H12" s="40" t="n">
        <v>3.91</v>
      </c>
      <c r="I12" s="40" t="n">
        <v>23.84</v>
      </c>
      <c r="J12" s="42">
        <f>Index!$C$2</f>
        <v/>
      </c>
      <c r="K12" s="43">
        <f>IF(AND( C11="Buy", ISBLANK(W11), B11&lt;&gt;"DIV"), L11/sum(F11:I11), "")</f>
        <v/>
      </c>
      <c r="L12" s="44">
        <f>IF(AND( C11="Buy", ISBLANK(W11), B11&lt;&gt;"DIV"), (1-Index!$F$2*2)*((J11*D11)-(E11*D11)), "")</f>
        <v/>
      </c>
      <c r="M12" s="44">
        <f>IF(AND( C11="Buy", ISBLANK(W11), B11&lt;&gt;"DIV"), ((E11*D11)+L11), "")</f>
        <v/>
      </c>
      <c r="N12" s="45">
        <f>IF(AND( C11="Buy", ISBLANK(W11), B11&lt;&gt;"DIV"), D11, "")</f>
        <v/>
      </c>
      <c r="O12" s="43">
        <f>IF(AND( C11="Buy", ISBLANK(W11), B11&lt;&gt;"DIV", NOW()-A11 &lt; 365), P11/sum(F11:I11), "")</f>
        <v/>
      </c>
      <c r="P12" s="44">
        <f>IF(AND( C11="Buy", ISBLANK(W11), B11&lt;&gt;"DIV", NOW()-A11 &lt; 365), (1-Index!$F$2*2)*((J11*D11)-(E11*D11)), "")</f>
        <v/>
      </c>
      <c r="Q12" s="44">
        <f>IF(AND( C11="Buy", ISBLANK(W11), B11&lt;&gt;"DIV", NOW()-A11 &lt; 365), ((E11*D11)+P11), "")</f>
        <v/>
      </c>
      <c r="R12" s="44">
        <f>IF(AND( C11="Buy", ISBLANK(W11), B11&lt;&gt;"DIV", NOW()-A11 &lt; 365), D11, "")</f>
        <v/>
      </c>
      <c r="S12" s="43">
        <f>IF(AND( C11="Buy", ISBLANK(W11), B11&lt;&gt;"DIV", NOW()-A11 &gt; 365), T11/sum(F11:I11), "")</f>
        <v/>
      </c>
      <c r="T12" s="44">
        <f>IF(AND( C11="Buy", ISBLANK(W11), B11&lt;&gt;"DIV", NOW()-A11 &gt; 365), (1-Index!$F$2*2)*((J11*D11)-(E11*D11)), "")</f>
        <v/>
      </c>
      <c r="U12" s="44">
        <f>IF(AND( C11="Buy", ISBLANK(W11), B11&lt;&gt;"DIV", NOW()-A11 &gt; 365), ((E11*D11)+T11), "")</f>
        <v/>
      </c>
      <c r="V12" s="44">
        <f>IF(AND( C11="Buy", ISBLANK(W11), B11&lt;&gt;"DIV", NOW()-A11 &gt; 365), D11, "")</f>
        <v/>
      </c>
      <c r="W12" s="44" t="n"/>
      <c r="X12" s="44" t="n"/>
      <c r="Y12" s="43">
        <f>IF(AND( C11="Buy", W11&lt;&gt;"", AA11&lt;&gt;"", B11&lt;&gt;"DIV"), Z11/sum(F11:I11), "")</f>
        <v/>
      </c>
      <c r="Z12" s="44" t="n"/>
      <c r="AA12" s="44" t="n"/>
      <c r="AB12" s="45" t="n"/>
      <c r="AC12" s="46">
        <f>if(B11="DIV", F11,"")</f>
        <v/>
      </c>
      <c r="AD12" s="47" t="n"/>
    </row>
    <row r="13">
      <c r="A13" s="38" t="n">
        <v>45811</v>
      </c>
      <c r="B13" s="39" t="inlineStr">
        <is>
          <t>NSE</t>
        </is>
      </c>
      <c r="C13" s="39" t="inlineStr">
        <is>
          <t>Buy</t>
        </is>
      </c>
      <c r="D13" s="40" t="n">
        <v>2</v>
      </c>
      <c r="E13" s="41" t="n">
        <v>776.91</v>
      </c>
      <c r="F13" s="41" t="n">
        <v>1553.82</v>
      </c>
      <c r="G13" s="39" t="inlineStr">
        <is>
          <t>~</t>
        </is>
      </c>
      <c r="H13" s="40" t="n">
        <v>1.54</v>
      </c>
      <c r="I13" s="40" t="n">
        <v>9.380000000000001</v>
      </c>
      <c r="J13" s="42">
        <f>Index!$C$2</f>
        <v/>
      </c>
      <c r="K13" s="43">
        <f>IF(AND( C12="Buy", ISBLANK(W12), B12&lt;&gt;"DIV"), L12/sum(F12:I12), "")</f>
        <v/>
      </c>
      <c r="L13" s="44">
        <f>IF(AND( C12="Buy", ISBLANK(W12), B12&lt;&gt;"DIV"), (1-Index!$F$2*2)*((J12*D12)-(E12*D12)), "")</f>
        <v/>
      </c>
      <c r="M13" s="44">
        <f>IF(AND( C12="Buy", ISBLANK(W12), B12&lt;&gt;"DIV"), ((E12*D12)+L12), "")</f>
        <v/>
      </c>
      <c r="N13" s="45">
        <f>IF(AND( C12="Buy", ISBLANK(W12), B12&lt;&gt;"DIV"), D12, "")</f>
        <v/>
      </c>
      <c r="O13" s="43">
        <f>IF(AND( C12="Buy", ISBLANK(W12), B12&lt;&gt;"DIV", NOW()-A12 &lt; 365), P12/sum(F12:I12), "")</f>
        <v/>
      </c>
      <c r="P13" s="44">
        <f>IF(AND( C12="Buy", ISBLANK(W12), B12&lt;&gt;"DIV", NOW()-A12 &lt; 365), (1-Index!$F$2*2)*((J12*D12)-(E12*D12)), "")</f>
        <v/>
      </c>
      <c r="Q13" s="44">
        <f>IF(AND( C12="Buy", ISBLANK(W12), B12&lt;&gt;"DIV", NOW()-A12 &lt; 365), ((E12*D12)+P12), "")</f>
        <v/>
      </c>
      <c r="R13" s="44">
        <f>IF(AND( C12="Buy", ISBLANK(W12), B12&lt;&gt;"DIV", NOW()-A12 &lt; 365), D12, "")</f>
        <v/>
      </c>
      <c r="S13" s="43">
        <f>IF(AND( C12="Buy", ISBLANK(W12), B12&lt;&gt;"DIV", NOW()-A12 &gt; 365), T12/sum(F12:I12), "")</f>
        <v/>
      </c>
      <c r="T13" s="44">
        <f>IF(AND( C12="Buy", ISBLANK(W12), B12&lt;&gt;"DIV", NOW()-A12 &gt; 365), (1-Index!$F$2*2)*((J12*D12)-(E12*D12)), "")</f>
        <v/>
      </c>
      <c r="U13" s="44">
        <f>IF(AND( C12="Buy", ISBLANK(W12), B12&lt;&gt;"DIV", NOW()-A12 &gt; 365), ((E12*D12)+T12), "")</f>
        <v/>
      </c>
      <c r="V13" s="44">
        <f>IF(AND( C12="Buy", ISBLANK(W12), B12&lt;&gt;"DIV", NOW()-A12 &gt; 365), D12, "")</f>
        <v/>
      </c>
      <c r="W13" s="44" t="n"/>
      <c r="X13" s="44" t="n"/>
      <c r="Y13" s="43">
        <f>IF(AND( C12="Buy", W12&lt;&gt;"", AA12&lt;&gt;"", B12&lt;&gt;"DIV"), Z12/sum(F12:I12), "")</f>
        <v/>
      </c>
      <c r="Z13" s="44" t="n"/>
      <c r="AA13" s="44" t="n"/>
      <c r="AB13" s="45" t="n"/>
      <c r="AC13" s="46">
        <f>if(B12="DIV", F12,"")</f>
        <v/>
      </c>
      <c r="AD13" s="47" t="n"/>
    </row>
    <row r="14">
      <c r="A14" s="38" t="n">
        <v>45811</v>
      </c>
      <c r="B14" s="39" t="inlineStr">
        <is>
          <t>NSE</t>
        </is>
      </c>
      <c r="C14" s="39" t="inlineStr">
        <is>
          <t>Buy</t>
        </is>
      </c>
      <c r="D14" s="40" t="n">
        <v>5</v>
      </c>
      <c r="E14" s="41" t="n">
        <v>776.92</v>
      </c>
      <c r="F14" s="41" t="n">
        <v>3884.62</v>
      </c>
      <c r="G14" s="39" t="inlineStr">
        <is>
          <t>~</t>
        </is>
      </c>
      <c r="H14" s="40" t="n">
        <v>3.86</v>
      </c>
      <c r="I14" s="40" t="n">
        <v>23.51</v>
      </c>
      <c r="J14" s="42">
        <f>Index!$C$2</f>
        <v/>
      </c>
      <c r="K14" s="43">
        <f>IF(AND( C13="Buy", ISBLANK(W13), B13&lt;&gt;"DIV"), L13/sum(F13:I13), "")</f>
        <v/>
      </c>
      <c r="L14" s="44">
        <f>IF(AND( C13="Buy", ISBLANK(W13), B13&lt;&gt;"DIV"), (1-Index!$F$2*2)*((J13*D13)-(E13*D13)), "")</f>
        <v/>
      </c>
      <c r="M14" s="44">
        <f>IF(AND( C13="Buy", ISBLANK(W13), B13&lt;&gt;"DIV"), ((E13*D13)+L13), "")</f>
        <v/>
      </c>
      <c r="N14" s="45">
        <f>IF(AND( C13="Buy", ISBLANK(W13), B13&lt;&gt;"DIV"), D13, "")</f>
        <v/>
      </c>
      <c r="O14" s="43">
        <f>IF(AND( C13="Buy", ISBLANK(W13), B13&lt;&gt;"DIV", NOW()-A13 &lt; 365), P13/sum(F13:I13), "")</f>
        <v/>
      </c>
      <c r="P14" s="44">
        <f>IF(AND( C13="Buy", ISBLANK(W13), B13&lt;&gt;"DIV", NOW()-A13 &lt; 365), (1-Index!$F$2*2)*((J13*D13)-(E13*D13)), "")</f>
        <v/>
      </c>
      <c r="Q14" s="44">
        <f>IF(AND( C13="Buy", ISBLANK(W13), B13&lt;&gt;"DIV", NOW()-A13 &lt; 365), ((E13*D13)+P13), "")</f>
        <v/>
      </c>
      <c r="R14" s="44">
        <f>IF(AND( C13="Buy", ISBLANK(W13), B13&lt;&gt;"DIV", NOW()-A13 &lt; 365), D13, "")</f>
        <v/>
      </c>
      <c r="S14" s="43">
        <f>IF(AND( C13="Buy", ISBLANK(W13), B13&lt;&gt;"DIV", NOW()-A13 &gt; 365), T13/sum(F13:I13), "")</f>
        <v/>
      </c>
      <c r="T14" s="44">
        <f>IF(AND( C13="Buy", ISBLANK(W13), B13&lt;&gt;"DIV", NOW()-A13 &gt; 365), (1-Index!$F$2*2)*((J13*D13)-(E13*D13)), "")</f>
        <v/>
      </c>
      <c r="U14" s="44">
        <f>IF(AND( C13="Buy", ISBLANK(W13), B13&lt;&gt;"DIV", NOW()-A13 &gt; 365), ((E13*D13)+T13), "")</f>
        <v/>
      </c>
      <c r="V14" s="44">
        <f>IF(AND( C13="Buy", ISBLANK(W13), B13&lt;&gt;"DIV", NOW()-A13 &gt; 365), D13, "")</f>
        <v/>
      </c>
      <c r="W14" s="44" t="n"/>
      <c r="X14" s="44" t="n"/>
      <c r="Y14" s="43">
        <f>IF(AND( C13="Buy", W13&lt;&gt;"", AA13&lt;&gt;"", B13&lt;&gt;"DIV"), Z13/sum(F13:I13), "")</f>
        <v/>
      </c>
      <c r="Z14" s="44" t="n"/>
      <c r="AA14" s="44" t="n"/>
      <c r="AB14" s="45" t="n"/>
      <c r="AC14" s="46">
        <f>if(B13="DIV", F13,"")</f>
        <v/>
      </c>
      <c r="AD14" s="47" t="n"/>
    </row>
    <row r="15">
      <c r="A15" s="48" t="n">
        <v>45716</v>
      </c>
      <c r="B15" s="49" t="inlineStr">
        <is>
          <t>NSE</t>
        </is>
      </c>
      <c r="C15" s="49" t="inlineStr">
        <is>
          <t>Buy</t>
        </is>
      </c>
      <c r="D15" s="50" t="n">
        <v>3</v>
      </c>
      <c r="E15" s="51" t="n">
        <v>680.1900000000001</v>
      </c>
      <c r="F15" s="51" t="n">
        <v>2040.56</v>
      </c>
      <c r="G15" s="49" t="inlineStr">
        <is>
          <t>~</t>
        </is>
      </c>
      <c r="H15" s="50" t="n">
        <v>2.02</v>
      </c>
      <c r="I15" s="50" t="n">
        <v>12.34</v>
      </c>
      <c r="J15" s="42">
        <f>Index!$C$2</f>
        <v/>
      </c>
      <c r="K15" s="43">
        <f>IF(AND( C14="Buy", ISBLANK(W14), B14&lt;&gt;"DIV"), L14/sum(F14:I14), "")</f>
        <v/>
      </c>
      <c r="L15" s="44">
        <f>IF(AND( C14="Buy", ISBLANK(W14), B14&lt;&gt;"DIV"), (1-Index!$F$2*2)*((J14*D14)-(E14*D14)), "")</f>
        <v/>
      </c>
      <c r="M15" s="44">
        <f>IF(AND( C14="Buy", ISBLANK(W14), B14&lt;&gt;"DIV"), ((E14*D14)+L14), "")</f>
        <v/>
      </c>
      <c r="N15" s="45">
        <f>IF(AND( C14="Buy", ISBLANK(W14), B14&lt;&gt;"DIV"), D14, "")</f>
        <v/>
      </c>
      <c r="O15" s="43">
        <f>IF(AND( C14="Buy", ISBLANK(W14), B14&lt;&gt;"DIV", NOW()-A14 &lt; 365), P14/sum(F14:I14), "")</f>
        <v/>
      </c>
      <c r="P15" s="44">
        <f>IF(AND( C14="Buy", ISBLANK(W14), B14&lt;&gt;"DIV", NOW()-A14 &lt; 365), (1-Index!$F$2*2)*((J14*D14)-(E14*D14)), "")</f>
        <v/>
      </c>
      <c r="Q15" s="44">
        <f>IF(AND( C14="Buy", ISBLANK(W14), B14&lt;&gt;"DIV", NOW()-A14 &lt; 365), ((E14*D14)+P14), "")</f>
        <v/>
      </c>
      <c r="R15" s="44">
        <f>IF(AND( C14="Buy", ISBLANK(W14), B14&lt;&gt;"DIV", NOW()-A14 &lt; 365), D14, "")</f>
        <v/>
      </c>
      <c r="S15" s="43">
        <f>IF(AND( C14="Buy", ISBLANK(W14), B14&lt;&gt;"DIV", NOW()-A14 &gt; 365), T14/sum(F14:I14), "")</f>
        <v/>
      </c>
      <c r="T15" s="44">
        <f>IF(AND( C14="Buy", ISBLANK(W14), B14&lt;&gt;"DIV", NOW()-A14 &gt; 365), (1-Index!$F$2*2)*((J14*D14)-(E14*D14)), "")</f>
        <v/>
      </c>
      <c r="U15" s="44">
        <f>IF(AND( C14="Buy", ISBLANK(W14), B14&lt;&gt;"DIV", NOW()-A14 &gt; 365), ((E14*D14)+T14), "")</f>
        <v/>
      </c>
      <c r="V15" s="44">
        <f>IF(AND( C14="Buy", ISBLANK(W14), B14&lt;&gt;"DIV", NOW()-A14 &gt; 365), D14, "")</f>
        <v/>
      </c>
      <c r="W15" s="44" t="n"/>
      <c r="X15" s="44" t="n"/>
      <c r="Y15" s="43">
        <f>IF(AND( C14="Buy", W14&lt;&gt;"", AA14&lt;&gt;"", B14&lt;&gt;"DIV"), Z14/sum(F14:I14), "")</f>
        <v/>
      </c>
      <c r="Z15" s="44" t="n"/>
      <c r="AA15" s="44" t="n"/>
      <c r="AB15" s="45" t="n"/>
      <c r="AC15" s="46">
        <f>if(B14="DIV", F14,"")</f>
        <v/>
      </c>
      <c r="AD15" s="47" t="n"/>
    </row>
    <row r="16">
      <c r="A16" s="48" t="n">
        <v>45712</v>
      </c>
      <c r="B16" s="49" t="inlineStr">
        <is>
          <t>NSE</t>
        </is>
      </c>
      <c r="C16" s="49" t="inlineStr">
        <is>
          <t>Buy</t>
        </is>
      </c>
      <c r="D16" s="50" t="n">
        <v>7</v>
      </c>
      <c r="E16" s="51" t="n">
        <v>728.63</v>
      </c>
      <c r="F16" s="51" t="n">
        <v>5100.4</v>
      </c>
      <c r="G16" s="49" t="inlineStr">
        <is>
          <t>~</t>
        </is>
      </c>
      <c r="H16" s="50" t="n">
        <v>5.06</v>
      </c>
      <c r="I16" s="50" t="n">
        <v>30.84</v>
      </c>
      <c r="J16" s="42">
        <f>Index!$C$2</f>
        <v/>
      </c>
      <c r="K16" s="43">
        <f>IF(AND( C15="Buy", ISBLANK(W15), B15&lt;&gt;"DIV"), L15/sum(F15:I15), "")</f>
        <v/>
      </c>
      <c r="L16" s="44">
        <f>IF(AND( C15="Buy", ISBLANK(W15), B15&lt;&gt;"DIV"), (1-Index!$F$2*2)*((J15*D15)-(E15*D15)), "")</f>
        <v/>
      </c>
      <c r="M16" s="44">
        <f>IF(AND( C15="Buy", ISBLANK(W15), B15&lt;&gt;"DIV"), ((E15*D15)+L15), "")</f>
        <v/>
      </c>
      <c r="N16" s="45">
        <f>IF(AND( C15="Buy", ISBLANK(W15), B15&lt;&gt;"DIV"), D15, "")</f>
        <v/>
      </c>
      <c r="O16" s="43">
        <f>IF(AND( C15="Buy", ISBLANK(W15), B15&lt;&gt;"DIV", NOW()-A15 &lt; 365), P15/sum(F15:I15), "")</f>
        <v/>
      </c>
      <c r="P16" s="44">
        <f>IF(AND( C15="Buy", ISBLANK(W15), B15&lt;&gt;"DIV", NOW()-A15 &lt; 365), (1-Index!$F$2*2)*((J15*D15)-(E15*D15)), "")</f>
        <v/>
      </c>
      <c r="Q16" s="44">
        <f>IF(AND( C15="Buy", ISBLANK(W15), B15&lt;&gt;"DIV", NOW()-A15 &lt; 365), ((E15*D15)+P15), "")</f>
        <v/>
      </c>
      <c r="R16" s="44">
        <f>IF(AND( C15="Buy", ISBLANK(W15), B15&lt;&gt;"DIV", NOW()-A15 &lt; 365), D15, "")</f>
        <v/>
      </c>
      <c r="S16" s="43">
        <f>IF(AND( C15="Buy", ISBLANK(W15), B15&lt;&gt;"DIV", NOW()-A15 &gt; 365), T15/sum(F15:I15), "")</f>
        <v/>
      </c>
      <c r="T16" s="44">
        <f>IF(AND( C15="Buy", ISBLANK(W15), B15&lt;&gt;"DIV", NOW()-A15 &gt; 365), (1-Index!$F$2*2)*((J15*D15)-(E15*D15)), "")</f>
        <v/>
      </c>
      <c r="U16" s="44">
        <f>IF(AND( C15="Buy", ISBLANK(W15), B15&lt;&gt;"DIV", NOW()-A15 &gt; 365), ((E15*D15)+T15), "")</f>
        <v/>
      </c>
      <c r="V16" s="44">
        <f>IF(AND( C15="Buy", ISBLANK(W15), B15&lt;&gt;"DIV", NOW()-A15 &gt; 365), D15, "")</f>
        <v/>
      </c>
      <c r="W16" s="44" t="n"/>
      <c r="X16" s="44" t="n"/>
      <c r="Y16" s="43">
        <f>IF(AND( C15="Buy", W15&lt;&gt;"", AA15&lt;&gt;"", B15&lt;&gt;"DIV"), Z15/sum(F15:I15), "")</f>
        <v/>
      </c>
      <c r="Z16" s="44" t="n"/>
      <c r="AA16" s="44" t="n"/>
      <c r="AB16" s="45" t="n"/>
      <c r="AC16" s="46">
        <f>if(B15="DIV", F15,"")</f>
        <v/>
      </c>
      <c r="AD16" s="47" t="n"/>
    </row>
    <row r="17">
      <c r="A17" s="48" t="n">
        <v>45712</v>
      </c>
      <c r="B17" s="49" t="inlineStr">
        <is>
          <t>NSE</t>
        </is>
      </c>
      <c r="C17" s="49" t="inlineStr">
        <is>
          <t>Buy</t>
        </is>
      </c>
      <c r="D17" s="50" t="n">
        <v>3</v>
      </c>
      <c r="E17" s="51" t="n">
        <v>728.64</v>
      </c>
      <c r="F17" s="51" t="n">
        <v>2185.91</v>
      </c>
      <c r="G17" s="49" t="inlineStr">
        <is>
          <t>~</t>
        </is>
      </c>
      <c r="H17" s="50" t="n">
        <v>2.17</v>
      </c>
      <c r="I17" s="50" t="n">
        <v>13.24</v>
      </c>
      <c r="J17" s="42">
        <f>Index!$C$2</f>
        <v/>
      </c>
      <c r="K17" s="43">
        <f>IF(AND( C16="Buy", ISBLANK(W16), B16&lt;&gt;"DIV"), L16/sum(F16:I16), "")</f>
        <v/>
      </c>
      <c r="L17" s="44">
        <f>IF(AND( C16="Buy", ISBLANK(W16), B16&lt;&gt;"DIV"), (1-Index!$F$2*2)*((J16*D16)-(E16*D16)), "")</f>
        <v/>
      </c>
      <c r="M17" s="44">
        <f>IF(AND( C16="Buy", ISBLANK(W16), B16&lt;&gt;"DIV"), ((E16*D16)+L16), "")</f>
        <v/>
      </c>
      <c r="N17" s="45">
        <f>IF(AND( C16="Buy", ISBLANK(W16), B16&lt;&gt;"DIV"), D16, "")</f>
        <v/>
      </c>
      <c r="O17" s="43">
        <f>IF(AND( C16="Buy", ISBLANK(W16), B16&lt;&gt;"DIV", NOW()-A16 &lt; 365), P16/sum(F16:I16), "")</f>
        <v/>
      </c>
      <c r="P17" s="44">
        <f>IF(AND( C16="Buy", ISBLANK(W16), B16&lt;&gt;"DIV", NOW()-A16 &lt; 365), (1-Index!$F$2*2)*((J16*D16)-(E16*D16)), "")</f>
        <v/>
      </c>
      <c r="Q17" s="44">
        <f>IF(AND( C16="Buy", ISBLANK(W16), B16&lt;&gt;"DIV", NOW()-A16 &lt; 365), ((E16*D16)+P16), "")</f>
        <v/>
      </c>
      <c r="R17" s="44">
        <f>IF(AND( C16="Buy", ISBLANK(W16), B16&lt;&gt;"DIV", NOW()-A16 &lt; 365), D16, "")</f>
        <v/>
      </c>
      <c r="S17" s="43">
        <f>IF(AND( C16="Buy", ISBLANK(W16), B16&lt;&gt;"DIV", NOW()-A16 &gt; 365), T16/sum(F16:I16), "")</f>
        <v/>
      </c>
      <c r="T17" s="44">
        <f>IF(AND( C16="Buy", ISBLANK(W16), B16&lt;&gt;"DIV", NOW()-A16 &gt; 365), (1-Index!$F$2*2)*((J16*D16)-(E16*D16)), "")</f>
        <v/>
      </c>
      <c r="U17" s="44">
        <f>IF(AND( C16="Buy", ISBLANK(W16), B16&lt;&gt;"DIV", NOW()-A16 &gt; 365), ((E16*D16)+T16), "")</f>
        <v/>
      </c>
      <c r="V17" s="44">
        <f>IF(AND( C16="Buy", ISBLANK(W16), B16&lt;&gt;"DIV", NOW()-A16 &gt; 365), D16, "")</f>
        <v/>
      </c>
      <c r="W17" s="44" t="n"/>
      <c r="X17" s="44" t="n"/>
      <c r="Y17" s="43">
        <f>IF(AND( C16="Buy", W16&lt;&gt;"", AA16&lt;&gt;"", B16&lt;&gt;"DIV"), Z16/sum(F16:I16), "")</f>
        <v/>
      </c>
      <c r="Z17" s="44" t="n"/>
      <c r="AA17" s="44" t="n"/>
      <c r="AB17" s="45" t="n"/>
      <c r="AC17" s="46">
        <f>if(B16="DIV", F16,"")</f>
        <v/>
      </c>
      <c r="AD17" s="47" t="n"/>
    </row>
    <row r="18">
      <c r="A18" s="48" t="n">
        <v>45705</v>
      </c>
      <c r="B18" s="49" t="inlineStr">
        <is>
          <t>NSE</t>
        </is>
      </c>
      <c r="C18" s="49" t="inlineStr">
        <is>
          <t>Buy</t>
        </is>
      </c>
      <c r="D18" s="50" t="n">
        <v>20</v>
      </c>
      <c r="E18" s="51" t="n">
        <v>730.14</v>
      </c>
      <c r="F18" s="51" t="n">
        <v>14602.86</v>
      </c>
      <c r="G18" s="49" t="inlineStr">
        <is>
          <t>~</t>
        </is>
      </c>
      <c r="H18" s="50" t="n">
        <v>14.48</v>
      </c>
      <c r="I18" s="50" t="n">
        <v>88.38</v>
      </c>
      <c r="J18" s="42">
        <f>Index!$C$2</f>
        <v/>
      </c>
      <c r="K18" s="43">
        <f>IF(AND( C17="Buy", ISBLANK(W17), B17&lt;&gt;"DIV"), L17/sum(F17:I17), "")</f>
        <v/>
      </c>
      <c r="L18" s="44">
        <f>IF(AND( C17="Buy", ISBLANK(W17), B17&lt;&gt;"DIV"), (1-Index!$F$2*2)*((J17*D17)-(E17*D17)), "")</f>
        <v/>
      </c>
      <c r="M18" s="44">
        <f>IF(AND( C17="Buy", ISBLANK(W17), B17&lt;&gt;"DIV"), ((E17*D17)+L17), "")</f>
        <v/>
      </c>
      <c r="N18" s="45">
        <f>IF(AND( C17="Buy", ISBLANK(W17), B17&lt;&gt;"DIV"), D17, "")</f>
        <v/>
      </c>
      <c r="O18" s="43">
        <f>IF(AND( C17="Buy", ISBLANK(W17), B17&lt;&gt;"DIV", NOW()-A17 &lt; 365), P17/sum(F17:I17), "")</f>
        <v/>
      </c>
      <c r="P18" s="44">
        <f>IF(AND( C17="Buy", ISBLANK(W17), B17&lt;&gt;"DIV", NOW()-A17 &lt; 365), (1-Index!$F$2*2)*((J17*D17)-(E17*D17)), "")</f>
        <v/>
      </c>
      <c r="Q18" s="44">
        <f>IF(AND( C17="Buy", ISBLANK(W17), B17&lt;&gt;"DIV", NOW()-A17 &lt; 365), ((E17*D17)+P17), "")</f>
        <v/>
      </c>
      <c r="R18" s="44">
        <f>IF(AND( C17="Buy", ISBLANK(W17), B17&lt;&gt;"DIV", NOW()-A17 &lt; 365), D17, "")</f>
        <v/>
      </c>
      <c r="S18" s="43">
        <f>IF(AND( C17="Buy", ISBLANK(W17), B17&lt;&gt;"DIV", NOW()-A17 &gt; 365), T17/sum(F17:I17), "")</f>
        <v/>
      </c>
      <c r="T18" s="44">
        <f>IF(AND( C17="Buy", ISBLANK(W17), B17&lt;&gt;"DIV", NOW()-A17 &gt; 365), (1-Index!$F$2*2)*((J17*D17)-(E17*D17)), "")</f>
        <v/>
      </c>
      <c r="U18" s="44">
        <f>IF(AND( C17="Buy", ISBLANK(W17), B17&lt;&gt;"DIV", NOW()-A17 &gt; 365), ((E17*D17)+T17), "")</f>
        <v/>
      </c>
      <c r="V18" s="44">
        <f>IF(AND( C17="Buy", ISBLANK(W17), B17&lt;&gt;"DIV", NOW()-A17 &gt; 365), D17, "")</f>
        <v/>
      </c>
      <c r="W18" s="44" t="n"/>
      <c r="X18" s="44" t="n"/>
      <c r="Y18" s="43">
        <f>IF(AND( C17="Buy", W17&lt;&gt;"", AA17&lt;&gt;"", B17&lt;&gt;"DIV"), Z17/sum(F17:I17), "")</f>
        <v/>
      </c>
      <c r="Z18" s="44" t="n"/>
      <c r="AA18" s="44" t="n"/>
      <c r="AB18" s="45" t="n"/>
      <c r="AC18" s="46">
        <f>if(B17="DIV", F17,"")</f>
        <v/>
      </c>
      <c r="AD18" s="47" t="n"/>
    </row>
    <row r="19">
      <c r="A19" s="48" t="n">
        <v>45699</v>
      </c>
      <c r="B19" s="49" t="inlineStr">
        <is>
          <t>NSE</t>
        </is>
      </c>
      <c r="C19" s="49" t="inlineStr">
        <is>
          <t>Buy</t>
        </is>
      </c>
      <c r="D19" s="50" t="n">
        <v>2</v>
      </c>
      <c r="E19" s="51" t="n">
        <v>763.17</v>
      </c>
      <c r="F19" s="51" t="n">
        <v>1526.34</v>
      </c>
      <c r="G19" s="49" t="inlineStr">
        <is>
          <t>~</t>
        </is>
      </c>
      <c r="H19" s="50" t="n">
        <v>1.52</v>
      </c>
      <c r="I19" s="50" t="n">
        <v>9.220000000000001</v>
      </c>
      <c r="J19" s="42">
        <f>Index!$C$2</f>
        <v/>
      </c>
      <c r="K19" s="43">
        <f>IF(AND( C18="Buy", ISBLANK(W18), B18&lt;&gt;"DIV"), L18/sum(F18:I18), "")</f>
        <v/>
      </c>
      <c r="L19" s="44">
        <f>IF(AND( C18="Buy", ISBLANK(W18), B18&lt;&gt;"DIV"), (1-Index!$F$2*2)*((J18*D18)-(E18*D18)), "")</f>
        <v/>
      </c>
      <c r="M19" s="44">
        <f>IF(AND( C18="Buy", ISBLANK(W18), B18&lt;&gt;"DIV"), ((E18*D18)+L18), "")</f>
        <v/>
      </c>
      <c r="N19" s="45">
        <f>IF(AND( C18="Buy", ISBLANK(W18), B18&lt;&gt;"DIV"), D18, "")</f>
        <v/>
      </c>
      <c r="O19" s="43">
        <f>IF(AND( C18="Buy", ISBLANK(W18), B18&lt;&gt;"DIV", NOW()-A18 &lt; 365), P18/sum(F18:I18), "")</f>
        <v/>
      </c>
      <c r="P19" s="44">
        <f>IF(AND( C18="Buy", ISBLANK(W18), B18&lt;&gt;"DIV", NOW()-A18 &lt; 365), (1-Index!$F$2*2)*((J18*D18)-(E18*D18)), "")</f>
        <v/>
      </c>
      <c r="Q19" s="44">
        <f>IF(AND( C18="Buy", ISBLANK(W18), B18&lt;&gt;"DIV", NOW()-A18 &lt; 365), ((E18*D18)+P18), "")</f>
        <v/>
      </c>
      <c r="R19" s="44">
        <f>IF(AND( C18="Buy", ISBLANK(W18), B18&lt;&gt;"DIV", NOW()-A18 &lt; 365), D18, "")</f>
        <v/>
      </c>
      <c r="S19" s="43">
        <f>IF(AND( C18="Buy", ISBLANK(W18), B18&lt;&gt;"DIV", NOW()-A18 &gt; 365), T18/sum(F18:I18), "")</f>
        <v/>
      </c>
      <c r="T19" s="44">
        <f>IF(AND( C18="Buy", ISBLANK(W18), B18&lt;&gt;"DIV", NOW()-A18 &gt; 365), (1-Index!$F$2*2)*((J18*D18)-(E18*D18)), "")</f>
        <v/>
      </c>
      <c r="U19" s="44">
        <f>IF(AND( C18="Buy", ISBLANK(W18), B18&lt;&gt;"DIV", NOW()-A18 &gt; 365), ((E18*D18)+T18), "")</f>
        <v/>
      </c>
      <c r="V19" s="44">
        <f>IF(AND( C18="Buy", ISBLANK(W18), B18&lt;&gt;"DIV", NOW()-A18 &gt; 365), D18, "")</f>
        <v/>
      </c>
      <c r="W19" s="44" t="n"/>
      <c r="X19" s="44" t="n"/>
      <c r="Y19" s="43">
        <f>IF(AND( C18="Buy", W18&lt;&gt;"", AA18&lt;&gt;"", B18&lt;&gt;"DIV"), Z18/sum(F18:I18), "")</f>
        <v/>
      </c>
      <c r="Z19" s="44" t="n"/>
      <c r="AA19" s="44" t="n"/>
      <c r="AB19" s="45" t="n"/>
      <c r="AC19" s="46">
        <f>if(B18="DIV", F18,"")</f>
        <v/>
      </c>
      <c r="AD19" s="47" t="n"/>
    </row>
    <row r="20">
      <c r="A20" s="48" t="n">
        <v>45699</v>
      </c>
      <c r="B20" s="49" t="inlineStr">
        <is>
          <t>NSE</t>
        </is>
      </c>
      <c r="C20" s="49" t="inlineStr">
        <is>
          <t>Buy</t>
        </is>
      </c>
      <c r="D20" s="50" t="n">
        <v>8</v>
      </c>
      <c r="E20" s="51" t="n">
        <v>763.17</v>
      </c>
      <c r="F20" s="51" t="n">
        <v>6105.37</v>
      </c>
      <c r="G20" s="49" t="inlineStr">
        <is>
          <t>~</t>
        </is>
      </c>
      <c r="H20" s="50" t="n">
        <v>6.06</v>
      </c>
      <c r="I20" s="50" t="n">
        <v>36.91</v>
      </c>
      <c r="J20" s="42">
        <f>Index!$C$2</f>
        <v/>
      </c>
      <c r="K20" s="43">
        <f>IF(AND( C19="Buy", ISBLANK(W19), B19&lt;&gt;"DIV"), L19/sum(F19:I19), "")</f>
        <v/>
      </c>
      <c r="L20" s="44">
        <f>IF(AND( C19="Buy", ISBLANK(W19), B19&lt;&gt;"DIV"), (1-Index!$F$2*2)*((J19*D19)-(E19*D19)), "")</f>
        <v/>
      </c>
      <c r="M20" s="44">
        <f>IF(AND( C19="Buy", ISBLANK(W19), B19&lt;&gt;"DIV"), ((E19*D19)+L19), "")</f>
        <v/>
      </c>
      <c r="N20" s="45">
        <f>IF(AND( C19="Buy", ISBLANK(W19), B19&lt;&gt;"DIV"), D19, "")</f>
        <v/>
      </c>
      <c r="O20" s="43">
        <f>IF(AND( C19="Buy", ISBLANK(W19), B19&lt;&gt;"DIV", NOW()-A19 &lt; 365), P19/sum(F19:I19), "")</f>
        <v/>
      </c>
      <c r="P20" s="44">
        <f>IF(AND( C19="Buy", ISBLANK(W19), B19&lt;&gt;"DIV", NOW()-A19 &lt; 365), (1-Index!$F$2*2)*((J19*D19)-(E19*D19)), "")</f>
        <v/>
      </c>
      <c r="Q20" s="44">
        <f>IF(AND( C19="Buy", ISBLANK(W19), B19&lt;&gt;"DIV", NOW()-A19 &lt; 365), ((E19*D19)+P19), "")</f>
        <v/>
      </c>
      <c r="R20" s="44">
        <f>IF(AND( C19="Buy", ISBLANK(W19), B19&lt;&gt;"DIV", NOW()-A19 &lt; 365), D19, "")</f>
        <v/>
      </c>
      <c r="S20" s="43">
        <f>IF(AND( C19="Buy", ISBLANK(W19), B19&lt;&gt;"DIV", NOW()-A19 &gt; 365), T19/sum(F19:I19), "")</f>
        <v/>
      </c>
      <c r="T20" s="44">
        <f>IF(AND( C19="Buy", ISBLANK(W19), B19&lt;&gt;"DIV", NOW()-A19 &gt; 365), (1-Index!$F$2*2)*((J19*D19)-(E19*D19)), "")</f>
        <v/>
      </c>
      <c r="U20" s="44">
        <f>IF(AND( C19="Buy", ISBLANK(W19), B19&lt;&gt;"DIV", NOW()-A19 &gt; 365), ((E19*D19)+T19), "")</f>
        <v/>
      </c>
      <c r="V20" s="44">
        <f>IF(AND( C19="Buy", ISBLANK(W19), B19&lt;&gt;"DIV", NOW()-A19 &gt; 365), D19, "")</f>
        <v/>
      </c>
      <c r="W20" s="44" t="n"/>
      <c r="X20" s="44" t="n"/>
      <c r="Y20" s="43">
        <f>IF(AND( C19="Buy", W19&lt;&gt;"", AA19&lt;&gt;"", B19&lt;&gt;"DIV"), Z19/sum(F19:I19), "")</f>
        <v/>
      </c>
      <c r="Z20" s="44" t="n"/>
      <c r="AA20" s="44" t="n"/>
      <c r="AB20" s="45" t="n"/>
      <c r="AC20" s="46">
        <f>if(B19="DIV", F19,"")</f>
        <v/>
      </c>
      <c r="AD20" s="47" t="n"/>
    </row>
    <row r="21">
      <c r="E21" s="52" t="n"/>
      <c r="F21" s="52" t="n"/>
      <c r="G21" s="53" t="n"/>
      <c r="J21" s="52" t="n"/>
      <c r="K21" s="52" t="n"/>
      <c r="L21" s="52" t="n"/>
      <c r="M21" s="55" t="n"/>
      <c r="W21" s="52" t="n"/>
      <c r="X21" s="52" t="n"/>
      <c r="Y21" s="52" t="n"/>
      <c r="Z21" s="52" t="n"/>
      <c r="AA21" s="52" t="n"/>
      <c r="AB21" s="52" t="n"/>
      <c r="AC21" s="52" t="n"/>
    </row>
    <row r="22">
      <c r="E22" s="52" t="n"/>
      <c r="F22" s="52" t="n"/>
      <c r="G22" s="53" t="n"/>
      <c r="J22" s="52" t="n"/>
      <c r="K22" s="52" t="n"/>
      <c r="L22" s="52" t="n"/>
      <c r="M22" s="55" t="n"/>
      <c r="W22" s="52" t="n"/>
      <c r="X22" s="52" t="n"/>
      <c r="Y22" s="52" t="n"/>
      <c r="Z22" s="52" t="n"/>
      <c r="AA22" s="52" t="n"/>
      <c r="AB22" s="52" t="n"/>
      <c r="AC22" s="52" t="n"/>
    </row>
    <row r="23">
      <c r="E23" s="52" t="n"/>
      <c r="F23" s="52" t="n"/>
      <c r="G23" s="53" t="n"/>
      <c r="J23" s="52" t="n"/>
      <c r="K23" s="52" t="n"/>
      <c r="L23" s="52" t="n"/>
      <c r="M23" s="55" t="n"/>
      <c r="W23" s="52" t="n"/>
      <c r="X23" s="52" t="n"/>
      <c r="Y23" s="52" t="n"/>
      <c r="Z23" s="52" t="n"/>
      <c r="AA23" s="52" t="n"/>
      <c r="AB23" s="52" t="n"/>
      <c r="AC23" s="52" t="n"/>
    </row>
    <row r="24">
      <c r="E24" s="52" t="n"/>
      <c r="F24" s="52" t="n"/>
      <c r="G24" s="53" t="n"/>
      <c r="J24" s="52" t="n"/>
      <c r="K24" s="52" t="n"/>
      <c r="L24" s="52" t="n"/>
      <c r="M24" s="55" t="n"/>
      <c r="W24" s="52" t="n"/>
      <c r="X24" s="52" t="n"/>
      <c r="Y24" s="52" t="n"/>
      <c r="Z24" s="52" t="n"/>
      <c r="AA24" s="52" t="n"/>
      <c r="AB24" s="52" t="n"/>
      <c r="AC24" s="52" t="n"/>
    </row>
    <row r="25">
      <c r="E25" s="52" t="n"/>
      <c r="F25" s="52" t="n"/>
      <c r="G25" s="53" t="n"/>
      <c r="J25" s="52" t="n"/>
      <c r="K25" s="52" t="n"/>
      <c r="L25" s="52" t="n"/>
      <c r="M25" s="55" t="n"/>
      <c r="W25" s="52" t="n"/>
      <c r="X25" s="52" t="n"/>
      <c r="Y25" s="52" t="n"/>
      <c r="Z25" s="52" t="n"/>
      <c r="AA25" s="52" t="n"/>
      <c r="AB25" s="52" t="n"/>
      <c r="AC25" s="52" t="n"/>
    </row>
    <row r="26">
      <c r="E26" s="52" t="n"/>
      <c r="F26" s="52" t="n"/>
      <c r="G26" s="53" t="n"/>
      <c r="J26" s="52" t="n"/>
      <c r="K26" s="52" t="n"/>
      <c r="L26" s="52" t="n"/>
      <c r="M26" s="55" t="n"/>
      <c r="W26" s="52" t="n"/>
      <c r="X26" s="52" t="n"/>
      <c r="Y26" s="52" t="n"/>
      <c r="Z26" s="52" t="n"/>
      <c r="AA26" s="52" t="n"/>
      <c r="AB26" s="52" t="n"/>
      <c r="AC26" s="52" t="n"/>
    </row>
    <row r="27">
      <c r="E27" s="52" t="n"/>
      <c r="F27" s="52" t="n"/>
      <c r="G27" s="53" t="n"/>
      <c r="J27" s="52" t="n"/>
      <c r="K27" s="52" t="n"/>
      <c r="L27" s="52" t="n"/>
      <c r="M27" s="55" t="n"/>
      <c r="W27" s="52" t="n"/>
      <c r="X27" s="52" t="n"/>
      <c r="Y27" s="52" t="n"/>
      <c r="Z27" s="52" t="n"/>
      <c r="AA27" s="52" t="n"/>
      <c r="AB27" s="52" t="n"/>
      <c r="AC27" s="52" t="n"/>
    </row>
    <row r="28">
      <c r="E28" s="52" t="n"/>
      <c r="F28" s="52" t="n"/>
      <c r="G28" s="53" t="n"/>
      <c r="J28" s="52" t="n"/>
      <c r="K28" s="52" t="n"/>
      <c r="L28" s="52" t="n"/>
      <c r="M28" s="55" t="n"/>
      <c r="W28" s="52" t="n"/>
      <c r="X28" s="52" t="n"/>
      <c r="Y28" s="52" t="n"/>
      <c r="Z28" s="52" t="n"/>
      <c r="AA28" s="52" t="n"/>
      <c r="AB28" s="52" t="n"/>
      <c r="AC28" s="52" t="n"/>
    </row>
    <row r="29">
      <c r="E29" s="52" t="n"/>
      <c r="F29" s="52" t="n"/>
      <c r="G29" s="53" t="n"/>
      <c r="J29" s="52" t="n"/>
      <c r="K29" s="52" t="n"/>
      <c r="L29" s="52" t="n"/>
      <c r="M29" s="55" t="n"/>
      <c r="W29" s="52" t="n"/>
      <c r="X29" s="52" t="n"/>
      <c r="Y29" s="52" t="n"/>
      <c r="Z29" s="52" t="n"/>
      <c r="AA29" s="52" t="n"/>
      <c r="AB29" s="52" t="n"/>
      <c r="AC29" s="52" t="n"/>
    </row>
    <row r="30">
      <c r="E30" s="52" t="n"/>
      <c r="F30" s="52" t="n"/>
      <c r="G30" s="53" t="n"/>
      <c r="J30" s="52" t="n"/>
      <c r="K30" s="52" t="n"/>
      <c r="L30" s="52" t="n"/>
      <c r="M30" s="55" t="n"/>
      <c r="W30" s="52" t="n"/>
      <c r="X30" s="52" t="n"/>
      <c r="Y30" s="52" t="n"/>
      <c r="Z30" s="52" t="n"/>
      <c r="AA30" s="52" t="n"/>
      <c r="AB30" s="52" t="n"/>
      <c r="AC30" s="52" t="n"/>
    </row>
    <row r="31">
      <c r="E31" s="52" t="n"/>
      <c r="F31" s="52" t="n"/>
      <c r="G31" s="53" t="n"/>
      <c r="J31" s="52" t="n"/>
      <c r="K31" s="52" t="n"/>
      <c r="L31" s="52" t="n"/>
      <c r="M31" s="55" t="n"/>
      <c r="W31" s="52" t="n"/>
      <c r="X31" s="52" t="n"/>
      <c r="Y31" s="52" t="n"/>
      <c r="Z31" s="52" t="n"/>
      <c r="AA31" s="52" t="n"/>
      <c r="AB31" s="52" t="n"/>
      <c r="AC31" s="52" t="n"/>
    </row>
    <row r="32">
      <c r="E32" s="52" t="n"/>
      <c r="F32" s="52" t="n"/>
      <c r="G32" s="53" t="n"/>
      <c r="J32" s="52" t="n"/>
      <c r="K32" s="52" t="n"/>
      <c r="L32" s="52" t="n"/>
      <c r="M32" s="55" t="n"/>
      <c r="W32" s="52" t="n"/>
      <c r="X32" s="52" t="n"/>
      <c r="Y32" s="52" t="n"/>
      <c r="Z32" s="52" t="n"/>
      <c r="AA32" s="52" t="n"/>
      <c r="AB32" s="52" t="n"/>
      <c r="AC32" s="52" t="n"/>
    </row>
    <row r="33">
      <c r="E33" s="52" t="n"/>
      <c r="F33" s="52" t="n"/>
      <c r="G33" s="53" t="n"/>
      <c r="J33" s="52" t="n"/>
      <c r="K33" s="52" t="n"/>
      <c r="L33" s="52" t="n"/>
      <c r="M33" s="55" t="n"/>
      <c r="W33" s="52" t="n"/>
      <c r="X33" s="52" t="n"/>
      <c r="Y33" s="52" t="n"/>
      <c r="Z33" s="52" t="n"/>
      <c r="AA33" s="52" t="n"/>
      <c r="AB33" s="52" t="n"/>
      <c r="AC33" s="52" t="n"/>
    </row>
    <row r="34">
      <c r="E34" s="52" t="n"/>
      <c r="F34" s="52" t="n"/>
      <c r="G34" s="53" t="n"/>
      <c r="J34" s="52" t="n"/>
      <c r="K34" s="52" t="n"/>
      <c r="L34" s="52" t="n"/>
      <c r="M34" s="55" t="n"/>
      <c r="W34" s="52" t="n"/>
      <c r="X34" s="52" t="n"/>
      <c r="Y34" s="52" t="n"/>
      <c r="Z34" s="52" t="n"/>
      <c r="AA34" s="52" t="n"/>
      <c r="AB34" s="52" t="n"/>
      <c r="AC34" s="52" t="n"/>
    </row>
    <row r="35">
      <c r="E35" s="52" t="n"/>
      <c r="F35" s="52" t="n"/>
      <c r="G35" s="53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W973" s="52" t="n"/>
      <c r="X973" s="52" t="n"/>
      <c r="Y973" s="52" t="n"/>
      <c r="Z973" s="52" t="n"/>
      <c r="AA973" s="52" t="n"/>
      <c r="AB973" s="52" t="n"/>
      <c r="AC973" s="52" t="n"/>
    </row>
  </sheetData>
  <autoFilter ref="$A$4:$AO$49"/>
  <mergeCells count="5">
    <mergeCell ref="W2:AC3"/>
    <mergeCell ref="S3:V3"/>
    <mergeCell ref="K2:V2"/>
    <mergeCell ref="K3:N3"/>
    <mergeCell ref="O3:R3"/>
  </mergeCells>
  <conditionalFormatting sqref="C1:C97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9">
    <cfRule type="expression" priority="5" dxfId="1">
      <formula>NOT(ISBLANK($W5))</formula>
    </cfRule>
  </conditionalFormatting>
  <conditionalFormatting sqref="K5:K19 O5:O19 S5:S1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NSE:IRCTC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""price"")"),620.5)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""high52"")"),820.25)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""low52"")"),596.0)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History'!$B21:$B1007,"DIV",'Trading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2026-02-07T04:12:42Z</dcterms:created>
  <dcterms:modified xmlns:dcterms="http://purl.org/dc/terms/" xmlns:xsi="http://www.w3.org/2001/XMLSchema-instance" xsi:type="dcterms:W3CDTF">2026-02-07T04:12:42Z</dcterms:modified>
</cp:coreProperties>
</file>