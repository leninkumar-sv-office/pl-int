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History'!$A$4:$AD$19</definedName>
    <definedName hidden="1" localSheetId="0" name="Z_FEB27F1E_CD28_41DF_86A4_54752028E13C_.wvu.FilterData">'Trading History'!$A$4:$AO$49</definedName>
  </definedNames>
  <calcPr/>
  <customWorkbookViews>
    <customWorkbookView activeSheetId="0" maximized="1" windowHeight="0" windowWidth="0" guid="{FEB27F1E-CD28-41DF-86A4-54752028E13C}" name="Filter 1"/>
  </customWorkbookViews>
</workbook>
</file>

<file path=xl/sharedStrings.xml><?xml version="1.0" encoding="utf-8"?>
<sst xmlns="http://schemas.openxmlformats.org/spreadsheetml/2006/main" count="329" uniqueCount="49">
  <si>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</si>
  <si>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</si>
  <si>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</si>
  <si>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</si>
  <si>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</si>
  <si>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</si>
  <si>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</si>
  <si>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</si>
  <si>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</si>
  <si>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</si>
  <si>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</si>
  <si>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</si>
  <si>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</si>
  <si>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</si>
  <si>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</si>
  <si>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</si>
  <si>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</si>
  <si>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</si>
  <si>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</si>
  <si>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</si>
  <si>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</si>
  <si>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</si>
  <si>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</si>
  <si>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</si>
  <si>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</si>
  <si>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</si>
  <si>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</si>
  <si>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</si>
  <si>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</si>
  <si>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Rs.1.0000/- per share on Ex-Date: 22-AUG-2025</t>
  </si>
  <si>
    <t>Code</t>
  </si>
  <si>
    <t>NSE:IRCTC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</si>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</sst>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5.0</v>
      </c>
      <c r="E5" s="41">
        <v>731.85</v>
      </c>
      <c r="F5" s="41">
        <f t="shared" ref="F5:F6" si="1">D5*E5</f>
        <v>3659.25</v>
      </c>
      <c r="G5" s="39" t="s">
        <v>28</v>
      </c>
      <c r="H5" s="40"/>
      <c r="I5" s="40"/>
      <c r="J5" s="42">
        <f>Index!$C$2</f>
        <v>620.5</v>
      </c>
      <c r="K5" s="43">
        <f t="shared" ref="K5:K19" si="2">IF(AND( C5="Buy", ISBLANK(W5), B5&lt;&gt;"DIV"), L5/sum(F5:I5), "")</f>
        <v>-0.150018583</v>
      </c>
      <c r="L5" s="44">
        <f>IF(AND( C5="Buy", ISBLANK(W5), B5&lt;&gt;"DIV"), (1-Index!$F$2*2)*((J5*D5)-(E5*D5)), "")</f>
        <v>-548.9555</v>
      </c>
      <c r="M5" s="44">
        <f t="shared" ref="M5:M19" si="3">IF(AND( C5="Buy", ISBLANK(W5), B5&lt;&gt;"DIV"), ((E5*D5)+L5), "")</f>
        <v>3110.2945</v>
      </c>
      <c r="N5" s="45">
        <f t="shared" ref="N5:N19" si="4">IF(AND( C5="Buy", ISBLANK(W5), B5&lt;&gt;"DIV"), D5, "")</f>
        <v>5</v>
      </c>
      <c r="O5" s="43">
        <f t="shared" ref="O5:O19" si="5">IF(AND( C5="Buy", ISBLANK(W5), B5&lt;&gt;"DIV", NOW()-A5 &lt; 365), P5/sum(F5:I5), "")</f>
        <v>-0.150018583</v>
      </c>
      <c r="P5" s="44">
        <f>IF(AND( C5="Buy", ISBLANK(W5), B5&lt;&gt;"DIV", NOW()-A5 &lt; 365), (1-Index!$F$2*2)*((J5*D5)-(E5*D5)), "")</f>
        <v>-548.9555</v>
      </c>
      <c r="Q5" s="44">
        <f t="shared" ref="Q5:Q19" si="6">IF(AND( C5="Buy", ISBLANK(W5), B5&lt;&gt;"DIV", NOW()-A5 &lt; 365), ((E5*D5)+P5), "")</f>
        <v>3110.2945</v>
      </c>
      <c r="R5" s="44">
        <f t="shared" ref="R5:R19" si="7">IF(AND( C5="Buy", ISBLANK(W5), B5&lt;&gt;"DIV", NOW()-A5 &lt; 365), D5, "")</f>
        <v>5</v>
      </c>
      <c r="S5" s="43" t="str">
        <f t="shared" ref="S5:S19" si="8">IF(AND( C5="Buy", ISBLANK(W5), B5&lt;&gt;"DIV", NOW()-A5 &gt; 365), T5/sum(F5:I5), "")</f>
        <v/>
      </c>
      <c r="T5" s="44" t="str">
        <f>IF(AND( C5="Buy", ISBLANK(W5), B5&lt;&gt;"DIV", NOW()-A5 &gt; 365), (1-Index!$F$2*2)*((J5*D5)-(E5*D5)), "")</f>
        <v/>
      </c>
      <c r="U5" s="44" t="str">
        <f t="shared" ref="U5:U19" si="9">IF(AND( C5="Buy", ISBLANK(W5), B5&lt;&gt;"DIV", NOW()-A5 &gt; 365), ((E5*D5)+T5), "")</f>
        <v/>
      </c>
      <c r="V5" s="44" t="str">
        <f t="shared" ref="V5:V19" si="10">IF(AND( C5="Buy", ISBLANK(W5), B5&lt;&gt;"DIV", NOW()-A5 &gt; 365), D5, "")</f>
        <v/>
      </c>
      <c r="W5" s="44"/>
      <c r="X5" s="44"/>
      <c r="Y5" s="43" t="str">
        <f t="shared" ref="Y5:Y19" si="11">IF(AND( C5="Buy", W5&lt;&gt;"", AA5&lt;&gt;"", B5&lt;&gt;"DIV"), Z5/sum(F5:I5), "")</f>
        <v/>
      </c>
      <c r="Z5" s="44"/>
      <c r="AA5" s="44"/>
      <c r="AB5" s="45"/>
      <c r="AC5" s="46" t="str">
        <f t="shared" ref="AC5:AC19" si="12">if(B5="DIV", F5,"")</f>
        <v/>
      </c>
      <c r="AD5" s="47"/>
    </row>
    <row r="6">
      <c r="A6" s="38">
        <v>45947.0</v>
      </c>
      <c r="B6" s="39" t="s">
        <v>26</v>
      </c>
      <c r="C6" s="39" t="s">
        <v>27</v>
      </c>
      <c r="D6" s="40">
        <v>8.0</v>
      </c>
      <c r="E6" s="41">
        <v>723.59</v>
      </c>
      <c r="F6" s="41">
        <f t="shared" si="1"/>
        <v>5788.72</v>
      </c>
      <c r="G6" s="39" t="s">
        <v>28</v>
      </c>
      <c r="H6" s="40"/>
      <c r="I6" s="40"/>
      <c r="J6" s="42">
        <f>Index!$C$2</f>
        <v>620.5</v>
      </c>
      <c r="K6" s="43">
        <f t="shared" si="2"/>
        <v>-0.1404756008</v>
      </c>
      <c r="L6" s="44">
        <f>IF(AND( C6="Buy", ISBLANK(W6), B6&lt;&gt;"DIV"), (1-Index!$F$2*2)*((J6*D6)-(E6*D6)), "")</f>
        <v>-813.17392</v>
      </c>
      <c r="M6" s="44">
        <f t="shared" si="3"/>
        <v>4975.54608</v>
      </c>
      <c r="N6" s="45">
        <f t="shared" si="4"/>
        <v>8</v>
      </c>
      <c r="O6" s="43">
        <f t="shared" si="5"/>
        <v>-0.1404756008</v>
      </c>
      <c r="P6" s="44">
        <f>IF(AND( C6="Buy", ISBLANK(W6), B6&lt;&gt;"DIV", NOW()-A6 &lt; 365), (1-Index!$F$2*2)*((J6*D6)-(E6*D6)), "")</f>
        <v>-813.17392</v>
      </c>
      <c r="Q6" s="44">
        <f t="shared" si="6"/>
        <v>4975.54608</v>
      </c>
      <c r="R6" s="44">
        <f t="shared" si="7"/>
        <v>8</v>
      </c>
      <c r="S6" s="43" t="str">
        <f t="shared" si="8"/>
        <v/>
      </c>
      <c r="T6" s="44" t="str">
        <f>IF(AND( C6="Buy", ISBLANK(W6), B6&lt;&gt;"DIV", NOW()-A6 &gt; 365), (1-Index!$F$2*2)*((J6*D6)-(E6*D6)), "")</f>
        <v/>
      </c>
      <c r="U6" s="44" t="str">
        <f t="shared" si="9"/>
        <v/>
      </c>
      <c r="V6" s="44" t="str">
        <f t="shared" si="10"/>
        <v/>
      </c>
      <c r="W6" s="44"/>
      <c r="X6" s="44"/>
      <c r="Y6" s="43" t="str">
        <f t="shared" si="11"/>
        <v/>
      </c>
      <c r="Z6" s="44"/>
      <c r="AA6" s="44"/>
      <c r="AB6" s="45"/>
      <c r="AC6" s="46" t="str">
        <f t="shared" si="12"/>
        <v/>
      </c>
      <c r="AD6" s="47"/>
    </row>
    <row r="7">
      <c r="A7" s="38">
        <v>45903.0</v>
      </c>
      <c r="B7" s="39" t="s">
        <v>26</v>
      </c>
      <c r="C7" s="39" t="s">
        <v>27</v>
      </c>
      <c r="D7" s="40">
        <v>5.0</v>
      </c>
      <c r="E7" s="41">
        <v>716.8</v>
      </c>
      <c r="F7" s="41">
        <v>3583.98</v>
      </c>
      <c r="G7" s="39" t="s">
        <v>28</v>
      </c>
      <c r="H7" s="40">
        <v>3.57</v>
      </c>
      <c r="I7" s="40">
        <v>21.66</v>
      </c>
      <c r="J7" s="42">
        <f>Index!$C$2</f>
        <v>620.5</v>
      </c>
      <c r="K7" s="43">
        <f t="shared" si="2"/>
        <v>-0.1315409743</v>
      </c>
      <c r="L7" s="44">
        <f>IF(AND( C7="Buy", ISBLANK(W7), B7&lt;&gt;"DIV"), (1-Index!$F$2*2)*((J7*D7)-(E7*D7)), "")</f>
        <v>-474.759</v>
      </c>
      <c r="M7" s="44">
        <f t="shared" si="3"/>
        <v>3109.241</v>
      </c>
      <c r="N7" s="45">
        <f t="shared" si="4"/>
        <v>5</v>
      </c>
      <c r="O7" s="43">
        <f t="shared" si="5"/>
        <v>-0.1315409743</v>
      </c>
      <c r="P7" s="44">
        <f>IF(AND( C7="Buy", ISBLANK(W7), B7&lt;&gt;"DIV", NOW()-A7 &lt; 365), (1-Index!$F$2*2)*((J7*D7)-(E7*D7)), "")</f>
        <v>-474.759</v>
      </c>
      <c r="Q7" s="44">
        <f t="shared" si="6"/>
        <v>3109.241</v>
      </c>
      <c r="R7" s="44">
        <f t="shared" si="7"/>
        <v>5</v>
      </c>
      <c r="S7" s="43" t="str">
        <f t="shared" si="8"/>
        <v/>
      </c>
      <c r="T7" s="44" t="str">
        <f>IF(AND( C7="Buy", ISBLANK(W7), B7&lt;&gt;"DIV", NOW()-A7 &gt; 365), (1-Index!$F$2*2)*((J7*D7)-(E7*D7)), "")</f>
        <v/>
      </c>
      <c r="U7" s="44" t="str">
        <f t="shared" si="9"/>
        <v/>
      </c>
      <c r="V7" s="44" t="str">
        <f t="shared" si="10"/>
        <v/>
      </c>
      <c r="W7" s="44"/>
      <c r="X7" s="44"/>
      <c r="Y7" s="43" t="str">
        <f t="shared" si="11"/>
        <v/>
      </c>
      <c r="Z7" s="44"/>
      <c r="AA7" s="44"/>
      <c r="AB7" s="45"/>
      <c r="AC7" s="46" t="str">
        <f t="shared" si="12"/>
        <v/>
      </c>
      <c r="AD7" s="47"/>
    </row>
    <row r="8">
      <c r="A8" s="38">
        <v>45897.0</v>
      </c>
      <c r="B8" s="39" t="s">
        <v>26</v>
      </c>
      <c r="C8" s="39" t="s">
        <v>27</v>
      </c>
      <c r="D8" s="40">
        <v>2.0</v>
      </c>
      <c r="E8" s="41">
        <v>714.49</v>
      </c>
      <c r="F8" s="41">
        <v>1428.97</v>
      </c>
      <c r="G8" s="39" t="s">
        <v>28</v>
      </c>
      <c r="H8" s="40">
        <v>1.42</v>
      </c>
      <c r="I8" s="40">
        <v>8.65</v>
      </c>
      <c r="J8" s="42">
        <f>Index!$C$2</f>
        <v>620.5</v>
      </c>
      <c r="K8" s="43">
        <f t="shared" si="2"/>
        <v>-0.12879995</v>
      </c>
      <c r="L8" s="44">
        <f>IF(AND( C8="Buy", ISBLANK(W8), B8&lt;&gt;"DIV"), (1-Index!$F$2*2)*((J8*D8)-(E8*D8)), "")</f>
        <v>-185.34828</v>
      </c>
      <c r="M8" s="44">
        <f t="shared" si="3"/>
        <v>1243.63172</v>
      </c>
      <c r="N8" s="45">
        <f t="shared" si="4"/>
        <v>2</v>
      </c>
      <c r="O8" s="43">
        <f t="shared" si="5"/>
        <v>-0.12879995</v>
      </c>
      <c r="P8" s="44">
        <f>IF(AND( C8="Buy", ISBLANK(W8), B8&lt;&gt;"DIV", NOW()-A8 &lt; 365), (1-Index!$F$2*2)*((J8*D8)-(E8*D8)), "")</f>
        <v>-185.34828</v>
      </c>
      <c r="Q8" s="44">
        <f t="shared" si="6"/>
        <v>1243.63172</v>
      </c>
      <c r="R8" s="44">
        <f t="shared" si="7"/>
        <v>2</v>
      </c>
      <c r="S8" s="43" t="str">
        <f t="shared" si="8"/>
        <v/>
      </c>
      <c r="T8" s="44" t="str">
        <f>IF(AND( C8="Buy", ISBLANK(W8), B8&lt;&gt;"DIV", NOW()-A8 &gt; 365), (1-Index!$F$2*2)*((J8*D8)-(E8*D8)), "")</f>
        <v/>
      </c>
      <c r="U8" s="44" t="str">
        <f t="shared" si="9"/>
        <v/>
      </c>
      <c r="V8" s="44" t="str">
        <f t="shared" si="10"/>
        <v/>
      </c>
      <c r="W8" s="44"/>
      <c r="X8" s="44"/>
      <c r="Y8" s="43" t="str">
        <f t="shared" si="11"/>
        <v/>
      </c>
      <c r="Z8" s="44"/>
      <c r="AA8" s="44"/>
      <c r="AB8" s="45"/>
      <c r="AC8" s="46" t="str">
        <f t="shared" si="12"/>
        <v/>
      </c>
      <c r="AD8" s="47"/>
    </row>
    <row r="9">
      <c r="A9" s="38">
        <v>45891.0</v>
      </c>
      <c r="B9" s="39" t="s">
        <v>24</v>
      </c>
      <c r="C9" s="39" t="s">
        <v>27</v>
      </c>
      <c r="D9" s="40">
        <v>60.0</v>
      </c>
      <c r="E9" s="41">
        <v>1.0</v>
      </c>
      <c r="F9" s="41">
        <v>60.0</v>
      </c>
      <c r="G9" s="39" t="s">
        <v>29</v>
      </c>
      <c r="H9" s="40">
        <v>0.0</v>
      </c>
      <c r="I9" s="40">
        <v>0.0</v>
      </c>
      <c r="J9" s="42">
        <f>Index!$C$2</f>
        <v>620.5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3" t="str">
        <f t="shared" si="8"/>
        <v/>
      </c>
      <c r="T9" s="44" t="str">
        <f>IF(AND( C9="Buy", ISBLANK(W9), B9&lt;&gt;"DIV", NOW()-A9 &gt; 365), (1-Index!$F$2*2)*((J9*D9)-(E9*D9)), "")</f>
        <v/>
      </c>
      <c r="U9" s="44" t="str">
        <f t="shared" si="9"/>
        <v/>
      </c>
      <c r="V9" s="44" t="str">
        <f t="shared" si="10"/>
        <v/>
      </c>
      <c r="W9" s="44"/>
      <c r="X9" s="44"/>
      <c r="Y9" s="43" t="str">
        <f t="shared" si="11"/>
        <v/>
      </c>
      <c r="Z9" s="44"/>
      <c r="AA9" s="44"/>
      <c r="AB9" s="45"/>
      <c r="AC9" s="46">
        <f t="shared" si="12"/>
        <v>60</v>
      </c>
      <c r="AD9" s="47"/>
    </row>
    <row r="10">
      <c r="A10" s="38">
        <v>45855.0</v>
      </c>
      <c r="B10" s="39" t="s">
        <v>26</v>
      </c>
      <c r="C10" s="39" t="s">
        <v>27</v>
      </c>
      <c r="D10" s="40">
        <v>5.0</v>
      </c>
      <c r="E10" s="41">
        <v>781.8</v>
      </c>
      <c r="F10" s="41">
        <v>3909.0</v>
      </c>
      <c r="G10" s="39" t="s">
        <v>28</v>
      </c>
      <c r="H10" s="40">
        <v>3.88</v>
      </c>
      <c r="I10" s="40">
        <v>23.62</v>
      </c>
      <c r="J10" s="42">
        <f>Index!$C$2</f>
        <v>620.5</v>
      </c>
      <c r="K10" s="43">
        <f t="shared" si="2"/>
        <v>-0.2020091452</v>
      </c>
      <c r="L10" s="44">
        <f>IF(AND( C10="Buy", ISBLANK(W10), B10&lt;&gt;"DIV"), (1-Index!$F$2*2)*((J10*D10)-(E10*D10)), "")</f>
        <v>-795.209</v>
      </c>
      <c r="M10" s="44">
        <f t="shared" si="3"/>
        <v>3113.791</v>
      </c>
      <c r="N10" s="45">
        <f t="shared" si="4"/>
        <v>5</v>
      </c>
      <c r="O10" s="43">
        <f t="shared" si="5"/>
        <v>-0.2020091452</v>
      </c>
      <c r="P10" s="44">
        <f>IF(AND( C10="Buy", ISBLANK(W10), B10&lt;&gt;"DIV", NOW()-A10 &lt; 365), (1-Index!$F$2*2)*((J10*D10)-(E10*D10)), "")</f>
        <v>-795.209</v>
      </c>
      <c r="Q10" s="44">
        <f t="shared" si="6"/>
        <v>3113.791</v>
      </c>
      <c r="R10" s="44">
        <f t="shared" si="7"/>
        <v>5</v>
      </c>
      <c r="S10" s="43" t="str">
        <f t="shared" si="8"/>
        <v/>
      </c>
      <c r="T10" s="44" t="str">
        <f>IF(AND( C10="Buy", ISBLANK(W10), B10&lt;&gt;"DIV", NOW()-A10 &gt; 365), (1-Index!$F$2*2)*((J10*D10)-(E10*D10)), "")</f>
        <v/>
      </c>
      <c r="U10" s="44" t="str">
        <f t="shared" si="9"/>
        <v/>
      </c>
      <c r="V10" s="44" t="str">
        <f t="shared" si="10"/>
        <v/>
      </c>
      <c r="W10" s="44"/>
      <c r="X10" s="44"/>
      <c r="Y10" s="43" t="str">
        <f t="shared" si="11"/>
        <v/>
      </c>
      <c r="Z10" s="44"/>
      <c r="AA10" s="44"/>
      <c r="AB10" s="45"/>
      <c r="AC10" s="46" t="str">
        <f t="shared" si="12"/>
        <v/>
      </c>
      <c r="AD10" s="47"/>
    </row>
    <row r="11">
      <c r="A11" s="38">
        <v>45820.0</v>
      </c>
      <c r="B11" s="39" t="s">
        <v>26</v>
      </c>
      <c r="C11" s="39" t="s">
        <v>27</v>
      </c>
      <c r="D11" s="40">
        <v>5.0</v>
      </c>
      <c r="E11" s="41">
        <v>790.15</v>
      </c>
      <c r="F11" s="41">
        <v>3950.75</v>
      </c>
      <c r="G11" s="39" t="s">
        <v>28</v>
      </c>
      <c r="H11" s="40">
        <v>3.91</v>
      </c>
      <c r="I11" s="40">
        <v>23.84</v>
      </c>
      <c r="J11" s="42">
        <f>Index!$C$2</f>
        <v>620.5</v>
      </c>
      <c r="K11" s="43">
        <f t="shared" si="2"/>
        <v>-0.2102235767</v>
      </c>
      <c r="L11" s="44">
        <f>IF(AND( C11="Buy", ISBLANK(W11), B11&lt;&gt;"DIV"), (1-Index!$F$2*2)*((J11*D11)-(E11*D11)), "")</f>
        <v>-836.3745</v>
      </c>
      <c r="M11" s="44">
        <f t="shared" si="3"/>
        <v>3114.3755</v>
      </c>
      <c r="N11" s="45">
        <f t="shared" si="4"/>
        <v>5</v>
      </c>
      <c r="O11" s="43">
        <f t="shared" si="5"/>
        <v>-0.2102235767</v>
      </c>
      <c r="P11" s="44">
        <f>IF(AND( C11="Buy", ISBLANK(W11), B11&lt;&gt;"DIV", NOW()-A11 &lt; 365), (1-Index!$F$2*2)*((J11*D11)-(E11*D11)), "")</f>
        <v>-836.3745</v>
      </c>
      <c r="Q11" s="44">
        <f t="shared" si="6"/>
        <v>3114.3755</v>
      </c>
      <c r="R11" s="44">
        <f t="shared" si="7"/>
        <v>5</v>
      </c>
      <c r="S11" s="43" t="str">
        <f t="shared" si="8"/>
        <v/>
      </c>
      <c r="T11" s="44" t="str">
        <f>IF(AND( C11="Buy", ISBLANK(W11), B11&lt;&gt;"DIV", NOW()-A11 &gt; 365), (1-Index!$F$2*2)*((J11*D11)-(E11*D11)), "")</f>
        <v/>
      </c>
      <c r="U11" s="44" t="str">
        <f t="shared" si="9"/>
        <v/>
      </c>
      <c r="V11" s="44" t="str">
        <f t="shared" si="10"/>
        <v/>
      </c>
      <c r="W11" s="44"/>
      <c r="X11" s="44"/>
      <c r="Y11" s="43" t="str">
        <f t="shared" si="11"/>
        <v/>
      </c>
      <c r="Z11" s="44"/>
      <c r="AA11" s="44"/>
      <c r="AB11" s="45"/>
      <c r="AC11" s="46" t="str">
        <f t="shared" si="12"/>
        <v/>
      </c>
      <c r="AD11" s="47"/>
    </row>
    <row r="12">
      <c r="A12" s="38">
        <v>45811.0</v>
      </c>
      <c r="B12" s="39" t="s">
        <v>26</v>
      </c>
      <c r="C12" s="39" t="s">
        <v>27</v>
      </c>
      <c r="D12" s="40">
        <v>2.0</v>
      </c>
      <c r="E12" s="41">
        <v>776.91</v>
      </c>
      <c r="F12" s="41">
        <v>1553.82</v>
      </c>
      <c r="G12" s="39" t="s">
        <v>28</v>
      </c>
      <c r="H12" s="40">
        <v>1.54</v>
      </c>
      <c r="I12" s="40">
        <v>9.38</v>
      </c>
      <c r="J12" s="42">
        <f>Index!$C$2</f>
        <v>620.5</v>
      </c>
      <c r="K12" s="43">
        <f t="shared" si="2"/>
        <v>-0.1971193425</v>
      </c>
      <c r="L12" s="44">
        <f>IF(AND( C12="Buy", ISBLANK(W12), B12&lt;&gt;"DIV"), (1-Index!$F$2*2)*((J12*D12)-(E12*D12)), "")</f>
        <v>-308.44052</v>
      </c>
      <c r="M12" s="44">
        <f t="shared" si="3"/>
        <v>1245.37948</v>
      </c>
      <c r="N12" s="45">
        <f t="shared" si="4"/>
        <v>2</v>
      </c>
      <c r="O12" s="43">
        <f t="shared" si="5"/>
        <v>-0.1971193425</v>
      </c>
      <c r="P12" s="44">
        <f>IF(AND( C12="Buy", ISBLANK(W12), B12&lt;&gt;"DIV", NOW()-A12 &lt; 365), (1-Index!$F$2*2)*((J12*D12)-(E12*D12)), "")</f>
        <v>-308.44052</v>
      </c>
      <c r="Q12" s="44">
        <f t="shared" si="6"/>
        <v>1245.37948</v>
      </c>
      <c r="R12" s="44">
        <f t="shared" si="7"/>
        <v>2</v>
      </c>
      <c r="S12" s="43" t="str">
        <f t="shared" si="8"/>
        <v/>
      </c>
      <c r="T12" s="44" t="str">
        <f>IF(AND( C12="Buy", ISBLANK(W12), B12&lt;&gt;"DIV", NOW()-A12 &gt; 365), (1-Index!$F$2*2)*((J12*D12)-(E12*D12)), "")</f>
        <v/>
      </c>
      <c r="U12" s="44" t="str">
        <f t="shared" si="9"/>
        <v/>
      </c>
      <c r="V12" s="44" t="str">
        <f t="shared" si="10"/>
        <v/>
      </c>
      <c r="W12" s="44"/>
      <c r="X12" s="44"/>
      <c r="Y12" s="43" t="str">
        <f t="shared" si="11"/>
        <v/>
      </c>
      <c r="Z12" s="44"/>
      <c r="AA12" s="44"/>
      <c r="AB12" s="45"/>
      <c r="AC12" s="46" t="str">
        <f t="shared" si="12"/>
        <v/>
      </c>
      <c r="AD12" s="47"/>
    </row>
    <row r="13">
      <c r="A13" s="38">
        <v>45811.0</v>
      </c>
      <c r="B13" s="39" t="s">
        <v>26</v>
      </c>
      <c r="C13" s="39" t="s">
        <v>27</v>
      </c>
      <c r="D13" s="40">
        <v>5.0</v>
      </c>
      <c r="E13" s="41">
        <v>776.92</v>
      </c>
      <c r="F13" s="41">
        <v>3884.62</v>
      </c>
      <c r="G13" s="39" t="s">
        <v>28</v>
      </c>
      <c r="H13" s="40">
        <v>3.86</v>
      </c>
      <c r="I13" s="40">
        <v>23.51</v>
      </c>
      <c r="J13" s="42">
        <f>Index!$C$2</f>
        <v>620.5</v>
      </c>
      <c r="K13" s="43">
        <f t="shared" si="2"/>
        <v>-0.1971248904</v>
      </c>
      <c r="L13" s="44">
        <f>IF(AND( C13="Buy", ISBLANK(W13), B13&lt;&gt;"DIV"), (1-Index!$F$2*2)*((J13*D13)-(E13*D13)), "")</f>
        <v>-771.1506</v>
      </c>
      <c r="M13" s="44">
        <f t="shared" si="3"/>
        <v>3113.4494</v>
      </c>
      <c r="N13" s="45">
        <f t="shared" si="4"/>
        <v>5</v>
      </c>
      <c r="O13" s="43">
        <f t="shared" si="5"/>
        <v>-0.1971248904</v>
      </c>
      <c r="P13" s="44">
        <f>IF(AND( C13="Buy", ISBLANK(W13), B13&lt;&gt;"DIV", NOW()-A13 &lt; 365), (1-Index!$F$2*2)*((J13*D13)-(E13*D13)), "")</f>
        <v>-771.1506</v>
      </c>
      <c r="Q13" s="44">
        <f t="shared" si="6"/>
        <v>3113.4494</v>
      </c>
      <c r="R13" s="44">
        <f t="shared" si="7"/>
        <v>5</v>
      </c>
      <c r="S13" s="43" t="str">
        <f t="shared" si="8"/>
        <v/>
      </c>
      <c r="T13" s="44" t="str">
        <f>IF(AND( C13="Buy", ISBLANK(W13), B13&lt;&gt;"DIV", NOW()-A13 &gt; 365), (1-Index!$F$2*2)*((J13*D13)-(E13*D13)), "")</f>
        <v/>
      </c>
      <c r="U13" s="44" t="str">
        <f t="shared" si="9"/>
        <v/>
      </c>
      <c r="V13" s="44" t="str">
        <f t="shared" si="10"/>
        <v/>
      </c>
      <c r="W13" s="44"/>
      <c r="X13" s="44"/>
      <c r="Y13" s="43" t="str">
        <f t="shared" si="11"/>
        <v/>
      </c>
      <c r="Z13" s="44"/>
      <c r="AA13" s="44"/>
      <c r="AB13" s="45"/>
      <c r="AC13" s="46" t="str">
        <f t="shared" si="12"/>
        <v/>
      </c>
      <c r="AD13" s="47"/>
    </row>
    <row r="14">
      <c r="A14" s="48">
        <v>45716.0</v>
      </c>
      <c r="B14" s="49" t="s">
        <v>26</v>
      </c>
      <c r="C14" s="49" t="s">
        <v>27</v>
      </c>
      <c r="D14" s="50">
        <v>3.0</v>
      </c>
      <c r="E14" s="51">
        <v>680.19</v>
      </c>
      <c r="F14" s="51">
        <v>2040.56</v>
      </c>
      <c r="G14" s="49" t="s">
        <v>28</v>
      </c>
      <c r="H14" s="50">
        <v>2.02</v>
      </c>
      <c r="I14" s="50">
        <v>12.34</v>
      </c>
      <c r="J14" s="42">
        <f>Index!$C$2</f>
        <v>620.5</v>
      </c>
      <c r="K14" s="43">
        <f t="shared" si="2"/>
        <v>-0.08592208942</v>
      </c>
      <c r="L14" s="44">
        <f>IF(AND( C14="Buy", ISBLANK(W14), B14&lt;&gt;"DIV"), (1-Index!$F$2*2)*((J14*D14)-(E14*D14)), "")</f>
        <v>-176.56302</v>
      </c>
      <c r="M14" s="44">
        <f t="shared" si="3"/>
        <v>1864.00698</v>
      </c>
      <c r="N14" s="45">
        <f t="shared" si="4"/>
        <v>3</v>
      </c>
      <c r="O14" s="43">
        <f t="shared" si="5"/>
        <v>-0.08592208942</v>
      </c>
      <c r="P14" s="44">
        <f>IF(AND( C14="Buy", ISBLANK(W14), B14&lt;&gt;"DIV", NOW()-A14 &lt; 365), (1-Index!$F$2*2)*((J14*D14)-(E14*D14)), "")</f>
        <v>-176.56302</v>
      </c>
      <c r="Q14" s="44">
        <f t="shared" si="6"/>
        <v>1864.00698</v>
      </c>
      <c r="R14" s="44">
        <f t="shared" si="7"/>
        <v>3</v>
      </c>
      <c r="S14" s="43" t="str">
        <f t="shared" si="8"/>
        <v/>
      </c>
      <c r="T14" s="44" t="str">
        <f>IF(AND( C14="Buy", ISBLANK(W14), B14&lt;&gt;"DIV", NOW()-A14 &gt; 365), (1-Index!$F$2*2)*((J14*D14)-(E14*D14)), "")</f>
        <v/>
      </c>
      <c r="U14" s="44" t="str">
        <f t="shared" si="9"/>
        <v/>
      </c>
      <c r="V14" s="44" t="str">
        <f t="shared" si="10"/>
        <v/>
      </c>
      <c r="W14" s="44"/>
      <c r="X14" s="44"/>
      <c r="Y14" s="43" t="str">
        <f t="shared" si="11"/>
        <v/>
      </c>
      <c r="Z14" s="44"/>
      <c r="AA14" s="44"/>
      <c r="AB14" s="45"/>
      <c r="AC14" s="46" t="str">
        <f t="shared" si="12"/>
        <v/>
      </c>
      <c r="AD14" s="47"/>
    </row>
    <row r="15">
      <c r="A15" s="48">
        <v>45712.0</v>
      </c>
      <c r="B15" s="49" t="s">
        <v>26</v>
      </c>
      <c r="C15" s="49" t="s">
        <v>27</v>
      </c>
      <c r="D15" s="50">
        <v>7.0</v>
      </c>
      <c r="E15" s="51">
        <v>728.63</v>
      </c>
      <c r="F15" s="51">
        <v>5100.4</v>
      </c>
      <c r="G15" s="49" t="s">
        <v>28</v>
      </c>
      <c r="H15" s="50">
        <v>5.06</v>
      </c>
      <c r="I15" s="50">
        <v>30.84</v>
      </c>
      <c r="J15" s="42">
        <f>Index!$C$2</f>
        <v>620.5</v>
      </c>
      <c r="K15" s="43">
        <f t="shared" si="2"/>
        <v>-0.1453017269</v>
      </c>
      <c r="L15" s="44">
        <f>IF(AND( C15="Buy", ISBLANK(W15), B15&lt;&gt;"DIV"), (1-Index!$F$2*2)*((J15*D15)-(E15*D15)), "")</f>
        <v>-746.31326</v>
      </c>
      <c r="M15" s="44">
        <f t="shared" si="3"/>
        <v>4354.09674</v>
      </c>
      <c r="N15" s="45">
        <f t="shared" si="4"/>
        <v>7</v>
      </c>
      <c r="O15" s="43">
        <f t="shared" si="5"/>
        <v>-0.1453017269</v>
      </c>
      <c r="P15" s="44">
        <f>IF(AND( C15="Buy", ISBLANK(W15), B15&lt;&gt;"DIV", NOW()-A15 &lt; 365), (1-Index!$F$2*2)*((J15*D15)-(E15*D15)), "")</f>
        <v>-746.31326</v>
      </c>
      <c r="Q15" s="44">
        <f t="shared" si="6"/>
        <v>4354.09674</v>
      </c>
      <c r="R15" s="44">
        <f t="shared" si="7"/>
        <v>7</v>
      </c>
      <c r="S15" s="43" t="str">
        <f t="shared" si="8"/>
        <v/>
      </c>
      <c r="T15" s="44" t="str">
        <f>IF(AND( C15="Buy", ISBLANK(W15), B15&lt;&gt;"DIV", NOW()-A15 &gt; 365), (1-Index!$F$2*2)*((J15*D15)-(E15*D15)), "")</f>
        <v/>
      </c>
      <c r="U15" s="44" t="str">
        <f t="shared" si="9"/>
        <v/>
      </c>
      <c r="V15" s="44" t="str">
        <f t="shared" si="10"/>
        <v/>
      </c>
      <c r="W15" s="44"/>
      <c r="X15" s="44"/>
      <c r="Y15" s="43" t="str">
        <f t="shared" si="11"/>
        <v/>
      </c>
      <c r="Z15" s="44"/>
      <c r="AA15" s="44"/>
      <c r="AB15" s="45"/>
      <c r="AC15" s="46" t="str">
        <f t="shared" si="12"/>
        <v/>
      </c>
      <c r="AD15" s="47"/>
    </row>
    <row r="16">
      <c r="A16" s="48">
        <v>45712.0</v>
      </c>
      <c r="B16" s="49" t="s">
        <v>26</v>
      </c>
      <c r="C16" s="49" t="s">
        <v>27</v>
      </c>
      <c r="D16" s="50">
        <v>3.0</v>
      </c>
      <c r="E16" s="51">
        <v>728.64</v>
      </c>
      <c r="F16" s="51">
        <v>2185.91</v>
      </c>
      <c r="G16" s="49" t="s">
        <v>28</v>
      </c>
      <c r="H16" s="50">
        <v>2.17</v>
      </c>
      <c r="I16" s="50">
        <v>13.24</v>
      </c>
      <c r="J16" s="42">
        <f>Index!$C$2</f>
        <v>620.5</v>
      </c>
      <c r="K16" s="43">
        <f t="shared" si="2"/>
        <v>-0.1453119583</v>
      </c>
      <c r="L16" s="44">
        <f>IF(AND( C16="Buy", ISBLANK(W16), B16&lt;&gt;"DIV"), (1-Index!$F$2*2)*((J16*D16)-(E16*D16)), "")</f>
        <v>-319.87812</v>
      </c>
      <c r="M16" s="44">
        <f t="shared" si="3"/>
        <v>1866.04188</v>
      </c>
      <c r="N16" s="45">
        <f t="shared" si="4"/>
        <v>3</v>
      </c>
      <c r="O16" s="43">
        <f t="shared" si="5"/>
        <v>-0.1453119583</v>
      </c>
      <c r="P16" s="44">
        <f>IF(AND( C16="Buy", ISBLANK(W16), B16&lt;&gt;"DIV", NOW()-A16 &lt; 365), (1-Index!$F$2*2)*((J16*D16)-(E16*D16)), "")</f>
        <v>-319.87812</v>
      </c>
      <c r="Q16" s="44">
        <f t="shared" si="6"/>
        <v>1866.04188</v>
      </c>
      <c r="R16" s="44">
        <f t="shared" si="7"/>
        <v>3</v>
      </c>
      <c r="S16" s="43" t="str">
        <f t="shared" si="8"/>
        <v/>
      </c>
      <c r="T16" s="44" t="str">
        <f>IF(AND( C16="Buy", ISBLANK(W16), B16&lt;&gt;"DIV", NOW()-A16 &gt; 365), (1-Index!$F$2*2)*((J16*D16)-(E16*D16)), "")</f>
        <v/>
      </c>
      <c r="U16" s="44" t="str">
        <f t="shared" si="9"/>
        <v/>
      </c>
      <c r="V16" s="44" t="str">
        <f t="shared" si="10"/>
        <v/>
      </c>
      <c r="W16" s="44"/>
      <c r="X16" s="44"/>
      <c r="Y16" s="43" t="str">
        <f t="shared" si="11"/>
        <v/>
      </c>
      <c r="Z16" s="44"/>
      <c r="AA16" s="44"/>
      <c r="AB16" s="45"/>
      <c r="AC16" s="46" t="str">
        <f t="shared" si="12"/>
        <v/>
      </c>
      <c r="AD16" s="47"/>
    </row>
    <row r="17">
      <c r="A17" s="48">
        <v>45705.0</v>
      </c>
      <c r="B17" s="49" t="s">
        <v>26</v>
      </c>
      <c r="C17" s="49" t="s">
        <v>27</v>
      </c>
      <c r="D17" s="50">
        <v>20.0</v>
      </c>
      <c r="E17" s="51">
        <v>730.14</v>
      </c>
      <c r="F17" s="51">
        <v>14602.86</v>
      </c>
      <c r="G17" s="49" t="s">
        <v>28</v>
      </c>
      <c r="H17" s="50">
        <v>14.48</v>
      </c>
      <c r="I17" s="50">
        <v>88.38</v>
      </c>
      <c r="J17" s="42">
        <f>Index!$C$2</f>
        <v>620.5</v>
      </c>
      <c r="K17" s="43">
        <f t="shared" si="2"/>
        <v>-0.1470244776</v>
      </c>
      <c r="L17" s="44">
        <f>IF(AND( C17="Buy", ISBLANK(W17), B17&lt;&gt;"DIV"), (1-Index!$F$2*2)*((J17*D17)-(E17*D17)), "")</f>
        <v>-2162.1008</v>
      </c>
      <c r="M17" s="44">
        <f t="shared" si="3"/>
        <v>12440.6992</v>
      </c>
      <c r="N17" s="45">
        <f t="shared" si="4"/>
        <v>20</v>
      </c>
      <c r="O17" s="43">
        <f t="shared" si="5"/>
        <v>-0.1470244776</v>
      </c>
      <c r="P17" s="44">
        <f>IF(AND( C17="Buy", ISBLANK(W17), B17&lt;&gt;"DIV", NOW()-A17 &lt; 365), (1-Index!$F$2*2)*((J17*D17)-(E17*D17)), "")</f>
        <v>-2162.1008</v>
      </c>
      <c r="Q17" s="44">
        <f t="shared" si="6"/>
        <v>12440.6992</v>
      </c>
      <c r="R17" s="44">
        <f t="shared" si="7"/>
        <v>20</v>
      </c>
      <c r="S17" s="43" t="str">
        <f t="shared" si="8"/>
        <v/>
      </c>
      <c r="T17" s="44" t="str">
        <f>IF(AND( C17="Buy", ISBLANK(W17), B17&lt;&gt;"DIV", NOW()-A17 &gt; 365), (1-Index!$F$2*2)*((J17*D17)-(E17*D17)), "")</f>
        <v/>
      </c>
      <c r="U17" s="44" t="str">
        <f t="shared" si="9"/>
        <v/>
      </c>
      <c r="V17" s="44" t="str">
        <f t="shared" si="10"/>
        <v/>
      </c>
      <c r="W17" s="44"/>
      <c r="X17" s="44"/>
      <c r="Y17" s="43" t="str">
        <f t="shared" si="11"/>
        <v/>
      </c>
      <c r="Z17" s="44"/>
      <c r="AA17" s="44"/>
      <c r="AB17" s="45"/>
      <c r="AC17" s="46" t="str">
        <f t="shared" si="12"/>
        <v/>
      </c>
      <c r="AD17" s="47"/>
    </row>
    <row r="18">
      <c r="A18" s="48">
        <v>45699.0</v>
      </c>
      <c r="B18" s="49" t="s">
        <v>26</v>
      </c>
      <c r="C18" s="49" t="s">
        <v>27</v>
      </c>
      <c r="D18" s="50">
        <v>2.0</v>
      </c>
      <c r="E18" s="51">
        <v>763.17</v>
      </c>
      <c r="F18" s="51">
        <v>1526.34</v>
      </c>
      <c r="G18" s="49" t="s">
        <v>28</v>
      </c>
      <c r="H18" s="50">
        <v>1.52</v>
      </c>
      <c r="I18" s="50">
        <v>9.22</v>
      </c>
      <c r="J18" s="42">
        <f>Index!$C$2</f>
        <v>620.5</v>
      </c>
      <c r="K18" s="43">
        <f t="shared" si="2"/>
        <v>-0.1830387748</v>
      </c>
      <c r="L18" s="44">
        <f>IF(AND( C18="Buy", ISBLANK(W18), B18&lt;&gt;"DIV"), (1-Index!$F$2*2)*((J18*D18)-(E18*D18)), "")</f>
        <v>-281.34524</v>
      </c>
      <c r="M18" s="44">
        <f t="shared" si="3"/>
        <v>1244.99476</v>
      </c>
      <c r="N18" s="45">
        <f t="shared" si="4"/>
        <v>2</v>
      </c>
      <c r="O18" s="43">
        <f t="shared" si="5"/>
        <v>-0.1830387748</v>
      </c>
      <c r="P18" s="44">
        <f>IF(AND( C18="Buy", ISBLANK(W18), B18&lt;&gt;"DIV", NOW()-A18 &lt; 365), (1-Index!$F$2*2)*((J18*D18)-(E18*D18)), "")</f>
        <v>-281.34524</v>
      </c>
      <c r="Q18" s="44">
        <f t="shared" si="6"/>
        <v>1244.99476</v>
      </c>
      <c r="R18" s="44">
        <f t="shared" si="7"/>
        <v>2</v>
      </c>
      <c r="S18" s="43" t="str">
        <f t="shared" si="8"/>
        <v/>
      </c>
      <c r="T18" s="44" t="str">
        <f>IF(AND( C18="Buy", ISBLANK(W18), B18&lt;&gt;"DIV", NOW()-A18 &gt; 365), (1-Index!$F$2*2)*((J18*D18)-(E18*D18)), "")</f>
        <v/>
      </c>
      <c r="U18" s="44" t="str">
        <f t="shared" si="9"/>
        <v/>
      </c>
      <c r="V18" s="44" t="str">
        <f t="shared" si="10"/>
        <v/>
      </c>
      <c r="W18" s="44"/>
      <c r="X18" s="44"/>
      <c r="Y18" s="43" t="str">
        <f t="shared" si="11"/>
        <v/>
      </c>
      <c r="Z18" s="44"/>
      <c r="AA18" s="44"/>
      <c r="AB18" s="45"/>
      <c r="AC18" s="46" t="str">
        <f t="shared" si="12"/>
        <v/>
      </c>
      <c r="AD18" s="47"/>
    </row>
    <row r="19">
      <c r="A19" s="48">
        <v>45699.0</v>
      </c>
      <c r="B19" s="49" t="s">
        <v>26</v>
      </c>
      <c r="C19" s="49" t="s">
        <v>27</v>
      </c>
      <c r="D19" s="50">
        <v>8.0</v>
      </c>
      <c r="E19" s="51">
        <v>763.17</v>
      </c>
      <c r="F19" s="51">
        <v>6105.37</v>
      </c>
      <c r="G19" s="49" t="s">
        <v>28</v>
      </c>
      <c r="H19" s="50">
        <v>6.06</v>
      </c>
      <c r="I19" s="50">
        <v>36.91</v>
      </c>
      <c r="J19" s="42">
        <f>Index!$C$2</f>
        <v>620.5</v>
      </c>
      <c r="K19" s="43">
        <f t="shared" si="2"/>
        <v>-0.1830381794</v>
      </c>
      <c r="L19" s="44">
        <f>IF(AND( C19="Buy", ISBLANK(W19), B19&lt;&gt;"DIV"), (1-Index!$F$2*2)*((J19*D19)-(E19*D19)), "")</f>
        <v>-1125.38096</v>
      </c>
      <c r="M19" s="44">
        <f t="shared" si="3"/>
        <v>4979.97904</v>
      </c>
      <c r="N19" s="45">
        <f t="shared" si="4"/>
        <v>8</v>
      </c>
      <c r="O19" s="43">
        <f t="shared" si="5"/>
        <v>-0.1830381794</v>
      </c>
      <c r="P19" s="44">
        <f>IF(AND( C19="Buy", ISBLANK(W19), B19&lt;&gt;"DIV", NOW()-A19 &lt; 365), (1-Index!$F$2*2)*((J19*D19)-(E19*D19)), "")</f>
        <v>-1125.38096</v>
      </c>
      <c r="Q19" s="44">
        <f t="shared" si="6"/>
        <v>4979.97904</v>
      </c>
      <c r="R19" s="44">
        <f t="shared" si="7"/>
        <v>8</v>
      </c>
      <c r="S19" s="43" t="str">
        <f t="shared" si="8"/>
        <v/>
      </c>
      <c r="T19" s="44" t="str">
        <f>IF(AND( C19="Buy", ISBLANK(W19), B19&lt;&gt;"DIV", NOW()-A19 &gt; 365), (1-Index!$F$2*2)*((J19*D19)-(E19*D19)), "")</f>
        <v/>
      </c>
      <c r="U19" s="44" t="str">
        <f t="shared" si="9"/>
        <v/>
      </c>
      <c r="V19" s="44" t="str">
        <f t="shared" si="10"/>
        <v/>
      </c>
      <c r="W19" s="44"/>
      <c r="X19" s="44"/>
      <c r="Y19" s="43" t="str">
        <f t="shared" si="11"/>
        <v/>
      </c>
      <c r="Z19" s="44"/>
      <c r="AA19" s="44"/>
      <c r="AB19" s="45"/>
      <c r="AC19" s="46" t="str">
        <f t="shared" si="12"/>
        <v/>
      </c>
      <c r="AD19" s="47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M948" s="3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M949" s="3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M950" s="3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M951" s="3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M952" s="3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M953" s="3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M954" s="3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M955" s="3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  <row r="965">
      <c r="E965" s="52"/>
      <c r="F965" s="52"/>
      <c r="G965" s="53"/>
      <c r="J965" s="52"/>
      <c r="K965" s="52"/>
      <c r="L965" s="52"/>
      <c r="W965" s="52"/>
      <c r="X965" s="52"/>
      <c r="Y965" s="52"/>
      <c r="Z965" s="52"/>
      <c r="AA965" s="52"/>
      <c r="AB965" s="52"/>
      <c r="AC965" s="52"/>
    </row>
    <row r="966">
      <c r="E966" s="52"/>
      <c r="F966" s="52"/>
      <c r="G966" s="53"/>
      <c r="J966" s="52"/>
      <c r="K966" s="52"/>
      <c r="L966" s="52"/>
      <c r="W966" s="52"/>
      <c r="X966" s="52"/>
      <c r="Y966" s="52"/>
      <c r="Z966" s="52"/>
      <c r="AA966" s="52"/>
      <c r="AB966" s="52"/>
      <c r="AC966" s="52"/>
    </row>
    <row r="967">
      <c r="E967" s="52"/>
      <c r="F967" s="52"/>
      <c r="G967" s="53"/>
      <c r="J967" s="52"/>
      <c r="K967" s="52"/>
      <c r="L967" s="52"/>
      <c r="W967" s="52"/>
      <c r="X967" s="52"/>
      <c r="Y967" s="52"/>
      <c r="Z967" s="52"/>
      <c r="AA967" s="52"/>
      <c r="AB967" s="52"/>
      <c r="AC967" s="52"/>
    </row>
    <row r="968">
      <c r="E968" s="52"/>
      <c r="F968" s="52"/>
      <c r="G968" s="53"/>
      <c r="J968" s="52"/>
      <c r="K968" s="52"/>
      <c r="L968" s="52"/>
      <c r="W968" s="52"/>
      <c r="X968" s="52"/>
      <c r="Y968" s="52"/>
      <c r="Z968" s="52"/>
      <c r="AA968" s="52"/>
      <c r="AB968" s="52"/>
      <c r="AC968" s="52"/>
    </row>
    <row r="969">
      <c r="E969" s="52"/>
      <c r="F969" s="52"/>
      <c r="G969" s="53"/>
      <c r="J969" s="52"/>
      <c r="K969" s="52"/>
      <c r="L969" s="52"/>
      <c r="W969" s="52"/>
      <c r="X969" s="52"/>
      <c r="Y969" s="52"/>
      <c r="Z969" s="52"/>
      <c r="AA969" s="52"/>
      <c r="AB969" s="52"/>
      <c r="AC969" s="52"/>
    </row>
    <row r="970">
      <c r="E970" s="52"/>
      <c r="F970" s="52"/>
      <c r="G970" s="53"/>
      <c r="J970" s="52"/>
      <c r="K970" s="52"/>
      <c r="L970" s="52"/>
      <c r="W970" s="52"/>
      <c r="X970" s="52"/>
      <c r="Y970" s="52"/>
      <c r="Z970" s="52"/>
      <c r="AA970" s="52"/>
      <c r="AB970" s="52"/>
      <c r="AC970" s="52"/>
    </row>
    <row r="971">
      <c r="E971" s="52"/>
      <c r="F971" s="52"/>
      <c r="G971" s="53"/>
      <c r="J971" s="52"/>
      <c r="K971" s="52"/>
      <c r="L971" s="52"/>
      <c r="W971" s="52"/>
      <c r="X971" s="52"/>
      <c r="Y971" s="52"/>
      <c r="Z971" s="52"/>
      <c r="AA971" s="52"/>
      <c r="AB971" s="52"/>
      <c r="AC971" s="52"/>
    </row>
    <row r="972">
      <c r="E972" s="52"/>
      <c r="F972" s="52"/>
      <c r="G972" s="53"/>
      <c r="J972" s="52"/>
      <c r="K972" s="52"/>
      <c r="L972" s="52"/>
      <c r="W972" s="52"/>
      <c r="X972" s="52"/>
      <c r="Y972" s="52"/>
      <c r="Z972" s="52"/>
      <c r="AA972" s="52"/>
      <c r="AB972" s="52"/>
      <c r="AC972" s="52"/>
    </row>
  </sheetData>
  <autoFilter ref="$A$4:$AD$19"/>
  <customSheetViews>
    <customSheetView guid="{FEB27F1E-CD28-41DF-86A4-54752028E13C}" filter="1" showAutoFilter="1">
      <autoFilter ref="$A$4:$AO$49"/>
    </customSheetView>
  </customSheetViews>
  <mergeCells count="5">
    <mergeCell ref="K2:V2"/>
    <mergeCell ref="W2:AC3"/>
    <mergeCell ref="K3:N3"/>
    <mergeCell ref="O3:R3"/>
    <mergeCell ref="S3:V3"/>
  </mergeCells>
  <conditionalFormatting sqref="C1:C972">
    <cfRule type="containsText" dxfId="0" priority="1" operator="containsText" text="Buy">
      <formula>NOT(ISERROR(SEARCH(("Buy"),(C1))))</formula>
    </cfRule>
  </conditionalFormatting>
  <conditionalFormatting sqref="C1:C972">
    <cfRule type="containsText" dxfId="1" priority="2" operator="containsText" text="Sell">
      <formula>NOT(ISERROR(SEARCH(("Sell"),(C1))))</formula>
    </cfRule>
  </conditionalFormatting>
  <conditionalFormatting sqref="B1:B2 B4:B97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9">
    <cfRule type="expression" dxfId="1" priority="5">
      <formula>NOT(ISBLANK($W5))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30</v>
      </c>
      <c r="C1" s="55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""price"")"),620.5)</f>
        <v>620.5</v>
      </c>
      <c r="D2" s="3"/>
      <c r="E2" s="54" t="s">
        <v>32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33</v>
      </c>
      <c r="C3" s="56">
        <f>IFERROR(__xludf.DUMMYFUNCTION("GOOGLEFINANCE($C$1, ""high52"")"),820.25)</f>
        <v>820.25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34</v>
      </c>
      <c r="C4" s="56">
        <f>IFERROR(__xludf.DUMMYFUNCTION("GOOGLEFINANCE($C$1, ""low52"")"),596.0)</f>
        <v>596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35</v>
      </c>
      <c r="B8" s="62" t="s">
        <v>18</v>
      </c>
      <c r="C8" s="63">
        <f>SUM('Trading History'!$N$4:$N1007)</f>
        <v>80</v>
      </c>
      <c r="D8" s="59"/>
      <c r="E8" s="64" t="s">
        <v>36</v>
      </c>
      <c r="F8" s="63">
        <f>IFERROR(SUM('Trading History'!$R$4:$R1007), 0)</f>
        <v>80</v>
      </c>
      <c r="G8" s="59"/>
      <c r="H8" s="65" t="s">
        <v>37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38</v>
      </c>
      <c r="C9" s="57">
        <f>IFERROR(Index!C10/(Index!C8*Index!$C$2), 0)</f>
        <v>-0.1922843014</v>
      </c>
      <c r="D9" s="59"/>
      <c r="E9" s="69" t="s">
        <v>39</v>
      </c>
      <c r="F9" s="57">
        <f>IFERROR(Index!F10/(Index!F8*Index!$C$2), 0)</f>
        <v>-0.1922843014</v>
      </c>
      <c r="G9" s="59"/>
      <c r="H9" s="70" t="s">
        <v>40</v>
      </c>
      <c r="I9" s="57">
        <f>IFERROR(Index!I10/(Index!I8*Index!$C$2), 0)</f>
        <v>0</v>
      </c>
      <c r="J9" s="59"/>
      <c r="K9" s="71" t="s">
        <v>38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-9544.99272</v>
      </c>
      <c r="D10" s="59"/>
      <c r="E10" s="69" t="s">
        <v>41</v>
      </c>
      <c r="F10" s="72">
        <f>SUM('Trading History'!$P$4:$P1007)</f>
        <v>-9544.99272</v>
      </c>
      <c r="G10" s="59"/>
      <c r="H10" s="70" t="s">
        <v>42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43</v>
      </c>
      <c r="C11" s="72">
        <f>Index!C12-Index!C10</f>
        <v>59320.52</v>
      </c>
      <c r="D11" s="59"/>
      <c r="E11" s="69" t="s">
        <v>44</v>
      </c>
      <c r="F11" s="72">
        <f>Index!F12-Index!F10</f>
        <v>59320.52</v>
      </c>
      <c r="G11" s="59"/>
      <c r="H11" s="70" t="s">
        <v>45</v>
      </c>
      <c r="I11" s="72">
        <f>Index!I12-Index!I10</f>
        <v>0</v>
      </c>
      <c r="J11" s="59"/>
      <c r="K11" s="71" t="s">
        <v>43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49775.52728</v>
      </c>
      <c r="D12" s="59"/>
      <c r="E12" s="69" t="s">
        <v>46</v>
      </c>
      <c r="F12" s="72">
        <f>SUM('Trading History'!$Q$4:$Q1007)</f>
        <v>49775.52728</v>
      </c>
      <c r="G12" s="59"/>
      <c r="H12" s="70" t="s">
        <v>47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48</v>
      </c>
      <c r="L13" s="72">
        <f>SUMIF('Trading History'!$B21:$B1007,"DIV",'Trading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36</v>
      </c>
      <c r="F15" s="63">
        <f>IFERROR(SUMIFS('Trading History'!$R$4:$R1007, 'Trading History'!$O$4:$O1007, CONCAT("&gt;", $A15)), 0)</f>
        <v>0</v>
      </c>
      <c r="G15" s="59"/>
      <c r="H15" s="65" t="s">
        <v>37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38</v>
      </c>
      <c r="C16" s="57">
        <f>IFERROR(Index!C17/(Index!C15*Index!$C$2), 0)</f>
        <v>0</v>
      </c>
      <c r="D16" s="59"/>
      <c r="E16" s="69" t="s">
        <v>39</v>
      </c>
      <c r="F16" s="57">
        <f>IFERROR(Index!F17/(Index!F15*Index!$C$2), 0)</f>
        <v>0</v>
      </c>
      <c r="G16" s="59"/>
      <c r="H16" s="70" t="s">
        <v>40</v>
      </c>
      <c r="I16" s="57">
        <f>IFERROR(Index!I17/(Index!I15*Index!$C$2), 0)</f>
        <v>0</v>
      </c>
      <c r="J16" s="59"/>
      <c r="K16" s="71" t="s">
        <v>38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41</v>
      </c>
      <c r="F17" s="72">
        <f>SUMIFS('Trading History'!$P$4:$P1007, 'Trading History'!$O$4:$O1007, CONCAT("&gt;", $A15))</f>
        <v>0</v>
      </c>
      <c r="G17" s="59"/>
      <c r="H17" s="70" t="s">
        <v>42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43</v>
      </c>
      <c r="C18" s="72">
        <f>Index!C19-Index!C17</f>
        <v>0</v>
      </c>
      <c r="D18" s="59"/>
      <c r="E18" s="69" t="s">
        <v>44</v>
      </c>
      <c r="F18" s="72">
        <f>Index!F19-Index!F17</f>
        <v>0</v>
      </c>
      <c r="G18" s="59"/>
      <c r="H18" s="70" t="s">
        <v>45</v>
      </c>
      <c r="I18" s="72">
        <f>Index!I19-Index!I17</f>
        <v>0</v>
      </c>
      <c r="J18" s="59"/>
      <c r="K18" s="71" t="s">
        <v>43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46</v>
      </c>
      <c r="F19" s="72">
        <f>SUMIFS('Trading History'!$Q$4:$Q1007, 'Trading History'!$O$4:$O1007, CONCAT("&gt;", $A15))</f>
        <v>0</v>
      </c>
      <c r="G19" s="59"/>
      <c r="H19" s="70" t="s">
        <v>47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36</v>
      </c>
      <c r="F22" s="63">
        <f>IFERROR(SUMIFS('Trading History'!$R$4:$R1007, 'Trading History'!$O$4:$O1007, CONCAT("&gt;", $A22)), 0)</f>
        <v>0</v>
      </c>
      <c r="G22" s="59"/>
      <c r="H22" s="65" t="s">
        <v>37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38</v>
      </c>
      <c r="C23" s="57">
        <f>IFERROR(Index!C24/(Index!C22*Index!$C$2), 0)</f>
        <v>0</v>
      </c>
      <c r="D23" s="59"/>
      <c r="E23" s="69" t="s">
        <v>39</v>
      </c>
      <c r="F23" s="57">
        <f>IFERROR(Index!F24/(Index!F22*Index!$C$2), 0)</f>
        <v>0</v>
      </c>
      <c r="G23" s="59"/>
      <c r="H23" s="70" t="s">
        <v>40</v>
      </c>
      <c r="I23" s="57">
        <f>IFERROR(Index!I24/(Index!I22*Index!$C$2), 0)</f>
        <v>0</v>
      </c>
      <c r="J23" s="59"/>
      <c r="K23" s="71" t="s">
        <v>38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41</v>
      </c>
      <c r="F24" s="72">
        <f>SUMIFS('Trading History'!$P$4:$P1007, 'Trading History'!$O$4:$O1007, CONCAT("&gt;", $A22))</f>
        <v>0</v>
      </c>
      <c r="G24" s="59"/>
      <c r="H24" s="70" t="s">
        <v>42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43</v>
      </c>
      <c r="C25" s="72">
        <f>Index!C26-Index!C24</f>
        <v>0</v>
      </c>
      <c r="D25" s="59"/>
      <c r="E25" s="69" t="s">
        <v>44</v>
      </c>
      <c r="F25" s="72">
        <f>Index!F26-Index!F24</f>
        <v>0</v>
      </c>
      <c r="G25" s="59"/>
      <c r="H25" s="70" t="s">
        <v>45</v>
      </c>
      <c r="I25" s="72">
        <f>Index!I26-Index!I24</f>
        <v>0</v>
      </c>
      <c r="J25" s="59"/>
      <c r="K25" s="71" t="s">
        <v>43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46</v>
      </c>
      <c r="F26" s="72">
        <f>SUMIFS('Trading History'!$Q$4:$Q1007, 'Trading History'!$O$4:$O1007, CONCAT("&gt;", $A22))</f>
        <v>0</v>
      </c>
      <c r="G26" s="59"/>
      <c r="H26" s="70" t="s">
        <v>47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36</v>
      </c>
      <c r="F29" s="63">
        <f>IFERROR(SUMIFS('Trading History'!$R$4:$R1007, 'Trading History'!$O$4:$O1007, CONCAT("&gt;", $A29)), 0)</f>
        <v>0</v>
      </c>
      <c r="G29" s="59"/>
      <c r="H29" s="65" t="s">
        <v>37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38</v>
      </c>
      <c r="C30" s="57">
        <f>IFERROR(Index!C31/(Index!C29*Index!$C$2), 0)</f>
        <v>0</v>
      </c>
      <c r="D30" s="59"/>
      <c r="E30" s="69" t="s">
        <v>39</v>
      </c>
      <c r="F30" s="57">
        <f>IFERROR(Index!F31/(Index!F29*Index!$C$2), 0)</f>
        <v>0</v>
      </c>
      <c r="G30" s="59"/>
      <c r="H30" s="70" t="s">
        <v>40</v>
      </c>
      <c r="I30" s="57">
        <f>IFERROR(Index!I31/(Index!I29*Index!$C$2), 0)</f>
        <v>0</v>
      </c>
      <c r="J30" s="59"/>
      <c r="K30" s="71" t="s">
        <v>38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41</v>
      </c>
      <c r="F31" s="72">
        <f>SUMIFS('Trading History'!$P$4:$P1007, 'Trading History'!$O$4:$O1007, CONCAT("&gt;", $A29))</f>
        <v>0</v>
      </c>
      <c r="G31" s="59"/>
      <c r="H31" s="70" t="s">
        <v>42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43</v>
      </c>
      <c r="C32" s="72">
        <f>Index!C33-Index!C31</f>
        <v>0</v>
      </c>
      <c r="D32" s="59"/>
      <c r="E32" s="69" t="s">
        <v>44</v>
      </c>
      <c r="F32" s="72">
        <f>Index!F33-Index!F31</f>
        <v>0</v>
      </c>
      <c r="G32" s="59"/>
      <c r="H32" s="70" t="s">
        <v>45</v>
      </c>
      <c r="I32" s="72">
        <f>Index!I33-Index!I31</f>
        <v>0</v>
      </c>
      <c r="J32" s="59"/>
      <c r="K32" s="71" t="s">
        <v>43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46</v>
      </c>
      <c r="F33" s="72">
        <f>SUMIFS('Trading History'!$Q$4:$Q1007, 'Trading History'!$O$4:$O1007, CONCAT("&gt;", $A29))</f>
        <v>0</v>
      </c>
      <c r="G33" s="59"/>
      <c r="H33" s="70" t="s">
        <v>47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36</v>
      </c>
      <c r="F36" s="63">
        <f>IFERROR(SUMIFS('Trading History'!$R$4:$R1007, 'Trading History'!$O$4:$O1007, CONCAT("&gt;", $A36)), 0)</f>
        <v>0</v>
      </c>
      <c r="G36" s="59"/>
      <c r="H36" s="65" t="s">
        <v>37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38</v>
      </c>
      <c r="C37" s="57">
        <f>IFERROR(Index!C38/(Index!C36*Index!$C$2), 0)</f>
        <v>0</v>
      </c>
      <c r="D37" s="59"/>
      <c r="E37" s="69" t="s">
        <v>39</v>
      </c>
      <c r="F37" s="57">
        <f>IFERROR(Index!F38/(Index!F36*Index!$C$2), 0)</f>
        <v>0</v>
      </c>
      <c r="G37" s="59"/>
      <c r="H37" s="70" t="s">
        <v>40</v>
      </c>
      <c r="I37" s="57">
        <f>IFERROR(Index!I38/(Index!I36*Index!$C$2), 0)</f>
        <v>0</v>
      </c>
      <c r="J37" s="59"/>
      <c r="K37" s="71" t="s">
        <v>38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41</v>
      </c>
      <c r="F38" s="72">
        <f>SUMIFS('Trading History'!$P$4:$P1007, 'Trading History'!$O$4:$O1007, CONCAT("&gt;", $A36))</f>
        <v>0</v>
      </c>
      <c r="G38" s="59"/>
      <c r="H38" s="70" t="s">
        <v>42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43</v>
      </c>
      <c r="C39" s="72">
        <f>Index!C40-Index!C38</f>
        <v>0</v>
      </c>
      <c r="D39" s="59"/>
      <c r="E39" s="69" t="s">
        <v>44</v>
      </c>
      <c r="F39" s="72">
        <f>Index!F40-Index!F38</f>
        <v>0</v>
      </c>
      <c r="G39" s="59"/>
      <c r="H39" s="70" t="s">
        <v>45</v>
      </c>
      <c r="I39" s="72">
        <f>Index!I40-Index!I38</f>
        <v>0</v>
      </c>
      <c r="J39" s="59"/>
      <c r="K39" s="71" t="s">
        <v>43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46</v>
      </c>
      <c r="F40" s="72">
        <f>SUMIFS('Trading History'!$Q$4:$Q1007, 'Trading History'!$O$4:$O1007, CONCAT("&gt;", $A36))</f>
        <v>0</v>
      </c>
      <c r="G40" s="59"/>
      <c r="H40" s="70" t="s">
        <v>47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36</v>
      </c>
      <c r="F43" s="63">
        <f>IFERROR(SUMIFS('Trading History'!$R$4:$R1007, 'Trading History'!$O$4:$O1007, CONCAT("&gt;", $A43)), 0)</f>
        <v>0</v>
      </c>
      <c r="G43" s="59"/>
      <c r="H43" s="65" t="s">
        <v>37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38</v>
      </c>
      <c r="C44" s="57">
        <f>IFERROR(Index!C45/(Index!C43*Index!$C$2), 0)</f>
        <v>0</v>
      </c>
      <c r="D44" s="59"/>
      <c r="E44" s="69" t="s">
        <v>39</v>
      </c>
      <c r="F44" s="57">
        <f>IFERROR(Index!F45/(Index!F43*Index!$C$2), 0)</f>
        <v>0</v>
      </c>
      <c r="G44" s="59"/>
      <c r="H44" s="70" t="s">
        <v>40</v>
      </c>
      <c r="I44" s="57">
        <f>IFERROR(Index!I45/(Index!I43*Index!$C$2), 0)</f>
        <v>0</v>
      </c>
      <c r="J44" s="59"/>
      <c r="K44" s="71" t="s">
        <v>38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41</v>
      </c>
      <c r="F45" s="72">
        <f>SUMIFS('Trading History'!$P$4:$P1007, 'Trading History'!$O$4:$O1007, CONCAT("&gt;", $A43))</f>
        <v>0</v>
      </c>
      <c r="G45" s="59"/>
      <c r="H45" s="70" t="s">
        <v>42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43</v>
      </c>
      <c r="C46" s="72">
        <f>Index!C47-Index!C45</f>
        <v>0</v>
      </c>
      <c r="D46" s="59"/>
      <c r="E46" s="69" t="s">
        <v>44</v>
      </c>
      <c r="F46" s="72">
        <f>Index!F47-Index!F45</f>
        <v>0</v>
      </c>
      <c r="G46" s="59"/>
      <c r="H46" s="70" t="s">
        <v>45</v>
      </c>
      <c r="I46" s="72">
        <f>Index!I47-Index!I45</f>
        <v>0</v>
      </c>
      <c r="J46" s="59"/>
      <c r="K46" s="71" t="s">
        <v>43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46</v>
      </c>
      <c r="F47" s="72">
        <f>SUMIFS('Trading History'!$Q$4:$Q1007, 'Trading History'!$O$4:$O1007, CONCAT("&gt;", $A43))</f>
        <v>0</v>
      </c>
      <c r="G47" s="59"/>
      <c r="H47" s="70" t="s">
        <v>47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36</v>
      </c>
      <c r="F50" s="63">
        <f>IFERROR(SUMIFS('Trading History'!$R$4:$R1007, 'Trading History'!$O$4:$O1007, CONCAT("&gt;", $A50)), 0)</f>
        <v>0</v>
      </c>
      <c r="G50" s="59"/>
      <c r="H50" s="65" t="s">
        <v>37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38</v>
      </c>
      <c r="C51" s="57">
        <f>IFERROR(Index!C52/(Index!C50*Index!$C$2), 0)</f>
        <v>0</v>
      </c>
      <c r="D51" s="59"/>
      <c r="E51" s="69" t="s">
        <v>39</v>
      </c>
      <c r="F51" s="57">
        <f>IFERROR(Index!F52/(Index!F50*Index!$C$2), 0)</f>
        <v>0</v>
      </c>
      <c r="G51" s="59"/>
      <c r="H51" s="70" t="s">
        <v>40</v>
      </c>
      <c r="I51" s="57">
        <f>IFERROR(Index!I52/(Index!I50*Index!$C$2), 0)</f>
        <v>0</v>
      </c>
      <c r="J51" s="59"/>
      <c r="K51" s="71" t="s">
        <v>38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41</v>
      </c>
      <c r="F52" s="72">
        <f>SUMIFS('Trading History'!$P$4:$P1007, 'Trading History'!$O$4:$O1007, CONCAT("&gt;", $A50))</f>
        <v>0</v>
      </c>
      <c r="G52" s="59"/>
      <c r="H52" s="70" t="s">
        <v>42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43</v>
      </c>
      <c r="C53" s="72">
        <f>Index!C54-Index!C52</f>
        <v>0</v>
      </c>
      <c r="D53" s="59"/>
      <c r="E53" s="69" t="s">
        <v>44</v>
      </c>
      <c r="F53" s="72">
        <f>Index!F54-Index!F52</f>
        <v>0</v>
      </c>
      <c r="G53" s="59"/>
      <c r="H53" s="70" t="s">
        <v>45</v>
      </c>
      <c r="I53" s="72">
        <f>Index!I54-Index!I52</f>
        <v>0</v>
      </c>
      <c r="J53" s="59"/>
      <c r="K53" s="71" t="s">
        <v>43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46</v>
      </c>
      <c r="F54" s="72">
        <f>SUMIFS('Trading History'!$Q$4:$Q1007, 'Trading History'!$O$4:$O1007, CONCAT("&gt;", $A50))</f>
        <v>0</v>
      </c>
      <c r="G54" s="59"/>
      <c r="H54" s="70" t="s">
        <v>47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36</v>
      </c>
      <c r="F57" s="63">
        <f>IFERROR(SUMIFS('Trading History'!$R$4:$R1007, 'Trading History'!$O$4:$O1007, CONCAT("&gt;", $A57)), 0)</f>
        <v>0</v>
      </c>
      <c r="G57" s="59"/>
      <c r="H57" s="65" t="s">
        <v>37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38</v>
      </c>
      <c r="C58" s="57">
        <f>IFERROR(Index!C59/(Index!C57*Index!$C$2), 0)</f>
        <v>0</v>
      </c>
      <c r="D58" s="59"/>
      <c r="E58" s="69" t="s">
        <v>39</v>
      </c>
      <c r="F58" s="57">
        <f>IFERROR(Index!F59/(Index!F57*Index!$C$2), 0)</f>
        <v>0</v>
      </c>
      <c r="G58" s="59"/>
      <c r="H58" s="70" t="s">
        <v>40</v>
      </c>
      <c r="I58" s="57">
        <f>IFERROR(Index!I59/(Index!I57*Index!$C$2), 0)</f>
        <v>0</v>
      </c>
      <c r="J58" s="59"/>
      <c r="K58" s="71" t="s">
        <v>38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41</v>
      </c>
      <c r="F59" s="72">
        <f>SUMIFS('Trading History'!$P$4:$P1007, 'Trading History'!$O$4:$O1007, CONCAT("&gt;", $A57))</f>
        <v>0</v>
      </c>
      <c r="G59" s="59"/>
      <c r="H59" s="70" t="s">
        <v>42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43</v>
      </c>
      <c r="C60" s="72">
        <f>Index!C61-Index!C59</f>
        <v>0</v>
      </c>
      <c r="D60" s="59"/>
      <c r="E60" s="69" t="s">
        <v>44</v>
      </c>
      <c r="F60" s="72">
        <f>Index!F61-Index!F59</f>
        <v>0</v>
      </c>
      <c r="G60" s="59"/>
      <c r="H60" s="70" t="s">
        <v>45</v>
      </c>
      <c r="I60" s="72">
        <f>Index!I61-Index!I59</f>
        <v>0</v>
      </c>
      <c r="J60" s="59"/>
      <c r="K60" s="71" t="s">
        <v>43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46</v>
      </c>
      <c r="F61" s="72">
        <f>SUMIFS('Trading History'!$Q$4:$Q1007, 'Trading History'!$O$4:$O1007, CONCAT("&gt;", $A57))</f>
        <v>0</v>
      </c>
      <c r="G61" s="59"/>
      <c r="H61" s="70" t="s">
        <v>47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36</v>
      </c>
      <c r="F64" s="63">
        <f>IFERROR(SUMIFS('Trading History'!$R$4:$R1007, 'Trading History'!$O$4:$O1007, CONCAT("&gt;", $A64)), 0)</f>
        <v>0</v>
      </c>
      <c r="G64" s="59"/>
      <c r="H64" s="65" t="s">
        <v>37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38</v>
      </c>
      <c r="C65" s="57">
        <f>IFERROR(Index!C66/(Index!C64*Index!$C$2), 0)</f>
        <v>0</v>
      </c>
      <c r="D65" s="59"/>
      <c r="E65" s="69" t="s">
        <v>39</v>
      </c>
      <c r="F65" s="57">
        <f>IFERROR(Index!F66/(Index!F64*Index!$C$2), 0)</f>
        <v>0</v>
      </c>
      <c r="G65" s="59"/>
      <c r="H65" s="70" t="s">
        <v>40</v>
      </c>
      <c r="I65" s="57">
        <f>IFERROR(Index!I66/(Index!I64*Index!$C$2), 0)</f>
        <v>0</v>
      </c>
      <c r="J65" s="59"/>
      <c r="K65" s="71" t="s">
        <v>38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41</v>
      </c>
      <c r="F66" s="72">
        <f>SUMIFS('Trading History'!$P$4:$P1007, 'Trading History'!$O$4:$O1007, CONCAT("&gt;", $A64))</f>
        <v>0</v>
      </c>
      <c r="G66" s="59"/>
      <c r="H66" s="70" t="s">
        <v>42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43</v>
      </c>
      <c r="C67" s="72">
        <f>Index!C68-Index!C66</f>
        <v>0</v>
      </c>
      <c r="D67" s="59"/>
      <c r="E67" s="69" t="s">
        <v>44</v>
      </c>
      <c r="F67" s="72">
        <f>Index!F68-Index!F66</f>
        <v>0</v>
      </c>
      <c r="G67" s="59"/>
      <c r="H67" s="70" t="s">
        <v>45</v>
      </c>
      <c r="I67" s="72">
        <f>Index!I68-Index!I66</f>
        <v>0</v>
      </c>
      <c r="J67" s="59"/>
      <c r="K67" s="71" t="s">
        <v>43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46</v>
      </c>
      <c r="F68" s="72">
        <f>SUMIFS('Trading History'!$Q$4:$Q1007, 'Trading History'!$O$4:$O1007, CONCAT("&gt;", $A64))</f>
        <v>0</v>
      </c>
      <c r="G68" s="59"/>
      <c r="H68" s="70" t="s">
        <v>47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36</v>
      </c>
      <c r="F71" s="63">
        <f>IFERROR(SUMIFS('Trading History'!$R$4:$R1007, 'Trading History'!$O$4:$O1007, CONCAT("&gt;", $A71)), 0)</f>
        <v>0</v>
      </c>
      <c r="G71" s="59"/>
      <c r="H71" s="65" t="s">
        <v>37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38</v>
      </c>
      <c r="C72" s="57">
        <f>IFERROR(Index!C73/(Index!C71*Index!$C$2), 0)</f>
        <v>0</v>
      </c>
      <c r="D72" s="59"/>
      <c r="E72" s="69" t="s">
        <v>39</v>
      </c>
      <c r="F72" s="57">
        <f>IFERROR(Index!F73/(Index!F71*Index!$C$2), 0)</f>
        <v>0</v>
      </c>
      <c r="G72" s="59"/>
      <c r="H72" s="70" t="s">
        <v>40</v>
      </c>
      <c r="I72" s="57">
        <f>IFERROR(Index!I73/(Index!I71*Index!$C$2), 0)</f>
        <v>0</v>
      </c>
      <c r="J72" s="59"/>
      <c r="K72" s="71" t="s">
        <v>38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41</v>
      </c>
      <c r="F73" s="72">
        <f>SUMIFS('Trading History'!$P$4:$P1007, 'Trading History'!$O$4:$O1007, CONCAT("&gt;", $A71))</f>
        <v>0</v>
      </c>
      <c r="G73" s="59"/>
      <c r="H73" s="70" t="s">
        <v>42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43</v>
      </c>
      <c r="C74" s="72">
        <f>Index!C75-Index!C73</f>
        <v>0</v>
      </c>
      <c r="D74" s="59"/>
      <c r="E74" s="69" t="s">
        <v>44</v>
      </c>
      <c r="F74" s="72">
        <f>Index!F75-Index!F73</f>
        <v>0</v>
      </c>
      <c r="G74" s="59"/>
      <c r="H74" s="70" t="s">
        <v>45</v>
      </c>
      <c r="I74" s="72">
        <f>Index!I75-Index!I73</f>
        <v>0</v>
      </c>
      <c r="J74" s="59"/>
      <c r="K74" s="71" t="s">
        <v>43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46</v>
      </c>
      <c r="F75" s="72">
        <f>SUMIFS('Trading History'!$Q$4:$Q1007, 'Trading History'!$O$4:$O1007, CONCAT("&gt;", $A71))</f>
        <v>0</v>
      </c>
      <c r="G75" s="59"/>
      <c r="H75" s="70" t="s">
        <v>47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36</v>
      </c>
      <c r="F78" s="63">
        <f>IFERROR(SUMIFS('Trading History'!$R$4:$R1007, 'Trading History'!$O$4:$O1007, CONCAT("&gt;", $A78)), 0)</f>
        <v>0</v>
      </c>
      <c r="G78" s="59"/>
      <c r="H78" s="65" t="s">
        <v>37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38</v>
      </c>
      <c r="C79" s="57">
        <f>IFERROR(Index!C80/(Index!C78*Index!$C$2), 0)</f>
        <v>0</v>
      </c>
      <c r="D79" s="59"/>
      <c r="E79" s="69" t="s">
        <v>39</v>
      </c>
      <c r="F79" s="57">
        <f>IFERROR(Index!F80/(Index!F78*Index!$C$2), 0)</f>
        <v>0</v>
      </c>
      <c r="G79" s="59"/>
      <c r="H79" s="70" t="s">
        <v>40</v>
      </c>
      <c r="I79" s="57">
        <f>IFERROR(Index!I80/(Index!I78*Index!$C$2), 0)</f>
        <v>0</v>
      </c>
      <c r="J79" s="59"/>
      <c r="K79" s="71" t="s">
        <v>38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41</v>
      </c>
      <c r="F80" s="72">
        <f>SUMIFS('Trading History'!$P$4:$P1007, 'Trading History'!$O$4:$O1007, CONCAT("&gt;", $A78))</f>
        <v>0</v>
      </c>
      <c r="G80" s="59"/>
      <c r="H80" s="70" t="s">
        <v>42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43</v>
      </c>
      <c r="C81" s="72">
        <f>Index!C82-Index!C80</f>
        <v>0</v>
      </c>
      <c r="D81" s="59"/>
      <c r="E81" s="69" t="s">
        <v>44</v>
      </c>
      <c r="F81" s="72">
        <f>Index!F82-Index!F80</f>
        <v>0</v>
      </c>
      <c r="G81" s="59"/>
      <c r="H81" s="70" t="s">
        <v>45</v>
      </c>
      <c r="I81" s="72">
        <f>Index!I82-Index!I80</f>
        <v>0</v>
      </c>
      <c r="J81" s="59"/>
      <c r="K81" s="71" t="s">
        <v>43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46</v>
      </c>
      <c r="F82" s="72">
        <f>SUMIFS('Trading History'!$Q$4:$Q1007, 'Trading History'!$O$4:$O1007, CONCAT("&gt;", $A78))</f>
        <v>0</v>
      </c>
      <c r="G82" s="59"/>
      <c r="H82" s="70" t="s">
        <v>47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36</v>
      </c>
      <c r="F85" s="63">
        <f>IFERROR(SUMIFS('Trading History'!$R$4:$R1007, 'Trading History'!$O$4:$O1007, CONCAT("&gt;", $A85)), 0)</f>
        <v>0</v>
      </c>
      <c r="G85" s="59"/>
      <c r="H85" s="65" t="s">
        <v>37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38</v>
      </c>
      <c r="C86" s="57">
        <f>IFERROR(Index!C87/(Index!C85*Index!$C$2), 0)</f>
        <v>0</v>
      </c>
      <c r="D86" s="59"/>
      <c r="E86" s="69" t="s">
        <v>39</v>
      </c>
      <c r="F86" s="57">
        <f>IFERROR(Index!F87/(Index!F85*Index!$C$2), 0)</f>
        <v>0</v>
      </c>
      <c r="G86" s="59"/>
      <c r="H86" s="70" t="s">
        <v>40</v>
      </c>
      <c r="I86" s="57">
        <f>IFERROR(Index!I87/(Index!I85*Index!$C$2), 0)</f>
        <v>0</v>
      </c>
      <c r="J86" s="59"/>
      <c r="K86" s="71" t="s">
        <v>38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41</v>
      </c>
      <c r="F87" s="72">
        <f>SUMIFS('Trading History'!$P$4:$P1007, 'Trading History'!$O$4:$O1007, CONCAT("&gt;", $A85))</f>
        <v>0</v>
      </c>
      <c r="G87" s="59"/>
      <c r="H87" s="70" t="s">
        <v>42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43</v>
      </c>
      <c r="C88" s="72">
        <f>Index!C89-Index!C87</f>
        <v>0</v>
      </c>
      <c r="D88" s="59"/>
      <c r="E88" s="69" t="s">
        <v>44</v>
      </c>
      <c r="F88" s="72">
        <f>Index!F89-Index!F87</f>
        <v>0</v>
      </c>
      <c r="G88" s="59"/>
      <c r="H88" s="70" t="s">
        <v>45</v>
      </c>
      <c r="I88" s="72">
        <f>Index!I89-Index!I87</f>
        <v>0</v>
      </c>
      <c r="J88" s="59"/>
      <c r="K88" s="71" t="s">
        <v>43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46</v>
      </c>
      <c r="F89" s="72">
        <f>SUMIFS('Trading History'!$Q$4:$Q1007, 'Trading History'!$O$4:$O1007, CONCAT("&gt;", $A85))</f>
        <v>0</v>
      </c>
      <c r="G89" s="59"/>
      <c r="H89" s="70" t="s">
        <v>47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