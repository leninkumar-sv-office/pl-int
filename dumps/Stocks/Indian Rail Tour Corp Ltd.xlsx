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C52BB27_0B7F_4102_9C79_B12663C0A616_.wvu.FilterData" localSheetId="0" hidden="1">'Trading History'!$A$4:$AO$49</definedName>
    <definedName name="_xlnm._FilterDatabase" localSheetId="0" hidden="1">'Trading History'!$A$4:$AO$49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46063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633.5</v>
      </c>
      <c r="F5" t="n">
        <v>6366.7</v>
      </c>
      <c r="G5" t="inlineStr">
        <is>
          <t>CN#252611730667</t>
        </is>
      </c>
      <c r="I5" t="n">
        <v>31.7</v>
      </c>
      <c r="J5">
        <f>Index!$C$2</f>
        <v/>
      </c>
    </row>
    <row r="6">
      <c r="A6" s="85" t="n">
        <v>46059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614.5</v>
      </c>
      <c r="F6" s="0" t="n">
        <v>3087.85</v>
      </c>
      <c r="G6" s="0" t="inlineStr">
        <is>
          <t>CN#252611604850</t>
        </is>
      </c>
      <c r="I6" s="0" t="n">
        <v>15.35</v>
      </c>
      <c r="J6" s="0">
        <f>Index!$C$2</f>
        <v/>
      </c>
    </row>
    <row r="7">
      <c r="A7" s="85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617.5</v>
      </c>
      <c r="F7" s="0" t="n">
        <v>6205.9</v>
      </c>
      <c r="G7" s="0" t="inlineStr">
        <is>
          <t>CN#252611485581</t>
        </is>
      </c>
      <c r="I7" s="0" t="n">
        <v>30.9</v>
      </c>
      <c r="J7" s="0">
        <f>Index!$C$2</f>
        <v/>
      </c>
    </row>
    <row r="8">
      <c r="A8" s="85" t="n">
        <v>46050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617.8</v>
      </c>
      <c r="F8" s="0" t="n">
        <v>3104.45</v>
      </c>
      <c r="G8" s="0" t="inlineStr">
        <is>
          <t>CN#252611091662</t>
        </is>
      </c>
      <c r="I8" s="0" t="n">
        <v>15.45</v>
      </c>
      <c r="J8" s="0">
        <f>Index!$C$2</f>
        <v/>
      </c>
    </row>
    <row r="9">
      <c r="A9" s="85" t="n">
        <v>46049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614.4</v>
      </c>
      <c r="F9" s="0" t="n">
        <v>6174.7</v>
      </c>
      <c r="G9" s="0" t="inlineStr">
        <is>
          <t>CN#252611030591</t>
        </is>
      </c>
      <c r="I9" s="0" t="n">
        <v>30.7</v>
      </c>
      <c r="J9" s="0">
        <f>Index!$C$2</f>
        <v/>
      </c>
    </row>
    <row r="10">
      <c r="A10" s="85" t="n">
        <v>46038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631.5</v>
      </c>
      <c r="F10" s="0" t="n">
        <v>3173.3</v>
      </c>
      <c r="G10" s="0" t="inlineStr">
        <is>
          <t>CN#252610644483</t>
        </is>
      </c>
      <c r="I10" s="0" t="n">
        <v>15.8</v>
      </c>
      <c r="J10" s="0">
        <f>Index!$C$2</f>
        <v/>
      </c>
    </row>
    <row r="11">
      <c r="A11" s="85" t="n">
        <v>46034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637.3</v>
      </c>
      <c r="F11" s="0" t="n">
        <v>3202.45</v>
      </c>
      <c r="G11" s="0" t="inlineStr">
        <is>
          <t>CN#252610469431</t>
        </is>
      </c>
      <c r="I11" s="0" t="n">
        <v>15.95</v>
      </c>
      <c r="J11" s="0">
        <f>Index!$C$2</f>
        <v/>
      </c>
    </row>
    <row r="12">
      <c r="A12" s="85" t="n">
        <v>46030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655.75</v>
      </c>
      <c r="F12" s="0" t="n">
        <v>3295.15</v>
      </c>
      <c r="G12" s="0" t="inlineStr">
        <is>
          <t>CN#252610347614</t>
        </is>
      </c>
      <c r="I12" s="0" t="n">
        <v>16.4</v>
      </c>
      <c r="J12" s="0">
        <f>Index!$C$2</f>
        <v/>
      </c>
    </row>
    <row r="13">
      <c r="A13" s="85" t="n">
        <v>46017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689.8099999999999</v>
      </c>
      <c r="F13" s="0" t="n">
        <v>3466.3</v>
      </c>
      <c r="G13" s="0" t="inlineStr">
        <is>
          <t>CN#252609810990</t>
        </is>
      </c>
      <c r="I13" s="0" t="n">
        <v>17.25</v>
      </c>
      <c r="J13" s="0">
        <f>Index!$C$2</f>
        <v/>
      </c>
    </row>
    <row r="14">
      <c r="A14" s="85" t="n">
        <v>46015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681.7</v>
      </c>
      <c r="F14" s="0" t="n">
        <v>3425.55</v>
      </c>
      <c r="G14" s="0" t="inlineStr">
        <is>
          <t>CN#252609755521</t>
        </is>
      </c>
      <c r="I14" s="0" t="n">
        <v>17.05</v>
      </c>
      <c r="J14" s="0">
        <f>Index!$C$2</f>
        <v/>
      </c>
    </row>
    <row r="15">
      <c r="A15" s="85" t="n">
        <v>46014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683.75</v>
      </c>
      <c r="F15" s="0" t="n">
        <v>3435.85</v>
      </c>
      <c r="G15" s="0" t="inlineStr">
        <is>
          <t>CN#252609701573</t>
        </is>
      </c>
      <c r="I15" s="0" t="n">
        <v>17.1</v>
      </c>
      <c r="J15" s="0">
        <f>Index!$C$2</f>
        <v/>
      </c>
    </row>
    <row r="16">
      <c r="A16" s="85" t="n">
        <v>46009</v>
      </c>
      <c r="B16" s="0" t="inlineStr">
        <is>
          <t>BSE</t>
        </is>
      </c>
      <c r="C16" s="0" t="inlineStr">
        <is>
          <t>Buy</t>
        </is>
      </c>
      <c r="D16" s="0" t="n">
        <v>5</v>
      </c>
      <c r="E16" s="0" t="n">
        <v>662.7</v>
      </c>
      <c r="F16" s="0" t="n">
        <v>3330.05</v>
      </c>
      <c r="G16" s="0" t="inlineStr">
        <is>
          <t>CN#252609527272</t>
        </is>
      </c>
      <c r="I16" s="0" t="n">
        <v>16.55</v>
      </c>
      <c r="J16" s="0">
        <f>Index!$C$2</f>
        <v/>
      </c>
    </row>
    <row r="17">
      <c r="A17" s="85" t="n">
        <v>46008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667.35</v>
      </c>
      <c r="F17" s="0" t="n">
        <v>6706.9</v>
      </c>
      <c r="G17" s="0" t="inlineStr">
        <is>
          <t>CN#252609476500</t>
        </is>
      </c>
      <c r="I17" s="0" t="n">
        <v>33.4</v>
      </c>
      <c r="J17" s="0">
        <f>Index!$C$2</f>
        <v/>
      </c>
    </row>
    <row r="18">
      <c r="A18" s="85" t="n">
        <v>46002</v>
      </c>
      <c r="B18" s="0" t="inlineStr">
        <is>
          <t>BSE</t>
        </is>
      </c>
      <c r="C18" s="0" t="inlineStr">
        <is>
          <t>Buy</t>
        </is>
      </c>
      <c r="D18" s="0" t="n">
        <v>5</v>
      </c>
      <c r="E18" s="0" t="n">
        <v>667.85</v>
      </c>
      <c r="F18" s="0" t="n">
        <v>3355.95</v>
      </c>
      <c r="G18" s="0" t="inlineStr">
        <is>
          <t>CN#252609267726</t>
        </is>
      </c>
      <c r="I18" s="0" t="n">
        <v>16.7</v>
      </c>
      <c r="J18" s="0">
        <f>Index!$C$2</f>
        <v/>
      </c>
    </row>
    <row r="19">
      <c r="A19" s="85" t="n">
        <v>45996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671.15</v>
      </c>
      <c r="F19" s="0" t="n">
        <v>6745.1</v>
      </c>
      <c r="G19" s="0" t="inlineStr">
        <is>
          <t>CN#252609039305</t>
        </is>
      </c>
      <c r="I19" s="0" t="n">
        <v>33.6</v>
      </c>
      <c r="J19" s="0">
        <f>Index!$C$2</f>
        <v/>
      </c>
    </row>
    <row r="20">
      <c r="A20" s="85" t="n">
        <v>45993</v>
      </c>
      <c r="B20" s="0" t="inlineStr">
        <is>
          <t>BSE</t>
        </is>
      </c>
      <c r="C20" s="0" t="inlineStr">
        <is>
          <t>Buy</t>
        </is>
      </c>
      <c r="D20" s="0" t="n">
        <v>5</v>
      </c>
      <c r="E20" s="0" t="n">
        <v>682.3</v>
      </c>
      <c r="F20" s="0" t="n">
        <v>3428.55</v>
      </c>
      <c r="G20" s="0" t="inlineStr">
        <is>
          <t>CN#252608877522</t>
        </is>
      </c>
      <c r="I20" s="0" t="n">
        <v>17.05</v>
      </c>
      <c r="J20" s="0">
        <f>Index!$C$2</f>
        <v/>
      </c>
    </row>
    <row r="21">
      <c r="A21" s="85" t="n">
        <v>45988</v>
      </c>
      <c r="B21" s="0" t="inlineStr">
        <is>
          <t>BSE</t>
        </is>
      </c>
      <c r="C21" s="0" t="inlineStr">
        <is>
          <t>Buy</t>
        </is>
      </c>
      <c r="D21" s="0" t="n">
        <v>5</v>
      </c>
      <c r="E21" s="0" t="n">
        <v>692.97</v>
      </c>
      <c r="F21" s="0" t="n">
        <v>3482.17</v>
      </c>
      <c r="G21" s="0" t="inlineStr">
        <is>
          <t>CN#252608703866</t>
        </is>
      </c>
      <c r="I21" s="0" t="n">
        <v>17.32</v>
      </c>
      <c r="J21" s="0">
        <f>Index!$C$2</f>
        <v/>
      </c>
    </row>
    <row r="22">
      <c r="A22" s="85" t="n">
        <v>45982</v>
      </c>
      <c r="B22" s="0" t="inlineStr">
        <is>
          <t>NSE</t>
        </is>
      </c>
      <c r="C22" s="0" t="inlineStr">
        <is>
          <t>Buy</t>
        </is>
      </c>
      <c r="D22" s="0" t="n">
        <v>5</v>
      </c>
      <c r="E22" s="0" t="n">
        <v>695</v>
      </c>
      <c r="F22" s="0" t="n">
        <v>3492.4</v>
      </c>
      <c r="G22" s="0" t="inlineStr">
        <is>
          <t>CN#252608495287</t>
        </is>
      </c>
      <c r="I22" s="0" t="n">
        <v>17.4</v>
      </c>
      <c r="J22" s="0">
        <f>Index!$C$2</f>
        <v/>
      </c>
    </row>
    <row r="23">
      <c r="A23" s="85" t="n">
        <v>45978</v>
      </c>
      <c r="B23" s="0" t="inlineStr">
        <is>
          <t>BSE</t>
        </is>
      </c>
      <c r="C23" s="0" t="inlineStr">
        <is>
          <t>Buy</t>
        </is>
      </c>
      <c r="D23" s="0" t="n">
        <v>5</v>
      </c>
      <c r="E23" s="0" t="n">
        <v>715</v>
      </c>
      <c r="F23" s="0" t="n">
        <v>3592.9</v>
      </c>
      <c r="G23" s="0" t="inlineStr">
        <is>
          <t>CN#252608260909</t>
        </is>
      </c>
      <c r="I23" s="0" t="n">
        <v>17.9</v>
      </c>
      <c r="J23" s="0">
        <f>Index!$C$2</f>
        <v/>
      </c>
    </row>
    <row r="24">
      <c r="A24" s="85" t="n">
        <v>45975</v>
      </c>
      <c r="B24" s="0" t="inlineStr">
        <is>
          <t>BSE</t>
        </is>
      </c>
      <c r="C24" s="0" t="inlineStr">
        <is>
          <t>Buy</t>
        </is>
      </c>
      <c r="D24" s="0" t="n">
        <v>5</v>
      </c>
      <c r="E24" s="0" t="n">
        <v>703.8</v>
      </c>
      <c r="F24" s="0" t="n">
        <v>3536.6</v>
      </c>
      <c r="G24" s="0" t="inlineStr">
        <is>
          <t>CN#252608199734</t>
        </is>
      </c>
      <c r="I24" s="0" t="n">
        <v>17.6</v>
      </c>
      <c r="J24" s="0">
        <f>Index!$C$2</f>
        <v/>
      </c>
    </row>
    <row r="25">
      <c r="A25" s="85" t="n">
        <v>45974</v>
      </c>
      <c r="B25" s="0" t="inlineStr">
        <is>
          <t>NSE</t>
        </is>
      </c>
      <c r="C25" s="0" t="inlineStr">
        <is>
          <t>Buy</t>
        </is>
      </c>
      <c r="D25" s="0" t="n">
        <v>5</v>
      </c>
      <c r="E25" s="0" t="n">
        <v>710.5</v>
      </c>
      <c r="F25" s="0" t="n">
        <v>3570.25</v>
      </c>
      <c r="G25" s="0" t="inlineStr">
        <is>
          <t>CN#252608142538</t>
        </is>
      </c>
      <c r="I25" s="0" t="n">
        <v>17.75</v>
      </c>
      <c r="J25" s="0">
        <f>Index!$C$2</f>
        <v/>
      </c>
    </row>
    <row r="26">
      <c r="A26" s="85" t="n">
        <v>45968</v>
      </c>
      <c r="B26" s="0" t="inlineStr">
        <is>
          <t>NSE</t>
        </is>
      </c>
      <c r="C26" s="0" t="inlineStr">
        <is>
          <t>Buy</t>
        </is>
      </c>
      <c r="D26" s="0" t="n">
        <v>5</v>
      </c>
      <c r="E26" s="0" t="n">
        <v>700.95</v>
      </c>
      <c r="F26" s="0" t="n">
        <v>3522.25</v>
      </c>
      <c r="G26" s="0" t="inlineStr">
        <is>
          <t>CN#252607899666</t>
        </is>
      </c>
      <c r="I26" s="0" t="n">
        <v>17.5</v>
      </c>
      <c r="J26" s="0">
        <f>Index!$C$2</f>
        <v/>
      </c>
    </row>
    <row r="27">
      <c r="A27" s="85" t="n">
        <v>45959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725.15</v>
      </c>
      <c r="F27" s="0" t="n">
        <v>3643.9</v>
      </c>
      <c r="G27" s="0" t="inlineStr">
        <is>
          <t>CN#252607497001</t>
        </is>
      </c>
      <c r="I27" s="0" t="n">
        <v>18.15</v>
      </c>
      <c r="J27" s="0">
        <f>Index!$C$2</f>
        <v/>
      </c>
    </row>
    <row r="28">
      <c r="A28" s="85" t="n">
        <v>45957</v>
      </c>
      <c r="B28" s="0" t="inlineStr">
        <is>
          <t>NSE</t>
        </is>
      </c>
      <c r="C28" s="0" t="inlineStr">
        <is>
          <t>Buy</t>
        </is>
      </c>
      <c r="D28" s="0" t="n">
        <v>5</v>
      </c>
      <c r="E28" s="0" t="n">
        <v>722.4</v>
      </c>
      <c r="F28" s="0" t="n">
        <v>3630.05</v>
      </c>
      <c r="G28" s="0" t="inlineStr">
        <is>
          <t>CN#252607382790</t>
        </is>
      </c>
      <c r="I28" s="0" t="n">
        <v>18.05</v>
      </c>
      <c r="J28" s="0">
        <f>Index!$C$2</f>
        <v/>
      </c>
    </row>
    <row r="29">
      <c r="A29" s="38" t="n">
        <v>45950</v>
      </c>
      <c r="B29" s="39" t="inlineStr">
        <is>
          <t>NSE</t>
        </is>
      </c>
      <c r="C29" s="39" t="inlineStr">
        <is>
          <t>Buy</t>
        </is>
      </c>
      <c r="D29" s="40" t="n">
        <v>5</v>
      </c>
      <c r="E29" s="41" t="n">
        <v>731.85</v>
      </c>
      <c r="F29" s="41">
        <f>D5*E5</f>
        <v/>
      </c>
      <c r="G29" s="39" t="inlineStr">
        <is>
          <t>~</t>
        </is>
      </c>
      <c r="H29" s="40" t="n"/>
      <c r="I29" s="40" t="n"/>
      <c r="J29" s="42">
        <f>Index!$C$2</f>
        <v/>
      </c>
      <c r="K29" s="43">
        <f>IF(AND( C5="Buy", ISBLANK(W5), B5&lt;&gt;"DIV"), L5/sum(F5:I5), "")</f>
        <v/>
      </c>
      <c r="L29" s="44">
        <f>IF(AND( C5="Buy", ISBLANK(W5), B5&lt;&gt;"DIV"), (1-Index!$F$2*2)*((J5*D5)-(E5*D5)), "")</f>
        <v/>
      </c>
      <c r="M29" s="44">
        <f>IF(AND( C5="Buy", ISBLANK(W5), B5&lt;&gt;"DIV"), ((E5*D5)+L5), "")</f>
        <v/>
      </c>
      <c r="N29" s="45">
        <f>IF(AND( C5="Buy", ISBLANK(W5), B5&lt;&gt;"DIV"), D5, "")</f>
        <v/>
      </c>
      <c r="O29" s="43">
        <f>IF(AND( C5="Buy", ISBLANK(W5), B5&lt;&gt;"DIV", NOW()-A5 &lt; 365), P5/sum(F5:I5), "")</f>
        <v/>
      </c>
      <c r="P29" s="44">
        <f>IF(AND( C5="Buy", ISBLANK(W5), B5&lt;&gt;"DIV", NOW()-A5 &lt; 365), (1-Index!$F$2*2)*((J5*D5)-(E5*D5)), "")</f>
        <v/>
      </c>
      <c r="Q29" s="44">
        <f>IF(AND( C5="Buy", ISBLANK(W5), B5&lt;&gt;"DIV", NOW()-A5 &lt; 365), ((E5*D5)+P5), "")</f>
        <v/>
      </c>
      <c r="R29" s="44">
        <f>IF(AND( C5="Buy", ISBLANK(W5), B5&lt;&gt;"DIV", NOW()-A5 &lt; 365), D5, "")</f>
        <v/>
      </c>
      <c r="S29" s="43">
        <f>IF(AND( C5="Buy", ISBLANK(W5), B5&lt;&gt;"DIV", NOW()-A5 &gt; 365), T5/sum(F5:I5), "")</f>
        <v/>
      </c>
      <c r="T29" s="44">
        <f>IF(AND( C5="Buy", ISBLANK(W5), B5&lt;&gt;"DIV", NOW()-A5 &gt; 365), (1-Index!$F$2*2)*((J5*D5)-(E5*D5)), "")</f>
        <v/>
      </c>
      <c r="U29" s="44">
        <f>IF(AND( C5="Buy", ISBLANK(W5), B5&lt;&gt;"DIV", NOW()-A5 &gt; 365), ((E5*D5)+T5), "")</f>
        <v/>
      </c>
      <c r="V29" s="44">
        <f>IF(AND( C5="Buy", ISBLANK(W5), B5&lt;&gt;"DIV", NOW()-A5 &gt; 365), D5, "")</f>
        <v/>
      </c>
      <c r="W29" s="44" t="n"/>
      <c r="X29" s="44" t="n"/>
      <c r="Y29" s="43">
        <f>IF(AND( C5="Buy", W5&lt;&gt;"", AA5&lt;&gt;"", B5&lt;&gt;"DIV"), Z5/sum(F5:I5), "")</f>
        <v/>
      </c>
      <c r="Z29" s="44" t="n"/>
      <c r="AA29" s="44" t="n"/>
      <c r="AB29" s="45" t="n"/>
      <c r="AC29" s="46">
        <f>if(B5="DIV", F5,"")</f>
        <v/>
      </c>
      <c r="AD29" s="47" t="n"/>
    </row>
    <row r="30">
      <c r="A30" s="38" t="n">
        <v>45947</v>
      </c>
      <c r="B30" s="39" t="inlineStr">
        <is>
          <t>NSE</t>
        </is>
      </c>
      <c r="C30" s="39" t="inlineStr">
        <is>
          <t>Buy</t>
        </is>
      </c>
      <c r="D30" s="40" t="n">
        <v>8</v>
      </c>
      <c r="E30" s="41" t="n">
        <v>723.59</v>
      </c>
      <c r="F30" s="41">
        <f>D6*E6</f>
        <v/>
      </c>
      <c r="G30" s="39" t="inlineStr">
        <is>
          <t>~</t>
        </is>
      </c>
      <c r="H30" s="40" t="n"/>
      <c r="I30" s="40" t="n"/>
      <c r="J30" s="42">
        <f>Index!$C$2</f>
        <v/>
      </c>
      <c r="K30" s="43">
        <f>IF(AND( C6="Buy", ISBLANK(W6), B6&lt;&gt;"DIV"), L6/sum(F6:I6), "")</f>
        <v/>
      </c>
      <c r="L30" s="44">
        <f>IF(AND( C6="Buy", ISBLANK(W6), B6&lt;&gt;"DIV"), (1-Index!$F$2*2)*((J6*D6)-(E6*D6)), "")</f>
        <v/>
      </c>
      <c r="M30" s="44">
        <f>IF(AND( C6="Buy", ISBLANK(W6), B6&lt;&gt;"DIV"), ((E6*D6)+L6), "")</f>
        <v/>
      </c>
      <c r="N30" s="45">
        <f>IF(AND( C6="Buy", ISBLANK(W6), B6&lt;&gt;"DIV"), D6, "")</f>
        <v/>
      </c>
      <c r="O30" s="43">
        <f>IF(AND( C6="Buy", ISBLANK(W6), B6&lt;&gt;"DIV", NOW()-A6 &lt; 365), P6/sum(F6:I6), "")</f>
        <v/>
      </c>
      <c r="P30" s="44">
        <f>IF(AND( C6="Buy", ISBLANK(W6), B6&lt;&gt;"DIV", NOW()-A6 &lt; 365), (1-Index!$F$2*2)*((J6*D6)-(E6*D6)), "")</f>
        <v/>
      </c>
      <c r="Q30" s="44">
        <f>IF(AND( C6="Buy", ISBLANK(W6), B6&lt;&gt;"DIV", NOW()-A6 &lt; 365), ((E6*D6)+P6), "")</f>
        <v/>
      </c>
      <c r="R30" s="44">
        <f>IF(AND( C6="Buy", ISBLANK(W6), B6&lt;&gt;"DIV", NOW()-A6 &lt; 365), D6, "")</f>
        <v/>
      </c>
      <c r="S30" s="43">
        <f>IF(AND( C6="Buy", ISBLANK(W6), B6&lt;&gt;"DIV", NOW()-A6 &gt; 365), T6/sum(F6:I6), "")</f>
        <v/>
      </c>
      <c r="T30" s="44">
        <f>IF(AND( C6="Buy", ISBLANK(W6), B6&lt;&gt;"DIV", NOW()-A6 &gt; 365), (1-Index!$F$2*2)*((J6*D6)-(E6*D6)), "")</f>
        <v/>
      </c>
      <c r="U30" s="44">
        <f>IF(AND( C6="Buy", ISBLANK(W6), B6&lt;&gt;"DIV", NOW()-A6 &gt; 365), ((E6*D6)+T6), "")</f>
        <v/>
      </c>
      <c r="V30" s="44">
        <f>IF(AND( C6="Buy", ISBLANK(W6), B6&lt;&gt;"DIV", NOW()-A6 &gt; 365), D6, "")</f>
        <v/>
      </c>
      <c r="W30" s="44" t="n"/>
      <c r="X30" s="44" t="n"/>
      <c r="Y30" s="43">
        <f>IF(AND( C6="Buy", W6&lt;&gt;"", AA6&lt;&gt;"", B6&lt;&gt;"DIV"), Z6/sum(F6:I6), "")</f>
        <v/>
      </c>
      <c r="Z30" s="44" t="n"/>
      <c r="AA30" s="44" t="n"/>
      <c r="AB30" s="45" t="n"/>
      <c r="AC30" s="46">
        <f>if(B6="DIV", F6,"")</f>
        <v/>
      </c>
      <c r="AD30" s="47" t="n"/>
    </row>
    <row r="31">
      <c r="A31" s="38" t="n">
        <v>45903</v>
      </c>
      <c r="B31" s="39" t="inlineStr">
        <is>
          <t>NSE</t>
        </is>
      </c>
      <c r="C31" s="39" t="inlineStr">
        <is>
          <t>Buy</t>
        </is>
      </c>
      <c r="D31" s="40" t="n">
        <v>5</v>
      </c>
      <c r="E31" s="41" t="n">
        <v>716.8</v>
      </c>
      <c r="F31" s="41" t="n">
        <v>3583.98</v>
      </c>
      <c r="G31" s="39" t="inlineStr">
        <is>
          <t>~</t>
        </is>
      </c>
      <c r="H31" s="40" t="n">
        <v>3.57</v>
      </c>
      <c r="I31" s="40" t="n">
        <v>21.66</v>
      </c>
      <c r="J31" s="42">
        <f>Index!$C$2</f>
        <v/>
      </c>
      <c r="K31" s="43">
        <f>IF(AND( C7="Buy", ISBLANK(W7), B7&lt;&gt;"DIV"), L7/sum(F7:I7), "")</f>
        <v/>
      </c>
      <c r="L31" s="44">
        <f>IF(AND( C7="Buy", ISBLANK(W7), B7&lt;&gt;"DIV"), (1-Index!$F$2*2)*((J7*D7)-(E7*D7)), "")</f>
        <v/>
      </c>
      <c r="M31" s="44">
        <f>IF(AND( C7="Buy", ISBLANK(W7), B7&lt;&gt;"DIV"), ((E7*D7)+L7), "")</f>
        <v/>
      </c>
      <c r="N31" s="45">
        <f>IF(AND( C7="Buy", ISBLANK(W7), B7&lt;&gt;"DIV"), D7, "")</f>
        <v/>
      </c>
      <c r="O31" s="43">
        <f>IF(AND( C7="Buy", ISBLANK(W7), B7&lt;&gt;"DIV", NOW()-A7 &lt; 365), P7/sum(F7:I7), "")</f>
        <v/>
      </c>
      <c r="P31" s="44">
        <f>IF(AND( C7="Buy", ISBLANK(W7), B7&lt;&gt;"DIV", NOW()-A7 &lt; 365), (1-Index!$F$2*2)*((J7*D7)-(E7*D7)), "")</f>
        <v/>
      </c>
      <c r="Q31" s="44">
        <f>IF(AND( C7="Buy", ISBLANK(W7), B7&lt;&gt;"DIV", NOW()-A7 &lt; 365), ((E7*D7)+P7), "")</f>
        <v/>
      </c>
      <c r="R31" s="44">
        <f>IF(AND( C7="Buy", ISBLANK(W7), B7&lt;&gt;"DIV", NOW()-A7 &lt; 365), D7, "")</f>
        <v/>
      </c>
      <c r="S31" s="43">
        <f>IF(AND( C7="Buy", ISBLANK(W7), B7&lt;&gt;"DIV", NOW()-A7 &gt; 365), T7/sum(F7:I7), "")</f>
        <v/>
      </c>
      <c r="T31" s="44">
        <f>IF(AND( C7="Buy", ISBLANK(W7), B7&lt;&gt;"DIV", NOW()-A7 &gt; 365), (1-Index!$F$2*2)*((J7*D7)-(E7*D7)), "")</f>
        <v/>
      </c>
      <c r="U31" s="44">
        <f>IF(AND( C7="Buy", ISBLANK(W7), B7&lt;&gt;"DIV", NOW()-A7 &gt; 365), ((E7*D7)+T7), "")</f>
        <v/>
      </c>
      <c r="V31" s="44">
        <f>IF(AND( C7="Buy", ISBLANK(W7), B7&lt;&gt;"DIV", NOW()-A7 &gt; 365), D7, "")</f>
        <v/>
      </c>
      <c r="W31" s="44" t="n"/>
      <c r="X31" s="44" t="n"/>
      <c r="Y31" s="43">
        <f>IF(AND( C7="Buy", W7&lt;&gt;"", AA7&lt;&gt;"", B7&lt;&gt;"DIV"), Z7/sum(F7:I7), "")</f>
        <v/>
      </c>
      <c r="Z31" s="44" t="n"/>
      <c r="AA31" s="44" t="n"/>
      <c r="AB31" s="45" t="n"/>
      <c r="AC31" s="46">
        <f>if(B7="DIV", F7,"")</f>
        <v/>
      </c>
      <c r="AD31" s="47" t="n"/>
    </row>
    <row r="32">
      <c r="A32" s="38" t="n">
        <v>45897</v>
      </c>
      <c r="B32" s="39" t="inlineStr">
        <is>
          <t>NSE</t>
        </is>
      </c>
      <c r="C32" s="39" t="inlineStr">
        <is>
          <t>Buy</t>
        </is>
      </c>
      <c r="D32" s="40" t="n">
        <v>2</v>
      </c>
      <c r="E32" s="41" t="n">
        <v>714.49</v>
      </c>
      <c r="F32" s="41" t="n">
        <v>1428.97</v>
      </c>
      <c r="G32" s="39" t="inlineStr">
        <is>
          <t>~</t>
        </is>
      </c>
      <c r="H32" s="40" t="n">
        <v>1.42</v>
      </c>
      <c r="I32" s="40" t="n">
        <v>8.65</v>
      </c>
      <c r="J32" s="42">
        <f>Index!$C$2</f>
        <v/>
      </c>
      <c r="K32" s="43">
        <f>IF(AND( C8="Buy", ISBLANK(W8), B8&lt;&gt;"DIV"), L8/sum(F8:I8), "")</f>
        <v/>
      </c>
      <c r="L32" s="44">
        <f>IF(AND( C8="Buy", ISBLANK(W8), B8&lt;&gt;"DIV"), (1-Index!$F$2*2)*((J8*D8)-(E8*D8)), "")</f>
        <v/>
      </c>
      <c r="M32" s="44">
        <f>IF(AND( C8="Buy", ISBLANK(W8), B8&lt;&gt;"DIV"), ((E8*D8)+L8), "")</f>
        <v/>
      </c>
      <c r="N32" s="45">
        <f>IF(AND( C8="Buy", ISBLANK(W8), B8&lt;&gt;"DIV"), D8, "")</f>
        <v/>
      </c>
      <c r="O32" s="43">
        <f>IF(AND( C8="Buy", ISBLANK(W8), B8&lt;&gt;"DIV", NOW()-A8 &lt; 365), P8/sum(F8:I8), "")</f>
        <v/>
      </c>
      <c r="P32" s="44">
        <f>IF(AND( C8="Buy", ISBLANK(W8), B8&lt;&gt;"DIV", NOW()-A8 &lt; 365), (1-Index!$F$2*2)*((J8*D8)-(E8*D8)), "")</f>
        <v/>
      </c>
      <c r="Q32" s="44">
        <f>IF(AND( C8="Buy", ISBLANK(W8), B8&lt;&gt;"DIV", NOW()-A8 &lt; 365), ((E8*D8)+P8), "")</f>
        <v/>
      </c>
      <c r="R32" s="44">
        <f>IF(AND( C8="Buy", ISBLANK(W8), B8&lt;&gt;"DIV", NOW()-A8 &lt; 365), D8, "")</f>
        <v/>
      </c>
      <c r="S32" s="43">
        <f>IF(AND( C8="Buy", ISBLANK(W8), B8&lt;&gt;"DIV", NOW()-A8 &gt; 365), T8/sum(F8:I8), "")</f>
        <v/>
      </c>
      <c r="T32" s="44">
        <f>IF(AND( C8="Buy", ISBLANK(W8), B8&lt;&gt;"DIV", NOW()-A8 &gt; 365), (1-Index!$F$2*2)*((J8*D8)-(E8*D8)), "")</f>
        <v/>
      </c>
      <c r="U32" s="44">
        <f>IF(AND( C8="Buy", ISBLANK(W8), B8&lt;&gt;"DIV", NOW()-A8 &gt; 365), ((E8*D8)+T8), "")</f>
        <v/>
      </c>
      <c r="V32" s="44">
        <f>IF(AND( C8="Buy", ISBLANK(W8), B8&lt;&gt;"DIV", NOW()-A8 &gt; 365), D8, "")</f>
        <v/>
      </c>
      <c r="W32" s="44" t="n"/>
      <c r="X32" s="44" t="n"/>
      <c r="Y32" s="43">
        <f>IF(AND( C8="Buy", W8&lt;&gt;"", AA8&lt;&gt;"", B8&lt;&gt;"DIV"), Z8/sum(F8:I8), "")</f>
        <v/>
      </c>
      <c r="Z32" s="44" t="n"/>
      <c r="AA32" s="44" t="n"/>
      <c r="AB32" s="45" t="n"/>
      <c r="AC32" s="46">
        <f>if(B8="DIV", F8,"")</f>
        <v/>
      </c>
      <c r="AD32" s="47" t="n"/>
    </row>
    <row r="33">
      <c r="A33" s="38" t="n">
        <v>45891</v>
      </c>
      <c r="B33" s="39" t="inlineStr">
        <is>
          <t>DIV</t>
        </is>
      </c>
      <c r="C33" s="39" t="inlineStr">
        <is>
          <t>Buy</t>
        </is>
      </c>
      <c r="D33" s="40" t="n">
        <v>60</v>
      </c>
      <c r="E33" s="41" t="n">
        <v>1</v>
      </c>
      <c r="F33" s="41" t="n">
        <v>60</v>
      </c>
      <c r="G33" s="39" t="inlineStr">
        <is>
          <t>Final-Dividend of Rs.1.0000/- per share on Ex-Date: 22-AUG-2025</t>
        </is>
      </c>
      <c r="H33" s="40" t="n">
        <v>0</v>
      </c>
      <c r="I33" s="40" t="n">
        <v>0</v>
      </c>
      <c r="J33" s="42">
        <f>Index!$C$2</f>
        <v/>
      </c>
      <c r="K33" s="43">
        <f>IF(AND( C9="Buy", ISBLANK(W9), B9&lt;&gt;"DIV"), L9/sum(F9:I9), "")</f>
        <v/>
      </c>
      <c r="L33" s="44">
        <f>IF(AND( C9="Buy", ISBLANK(W9), B9&lt;&gt;"DIV"), (1-Index!$F$2*2)*((J9*D9)-(E9*D9)), "")</f>
        <v/>
      </c>
      <c r="M33" s="44">
        <f>IF(AND( C9="Buy", ISBLANK(W9), B9&lt;&gt;"DIV"), ((E9*D9)+L9), "")</f>
        <v/>
      </c>
      <c r="N33" s="45">
        <f>IF(AND( C9="Buy", ISBLANK(W9), B9&lt;&gt;"DIV"), D9, "")</f>
        <v/>
      </c>
      <c r="O33" s="43">
        <f>IF(AND( C9="Buy", ISBLANK(W9), B9&lt;&gt;"DIV", NOW()-A9 &lt; 365), P9/sum(F9:I9), "")</f>
        <v/>
      </c>
      <c r="P33" s="44">
        <f>IF(AND( C9="Buy", ISBLANK(W9), B9&lt;&gt;"DIV", NOW()-A9 &lt; 365), (1-Index!$F$2*2)*((J9*D9)-(E9*D9)), "")</f>
        <v/>
      </c>
      <c r="Q33" s="44">
        <f>IF(AND( C9="Buy", ISBLANK(W9), B9&lt;&gt;"DIV", NOW()-A9 &lt; 365), ((E9*D9)+P9), "")</f>
        <v/>
      </c>
      <c r="R33" s="44">
        <f>IF(AND( C9="Buy", ISBLANK(W9), B9&lt;&gt;"DIV", NOW()-A9 &lt; 365), D9, "")</f>
        <v/>
      </c>
      <c r="S33" s="43">
        <f>IF(AND( C9="Buy", ISBLANK(W9), B9&lt;&gt;"DIV", NOW()-A9 &gt; 365), T9/sum(F9:I9), "")</f>
        <v/>
      </c>
      <c r="T33" s="44">
        <f>IF(AND( C9="Buy", ISBLANK(W9), B9&lt;&gt;"DIV", NOW()-A9 &gt; 365), (1-Index!$F$2*2)*((J9*D9)-(E9*D9)), "")</f>
        <v/>
      </c>
      <c r="U33" s="44">
        <f>IF(AND( C9="Buy", ISBLANK(W9), B9&lt;&gt;"DIV", NOW()-A9 &gt; 365), ((E9*D9)+T9), "")</f>
        <v/>
      </c>
      <c r="V33" s="44">
        <f>IF(AND( C9="Buy", ISBLANK(W9), B9&lt;&gt;"DIV", NOW()-A9 &gt; 365), D9, "")</f>
        <v/>
      </c>
      <c r="W33" s="44" t="n"/>
      <c r="X33" s="44" t="n"/>
      <c r="Y33" s="43">
        <f>IF(AND( C9="Buy", W9&lt;&gt;"", AA9&lt;&gt;"", B9&lt;&gt;"DIV"), Z9/sum(F9:I9), "")</f>
        <v/>
      </c>
      <c r="Z33" s="44" t="n"/>
      <c r="AA33" s="44" t="n"/>
      <c r="AB33" s="45" t="n"/>
      <c r="AC33" s="46">
        <f>if(B9="DIV", F9,"")</f>
        <v/>
      </c>
      <c r="AD33" s="47" t="n"/>
    </row>
    <row r="34">
      <c r="A34" s="38" t="n">
        <v>45855</v>
      </c>
      <c r="B34" s="39" t="inlineStr">
        <is>
          <t>NSE</t>
        </is>
      </c>
      <c r="C34" s="39" t="inlineStr">
        <is>
          <t>Buy</t>
        </is>
      </c>
      <c r="D34" s="40" t="n">
        <v>5</v>
      </c>
      <c r="E34" s="41" t="n">
        <v>781.8</v>
      </c>
      <c r="F34" s="41" t="n">
        <v>3909</v>
      </c>
      <c r="G34" s="39" t="inlineStr">
        <is>
          <t>~</t>
        </is>
      </c>
      <c r="H34" s="40" t="n">
        <v>3.88</v>
      </c>
      <c r="I34" s="40" t="n">
        <v>23.62</v>
      </c>
      <c r="J34" s="42">
        <f>Index!$C$2</f>
        <v/>
      </c>
      <c r="K34" s="43">
        <f>IF(AND( C10="Buy", ISBLANK(W10), B10&lt;&gt;"DIV"), L10/sum(F10:I10), "")</f>
        <v/>
      </c>
      <c r="L34" s="44">
        <f>IF(AND( C10="Buy", ISBLANK(W10), B10&lt;&gt;"DIV"), (1-Index!$F$2*2)*((J10*D10)-(E10*D10)), "")</f>
        <v/>
      </c>
      <c r="M34" s="44">
        <f>IF(AND( C10="Buy", ISBLANK(W10), B10&lt;&gt;"DIV"), ((E10*D10)+L10), "")</f>
        <v/>
      </c>
      <c r="N34" s="45">
        <f>IF(AND( C10="Buy", ISBLANK(W10), B10&lt;&gt;"DIV"), D10, "")</f>
        <v/>
      </c>
      <c r="O34" s="43">
        <f>IF(AND( C10="Buy", ISBLANK(W10), B10&lt;&gt;"DIV", NOW()-A10 &lt; 365), P10/sum(F10:I10), "")</f>
        <v/>
      </c>
      <c r="P34" s="44">
        <f>IF(AND( C10="Buy", ISBLANK(W10), B10&lt;&gt;"DIV", NOW()-A10 &lt; 365), (1-Index!$F$2*2)*((J10*D10)-(E10*D10)), "")</f>
        <v/>
      </c>
      <c r="Q34" s="44">
        <f>IF(AND( C10="Buy", ISBLANK(W10), B10&lt;&gt;"DIV", NOW()-A10 &lt; 365), ((E10*D10)+P10), "")</f>
        <v/>
      </c>
      <c r="R34" s="44">
        <f>IF(AND( C10="Buy", ISBLANK(W10), B10&lt;&gt;"DIV", NOW()-A10 &lt; 365), D10, "")</f>
        <v/>
      </c>
      <c r="S34" s="43">
        <f>IF(AND( C10="Buy", ISBLANK(W10), B10&lt;&gt;"DIV", NOW()-A10 &gt; 365), T10/sum(F10:I10), "")</f>
        <v/>
      </c>
      <c r="T34" s="44">
        <f>IF(AND( C10="Buy", ISBLANK(W10), B10&lt;&gt;"DIV", NOW()-A10 &gt; 365), (1-Index!$F$2*2)*((J10*D10)-(E10*D10)), "")</f>
        <v/>
      </c>
      <c r="U34" s="44">
        <f>IF(AND( C10="Buy", ISBLANK(W10), B10&lt;&gt;"DIV", NOW()-A10 &gt; 365), ((E10*D10)+T10), "")</f>
        <v/>
      </c>
      <c r="V34" s="44">
        <f>IF(AND( C10="Buy", ISBLANK(W10), B10&lt;&gt;"DIV", NOW()-A10 &gt; 365), D10, "")</f>
        <v/>
      </c>
      <c r="W34" s="44" t="n"/>
      <c r="X34" s="44" t="n"/>
      <c r="Y34" s="43">
        <f>IF(AND( C10="Buy", W10&lt;&gt;"", AA10&lt;&gt;"", B10&lt;&gt;"DIV"), Z10/sum(F10:I10), "")</f>
        <v/>
      </c>
      <c r="Z34" s="44" t="n"/>
      <c r="AA34" s="44" t="n"/>
      <c r="AB34" s="45" t="n"/>
      <c r="AC34" s="46">
        <f>if(B10="DIV", F10,"")</f>
        <v/>
      </c>
      <c r="AD34" s="47" t="n"/>
    </row>
    <row r="35">
      <c r="A35" s="38" t="n">
        <v>45820</v>
      </c>
      <c r="B35" s="39" t="inlineStr">
        <is>
          <t>NSE</t>
        </is>
      </c>
      <c r="C35" s="39" t="inlineStr">
        <is>
          <t>Buy</t>
        </is>
      </c>
      <c r="D35" s="40" t="n">
        <v>5</v>
      </c>
      <c r="E35" s="41" t="n">
        <v>790.15</v>
      </c>
      <c r="F35" s="41" t="n">
        <v>3950.75</v>
      </c>
      <c r="G35" s="39" t="inlineStr">
        <is>
          <t>~</t>
        </is>
      </c>
      <c r="H35" s="40" t="n">
        <v>3.91</v>
      </c>
      <c r="I35" s="40" t="n">
        <v>23.84</v>
      </c>
      <c r="J35" s="42">
        <f>Index!$C$2</f>
        <v/>
      </c>
      <c r="K35" s="43">
        <f>IF(AND( C11="Buy", ISBLANK(W11), B11&lt;&gt;"DIV"), L11/sum(F11:I11), "")</f>
        <v/>
      </c>
      <c r="L35" s="44">
        <f>IF(AND( C11="Buy", ISBLANK(W11), B11&lt;&gt;"DIV"), (1-Index!$F$2*2)*((J11*D11)-(E11*D11)), "")</f>
        <v/>
      </c>
      <c r="M35" s="44">
        <f>IF(AND( C11="Buy", ISBLANK(W11), B11&lt;&gt;"DIV"), ((E11*D11)+L11), "")</f>
        <v/>
      </c>
      <c r="N35" s="45">
        <f>IF(AND( C11="Buy", ISBLANK(W11), B11&lt;&gt;"DIV"), D11, "")</f>
        <v/>
      </c>
      <c r="O35" s="43">
        <f>IF(AND( C11="Buy", ISBLANK(W11), B11&lt;&gt;"DIV", NOW()-A11 &lt; 365), P11/sum(F11:I11), "")</f>
        <v/>
      </c>
      <c r="P35" s="44">
        <f>IF(AND( C11="Buy", ISBLANK(W11), B11&lt;&gt;"DIV", NOW()-A11 &lt; 365), (1-Index!$F$2*2)*((J11*D11)-(E11*D11)), "")</f>
        <v/>
      </c>
      <c r="Q35" s="44">
        <f>IF(AND( C11="Buy", ISBLANK(W11), B11&lt;&gt;"DIV", NOW()-A11 &lt; 365), ((E11*D11)+P11), "")</f>
        <v/>
      </c>
      <c r="R35" s="44">
        <f>IF(AND( C11="Buy", ISBLANK(W11), B11&lt;&gt;"DIV", NOW()-A11 &lt; 365), D11, "")</f>
        <v/>
      </c>
      <c r="S35" s="43">
        <f>IF(AND( C11="Buy", ISBLANK(W11), B11&lt;&gt;"DIV", NOW()-A11 &gt; 365), T11/sum(F11:I11), "")</f>
        <v/>
      </c>
      <c r="T35" s="44">
        <f>IF(AND( C11="Buy", ISBLANK(W11), B11&lt;&gt;"DIV", NOW()-A11 &gt; 365), (1-Index!$F$2*2)*((J11*D11)-(E11*D11)), "")</f>
        <v/>
      </c>
      <c r="U35" s="44">
        <f>IF(AND( C11="Buy", ISBLANK(W11), B11&lt;&gt;"DIV", NOW()-A11 &gt; 365), ((E11*D11)+T11), "")</f>
        <v/>
      </c>
      <c r="V35" s="44">
        <f>IF(AND( C11="Buy", ISBLANK(W11), B11&lt;&gt;"DIV", NOW()-A11 &gt; 365), D11, "")</f>
        <v/>
      </c>
      <c r="W35" s="44" t="n"/>
      <c r="X35" s="44" t="n"/>
      <c r="Y35" s="43">
        <f>IF(AND( C11="Buy", W11&lt;&gt;"", AA11&lt;&gt;"", B11&lt;&gt;"DIV"), Z11/sum(F11:I11), "")</f>
        <v/>
      </c>
      <c r="Z35" s="44" t="n"/>
      <c r="AA35" s="44" t="n"/>
      <c r="AB35" s="45" t="n"/>
      <c r="AC35" s="46">
        <f>if(B11="DIV", F11,"")</f>
        <v/>
      </c>
      <c r="AD35" s="47" t="n"/>
    </row>
    <row r="36">
      <c r="A36" s="38" t="n">
        <v>45811</v>
      </c>
      <c r="B36" s="39" t="inlineStr">
        <is>
          <t>NSE</t>
        </is>
      </c>
      <c r="C36" s="39" t="inlineStr">
        <is>
          <t>Buy</t>
        </is>
      </c>
      <c r="D36" s="40" t="n">
        <v>2</v>
      </c>
      <c r="E36" s="41" t="n">
        <v>776.91</v>
      </c>
      <c r="F36" s="41" t="n">
        <v>1553.82</v>
      </c>
      <c r="G36" s="39" t="inlineStr">
        <is>
          <t>~</t>
        </is>
      </c>
      <c r="H36" s="40" t="n">
        <v>1.54</v>
      </c>
      <c r="I36" s="40" t="n">
        <v>9.380000000000001</v>
      </c>
      <c r="J36" s="42">
        <f>Index!$C$2</f>
        <v/>
      </c>
      <c r="K36" s="43">
        <f>IF(AND( C12="Buy", ISBLANK(W12), B12&lt;&gt;"DIV"), L12/sum(F12:I12), "")</f>
        <v/>
      </c>
      <c r="L36" s="44">
        <f>IF(AND( C12="Buy", ISBLANK(W12), B12&lt;&gt;"DIV"), (1-Index!$F$2*2)*((J12*D12)-(E12*D12)), "")</f>
        <v/>
      </c>
      <c r="M36" s="44">
        <f>IF(AND( C12="Buy", ISBLANK(W12), B12&lt;&gt;"DIV"), ((E12*D12)+L12), "")</f>
        <v/>
      </c>
      <c r="N36" s="45">
        <f>IF(AND( C12="Buy", ISBLANK(W12), B12&lt;&gt;"DIV"), D12, "")</f>
        <v/>
      </c>
      <c r="O36" s="43">
        <f>IF(AND( C12="Buy", ISBLANK(W12), B12&lt;&gt;"DIV", NOW()-A12 &lt; 365), P12/sum(F12:I12), "")</f>
        <v/>
      </c>
      <c r="P36" s="44">
        <f>IF(AND( C12="Buy", ISBLANK(W12), B12&lt;&gt;"DIV", NOW()-A12 &lt; 365), (1-Index!$F$2*2)*((J12*D12)-(E12*D12)), "")</f>
        <v/>
      </c>
      <c r="Q36" s="44">
        <f>IF(AND( C12="Buy", ISBLANK(W12), B12&lt;&gt;"DIV", NOW()-A12 &lt; 365), ((E12*D12)+P12), "")</f>
        <v/>
      </c>
      <c r="R36" s="44">
        <f>IF(AND( C12="Buy", ISBLANK(W12), B12&lt;&gt;"DIV", NOW()-A12 &lt; 365), D12, "")</f>
        <v/>
      </c>
      <c r="S36" s="43">
        <f>IF(AND( C12="Buy", ISBLANK(W12), B12&lt;&gt;"DIV", NOW()-A12 &gt; 365), T12/sum(F12:I12), "")</f>
        <v/>
      </c>
      <c r="T36" s="44">
        <f>IF(AND( C12="Buy", ISBLANK(W12), B12&lt;&gt;"DIV", NOW()-A12 &gt; 365), (1-Index!$F$2*2)*((J12*D12)-(E12*D12)), "")</f>
        <v/>
      </c>
      <c r="U36" s="44">
        <f>IF(AND( C12="Buy", ISBLANK(W12), B12&lt;&gt;"DIV", NOW()-A12 &gt; 365), ((E12*D12)+T12), "")</f>
        <v/>
      </c>
      <c r="V36" s="44">
        <f>IF(AND( C12="Buy", ISBLANK(W12), B12&lt;&gt;"DIV", NOW()-A12 &gt; 365), D12, "")</f>
        <v/>
      </c>
      <c r="W36" s="44" t="n"/>
      <c r="X36" s="44" t="n"/>
      <c r="Y36" s="43">
        <f>IF(AND( C12="Buy", W12&lt;&gt;"", AA12&lt;&gt;"", B12&lt;&gt;"DIV"), Z12/sum(F12:I12), "")</f>
        <v/>
      </c>
      <c r="Z36" s="44" t="n"/>
      <c r="AA36" s="44" t="n"/>
      <c r="AB36" s="45" t="n"/>
      <c r="AC36" s="46">
        <f>if(B12="DIV", F12,"")</f>
        <v/>
      </c>
      <c r="AD36" s="47" t="n"/>
    </row>
    <row r="37">
      <c r="A37" s="38" t="n">
        <v>45811</v>
      </c>
      <c r="B37" s="39" t="inlineStr">
        <is>
          <t>NSE</t>
        </is>
      </c>
      <c r="C37" s="39" t="inlineStr">
        <is>
          <t>Buy</t>
        </is>
      </c>
      <c r="D37" s="40" t="n">
        <v>5</v>
      </c>
      <c r="E37" s="41" t="n">
        <v>776.92</v>
      </c>
      <c r="F37" s="41" t="n">
        <v>3884.62</v>
      </c>
      <c r="G37" s="39" t="inlineStr">
        <is>
          <t>~</t>
        </is>
      </c>
      <c r="H37" s="40" t="n">
        <v>3.86</v>
      </c>
      <c r="I37" s="40" t="n">
        <v>23.51</v>
      </c>
      <c r="J37" s="42">
        <f>Index!$C$2</f>
        <v/>
      </c>
      <c r="K37" s="43">
        <f>IF(AND( C13="Buy", ISBLANK(W13), B13&lt;&gt;"DIV"), L13/sum(F13:I13), "")</f>
        <v/>
      </c>
      <c r="L37" s="44">
        <f>IF(AND( C13="Buy", ISBLANK(W13), B13&lt;&gt;"DIV"), (1-Index!$F$2*2)*((J13*D13)-(E13*D13)), "")</f>
        <v/>
      </c>
      <c r="M37" s="44">
        <f>IF(AND( C13="Buy", ISBLANK(W13), B13&lt;&gt;"DIV"), ((E13*D13)+L13), "")</f>
        <v/>
      </c>
      <c r="N37" s="45">
        <f>IF(AND( C13="Buy", ISBLANK(W13), B13&lt;&gt;"DIV"), D13, "")</f>
        <v/>
      </c>
      <c r="O37" s="43">
        <f>IF(AND( C13="Buy", ISBLANK(W13), B13&lt;&gt;"DIV", NOW()-A13 &lt; 365), P13/sum(F13:I13), "")</f>
        <v/>
      </c>
      <c r="P37" s="44">
        <f>IF(AND( C13="Buy", ISBLANK(W13), B13&lt;&gt;"DIV", NOW()-A13 &lt; 365), (1-Index!$F$2*2)*((J13*D13)-(E13*D13)), "")</f>
        <v/>
      </c>
      <c r="Q37" s="44">
        <f>IF(AND( C13="Buy", ISBLANK(W13), B13&lt;&gt;"DIV", NOW()-A13 &lt; 365), ((E13*D13)+P13), "")</f>
        <v/>
      </c>
      <c r="R37" s="44">
        <f>IF(AND( C13="Buy", ISBLANK(W13), B13&lt;&gt;"DIV", NOW()-A13 &lt; 365), D13, "")</f>
        <v/>
      </c>
      <c r="S37" s="43">
        <f>IF(AND( C13="Buy", ISBLANK(W13), B13&lt;&gt;"DIV", NOW()-A13 &gt; 365), T13/sum(F13:I13), "")</f>
        <v/>
      </c>
      <c r="T37" s="44">
        <f>IF(AND( C13="Buy", ISBLANK(W13), B13&lt;&gt;"DIV", NOW()-A13 &gt; 365), (1-Index!$F$2*2)*((J13*D13)-(E13*D13)), "")</f>
        <v/>
      </c>
      <c r="U37" s="44">
        <f>IF(AND( C13="Buy", ISBLANK(W13), B13&lt;&gt;"DIV", NOW()-A13 &gt; 365), ((E13*D13)+T13), "")</f>
        <v/>
      </c>
      <c r="V37" s="44">
        <f>IF(AND( C13="Buy", ISBLANK(W13), B13&lt;&gt;"DIV", NOW()-A13 &gt; 365), D13, "")</f>
        <v/>
      </c>
      <c r="W37" s="44" t="n"/>
      <c r="X37" s="44" t="n"/>
      <c r="Y37" s="43">
        <f>IF(AND( C13="Buy", W13&lt;&gt;"", AA13&lt;&gt;"", B13&lt;&gt;"DIV"), Z13/sum(F13:I13), "")</f>
        <v/>
      </c>
      <c r="Z37" s="44" t="n"/>
      <c r="AA37" s="44" t="n"/>
      <c r="AB37" s="45" t="n"/>
      <c r="AC37" s="46">
        <f>if(B13="DIV", F13,"")</f>
        <v/>
      </c>
      <c r="AD37" s="47" t="n"/>
    </row>
    <row r="38">
      <c r="A38" s="48" t="n">
        <v>45716</v>
      </c>
      <c r="B38" s="49" t="inlineStr">
        <is>
          <t>NSE</t>
        </is>
      </c>
      <c r="C38" s="49" t="inlineStr">
        <is>
          <t>Buy</t>
        </is>
      </c>
      <c r="D38" s="50" t="n">
        <v>3</v>
      </c>
      <c r="E38" s="51" t="n">
        <v>680.1900000000001</v>
      </c>
      <c r="F38" s="51" t="n">
        <v>2040.56</v>
      </c>
      <c r="G38" s="49" t="inlineStr">
        <is>
          <t>~</t>
        </is>
      </c>
      <c r="H38" s="50" t="n">
        <v>2.02</v>
      </c>
      <c r="I38" s="50" t="n">
        <v>12.34</v>
      </c>
      <c r="J38" s="42">
        <f>Index!$C$2</f>
        <v/>
      </c>
      <c r="K38" s="43">
        <f>IF(AND( C14="Buy", ISBLANK(W14), B14&lt;&gt;"DIV"), L14/sum(F14:I14), "")</f>
        <v/>
      </c>
      <c r="L38" s="44">
        <f>IF(AND( C14="Buy", ISBLANK(W14), B14&lt;&gt;"DIV"), (1-Index!$F$2*2)*((J14*D14)-(E14*D14)), "")</f>
        <v/>
      </c>
      <c r="M38" s="44">
        <f>IF(AND( C14="Buy", ISBLANK(W14), B14&lt;&gt;"DIV"), ((E14*D14)+L14), "")</f>
        <v/>
      </c>
      <c r="N38" s="45">
        <f>IF(AND( C14="Buy", ISBLANK(W14), B14&lt;&gt;"DIV"), D14, "")</f>
        <v/>
      </c>
      <c r="O38" s="43">
        <f>IF(AND( C14="Buy", ISBLANK(W14), B14&lt;&gt;"DIV", NOW()-A14 &lt; 365), P14/sum(F14:I14), "")</f>
        <v/>
      </c>
      <c r="P38" s="44">
        <f>IF(AND( C14="Buy", ISBLANK(W14), B14&lt;&gt;"DIV", NOW()-A14 &lt; 365), (1-Index!$F$2*2)*((J14*D14)-(E14*D14)), "")</f>
        <v/>
      </c>
      <c r="Q38" s="44">
        <f>IF(AND( C14="Buy", ISBLANK(W14), B14&lt;&gt;"DIV", NOW()-A14 &lt; 365), ((E14*D14)+P14), "")</f>
        <v/>
      </c>
      <c r="R38" s="44">
        <f>IF(AND( C14="Buy", ISBLANK(W14), B14&lt;&gt;"DIV", NOW()-A14 &lt; 365), D14, "")</f>
        <v/>
      </c>
      <c r="S38" s="43">
        <f>IF(AND( C14="Buy", ISBLANK(W14), B14&lt;&gt;"DIV", NOW()-A14 &gt; 365), T14/sum(F14:I14), "")</f>
        <v/>
      </c>
      <c r="T38" s="44">
        <f>IF(AND( C14="Buy", ISBLANK(W14), B14&lt;&gt;"DIV", NOW()-A14 &gt; 365), (1-Index!$F$2*2)*((J14*D14)-(E14*D14)), "")</f>
        <v/>
      </c>
      <c r="U38" s="44">
        <f>IF(AND( C14="Buy", ISBLANK(W14), B14&lt;&gt;"DIV", NOW()-A14 &gt; 365), ((E14*D14)+T14), "")</f>
        <v/>
      </c>
      <c r="V38" s="44">
        <f>IF(AND( C14="Buy", ISBLANK(W14), B14&lt;&gt;"DIV", NOW()-A14 &gt; 365), D14, "")</f>
        <v/>
      </c>
      <c r="W38" s="44" t="n"/>
      <c r="X38" s="44" t="n"/>
      <c r="Y38" s="43">
        <f>IF(AND( C14="Buy", W14&lt;&gt;"", AA14&lt;&gt;"", B14&lt;&gt;"DIV"), Z14/sum(F14:I14), "")</f>
        <v/>
      </c>
      <c r="Z38" s="44" t="n"/>
      <c r="AA38" s="44" t="n"/>
      <c r="AB38" s="45" t="n"/>
      <c r="AC38" s="46">
        <f>if(B14="DIV", F14,"")</f>
        <v/>
      </c>
      <c r="AD38" s="47" t="n"/>
    </row>
    <row r="39">
      <c r="A39" s="48" t="n">
        <v>45712</v>
      </c>
      <c r="B39" s="49" t="inlineStr">
        <is>
          <t>NSE</t>
        </is>
      </c>
      <c r="C39" s="49" t="inlineStr">
        <is>
          <t>Buy</t>
        </is>
      </c>
      <c r="D39" s="50" t="n">
        <v>7</v>
      </c>
      <c r="E39" s="51" t="n">
        <v>728.63</v>
      </c>
      <c r="F39" s="51" t="n">
        <v>5100.4</v>
      </c>
      <c r="G39" s="49" t="inlineStr">
        <is>
          <t>~</t>
        </is>
      </c>
      <c r="H39" s="50" t="n">
        <v>5.06</v>
      </c>
      <c r="I39" s="50" t="n">
        <v>30.84</v>
      </c>
      <c r="J39" s="42">
        <f>Index!$C$2</f>
        <v/>
      </c>
      <c r="K39" s="43">
        <f>IF(AND( C15="Buy", ISBLANK(W15), B15&lt;&gt;"DIV"), L15/sum(F15:I15), "")</f>
        <v/>
      </c>
      <c r="L39" s="44">
        <f>IF(AND( C15="Buy", ISBLANK(W15), B15&lt;&gt;"DIV"), (1-Index!$F$2*2)*((J15*D15)-(E15*D15)), "")</f>
        <v/>
      </c>
      <c r="M39" s="44">
        <f>IF(AND( C15="Buy", ISBLANK(W15), B15&lt;&gt;"DIV"), ((E15*D15)+L15), "")</f>
        <v/>
      </c>
      <c r="N39" s="45">
        <f>IF(AND( C15="Buy", ISBLANK(W15), B15&lt;&gt;"DIV"), D15, "")</f>
        <v/>
      </c>
      <c r="O39" s="43">
        <f>IF(AND( C15="Buy", ISBLANK(W15), B15&lt;&gt;"DIV", NOW()-A15 &lt; 365), P15/sum(F15:I15), "")</f>
        <v/>
      </c>
      <c r="P39" s="44">
        <f>IF(AND( C15="Buy", ISBLANK(W15), B15&lt;&gt;"DIV", NOW()-A15 &lt; 365), (1-Index!$F$2*2)*((J15*D15)-(E15*D15)), "")</f>
        <v/>
      </c>
      <c r="Q39" s="44">
        <f>IF(AND( C15="Buy", ISBLANK(W15), B15&lt;&gt;"DIV", NOW()-A15 &lt; 365), ((E15*D15)+P15), "")</f>
        <v/>
      </c>
      <c r="R39" s="44">
        <f>IF(AND( C15="Buy", ISBLANK(W15), B15&lt;&gt;"DIV", NOW()-A15 &lt; 365), D15, "")</f>
        <v/>
      </c>
      <c r="S39" s="43">
        <f>IF(AND( C15="Buy", ISBLANK(W15), B15&lt;&gt;"DIV", NOW()-A15 &gt; 365), T15/sum(F15:I15), "")</f>
        <v/>
      </c>
      <c r="T39" s="44">
        <f>IF(AND( C15="Buy", ISBLANK(W15), B15&lt;&gt;"DIV", NOW()-A15 &gt; 365), (1-Index!$F$2*2)*((J15*D15)-(E15*D15)), "")</f>
        <v/>
      </c>
      <c r="U39" s="44">
        <f>IF(AND( C15="Buy", ISBLANK(W15), B15&lt;&gt;"DIV", NOW()-A15 &gt; 365), ((E15*D15)+T15), "")</f>
        <v/>
      </c>
      <c r="V39" s="44">
        <f>IF(AND( C15="Buy", ISBLANK(W15), B15&lt;&gt;"DIV", NOW()-A15 &gt; 365), D15, "")</f>
        <v/>
      </c>
      <c r="W39" s="44" t="n"/>
      <c r="X39" s="44" t="n"/>
      <c r="Y39" s="43">
        <f>IF(AND( C15="Buy", W15&lt;&gt;"", AA15&lt;&gt;"", B15&lt;&gt;"DIV"), Z15/sum(F15:I15), "")</f>
        <v/>
      </c>
      <c r="Z39" s="44" t="n"/>
      <c r="AA39" s="44" t="n"/>
      <c r="AB39" s="45" t="n"/>
      <c r="AC39" s="46">
        <f>if(B15="DIV", F15,"")</f>
        <v/>
      </c>
      <c r="AD39" s="47" t="n"/>
    </row>
    <row r="40">
      <c r="A40" s="48" t="n">
        <v>45712</v>
      </c>
      <c r="B40" s="49" t="inlineStr">
        <is>
          <t>NSE</t>
        </is>
      </c>
      <c r="C40" s="49" t="inlineStr">
        <is>
          <t>Buy</t>
        </is>
      </c>
      <c r="D40" s="50" t="n">
        <v>3</v>
      </c>
      <c r="E40" s="51" t="n">
        <v>728.64</v>
      </c>
      <c r="F40" s="51" t="n">
        <v>2185.91</v>
      </c>
      <c r="G40" s="49" t="inlineStr">
        <is>
          <t>~</t>
        </is>
      </c>
      <c r="H40" s="50" t="n">
        <v>2.17</v>
      </c>
      <c r="I40" s="50" t="n">
        <v>13.24</v>
      </c>
      <c r="J40" s="42">
        <f>Index!$C$2</f>
        <v/>
      </c>
      <c r="K40" s="43">
        <f>IF(AND( C16="Buy", ISBLANK(W16), B16&lt;&gt;"DIV"), L16/sum(F16:I16), "")</f>
        <v/>
      </c>
      <c r="L40" s="44">
        <f>IF(AND( C16="Buy", ISBLANK(W16), B16&lt;&gt;"DIV"), (1-Index!$F$2*2)*((J16*D16)-(E16*D16)), "")</f>
        <v/>
      </c>
      <c r="M40" s="44">
        <f>IF(AND( C16="Buy", ISBLANK(W16), B16&lt;&gt;"DIV"), ((E16*D16)+L16), "")</f>
        <v/>
      </c>
      <c r="N40" s="45">
        <f>IF(AND( C16="Buy", ISBLANK(W16), B16&lt;&gt;"DIV"), D16, "")</f>
        <v/>
      </c>
      <c r="O40" s="43">
        <f>IF(AND( C16="Buy", ISBLANK(W16), B16&lt;&gt;"DIV", NOW()-A16 &lt; 365), P16/sum(F16:I16), "")</f>
        <v/>
      </c>
      <c r="P40" s="44">
        <f>IF(AND( C16="Buy", ISBLANK(W16), B16&lt;&gt;"DIV", NOW()-A16 &lt; 365), (1-Index!$F$2*2)*((J16*D16)-(E16*D16)), "")</f>
        <v/>
      </c>
      <c r="Q40" s="44">
        <f>IF(AND( C16="Buy", ISBLANK(W16), B16&lt;&gt;"DIV", NOW()-A16 &lt; 365), ((E16*D16)+P16), "")</f>
        <v/>
      </c>
      <c r="R40" s="44">
        <f>IF(AND( C16="Buy", ISBLANK(W16), B16&lt;&gt;"DIV", NOW()-A16 &lt; 365), D16, "")</f>
        <v/>
      </c>
      <c r="S40" s="43">
        <f>IF(AND( C16="Buy", ISBLANK(W16), B16&lt;&gt;"DIV", NOW()-A16 &gt; 365), T16/sum(F16:I16), "")</f>
        <v/>
      </c>
      <c r="T40" s="44">
        <f>IF(AND( C16="Buy", ISBLANK(W16), B16&lt;&gt;"DIV", NOW()-A16 &gt; 365), (1-Index!$F$2*2)*((J16*D16)-(E16*D16)), "")</f>
        <v/>
      </c>
      <c r="U40" s="44">
        <f>IF(AND( C16="Buy", ISBLANK(W16), B16&lt;&gt;"DIV", NOW()-A16 &gt; 365), ((E16*D16)+T16), "")</f>
        <v/>
      </c>
      <c r="V40" s="44">
        <f>IF(AND( C16="Buy", ISBLANK(W16), B16&lt;&gt;"DIV", NOW()-A16 &gt; 365), D16, "")</f>
        <v/>
      </c>
      <c r="W40" s="44" t="n"/>
      <c r="X40" s="44" t="n"/>
      <c r="Y40" s="43">
        <f>IF(AND( C16="Buy", W16&lt;&gt;"", AA16&lt;&gt;"", B16&lt;&gt;"DIV"), Z16/sum(F16:I16), "")</f>
        <v/>
      </c>
      <c r="Z40" s="44" t="n"/>
      <c r="AA40" s="44" t="n"/>
      <c r="AB40" s="45" t="n"/>
      <c r="AC40" s="46">
        <f>if(B16="DIV", F16,"")</f>
        <v/>
      </c>
      <c r="AD40" s="47" t="n"/>
    </row>
    <row r="41">
      <c r="A41" s="48" t="n">
        <v>45705</v>
      </c>
      <c r="B41" s="49" t="inlineStr">
        <is>
          <t>NSE</t>
        </is>
      </c>
      <c r="C41" s="49" t="inlineStr">
        <is>
          <t>Buy</t>
        </is>
      </c>
      <c r="D41" s="50" t="n">
        <v>20</v>
      </c>
      <c r="E41" s="51" t="n">
        <v>730.14</v>
      </c>
      <c r="F41" s="51" t="n">
        <v>14602.86</v>
      </c>
      <c r="G41" s="49" t="inlineStr">
        <is>
          <t>~</t>
        </is>
      </c>
      <c r="H41" s="50" t="n">
        <v>14.48</v>
      </c>
      <c r="I41" s="50" t="n">
        <v>88.38</v>
      </c>
      <c r="J41" s="42">
        <f>Index!$C$2</f>
        <v/>
      </c>
      <c r="K41" s="43">
        <f>IF(AND( C17="Buy", ISBLANK(W17), B17&lt;&gt;"DIV"), L17/sum(F17:I17), "")</f>
        <v/>
      </c>
      <c r="L41" s="44">
        <f>IF(AND( C17="Buy", ISBLANK(W17), B17&lt;&gt;"DIV"), (1-Index!$F$2*2)*((J17*D17)-(E17*D17)), "")</f>
        <v/>
      </c>
      <c r="M41" s="44">
        <f>IF(AND( C17="Buy", ISBLANK(W17), B17&lt;&gt;"DIV"), ((E17*D17)+L17), "")</f>
        <v/>
      </c>
      <c r="N41" s="45">
        <f>IF(AND( C17="Buy", ISBLANK(W17), B17&lt;&gt;"DIV"), D17, "")</f>
        <v/>
      </c>
      <c r="O41" s="43">
        <f>IF(AND( C17="Buy", ISBLANK(W17), B17&lt;&gt;"DIV", NOW()-A17 &lt; 365), P17/sum(F17:I17), "")</f>
        <v/>
      </c>
      <c r="P41" s="44">
        <f>IF(AND( C17="Buy", ISBLANK(W17), B17&lt;&gt;"DIV", NOW()-A17 &lt; 365), (1-Index!$F$2*2)*((J17*D17)-(E17*D17)), "")</f>
        <v/>
      </c>
      <c r="Q41" s="44">
        <f>IF(AND( C17="Buy", ISBLANK(W17), B17&lt;&gt;"DIV", NOW()-A17 &lt; 365), ((E17*D17)+P17), "")</f>
        <v/>
      </c>
      <c r="R41" s="44">
        <f>IF(AND( C17="Buy", ISBLANK(W17), B17&lt;&gt;"DIV", NOW()-A17 &lt; 365), D17, "")</f>
        <v/>
      </c>
      <c r="S41" s="43">
        <f>IF(AND( C17="Buy", ISBLANK(W17), B17&lt;&gt;"DIV", NOW()-A17 &gt; 365), T17/sum(F17:I17), "")</f>
        <v/>
      </c>
      <c r="T41" s="44">
        <f>IF(AND( C17="Buy", ISBLANK(W17), B17&lt;&gt;"DIV", NOW()-A17 &gt; 365), (1-Index!$F$2*2)*((J17*D17)-(E17*D17)), "")</f>
        <v/>
      </c>
      <c r="U41" s="44">
        <f>IF(AND( C17="Buy", ISBLANK(W17), B17&lt;&gt;"DIV", NOW()-A17 &gt; 365), ((E17*D17)+T17), "")</f>
        <v/>
      </c>
      <c r="V41" s="44">
        <f>IF(AND( C17="Buy", ISBLANK(W17), B17&lt;&gt;"DIV", NOW()-A17 &gt; 365), D17, "")</f>
        <v/>
      </c>
      <c r="W41" s="44" t="n"/>
      <c r="X41" s="44" t="n"/>
      <c r="Y41" s="43">
        <f>IF(AND( C17="Buy", W17&lt;&gt;"", AA17&lt;&gt;"", B17&lt;&gt;"DIV"), Z17/sum(F17:I17), "")</f>
        <v/>
      </c>
      <c r="Z41" s="44" t="n"/>
      <c r="AA41" s="44" t="n"/>
      <c r="AB41" s="45" t="n"/>
      <c r="AC41" s="46">
        <f>if(B17="DIV", F17,"")</f>
        <v/>
      </c>
      <c r="AD41" s="47" t="n"/>
    </row>
    <row r="42">
      <c r="A42" s="48" t="n">
        <v>45699</v>
      </c>
      <c r="B42" s="49" t="inlineStr">
        <is>
          <t>NSE</t>
        </is>
      </c>
      <c r="C42" s="49" t="inlineStr">
        <is>
          <t>Buy</t>
        </is>
      </c>
      <c r="D42" s="50" t="n">
        <v>2</v>
      </c>
      <c r="E42" s="51" t="n">
        <v>763.17</v>
      </c>
      <c r="F42" s="51" t="n">
        <v>1526.34</v>
      </c>
      <c r="G42" s="49" t="inlineStr">
        <is>
          <t>~</t>
        </is>
      </c>
      <c r="H42" s="50" t="n">
        <v>1.52</v>
      </c>
      <c r="I42" s="50" t="n">
        <v>9.220000000000001</v>
      </c>
      <c r="J42" s="42">
        <f>Index!$C$2</f>
        <v/>
      </c>
      <c r="K42" s="43">
        <f>IF(AND( C18="Buy", ISBLANK(W18), B18&lt;&gt;"DIV"), L18/sum(F18:I18), "")</f>
        <v/>
      </c>
      <c r="L42" s="44">
        <f>IF(AND( C18="Buy", ISBLANK(W18), B18&lt;&gt;"DIV"), (1-Index!$F$2*2)*((J18*D18)-(E18*D18)), "")</f>
        <v/>
      </c>
      <c r="M42" s="44">
        <f>IF(AND( C18="Buy", ISBLANK(W18), B18&lt;&gt;"DIV"), ((E18*D18)+L18), "")</f>
        <v/>
      </c>
      <c r="N42" s="45">
        <f>IF(AND( C18="Buy", ISBLANK(W18), B18&lt;&gt;"DIV"), D18, "")</f>
        <v/>
      </c>
      <c r="O42" s="43">
        <f>IF(AND( C18="Buy", ISBLANK(W18), B18&lt;&gt;"DIV", NOW()-A18 &lt; 365), P18/sum(F18:I18), "")</f>
        <v/>
      </c>
      <c r="P42" s="44">
        <f>IF(AND( C18="Buy", ISBLANK(W18), B18&lt;&gt;"DIV", NOW()-A18 &lt; 365), (1-Index!$F$2*2)*((J18*D18)-(E18*D18)), "")</f>
        <v/>
      </c>
      <c r="Q42" s="44">
        <f>IF(AND( C18="Buy", ISBLANK(W18), B18&lt;&gt;"DIV", NOW()-A18 &lt; 365), ((E18*D18)+P18), "")</f>
        <v/>
      </c>
      <c r="R42" s="44">
        <f>IF(AND( C18="Buy", ISBLANK(W18), B18&lt;&gt;"DIV", NOW()-A18 &lt; 365), D18, "")</f>
        <v/>
      </c>
      <c r="S42" s="43">
        <f>IF(AND( C18="Buy", ISBLANK(W18), B18&lt;&gt;"DIV", NOW()-A18 &gt; 365), T18/sum(F18:I18), "")</f>
        <v/>
      </c>
      <c r="T42" s="44">
        <f>IF(AND( C18="Buy", ISBLANK(W18), B18&lt;&gt;"DIV", NOW()-A18 &gt; 365), (1-Index!$F$2*2)*((J18*D18)-(E18*D18)), "")</f>
        <v/>
      </c>
      <c r="U42" s="44">
        <f>IF(AND( C18="Buy", ISBLANK(W18), B18&lt;&gt;"DIV", NOW()-A18 &gt; 365), ((E18*D18)+T18), "")</f>
        <v/>
      </c>
      <c r="V42" s="44">
        <f>IF(AND( C18="Buy", ISBLANK(W18), B18&lt;&gt;"DIV", NOW()-A18 &gt; 365), D18, "")</f>
        <v/>
      </c>
      <c r="W42" s="44" t="n"/>
      <c r="X42" s="44" t="n"/>
      <c r="Y42" s="43">
        <f>IF(AND( C18="Buy", W18&lt;&gt;"", AA18&lt;&gt;"", B18&lt;&gt;"DIV"), Z18/sum(F18:I18), "")</f>
        <v/>
      </c>
      <c r="Z42" s="44" t="n"/>
      <c r="AA42" s="44" t="n"/>
      <c r="AB42" s="45" t="n"/>
      <c r="AC42" s="46">
        <f>if(B18="DIV", F18,"")</f>
        <v/>
      </c>
      <c r="AD42" s="47" t="n"/>
    </row>
    <row r="43">
      <c r="A43" s="48" t="n">
        <v>45699</v>
      </c>
      <c r="B43" s="49" t="inlineStr">
        <is>
          <t>NSE</t>
        </is>
      </c>
      <c r="C43" s="49" t="inlineStr">
        <is>
          <t>Buy</t>
        </is>
      </c>
      <c r="D43" s="50" t="n">
        <v>8</v>
      </c>
      <c r="E43" s="51" t="n">
        <v>763.17</v>
      </c>
      <c r="F43" s="51" t="n">
        <v>6105.37</v>
      </c>
      <c r="G43" s="49" t="inlineStr">
        <is>
          <t>~</t>
        </is>
      </c>
      <c r="H43" s="50" t="n">
        <v>6.06</v>
      </c>
      <c r="I43" s="50" t="n">
        <v>36.91</v>
      </c>
      <c r="J43" s="42">
        <f>Index!$C$2</f>
        <v/>
      </c>
      <c r="K43" s="43">
        <f>IF(AND( C19="Buy", ISBLANK(W19), B19&lt;&gt;"DIV"), L19/sum(F19:I19), "")</f>
        <v/>
      </c>
      <c r="L43" s="44">
        <f>IF(AND( C19="Buy", ISBLANK(W19), B19&lt;&gt;"DIV"), (1-Index!$F$2*2)*((J19*D19)-(E19*D19)), "")</f>
        <v/>
      </c>
      <c r="M43" s="44">
        <f>IF(AND( C19="Buy", ISBLANK(W19), B19&lt;&gt;"DIV"), ((E19*D19)+L19), "")</f>
        <v/>
      </c>
      <c r="N43" s="45">
        <f>IF(AND( C19="Buy", ISBLANK(W19), B19&lt;&gt;"DIV"), D19, "")</f>
        <v/>
      </c>
      <c r="O43" s="43">
        <f>IF(AND( C19="Buy", ISBLANK(W19), B19&lt;&gt;"DIV", NOW()-A19 &lt; 365), P19/sum(F19:I19), "")</f>
        <v/>
      </c>
      <c r="P43" s="44">
        <f>IF(AND( C19="Buy", ISBLANK(W19), B19&lt;&gt;"DIV", NOW()-A19 &lt; 365), (1-Index!$F$2*2)*((J19*D19)-(E19*D19)), "")</f>
        <v/>
      </c>
      <c r="Q43" s="44">
        <f>IF(AND( C19="Buy", ISBLANK(W19), B19&lt;&gt;"DIV", NOW()-A19 &lt; 365), ((E19*D19)+P19), "")</f>
        <v/>
      </c>
      <c r="R43" s="44">
        <f>IF(AND( C19="Buy", ISBLANK(W19), B19&lt;&gt;"DIV", NOW()-A19 &lt; 365), D19, "")</f>
        <v/>
      </c>
      <c r="S43" s="43">
        <f>IF(AND( C19="Buy", ISBLANK(W19), B19&lt;&gt;"DIV", NOW()-A19 &gt; 365), T19/sum(F19:I19), "")</f>
        <v/>
      </c>
      <c r="T43" s="44">
        <f>IF(AND( C19="Buy", ISBLANK(W19), B19&lt;&gt;"DIV", NOW()-A19 &gt; 365), (1-Index!$F$2*2)*((J19*D19)-(E19*D19)), "")</f>
        <v/>
      </c>
      <c r="U43" s="44">
        <f>IF(AND( C19="Buy", ISBLANK(W19), B19&lt;&gt;"DIV", NOW()-A19 &gt; 365), ((E19*D19)+T19), "")</f>
        <v/>
      </c>
      <c r="V43" s="44">
        <f>IF(AND( C19="Buy", ISBLANK(W19), B19&lt;&gt;"DIV", NOW()-A19 &gt; 365), D19, "")</f>
        <v/>
      </c>
      <c r="W43" s="44" t="n"/>
      <c r="X43" s="44" t="n"/>
      <c r="Y43" s="43">
        <f>IF(AND( C19="Buy", W19&lt;&gt;"", AA19&lt;&gt;"", B19&lt;&gt;"DIV"), Z19/sum(F19:I19), "")</f>
        <v/>
      </c>
      <c r="Z43" s="44" t="n"/>
      <c r="AA43" s="44" t="n"/>
      <c r="AB43" s="45" t="n"/>
      <c r="AC43" s="46">
        <f>if(B19="DIV", F19,"")</f>
        <v/>
      </c>
      <c r="AD43" s="47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M966" s="55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M967" s="55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M968" s="55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M969" s="55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M970" s="55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M971" s="55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M972" s="55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M973" s="55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M974" s="55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M975" s="55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M976" s="55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M977" s="55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M978" s="55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M979" s="55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  <row r="983">
      <c r="E983" s="52" t="n"/>
      <c r="F983" s="52" t="n"/>
      <c r="G983" s="53" t="n"/>
      <c r="J983" s="52" t="n"/>
      <c r="K983" s="52" t="n"/>
      <c r="L983" s="52" t="n"/>
      <c r="W983" s="52" t="n"/>
      <c r="X983" s="52" t="n"/>
      <c r="Y983" s="52" t="n"/>
      <c r="Z983" s="52" t="n"/>
      <c r="AA983" s="52" t="n"/>
      <c r="AB983" s="52" t="n"/>
      <c r="AC983" s="52" t="n"/>
    </row>
    <row r="984">
      <c r="E984" s="52" t="n"/>
      <c r="F984" s="52" t="n"/>
      <c r="G984" s="53" t="n"/>
      <c r="J984" s="52" t="n"/>
      <c r="K984" s="52" t="n"/>
      <c r="L984" s="52" t="n"/>
      <c r="W984" s="52" t="n"/>
      <c r="X984" s="52" t="n"/>
      <c r="Y984" s="52" t="n"/>
      <c r="Z984" s="52" t="n"/>
      <c r="AA984" s="52" t="n"/>
      <c r="AB984" s="52" t="n"/>
      <c r="AC984" s="52" t="n"/>
    </row>
    <row r="985">
      <c r="E985" s="52" t="n"/>
      <c r="F985" s="52" t="n"/>
      <c r="G985" s="53" t="n"/>
      <c r="J985" s="52" t="n"/>
      <c r="K985" s="52" t="n"/>
      <c r="L985" s="52" t="n"/>
      <c r="W985" s="52" t="n"/>
      <c r="X985" s="52" t="n"/>
      <c r="Y985" s="52" t="n"/>
      <c r="Z985" s="52" t="n"/>
      <c r="AA985" s="52" t="n"/>
      <c r="AB985" s="52" t="n"/>
      <c r="AC985" s="52" t="n"/>
    </row>
    <row r="986">
      <c r="E986" s="52" t="n"/>
      <c r="F986" s="52" t="n"/>
      <c r="G986" s="53" t="n"/>
      <c r="J986" s="52" t="n"/>
      <c r="K986" s="52" t="n"/>
      <c r="L986" s="52" t="n"/>
      <c r="W986" s="52" t="n"/>
      <c r="X986" s="52" t="n"/>
      <c r="Y986" s="52" t="n"/>
      <c r="Z986" s="52" t="n"/>
      <c r="AA986" s="52" t="n"/>
      <c r="AB986" s="52" t="n"/>
      <c r="AC986" s="52" t="n"/>
    </row>
    <row r="987">
      <c r="E987" s="52" t="n"/>
      <c r="F987" s="52" t="n"/>
      <c r="G987" s="53" t="n"/>
      <c r="J987" s="52" t="n"/>
      <c r="K987" s="52" t="n"/>
      <c r="L987" s="52" t="n"/>
      <c r="W987" s="52" t="n"/>
      <c r="X987" s="52" t="n"/>
      <c r="Y987" s="52" t="n"/>
      <c r="Z987" s="52" t="n"/>
      <c r="AA987" s="52" t="n"/>
      <c r="AB987" s="52" t="n"/>
      <c r="AC987" s="52" t="n"/>
    </row>
    <row r="988">
      <c r="E988" s="52" t="n"/>
      <c r="F988" s="52" t="n"/>
      <c r="G988" s="53" t="n"/>
      <c r="J988" s="52" t="n"/>
      <c r="K988" s="52" t="n"/>
      <c r="L988" s="52" t="n"/>
      <c r="W988" s="52" t="n"/>
      <c r="X988" s="52" t="n"/>
      <c r="Y988" s="52" t="n"/>
      <c r="Z988" s="52" t="n"/>
      <c r="AA988" s="52" t="n"/>
      <c r="AB988" s="52" t="n"/>
      <c r="AC988" s="52" t="n"/>
    </row>
    <row r="989">
      <c r="E989" s="52" t="n"/>
      <c r="F989" s="52" t="n"/>
      <c r="G989" s="53" t="n"/>
      <c r="J989" s="52" t="n"/>
      <c r="K989" s="52" t="n"/>
      <c r="L989" s="52" t="n"/>
      <c r="W989" s="52" t="n"/>
      <c r="X989" s="52" t="n"/>
      <c r="Y989" s="52" t="n"/>
      <c r="Z989" s="52" t="n"/>
      <c r="AA989" s="52" t="n"/>
      <c r="AB989" s="52" t="n"/>
      <c r="AC989" s="52" t="n"/>
    </row>
    <row r="990">
      <c r="E990" s="52" t="n"/>
      <c r="F990" s="52" t="n"/>
      <c r="G990" s="53" t="n"/>
      <c r="J990" s="52" t="n"/>
      <c r="K990" s="52" t="n"/>
      <c r="L990" s="52" t="n"/>
      <c r="W990" s="52" t="n"/>
      <c r="X990" s="52" t="n"/>
      <c r="Y990" s="52" t="n"/>
      <c r="Z990" s="52" t="n"/>
      <c r="AA990" s="52" t="n"/>
      <c r="AB990" s="52" t="n"/>
      <c r="AC990" s="52" t="n"/>
    </row>
    <row r="991">
      <c r="E991" s="52" t="n"/>
      <c r="F991" s="52" t="n"/>
      <c r="G991" s="53" t="n"/>
      <c r="J991" s="52" t="n"/>
      <c r="K991" s="52" t="n"/>
      <c r="L991" s="52" t="n"/>
      <c r="W991" s="52" t="n"/>
      <c r="X991" s="52" t="n"/>
      <c r="Y991" s="52" t="n"/>
      <c r="Z991" s="52" t="n"/>
      <c r="AA991" s="52" t="n"/>
      <c r="AB991" s="52" t="n"/>
      <c r="AC991" s="52" t="n"/>
    </row>
    <row r="992">
      <c r="E992" s="52" t="n"/>
      <c r="F992" s="52" t="n"/>
      <c r="G992" s="53" t="n"/>
      <c r="J992" s="52" t="n"/>
      <c r="K992" s="52" t="n"/>
      <c r="L992" s="52" t="n"/>
      <c r="W992" s="52" t="n"/>
      <c r="X992" s="52" t="n"/>
      <c r="Y992" s="52" t="n"/>
      <c r="Z992" s="52" t="n"/>
      <c r="AA992" s="52" t="n"/>
      <c r="AB992" s="52" t="n"/>
      <c r="AC992" s="52" t="n"/>
    </row>
    <row r="993">
      <c r="E993" s="52" t="n"/>
      <c r="F993" s="52" t="n"/>
      <c r="G993" s="53" t="n"/>
      <c r="J993" s="52" t="n"/>
      <c r="K993" s="52" t="n"/>
      <c r="L993" s="52" t="n"/>
      <c r="W993" s="52" t="n"/>
      <c r="X993" s="52" t="n"/>
      <c r="Y993" s="52" t="n"/>
      <c r="Z993" s="52" t="n"/>
      <c r="AA993" s="52" t="n"/>
      <c r="AB993" s="52" t="n"/>
      <c r="AC993" s="52" t="n"/>
    </row>
    <row r="994">
      <c r="E994" s="52" t="n"/>
      <c r="F994" s="52" t="n"/>
      <c r="G994" s="53" t="n"/>
      <c r="J994" s="52" t="n"/>
      <c r="K994" s="52" t="n"/>
      <c r="L994" s="52" t="n"/>
      <c r="W994" s="52" t="n"/>
      <c r="X994" s="52" t="n"/>
      <c r="Y994" s="52" t="n"/>
      <c r="Z994" s="52" t="n"/>
      <c r="AA994" s="52" t="n"/>
      <c r="AB994" s="52" t="n"/>
      <c r="AC994" s="52" t="n"/>
    </row>
    <row r="995">
      <c r="E995" s="52" t="n"/>
      <c r="F995" s="52" t="n"/>
      <c r="G995" s="53" t="n"/>
      <c r="J995" s="52" t="n"/>
      <c r="K995" s="52" t="n"/>
      <c r="L995" s="52" t="n"/>
      <c r="W995" s="52" t="n"/>
      <c r="X995" s="52" t="n"/>
      <c r="Y995" s="52" t="n"/>
      <c r="Z995" s="52" t="n"/>
      <c r="AA995" s="52" t="n"/>
      <c r="AB995" s="52" t="n"/>
      <c r="AC995" s="52" t="n"/>
    </row>
    <row r="996">
      <c r="E996" s="52" t="n"/>
      <c r="F996" s="52" t="n"/>
      <c r="G996" s="53" t="n"/>
      <c r="J996" s="52" t="n"/>
      <c r="K996" s="52" t="n"/>
      <c r="L996" s="52" t="n"/>
      <c r="W996" s="52" t="n"/>
      <c r="X996" s="52" t="n"/>
      <c r="Y996" s="52" t="n"/>
      <c r="Z996" s="52" t="n"/>
      <c r="AA996" s="52" t="n"/>
      <c r="AB996" s="52" t="n"/>
      <c r="AC996" s="52" t="n"/>
    </row>
  </sheetData>
  <autoFilter ref="$A$4:$AO$49"/>
  <mergeCells count="5">
    <mergeCell ref="W2:AC3"/>
    <mergeCell ref="S3:V3"/>
    <mergeCell ref="K2:V2"/>
    <mergeCell ref="K3:N3"/>
    <mergeCell ref="O3:R3"/>
  </mergeCells>
  <conditionalFormatting sqref="C1:C97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9">
    <cfRule type="expression" priority="5" dxfId="1">
      <formula>NOT(ISBLANK($W5))</formula>
    </cfRule>
  </conditionalFormatting>
  <conditionalFormatting sqref="K5:K19 O5:O19 S5:S1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NSE:IRCTC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""price"")"),628.0)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""high52"")"),820.25)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""low52"")"),596.0)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History'!$B21:$B1007,"DIV",'Trading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2026-02-12T03:15:42Z</dcterms:created>
  <dcterms:modified xmlns:dcterms="http://purl.org/dc/terms/" xmlns:xsi="http://www.w3.org/2001/XMLSchema-instance" xsi:type="dcterms:W3CDTF">2026-02-12T03:25:38Z</dcterms:modified>
</cp:coreProperties>
</file>