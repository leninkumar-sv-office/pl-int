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E2BE3F4_57AA_4AF8_AA24_98CF427FA76E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-mmm-yyyy"/>
    <numFmt numFmtId="166" formatCode="d-mmm-yyyy"/>
    <numFmt numFmtId="167" formatCode="YYYY-MM-DD"/>
    <numFmt numFmtId="168" formatCode="yyyy-mm-dd h:mm:ss"/>
  </numFmts>
  <fonts count="11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6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6" fontId="8" fillId="0" borderId="8" applyAlignment="1" pivotButton="0" quotePrefix="0" xfId="0">
      <alignment horizontal="left" vertical="top"/>
    </xf>
    <xf numFmtId="0" fontId="8" fillId="0" borderId="6" applyAlignment="1" pivotButton="0" quotePrefix="0" xfId="0">
      <alignment horizontal="left" vertical="top"/>
    </xf>
    <xf numFmtId="0" fontId="8" fillId="0" borderId="6" applyAlignment="1" pivotButton="0" quotePrefix="0" xfId="0">
      <alignment horizontal="right" vertical="top"/>
    </xf>
    <xf numFmtId="164" fontId="8" fillId="0" borderId="8" applyAlignment="1" pivotButton="0" quotePrefix="0" xfId="0">
      <alignment horizontal="right" vertical="top"/>
    </xf>
    <xf numFmtId="164" fontId="8" fillId="0" borderId="6" applyAlignment="1" pivotButton="0" quotePrefix="0" xfId="0">
      <alignment horizontal="right" vertical="top"/>
    </xf>
    <xf numFmtId="164" fontId="9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bottom"/>
    </xf>
    <xf numFmtId="9" fontId="10" fillId="0" borderId="0" applyAlignment="1" pivotButton="0" quotePrefix="0" xfId="0">
      <alignment horizontal="right" vertical="bottom"/>
    </xf>
    <xf numFmtId="0" fontId="10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0" fillId="3" borderId="7" applyAlignment="1" pivotButton="0" quotePrefix="0" xfId="0">
      <alignment vertical="bottom"/>
    </xf>
    <xf numFmtId="164" fontId="10" fillId="4" borderId="7" applyAlignment="1" pivotButton="0" quotePrefix="0" xfId="0">
      <alignment vertical="bottom"/>
    </xf>
    <xf numFmtId="164" fontId="10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10" fillId="2" borderId="6" applyAlignment="1" pivotButton="0" quotePrefix="0" xfId="0">
      <alignment vertical="bottom"/>
    </xf>
    <xf numFmtId="164" fontId="10" fillId="3" borderId="6" applyAlignment="1" pivotButton="0" quotePrefix="0" xfId="0">
      <alignment vertical="bottom"/>
    </xf>
    <xf numFmtId="164" fontId="10" fillId="4" borderId="6" applyAlignment="1" pivotButton="0" quotePrefix="0" xfId="0">
      <alignment vertical="bottom"/>
    </xf>
    <xf numFmtId="164" fontId="10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7" fontId="0" fillId="0" borderId="0" pivotButton="0" quotePrefix="0" xfId="0"/>
    <xf numFmtId="0" fontId="10" fillId="0" borderId="6" applyAlignment="1" pivotButton="0" quotePrefix="0" xfId="0">
      <alignment horizontal="center" vertical="bottom"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6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2.8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7.88" customWidth="1" style="91" min="23" max="23"/>
    <col width="10.5" customWidth="1" style="91" min="24" max="24"/>
    <col width="8.8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5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309.55</v>
      </c>
      <c r="F5" t="n">
        <v>3111</v>
      </c>
      <c r="G5" t="inlineStr">
        <is>
          <t>CN#252611604850</t>
        </is>
      </c>
      <c r="I5" t="n">
        <v>15.5</v>
      </c>
      <c r="J5">
        <f>Index!$C$2</f>
        <v/>
      </c>
    </row>
    <row r="6">
      <c r="A6" s="105" t="n">
        <v>46017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404.96</v>
      </c>
      <c r="F6" s="0" t="n">
        <v>4069.82</v>
      </c>
      <c r="G6" s="0" t="inlineStr">
        <is>
          <t>CN#252609810990</t>
        </is>
      </c>
      <c r="I6" s="0" t="n">
        <v>20.22</v>
      </c>
      <c r="J6" s="0">
        <f>Index!$C$2</f>
        <v/>
      </c>
    </row>
    <row r="7">
      <c r="A7" s="105" t="n">
        <v>45975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403.88</v>
      </c>
      <c r="F7" s="0" t="n">
        <v>8118</v>
      </c>
      <c r="G7" s="0" t="inlineStr">
        <is>
          <t>CN#252608199734</t>
        </is>
      </c>
      <c r="I7" s="0" t="n">
        <v>40.4</v>
      </c>
      <c r="J7" s="0">
        <f>Index!$C$2</f>
        <v/>
      </c>
    </row>
    <row r="8">
      <c r="A8" s="105" t="n">
        <v>46063</v>
      </c>
      <c r="B8" s="0" t="inlineStr">
        <is>
          <t>BSE</t>
        </is>
      </c>
      <c r="C8" s="0" t="inlineStr">
        <is>
          <t>Buy</t>
        </is>
      </c>
      <c r="D8" s="0" t="n">
        <v>20</v>
      </c>
      <c r="E8" s="0" t="n">
        <v>321.2</v>
      </c>
      <c r="F8" s="0" t="n">
        <v>6469.65</v>
      </c>
      <c r="G8" s="0" t="inlineStr">
        <is>
          <t>CN#252611730667</t>
        </is>
      </c>
      <c r="H8" s="0" t="n">
        <v>6.41</v>
      </c>
      <c r="I8" s="0" t="n">
        <v>39.24</v>
      </c>
      <c r="J8" s="0">
        <f>Index!$C$2</f>
        <v/>
      </c>
    </row>
    <row r="9">
      <c r="A9" s="105" t="n">
        <v>46062</v>
      </c>
      <c r="B9" s="0" t="inlineStr">
        <is>
          <t>NSE</t>
        </is>
      </c>
      <c r="C9" s="0" t="inlineStr">
        <is>
          <t>Buy</t>
        </is>
      </c>
      <c r="D9" s="0" t="n">
        <v>20</v>
      </c>
      <c r="E9" s="0" t="n">
        <v>323.55</v>
      </c>
      <c r="F9" s="0" t="n">
        <v>6516.89</v>
      </c>
      <c r="G9" s="0" t="inlineStr">
        <is>
          <t>CN#252611665409</t>
        </is>
      </c>
      <c r="H9" s="0" t="n">
        <v>6.45</v>
      </c>
      <c r="I9" s="0" t="n">
        <v>39.44</v>
      </c>
      <c r="J9" s="0">
        <f>Index!$C$2</f>
        <v/>
      </c>
    </row>
    <row r="10">
      <c r="A10" s="104" t="n">
        <v>46057</v>
      </c>
      <c r="B10" s="0" t="inlineStr">
        <is>
          <t>DIV</t>
        </is>
      </c>
      <c r="C10" s="0" t="inlineStr">
        <is>
          <t>Buy</t>
        </is>
      </c>
      <c r="D10" s="0" t="n">
        <v>910</v>
      </c>
      <c r="E10" s="0" t="n">
        <v>6.5</v>
      </c>
      <c r="F10" s="0" t="n">
        <v>5915</v>
      </c>
      <c r="G10" s="0" t="inlineStr">
        <is>
          <t>Interim-Dividend of Rs.6.5000/- per share on Ex-Date: 04-FEB-2026  Interim-Dividend of Rs.6.5000/- per share on Ex-Date: 04-FEB-2026</t>
        </is>
      </c>
      <c r="H10" s="0" t="n">
        <v>0</v>
      </c>
      <c r="I10" s="0" t="n">
        <v>0</v>
      </c>
    </row>
    <row r="11">
      <c r="A11" s="104" t="n">
        <v>46057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313</v>
      </c>
      <c r="F11" s="0" t="n">
        <v>3152.26</v>
      </c>
      <c r="G11" s="0" t="inlineStr">
        <is>
          <t>~</t>
        </is>
      </c>
      <c r="H11" s="0" t="n">
        <v>3.14</v>
      </c>
      <c r="I11" s="0" t="n">
        <v>19.12</v>
      </c>
    </row>
    <row r="12">
      <c r="A12" s="104" t="n">
        <v>46050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320.5</v>
      </c>
      <c r="F12" s="0" t="n">
        <v>3227.72</v>
      </c>
      <c r="G12" s="0" t="inlineStr">
        <is>
          <t>~</t>
        </is>
      </c>
      <c r="H12" s="0" t="n">
        <v>3.23</v>
      </c>
      <c r="I12" s="0" t="n">
        <v>19.49</v>
      </c>
    </row>
    <row r="13">
      <c r="A13" s="104" t="n">
        <v>46049</v>
      </c>
      <c r="B13" s="0" t="inlineStr">
        <is>
          <t>NSE</t>
        </is>
      </c>
      <c r="C13" s="0" t="inlineStr">
        <is>
          <t>Buy</t>
        </is>
      </c>
      <c r="D13" s="0" t="n">
        <v>50</v>
      </c>
      <c r="E13" s="0" t="n">
        <v>322.4</v>
      </c>
      <c r="F13" s="0" t="n">
        <v>16234.16</v>
      </c>
      <c r="G13" s="0" t="inlineStr">
        <is>
          <t>~</t>
        </is>
      </c>
      <c r="H13" s="0" t="n">
        <v>16.1</v>
      </c>
      <c r="I13" s="0" t="n">
        <v>98.06</v>
      </c>
    </row>
    <row r="14">
      <c r="A14" s="104" t="n">
        <v>46044</v>
      </c>
      <c r="B14" s="0" t="inlineStr">
        <is>
          <t>NSE</t>
        </is>
      </c>
      <c r="C14" s="0" t="inlineStr">
        <is>
          <t>Buy</t>
        </is>
      </c>
      <c r="D14" s="0" t="n">
        <v>30</v>
      </c>
      <c r="E14" s="0" t="n">
        <v>324.75</v>
      </c>
      <c r="F14" s="0" t="n">
        <v>9811.459999999999</v>
      </c>
      <c r="G14" s="0" t="inlineStr">
        <is>
          <t>~</t>
        </is>
      </c>
      <c r="H14" s="0" t="n">
        <v>9.76</v>
      </c>
      <c r="I14" s="0" t="n">
        <v>59.2</v>
      </c>
    </row>
    <row r="15">
      <c r="A15" s="104" t="n">
        <v>46042</v>
      </c>
      <c r="B15" s="0" t="inlineStr">
        <is>
          <t>NSE</t>
        </is>
      </c>
      <c r="C15" s="0" t="inlineStr">
        <is>
          <t>Buy</t>
        </is>
      </c>
      <c r="D15" s="0" t="n">
        <v>30</v>
      </c>
      <c r="E15" s="0" t="n">
        <v>332.15</v>
      </c>
      <c r="F15" s="0" t="n">
        <v>10035.15</v>
      </c>
      <c r="G15" s="0" t="inlineStr">
        <is>
          <t>~</t>
        </is>
      </c>
      <c r="H15" s="0" t="n">
        <v>9.970000000000001</v>
      </c>
      <c r="I15" s="0" t="n">
        <v>60.68</v>
      </c>
    </row>
    <row r="16">
      <c r="A16" s="104" t="n">
        <v>46038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335.3</v>
      </c>
      <c r="F16" s="0" t="n">
        <v>3376.78</v>
      </c>
      <c r="G16" s="0" t="inlineStr">
        <is>
          <t>~</t>
        </is>
      </c>
      <c r="H16" s="0" t="n">
        <v>3.35</v>
      </c>
      <c r="I16" s="0" t="n">
        <v>20.43</v>
      </c>
    </row>
    <row r="17">
      <c r="A17" s="104" t="n">
        <v>46034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338.15</v>
      </c>
      <c r="F17" s="0" t="n">
        <v>6810.92</v>
      </c>
      <c r="G17" s="0" t="inlineStr">
        <is>
          <t>~</t>
        </is>
      </c>
      <c r="H17" s="0" t="n">
        <v>6.78</v>
      </c>
      <c r="I17" s="0" t="n">
        <v>41.14</v>
      </c>
    </row>
    <row r="18">
      <c r="A18" s="104" t="n">
        <v>46030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340.85</v>
      </c>
      <c r="F18" s="0" t="n">
        <v>6865.19</v>
      </c>
      <c r="G18" s="0" t="inlineStr">
        <is>
          <t>~</t>
        </is>
      </c>
      <c r="H18" s="0" t="n">
        <v>6.8</v>
      </c>
      <c r="I18" s="0" t="n">
        <v>41.39</v>
      </c>
    </row>
    <row r="19">
      <c r="A19" s="104" t="n">
        <v>46027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350.05</v>
      </c>
      <c r="F19" s="0" t="n">
        <v>7050.59</v>
      </c>
      <c r="G19" s="0" t="inlineStr">
        <is>
          <t>~</t>
        </is>
      </c>
      <c r="H19" s="0" t="n">
        <v>6.98</v>
      </c>
      <c r="I19" s="0" t="n">
        <v>42.61</v>
      </c>
    </row>
    <row r="20">
      <c r="A20" s="104" t="n">
        <v>46024</v>
      </c>
      <c r="B20" s="0" t="inlineStr">
        <is>
          <t>BSE</t>
        </is>
      </c>
      <c r="C20" s="0" t="inlineStr">
        <is>
          <t>Buy</t>
        </is>
      </c>
      <c r="D20" s="0" t="n">
        <v>20</v>
      </c>
      <c r="E20" s="0" t="n">
        <v>350.1</v>
      </c>
      <c r="F20" s="0" t="n">
        <v>7051.72</v>
      </c>
      <c r="G20" s="0" t="inlineStr">
        <is>
          <t>~</t>
        </is>
      </c>
      <c r="H20" s="0" t="n">
        <v>6.95</v>
      </c>
      <c r="I20" s="0" t="n">
        <v>42.77</v>
      </c>
    </row>
    <row r="21">
      <c r="A21" s="104" t="n">
        <v>46023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363.1</v>
      </c>
      <c r="F21" s="0" t="n">
        <v>7313.56</v>
      </c>
      <c r="G21" s="0" t="inlineStr">
        <is>
          <t>~</t>
        </is>
      </c>
      <c r="H21" s="0" t="n">
        <v>7.29</v>
      </c>
      <c r="I21" s="0" t="n">
        <v>44.27</v>
      </c>
    </row>
    <row r="22">
      <c r="A22" s="104" t="n">
        <v>46017</v>
      </c>
      <c r="B22" s="0" t="inlineStr">
        <is>
          <t>NSE</t>
        </is>
      </c>
      <c r="C22" s="0" t="inlineStr">
        <is>
          <t>Buy</t>
        </is>
      </c>
      <c r="D22" s="0" t="n">
        <v>8</v>
      </c>
      <c r="E22" s="0" t="n">
        <v>404.95</v>
      </c>
      <c r="F22" s="0" t="n">
        <v>3262.52</v>
      </c>
      <c r="G22" s="0" t="inlineStr">
        <is>
          <t>~</t>
        </is>
      </c>
      <c r="H22" s="0" t="n">
        <v>3.25</v>
      </c>
      <c r="I22" s="0" t="n">
        <v>19.67</v>
      </c>
    </row>
    <row r="23">
      <c r="A23" s="104" t="n">
        <v>46017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405</v>
      </c>
      <c r="F23" s="0" t="n">
        <v>815.75</v>
      </c>
      <c r="G23" s="0" t="inlineStr">
        <is>
          <t>~</t>
        </is>
      </c>
      <c r="H23" s="0" t="n">
        <v>0.8100000000000001</v>
      </c>
      <c r="I23" s="0" t="n">
        <v>4.94</v>
      </c>
    </row>
    <row r="24">
      <c r="A24" s="104" t="n">
        <v>46015</v>
      </c>
      <c r="B24" s="0" t="inlineStr">
        <is>
          <t>BSE</t>
        </is>
      </c>
      <c r="C24" s="0" t="inlineStr">
        <is>
          <t>Buy</t>
        </is>
      </c>
      <c r="D24" s="0" t="n">
        <v>10</v>
      </c>
      <c r="E24" s="0" t="n">
        <v>408</v>
      </c>
      <c r="F24" s="0" t="n">
        <v>4108.93</v>
      </c>
      <c r="G24" s="0" t="inlineStr">
        <is>
          <t>~</t>
        </is>
      </c>
      <c r="H24" s="0" t="n">
        <v>4.06</v>
      </c>
      <c r="I24" s="0" t="n">
        <v>24.87</v>
      </c>
    </row>
    <row r="25">
      <c r="A25" s="104" t="n">
        <v>46014</v>
      </c>
      <c r="B25" s="0" t="inlineStr">
        <is>
          <t>BSE</t>
        </is>
      </c>
      <c r="C25" s="0" t="inlineStr">
        <is>
          <t>Buy</t>
        </is>
      </c>
      <c r="D25" s="0" t="n">
        <v>10</v>
      </c>
      <c r="E25" s="0" t="n">
        <v>404</v>
      </c>
      <c r="F25" s="0" t="n">
        <v>4068.63</v>
      </c>
      <c r="G25" s="0" t="inlineStr">
        <is>
          <t>~</t>
        </is>
      </c>
      <c r="H25" s="0" t="n">
        <v>4.02</v>
      </c>
      <c r="I25" s="0" t="n">
        <v>24.61</v>
      </c>
    </row>
    <row r="26">
      <c r="A26" s="104" t="n">
        <v>46009</v>
      </c>
      <c r="B26" s="0" t="inlineStr">
        <is>
          <t>BSE</t>
        </is>
      </c>
      <c r="C26" s="0" t="inlineStr">
        <is>
          <t>Buy</t>
        </is>
      </c>
      <c r="D26" s="0" t="n">
        <v>10</v>
      </c>
      <c r="E26" s="0" t="n">
        <v>400.8</v>
      </c>
      <c r="F26" s="0" t="n">
        <v>4036.38</v>
      </c>
      <c r="G26" s="0" t="inlineStr">
        <is>
          <t>~</t>
        </is>
      </c>
      <c r="H26" s="0" t="n">
        <v>4.02</v>
      </c>
      <c r="I26" s="0" t="n">
        <v>24.36</v>
      </c>
    </row>
    <row r="27">
      <c r="A27" s="104" t="n">
        <v>46008</v>
      </c>
      <c r="B27" s="0" t="inlineStr">
        <is>
          <t>BSE</t>
        </is>
      </c>
      <c r="C27" s="0" t="inlineStr">
        <is>
          <t>Buy</t>
        </is>
      </c>
      <c r="D27" s="0" t="n">
        <v>10</v>
      </c>
      <c r="E27" s="0" t="n">
        <v>400.85</v>
      </c>
      <c r="F27" s="0" t="n">
        <v>4036.88</v>
      </c>
      <c r="G27" s="0" t="inlineStr">
        <is>
          <t>~</t>
        </is>
      </c>
      <c r="H27" s="0" t="n">
        <v>4.03</v>
      </c>
      <c r="I27" s="0" t="n">
        <v>24.35</v>
      </c>
    </row>
    <row r="28">
      <c r="A28" s="104" t="n">
        <v>46007</v>
      </c>
      <c r="B28" s="0" t="inlineStr">
        <is>
          <t>NSE</t>
        </is>
      </c>
      <c r="C28" s="0" t="inlineStr">
        <is>
          <t>Buy</t>
        </is>
      </c>
      <c r="D28" s="0" t="n">
        <v>10</v>
      </c>
      <c r="E28" s="0" t="n">
        <v>404.7</v>
      </c>
      <c r="F28" s="0" t="n">
        <v>4075.64</v>
      </c>
      <c r="G28" s="0" t="inlineStr">
        <is>
          <t>~</t>
        </is>
      </c>
      <c r="H28" s="0" t="n">
        <v>4.04</v>
      </c>
      <c r="I28" s="0" t="n">
        <v>24.6</v>
      </c>
    </row>
    <row r="29">
      <c r="A29" s="104" t="n">
        <v>46002</v>
      </c>
      <c r="B29" s="0" t="inlineStr">
        <is>
          <t>BSE</t>
        </is>
      </c>
      <c r="C29" s="0" t="inlineStr">
        <is>
          <t>Buy</t>
        </is>
      </c>
      <c r="D29" s="0" t="n">
        <v>20</v>
      </c>
      <c r="E29" s="0" t="n">
        <v>402.35</v>
      </c>
      <c r="F29" s="0" t="n">
        <v>8104.09</v>
      </c>
      <c r="G29" s="0" t="inlineStr">
        <is>
          <t>~</t>
        </is>
      </c>
      <c r="H29" s="0" t="n">
        <v>8.09</v>
      </c>
      <c r="I29" s="0" t="n">
        <v>49</v>
      </c>
    </row>
    <row r="30">
      <c r="A30" s="104" t="n">
        <v>46000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403</v>
      </c>
      <c r="F30" s="0" t="n">
        <v>4058.61</v>
      </c>
      <c r="G30" s="0" t="inlineStr">
        <is>
          <t>~</t>
        </is>
      </c>
      <c r="H30" s="0" t="n">
        <v>4.02</v>
      </c>
      <c r="I30" s="0" t="n">
        <v>24.59</v>
      </c>
    </row>
    <row r="31">
      <c r="A31" s="104" t="n">
        <v>45996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402.8</v>
      </c>
      <c r="F31" s="0" t="n">
        <v>4056.49</v>
      </c>
      <c r="G31" s="0" t="inlineStr">
        <is>
          <t>~</t>
        </is>
      </c>
      <c r="H31" s="0" t="n">
        <v>4.01</v>
      </c>
      <c r="I31" s="0" t="n">
        <v>24.48</v>
      </c>
    </row>
    <row r="32">
      <c r="A32" s="104" t="n">
        <v>45995</v>
      </c>
      <c r="B32" s="0" t="inlineStr">
        <is>
          <t>BSE</t>
        </is>
      </c>
      <c r="C32" s="0" t="inlineStr">
        <is>
          <t>Buy</t>
        </is>
      </c>
      <c r="D32" s="0" t="n">
        <v>10</v>
      </c>
      <c r="E32" s="0" t="n">
        <v>402.5</v>
      </c>
      <c r="F32" s="0" t="n">
        <v>4053.53</v>
      </c>
      <c r="G32" s="0" t="inlineStr">
        <is>
          <t>~</t>
        </is>
      </c>
      <c r="H32" s="0" t="n">
        <v>3.99</v>
      </c>
      <c r="I32" s="0" t="n">
        <v>24.54</v>
      </c>
    </row>
    <row r="33">
      <c r="A33" s="104" t="n">
        <v>45993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401.6</v>
      </c>
      <c r="F33" s="0" t="n">
        <v>4044.49</v>
      </c>
      <c r="G33" s="0" t="inlineStr">
        <is>
          <t>~</t>
        </is>
      </c>
      <c r="H33" s="0" t="n">
        <v>4.05</v>
      </c>
      <c r="I33" s="0" t="n">
        <v>24.44</v>
      </c>
    </row>
    <row r="34">
      <c r="A34" s="104" t="n">
        <v>45989</v>
      </c>
      <c r="B34" s="0" t="inlineStr">
        <is>
          <t>NSE</t>
        </is>
      </c>
      <c r="C34" s="0" t="inlineStr">
        <is>
          <t>Buy</t>
        </is>
      </c>
      <c r="D34" s="0" t="n">
        <v>10</v>
      </c>
      <c r="E34" s="0" t="n">
        <v>403.7</v>
      </c>
      <c r="F34" s="0" t="n">
        <v>4065.64</v>
      </c>
      <c r="G34" s="0" t="inlineStr">
        <is>
          <t>~</t>
        </is>
      </c>
      <c r="H34" s="0" t="n">
        <v>4.03</v>
      </c>
      <c r="I34" s="0" t="n">
        <v>24.61</v>
      </c>
    </row>
    <row r="35">
      <c r="A35" s="104" t="n">
        <v>45988</v>
      </c>
      <c r="B35" s="0" t="inlineStr">
        <is>
          <t>BSE</t>
        </is>
      </c>
      <c r="C35" s="0" t="inlineStr">
        <is>
          <t>Buy</t>
        </is>
      </c>
      <c r="D35" s="0" t="n">
        <v>10</v>
      </c>
      <c r="E35" s="0" t="n">
        <v>402.8</v>
      </c>
      <c r="F35" s="0" t="n">
        <v>4056.51</v>
      </c>
      <c r="G35" s="0" t="inlineStr">
        <is>
          <t>~</t>
        </is>
      </c>
      <c r="H35" s="0" t="n">
        <v>4.01</v>
      </c>
      <c r="I35" s="0" t="n">
        <v>24.5</v>
      </c>
    </row>
    <row r="36">
      <c r="A36" s="104" t="n">
        <v>45982</v>
      </c>
      <c r="B36" s="0" t="inlineStr">
        <is>
          <t>NSE</t>
        </is>
      </c>
      <c r="C36" s="0" t="inlineStr">
        <is>
          <t>Buy</t>
        </is>
      </c>
      <c r="D36" s="0" t="n">
        <v>20</v>
      </c>
      <c r="E36" s="0" t="n">
        <v>407.55</v>
      </c>
      <c r="F36" s="0" t="n">
        <v>8208.790000000001</v>
      </c>
      <c r="G36" s="0" t="inlineStr">
        <is>
          <t>~</t>
        </is>
      </c>
      <c r="H36" s="0" t="n">
        <v>8.140000000000001</v>
      </c>
      <c r="I36" s="0" t="n">
        <v>49.65</v>
      </c>
    </row>
    <row r="37">
      <c r="A37" s="104" t="n">
        <v>45981</v>
      </c>
      <c r="B37" s="0" t="inlineStr">
        <is>
          <t>BSE</t>
        </is>
      </c>
      <c r="C37" s="0" t="inlineStr">
        <is>
          <t>Buy</t>
        </is>
      </c>
      <c r="D37" s="0" t="n">
        <v>20</v>
      </c>
      <c r="E37" s="0" t="n">
        <v>404.9</v>
      </c>
      <c r="F37" s="0" t="n">
        <v>8155.36</v>
      </c>
      <c r="G37" s="0" t="inlineStr">
        <is>
          <t>~</t>
        </is>
      </c>
      <c r="H37" s="0" t="n">
        <v>8.050000000000001</v>
      </c>
      <c r="I37" s="0" t="n">
        <v>49.31</v>
      </c>
    </row>
    <row r="38">
      <c r="A38" s="104" t="n">
        <v>45979</v>
      </c>
      <c r="B38" s="0" t="inlineStr">
        <is>
          <t>BSE</t>
        </is>
      </c>
      <c r="C38" s="0" t="inlineStr">
        <is>
          <t>Buy</t>
        </is>
      </c>
      <c r="D38" s="0" t="n">
        <v>30</v>
      </c>
      <c r="E38" s="0" t="n">
        <v>405.9</v>
      </c>
      <c r="F38" s="0" t="n">
        <v>12263.48</v>
      </c>
      <c r="G38" s="0" t="inlineStr">
        <is>
          <t>~</t>
        </is>
      </c>
      <c r="H38" s="0" t="n">
        <v>12.23</v>
      </c>
      <c r="I38" s="0" t="n">
        <v>74.25</v>
      </c>
    </row>
    <row r="39">
      <c r="A39" s="104" t="n">
        <v>45978</v>
      </c>
      <c r="B39" s="0" t="inlineStr">
        <is>
          <t>NSE</t>
        </is>
      </c>
      <c r="C39" s="0" t="inlineStr">
        <is>
          <t>Buy</t>
        </is>
      </c>
      <c r="D39" s="0" t="n">
        <v>20</v>
      </c>
      <c r="E39" s="0" t="n">
        <v>409.8</v>
      </c>
      <c r="F39" s="0" t="n">
        <v>8254.120000000001</v>
      </c>
      <c r="G39" s="0" t="inlineStr">
        <is>
          <t>~</t>
        </is>
      </c>
      <c r="H39" s="0" t="n">
        <v>8.24</v>
      </c>
      <c r="I39" s="0" t="n">
        <v>49.88</v>
      </c>
    </row>
    <row r="40">
      <c r="A40" s="104" t="n">
        <v>45975</v>
      </c>
      <c r="B40" s="0" t="inlineStr">
        <is>
          <t>NSE</t>
        </is>
      </c>
      <c r="C40" s="0" t="inlineStr">
        <is>
          <t>Buy</t>
        </is>
      </c>
      <c r="D40" s="0" t="n">
        <v>12</v>
      </c>
      <c r="E40" s="0" t="n">
        <v>403.9</v>
      </c>
      <c r="F40" s="0" t="n">
        <v>4881.14</v>
      </c>
      <c r="G40" s="0" t="inlineStr">
        <is>
          <t>~</t>
        </is>
      </c>
      <c r="H40" s="0" t="n">
        <v>4.86</v>
      </c>
      <c r="I40" s="0" t="n">
        <v>29.48</v>
      </c>
    </row>
    <row r="41">
      <c r="A41" s="104" t="n">
        <v>45975</v>
      </c>
      <c r="B41" s="0" t="inlineStr">
        <is>
          <t>NSE</t>
        </is>
      </c>
      <c r="C41" s="0" t="inlineStr">
        <is>
          <t>Buy</t>
        </is>
      </c>
      <c r="D41" s="0" t="n">
        <v>8</v>
      </c>
      <c r="E41" s="0" t="n">
        <v>403.85</v>
      </c>
      <c r="F41" s="0" t="n">
        <v>3253.69</v>
      </c>
      <c r="G41" s="0" t="inlineStr">
        <is>
          <t>~</t>
        </is>
      </c>
      <c r="H41" s="0" t="n">
        <v>3.24</v>
      </c>
      <c r="I41" s="0" t="n">
        <v>19.65</v>
      </c>
    </row>
    <row r="42">
      <c r="A42" s="104" t="n">
        <v>45974</v>
      </c>
      <c r="B42" s="0" t="inlineStr">
        <is>
          <t>BSE</t>
        </is>
      </c>
      <c r="C42" s="0" t="inlineStr">
        <is>
          <t>Buy</t>
        </is>
      </c>
      <c r="D42" s="0" t="n">
        <v>20</v>
      </c>
      <c r="E42" s="0" t="n">
        <v>407</v>
      </c>
      <c r="F42" s="0" t="n">
        <v>8197.879999999999</v>
      </c>
      <c r="G42" s="0" t="inlineStr">
        <is>
          <t>~</t>
        </is>
      </c>
      <c r="H42" s="0" t="n">
        <v>8.1</v>
      </c>
      <c r="I42" s="0" t="n">
        <v>49.78</v>
      </c>
    </row>
    <row r="43">
      <c r="A43" s="104" t="n">
        <v>45972</v>
      </c>
      <c r="B43" s="0" t="inlineStr">
        <is>
          <t>BSE</t>
        </is>
      </c>
      <c r="C43" s="0" t="inlineStr">
        <is>
          <t>Buy</t>
        </is>
      </c>
      <c r="D43" s="0" t="n">
        <v>10</v>
      </c>
      <c r="E43" s="0" t="n">
        <v>406.6</v>
      </c>
      <c r="F43" s="0" t="n">
        <v>4094.8</v>
      </c>
      <c r="G43" s="0" t="inlineStr">
        <is>
          <t>~</t>
        </is>
      </c>
      <c r="H43" s="0" t="n">
        <v>4.04</v>
      </c>
      <c r="I43" s="0" t="n">
        <v>24.76</v>
      </c>
    </row>
    <row r="44">
      <c r="A44" s="104" t="n">
        <v>45971</v>
      </c>
      <c r="B44" s="0" t="inlineStr">
        <is>
          <t>NSE</t>
        </is>
      </c>
      <c r="C44" s="0" t="inlineStr">
        <is>
          <t>Buy</t>
        </is>
      </c>
      <c r="D44" s="0" t="n">
        <v>20</v>
      </c>
      <c r="E44" s="0" t="n">
        <v>406</v>
      </c>
      <c r="F44" s="0" t="n">
        <v>8177.46</v>
      </c>
      <c r="G44" s="0" t="inlineStr">
        <is>
          <t>~</t>
        </is>
      </c>
      <c r="H44" s="0" t="n">
        <v>8.07</v>
      </c>
      <c r="I44" s="0" t="n">
        <v>49.39</v>
      </c>
    </row>
    <row r="45">
      <c r="A45" s="104" t="n">
        <v>45968</v>
      </c>
      <c r="B45" s="0" t="inlineStr">
        <is>
          <t>NSE</t>
        </is>
      </c>
      <c r="C45" s="0" t="inlineStr">
        <is>
          <t>Buy</t>
        </is>
      </c>
      <c r="D45" s="0" t="n">
        <v>10</v>
      </c>
      <c r="E45" s="0" t="n">
        <v>407.45</v>
      </c>
      <c r="F45" s="0" t="n">
        <v>4103.42</v>
      </c>
      <c r="G45" s="0" t="inlineStr">
        <is>
          <t>~</t>
        </is>
      </c>
      <c r="H45" s="0" t="n">
        <v>4.07</v>
      </c>
      <c r="I45" s="0" t="n">
        <v>24.85</v>
      </c>
    </row>
    <row r="46">
      <c r="A46" s="104" t="n">
        <v>45959</v>
      </c>
      <c r="B46" s="0" t="inlineStr">
        <is>
          <t>NSE</t>
        </is>
      </c>
      <c r="C46" s="0" t="inlineStr">
        <is>
          <t>Buy</t>
        </is>
      </c>
      <c r="D46" s="0" t="n">
        <v>8</v>
      </c>
      <c r="E46" s="0" t="n">
        <v>417.05</v>
      </c>
      <c r="F46" s="0" t="n">
        <v>3360.06</v>
      </c>
      <c r="G46" s="0" t="inlineStr">
        <is>
          <t>~</t>
        </is>
      </c>
      <c r="H46" s="0" t="n">
        <v>3.33</v>
      </c>
      <c r="I46" s="0" t="n">
        <v>20.33</v>
      </c>
    </row>
    <row r="47">
      <c r="A47" s="104" t="n">
        <v>45957</v>
      </c>
      <c r="B47" s="0" t="inlineStr">
        <is>
          <t>NSE</t>
        </is>
      </c>
      <c r="C47" s="0" t="inlineStr">
        <is>
          <t>Buy</t>
        </is>
      </c>
      <c r="D47" s="0" t="n">
        <v>10</v>
      </c>
      <c r="E47" s="0" t="n">
        <v>422.15</v>
      </c>
      <c r="F47" s="0" t="n">
        <v>4251.41</v>
      </c>
      <c r="G47" s="0" t="inlineStr">
        <is>
          <t>~</t>
        </is>
      </c>
      <c r="H47" s="0" t="n">
        <v>4.23</v>
      </c>
      <c r="I47" s="0" t="n">
        <v>25.68</v>
      </c>
    </row>
    <row r="48">
      <c r="A48" s="104" t="n">
        <v>45954</v>
      </c>
      <c r="B48" s="0" t="inlineStr">
        <is>
          <t>BSE</t>
        </is>
      </c>
      <c r="C48" s="0" t="inlineStr">
        <is>
          <t>Buy</t>
        </is>
      </c>
      <c r="D48" s="0" t="n">
        <v>10</v>
      </c>
      <c r="E48" s="0" t="n">
        <v>414.95</v>
      </c>
      <c r="F48" s="0" t="n">
        <v>4178.87</v>
      </c>
      <c r="G48" s="0" t="inlineStr">
        <is>
          <t>~</t>
        </is>
      </c>
      <c r="H48" s="0" t="n">
        <v>4.15</v>
      </c>
      <c r="I48" s="0" t="n">
        <v>25.22</v>
      </c>
    </row>
    <row r="49">
      <c r="A49" s="104" t="n">
        <v>45953</v>
      </c>
      <c r="B49" s="0" t="inlineStr">
        <is>
          <t>NSE</t>
        </is>
      </c>
      <c r="C49" s="0" t="inlineStr">
        <is>
          <t>Buy</t>
        </is>
      </c>
      <c r="D49" s="0" t="n">
        <v>10</v>
      </c>
      <c r="E49" s="0" t="n">
        <v>419.15</v>
      </c>
      <c r="F49" s="0" t="n">
        <v>4221.24</v>
      </c>
      <c r="G49" s="0" t="inlineStr">
        <is>
          <t>~</t>
        </is>
      </c>
      <c r="H49" s="0" t="n">
        <v>4.18</v>
      </c>
      <c r="I49" s="0" t="n">
        <v>25.56</v>
      </c>
    </row>
    <row r="50">
      <c r="A50" s="104" t="n">
        <v>45950</v>
      </c>
      <c r="B50" s="0" t="inlineStr">
        <is>
          <t>BSE</t>
        </is>
      </c>
      <c r="C50" s="0" t="inlineStr">
        <is>
          <t>Buy</t>
        </is>
      </c>
      <c r="D50" s="0" t="n">
        <v>10</v>
      </c>
      <c r="E50" s="0" t="n">
        <v>413.55</v>
      </c>
      <c r="F50" s="0" t="n">
        <v>4164.87</v>
      </c>
      <c r="G50" s="0" t="inlineStr">
        <is>
          <t>~</t>
        </is>
      </c>
      <c r="H50" s="0" t="n">
        <v>4.14</v>
      </c>
      <c r="I50" s="0" t="n">
        <v>25.23</v>
      </c>
    </row>
    <row r="51">
      <c r="A51" s="104" t="n">
        <v>45947</v>
      </c>
      <c r="B51" s="0" t="inlineStr">
        <is>
          <t>BSE</t>
        </is>
      </c>
      <c r="C51" s="0" t="inlineStr">
        <is>
          <t>Buy</t>
        </is>
      </c>
      <c r="D51" s="0" t="n">
        <v>16</v>
      </c>
      <c r="E51" s="0" t="n">
        <v>410.25</v>
      </c>
      <c r="F51" s="0" t="n">
        <v>6610.54</v>
      </c>
      <c r="G51" s="0" t="inlineStr">
        <is>
          <t>~</t>
        </is>
      </c>
      <c r="H51" s="0" t="n">
        <v>6.57</v>
      </c>
      <c r="I51" s="0" t="n">
        <v>39.97</v>
      </c>
    </row>
    <row r="52">
      <c r="A52" s="104" t="n">
        <v>45924</v>
      </c>
      <c r="B52" s="0" t="inlineStr">
        <is>
          <t>BSE</t>
        </is>
      </c>
      <c r="C52" s="0" t="inlineStr">
        <is>
          <t>Buy</t>
        </is>
      </c>
      <c r="D52" s="0" t="n">
        <v>20</v>
      </c>
      <c r="E52" s="0" t="n">
        <v>402.05</v>
      </c>
      <c r="F52" s="0" t="n">
        <v>8098.04</v>
      </c>
      <c r="G52" s="0" t="inlineStr">
        <is>
          <t>~</t>
        </is>
      </c>
      <c r="H52" s="0" t="n">
        <v>8.01</v>
      </c>
      <c r="I52" s="0" t="n">
        <v>49.03</v>
      </c>
    </row>
    <row r="53">
      <c r="A53" s="104" t="n">
        <v>45897</v>
      </c>
      <c r="B53" s="0" t="inlineStr">
        <is>
          <t>NSE</t>
        </is>
      </c>
      <c r="C53" s="0" t="inlineStr">
        <is>
          <t>Buy</t>
        </is>
      </c>
      <c r="D53" s="0" t="n">
        <v>10</v>
      </c>
      <c r="E53" s="0" t="n">
        <v>401.35</v>
      </c>
      <c r="F53" s="0" t="n">
        <v>4042.01</v>
      </c>
      <c r="G53" s="0" t="inlineStr">
        <is>
          <t>~</t>
        </is>
      </c>
      <c r="H53" s="0" t="n">
        <v>4.01</v>
      </c>
      <c r="I53" s="0" t="n">
        <v>24.5</v>
      </c>
    </row>
    <row r="54">
      <c r="A54" s="38" t="n">
        <v>45950</v>
      </c>
      <c r="B54" s="39" t="inlineStr">
        <is>
          <t>NSE</t>
        </is>
      </c>
      <c r="C54" s="39" t="inlineStr">
        <is>
          <t>Buy</t>
        </is>
      </c>
      <c r="D54" s="40" t="n">
        <v>10</v>
      </c>
      <c r="E54" s="41" t="n">
        <v>416.49</v>
      </c>
      <c r="F54" s="41">
        <f>(D5*E5)</f>
        <v/>
      </c>
      <c r="G54" s="39" t="inlineStr">
        <is>
          <t>~</t>
        </is>
      </c>
      <c r="H54" s="41" t="n"/>
      <c r="I54" s="40" t="n"/>
      <c r="J54" s="42">
        <f>Index!$C$2</f>
        <v/>
      </c>
      <c r="K54" s="43">
        <f>IF(AND( C5="Buy", ISBLANK(W5), B5&lt;&gt;"DIV"), L5/sum(F5:I5), "")</f>
        <v/>
      </c>
      <c r="L54" s="44">
        <f>IF(AND( C5="Buy", ISBLANK(W5), B5&lt;&gt;"DIV"), (1-Index!$F$2*2)*((J5*D5)-(E5*D5)), "")</f>
        <v/>
      </c>
      <c r="M54" s="44">
        <f>IF(AND( C5="Buy", ISBLANK(W5), B5&lt;&gt;"DIV"), ((E5*D5)+L5), "")</f>
        <v/>
      </c>
      <c r="N54" s="45">
        <f>IF(AND( C5="Buy", ISBLANK(W5), B5&lt;&gt;"DIV"), D5, "")</f>
        <v/>
      </c>
      <c r="O54" s="43">
        <f>IF(AND( C5="Buy", ISBLANK(W5), B5&lt;&gt;"DIV", NOW()-A5 &lt; 365), P5/sum(F5:I5), "")</f>
        <v/>
      </c>
      <c r="P54" s="44">
        <f>IF(AND( C5="Buy", ISBLANK(W5), B5&lt;&gt;"DIV", NOW()-A5 &lt; 365), (1-Index!$F$2*2)*((J5*D5)-(E5*D5)), "")</f>
        <v/>
      </c>
      <c r="Q54" s="44">
        <f>IF(AND( C5="Buy", ISBLANK(W5), B5&lt;&gt;"DIV", NOW()-A5 &lt; 365), ((E5*D5)+P5), "")</f>
        <v/>
      </c>
      <c r="R54" s="44">
        <f>IF(AND( C5="Buy", ISBLANK(W5), B5&lt;&gt;"DIV", NOW()-A5 &lt; 365), D5, "")</f>
        <v/>
      </c>
      <c r="S54" s="46">
        <f>IF(AND( C5="Buy", ISBLANK(W5), B5&lt;&gt;"DIV", NOW()-A5 &gt; 365), T5/sum(F5:I5), "")</f>
        <v/>
      </c>
      <c r="T54" s="47">
        <f>IF(AND( C5="Buy", ISBLANK(W5), B5&lt;&gt;"DIV", NOW()-A5 &gt; 365), (1-Index!$F$2*2)*((J5*D5)-(E5*D5)), "")</f>
        <v/>
      </c>
      <c r="U54" s="47">
        <f>IF(AND( C5="Buy", ISBLANK(W5), B5&lt;&gt;"DIV", NOW()-A5 &gt; 365), ((E5*D5)+T5), "")</f>
        <v/>
      </c>
      <c r="V54" s="47">
        <f>IF(AND( C5="Buy", ISBLANK(W5), B5&lt;&gt;"DIV", NOW()-A5 &gt; 365), D5, "")</f>
        <v/>
      </c>
      <c r="W54" s="49" t="n"/>
      <c r="X54" s="49" t="n"/>
      <c r="Y54" s="46">
        <f>IF(AND( C5="Buy", W5&lt;&gt;"", AA5&lt;&gt;"", B5&lt;&gt;"DIV"), Z5/sum(F5:I5), "")</f>
        <v/>
      </c>
      <c r="Z54" s="49" t="n"/>
      <c r="AA54" s="49" t="n"/>
      <c r="AB54" s="50" t="n"/>
      <c r="AC54" s="49">
        <f>if(B5="DIV", F5,"")</f>
        <v/>
      </c>
      <c r="AD54" s="51" t="n"/>
    </row>
    <row r="55">
      <c r="A55" s="38" t="n">
        <v>45947</v>
      </c>
      <c r="B55" s="39" t="inlineStr">
        <is>
          <t>NSE</t>
        </is>
      </c>
      <c r="C55" s="39" t="inlineStr">
        <is>
          <t>Buy</t>
        </is>
      </c>
      <c r="D55" s="40" t="n">
        <v>16</v>
      </c>
      <c r="E55" s="41" t="n">
        <v>413.16</v>
      </c>
      <c r="F55" s="41">
        <f>(D6*E6)+I6</f>
        <v/>
      </c>
      <c r="G55" s="39" t="inlineStr">
        <is>
          <t>~</t>
        </is>
      </c>
      <c r="H55" s="41" t="n"/>
      <c r="I55" s="40" t="n"/>
      <c r="J55" s="42">
        <f>Index!$C$2</f>
        <v/>
      </c>
      <c r="K55" s="43">
        <f>IF(AND( C6="Buy", ISBLANK(W6), B6&lt;&gt;"DIV"), L6/sum(F6:I6), "")</f>
        <v/>
      </c>
      <c r="L55" s="44">
        <f>IF(AND( C6="Buy", ISBLANK(W6), B6&lt;&gt;"DIV"), (1-Index!$F$2*2)*((J6*D6)-(E6*D6)), "")</f>
        <v/>
      </c>
      <c r="M55" s="44">
        <f>IF(AND( C6="Buy", ISBLANK(W6), B6&lt;&gt;"DIV"), ((E6*D6)+L6), "")</f>
        <v/>
      </c>
      <c r="N55" s="45">
        <f>IF(AND( C6="Buy", ISBLANK(W6), B6&lt;&gt;"DIV"), D6, "")</f>
        <v/>
      </c>
      <c r="O55" s="43">
        <f>IF(AND( C6="Buy", ISBLANK(W6), B6&lt;&gt;"DIV", NOW()-A6 &lt; 365), P6/sum(F6:I6), "")</f>
        <v/>
      </c>
      <c r="P55" s="44">
        <f>IF(AND( C6="Buy", ISBLANK(W6), B6&lt;&gt;"DIV", NOW()-A6 &lt; 365), (1-Index!$F$2*2)*((J6*D6)-(E6*D6)), "")</f>
        <v/>
      </c>
      <c r="Q55" s="44">
        <f>IF(AND( C6="Buy", ISBLANK(W6), B6&lt;&gt;"DIV", NOW()-A6 &lt; 365), ((E6*D6)+P6), "")</f>
        <v/>
      </c>
      <c r="R55" s="44">
        <f>IF(AND( C6="Buy", ISBLANK(W6), B6&lt;&gt;"DIV", NOW()-A6 &lt; 365), D6, "")</f>
        <v/>
      </c>
      <c r="S55" s="46">
        <f>IF(AND( C6="Buy", ISBLANK(W6), B6&lt;&gt;"DIV", NOW()-A6 &gt; 365), T6/sum(F6:I6), "")</f>
        <v/>
      </c>
      <c r="T55" s="47">
        <f>IF(AND( C6="Buy", ISBLANK(W6), B6&lt;&gt;"DIV", NOW()-A6 &gt; 365), (1-Index!$F$2*2)*((J6*D6)-(E6*D6)), "")</f>
        <v/>
      </c>
      <c r="U55" s="47">
        <f>IF(AND( C6="Buy", ISBLANK(W6), B6&lt;&gt;"DIV", NOW()-A6 &gt; 365), ((E6*D6)+T6), "")</f>
        <v/>
      </c>
      <c r="V55" s="47">
        <f>IF(AND( C6="Buy", ISBLANK(W6), B6&lt;&gt;"DIV", NOW()-A6 &gt; 365), D6, "")</f>
        <v/>
      </c>
      <c r="W55" s="49" t="n"/>
      <c r="X55" s="49" t="n"/>
      <c r="Y55" s="46">
        <f>IF(AND( C6="Buy", W6&lt;&gt;"", AA6&lt;&gt;"", B6&lt;&gt;"DIV"), Z6/sum(F6:I6), "")</f>
        <v/>
      </c>
      <c r="Z55" s="49" t="n"/>
      <c r="AA55" s="49" t="n"/>
      <c r="AB55" s="50" t="n"/>
      <c r="AC55" s="49">
        <f>if(B6="DIV", F6,"")</f>
        <v/>
      </c>
      <c r="AD55" s="51" t="n"/>
    </row>
    <row r="56">
      <c r="A56" s="52" t="n">
        <v>45924</v>
      </c>
      <c r="B56" s="39" t="inlineStr">
        <is>
          <t>NSE</t>
        </is>
      </c>
      <c r="C56" s="39" t="inlineStr">
        <is>
          <t>Buy</t>
        </is>
      </c>
      <c r="D56" s="40" t="n">
        <v>20</v>
      </c>
      <c r="E56" s="41" t="n">
        <v>404.9</v>
      </c>
      <c r="F56" s="41">
        <f>(D7*E7)+I7</f>
        <v/>
      </c>
      <c r="G56" s="39" t="inlineStr">
        <is>
          <t>~</t>
        </is>
      </c>
      <c r="H56" s="41" t="n"/>
      <c r="I56" s="40" t="n"/>
      <c r="J56" s="42">
        <f>Index!$C$2</f>
        <v/>
      </c>
      <c r="K56" s="43">
        <f>IF(AND( C7="Buy", ISBLANK(W7), B7&lt;&gt;"DIV"), L7/sum(F7:I7), "")</f>
        <v/>
      </c>
      <c r="L56" s="44">
        <f>IF(AND( C7="Buy", ISBLANK(W7), B7&lt;&gt;"DIV"), (1-Index!$F$2*2)*((J7*D7)-(E7*D7)), "")</f>
        <v/>
      </c>
      <c r="M56" s="44">
        <f>IF(AND( C7="Buy", ISBLANK(W7), B7&lt;&gt;"DIV"), ((E7*D7)+L7), "")</f>
        <v/>
      </c>
      <c r="N56" s="45">
        <f>IF(AND( C7="Buy", ISBLANK(W7), B7&lt;&gt;"DIV"), D7, "")</f>
        <v/>
      </c>
      <c r="O56" s="43">
        <f>IF(AND( C7="Buy", ISBLANK(W7), B7&lt;&gt;"DIV", NOW()-A7 &lt; 365), P7/sum(F7:I7), "")</f>
        <v/>
      </c>
      <c r="P56" s="44">
        <f>IF(AND( C7="Buy", ISBLANK(W7), B7&lt;&gt;"DIV", NOW()-A7 &lt; 365), (1-Index!$F$2*2)*((J7*D7)-(E7*D7)), "")</f>
        <v/>
      </c>
      <c r="Q56" s="44">
        <f>IF(AND( C7="Buy", ISBLANK(W7), B7&lt;&gt;"DIV", NOW()-A7 &lt; 365), ((E7*D7)+P7), "")</f>
        <v/>
      </c>
      <c r="R56" s="44">
        <f>IF(AND( C7="Buy", ISBLANK(W7), B7&lt;&gt;"DIV", NOW()-A7 &lt; 365), D7, "")</f>
        <v/>
      </c>
      <c r="S56" s="46">
        <f>IF(AND( C7="Buy", ISBLANK(W7), B7&lt;&gt;"DIV", NOW()-A7 &gt; 365), T7/sum(F7:I7), "")</f>
        <v/>
      </c>
      <c r="T56" s="47">
        <f>IF(AND( C7="Buy", ISBLANK(W7), B7&lt;&gt;"DIV", NOW()-A7 &gt; 365), (1-Index!$F$2*2)*((J7*D7)-(E7*D7)), "")</f>
        <v/>
      </c>
      <c r="U56" s="47">
        <f>IF(AND( C7="Buy", ISBLANK(W7), B7&lt;&gt;"DIV", NOW()-A7 &gt; 365), ((E7*D7)+T7), "")</f>
        <v/>
      </c>
      <c r="V56" s="47">
        <f>IF(AND( C7="Buy", ISBLANK(W7), B7&lt;&gt;"DIV", NOW()-A7 &gt; 365), D7, "")</f>
        <v/>
      </c>
      <c r="W56" s="49" t="n"/>
      <c r="X56" s="49" t="n"/>
      <c r="Y56" s="46">
        <f>IF(AND( C7="Buy", W7&lt;&gt;"", AA7&lt;&gt;"", B7&lt;&gt;"DIV"), Z7/sum(F7:I7), "")</f>
        <v/>
      </c>
      <c r="Z56" s="49" t="n"/>
      <c r="AA56" s="49" t="n"/>
      <c r="AB56" s="50" t="n"/>
      <c r="AC56" s="49">
        <f>if(B7="DIV", F7,"")</f>
        <v/>
      </c>
      <c r="AD56" s="51" t="n"/>
    </row>
    <row r="57">
      <c r="A57" s="52" t="n">
        <v>45897</v>
      </c>
      <c r="B57" s="39" t="inlineStr">
        <is>
          <t>NSE</t>
        </is>
      </c>
      <c r="C57" s="39" t="inlineStr">
        <is>
          <t>Buy</t>
        </is>
      </c>
      <c r="D57" s="40" t="n">
        <v>10</v>
      </c>
      <c r="E57" s="41" t="n">
        <v>404.2</v>
      </c>
      <c r="F57" s="41" t="n">
        <v>4042.01</v>
      </c>
      <c r="G57" s="39" t="inlineStr">
        <is>
          <t>~</t>
        </is>
      </c>
      <c r="H57" s="41" t="n">
        <v>4.01</v>
      </c>
      <c r="I57" s="40" t="n">
        <v>24.5</v>
      </c>
      <c r="J57" s="42">
        <f>Index!$C$2</f>
        <v/>
      </c>
      <c r="K57" s="43">
        <f>IF(AND( C8="Buy", ISBLANK(W8), B8&lt;&gt;"DIV"), L8/sum(F8:I8), "")</f>
        <v/>
      </c>
      <c r="L57" s="44">
        <f>IF(AND( C8="Buy", ISBLANK(W8), B8&lt;&gt;"DIV"), (1-Index!$F$2*2)*((J8*D8)-(E8*D8)), "")</f>
        <v/>
      </c>
      <c r="M57" s="44">
        <f>IF(AND( C8="Buy", ISBLANK(W8), B8&lt;&gt;"DIV"), ((E8*D8)+L8), "")</f>
        <v/>
      </c>
      <c r="N57" s="45">
        <f>IF(AND( C8="Buy", ISBLANK(W8), B8&lt;&gt;"DIV"), D8, "")</f>
        <v/>
      </c>
      <c r="O57" s="43">
        <f>IF(AND( C8="Buy", ISBLANK(W8), B8&lt;&gt;"DIV", NOW()-A8 &lt; 365), P8/sum(F8:I8), "")</f>
        <v/>
      </c>
      <c r="P57" s="44">
        <f>IF(AND( C8="Buy", ISBLANK(W8), B8&lt;&gt;"DIV", NOW()-A8 &lt; 365), (1-Index!$F$2*2)*((J8*D8)-(E8*D8)), "")</f>
        <v/>
      </c>
      <c r="Q57" s="44">
        <f>IF(AND( C8="Buy", ISBLANK(W8), B8&lt;&gt;"DIV", NOW()-A8 &lt; 365), ((E8*D8)+P8), "")</f>
        <v/>
      </c>
      <c r="R57" s="44">
        <f>IF(AND( C8="Buy", ISBLANK(W8), B8&lt;&gt;"DIV", NOW()-A8 &lt; 365), D8, "")</f>
        <v/>
      </c>
      <c r="S57" s="46">
        <f>IF(AND( C8="Buy", ISBLANK(W8), B8&lt;&gt;"DIV", NOW()-A8 &gt; 365), T8/sum(F8:I8), "")</f>
        <v/>
      </c>
      <c r="T57" s="47">
        <f>IF(AND( C8="Buy", ISBLANK(W8), B8&lt;&gt;"DIV", NOW()-A8 &gt; 365), (1-Index!$F$2*2)*((J8*D8)-(E8*D8)), "")</f>
        <v/>
      </c>
      <c r="U57" s="47">
        <f>IF(AND( C8="Buy", ISBLANK(W8), B8&lt;&gt;"DIV", NOW()-A8 &gt; 365), ((E8*D8)+T8), "")</f>
        <v/>
      </c>
      <c r="V57" s="47">
        <f>IF(AND( C8="Buy", ISBLANK(W8), B8&lt;&gt;"DIV", NOW()-A8 &gt; 365), D8, "")</f>
        <v/>
      </c>
      <c r="W57" s="49" t="n"/>
      <c r="X57" s="49" t="n"/>
      <c r="Y57" s="46">
        <f>IF(AND( C8="Buy", W8&lt;&gt;"", AA8&lt;&gt;"", B8&lt;&gt;"DIV"), Z8/sum(F8:I8), "")</f>
        <v/>
      </c>
      <c r="Z57" s="49" t="n"/>
      <c r="AA57" s="49" t="n"/>
      <c r="AB57" s="50" t="n"/>
      <c r="AC57" s="49">
        <f>if(B8="DIV", F8,"")</f>
        <v/>
      </c>
      <c r="AD57" s="51" t="n"/>
    </row>
    <row r="58">
      <c r="A58" s="52" t="n">
        <v>45863</v>
      </c>
      <c r="B58" s="39" t="inlineStr">
        <is>
          <t>NSE</t>
        </is>
      </c>
      <c r="C58" s="39" t="inlineStr">
        <is>
          <t>Buy</t>
        </is>
      </c>
      <c r="D58" s="40" t="n">
        <v>10</v>
      </c>
      <c r="E58" s="41" t="n">
        <v>411.8</v>
      </c>
      <c r="F58" s="41" t="n">
        <v>4117.98</v>
      </c>
      <c r="G58" s="39" t="inlineStr">
        <is>
          <t>~</t>
        </is>
      </c>
      <c r="H58" s="41" t="n">
        <v>4.14</v>
      </c>
      <c r="I58" s="40" t="n">
        <v>24.84</v>
      </c>
      <c r="J58" s="42">
        <f>Index!$C$2</f>
        <v/>
      </c>
      <c r="K58" s="43">
        <f>IF(AND( C9="Buy", ISBLANK(W9), B9&lt;&gt;"DIV"), L9/sum(F9:I9), "")</f>
        <v/>
      </c>
      <c r="L58" s="44">
        <f>IF(AND( C9="Buy", ISBLANK(W9), B9&lt;&gt;"DIV"), (1-Index!$F$2*2)*((J9*D9)-(E9*D9)), "")</f>
        <v/>
      </c>
      <c r="M58" s="44">
        <f>IF(AND( C9="Buy", ISBLANK(W9), B9&lt;&gt;"DIV"), ((E9*D9)+L9), "")</f>
        <v/>
      </c>
      <c r="N58" s="45">
        <f>IF(AND( C9="Buy", ISBLANK(W9), B9&lt;&gt;"DIV"), D9, "")</f>
        <v/>
      </c>
      <c r="O58" s="43">
        <f>IF(AND( C9="Buy", ISBLANK(W9), B9&lt;&gt;"DIV", NOW()-A9 &lt; 365), P9/sum(F9:I9), "")</f>
        <v/>
      </c>
      <c r="P58" s="44">
        <f>IF(AND( C9="Buy", ISBLANK(W9), B9&lt;&gt;"DIV", NOW()-A9 &lt; 365), (1-Index!$F$2*2)*((J9*D9)-(E9*D9)), "")</f>
        <v/>
      </c>
      <c r="Q58" s="44">
        <f>IF(AND( C9="Buy", ISBLANK(W9), B9&lt;&gt;"DIV", NOW()-A9 &lt; 365), ((E9*D9)+P9), "")</f>
        <v/>
      </c>
      <c r="R58" s="44">
        <f>IF(AND( C9="Buy", ISBLANK(W9), B9&lt;&gt;"DIV", NOW()-A9 &lt; 365), D9, "")</f>
        <v/>
      </c>
      <c r="S58" s="46">
        <f>IF(AND( C9="Buy", ISBLANK(W9), B9&lt;&gt;"DIV", NOW()-A9 &gt; 365), T9/sum(F9:I9), "")</f>
        <v/>
      </c>
      <c r="T58" s="47">
        <f>IF(AND( C9="Buy", ISBLANK(W9), B9&lt;&gt;"DIV", NOW()-A9 &gt; 365), (1-Index!$F$2*2)*((J9*D9)-(E9*D9)), "")</f>
        <v/>
      </c>
      <c r="U58" s="47">
        <f>IF(AND( C9="Buy", ISBLANK(W9), B9&lt;&gt;"DIV", NOW()-A9 &gt; 365), ((E9*D9)+T9), "")</f>
        <v/>
      </c>
      <c r="V58" s="47">
        <f>IF(AND( C9="Buy", ISBLANK(W9), B9&lt;&gt;"DIV", NOW()-A9 &gt; 365), D9, "")</f>
        <v/>
      </c>
      <c r="W58" s="49" t="n"/>
      <c r="X58" s="49" t="n"/>
      <c r="Y58" s="46">
        <f>IF(AND( C9="Buy", W9&lt;&gt;"", AA9&lt;&gt;"", B9&lt;&gt;"DIV"), Z9/sum(F9:I9), "")</f>
        <v/>
      </c>
      <c r="Z58" s="49" t="n"/>
      <c r="AA58" s="49" t="n"/>
      <c r="AB58" s="50" t="n"/>
      <c r="AC58" s="49">
        <f>if(B9="DIV", F9,"")</f>
        <v/>
      </c>
      <c r="AD58" s="51" t="n"/>
    </row>
    <row r="59">
      <c r="A59" s="52" t="n">
        <v>45855</v>
      </c>
      <c r="B59" s="39" t="inlineStr">
        <is>
          <t>BSE</t>
        </is>
      </c>
      <c r="C59" s="39" t="inlineStr">
        <is>
          <t>Buy</t>
        </is>
      </c>
      <c r="D59" s="40" t="n">
        <v>31</v>
      </c>
      <c r="E59" s="41" t="n">
        <v>426.86</v>
      </c>
      <c r="F59" s="41" t="n">
        <v>13232.6</v>
      </c>
      <c r="G59" s="39" t="inlineStr">
        <is>
          <t>~</t>
        </is>
      </c>
      <c r="H59" s="41" t="n">
        <v>13.14</v>
      </c>
      <c r="I59" s="40" t="n">
        <v>80.11</v>
      </c>
      <c r="J59" s="42">
        <f>Index!$C$2</f>
        <v/>
      </c>
      <c r="K59" s="43">
        <f>IF(AND( C10="Buy", ISBLANK(W10), B10&lt;&gt;"DIV"), L10/sum(F10:I10), "")</f>
        <v/>
      </c>
      <c r="L59" s="44">
        <f>IF(AND( C10="Buy", ISBLANK(W10), B10&lt;&gt;"DIV"), (1-Index!$F$2*2)*((J10*D10)-(E10*D10)), "")</f>
        <v/>
      </c>
      <c r="M59" s="44">
        <f>IF(AND( C10="Buy", ISBLANK(W10), B10&lt;&gt;"DIV"), ((E10*D10)+L10), "")</f>
        <v/>
      </c>
      <c r="N59" s="45">
        <f>IF(AND( C10="Buy", ISBLANK(W10), B10&lt;&gt;"DIV"), D10, "")</f>
        <v/>
      </c>
      <c r="O59" s="43">
        <f>IF(AND( C10="Buy", ISBLANK(W10), B10&lt;&gt;"DIV", NOW()-A10 &lt; 365), P10/sum(F10:I10), "")</f>
        <v/>
      </c>
      <c r="P59" s="44">
        <f>IF(AND( C10="Buy", ISBLANK(W10), B10&lt;&gt;"DIV", NOW()-A10 &lt; 365), (1-Index!$F$2*2)*((J10*D10)-(E10*D10)), "")</f>
        <v/>
      </c>
      <c r="Q59" s="44">
        <f>IF(AND( C10="Buy", ISBLANK(W10), B10&lt;&gt;"DIV", NOW()-A10 &lt; 365), ((E10*D10)+P10), "")</f>
        <v/>
      </c>
      <c r="R59" s="44">
        <f>IF(AND( C10="Buy", ISBLANK(W10), B10&lt;&gt;"DIV", NOW()-A10 &lt; 365), D10, "")</f>
        <v/>
      </c>
      <c r="S59" s="46">
        <f>IF(AND( C10="Buy", ISBLANK(W10), B10&lt;&gt;"DIV", NOW()-A10 &gt; 365), T10/sum(F10:I10), "")</f>
        <v/>
      </c>
      <c r="T59" s="47">
        <f>IF(AND( C10="Buy", ISBLANK(W10), B10&lt;&gt;"DIV", NOW()-A10 &gt; 365), (1-Index!$F$2*2)*((J10*D10)-(E10*D10)), "")</f>
        <v/>
      </c>
      <c r="U59" s="47">
        <f>IF(AND( C10="Buy", ISBLANK(W10), B10&lt;&gt;"DIV", NOW()-A10 &gt; 365), ((E10*D10)+T10), "")</f>
        <v/>
      </c>
      <c r="V59" s="47">
        <f>IF(AND( C10="Buy", ISBLANK(W10), B10&lt;&gt;"DIV", NOW()-A10 &gt; 365), D10, "")</f>
        <v/>
      </c>
      <c r="W59" s="49" t="n"/>
      <c r="X59" s="49" t="n"/>
      <c r="Y59" s="46">
        <f>IF(AND( C10="Buy", W10&lt;&gt;"", AA10&lt;&gt;"", B10&lt;&gt;"DIV"), Z10/sum(F10:I10), "")</f>
        <v/>
      </c>
      <c r="Z59" s="49" t="n"/>
      <c r="AA59" s="49" t="n"/>
      <c r="AB59" s="50" t="n"/>
      <c r="AC59" s="49">
        <f>if(B10="DIV", F10,"")</f>
        <v/>
      </c>
      <c r="AD59" s="51" t="n"/>
    </row>
    <row r="60">
      <c r="A60" s="52" t="n">
        <v>45842</v>
      </c>
      <c r="B60" s="39" t="inlineStr">
        <is>
          <t>NSE</t>
        </is>
      </c>
      <c r="C60" s="39" t="inlineStr">
        <is>
          <t>Buy</t>
        </is>
      </c>
      <c r="D60" s="40" t="n">
        <v>20</v>
      </c>
      <c r="E60" s="41" t="n">
        <v>416.93</v>
      </c>
      <c r="F60" s="41" t="n">
        <v>8338.59</v>
      </c>
      <c r="G60" s="39" t="inlineStr">
        <is>
          <t>~</t>
        </is>
      </c>
      <c r="H60" s="41" t="n">
        <v>8.26</v>
      </c>
      <c r="I60" s="40" t="n">
        <v>50.33</v>
      </c>
      <c r="J60" s="42">
        <f>Index!$C$2</f>
        <v/>
      </c>
      <c r="K60" s="43">
        <f>IF(AND( C11="Buy", ISBLANK(W11), B11&lt;&gt;"DIV"), L11/sum(F11:I11), "")</f>
        <v/>
      </c>
      <c r="L60" s="44">
        <f>IF(AND( C11="Buy", ISBLANK(W11), B11&lt;&gt;"DIV"), (1-Index!$F$2*2)*((J11*D11)-(E11*D11)), "")</f>
        <v/>
      </c>
      <c r="M60" s="44">
        <f>IF(AND( C11="Buy", ISBLANK(W11), B11&lt;&gt;"DIV"), ((E11*D11)+L11), "")</f>
        <v/>
      </c>
      <c r="N60" s="45">
        <f>IF(AND( C11="Buy", ISBLANK(W11), B11&lt;&gt;"DIV"), D11, "")</f>
        <v/>
      </c>
      <c r="O60" s="43">
        <f>IF(AND( C11="Buy", ISBLANK(W11), B11&lt;&gt;"DIV", NOW()-A11 &lt; 365), P11/sum(F11:I11), "")</f>
        <v/>
      </c>
      <c r="P60" s="44">
        <f>IF(AND( C11="Buy", ISBLANK(W11), B11&lt;&gt;"DIV", NOW()-A11 &lt; 365), (1-Index!$F$2*2)*((J11*D11)-(E11*D11)), "")</f>
        <v/>
      </c>
      <c r="Q60" s="44">
        <f>IF(AND( C11="Buy", ISBLANK(W11), B11&lt;&gt;"DIV", NOW()-A11 &lt; 365), ((E11*D11)+P11), "")</f>
        <v/>
      </c>
      <c r="R60" s="44">
        <f>IF(AND( C11="Buy", ISBLANK(W11), B11&lt;&gt;"DIV", NOW()-A11 &lt; 365), D11, "")</f>
        <v/>
      </c>
      <c r="S60" s="46">
        <f>IF(AND( C11="Buy", ISBLANK(W11), B11&lt;&gt;"DIV", NOW()-A11 &gt; 365), T11/sum(F11:I11), "")</f>
        <v/>
      </c>
      <c r="T60" s="47">
        <f>IF(AND( C11="Buy", ISBLANK(W11), B11&lt;&gt;"DIV", NOW()-A11 &gt; 365), (1-Index!$F$2*2)*((J11*D11)-(E11*D11)), "")</f>
        <v/>
      </c>
      <c r="U60" s="47">
        <f>IF(AND( C11="Buy", ISBLANK(W11), B11&lt;&gt;"DIV", NOW()-A11 &gt; 365), ((E11*D11)+T11), "")</f>
        <v/>
      </c>
      <c r="V60" s="47">
        <f>IF(AND( C11="Buy", ISBLANK(W11), B11&lt;&gt;"DIV", NOW()-A11 &gt; 365), D11, "")</f>
        <v/>
      </c>
      <c r="W60" s="49" t="n"/>
      <c r="X60" s="49" t="n"/>
      <c r="Y60" s="46">
        <f>IF(AND( C11="Buy", W11&lt;&gt;"", AA11&lt;&gt;"", B11&lt;&gt;"DIV"), Z11/sum(F11:I11), "")</f>
        <v/>
      </c>
      <c r="Z60" s="49" t="n"/>
      <c r="AA60" s="49" t="n"/>
      <c r="AB60" s="50" t="n"/>
      <c r="AC60" s="49">
        <f>if(B11="DIV", F11,"")</f>
        <v/>
      </c>
      <c r="AD60" s="51" t="n"/>
    </row>
    <row r="61">
      <c r="A61" s="52" t="n">
        <v>45821</v>
      </c>
      <c r="B61" s="39" t="inlineStr">
        <is>
          <t>NSE</t>
        </is>
      </c>
      <c r="C61" s="39" t="inlineStr">
        <is>
          <t>Buy</t>
        </is>
      </c>
      <c r="D61" s="40" t="n">
        <v>7</v>
      </c>
      <c r="E61" s="41" t="n">
        <v>420.67</v>
      </c>
      <c r="F61" s="41" t="n">
        <v>2944.7</v>
      </c>
      <c r="G61" s="39" t="inlineStr">
        <is>
          <t>~</t>
        </is>
      </c>
      <c r="H61" s="41" t="n">
        <v>2.92</v>
      </c>
      <c r="I61" s="40" t="n">
        <v>17.88</v>
      </c>
      <c r="J61" s="42">
        <f>Index!$C$2</f>
        <v/>
      </c>
      <c r="K61" s="43">
        <f>IF(AND( C12="Buy", ISBLANK(W12), B12&lt;&gt;"DIV"), L12/sum(F12:I12), "")</f>
        <v/>
      </c>
      <c r="L61" s="44">
        <f>IF(AND( C12="Buy", ISBLANK(W12), B12&lt;&gt;"DIV"), (1-Index!$F$2*2)*((J12*D12)-(E12*D12)), "")</f>
        <v/>
      </c>
      <c r="M61" s="44">
        <f>IF(AND( C12="Buy", ISBLANK(W12), B12&lt;&gt;"DIV"), ((E12*D12)+L12), "")</f>
        <v/>
      </c>
      <c r="N61" s="45">
        <f>IF(AND( C12="Buy", ISBLANK(W12), B12&lt;&gt;"DIV"), D12, "")</f>
        <v/>
      </c>
      <c r="O61" s="43">
        <f>IF(AND( C12="Buy", ISBLANK(W12), B12&lt;&gt;"DIV", NOW()-A12 &lt; 365), P12/sum(F12:I12), "")</f>
        <v/>
      </c>
      <c r="P61" s="44">
        <f>IF(AND( C12="Buy", ISBLANK(W12), B12&lt;&gt;"DIV", NOW()-A12 &lt; 365), (1-Index!$F$2*2)*((J12*D12)-(E12*D12)), "")</f>
        <v/>
      </c>
      <c r="Q61" s="44">
        <f>IF(AND( C12="Buy", ISBLANK(W12), B12&lt;&gt;"DIV", NOW()-A12 &lt; 365), ((E12*D12)+P12), "")</f>
        <v/>
      </c>
      <c r="R61" s="44">
        <f>IF(AND( C12="Buy", ISBLANK(W12), B12&lt;&gt;"DIV", NOW()-A12 &lt; 365), D12, "")</f>
        <v/>
      </c>
      <c r="S61" s="46">
        <f>IF(AND( C12="Buy", ISBLANK(W12), B12&lt;&gt;"DIV", NOW()-A12 &gt; 365), T12/sum(F12:I12), "")</f>
        <v/>
      </c>
      <c r="T61" s="47">
        <f>IF(AND( C12="Buy", ISBLANK(W12), B12&lt;&gt;"DIV", NOW()-A12 &gt; 365), (1-Index!$F$2*2)*((J12*D12)-(E12*D12)), "")</f>
        <v/>
      </c>
      <c r="U61" s="47">
        <f>IF(AND( C12="Buy", ISBLANK(W12), B12&lt;&gt;"DIV", NOW()-A12 &gt; 365), ((E12*D12)+T12), "")</f>
        <v/>
      </c>
      <c r="V61" s="47">
        <f>IF(AND( C12="Buy", ISBLANK(W12), B12&lt;&gt;"DIV", NOW()-A12 &gt; 365), D12, "")</f>
        <v/>
      </c>
      <c r="W61" s="49" t="n"/>
      <c r="X61" s="49" t="n"/>
      <c r="Y61" s="46">
        <f>IF(AND( C12="Buy", W12&lt;&gt;"", AA12&lt;&gt;"", B12&lt;&gt;"DIV"), Z12/sum(F12:I12), "")</f>
        <v/>
      </c>
      <c r="Z61" s="49" t="n"/>
      <c r="AA61" s="49" t="n"/>
      <c r="AB61" s="50" t="n"/>
      <c r="AC61" s="49">
        <f>if(B12="DIV", F12,"")</f>
        <v/>
      </c>
      <c r="AD61" s="51" t="n"/>
    </row>
    <row r="62">
      <c r="A62" s="52" t="n">
        <v>45820</v>
      </c>
      <c r="B62" s="39" t="inlineStr">
        <is>
          <t>NSE</t>
        </is>
      </c>
      <c r="C62" s="39" t="inlineStr">
        <is>
          <t>Buy</t>
        </is>
      </c>
      <c r="D62" s="40" t="n">
        <v>1</v>
      </c>
      <c r="E62" s="41" t="n">
        <v>426.54</v>
      </c>
      <c r="F62" s="41" t="n">
        <v>426.54</v>
      </c>
      <c r="G62" s="39" t="inlineStr">
        <is>
          <t>~</t>
        </is>
      </c>
      <c r="H62" s="41" t="n">
        <v>0.42</v>
      </c>
      <c r="I62" s="40" t="n">
        <v>2.57</v>
      </c>
      <c r="J62" s="42">
        <f>Index!$C$2</f>
        <v/>
      </c>
      <c r="K62" s="43">
        <f>IF(AND( C13="Buy", ISBLANK(W13), B13&lt;&gt;"DIV"), L13/sum(F13:I13), "")</f>
        <v/>
      </c>
      <c r="L62" s="44">
        <f>IF(AND( C13="Buy", ISBLANK(W13), B13&lt;&gt;"DIV"), (1-Index!$F$2*2)*((J13*D13)-(E13*D13)), "")</f>
        <v/>
      </c>
      <c r="M62" s="44">
        <f>IF(AND( C13="Buy", ISBLANK(W13), B13&lt;&gt;"DIV"), ((E13*D13)+L13), "")</f>
        <v/>
      </c>
      <c r="N62" s="45">
        <f>IF(AND( C13="Buy", ISBLANK(W13), B13&lt;&gt;"DIV"), D13, "")</f>
        <v/>
      </c>
      <c r="O62" s="43">
        <f>IF(AND( C13="Buy", ISBLANK(W13), B13&lt;&gt;"DIV", NOW()-A13 &lt; 365), P13/sum(F13:I13), "")</f>
        <v/>
      </c>
      <c r="P62" s="44">
        <f>IF(AND( C13="Buy", ISBLANK(W13), B13&lt;&gt;"DIV", NOW()-A13 &lt; 365), (1-Index!$F$2*2)*((J13*D13)-(E13*D13)), "")</f>
        <v/>
      </c>
      <c r="Q62" s="44">
        <f>IF(AND( C13="Buy", ISBLANK(W13), B13&lt;&gt;"DIV", NOW()-A13 &lt; 365), ((E13*D13)+P13), "")</f>
        <v/>
      </c>
      <c r="R62" s="44">
        <f>IF(AND( C13="Buy", ISBLANK(W13), B13&lt;&gt;"DIV", NOW()-A13 &lt; 365), D13, "")</f>
        <v/>
      </c>
      <c r="S62" s="46">
        <f>IF(AND( C13="Buy", ISBLANK(W13), B13&lt;&gt;"DIV", NOW()-A13 &gt; 365), T13/sum(F13:I13), "")</f>
        <v/>
      </c>
      <c r="T62" s="47">
        <f>IF(AND( C13="Buy", ISBLANK(W13), B13&lt;&gt;"DIV", NOW()-A13 &gt; 365), (1-Index!$F$2*2)*((J13*D13)-(E13*D13)), "")</f>
        <v/>
      </c>
      <c r="U62" s="47">
        <f>IF(AND( C13="Buy", ISBLANK(W13), B13&lt;&gt;"DIV", NOW()-A13 &gt; 365), ((E13*D13)+T13), "")</f>
        <v/>
      </c>
      <c r="V62" s="47">
        <f>IF(AND( C13="Buy", ISBLANK(W13), B13&lt;&gt;"DIV", NOW()-A13 &gt; 365), D13, "")</f>
        <v/>
      </c>
      <c r="W62" s="49" t="n"/>
      <c r="X62" s="49" t="n"/>
      <c r="Y62" s="46">
        <f>IF(AND( C13="Buy", W13&lt;&gt;"", AA13&lt;&gt;"", B13&lt;&gt;"DIV"), Z13/sum(F13:I13), "")</f>
        <v/>
      </c>
      <c r="Z62" s="49" t="n"/>
      <c r="AA62" s="49" t="n"/>
      <c r="AB62" s="50" t="n"/>
      <c r="AC62" s="49">
        <f>if(B13="DIV", F13,"")</f>
        <v/>
      </c>
      <c r="AD62" s="51" t="n"/>
    </row>
    <row r="63">
      <c r="A63" s="52" t="n">
        <v>45820</v>
      </c>
      <c r="B63" s="39" t="inlineStr">
        <is>
          <t>NSE</t>
        </is>
      </c>
      <c r="C63" s="39" t="inlineStr">
        <is>
          <t>Buy</t>
        </is>
      </c>
      <c r="D63" s="40" t="n">
        <v>1</v>
      </c>
      <c r="E63" s="41" t="n">
        <v>426.54</v>
      </c>
      <c r="F63" s="41" t="n">
        <v>426.54</v>
      </c>
      <c r="G63" s="39" t="inlineStr">
        <is>
          <t>~</t>
        </is>
      </c>
      <c r="H63" s="41" t="n">
        <v>0.42</v>
      </c>
      <c r="I63" s="40" t="n">
        <v>2.57</v>
      </c>
      <c r="J63" s="42">
        <f>Index!$C$2</f>
        <v/>
      </c>
      <c r="K63" s="43">
        <f>IF(AND( C14="Buy", ISBLANK(W14), B14&lt;&gt;"DIV"), L14/sum(F14:I14), "")</f>
        <v/>
      </c>
      <c r="L63" s="44">
        <f>IF(AND( C14="Buy", ISBLANK(W14), B14&lt;&gt;"DIV"), (1-Index!$F$2*2)*((J14*D14)-(E14*D14)), "")</f>
        <v/>
      </c>
      <c r="M63" s="44">
        <f>IF(AND( C14="Buy", ISBLANK(W14), B14&lt;&gt;"DIV"), ((E14*D14)+L14), "")</f>
        <v/>
      </c>
      <c r="N63" s="45">
        <f>IF(AND( C14="Buy", ISBLANK(W14), B14&lt;&gt;"DIV"), D14, "")</f>
        <v/>
      </c>
      <c r="O63" s="43">
        <f>IF(AND( C14="Buy", ISBLANK(W14), B14&lt;&gt;"DIV", NOW()-A14 &lt; 365), P14/sum(F14:I14), "")</f>
        <v/>
      </c>
      <c r="P63" s="44">
        <f>IF(AND( C14="Buy", ISBLANK(W14), B14&lt;&gt;"DIV", NOW()-A14 &lt; 365), (1-Index!$F$2*2)*((J14*D14)-(E14*D14)), "")</f>
        <v/>
      </c>
      <c r="Q63" s="44">
        <f>IF(AND( C14="Buy", ISBLANK(W14), B14&lt;&gt;"DIV", NOW()-A14 &lt; 365), ((E14*D14)+P14), "")</f>
        <v/>
      </c>
      <c r="R63" s="44">
        <f>IF(AND( C14="Buy", ISBLANK(W14), B14&lt;&gt;"DIV", NOW()-A14 &lt; 365), D14, "")</f>
        <v/>
      </c>
      <c r="S63" s="46">
        <f>IF(AND( C14="Buy", ISBLANK(W14), B14&lt;&gt;"DIV", NOW()-A14 &gt; 365), T14/sum(F14:I14), "")</f>
        <v/>
      </c>
      <c r="T63" s="47">
        <f>IF(AND( C14="Buy", ISBLANK(W14), B14&lt;&gt;"DIV", NOW()-A14 &gt; 365), (1-Index!$F$2*2)*((J14*D14)-(E14*D14)), "")</f>
        <v/>
      </c>
      <c r="U63" s="47">
        <f>IF(AND( C14="Buy", ISBLANK(W14), B14&lt;&gt;"DIV", NOW()-A14 &gt; 365), ((E14*D14)+T14), "")</f>
        <v/>
      </c>
      <c r="V63" s="47">
        <f>IF(AND( C14="Buy", ISBLANK(W14), B14&lt;&gt;"DIV", NOW()-A14 &gt; 365), D14, "")</f>
        <v/>
      </c>
      <c r="W63" s="49" t="n"/>
      <c r="X63" s="49" t="n"/>
      <c r="Y63" s="46">
        <f>IF(AND( C14="Buy", W14&lt;&gt;"", AA14&lt;&gt;"", B14&lt;&gt;"DIV"), Z14/sum(F14:I14), "")</f>
        <v/>
      </c>
      <c r="Z63" s="49" t="n"/>
      <c r="AA63" s="49" t="n"/>
      <c r="AB63" s="50" t="n"/>
      <c r="AC63" s="49">
        <f>if(B14="DIV", F14,"")</f>
        <v/>
      </c>
      <c r="AD63" s="51" t="n"/>
    </row>
    <row r="64">
      <c r="A64" s="52" t="n">
        <v>45820</v>
      </c>
      <c r="B64" s="39" t="inlineStr">
        <is>
          <t>NSE</t>
        </is>
      </c>
      <c r="C64" s="39" t="inlineStr">
        <is>
          <t>Buy</t>
        </is>
      </c>
      <c r="D64" s="40" t="n">
        <v>18</v>
      </c>
      <c r="E64" s="41" t="n">
        <v>426.55</v>
      </c>
      <c r="F64" s="41" t="n">
        <v>7677.93</v>
      </c>
      <c r="G64" s="39" t="inlineStr">
        <is>
          <t>~</t>
        </is>
      </c>
      <c r="H64" s="41" t="n">
        <v>7.61</v>
      </c>
      <c r="I64" s="40" t="n">
        <v>46.42</v>
      </c>
      <c r="J64" s="42">
        <f>Index!$C$2</f>
        <v/>
      </c>
      <c r="K64" s="43">
        <f>IF(AND( C15="Buy", ISBLANK(W15), B15&lt;&gt;"DIV"), L15/sum(F15:I15), "")</f>
        <v/>
      </c>
      <c r="L64" s="44">
        <f>IF(AND( C15="Buy", ISBLANK(W15), B15&lt;&gt;"DIV"), (1-Index!$F$2*2)*((J15*D15)-(E15*D15)), "")</f>
        <v/>
      </c>
      <c r="M64" s="44">
        <f>IF(AND( C15="Buy", ISBLANK(W15), B15&lt;&gt;"DIV"), ((E15*D15)+L15), "")</f>
        <v/>
      </c>
      <c r="N64" s="45">
        <f>IF(AND( C15="Buy", ISBLANK(W15), B15&lt;&gt;"DIV"), D15, "")</f>
        <v/>
      </c>
      <c r="O64" s="43">
        <f>IF(AND( C15="Buy", ISBLANK(W15), B15&lt;&gt;"DIV", NOW()-A15 &lt; 365), P15/sum(F15:I15), "")</f>
        <v/>
      </c>
      <c r="P64" s="44">
        <f>IF(AND( C15="Buy", ISBLANK(W15), B15&lt;&gt;"DIV", NOW()-A15 &lt; 365), (1-Index!$F$2*2)*((J15*D15)-(E15*D15)), "")</f>
        <v/>
      </c>
      <c r="Q64" s="44">
        <f>IF(AND( C15="Buy", ISBLANK(W15), B15&lt;&gt;"DIV", NOW()-A15 &lt; 365), ((E15*D15)+P15), "")</f>
        <v/>
      </c>
      <c r="R64" s="44">
        <f>IF(AND( C15="Buy", ISBLANK(W15), B15&lt;&gt;"DIV", NOW()-A15 &lt; 365), D15, "")</f>
        <v/>
      </c>
      <c r="S64" s="46">
        <f>IF(AND( C15="Buy", ISBLANK(W15), B15&lt;&gt;"DIV", NOW()-A15 &gt; 365), T15/sum(F15:I15), "")</f>
        <v/>
      </c>
      <c r="T64" s="47">
        <f>IF(AND( C15="Buy", ISBLANK(W15), B15&lt;&gt;"DIV", NOW()-A15 &gt; 365), (1-Index!$F$2*2)*((J15*D15)-(E15*D15)), "")</f>
        <v/>
      </c>
      <c r="U64" s="47">
        <f>IF(AND( C15="Buy", ISBLANK(W15), B15&lt;&gt;"DIV", NOW()-A15 &gt; 365), ((E15*D15)+T15), "")</f>
        <v/>
      </c>
      <c r="V64" s="47">
        <f>IF(AND( C15="Buy", ISBLANK(W15), B15&lt;&gt;"DIV", NOW()-A15 &gt; 365), D15, "")</f>
        <v/>
      </c>
      <c r="W64" s="49" t="n"/>
      <c r="X64" s="49" t="n"/>
      <c r="Y64" s="46">
        <f>IF(AND( C15="Buy", W15&lt;&gt;"", AA15&lt;&gt;"", B15&lt;&gt;"DIV"), Z15/sum(F15:I15), "")</f>
        <v/>
      </c>
      <c r="Z64" s="49" t="n"/>
      <c r="AA64" s="49" t="n"/>
      <c r="AB64" s="50" t="n"/>
      <c r="AC64" s="49">
        <f>if(B15="DIV", F15,"")</f>
        <v/>
      </c>
      <c r="AD64" s="51" t="n"/>
    </row>
    <row r="65">
      <c r="A65" s="52" t="n">
        <v>45817</v>
      </c>
      <c r="B65" s="39" t="inlineStr">
        <is>
          <t>NSE</t>
        </is>
      </c>
      <c r="C65" s="39" t="inlineStr">
        <is>
          <t>Buy</t>
        </is>
      </c>
      <c r="D65" s="40" t="n">
        <v>8</v>
      </c>
      <c r="E65" s="41" t="n">
        <v>424.22</v>
      </c>
      <c r="F65" s="41" t="n">
        <v>3393.73</v>
      </c>
      <c r="G65" s="39" t="inlineStr">
        <is>
          <t>~</t>
        </is>
      </c>
      <c r="H65" s="41" t="n">
        <v>3.5</v>
      </c>
      <c r="I65" s="40" t="n">
        <v>20.63</v>
      </c>
      <c r="J65" s="42">
        <f>Index!$C$2</f>
        <v/>
      </c>
      <c r="K65" s="43">
        <f>IF(AND( C16="Buy", ISBLANK(W16), B16&lt;&gt;"DIV"), L16/sum(F16:I16), "")</f>
        <v/>
      </c>
      <c r="L65" s="44">
        <f>IF(AND( C16="Buy", ISBLANK(W16), B16&lt;&gt;"DIV"), (1-Index!$F$2*2)*((J16*D16)-(E16*D16)), "")</f>
        <v/>
      </c>
      <c r="M65" s="44">
        <f>IF(AND( C16="Buy", ISBLANK(W16), B16&lt;&gt;"DIV"), ((E16*D16)+L16), "")</f>
        <v/>
      </c>
      <c r="N65" s="45">
        <f>IF(AND( C16="Buy", ISBLANK(W16), B16&lt;&gt;"DIV"), D16, "")</f>
        <v/>
      </c>
      <c r="O65" s="43">
        <f>IF(AND( C16="Buy", ISBLANK(W16), B16&lt;&gt;"DIV", NOW()-A16 &lt; 365), P16/sum(F16:I16), "")</f>
        <v/>
      </c>
      <c r="P65" s="44">
        <f>IF(AND( C16="Buy", ISBLANK(W16), B16&lt;&gt;"DIV", NOW()-A16 &lt; 365), (1-Index!$F$2*2)*((J16*D16)-(E16*D16)), "")</f>
        <v/>
      </c>
      <c r="Q65" s="44">
        <f>IF(AND( C16="Buy", ISBLANK(W16), B16&lt;&gt;"DIV", NOW()-A16 &lt; 365), ((E16*D16)+P16), "")</f>
        <v/>
      </c>
      <c r="R65" s="44">
        <f>IF(AND( C16="Buy", ISBLANK(W16), B16&lt;&gt;"DIV", NOW()-A16 &lt; 365), D16, "")</f>
        <v/>
      </c>
      <c r="S65" s="46">
        <f>IF(AND( C16="Buy", ISBLANK(W16), B16&lt;&gt;"DIV", NOW()-A16 &gt; 365), T16/sum(F16:I16), "")</f>
        <v/>
      </c>
      <c r="T65" s="47">
        <f>IF(AND( C16="Buy", ISBLANK(W16), B16&lt;&gt;"DIV", NOW()-A16 &gt; 365), (1-Index!$F$2*2)*((J16*D16)-(E16*D16)), "")</f>
        <v/>
      </c>
      <c r="U65" s="47">
        <f>IF(AND( C16="Buy", ISBLANK(W16), B16&lt;&gt;"DIV", NOW()-A16 &gt; 365), ((E16*D16)+T16), "")</f>
        <v/>
      </c>
      <c r="V65" s="47">
        <f>IF(AND( C16="Buy", ISBLANK(W16), B16&lt;&gt;"DIV", NOW()-A16 &gt; 365), D16, "")</f>
        <v/>
      </c>
      <c r="W65" s="49" t="n"/>
      <c r="X65" s="49" t="n"/>
      <c r="Y65" s="46">
        <f>IF(AND( C16="Buy", W16&lt;&gt;"", AA16&lt;&gt;"", B16&lt;&gt;"DIV"), Z16/sum(F16:I16), "")</f>
        <v/>
      </c>
      <c r="Z65" s="49" t="n"/>
      <c r="AA65" s="49" t="n"/>
      <c r="AB65" s="50" t="n"/>
      <c r="AC65" s="49">
        <f>if(B16="DIV", F16,"")</f>
        <v/>
      </c>
      <c r="AD65" s="51" t="n"/>
    </row>
    <row r="66">
      <c r="A66" s="52" t="n">
        <v>45811</v>
      </c>
      <c r="B66" s="39" t="inlineStr">
        <is>
          <t>NSE</t>
        </is>
      </c>
      <c r="C66" s="39" t="inlineStr">
        <is>
          <t>Buy</t>
        </is>
      </c>
      <c r="D66" s="40" t="n">
        <v>15</v>
      </c>
      <c r="E66" s="41" t="n">
        <v>422.18</v>
      </c>
      <c r="F66" s="41" t="n">
        <v>6332.66</v>
      </c>
      <c r="G66" s="39" t="inlineStr">
        <is>
          <t>~</t>
        </is>
      </c>
      <c r="H66" s="41" t="n">
        <v>6.29</v>
      </c>
      <c r="I66" s="40" t="n">
        <v>38.37</v>
      </c>
      <c r="J66" s="42">
        <f>Index!$C$2</f>
        <v/>
      </c>
      <c r="K66" s="43">
        <f>IF(AND( C17="Buy", ISBLANK(W17), B17&lt;&gt;"DIV"), L17/sum(F17:I17), "")</f>
        <v/>
      </c>
      <c r="L66" s="44">
        <f>IF(AND( C17="Buy", ISBLANK(W17), B17&lt;&gt;"DIV"), (1-Index!$F$2*2)*((J17*D17)-(E17*D17)), "")</f>
        <v/>
      </c>
      <c r="M66" s="44">
        <f>IF(AND( C17="Buy", ISBLANK(W17), B17&lt;&gt;"DIV"), ((E17*D17)+L17), "")</f>
        <v/>
      </c>
      <c r="N66" s="45">
        <f>IF(AND( C17="Buy", ISBLANK(W17), B17&lt;&gt;"DIV"), D17, "")</f>
        <v/>
      </c>
      <c r="O66" s="43">
        <f>IF(AND( C17="Buy", ISBLANK(W17), B17&lt;&gt;"DIV", NOW()-A17 &lt; 365), P17/sum(F17:I17), "")</f>
        <v/>
      </c>
      <c r="P66" s="44">
        <f>IF(AND( C17="Buy", ISBLANK(W17), B17&lt;&gt;"DIV", NOW()-A17 &lt; 365), (1-Index!$F$2*2)*((J17*D17)-(E17*D17)), "")</f>
        <v/>
      </c>
      <c r="Q66" s="44">
        <f>IF(AND( C17="Buy", ISBLANK(W17), B17&lt;&gt;"DIV", NOW()-A17 &lt; 365), ((E17*D17)+P17), "")</f>
        <v/>
      </c>
      <c r="R66" s="44">
        <f>IF(AND( C17="Buy", ISBLANK(W17), B17&lt;&gt;"DIV", NOW()-A17 &lt; 365), D17, "")</f>
        <v/>
      </c>
      <c r="S66" s="46">
        <f>IF(AND( C17="Buy", ISBLANK(W17), B17&lt;&gt;"DIV", NOW()-A17 &gt; 365), T17/sum(F17:I17), "")</f>
        <v/>
      </c>
      <c r="T66" s="47">
        <f>IF(AND( C17="Buy", ISBLANK(W17), B17&lt;&gt;"DIV", NOW()-A17 &gt; 365), (1-Index!$F$2*2)*((J17*D17)-(E17*D17)), "")</f>
        <v/>
      </c>
      <c r="U66" s="47">
        <f>IF(AND( C17="Buy", ISBLANK(W17), B17&lt;&gt;"DIV", NOW()-A17 &gt; 365), ((E17*D17)+T17), "")</f>
        <v/>
      </c>
      <c r="V66" s="47">
        <f>IF(AND( C17="Buy", ISBLANK(W17), B17&lt;&gt;"DIV", NOW()-A17 &gt; 365), D17, "")</f>
        <v/>
      </c>
      <c r="W66" s="49" t="n"/>
      <c r="X66" s="49" t="n"/>
      <c r="Y66" s="46">
        <f>IF(AND( C17="Buy", W17&lt;&gt;"", AA17&lt;&gt;"", B17&lt;&gt;"DIV"), Z17/sum(F17:I17), "")</f>
        <v/>
      </c>
      <c r="Z66" s="49" t="n"/>
      <c r="AA66" s="49" t="n"/>
      <c r="AB66" s="50" t="n"/>
      <c r="AC66" s="49">
        <f>if(B17="DIV", F17,"")</f>
        <v/>
      </c>
      <c r="AD66" s="51" t="n"/>
    </row>
    <row r="67">
      <c r="A67" s="52" t="n">
        <v>45807</v>
      </c>
      <c r="B67" s="39" t="inlineStr">
        <is>
          <t>NSE</t>
        </is>
      </c>
      <c r="C67" s="39" t="inlineStr">
        <is>
          <t>Buy</t>
        </is>
      </c>
      <c r="D67" s="40" t="n">
        <v>20</v>
      </c>
      <c r="E67" s="41" t="n">
        <v>421.56</v>
      </c>
      <c r="F67" s="41" t="n">
        <v>8431.290000000001</v>
      </c>
      <c r="G67" s="39" t="inlineStr">
        <is>
          <t>~</t>
        </is>
      </c>
      <c r="H67" s="41" t="n">
        <v>8.41</v>
      </c>
      <c r="I67" s="40" t="n">
        <v>50.88</v>
      </c>
      <c r="J67" s="42">
        <f>Index!$C$2</f>
        <v/>
      </c>
      <c r="K67" s="43">
        <f>IF(AND( C18="Buy", ISBLANK(W18), B18&lt;&gt;"DIV"), L18/sum(F18:I18), "")</f>
        <v/>
      </c>
      <c r="L67" s="44">
        <f>IF(AND( C18="Buy", ISBLANK(W18), B18&lt;&gt;"DIV"), (1-Index!$F$2*2)*((J18*D18)-(E18*D18)), "")</f>
        <v/>
      </c>
      <c r="M67" s="44">
        <f>IF(AND( C18="Buy", ISBLANK(W18), B18&lt;&gt;"DIV"), ((E18*D18)+L18), "")</f>
        <v/>
      </c>
      <c r="N67" s="45">
        <f>IF(AND( C18="Buy", ISBLANK(W18), B18&lt;&gt;"DIV"), D18, "")</f>
        <v/>
      </c>
      <c r="O67" s="43">
        <f>IF(AND( C18="Buy", ISBLANK(W18), B18&lt;&gt;"DIV", NOW()-A18 &lt; 365), P18/sum(F18:I18), "")</f>
        <v/>
      </c>
      <c r="P67" s="44">
        <f>IF(AND( C18="Buy", ISBLANK(W18), B18&lt;&gt;"DIV", NOW()-A18 &lt; 365), (1-Index!$F$2*2)*((J18*D18)-(E18*D18)), "")</f>
        <v/>
      </c>
      <c r="Q67" s="44">
        <f>IF(AND( C18="Buy", ISBLANK(W18), B18&lt;&gt;"DIV", NOW()-A18 &lt; 365), ((E18*D18)+P18), "")</f>
        <v/>
      </c>
      <c r="R67" s="44">
        <f>IF(AND( C18="Buy", ISBLANK(W18), B18&lt;&gt;"DIV", NOW()-A18 &lt; 365), D18, "")</f>
        <v/>
      </c>
      <c r="S67" s="46">
        <f>IF(AND( C18="Buy", ISBLANK(W18), B18&lt;&gt;"DIV", NOW()-A18 &gt; 365), T18/sum(F18:I18), "")</f>
        <v/>
      </c>
      <c r="T67" s="47">
        <f>IF(AND( C18="Buy", ISBLANK(W18), B18&lt;&gt;"DIV", NOW()-A18 &gt; 365), (1-Index!$F$2*2)*((J18*D18)-(E18*D18)), "")</f>
        <v/>
      </c>
      <c r="U67" s="47">
        <f>IF(AND( C18="Buy", ISBLANK(W18), B18&lt;&gt;"DIV", NOW()-A18 &gt; 365), ((E18*D18)+T18), "")</f>
        <v/>
      </c>
      <c r="V67" s="47">
        <f>IF(AND( C18="Buy", ISBLANK(W18), B18&lt;&gt;"DIV", NOW()-A18 &gt; 365), D18, "")</f>
        <v/>
      </c>
      <c r="W67" s="49" t="n"/>
      <c r="X67" s="49" t="n"/>
      <c r="Y67" s="46">
        <f>IF(AND( C18="Buy", W18&lt;&gt;"", AA18&lt;&gt;"", B18&lt;&gt;"DIV"), Z18/sum(F18:I18), "")</f>
        <v/>
      </c>
      <c r="Z67" s="49" t="n"/>
      <c r="AA67" s="49" t="n"/>
      <c r="AB67" s="50" t="n"/>
      <c r="AC67" s="49">
        <f>if(B18="DIV", F18,"")</f>
        <v/>
      </c>
      <c r="AD67" s="51" t="n"/>
    </row>
    <row r="68">
      <c r="A68" s="52" t="n">
        <v>45806</v>
      </c>
      <c r="B68" s="39" t="inlineStr">
        <is>
          <t>NSE</t>
        </is>
      </c>
      <c r="C68" s="39" t="inlineStr">
        <is>
          <t>Buy</t>
        </is>
      </c>
      <c r="D68" s="40" t="n">
        <v>10</v>
      </c>
      <c r="E68" s="41" t="n">
        <v>421.62</v>
      </c>
      <c r="F68" s="41" t="n">
        <v>4216.19</v>
      </c>
      <c r="G68" s="39" t="inlineStr">
        <is>
          <t>~</t>
        </is>
      </c>
      <c r="H68" s="41" t="n">
        <v>4.21</v>
      </c>
      <c r="I68" s="40" t="n">
        <v>25.48</v>
      </c>
      <c r="J68" s="42">
        <f>Index!$C$2</f>
        <v/>
      </c>
      <c r="K68" s="43">
        <f>IF(AND( C19="Buy", ISBLANK(W19), B19&lt;&gt;"DIV"), L19/sum(F19:I19), "")</f>
        <v/>
      </c>
      <c r="L68" s="44">
        <f>IF(AND( C19="Buy", ISBLANK(W19), B19&lt;&gt;"DIV"), (1-Index!$F$2*2)*((J19*D19)-(E19*D19)), "")</f>
        <v/>
      </c>
      <c r="M68" s="44">
        <f>IF(AND( C19="Buy", ISBLANK(W19), B19&lt;&gt;"DIV"), ((E19*D19)+L19), "")</f>
        <v/>
      </c>
      <c r="N68" s="45">
        <f>IF(AND( C19="Buy", ISBLANK(W19), B19&lt;&gt;"DIV"), D19, "")</f>
        <v/>
      </c>
      <c r="O68" s="43">
        <f>IF(AND( C19="Buy", ISBLANK(W19), B19&lt;&gt;"DIV", NOW()-A19 &lt; 365), P19/sum(F19:I19), "")</f>
        <v/>
      </c>
      <c r="P68" s="44">
        <f>IF(AND( C19="Buy", ISBLANK(W19), B19&lt;&gt;"DIV", NOW()-A19 &lt; 365), (1-Index!$F$2*2)*((J19*D19)-(E19*D19)), "")</f>
        <v/>
      </c>
      <c r="Q68" s="44">
        <f>IF(AND( C19="Buy", ISBLANK(W19), B19&lt;&gt;"DIV", NOW()-A19 &lt; 365), ((E19*D19)+P19), "")</f>
        <v/>
      </c>
      <c r="R68" s="44">
        <f>IF(AND( C19="Buy", ISBLANK(W19), B19&lt;&gt;"DIV", NOW()-A19 &lt; 365), D19, "")</f>
        <v/>
      </c>
      <c r="S68" s="46">
        <f>IF(AND( C19="Buy", ISBLANK(W19), B19&lt;&gt;"DIV", NOW()-A19 &gt; 365), T19/sum(F19:I19), "")</f>
        <v/>
      </c>
      <c r="T68" s="47">
        <f>IF(AND( C19="Buy", ISBLANK(W19), B19&lt;&gt;"DIV", NOW()-A19 &gt; 365), (1-Index!$F$2*2)*((J19*D19)-(E19*D19)), "")</f>
        <v/>
      </c>
      <c r="U68" s="47">
        <f>IF(AND( C19="Buy", ISBLANK(W19), B19&lt;&gt;"DIV", NOW()-A19 &gt; 365), ((E19*D19)+T19), "")</f>
        <v/>
      </c>
      <c r="V68" s="47">
        <f>IF(AND( C19="Buy", ISBLANK(W19), B19&lt;&gt;"DIV", NOW()-A19 &gt; 365), D19, "")</f>
        <v/>
      </c>
      <c r="W68" s="49" t="n"/>
      <c r="X68" s="49" t="n"/>
      <c r="Y68" s="46">
        <f>IF(AND( C19="Buy", W19&lt;&gt;"", AA19&lt;&gt;"", B19&lt;&gt;"DIV"), Z19/sum(F19:I19), "")</f>
        <v/>
      </c>
      <c r="Z68" s="49" t="n"/>
      <c r="AA68" s="49" t="n"/>
      <c r="AB68" s="50" t="n"/>
      <c r="AC68" s="49">
        <f>if(B19="DIV", F19,"")</f>
        <v/>
      </c>
      <c r="AD68" s="51" t="n"/>
    </row>
    <row r="69">
      <c r="A69" s="52" t="n">
        <v>45805</v>
      </c>
      <c r="B69" s="39" t="inlineStr">
        <is>
          <t>DIV</t>
        </is>
      </c>
      <c r="C69" s="39" t="inlineStr">
        <is>
          <t>Buy</t>
        </is>
      </c>
      <c r="D69" s="40" t="n">
        <v>135</v>
      </c>
      <c r="E69" s="41" t="n">
        <v>7.85</v>
      </c>
      <c r="F69" s="41" t="n">
        <v>1059.75</v>
      </c>
      <c r="G69" s="39" t="inlineStr">
        <is>
          <t>Final-Dividend of Rs.7.8500/- per share on Ex-Date: 28-MAY-2025</t>
        </is>
      </c>
      <c r="H69" s="41" t="n">
        <v>0</v>
      </c>
      <c r="I69" s="40" t="n">
        <v>0</v>
      </c>
      <c r="J69" s="42">
        <f>Index!$C$2</f>
        <v/>
      </c>
      <c r="K69" s="43">
        <f>IF(AND( C20="Buy", ISBLANK(W20), B20&lt;&gt;"DIV"), L20/sum(F20:I20), "")</f>
        <v/>
      </c>
      <c r="L69" s="44">
        <f>IF(AND( C20="Buy", ISBLANK(W20), B20&lt;&gt;"DIV"), (1-Index!$F$2*2)*((J20*D20)-(E20*D20)), "")</f>
        <v/>
      </c>
      <c r="M69" s="44">
        <f>IF(AND( C20="Buy", ISBLANK(W20), B20&lt;&gt;"DIV"), ((E20*D20)+L20), "")</f>
        <v/>
      </c>
      <c r="N69" s="45">
        <f>IF(AND( C20="Buy", ISBLANK(W20), B20&lt;&gt;"DIV"), D20, "")</f>
        <v/>
      </c>
      <c r="O69" s="43">
        <f>IF(AND( C20="Buy", ISBLANK(W20), B20&lt;&gt;"DIV", NOW()-A20 &lt; 365), P20/sum(F20:I20), "")</f>
        <v/>
      </c>
      <c r="P69" s="44">
        <f>IF(AND( C20="Buy", ISBLANK(W20), B20&lt;&gt;"DIV", NOW()-A20 &lt; 365), (1-Index!$F$2*2)*((J20*D20)-(E20*D20)), "")</f>
        <v/>
      </c>
      <c r="Q69" s="44">
        <f>IF(AND( C20="Buy", ISBLANK(W20), B20&lt;&gt;"DIV", NOW()-A20 &lt; 365), ((E20*D20)+P20), "")</f>
        <v/>
      </c>
      <c r="R69" s="44">
        <f>IF(AND( C20="Buy", ISBLANK(W20), B20&lt;&gt;"DIV", NOW()-A20 &lt; 365), D20, "")</f>
        <v/>
      </c>
      <c r="S69" s="46">
        <f>IF(AND( C20="Buy", ISBLANK(W20), B20&lt;&gt;"DIV", NOW()-A20 &gt; 365), T20/sum(F20:I20), "")</f>
        <v/>
      </c>
      <c r="T69" s="47">
        <f>IF(AND( C20="Buy", ISBLANK(W20), B20&lt;&gt;"DIV", NOW()-A20 &gt; 365), (1-Index!$F$2*2)*((J20*D20)-(E20*D20)), "")</f>
        <v/>
      </c>
      <c r="U69" s="47">
        <f>IF(AND( C20="Buy", ISBLANK(W20), B20&lt;&gt;"DIV", NOW()-A20 &gt; 365), ((E20*D20)+T20), "")</f>
        <v/>
      </c>
      <c r="V69" s="47">
        <f>IF(AND( C20="Buy", ISBLANK(W20), B20&lt;&gt;"DIV", NOW()-A20 &gt; 365), D20, "")</f>
        <v/>
      </c>
      <c r="W69" s="49" t="n"/>
      <c r="X69" s="49" t="n"/>
      <c r="Y69" s="46">
        <f>IF(AND( C20="Buy", W20&lt;&gt;"", AA20&lt;&gt;"", B20&lt;&gt;"DIV"), Z20/sum(F20:I20), "")</f>
        <v/>
      </c>
      <c r="Z69" s="49" t="n"/>
      <c r="AA69" s="49" t="n"/>
      <c r="AB69" s="50" t="n"/>
      <c r="AC69" s="49">
        <f>if(B20="DIV", F20,"")</f>
        <v/>
      </c>
      <c r="AD69" s="51" t="n"/>
    </row>
    <row r="70">
      <c r="A70" s="53" t="n">
        <v>45734</v>
      </c>
      <c r="B70" s="58" t="inlineStr">
        <is>
          <t>NSE</t>
        </is>
      </c>
      <c r="C70" s="58" t="inlineStr">
        <is>
          <t>Buy</t>
        </is>
      </c>
      <c r="D70" s="55" t="n">
        <v>10</v>
      </c>
      <c r="E70" s="56" t="n">
        <v>414.02</v>
      </c>
      <c r="F70" s="57">
        <f>E21*D21 + sum(H21:I21)</f>
        <v/>
      </c>
      <c r="G70" s="58" t="inlineStr">
        <is>
          <t>~</t>
        </is>
      </c>
      <c r="H70" s="56" t="n"/>
      <c r="I70" s="55" t="n">
        <v>29.21</v>
      </c>
      <c r="J70" s="42">
        <f>Index!$C$2</f>
        <v/>
      </c>
      <c r="K70" s="43">
        <f>IF(AND( C21="Buy", ISBLANK(W21), B21&lt;&gt;"DIV"), L21/sum(F21:I21), "")</f>
        <v/>
      </c>
      <c r="L70" s="44">
        <f>IF(AND( C21="Buy", ISBLANK(W21), B21&lt;&gt;"DIV"), (1-Index!$F$2*2)*((J21*D21)-(E21*D21)), "")</f>
        <v/>
      </c>
      <c r="M70" s="44">
        <f>IF(AND( C21="Buy", ISBLANK(W21), B21&lt;&gt;"DIV"), ((E21*D21)+L21), "")</f>
        <v/>
      </c>
      <c r="N70" s="45">
        <f>IF(AND( C21="Buy", ISBLANK(W21), B21&lt;&gt;"DIV"), D21, "")</f>
        <v/>
      </c>
      <c r="O70" s="43">
        <f>IF(AND( C21="Buy", ISBLANK(W21), B21&lt;&gt;"DIV", NOW()-A21 &lt; 365), P21/sum(F21:I21), "")</f>
        <v/>
      </c>
      <c r="P70" s="44">
        <f>IF(AND( C21="Buy", ISBLANK(W21), B21&lt;&gt;"DIV", NOW()-A21 &lt; 365), (1-Index!$F$2*2)*((J21*D21)-(E21*D21)), "")</f>
        <v/>
      </c>
      <c r="Q70" s="44">
        <f>IF(AND( C21="Buy", ISBLANK(W21), B21&lt;&gt;"DIV", NOW()-A21 &lt; 365), ((E21*D21)+P21), "")</f>
        <v/>
      </c>
      <c r="R70" s="44">
        <f>IF(AND( C21="Buy", ISBLANK(W21), B21&lt;&gt;"DIV", NOW()-A21 &lt; 365), D21, "")</f>
        <v/>
      </c>
      <c r="S70" s="46">
        <f>IF(AND( C21="Buy", ISBLANK(W21), B21&lt;&gt;"DIV", NOW()-A21 &gt; 365), T21/sum(F21:I21), "")</f>
        <v/>
      </c>
      <c r="T70" s="47">
        <f>IF(AND( C21="Buy", ISBLANK(W21), B21&lt;&gt;"DIV", NOW()-A21 &gt; 365), (1-Index!$F$2*2)*((J21*D21)-(E21*D21)), "")</f>
        <v/>
      </c>
      <c r="U70" s="47">
        <f>IF(AND( C21="Buy", ISBLANK(W21), B21&lt;&gt;"DIV", NOW()-A21 &gt; 365), ((E21*D21)+T21), "")</f>
        <v/>
      </c>
      <c r="V70" s="47">
        <f>IF(AND( C21="Buy", ISBLANK(W21), B21&lt;&gt;"DIV", NOW()-A21 &gt; 365), D21, "")</f>
        <v/>
      </c>
      <c r="W70" s="49" t="n"/>
      <c r="X70" s="49" t="n"/>
      <c r="Y70" s="46">
        <f>IF(AND( C21="Buy", W21&lt;&gt;"", AA21&lt;&gt;"", B21&lt;&gt;"DIV"), Z21/sum(F21:I21), "")</f>
        <v/>
      </c>
      <c r="Z70" s="49" t="n"/>
      <c r="AA70" s="49" t="n"/>
      <c r="AB70" s="50" t="n"/>
      <c r="AC70" s="49">
        <f>if(B21="DIV", F21,"")</f>
        <v/>
      </c>
      <c r="AD70" s="51" t="n"/>
    </row>
    <row r="71">
      <c r="A71" s="53" t="n">
        <v>45722</v>
      </c>
      <c r="B71" s="58" t="inlineStr">
        <is>
          <t>NSE</t>
        </is>
      </c>
      <c r="C71" s="58" t="inlineStr">
        <is>
          <t>Buy</t>
        </is>
      </c>
      <c r="D71" s="55" t="n">
        <v>10</v>
      </c>
      <c r="E71" s="56" t="n">
        <v>404.4</v>
      </c>
      <c r="F71" s="56" t="n">
        <v>4043.99</v>
      </c>
      <c r="G71" s="58" t="inlineStr">
        <is>
          <t>~</t>
        </is>
      </c>
      <c r="H71" s="56" t="n">
        <v>4.04</v>
      </c>
      <c r="I71" s="55" t="n">
        <v>24.45</v>
      </c>
      <c r="J71" s="42">
        <f>Index!$C$2</f>
        <v/>
      </c>
      <c r="K71" s="43">
        <f>IF(AND( C22="Buy", ISBLANK(W22), B22&lt;&gt;"DIV"), L22/sum(F22:I22), "")</f>
        <v/>
      </c>
      <c r="L71" s="44">
        <f>IF(AND( C22="Buy", ISBLANK(W22), B22&lt;&gt;"DIV"), (1-Index!$F$2*2)*((J22*D22)-(E22*D22)), "")</f>
        <v/>
      </c>
      <c r="M71" s="44">
        <f>IF(AND( C22="Buy", ISBLANK(W22), B22&lt;&gt;"DIV"), ((E22*D22)+L22), "")</f>
        <v/>
      </c>
      <c r="N71" s="45">
        <f>IF(AND( C22="Buy", ISBLANK(W22), B22&lt;&gt;"DIV"), D22, "")</f>
        <v/>
      </c>
      <c r="O71" s="43">
        <f>IF(AND( C22="Buy", ISBLANK(W22), B22&lt;&gt;"DIV", NOW()-A22 &lt; 365), P22/sum(F22:I22), "")</f>
        <v/>
      </c>
      <c r="P71" s="44">
        <f>IF(AND( C22="Buy", ISBLANK(W22), B22&lt;&gt;"DIV", NOW()-A22 &lt; 365), (1-Index!$F$2*2)*((J22*D22)-(E22*D22)), "")</f>
        <v/>
      </c>
      <c r="Q71" s="44">
        <f>IF(AND( C22="Buy", ISBLANK(W22), B22&lt;&gt;"DIV", NOW()-A22 &lt; 365), ((E22*D22)+P22), "")</f>
        <v/>
      </c>
      <c r="R71" s="44">
        <f>IF(AND( C22="Buy", ISBLANK(W22), B22&lt;&gt;"DIV", NOW()-A22 &lt; 365), D22, "")</f>
        <v/>
      </c>
      <c r="S71" s="46">
        <f>IF(AND( C22="Buy", ISBLANK(W22), B22&lt;&gt;"DIV", NOW()-A22 &gt; 365), T22/sum(F22:I22), "")</f>
        <v/>
      </c>
      <c r="T71" s="47">
        <f>IF(AND( C22="Buy", ISBLANK(W22), B22&lt;&gt;"DIV", NOW()-A22 &gt; 365), (1-Index!$F$2*2)*((J22*D22)-(E22*D22)), "")</f>
        <v/>
      </c>
      <c r="U71" s="47">
        <f>IF(AND( C22="Buy", ISBLANK(W22), B22&lt;&gt;"DIV", NOW()-A22 &gt; 365), ((E22*D22)+T22), "")</f>
        <v/>
      </c>
      <c r="V71" s="47">
        <f>IF(AND( C22="Buy", ISBLANK(W22), B22&lt;&gt;"DIV", NOW()-A22 &gt; 365), D22, "")</f>
        <v/>
      </c>
      <c r="W71" s="49" t="n"/>
      <c r="X71" s="49" t="n"/>
      <c r="Y71" s="46">
        <f>IF(AND( C22="Buy", W22&lt;&gt;"", AA22&lt;&gt;"", B22&lt;&gt;"DIV"), Z22/sum(F22:I22), "")</f>
        <v/>
      </c>
      <c r="Z71" s="49" t="n"/>
      <c r="AA71" s="49" t="n"/>
      <c r="AB71" s="50" t="n"/>
      <c r="AC71" s="49">
        <f>if(B22="DIV", F22,"")</f>
        <v/>
      </c>
      <c r="AD71" s="51" t="n"/>
    </row>
    <row r="72">
      <c r="A72" s="53" t="n">
        <v>45716</v>
      </c>
      <c r="B72" s="58" t="inlineStr">
        <is>
          <t>NSE</t>
        </is>
      </c>
      <c r="C72" s="58" t="inlineStr">
        <is>
          <t>Buy</t>
        </is>
      </c>
      <c r="D72" s="55" t="n">
        <v>5</v>
      </c>
      <c r="E72" s="56" t="n">
        <v>398.66</v>
      </c>
      <c r="F72" s="56" t="n">
        <v>1993.28</v>
      </c>
      <c r="G72" s="58" t="inlineStr">
        <is>
          <t>~</t>
        </is>
      </c>
      <c r="H72" s="56" t="n">
        <v>1.97</v>
      </c>
      <c r="I72" s="55" t="n">
        <v>12.06</v>
      </c>
      <c r="J72" s="42">
        <f>Index!$C$2</f>
        <v/>
      </c>
      <c r="K72" s="43">
        <f>IF(AND( C23="Buy", ISBLANK(W23), B23&lt;&gt;"DIV"), L23/sum(F23:I23), "")</f>
        <v/>
      </c>
      <c r="L72" s="44">
        <f>IF(AND( C23="Buy", ISBLANK(W23), B23&lt;&gt;"DIV"), (1-Index!$F$2*2)*((J23*D23)-(E23*D23)), "")</f>
        <v/>
      </c>
      <c r="M72" s="44">
        <f>IF(AND( C23="Buy", ISBLANK(W23), B23&lt;&gt;"DIV"), ((E23*D23)+L23), "")</f>
        <v/>
      </c>
      <c r="N72" s="45">
        <f>IF(AND( C23="Buy", ISBLANK(W23), B23&lt;&gt;"DIV"), D23, "")</f>
        <v/>
      </c>
      <c r="O72" s="43">
        <f>IF(AND( C23="Buy", ISBLANK(W23), B23&lt;&gt;"DIV", NOW()-A23 &lt; 365), P23/sum(F23:I23), "")</f>
        <v/>
      </c>
      <c r="P72" s="44">
        <f>IF(AND( C23="Buy", ISBLANK(W23), B23&lt;&gt;"DIV", NOW()-A23 &lt; 365), (1-Index!$F$2*2)*((J23*D23)-(E23*D23)), "")</f>
        <v/>
      </c>
      <c r="Q72" s="44">
        <f>IF(AND( C23="Buy", ISBLANK(W23), B23&lt;&gt;"DIV", NOW()-A23 &lt; 365), ((E23*D23)+P23), "")</f>
        <v/>
      </c>
      <c r="R72" s="44">
        <f>IF(AND( C23="Buy", ISBLANK(W23), B23&lt;&gt;"DIV", NOW()-A23 &lt; 365), D23, "")</f>
        <v/>
      </c>
      <c r="S72" s="46">
        <f>IF(AND( C23="Buy", ISBLANK(W23), B23&lt;&gt;"DIV", NOW()-A23 &gt; 365), T23/sum(F23:I23), "")</f>
        <v/>
      </c>
      <c r="T72" s="47">
        <f>IF(AND( C23="Buy", ISBLANK(W23), B23&lt;&gt;"DIV", NOW()-A23 &gt; 365), (1-Index!$F$2*2)*((J23*D23)-(E23*D23)), "")</f>
        <v/>
      </c>
      <c r="U72" s="47">
        <f>IF(AND( C23="Buy", ISBLANK(W23), B23&lt;&gt;"DIV", NOW()-A23 &gt; 365), ((E23*D23)+T23), "")</f>
        <v/>
      </c>
      <c r="V72" s="47">
        <f>IF(AND( C23="Buy", ISBLANK(W23), B23&lt;&gt;"DIV", NOW()-A23 &gt; 365), D23, "")</f>
        <v/>
      </c>
      <c r="W72" s="49" t="n"/>
      <c r="X72" s="49" t="n"/>
      <c r="Y72" s="46">
        <f>IF(AND( C23="Buy", W23&lt;&gt;"", AA23&lt;&gt;"", B23&lt;&gt;"DIV"), Z23/sum(F23:I23), "")</f>
        <v/>
      </c>
      <c r="Z72" s="49" t="n"/>
      <c r="AA72" s="49" t="n"/>
      <c r="AB72" s="50" t="n"/>
      <c r="AC72" s="49">
        <f>if(B23="DIV", F23,"")</f>
        <v/>
      </c>
      <c r="AD72" s="51" t="n"/>
    </row>
    <row r="73">
      <c r="A73" s="53" t="n">
        <v>45712</v>
      </c>
      <c r="B73" s="58" t="inlineStr">
        <is>
          <t>NSE</t>
        </is>
      </c>
      <c r="C73" s="58" t="inlineStr">
        <is>
          <t>Buy</t>
        </is>
      </c>
      <c r="D73" s="55" t="n">
        <v>50</v>
      </c>
      <c r="E73" s="56" t="n">
        <v>405.2</v>
      </c>
      <c r="F73" s="56" t="n">
        <v>20259.98</v>
      </c>
      <c r="G73" s="58" t="inlineStr">
        <is>
          <t>~</t>
        </is>
      </c>
      <c r="H73" s="56" t="n">
        <v>20.07</v>
      </c>
      <c r="I73" s="55" t="n">
        <v>122.41</v>
      </c>
      <c r="J73" s="42">
        <f>Index!$C$2</f>
        <v/>
      </c>
      <c r="K73" s="43">
        <f>IF(AND( C24="Buy", ISBLANK(W24), B24&lt;&gt;"DIV"), L24/sum(F24:I24), "")</f>
        <v/>
      </c>
      <c r="L73" s="44">
        <f>IF(AND( C24="Buy", ISBLANK(W24), B24&lt;&gt;"DIV"), (1-Index!$F$2*2)*((J24*D24)-(E24*D24)), "")</f>
        <v/>
      </c>
      <c r="M73" s="44">
        <f>IF(AND( C24="Buy", ISBLANK(W24), B24&lt;&gt;"DIV"), ((E24*D24)+L24), "")</f>
        <v/>
      </c>
      <c r="N73" s="45">
        <f>IF(AND( C24="Buy", ISBLANK(W24), B24&lt;&gt;"DIV"), D24, "")</f>
        <v/>
      </c>
      <c r="O73" s="43">
        <f>IF(AND( C24="Buy", ISBLANK(W24), B24&lt;&gt;"DIV", NOW()-A24 &lt; 365), P24/sum(F24:I24), "")</f>
        <v/>
      </c>
      <c r="P73" s="44">
        <f>IF(AND( C24="Buy", ISBLANK(W24), B24&lt;&gt;"DIV", NOW()-A24 &lt; 365), (1-Index!$F$2*2)*((J24*D24)-(E24*D24)), "")</f>
        <v/>
      </c>
      <c r="Q73" s="44">
        <f>IF(AND( C24="Buy", ISBLANK(W24), B24&lt;&gt;"DIV", NOW()-A24 &lt; 365), ((E24*D24)+P24), "")</f>
        <v/>
      </c>
      <c r="R73" s="44">
        <f>IF(AND( C24="Buy", ISBLANK(W24), B24&lt;&gt;"DIV", NOW()-A24 &lt; 365), D24, "")</f>
        <v/>
      </c>
      <c r="S73" s="46">
        <f>IF(AND( C24="Buy", ISBLANK(W24), B24&lt;&gt;"DIV", NOW()-A24 &gt; 365), T24/sum(F24:I24), "")</f>
        <v/>
      </c>
      <c r="T73" s="47">
        <f>IF(AND( C24="Buy", ISBLANK(W24), B24&lt;&gt;"DIV", NOW()-A24 &gt; 365), (1-Index!$F$2*2)*((J24*D24)-(E24*D24)), "")</f>
        <v/>
      </c>
      <c r="U73" s="47">
        <f>IF(AND( C24="Buy", ISBLANK(W24), B24&lt;&gt;"DIV", NOW()-A24 &gt; 365), ((E24*D24)+T24), "")</f>
        <v/>
      </c>
      <c r="V73" s="47">
        <f>IF(AND( C24="Buy", ISBLANK(W24), B24&lt;&gt;"DIV", NOW()-A24 &gt; 365), D24, "")</f>
        <v/>
      </c>
      <c r="W73" s="49" t="n"/>
      <c r="X73" s="49" t="n"/>
      <c r="Y73" s="46">
        <f>IF(AND( C24="Buy", W24&lt;&gt;"", AA24&lt;&gt;"", B24&lt;&gt;"DIV"), Z24/sum(F24:I24), "")</f>
        <v/>
      </c>
      <c r="Z73" s="49" t="n"/>
      <c r="AA73" s="49" t="n"/>
      <c r="AB73" s="50" t="n"/>
      <c r="AC73" s="49">
        <f>if(B24="DIV", F24,"")</f>
        <v/>
      </c>
      <c r="AD73" s="51" t="n"/>
    </row>
    <row r="74">
      <c r="A74" s="53" t="n">
        <v>45708</v>
      </c>
      <c r="B74" s="58" t="inlineStr">
        <is>
          <t>NSE</t>
        </is>
      </c>
      <c r="C74" s="58" t="inlineStr">
        <is>
          <t>Buy</t>
        </is>
      </c>
      <c r="D74" s="55" t="n">
        <v>10</v>
      </c>
      <c r="E74" s="56" t="n">
        <v>405.39</v>
      </c>
      <c r="F74" s="56" t="n">
        <v>4053.89</v>
      </c>
      <c r="G74" s="58" t="inlineStr">
        <is>
          <t>~</t>
        </is>
      </c>
      <c r="H74" s="56" t="n">
        <v>4.01</v>
      </c>
      <c r="I74" s="55" t="n">
        <v>24.38</v>
      </c>
      <c r="J74" s="42">
        <f>Index!$C$2</f>
        <v/>
      </c>
      <c r="K74" s="43">
        <f>IF(AND( C25="Buy", ISBLANK(W25), B25&lt;&gt;"DIV"), L25/sum(F25:I25), "")</f>
        <v/>
      </c>
      <c r="L74" s="44">
        <f>IF(AND( C25="Buy", ISBLANK(W25), B25&lt;&gt;"DIV"), (1-Index!$F$2*2)*((J25*D25)-(E25*D25)), "")</f>
        <v/>
      </c>
      <c r="M74" s="44">
        <f>IF(AND( C25="Buy", ISBLANK(W25), B25&lt;&gt;"DIV"), ((E25*D25)+L25), "")</f>
        <v/>
      </c>
      <c r="N74" s="45">
        <f>IF(AND( C25="Buy", ISBLANK(W25), B25&lt;&gt;"DIV"), D25, "")</f>
        <v/>
      </c>
      <c r="O74" s="43">
        <f>IF(AND( C25="Buy", ISBLANK(W25), B25&lt;&gt;"DIV", NOW()-A25 &lt; 365), P25/sum(F25:I25), "")</f>
        <v/>
      </c>
      <c r="P74" s="44">
        <f>IF(AND( C25="Buy", ISBLANK(W25), B25&lt;&gt;"DIV", NOW()-A25 &lt; 365), (1-Index!$F$2*2)*((J25*D25)-(E25*D25)), "")</f>
        <v/>
      </c>
      <c r="Q74" s="44">
        <f>IF(AND( C25="Buy", ISBLANK(W25), B25&lt;&gt;"DIV", NOW()-A25 &lt; 365), ((E25*D25)+P25), "")</f>
        <v/>
      </c>
      <c r="R74" s="44">
        <f>IF(AND( C25="Buy", ISBLANK(W25), B25&lt;&gt;"DIV", NOW()-A25 &lt; 365), D25, "")</f>
        <v/>
      </c>
      <c r="S74" s="46">
        <f>IF(AND( C25="Buy", ISBLANK(W25), B25&lt;&gt;"DIV", NOW()-A25 &gt; 365), T25/sum(F25:I25), "")</f>
        <v/>
      </c>
      <c r="T74" s="47">
        <f>IF(AND( C25="Buy", ISBLANK(W25), B25&lt;&gt;"DIV", NOW()-A25 &gt; 365), (1-Index!$F$2*2)*((J25*D25)-(E25*D25)), "")</f>
        <v/>
      </c>
      <c r="U74" s="47">
        <f>IF(AND( C25="Buy", ISBLANK(W25), B25&lt;&gt;"DIV", NOW()-A25 &gt; 365), ((E25*D25)+T25), "")</f>
        <v/>
      </c>
      <c r="V74" s="47">
        <f>IF(AND( C25="Buy", ISBLANK(W25), B25&lt;&gt;"DIV", NOW()-A25 &gt; 365), D25, "")</f>
        <v/>
      </c>
      <c r="W74" s="49" t="n"/>
      <c r="X74" s="49" t="n"/>
      <c r="Y74" s="46">
        <f>IF(AND( C25="Buy", W25&lt;&gt;"", AA25&lt;&gt;"", B25&lt;&gt;"DIV"), Z25/sum(F25:I25), "")</f>
        <v/>
      </c>
      <c r="Z74" s="49" t="n"/>
      <c r="AA74" s="49" t="n"/>
      <c r="AB74" s="50" t="n"/>
      <c r="AC74" s="49">
        <f>if(B25="DIV", F25,"")</f>
        <v/>
      </c>
      <c r="AD74" s="51" t="n"/>
    </row>
    <row r="75">
      <c r="A75" s="53" t="n">
        <v>45705</v>
      </c>
      <c r="B75" s="58" t="inlineStr">
        <is>
          <t>NSE</t>
        </is>
      </c>
      <c r="C75" s="58" t="inlineStr">
        <is>
          <t>Buy</t>
        </is>
      </c>
      <c r="D75" s="55" t="n">
        <v>20</v>
      </c>
      <c r="E75" s="56" t="n">
        <v>412.5</v>
      </c>
      <c r="F75" s="56" t="n">
        <v>8250.09</v>
      </c>
      <c r="G75" s="58" t="inlineStr">
        <is>
          <t>~</t>
        </is>
      </c>
      <c r="H75" s="56" t="n">
        <v>8.18</v>
      </c>
      <c r="I75" s="55" t="n">
        <v>49.91</v>
      </c>
      <c r="J75" s="42">
        <f>Index!$C$2</f>
        <v/>
      </c>
      <c r="K75" s="43">
        <f>IF(AND( C26="Buy", ISBLANK(W26), B26&lt;&gt;"DIV"), L26/sum(F26:I26), "")</f>
        <v/>
      </c>
      <c r="L75" s="44">
        <f>IF(AND( C26="Buy", ISBLANK(W26), B26&lt;&gt;"DIV"), (1-Index!$F$2*2)*((J26*D26)-(E26*D26)), "")</f>
        <v/>
      </c>
      <c r="M75" s="44">
        <f>IF(AND( C26="Buy", ISBLANK(W26), B26&lt;&gt;"DIV"), ((E26*D26)+L26), "")</f>
        <v/>
      </c>
      <c r="N75" s="45">
        <f>IF(AND( C26="Buy", ISBLANK(W26), B26&lt;&gt;"DIV"), D26, "")</f>
        <v/>
      </c>
      <c r="O75" s="43">
        <f>IF(AND( C26="Buy", ISBLANK(W26), B26&lt;&gt;"DIV", NOW()-A26 &lt; 365), P26/sum(F26:I26), "")</f>
        <v/>
      </c>
      <c r="P75" s="44">
        <f>IF(AND( C26="Buy", ISBLANK(W26), B26&lt;&gt;"DIV", NOW()-A26 &lt; 365), (1-Index!$F$2*2)*((J26*D26)-(E26*D26)), "")</f>
        <v/>
      </c>
      <c r="Q75" s="44">
        <f>IF(AND( C26="Buy", ISBLANK(W26), B26&lt;&gt;"DIV", NOW()-A26 &lt; 365), ((E26*D26)+P26), "")</f>
        <v/>
      </c>
      <c r="R75" s="44">
        <f>IF(AND( C26="Buy", ISBLANK(W26), B26&lt;&gt;"DIV", NOW()-A26 &lt; 365), D26, "")</f>
        <v/>
      </c>
      <c r="S75" s="46">
        <f>IF(AND( C26="Buy", ISBLANK(W26), B26&lt;&gt;"DIV", NOW()-A26 &gt; 365), T26/sum(F26:I26), "")</f>
        <v/>
      </c>
      <c r="T75" s="47">
        <f>IF(AND( C26="Buy", ISBLANK(W26), B26&lt;&gt;"DIV", NOW()-A26 &gt; 365), (1-Index!$F$2*2)*((J26*D26)-(E26*D26)), "")</f>
        <v/>
      </c>
      <c r="U75" s="47">
        <f>IF(AND( C26="Buy", ISBLANK(W26), B26&lt;&gt;"DIV", NOW()-A26 &gt; 365), ((E26*D26)+T26), "")</f>
        <v/>
      </c>
      <c r="V75" s="47">
        <f>IF(AND( C26="Buy", ISBLANK(W26), B26&lt;&gt;"DIV", NOW()-A26 &gt; 365), D26, "")</f>
        <v/>
      </c>
      <c r="W75" s="49" t="n"/>
      <c r="X75" s="49" t="n"/>
      <c r="Y75" s="46">
        <f>IF(AND( C26="Buy", W26&lt;&gt;"", AA26&lt;&gt;"", B26&lt;&gt;"DIV"), Z26/sum(F26:I26), "")</f>
        <v/>
      </c>
      <c r="Z75" s="49" t="n"/>
      <c r="AA75" s="49" t="n"/>
      <c r="AB75" s="50" t="n"/>
      <c r="AC75" s="49">
        <f>if(B26="DIV", F26,"")</f>
        <v/>
      </c>
      <c r="AD75" s="51" t="n"/>
    </row>
    <row r="76">
      <c r="A76" s="53" t="n">
        <v>45700</v>
      </c>
      <c r="B76" s="58" t="inlineStr">
        <is>
          <t>DIV</t>
        </is>
      </c>
      <c r="C76" s="58" t="inlineStr">
        <is>
          <t>Buy</t>
        </is>
      </c>
      <c r="D76" s="55" t="n">
        <v>30</v>
      </c>
      <c r="E76" s="56" t="n">
        <v>6.5</v>
      </c>
      <c r="F76" s="56" t="n">
        <v>195</v>
      </c>
      <c r="G76" s="58" t="inlineStr">
        <is>
          <t>Interim-Dividend of Rs.6.5000/- per share on Ex-Date: 12-FEB-2025</t>
        </is>
      </c>
      <c r="H76" s="56" t="n">
        <v>0</v>
      </c>
      <c r="I76" s="55" t="n">
        <v>0</v>
      </c>
      <c r="J76" s="42">
        <f>Index!$C$2</f>
        <v/>
      </c>
      <c r="K76" s="43">
        <f>IF(AND( C27="Buy", ISBLANK(W27), B27&lt;&gt;"DIV"), L27/sum(F27:I27), "")</f>
        <v/>
      </c>
      <c r="L76" s="44">
        <f>IF(AND( C27="Buy", ISBLANK(W27), B27&lt;&gt;"DIV"), (1-Index!$F$2*2)*((J27*D27)-(E27*D27)), "")</f>
        <v/>
      </c>
      <c r="M76" s="44">
        <f>IF(AND( C27="Buy", ISBLANK(W27), B27&lt;&gt;"DIV"), ((E27*D27)+L27), "")</f>
        <v/>
      </c>
      <c r="N76" s="45">
        <f>IF(AND( C27="Buy", ISBLANK(W27), B27&lt;&gt;"DIV"), D27, "")</f>
        <v/>
      </c>
      <c r="O76" s="43">
        <f>IF(AND( C27="Buy", ISBLANK(W27), B27&lt;&gt;"DIV", NOW()-A27 &lt; 365), P27/sum(F27:I27), "")</f>
        <v/>
      </c>
      <c r="P76" s="44">
        <f>IF(AND( C27="Buy", ISBLANK(W27), B27&lt;&gt;"DIV", NOW()-A27 &lt; 365), (1-Index!$F$2*2)*((J27*D27)-(E27*D27)), "")</f>
        <v/>
      </c>
      <c r="Q76" s="44">
        <f>IF(AND( C27="Buy", ISBLANK(W27), B27&lt;&gt;"DIV", NOW()-A27 &lt; 365), ((E27*D27)+P27), "")</f>
        <v/>
      </c>
      <c r="R76" s="44">
        <f>IF(AND( C27="Buy", ISBLANK(W27), B27&lt;&gt;"DIV", NOW()-A27 &lt; 365), D27, "")</f>
        <v/>
      </c>
      <c r="S76" s="46">
        <f>IF(AND( C27="Buy", ISBLANK(W27), B27&lt;&gt;"DIV", NOW()-A27 &gt; 365), T27/sum(F27:I27), "")</f>
        <v/>
      </c>
      <c r="T76" s="47">
        <f>IF(AND( C27="Buy", ISBLANK(W27), B27&lt;&gt;"DIV", NOW()-A27 &gt; 365), (1-Index!$F$2*2)*((J27*D27)-(E27*D27)), "")</f>
        <v/>
      </c>
      <c r="U76" s="47">
        <f>IF(AND( C27="Buy", ISBLANK(W27), B27&lt;&gt;"DIV", NOW()-A27 &gt; 365), ((E27*D27)+T27), "")</f>
        <v/>
      </c>
      <c r="V76" s="47">
        <f>IF(AND( C27="Buy", ISBLANK(W27), B27&lt;&gt;"DIV", NOW()-A27 &gt; 365), D27, "")</f>
        <v/>
      </c>
      <c r="W76" s="49" t="n"/>
      <c r="X76" s="49" t="n"/>
      <c r="Y76" s="46">
        <f>IF(AND( C27="Buy", W27&lt;&gt;"", AA27&lt;&gt;"", B27&lt;&gt;"DIV"), Z27/sum(F27:I27), "")</f>
        <v/>
      </c>
      <c r="Z76" s="49" t="n"/>
      <c r="AA76" s="49" t="n"/>
      <c r="AB76" s="50" t="n"/>
      <c r="AC76" s="49">
        <f>if(B27="DIV", F27,"")</f>
        <v/>
      </c>
      <c r="AD76" s="51" t="n"/>
    </row>
    <row r="77">
      <c r="A77" s="53" t="n">
        <v>45699</v>
      </c>
      <c r="B77" s="58" t="inlineStr">
        <is>
          <t>NSE</t>
        </is>
      </c>
      <c r="C77" s="58" t="inlineStr">
        <is>
          <t>Buy</t>
        </is>
      </c>
      <c r="D77" s="55" t="n">
        <v>7</v>
      </c>
      <c r="E77" s="56" t="n">
        <v>429.37</v>
      </c>
      <c r="F77" s="56" t="n">
        <v>3005.57</v>
      </c>
      <c r="G77" s="58" t="inlineStr">
        <is>
          <t>~</t>
        </is>
      </c>
      <c r="H77" s="56" t="n">
        <v>2.98</v>
      </c>
      <c r="I77" s="55" t="n">
        <v>18.14</v>
      </c>
      <c r="J77" s="42">
        <f>Index!$C$2</f>
        <v/>
      </c>
      <c r="K77" s="43">
        <f>IF(AND( C28="Buy", ISBLANK(W28), B28&lt;&gt;"DIV"), L28/sum(F28:I28), "")</f>
        <v/>
      </c>
      <c r="L77" s="44">
        <f>IF(AND( C28="Buy", ISBLANK(W28), B28&lt;&gt;"DIV"), (1-Index!$F$2*2)*((J28*D28)-(E28*D28)), "")</f>
        <v/>
      </c>
      <c r="M77" s="44">
        <f>IF(AND( C28="Buy", ISBLANK(W28), B28&lt;&gt;"DIV"), ((E28*D28)+L28), "")</f>
        <v/>
      </c>
      <c r="N77" s="45">
        <f>IF(AND( C28="Buy", ISBLANK(W28), B28&lt;&gt;"DIV"), D28, "")</f>
        <v/>
      </c>
      <c r="O77" s="43">
        <f>IF(AND( C28="Buy", ISBLANK(W28), B28&lt;&gt;"DIV", NOW()-A28 &lt; 365), P28/sum(F28:I28), "")</f>
        <v/>
      </c>
      <c r="P77" s="44">
        <f>IF(AND( C28="Buy", ISBLANK(W28), B28&lt;&gt;"DIV", NOW()-A28 &lt; 365), (1-Index!$F$2*2)*((J28*D28)-(E28*D28)), "")</f>
        <v/>
      </c>
      <c r="Q77" s="44">
        <f>IF(AND( C28="Buy", ISBLANK(W28), B28&lt;&gt;"DIV", NOW()-A28 &lt; 365), ((E28*D28)+P28), "")</f>
        <v/>
      </c>
      <c r="R77" s="44">
        <f>IF(AND( C28="Buy", ISBLANK(W28), B28&lt;&gt;"DIV", NOW()-A28 &lt; 365), D28, "")</f>
        <v/>
      </c>
      <c r="S77" s="46">
        <f>IF(AND( C28="Buy", ISBLANK(W28), B28&lt;&gt;"DIV", NOW()-A28 &gt; 365), T28/sum(F28:I28), "")</f>
        <v/>
      </c>
      <c r="T77" s="47">
        <f>IF(AND( C28="Buy", ISBLANK(W28), B28&lt;&gt;"DIV", NOW()-A28 &gt; 365), (1-Index!$F$2*2)*((J28*D28)-(E28*D28)), "")</f>
        <v/>
      </c>
      <c r="U77" s="47">
        <f>IF(AND( C28="Buy", ISBLANK(W28), B28&lt;&gt;"DIV", NOW()-A28 &gt; 365), ((E28*D28)+T28), "")</f>
        <v/>
      </c>
      <c r="V77" s="47">
        <f>IF(AND( C28="Buy", ISBLANK(W28), B28&lt;&gt;"DIV", NOW()-A28 &gt; 365), D28, "")</f>
        <v/>
      </c>
      <c r="W77" s="49" t="n"/>
      <c r="X77" s="49" t="n"/>
      <c r="Y77" s="46">
        <f>IF(AND( C28="Buy", W28&lt;&gt;"", AA28&lt;&gt;"", B28&lt;&gt;"DIV"), Z28/sum(F28:I28), "")</f>
        <v/>
      </c>
      <c r="Z77" s="49" t="n"/>
      <c r="AA77" s="49" t="n"/>
      <c r="AB77" s="50" t="n"/>
      <c r="AC77" s="49">
        <f>if(B28="DIV", F28,"")</f>
        <v/>
      </c>
      <c r="AD77" s="51" t="n"/>
    </row>
    <row r="78">
      <c r="A78" s="53" t="n">
        <v>45699</v>
      </c>
      <c r="B78" s="58" t="inlineStr">
        <is>
          <t>NSE</t>
        </is>
      </c>
      <c r="C78" s="58" t="inlineStr">
        <is>
          <t>Buy</t>
        </is>
      </c>
      <c r="D78" s="55" t="n">
        <v>3</v>
      </c>
      <c r="E78" s="56" t="n">
        <v>429.37</v>
      </c>
      <c r="F78" s="56" t="n">
        <v>1288.11</v>
      </c>
      <c r="G78" s="58" t="inlineStr">
        <is>
          <t>~</t>
        </is>
      </c>
      <c r="H78" s="56" t="n">
        <v>1.28</v>
      </c>
      <c r="I78" s="55" t="n">
        <v>7.78</v>
      </c>
      <c r="J78" s="42">
        <f>Index!$C$2</f>
        <v/>
      </c>
      <c r="K78" s="43">
        <f>IF(AND( C29="Buy", ISBLANK(W29), B29&lt;&gt;"DIV"), L29/sum(F29:I29), "")</f>
        <v/>
      </c>
      <c r="L78" s="44">
        <f>IF(AND( C29="Buy", ISBLANK(W29), B29&lt;&gt;"DIV"), (1-Index!$F$2*2)*((J29*D29)-(E29*D29)), "")</f>
        <v/>
      </c>
      <c r="M78" s="44">
        <f>IF(AND( C29="Buy", ISBLANK(W29), B29&lt;&gt;"DIV"), ((E29*D29)+L29), "")</f>
        <v/>
      </c>
      <c r="N78" s="45">
        <f>IF(AND( C29="Buy", ISBLANK(W29), B29&lt;&gt;"DIV"), D29, "")</f>
        <v/>
      </c>
      <c r="O78" s="43">
        <f>IF(AND( C29="Buy", ISBLANK(W29), B29&lt;&gt;"DIV", NOW()-A29 &lt; 365), P29/sum(F29:I29), "")</f>
        <v/>
      </c>
      <c r="P78" s="44">
        <f>IF(AND( C29="Buy", ISBLANK(W29), B29&lt;&gt;"DIV", NOW()-A29 &lt; 365), (1-Index!$F$2*2)*((J29*D29)-(E29*D29)), "")</f>
        <v/>
      </c>
      <c r="Q78" s="44">
        <f>IF(AND( C29="Buy", ISBLANK(W29), B29&lt;&gt;"DIV", NOW()-A29 &lt; 365), ((E29*D29)+P29), "")</f>
        <v/>
      </c>
      <c r="R78" s="44">
        <f>IF(AND( C29="Buy", ISBLANK(W29), B29&lt;&gt;"DIV", NOW()-A29 &lt; 365), D29, "")</f>
        <v/>
      </c>
      <c r="S78" s="46">
        <f>IF(AND( C29="Buy", ISBLANK(W29), B29&lt;&gt;"DIV", NOW()-A29 &gt; 365), T29/sum(F29:I29), "")</f>
        <v/>
      </c>
      <c r="T78" s="47">
        <f>IF(AND( C29="Buy", ISBLANK(W29), B29&lt;&gt;"DIV", NOW()-A29 &gt; 365), (1-Index!$F$2*2)*((J29*D29)-(E29*D29)), "")</f>
        <v/>
      </c>
      <c r="U78" s="47">
        <f>IF(AND( C29="Buy", ISBLANK(W29), B29&lt;&gt;"DIV", NOW()-A29 &gt; 365), ((E29*D29)+T29), "")</f>
        <v/>
      </c>
      <c r="V78" s="47">
        <f>IF(AND( C29="Buy", ISBLANK(W29), B29&lt;&gt;"DIV", NOW()-A29 &gt; 365), D29, "")</f>
        <v/>
      </c>
      <c r="W78" s="49" t="n"/>
      <c r="X78" s="49" t="n"/>
      <c r="Y78" s="46">
        <f>IF(AND( C29="Buy", W29&lt;&gt;"", AA29&lt;&gt;"", B29&lt;&gt;"DIV"), Z29/sum(F29:I29), "")</f>
        <v/>
      </c>
      <c r="Z78" s="49" t="n"/>
      <c r="AA78" s="49" t="n"/>
      <c r="AB78" s="50" t="n"/>
      <c r="AC78" s="49">
        <f>if(B29="DIV", F29,"")</f>
        <v/>
      </c>
      <c r="AD78" s="51" t="n"/>
    </row>
    <row r="79">
      <c r="A79" s="53" t="n">
        <v>45694</v>
      </c>
      <c r="B79" s="58" t="inlineStr">
        <is>
          <t>NSE</t>
        </is>
      </c>
      <c r="C79" s="58" t="inlineStr">
        <is>
          <t>Buy</t>
        </is>
      </c>
      <c r="D79" s="55" t="n">
        <v>10</v>
      </c>
      <c r="E79" s="56" t="n">
        <v>442.26</v>
      </c>
      <c r="F79" s="56" t="n">
        <v>4422.65</v>
      </c>
      <c r="G79" s="58" t="inlineStr">
        <is>
          <t>~</t>
        </is>
      </c>
      <c r="H79" s="56" t="n">
        <v>4.38</v>
      </c>
      <c r="I79" s="55" t="n">
        <v>26.77</v>
      </c>
      <c r="J79" s="42">
        <f>Index!$C$2</f>
        <v/>
      </c>
      <c r="K79" s="43">
        <f>IF(AND( C30="Buy", ISBLANK(W30), B30&lt;&gt;"DIV"), L30/sum(F30:I30), "")</f>
        <v/>
      </c>
      <c r="L79" s="44">
        <f>IF(AND( C30="Buy", ISBLANK(W30), B30&lt;&gt;"DIV"), (1-Index!$F$2*2)*((J30*D30)-(E30*D30)), "")</f>
        <v/>
      </c>
      <c r="M79" s="44">
        <f>IF(AND( C30="Buy", ISBLANK(W30), B30&lt;&gt;"DIV"), ((E30*D30)+L30), "")</f>
        <v/>
      </c>
      <c r="N79" s="45">
        <f>IF(AND( C30="Buy", ISBLANK(W30), B30&lt;&gt;"DIV"), D30, "")</f>
        <v/>
      </c>
      <c r="O79" s="43">
        <f>IF(AND( C30="Buy", ISBLANK(W30), B30&lt;&gt;"DIV", NOW()-A30 &lt; 365), P30/sum(F30:I30), "")</f>
        <v/>
      </c>
      <c r="P79" s="44">
        <f>IF(AND( C30="Buy", ISBLANK(W30), B30&lt;&gt;"DIV", NOW()-A30 &lt; 365), (1-Index!$F$2*2)*((J30*D30)-(E30*D30)), "")</f>
        <v/>
      </c>
      <c r="Q79" s="44">
        <f>IF(AND( C30="Buy", ISBLANK(W30), B30&lt;&gt;"DIV", NOW()-A30 &lt; 365), ((E30*D30)+P30), "")</f>
        <v/>
      </c>
      <c r="R79" s="44">
        <f>IF(AND( C30="Buy", ISBLANK(W30), B30&lt;&gt;"DIV", NOW()-A30 &lt; 365), D30, "")</f>
        <v/>
      </c>
      <c r="S79" s="46">
        <f>IF(AND( C30="Buy", ISBLANK(W30), B30&lt;&gt;"DIV", NOW()-A30 &gt; 365), T30/sum(F30:I30), "")</f>
        <v/>
      </c>
      <c r="T79" s="47">
        <f>IF(AND( C30="Buy", ISBLANK(W30), B30&lt;&gt;"DIV", NOW()-A30 &gt; 365), (1-Index!$F$2*2)*((J30*D30)-(E30*D30)), "")</f>
        <v/>
      </c>
      <c r="U79" s="47">
        <f>IF(AND( C30="Buy", ISBLANK(W30), B30&lt;&gt;"DIV", NOW()-A30 &gt; 365), ((E30*D30)+T30), "")</f>
        <v/>
      </c>
      <c r="V79" s="47">
        <f>IF(AND( C30="Buy", ISBLANK(W30), B30&lt;&gt;"DIV", NOW()-A30 &gt; 365), D30, "")</f>
        <v/>
      </c>
      <c r="W79" s="49" t="n"/>
      <c r="X79" s="49" t="n"/>
      <c r="Y79" s="46">
        <f>IF(AND( C30="Buy", W30&lt;&gt;"", AA30&lt;&gt;"", B30&lt;&gt;"DIV"), Z30/sum(F30:I30), "")</f>
        <v/>
      </c>
      <c r="Z79" s="49" t="n"/>
      <c r="AA79" s="49" t="n"/>
      <c r="AB79" s="50" t="n"/>
      <c r="AC79" s="49">
        <f>if(B30="DIV", F30,"")</f>
        <v/>
      </c>
      <c r="AD79" s="51" t="n"/>
    </row>
    <row r="80">
      <c r="A80" s="53" t="n">
        <v>45565</v>
      </c>
      <c r="B80" s="58" t="inlineStr">
        <is>
          <t>NSE</t>
        </is>
      </c>
      <c r="C80" s="58" t="inlineStr">
        <is>
          <t>Sell</t>
        </is>
      </c>
      <c r="D80" s="55" t="n">
        <v>100</v>
      </c>
      <c r="E80" s="56" t="n">
        <v>519.08</v>
      </c>
      <c r="F80" s="56" t="n">
        <v>51907.59</v>
      </c>
      <c r="G80" s="58" t="n"/>
      <c r="H80" s="56" t="n">
        <v>52.32</v>
      </c>
      <c r="I80" s="55" t="n">
        <v>310.09</v>
      </c>
      <c r="J80" s="42">
        <f>Index!$C$2</f>
        <v/>
      </c>
      <c r="K80" s="43">
        <f>IF(AND( C31="Buy", ISBLANK(W31), B31&lt;&gt;"DIV"), L31/sum(F31:I31), "")</f>
        <v/>
      </c>
      <c r="L80" s="44">
        <f>IF(AND( C31="Buy", ISBLANK(W31), B31&lt;&gt;"DIV"), (1-Index!$F$2*2)*((J31*D31)-(E31*D31)), "")</f>
        <v/>
      </c>
      <c r="M80" s="44">
        <f>IF(AND( C31="Buy", ISBLANK(W31), B31&lt;&gt;"DIV"), ((E31*D31)+L31), "")</f>
        <v/>
      </c>
      <c r="N80" s="45">
        <f>IF(AND( C31="Buy", ISBLANK(W31), B31&lt;&gt;"DIV"), D31, "")</f>
        <v/>
      </c>
      <c r="O80" s="43">
        <f>IF(AND( C31="Buy", ISBLANK(W31), B31&lt;&gt;"DIV", NOW()-A31 &lt; 365), P31/sum(F31:I31), "")</f>
        <v/>
      </c>
      <c r="P80" s="44">
        <f>IF(AND( C31="Buy", ISBLANK(W31), B31&lt;&gt;"DIV", NOW()-A31 &lt; 365), (1-Index!$F$2*2)*((J31*D31)-(E31*D31)), "")</f>
        <v/>
      </c>
      <c r="Q80" s="44">
        <f>IF(AND( C31="Buy", ISBLANK(W31), B31&lt;&gt;"DIV", NOW()-A31 &lt; 365), ((E31*D31)+P31), "")</f>
        <v/>
      </c>
      <c r="R80" s="44">
        <f>IF(AND( C31="Buy", ISBLANK(W31), B31&lt;&gt;"DIV", NOW()-A31 &lt; 365), D31, "")</f>
        <v/>
      </c>
      <c r="S80" s="46">
        <f>IF(AND( C31="Buy", ISBLANK(W31), B31&lt;&gt;"DIV", NOW()-A31 &gt; 365), T31/sum(F31:I31), "")</f>
        <v/>
      </c>
      <c r="T80" s="47">
        <f>IF(AND( C31="Buy", ISBLANK(W31), B31&lt;&gt;"DIV", NOW()-A31 &gt; 365), (1-Index!$F$2*2)*((J31*D31)-(E31*D31)), "")</f>
        <v/>
      </c>
      <c r="U80" s="47">
        <f>IF(AND( C31="Buy", ISBLANK(W31), B31&lt;&gt;"DIV", NOW()-A31 &gt; 365), ((E31*D31)+T31), "")</f>
        <v/>
      </c>
      <c r="V80" s="47">
        <f>IF(AND( C31="Buy", ISBLANK(W31), B31&lt;&gt;"DIV", NOW()-A31 &gt; 365), D31, "")</f>
        <v/>
      </c>
      <c r="W80" s="49" t="n"/>
      <c r="X80" s="49" t="n"/>
      <c r="Y80" s="46">
        <f>IF(AND( C31="Buy", W31&lt;&gt;"", AA31&lt;&gt;"", B31&lt;&gt;"DIV"), Z31/sum(F31:I31), "")</f>
        <v/>
      </c>
      <c r="Z80" s="49" t="n"/>
      <c r="AA80" s="49" t="n"/>
      <c r="AB80" s="50" t="n"/>
      <c r="AC80" s="49">
        <f>if(B31="DIV", F31,"")</f>
        <v/>
      </c>
      <c r="AD80" s="51" t="n"/>
    </row>
    <row r="81">
      <c r="A81" s="53" t="n">
        <v>45447</v>
      </c>
      <c r="B81" s="58" t="inlineStr">
        <is>
          <t>DIV</t>
        </is>
      </c>
      <c r="C81" s="58" t="inlineStr">
        <is>
          <t>Buy</t>
        </is>
      </c>
      <c r="D81" s="55" t="n">
        <v>110</v>
      </c>
      <c r="E81" s="56" t="n">
        <v>7.5</v>
      </c>
      <c r="F81" s="56" t="n">
        <v>825</v>
      </c>
      <c r="G81" s="58" t="inlineStr">
        <is>
          <t>Final-Dividend of Rs.7.5000/- per share on Ex-Date: 04-JUN-2024</t>
        </is>
      </c>
      <c r="H81" s="56" t="n">
        <v>0</v>
      </c>
      <c r="I81" s="55" t="n">
        <v>0</v>
      </c>
      <c r="J81" s="42">
        <f>Index!$C$2</f>
        <v/>
      </c>
      <c r="K81" s="43">
        <f>IF(AND( C32="Buy", ISBLANK(W32), B32&lt;&gt;"DIV"), L32/sum(F32:I32), "")</f>
        <v/>
      </c>
      <c r="L81" s="44">
        <f>IF(AND( C32="Buy", ISBLANK(W32), B32&lt;&gt;"DIV"), (1-Index!$F$2*2)*((J32*D32)-(E32*D32)), "")</f>
        <v/>
      </c>
      <c r="M81" s="44">
        <f>IF(AND( C32="Buy", ISBLANK(W32), B32&lt;&gt;"DIV"), ((E32*D32)+L32), "")</f>
        <v/>
      </c>
      <c r="N81" s="45">
        <f>IF(AND( C32="Buy", ISBLANK(W32), B32&lt;&gt;"DIV"), D32, "")</f>
        <v/>
      </c>
      <c r="O81" s="43">
        <f>IF(AND( C32="Buy", ISBLANK(W32), B32&lt;&gt;"DIV", NOW()-A32 &lt; 365), P32/sum(F32:I32), "")</f>
        <v/>
      </c>
      <c r="P81" s="44">
        <f>IF(AND( C32="Buy", ISBLANK(W32), B32&lt;&gt;"DIV", NOW()-A32 &lt; 365), (1-Index!$F$2*2)*((J32*D32)-(E32*D32)), "")</f>
        <v/>
      </c>
      <c r="Q81" s="44">
        <f>IF(AND( C32="Buy", ISBLANK(W32), B32&lt;&gt;"DIV", NOW()-A32 &lt; 365), ((E32*D32)+P32), "")</f>
        <v/>
      </c>
      <c r="R81" s="44">
        <f>IF(AND( C32="Buy", ISBLANK(W32), B32&lt;&gt;"DIV", NOW()-A32 &lt; 365), D32, "")</f>
        <v/>
      </c>
      <c r="S81" s="46">
        <f>IF(AND( C32="Buy", ISBLANK(W32), B32&lt;&gt;"DIV", NOW()-A32 &gt; 365), T32/sum(F32:I32), "")</f>
        <v/>
      </c>
      <c r="T81" s="47">
        <f>IF(AND( C32="Buy", ISBLANK(W32), B32&lt;&gt;"DIV", NOW()-A32 &gt; 365), (1-Index!$F$2*2)*((J32*D32)-(E32*D32)), "")</f>
        <v/>
      </c>
      <c r="U81" s="47">
        <f>IF(AND( C32="Buy", ISBLANK(W32), B32&lt;&gt;"DIV", NOW()-A32 &gt; 365), ((E32*D32)+T32), "")</f>
        <v/>
      </c>
      <c r="V81" s="47">
        <f>IF(AND( C32="Buy", ISBLANK(W32), B32&lt;&gt;"DIV", NOW()-A32 &gt; 365), D32, "")</f>
        <v/>
      </c>
      <c r="W81" s="49" t="n"/>
      <c r="X81" s="49" t="n"/>
      <c r="Y81" s="46">
        <f>IF(AND( C32="Buy", W32&lt;&gt;"", AA32&lt;&gt;"", B32&lt;&gt;"DIV"), Z32/sum(F32:I32), "")</f>
        <v/>
      </c>
      <c r="Z81" s="49" t="n"/>
      <c r="AA81" s="49" t="n"/>
      <c r="AB81" s="50" t="n"/>
      <c r="AC81" s="49">
        <f>if(B32="DIV", F32,"")</f>
        <v/>
      </c>
      <c r="AD81" s="59" t="inlineStr">
        <is>
          <t>SBI Securities</t>
        </is>
      </c>
    </row>
    <row r="82">
      <c r="A82" s="53" t="n">
        <v>45378</v>
      </c>
      <c r="B82" s="58" t="inlineStr">
        <is>
          <t>NSE</t>
        </is>
      </c>
      <c r="C82" s="58" t="inlineStr">
        <is>
          <t>Buy</t>
        </is>
      </c>
      <c r="D82" s="55" t="n">
        <v>10</v>
      </c>
      <c r="E82" s="56" t="n">
        <v>431.08</v>
      </c>
      <c r="F82" s="56" t="n">
        <v>4310.82</v>
      </c>
      <c r="G82" s="58" t="inlineStr">
        <is>
          <t>~</t>
        </is>
      </c>
      <c r="H82" s="56" t="n">
        <v>4.27</v>
      </c>
      <c r="I82" s="55" t="n">
        <v>26.05</v>
      </c>
      <c r="J82" s="42">
        <f>Index!$C$2</f>
        <v/>
      </c>
      <c r="K82" s="43">
        <f>IF(AND( C33="Buy", ISBLANK(W33), B33&lt;&gt;"DIV"), L33/sum(F33:I33), "")</f>
        <v/>
      </c>
      <c r="L82" s="44">
        <f>IF(AND( C33="Buy", ISBLANK(W33), B33&lt;&gt;"DIV"), (1-Index!$F$2*2)*((J33*D33)-(E33*D33)), "")</f>
        <v/>
      </c>
      <c r="M82" s="44">
        <f>IF(AND( C33="Buy", ISBLANK(W33), B33&lt;&gt;"DIV"), ((E33*D33)+L33), "")</f>
        <v/>
      </c>
      <c r="N82" s="45">
        <f>IF(AND( C33="Buy", ISBLANK(W33), B33&lt;&gt;"DIV"), D33, "")</f>
        <v/>
      </c>
      <c r="O82" s="43">
        <f>IF(AND( C33="Buy", ISBLANK(W33), B33&lt;&gt;"DIV", NOW()-A33 &lt; 365), P33/sum(F33:I33), "")</f>
        <v/>
      </c>
      <c r="P82" s="44">
        <f>IF(AND( C33="Buy", ISBLANK(W33), B33&lt;&gt;"DIV", NOW()-A33 &lt; 365), (1-Index!$F$2*2)*((J33*D33)-(E33*D33)), "")</f>
        <v/>
      </c>
      <c r="Q82" s="44">
        <f>IF(AND( C33="Buy", ISBLANK(W33), B33&lt;&gt;"DIV", NOW()-A33 &lt; 365), ((E33*D33)+P33), "")</f>
        <v/>
      </c>
      <c r="R82" s="44">
        <f>IF(AND( C33="Buy", ISBLANK(W33), B33&lt;&gt;"DIV", NOW()-A33 &lt; 365), D33, "")</f>
        <v/>
      </c>
      <c r="S82" s="46">
        <f>IF(AND( C33="Buy", ISBLANK(W33), B33&lt;&gt;"DIV", NOW()-A33 &gt; 365), T33/sum(F33:I33), "")</f>
        <v/>
      </c>
      <c r="T82" s="47">
        <f>IF(AND( C33="Buy", ISBLANK(W33), B33&lt;&gt;"DIV", NOW()-A33 &gt; 365), (1-Index!$F$2*2)*((J33*D33)-(E33*D33)), "")</f>
        <v/>
      </c>
      <c r="U82" s="47">
        <f>IF(AND( C33="Buy", ISBLANK(W33), B33&lt;&gt;"DIV", NOW()-A33 &gt; 365), ((E33*D33)+T33), "")</f>
        <v/>
      </c>
      <c r="V82" s="47">
        <f>IF(AND( C33="Buy", ISBLANK(W33), B33&lt;&gt;"DIV", NOW()-A33 &gt; 365), D33, "")</f>
        <v/>
      </c>
      <c r="W82" s="49" t="n"/>
      <c r="X82" s="49" t="n"/>
      <c r="Y82" s="46">
        <f>IF(AND( C33="Buy", W33&lt;&gt;"", AA33&lt;&gt;"", B33&lt;&gt;"DIV"), Z33/sum(F33:I33), "")</f>
        <v/>
      </c>
      <c r="Z82" s="49" t="n"/>
      <c r="AA82" s="49" t="n"/>
      <c r="AB82" s="50" t="n"/>
      <c r="AC82" s="49">
        <f>if(B33="DIV", F33,"")</f>
        <v/>
      </c>
      <c r="AD82" s="59" t="inlineStr">
        <is>
          <t>SBI Securities</t>
        </is>
      </c>
    </row>
    <row r="83">
      <c r="A83" s="53" t="n">
        <v>45378</v>
      </c>
      <c r="B83" s="58" t="inlineStr">
        <is>
          <t>NSE</t>
        </is>
      </c>
      <c r="C83" s="58" t="inlineStr">
        <is>
          <t>Buy</t>
        </is>
      </c>
      <c r="D83" s="55" t="n">
        <v>10</v>
      </c>
      <c r="E83" s="56" t="n">
        <v>431.13</v>
      </c>
      <c r="F83" s="56" t="n">
        <v>4311.33</v>
      </c>
      <c r="G83" s="58" t="inlineStr">
        <is>
          <t>~</t>
        </is>
      </c>
      <c r="H83" s="56" t="n">
        <v>4.27</v>
      </c>
      <c r="I83" s="55" t="n">
        <v>26.06</v>
      </c>
      <c r="J83" s="42">
        <f>Index!$C$2</f>
        <v/>
      </c>
      <c r="K83" s="49" t="n"/>
      <c r="L83" s="49">
        <f>IF(AND( C34="Buy", ISBLANK(W34), B34&lt;&gt;"DIV"), (1-Index!$F$2*2)*((J34*D34)-(E34*D34)), "")</f>
        <v/>
      </c>
      <c r="M83" s="60">
        <f>IF(AND( C34="Buy", ISBLANK(W34), B34&lt;&gt;"DIV"), ((E34*D34)+L34), "")</f>
        <v/>
      </c>
      <c r="N83" s="61">
        <f>IF(AND( C34="Buy", ISBLANK(W34), B34&lt;&gt;"DIV"), D34, "")</f>
        <v/>
      </c>
      <c r="O83" s="62" t="n"/>
      <c r="P83" s="49">
        <f>IF(AND( C34="Buy", ISBLANK(W34), B34&lt;&gt;"DIV", NOW()-A34 &lt; 365), (1-Index!$F$2*2)*((J34*D34)-(E34*D34)), "")</f>
        <v/>
      </c>
      <c r="Q83" s="60">
        <f>IF(AND( C34="Buy", ISBLANK(W34), B34&lt;&gt;"DIV", NOW()-A34 &lt; 365), ((E34*D34)+P34), "")</f>
        <v/>
      </c>
      <c r="R83" s="61">
        <f>IF(AND( C34="Buy", ISBLANK(W34), B34&lt;&gt;"DIV", NOW()-A34 &lt; 365), D34, "")</f>
        <v/>
      </c>
      <c r="S83" s="63" t="n"/>
      <c r="T83" s="63">
        <f>IF(AND( C34="Buy", ISBLANK(W34), B34&lt;&gt;"DIV", NOW()-A34 &gt; 365), (J34*D34)-(E34*D34)-(2*sum(H34:I34)), "")</f>
        <v/>
      </c>
      <c r="U83" s="63">
        <f>IF(AND( C34="Buy", ISBLANK(W34), B34&lt;&gt;"DIV", NOW()-A34 &gt; 365), ((E34*D34)+T34), "")</f>
        <v/>
      </c>
      <c r="V83" s="63">
        <f>IF(AND( C34="Buy", ISBLANK(W34), B34&lt;&gt;"DIV", NOW()-A34 &gt; 365), D34, "")</f>
        <v/>
      </c>
      <c r="W83" s="56" t="n">
        <v>519.08</v>
      </c>
      <c r="X83" s="53" t="n">
        <v>45565</v>
      </c>
      <c r="Y83" s="46">
        <f>IF(AND( C34="Buy", W34&lt;&gt;"", AA34&lt;&gt;"", B34&lt;&gt;"DIV"), Z34/sum(F34:I34), "")</f>
        <v/>
      </c>
      <c r="Z83" s="49">
        <f>(1-Index!$F$2*2)*((W34*D34)-(E34*D34))</f>
        <v/>
      </c>
      <c r="AA83" s="49">
        <f>((E34*D34)+Z34)</f>
        <v/>
      </c>
      <c r="AB83" s="50">
        <f>D34</f>
        <v/>
      </c>
      <c r="AC83" s="49">
        <f>if(B34="DIV", F34,"")</f>
        <v/>
      </c>
      <c r="AD83" s="59" t="inlineStr">
        <is>
          <t>SBI Securities</t>
        </is>
      </c>
    </row>
    <row r="84">
      <c r="A84" s="53" t="n">
        <v>45364</v>
      </c>
      <c r="B84" s="58" t="inlineStr">
        <is>
          <t>NSE</t>
        </is>
      </c>
      <c r="C84" s="58" t="inlineStr">
        <is>
          <t>Buy</t>
        </is>
      </c>
      <c r="D84" s="55" t="n">
        <v>20</v>
      </c>
      <c r="E84" s="56" t="n">
        <v>430.03</v>
      </c>
      <c r="F84" s="56" t="n">
        <v>8600.65</v>
      </c>
      <c r="G84" s="58" t="inlineStr">
        <is>
          <t>~</t>
        </is>
      </c>
      <c r="H84" s="56" t="n">
        <v>8.51</v>
      </c>
      <c r="I84" s="55" t="n">
        <v>52.14</v>
      </c>
      <c r="J84" s="42">
        <f>Index!$C$2</f>
        <v/>
      </c>
      <c r="K84" s="49" t="n"/>
      <c r="L84" s="49">
        <f>IF(AND( C35="Buy", ISBLANK(W35), B35&lt;&gt;"DIV"), (1-Index!$F$2*2)*((J35*D35)-(E35*D35)), "")</f>
        <v/>
      </c>
      <c r="M84" s="60">
        <f>IF(AND( C35="Buy", ISBLANK(W35), B35&lt;&gt;"DIV"), ((E35*D35)+L35), "")</f>
        <v/>
      </c>
      <c r="N84" s="61">
        <f>IF(AND( C35="Buy", ISBLANK(W35), B35&lt;&gt;"DIV"), D35, "")</f>
        <v/>
      </c>
      <c r="O84" s="62" t="n"/>
      <c r="P84" s="49">
        <f>IF(AND( C35="Buy", ISBLANK(W35), B35&lt;&gt;"DIV", NOW()-A35 &lt; 365), (1-Index!$F$2*2)*((J35*D35)-(E35*D35)), "")</f>
        <v/>
      </c>
      <c r="Q84" s="60">
        <f>IF(AND( C35="Buy", ISBLANK(W35), B35&lt;&gt;"DIV", NOW()-A35 &lt; 365), ((E35*D35)+P35), "")</f>
        <v/>
      </c>
      <c r="R84" s="61">
        <f>IF(AND( C35="Buy", ISBLANK(W35), B35&lt;&gt;"DIV", NOW()-A35 &lt; 365), D35, "")</f>
        <v/>
      </c>
      <c r="S84" s="63" t="n"/>
      <c r="T84" s="63">
        <f>IF(AND( C35="Buy", ISBLANK(W35), B35&lt;&gt;"DIV", NOW()-A35 &gt; 365), (J35*D35)-(E35*D35)-(2*sum(H35:I35)), "")</f>
        <v/>
      </c>
      <c r="U84" s="63">
        <f>IF(AND( C35="Buy", ISBLANK(W35), B35&lt;&gt;"DIV", NOW()-A35 &gt; 365), ((E35*D35)+T35), "")</f>
        <v/>
      </c>
      <c r="V84" s="63">
        <f>IF(AND( C35="Buy", ISBLANK(W35), B35&lt;&gt;"DIV", NOW()-A35 &gt; 365), D35, "")</f>
        <v/>
      </c>
      <c r="W84" s="56" t="n">
        <v>519.08</v>
      </c>
      <c r="X84" s="53" t="n">
        <v>45565</v>
      </c>
      <c r="Y84" s="46">
        <f>IF(AND( C35="Buy", W35&lt;&gt;"", AA35&lt;&gt;"", B35&lt;&gt;"DIV"), Z35/sum(F35:I35), "")</f>
        <v/>
      </c>
      <c r="Z84" s="49">
        <f>(1-Index!$F$2*2)*((W35*D35)-(E35*D35))</f>
        <v/>
      </c>
      <c r="AA84" s="49">
        <f>((E35*D35)+Z35)</f>
        <v/>
      </c>
      <c r="AB84" s="50">
        <f>D35</f>
        <v/>
      </c>
      <c r="AC84" s="49">
        <f>if(B35="DIV", F35,"")</f>
        <v/>
      </c>
      <c r="AD84" s="59" t="inlineStr">
        <is>
          <t>SBI Securities</t>
        </is>
      </c>
    </row>
    <row r="85">
      <c r="A85" s="53" t="n">
        <v>45363</v>
      </c>
      <c r="B85" s="58" t="inlineStr">
        <is>
          <t>NSE</t>
        </is>
      </c>
      <c r="C85" s="58" t="inlineStr">
        <is>
          <t>Buy</t>
        </is>
      </c>
      <c r="D85" s="55" t="n">
        <v>30</v>
      </c>
      <c r="E85" s="56" t="n">
        <v>404.3</v>
      </c>
      <c r="F85" s="56" t="n">
        <v>12128.86</v>
      </c>
      <c r="G85" s="58" t="inlineStr">
        <is>
          <t>~</t>
        </is>
      </c>
      <c r="H85" s="56" t="n">
        <v>11.92</v>
      </c>
      <c r="I85" s="55" t="n">
        <v>73.44</v>
      </c>
      <c r="J85" s="42">
        <f>Index!$C$2</f>
        <v/>
      </c>
      <c r="K85" s="49" t="n"/>
      <c r="L85" s="49">
        <f>IF(AND( C36="Buy", ISBLANK(W36), B36&lt;&gt;"DIV"), (1-Index!$F$2*2)*((J36*D36)-(E36*D36)), "")</f>
        <v/>
      </c>
      <c r="M85" s="60">
        <f>IF(AND( C36="Buy", ISBLANK(W36), B36&lt;&gt;"DIV"), ((E36*D36)+L36), "")</f>
        <v/>
      </c>
      <c r="N85" s="61">
        <f>IF(AND( C36="Buy", ISBLANK(W36), B36&lt;&gt;"DIV"), D36, "")</f>
        <v/>
      </c>
      <c r="O85" s="62" t="n"/>
      <c r="P85" s="49">
        <f>IF(AND( C36="Buy", ISBLANK(W36), B36&lt;&gt;"DIV", NOW()-A36 &lt; 365), (1-Index!$F$2*2)*((J36*D36)-(E36*D36)), "")</f>
        <v/>
      </c>
      <c r="Q85" s="60">
        <f>IF(AND( C36="Buy", ISBLANK(W36), B36&lt;&gt;"DIV", NOW()-A36 &lt; 365), ((E36*D36)+P36), "")</f>
        <v/>
      </c>
      <c r="R85" s="61">
        <f>IF(AND( C36="Buy", ISBLANK(W36), B36&lt;&gt;"DIV", NOW()-A36 &lt; 365), D36, "")</f>
        <v/>
      </c>
      <c r="S85" s="63" t="n"/>
      <c r="T85" s="63">
        <f>IF(AND( C36="Buy", ISBLANK(W36), B36&lt;&gt;"DIV", NOW()-A36 &gt; 365), (J36*D36)-(E36*D36)-(2*sum(H36:I36)), "")</f>
        <v/>
      </c>
      <c r="U85" s="63">
        <f>IF(AND( C36="Buy", ISBLANK(W36), B36&lt;&gt;"DIV", NOW()-A36 &gt; 365), ((E36*D36)+T36), "")</f>
        <v/>
      </c>
      <c r="V85" s="63">
        <f>IF(AND( C36="Buy", ISBLANK(W36), B36&lt;&gt;"DIV", NOW()-A36 &gt; 365), D36, "")</f>
        <v/>
      </c>
      <c r="W85" s="56" t="n">
        <v>519.08</v>
      </c>
      <c r="X85" s="53" t="n">
        <v>45565</v>
      </c>
      <c r="Y85" s="46">
        <f>IF(AND( C36="Buy", W36&lt;&gt;"", AA36&lt;&gt;"", B36&lt;&gt;"DIV"), Z36/sum(F36:I36), "")</f>
        <v/>
      </c>
      <c r="Z85" s="49">
        <f>(1-Index!$F$2*2)*((W36*D36)-(E36*D36))</f>
        <v/>
      </c>
      <c r="AA85" s="49">
        <f>((E36*D36)+Z36)</f>
        <v/>
      </c>
      <c r="AB85" s="50">
        <f>D36</f>
        <v/>
      </c>
      <c r="AC85" s="49">
        <f>if(B36="DIV", F36,"")</f>
        <v/>
      </c>
      <c r="AD85" s="59" t="inlineStr">
        <is>
          <t>SBI Securities</t>
        </is>
      </c>
    </row>
    <row r="86">
      <c r="A86" s="53" t="n">
        <v>45358</v>
      </c>
      <c r="B86" s="58" t="inlineStr">
        <is>
          <t>NSE</t>
        </is>
      </c>
      <c r="C86" s="58" t="inlineStr">
        <is>
          <t>Buy</t>
        </is>
      </c>
      <c r="D86" s="55" t="n">
        <v>20</v>
      </c>
      <c r="E86" s="56" t="n">
        <v>409.3</v>
      </c>
      <c r="F86" s="56" t="n">
        <v>8185.9</v>
      </c>
      <c r="G86" s="58" t="inlineStr">
        <is>
          <t>~</t>
        </is>
      </c>
      <c r="H86" s="56" t="n">
        <v>8.27</v>
      </c>
      <c r="I86" s="55" t="n">
        <v>49.63</v>
      </c>
      <c r="J86" s="42">
        <f>Index!$C$2</f>
        <v/>
      </c>
      <c r="K86" s="49" t="n"/>
      <c r="L86" s="49">
        <f>IF(AND( C37="Buy", ISBLANK(W37), B37&lt;&gt;"DIV"), (1-Index!$F$2*2)*((J37*D37)-(E37*D37)), "")</f>
        <v/>
      </c>
      <c r="M86" s="60">
        <f>IF(AND( C37="Buy", ISBLANK(W37), B37&lt;&gt;"DIV"), ((E37*D37)+L37), "")</f>
        <v/>
      </c>
      <c r="N86" s="61">
        <f>IF(AND( C37="Buy", ISBLANK(W37), B37&lt;&gt;"DIV"), D37, "")</f>
        <v/>
      </c>
      <c r="O86" s="62" t="n"/>
      <c r="P86" s="49">
        <f>IF(AND( C37="Buy", ISBLANK(W37), B37&lt;&gt;"DIV", NOW()-A37 &lt; 365), (1-Index!$F$2*2)*((J37*D37)-(E37*D37)), "")</f>
        <v/>
      </c>
      <c r="Q86" s="60">
        <f>IF(AND( C37="Buy", ISBLANK(W37), B37&lt;&gt;"DIV", NOW()-A37 &lt; 365), ((E37*D37)+P37), "")</f>
        <v/>
      </c>
      <c r="R86" s="61">
        <f>IF(AND( C37="Buy", ISBLANK(W37), B37&lt;&gt;"DIV", NOW()-A37 &lt; 365), D37, "")</f>
        <v/>
      </c>
      <c r="S86" s="63" t="n"/>
      <c r="T86" s="63">
        <f>IF(AND( C37="Buy", ISBLANK(W37), B37&lt;&gt;"DIV", NOW()-A37 &gt; 365), (J37*D37)-(E37*D37)-(2*sum(H37:I37)), "")</f>
        <v/>
      </c>
      <c r="U86" s="63">
        <f>IF(AND( C37="Buy", ISBLANK(W37), B37&lt;&gt;"DIV", NOW()-A37 &gt; 365), ((E37*D37)+T37), "")</f>
        <v/>
      </c>
      <c r="V86" s="61">
        <f>IF(AND( C37="Buy", ISBLANK(W37), B37&lt;&gt;"DIV", NOW()-A37 &gt; 365), D37, "")</f>
        <v/>
      </c>
      <c r="W86" s="56" t="n">
        <v>519.08</v>
      </c>
      <c r="X86" s="53" t="n">
        <v>45565</v>
      </c>
      <c r="Y86" s="46">
        <f>IF(AND( C37="Buy", W37&lt;&gt;"", AA37&lt;&gt;"", B37&lt;&gt;"DIV"), Z37/sum(F37:I37), "")</f>
        <v/>
      </c>
      <c r="Z86" s="49">
        <f>(1-Index!$F$2*2)*((W37*D37)-(E37*D37))</f>
        <v/>
      </c>
      <c r="AA86" s="49">
        <f>((E37*D37)+Z37)</f>
        <v/>
      </c>
      <c r="AB86" s="50">
        <f>D37</f>
        <v/>
      </c>
      <c r="AC86" s="49">
        <f>if(B37="DIV", F37,"")</f>
        <v/>
      </c>
      <c r="AD86" s="59" t="inlineStr">
        <is>
          <t>SBI Securities</t>
        </is>
      </c>
    </row>
    <row r="87">
      <c r="A87" s="53" t="n">
        <v>45330</v>
      </c>
      <c r="B87" s="58" t="inlineStr">
        <is>
          <t>DIV</t>
        </is>
      </c>
      <c r="C87" s="58" t="inlineStr">
        <is>
          <t>Buy</t>
        </is>
      </c>
      <c r="D87" s="55" t="n">
        <v>20</v>
      </c>
      <c r="E87" s="56" t="n">
        <v>6.25</v>
      </c>
      <c r="F87" s="56" t="n">
        <v>125</v>
      </c>
      <c r="G87" s="58" t="inlineStr">
        <is>
          <t>Interim-Dividend of Rs.6.2500/- per share on Ex-Date: 08-FEB-2024</t>
        </is>
      </c>
      <c r="H87" s="56" t="n">
        <v>0</v>
      </c>
      <c r="I87" s="55" t="n">
        <v>0</v>
      </c>
      <c r="J87" s="42">
        <f>Index!$C$2</f>
        <v/>
      </c>
      <c r="K87" s="49" t="n"/>
      <c r="L87" s="49">
        <f>IF(AND( C38="Buy", ISBLANK(W38), B38&lt;&gt;"DIV"), (1-Index!$F$2*2)*((J38*D38)-(E38*D38)), "")</f>
        <v/>
      </c>
      <c r="M87" s="60">
        <f>IF(AND( C38="Buy", ISBLANK(W38), B38&lt;&gt;"DIV"), ((E38*D38)+L38), "")</f>
        <v/>
      </c>
      <c r="N87" s="61">
        <f>IF(AND( C38="Buy", ISBLANK(W38), B38&lt;&gt;"DIV"), D38, "")</f>
        <v/>
      </c>
      <c r="O87" s="62" t="n"/>
      <c r="P87" s="49">
        <f>IF(AND( C38="Buy", ISBLANK(W38), B38&lt;&gt;"DIV", NOW()-A38 &lt; 365), (1-Index!$F$2*2)*((J38*D38)-(E38*D38)), "")</f>
        <v/>
      </c>
      <c r="Q87" s="60">
        <f>IF(AND( C38="Buy", ISBLANK(W38), B38&lt;&gt;"DIV", NOW()-A38 &lt; 365), ((E38*D38)+P38), "")</f>
        <v/>
      </c>
      <c r="R87" s="60">
        <f>IF(AND( C38="Buy", ISBLANK(W38), B38&lt;&gt;"DIV", NOW()-A38 &lt; 365), D38, "")</f>
        <v/>
      </c>
      <c r="S87" s="63" t="n"/>
      <c r="T87" s="63">
        <f>IF(AND( C38="Buy", ISBLANK(W38), B38&lt;&gt;"DIV", NOW()-A38 &gt; 365), (J38*D38)-(E38*D38)-(2*sum(H38:I38)), "")</f>
        <v/>
      </c>
      <c r="U87" s="63">
        <f>IF(AND( C38="Buy", ISBLANK(W38), B38&lt;&gt;"DIV", NOW()-A38 &gt; 365), ((E38*D38)+T38), "")</f>
        <v/>
      </c>
      <c r="V87" s="63">
        <f>IF(AND( C38="Buy", ISBLANK(W38), B38&lt;&gt;"DIV", NOW()-A38 &gt; 365), D38, "")</f>
        <v/>
      </c>
      <c r="W87" s="49" t="n"/>
      <c r="X87" s="49" t="n"/>
      <c r="Y87" s="46">
        <f>IF(AND( C38="Buy", W38&lt;&gt;"", AA38&lt;&gt;"", B38&lt;&gt;"DIV"), Z38/sum(F38:I38), "")</f>
        <v/>
      </c>
      <c r="Z87" s="49" t="n"/>
      <c r="AA87" s="49" t="n"/>
      <c r="AB87" s="50" t="n"/>
      <c r="AC87" s="49">
        <f>if(B38="DIV", F38,"")</f>
        <v/>
      </c>
      <c r="AD87" s="59" t="inlineStr">
        <is>
          <t>SBI Securities</t>
        </is>
      </c>
    </row>
    <row r="88">
      <c r="A88" s="64" t="n">
        <v>45282</v>
      </c>
      <c r="B88" s="65" t="inlineStr">
        <is>
          <t>NSE</t>
        </is>
      </c>
      <c r="C88" s="65" t="inlineStr">
        <is>
          <t>Buy</t>
        </is>
      </c>
      <c r="D88" s="66" t="n">
        <v>10</v>
      </c>
      <c r="E88" s="42" t="n">
        <v>454.202</v>
      </c>
      <c r="F88" s="67" t="n">
        <v>4574.18</v>
      </c>
      <c r="G88" s="65" t="inlineStr">
        <is>
          <t>~</t>
        </is>
      </c>
      <c r="H88" s="68" t="n">
        <v>4.54</v>
      </c>
      <c r="I88" s="66" t="n">
        <v>27.64</v>
      </c>
      <c r="J88" s="42">
        <f>Index!$C$2</f>
        <v/>
      </c>
      <c r="K88" s="49" t="n"/>
      <c r="L88" s="49">
        <f>IF(AND( C39="Buy", ISBLANK(W39), B39&lt;&gt;"DIV"), (1-Index!$F$2*2)*((J39*D39)-(E39*D39)), "")</f>
        <v/>
      </c>
      <c r="M88" s="60">
        <f>IF(AND( C39="Buy", ISBLANK(W39), B39&lt;&gt;"DIV"), ((E39*D39)+L39), "")</f>
        <v/>
      </c>
      <c r="N88" s="61">
        <f>IF(AND( C39="Buy", ISBLANK(W39), B39&lt;&gt;"DIV"), D39, "")</f>
        <v/>
      </c>
      <c r="O88" s="62" t="n"/>
      <c r="P88" s="49">
        <f>IF(AND( C39="Buy", ISBLANK(W39), B39&lt;&gt;"DIV", NOW()-A39 &lt; 365), (1-Index!$F$2*2)*((J39*D39)-(E39*D39)), "")</f>
        <v/>
      </c>
      <c r="Q88" s="60">
        <f>IF(AND( C39="Buy", ISBLANK(W39), B39&lt;&gt;"DIV", NOW()-A39 &lt; 365), ((E39*D39)+P39), "")</f>
        <v/>
      </c>
      <c r="R88" s="60">
        <f>IF(AND( C39="Buy", ISBLANK(W39), B39&lt;&gt;"DIV", NOW()-A39 &lt; 365), D39, "")</f>
        <v/>
      </c>
      <c r="S88" s="63" t="n"/>
      <c r="T88" s="63">
        <f>IF(AND( C39="Buy", ISBLANK(W39), B39&lt;&gt;"DIV", NOW()-A39 &gt; 365), (J39*D39)-(E39*D39)-(2*sum(H39:I39)), "")</f>
        <v/>
      </c>
      <c r="U88" s="63">
        <f>IF(AND( C39="Buy", ISBLANK(W39), B39&lt;&gt;"DIV", NOW()-A39 &gt; 365), ((E39*D39)+T39), "")</f>
        <v/>
      </c>
      <c r="V88" s="61">
        <f>IF(AND( C39="Buy", ISBLANK(W39), B39&lt;&gt;"DIV", NOW()-A39 &gt; 365), D39, "")</f>
        <v/>
      </c>
      <c r="W88" s="56" t="n">
        <v>519.08</v>
      </c>
      <c r="X88" s="53" t="n">
        <v>45565</v>
      </c>
      <c r="Y88" s="46">
        <f>IF(AND( C39="Buy", W39&lt;&gt;"", AA39&lt;&gt;"", B39&lt;&gt;"DIV"), Z39/sum(F39:I39), "")</f>
        <v/>
      </c>
      <c r="Z88" s="49">
        <f>(1-Index!$F$2*2)*((W39*D39)-(E39*D39))</f>
        <v/>
      </c>
      <c r="AA88" s="49">
        <f>((E39*D39)+Z39)</f>
        <v/>
      </c>
      <c r="AB88" s="50">
        <f>D39</f>
        <v/>
      </c>
      <c r="AC88" s="49">
        <f>if(B39="DIV", F39,"")</f>
        <v/>
      </c>
      <c r="AD88" s="59" t="inlineStr">
        <is>
          <t>SBI Securities</t>
        </is>
      </c>
    </row>
    <row r="89">
      <c r="A89" s="64" t="n">
        <v>45278</v>
      </c>
      <c r="B89" s="65" t="inlineStr">
        <is>
          <t>NSE</t>
        </is>
      </c>
      <c r="C89" s="65" t="inlineStr">
        <is>
          <t>Buy</t>
        </is>
      </c>
      <c r="D89" s="66" t="n">
        <v>5</v>
      </c>
      <c r="E89" s="42" t="n">
        <v>451.804</v>
      </c>
      <c r="F89" s="67" t="n">
        <v>2275.03</v>
      </c>
      <c r="G89" s="65" t="inlineStr">
        <is>
          <t>~</t>
        </is>
      </c>
      <c r="H89" s="68" t="n">
        <v>2.26</v>
      </c>
      <c r="I89" s="66" t="n">
        <v>13.77</v>
      </c>
      <c r="J89" s="42">
        <f>Index!$C$2</f>
        <v/>
      </c>
      <c r="K89" s="49" t="n"/>
      <c r="L89" s="49">
        <f>IF(AND( C40="Buy", ISBLANK(W40), B40&lt;&gt;"DIV"), (1-Index!$F$2*2)*((J40*D40)-(E40*D40)), "")</f>
        <v/>
      </c>
      <c r="M89" s="60">
        <f>IF(AND( C40="Buy", ISBLANK(W40), B40&lt;&gt;"DIV"), ((E40*D40)+L40), "")</f>
        <v/>
      </c>
      <c r="N89" s="61">
        <f>IF(AND( C40="Buy", ISBLANK(W40), B40&lt;&gt;"DIV"), D40, "")</f>
        <v/>
      </c>
      <c r="O89" s="62" t="n"/>
      <c r="P89" s="49">
        <f>IF(AND( C40="Buy", ISBLANK(W40), B40&lt;&gt;"DIV", NOW()-A40 &lt; 365), (1-Index!$F$2*2)*((J40*D40)-(E40*D40)), "")</f>
        <v/>
      </c>
      <c r="Q89" s="60">
        <f>IF(AND( C40="Buy", ISBLANK(W40), B40&lt;&gt;"DIV", NOW()-A40 &lt; 365), ((E40*D40)+P40), "")</f>
        <v/>
      </c>
      <c r="R89" s="60">
        <f>IF(AND( C40="Buy", ISBLANK(W40), B40&lt;&gt;"DIV", NOW()-A40 &lt; 365), D40, "")</f>
        <v/>
      </c>
      <c r="S89" s="63" t="n"/>
      <c r="T89" s="63">
        <f>IF(AND( C40="Buy", ISBLANK(W40), B40&lt;&gt;"DIV", NOW()-A40 &gt; 365), (J40*D40)-(E40*D40)-(2*sum(H40:I40)), "")</f>
        <v/>
      </c>
      <c r="U89" s="63">
        <f>IF(AND( C40="Buy", ISBLANK(W40), B40&lt;&gt;"DIV", NOW()-A40 &gt; 365), ((E40*D40)+T40), "")</f>
        <v/>
      </c>
      <c r="V89" s="61">
        <f>IF(AND( C40="Buy", ISBLANK(W40), B40&lt;&gt;"DIV", NOW()-A40 &gt; 365), D40, "")</f>
        <v/>
      </c>
      <c r="W89" s="56" t="n">
        <v>519.08</v>
      </c>
      <c r="X89" s="53" t="n">
        <v>45565</v>
      </c>
      <c r="Y89" s="46">
        <f>IF(AND( C40="Buy", W40&lt;&gt;"", AA40&lt;&gt;"", B40&lt;&gt;"DIV"), Z40/sum(F40:I40), "")</f>
        <v/>
      </c>
      <c r="Z89" s="49">
        <f>(1-Index!$F$2*2)*((W40*D40)-(E40*D40))</f>
        <v/>
      </c>
      <c r="AA89" s="49">
        <f>((E40*D40)+Z40)</f>
        <v/>
      </c>
      <c r="AB89" s="50">
        <f>D40</f>
        <v/>
      </c>
      <c r="AC89" s="49">
        <f>if(B40="DIV", F40,"")</f>
        <v/>
      </c>
      <c r="AD89" s="59" t="inlineStr">
        <is>
          <t>SBI Securities</t>
        </is>
      </c>
    </row>
    <row r="90">
      <c r="A90" s="64" t="n">
        <v>45258</v>
      </c>
      <c r="B90" s="65" t="inlineStr">
        <is>
          <t>NSE</t>
        </is>
      </c>
      <c r="C90" s="65" t="inlineStr">
        <is>
          <t>Buy</t>
        </is>
      </c>
      <c r="D90" s="66" t="n">
        <v>5</v>
      </c>
      <c r="E90" s="42" t="n">
        <v>437.8</v>
      </c>
      <c r="F90" s="67" t="n">
        <v>2204.55</v>
      </c>
      <c r="G90" s="65" t="inlineStr">
        <is>
          <t>~</t>
        </is>
      </c>
      <c r="H90" s="68" t="n">
        <v>2.19</v>
      </c>
      <c r="I90" s="66" t="n">
        <v>13.36</v>
      </c>
      <c r="J90" s="42">
        <f>Index!$C$2</f>
        <v/>
      </c>
      <c r="K90" s="49" t="n"/>
      <c r="L90" s="49">
        <f>IF(AND( C41="Buy", ISBLANK(W41), B41&lt;&gt;"DIV"), (1-Index!$F$2*2)*((J41*D41)-(E41*D41)), "")</f>
        <v/>
      </c>
      <c r="M90" s="60">
        <f>IF(AND( C41="Buy", ISBLANK(W41), B41&lt;&gt;"DIV"), ((E41*D41)+L41), "")</f>
        <v/>
      </c>
      <c r="N90" s="61">
        <f>IF(AND( C41="Buy", ISBLANK(W41), B41&lt;&gt;"DIV"), D41, "")</f>
        <v/>
      </c>
      <c r="O90" s="62" t="n"/>
      <c r="P90" s="49">
        <f>IF(AND( C41="Buy", ISBLANK(W41), B41&lt;&gt;"DIV", NOW()-A41 &lt; 365), (1-Index!$F$2*2)*((J41*D41)-(E41*D41)), "")</f>
        <v/>
      </c>
      <c r="Q90" s="60">
        <f>IF(AND( C41="Buy", ISBLANK(W41), B41&lt;&gt;"DIV", NOW()-A41 &lt; 365), ((E41*D41)+P41), "")</f>
        <v/>
      </c>
      <c r="R90" s="60">
        <f>IF(AND( C41="Buy", ISBLANK(W41), B41&lt;&gt;"DIV", NOW()-A41 &lt; 365), D41, "")</f>
        <v/>
      </c>
      <c r="S90" s="63" t="n"/>
      <c r="T90" s="63">
        <f>IF(AND( C41="Buy", ISBLANK(W41), B41&lt;&gt;"DIV", NOW()-A41 &gt; 365), (J41*D41)-(E41*D41)-(2*sum(H41:I41)), "")</f>
        <v/>
      </c>
      <c r="U90" s="63">
        <f>IF(AND( C41="Buy", ISBLANK(W41), B41&lt;&gt;"DIV", NOW()-A41 &gt; 365), ((E41*D41)+T41), "")</f>
        <v/>
      </c>
      <c r="V90" s="61">
        <f>IF(AND( C41="Buy", ISBLANK(W41), B41&lt;&gt;"DIV", NOW()-A41 &gt; 365), D41, "")</f>
        <v/>
      </c>
      <c r="W90" s="56" t="n">
        <v>519.08</v>
      </c>
      <c r="X90" s="53" t="n">
        <v>45565</v>
      </c>
      <c r="Y90" s="46">
        <f>IF(AND( C41="Buy", W41&lt;&gt;"", AA41&lt;&gt;"", B41&lt;&gt;"DIV"), Z41/sum(F41:I41), "")</f>
        <v/>
      </c>
      <c r="Z90" s="49">
        <f>(1-Index!$F$2*2)*((W41*D41)-(E41*D41))</f>
        <v/>
      </c>
      <c r="AA90" s="49">
        <f>((E41*D41)+Z41)</f>
        <v/>
      </c>
      <c r="AB90" s="50">
        <f>D41</f>
        <v/>
      </c>
      <c r="AC90" s="49">
        <f>if(B41="DIV", F41,"")</f>
        <v/>
      </c>
      <c r="AD90" s="59" t="inlineStr">
        <is>
          <t>SBI Securities</t>
        </is>
      </c>
    </row>
    <row r="91">
      <c r="A91" s="64" t="n">
        <v>44239</v>
      </c>
      <c r="B91" s="65" t="inlineStr">
        <is>
          <t>NSE</t>
        </is>
      </c>
      <c r="C91" s="65" t="inlineStr">
        <is>
          <t>Sell</t>
        </is>
      </c>
      <c r="D91" s="66" t="n">
        <v>200</v>
      </c>
      <c r="E91" s="42" t="n">
        <v>217.0038</v>
      </c>
      <c r="F91" s="67" t="n">
        <v>43706.76</v>
      </c>
      <c r="G91" s="65" t="inlineStr">
        <is>
          <t>~</t>
        </is>
      </c>
      <c r="H91" s="68" t="n">
        <v>44.04</v>
      </c>
      <c r="I91" s="66" t="n">
        <v>261.2</v>
      </c>
      <c r="J91" s="42">
        <f>Index!$C$2</f>
        <v/>
      </c>
      <c r="K91" s="49" t="n"/>
      <c r="L91" s="49">
        <f>IF(AND( C42="Buy", ISBLANK(W42), B42&lt;&gt;"DIV"), (1-Index!$F$2*2)*((J42*D42)-(E42*D42)), "")</f>
        <v/>
      </c>
      <c r="M91" s="60">
        <f>IF(AND( C42="Buy", ISBLANK(W42), B42&lt;&gt;"DIV"), ((E42*D42)+L42), "")</f>
        <v/>
      </c>
      <c r="N91" s="61">
        <f>IF(AND( C42="Buy", ISBLANK(W42), B42&lt;&gt;"DIV"), D42, "")</f>
        <v/>
      </c>
      <c r="O91" s="62" t="n"/>
      <c r="P91" s="49">
        <f>IF(AND( C42="Buy", ISBLANK(W42), B42&lt;&gt;"DIV", NOW()-A42 &lt; 365), (1-Index!$F$2*2)*((J42*D42)-(E42*D42)), "")</f>
        <v/>
      </c>
      <c r="Q91" s="60">
        <f>IF(AND( C42="Buy", ISBLANK(W42), B42&lt;&gt;"DIV", NOW()-A42 &lt; 365), ((E42*D42)+P42), "")</f>
        <v/>
      </c>
      <c r="R91" s="49" t="n"/>
      <c r="S91" s="63" t="n"/>
      <c r="T91" s="63">
        <f>IF(AND( C42="Buy", ISBLANK(W42), B42&lt;&gt;"DIV", NOW()-A42 &gt; 365), (J42*D42)-(E42*D42)-(2*sum(H42:I42)), "")</f>
        <v/>
      </c>
      <c r="U91" s="63">
        <f>IF(AND( C42="Buy", ISBLANK(W42), B42&lt;&gt;"DIV", NOW()-A42 &gt; 365), ((E42*D42)+T42), "")</f>
        <v/>
      </c>
      <c r="V91" s="49" t="n"/>
      <c r="W91" s="49" t="n"/>
      <c r="X91" s="49" t="n"/>
      <c r="Y91" s="46">
        <f>IF(AND( C42="Buy", W42&lt;&gt;"", AA42&lt;&gt;"", B42&lt;&gt;"DIV"), Z42/sum(F42:I42), "")</f>
        <v/>
      </c>
      <c r="Z91" s="49" t="n"/>
      <c r="AA91" s="49" t="n"/>
      <c r="AB91" s="50" t="n"/>
      <c r="AC91" s="49">
        <f>if(B42="DIV", F42,"")</f>
        <v/>
      </c>
      <c r="AD91" s="59" t="inlineStr">
        <is>
          <t>SBI Securities</t>
        </is>
      </c>
    </row>
    <row r="92">
      <c r="A92" s="64" t="n">
        <v>44237</v>
      </c>
      <c r="B92" s="65" t="inlineStr">
        <is>
          <t>NSE</t>
        </is>
      </c>
      <c r="C92" s="65" t="inlineStr">
        <is>
          <t>Sell</t>
        </is>
      </c>
      <c r="D92" s="66" t="n">
        <v>200</v>
      </c>
      <c r="E92" s="42" t="n">
        <v>224.6598</v>
      </c>
      <c r="F92" s="67" t="n">
        <v>45247.92</v>
      </c>
      <c r="G92" s="65" t="inlineStr">
        <is>
          <t>~</t>
        </is>
      </c>
      <c r="H92" s="68" t="n">
        <v>45.31</v>
      </c>
      <c r="I92" s="66" t="n">
        <v>270.73</v>
      </c>
      <c r="J92" s="42">
        <f>Index!$C$2</f>
        <v/>
      </c>
      <c r="K92" s="49" t="n"/>
      <c r="L92" s="49">
        <f>IF(AND( C43="Buy", ISBLANK(W43), B43&lt;&gt;"DIV"), (1-Index!$F$2*2)*((J43*D43)-(E43*D43)), "")</f>
        <v/>
      </c>
      <c r="M92" s="60">
        <f>IF(AND( C43="Buy", ISBLANK(W43), B43&lt;&gt;"DIV"), ((E43*D43)+L43), "")</f>
        <v/>
      </c>
      <c r="N92" s="61">
        <f>IF(AND( C43="Buy", ISBLANK(W43), B43&lt;&gt;"DIV"), D43, "")</f>
        <v/>
      </c>
      <c r="O92" s="62" t="n"/>
      <c r="P92" s="49">
        <f>IF(AND( C43="Buy", ISBLANK(W43), B43&lt;&gt;"DIV", NOW()-A43 &lt; 365), (1-Index!$F$2*2)*((J43*D43)-(E43*D43)), "")</f>
        <v/>
      </c>
      <c r="Q92" s="60">
        <f>IF(AND( C43="Buy", ISBLANK(W43), B43&lt;&gt;"DIV", NOW()-A43 &lt; 365), ((E43*D43)+P43), "")</f>
        <v/>
      </c>
      <c r="R92" s="49" t="n"/>
      <c r="S92" s="63" t="n"/>
      <c r="T92" s="63">
        <f>IF(AND( C43="Buy", ISBLANK(W43), B43&lt;&gt;"DIV", NOW()-A43 &gt; 365), (J43*D43)-(E43*D43)-(2*sum(H43:I43)), "")</f>
        <v/>
      </c>
      <c r="U92" s="63">
        <f>IF(AND( C43="Buy", ISBLANK(W43), B43&lt;&gt;"DIV", NOW()-A43 &gt; 365), ((E43*D43)+T43), "")</f>
        <v/>
      </c>
      <c r="V92" s="49" t="n"/>
      <c r="W92" s="49" t="n"/>
      <c r="X92" s="49" t="n"/>
      <c r="Y92" s="46">
        <f>IF(AND( C43="Buy", W43&lt;&gt;"", AA43&lt;&gt;"", B43&lt;&gt;"DIV"), Z43/sum(F43:I43), "")</f>
        <v/>
      </c>
      <c r="Z92" s="49" t="n"/>
      <c r="AA92" s="49" t="n"/>
      <c r="AB92" s="50" t="n"/>
      <c r="AC92" s="49">
        <f>if(B43="DIV", F43,"")</f>
        <v/>
      </c>
      <c r="AD92" s="59" t="inlineStr">
        <is>
          <t>SBI Securities</t>
        </is>
      </c>
    </row>
    <row r="93">
      <c r="A93" s="64" t="n">
        <v>44236</v>
      </c>
      <c r="B93" s="65" t="inlineStr">
        <is>
          <t>NSE</t>
        </is>
      </c>
      <c r="C93" s="65" t="inlineStr">
        <is>
          <t>Sell</t>
        </is>
      </c>
      <c r="D93" s="66" t="n">
        <v>300</v>
      </c>
      <c r="E93" s="42" t="n">
        <v>233.022067</v>
      </c>
      <c r="F93" s="67" t="n">
        <v>70398.63</v>
      </c>
      <c r="G93" s="65" t="inlineStr">
        <is>
          <t>~</t>
        </is>
      </c>
      <c r="H93" s="68" t="n">
        <v>70.98999999999999</v>
      </c>
      <c r="I93" s="66" t="n">
        <v>420.39</v>
      </c>
      <c r="J93" s="42">
        <f>Index!$C$2</f>
        <v/>
      </c>
      <c r="K93" s="49" t="n"/>
      <c r="L93" s="49">
        <f>IF(AND( C44="Buy", ISBLANK(W44), B44&lt;&gt;"DIV"), (1-Index!$F$2*2)*((J44*D44)-(E44*D44)), "")</f>
        <v/>
      </c>
      <c r="M93" s="60">
        <f>IF(AND( C44="Buy", ISBLANK(W44), B44&lt;&gt;"DIV"), ((E44*D44)+L44), "")</f>
        <v/>
      </c>
      <c r="N93" s="61">
        <f>IF(AND( C44="Buy", ISBLANK(W44), B44&lt;&gt;"DIV"), D44, "")</f>
        <v/>
      </c>
      <c r="O93" s="62" t="n"/>
      <c r="P93" s="49">
        <f>IF(AND( C44="Buy", ISBLANK(W44), B44&lt;&gt;"DIV", NOW()-A44 &lt; 365), (1-Index!$F$2*2)*((J44*D44)-(E44*D44)), "")</f>
        <v/>
      </c>
      <c r="Q93" s="60">
        <f>IF(AND( C44="Buy", ISBLANK(W44), B44&lt;&gt;"DIV", NOW()-A44 &lt; 365), ((E44*D44)+P44), "")</f>
        <v/>
      </c>
      <c r="R93" s="49" t="n"/>
      <c r="S93" s="63" t="n"/>
      <c r="T93" s="63">
        <f>IF(AND( C44="Buy", ISBLANK(W44), B44&lt;&gt;"DIV", NOW()-A44 &gt; 365), (J44*D44)-(E44*D44)-(2*sum(H44:I44)), "")</f>
        <v/>
      </c>
      <c r="U93" s="63">
        <f>IF(AND( C44="Buy", ISBLANK(W44), B44&lt;&gt;"DIV", NOW()-A44 &gt; 365), ((E44*D44)+T44), "")</f>
        <v/>
      </c>
      <c r="V93" s="49" t="n"/>
      <c r="W93" s="49" t="n"/>
      <c r="X93" s="49" t="n"/>
      <c r="Y93" s="46">
        <f>IF(AND( C44="Buy", W44&lt;&gt;"", AA44&lt;&gt;"", B44&lt;&gt;"DIV"), Z44/sum(F44:I44), "")</f>
        <v/>
      </c>
      <c r="Z93" s="49" t="n"/>
      <c r="AA93" s="49" t="n"/>
      <c r="AB93" s="50" t="n"/>
      <c r="AC93" s="49">
        <f>if(B44="DIV", F44,"")</f>
        <v/>
      </c>
      <c r="AD93" s="59" t="inlineStr">
        <is>
          <t>SBI Securities</t>
        </is>
      </c>
    </row>
    <row r="94">
      <c r="A94" s="64" t="n">
        <v>44235</v>
      </c>
      <c r="B94" s="65" t="inlineStr">
        <is>
          <t>NSE</t>
        </is>
      </c>
      <c r="C94" s="65" t="inlineStr">
        <is>
          <t>Sell</t>
        </is>
      </c>
      <c r="D94" s="66" t="n">
        <v>150</v>
      </c>
      <c r="E94" s="42" t="n">
        <v>233.022333</v>
      </c>
      <c r="F94" s="67" t="n">
        <v>35199.35</v>
      </c>
      <c r="G94" s="65" t="inlineStr">
        <is>
          <t>~</t>
        </is>
      </c>
      <c r="H94" s="68" t="n">
        <v>35.43</v>
      </c>
      <c r="I94" s="66" t="n">
        <v>210.22</v>
      </c>
      <c r="J94" s="42">
        <f>Index!$C$2</f>
        <v/>
      </c>
      <c r="K94" s="49" t="n"/>
      <c r="L94" s="49">
        <f>IF(AND( C45="Buy", ISBLANK(W45), B45&lt;&gt;"DIV"), (1-Index!$F$2*2)*((J45*D45)-(E45*D45)), "")</f>
        <v/>
      </c>
      <c r="M94" s="60">
        <f>IF(AND( C45="Buy", ISBLANK(W45), B45&lt;&gt;"DIV"), ((E45*D45)+L45), "")</f>
        <v/>
      </c>
      <c r="N94" s="61">
        <f>IF(AND( C45="Buy", ISBLANK(W45), B45&lt;&gt;"DIV"), D45, "")</f>
        <v/>
      </c>
      <c r="O94" s="62" t="n"/>
      <c r="P94" s="49">
        <f>IF(AND( C45="Buy", ISBLANK(W45), B45&lt;&gt;"DIV", NOW()-A45 &lt; 365), (1-Index!$F$2*2)*((J45*D45)-(E45*D45)), "")</f>
        <v/>
      </c>
      <c r="Q94" s="60">
        <f>IF(AND( C45="Buy", ISBLANK(W45), B45&lt;&gt;"DIV", NOW()-A45 &lt; 365), ((E45*D45)+P45), "")</f>
        <v/>
      </c>
      <c r="R94" s="49" t="n"/>
      <c r="S94" s="63" t="n"/>
      <c r="T94" s="63">
        <f>IF(AND( C45="Buy", ISBLANK(W45), B45&lt;&gt;"DIV", NOW()-A45 &gt; 365), (J45*D45)-(E45*D45)-(2*sum(H45:I45)), "")</f>
        <v/>
      </c>
      <c r="U94" s="63">
        <f>IF(AND( C45="Buy", ISBLANK(W45), B45&lt;&gt;"DIV", NOW()-A45 &gt; 365), ((E45*D45)+T45), "")</f>
        <v/>
      </c>
      <c r="V94" s="49" t="n"/>
      <c r="W94" s="49" t="n"/>
      <c r="X94" s="49" t="n"/>
      <c r="Y94" s="46">
        <f>IF(AND( C45="Buy", W45&lt;&gt;"", AA45&lt;&gt;"", B45&lt;&gt;"DIV"), Z45/sum(F45:I45), "")</f>
        <v/>
      </c>
      <c r="Z94" s="49" t="n"/>
      <c r="AA94" s="49" t="n"/>
      <c r="AB94" s="50" t="n"/>
      <c r="AC94" s="49">
        <f>if(B45="DIV", F45,"")</f>
        <v/>
      </c>
      <c r="AD94" s="59" t="inlineStr">
        <is>
          <t>SBI Securities</t>
        </is>
      </c>
    </row>
    <row r="95">
      <c r="A95" s="64" t="n">
        <v>44232</v>
      </c>
      <c r="B95" s="65" t="inlineStr">
        <is>
          <t>NSE</t>
        </is>
      </c>
      <c r="C95" s="65" t="inlineStr">
        <is>
          <t>Sell</t>
        </is>
      </c>
      <c r="D95" s="66" t="n">
        <v>170</v>
      </c>
      <c r="E95" s="42" t="n">
        <v>228.331471</v>
      </c>
      <c r="F95" s="67" t="n">
        <v>39090.06</v>
      </c>
      <c r="G95" s="65" t="inlineStr">
        <is>
          <t>~</t>
        </is>
      </c>
      <c r="H95" s="68" t="n">
        <v>39.32</v>
      </c>
      <c r="I95" s="66" t="n">
        <v>234.13</v>
      </c>
      <c r="J95" s="42">
        <f>Index!$C$2</f>
        <v/>
      </c>
      <c r="K95" s="49" t="n"/>
      <c r="L95" s="49">
        <f>IF(AND( C46="Buy", ISBLANK(W46), B46&lt;&gt;"DIV"), (1-Index!$F$2*2)*((J46*D46)-(E46*D46)), "")</f>
        <v/>
      </c>
      <c r="M95" s="60">
        <f>IF(AND( C46="Buy", ISBLANK(W46), B46&lt;&gt;"DIV"), ((E46*D46)+L46), "")</f>
        <v/>
      </c>
      <c r="N95" s="61">
        <f>IF(AND( C46="Buy", ISBLANK(W46), B46&lt;&gt;"DIV"), D46, "")</f>
        <v/>
      </c>
      <c r="O95" s="62" t="n"/>
      <c r="P95" s="49">
        <f>IF(AND( C46="Buy", ISBLANK(W46), B46&lt;&gt;"DIV", NOW()-A46 &lt; 365), (1-Index!$F$2*2)*((J46*D46)-(E46*D46)), "")</f>
        <v/>
      </c>
      <c r="Q95" s="60">
        <f>IF(AND( C46="Buy", ISBLANK(W46), B46&lt;&gt;"DIV", NOW()-A46 &lt; 365), ((E46*D46)+P46), "")</f>
        <v/>
      </c>
      <c r="R95" s="49" t="n"/>
      <c r="S95" s="63" t="n"/>
      <c r="T95" s="63">
        <f>IF(AND( C46="Buy", ISBLANK(W46), B46&lt;&gt;"DIV", NOW()-A46 &gt; 365), (J46*D46)-(E46*D46)-(2*sum(H46:I46)), "")</f>
        <v/>
      </c>
      <c r="U95" s="63">
        <f>IF(AND( C46="Buy", ISBLANK(W46), B46&lt;&gt;"DIV", NOW()-A46 &gt; 365), ((E46*D46)+T46), "")</f>
        <v/>
      </c>
      <c r="V95" s="49" t="n"/>
      <c r="W95" s="49" t="n"/>
      <c r="X95" s="49" t="n"/>
      <c r="Y95" s="46">
        <f>IF(AND( C46="Buy", W46&lt;&gt;"", AA46&lt;&gt;"", B46&lt;&gt;"DIV"), Z46/sum(F46:I46), "")</f>
        <v/>
      </c>
      <c r="Z95" s="49" t="n"/>
      <c r="AA95" s="49" t="n"/>
      <c r="AB95" s="50" t="n"/>
      <c r="AC95" s="49">
        <f>if(B46="DIV", F46,"")</f>
        <v/>
      </c>
      <c r="AD95" s="59" t="inlineStr">
        <is>
          <t>SBI Securities</t>
        </is>
      </c>
    </row>
    <row r="96">
      <c r="A96" s="64" t="n">
        <v>44231</v>
      </c>
      <c r="B96" s="65" t="inlineStr">
        <is>
          <t>NSE</t>
        </is>
      </c>
      <c r="C96" s="65" t="inlineStr">
        <is>
          <t>Sell</t>
        </is>
      </c>
      <c r="D96" s="66" t="n">
        <v>200</v>
      </c>
      <c r="E96" s="42" t="n">
        <v>225.03915</v>
      </c>
      <c r="F96" s="67" t="n">
        <v>45323.84</v>
      </c>
      <c r="G96" s="65" t="inlineStr">
        <is>
          <t>~</t>
        </is>
      </c>
      <c r="H96" s="68" t="n">
        <v>45.53</v>
      </c>
      <c r="I96" s="66" t="n">
        <v>270.64</v>
      </c>
      <c r="J96" s="42">
        <f>Index!$C$2</f>
        <v/>
      </c>
      <c r="K96" s="49" t="n"/>
      <c r="L96" s="49">
        <f>IF(AND( C47="Buy", ISBLANK(W47), B47&lt;&gt;"DIV"), (1-Index!$F$2*2)*((J47*D47)-(E47*D47)), "")</f>
        <v/>
      </c>
      <c r="M96" s="60">
        <f>IF(AND( C47="Buy", ISBLANK(W47), B47&lt;&gt;"DIV"), ((E47*D47)+L47), "")</f>
        <v/>
      </c>
      <c r="N96" s="61">
        <f>IF(AND( C47="Buy", ISBLANK(W47), B47&lt;&gt;"DIV"), D47, "")</f>
        <v/>
      </c>
      <c r="O96" s="62" t="n"/>
      <c r="P96" s="49">
        <f>IF(AND( C47="Buy", ISBLANK(W47), B47&lt;&gt;"DIV", NOW()-A47 &lt; 365), (1-Index!$F$2*2)*((J47*D47)-(E47*D47)), "")</f>
        <v/>
      </c>
      <c r="Q96" s="60">
        <f>IF(AND( C47="Buy", ISBLANK(W47), B47&lt;&gt;"DIV", NOW()-A47 &lt; 365), ((E47*D47)+P47), "")</f>
        <v/>
      </c>
      <c r="R96" s="49" t="n"/>
      <c r="S96" s="63" t="n"/>
      <c r="T96" s="63">
        <f>IF(AND( C47="Buy", ISBLANK(W47), B47&lt;&gt;"DIV", NOW()-A47 &gt; 365), (J47*D47)-(E47*D47)-(2*sum(H47:I47)), "")</f>
        <v/>
      </c>
      <c r="U96" s="63">
        <f>IF(AND( C47="Buy", ISBLANK(W47), B47&lt;&gt;"DIV", NOW()-A47 &gt; 365), ((E47*D47)+T47), "")</f>
        <v/>
      </c>
      <c r="V96" s="49" t="n"/>
      <c r="W96" s="49" t="n"/>
      <c r="X96" s="49" t="n"/>
      <c r="Y96" s="46">
        <f>IF(AND( C47="Buy", W47&lt;&gt;"", AA47&lt;&gt;"", B47&lt;&gt;"DIV"), Z47/sum(F47:I47), "")</f>
        <v/>
      </c>
      <c r="Z96" s="49" t="n"/>
      <c r="AA96" s="49" t="n"/>
      <c r="AB96" s="50" t="n"/>
      <c r="AC96" s="49">
        <f>if(B47="DIV", F47,"")</f>
        <v/>
      </c>
      <c r="AD96" s="59" t="inlineStr">
        <is>
          <t>SBI Securities</t>
        </is>
      </c>
    </row>
    <row r="97">
      <c r="A97" s="64" t="n">
        <v>44221</v>
      </c>
      <c r="B97" s="65" t="inlineStr">
        <is>
          <t>NSE</t>
        </is>
      </c>
      <c r="C97" s="65" t="inlineStr">
        <is>
          <t>Buy</t>
        </is>
      </c>
      <c r="D97" s="66" t="n">
        <v>10</v>
      </c>
      <c r="E97" s="42" t="n">
        <v>210.15</v>
      </c>
      <c r="F97" s="67" t="n">
        <v>2116.1</v>
      </c>
      <c r="G97" s="65" t="inlineStr">
        <is>
          <t>~</t>
        </is>
      </c>
      <c r="H97" s="68" t="n">
        <v>1.8</v>
      </c>
      <c r="I97" s="66" t="n">
        <v>12.8</v>
      </c>
      <c r="J97" s="42">
        <f>Index!$C$2</f>
        <v/>
      </c>
      <c r="K97" s="49" t="n"/>
      <c r="L97" s="49">
        <f>IF(AND( C48="Buy", ISBLANK(W48), B48&lt;&gt;"DIV"), (J48*D48)-(E48*D48)-sum(H48:I48), "")</f>
        <v/>
      </c>
      <c r="M97" s="60">
        <f>IF(AND( C48="Buy", ISBLANK(W48), B48&lt;&gt;"DIV"), J48*D48, "")</f>
        <v/>
      </c>
      <c r="N97" s="61">
        <f>IF(AND( C48="Buy", ISBLANK(W48), B48&lt;&gt;"DIV"), D48, "")</f>
        <v/>
      </c>
      <c r="O97" s="62" t="n"/>
      <c r="P97" s="49" t="n"/>
      <c r="Q97" s="49" t="n"/>
      <c r="R97" s="49" t="n"/>
      <c r="S97" s="49" t="n"/>
      <c r="T97" s="49" t="n"/>
      <c r="U97" s="49" t="n"/>
      <c r="V97" s="49" t="n"/>
      <c r="W97" s="49" t="n">
        <v>217.0038</v>
      </c>
      <c r="X97" s="49" t="n">
        <v>44239</v>
      </c>
      <c r="Y97" s="46">
        <f>IF(AND( C48="Buy", W48&lt;&gt;"", AA48&lt;&gt;"", B48&lt;&gt;"DIV"), Z48/sum(F48:I48), "")</f>
        <v/>
      </c>
      <c r="Z97" s="49">
        <f>(1-Index!$F$2*2)*((W48*D48)-(E48*D48))</f>
        <v/>
      </c>
      <c r="AA97" s="49">
        <f>((E48*D48)+Z48)</f>
        <v/>
      </c>
      <c r="AB97" s="50">
        <f>D48</f>
        <v/>
      </c>
      <c r="AC97" s="49" t="n"/>
      <c r="AD97" s="59" t="inlineStr">
        <is>
          <t>SBI Securities</t>
        </is>
      </c>
    </row>
    <row r="98">
      <c r="A98" s="64" t="n">
        <v>44214</v>
      </c>
      <c r="B98" s="65" t="inlineStr">
        <is>
          <t>NSE</t>
        </is>
      </c>
      <c r="C98" s="65" t="inlineStr">
        <is>
          <t>Buy</t>
        </is>
      </c>
      <c r="D98" s="66" t="n">
        <v>10</v>
      </c>
      <c r="E98" s="42" t="n">
        <v>214.95</v>
      </c>
      <c r="F98" s="67" t="n">
        <v>2164.2</v>
      </c>
      <c r="G98" s="65" t="inlineStr">
        <is>
          <t>~</t>
        </is>
      </c>
      <c r="H98" s="68" t="n">
        <v>1.68</v>
      </c>
      <c r="I98" s="66" t="n">
        <v>13.02</v>
      </c>
      <c r="J98" s="42">
        <f>Index!$C$2</f>
        <v/>
      </c>
      <c r="K98" s="49" t="n"/>
      <c r="L98" s="49">
        <f>IF(AND( C49="Buy", ISBLANK(W49), B49&lt;&gt;"DIV"), (J49*D49)-(E49*D49)-sum(H49:I49), "")</f>
        <v/>
      </c>
      <c r="M98" s="60">
        <f>IF(AND( C49="Buy", ISBLANK(W49), B49&lt;&gt;"DIV"), J49*D49, "")</f>
        <v/>
      </c>
      <c r="N98" s="61">
        <f>IF(AND( C49="Buy", ISBLANK(W49), B49&lt;&gt;"DIV"), D49, "")</f>
        <v/>
      </c>
      <c r="O98" s="62" t="n"/>
      <c r="P98" s="49" t="n"/>
      <c r="Q98" s="49" t="n"/>
      <c r="R98" s="49" t="n"/>
      <c r="S98" s="49" t="n"/>
      <c r="T98" s="49" t="n"/>
      <c r="U98" s="49" t="n"/>
      <c r="V98" s="49" t="n"/>
      <c r="W98" s="49" t="n">
        <v>217.0038</v>
      </c>
      <c r="X98" s="49" t="n">
        <v>44239</v>
      </c>
      <c r="Y98" s="46">
        <f>IF(AND( C49="Buy", W49&lt;&gt;"", AA49&lt;&gt;"", B49&lt;&gt;"DIV"), Z49/sum(F49:I49), "")</f>
        <v/>
      </c>
      <c r="Z98" s="49">
        <f>(1-Index!$F$2*2)*((W49*D49)-(E49*D49))</f>
        <v/>
      </c>
      <c r="AA98" s="49">
        <f>((E49*D49)+Z49)</f>
        <v/>
      </c>
      <c r="AB98" s="50">
        <f>D49</f>
        <v/>
      </c>
      <c r="AC98" s="49" t="n"/>
      <c r="AD98" s="59" t="inlineStr">
        <is>
          <t>SBI Securities</t>
        </is>
      </c>
    </row>
    <row r="99">
      <c r="A99" s="64" t="n">
        <v>44207</v>
      </c>
      <c r="B99" s="65" t="inlineStr">
        <is>
          <t>NSE</t>
        </is>
      </c>
      <c r="C99" s="65" t="inlineStr">
        <is>
          <t>Buy</t>
        </is>
      </c>
      <c r="D99" s="66" t="n">
        <v>50</v>
      </c>
      <c r="E99" s="42" t="n">
        <v>201.7454</v>
      </c>
      <c r="F99" s="67" t="n">
        <v>10157.23</v>
      </c>
      <c r="G99" s="65" t="inlineStr">
        <is>
          <t>~</t>
        </is>
      </c>
      <c r="H99" s="68" t="n">
        <v>8.5</v>
      </c>
      <c r="I99" s="66" t="n">
        <v>61.23</v>
      </c>
      <c r="J99" s="42">
        <f>Index!$C$2</f>
        <v/>
      </c>
      <c r="K99" s="49" t="n"/>
      <c r="L99" s="49">
        <f>IF(AND( C50="Buy", ISBLANK(W50), B50&lt;&gt;"DIV"), (J50*D50)-(E50*D50)-sum(H50:I50), "")</f>
        <v/>
      </c>
      <c r="M99" s="60">
        <f>IF(AND( C50="Buy", ISBLANK(W50), B50&lt;&gt;"DIV"), J50*D50, "")</f>
        <v/>
      </c>
      <c r="N99" s="61">
        <f>IF(AND( C50="Buy", ISBLANK(W50), B50&lt;&gt;"DIV"), D50, "")</f>
        <v/>
      </c>
      <c r="O99" s="62" t="n"/>
      <c r="P99" s="49" t="n"/>
      <c r="Q99" s="49" t="n"/>
      <c r="R99" s="49" t="n"/>
      <c r="S99" s="49" t="n"/>
      <c r="T99" s="49" t="n"/>
      <c r="U99" s="49" t="n"/>
      <c r="V99" s="49" t="n"/>
      <c r="W99" s="49" t="n">
        <v>217.0038</v>
      </c>
      <c r="X99" s="49" t="n">
        <v>44239</v>
      </c>
      <c r="Y99" s="46">
        <f>IF(AND( C50="Buy", W50&lt;&gt;"", AA50&lt;&gt;"", B50&lt;&gt;"DIV"), Z50/sum(F50:I50), "")</f>
        <v/>
      </c>
      <c r="Z99" s="49">
        <f>(1-Index!$F$2*2)*((W50*D50)-(E50*D50))</f>
        <v/>
      </c>
      <c r="AA99" s="49">
        <f>((E50*D50)+Z50)</f>
        <v/>
      </c>
      <c r="AB99" s="50">
        <f>D50</f>
        <v/>
      </c>
      <c r="AC99" s="49" t="n"/>
      <c r="AD99" s="59" t="inlineStr">
        <is>
          <t>SBI Securities</t>
        </is>
      </c>
    </row>
    <row r="100">
      <c r="A100" s="64" t="n">
        <v>44186</v>
      </c>
      <c r="B100" s="65" t="inlineStr">
        <is>
          <t>NSE</t>
        </is>
      </c>
      <c r="C100" s="65" t="inlineStr">
        <is>
          <t>Buy</t>
        </is>
      </c>
      <c r="D100" s="66" t="n">
        <v>35</v>
      </c>
      <c r="E100" s="42" t="n">
        <v>211.046286</v>
      </c>
      <c r="F100" s="67" t="n">
        <v>7437.98</v>
      </c>
      <c r="G100" s="65" t="inlineStr">
        <is>
          <t>~</t>
        </is>
      </c>
      <c r="H100" s="68" t="n">
        <v>6.17</v>
      </c>
      <c r="I100" s="66" t="n">
        <v>45.06</v>
      </c>
      <c r="J100" s="42">
        <f>Index!$C$2</f>
        <v/>
      </c>
      <c r="K100" s="49" t="n"/>
      <c r="L100" s="49">
        <f>IF(AND( C51="Buy", ISBLANK(W51), B51&lt;&gt;"DIV"), (J51*D51)-(E51*D51)-sum(H51:I51), "")</f>
        <v/>
      </c>
      <c r="M100" s="60">
        <f>IF(AND( C51="Buy", ISBLANK(W51), B51&lt;&gt;"DIV"), J51*D51, "")</f>
        <v/>
      </c>
      <c r="N100" s="61">
        <f>IF(AND( C51="Buy", ISBLANK(W51), B51&lt;&gt;"DIV"), D51, "")</f>
        <v/>
      </c>
      <c r="O100" s="62" t="n"/>
      <c r="P100" s="49" t="n"/>
      <c r="Q100" s="49" t="n"/>
      <c r="R100" s="49" t="n"/>
      <c r="S100" s="49" t="n"/>
      <c r="T100" s="49" t="n"/>
      <c r="U100" s="49" t="n"/>
      <c r="V100" s="49" t="n"/>
      <c r="W100" s="49" t="n">
        <v>217.0038</v>
      </c>
      <c r="X100" s="49" t="n">
        <v>44239</v>
      </c>
      <c r="Y100" s="46">
        <f>IF(AND( C51="Buy", W51&lt;&gt;"", AA51&lt;&gt;"", B51&lt;&gt;"DIV"), Z51/sum(F51:I51), "")</f>
        <v/>
      </c>
      <c r="Z100" s="49">
        <f>(1-Index!$F$2*2)*((W51*D51)-(E51*D51))</f>
        <v/>
      </c>
      <c r="AA100" s="49">
        <f>((E51*D51)+Z51)</f>
        <v/>
      </c>
      <c r="AB100" s="50">
        <f>D51</f>
        <v/>
      </c>
      <c r="AC100" s="49" t="n"/>
      <c r="AD100" s="59" t="inlineStr">
        <is>
          <t>SBI Securities</t>
        </is>
      </c>
    </row>
    <row r="101">
      <c r="A101" s="64" t="n">
        <v>44166</v>
      </c>
      <c r="B101" s="65" t="inlineStr">
        <is>
          <t>NSE</t>
        </is>
      </c>
      <c r="C101" s="65" t="inlineStr">
        <is>
          <t>Buy</t>
        </is>
      </c>
      <c r="D101" s="66" t="n">
        <v>5</v>
      </c>
      <c r="E101" s="42" t="n">
        <v>194.854</v>
      </c>
      <c r="F101" s="67" t="n">
        <v>980.83</v>
      </c>
      <c r="G101" s="65" t="inlineStr">
        <is>
          <t>~</t>
        </is>
      </c>
      <c r="H101" s="68" t="n">
        <v>0.6899999999999999</v>
      </c>
      <c r="I101" s="66" t="n">
        <v>5.89</v>
      </c>
      <c r="J101" s="42">
        <f>Index!$C$2</f>
        <v/>
      </c>
      <c r="K101" s="49" t="n"/>
      <c r="L101" s="49">
        <f>IF(AND( C52="Buy", ISBLANK(W52), B52&lt;&gt;"DIV"), ((J52*D52)-(E52*D52)+I52), "")</f>
        <v/>
      </c>
      <c r="M101" s="60">
        <f>IF(AND( C52="Buy", ISBLANK(W52), B52&lt;&gt;"DIV"), J52*D52, "")</f>
        <v/>
      </c>
      <c r="N101" s="61">
        <f>IF(AND( C52="Buy", ISBLANK(W52), B52&lt;&gt;"DIV"), D52, "")</f>
        <v/>
      </c>
      <c r="O101" s="62" t="n"/>
      <c r="P101" s="49" t="n"/>
      <c r="Q101" s="49" t="n"/>
      <c r="R101" s="49" t="n"/>
      <c r="S101" s="49" t="n"/>
      <c r="T101" s="49" t="n"/>
      <c r="U101" s="49" t="n"/>
      <c r="V101" s="49" t="n"/>
      <c r="W101" s="49" t="n">
        <v>217.0038</v>
      </c>
      <c r="X101" s="49" t="n">
        <v>44239</v>
      </c>
      <c r="Y101" s="46">
        <f>IF(AND( C52="Buy", W52&lt;&gt;"", AA52&lt;&gt;"", B52&lt;&gt;"DIV"), Z52/sum(F52:I52), "")</f>
        <v/>
      </c>
      <c r="Z101" s="49">
        <f>(1-Index!$F$2*2)*((W52*D52)-(E52*D52))</f>
        <v/>
      </c>
      <c r="AA101" s="49">
        <f>((E52*D52)+Z52)</f>
        <v/>
      </c>
      <c r="AB101" s="50">
        <f>D52</f>
        <v/>
      </c>
      <c r="AC101" s="49" t="n"/>
      <c r="AD101" s="59" t="inlineStr">
        <is>
          <t>SBI Securities</t>
        </is>
      </c>
    </row>
    <row r="102">
      <c r="A102" s="64" t="n">
        <v>44152</v>
      </c>
      <c r="B102" s="65" t="inlineStr">
        <is>
          <t>NSE</t>
        </is>
      </c>
      <c r="C102" s="65" t="inlineStr">
        <is>
          <t>Buy</t>
        </is>
      </c>
      <c r="D102" s="66" t="n">
        <v>10</v>
      </c>
      <c r="E102" s="42" t="n">
        <v>187.152</v>
      </c>
      <c r="F102" s="67" t="n">
        <v>1884.48</v>
      </c>
      <c r="G102" s="65" t="inlineStr">
        <is>
          <t>~</t>
        </is>
      </c>
      <c r="H102" s="68" t="n">
        <v>1.52</v>
      </c>
      <c r="I102" s="66" t="n">
        <v>11.46</v>
      </c>
      <c r="J102" s="42">
        <f>Index!$C$2</f>
        <v/>
      </c>
      <c r="K102" s="49" t="n"/>
      <c r="L102" s="49">
        <f>IF(AND( C53="Buy", ISBLANK(W53), B53&lt;&gt;"DIV"), ((J53*D53)-(E53*D53)+I53), "")</f>
        <v/>
      </c>
      <c r="M102" s="60">
        <f>IF(AND( C53="Buy", ISBLANK(W53), B53&lt;&gt;"DIV"), J53*D53, "")</f>
        <v/>
      </c>
      <c r="N102" s="61">
        <f>IF(AND( C53="Buy", ISBLANK(W53), B53&lt;&gt;"DIV"), D53, "")</f>
        <v/>
      </c>
      <c r="O102" s="62" t="n"/>
      <c r="P102" s="49" t="n"/>
      <c r="Q102" s="49" t="n"/>
      <c r="R102" s="49" t="n"/>
      <c r="S102" s="49" t="n"/>
      <c r="T102" s="49" t="n"/>
      <c r="U102" s="49" t="n"/>
      <c r="V102" s="49" t="n"/>
      <c r="W102" s="49" t="n">
        <v>217.0038</v>
      </c>
      <c r="X102" s="49" t="n">
        <v>44239</v>
      </c>
      <c r="Y102" s="46">
        <f>IF(AND( C53="Buy", W53&lt;&gt;"", AA53&lt;&gt;"", B53&lt;&gt;"DIV"), Z53/sum(F53:I53), "")</f>
        <v/>
      </c>
      <c r="Z102" s="49">
        <f>(1-Index!$F$2*2)*((W53*D53)-(E53*D53))</f>
        <v/>
      </c>
      <c r="AA102" s="49">
        <f>((E53*D53)+Z53)</f>
        <v/>
      </c>
      <c r="AB102" s="50">
        <f>D53</f>
        <v/>
      </c>
      <c r="AC102" s="49" t="n"/>
      <c r="AD102" s="59" t="inlineStr">
        <is>
          <t>SBI Securities</t>
        </is>
      </c>
    </row>
    <row r="103">
      <c r="A103" s="64" t="n">
        <v>44138</v>
      </c>
      <c r="B103" s="65" t="inlineStr">
        <is>
          <t>NSE</t>
        </is>
      </c>
      <c r="C103" s="65" t="inlineStr">
        <is>
          <t>Buy</t>
        </is>
      </c>
      <c r="D103" s="66" t="n">
        <v>30</v>
      </c>
      <c r="E103" s="42" t="n">
        <v>168.003</v>
      </c>
      <c r="F103" s="67" t="n">
        <v>5075.01</v>
      </c>
      <c r="G103" s="65" t="inlineStr">
        <is>
          <t>~</t>
        </is>
      </c>
      <c r="H103" s="68" t="n">
        <v>4.74</v>
      </c>
      <c r="I103" s="66" t="n">
        <v>30.27</v>
      </c>
      <c r="J103" s="42">
        <f>Index!$C$2</f>
        <v/>
      </c>
      <c r="K103" s="49" t="n"/>
      <c r="L103" s="49">
        <f>IF(AND( C54="Buy", ISBLANK(W54), B54&lt;&gt;"DIV"), ((J54*D54)-(E54*D54)+I54), "")</f>
        <v/>
      </c>
      <c r="M103" s="60">
        <f>IF(AND( C54="Buy", ISBLANK(W54), B54&lt;&gt;"DIV"), J54*D54, "")</f>
        <v/>
      </c>
      <c r="N103" s="61">
        <f>IF(AND( C54="Buy", ISBLANK(W54), B54&lt;&gt;"DIV"), D54, "")</f>
        <v/>
      </c>
      <c r="O103" s="62" t="n"/>
      <c r="P103" s="49" t="n"/>
      <c r="Q103" s="49" t="n"/>
      <c r="R103" s="49" t="n"/>
      <c r="S103" s="49" t="n"/>
      <c r="T103" s="49" t="n"/>
      <c r="U103" s="49" t="n"/>
      <c r="V103" s="49" t="n"/>
      <c r="W103" s="49" t="n">
        <v>217.0038</v>
      </c>
      <c r="X103" s="49" t="n">
        <v>44239</v>
      </c>
      <c r="Y103" s="46">
        <f>IF(AND( C54="Buy", W54&lt;&gt;"", AA54&lt;&gt;"", B54&lt;&gt;"DIV"), Z54/sum(F54:I54), "")</f>
        <v/>
      </c>
      <c r="Z103" s="49">
        <f>(1-Index!$F$2*2)*((W54*D54)-(E54*D54))</f>
        <v/>
      </c>
      <c r="AA103" s="49">
        <f>((E54*D54)+Z54)</f>
        <v/>
      </c>
      <c r="AB103" s="50">
        <f>D54</f>
        <v/>
      </c>
      <c r="AC103" s="49" t="n"/>
      <c r="AD103" s="59" t="inlineStr">
        <is>
          <t>SBI Securities</t>
        </is>
      </c>
    </row>
    <row r="104">
      <c r="A104" s="64" t="n">
        <v>44133</v>
      </c>
      <c r="B104" s="65" t="inlineStr">
        <is>
          <t>NSE</t>
        </is>
      </c>
      <c r="C104" s="65" t="inlineStr">
        <is>
          <t>Buy</t>
        </is>
      </c>
      <c r="D104" s="66" t="n">
        <v>10</v>
      </c>
      <c r="E104" s="42" t="n">
        <v>164.797</v>
      </c>
      <c r="F104" s="67" t="n">
        <v>1659.13</v>
      </c>
      <c r="G104" s="65" t="inlineStr">
        <is>
          <t>~</t>
        </is>
      </c>
      <c r="H104" s="68" t="n">
        <v>1.21</v>
      </c>
      <c r="I104" s="66" t="n">
        <v>9.92</v>
      </c>
      <c r="J104" s="42">
        <f>Index!$C$2</f>
        <v/>
      </c>
      <c r="K104" s="49" t="n"/>
      <c r="L104" s="49">
        <f>IF(AND( C55="Buy", ISBLANK(W55), B55&lt;&gt;"DIV"), ((J55*D55)-(E55*D55)+I55), "")</f>
        <v/>
      </c>
      <c r="M104" s="60">
        <f>IF(AND( C55="Buy", ISBLANK(W55), B55&lt;&gt;"DIV"), J55*D55, "")</f>
        <v/>
      </c>
      <c r="N104" s="61">
        <f>IF(AND( C55="Buy", ISBLANK(W55), B55&lt;&gt;"DIV"), D55, "")</f>
        <v/>
      </c>
      <c r="O104" s="62" t="n"/>
      <c r="P104" s="49" t="n"/>
      <c r="Q104" s="49" t="n"/>
      <c r="R104" s="49" t="n"/>
      <c r="S104" s="49" t="n"/>
      <c r="T104" s="49" t="n"/>
      <c r="U104" s="49" t="n"/>
      <c r="V104" s="49" t="n"/>
      <c r="W104" s="49" t="n">
        <v>217.0038</v>
      </c>
      <c r="X104" s="49" t="n">
        <v>44239</v>
      </c>
      <c r="Y104" s="46">
        <f>IF(AND( C55="Buy", W55&lt;&gt;"", AA55&lt;&gt;"", B55&lt;&gt;"DIV"), Z55/sum(F55:I55), "")</f>
        <v/>
      </c>
      <c r="Z104" s="49">
        <f>(1-Index!$F$2*2)*((W55*D55)-(E55*D55))</f>
        <v/>
      </c>
      <c r="AA104" s="49">
        <f>((E55*D55)+Z55)</f>
        <v/>
      </c>
      <c r="AB104" s="50">
        <f>D55</f>
        <v/>
      </c>
      <c r="AC104" s="49" t="n"/>
      <c r="AD104" s="59" t="inlineStr">
        <is>
          <t>SBI Securities</t>
        </is>
      </c>
    </row>
    <row r="105">
      <c r="A105" s="64" t="n">
        <v>44084</v>
      </c>
      <c r="B105" s="65" t="inlineStr">
        <is>
          <t>NSE</t>
        </is>
      </c>
      <c r="C105" s="65" t="inlineStr">
        <is>
          <t>Buy</t>
        </is>
      </c>
      <c r="D105" s="66" t="n">
        <v>10</v>
      </c>
      <c r="E105" s="42" t="n">
        <v>185.153</v>
      </c>
      <c r="F105" s="67" t="n">
        <v>1864.37</v>
      </c>
      <c r="G105" s="65" t="inlineStr">
        <is>
          <t>~</t>
        </is>
      </c>
      <c r="H105" s="68" t="n">
        <v>1.69</v>
      </c>
      <c r="I105" s="66" t="n">
        <v>11.18</v>
      </c>
      <c r="J105" s="42">
        <f>Index!$C$2</f>
        <v/>
      </c>
      <c r="K105" s="49" t="n"/>
      <c r="L105" s="49">
        <f>IF(AND( C56="Buy", ISBLANK(W56), B56&lt;&gt;"DIV"), ((J56*D56)-(E56*D56)+I56), "")</f>
        <v/>
      </c>
      <c r="M105" s="60">
        <f>IF(AND( C56="Buy", ISBLANK(W56), B56&lt;&gt;"DIV"), J56*D56, "")</f>
        <v/>
      </c>
      <c r="N105" s="61">
        <f>IF(AND( C56="Buy", ISBLANK(W56), B56&lt;&gt;"DIV"), D56, "")</f>
        <v/>
      </c>
      <c r="O105" s="62" t="n"/>
      <c r="P105" s="49" t="n"/>
      <c r="Q105" s="49" t="n"/>
      <c r="R105" s="49" t="n"/>
      <c r="S105" s="49" t="n"/>
      <c r="T105" s="49" t="n"/>
      <c r="U105" s="49" t="n"/>
      <c r="V105" s="49" t="n"/>
      <c r="W105" s="49" t="n">
        <v>217.0038</v>
      </c>
      <c r="X105" s="49" t="n">
        <v>44239</v>
      </c>
      <c r="Y105" s="46">
        <f>IF(AND( C56="Buy", W56&lt;&gt;"", AA56&lt;&gt;"", B56&lt;&gt;"DIV"), Z56/sum(F56:I56), "")</f>
        <v/>
      </c>
      <c r="Z105" s="49">
        <f>(1-Index!$F$2*2)*((W56*D56)-(E56*D56))</f>
        <v/>
      </c>
      <c r="AA105" s="49">
        <f>((E56*D56)+Z56)</f>
        <v/>
      </c>
      <c r="AB105" s="50">
        <f>D56</f>
        <v/>
      </c>
      <c r="AC105" s="49" t="n"/>
      <c r="AD105" s="59" t="inlineStr">
        <is>
          <t>SBI Securities</t>
        </is>
      </c>
    </row>
    <row r="106">
      <c r="A106" s="64" t="n">
        <v>44077</v>
      </c>
      <c r="B106" s="65" t="inlineStr">
        <is>
          <t>NSE</t>
        </is>
      </c>
      <c r="C106" s="65" t="inlineStr">
        <is>
          <t>Buy</t>
        </is>
      </c>
      <c r="D106" s="66" t="n">
        <v>10</v>
      </c>
      <c r="E106" s="42" t="n">
        <v>191.551</v>
      </c>
      <c r="F106" s="67" t="n">
        <v>1928.69</v>
      </c>
      <c r="G106" s="65" t="inlineStr">
        <is>
          <t>~</t>
        </is>
      </c>
      <c r="H106" s="68" t="n">
        <v>1.53</v>
      </c>
      <c r="I106" s="66" t="n">
        <v>11.66</v>
      </c>
      <c r="J106" s="42">
        <f>Index!$C$2</f>
        <v/>
      </c>
      <c r="K106" s="49" t="n"/>
      <c r="L106" s="49">
        <f>IF(AND( C57="Buy", ISBLANK(W57), B57&lt;&gt;"DIV"), ((J57*D57)-(E57*D57)+I57), "")</f>
        <v/>
      </c>
      <c r="M106" s="60">
        <f>IF(AND( C57="Buy", ISBLANK(W57), B57&lt;&gt;"DIV"), J57*D57, "")</f>
        <v/>
      </c>
      <c r="N106" s="61">
        <f>IF(AND( C57="Buy", ISBLANK(W57), B57&lt;&gt;"DIV"), D57, "")</f>
        <v/>
      </c>
      <c r="O106" s="62" t="n"/>
      <c r="P106" s="49" t="n"/>
      <c r="Q106" s="49" t="n"/>
      <c r="R106" s="49" t="n"/>
      <c r="S106" s="49" t="n"/>
      <c r="T106" s="49" t="n"/>
      <c r="U106" s="49" t="n"/>
      <c r="V106" s="49" t="n"/>
      <c r="W106" s="49" t="n">
        <v>217.0038</v>
      </c>
      <c r="X106" s="49" t="n">
        <v>44239</v>
      </c>
      <c r="Y106" s="46">
        <f>IF(AND( C57="Buy", W57&lt;&gt;"", AA57&lt;&gt;"", B57&lt;&gt;"DIV"), Z57/sum(F57:I57), "")</f>
        <v/>
      </c>
      <c r="Z106" s="49">
        <f>(1-Index!$F$2*2)*((W57*D57)-(E57*D57))</f>
        <v/>
      </c>
      <c r="AA106" s="49">
        <f>((E57*D57)+Z57)</f>
        <v/>
      </c>
      <c r="AB106" s="50">
        <f>D57</f>
        <v/>
      </c>
      <c r="AC106" s="49" t="n"/>
      <c r="AD106" s="59" t="inlineStr">
        <is>
          <t>SBI Securities</t>
        </is>
      </c>
    </row>
    <row r="107">
      <c r="A107" s="64" t="n">
        <v>44070</v>
      </c>
      <c r="B107" s="65" t="inlineStr">
        <is>
          <t>NSE</t>
        </is>
      </c>
      <c r="C107" s="65" t="inlineStr">
        <is>
          <t>Buy</t>
        </is>
      </c>
      <c r="D107" s="66" t="n">
        <v>20</v>
      </c>
      <c r="E107" s="42" t="n">
        <v>195.7</v>
      </c>
      <c r="F107" s="67" t="n">
        <v>3941.4</v>
      </c>
      <c r="G107" s="65" t="inlineStr">
        <is>
          <t>~</t>
        </is>
      </c>
      <c r="H107" s="68" t="n">
        <v>3.54</v>
      </c>
      <c r="I107" s="66" t="n">
        <v>23.86</v>
      </c>
      <c r="J107" s="42">
        <f>Index!$C$2</f>
        <v/>
      </c>
      <c r="K107" s="49" t="n"/>
      <c r="L107" s="49">
        <f>IF(AND( C58="Buy", ISBLANK(W58), B58&lt;&gt;"DIV"), ((J58*D58)-(E58*D58)+I58), "")</f>
        <v/>
      </c>
      <c r="M107" s="60">
        <f>IF(AND( C58="Buy", ISBLANK(W58), B58&lt;&gt;"DIV"), J58*D58, "")</f>
        <v/>
      </c>
      <c r="N107" s="61">
        <f>IF(AND( C58="Buy", ISBLANK(W58), B58&lt;&gt;"DIV"), D58, "")</f>
        <v/>
      </c>
      <c r="O107" s="62" t="n"/>
      <c r="P107" s="49" t="n"/>
      <c r="Q107" s="49" t="n"/>
      <c r="R107" s="49" t="n"/>
      <c r="S107" s="49" t="n"/>
      <c r="T107" s="49" t="n"/>
      <c r="U107" s="49" t="n"/>
      <c r="V107" s="49" t="n"/>
      <c r="W107" s="49" t="n">
        <v>217.0038</v>
      </c>
      <c r="X107" s="49" t="n">
        <v>44239</v>
      </c>
      <c r="Y107" s="46">
        <f>IF(AND( C58="Buy", W58&lt;&gt;"", AA58&lt;&gt;"", B58&lt;&gt;"DIV"), Z58/sum(F58:I58), "")</f>
        <v/>
      </c>
      <c r="Z107" s="49">
        <f>(1-Index!$F$2*2)*((W58*D58)-(E58*D58))</f>
        <v/>
      </c>
      <c r="AA107" s="49">
        <f>((E58*D58)+Z58)</f>
        <v/>
      </c>
      <c r="AB107" s="50">
        <f>D58</f>
        <v/>
      </c>
      <c r="AC107" s="49" t="n"/>
      <c r="AD107" s="59" t="inlineStr">
        <is>
          <t>SBI Securities</t>
        </is>
      </c>
    </row>
    <row r="108">
      <c r="A108" s="64" t="n">
        <v>44060</v>
      </c>
      <c r="B108" s="65" t="inlineStr">
        <is>
          <t>NSE</t>
        </is>
      </c>
      <c r="C108" s="65" t="inlineStr">
        <is>
          <t>Buy</t>
        </is>
      </c>
      <c r="D108" s="66" t="n">
        <v>10</v>
      </c>
      <c r="E108" s="42" t="n">
        <v>198.603</v>
      </c>
      <c r="F108" s="67" t="n">
        <v>1999.67</v>
      </c>
      <c r="G108" s="65" t="inlineStr">
        <is>
          <t>~</t>
        </is>
      </c>
      <c r="H108" s="68" t="n">
        <v>1.8</v>
      </c>
      <c r="I108" s="66" t="n">
        <v>11.87</v>
      </c>
      <c r="J108" s="42">
        <f>Index!$C$2</f>
        <v/>
      </c>
      <c r="K108" s="49" t="n"/>
      <c r="L108" s="49">
        <f>IF(AND( C59="Buy", ISBLANK(W59), B59&lt;&gt;"DIV"), ((J59*D59)-(E59*D59)+I59), "")</f>
        <v/>
      </c>
      <c r="M108" s="60">
        <f>IF(AND( C59="Buy", ISBLANK(W59), B59&lt;&gt;"DIV"), J59*D59, "")</f>
        <v/>
      </c>
      <c r="N108" s="61">
        <f>IF(AND( C59="Buy", ISBLANK(W59), B59&lt;&gt;"DIV"), D59, "")</f>
        <v/>
      </c>
      <c r="O108" s="62" t="n"/>
      <c r="P108" s="49" t="n"/>
      <c r="Q108" s="49" t="n"/>
      <c r="R108" s="49" t="n"/>
      <c r="S108" s="49" t="n"/>
      <c r="T108" s="49" t="n"/>
      <c r="U108" s="49" t="n"/>
      <c r="V108" s="49" t="n"/>
      <c r="W108" s="49" t="n">
        <v>224.6598</v>
      </c>
      <c r="X108" s="49" t="n">
        <v>44237</v>
      </c>
      <c r="Y108" s="46">
        <f>IF(AND( C59="Buy", W59&lt;&gt;"", AA59&lt;&gt;"", B59&lt;&gt;"DIV"), Z59/sum(F59:I59), "")</f>
        <v/>
      </c>
      <c r="Z108" s="49">
        <f>(1-Index!$F$2*2)*((W59*D59)-(E59*D59))</f>
        <v/>
      </c>
      <c r="AA108" s="49">
        <f>((E59*D59)+Z59)</f>
        <v/>
      </c>
      <c r="AB108" s="50">
        <f>D59</f>
        <v/>
      </c>
      <c r="AC108" s="49" t="n"/>
      <c r="AD108" s="59" t="inlineStr">
        <is>
          <t>SBI Securities</t>
        </is>
      </c>
    </row>
    <row r="109">
      <c r="A109" s="64" t="n">
        <v>44055</v>
      </c>
      <c r="B109" s="65" t="inlineStr">
        <is>
          <t>NSE</t>
        </is>
      </c>
      <c r="C109" s="65" t="inlineStr">
        <is>
          <t>Buy</t>
        </is>
      </c>
      <c r="D109" s="66" t="n">
        <v>20</v>
      </c>
      <c r="E109" s="42" t="n">
        <v>202.6</v>
      </c>
      <c r="F109" s="67" t="n">
        <v>4080.4</v>
      </c>
      <c r="G109" s="65" t="inlineStr">
        <is>
          <t>~</t>
        </is>
      </c>
      <c r="H109" s="68" t="n">
        <v>4.07</v>
      </c>
      <c r="I109" s="66" t="n">
        <v>24.33</v>
      </c>
      <c r="J109" s="42">
        <f>Index!$C$2</f>
        <v/>
      </c>
      <c r="K109" s="49" t="n"/>
      <c r="L109" s="49">
        <f>IF(AND( C60="Buy", ISBLANK(W60), B60&lt;&gt;"DIV"), ((J60*D60)-(E60*D60)+I60), "")</f>
        <v/>
      </c>
      <c r="M109" s="60">
        <f>IF(AND( C60="Buy", ISBLANK(W60), B60&lt;&gt;"DIV"), J60*D60, "")</f>
        <v/>
      </c>
      <c r="N109" s="61">
        <f>IF(AND( C60="Buy", ISBLANK(W60), B60&lt;&gt;"DIV"), D60, "")</f>
        <v/>
      </c>
      <c r="O109" s="62" t="n"/>
      <c r="P109" s="49" t="n"/>
      <c r="Q109" s="49" t="n"/>
      <c r="R109" s="49" t="n"/>
      <c r="S109" s="49" t="n"/>
      <c r="T109" s="49" t="n"/>
      <c r="U109" s="49" t="n"/>
      <c r="V109" s="49" t="n"/>
      <c r="W109" s="49" t="n">
        <v>224.6598</v>
      </c>
      <c r="X109" s="49" t="n">
        <v>44237</v>
      </c>
      <c r="Y109" s="46">
        <f>IF(AND( C60="Buy", W60&lt;&gt;"", AA60&lt;&gt;"", B60&lt;&gt;"DIV"), Z60/sum(F60:I60), "")</f>
        <v/>
      </c>
      <c r="Z109" s="49">
        <f>(1-Index!$F$2*2)*((W60*D60)-(E60*D60))</f>
        <v/>
      </c>
      <c r="AA109" s="49">
        <f>((E60*D60)+Z60)</f>
        <v/>
      </c>
      <c r="AB109" s="50">
        <f>D60</f>
        <v/>
      </c>
      <c r="AC109" s="49" t="n"/>
      <c r="AD109" s="59" t="inlineStr">
        <is>
          <t>SBI Securities</t>
        </is>
      </c>
    </row>
    <row r="110">
      <c r="A110" s="64" t="n">
        <v>44054</v>
      </c>
      <c r="B110" s="65" t="inlineStr">
        <is>
          <t>NSE</t>
        </is>
      </c>
      <c r="C110" s="65" t="inlineStr">
        <is>
          <t>Buy</t>
        </is>
      </c>
      <c r="D110" s="66" t="n">
        <v>20</v>
      </c>
      <c r="E110" s="42" t="n">
        <v>203.5485</v>
      </c>
      <c r="F110" s="67" t="n">
        <v>4099.83</v>
      </c>
      <c r="G110" s="65" t="inlineStr">
        <is>
          <t>~</t>
        </is>
      </c>
      <c r="H110" s="68" t="n">
        <v>4.09</v>
      </c>
      <c r="I110" s="66" t="n">
        <v>24.74</v>
      </c>
      <c r="J110" s="42">
        <f>Index!$C$2</f>
        <v/>
      </c>
      <c r="K110" s="49" t="n"/>
      <c r="L110" s="49">
        <f>IF(AND( C61="Buy", ISBLANK(W61), B61&lt;&gt;"DIV"), ((J61*D61)-(E61*D61)+I61), "")</f>
        <v/>
      </c>
      <c r="M110" s="60">
        <f>IF(AND( C61="Buy", ISBLANK(W61), B61&lt;&gt;"DIV"), J61*D61, "")</f>
        <v/>
      </c>
      <c r="N110" s="61">
        <f>IF(AND( C61="Buy", ISBLANK(W61), B61&lt;&gt;"DIV"), D61, "")</f>
        <v/>
      </c>
      <c r="O110" s="62" t="n"/>
      <c r="P110" s="49" t="n"/>
      <c r="Q110" s="49" t="n"/>
      <c r="R110" s="49" t="n"/>
      <c r="S110" s="49" t="n"/>
      <c r="T110" s="49" t="n"/>
      <c r="U110" s="49" t="n"/>
      <c r="V110" s="49" t="n"/>
      <c r="W110" s="49" t="n">
        <v>224.6598</v>
      </c>
      <c r="X110" s="49" t="n">
        <v>44237</v>
      </c>
      <c r="Y110" s="46">
        <f>IF(AND( C61="Buy", W61&lt;&gt;"", AA61&lt;&gt;"", B61&lt;&gt;"DIV"), Z61/sum(F61:I61), "")</f>
        <v/>
      </c>
      <c r="Z110" s="49">
        <f>(1-Index!$F$2*2)*((W61*D61)-(E61*D61))</f>
        <v/>
      </c>
      <c r="AA110" s="49">
        <f>((E61*D61)+Z61)</f>
        <v/>
      </c>
      <c r="AB110" s="50">
        <f>D61</f>
        <v/>
      </c>
      <c r="AC110" s="49" t="n"/>
      <c r="AD110" s="59" t="inlineStr">
        <is>
          <t>SBI Securities</t>
        </is>
      </c>
    </row>
    <row r="111">
      <c r="A111" s="64" t="n">
        <v>44053</v>
      </c>
      <c r="B111" s="65" t="inlineStr">
        <is>
          <t>NSE</t>
        </is>
      </c>
      <c r="C111" s="65" t="inlineStr">
        <is>
          <t>Buy</t>
        </is>
      </c>
      <c r="D111" s="66" t="n">
        <v>30</v>
      </c>
      <c r="E111" s="42" t="n">
        <v>198.498667</v>
      </c>
      <c r="F111" s="67" t="n">
        <v>5997.04</v>
      </c>
      <c r="G111" s="65" t="inlineStr">
        <is>
          <t>~</t>
        </is>
      </c>
      <c r="H111" s="68" t="n">
        <v>5.93</v>
      </c>
      <c r="I111" s="66" t="n">
        <v>36.11</v>
      </c>
      <c r="J111" s="42">
        <f>Index!$C$2</f>
        <v/>
      </c>
      <c r="K111" s="49" t="n"/>
      <c r="L111" s="49">
        <f>IF(AND( C62="Buy", ISBLANK(W62), B62&lt;&gt;"DIV"), ((J62*D62)-(E62*D62)+I62), "")</f>
        <v/>
      </c>
      <c r="M111" s="60">
        <f>IF(AND( C62="Buy", ISBLANK(W62), B62&lt;&gt;"DIV"), J62*D62, "")</f>
        <v/>
      </c>
      <c r="N111" s="61">
        <f>IF(AND( C62="Buy", ISBLANK(W62), B62&lt;&gt;"DIV"), D62, "")</f>
        <v/>
      </c>
      <c r="O111" s="62" t="n"/>
      <c r="P111" s="49" t="n"/>
      <c r="Q111" s="49" t="n"/>
      <c r="R111" s="49" t="n"/>
      <c r="S111" s="49" t="n"/>
      <c r="T111" s="49" t="n"/>
      <c r="U111" s="49" t="n"/>
      <c r="V111" s="49" t="n"/>
      <c r="W111" s="49" t="n">
        <v>224.6598</v>
      </c>
      <c r="X111" s="49" t="n">
        <v>44237</v>
      </c>
      <c r="Y111" s="46">
        <f>IF(AND( C62="Buy", W62&lt;&gt;"", AA62&lt;&gt;"", B62&lt;&gt;"DIV"), Z62/sum(F62:I62), "")</f>
        <v/>
      </c>
      <c r="Z111" s="49">
        <f>(1-Index!$F$2*2)*((W62*D62)-(E62*D62))</f>
        <v/>
      </c>
      <c r="AA111" s="49">
        <f>((E62*D62)+Z62)</f>
        <v/>
      </c>
      <c r="AB111" s="50">
        <f>D62</f>
        <v/>
      </c>
      <c r="AC111" s="49" t="n"/>
      <c r="AD111" s="59" t="inlineStr">
        <is>
          <t>SBI Securities</t>
        </is>
      </c>
    </row>
    <row r="112">
      <c r="A112" s="64" t="n">
        <v>44050</v>
      </c>
      <c r="B112" s="65" t="inlineStr">
        <is>
          <t>NSE</t>
        </is>
      </c>
      <c r="C112" s="65" t="inlineStr">
        <is>
          <t>Buy</t>
        </is>
      </c>
      <c r="D112" s="66" t="n">
        <v>20</v>
      </c>
      <c r="E112" s="42" t="n">
        <v>196.497</v>
      </c>
      <c r="F112" s="67" t="n">
        <v>3957.46</v>
      </c>
      <c r="G112" s="65" t="inlineStr">
        <is>
          <t>~</t>
        </is>
      </c>
      <c r="H112" s="68" t="n">
        <v>3.91</v>
      </c>
      <c r="I112" s="66" t="n">
        <v>23.55</v>
      </c>
      <c r="J112" s="42">
        <f>Index!$C$2</f>
        <v/>
      </c>
      <c r="K112" s="49" t="n"/>
      <c r="L112" s="49">
        <f>IF(AND( C63="Buy", ISBLANK(W63), B63&lt;&gt;"DIV"), ((J63*D63)-(E63*D63)+I63), "")</f>
        <v/>
      </c>
      <c r="M112" s="60">
        <f>IF(AND( C63="Buy", ISBLANK(W63), B63&lt;&gt;"DIV"), J63*D63, "")</f>
        <v/>
      </c>
      <c r="N112" s="61">
        <f>IF(AND( C63="Buy", ISBLANK(W63), B63&lt;&gt;"DIV"), D63, "")</f>
        <v/>
      </c>
      <c r="O112" s="62" t="n"/>
      <c r="P112" s="49" t="n"/>
      <c r="Q112" s="49" t="n"/>
      <c r="R112" s="49" t="n"/>
      <c r="S112" s="49" t="n"/>
      <c r="T112" s="49" t="n"/>
      <c r="U112" s="49" t="n"/>
      <c r="V112" s="49" t="n"/>
      <c r="W112" s="49" t="n">
        <v>224.6598</v>
      </c>
      <c r="X112" s="49" t="n">
        <v>44237</v>
      </c>
      <c r="Y112" s="46">
        <f>IF(AND( C63="Buy", W63&lt;&gt;"", AA63&lt;&gt;"", B63&lt;&gt;"DIV"), Z63/sum(F63:I63), "")</f>
        <v/>
      </c>
      <c r="Z112" s="49">
        <f>(1-Index!$F$2*2)*((W63*D63)-(E63*D63))</f>
        <v/>
      </c>
      <c r="AA112" s="49">
        <f>((E63*D63)+Z63)</f>
        <v/>
      </c>
      <c r="AB112" s="50">
        <f>D63</f>
        <v/>
      </c>
      <c r="AC112" s="49" t="n"/>
      <c r="AD112" s="59" t="inlineStr">
        <is>
          <t>SBI Securities</t>
        </is>
      </c>
    </row>
    <row r="113">
      <c r="A113" s="64" t="n">
        <v>44049</v>
      </c>
      <c r="B113" s="65" t="inlineStr">
        <is>
          <t>NSE</t>
        </is>
      </c>
      <c r="C113" s="65" t="inlineStr">
        <is>
          <t>Buy</t>
        </is>
      </c>
      <c r="D113" s="66" t="n">
        <v>20</v>
      </c>
      <c r="E113" s="42" t="n">
        <v>194.947</v>
      </c>
      <c r="F113" s="67" t="n">
        <v>3926.26</v>
      </c>
      <c r="G113" s="65" t="inlineStr">
        <is>
          <t>~</t>
        </is>
      </c>
      <c r="H113" s="68" t="n">
        <v>3.9</v>
      </c>
      <c r="I113" s="66" t="n">
        <v>23.36</v>
      </c>
      <c r="J113" s="42">
        <f>Index!$C$2</f>
        <v/>
      </c>
      <c r="K113" s="49" t="n"/>
      <c r="L113" s="49">
        <f>IF(AND( C64="Buy", ISBLANK(W64), B64&lt;&gt;"DIV"), ((J64*D64)-(E64*D64)+I64), "")</f>
        <v/>
      </c>
      <c r="M113" s="60">
        <f>IF(AND( C64="Buy", ISBLANK(W64), B64&lt;&gt;"DIV"), J64*D64, "")</f>
        <v/>
      </c>
      <c r="N113" s="61">
        <f>IF(AND( C64="Buy", ISBLANK(W64), B64&lt;&gt;"DIV"), D64, "")</f>
        <v/>
      </c>
      <c r="O113" s="62" t="n"/>
      <c r="P113" s="49" t="n"/>
      <c r="Q113" s="49" t="n"/>
      <c r="R113" s="49" t="n"/>
      <c r="S113" s="49" t="n"/>
      <c r="T113" s="49" t="n"/>
      <c r="U113" s="49" t="n"/>
      <c r="V113" s="49" t="n"/>
      <c r="W113" s="49" t="n">
        <v>224.6598</v>
      </c>
      <c r="X113" s="49" t="n">
        <v>44237</v>
      </c>
      <c r="Y113" s="46">
        <f>IF(AND( C64="Buy", W64&lt;&gt;"", AA64&lt;&gt;"", B64&lt;&gt;"DIV"), Z64/sum(F64:I64), "")</f>
        <v/>
      </c>
      <c r="Z113" s="49">
        <f>(1-Index!$F$2*2)*((W64*D64)-(E64*D64))</f>
        <v/>
      </c>
      <c r="AA113" s="49">
        <f>((E64*D64)+Z64)</f>
        <v/>
      </c>
      <c r="AB113" s="50">
        <f>D64</f>
        <v/>
      </c>
      <c r="AC113" s="49" t="n"/>
      <c r="AD113" s="59" t="inlineStr">
        <is>
          <t>SBI Securities</t>
        </is>
      </c>
    </row>
    <row r="114">
      <c r="A114" s="64" t="n">
        <v>44046</v>
      </c>
      <c r="B114" s="65" t="inlineStr">
        <is>
          <t>NSE</t>
        </is>
      </c>
      <c r="C114" s="65" t="inlineStr">
        <is>
          <t>Buy</t>
        </is>
      </c>
      <c r="D114" s="66" t="n">
        <v>10</v>
      </c>
      <c r="E114" s="42" t="n">
        <v>193.497</v>
      </c>
      <c r="F114" s="67" t="n">
        <v>1948.63</v>
      </c>
      <c r="G114" s="65" t="inlineStr">
        <is>
          <t>~</t>
        </is>
      </c>
      <c r="H114" s="68" t="n">
        <v>1.95</v>
      </c>
      <c r="I114" s="66" t="n">
        <v>11.68</v>
      </c>
      <c r="J114" s="42">
        <f>Index!$C$2</f>
        <v/>
      </c>
      <c r="K114" s="49" t="n"/>
      <c r="L114" s="49">
        <f>IF(AND( C65="Buy", ISBLANK(W65), B65&lt;&gt;"DIV"), ((J65*D65)-(E65*D65)+I65), "")</f>
        <v/>
      </c>
      <c r="M114" s="60">
        <f>IF(AND( C65="Buy", ISBLANK(W65), B65&lt;&gt;"DIV"), J65*D65, "")</f>
        <v/>
      </c>
      <c r="N114" s="61">
        <f>IF(AND( C65="Buy", ISBLANK(W65), B65&lt;&gt;"DIV"), D65, "")</f>
        <v/>
      </c>
      <c r="O114" s="62" t="n"/>
      <c r="P114" s="49" t="n"/>
      <c r="Q114" s="49" t="n"/>
      <c r="R114" s="49" t="n"/>
      <c r="S114" s="49" t="n"/>
      <c r="T114" s="49" t="n"/>
      <c r="U114" s="49" t="n"/>
      <c r="V114" s="49" t="n"/>
      <c r="W114" s="49" t="n">
        <v>224.6598</v>
      </c>
      <c r="X114" s="49" t="n">
        <v>44237</v>
      </c>
      <c r="Y114" s="46">
        <f>IF(AND( C65="Buy", W65&lt;&gt;"", AA65&lt;&gt;"", B65&lt;&gt;"DIV"), Z65/sum(F65:I65), "")</f>
        <v/>
      </c>
      <c r="Z114" s="49">
        <f>(1-Index!$F$2*2)*((W65*D65)-(E65*D65))</f>
        <v/>
      </c>
      <c r="AA114" s="49">
        <f>((E65*D65)+Z65)</f>
        <v/>
      </c>
      <c r="AB114" s="50">
        <f>D65</f>
        <v/>
      </c>
      <c r="AC114" s="49" t="n"/>
      <c r="AD114" s="59" t="inlineStr">
        <is>
          <t>SBI Securities</t>
        </is>
      </c>
    </row>
    <row r="115">
      <c r="A115" s="64" t="n">
        <v>44043</v>
      </c>
      <c r="B115" s="65" t="inlineStr">
        <is>
          <t>NSE</t>
        </is>
      </c>
      <c r="C115" s="65" t="inlineStr">
        <is>
          <t>Buy</t>
        </is>
      </c>
      <c r="D115" s="66" t="n">
        <v>10</v>
      </c>
      <c r="E115" s="42" t="n">
        <v>196.605</v>
      </c>
      <c r="F115" s="67" t="n">
        <v>1979.95</v>
      </c>
      <c r="G115" s="65" t="inlineStr">
        <is>
          <t>~</t>
        </is>
      </c>
      <c r="H115" s="68" t="n">
        <v>2</v>
      </c>
      <c r="I115" s="66" t="n">
        <v>11.95</v>
      </c>
      <c r="J115" s="42">
        <f>Index!$C$2</f>
        <v/>
      </c>
      <c r="K115" s="49" t="n"/>
      <c r="L115" s="49">
        <f>IF(AND( C66="Buy", ISBLANK(W66), B66&lt;&gt;"DIV"), ((J66*D66)-(E66*D66)+I66), "")</f>
        <v/>
      </c>
      <c r="M115" s="60">
        <f>IF(AND( C66="Buy", ISBLANK(W66), B66&lt;&gt;"DIV"), J66*D66, "")</f>
        <v/>
      </c>
      <c r="N115" s="61">
        <f>IF(AND( C66="Buy", ISBLANK(W66), B66&lt;&gt;"DIV"), D66, "")</f>
        <v/>
      </c>
      <c r="O115" s="62" t="n"/>
      <c r="P115" s="49" t="n"/>
      <c r="Q115" s="49" t="n"/>
      <c r="R115" s="49" t="n"/>
      <c r="S115" s="49" t="n"/>
      <c r="T115" s="49" t="n"/>
      <c r="U115" s="49" t="n"/>
      <c r="V115" s="49" t="n"/>
      <c r="W115" s="49" t="n">
        <v>224.6598</v>
      </c>
      <c r="X115" s="49" t="n">
        <v>44237</v>
      </c>
      <c r="Y115" s="46">
        <f>IF(AND( C66="Buy", W66&lt;&gt;"", AA66&lt;&gt;"", B66&lt;&gt;"DIV"), Z66/sum(F66:I66), "")</f>
        <v/>
      </c>
      <c r="Z115" s="49">
        <f>(1-Index!$F$2*2)*((W66*D66)-(E66*D66))</f>
        <v/>
      </c>
      <c r="AA115" s="49">
        <f>((E66*D66)+Z66)</f>
        <v/>
      </c>
      <c r="AB115" s="50">
        <f>D66</f>
        <v/>
      </c>
      <c r="AC115" s="49" t="n"/>
      <c r="AD115" s="59" t="inlineStr">
        <is>
          <t>SBI Securities</t>
        </is>
      </c>
    </row>
    <row r="116">
      <c r="A116" s="64" t="n">
        <v>44040</v>
      </c>
      <c r="B116" s="65" t="inlineStr">
        <is>
          <t>NSE</t>
        </is>
      </c>
      <c r="C116" s="65" t="inlineStr">
        <is>
          <t>Buy</t>
        </is>
      </c>
      <c r="D116" s="66" t="n">
        <v>10</v>
      </c>
      <c r="E116" s="42" t="n">
        <v>196.997</v>
      </c>
      <c r="F116" s="67" t="n">
        <v>1984.03</v>
      </c>
      <c r="G116" s="65" t="inlineStr">
        <is>
          <t>~</t>
        </is>
      </c>
      <c r="H116" s="68" t="n">
        <v>1.97</v>
      </c>
      <c r="I116" s="66" t="n">
        <v>12.06</v>
      </c>
      <c r="J116" s="42">
        <f>Index!$C$2</f>
        <v/>
      </c>
      <c r="K116" s="49" t="n"/>
      <c r="L116" s="49">
        <f>IF(AND( C67="Buy", ISBLANK(W67), B67&lt;&gt;"DIV"), ((J67*D67)-(E67*D67)+I67), "")</f>
        <v/>
      </c>
      <c r="M116" s="60">
        <f>IF(AND( C67="Buy", ISBLANK(W67), B67&lt;&gt;"DIV"), J67*D67, "")</f>
        <v/>
      </c>
      <c r="N116" s="61">
        <f>IF(AND( C67="Buy", ISBLANK(W67), B67&lt;&gt;"DIV"), D67, "")</f>
        <v/>
      </c>
      <c r="O116" s="62" t="n"/>
      <c r="P116" s="49" t="n"/>
      <c r="Q116" s="49" t="n"/>
      <c r="R116" s="49" t="n"/>
      <c r="S116" s="49" t="n"/>
      <c r="T116" s="49" t="n"/>
      <c r="U116" s="49" t="n"/>
      <c r="V116" s="49" t="n"/>
      <c r="W116" s="49" t="n">
        <v>224.6598</v>
      </c>
      <c r="X116" s="49" t="n">
        <v>44237</v>
      </c>
      <c r="Y116" s="46">
        <f>IF(AND( C67="Buy", W67&lt;&gt;"", AA67&lt;&gt;"", B67&lt;&gt;"DIV"), Z67/sum(F67:I67), "")</f>
        <v/>
      </c>
      <c r="Z116" s="49">
        <f>(1-Index!$F$2*2)*((W67*D67)-(E67*D67))</f>
        <v/>
      </c>
      <c r="AA116" s="49">
        <f>((E67*D67)+Z67)</f>
        <v/>
      </c>
      <c r="AB116" s="50">
        <f>D67</f>
        <v/>
      </c>
      <c r="AC116" s="49" t="n"/>
      <c r="AD116" s="59" t="inlineStr">
        <is>
          <t>SBI Securities</t>
        </is>
      </c>
    </row>
    <row r="117">
      <c r="A117" s="64" t="n">
        <v>44036</v>
      </c>
      <c r="B117" s="65" t="inlineStr">
        <is>
          <t>NSE</t>
        </is>
      </c>
      <c r="C117" s="65" t="inlineStr">
        <is>
          <t>Buy</t>
        </is>
      </c>
      <c r="D117" s="66" t="n">
        <v>30</v>
      </c>
      <c r="E117" s="42" t="n">
        <v>198.149</v>
      </c>
      <c r="F117" s="67" t="n">
        <v>5986.23</v>
      </c>
      <c r="G117" s="65" t="inlineStr">
        <is>
          <t>~</t>
        </is>
      </c>
      <c r="H117" s="68" t="n">
        <v>6</v>
      </c>
      <c r="I117" s="66" t="n">
        <v>35.73</v>
      </c>
      <c r="J117" s="42">
        <f>Index!$C$2</f>
        <v/>
      </c>
      <c r="K117" s="49" t="n"/>
      <c r="L117" s="49">
        <f>IF(AND( C68="Buy", ISBLANK(W68), B68&lt;&gt;"DIV"), ((J68*D68)-(E68*D68)+I68), "")</f>
        <v/>
      </c>
      <c r="M117" s="60">
        <f>IF(AND( C68="Buy", ISBLANK(W68), B68&lt;&gt;"DIV"), J68*D68, "")</f>
        <v/>
      </c>
      <c r="N117" s="61">
        <f>IF(AND( C68="Buy", ISBLANK(W68), B68&lt;&gt;"DIV"), D68, "")</f>
        <v/>
      </c>
      <c r="O117" s="62" t="n"/>
      <c r="P117" s="49" t="n"/>
      <c r="Q117" s="49" t="n"/>
      <c r="R117" s="49" t="n"/>
      <c r="S117" s="49" t="n"/>
      <c r="T117" s="49" t="n"/>
      <c r="U117" s="49" t="n"/>
      <c r="V117" s="49" t="n"/>
      <c r="W117" s="49" t="n">
        <v>224.6598</v>
      </c>
      <c r="X117" s="49" t="n">
        <v>44237</v>
      </c>
      <c r="Y117" s="46">
        <f>IF(AND( C68="Buy", W68&lt;&gt;"", AA68&lt;&gt;"", B68&lt;&gt;"DIV"), Z68/sum(F68:I68), "")</f>
        <v/>
      </c>
      <c r="Z117" s="49">
        <f>(1-Index!$F$2*2)*((W68*D68)-(E68*D68))</f>
        <v/>
      </c>
      <c r="AA117" s="49">
        <f>((E68*D68)+Z68)</f>
        <v/>
      </c>
      <c r="AB117" s="50">
        <f>D68</f>
        <v/>
      </c>
      <c r="AC117" s="49" t="n"/>
      <c r="AD117" s="59" t="inlineStr">
        <is>
          <t>SBI Securities</t>
        </is>
      </c>
    </row>
    <row r="118">
      <c r="A118" s="64" t="n">
        <v>44029</v>
      </c>
      <c r="B118" s="65" t="inlineStr">
        <is>
          <t>NSE</t>
        </is>
      </c>
      <c r="C118" s="65" t="inlineStr">
        <is>
          <t>Buy</t>
        </is>
      </c>
      <c r="D118" s="66" t="n">
        <v>10</v>
      </c>
      <c r="E118" s="42" t="n">
        <v>194.302</v>
      </c>
      <c r="F118" s="67" t="n">
        <v>1956.78</v>
      </c>
      <c r="G118" s="65" t="inlineStr">
        <is>
          <t>~</t>
        </is>
      </c>
      <c r="H118" s="68" t="n">
        <v>1.95</v>
      </c>
      <c r="I118" s="66" t="n">
        <v>11.83</v>
      </c>
      <c r="J118" s="42">
        <f>Index!$C$2</f>
        <v/>
      </c>
      <c r="K118" s="49" t="n"/>
      <c r="L118" s="49">
        <f>IF(AND( C69="Buy", ISBLANK(W69), B69&lt;&gt;"DIV"), ((J69*D69)-(E69*D69)+I69), "")</f>
        <v/>
      </c>
      <c r="M118" s="60">
        <f>IF(AND( C69="Buy", ISBLANK(W69), B69&lt;&gt;"DIV"), J69*D69, "")</f>
        <v/>
      </c>
      <c r="N118" s="61">
        <f>IF(AND( C69="Buy", ISBLANK(W69), B69&lt;&gt;"DIV"), D69, "")</f>
        <v/>
      </c>
      <c r="O118" s="62" t="n"/>
      <c r="P118" s="49" t="n"/>
      <c r="Q118" s="49" t="n"/>
      <c r="R118" s="49" t="n"/>
      <c r="S118" s="49" t="n"/>
      <c r="T118" s="49" t="n"/>
      <c r="U118" s="49" t="n"/>
      <c r="V118" s="49" t="n"/>
      <c r="W118" s="49" t="n">
        <v>224.6598</v>
      </c>
      <c r="X118" s="49" t="n">
        <v>44237</v>
      </c>
      <c r="Y118" s="46">
        <f>IF(AND( C69="Buy", W69&lt;&gt;"", AA69&lt;&gt;"", B69&lt;&gt;"DIV"), Z69/sum(F69:I69), "")</f>
        <v/>
      </c>
      <c r="Z118" s="49">
        <f>(1-Index!$F$2*2)*((W69*D69)-(E69*D69))</f>
        <v/>
      </c>
      <c r="AA118" s="49">
        <f>((E69*D69)+Z69)</f>
        <v/>
      </c>
      <c r="AB118" s="50">
        <f>D69</f>
        <v/>
      </c>
      <c r="AC118" s="49" t="n"/>
      <c r="AD118" s="59" t="inlineStr">
        <is>
          <t>SBI Securities</t>
        </is>
      </c>
    </row>
    <row r="119">
      <c r="A119" s="64" t="n">
        <v>44026</v>
      </c>
      <c r="B119" s="65" t="inlineStr">
        <is>
          <t>NSE</t>
        </is>
      </c>
      <c r="C119" s="65" t="inlineStr">
        <is>
          <t>Buy</t>
        </is>
      </c>
      <c r="D119" s="66" t="n">
        <v>10</v>
      </c>
      <c r="E119" s="42" t="n">
        <v>197.348</v>
      </c>
      <c r="F119" s="67" t="n">
        <v>1987.52</v>
      </c>
      <c r="G119" s="65" t="inlineStr">
        <is>
          <t>~</t>
        </is>
      </c>
      <c r="H119" s="68" t="n">
        <v>1.99</v>
      </c>
      <c r="I119" s="66" t="n">
        <v>12.03</v>
      </c>
      <c r="J119" s="42">
        <f>Index!$C$2</f>
        <v/>
      </c>
      <c r="K119" s="49" t="n"/>
      <c r="L119" s="49">
        <f>IF(AND( C70="Buy", ISBLANK(W70), B70&lt;&gt;"DIV"), ((J70*D70)-(E70*D70)+I70), "")</f>
        <v/>
      </c>
      <c r="M119" s="60">
        <f>IF(AND( C70="Buy", ISBLANK(W70), B70&lt;&gt;"DIV"), J70*D70, "")</f>
        <v/>
      </c>
      <c r="N119" s="61">
        <f>IF(AND( C70="Buy", ISBLANK(W70), B70&lt;&gt;"DIV"), D70, "")</f>
        <v/>
      </c>
      <c r="O119" s="62" t="n"/>
      <c r="P119" s="49" t="n"/>
      <c r="Q119" s="49" t="n"/>
      <c r="R119" s="49" t="n"/>
      <c r="S119" s="49" t="n"/>
      <c r="T119" s="49" t="n"/>
      <c r="U119" s="49" t="n"/>
      <c r="V119" s="49" t="n"/>
      <c r="W119" s="49" t="n">
        <v>224.6598</v>
      </c>
      <c r="X119" s="49" t="n">
        <v>44237</v>
      </c>
      <c r="Y119" s="46">
        <f>IF(AND( C70="Buy", W70&lt;&gt;"", AA70&lt;&gt;"", B70&lt;&gt;"DIV"), Z70/sum(F70:I70), "")</f>
        <v/>
      </c>
      <c r="Z119" s="49">
        <f>(1-Index!$F$2*2)*((W70*D70)-(E70*D70))</f>
        <v/>
      </c>
      <c r="AA119" s="49">
        <f>((E70*D70)+Z70)</f>
        <v/>
      </c>
      <c r="AB119" s="50">
        <f>D70</f>
        <v/>
      </c>
      <c r="AC119" s="49" t="n"/>
      <c r="AD119" s="59" t="inlineStr">
        <is>
          <t>SBI Securities</t>
        </is>
      </c>
    </row>
    <row r="120">
      <c r="A120" s="64" t="n">
        <v>44018</v>
      </c>
      <c r="B120" s="65" t="inlineStr">
        <is>
          <t>DIV</t>
        </is>
      </c>
      <c r="C120" s="65" t="inlineStr">
        <is>
          <t>Buy</t>
        </is>
      </c>
      <c r="D120" s="66" t="n">
        <v>820</v>
      </c>
      <c r="E120" s="42" t="n">
        <v>9.390000000000001</v>
      </c>
      <c r="F120" s="67" t="n">
        <v>7698.82</v>
      </c>
      <c r="G120" s="65" t="inlineStr">
        <is>
          <t>Annual-Dividend of Rs.10.1500/- per share on Ex-Date: 06-JUL-2020</t>
        </is>
      </c>
      <c r="H120" s="68" t="n">
        <v>0</v>
      </c>
      <c r="I120" s="66" t="n">
        <v>0</v>
      </c>
      <c r="J120" s="42">
        <f>Index!$C$2</f>
        <v/>
      </c>
      <c r="K120" s="49" t="n"/>
      <c r="L120" s="49">
        <f>IF(AND( C71="Buy", ISBLANK(W71), B71&lt;&gt;"DIV"), ((J71*D71)-(E71*D71)+I71), "")</f>
        <v/>
      </c>
      <c r="M120" s="60">
        <f>IF(AND( C71="Buy", ISBLANK(W71), B71&lt;&gt;"DIV"), J71*D71, "")</f>
        <v/>
      </c>
      <c r="N120" s="61">
        <f>IF(AND( C71="Buy", ISBLANK(W71), B71&lt;&gt;"DIV"), D71, "")</f>
        <v/>
      </c>
      <c r="O120" s="62" t="n"/>
      <c r="P120" s="49">
        <f>if(C71="DIV", G71,"")</f>
        <v/>
      </c>
      <c r="Q120" s="49">
        <f>if(D71="DIV", H71,"")</f>
        <v/>
      </c>
      <c r="R120" s="49">
        <f>if(E71="DIV", I71,"")</f>
        <v/>
      </c>
      <c r="S120" s="49" t="n"/>
      <c r="T120" s="49">
        <f>if(G71="DIV", N71,"")</f>
        <v/>
      </c>
      <c r="U120" s="49">
        <f>if(H71="DIV", #REF!,"")</f>
        <v/>
      </c>
      <c r="V120" s="49">
        <f>if(I71="DIV", #REF!,"")</f>
        <v/>
      </c>
      <c r="W120" s="49" t="n"/>
      <c r="X120" s="49" t="n"/>
      <c r="Y120" s="46">
        <f>IF(AND( C71="Buy", W71&lt;&gt;"", AA71&lt;&gt;"", B71&lt;&gt;"DIV"), Z71/sum(F71:I71), "")</f>
        <v/>
      </c>
      <c r="Z120" s="49" t="n"/>
      <c r="AA120" s="49" t="n"/>
      <c r="AB120" s="50" t="n"/>
      <c r="AC120" s="49">
        <f>if(B71="DIV", F71,"")</f>
        <v/>
      </c>
      <c r="AD120" s="59" t="inlineStr">
        <is>
          <t>SBI Securities</t>
        </is>
      </c>
    </row>
    <row r="121">
      <c r="A121" s="64" t="n">
        <v>43944</v>
      </c>
      <c r="B121" s="65" t="inlineStr">
        <is>
          <t>NSE</t>
        </is>
      </c>
      <c r="C121" s="65" t="inlineStr">
        <is>
          <t>Buy</t>
        </is>
      </c>
      <c r="D121" s="66" t="n">
        <v>10</v>
      </c>
      <c r="E121" s="42" t="n">
        <v>183.4</v>
      </c>
      <c r="F121" s="67" t="n">
        <v>1843.2</v>
      </c>
      <c r="G121" s="65" t="inlineStr">
        <is>
          <t>~</t>
        </is>
      </c>
      <c r="H121" s="68" t="n">
        <v>0</v>
      </c>
      <c r="I121" s="66" t="n">
        <v>9.199999999999999</v>
      </c>
      <c r="J121" s="42">
        <f>Index!$C$2</f>
        <v/>
      </c>
      <c r="K121" s="49" t="n"/>
      <c r="L121" s="49">
        <f>IF(AND( C72="Buy", ISBLANK(W72), B72&lt;&gt;"DIV"), ((J72*D72)-(E72*D72)+I72), "")</f>
        <v/>
      </c>
      <c r="M121" s="60">
        <f>IF(AND( C72="Buy", ISBLANK(W72), B72&lt;&gt;"DIV"), J72*D72, "")</f>
        <v/>
      </c>
      <c r="N121" s="61">
        <f>IF(AND( C72="Buy", ISBLANK(W72), B72&lt;&gt;"DIV"), D72, "")</f>
        <v/>
      </c>
      <c r="O121" s="62" t="n"/>
      <c r="P121" s="49" t="n"/>
      <c r="Q121" s="49" t="n"/>
      <c r="R121" s="49" t="n"/>
      <c r="S121" s="49" t="n"/>
      <c r="T121" s="49" t="n"/>
      <c r="U121" s="49" t="n"/>
      <c r="V121" s="49" t="n"/>
      <c r="W121" s="49" t="n">
        <v>233.022067</v>
      </c>
      <c r="X121" s="49" t="n">
        <v>44236</v>
      </c>
      <c r="Y121" s="46">
        <f>IF(AND( C72="Buy", W72&lt;&gt;"", AA72&lt;&gt;"", B72&lt;&gt;"DIV"), Z72/sum(F72:I72), "")</f>
        <v/>
      </c>
      <c r="Z121" s="49">
        <f>(1-Index!$F$2*2)*((W72*D72)-(E72*D72))</f>
        <v/>
      </c>
      <c r="AA121" s="49">
        <f>((E72*D72)+Z72)</f>
        <v/>
      </c>
      <c r="AB121" s="50">
        <f>D72</f>
        <v/>
      </c>
      <c r="AC121" s="49" t="n"/>
      <c r="AD121" s="59" t="inlineStr">
        <is>
          <t>SBI Securities</t>
        </is>
      </c>
    </row>
    <row r="122">
      <c r="A122" s="64" t="n">
        <v>43921</v>
      </c>
      <c r="B122" s="65" t="inlineStr">
        <is>
          <t>NSE</t>
        </is>
      </c>
      <c r="C122" s="65" t="inlineStr">
        <is>
          <t>Buy</t>
        </is>
      </c>
      <c r="D122" s="66" t="n">
        <v>10</v>
      </c>
      <c r="E122" s="42" t="n">
        <v>167.896</v>
      </c>
      <c r="F122" s="67" t="n">
        <v>1690.84</v>
      </c>
      <c r="G122" s="65" t="inlineStr">
        <is>
          <t>~</t>
        </is>
      </c>
      <c r="H122" s="68" t="n">
        <v>1.69</v>
      </c>
      <c r="I122" s="66" t="n">
        <v>10.15</v>
      </c>
      <c r="J122" s="42">
        <f>Index!$C$2</f>
        <v/>
      </c>
      <c r="K122" s="49" t="n"/>
      <c r="L122" s="49">
        <f>IF(AND( C73="Buy", ISBLANK(W73), B73&lt;&gt;"DIV"), ((J73*D73)-(E73*D73)+I73), "")</f>
        <v/>
      </c>
      <c r="M122" s="60">
        <f>IF(AND( C73="Buy", ISBLANK(W73), B73&lt;&gt;"DIV"), J73*D73, "")</f>
        <v/>
      </c>
      <c r="N122" s="61">
        <f>IF(AND( C73="Buy", ISBLANK(W73), B73&lt;&gt;"DIV"), D73, "")</f>
        <v/>
      </c>
      <c r="O122" s="62" t="n"/>
      <c r="P122" s="49" t="n"/>
      <c r="Q122" s="49" t="n"/>
      <c r="R122" s="49" t="n"/>
      <c r="S122" s="49" t="n"/>
      <c r="T122" s="49" t="n"/>
      <c r="U122" s="49" t="n"/>
      <c r="V122" s="49" t="n"/>
      <c r="W122" s="49" t="n">
        <v>233.022067</v>
      </c>
      <c r="X122" s="49" t="n">
        <v>44236</v>
      </c>
      <c r="Y122" s="46">
        <f>IF(AND( C73="Buy", W73&lt;&gt;"", AA73&lt;&gt;"", B73&lt;&gt;"DIV"), Z73/sum(F73:I73), "")</f>
        <v/>
      </c>
      <c r="Z122" s="49">
        <f>(1-Index!$F$2*2)*((W73*D73)-(E73*D73))</f>
        <v/>
      </c>
      <c r="AA122" s="49">
        <f>((E73*D73)+Z73)</f>
        <v/>
      </c>
      <c r="AB122" s="50">
        <f>D73</f>
        <v/>
      </c>
      <c r="AC122" s="49" t="n"/>
      <c r="AD122" s="59" t="inlineStr">
        <is>
          <t>SBI Securities</t>
        </is>
      </c>
    </row>
    <row r="123">
      <c r="A123" s="64" t="n">
        <v>43879</v>
      </c>
      <c r="B123" s="65" t="inlineStr">
        <is>
          <t>NSE</t>
        </is>
      </c>
      <c r="C123" s="65" t="inlineStr">
        <is>
          <t>Buy</t>
        </is>
      </c>
      <c r="D123" s="66" t="n">
        <v>20</v>
      </c>
      <c r="E123" s="42" t="n">
        <v>201.1475</v>
      </c>
      <c r="F123" s="67" t="n">
        <v>4051.25</v>
      </c>
      <c r="G123" s="65" t="inlineStr">
        <is>
          <t>~</t>
        </is>
      </c>
      <c r="H123" s="68" t="n">
        <v>4.01</v>
      </c>
      <c r="I123" s="66" t="n">
        <v>24.24</v>
      </c>
      <c r="J123" s="42">
        <f>Index!$C$2</f>
        <v/>
      </c>
      <c r="K123" s="49" t="n"/>
      <c r="L123" s="49">
        <f>IF(AND( C74="Buy", ISBLANK(W74), B74&lt;&gt;"DIV"), ((J74*D74)-(E74*D74)+I74), "")</f>
        <v/>
      </c>
      <c r="M123" s="60">
        <f>IF(AND( C74="Buy", ISBLANK(W74), B74&lt;&gt;"DIV"), J74*D74, "")</f>
        <v/>
      </c>
      <c r="N123" s="61">
        <f>IF(AND( C74="Buy", ISBLANK(W74), B74&lt;&gt;"DIV"), D74, "")</f>
        <v/>
      </c>
      <c r="O123" s="62" t="n"/>
      <c r="P123" s="49" t="n"/>
      <c r="Q123" s="49" t="n"/>
      <c r="R123" s="49" t="n"/>
      <c r="S123" s="49" t="n"/>
      <c r="T123" s="49" t="n"/>
      <c r="U123" s="49" t="n"/>
      <c r="V123" s="49" t="n"/>
      <c r="W123" s="49" t="n">
        <v>233.022067</v>
      </c>
      <c r="X123" s="49" t="n">
        <v>44236</v>
      </c>
      <c r="Y123" s="46">
        <f>IF(AND( C74="Buy", W74&lt;&gt;"", AA74&lt;&gt;"", B74&lt;&gt;"DIV"), Z74/sum(F74:I74), "")</f>
        <v/>
      </c>
      <c r="Z123" s="49">
        <f>(1-Index!$F$2*2)*((W74*D74)-(E74*D74))</f>
        <v/>
      </c>
      <c r="AA123" s="49">
        <f>((E74*D74)+Z74)</f>
        <v/>
      </c>
      <c r="AB123" s="50">
        <f>D74</f>
        <v/>
      </c>
      <c r="AC123" s="49" t="n"/>
      <c r="AD123" s="59" t="inlineStr">
        <is>
          <t>SBI Securities</t>
        </is>
      </c>
    </row>
    <row r="124">
      <c r="A124" s="64" t="n">
        <v>43865</v>
      </c>
      <c r="B124" s="65" t="inlineStr">
        <is>
          <t>NSE</t>
        </is>
      </c>
      <c r="C124" s="65" t="inlineStr">
        <is>
          <t>Buy</t>
        </is>
      </c>
      <c r="D124" s="66" t="n">
        <v>10</v>
      </c>
      <c r="E124" s="42" t="n">
        <v>213.852</v>
      </c>
      <c r="F124" s="67" t="n">
        <v>2153.58</v>
      </c>
      <c r="G124" s="65" t="inlineStr">
        <is>
          <t>~</t>
        </is>
      </c>
      <c r="H124" s="68" t="n">
        <v>2.19</v>
      </c>
      <c r="I124" s="66" t="n">
        <v>12.89</v>
      </c>
      <c r="J124" s="42">
        <f>Index!$C$2</f>
        <v/>
      </c>
      <c r="K124" s="49" t="n"/>
      <c r="L124" s="49">
        <f>IF(AND( C75="Buy", ISBLANK(W75), B75&lt;&gt;"DIV"), ((J75*D75)-(E75*D75)+I75), "")</f>
        <v/>
      </c>
      <c r="M124" s="60">
        <f>IF(AND( C75="Buy", ISBLANK(W75), B75&lt;&gt;"DIV"), J75*D75, "")</f>
        <v/>
      </c>
      <c r="N124" s="61">
        <f>IF(AND( C75="Buy", ISBLANK(W75), B75&lt;&gt;"DIV"), D75, "")</f>
        <v/>
      </c>
      <c r="O124" s="62" t="n"/>
      <c r="P124" s="49" t="n"/>
      <c r="Q124" s="49" t="n"/>
      <c r="R124" s="49" t="n"/>
      <c r="S124" s="49" t="n"/>
      <c r="T124" s="49" t="n"/>
      <c r="U124" s="49" t="n"/>
      <c r="V124" s="49" t="n"/>
      <c r="W124" s="49" t="n">
        <v>233.022067</v>
      </c>
      <c r="X124" s="49" t="n">
        <v>44236</v>
      </c>
      <c r="Y124" s="46">
        <f>IF(AND( C75="Buy", W75&lt;&gt;"", AA75&lt;&gt;"", B75&lt;&gt;"DIV"), Z75/sum(F75:I75), "")</f>
        <v/>
      </c>
      <c r="Z124" s="49">
        <f>(1-Index!$F$2*2)*((W75*D75)-(E75*D75))</f>
        <v/>
      </c>
      <c r="AA124" s="49">
        <f>((E75*D75)+Z75)</f>
        <v/>
      </c>
      <c r="AB124" s="50">
        <f>D75</f>
        <v/>
      </c>
      <c r="AC124" s="49" t="n"/>
      <c r="AD124" s="59" t="inlineStr">
        <is>
          <t>SBI Securities</t>
        </is>
      </c>
    </row>
    <row r="125">
      <c r="A125" s="64" t="n">
        <v>43864</v>
      </c>
      <c r="B125" s="65" t="inlineStr">
        <is>
          <t>NSE</t>
        </is>
      </c>
      <c r="C125" s="65" t="inlineStr">
        <is>
          <t>Buy</t>
        </is>
      </c>
      <c r="D125" s="66" t="n">
        <v>20</v>
      </c>
      <c r="E125" s="42" t="n">
        <v>205.6455</v>
      </c>
      <c r="F125" s="67" t="n">
        <v>4141.89</v>
      </c>
      <c r="G125" s="65" t="inlineStr">
        <is>
          <t>~</t>
        </is>
      </c>
      <c r="H125" s="68" t="n">
        <v>4.11</v>
      </c>
      <c r="I125" s="66" t="n">
        <v>24.78</v>
      </c>
      <c r="J125" s="42">
        <f>Index!$C$2</f>
        <v/>
      </c>
      <c r="K125" s="49" t="n"/>
      <c r="L125" s="49">
        <f>IF(AND( C76="Buy", ISBLANK(W76), B76&lt;&gt;"DIV"), ((J76*D76)-(E76*D76)+I76), "")</f>
        <v/>
      </c>
      <c r="M125" s="60">
        <f>IF(AND( C76="Buy", ISBLANK(W76), B76&lt;&gt;"DIV"), J76*D76, "")</f>
        <v/>
      </c>
      <c r="N125" s="61">
        <f>IF(AND( C76="Buy", ISBLANK(W76), B76&lt;&gt;"DIV"), D76, "")</f>
        <v/>
      </c>
      <c r="O125" s="62" t="n"/>
      <c r="P125" s="49" t="n"/>
      <c r="Q125" s="49" t="n"/>
      <c r="R125" s="49" t="n"/>
      <c r="S125" s="49" t="n"/>
      <c r="T125" s="49" t="n"/>
      <c r="U125" s="49" t="n"/>
      <c r="V125" s="49" t="n"/>
      <c r="W125" s="49" t="n">
        <v>233.022067</v>
      </c>
      <c r="X125" s="49" t="n">
        <v>44236</v>
      </c>
      <c r="Y125" s="46">
        <f>IF(AND( C76="Buy", W76&lt;&gt;"", AA76&lt;&gt;"", B76&lt;&gt;"DIV"), Z76/sum(F76:I76), "")</f>
        <v/>
      </c>
      <c r="Z125" s="49">
        <f>(1-Index!$F$2*2)*((W76*D76)-(E76*D76))</f>
        <v/>
      </c>
      <c r="AA125" s="49">
        <f>((E76*D76)+Z76)</f>
        <v/>
      </c>
      <c r="AB125" s="50">
        <f>D76</f>
        <v/>
      </c>
      <c r="AC125" s="49" t="n"/>
      <c r="AD125" s="59" t="inlineStr">
        <is>
          <t>SBI Securities</t>
        </is>
      </c>
    </row>
    <row r="126">
      <c r="A126" s="64" t="n">
        <v>43860</v>
      </c>
      <c r="B126" s="65" t="inlineStr">
        <is>
          <t>NSE</t>
        </is>
      </c>
      <c r="C126" s="65" t="inlineStr">
        <is>
          <t>Buy</t>
        </is>
      </c>
      <c r="D126" s="66" t="n">
        <v>10</v>
      </c>
      <c r="E126" s="42" t="n">
        <v>234.898</v>
      </c>
      <c r="F126" s="67" t="n">
        <v>2365.42</v>
      </c>
      <c r="G126" s="65" t="inlineStr">
        <is>
          <t>~</t>
        </is>
      </c>
      <c r="H126" s="68" t="n">
        <v>2.3</v>
      </c>
      <c r="I126" s="66" t="n">
        <v>14.12</v>
      </c>
      <c r="J126" s="42">
        <f>Index!$C$2</f>
        <v/>
      </c>
      <c r="K126" s="49" t="n"/>
      <c r="L126" s="49">
        <f>IF(AND( C77="Buy", ISBLANK(W77), B77&lt;&gt;"DIV"), ((J77*D77)-(E77*D77)+I77), "")</f>
        <v/>
      </c>
      <c r="M126" s="60">
        <f>IF(AND( C77="Buy", ISBLANK(W77), B77&lt;&gt;"DIV"), J77*D77, "")</f>
        <v/>
      </c>
      <c r="N126" s="61">
        <f>IF(AND( C77="Buy", ISBLANK(W77), B77&lt;&gt;"DIV"), D77, "")</f>
        <v/>
      </c>
      <c r="O126" s="62" t="n"/>
      <c r="P126" s="49" t="n"/>
      <c r="Q126" s="49" t="n"/>
      <c r="R126" s="49" t="n"/>
      <c r="S126" s="49" t="n"/>
      <c r="T126" s="49" t="n"/>
      <c r="U126" s="49" t="n"/>
      <c r="V126" s="49" t="n"/>
      <c r="W126" s="49" t="n">
        <v>233.022067</v>
      </c>
      <c r="X126" s="49" t="n">
        <v>44236</v>
      </c>
      <c r="Y126" s="46">
        <f>IF(AND( C77="Buy", W77&lt;&gt;"", AA77&lt;&gt;"", B77&lt;&gt;"DIV"), Z77/sum(F77:I77), "")</f>
        <v/>
      </c>
      <c r="Z126" s="49">
        <f>(1-Index!$F$2*2)*((W77*D77)-(E77*D77))</f>
        <v/>
      </c>
      <c r="AA126" s="49">
        <f>((E77*D77)+Z77)</f>
        <v/>
      </c>
      <c r="AB126" s="50">
        <f>D77</f>
        <v/>
      </c>
      <c r="AC126" s="49" t="n"/>
      <c r="AD126" s="59" t="inlineStr">
        <is>
          <t>SBI Securities</t>
        </is>
      </c>
    </row>
    <row r="127">
      <c r="A127" s="64" t="n">
        <v>43846</v>
      </c>
      <c r="B127" s="65" t="inlineStr">
        <is>
          <t>NSE</t>
        </is>
      </c>
      <c r="C127" s="65" t="inlineStr">
        <is>
          <t>Buy</t>
        </is>
      </c>
      <c r="D127" s="66" t="n">
        <v>10</v>
      </c>
      <c r="E127" s="42" t="n">
        <v>243.003</v>
      </c>
      <c r="F127" s="67" t="n">
        <v>2447.17</v>
      </c>
      <c r="G127" s="65" t="inlineStr">
        <is>
          <t>~</t>
        </is>
      </c>
      <c r="H127" s="68" t="n">
        <v>2.48</v>
      </c>
      <c r="I127" s="66" t="n">
        <v>14.69</v>
      </c>
      <c r="J127" s="42">
        <f>Index!$C$2</f>
        <v/>
      </c>
      <c r="K127" s="49" t="n"/>
      <c r="L127" s="49">
        <f>IF(AND( C78="Buy", ISBLANK(W78), B78&lt;&gt;"DIV"), ((J78*D78)-(E78*D78)+I78), "")</f>
        <v/>
      </c>
      <c r="M127" s="60">
        <f>IF(AND( C78="Buy", ISBLANK(W78), B78&lt;&gt;"DIV"), J78*D78, "")</f>
        <v/>
      </c>
      <c r="N127" s="61">
        <f>IF(AND( C78="Buy", ISBLANK(W78), B78&lt;&gt;"DIV"), D78, "")</f>
        <v/>
      </c>
      <c r="O127" s="62" t="n"/>
      <c r="P127" s="49" t="n"/>
      <c r="Q127" s="49" t="n"/>
      <c r="R127" s="49" t="n"/>
      <c r="S127" s="49" t="n"/>
      <c r="T127" s="49" t="n"/>
      <c r="U127" s="49" t="n"/>
      <c r="V127" s="49" t="n"/>
      <c r="W127" s="49" t="n">
        <v>233.022067</v>
      </c>
      <c r="X127" s="49" t="n">
        <v>44236</v>
      </c>
      <c r="Y127" s="46">
        <f>IF(AND( C78="Buy", W78&lt;&gt;"", AA78&lt;&gt;"", B78&lt;&gt;"DIV"), Z78/sum(F78:I78), "")</f>
        <v/>
      </c>
      <c r="Z127" s="49">
        <f>(1-Index!$F$2*2)*((W78*D78)-(E78*D78))</f>
        <v/>
      </c>
      <c r="AA127" s="49">
        <f>((E78*D78)+Z78)</f>
        <v/>
      </c>
      <c r="AB127" s="50">
        <f>D78</f>
        <v/>
      </c>
      <c r="AC127" s="49" t="n"/>
      <c r="AD127" s="59" t="inlineStr">
        <is>
          <t>SBI Securities</t>
        </is>
      </c>
    </row>
    <row r="128">
      <c r="A128" s="64" t="n">
        <v>43845</v>
      </c>
      <c r="B128" s="65" t="inlineStr">
        <is>
          <t>NSE</t>
        </is>
      </c>
      <c r="C128" s="65" t="inlineStr">
        <is>
          <t>Buy</t>
        </is>
      </c>
      <c r="D128" s="66" t="n">
        <v>10</v>
      </c>
      <c r="E128" s="42" t="n">
        <v>242.049</v>
      </c>
      <c r="F128" s="67" t="n">
        <v>2437.51</v>
      </c>
      <c r="G128" s="65" t="inlineStr">
        <is>
          <t>~</t>
        </is>
      </c>
      <c r="H128" s="68" t="n">
        <v>2.44</v>
      </c>
      <c r="I128" s="66" t="n">
        <v>14.57</v>
      </c>
      <c r="J128" s="42">
        <f>Index!$C$2</f>
        <v/>
      </c>
      <c r="K128" s="49" t="n"/>
      <c r="L128" s="49">
        <f>IF(AND( C79="Buy", ISBLANK(W79), B79&lt;&gt;"DIV"), ((J79*D79)-(E79*D79)+I79), "")</f>
        <v/>
      </c>
      <c r="M128" s="60">
        <f>IF(AND( C79="Buy", ISBLANK(W79), B79&lt;&gt;"DIV"), J79*D79, "")</f>
        <v/>
      </c>
      <c r="N128" s="61">
        <f>IF(AND( C79="Buy", ISBLANK(W79), B79&lt;&gt;"DIV"), D79, "")</f>
        <v/>
      </c>
      <c r="O128" s="62" t="n"/>
      <c r="P128" s="49" t="n"/>
      <c r="Q128" s="49" t="n"/>
      <c r="R128" s="49" t="n"/>
      <c r="S128" s="49" t="n"/>
      <c r="T128" s="49" t="n"/>
      <c r="U128" s="49" t="n"/>
      <c r="V128" s="49" t="n"/>
      <c r="W128" s="49" t="n">
        <v>233.022067</v>
      </c>
      <c r="X128" s="49" t="n">
        <v>44236</v>
      </c>
      <c r="Y128" s="46">
        <f>IF(AND( C79="Buy", W79&lt;&gt;"", AA79&lt;&gt;"", B79&lt;&gt;"DIV"), Z79/sum(F79:I79), "")</f>
        <v/>
      </c>
      <c r="Z128" s="49">
        <f>(1-Index!$F$2*2)*((W79*D79)-(E79*D79))</f>
        <v/>
      </c>
      <c r="AA128" s="49">
        <f>((E79*D79)+Z79)</f>
        <v/>
      </c>
      <c r="AB128" s="50">
        <f>D79</f>
        <v/>
      </c>
      <c r="AC128" s="49" t="n"/>
      <c r="AD128" s="59" t="inlineStr">
        <is>
          <t>SBI Securities</t>
        </is>
      </c>
    </row>
    <row r="129">
      <c r="A129" s="64" t="n">
        <v>43844</v>
      </c>
      <c r="B129" s="65" t="inlineStr">
        <is>
          <t>NSE</t>
        </is>
      </c>
      <c r="C129" s="65" t="inlineStr">
        <is>
          <t>Buy</t>
        </is>
      </c>
      <c r="D129" s="66" t="n">
        <v>20</v>
      </c>
      <c r="E129" s="42" t="n">
        <v>240.1465</v>
      </c>
      <c r="F129" s="67" t="n">
        <v>4836.67</v>
      </c>
      <c r="G129" s="65" t="inlineStr">
        <is>
          <t>~</t>
        </is>
      </c>
      <c r="H129" s="68" t="n">
        <v>4.78</v>
      </c>
      <c r="I129" s="66" t="n">
        <v>28.89</v>
      </c>
      <c r="J129" s="42">
        <f>Index!$C$2</f>
        <v/>
      </c>
      <c r="K129" s="49" t="n"/>
      <c r="L129" s="49">
        <f>IF(AND( C80="Buy", ISBLANK(W80), B80&lt;&gt;"DIV"), ((J80*D80)-(E80*D80)+I80), "")</f>
        <v/>
      </c>
      <c r="M129" s="60">
        <f>IF(AND( C80="Buy", ISBLANK(W80), B80&lt;&gt;"DIV"), J80*D80, "")</f>
        <v/>
      </c>
      <c r="N129" s="61">
        <f>IF(AND( C80="Buy", ISBLANK(W80), B80&lt;&gt;"DIV"), D80, "")</f>
        <v/>
      </c>
      <c r="O129" s="62" t="n"/>
      <c r="P129" s="49" t="n"/>
      <c r="Q129" s="49" t="n"/>
      <c r="R129" s="49" t="n"/>
      <c r="S129" s="49" t="n"/>
      <c r="T129" s="49" t="n"/>
      <c r="U129" s="49" t="n"/>
      <c r="V129" s="49" t="n"/>
      <c r="W129" s="49" t="n">
        <v>233.022067</v>
      </c>
      <c r="X129" s="49" t="n">
        <v>44236</v>
      </c>
      <c r="Y129" s="46">
        <f>IF(AND( C80="Buy", W80&lt;&gt;"", AA80&lt;&gt;"", B80&lt;&gt;"DIV"), Z80/sum(F80:I80), "")</f>
        <v/>
      </c>
      <c r="Z129" s="49">
        <f>(1-Index!$F$2*2)*((W80*D80)-(E80*D80))</f>
        <v/>
      </c>
      <c r="AA129" s="49">
        <f>((E80*D80)+Z80)</f>
        <v/>
      </c>
      <c r="AB129" s="50">
        <f>D80</f>
        <v/>
      </c>
      <c r="AC129" s="49" t="n"/>
      <c r="AD129" s="59" t="inlineStr">
        <is>
          <t>SBI Securities</t>
        </is>
      </c>
    </row>
    <row r="130">
      <c r="A130" s="64" t="n">
        <v>43837</v>
      </c>
      <c r="B130" s="65" t="inlineStr">
        <is>
          <t>NSE</t>
        </is>
      </c>
      <c r="C130" s="65" t="inlineStr">
        <is>
          <t>Buy</t>
        </is>
      </c>
      <c r="D130" s="66" t="n">
        <v>30</v>
      </c>
      <c r="E130" s="42" t="n">
        <v>236.249</v>
      </c>
      <c r="F130" s="67" t="n">
        <v>7132.83</v>
      </c>
      <c r="G130" s="65" t="inlineStr">
        <is>
          <t>~</t>
        </is>
      </c>
      <c r="H130" s="68" t="n">
        <v>2.81</v>
      </c>
      <c r="I130" s="66" t="n">
        <v>42.52</v>
      </c>
      <c r="J130" s="42">
        <f>Index!$C$2</f>
        <v/>
      </c>
      <c r="K130" s="49" t="n"/>
      <c r="L130" s="49">
        <f>IF(AND( C81="Buy", ISBLANK(W81), B81&lt;&gt;"DIV"), ((J81*D81)-(E81*D81)+I81), "")</f>
        <v/>
      </c>
      <c r="M130" s="60">
        <f>IF(AND( C81="Buy", ISBLANK(W81), B81&lt;&gt;"DIV"), J81*D81, "")</f>
        <v/>
      </c>
      <c r="N130" s="61">
        <f>IF(AND( C81="Buy", ISBLANK(W81), B81&lt;&gt;"DIV"), D81, "")</f>
        <v/>
      </c>
      <c r="O130" s="62" t="n"/>
      <c r="P130" s="49" t="n"/>
      <c r="Q130" s="49" t="n"/>
      <c r="R130" s="49" t="n"/>
      <c r="S130" s="49" t="n"/>
      <c r="T130" s="49" t="n"/>
      <c r="U130" s="49" t="n"/>
      <c r="V130" s="49" t="n"/>
      <c r="W130" s="49" t="n">
        <v>233.022067</v>
      </c>
      <c r="X130" s="49" t="n">
        <v>44236</v>
      </c>
      <c r="Y130" s="46">
        <f>IF(AND( C81="Buy", W81&lt;&gt;"", AA81&lt;&gt;"", B81&lt;&gt;"DIV"), Z81/sum(F81:I81), "")</f>
        <v/>
      </c>
      <c r="Z130" s="49">
        <f>(1-Index!$F$2*2)*((W81*D81)-(E81*D81))</f>
        <v/>
      </c>
      <c r="AA130" s="49">
        <f>((E81*D81)+Z81)</f>
        <v/>
      </c>
      <c r="AB130" s="50">
        <f>D81</f>
        <v/>
      </c>
      <c r="AC130" s="49" t="n"/>
      <c r="AD130" s="59" t="inlineStr">
        <is>
          <t>SBI Securities</t>
        </is>
      </c>
    </row>
    <row r="131">
      <c r="A131" s="64" t="n">
        <v>43832</v>
      </c>
      <c r="B131" s="65" t="inlineStr">
        <is>
          <t>NSE</t>
        </is>
      </c>
      <c r="C131" s="65" t="inlineStr">
        <is>
          <t>Buy</t>
        </is>
      </c>
      <c r="D131" s="66" t="n">
        <v>20</v>
      </c>
      <c r="E131" s="42" t="n">
        <v>239.3525</v>
      </c>
      <c r="F131" s="67" t="n">
        <v>4820.55</v>
      </c>
      <c r="G131" s="65" t="inlineStr">
        <is>
          <t>~</t>
        </is>
      </c>
      <c r="H131" s="68" t="n">
        <v>4.71</v>
      </c>
      <c r="I131" s="66" t="n">
        <v>28.84</v>
      </c>
      <c r="J131" s="42">
        <f>Index!$C$2</f>
        <v/>
      </c>
      <c r="K131" s="49" t="n"/>
      <c r="L131" s="49">
        <f>IF(AND( C82="Buy", ISBLANK(W82), B82&lt;&gt;"DIV"), ((J82*D82)-(E82*D82)+I82), "")</f>
        <v/>
      </c>
      <c r="M131" s="60">
        <f>IF(AND( C82="Buy", ISBLANK(W82), B82&lt;&gt;"DIV"), J82*D82, "")</f>
        <v/>
      </c>
      <c r="N131" s="61">
        <f>IF(AND( C82="Buy", ISBLANK(W82), B82&lt;&gt;"DIV"), D82, "")</f>
        <v/>
      </c>
      <c r="O131" s="62" t="n"/>
      <c r="P131" s="49" t="n"/>
      <c r="Q131" s="49" t="n"/>
      <c r="R131" s="49" t="n"/>
      <c r="S131" s="49" t="n"/>
      <c r="T131" s="49" t="n"/>
      <c r="U131" s="49" t="n"/>
      <c r="V131" s="49" t="n"/>
      <c r="W131" s="49" t="n">
        <v>233.022067</v>
      </c>
      <c r="X131" s="49" t="n">
        <v>44236</v>
      </c>
      <c r="Y131" s="46">
        <f>IF(AND( C82="Buy", W82&lt;&gt;"", AA82&lt;&gt;"", B82&lt;&gt;"DIV"), Z82/sum(F82:I82), "")</f>
        <v/>
      </c>
      <c r="Z131" s="49">
        <f>(1-Index!$F$2*2)*((W82*D82)-(E82*D82))</f>
        <v/>
      </c>
      <c r="AA131" s="49">
        <f>((E82*D82)+Z82)</f>
        <v/>
      </c>
      <c r="AB131" s="50">
        <f>D82</f>
        <v/>
      </c>
      <c r="AC131" s="49" t="n"/>
      <c r="AD131" s="59" t="inlineStr">
        <is>
          <t>SBI Securities</t>
        </is>
      </c>
    </row>
    <row r="132">
      <c r="A132" s="64" t="n">
        <v>43831</v>
      </c>
      <c r="B132" s="65" t="inlineStr">
        <is>
          <t>NSE</t>
        </is>
      </c>
      <c r="C132" s="65" t="inlineStr">
        <is>
          <t>Buy</t>
        </is>
      </c>
      <c r="D132" s="66" t="n">
        <v>10</v>
      </c>
      <c r="E132" s="42" t="n">
        <v>237.451</v>
      </c>
      <c r="F132" s="67" t="n">
        <v>2391.19</v>
      </c>
      <c r="G132" s="65" t="inlineStr">
        <is>
          <t>~</t>
        </is>
      </c>
      <c r="H132" s="68" t="n">
        <v>2.39</v>
      </c>
      <c r="I132" s="66" t="n">
        <v>14.3</v>
      </c>
      <c r="J132" s="42">
        <f>Index!$C$2</f>
        <v/>
      </c>
      <c r="K132" s="49" t="n"/>
      <c r="L132" s="49">
        <f>IF(AND( C83="Buy", ISBLANK(W83), B83&lt;&gt;"DIV"), ((J83*D83)-(E83*D83)+I83), "")</f>
        <v/>
      </c>
      <c r="M132" s="60">
        <f>IF(AND( C83="Buy", ISBLANK(W83), B83&lt;&gt;"DIV"), J83*D83, "")</f>
        <v/>
      </c>
      <c r="N132" s="61">
        <f>IF(AND( C83="Buy", ISBLANK(W83), B83&lt;&gt;"DIV"), D83, "")</f>
        <v/>
      </c>
      <c r="O132" s="62" t="n"/>
      <c r="P132" s="49" t="n"/>
      <c r="Q132" s="49" t="n"/>
      <c r="R132" s="49" t="n"/>
      <c r="S132" s="49" t="n"/>
      <c r="T132" s="49" t="n"/>
      <c r="U132" s="49" t="n"/>
      <c r="V132" s="49" t="n"/>
      <c r="W132" s="49" t="n">
        <v>233.022067</v>
      </c>
      <c r="X132" s="49" t="n">
        <v>44236</v>
      </c>
      <c r="Y132" s="46">
        <f>IF(AND( C83="Buy", W83&lt;&gt;"", AA83&lt;&gt;"", B83&lt;&gt;"DIV"), Z83/sum(F83:I83), "")</f>
        <v/>
      </c>
      <c r="Z132" s="49">
        <f>(1-Index!$F$2*2)*((W83*D83)-(E83*D83))</f>
        <v/>
      </c>
      <c r="AA132" s="49">
        <f>((E83*D83)+Z83)</f>
        <v/>
      </c>
      <c r="AB132" s="50">
        <f>D83</f>
        <v/>
      </c>
      <c r="AC132" s="49" t="n"/>
      <c r="AD132" s="59" t="inlineStr">
        <is>
          <t>SBI Securities</t>
        </is>
      </c>
    </row>
    <row r="133">
      <c r="A133" s="64" t="n">
        <v>43823</v>
      </c>
      <c r="B133" s="65" t="inlineStr">
        <is>
          <t>NSE</t>
        </is>
      </c>
      <c r="C133" s="65" t="inlineStr">
        <is>
          <t>Buy</t>
        </is>
      </c>
      <c r="D133" s="66" t="n">
        <v>10</v>
      </c>
      <c r="E133" s="42" t="n">
        <v>238.848</v>
      </c>
      <c r="F133" s="67" t="n">
        <v>2405.22</v>
      </c>
      <c r="G133" s="65" t="inlineStr">
        <is>
          <t>~</t>
        </is>
      </c>
      <c r="H133" s="68" t="n">
        <v>2.39</v>
      </c>
      <c r="I133" s="66" t="n">
        <v>14.33</v>
      </c>
      <c r="J133" s="42">
        <f>Index!$C$2</f>
        <v/>
      </c>
      <c r="K133" s="49" t="n"/>
      <c r="L133" s="49">
        <f>IF(AND( C84="Buy", ISBLANK(W84), B84&lt;&gt;"DIV"), ((J84*D84)-(E84*D84)+I84), "")</f>
        <v/>
      </c>
      <c r="M133" s="60">
        <f>IF(AND( C84="Buy", ISBLANK(W84), B84&lt;&gt;"DIV"), J84*D84, "")</f>
        <v/>
      </c>
      <c r="N133" s="61">
        <f>IF(AND( C84="Buy", ISBLANK(W84), B84&lt;&gt;"DIV"), D84, "")</f>
        <v/>
      </c>
      <c r="O133" s="62" t="n"/>
      <c r="P133" s="49" t="n"/>
      <c r="Q133" s="49" t="n"/>
      <c r="R133" s="49" t="n"/>
      <c r="S133" s="49" t="n"/>
      <c r="T133" s="49" t="n"/>
      <c r="U133" s="49" t="n"/>
      <c r="V133" s="49" t="n"/>
      <c r="W133" s="49" t="n">
        <v>233.022067</v>
      </c>
      <c r="X133" s="49" t="n">
        <v>44236</v>
      </c>
      <c r="Y133" s="46">
        <f>IF(AND( C84="Buy", W84&lt;&gt;"", AA84&lt;&gt;"", B84&lt;&gt;"DIV"), Z84/sum(F84:I84), "")</f>
        <v/>
      </c>
      <c r="Z133" s="49">
        <f>(1-Index!$F$2*2)*((W84*D84)-(E84*D84))</f>
        <v/>
      </c>
      <c r="AA133" s="49">
        <f>((E84*D84)+Z84)</f>
        <v/>
      </c>
      <c r="AB133" s="50">
        <f>D84</f>
        <v/>
      </c>
      <c r="AC133" s="49" t="n"/>
      <c r="AD133" s="59" t="inlineStr">
        <is>
          <t>SBI Securities</t>
        </is>
      </c>
    </row>
    <row r="134">
      <c r="A134" s="64" t="n">
        <v>43822</v>
      </c>
      <c r="B134" s="65" t="inlineStr">
        <is>
          <t>NSE</t>
        </is>
      </c>
      <c r="C134" s="65" t="inlineStr">
        <is>
          <t>Buy</t>
        </is>
      </c>
      <c r="D134" s="66" t="n">
        <v>10</v>
      </c>
      <c r="E134" s="42" t="n">
        <v>239.005</v>
      </c>
      <c r="F134" s="67" t="n">
        <v>2406.85</v>
      </c>
      <c r="G134" s="65" t="inlineStr">
        <is>
          <t>~</t>
        </is>
      </c>
      <c r="H134" s="68" t="n">
        <v>2.41</v>
      </c>
      <c r="I134" s="66" t="n">
        <v>14.44</v>
      </c>
      <c r="J134" s="42">
        <f>Index!$C$2</f>
        <v/>
      </c>
      <c r="K134" s="49" t="n"/>
      <c r="L134" s="49">
        <f>IF(AND( C85="Buy", ISBLANK(W85), B85&lt;&gt;"DIV"), ((J85*D85)-(E85*D85)+I85), "")</f>
        <v/>
      </c>
      <c r="M134" s="60">
        <f>IF(AND( C85="Buy", ISBLANK(W85), B85&lt;&gt;"DIV"), J85*D85, "")</f>
        <v/>
      </c>
      <c r="N134" s="61">
        <f>IF(AND( C85="Buy", ISBLANK(W85), B85&lt;&gt;"DIV"), D85, "")</f>
        <v/>
      </c>
      <c r="O134" s="62" t="n"/>
      <c r="P134" s="49" t="n"/>
      <c r="Q134" s="49" t="n"/>
      <c r="R134" s="49" t="n"/>
      <c r="S134" s="49" t="n"/>
      <c r="T134" s="49" t="n"/>
      <c r="U134" s="49" t="n"/>
      <c r="V134" s="49" t="n"/>
      <c r="W134" s="49" t="n">
        <v>233.022067</v>
      </c>
      <c r="X134" s="49" t="n">
        <v>44236</v>
      </c>
      <c r="Y134" s="46">
        <f>IF(AND( C85="Buy", W85&lt;&gt;"", AA85&lt;&gt;"", B85&lt;&gt;"DIV"), Z85/sum(F85:I85), "")</f>
        <v/>
      </c>
      <c r="Z134" s="49">
        <f>(1-Index!$F$2*2)*((W85*D85)-(E85*D85))</f>
        <v/>
      </c>
      <c r="AA134" s="49">
        <f>((E85*D85)+Z85)</f>
        <v/>
      </c>
      <c r="AB134" s="50">
        <f>D85</f>
        <v/>
      </c>
      <c r="AC134" s="49" t="n"/>
      <c r="AD134" s="59" t="inlineStr">
        <is>
          <t>SBI Securities</t>
        </is>
      </c>
    </row>
    <row r="135">
      <c r="A135" s="64" t="n">
        <v>43819</v>
      </c>
      <c r="B135" s="65" t="inlineStr">
        <is>
          <t>NSE</t>
        </is>
      </c>
      <c r="C135" s="65" t="inlineStr">
        <is>
          <t>Buy</t>
        </is>
      </c>
      <c r="D135" s="66" t="n">
        <v>10</v>
      </c>
      <c r="E135" s="42" t="n">
        <v>243.005</v>
      </c>
      <c r="F135" s="67" t="n">
        <v>2447.15</v>
      </c>
      <c r="G135" s="65" t="inlineStr">
        <is>
          <t>~</t>
        </is>
      </c>
      <c r="H135" s="68" t="n">
        <v>2.45</v>
      </c>
      <c r="I135" s="66" t="n">
        <v>14.7</v>
      </c>
      <c r="J135" s="42">
        <f>Index!$C$2</f>
        <v/>
      </c>
      <c r="K135" s="49" t="n"/>
      <c r="L135" s="49">
        <f>IF(AND( C86="Buy", ISBLANK(W86), B86&lt;&gt;"DIV"), ((J86*D86)-(E86*D86)+I86), "")</f>
        <v/>
      </c>
      <c r="M135" s="60">
        <f>IF(AND( C86="Buy", ISBLANK(W86), B86&lt;&gt;"DIV"), J86*D86, "")</f>
        <v/>
      </c>
      <c r="N135" s="61">
        <f>IF(AND( C86="Buy", ISBLANK(W86), B86&lt;&gt;"DIV"), D86, "")</f>
        <v/>
      </c>
      <c r="O135" s="62" t="n"/>
      <c r="P135" s="49" t="n"/>
      <c r="Q135" s="49" t="n"/>
      <c r="R135" s="49" t="n"/>
      <c r="S135" s="49" t="n"/>
      <c r="T135" s="49" t="n"/>
      <c r="U135" s="49" t="n"/>
      <c r="V135" s="49" t="n"/>
      <c r="W135" s="49" t="n">
        <v>233.022067</v>
      </c>
      <c r="X135" s="49" t="n">
        <v>44236</v>
      </c>
      <c r="Y135" s="46">
        <f>IF(AND( C86="Buy", W86&lt;&gt;"", AA86&lt;&gt;"", B86&lt;&gt;"DIV"), Z86/sum(F86:I86), "")</f>
        <v/>
      </c>
      <c r="Z135" s="49">
        <f>(1-Index!$F$2*2)*((W86*D86)-(E86*D86))</f>
        <v/>
      </c>
      <c r="AA135" s="49">
        <f>((E86*D86)+Z86)</f>
        <v/>
      </c>
      <c r="AB135" s="50">
        <f>D86</f>
        <v/>
      </c>
      <c r="AC135" s="49" t="n"/>
      <c r="AD135" s="59" t="inlineStr">
        <is>
          <t>SBI Securities</t>
        </is>
      </c>
    </row>
    <row r="136">
      <c r="A136" s="64" t="n">
        <v>43816</v>
      </c>
      <c r="B136" s="65" t="inlineStr">
        <is>
          <t>NSE</t>
        </is>
      </c>
      <c r="C136" s="65" t="inlineStr">
        <is>
          <t>Buy</t>
        </is>
      </c>
      <c r="D136" s="66" t="n">
        <v>5</v>
      </c>
      <c r="E136" s="42" t="n">
        <v>239.698</v>
      </c>
      <c r="F136" s="67" t="n">
        <v>1206.91</v>
      </c>
      <c r="G136" s="65" t="inlineStr">
        <is>
          <t>~</t>
        </is>
      </c>
      <c r="H136" s="68" t="n">
        <v>1.21</v>
      </c>
      <c r="I136" s="66" t="n">
        <v>7.2</v>
      </c>
      <c r="J136" s="42">
        <f>Index!$C$2</f>
        <v/>
      </c>
      <c r="K136" s="49" t="n"/>
      <c r="L136" s="49">
        <f>IF(AND( C87="Buy", ISBLANK(W87), B87&lt;&gt;"DIV"), ((J87*D87)-(E87*D87)+I87), "")</f>
        <v/>
      </c>
      <c r="M136" s="60">
        <f>IF(AND( C87="Buy", ISBLANK(W87), B87&lt;&gt;"DIV"), J87*D87, "")</f>
        <v/>
      </c>
      <c r="N136" s="61">
        <f>IF(AND( C87="Buy", ISBLANK(W87), B87&lt;&gt;"DIV"), D87, "")</f>
        <v/>
      </c>
      <c r="O136" s="62" t="n"/>
      <c r="P136" s="49" t="n"/>
      <c r="Q136" s="49" t="n"/>
      <c r="R136" s="49" t="n"/>
      <c r="S136" s="49" t="n"/>
      <c r="T136" s="49" t="n"/>
      <c r="U136" s="49" t="n"/>
      <c r="V136" s="49" t="n"/>
      <c r="W136" s="49" t="n">
        <v>233.022067</v>
      </c>
      <c r="X136" s="49" t="n">
        <v>44236</v>
      </c>
      <c r="Y136" s="46">
        <f>IF(AND( C87="Buy", W87&lt;&gt;"", AA87&lt;&gt;"", B87&lt;&gt;"DIV"), Z87/sum(F87:I87), "")</f>
        <v/>
      </c>
      <c r="Z136" s="49">
        <f>(1-Index!$F$2*2)*((W87*D87)-(E87*D87))</f>
        <v/>
      </c>
      <c r="AA136" s="49">
        <f>((E87*D87)+Z87)</f>
        <v/>
      </c>
      <c r="AB136" s="50">
        <f>D87</f>
        <v/>
      </c>
      <c r="AC136" s="49" t="n"/>
      <c r="AD136" s="59" t="inlineStr">
        <is>
          <t>SBI Securities</t>
        </is>
      </c>
    </row>
    <row r="137">
      <c r="A137" s="64" t="n">
        <v>43815</v>
      </c>
      <c r="B137" s="65" t="inlineStr">
        <is>
          <t>NSE</t>
        </is>
      </c>
      <c r="C137" s="65" t="inlineStr">
        <is>
          <t>Buy</t>
        </is>
      </c>
      <c r="D137" s="66" t="n">
        <v>3</v>
      </c>
      <c r="E137" s="42" t="n">
        <v>239.9</v>
      </c>
      <c r="F137" s="67" t="n">
        <v>724.77</v>
      </c>
      <c r="G137" s="65" t="inlineStr">
        <is>
          <t>~</t>
        </is>
      </c>
      <c r="H137" s="68" t="n">
        <v>0.72</v>
      </c>
      <c r="I137" s="66" t="n">
        <v>4.35</v>
      </c>
      <c r="J137" s="42">
        <f>Index!$C$2</f>
        <v/>
      </c>
      <c r="K137" s="49" t="n"/>
      <c r="L137" s="49">
        <f>IF(AND( C88="Buy", ISBLANK(W88), B88&lt;&gt;"DIV"), ((J88*D88)-(E88*D88)+I88), "")</f>
        <v/>
      </c>
      <c r="M137" s="60">
        <f>IF(AND( C88="Buy", ISBLANK(W88), B88&lt;&gt;"DIV"), J88*D88, "")</f>
        <v/>
      </c>
      <c r="N137" s="61">
        <f>IF(AND( C88="Buy", ISBLANK(W88), B88&lt;&gt;"DIV"), D88, "")</f>
        <v/>
      </c>
      <c r="O137" s="62" t="n"/>
      <c r="P137" s="49" t="n"/>
      <c r="Q137" s="49" t="n"/>
      <c r="R137" s="49" t="n"/>
      <c r="S137" s="49" t="n"/>
      <c r="T137" s="49" t="n"/>
      <c r="U137" s="49" t="n"/>
      <c r="V137" s="49" t="n"/>
      <c r="W137" s="49" t="n">
        <v>233.022067</v>
      </c>
      <c r="X137" s="49" t="n">
        <v>44236</v>
      </c>
      <c r="Y137" s="46">
        <f>IF(AND( C88="Buy", W88&lt;&gt;"", AA88&lt;&gt;"", B88&lt;&gt;"DIV"), Z88/sum(F88:I88), "")</f>
        <v/>
      </c>
      <c r="Z137" s="49">
        <f>(1-Index!$F$2*2)*((W88*D88)-(E88*D88))</f>
        <v/>
      </c>
      <c r="AA137" s="49">
        <f>((E88*D88)+Z88)</f>
        <v/>
      </c>
      <c r="AB137" s="50">
        <f>D88</f>
        <v/>
      </c>
      <c r="AC137" s="49" t="n"/>
      <c r="AD137" s="59" t="inlineStr">
        <is>
          <t>SBI Securities</t>
        </is>
      </c>
    </row>
    <row r="138">
      <c r="A138" s="64" t="n">
        <v>43753</v>
      </c>
      <c r="B138" s="65" t="inlineStr">
        <is>
          <t>NSE</t>
        </is>
      </c>
      <c r="C138" s="65" t="inlineStr">
        <is>
          <t>Buy</t>
        </is>
      </c>
      <c r="D138" s="66" t="n">
        <v>10</v>
      </c>
      <c r="E138" s="42" t="n">
        <v>248.146</v>
      </c>
      <c r="F138" s="67" t="n">
        <v>2498.94</v>
      </c>
      <c r="G138" s="65" t="inlineStr">
        <is>
          <t>~</t>
        </is>
      </c>
      <c r="H138" s="68" t="n">
        <v>2.42</v>
      </c>
      <c r="I138" s="66" t="n">
        <v>15.02</v>
      </c>
      <c r="J138" s="42">
        <f>Index!$C$2</f>
        <v/>
      </c>
      <c r="K138" s="49" t="n"/>
      <c r="L138" s="49">
        <f>IF(AND( C89="Buy", ISBLANK(W89), B89&lt;&gt;"DIV"), ((J89*D89)-(E89*D89)+I89), "")</f>
        <v/>
      </c>
      <c r="M138" s="60">
        <f>IF(AND( C89="Buy", ISBLANK(W89), B89&lt;&gt;"DIV"), J89*D89, "")</f>
        <v/>
      </c>
      <c r="N138" s="61">
        <f>IF(AND( C89="Buy", ISBLANK(W89), B89&lt;&gt;"DIV"), D89, "")</f>
        <v/>
      </c>
      <c r="O138" s="62" t="n"/>
      <c r="P138" s="49" t="n"/>
      <c r="Q138" s="49" t="n"/>
      <c r="R138" s="49" t="n"/>
      <c r="S138" s="49" t="n"/>
      <c r="T138" s="49" t="n"/>
      <c r="U138" s="49" t="n"/>
      <c r="V138" s="49" t="n"/>
      <c r="W138" s="49" t="n">
        <v>233.022067</v>
      </c>
      <c r="X138" s="49" t="n">
        <v>44236</v>
      </c>
      <c r="Y138" s="46">
        <f>IF(AND( C89="Buy", W89&lt;&gt;"", AA89&lt;&gt;"", B89&lt;&gt;"DIV"), Z89/sum(F89:I89), "")</f>
        <v/>
      </c>
      <c r="Z138" s="49">
        <f>(1-Index!$F$2*2)*((W89*D89)-(E89*D89))</f>
        <v/>
      </c>
      <c r="AA138" s="49">
        <f>((E89*D89)+Z89)</f>
        <v/>
      </c>
      <c r="AB138" s="50">
        <f>D89</f>
        <v/>
      </c>
      <c r="AC138" s="49" t="n"/>
      <c r="AD138" s="59" t="inlineStr">
        <is>
          <t>SBI Securities</t>
        </is>
      </c>
    </row>
    <row r="139">
      <c r="A139" s="64" t="n">
        <v>43745</v>
      </c>
      <c r="B139" s="65" t="inlineStr">
        <is>
          <t>NSE</t>
        </is>
      </c>
      <c r="C139" s="65" t="inlineStr">
        <is>
          <t>Buy</t>
        </is>
      </c>
      <c r="D139" s="66" t="n">
        <v>2</v>
      </c>
      <c r="E139" s="42" t="n">
        <v>256.645</v>
      </c>
      <c r="F139" s="67" t="n">
        <v>516.9299999999999</v>
      </c>
      <c r="G139" s="65" t="inlineStr">
        <is>
          <t>~</t>
        </is>
      </c>
      <c r="H139" s="68" t="n">
        <v>0.47</v>
      </c>
      <c r="I139" s="66" t="n">
        <v>3.16</v>
      </c>
      <c r="J139" s="42">
        <f>Index!$C$2</f>
        <v/>
      </c>
      <c r="K139" s="49" t="n"/>
      <c r="L139" s="49">
        <f>IF(AND( C90="Buy", ISBLANK(W90), B90&lt;&gt;"DIV"), ((J90*D90)-(E90*D90)+I90), "")</f>
        <v/>
      </c>
      <c r="M139" s="60">
        <f>IF(AND( C90="Buy", ISBLANK(W90), B90&lt;&gt;"DIV"), J90*D90, "")</f>
        <v/>
      </c>
      <c r="N139" s="61">
        <f>IF(AND( C90="Buy", ISBLANK(W90), B90&lt;&gt;"DIV"), D90, "")</f>
        <v/>
      </c>
      <c r="O139" s="62" t="n"/>
      <c r="P139" s="49" t="n"/>
      <c r="Q139" s="49" t="n"/>
      <c r="R139" s="49" t="n"/>
      <c r="S139" s="49" t="n"/>
      <c r="T139" s="49" t="n"/>
      <c r="U139" s="49" t="n"/>
      <c r="V139" s="49" t="n"/>
      <c r="W139" s="49" t="n">
        <v>233.022067</v>
      </c>
      <c r="X139" s="49" t="n">
        <v>44236</v>
      </c>
      <c r="Y139" s="46">
        <f>IF(AND( C90="Buy", W90&lt;&gt;"", AA90&lt;&gt;"", B90&lt;&gt;"DIV"), Z90/sum(F90:I90), "")</f>
        <v/>
      </c>
      <c r="Z139" s="49">
        <f>(1-Index!$F$2*2)*((W90*D90)-(E90*D90))</f>
        <v/>
      </c>
      <c r="AA139" s="49">
        <f>((E90*D90)+Z90)</f>
        <v/>
      </c>
      <c r="AB139" s="50">
        <f>D90</f>
        <v/>
      </c>
      <c r="AC139" s="49" t="n"/>
      <c r="AD139" s="59" t="inlineStr">
        <is>
          <t>SBI Securities</t>
        </is>
      </c>
    </row>
    <row r="140">
      <c r="A140" s="64" t="n">
        <v>43734</v>
      </c>
      <c r="B140" s="65" t="inlineStr">
        <is>
          <t>NSE</t>
        </is>
      </c>
      <c r="C140" s="65" t="inlineStr">
        <is>
          <t>Buy</t>
        </is>
      </c>
      <c r="D140" s="66" t="n">
        <v>10</v>
      </c>
      <c r="E140" s="42" t="n">
        <v>248.951</v>
      </c>
      <c r="F140" s="67" t="n">
        <v>2507.09</v>
      </c>
      <c r="G140" s="65" t="inlineStr">
        <is>
          <t>~</t>
        </is>
      </c>
      <c r="H140" s="68" t="n">
        <v>2.61</v>
      </c>
      <c r="I140" s="66" t="n">
        <v>14.98</v>
      </c>
      <c r="J140" s="42">
        <f>Index!$C$2</f>
        <v/>
      </c>
      <c r="K140" s="49" t="n"/>
      <c r="L140" s="49">
        <f>IF(AND( C91="Buy", ISBLANK(W91), B91&lt;&gt;"DIV"), ((J91*D91)-(E91*D91)+I91), "")</f>
        <v/>
      </c>
      <c r="M140" s="60">
        <f>IF(AND( C91="Buy", ISBLANK(W91), B91&lt;&gt;"DIV"), J91*D91, "")</f>
        <v/>
      </c>
      <c r="N140" s="61">
        <f>IF(AND( C91="Buy", ISBLANK(W91), B91&lt;&gt;"DIV"), D91, "")</f>
        <v/>
      </c>
      <c r="O140" s="62" t="n"/>
      <c r="P140" s="49" t="n"/>
      <c r="Q140" s="49" t="n"/>
      <c r="R140" s="49" t="n"/>
      <c r="S140" s="49" t="n"/>
      <c r="T140" s="49" t="n"/>
      <c r="U140" s="49" t="n"/>
      <c r="V140" s="49" t="n"/>
      <c r="W140" s="49" t="n">
        <v>233.022067</v>
      </c>
      <c r="X140" s="49" t="n">
        <v>44236</v>
      </c>
      <c r="Y140" s="46">
        <f>IF(AND( C91="Buy", W91&lt;&gt;"", AA91&lt;&gt;"", B91&lt;&gt;"DIV"), Z91/sum(F91:I91), "")</f>
        <v/>
      </c>
      <c r="Z140" s="49">
        <f>(1-Index!$F$2*2)*((W91*D91)-(E91*D91))</f>
        <v/>
      </c>
      <c r="AA140" s="49">
        <f>((E91*D91)+Z91)</f>
        <v/>
      </c>
      <c r="AB140" s="50">
        <f>D91</f>
        <v/>
      </c>
      <c r="AC140" s="49" t="n"/>
      <c r="AD140" s="59" t="inlineStr">
        <is>
          <t>SBI Securities</t>
        </is>
      </c>
    </row>
    <row r="141">
      <c r="A141" s="64" t="n">
        <v>43724</v>
      </c>
      <c r="B141" s="65" t="inlineStr">
        <is>
          <t>NSE</t>
        </is>
      </c>
      <c r="C141" s="65" t="inlineStr">
        <is>
          <t>Buy</t>
        </is>
      </c>
      <c r="D141" s="66" t="n">
        <v>10</v>
      </c>
      <c r="E141" s="42" t="n">
        <v>239.204</v>
      </c>
      <c r="F141" s="67" t="n">
        <v>2409.16</v>
      </c>
      <c r="G141" s="65" t="inlineStr">
        <is>
          <t>~</t>
        </is>
      </c>
      <c r="H141" s="68" t="n">
        <v>2.53</v>
      </c>
      <c r="I141" s="66" t="n">
        <v>14.63</v>
      </c>
      <c r="J141" s="42">
        <f>Index!$C$2</f>
        <v/>
      </c>
      <c r="K141" s="49" t="n"/>
      <c r="L141" s="49">
        <f>IF(AND( C92="Buy", ISBLANK(W92), B92&lt;&gt;"DIV"), ((J92*D92)-(E92*D92)+I92), "")</f>
        <v/>
      </c>
      <c r="M141" s="60">
        <f>IF(AND( C92="Buy", ISBLANK(W92), B92&lt;&gt;"DIV"), J92*D92, "")</f>
        <v/>
      </c>
      <c r="N141" s="61">
        <f>IF(AND( C92="Buy", ISBLANK(W92), B92&lt;&gt;"DIV"), D92, "")</f>
        <v/>
      </c>
      <c r="O141" s="62" t="n"/>
      <c r="P141" s="49" t="n"/>
      <c r="Q141" s="49" t="n"/>
      <c r="R141" s="49" t="n"/>
      <c r="S141" s="49" t="n"/>
      <c r="T141" s="49" t="n"/>
      <c r="U141" s="49" t="n"/>
      <c r="V141" s="49" t="n"/>
      <c r="W141" s="49" t="n">
        <v>233.022067</v>
      </c>
      <c r="X141" s="49" t="n">
        <v>44236</v>
      </c>
      <c r="Y141" s="46">
        <f>IF(AND( C92="Buy", W92&lt;&gt;"", AA92&lt;&gt;"", B92&lt;&gt;"DIV"), Z92/sum(F92:I92), "")</f>
        <v/>
      </c>
      <c r="Z141" s="49">
        <f>(1-Index!$F$2*2)*((W92*D92)-(E92*D92))</f>
        <v/>
      </c>
      <c r="AA141" s="49">
        <f>((E92*D92)+Z92)</f>
        <v/>
      </c>
      <c r="AB141" s="50">
        <f>D92</f>
        <v/>
      </c>
      <c r="AC141" s="49" t="n"/>
      <c r="AD141" s="59" t="inlineStr">
        <is>
          <t>SBI Securities</t>
        </is>
      </c>
    </row>
    <row r="142">
      <c r="A142" s="64" t="n">
        <v>43721</v>
      </c>
      <c r="B142" s="65" t="inlineStr">
        <is>
          <t>NSE</t>
        </is>
      </c>
      <c r="C142" s="65" t="inlineStr">
        <is>
          <t>Buy</t>
        </is>
      </c>
      <c r="D142" s="66" t="n">
        <v>10</v>
      </c>
      <c r="E142" s="42" t="n">
        <v>241.799</v>
      </c>
      <c r="F142" s="67" t="n">
        <v>2435.01</v>
      </c>
      <c r="G142" s="65" t="inlineStr">
        <is>
          <t>~</t>
        </is>
      </c>
      <c r="H142" s="68" t="n">
        <v>2.3</v>
      </c>
      <c r="I142" s="66" t="n">
        <v>14.71</v>
      </c>
      <c r="J142" s="42">
        <f>Index!$C$2</f>
        <v/>
      </c>
      <c r="K142" s="49" t="n"/>
      <c r="L142" s="49">
        <f>IF(AND( C93="Buy", ISBLANK(W93), B93&lt;&gt;"DIV"), ((J93*D93)-(E93*D93)+I93), "")</f>
        <v/>
      </c>
      <c r="M142" s="60">
        <f>IF(AND( C93="Buy", ISBLANK(W93), B93&lt;&gt;"DIV"), J93*D93, "")</f>
        <v/>
      </c>
      <c r="N142" s="61">
        <f>IF(AND( C93="Buy", ISBLANK(W93), B93&lt;&gt;"DIV"), D93, "")</f>
        <v/>
      </c>
      <c r="O142" s="62" t="n"/>
      <c r="P142" s="49" t="n"/>
      <c r="Q142" s="49" t="n"/>
      <c r="R142" s="49" t="n"/>
      <c r="S142" s="49" t="n"/>
      <c r="T142" s="49" t="n"/>
      <c r="U142" s="49" t="n"/>
      <c r="V142" s="49" t="n"/>
      <c r="W142" s="49" t="n">
        <v>233.022067</v>
      </c>
      <c r="X142" s="49" t="n">
        <v>44236</v>
      </c>
      <c r="Y142" s="46">
        <f>IF(AND( C93="Buy", W93&lt;&gt;"", AA93&lt;&gt;"", B93&lt;&gt;"DIV"), Z93/sum(F93:I93), "")</f>
        <v/>
      </c>
      <c r="Z142" s="49">
        <f>(1-Index!$F$2*2)*((W93*D93)-(E93*D93))</f>
        <v/>
      </c>
      <c r="AA142" s="49">
        <f>((E93*D93)+Z93)</f>
        <v/>
      </c>
      <c r="AB142" s="50">
        <f>D93</f>
        <v/>
      </c>
      <c r="AC142" s="49" t="n"/>
      <c r="AD142" s="59" t="inlineStr">
        <is>
          <t>SBI Securities</t>
        </is>
      </c>
    </row>
    <row r="143">
      <c r="A143" s="64" t="n">
        <v>43705</v>
      </c>
      <c r="B143" s="65" t="inlineStr">
        <is>
          <t>NSE</t>
        </is>
      </c>
      <c r="C143" s="65" t="inlineStr">
        <is>
          <t>Buy</t>
        </is>
      </c>
      <c r="D143" s="66" t="n">
        <v>10</v>
      </c>
      <c r="E143" s="42" t="n">
        <v>246.295</v>
      </c>
      <c r="F143" s="67" t="n">
        <v>2480.45</v>
      </c>
      <c r="G143" s="65" t="inlineStr">
        <is>
          <t>~</t>
        </is>
      </c>
      <c r="H143" s="68" t="n">
        <v>2.52</v>
      </c>
      <c r="I143" s="66" t="n">
        <v>14.93</v>
      </c>
      <c r="J143" s="42">
        <f>Index!$C$2</f>
        <v/>
      </c>
      <c r="K143" s="49" t="n"/>
      <c r="L143" s="49">
        <f>IF(AND( C94="Buy", ISBLANK(W94), B94&lt;&gt;"DIV"), ((J94*D94)-(E94*D94)+I94), "")</f>
        <v/>
      </c>
      <c r="M143" s="60">
        <f>IF(AND( C94="Buy", ISBLANK(W94), B94&lt;&gt;"DIV"), J94*D94, "")</f>
        <v/>
      </c>
      <c r="N143" s="61">
        <f>IF(AND( C94="Buy", ISBLANK(W94), B94&lt;&gt;"DIV"), D94, "")</f>
        <v/>
      </c>
      <c r="O143" s="62" t="n"/>
      <c r="P143" s="49" t="n"/>
      <c r="Q143" s="49" t="n"/>
      <c r="R143" s="49" t="n"/>
      <c r="S143" s="49" t="n"/>
      <c r="T143" s="49" t="n"/>
      <c r="U143" s="49" t="n"/>
      <c r="V143" s="49" t="n"/>
      <c r="W143" s="49" t="n">
        <v>233.022067</v>
      </c>
      <c r="X143" s="49" t="n">
        <v>44236</v>
      </c>
      <c r="Y143" s="46">
        <f>IF(AND( C94="Buy", W94&lt;&gt;"", AA94&lt;&gt;"", B94&lt;&gt;"DIV"), Z94/sum(F94:I94), "")</f>
        <v/>
      </c>
      <c r="Z143" s="49">
        <f>(1-Index!$F$2*2)*((W94*D94)-(E94*D94))</f>
        <v/>
      </c>
      <c r="AA143" s="49">
        <f>((E94*D94)+Z94)</f>
        <v/>
      </c>
      <c r="AB143" s="50">
        <f>D94</f>
        <v/>
      </c>
      <c r="AC143" s="49" t="n"/>
      <c r="AD143" s="59" t="inlineStr">
        <is>
          <t>SBI Securities</t>
        </is>
      </c>
    </row>
    <row r="144">
      <c r="A144" s="64" t="n">
        <v>43700</v>
      </c>
      <c r="B144" s="65" t="inlineStr">
        <is>
          <t>NSE</t>
        </is>
      </c>
      <c r="C144" s="65" t="inlineStr">
        <is>
          <t>Buy</t>
        </is>
      </c>
      <c r="D144" s="66" t="n">
        <v>20</v>
      </c>
      <c r="E144" s="42" t="n">
        <v>235.3985</v>
      </c>
      <c r="F144" s="67" t="n">
        <v>4741.23</v>
      </c>
      <c r="G144" s="65" t="inlineStr">
        <is>
          <t>~</t>
        </is>
      </c>
      <c r="H144" s="68" t="n">
        <v>4.71</v>
      </c>
      <c r="I144" s="66" t="n">
        <v>28.52</v>
      </c>
      <c r="J144" s="42">
        <f>Index!$C$2</f>
        <v/>
      </c>
      <c r="K144" s="49" t="n"/>
      <c r="L144" s="49">
        <f>IF(AND( C95="Buy", ISBLANK(W95), B95&lt;&gt;"DIV"), ((J95*D95)-(E95*D95)+I95), "")</f>
        <v/>
      </c>
      <c r="M144" s="60">
        <f>IF(AND( C95="Buy", ISBLANK(W95), B95&lt;&gt;"DIV"), J95*D95, "")</f>
        <v/>
      </c>
      <c r="N144" s="61">
        <f>IF(AND( C95="Buy", ISBLANK(W95), B95&lt;&gt;"DIV"), D95, "")</f>
        <v/>
      </c>
      <c r="O144" s="62" t="n"/>
      <c r="P144" s="49" t="n"/>
      <c r="Q144" s="49" t="n"/>
      <c r="R144" s="49" t="n"/>
      <c r="S144" s="49" t="n"/>
      <c r="T144" s="49" t="n"/>
      <c r="U144" s="49" t="n"/>
      <c r="V144" s="49" t="n"/>
      <c r="W144" s="49" t="n">
        <v>233.022067</v>
      </c>
      <c r="X144" s="49" t="n">
        <v>44236</v>
      </c>
      <c r="Y144" s="46">
        <f>IF(AND( C95="Buy", W95&lt;&gt;"", AA95&lt;&gt;"", B95&lt;&gt;"DIV"), Z95/sum(F95:I95), "")</f>
        <v/>
      </c>
      <c r="Z144" s="49">
        <f>(1-Index!$F$2*2)*((W95*D95)-(E95*D95))</f>
        <v/>
      </c>
      <c r="AA144" s="49">
        <f>((E95*D95)+Z95)</f>
        <v/>
      </c>
      <c r="AB144" s="50">
        <f>D95</f>
        <v/>
      </c>
      <c r="AC144" s="49" t="n"/>
      <c r="AD144" s="59" t="inlineStr">
        <is>
          <t>SBI Securities</t>
        </is>
      </c>
    </row>
    <row r="145">
      <c r="A145" s="64" t="n">
        <v>43697</v>
      </c>
      <c r="B145" s="65" t="inlineStr">
        <is>
          <t>NSE</t>
        </is>
      </c>
      <c r="C145" s="65" t="inlineStr">
        <is>
          <t>Buy</t>
        </is>
      </c>
      <c r="D145" s="66" t="n">
        <v>10</v>
      </c>
      <c r="E145" s="42" t="n">
        <v>247.054</v>
      </c>
      <c r="F145" s="67" t="n">
        <v>2487.96</v>
      </c>
      <c r="G145" s="65" t="inlineStr">
        <is>
          <t>~</t>
        </is>
      </c>
      <c r="H145" s="68" t="n">
        <v>2.34</v>
      </c>
      <c r="I145" s="66" t="n">
        <v>15.12</v>
      </c>
      <c r="J145" s="42">
        <f>Index!$C$2</f>
        <v/>
      </c>
      <c r="K145" s="49" t="n"/>
      <c r="L145" s="49">
        <f>IF(AND( C96="Buy", ISBLANK(W96), B96&lt;&gt;"DIV"), ((J96*D96)-(E96*D96)+I96), "")</f>
        <v/>
      </c>
      <c r="M145" s="60">
        <f>IF(AND( C96="Buy", ISBLANK(W96), B96&lt;&gt;"DIV"), J96*D96, "")</f>
        <v/>
      </c>
      <c r="N145" s="61">
        <f>IF(AND( C96="Buy", ISBLANK(W96), B96&lt;&gt;"DIV"), D96, "")</f>
        <v/>
      </c>
      <c r="O145" s="62" t="n"/>
      <c r="P145" s="49" t="n"/>
      <c r="Q145" s="49" t="n"/>
      <c r="R145" s="49" t="n"/>
      <c r="S145" s="49" t="n"/>
      <c r="T145" s="49" t="n"/>
      <c r="U145" s="49" t="n"/>
      <c r="V145" s="49" t="n"/>
      <c r="W145" s="49" t="n">
        <v>233.022067</v>
      </c>
      <c r="X145" s="49" t="n">
        <v>44236</v>
      </c>
      <c r="Y145" s="46">
        <f>IF(AND( C96="Buy", W96&lt;&gt;"", AA96&lt;&gt;"", B96&lt;&gt;"DIV"), Z96/sum(F96:I96), "")</f>
        <v/>
      </c>
      <c r="Z145" s="49">
        <f>(1-Index!$F$2*2)*((W96*D96)-(E96*D96))</f>
        <v/>
      </c>
      <c r="AA145" s="49">
        <f>((E96*D96)+Z96)</f>
        <v/>
      </c>
      <c r="AB145" s="50">
        <f>D96</f>
        <v/>
      </c>
      <c r="AC145" s="49" t="n"/>
      <c r="AD145" s="59" t="inlineStr">
        <is>
          <t>SBI Securities</t>
        </is>
      </c>
    </row>
    <row r="146">
      <c r="A146" s="64" t="n">
        <v>43685</v>
      </c>
      <c r="B146" s="65" t="inlineStr">
        <is>
          <t>NSE</t>
        </is>
      </c>
      <c r="C146" s="65" t="inlineStr">
        <is>
          <t>Buy</t>
        </is>
      </c>
      <c r="D146" s="66" t="n">
        <v>10</v>
      </c>
      <c r="E146" s="42" t="n">
        <v>254.901</v>
      </c>
      <c r="F146" s="67" t="n">
        <v>2566.79</v>
      </c>
      <c r="G146" s="65" t="inlineStr">
        <is>
          <t>~</t>
        </is>
      </c>
      <c r="H146" s="68" t="n">
        <v>2.45</v>
      </c>
      <c r="I146" s="66" t="n">
        <v>15.34</v>
      </c>
      <c r="J146" s="42">
        <f>Index!$C$2</f>
        <v/>
      </c>
      <c r="K146" s="49" t="n"/>
      <c r="L146" s="49">
        <f>IF(AND( C97="Buy", ISBLANK(W97), B97&lt;&gt;"DIV"), ((J97*D97)-(E97*D97)+I97), "")</f>
        <v/>
      </c>
      <c r="M146" s="60">
        <f>IF(AND( C97="Buy", ISBLANK(W97), B97&lt;&gt;"DIV"), J97*D97, "")</f>
        <v/>
      </c>
      <c r="N146" s="61">
        <f>IF(AND( C97="Buy", ISBLANK(W97), B97&lt;&gt;"DIV"), D97, "")</f>
        <v/>
      </c>
      <c r="O146" s="62" t="n"/>
      <c r="P146" s="49" t="n"/>
      <c r="Q146" s="49" t="n"/>
      <c r="R146" s="49" t="n"/>
      <c r="S146" s="49" t="n"/>
      <c r="T146" s="49" t="n"/>
      <c r="U146" s="49" t="n"/>
      <c r="V146" s="49" t="n"/>
      <c r="W146" s="49" t="n">
        <v>233.022333</v>
      </c>
      <c r="X146" s="49" t="n">
        <v>44235</v>
      </c>
      <c r="Y146" s="46">
        <f>IF(AND( C97="Buy", W97&lt;&gt;"", AA97&lt;&gt;"", B97&lt;&gt;"DIV"), Z97/sum(F97:I97), "")</f>
        <v/>
      </c>
      <c r="Z146" s="49">
        <f>(1-Index!$F$2*2)*((W97*D97)-(E97*D97))</f>
        <v/>
      </c>
      <c r="AA146" s="49">
        <f>((E97*D97)+Z97)</f>
        <v/>
      </c>
      <c r="AB146" s="50">
        <f>D97</f>
        <v/>
      </c>
      <c r="AC146" s="49" t="n"/>
      <c r="AD146" s="59" t="inlineStr">
        <is>
          <t>SBI Securities</t>
        </is>
      </c>
    </row>
    <row r="147">
      <c r="A147" s="64" t="n">
        <v>43683</v>
      </c>
      <c r="B147" s="65" t="inlineStr">
        <is>
          <t>NSE</t>
        </is>
      </c>
      <c r="C147" s="65" t="inlineStr">
        <is>
          <t>Buy</t>
        </is>
      </c>
      <c r="D147" s="66" t="n">
        <v>10</v>
      </c>
      <c r="E147" s="42" t="n">
        <v>260.503</v>
      </c>
      <c r="F147" s="67" t="n">
        <v>2623.47</v>
      </c>
      <c r="G147" s="65" t="inlineStr">
        <is>
          <t>~</t>
        </is>
      </c>
      <c r="H147" s="68" t="n">
        <v>2.6</v>
      </c>
      <c r="I147" s="66" t="n">
        <v>15.87</v>
      </c>
      <c r="J147" s="42">
        <f>Index!$C$2</f>
        <v/>
      </c>
      <c r="K147" s="49" t="n"/>
      <c r="L147" s="49">
        <f>IF(AND( C98="Buy", ISBLANK(W98), B98&lt;&gt;"DIV"), ((J98*D98)-(E98*D98)+I98), "")</f>
        <v/>
      </c>
      <c r="M147" s="60">
        <f>IF(AND( C98="Buy", ISBLANK(W98), B98&lt;&gt;"DIV"), J98*D98, "")</f>
        <v/>
      </c>
      <c r="N147" s="61">
        <f>IF(AND( C98="Buy", ISBLANK(W98), B98&lt;&gt;"DIV"), D98, "")</f>
        <v/>
      </c>
      <c r="O147" s="62" t="n"/>
      <c r="P147" s="49" t="n"/>
      <c r="Q147" s="49" t="n"/>
      <c r="R147" s="49" t="n"/>
      <c r="S147" s="49" t="n"/>
      <c r="T147" s="49" t="n"/>
      <c r="U147" s="49" t="n"/>
      <c r="V147" s="49" t="n"/>
      <c r="W147" s="49" t="n">
        <v>233.022333</v>
      </c>
      <c r="X147" s="49" t="n">
        <v>44235</v>
      </c>
      <c r="Y147" s="46">
        <f>IF(AND( C98="Buy", W98&lt;&gt;"", AA98&lt;&gt;"", B98&lt;&gt;"DIV"), Z98/sum(F98:I98), "")</f>
        <v/>
      </c>
      <c r="Z147" s="49">
        <f>(1-Index!$F$2*2)*((W98*D98)-(E98*D98))</f>
        <v/>
      </c>
      <c r="AA147" s="49">
        <f>((E98*D98)+Z98)</f>
        <v/>
      </c>
      <c r="AB147" s="50">
        <f>D98</f>
        <v/>
      </c>
      <c r="AC147" s="49" t="n"/>
      <c r="AD147" s="59" t="inlineStr">
        <is>
          <t>SBI Securities</t>
        </is>
      </c>
    </row>
    <row r="148">
      <c r="A148" s="64" t="n">
        <v>43682</v>
      </c>
      <c r="B148" s="65" t="inlineStr">
        <is>
          <t>NSE</t>
        </is>
      </c>
      <c r="C148" s="65" t="inlineStr">
        <is>
          <t>Buy</t>
        </is>
      </c>
      <c r="D148" s="66" t="n">
        <v>10</v>
      </c>
      <c r="E148" s="42" t="n">
        <v>260.102</v>
      </c>
      <c r="F148" s="67" t="n">
        <v>2619.28</v>
      </c>
      <c r="G148" s="65" t="inlineStr">
        <is>
          <t>~</t>
        </is>
      </c>
      <c r="H148" s="68" t="n">
        <v>2.6</v>
      </c>
      <c r="I148" s="66" t="n">
        <v>15.68</v>
      </c>
      <c r="J148" s="42">
        <f>Index!$C$2</f>
        <v/>
      </c>
      <c r="K148" s="49" t="n"/>
      <c r="L148" s="49">
        <f>IF(AND( C99="Buy", ISBLANK(W99), B99&lt;&gt;"DIV"), ((J99*D99)-(E99*D99)+I99), "")</f>
        <v/>
      </c>
      <c r="M148" s="60">
        <f>IF(AND( C99="Buy", ISBLANK(W99), B99&lt;&gt;"DIV"), J99*D99, "")</f>
        <v/>
      </c>
      <c r="N148" s="61">
        <f>IF(AND( C99="Buy", ISBLANK(W99), B99&lt;&gt;"DIV"), D99, "")</f>
        <v/>
      </c>
      <c r="O148" s="62" t="n"/>
      <c r="P148" s="49" t="n"/>
      <c r="Q148" s="49" t="n"/>
      <c r="R148" s="49" t="n"/>
      <c r="S148" s="49" t="n"/>
      <c r="T148" s="49" t="n"/>
      <c r="U148" s="49" t="n"/>
      <c r="V148" s="49" t="n"/>
      <c r="W148" s="49" t="n">
        <v>233.022333</v>
      </c>
      <c r="X148" s="49" t="n">
        <v>44235</v>
      </c>
      <c r="Y148" s="46">
        <f>IF(AND( C99="Buy", W99&lt;&gt;"", AA99&lt;&gt;"", B99&lt;&gt;"DIV"), Z99/sum(F99:I99), "")</f>
        <v/>
      </c>
      <c r="Z148" s="49">
        <f>(1-Index!$F$2*2)*((W99*D99)-(E99*D99))</f>
        <v/>
      </c>
      <c r="AA148" s="49">
        <f>((E99*D99)+Z99)</f>
        <v/>
      </c>
      <c r="AB148" s="50">
        <f>D99</f>
        <v/>
      </c>
      <c r="AC148" s="49" t="n"/>
      <c r="AD148" s="59" t="inlineStr">
        <is>
          <t>SBI Securities</t>
        </is>
      </c>
    </row>
    <row r="149">
      <c r="A149" s="64" t="n">
        <v>43668</v>
      </c>
      <c r="B149" s="65" t="inlineStr">
        <is>
          <t>NSE</t>
        </is>
      </c>
      <c r="C149" s="65" t="inlineStr">
        <is>
          <t>Buy</t>
        </is>
      </c>
      <c r="D149" s="66" t="n">
        <v>10</v>
      </c>
      <c r="E149" s="42" t="n">
        <v>266.052</v>
      </c>
      <c r="F149" s="67" t="n">
        <v>2679.18</v>
      </c>
      <c r="G149" s="65" t="inlineStr">
        <is>
          <t>~</t>
        </is>
      </c>
      <c r="H149" s="68" t="n">
        <v>2.59</v>
      </c>
      <c r="I149" s="66" t="n">
        <v>16.09</v>
      </c>
      <c r="J149" s="42">
        <f>Index!$C$2</f>
        <v/>
      </c>
      <c r="K149" s="49" t="n"/>
      <c r="L149" s="49">
        <f>IF(AND( C100="Buy", ISBLANK(W100), B100&lt;&gt;"DIV"), ((J100*D100)-(E100*D100)+I100), "")</f>
        <v/>
      </c>
      <c r="M149" s="60">
        <f>IF(AND( C100="Buy", ISBLANK(W100), B100&lt;&gt;"DIV"), J100*D100, "")</f>
        <v/>
      </c>
      <c r="N149" s="61">
        <f>IF(AND( C100="Buy", ISBLANK(W100), B100&lt;&gt;"DIV"), D100, "")</f>
        <v/>
      </c>
      <c r="O149" s="62" t="n"/>
      <c r="P149" s="49" t="n"/>
      <c r="Q149" s="49" t="n"/>
      <c r="R149" s="49" t="n"/>
      <c r="S149" s="49" t="n"/>
      <c r="T149" s="49" t="n"/>
      <c r="U149" s="49" t="n"/>
      <c r="V149" s="49" t="n"/>
      <c r="W149" s="49" t="n">
        <v>233.022333</v>
      </c>
      <c r="X149" s="49" t="n">
        <v>44235</v>
      </c>
      <c r="Y149" s="46">
        <f>IF(AND( C100="Buy", W100&lt;&gt;"", AA100&lt;&gt;"", B100&lt;&gt;"DIV"), Z100/sum(F100:I100), "")</f>
        <v/>
      </c>
      <c r="Z149" s="49">
        <f>(1-Index!$F$2*2)*((W100*D100)-(E100*D100))</f>
        <v/>
      </c>
      <c r="AA149" s="49">
        <f>((E100*D100)+Z100)</f>
        <v/>
      </c>
      <c r="AB149" s="50">
        <f>D100</f>
        <v/>
      </c>
      <c r="AC149" s="49" t="n"/>
      <c r="AD149" s="59" t="inlineStr">
        <is>
          <t>SBI Securities</t>
        </is>
      </c>
    </row>
    <row r="150">
      <c r="A150" s="64" t="n">
        <v>43665</v>
      </c>
      <c r="B150" s="65" t="inlineStr">
        <is>
          <t>NSE</t>
        </is>
      </c>
      <c r="C150" s="65" t="inlineStr">
        <is>
          <t>Buy</t>
        </is>
      </c>
      <c r="D150" s="66" t="n">
        <v>10</v>
      </c>
      <c r="E150" s="42" t="n">
        <v>272.248</v>
      </c>
      <c r="F150" s="67" t="n">
        <v>2741.62</v>
      </c>
      <c r="G150" s="65" t="inlineStr">
        <is>
          <t>~</t>
        </is>
      </c>
      <c r="H150" s="68" t="n">
        <v>2.72</v>
      </c>
      <c r="I150" s="66" t="n">
        <v>16.4</v>
      </c>
      <c r="J150" s="42">
        <f>Index!$C$2</f>
        <v/>
      </c>
      <c r="K150" s="49" t="n"/>
      <c r="L150" s="49">
        <f>IF(AND( C101="Buy", ISBLANK(W101), B101&lt;&gt;"DIV"), ((J101*D101)-(E101*D101)+I101), "")</f>
        <v/>
      </c>
      <c r="M150" s="60">
        <f>IF(AND( C101="Buy", ISBLANK(W101), B101&lt;&gt;"DIV"), J101*D101, "")</f>
        <v/>
      </c>
      <c r="N150" s="61">
        <f>IF(AND( C101="Buy", ISBLANK(W101), B101&lt;&gt;"DIV"), D101, "")</f>
        <v/>
      </c>
      <c r="O150" s="62" t="n"/>
      <c r="P150" s="49" t="n"/>
      <c r="Q150" s="49" t="n"/>
      <c r="R150" s="49" t="n"/>
      <c r="S150" s="49" t="n"/>
      <c r="T150" s="49" t="n"/>
      <c r="U150" s="49" t="n"/>
      <c r="V150" s="49" t="n"/>
      <c r="W150" s="49" t="n">
        <v>233.022333</v>
      </c>
      <c r="X150" s="49" t="n">
        <v>44235</v>
      </c>
      <c r="Y150" s="46">
        <f>IF(AND( C101="Buy", W101&lt;&gt;"", AA101&lt;&gt;"", B101&lt;&gt;"DIV"), Z101/sum(F101:I101), "")</f>
        <v/>
      </c>
      <c r="Z150" s="49">
        <f>(1-Index!$F$2*2)*((W101*D101)-(E101*D101))</f>
        <v/>
      </c>
      <c r="AA150" s="49">
        <f>((E101*D101)+Z101)</f>
        <v/>
      </c>
      <c r="AB150" s="50">
        <f>D101</f>
        <v/>
      </c>
      <c r="AC150" s="49" t="n"/>
      <c r="AD150" s="59" t="inlineStr">
        <is>
          <t>SBI Securities</t>
        </is>
      </c>
    </row>
    <row r="151">
      <c r="A151" s="64" t="n">
        <v>43661</v>
      </c>
      <c r="B151" s="65" t="inlineStr">
        <is>
          <t>NSE</t>
        </is>
      </c>
      <c r="C151" s="65" t="inlineStr">
        <is>
          <t>Buy</t>
        </is>
      </c>
      <c r="D151" s="66" t="n">
        <v>10</v>
      </c>
      <c r="E151" s="42" t="n">
        <v>272.297</v>
      </c>
      <c r="F151" s="67" t="n">
        <v>2742.23</v>
      </c>
      <c r="G151" s="65" t="inlineStr">
        <is>
          <t>~</t>
        </is>
      </c>
      <c r="H151" s="68" t="n">
        <v>2.82</v>
      </c>
      <c r="I151" s="66" t="n">
        <v>16.41</v>
      </c>
      <c r="J151" s="42">
        <f>Index!$C$2</f>
        <v/>
      </c>
      <c r="K151" s="49" t="n"/>
      <c r="L151" s="49">
        <f>IF(AND( C102="Buy", ISBLANK(W102), B102&lt;&gt;"DIV"), ((J102*D102)-(E102*D102)+I102), "")</f>
        <v/>
      </c>
      <c r="M151" s="60">
        <f>IF(AND( C102="Buy", ISBLANK(W102), B102&lt;&gt;"DIV"), J102*D102, "")</f>
        <v/>
      </c>
      <c r="N151" s="61">
        <f>IF(AND( C102="Buy", ISBLANK(W102), B102&lt;&gt;"DIV"), D102, "")</f>
        <v/>
      </c>
      <c r="O151" s="62" t="n"/>
      <c r="P151" s="49" t="n"/>
      <c r="Q151" s="49" t="n"/>
      <c r="R151" s="49" t="n"/>
      <c r="S151" s="49" t="n"/>
      <c r="T151" s="49" t="n"/>
      <c r="U151" s="49" t="n"/>
      <c r="V151" s="49" t="n"/>
      <c r="W151" s="49" t="n">
        <v>233.022333</v>
      </c>
      <c r="X151" s="49" t="n">
        <v>44235</v>
      </c>
      <c r="Y151" s="46">
        <f>IF(AND( C102="Buy", W102&lt;&gt;"", AA102&lt;&gt;"", B102&lt;&gt;"DIV"), Z102/sum(F102:I102), "")</f>
        <v/>
      </c>
      <c r="Z151" s="49">
        <f>(1-Index!$F$2*2)*((W102*D102)-(E102*D102))</f>
        <v/>
      </c>
      <c r="AA151" s="49">
        <f>((E102*D102)+Z102)</f>
        <v/>
      </c>
      <c r="AB151" s="50">
        <f>D102</f>
        <v/>
      </c>
      <c r="AC151" s="49" t="n"/>
      <c r="AD151" s="59" t="inlineStr">
        <is>
          <t>SBI Securities</t>
        </is>
      </c>
    </row>
    <row r="152">
      <c r="A152" s="64" t="n">
        <v>43649</v>
      </c>
      <c r="B152" s="65" t="inlineStr">
        <is>
          <t>NSE</t>
        </is>
      </c>
      <c r="C152" s="65" t="inlineStr">
        <is>
          <t>Buy</t>
        </is>
      </c>
      <c r="D152" s="66" t="n">
        <v>10</v>
      </c>
      <c r="E152" s="42" t="n">
        <v>272.453</v>
      </c>
      <c r="F152" s="67" t="n">
        <v>2743.77</v>
      </c>
      <c r="G152" s="65" t="inlineStr">
        <is>
          <t>~</t>
        </is>
      </c>
      <c r="H152" s="68" t="n">
        <v>2.81</v>
      </c>
      <c r="I152" s="66" t="n">
        <v>16.46</v>
      </c>
      <c r="J152" s="42">
        <f>Index!$C$2</f>
        <v/>
      </c>
      <c r="K152" s="49" t="n"/>
      <c r="L152" s="49">
        <f>IF(AND( C103="Buy", ISBLANK(W103), B103&lt;&gt;"DIV"), ((J103*D103)-(E103*D103)+I103), "")</f>
        <v/>
      </c>
      <c r="M152" s="60">
        <f>IF(AND( C103="Buy", ISBLANK(W103), B103&lt;&gt;"DIV"), J103*D103, "")</f>
        <v/>
      </c>
      <c r="N152" s="61">
        <f>IF(AND( C103="Buy", ISBLANK(W103), B103&lt;&gt;"DIV"), D103, "")</f>
        <v/>
      </c>
      <c r="O152" s="62" t="n"/>
      <c r="P152" s="49" t="n"/>
      <c r="Q152" s="49" t="n"/>
      <c r="R152" s="49" t="n"/>
      <c r="S152" s="49" t="n"/>
      <c r="T152" s="49" t="n"/>
      <c r="U152" s="49" t="n"/>
      <c r="V152" s="49" t="n"/>
      <c r="W152" s="49" t="n">
        <v>233.022333</v>
      </c>
      <c r="X152" s="49" t="n">
        <v>44235</v>
      </c>
      <c r="Y152" s="46">
        <f>IF(AND( C103="Buy", W103&lt;&gt;"", AA103&lt;&gt;"", B103&lt;&gt;"DIV"), Z103/sum(F103:I103), "")</f>
        <v/>
      </c>
      <c r="Z152" s="49">
        <f>(1-Index!$F$2*2)*((W103*D103)-(E103*D103))</f>
        <v/>
      </c>
      <c r="AA152" s="49">
        <f>((E103*D103)+Z103)</f>
        <v/>
      </c>
      <c r="AB152" s="50">
        <f>D103</f>
        <v/>
      </c>
      <c r="AC152" s="49" t="n"/>
      <c r="AD152" s="59" t="inlineStr">
        <is>
          <t>SBI Securities</t>
        </is>
      </c>
    </row>
    <row r="153">
      <c r="A153" s="64" t="n">
        <v>43630</v>
      </c>
      <c r="B153" s="65" t="inlineStr">
        <is>
          <t>NSE</t>
        </is>
      </c>
      <c r="C153" s="65" t="inlineStr">
        <is>
          <t>Buy</t>
        </is>
      </c>
      <c r="D153" s="66" t="n">
        <v>20</v>
      </c>
      <c r="E153" s="42" t="n">
        <v>279.003</v>
      </c>
      <c r="F153" s="67" t="n">
        <v>5619.14</v>
      </c>
      <c r="G153" s="65" t="inlineStr">
        <is>
          <t>~</t>
        </is>
      </c>
      <c r="H153" s="68" t="n">
        <v>5.46</v>
      </c>
      <c r="I153" s="66" t="n">
        <v>33.68</v>
      </c>
      <c r="J153" s="42">
        <f>Index!$C$2</f>
        <v/>
      </c>
      <c r="K153" s="49" t="n"/>
      <c r="L153" s="49">
        <f>IF(AND( C104="Buy", ISBLANK(W104), B104&lt;&gt;"DIV"), ((J104*D104)-(E104*D104)+I104), "")</f>
        <v/>
      </c>
      <c r="M153" s="60">
        <f>IF(AND( C104="Buy", ISBLANK(W104), B104&lt;&gt;"DIV"), J104*D104, "")</f>
        <v/>
      </c>
      <c r="N153" s="61">
        <f>IF(AND( C104="Buy", ISBLANK(W104), B104&lt;&gt;"DIV"), D104, "")</f>
        <v/>
      </c>
      <c r="O153" s="62" t="n"/>
      <c r="P153" s="49" t="n"/>
      <c r="Q153" s="49" t="n"/>
      <c r="R153" s="49" t="n"/>
      <c r="S153" s="49" t="n"/>
      <c r="T153" s="49" t="n"/>
      <c r="U153" s="49" t="n"/>
      <c r="V153" s="49" t="n"/>
      <c r="W153" s="49" t="n">
        <v>233.022333</v>
      </c>
      <c r="X153" s="49" t="n">
        <v>44235</v>
      </c>
      <c r="Y153" s="46">
        <f>IF(AND( C104="Buy", W104&lt;&gt;"", AA104&lt;&gt;"", B104&lt;&gt;"DIV"), Z104/sum(F104:I104), "")</f>
        <v/>
      </c>
      <c r="Z153" s="49">
        <f>(1-Index!$F$2*2)*((W104*D104)-(E104*D104))</f>
        <v/>
      </c>
      <c r="AA153" s="49">
        <f>((E104*D104)+Z104)</f>
        <v/>
      </c>
      <c r="AB153" s="50">
        <f>D104</f>
        <v/>
      </c>
      <c r="AC153" s="49" t="n"/>
      <c r="AD153" s="59" t="inlineStr">
        <is>
          <t>SBI Securities</t>
        </is>
      </c>
    </row>
    <row r="154">
      <c r="A154" s="64" t="n">
        <v>43626</v>
      </c>
      <c r="B154" s="65" t="inlineStr">
        <is>
          <t>NSE</t>
        </is>
      </c>
      <c r="C154" s="65" t="inlineStr">
        <is>
          <t>Buy</t>
        </is>
      </c>
      <c r="D154" s="66" t="n">
        <v>20</v>
      </c>
      <c r="E154" s="42" t="n">
        <v>278.5035</v>
      </c>
      <c r="F154" s="67" t="n">
        <v>5608.93</v>
      </c>
      <c r="G154" s="65" t="inlineStr">
        <is>
          <t>~</t>
        </is>
      </c>
      <c r="H154" s="68" t="n">
        <v>5.37</v>
      </c>
      <c r="I154" s="66" t="n">
        <v>33.56</v>
      </c>
      <c r="J154" s="42">
        <f>Index!$C$2</f>
        <v/>
      </c>
      <c r="K154" s="49" t="n"/>
      <c r="L154" s="49">
        <f>IF(AND( C105="Buy", ISBLANK(W105), B105&lt;&gt;"DIV"), ((J105*D105)-(E105*D105)+I105), "")</f>
        <v/>
      </c>
      <c r="M154" s="60">
        <f>IF(AND( C105="Buy", ISBLANK(W105), B105&lt;&gt;"DIV"), J105*D105, "")</f>
        <v/>
      </c>
      <c r="N154" s="61">
        <f>IF(AND( C105="Buy", ISBLANK(W105), B105&lt;&gt;"DIV"), D105, "")</f>
        <v/>
      </c>
      <c r="O154" s="62" t="n"/>
      <c r="P154" s="49" t="n"/>
      <c r="Q154" s="49" t="n"/>
      <c r="R154" s="49" t="n"/>
      <c r="S154" s="49" t="n"/>
      <c r="T154" s="49" t="n"/>
      <c r="U154" s="49" t="n"/>
      <c r="V154" s="49" t="n"/>
      <c r="W154" s="49" t="n">
        <v>233.022333</v>
      </c>
      <c r="X154" s="49" t="n">
        <v>44235</v>
      </c>
      <c r="Y154" s="46">
        <f>IF(AND( C105="Buy", W105&lt;&gt;"", AA105&lt;&gt;"", B105&lt;&gt;"DIV"), Z105/sum(F105:I105), "")</f>
        <v/>
      </c>
      <c r="Z154" s="49">
        <f>(1-Index!$F$2*2)*((W105*D105)-(E105*D105))</f>
        <v/>
      </c>
      <c r="AA154" s="49">
        <f>((E105*D105)+Z105)</f>
        <v/>
      </c>
      <c r="AB154" s="50">
        <f>D105</f>
        <v/>
      </c>
      <c r="AC154" s="49" t="n"/>
      <c r="AD154" s="59" t="inlineStr">
        <is>
          <t>SBI Securities</t>
        </is>
      </c>
    </row>
    <row r="155">
      <c r="A155" s="64" t="n">
        <v>43619</v>
      </c>
      <c r="B155" s="65" t="inlineStr">
        <is>
          <t>NSE</t>
        </is>
      </c>
      <c r="C155" s="65" t="inlineStr">
        <is>
          <t>Buy</t>
        </is>
      </c>
      <c r="D155" s="66" t="n">
        <v>40</v>
      </c>
      <c r="E155" s="42" t="n">
        <v>276.9495</v>
      </c>
      <c r="F155" s="67" t="n">
        <v>11155.624</v>
      </c>
      <c r="G155" s="65" t="inlineStr">
        <is>
          <t>~</t>
        </is>
      </c>
      <c r="H155" s="68" t="n">
        <v>10.84</v>
      </c>
      <c r="I155" s="66" t="n">
        <v>66.78400000000001</v>
      </c>
      <c r="J155" s="42">
        <f>Index!$C$2</f>
        <v/>
      </c>
      <c r="K155" s="49" t="n"/>
      <c r="L155" s="49">
        <f>IF(AND( C106="Buy", ISBLANK(W106), B106&lt;&gt;"DIV"), ((J106*D106)-(E106*D106)+I106), "")</f>
        <v/>
      </c>
      <c r="M155" s="60">
        <f>IF(AND( C106="Buy", ISBLANK(W106), B106&lt;&gt;"DIV"), J106*D106, "")</f>
        <v/>
      </c>
      <c r="N155" s="61">
        <f>IF(AND( C106="Buy", ISBLANK(W106), B106&lt;&gt;"DIV"), D106, "")</f>
        <v/>
      </c>
      <c r="O155" s="62" t="n"/>
      <c r="P155" s="49" t="n"/>
      <c r="Q155" s="49" t="n"/>
      <c r="R155" s="49" t="n"/>
      <c r="S155" s="49" t="n"/>
      <c r="T155" s="49" t="n"/>
      <c r="U155" s="49" t="n"/>
      <c r="V155" s="49" t="n"/>
      <c r="W155" s="49" t="n">
        <v>233.022333</v>
      </c>
      <c r="X155" s="49" t="n">
        <v>44235</v>
      </c>
      <c r="Y155" s="46">
        <f>IF(AND( C106="Buy", W106&lt;&gt;"", AA106&lt;&gt;"", B106&lt;&gt;"DIV"), Z106/sum(F106:I106), "")</f>
        <v/>
      </c>
      <c r="Z155" s="49">
        <f>(1-Index!$F$2*2)*((W106*D106)-(E106*D106))</f>
        <v/>
      </c>
      <c r="AA155" s="49">
        <f>((E106*D106)+Z106)</f>
        <v/>
      </c>
      <c r="AB155" s="50">
        <f>D106</f>
        <v/>
      </c>
      <c r="AC155" s="49" t="n"/>
      <c r="AD155" s="59" t="inlineStr">
        <is>
          <t>SBI Securities</t>
        </is>
      </c>
    </row>
    <row r="156">
      <c r="A156" s="64" t="n">
        <v>43619</v>
      </c>
      <c r="B156" s="65" t="inlineStr">
        <is>
          <t>NSE</t>
        </is>
      </c>
      <c r="C156" s="65" t="inlineStr">
        <is>
          <t>Buy</t>
        </is>
      </c>
      <c r="D156" s="66" t="n">
        <v>10</v>
      </c>
      <c r="E156" s="42" t="n">
        <v>276.949</v>
      </c>
      <c r="F156" s="67" t="n">
        <v>2788.906</v>
      </c>
      <c r="G156" s="65" t="inlineStr">
        <is>
          <t>~</t>
        </is>
      </c>
      <c r="H156" s="68" t="n">
        <v>2.71</v>
      </c>
      <c r="I156" s="66" t="n">
        <v>16.696</v>
      </c>
      <c r="J156" s="42">
        <f>Index!$C$2</f>
        <v/>
      </c>
      <c r="K156" s="49" t="n"/>
      <c r="L156" s="49">
        <f>IF(AND( C107="Buy", ISBLANK(W107), B107&lt;&gt;"DIV"), ((J107*D107)-(E107*D107)+I107), "")</f>
        <v/>
      </c>
      <c r="M156" s="60">
        <f>IF(AND( C107="Buy", ISBLANK(W107), B107&lt;&gt;"DIV"), J107*D107, "")</f>
        <v/>
      </c>
      <c r="N156" s="61">
        <f>IF(AND( C107="Buy", ISBLANK(W107), B107&lt;&gt;"DIV"), D107, "")</f>
        <v/>
      </c>
      <c r="O156" s="62" t="n"/>
      <c r="P156" s="49" t="n"/>
      <c r="Q156" s="49" t="n"/>
      <c r="R156" s="49" t="n"/>
      <c r="S156" s="49" t="n"/>
      <c r="T156" s="49" t="n"/>
      <c r="U156" s="49" t="n"/>
      <c r="V156" s="49" t="n"/>
      <c r="W156" s="49" t="n">
        <v>228.331471</v>
      </c>
      <c r="X156" s="49" t="n">
        <v>44232</v>
      </c>
      <c r="Y156" s="46">
        <f>IF(AND( C107="Buy", W107&lt;&gt;"", AA107&lt;&gt;"", B107&lt;&gt;"DIV"), Z107/sum(F107:I107), "")</f>
        <v/>
      </c>
      <c r="Z156" s="49">
        <f>(1-Index!$F$2*2)*((W107*D107)-(E107*D107))</f>
        <v/>
      </c>
      <c r="AA156" s="49">
        <f>((E107*D107)+Z107)</f>
        <v/>
      </c>
      <c r="AB156" s="50">
        <f>D107</f>
        <v/>
      </c>
      <c r="AC156" s="49" t="n"/>
      <c r="AD156" s="59" t="inlineStr">
        <is>
          <t>SBI Securities</t>
        </is>
      </c>
    </row>
    <row r="157">
      <c r="A157" s="64" t="n">
        <v>43616</v>
      </c>
      <c r="B157" s="65" t="inlineStr">
        <is>
          <t>NSE</t>
        </is>
      </c>
      <c r="C157" s="65" t="inlineStr">
        <is>
          <t>Buy</t>
        </is>
      </c>
      <c r="D157" s="66" t="n">
        <v>30</v>
      </c>
      <c r="E157" s="42" t="n">
        <v>290.696667</v>
      </c>
      <c r="F157" s="67" t="n">
        <v>8782.299999999999</v>
      </c>
      <c r="G157" s="65" t="inlineStr">
        <is>
          <t>~</t>
        </is>
      </c>
      <c r="H157" s="68" t="n">
        <v>8.789999999999999</v>
      </c>
      <c r="I157" s="66" t="n">
        <v>52.51</v>
      </c>
      <c r="J157" s="42">
        <f>Index!$C$2</f>
        <v/>
      </c>
      <c r="K157" s="49" t="n"/>
      <c r="L157" s="49">
        <f>IF(AND( C108="Buy", ISBLANK(W108), B108&lt;&gt;"DIV"), ((J108*D108)-(E108*D108)+I108), "")</f>
        <v/>
      </c>
      <c r="M157" s="60">
        <f>IF(AND( C108="Buy", ISBLANK(W108), B108&lt;&gt;"DIV"), J108*D108, "")</f>
        <v/>
      </c>
      <c r="N157" s="61">
        <f>IF(AND( C108="Buy", ISBLANK(W108), B108&lt;&gt;"DIV"), D108, "")</f>
        <v/>
      </c>
      <c r="O157" s="62" t="n"/>
      <c r="P157" s="49">
        <f>IF(AND( C108="Buy", ISBLANK(W108), B108&lt;&gt;"DIV", NOW()-A108 &lt; 365), (J108*D108)-(E108*D108), "")</f>
        <v/>
      </c>
      <c r="Q157" s="49">
        <f>IF(AND( C108="Buy", ISBLANK(W108), B108&lt;&gt;"DIV", NOW()-A108 &lt; 365), J108*D108, "")</f>
        <v/>
      </c>
      <c r="R157" s="49">
        <f>IF(AND( C108="Buy", ISBLANK(W108), B108&lt;&gt;"DIV", NOW()-A108 &lt; 365), D108, "")</f>
        <v/>
      </c>
      <c r="S157" s="49" t="n"/>
      <c r="T157" s="49">
        <f>IF(AND( C108="Buy", ISBLANK(W108), B108&lt;&gt;"DIV", NOW()-A108 &gt; 365), (J108*D108)-(E108*D108), "")</f>
        <v/>
      </c>
      <c r="U157" s="49">
        <f>IF(AND( C108="Buy", ISBLANK(W108), B108&lt;&gt;"DIV", NOW()-A108 &gt; 365), J108*D108, "")</f>
        <v/>
      </c>
      <c r="V157" s="49">
        <f>IF(AND( C108="Buy", ISBLANK(W108), B108&lt;&gt;"DIV", NOW()-A108 &gt; 365), D108, "")</f>
        <v/>
      </c>
      <c r="W157" s="49" t="n">
        <v>228.331471</v>
      </c>
      <c r="X157" s="49" t="n">
        <v>44232</v>
      </c>
      <c r="Y157" s="46">
        <f>IF(AND( C108="Buy", W108&lt;&gt;"", AA108&lt;&gt;"", B108&lt;&gt;"DIV"), Z108/sum(F108:I108), "")</f>
        <v/>
      </c>
      <c r="Z157" s="49">
        <f>(1-Index!$F$2*2)*((W108*D108)-(E108*D108))</f>
        <v/>
      </c>
      <c r="AA157" s="49">
        <f>((E108*D108)+Z108)</f>
        <v/>
      </c>
      <c r="AB157" s="50">
        <f>D108</f>
        <v/>
      </c>
      <c r="AC157" s="49" t="n"/>
      <c r="AD157" s="59" t="inlineStr">
        <is>
          <t>SBI Securities</t>
        </is>
      </c>
    </row>
    <row r="158">
      <c r="A158" s="64" t="n">
        <v>43615</v>
      </c>
      <c r="B158" s="65" t="inlineStr">
        <is>
          <t>NSE</t>
        </is>
      </c>
      <c r="C158" s="65" t="inlineStr">
        <is>
          <t>Buy</t>
        </is>
      </c>
      <c r="D158" s="66" t="n">
        <v>30</v>
      </c>
      <c r="E158" s="42" t="n">
        <v>290.545667</v>
      </c>
      <c r="F158" s="67" t="n">
        <v>8777.83</v>
      </c>
      <c r="G158" s="65" t="inlineStr">
        <is>
          <t>~</t>
        </is>
      </c>
      <c r="H158" s="68" t="n">
        <v>8.960000000000001</v>
      </c>
      <c r="I158" s="66" t="n">
        <v>52.37</v>
      </c>
      <c r="J158" s="42">
        <f>Index!$C$2</f>
        <v/>
      </c>
      <c r="K158" s="49" t="n"/>
      <c r="L158" s="49">
        <f>IF(AND( C109="Buy", ISBLANK(W109), B109&lt;&gt;"DIV"), ((J109*D109)-(E109*D109)+I109), "")</f>
        <v/>
      </c>
      <c r="M158" s="60">
        <f>IF(AND( C109="Buy", ISBLANK(W109), B109&lt;&gt;"DIV"), J109*D109, "")</f>
        <v/>
      </c>
      <c r="N158" s="61">
        <f>IF(AND( C109="Buy", ISBLANK(W109), B109&lt;&gt;"DIV"), D109, "")</f>
        <v/>
      </c>
      <c r="O158" s="62" t="n"/>
      <c r="P158" s="49" t="n"/>
      <c r="Q158" s="49" t="n"/>
      <c r="R158" s="49" t="n"/>
      <c r="S158" s="49" t="n"/>
      <c r="T158" s="49" t="n"/>
      <c r="U158" s="49" t="n"/>
      <c r="V158" s="49" t="n"/>
      <c r="W158" s="49" t="n">
        <v>228.331471</v>
      </c>
      <c r="X158" s="49" t="n">
        <v>44232</v>
      </c>
      <c r="Y158" s="46">
        <f>IF(AND( C109="Buy", W109&lt;&gt;"", AA109&lt;&gt;"", B109&lt;&gt;"DIV"), Z109/sum(F109:I109), "")</f>
        <v/>
      </c>
      <c r="Z158" s="49">
        <f>(1-Index!$F$2*2)*((W109*D109)-(E109*D109))</f>
        <v/>
      </c>
      <c r="AA158" s="49">
        <f>((E109*D109)+Z109)</f>
        <v/>
      </c>
      <c r="AB158" s="50">
        <f>D109</f>
        <v/>
      </c>
      <c r="AC158" s="49" t="n"/>
      <c r="AD158" s="59" t="inlineStr">
        <is>
          <t>SBI Securities</t>
        </is>
      </c>
    </row>
    <row r="159">
      <c r="A159" s="64" t="n">
        <v>43612</v>
      </c>
      <c r="B159" s="65" t="inlineStr">
        <is>
          <t>NSE</t>
        </is>
      </c>
      <c r="C159" s="65" t="inlineStr">
        <is>
          <t>Buy</t>
        </is>
      </c>
      <c r="D159" s="66" t="n">
        <v>10</v>
      </c>
      <c r="E159" s="42" t="n">
        <v>292.002</v>
      </c>
      <c r="F159" s="67" t="n">
        <v>2940.58</v>
      </c>
      <c r="G159" s="65" t="inlineStr">
        <is>
          <t>~</t>
        </is>
      </c>
      <c r="H159" s="68" t="n">
        <v>2.9</v>
      </c>
      <c r="I159" s="66" t="n">
        <v>17.68</v>
      </c>
      <c r="J159" s="42">
        <f>Index!$C$2</f>
        <v/>
      </c>
      <c r="K159" s="49" t="n"/>
      <c r="L159" s="49">
        <f>IF(AND( C110="Buy", ISBLANK(W110), B110&lt;&gt;"DIV"), ((J110*D110)-(E110*D110)+I110), "")</f>
        <v/>
      </c>
      <c r="M159" s="60">
        <f>IF(AND( C110="Buy", ISBLANK(W110), B110&lt;&gt;"DIV"), J110*D110, "")</f>
        <v/>
      </c>
      <c r="N159" s="61">
        <f>IF(AND( C110="Buy", ISBLANK(W110), B110&lt;&gt;"DIV"), D110, "")</f>
        <v/>
      </c>
      <c r="O159" s="62" t="n"/>
      <c r="P159" s="49" t="n"/>
      <c r="Q159" s="49" t="n"/>
      <c r="R159" s="49" t="n"/>
      <c r="S159" s="49" t="n"/>
      <c r="T159" s="49" t="n"/>
      <c r="U159" s="49" t="n"/>
      <c r="V159" s="49" t="n"/>
      <c r="W159" s="49" t="n">
        <v>228.331471</v>
      </c>
      <c r="X159" s="49" t="n">
        <v>44232</v>
      </c>
      <c r="Y159" s="46">
        <f>IF(AND( C110="Buy", W110&lt;&gt;"", AA110&lt;&gt;"", B110&lt;&gt;"DIV"), Z110/sum(F110:I110), "")</f>
        <v/>
      </c>
      <c r="Z159" s="49">
        <f>(1-Index!$F$2*2)*((W110*D110)-(E110*D110))</f>
        <v/>
      </c>
      <c r="AA159" s="49">
        <f>((E110*D110)+Z110)</f>
        <v/>
      </c>
      <c r="AB159" s="50">
        <f>D110</f>
        <v/>
      </c>
      <c r="AC159" s="49" t="n"/>
      <c r="AD159" s="59" t="inlineStr">
        <is>
          <t>SBI Securities</t>
        </is>
      </c>
    </row>
    <row r="160">
      <c r="A160" s="64" t="n">
        <v>43609</v>
      </c>
      <c r="B160" s="65" t="inlineStr">
        <is>
          <t>NSE</t>
        </is>
      </c>
      <c r="C160" s="65" t="inlineStr">
        <is>
          <t>Buy</t>
        </is>
      </c>
      <c r="D160" s="66" t="n">
        <v>60</v>
      </c>
      <c r="E160" s="42" t="n">
        <v>288.3625</v>
      </c>
      <c r="F160" s="67" t="n">
        <v>17423.3</v>
      </c>
      <c r="G160" s="65" t="inlineStr">
        <is>
          <t>~</t>
        </is>
      </c>
      <c r="H160" s="68" t="n">
        <v>17</v>
      </c>
      <c r="I160" s="66" t="n">
        <v>104.65</v>
      </c>
      <c r="J160" s="42">
        <f>Index!$C$2</f>
        <v/>
      </c>
      <c r="K160" s="49" t="n"/>
      <c r="L160" s="49">
        <f>IF(AND( C111="Buy", ISBLANK(W111), B111&lt;&gt;"DIV"), ((J111*D111)-(E111*D111)+I111), "")</f>
        <v/>
      </c>
      <c r="M160" s="60">
        <f>IF(AND( C111="Buy", ISBLANK(W111), B111&lt;&gt;"DIV"), J111*D111, "")</f>
        <v/>
      </c>
      <c r="N160" s="61">
        <f>IF(AND( C111="Buy", ISBLANK(W111), B111&lt;&gt;"DIV"), D111, "")</f>
        <v/>
      </c>
      <c r="O160" s="62" t="n"/>
      <c r="P160" s="49" t="n"/>
      <c r="Q160" s="49" t="n"/>
      <c r="R160" s="49" t="n"/>
      <c r="S160" s="49" t="n"/>
      <c r="T160" s="49" t="n"/>
      <c r="U160" s="49" t="n"/>
      <c r="V160" s="49" t="n"/>
      <c r="W160" s="49" t="n">
        <v>228.331471</v>
      </c>
      <c r="X160" s="49" t="n">
        <v>44232</v>
      </c>
      <c r="Y160" s="46">
        <f>IF(AND( C111="Buy", W111&lt;&gt;"", AA111&lt;&gt;"", B111&lt;&gt;"DIV"), Z111/sum(F111:I111), "")</f>
        <v/>
      </c>
      <c r="Z160" s="49">
        <f>(1-Index!$F$2*2)*((W111*D111)-(E111*D111))</f>
        <v/>
      </c>
      <c r="AA160" s="49">
        <f>((E111*D111)+Z111)</f>
        <v/>
      </c>
      <c r="AB160" s="50">
        <f>D111</f>
        <v/>
      </c>
      <c r="AC160" s="49" t="n"/>
      <c r="AD160" s="59" t="inlineStr">
        <is>
          <t>SBI Securities</t>
        </is>
      </c>
    </row>
    <row r="161">
      <c r="A161" s="64" t="n">
        <v>43607</v>
      </c>
      <c r="B161" s="65" t="inlineStr">
        <is>
          <t>DIV</t>
        </is>
      </c>
      <c r="C161" s="65" t="inlineStr">
        <is>
          <t>Buy</t>
        </is>
      </c>
      <c r="D161" s="66" t="n">
        <v>230</v>
      </c>
      <c r="E161" s="42" t="n">
        <v>5.75</v>
      </c>
      <c r="F161" s="67" t="n">
        <v>1322.5</v>
      </c>
      <c r="G161" s="65" t="inlineStr">
        <is>
          <t>Dividend of Rs.5.7500/- per share on 22-MAY-2019</t>
        </is>
      </c>
      <c r="H161" s="68" t="n">
        <v>0</v>
      </c>
      <c r="I161" s="66" t="n">
        <v>0</v>
      </c>
      <c r="J161" s="42">
        <f>Index!$C$2</f>
        <v/>
      </c>
      <c r="K161" s="49" t="n"/>
      <c r="L161" s="49">
        <f>IF(AND( C112="Buy", ISBLANK(W112), B112&lt;&gt;"DIV"), ((J112*D112)-(E112*D112)+I112), "")</f>
        <v/>
      </c>
      <c r="M161" s="60">
        <f>IF(AND( C112="Buy", ISBLANK(W112), B112&lt;&gt;"DIV"), J112*D112, "")</f>
        <v/>
      </c>
      <c r="N161" s="61">
        <f>IF(AND( C112="Buy", ISBLANK(W112), B112&lt;&gt;"DIV"), D112, "")</f>
        <v/>
      </c>
      <c r="O161" s="62" t="n"/>
      <c r="P161" s="49">
        <f>if(C112="DIV", G112,"")</f>
        <v/>
      </c>
      <c r="Q161" s="49">
        <f>if(D112="DIV", H112,"")</f>
        <v/>
      </c>
      <c r="R161" s="49">
        <f>if(E112="DIV", I112,"")</f>
        <v/>
      </c>
      <c r="S161" s="49" t="n"/>
      <c r="T161" s="49">
        <f>if(G112="DIV", N112,"")</f>
        <v/>
      </c>
      <c r="U161" s="49">
        <f>if(H112="DIV", #REF!,"")</f>
        <v/>
      </c>
      <c r="V161" s="49">
        <f>if(I112="DIV", #REF!,"")</f>
        <v/>
      </c>
      <c r="W161" s="49" t="n"/>
      <c r="X161" s="49" t="n"/>
      <c r="Y161" s="46">
        <f>IF(AND( C112="Buy", W112&lt;&gt;"", AA112&lt;&gt;"", B112&lt;&gt;"DIV"), Z112/sum(F112:I112), "")</f>
        <v/>
      </c>
      <c r="Z161" s="49" t="n"/>
      <c r="AA161" s="49" t="n"/>
      <c r="AB161" s="50" t="n"/>
      <c r="AC161" s="49">
        <f>if(B112="DIV", F112,"")</f>
        <v/>
      </c>
      <c r="AD161" s="59" t="inlineStr">
        <is>
          <t>SBI Securities</t>
        </is>
      </c>
    </row>
    <row r="162">
      <c r="A162" s="64" t="n">
        <v>43403</v>
      </c>
      <c r="B162" s="65" t="inlineStr">
        <is>
          <t>NSE</t>
        </is>
      </c>
      <c r="C162" s="65" t="inlineStr">
        <is>
          <t>Buy</t>
        </is>
      </c>
      <c r="D162" s="66" t="n">
        <v>20</v>
      </c>
      <c r="E162" s="42" t="n">
        <v>282.8</v>
      </c>
      <c r="F162" s="67" t="n">
        <v>5695.4</v>
      </c>
      <c r="G162" s="65" t="inlineStr">
        <is>
          <t>~</t>
        </is>
      </c>
      <c r="H162" s="68" t="n">
        <v>5.42</v>
      </c>
      <c r="I162" s="66" t="n">
        <v>33.98</v>
      </c>
      <c r="J162" s="42">
        <f>Index!$C$2</f>
        <v/>
      </c>
      <c r="K162" s="49" t="n"/>
      <c r="L162" s="49">
        <f>IF(AND( C113="Buy", ISBLANK(W113), B113&lt;&gt;"DIV"), ((J113*D113)-(E113*D113)+I113), "")</f>
        <v/>
      </c>
      <c r="M162" s="60">
        <f>IF(AND( C113="Buy", ISBLANK(W113), B113&lt;&gt;"DIV"), J113*D113, "")</f>
        <v/>
      </c>
      <c r="N162" s="61">
        <f>IF(AND( C113="Buy", ISBLANK(W113), B113&lt;&gt;"DIV"), D113, "")</f>
        <v/>
      </c>
      <c r="O162" s="62" t="n"/>
      <c r="P162" s="49" t="n"/>
      <c r="Q162" s="49" t="n"/>
      <c r="R162" s="49" t="n"/>
      <c r="S162" s="49" t="n"/>
      <c r="T162" s="49" t="n"/>
      <c r="U162" s="49" t="n"/>
      <c r="V162" s="49" t="n"/>
      <c r="W162" s="49" t="n">
        <v>228.331471</v>
      </c>
      <c r="X162" s="49" t="n">
        <v>44232</v>
      </c>
      <c r="Y162" s="46">
        <f>IF(AND( C113="Buy", W113&lt;&gt;"", AA113&lt;&gt;"", B113&lt;&gt;"DIV"), Z113/sum(F113:I113), "")</f>
        <v/>
      </c>
      <c r="Z162" s="49">
        <f>(1-Index!$F$2*2)*((W113*D113)-(E113*D113))</f>
        <v/>
      </c>
      <c r="AA162" s="49">
        <f>((E113*D113)+Z113)</f>
        <v/>
      </c>
      <c r="AB162" s="50">
        <f>D113</f>
        <v/>
      </c>
      <c r="AC162" s="49" t="n"/>
      <c r="AD162" s="59" t="inlineStr">
        <is>
          <t>SBI Securities</t>
        </is>
      </c>
    </row>
    <row r="163">
      <c r="A163" s="64" t="n">
        <v>43383</v>
      </c>
      <c r="B163" s="65" t="inlineStr">
        <is>
          <t>NSE</t>
        </is>
      </c>
      <c r="C163" s="65" t="inlineStr">
        <is>
          <t>Buy</t>
        </is>
      </c>
      <c r="D163" s="66" t="n">
        <v>10</v>
      </c>
      <c r="E163" s="42" t="n">
        <v>268.748</v>
      </c>
      <c r="F163" s="67" t="n">
        <v>2706.41333</v>
      </c>
      <c r="G163" s="65" t="inlineStr">
        <is>
          <t>~</t>
        </is>
      </c>
      <c r="H163" s="68" t="n">
        <v>2.66666</v>
      </c>
      <c r="I163" s="66" t="n">
        <v>16.2466</v>
      </c>
      <c r="J163" s="42">
        <f>Index!$C$2</f>
        <v/>
      </c>
      <c r="K163" s="49" t="n"/>
      <c r="L163" s="49">
        <f>IF(AND( C114="Buy", ISBLANK(W114), B114&lt;&gt;"DIV"), ((J114*D114)-(E114*D114)+I114), "")</f>
        <v/>
      </c>
      <c r="M163" s="60">
        <f>IF(AND( C114="Buy", ISBLANK(W114), B114&lt;&gt;"DIV"), J114*D114, "")</f>
        <v/>
      </c>
      <c r="N163" s="61">
        <f>IF(AND( C114="Buy", ISBLANK(W114), B114&lt;&gt;"DIV"), D114, "")</f>
        <v/>
      </c>
      <c r="O163" s="62" t="n"/>
      <c r="P163" s="49" t="n"/>
      <c r="Q163" s="49" t="n"/>
      <c r="R163" s="49" t="n"/>
      <c r="S163" s="49" t="n"/>
      <c r="T163" s="49" t="n"/>
      <c r="U163" s="49" t="n"/>
      <c r="V163" s="49" t="n"/>
      <c r="W163" s="49" t="n">
        <v>228.331471</v>
      </c>
      <c r="X163" s="49" t="n">
        <v>44232</v>
      </c>
      <c r="Y163" s="46">
        <f>IF(AND( C114="Buy", W114&lt;&gt;"", AA114&lt;&gt;"", B114&lt;&gt;"DIV"), Z114/sum(F114:I114), "")</f>
        <v/>
      </c>
      <c r="Z163" s="49">
        <f>(1-Index!$F$2*2)*((W114*D114)-(E114*D114))</f>
        <v/>
      </c>
      <c r="AA163" s="49">
        <f>((E114*D114)+Z114)</f>
        <v/>
      </c>
      <c r="AB163" s="50">
        <f>D114</f>
        <v/>
      </c>
      <c r="AC163" s="49" t="n"/>
      <c r="AD163" s="59" t="inlineStr">
        <is>
          <t>SBI Securities</t>
        </is>
      </c>
    </row>
    <row r="164">
      <c r="A164" s="64" t="n">
        <v>43383</v>
      </c>
      <c r="B164" s="65" t="inlineStr">
        <is>
          <t>NSE</t>
        </is>
      </c>
      <c r="C164" s="65" t="inlineStr">
        <is>
          <t>Buy</t>
        </is>
      </c>
      <c r="D164" s="66" t="n">
        <v>20</v>
      </c>
      <c r="E164" s="42" t="n">
        <v>268.749</v>
      </c>
      <c r="F164" s="67" t="n">
        <v>5412.826666</v>
      </c>
      <c r="G164" s="65" t="inlineStr">
        <is>
          <t>~</t>
        </is>
      </c>
      <c r="H164" s="68" t="n">
        <v>5.3333</v>
      </c>
      <c r="I164" s="66" t="n">
        <v>32.49333</v>
      </c>
      <c r="J164" s="42">
        <f>Index!$C$2</f>
        <v/>
      </c>
      <c r="K164" s="49" t="n"/>
      <c r="L164" s="49">
        <f>IF(AND( C115="Buy", ISBLANK(W115), B115&lt;&gt;"DIV"), ((J115*D115)-(E115*D115)+I115), "")</f>
        <v/>
      </c>
      <c r="M164" s="60">
        <f>IF(AND( C115="Buy", ISBLANK(W115), B115&lt;&gt;"DIV"), J115*D115, "")</f>
        <v/>
      </c>
      <c r="N164" s="61">
        <f>IF(AND( C115="Buy", ISBLANK(W115), B115&lt;&gt;"DIV"), D115, "")</f>
        <v/>
      </c>
      <c r="O164" s="62" t="n"/>
      <c r="P164" s="49" t="n"/>
      <c r="Q164" s="49" t="n"/>
      <c r="R164" s="49" t="n"/>
      <c r="S164" s="49" t="n"/>
      <c r="T164" s="49" t="n"/>
      <c r="U164" s="49" t="n"/>
      <c r="V164" s="49" t="n"/>
      <c r="W164" s="49" t="n">
        <v>225.03915</v>
      </c>
      <c r="X164" s="49" t="n">
        <v>44231</v>
      </c>
      <c r="Y164" s="46">
        <f>IF(AND( C115="Buy", W115&lt;&gt;"", AA115&lt;&gt;"", B115&lt;&gt;"DIV"), Z115/sum(F115:I115), "")</f>
        <v/>
      </c>
      <c r="Z164" s="49">
        <f>(1-Index!$F$2*2)*((W115*D115)-(E115*D115))</f>
        <v/>
      </c>
      <c r="AA164" s="49">
        <f>((E115*D115)+Z115)</f>
        <v/>
      </c>
      <c r="AB164" s="50">
        <f>D115</f>
        <v/>
      </c>
      <c r="AC164" s="49" t="n"/>
      <c r="AD164" s="59" t="inlineStr">
        <is>
          <t>SBI Securities</t>
        </is>
      </c>
    </row>
    <row r="165">
      <c r="A165" s="64" t="n">
        <v>43382</v>
      </c>
      <c r="B165" s="65" t="inlineStr">
        <is>
          <t>NSE</t>
        </is>
      </c>
      <c r="C165" s="65" t="inlineStr">
        <is>
          <t>Buy</t>
        </is>
      </c>
      <c r="D165" s="66" t="n">
        <v>30</v>
      </c>
      <c r="E165" s="42" t="n">
        <v>273.051</v>
      </c>
      <c r="F165" s="67" t="n">
        <v>8249.370000000001</v>
      </c>
      <c r="G165" s="65" t="inlineStr">
        <is>
          <t>~</t>
        </is>
      </c>
      <c r="H165" s="68" t="n">
        <v>8.15</v>
      </c>
      <c r="I165" s="66" t="n">
        <v>49.72</v>
      </c>
      <c r="J165" s="42">
        <f>Index!$C$2</f>
        <v/>
      </c>
      <c r="K165" s="49" t="n"/>
      <c r="L165" s="49">
        <f>IF(AND( C116="Buy", ISBLANK(W116), B116&lt;&gt;"DIV"), ((J116*D116)-(E116*D116)+I116), "")</f>
        <v/>
      </c>
      <c r="M165" s="60">
        <f>IF(AND( C116="Buy", ISBLANK(W116), B116&lt;&gt;"DIV"), J116*D116, "")</f>
        <v/>
      </c>
      <c r="N165" s="61">
        <f>IF(AND( C116="Buy", ISBLANK(W116), B116&lt;&gt;"DIV"), D116, "")</f>
        <v/>
      </c>
      <c r="O165" s="62" t="n"/>
      <c r="P165" s="49" t="n"/>
      <c r="Q165" s="49" t="n"/>
      <c r="R165" s="49" t="n"/>
      <c r="S165" s="49" t="n"/>
      <c r="T165" s="49" t="n"/>
      <c r="U165" s="49" t="n"/>
      <c r="V165" s="49" t="n"/>
      <c r="W165" s="49" t="n">
        <v>225.03915</v>
      </c>
      <c r="X165" s="49" t="n">
        <v>44231</v>
      </c>
      <c r="Y165" s="46">
        <f>IF(AND( C116="Buy", W116&lt;&gt;"", AA116&lt;&gt;"", B116&lt;&gt;"DIV"), Z116/sum(F116:I116), "")</f>
        <v/>
      </c>
      <c r="Z165" s="49">
        <f>(1-Index!$F$2*2)*((W116*D116)-(E116*D116))</f>
        <v/>
      </c>
      <c r="AA165" s="49">
        <f>((E116*D116)+Z116)</f>
        <v/>
      </c>
      <c r="AB165" s="50">
        <f>D116</f>
        <v/>
      </c>
      <c r="AC165" s="49" t="n"/>
      <c r="AD165" s="59" t="inlineStr">
        <is>
          <t>SBI Securities</t>
        </is>
      </c>
    </row>
    <row r="166">
      <c r="A166" s="64" t="n">
        <v>43245</v>
      </c>
      <c r="B166" s="65" t="inlineStr">
        <is>
          <t>DIV</t>
        </is>
      </c>
      <c r="C166" s="65" t="inlineStr">
        <is>
          <t>Buy</t>
        </is>
      </c>
      <c r="D166" s="66" t="n">
        <v>150</v>
      </c>
      <c r="E166" s="42" t="n">
        <v>5.15</v>
      </c>
      <c r="F166" s="67" t="n">
        <v>772.5</v>
      </c>
      <c r="G166" s="65" t="inlineStr">
        <is>
          <t>Dividend of Rs.5.1500/- per share on 25-MAY-2018</t>
        </is>
      </c>
      <c r="H166" s="68" t="n">
        <v>0</v>
      </c>
      <c r="I166" s="66" t="n">
        <v>0</v>
      </c>
      <c r="J166" s="42">
        <f>Index!$C$2</f>
        <v/>
      </c>
      <c r="K166" s="49" t="n"/>
      <c r="L166" s="49">
        <f>IF(AND( C117="Buy", ISBLANK(W117), B117&lt;&gt;"DIV"), ((J117*D117)-(E117*D117)+I117), "")</f>
        <v/>
      </c>
      <c r="M166" s="60">
        <f>IF(AND( C117="Buy", ISBLANK(W117), B117&lt;&gt;"DIV"), J117*D117, "")</f>
        <v/>
      </c>
      <c r="N166" s="61">
        <f>IF(AND( C117="Buy", ISBLANK(W117), B117&lt;&gt;"DIV"), D117, "")</f>
        <v/>
      </c>
      <c r="O166" s="62" t="n"/>
      <c r="P166" s="49">
        <f>if(C117="DIV", G117,"")</f>
        <v/>
      </c>
      <c r="Q166" s="49">
        <f>if(D117="DIV", H117,"")</f>
        <v/>
      </c>
      <c r="R166" s="49">
        <f>if(E117="DIV", I117,"")</f>
        <v/>
      </c>
      <c r="S166" s="49" t="n"/>
      <c r="T166" s="49">
        <f>if(G117="DIV", N117,"")</f>
        <v/>
      </c>
      <c r="U166" s="49">
        <f>if(H117="DIV", #REF!,"")</f>
        <v/>
      </c>
      <c r="V166" s="49">
        <f>if(I117="DIV", #REF!,"")</f>
        <v/>
      </c>
      <c r="W166" s="49" t="n"/>
      <c r="X166" s="49" t="n"/>
      <c r="Y166" s="46">
        <f>IF(AND( C117="Buy", W117&lt;&gt;"", AA117&lt;&gt;"", B117&lt;&gt;"DIV"), Z117/sum(F117:I117), "")</f>
        <v/>
      </c>
      <c r="Z166" s="49" t="n"/>
      <c r="AA166" s="49" t="n"/>
      <c r="AB166" s="50" t="n"/>
      <c r="AC166" s="49">
        <f>if(B117="DIV", F117,"")</f>
        <v/>
      </c>
      <c r="AD166" s="59" t="inlineStr">
        <is>
          <t>SBI Securities</t>
        </is>
      </c>
    </row>
    <row r="167">
      <c r="A167" s="64" t="n">
        <v>43209</v>
      </c>
      <c r="B167" s="65" t="inlineStr">
        <is>
          <t>NSE</t>
        </is>
      </c>
      <c r="C167" s="65" t="inlineStr">
        <is>
          <t>Buy</t>
        </is>
      </c>
      <c r="D167" s="66" t="n">
        <v>150</v>
      </c>
      <c r="E167" s="42" t="n">
        <v>276.097667</v>
      </c>
      <c r="F167" s="67" t="n">
        <v>41704.85</v>
      </c>
      <c r="G167" s="65" t="inlineStr">
        <is>
          <t>~</t>
        </is>
      </c>
      <c r="H167" s="68" t="n">
        <v>41</v>
      </c>
      <c r="I167" s="66" t="n">
        <v>248.85</v>
      </c>
      <c r="J167" s="42">
        <f>Index!$C$2</f>
        <v/>
      </c>
      <c r="K167" s="49" t="n"/>
      <c r="L167" s="49">
        <f>IF(AND( C118="Buy", ISBLANK(W118), B118&lt;&gt;"DIV"), ((J118*D118)-(E118*D118)+I118), "")</f>
        <v/>
      </c>
      <c r="M167" s="60">
        <f>IF(AND( C118="Buy", ISBLANK(W118), B118&lt;&gt;"DIV"), J118*D118, "")</f>
        <v/>
      </c>
      <c r="N167" s="61">
        <f>IF(AND( C118="Buy", ISBLANK(W118), B118&lt;&gt;"DIV"), D118, "")</f>
        <v/>
      </c>
      <c r="O167" s="62" t="n"/>
      <c r="P167" s="49" t="n"/>
      <c r="Q167" s="49" t="n"/>
      <c r="R167" s="49" t="n"/>
      <c r="S167" s="49" t="n"/>
      <c r="T167" s="49" t="n"/>
      <c r="U167" s="49" t="n"/>
      <c r="V167" s="49" t="n"/>
      <c r="W167" s="49" t="n">
        <v>225.03915</v>
      </c>
      <c r="X167" s="49" t="n">
        <v>44231</v>
      </c>
      <c r="Y167" s="46">
        <f>IF(AND( C118="Buy", W118&lt;&gt;"", AA118&lt;&gt;"", B118&lt;&gt;"DIV"), Z118/sum(F118:I118), "")</f>
        <v/>
      </c>
      <c r="Z167" s="49">
        <f>(1-Index!$F$2*2)*((W118*D118)-(E118*D118))</f>
        <v/>
      </c>
      <c r="AA167" s="49">
        <f>((E118*D118)+Z118)</f>
        <v/>
      </c>
      <c r="AB167" s="50">
        <f>D118</f>
        <v/>
      </c>
      <c r="AC167" s="49" t="n"/>
      <c r="AD167" s="59" t="inlineStr">
        <is>
          <t>SBI Securities</t>
        </is>
      </c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M1049" s="72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M1050" s="72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M1051" s="72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M1052" s="72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M1053" s="72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M1054" s="72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M1055" s="72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M1056" s="72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M1057" s="72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M1058" s="72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M1059" s="72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M1060" s="72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M1061" s="72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M1062" s="72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M1063" s="72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M1064" s="72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M1065" s="72" t="n"/>
      <c r="W1065" s="69" t="n"/>
      <c r="X1065" s="69" t="n"/>
      <c r="Y1065" s="69" t="n"/>
      <c r="Z1065" s="69" t="n"/>
      <c r="AA1065" s="69" t="n"/>
      <c r="AB1065" s="69" t="n"/>
      <c r="AC1065" s="69" t="n"/>
    </row>
    <row r="1066">
      <c r="E1066" s="69" t="n"/>
      <c r="F1066" s="69" t="n"/>
      <c r="G1066" s="70" t="n"/>
      <c r="H1066" s="69" t="n"/>
      <c r="J1066" s="69" t="n"/>
      <c r="K1066" s="69" t="n"/>
      <c r="L1066" s="69" t="n"/>
      <c r="M1066" s="72" t="n"/>
      <c r="W1066" s="69" t="n"/>
      <c r="X1066" s="69" t="n"/>
      <c r="Y1066" s="69" t="n"/>
      <c r="Z1066" s="69" t="n"/>
      <c r="AA1066" s="69" t="n"/>
      <c r="AB1066" s="69" t="n"/>
      <c r="AC1066" s="69" t="n"/>
    </row>
    <row r="1067">
      <c r="E1067" s="69" t="n"/>
      <c r="F1067" s="69" t="n"/>
      <c r="G1067" s="70" t="n"/>
      <c r="H1067" s="69" t="n"/>
      <c r="J1067" s="69" t="n"/>
      <c r="K1067" s="69" t="n"/>
      <c r="L1067" s="69" t="n"/>
      <c r="M1067" s="72" t="n"/>
      <c r="W1067" s="69" t="n"/>
      <c r="X1067" s="69" t="n"/>
      <c r="Y1067" s="69" t="n"/>
      <c r="Z1067" s="69" t="n"/>
      <c r="AA1067" s="69" t="n"/>
      <c r="AB1067" s="69" t="n"/>
      <c r="AC1067" s="69" t="n"/>
    </row>
    <row r="1068">
      <c r="E1068" s="69" t="n"/>
      <c r="F1068" s="69" t="n"/>
      <c r="G1068" s="70" t="n"/>
      <c r="H1068" s="69" t="n"/>
      <c r="J1068" s="69" t="n"/>
      <c r="K1068" s="69" t="n"/>
      <c r="L1068" s="69" t="n"/>
      <c r="M1068" s="72" t="n"/>
      <c r="W1068" s="69" t="n"/>
      <c r="X1068" s="69" t="n"/>
      <c r="Y1068" s="69" t="n"/>
      <c r="Z1068" s="69" t="n"/>
      <c r="AA1068" s="69" t="n"/>
      <c r="AB1068" s="69" t="n"/>
      <c r="AC1068" s="69" t="n"/>
    </row>
    <row r="1069">
      <c r="E1069" s="69" t="n"/>
      <c r="F1069" s="69" t="n"/>
      <c r="G1069" s="70" t="n"/>
      <c r="H1069" s="69" t="n"/>
      <c r="J1069" s="69" t="n"/>
      <c r="K1069" s="69" t="n"/>
      <c r="L1069" s="69" t="n"/>
      <c r="M1069" s="72" t="n"/>
      <c r="W1069" s="69" t="n"/>
      <c r="X1069" s="69" t="n"/>
      <c r="Y1069" s="69" t="n"/>
      <c r="Z1069" s="69" t="n"/>
      <c r="AA1069" s="69" t="n"/>
      <c r="AB1069" s="69" t="n"/>
      <c r="AC1069" s="69" t="n"/>
    </row>
    <row r="1070">
      <c r="E1070" s="69" t="n"/>
      <c r="F1070" s="69" t="n"/>
      <c r="G1070" s="70" t="n"/>
      <c r="H1070" s="69" t="n"/>
      <c r="J1070" s="69" t="n"/>
      <c r="K1070" s="69" t="n"/>
      <c r="L1070" s="69" t="n"/>
      <c r="M1070" s="72" t="n"/>
      <c r="W1070" s="69" t="n"/>
      <c r="X1070" s="69" t="n"/>
      <c r="Y1070" s="69" t="n"/>
      <c r="Z1070" s="69" t="n"/>
      <c r="AA1070" s="69" t="n"/>
      <c r="AB1070" s="69" t="n"/>
      <c r="AC1070" s="69" t="n"/>
    </row>
    <row r="1071">
      <c r="E1071" s="69" t="n"/>
      <c r="F1071" s="69" t="n"/>
      <c r="G1071" s="70" t="n"/>
      <c r="H1071" s="69" t="n"/>
      <c r="J1071" s="69" t="n"/>
      <c r="K1071" s="69" t="n"/>
      <c r="L1071" s="69" t="n"/>
      <c r="M1071" s="72" t="n"/>
      <c r="W1071" s="69" t="n"/>
      <c r="X1071" s="69" t="n"/>
      <c r="Y1071" s="69" t="n"/>
      <c r="Z1071" s="69" t="n"/>
      <c r="AA1071" s="69" t="n"/>
      <c r="AB1071" s="69" t="n"/>
      <c r="AC1071" s="69" t="n"/>
    </row>
    <row r="1072">
      <c r="E1072" s="69" t="n"/>
      <c r="F1072" s="69" t="n"/>
      <c r="G1072" s="70" t="n"/>
      <c r="H1072" s="69" t="n"/>
      <c r="J1072" s="69" t="n"/>
      <c r="K1072" s="69" t="n"/>
      <c r="L1072" s="69" t="n"/>
      <c r="M1072" s="72" t="n"/>
      <c r="W1072" s="69" t="n"/>
      <c r="X1072" s="69" t="n"/>
      <c r="Y1072" s="69" t="n"/>
      <c r="Z1072" s="69" t="n"/>
      <c r="AA1072" s="69" t="n"/>
      <c r="AB1072" s="69" t="n"/>
      <c r="AC1072" s="69" t="n"/>
    </row>
    <row r="1073">
      <c r="E1073" s="69" t="n"/>
      <c r="F1073" s="69" t="n"/>
      <c r="G1073" s="70" t="n"/>
      <c r="H1073" s="69" t="n"/>
      <c r="J1073" s="69" t="n"/>
      <c r="K1073" s="69" t="n"/>
      <c r="L1073" s="69" t="n"/>
      <c r="M1073" s="72" t="n"/>
      <c r="W1073" s="69" t="n"/>
      <c r="X1073" s="69" t="n"/>
      <c r="Y1073" s="69" t="n"/>
      <c r="Z1073" s="69" t="n"/>
      <c r="AA1073" s="69" t="n"/>
      <c r="AB1073" s="69" t="n"/>
      <c r="AC1073" s="69" t="n"/>
    </row>
    <row r="1074">
      <c r="E1074" s="69" t="n"/>
      <c r="F1074" s="69" t="n"/>
      <c r="G1074" s="70" t="n"/>
      <c r="H1074" s="69" t="n"/>
      <c r="J1074" s="69" t="n"/>
      <c r="K1074" s="69" t="n"/>
      <c r="L1074" s="69" t="n"/>
      <c r="M1074" s="72" t="n"/>
      <c r="W1074" s="69" t="n"/>
      <c r="X1074" s="69" t="n"/>
      <c r="Y1074" s="69" t="n"/>
      <c r="Z1074" s="69" t="n"/>
      <c r="AA1074" s="69" t="n"/>
      <c r="AB1074" s="69" t="n"/>
      <c r="AC1074" s="69" t="n"/>
    </row>
    <row r="1075">
      <c r="E1075" s="69" t="n"/>
      <c r="F1075" s="69" t="n"/>
      <c r="G1075" s="70" t="n"/>
      <c r="H1075" s="69" t="n"/>
      <c r="J1075" s="69" t="n"/>
      <c r="K1075" s="69" t="n"/>
      <c r="L1075" s="69" t="n"/>
      <c r="M1075" s="72" t="n"/>
      <c r="W1075" s="69" t="n"/>
      <c r="X1075" s="69" t="n"/>
      <c r="Y1075" s="69" t="n"/>
      <c r="Z1075" s="69" t="n"/>
      <c r="AA1075" s="69" t="n"/>
      <c r="AB1075" s="69" t="n"/>
      <c r="AC1075" s="69" t="n"/>
    </row>
    <row r="1076">
      <c r="E1076" s="69" t="n"/>
      <c r="F1076" s="69" t="n"/>
      <c r="G1076" s="70" t="n"/>
      <c r="H1076" s="69" t="n"/>
      <c r="J1076" s="69" t="n"/>
      <c r="K1076" s="69" t="n"/>
      <c r="L1076" s="69" t="n"/>
      <c r="M1076" s="72" t="n"/>
      <c r="W1076" s="69" t="n"/>
      <c r="X1076" s="69" t="n"/>
      <c r="Y1076" s="69" t="n"/>
      <c r="Z1076" s="69" t="n"/>
      <c r="AA1076" s="69" t="n"/>
      <c r="AB1076" s="69" t="n"/>
      <c r="AC1076" s="69" t="n"/>
    </row>
    <row r="1077">
      <c r="E1077" s="69" t="n"/>
      <c r="F1077" s="69" t="n"/>
      <c r="G1077" s="70" t="n"/>
      <c r="H1077" s="69" t="n"/>
      <c r="J1077" s="69" t="n"/>
      <c r="K1077" s="69" t="n"/>
      <c r="L1077" s="69" t="n"/>
      <c r="M1077" s="72" t="n"/>
      <c r="W1077" s="69" t="n"/>
      <c r="X1077" s="69" t="n"/>
      <c r="Y1077" s="69" t="n"/>
      <c r="Z1077" s="69" t="n"/>
      <c r="AA1077" s="69" t="n"/>
      <c r="AB1077" s="69" t="n"/>
      <c r="AC1077" s="69" t="n"/>
    </row>
    <row r="1078">
      <c r="E1078" s="69" t="n"/>
      <c r="F1078" s="69" t="n"/>
      <c r="G1078" s="70" t="n"/>
      <c r="H1078" s="69" t="n"/>
      <c r="J1078" s="69" t="n"/>
      <c r="K1078" s="69" t="n"/>
      <c r="L1078" s="69" t="n"/>
      <c r="M1078" s="72" t="n"/>
      <c r="W1078" s="69" t="n"/>
      <c r="X1078" s="69" t="n"/>
      <c r="Y1078" s="69" t="n"/>
      <c r="Z1078" s="69" t="n"/>
      <c r="AA1078" s="69" t="n"/>
      <c r="AB1078" s="69" t="n"/>
      <c r="AC1078" s="69" t="n"/>
    </row>
    <row r="1079">
      <c r="E1079" s="69" t="n"/>
      <c r="F1079" s="69" t="n"/>
      <c r="G1079" s="70" t="n"/>
      <c r="H1079" s="69" t="n"/>
      <c r="J1079" s="69" t="n"/>
      <c r="K1079" s="69" t="n"/>
      <c r="L1079" s="69" t="n"/>
      <c r="M1079" s="72" t="n"/>
      <c r="W1079" s="69" t="n"/>
      <c r="X1079" s="69" t="n"/>
      <c r="Y1079" s="69" t="n"/>
      <c r="Z1079" s="69" t="n"/>
      <c r="AA1079" s="69" t="n"/>
      <c r="AB1079" s="69" t="n"/>
      <c r="AC1079" s="69" t="n"/>
    </row>
    <row r="1080">
      <c r="E1080" s="69" t="n"/>
      <c r="F1080" s="69" t="n"/>
      <c r="G1080" s="70" t="n"/>
      <c r="H1080" s="69" t="n"/>
      <c r="J1080" s="69" t="n"/>
      <c r="K1080" s="69" t="n"/>
      <c r="L1080" s="69" t="n"/>
      <c r="W1080" s="69" t="n"/>
      <c r="X1080" s="69" t="n"/>
      <c r="Y1080" s="69" t="n"/>
      <c r="Z1080" s="69" t="n"/>
      <c r="AA1080" s="69" t="n"/>
      <c r="AB1080" s="69" t="n"/>
      <c r="AC1080" s="69" t="n"/>
    </row>
    <row r="1081">
      <c r="E1081" s="69" t="n"/>
      <c r="F1081" s="69" t="n"/>
      <c r="G1081" s="70" t="n"/>
      <c r="H1081" s="69" t="n"/>
      <c r="J1081" s="69" t="n"/>
      <c r="K1081" s="69" t="n"/>
      <c r="L1081" s="69" t="n"/>
      <c r="W1081" s="69" t="n"/>
      <c r="X1081" s="69" t="n"/>
      <c r="Y1081" s="69" t="n"/>
      <c r="Z1081" s="69" t="n"/>
      <c r="AA1081" s="69" t="n"/>
      <c r="AB1081" s="69" t="n"/>
      <c r="AC1081" s="69" t="n"/>
    </row>
    <row r="1082">
      <c r="E1082" s="69" t="n"/>
      <c r="F1082" s="69" t="n"/>
      <c r="G1082" s="70" t="n"/>
      <c r="H1082" s="69" t="n"/>
      <c r="J1082" s="69" t="n"/>
      <c r="K1082" s="69" t="n"/>
      <c r="L1082" s="69" t="n"/>
      <c r="W1082" s="69" t="n"/>
      <c r="X1082" s="69" t="n"/>
      <c r="Y1082" s="69" t="n"/>
      <c r="Z1082" s="69" t="n"/>
      <c r="AA1082" s="69" t="n"/>
      <c r="AB1082" s="69" t="n"/>
      <c r="AC1082" s="69" t="n"/>
    </row>
    <row r="1083">
      <c r="E1083" s="69" t="n"/>
      <c r="F1083" s="69" t="n"/>
      <c r="G1083" s="70" t="n"/>
      <c r="H1083" s="69" t="n"/>
      <c r="J1083" s="69" t="n"/>
      <c r="K1083" s="69" t="n"/>
      <c r="L1083" s="69" t="n"/>
      <c r="W1083" s="69" t="n"/>
      <c r="X1083" s="69" t="n"/>
      <c r="Y1083" s="69" t="n"/>
      <c r="Z1083" s="69" t="n"/>
      <c r="AA1083" s="69" t="n"/>
      <c r="AB1083" s="69" t="n"/>
      <c r="AC1083" s="69" t="n"/>
    </row>
    <row r="1084">
      <c r="E1084" s="69" t="n"/>
      <c r="F1084" s="69" t="n"/>
      <c r="G1084" s="70" t="n"/>
      <c r="H1084" s="69" t="n"/>
      <c r="J1084" s="69" t="n"/>
      <c r="K1084" s="69" t="n"/>
      <c r="L1084" s="69" t="n"/>
      <c r="W1084" s="69" t="n"/>
      <c r="X1084" s="69" t="n"/>
      <c r="Y1084" s="69" t="n"/>
      <c r="Z1084" s="69" t="n"/>
      <c r="AA1084" s="69" t="n"/>
      <c r="AB1084" s="69" t="n"/>
      <c r="AC1084" s="69" t="n"/>
    </row>
    <row r="1085">
      <c r="E1085" s="69" t="n"/>
      <c r="F1085" s="69" t="n"/>
      <c r="G1085" s="70" t="n"/>
      <c r="H1085" s="69" t="n"/>
      <c r="J1085" s="69" t="n"/>
      <c r="K1085" s="69" t="n"/>
      <c r="L1085" s="69" t="n"/>
      <c r="W1085" s="69" t="n"/>
      <c r="X1085" s="69" t="n"/>
      <c r="Y1085" s="69" t="n"/>
      <c r="Z1085" s="69" t="n"/>
      <c r="AA1085" s="69" t="n"/>
      <c r="AB1085" s="69" t="n"/>
      <c r="AC1085" s="69" t="n"/>
    </row>
    <row r="1086">
      <c r="E1086" s="69" t="n"/>
      <c r="F1086" s="69" t="n"/>
      <c r="G1086" s="70" t="n"/>
      <c r="H1086" s="69" t="n"/>
      <c r="J1086" s="69" t="n"/>
      <c r="K1086" s="69" t="n"/>
      <c r="L1086" s="69" t="n"/>
      <c r="W1086" s="69" t="n"/>
      <c r="X1086" s="69" t="n"/>
      <c r="Y1086" s="69" t="n"/>
      <c r="Z1086" s="69" t="n"/>
      <c r="AA1086" s="69" t="n"/>
      <c r="AB1086" s="69" t="n"/>
      <c r="AC1086" s="69" t="n"/>
    </row>
    <row r="1087">
      <c r="E1087" s="69" t="n"/>
      <c r="F1087" s="69" t="n"/>
      <c r="G1087" s="70" t="n"/>
      <c r="H1087" s="69" t="n"/>
      <c r="J1087" s="69" t="n"/>
      <c r="K1087" s="69" t="n"/>
      <c r="L1087" s="69" t="n"/>
      <c r="W1087" s="69" t="n"/>
      <c r="X1087" s="69" t="n"/>
      <c r="Y1087" s="69" t="n"/>
      <c r="Z1087" s="69" t="n"/>
      <c r="AA1087" s="69" t="n"/>
      <c r="AB1087" s="69" t="n"/>
      <c r="AC1087" s="69" t="n"/>
    </row>
    <row r="1088">
      <c r="E1088" s="69" t="n"/>
      <c r="F1088" s="69" t="n"/>
      <c r="G1088" s="70" t="n"/>
      <c r="H1088" s="69" t="n"/>
      <c r="J1088" s="69" t="n"/>
      <c r="K1088" s="69" t="n"/>
      <c r="L1088" s="69" t="n"/>
      <c r="W1088" s="69" t="n"/>
      <c r="X1088" s="69" t="n"/>
      <c r="Y1088" s="69" t="n"/>
      <c r="Z1088" s="69" t="n"/>
      <c r="AA1088" s="69" t="n"/>
      <c r="AB1088" s="69" t="n"/>
      <c r="AC1088" s="69" t="n"/>
    </row>
    <row r="1089">
      <c r="E1089" s="69" t="n"/>
      <c r="F1089" s="69" t="n"/>
      <c r="G1089" s="70" t="n"/>
      <c r="H1089" s="69" t="n"/>
      <c r="J1089" s="69" t="n"/>
      <c r="K1089" s="69" t="n"/>
      <c r="L1089" s="69" t="n"/>
      <c r="W1089" s="69" t="n"/>
      <c r="X1089" s="69" t="n"/>
      <c r="Y1089" s="69" t="n"/>
      <c r="Z1089" s="69" t="n"/>
      <c r="AA1089" s="69" t="n"/>
      <c r="AB1089" s="69" t="n"/>
      <c r="AC1089" s="69" t="n"/>
    </row>
    <row r="1090">
      <c r="E1090" s="69" t="n"/>
      <c r="F1090" s="69" t="n"/>
      <c r="G1090" s="70" t="n"/>
      <c r="H1090" s="69" t="n"/>
      <c r="J1090" s="69" t="n"/>
      <c r="K1090" s="69" t="n"/>
      <c r="L1090" s="69" t="n"/>
      <c r="W1090" s="69" t="n"/>
      <c r="X1090" s="69" t="n"/>
      <c r="Y1090" s="69" t="n"/>
      <c r="Z1090" s="69" t="n"/>
      <c r="AA1090" s="69" t="n"/>
      <c r="AB1090" s="69" t="n"/>
      <c r="AC1090" s="69" t="n"/>
    </row>
    <row r="1091">
      <c r="E1091" s="69" t="n"/>
      <c r="F1091" s="69" t="n"/>
      <c r="G1091" s="70" t="n"/>
      <c r="H1091" s="69" t="n"/>
      <c r="J1091" s="69" t="n"/>
      <c r="K1091" s="69" t="n"/>
      <c r="L1091" s="69" t="n"/>
      <c r="W1091" s="69" t="n"/>
      <c r="X1091" s="69" t="n"/>
      <c r="Y1091" s="69" t="n"/>
      <c r="Z1091" s="69" t="n"/>
      <c r="AA1091" s="69" t="n"/>
      <c r="AB1091" s="69" t="n"/>
      <c r="AC1091" s="69" t="n"/>
    </row>
    <row r="1092">
      <c r="E1092" s="69" t="n"/>
      <c r="F1092" s="69" t="n"/>
      <c r="G1092" s="70" t="n"/>
      <c r="H1092" s="69" t="n"/>
      <c r="J1092" s="69" t="n"/>
      <c r="K1092" s="69" t="n"/>
      <c r="L1092" s="69" t="n"/>
      <c r="W1092" s="69" t="n"/>
      <c r="X1092" s="69" t="n"/>
      <c r="Y1092" s="69" t="n"/>
      <c r="Z1092" s="69" t="n"/>
      <c r="AA1092" s="69" t="n"/>
      <c r="AB1092" s="69" t="n"/>
      <c r="AC1092" s="69" t="n"/>
    </row>
    <row r="1093">
      <c r="E1093" s="69" t="n"/>
      <c r="F1093" s="69" t="n"/>
      <c r="G1093" s="70" t="n"/>
      <c r="H1093" s="69" t="n"/>
      <c r="J1093" s="69" t="n"/>
      <c r="K1093" s="69" t="n"/>
      <c r="L1093" s="69" t="n"/>
      <c r="W1093" s="69" t="n"/>
      <c r="X1093" s="69" t="n"/>
      <c r="Y1093" s="69" t="n"/>
      <c r="Z1093" s="69" t="n"/>
      <c r="AA1093" s="69" t="n"/>
      <c r="AB1093" s="69" t="n"/>
      <c r="AC1093" s="69" t="n"/>
    </row>
    <row r="1094">
      <c r="E1094" s="69" t="n"/>
      <c r="F1094" s="69" t="n"/>
      <c r="G1094" s="70" t="n"/>
      <c r="H1094" s="69" t="n"/>
      <c r="J1094" s="69" t="n"/>
      <c r="K1094" s="69" t="n"/>
      <c r="L1094" s="69" t="n"/>
      <c r="W1094" s="69" t="n"/>
      <c r="X1094" s="69" t="n"/>
      <c r="Y1094" s="69" t="n"/>
      <c r="Z1094" s="69" t="n"/>
      <c r="AA1094" s="69" t="n"/>
      <c r="AB1094" s="69" t="n"/>
      <c r="AC1094" s="69" t="n"/>
    </row>
    <row r="1095">
      <c r="E1095" s="69" t="n"/>
      <c r="F1095" s="69" t="n"/>
      <c r="G1095" s="70" t="n"/>
      <c r="H1095" s="69" t="n"/>
      <c r="J1095" s="69" t="n"/>
      <c r="K1095" s="69" t="n"/>
      <c r="L1095" s="69" t="n"/>
      <c r="W1095" s="69" t="n"/>
      <c r="X1095" s="69" t="n"/>
      <c r="Y1095" s="69" t="n"/>
      <c r="Z1095" s="69" t="n"/>
      <c r="AA1095" s="69" t="n"/>
      <c r="AB1095" s="69" t="n"/>
      <c r="AC1095" s="69" t="n"/>
    </row>
    <row r="1096">
      <c r="E1096" s="69" t="n"/>
      <c r="F1096" s="69" t="n"/>
      <c r="G1096" s="70" t="n"/>
      <c r="H1096" s="69" t="n"/>
      <c r="J1096" s="69" t="n"/>
      <c r="K1096" s="69" t="n"/>
      <c r="L1096" s="69" t="n"/>
      <c r="W1096" s="69" t="n"/>
      <c r="X1096" s="69" t="n"/>
      <c r="Y1096" s="69" t="n"/>
      <c r="Z1096" s="69" t="n"/>
      <c r="AA1096" s="69" t="n"/>
      <c r="AB1096" s="69" t="n"/>
      <c r="AC1096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7 D7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7 C73">
    <cfRule type="containsText" priority="3" operator="containsText" dxfId="2" text="DIV">
      <formula>NOT(ISERROR(SEARCH(("DIV"),(B1))))</formula>
    </cfRule>
  </conditionalFormatting>
  <conditionalFormatting sqref="A5:AD118">
    <cfRule type="expression" priority="4" dxfId="1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4" t="inlineStr">
        <is>
          <t>Code</t>
        </is>
      </c>
      <c r="C1" s="72" t="inlineStr">
        <is>
          <t>NSE:ITC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4" t="inlineStr">
        <is>
          <t>Current Price</t>
        </is>
      </c>
      <c r="C2" s="73" t="n">
        <v>325.8</v>
      </c>
      <c r="D2" s="72" t="n"/>
      <c r="E2" s="74" t="inlineStr">
        <is>
          <t>Commission</t>
        </is>
      </c>
      <c r="F2" s="75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4" t="inlineStr">
        <is>
          <t>52 Week High</t>
        </is>
      </c>
      <c r="C3" s="73">
        <f>IFERROR(__xludf.DUMMYFUNCTION("GOOGLEFINANCE($C$1, ""high52"")"),450.0)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4" t="inlineStr">
        <is>
          <t>52 Week Low</t>
        </is>
      </c>
      <c r="C4" s="73">
        <f>IFERROR(__xludf.DUMMYFUNCTION("GOOGLEFINANCE($C$1, ""low52"")"),302.0)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3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History'!$N$4:$N1005)</f>
        <v/>
      </c>
      <c r="D8" s="76" t="n"/>
      <c r="E8" s="81" t="inlineStr">
        <is>
          <t>ST Units</t>
        </is>
      </c>
      <c r="F8" s="80">
        <f>IFERROR(SUM('Trading History'!$R$4:$R1005), 0)</f>
        <v/>
      </c>
      <c r="G8" s="76" t="n"/>
      <c r="H8" s="82" t="inlineStr">
        <is>
          <t>LT Units</t>
        </is>
      </c>
      <c r="I8" s="80">
        <f>SUM('Trading History'!$V$4:$V1005)</f>
        <v/>
      </c>
      <c r="J8" s="76" t="n"/>
      <c r="K8" s="83" t="inlineStr">
        <is>
          <t>Units</t>
        </is>
      </c>
      <c r="L8" s="80">
        <f>SUM('Trading History'!$AB$4:$AB1005)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5">
        <f>IFERROR(Index!C10/(Index!C8*Index!$C$2), 0)</f>
        <v/>
      </c>
      <c r="D9" s="76" t="n"/>
      <c r="E9" s="86" t="inlineStr">
        <is>
          <t>ST Avg %</t>
        </is>
      </c>
      <c r="F9" s="75">
        <f>IFERROR(Index!F10/(Index!F8*Index!$C$2), 0)</f>
        <v/>
      </c>
      <c r="G9" s="76" t="n"/>
      <c r="H9" s="87" t="inlineStr">
        <is>
          <t>LT Avg %</t>
        </is>
      </c>
      <c r="I9" s="75">
        <f>IFERROR(Index!I10/(Index!I8*Index!$C$2), 0)</f>
        <v/>
      </c>
      <c r="J9" s="76" t="n"/>
      <c r="K9" s="88" t="inlineStr">
        <is>
          <t>Avg %</t>
        </is>
      </c>
      <c r="L9" s="75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History'!$L$4:$L1005)</f>
        <v/>
      </c>
      <c r="D10" s="76" t="n"/>
      <c r="E10" s="86" t="inlineStr">
        <is>
          <t>ST Gain</t>
        </is>
      </c>
      <c r="F10" s="89">
        <f>SUM('Trading History'!$P$4:$P1005)</f>
        <v/>
      </c>
      <c r="G10" s="76" t="n"/>
      <c r="H10" s="87" t="inlineStr">
        <is>
          <t>LT Gain</t>
        </is>
      </c>
      <c r="I10" s="89">
        <f>SUM('Trading History'!$T$4:$T1005)</f>
        <v/>
      </c>
      <c r="J10" s="76" t="n"/>
      <c r="K10" s="88" t="inlineStr">
        <is>
          <t>Gain</t>
        </is>
      </c>
      <c r="L10" s="89">
        <f>SUM('Trading History'!$Z$4:$Z1005)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History'!$M$4:$M1005)</f>
        <v/>
      </c>
      <c r="D12" s="76" t="n"/>
      <c r="E12" s="86" t="inlineStr">
        <is>
          <t>ST Gross</t>
        </is>
      </c>
      <c r="F12" s="89">
        <f>SUM('Trading History'!$Q$4:$Q1005)</f>
        <v/>
      </c>
      <c r="G12" s="76" t="n"/>
      <c r="H12" s="87" t="inlineStr">
        <is>
          <t>LT Gross</t>
        </is>
      </c>
      <c r="I12" s="89">
        <f>SUM('Trading History'!$U$4:$U1005)</f>
        <v/>
      </c>
      <c r="J12" s="76" t="n"/>
      <c r="K12" s="88" t="inlineStr">
        <is>
          <t>Gross</t>
        </is>
      </c>
      <c r="L12" s="89">
        <f>SUM('Trading History'!$AA$4:$AA1005)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History'!$B29:$B1005,"DIV",'Trading History'!$AC$4:$AC1005)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History'!$N$4:$N1005, 'Trading History'!$K$4:$K1005, CONCAT("&gt;", $A15))</f>
        <v/>
      </c>
      <c r="D15" s="76" t="n"/>
      <c r="E15" s="81" t="inlineStr">
        <is>
          <t>ST Units</t>
        </is>
      </c>
      <c r="F15" s="80">
        <f>IFERROR(SUMIFS('Trading History'!$R$4:$R1005, 'Trading History'!$O$4:$O1005, CONCAT("&gt;", $A15)), 0)</f>
        <v/>
      </c>
      <c r="G15" s="76" t="n"/>
      <c r="H15" s="82" t="inlineStr">
        <is>
          <t>LT Units</t>
        </is>
      </c>
      <c r="I15" s="80">
        <f>SUMIFS('Trading History'!$V$4:$V1005, 'Trading History'!$S$4:$S1005, CONCAT("&gt;", $A15))</f>
        <v/>
      </c>
      <c r="J15" s="76" t="n"/>
      <c r="K15" s="83" t="inlineStr">
        <is>
          <t>Units</t>
        </is>
      </c>
      <c r="L15" s="80">
        <f>SUMIFS('Trading History'!$AB$4:$AB1005, 'Trading History'!$Y$4:$Y1005,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5">
        <f>IFERROR(Index!C17/(Index!C15*Index!$C$2), 0)</f>
        <v/>
      </c>
      <c r="D16" s="76" t="n"/>
      <c r="E16" s="86" t="inlineStr">
        <is>
          <t>ST Avg %</t>
        </is>
      </c>
      <c r="F16" s="75">
        <f>IFERROR(Index!F17/(Index!F15*Index!$C$2), 0)</f>
        <v/>
      </c>
      <c r="G16" s="76" t="n"/>
      <c r="H16" s="87" t="inlineStr">
        <is>
          <t>LT Avg %</t>
        </is>
      </c>
      <c r="I16" s="75">
        <f>IFERROR(Index!I17/(Index!I15*Index!$C$2), 0)</f>
        <v/>
      </c>
      <c r="J16" s="76" t="n"/>
      <c r="K16" s="88" t="inlineStr">
        <is>
          <t>Avg %</t>
        </is>
      </c>
      <c r="L16" s="75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History'!$L$4:$L1005, 'Trading History'!$K$4:$K1005, CONCAT("&gt;", $A15))</f>
        <v/>
      </c>
      <c r="D17" s="76" t="n"/>
      <c r="E17" s="86" t="inlineStr">
        <is>
          <t>ST Gain</t>
        </is>
      </c>
      <c r="F17" s="89">
        <f>SUMIFS('Trading History'!$P$4:$P1005, 'Trading History'!$O$4:$O1005, CONCAT("&gt;", $A15))</f>
        <v/>
      </c>
      <c r="G17" s="76" t="n"/>
      <c r="H17" s="87" t="inlineStr">
        <is>
          <t>LT Gain</t>
        </is>
      </c>
      <c r="I17" s="89">
        <f>SUMIFS('Trading History'!$T$4:$T1005, 'Trading History'!$S$4:$S1005, CONCAT("&gt;", $A15))</f>
        <v/>
      </c>
      <c r="J17" s="76" t="n"/>
      <c r="K17" s="88" t="inlineStr">
        <is>
          <t>Gain</t>
        </is>
      </c>
      <c r="L17" s="89">
        <f>SUMIFS('Trading History'!$Z$4:$Z1005, 'Trading History'!$Y$4:$Y1005,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History'!$M$4:$M1005, 'Trading History'!$K$4:$K1005, CONCAT("&gt;", $A15))</f>
        <v/>
      </c>
      <c r="D19" s="76" t="n"/>
      <c r="E19" s="86" t="inlineStr">
        <is>
          <t>ST Gross</t>
        </is>
      </c>
      <c r="F19" s="89">
        <f>SUMIFS('Trading History'!$Q$4:$Q1005, 'Trading History'!$O$4:$O1005, CONCAT("&gt;", $A15))</f>
        <v/>
      </c>
      <c r="G19" s="76" t="n"/>
      <c r="H19" s="87" t="inlineStr">
        <is>
          <t>LT Gross</t>
        </is>
      </c>
      <c r="I19" s="89">
        <f>SUMIFS('Trading History'!$U$4:$U1005, 'Trading History'!$S$4:$S1005, CONCAT("&gt;", $A15))</f>
        <v/>
      </c>
      <c r="J19" s="76" t="n"/>
      <c r="K19" s="88" t="inlineStr">
        <is>
          <t>Gross</t>
        </is>
      </c>
      <c r="L19" s="89">
        <f>SUMIFS('Trading History'!$AA$4:$AA1005, 'Trading History'!$Y$4:$Y1005,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2" t="n"/>
      <c r="X21" s="72" t="n"/>
      <c r="Y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History'!$N$4:$N1005, 'Trading History'!$K$4:$K1005, CONCAT("&gt;", $A22))</f>
        <v/>
      </c>
      <c r="D22" s="76" t="n"/>
      <c r="E22" s="81" t="inlineStr">
        <is>
          <t>ST Units</t>
        </is>
      </c>
      <c r="F22" s="80">
        <f>IFERROR(SUMIFS('Trading History'!$R$4:$R1005, 'Trading History'!$O$4:$O1005, CONCAT("&gt;", $A22)), 0)</f>
        <v/>
      </c>
      <c r="G22" s="76" t="n"/>
      <c r="H22" s="82" t="inlineStr">
        <is>
          <t>LT Units</t>
        </is>
      </c>
      <c r="I22" s="80">
        <f>SUMIFS('Trading History'!$V$4:$V1005, 'Trading History'!$S$4:$S1005, CONCAT("&gt;", $A22))</f>
        <v/>
      </c>
      <c r="J22" s="76" t="n"/>
      <c r="K22" s="83" t="inlineStr">
        <is>
          <t>Units</t>
        </is>
      </c>
      <c r="L22" s="80">
        <f>SUMIFS('Trading History'!$AB$4:$AB1005, 'Trading History'!$Y$4:$Y1005,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5">
        <f>IFERROR(Index!C24/(Index!C22*Index!$C$2), 0)</f>
        <v/>
      </c>
      <c r="D23" s="76" t="n"/>
      <c r="E23" s="86" t="inlineStr">
        <is>
          <t>ST Avg %</t>
        </is>
      </c>
      <c r="F23" s="75">
        <f>IFERROR(Index!F24/(Index!F22*Index!$C$2), 0)</f>
        <v/>
      </c>
      <c r="G23" s="76" t="n"/>
      <c r="H23" s="87" t="inlineStr">
        <is>
          <t>LT Avg %</t>
        </is>
      </c>
      <c r="I23" s="75">
        <f>IFERROR(Index!I24/(Index!I22*Index!$C$2), 0)</f>
        <v/>
      </c>
      <c r="J23" s="76" t="n"/>
      <c r="K23" s="88" t="inlineStr">
        <is>
          <t>Avg %</t>
        </is>
      </c>
      <c r="L23" s="75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History'!$L$4:$L1005, 'Trading History'!$K$4:$K1005, CONCAT("&gt;", $A22))</f>
        <v/>
      </c>
      <c r="D24" s="76" t="n"/>
      <c r="E24" s="86" t="inlineStr">
        <is>
          <t>ST Gain</t>
        </is>
      </c>
      <c r="F24" s="89">
        <f>SUMIFS('Trading History'!$P$4:$P1005, 'Trading History'!$O$4:$O1005, CONCAT("&gt;", $A22))</f>
        <v/>
      </c>
      <c r="G24" s="76" t="n"/>
      <c r="H24" s="87" t="inlineStr">
        <is>
          <t>LT Gain</t>
        </is>
      </c>
      <c r="I24" s="89">
        <f>SUMIFS('Trading History'!$T$4:$T1005, 'Trading History'!$S$4:$S1005, CONCAT("&gt;", $A22))</f>
        <v/>
      </c>
      <c r="J24" s="76" t="n"/>
      <c r="K24" s="88" t="inlineStr">
        <is>
          <t>Gain</t>
        </is>
      </c>
      <c r="L24" s="89">
        <f>SUMIFS('Trading History'!$Z$4:$Z1005, 'Trading History'!$Y$4:$Y1005,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History'!$M$4:$M1005, 'Trading History'!$K$4:$K1005, CONCAT("&gt;", $A22))</f>
        <v/>
      </c>
      <c r="D26" s="76" t="n"/>
      <c r="E26" s="86" t="inlineStr">
        <is>
          <t>ST Gross</t>
        </is>
      </c>
      <c r="F26" s="89">
        <f>SUMIFS('Trading History'!$Q$4:$Q1005, 'Trading History'!$O$4:$O1005, CONCAT("&gt;", $A22))</f>
        <v/>
      </c>
      <c r="G26" s="76" t="n"/>
      <c r="H26" s="87" t="inlineStr">
        <is>
          <t>LT Gross</t>
        </is>
      </c>
      <c r="I26" s="89">
        <f>SUMIFS('Trading History'!$U$4:$U1005, 'Trading History'!$S$4:$S1005, CONCAT("&gt;", $A22))</f>
        <v/>
      </c>
      <c r="J26" s="76" t="n"/>
      <c r="K26" s="88" t="inlineStr">
        <is>
          <t>Gross</t>
        </is>
      </c>
      <c r="L26" s="89">
        <f>SUMIFS('Trading History'!$AA$4:$AA1005, 'Trading History'!$Y$4:$Y1005,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History'!$N$4:$N1005, 'Trading History'!$K$4:$K1005, CONCAT("&gt;", $A29))</f>
        <v/>
      </c>
      <c r="D29" s="76" t="n"/>
      <c r="E29" s="81" t="inlineStr">
        <is>
          <t>ST Units</t>
        </is>
      </c>
      <c r="F29" s="80">
        <f>IFERROR(SUMIFS('Trading History'!$R$4:$R1005, 'Trading History'!$O$4:$O1005, CONCAT("&gt;", $A29)), 0)</f>
        <v/>
      </c>
      <c r="G29" s="76" t="n"/>
      <c r="H29" s="82" t="inlineStr">
        <is>
          <t>LT Units</t>
        </is>
      </c>
      <c r="I29" s="80">
        <f>SUMIFS('Trading History'!$V$4:$V1005, 'Trading History'!$S$4:$S1005, CONCAT("&gt;", $A29))</f>
        <v/>
      </c>
      <c r="J29" s="76" t="n"/>
      <c r="K29" s="83" t="inlineStr">
        <is>
          <t>Units</t>
        </is>
      </c>
      <c r="L29" s="80">
        <f>SUMIFS('Trading History'!$AB$4:$AB1005, 'Trading History'!$Y$4:$Y1005,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5">
        <f>IFERROR(Index!C31/(Index!C29*Index!$C$2), 0)</f>
        <v/>
      </c>
      <c r="D30" s="76" t="n"/>
      <c r="E30" s="86" t="inlineStr">
        <is>
          <t>ST Avg %</t>
        </is>
      </c>
      <c r="F30" s="75">
        <f>IFERROR(Index!F31/(Index!F29*Index!$C$2), 0)</f>
        <v/>
      </c>
      <c r="G30" s="76" t="n"/>
      <c r="H30" s="87" t="inlineStr">
        <is>
          <t>LT Avg %</t>
        </is>
      </c>
      <c r="I30" s="75">
        <f>IFERROR(Index!I31/(Index!I29*Index!$C$2), 0)</f>
        <v/>
      </c>
      <c r="J30" s="76" t="n"/>
      <c r="K30" s="88" t="inlineStr">
        <is>
          <t>Avg %</t>
        </is>
      </c>
      <c r="L30" s="75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History'!$L$4:$L1005, 'Trading History'!$K$4:$K1005, CONCAT("&gt;", $A29))</f>
        <v/>
      </c>
      <c r="D31" s="76" t="n"/>
      <c r="E31" s="86" t="inlineStr">
        <is>
          <t>ST Gain</t>
        </is>
      </c>
      <c r="F31" s="89">
        <f>SUMIFS('Trading History'!$P$4:$P1005, 'Trading History'!$O$4:$O1005, CONCAT("&gt;", $A29))</f>
        <v/>
      </c>
      <c r="G31" s="76" t="n"/>
      <c r="H31" s="87" t="inlineStr">
        <is>
          <t>LT Gain</t>
        </is>
      </c>
      <c r="I31" s="89">
        <f>SUMIFS('Trading History'!$T$4:$T1005, 'Trading History'!$S$4:$S1005, CONCAT("&gt;", $A29))</f>
        <v/>
      </c>
      <c r="J31" s="76" t="n"/>
      <c r="K31" s="88" t="inlineStr">
        <is>
          <t>Gain</t>
        </is>
      </c>
      <c r="L31" s="89">
        <f>SUMIFS('Trading History'!$Z$4:$Z1005, 'Trading History'!$Y$4:$Y1005,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History'!$M$4:$M1005, 'Trading History'!$K$4:$K1005, CONCAT("&gt;", $A29))</f>
        <v/>
      </c>
      <c r="D33" s="76" t="n"/>
      <c r="E33" s="86" t="inlineStr">
        <is>
          <t>ST Gross</t>
        </is>
      </c>
      <c r="F33" s="89">
        <f>SUMIFS('Trading History'!$Q$4:$Q1005, 'Trading History'!$O$4:$O1005, CONCAT("&gt;", $A29))</f>
        <v/>
      </c>
      <c r="G33" s="76" t="n"/>
      <c r="H33" s="87" t="inlineStr">
        <is>
          <t>LT Gross</t>
        </is>
      </c>
      <c r="I33" s="89">
        <f>SUMIFS('Trading History'!$U$4:$U1005, 'Trading History'!$S$4:$S1005, CONCAT("&gt;", $A29))</f>
        <v/>
      </c>
      <c r="J33" s="76" t="n"/>
      <c r="K33" s="88" t="inlineStr">
        <is>
          <t>Gross</t>
        </is>
      </c>
      <c r="L33" s="89">
        <f>SUMIFS('Trading History'!$AA$4:$AA1005, 'Trading History'!$Y$4:$Y1005,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History'!$N$4:$N1005, 'Trading History'!$K$4:$K1005, CONCAT("&gt;", $A36))</f>
        <v/>
      </c>
      <c r="D36" s="76" t="n"/>
      <c r="E36" s="81" t="inlineStr">
        <is>
          <t>ST Units</t>
        </is>
      </c>
      <c r="F36" s="80">
        <f>IFERROR(SUMIFS('Trading History'!$R$4:$R1005, 'Trading History'!$O$4:$O1005, CONCAT("&gt;", $A36)), 0)</f>
        <v/>
      </c>
      <c r="G36" s="76" t="n"/>
      <c r="H36" s="82" t="inlineStr">
        <is>
          <t>LT Units</t>
        </is>
      </c>
      <c r="I36" s="80">
        <f>SUMIFS('Trading History'!$V$4:$V1005, 'Trading History'!$S$4:$S1005, CONCAT("&gt;", $A36))</f>
        <v/>
      </c>
      <c r="J36" s="76" t="n"/>
      <c r="K36" s="83" t="inlineStr">
        <is>
          <t>Units</t>
        </is>
      </c>
      <c r="L36" s="80">
        <f>SUMIFS('Trading History'!$AB$4:$AB1005, 'Trading History'!$Y$4:$Y1005,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5">
        <f>IFERROR(Index!C38/(Index!C36*Index!$C$2), 0)</f>
        <v/>
      </c>
      <c r="D37" s="76" t="n"/>
      <c r="E37" s="86" t="inlineStr">
        <is>
          <t>ST Avg %</t>
        </is>
      </c>
      <c r="F37" s="75">
        <f>IFERROR(Index!F38/(Index!F36*Index!$C$2), 0)</f>
        <v/>
      </c>
      <c r="G37" s="76" t="n"/>
      <c r="H37" s="87" t="inlineStr">
        <is>
          <t>LT Avg %</t>
        </is>
      </c>
      <c r="I37" s="75">
        <f>IFERROR(Index!I38/(Index!I36*Index!$C$2), 0)</f>
        <v/>
      </c>
      <c r="J37" s="76" t="n"/>
      <c r="K37" s="88" t="inlineStr">
        <is>
          <t>Avg %</t>
        </is>
      </c>
      <c r="L37" s="75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History'!$L$4:$L1005, 'Trading History'!$K$4:$K1005, CONCAT("&gt;", $A36))</f>
        <v/>
      </c>
      <c r="D38" s="76" t="n"/>
      <c r="E38" s="86" t="inlineStr">
        <is>
          <t>ST Gain</t>
        </is>
      </c>
      <c r="F38" s="89">
        <f>SUMIFS('Trading History'!$P$4:$P1005, 'Trading History'!$O$4:$O1005, CONCAT("&gt;", $A36))</f>
        <v/>
      </c>
      <c r="G38" s="76" t="n"/>
      <c r="H38" s="87" t="inlineStr">
        <is>
          <t>LT Gain</t>
        </is>
      </c>
      <c r="I38" s="89">
        <f>SUMIFS('Trading History'!$T$4:$T1005, 'Trading History'!$S$4:$S1005, CONCAT("&gt;", $A36))</f>
        <v/>
      </c>
      <c r="J38" s="76" t="n"/>
      <c r="K38" s="88" t="inlineStr">
        <is>
          <t>Gain</t>
        </is>
      </c>
      <c r="L38" s="89">
        <f>SUMIFS('Trading History'!$Z$4:$Z1005, 'Trading History'!$Y$4:$Y1005,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History'!$M$4:$M1005, 'Trading History'!$K$4:$K1005, CONCAT("&gt;", $A36))</f>
        <v/>
      </c>
      <c r="D40" s="76" t="n"/>
      <c r="E40" s="86" t="inlineStr">
        <is>
          <t>ST Gross</t>
        </is>
      </c>
      <c r="F40" s="89">
        <f>SUMIFS('Trading History'!$Q$4:$Q1005, 'Trading History'!$O$4:$O1005, CONCAT("&gt;", $A36))</f>
        <v/>
      </c>
      <c r="G40" s="76" t="n"/>
      <c r="H40" s="87" t="inlineStr">
        <is>
          <t>LT Gross</t>
        </is>
      </c>
      <c r="I40" s="89">
        <f>SUMIFS('Trading History'!$U$4:$U1005, 'Trading History'!$S$4:$S1005, CONCAT("&gt;", $A36))</f>
        <v/>
      </c>
      <c r="J40" s="76" t="n"/>
      <c r="K40" s="88" t="inlineStr">
        <is>
          <t>Gross</t>
        </is>
      </c>
      <c r="L40" s="89">
        <f>SUMIFS('Trading History'!$AA$4:$AA1005, 'Trading History'!$Y$4:$Y1005,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History'!$N$4:$N1005, 'Trading History'!$K$4:$K1005, CONCAT("&gt;", $A43))</f>
        <v/>
      </c>
      <c r="D43" s="76" t="n"/>
      <c r="E43" s="81" t="inlineStr">
        <is>
          <t>ST Units</t>
        </is>
      </c>
      <c r="F43" s="80">
        <f>IFERROR(SUMIFS('Trading History'!$R$4:$R1005, 'Trading History'!$O$4:$O1005, CONCAT("&gt;", $A43)), 0)</f>
        <v/>
      </c>
      <c r="G43" s="76" t="n"/>
      <c r="H43" s="82" t="inlineStr">
        <is>
          <t>LT Units</t>
        </is>
      </c>
      <c r="I43" s="80">
        <f>SUMIFS('Trading History'!$V$4:$V1005, 'Trading History'!$S$4:$S1005, CONCAT("&gt;", $A43))</f>
        <v/>
      </c>
      <c r="J43" s="76" t="n"/>
      <c r="K43" s="83" t="inlineStr">
        <is>
          <t>Units</t>
        </is>
      </c>
      <c r="L43" s="80">
        <f>SUMIFS('Trading History'!$AB$4:$AB1005, 'Trading History'!$Y$4:$Y1005,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5">
        <f>IFERROR(Index!C45/(Index!C43*Index!$C$2), 0)</f>
        <v/>
      </c>
      <c r="D44" s="76" t="n"/>
      <c r="E44" s="86" t="inlineStr">
        <is>
          <t>ST Avg %</t>
        </is>
      </c>
      <c r="F44" s="75">
        <f>IFERROR(Index!F45/(Index!F43*Index!$C$2), 0)</f>
        <v/>
      </c>
      <c r="G44" s="76" t="n"/>
      <c r="H44" s="87" t="inlineStr">
        <is>
          <t>LT Avg %</t>
        </is>
      </c>
      <c r="I44" s="75">
        <f>IFERROR(Index!I45/(Index!I43*Index!$C$2), 0)</f>
        <v/>
      </c>
      <c r="J44" s="76" t="n"/>
      <c r="K44" s="88" t="inlineStr">
        <is>
          <t>Avg %</t>
        </is>
      </c>
      <c r="L44" s="75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History'!$L$4:$L1005, 'Trading History'!$K$4:$K1005, CONCAT("&gt;", $A43))</f>
        <v/>
      </c>
      <c r="D45" s="76" t="n"/>
      <c r="E45" s="86" t="inlineStr">
        <is>
          <t>ST Gain</t>
        </is>
      </c>
      <c r="F45" s="89">
        <f>SUMIFS('Trading History'!$P$4:$P1005, 'Trading History'!$O$4:$O1005, CONCAT("&gt;", $A43))</f>
        <v/>
      </c>
      <c r="G45" s="76" t="n"/>
      <c r="H45" s="87" t="inlineStr">
        <is>
          <t>LT Gain</t>
        </is>
      </c>
      <c r="I45" s="89">
        <f>SUMIFS('Trading History'!$T$4:$T1005, 'Trading History'!$S$4:$S1005, CONCAT("&gt;", $A43))</f>
        <v/>
      </c>
      <c r="J45" s="76" t="n"/>
      <c r="K45" s="88" t="inlineStr">
        <is>
          <t>Gain</t>
        </is>
      </c>
      <c r="L45" s="89">
        <f>SUMIFS('Trading History'!$Z$4:$Z1005, 'Trading History'!$Y$4:$Y1005,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History'!$M$4:$M1005, 'Trading History'!$K$4:$K1005, CONCAT("&gt;", $A43))</f>
        <v/>
      </c>
      <c r="D47" s="76" t="n"/>
      <c r="E47" s="86" t="inlineStr">
        <is>
          <t>ST Gross</t>
        </is>
      </c>
      <c r="F47" s="89">
        <f>SUMIFS('Trading History'!$Q$4:$Q1005, 'Trading History'!$O$4:$O1005, CONCAT("&gt;", $A43))</f>
        <v/>
      </c>
      <c r="G47" s="76" t="n"/>
      <c r="H47" s="87" t="inlineStr">
        <is>
          <t>LT Gross</t>
        </is>
      </c>
      <c r="I47" s="89">
        <f>SUMIFS('Trading History'!$U$4:$U1005, 'Trading History'!$S$4:$S1005, CONCAT("&gt;", $A43))</f>
        <v/>
      </c>
      <c r="J47" s="76" t="n"/>
      <c r="K47" s="88" t="inlineStr">
        <is>
          <t>Gross</t>
        </is>
      </c>
      <c r="L47" s="89">
        <f>SUMIFS('Trading History'!$AA$4:$AA1005, 'Trading History'!$Y$4:$Y1005,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History'!$N$4:$N1005, 'Trading History'!$K$4:$K1005, CONCAT("&gt;", $A50))</f>
        <v/>
      </c>
      <c r="D50" s="76" t="n"/>
      <c r="E50" s="81" t="inlineStr">
        <is>
          <t>ST Units</t>
        </is>
      </c>
      <c r="F50" s="80">
        <f>IFERROR(SUMIFS('Trading History'!$R$4:$R1005, 'Trading History'!$O$4:$O1005, CONCAT("&gt;", $A50)), 0)</f>
        <v/>
      </c>
      <c r="G50" s="76" t="n"/>
      <c r="H50" s="82" t="inlineStr">
        <is>
          <t>LT Units</t>
        </is>
      </c>
      <c r="I50" s="80">
        <f>SUMIFS('Trading History'!$V$4:$V1005, 'Trading History'!$S$4:$S1005, CONCAT("&gt;", $A50))</f>
        <v/>
      </c>
      <c r="J50" s="76" t="n"/>
      <c r="K50" s="83" t="inlineStr">
        <is>
          <t>Units</t>
        </is>
      </c>
      <c r="L50" s="80">
        <f>SUMIFS('Trading History'!$AB$4:$AB1005, 'Trading History'!$Y$4:$Y1005,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5">
        <f>IFERROR(Index!C52/(Index!C50*Index!$C$2), 0)</f>
        <v/>
      </c>
      <c r="D51" s="76" t="n"/>
      <c r="E51" s="86" t="inlineStr">
        <is>
          <t>ST Avg %</t>
        </is>
      </c>
      <c r="F51" s="75">
        <f>IFERROR(Index!F52/(Index!F50*Index!$C$2), 0)</f>
        <v/>
      </c>
      <c r="G51" s="76" t="n"/>
      <c r="H51" s="87" t="inlineStr">
        <is>
          <t>LT Avg %</t>
        </is>
      </c>
      <c r="I51" s="75">
        <f>IFERROR(Index!I52/(Index!I50*Index!$C$2), 0)</f>
        <v/>
      </c>
      <c r="J51" s="76" t="n"/>
      <c r="K51" s="88" t="inlineStr">
        <is>
          <t>Avg %</t>
        </is>
      </c>
      <c r="L51" s="75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History'!$L$4:$L1005, 'Trading History'!$K$4:$K1005, CONCAT("&gt;", $A50))</f>
        <v/>
      </c>
      <c r="D52" s="76" t="n"/>
      <c r="E52" s="86" t="inlineStr">
        <is>
          <t>ST Gain</t>
        </is>
      </c>
      <c r="F52" s="89">
        <f>SUMIFS('Trading History'!$P$4:$P1005, 'Trading History'!$O$4:$O1005, CONCAT("&gt;", $A50))</f>
        <v/>
      </c>
      <c r="G52" s="76" t="n"/>
      <c r="H52" s="87" t="inlineStr">
        <is>
          <t>LT Gain</t>
        </is>
      </c>
      <c r="I52" s="89">
        <f>SUMIFS('Trading History'!$T$4:$T1005, 'Trading History'!$S$4:$S1005, CONCAT("&gt;", $A50))</f>
        <v/>
      </c>
      <c r="J52" s="76" t="n"/>
      <c r="K52" s="88" t="inlineStr">
        <is>
          <t>Gain</t>
        </is>
      </c>
      <c r="L52" s="89">
        <f>SUMIFS('Trading History'!$Z$4:$Z1005, 'Trading History'!$Y$4:$Y1005,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History'!$M$4:$M1005, 'Trading History'!$K$4:$K1005, CONCAT("&gt;", $A50))</f>
        <v/>
      </c>
      <c r="D54" s="76" t="n"/>
      <c r="E54" s="86" t="inlineStr">
        <is>
          <t>ST Gross</t>
        </is>
      </c>
      <c r="F54" s="89">
        <f>SUMIFS('Trading History'!$Q$4:$Q1005, 'Trading History'!$O$4:$O1005, CONCAT("&gt;", $A50))</f>
        <v/>
      </c>
      <c r="G54" s="76" t="n"/>
      <c r="H54" s="87" t="inlineStr">
        <is>
          <t>LT Gross</t>
        </is>
      </c>
      <c r="I54" s="89">
        <f>SUMIFS('Trading History'!$U$4:$U1005, 'Trading History'!$S$4:$S1005, CONCAT("&gt;", $A50))</f>
        <v/>
      </c>
      <c r="J54" s="76" t="n"/>
      <c r="K54" s="88" t="inlineStr">
        <is>
          <t>Gross</t>
        </is>
      </c>
      <c r="L54" s="89">
        <f>SUMIFS('Trading History'!$AA$4:$AA1005, 'Trading History'!$Y$4:$Y1005,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History'!$N$4:$N1005, 'Trading History'!$K$4:$K1005, CONCAT("&gt;", $A57))</f>
        <v/>
      </c>
      <c r="D57" s="76" t="n"/>
      <c r="E57" s="81" t="inlineStr">
        <is>
          <t>ST Units</t>
        </is>
      </c>
      <c r="F57" s="80">
        <f>IFERROR(SUMIFS('Trading History'!$R$4:$R1005, 'Trading History'!$O$4:$O1005, CONCAT("&gt;", $A57)), 0)</f>
        <v/>
      </c>
      <c r="G57" s="76" t="n"/>
      <c r="H57" s="82" t="inlineStr">
        <is>
          <t>LT Units</t>
        </is>
      </c>
      <c r="I57" s="80">
        <f>SUMIFS('Trading History'!$V$4:$V1005, 'Trading History'!$S$4:$S1005, CONCAT("&gt;", $A57))</f>
        <v/>
      </c>
      <c r="J57" s="76" t="n"/>
      <c r="K57" s="83" t="inlineStr">
        <is>
          <t>Units</t>
        </is>
      </c>
      <c r="L57" s="80">
        <f>SUMIFS('Trading History'!$AB$4:$AB1005, 'Trading History'!$Y$4:$Y1005,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5">
        <f>IFERROR(Index!C59/(Index!C57*Index!$C$2), 0)</f>
        <v/>
      </c>
      <c r="D58" s="76" t="n"/>
      <c r="E58" s="86" t="inlineStr">
        <is>
          <t>ST Avg %</t>
        </is>
      </c>
      <c r="F58" s="75">
        <f>IFERROR(Index!F59/(Index!F57*Index!$C$2), 0)</f>
        <v/>
      </c>
      <c r="G58" s="76" t="n"/>
      <c r="H58" s="87" t="inlineStr">
        <is>
          <t>LT Avg %</t>
        </is>
      </c>
      <c r="I58" s="75">
        <f>IFERROR(Index!I59/(Index!I57*Index!$C$2), 0)</f>
        <v/>
      </c>
      <c r="J58" s="76" t="n"/>
      <c r="K58" s="88" t="inlineStr">
        <is>
          <t>Avg %</t>
        </is>
      </c>
      <c r="L58" s="75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History'!$L$4:$L1005, 'Trading History'!$K$4:$K1005, CONCAT("&gt;", $A57))</f>
        <v/>
      </c>
      <c r="D59" s="76" t="n"/>
      <c r="E59" s="86" t="inlineStr">
        <is>
          <t>ST Gain</t>
        </is>
      </c>
      <c r="F59" s="89">
        <f>SUMIFS('Trading History'!$P$4:$P1005, 'Trading History'!$O$4:$O1005, CONCAT("&gt;", $A57))</f>
        <v/>
      </c>
      <c r="G59" s="76" t="n"/>
      <c r="H59" s="87" t="inlineStr">
        <is>
          <t>LT Gain</t>
        </is>
      </c>
      <c r="I59" s="89">
        <f>SUMIFS('Trading History'!$T$4:$T1005, 'Trading History'!$S$4:$S1005, CONCAT("&gt;", $A57))</f>
        <v/>
      </c>
      <c r="J59" s="76" t="n"/>
      <c r="K59" s="88" t="inlineStr">
        <is>
          <t>Gain</t>
        </is>
      </c>
      <c r="L59" s="89">
        <f>SUMIFS('Trading History'!$Z$4:$Z1005, 'Trading History'!$Y$4:$Y1005,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History'!$M$4:$M1005, 'Trading History'!$K$4:$K1005, CONCAT("&gt;", $A57))</f>
        <v/>
      </c>
      <c r="D61" s="76" t="n"/>
      <c r="E61" s="86" t="inlineStr">
        <is>
          <t>ST Gross</t>
        </is>
      </c>
      <c r="F61" s="89">
        <f>SUMIFS('Trading History'!$Q$4:$Q1005, 'Trading History'!$O$4:$O1005, CONCAT("&gt;", $A57))</f>
        <v/>
      </c>
      <c r="G61" s="76" t="n"/>
      <c r="H61" s="87" t="inlineStr">
        <is>
          <t>LT Gross</t>
        </is>
      </c>
      <c r="I61" s="89">
        <f>SUMIFS('Trading History'!$U$4:$U1005, 'Trading History'!$S$4:$S1005, CONCAT("&gt;", $A57))</f>
        <v/>
      </c>
      <c r="J61" s="76" t="n"/>
      <c r="K61" s="88" t="inlineStr">
        <is>
          <t>Gross</t>
        </is>
      </c>
      <c r="L61" s="89">
        <f>SUMIFS('Trading History'!$AA$4:$AA1005, 'Trading History'!$Y$4:$Y1005,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History'!$N$4:$N1005, 'Trading History'!$K$4:$K1005, CONCAT("&gt;", $A64))</f>
        <v/>
      </c>
      <c r="D64" s="76" t="n"/>
      <c r="E64" s="81" t="inlineStr">
        <is>
          <t>ST Units</t>
        </is>
      </c>
      <c r="F64" s="80">
        <f>IFERROR(SUMIFS('Trading History'!$R$4:$R1005, 'Trading History'!$O$4:$O1005, CONCAT("&gt;", $A64)), 0)</f>
        <v/>
      </c>
      <c r="G64" s="76" t="n"/>
      <c r="H64" s="82" t="inlineStr">
        <is>
          <t>LT Units</t>
        </is>
      </c>
      <c r="I64" s="80">
        <f>SUMIFS('Trading History'!$V$4:$V1005, 'Trading History'!$S$4:$S1005, CONCAT("&gt;", $A64))</f>
        <v/>
      </c>
      <c r="J64" s="76" t="n"/>
      <c r="K64" s="83" t="inlineStr">
        <is>
          <t>Units</t>
        </is>
      </c>
      <c r="L64" s="80">
        <f>SUMIFS('Trading History'!$AB$4:$AB1005, 'Trading History'!$Y$4:$Y1005,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5">
        <f>IFERROR(Index!C66/(Index!C64*Index!$C$2), 0)</f>
        <v/>
      </c>
      <c r="D65" s="76" t="n"/>
      <c r="E65" s="86" t="inlineStr">
        <is>
          <t>ST Avg %</t>
        </is>
      </c>
      <c r="F65" s="75">
        <f>IFERROR(Index!F66/(Index!F64*Index!$C$2), 0)</f>
        <v/>
      </c>
      <c r="G65" s="76" t="n"/>
      <c r="H65" s="87" t="inlineStr">
        <is>
          <t>LT Avg %</t>
        </is>
      </c>
      <c r="I65" s="75">
        <f>IFERROR(Index!I66/(Index!I64*Index!$C$2), 0)</f>
        <v/>
      </c>
      <c r="J65" s="76" t="n"/>
      <c r="K65" s="88" t="inlineStr">
        <is>
          <t>Avg %</t>
        </is>
      </c>
      <c r="L65" s="75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History'!$L$4:$L1005, 'Trading History'!$K$4:$K1005, CONCAT("&gt;", $A64))</f>
        <v/>
      </c>
      <c r="D66" s="76" t="n"/>
      <c r="E66" s="86" t="inlineStr">
        <is>
          <t>ST Gain</t>
        </is>
      </c>
      <c r="F66" s="89">
        <f>SUMIFS('Trading History'!$P$4:$P1005, 'Trading History'!$O$4:$O1005, CONCAT("&gt;", $A64))</f>
        <v/>
      </c>
      <c r="G66" s="76" t="n"/>
      <c r="H66" s="87" t="inlineStr">
        <is>
          <t>LT Gain</t>
        </is>
      </c>
      <c r="I66" s="89">
        <f>SUMIFS('Trading History'!$T$4:$T1005, 'Trading History'!$S$4:$S1005, CONCAT("&gt;", $A64))</f>
        <v/>
      </c>
      <c r="J66" s="76" t="n"/>
      <c r="K66" s="88" t="inlineStr">
        <is>
          <t>Gain</t>
        </is>
      </c>
      <c r="L66" s="89">
        <f>SUMIFS('Trading History'!$Z$4:$Z1005, 'Trading History'!$Y$4:$Y1005,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History'!$M$4:$M1005, 'Trading History'!$K$4:$K1005, CONCAT("&gt;", $A64))</f>
        <v/>
      </c>
      <c r="D68" s="76" t="n"/>
      <c r="E68" s="86" t="inlineStr">
        <is>
          <t>ST Gross</t>
        </is>
      </c>
      <c r="F68" s="89">
        <f>SUMIFS('Trading History'!$Q$4:$Q1005, 'Trading History'!$O$4:$O1005, CONCAT("&gt;", $A64))</f>
        <v/>
      </c>
      <c r="G68" s="76" t="n"/>
      <c r="H68" s="87" t="inlineStr">
        <is>
          <t>LT Gross</t>
        </is>
      </c>
      <c r="I68" s="89">
        <f>SUMIFS('Trading History'!$U$4:$U1005, 'Trading History'!$S$4:$S1005, CONCAT("&gt;", $A64))</f>
        <v/>
      </c>
      <c r="J68" s="76" t="n"/>
      <c r="K68" s="88" t="inlineStr">
        <is>
          <t>Gross</t>
        </is>
      </c>
      <c r="L68" s="89">
        <f>SUMIFS('Trading History'!$AA$4:$AA1005, 'Trading History'!$Y$4:$Y1005,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History'!$N$4:$N1005, 'Trading History'!$K$4:$K1005, CONCAT("&gt;", $A71))</f>
        <v/>
      </c>
      <c r="D71" s="76" t="n"/>
      <c r="E71" s="81" t="inlineStr">
        <is>
          <t>ST Units</t>
        </is>
      </c>
      <c r="F71" s="80">
        <f>IFERROR(SUMIFS('Trading History'!$R$4:$R1005, 'Trading History'!$O$4:$O1005, CONCAT("&gt;", $A71)), 0)</f>
        <v/>
      </c>
      <c r="G71" s="76" t="n"/>
      <c r="H71" s="82" t="inlineStr">
        <is>
          <t>LT Units</t>
        </is>
      </c>
      <c r="I71" s="80">
        <f>SUMIFS('Trading History'!$V$4:$V1005, 'Trading History'!$S$4:$S1005, CONCAT("&gt;", $A71))</f>
        <v/>
      </c>
      <c r="J71" s="76" t="n"/>
      <c r="K71" s="83" t="inlineStr">
        <is>
          <t>Units</t>
        </is>
      </c>
      <c r="L71" s="80">
        <f>SUMIFS('Trading History'!$AB$4:$AB1005, 'Trading History'!$Y$4:$Y1005,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5">
        <f>IFERROR(Index!C73/(Index!C71*Index!$C$2), 0)</f>
        <v/>
      </c>
      <c r="D72" s="76" t="n"/>
      <c r="E72" s="86" t="inlineStr">
        <is>
          <t>ST Avg %</t>
        </is>
      </c>
      <c r="F72" s="75">
        <f>IFERROR(Index!F73/(Index!F71*Index!$C$2), 0)</f>
        <v/>
      </c>
      <c r="G72" s="76" t="n"/>
      <c r="H72" s="87" t="inlineStr">
        <is>
          <t>LT Avg %</t>
        </is>
      </c>
      <c r="I72" s="75">
        <f>IFERROR(Index!I73/(Index!I71*Index!$C$2), 0)</f>
        <v/>
      </c>
      <c r="J72" s="76" t="n"/>
      <c r="K72" s="88" t="inlineStr">
        <is>
          <t>Avg %</t>
        </is>
      </c>
      <c r="L72" s="75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History'!$L$4:$L1005, 'Trading History'!$K$4:$K1005, CONCAT("&gt;", $A71))</f>
        <v/>
      </c>
      <c r="D73" s="76" t="n"/>
      <c r="E73" s="86" t="inlineStr">
        <is>
          <t>ST Gain</t>
        </is>
      </c>
      <c r="F73" s="89">
        <f>SUMIFS('Trading History'!$P$4:$P1005, 'Trading History'!$O$4:$O1005, CONCAT("&gt;", $A71))</f>
        <v/>
      </c>
      <c r="G73" s="76" t="n"/>
      <c r="H73" s="87" t="inlineStr">
        <is>
          <t>LT Gain</t>
        </is>
      </c>
      <c r="I73" s="89">
        <f>SUMIFS('Trading History'!$T$4:$T1005, 'Trading History'!$S$4:$S1005, CONCAT("&gt;", $A71))</f>
        <v/>
      </c>
      <c r="J73" s="76" t="n"/>
      <c r="K73" s="88" t="inlineStr">
        <is>
          <t>Gain</t>
        </is>
      </c>
      <c r="L73" s="89">
        <f>SUMIFS('Trading History'!$Z$4:$Z1005, 'Trading History'!$Y$4:$Y1005,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History'!$M$4:$M1005, 'Trading History'!$K$4:$K1005, CONCAT("&gt;", $A71))</f>
        <v/>
      </c>
      <c r="D75" s="76" t="n"/>
      <c r="E75" s="86" t="inlineStr">
        <is>
          <t>ST Gross</t>
        </is>
      </c>
      <c r="F75" s="89">
        <f>SUMIFS('Trading History'!$Q$4:$Q1005, 'Trading History'!$O$4:$O1005, CONCAT("&gt;", $A71))</f>
        <v/>
      </c>
      <c r="G75" s="76" t="n"/>
      <c r="H75" s="87" t="inlineStr">
        <is>
          <t>LT Gross</t>
        </is>
      </c>
      <c r="I75" s="89">
        <f>SUMIFS('Trading History'!$U$4:$U1005, 'Trading History'!$S$4:$S1005, CONCAT("&gt;", $A71))</f>
        <v/>
      </c>
      <c r="J75" s="76" t="n"/>
      <c r="K75" s="88" t="inlineStr">
        <is>
          <t>Gross</t>
        </is>
      </c>
      <c r="L75" s="89">
        <f>SUMIFS('Trading History'!$AA$4:$AA1005, 'Trading History'!$Y$4:$Y1005,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History'!$N$4:$N1005, 'Trading History'!$K$4:$K1005, CONCAT("&gt;", $A78))</f>
        <v/>
      </c>
      <c r="D78" s="76" t="n"/>
      <c r="E78" s="81" t="inlineStr">
        <is>
          <t>ST Units</t>
        </is>
      </c>
      <c r="F78" s="80">
        <f>IFERROR(SUMIFS('Trading History'!$R$4:$R1005, 'Trading History'!$O$4:$O1005, CONCAT("&gt;", $A78)), 0)</f>
        <v/>
      </c>
      <c r="G78" s="76" t="n"/>
      <c r="H78" s="82" t="inlineStr">
        <is>
          <t>LT Units</t>
        </is>
      </c>
      <c r="I78" s="80">
        <f>SUMIFS('Trading History'!$V$4:$V1005, 'Trading History'!$S$4:$S1005, CONCAT("&gt;", $A78))</f>
        <v/>
      </c>
      <c r="J78" s="76" t="n"/>
      <c r="K78" s="83" t="inlineStr">
        <is>
          <t>Units</t>
        </is>
      </c>
      <c r="L78" s="80">
        <f>SUMIFS('Trading History'!$AB$4:$AB1005, 'Trading History'!$Y$4:$Y1005,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5">
        <f>IFERROR(Index!C80/(Index!C78*Index!$C$2), 0)</f>
        <v/>
      </c>
      <c r="D79" s="76" t="n"/>
      <c r="E79" s="86" t="inlineStr">
        <is>
          <t>ST Avg %</t>
        </is>
      </c>
      <c r="F79" s="75">
        <f>IFERROR(Index!F80/(Index!F78*Index!$C$2), 0)</f>
        <v/>
      </c>
      <c r="G79" s="76" t="n"/>
      <c r="H79" s="87" t="inlineStr">
        <is>
          <t>LT Avg %</t>
        </is>
      </c>
      <c r="I79" s="75">
        <f>IFERROR(Index!I80/(Index!I78*Index!$C$2), 0)</f>
        <v/>
      </c>
      <c r="J79" s="76" t="n"/>
      <c r="K79" s="88" t="inlineStr">
        <is>
          <t>Avg %</t>
        </is>
      </c>
      <c r="L79" s="75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History'!$L$4:$L1005, 'Trading History'!$K$4:$K1005, CONCAT("&gt;", $A78))</f>
        <v/>
      </c>
      <c r="D80" s="76" t="n"/>
      <c r="E80" s="86" t="inlineStr">
        <is>
          <t>ST Gain</t>
        </is>
      </c>
      <c r="F80" s="89">
        <f>SUMIFS('Trading History'!$P$4:$P1005, 'Trading History'!$O$4:$O1005, CONCAT("&gt;", $A78))</f>
        <v/>
      </c>
      <c r="G80" s="76" t="n"/>
      <c r="H80" s="87" t="inlineStr">
        <is>
          <t>LT Gain</t>
        </is>
      </c>
      <c r="I80" s="89">
        <f>SUMIFS('Trading History'!$T$4:$T1005, 'Trading History'!$S$4:$S1005, CONCAT("&gt;", $A78))</f>
        <v/>
      </c>
      <c r="J80" s="76" t="n"/>
      <c r="K80" s="88" t="inlineStr">
        <is>
          <t>Gain</t>
        </is>
      </c>
      <c r="L80" s="89">
        <f>SUMIFS('Trading History'!$Z$4:$Z1005, 'Trading History'!$Y$4:$Y1005,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History'!$M$4:$M1005, 'Trading History'!$K$4:$K1005, CONCAT("&gt;", $A78))</f>
        <v/>
      </c>
      <c r="D82" s="76" t="n"/>
      <c r="E82" s="86" t="inlineStr">
        <is>
          <t>ST Gross</t>
        </is>
      </c>
      <c r="F82" s="89">
        <f>SUMIFS('Trading History'!$Q$4:$Q1005, 'Trading History'!$O$4:$O1005, CONCAT("&gt;", $A78))</f>
        <v/>
      </c>
      <c r="G82" s="76" t="n"/>
      <c r="H82" s="87" t="inlineStr">
        <is>
          <t>LT Gross</t>
        </is>
      </c>
      <c r="I82" s="89">
        <f>SUMIFS('Trading History'!$U$4:$U1005, 'Trading History'!$S$4:$S1005, CONCAT("&gt;", $A78))</f>
        <v/>
      </c>
      <c r="J82" s="76" t="n"/>
      <c r="K82" s="88" t="inlineStr">
        <is>
          <t>Gross</t>
        </is>
      </c>
      <c r="L82" s="89">
        <f>SUMIFS('Trading History'!$AA$4:$AA1005, 'Trading History'!$Y$4:$Y1005,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History'!$N$4:$N1005, 'Trading History'!$K$4:$K1005, CONCAT("&gt;", $A85))</f>
        <v/>
      </c>
      <c r="D85" s="76" t="n"/>
      <c r="E85" s="81" t="inlineStr">
        <is>
          <t>ST Units</t>
        </is>
      </c>
      <c r="F85" s="80">
        <f>IFERROR(SUMIFS('Trading History'!$R$4:$R1005, 'Trading History'!$O$4:$O1005, CONCAT("&gt;", $A85)), 0)</f>
        <v/>
      </c>
      <c r="G85" s="76" t="n"/>
      <c r="H85" s="82" t="inlineStr">
        <is>
          <t>LT Units</t>
        </is>
      </c>
      <c r="I85" s="80">
        <f>SUMIFS('Trading History'!$V$4:$V1005, 'Trading History'!$S$4:$S1005, CONCAT("&gt;", $A85))</f>
        <v/>
      </c>
      <c r="J85" s="76" t="n"/>
      <c r="K85" s="83" t="inlineStr">
        <is>
          <t>Units</t>
        </is>
      </c>
      <c r="L85" s="80">
        <f>SUMIFS('Trading History'!$AB$4:$AB1005, 'Trading History'!$Y$4:$Y1005,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5">
        <f>IFERROR(Index!C87/(Index!C85*Index!$C$2), 0)</f>
        <v/>
      </c>
      <c r="D86" s="76" t="n"/>
      <c r="E86" s="86" t="inlineStr">
        <is>
          <t>ST Avg %</t>
        </is>
      </c>
      <c r="F86" s="75">
        <f>IFERROR(Index!F87/(Index!F85*Index!$C$2), 0)</f>
        <v/>
      </c>
      <c r="G86" s="76" t="n"/>
      <c r="H86" s="87" t="inlineStr">
        <is>
          <t>LT Avg %</t>
        </is>
      </c>
      <c r="I86" s="75">
        <f>IFERROR(Index!I87/(Index!I85*Index!$C$2), 0)</f>
        <v/>
      </c>
      <c r="J86" s="76" t="n"/>
      <c r="K86" s="88" t="inlineStr">
        <is>
          <t>Avg %</t>
        </is>
      </c>
      <c r="L86" s="75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History'!$L$4:$L1005, 'Trading History'!$K$4:$K1005, CONCAT("&gt;", $A85))</f>
        <v/>
      </c>
      <c r="D87" s="76" t="n"/>
      <c r="E87" s="86" t="inlineStr">
        <is>
          <t>ST Gain</t>
        </is>
      </c>
      <c r="F87" s="89">
        <f>SUMIFS('Trading History'!$P$4:$P1005, 'Trading History'!$O$4:$O1005, CONCAT("&gt;", $A85))</f>
        <v/>
      </c>
      <c r="G87" s="76" t="n"/>
      <c r="H87" s="87" t="inlineStr">
        <is>
          <t>LT Gain</t>
        </is>
      </c>
      <c r="I87" s="89">
        <f>SUMIFS('Trading History'!$T$4:$T1005, 'Trading History'!$S$4:$S1005, CONCAT("&gt;", $A85))</f>
        <v/>
      </c>
      <c r="J87" s="76" t="n"/>
      <c r="K87" s="88" t="inlineStr">
        <is>
          <t>Gain</t>
        </is>
      </c>
      <c r="L87" s="89">
        <f>SUMIFS('Trading History'!$Z$4:$Z1005, 'Trading History'!$Y$4:$Y1005,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History'!$M$4:$M1005, 'Trading History'!$K$4:$K1005, CONCAT("&gt;", $A85))</f>
        <v/>
      </c>
      <c r="D89" s="76" t="n"/>
      <c r="E89" s="86" t="inlineStr">
        <is>
          <t>ST Gross</t>
        </is>
      </c>
      <c r="F89" s="89">
        <f>SUMIFS('Trading History'!$Q$4:$Q1005, 'Trading History'!$O$4:$O1005, CONCAT("&gt;", $A85))</f>
        <v/>
      </c>
      <c r="G89" s="76" t="n"/>
      <c r="H89" s="87" t="inlineStr">
        <is>
          <t>LT Gross</t>
        </is>
      </c>
      <c r="I89" s="89">
        <f>SUMIFS('Trading History'!$U$4:$U1005, 'Trading History'!$S$4:$S1005, CONCAT("&gt;", $A85))</f>
        <v/>
      </c>
      <c r="J89" s="76" t="n"/>
      <c r="K89" s="88" t="inlineStr">
        <is>
          <t>Gross</t>
        </is>
      </c>
      <c r="L89" s="89">
        <f>SUMIFS('Trading History'!$AA$4:$AA1005, 'Trading History'!$Y$4:$Y1005,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2026-02-12T00:13:36Z</dcterms:modified>
</cp:coreProperties>
</file>