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0890936_5B18_4B16_8CBC_F516D59FD5AB_.wvu.FilterData" localSheetId="0" hidden="1">'Trading History'!$A$4:$AO$125</definedName>
    <definedName name="_xlnm._FilterDatabase" localSheetId="0" hidden="1">'Trading History'!$A$4:$AO$125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d-mmm-yyyy"/>
    <numFmt numFmtId="167" formatCode="yyyy-mm-dd h:mm:ss"/>
  </numFmts>
  <fonts count="11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Times New Roman"/>
      <color rgb="FF00000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7" fillId="0" borderId="7" pivotButton="0" quotePrefix="0" xfId="0"/>
    <xf numFmtId="0" fontId="2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0" fontId="2" fillId="0" borderId="6" applyAlignment="1" pivotButton="0" quotePrefix="0" xfId="0">
      <alignment horizontal="left" vertical="top"/>
    </xf>
    <xf numFmtId="0" fontId="2" fillId="0" borderId="8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2" fillId="0" borderId="5" applyAlignment="1" pivotButton="0" quotePrefix="0" xfId="0">
      <alignment vertical="bottom"/>
    </xf>
    <xf numFmtId="166" fontId="8" fillId="0" borderId="8" applyAlignment="1" pivotButton="0" quotePrefix="0" xfId="0">
      <alignment horizontal="left" vertical="top"/>
    </xf>
    <xf numFmtId="0" fontId="8" fillId="0" borderId="6" applyAlignment="1" pivotButton="0" quotePrefix="0" xfId="0">
      <alignment horizontal="left" vertical="top"/>
    </xf>
    <xf numFmtId="0" fontId="8" fillId="0" borderId="6" applyAlignment="1" pivotButton="0" quotePrefix="0" xfId="0">
      <alignment horizontal="right" vertical="top"/>
    </xf>
    <xf numFmtId="164" fontId="8" fillId="0" borderId="8" applyAlignment="1" pivotButton="0" quotePrefix="0" xfId="0">
      <alignment horizontal="right" vertical="top"/>
    </xf>
    <xf numFmtId="164" fontId="8" fillId="0" borderId="6" applyAlignment="1" pivotButton="0" quotePrefix="0" xfId="0">
      <alignment horizontal="right" vertical="top"/>
    </xf>
    <xf numFmtId="164" fontId="9" fillId="0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0" fontId="1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bottom"/>
    </xf>
    <xf numFmtId="9" fontId="10" fillId="0" borderId="0" applyAlignment="1" pivotButton="0" quotePrefix="0" xfId="0">
      <alignment horizontal="right" vertical="bottom"/>
    </xf>
    <xf numFmtId="0" fontId="10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0" fillId="3" borderId="7" applyAlignment="1" pivotButton="0" quotePrefix="0" xfId="0">
      <alignment vertical="bottom"/>
    </xf>
    <xf numFmtId="164" fontId="10" fillId="4" borderId="7" applyAlignment="1" pivotButton="0" quotePrefix="0" xfId="0">
      <alignment vertical="bottom"/>
    </xf>
    <xf numFmtId="164" fontId="10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10" fillId="2" borderId="6" applyAlignment="1" pivotButton="0" quotePrefix="0" xfId="0">
      <alignment vertical="bottom"/>
    </xf>
    <xf numFmtId="164" fontId="10" fillId="3" borderId="6" applyAlignment="1" pivotButton="0" quotePrefix="0" xfId="0">
      <alignment vertical="bottom"/>
    </xf>
    <xf numFmtId="164" fontId="10" fillId="4" borderId="6" applyAlignment="1" pivotButton="0" quotePrefix="0" xfId="0">
      <alignment vertical="bottom"/>
    </xf>
    <xf numFmtId="164" fontId="10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10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73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88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2.8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8.380000000000001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7.88" customWidth="1" style="91" min="23" max="23"/>
    <col width="10.5" customWidth="1" style="91" min="24" max="24"/>
    <col width="8.880000000000001" customWidth="1" style="91" min="25" max="26"/>
    <col width="9.25" customWidth="1" style="91" min="27" max="27"/>
    <col width="8.380000000000001" customWidth="1" style="91" min="28" max="29"/>
    <col width="16.38" customWidth="1" style="91" min="30" max="30"/>
  </cols>
  <sheetData>
    <row r="1">
      <c r="A1" s="72" t="n"/>
      <c r="B1" s="2" t="n"/>
      <c r="C1" s="72" t="n"/>
      <c r="D1" s="4" t="n"/>
      <c r="E1" s="2" t="n"/>
      <c r="F1" s="2" t="n"/>
      <c r="G1" s="2" t="n"/>
      <c r="H1" s="2" t="n"/>
      <c r="I1" s="4" t="n"/>
      <c r="J1" s="4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9" t="n"/>
      <c r="AE2" s="72" t="n"/>
      <c r="AF2" s="72" t="n"/>
      <c r="AG2" s="72" t="n"/>
      <c r="AH2" s="72" t="n"/>
      <c r="AI2" s="72" t="n"/>
      <c r="AJ2" s="72" t="n"/>
      <c r="AK2" s="72" t="n"/>
      <c r="AL2" s="72" t="n"/>
      <c r="AM2" s="72" t="n"/>
      <c r="AN2" s="72" t="n"/>
      <c r="AO2" s="72" t="n"/>
      <c r="AP2" s="72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8" t="n"/>
      <c r="AE3" s="72" t="n"/>
      <c r="AF3" s="72" t="n"/>
      <c r="AG3" s="72" t="n"/>
      <c r="AH3" s="72" t="n"/>
      <c r="AI3" s="72" t="n"/>
      <c r="AJ3" s="72" t="n"/>
      <c r="AK3" s="72" t="n"/>
      <c r="AL3" s="72" t="n"/>
      <c r="AM3" s="72" t="n"/>
      <c r="AN3" s="72" t="n"/>
      <c r="AO3" s="72" t="n"/>
      <c r="AP3" s="72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2" t="n"/>
      <c r="AF4" s="72" t="n"/>
      <c r="AG4" s="72" t="n"/>
      <c r="AH4" s="72" t="n"/>
      <c r="AI4" s="72" t="n"/>
      <c r="AJ4" s="72" t="n"/>
      <c r="AK4" s="72" t="n"/>
      <c r="AL4" s="72" t="n"/>
      <c r="AM4" s="72" t="n"/>
      <c r="AN4" s="72" t="n"/>
      <c r="AO4" s="72" t="n"/>
      <c r="AP4" s="72" t="n"/>
    </row>
    <row r="5">
      <c r="A5" s="103" t="n">
        <v>46050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320.5</v>
      </c>
      <c r="F5" t="n">
        <v>3221</v>
      </c>
      <c r="G5" t="inlineStr">
        <is>
          <t>CN#252611091662</t>
        </is>
      </c>
      <c r="I5" t="n">
        <v>16</v>
      </c>
      <c r="J5">
        <f>Index!$C$2</f>
        <v/>
      </c>
    </row>
    <row r="6">
      <c r="A6" s="103" t="n">
        <v>46049</v>
      </c>
      <c r="B6" s="0" t="inlineStr">
        <is>
          <t>NSE</t>
        </is>
      </c>
      <c r="C6" s="0" t="inlineStr">
        <is>
          <t>Buy</t>
        </is>
      </c>
      <c r="D6" s="0" t="n">
        <v>50</v>
      </c>
      <c r="E6" s="0" t="n">
        <v>322.4</v>
      </c>
      <c r="F6" s="0" t="n">
        <v>16200.5</v>
      </c>
      <c r="G6" s="0" t="inlineStr">
        <is>
          <t>CN#252611030591</t>
        </is>
      </c>
      <c r="I6" s="0" t="n">
        <v>80.5</v>
      </c>
      <c r="J6" s="0">
        <f>Index!$C$2</f>
        <v/>
      </c>
    </row>
    <row r="7">
      <c r="A7" s="103" t="n">
        <v>46044</v>
      </c>
      <c r="B7" s="0" t="inlineStr">
        <is>
          <t>NSE</t>
        </is>
      </c>
      <c r="C7" s="0" t="inlineStr">
        <is>
          <t>Buy</t>
        </is>
      </c>
      <c r="D7" s="0" t="n">
        <v>30</v>
      </c>
      <c r="E7" s="0" t="n">
        <v>324.75</v>
      </c>
      <c r="F7" s="0" t="n">
        <v>9791.1</v>
      </c>
      <c r="G7" s="0" t="inlineStr">
        <is>
          <t>CN#252610906344</t>
        </is>
      </c>
      <c r="I7" s="0" t="n">
        <v>48.6</v>
      </c>
      <c r="J7" s="0">
        <f>Index!$C$2</f>
        <v/>
      </c>
    </row>
    <row r="8">
      <c r="A8" s="103" t="n">
        <v>46042</v>
      </c>
      <c r="B8" s="0" t="inlineStr">
        <is>
          <t>NSE</t>
        </is>
      </c>
      <c r="C8" s="0" t="inlineStr">
        <is>
          <t>Buy</t>
        </is>
      </c>
      <c r="D8" s="0" t="n">
        <v>30</v>
      </c>
      <c r="E8" s="0" t="n">
        <v>332.15</v>
      </c>
      <c r="F8" s="0" t="n">
        <v>10014.3</v>
      </c>
      <c r="G8" s="0" t="inlineStr">
        <is>
          <t>CN#252610779339</t>
        </is>
      </c>
      <c r="I8" s="0" t="n">
        <v>49.8</v>
      </c>
      <c r="J8" s="0">
        <f>Index!$C$2</f>
        <v/>
      </c>
    </row>
    <row r="9">
      <c r="A9" s="103" t="n">
        <v>46038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335.3</v>
      </c>
      <c r="F9" s="0" t="n">
        <v>3369.8</v>
      </c>
      <c r="G9" s="0" t="inlineStr">
        <is>
          <t>CN#252610644483</t>
        </is>
      </c>
      <c r="I9" s="0" t="n">
        <v>16.8</v>
      </c>
      <c r="J9" s="0">
        <f>Index!$C$2</f>
        <v/>
      </c>
    </row>
    <row r="10">
      <c r="A10" s="103" t="n">
        <v>46034</v>
      </c>
      <c r="B10" s="0" t="inlineStr">
        <is>
          <t>NSE</t>
        </is>
      </c>
      <c r="C10" s="0" t="inlineStr">
        <is>
          <t>Buy</t>
        </is>
      </c>
      <c r="D10" s="0" t="n">
        <v>20</v>
      </c>
      <c r="E10" s="0" t="n">
        <v>338.15</v>
      </c>
      <c r="F10" s="0" t="n">
        <v>6796.8</v>
      </c>
      <c r="G10" s="0" t="inlineStr">
        <is>
          <t>CN#252610469431</t>
        </is>
      </c>
      <c r="I10" s="0" t="n">
        <v>33.8</v>
      </c>
      <c r="J10" s="0">
        <f>Index!$C$2</f>
        <v/>
      </c>
    </row>
    <row r="11">
      <c r="A11" s="103" t="n">
        <v>46030</v>
      </c>
      <c r="B11" s="0" t="inlineStr">
        <is>
          <t>NSE</t>
        </is>
      </c>
      <c r="C11" s="0" t="inlineStr">
        <is>
          <t>Buy</t>
        </is>
      </c>
      <c r="D11" s="0" t="n">
        <v>20</v>
      </c>
      <c r="E11" s="0" t="n">
        <v>340.85</v>
      </c>
      <c r="F11" s="0" t="n">
        <v>6851</v>
      </c>
      <c r="G11" s="0" t="inlineStr">
        <is>
          <t>CN#252610347614</t>
        </is>
      </c>
      <c r="I11" s="0" t="n">
        <v>34</v>
      </c>
      <c r="J11" s="0">
        <f>Index!$C$2</f>
        <v/>
      </c>
    </row>
    <row r="12">
      <c r="A12" s="103" t="n">
        <v>46027</v>
      </c>
      <c r="B12" s="0" t="inlineStr">
        <is>
          <t>NSE</t>
        </is>
      </c>
      <c r="C12" s="0" t="inlineStr">
        <is>
          <t>Buy</t>
        </is>
      </c>
      <c r="D12" s="0" t="n">
        <v>20</v>
      </c>
      <c r="E12" s="0" t="n">
        <v>350.05</v>
      </c>
      <c r="F12" s="0" t="n">
        <v>7036</v>
      </c>
      <c r="G12" s="0" t="inlineStr">
        <is>
          <t>CN#252610159828</t>
        </is>
      </c>
      <c r="I12" s="0" t="n">
        <v>35</v>
      </c>
      <c r="J12" s="0">
        <f>Index!$C$2</f>
        <v/>
      </c>
    </row>
    <row r="13">
      <c r="A13" s="103" t="n">
        <v>46024</v>
      </c>
      <c r="B13" s="0" t="inlineStr">
        <is>
          <t>BSE</t>
        </is>
      </c>
      <c r="C13" s="0" t="inlineStr">
        <is>
          <t>Buy</t>
        </is>
      </c>
      <c r="D13" s="0" t="n">
        <v>20</v>
      </c>
      <c r="E13" s="0" t="n">
        <v>350.1</v>
      </c>
      <c r="F13" s="0" t="n">
        <v>7037</v>
      </c>
      <c r="G13" s="0" t="inlineStr">
        <is>
          <t>CN#252610092927</t>
        </is>
      </c>
      <c r="I13" s="0" t="n">
        <v>35</v>
      </c>
      <c r="J13" s="0">
        <f>Index!$C$2</f>
        <v/>
      </c>
    </row>
    <row r="14">
      <c r="A14" s="103" t="n">
        <v>46023</v>
      </c>
      <c r="B14" s="0" t="inlineStr">
        <is>
          <t>NSE</t>
        </is>
      </c>
      <c r="C14" s="0" t="inlineStr">
        <is>
          <t>Buy</t>
        </is>
      </c>
      <c r="D14" s="0" t="n">
        <v>20</v>
      </c>
      <c r="E14" s="0" t="n">
        <v>363.1</v>
      </c>
      <c r="F14" s="0" t="n">
        <v>7298.4</v>
      </c>
      <c r="G14" s="0" t="inlineStr">
        <is>
          <t>CN#252610036219</t>
        </is>
      </c>
      <c r="I14" s="0" t="n">
        <v>36.4</v>
      </c>
      <c r="J14" s="0">
        <f>Index!$C$2</f>
        <v/>
      </c>
    </row>
    <row r="15">
      <c r="A15" s="103" t="n">
        <v>46009</v>
      </c>
      <c r="B15" s="0" t="inlineStr">
        <is>
          <t>BSE</t>
        </is>
      </c>
      <c r="C15" s="0" t="inlineStr">
        <is>
          <t>Buy</t>
        </is>
      </c>
      <c r="D15" s="0" t="n">
        <v>10</v>
      </c>
      <c r="E15" s="0" t="n">
        <v>400.8</v>
      </c>
      <c r="F15" s="0" t="n">
        <v>4028</v>
      </c>
      <c r="G15" s="0" t="inlineStr">
        <is>
          <t>CN#252609527272</t>
        </is>
      </c>
      <c r="I15" s="0" t="n">
        <v>20</v>
      </c>
      <c r="J15" s="0">
        <f>Index!$C$2</f>
        <v/>
      </c>
    </row>
    <row r="16">
      <c r="A16" s="103" t="n">
        <v>46002</v>
      </c>
      <c r="B16" s="0" t="inlineStr">
        <is>
          <t>BSE</t>
        </is>
      </c>
      <c r="C16" s="0" t="inlineStr">
        <is>
          <t>Buy</t>
        </is>
      </c>
      <c r="D16" s="0" t="n">
        <v>20</v>
      </c>
      <c r="E16" s="0" t="n">
        <v>402.35</v>
      </c>
      <c r="F16" s="0" t="n">
        <v>8087.2</v>
      </c>
      <c r="G16" s="0" t="inlineStr">
        <is>
          <t>CN#252609267726</t>
        </is>
      </c>
      <c r="I16" s="0" t="n">
        <v>40.2</v>
      </c>
      <c r="J16" s="0">
        <f>Index!$C$2</f>
        <v/>
      </c>
    </row>
    <row r="17">
      <c r="A17" s="103" t="n">
        <v>46000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403</v>
      </c>
      <c r="F17" s="0" t="n">
        <v>4050.2</v>
      </c>
      <c r="G17" s="0" t="inlineStr">
        <is>
          <t>CN#252609157599</t>
        </is>
      </c>
      <c r="I17" s="0" t="n">
        <v>20.2</v>
      </c>
      <c r="J17" s="0">
        <f>Index!$C$2</f>
        <v/>
      </c>
    </row>
    <row r="18">
      <c r="A18" s="103" t="n">
        <v>45996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402.8</v>
      </c>
      <c r="F18" s="0" t="n">
        <v>4048.1</v>
      </c>
      <c r="G18" s="0" t="inlineStr">
        <is>
          <t>CN#252609039305</t>
        </is>
      </c>
      <c r="I18" s="0" t="n">
        <v>20.1</v>
      </c>
      <c r="J18" s="0">
        <f>Index!$C$2</f>
        <v/>
      </c>
    </row>
    <row r="19">
      <c r="A19" s="103" t="n">
        <v>45995</v>
      </c>
      <c r="B19" s="0" t="inlineStr">
        <is>
          <t>BSE</t>
        </is>
      </c>
      <c r="C19" s="0" t="inlineStr">
        <is>
          <t>Buy</t>
        </is>
      </c>
      <c r="D19" s="0" t="n">
        <v>10</v>
      </c>
      <c r="E19" s="0" t="n">
        <v>402.5</v>
      </c>
      <c r="F19" s="0" t="n">
        <v>4045.1</v>
      </c>
      <c r="G19" s="0" t="inlineStr">
        <is>
          <t>CN#252608985717</t>
        </is>
      </c>
      <c r="I19" s="0" t="n">
        <v>20.1</v>
      </c>
      <c r="J19" s="0">
        <f>Index!$C$2</f>
        <v/>
      </c>
    </row>
    <row r="20">
      <c r="A20" s="103" t="n">
        <v>45993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401.6</v>
      </c>
      <c r="F20" s="0" t="n">
        <v>4036.1</v>
      </c>
      <c r="G20" s="0" t="inlineStr">
        <is>
          <t>CN#252608877522</t>
        </is>
      </c>
      <c r="I20" s="0" t="n">
        <v>20.1</v>
      </c>
      <c r="J20" s="0">
        <f>Index!$C$2</f>
        <v/>
      </c>
    </row>
    <row r="21">
      <c r="A21" s="103" t="n">
        <v>45989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403.7</v>
      </c>
      <c r="F21" s="0" t="n">
        <v>4057.2</v>
      </c>
      <c r="G21" s="0" t="inlineStr">
        <is>
          <t>CN#252608755594</t>
        </is>
      </c>
      <c r="I21" s="0" t="n">
        <v>20.2</v>
      </c>
      <c r="J21" s="0">
        <f>Index!$C$2</f>
        <v/>
      </c>
    </row>
    <row r="22">
      <c r="A22" s="103" t="n">
        <v>45988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402.8</v>
      </c>
      <c r="F22" s="0" t="n">
        <v>4048.1</v>
      </c>
      <c r="G22" s="0" t="inlineStr">
        <is>
          <t>CN#252608703866</t>
        </is>
      </c>
      <c r="I22" s="0" t="n">
        <v>20.1</v>
      </c>
      <c r="J22" s="0">
        <f>Index!$C$2</f>
        <v/>
      </c>
    </row>
    <row r="23">
      <c r="A23" s="103" t="n">
        <v>45982</v>
      </c>
      <c r="B23" s="0" t="inlineStr">
        <is>
          <t>NSE</t>
        </is>
      </c>
      <c r="C23" s="0" t="inlineStr">
        <is>
          <t>Buy</t>
        </is>
      </c>
      <c r="D23" s="0" t="n">
        <v>20</v>
      </c>
      <c r="E23" s="0" t="n">
        <v>407.55</v>
      </c>
      <c r="F23" s="0" t="n">
        <v>8191.8</v>
      </c>
      <c r="G23" s="0" t="inlineStr">
        <is>
          <t>CN#252608495287</t>
        </is>
      </c>
      <c r="I23" s="0" t="n">
        <v>40.8</v>
      </c>
      <c r="J23" s="0">
        <f>Index!$C$2</f>
        <v/>
      </c>
    </row>
    <row r="24">
      <c r="A24" s="103" t="n">
        <v>45981</v>
      </c>
      <c r="B24" s="0" t="inlineStr">
        <is>
          <t>BSE</t>
        </is>
      </c>
      <c r="C24" s="0" t="inlineStr">
        <is>
          <t>Buy</t>
        </is>
      </c>
      <c r="D24" s="0" t="n">
        <v>20</v>
      </c>
      <c r="E24" s="0" t="n">
        <v>404.9</v>
      </c>
      <c r="F24" s="0" t="n">
        <v>8138.4</v>
      </c>
      <c r="G24" s="0" t="inlineStr">
        <is>
          <t>CN#252608441505</t>
        </is>
      </c>
      <c r="I24" s="0" t="n">
        <v>40.4</v>
      </c>
      <c r="J24" s="0">
        <f>Index!$C$2</f>
        <v/>
      </c>
    </row>
    <row r="25">
      <c r="A25" s="103" t="n">
        <v>45979</v>
      </c>
      <c r="B25" s="0" t="inlineStr">
        <is>
          <t>BSE</t>
        </is>
      </c>
      <c r="C25" s="0" t="inlineStr">
        <is>
          <t>Buy</t>
        </is>
      </c>
      <c r="D25" s="0" t="n">
        <v>30</v>
      </c>
      <c r="E25" s="0" t="n">
        <v>405.9</v>
      </c>
      <c r="F25" s="0" t="n">
        <v>12237.9</v>
      </c>
      <c r="G25" s="0" t="inlineStr">
        <is>
          <t>CN#252608322011</t>
        </is>
      </c>
      <c r="I25" s="0" t="n">
        <v>60.9</v>
      </c>
      <c r="J25" s="0">
        <f>Index!$C$2</f>
        <v/>
      </c>
    </row>
    <row r="26">
      <c r="A26" s="103" t="n">
        <v>45978</v>
      </c>
      <c r="B26" s="0" t="inlineStr">
        <is>
          <t>NSE</t>
        </is>
      </c>
      <c r="C26" s="0" t="inlineStr">
        <is>
          <t>Buy</t>
        </is>
      </c>
      <c r="D26" s="0" t="n">
        <v>20</v>
      </c>
      <c r="E26" s="0" t="n">
        <v>409.8</v>
      </c>
      <c r="F26" s="0" t="n">
        <v>8237</v>
      </c>
      <c r="G26" s="0" t="inlineStr">
        <is>
          <t>CN#252608260909</t>
        </is>
      </c>
      <c r="I26" s="0" t="n">
        <v>41</v>
      </c>
      <c r="J26" s="0">
        <f>Index!$C$2</f>
        <v/>
      </c>
    </row>
    <row r="27">
      <c r="A27" s="103" t="n">
        <v>45975</v>
      </c>
      <c r="B27" s="0" t="inlineStr">
        <is>
          <t>NSE</t>
        </is>
      </c>
      <c r="C27" s="0" t="inlineStr">
        <is>
          <t>Buy</t>
        </is>
      </c>
      <c r="D27" s="0" t="n">
        <v>20</v>
      </c>
      <c r="E27" s="0" t="n">
        <v>403.88</v>
      </c>
      <c r="F27" s="0" t="n">
        <v>8118</v>
      </c>
      <c r="G27" s="0" t="inlineStr">
        <is>
          <t>CN#252608199734</t>
        </is>
      </c>
      <c r="I27" s="0" t="n">
        <v>40.4</v>
      </c>
      <c r="J27" s="0">
        <f>Index!$C$2</f>
        <v/>
      </c>
    </row>
    <row r="28">
      <c r="A28" s="103" t="n">
        <v>45974</v>
      </c>
      <c r="B28" s="0" t="inlineStr">
        <is>
          <t>BSE</t>
        </is>
      </c>
      <c r="C28" s="0" t="inlineStr">
        <is>
          <t>Buy</t>
        </is>
      </c>
      <c r="D28" s="0" t="n">
        <v>20</v>
      </c>
      <c r="E28" s="0" t="n">
        <v>407</v>
      </c>
      <c r="F28" s="0" t="n">
        <v>8180.8</v>
      </c>
      <c r="G28" s="0" t="inlineStr">
        <is>
          <t>CN#252608142538</t>
        </is>
      </c>
      <c r="I28" s="0" t="n">
        <v>40.8</v>
      </c>
      <c r="J28" s="0">
        <f>Index!$C$2</f>
        <v/>
      </c>
    </row>
    <row r="29">
      <c r="A29" s="103" t="n">
        <v>45972</v>
      </c>
      <c r="B29" s="0" t="inlineStr">
        <is>
          <t>BSE</t>
        </is>
      </c>
      <c r="C29" s="0" t="inlineStr">
        <is>
          <t>Buy</t>
        </is>
      </c>
      <c r="D29" s="0" t="n">
        <v>10</v>
      </c>
      <c r="E29" s="0" t="n">
        <v>406.6</v>
      </c>
      <c r="F29" s="0" t="n">
        <v>4086.3</v>
      </c>
      <c r="G29" s="0" t="inlineStr">
        <is>
          <t>CN#252608021091</t>
        </is>
      </c>
      <c r="I29" s="0" t="n">
        <v>20.3</v>
      </c>
      <c r="J29" s="0">
        <f>Index!$C$2</f>
        <v/>
      </c>
    </row>
    <row r="30">
      <c r="A30" s="103" t="n">
        <v>45971</v>
      </c>
      <c r="B30" s="0" t="inlineStr">
        <is>
          <t>NSE</t>
        </is>
      </c>
      <c r="C30" s="0" t="inlineStr">
        <is>
          <t>Buy</t>
        </is>
      </c>
      <c r="D30" s="0" t="n">
        <v>20</v>
      </c>
      <c r="E30" s="0" t="n">
        <v>406</v>
      </c>
      <c r="F30" s="0" t="n">
        <v>8160.6</v>
      </c>
      <c r="G30" s="0" t="inlineStr">
        <is>
          <t>CN#252607962278</t>
        </is>
      </c>
      <c r="I30" s="0" t="n">
        <v>40.6</v>
      </c>
      <c r="J30" s="0">
        <f>Index!$C$2</f>
        <v/>
      </c>
    </row>
    <row r="31">
      <c r="A31" s="38" t="n">
        <v>45950</v>
      </c>
      <c r="B31" s="39" t="inlineStr">
        <is>
          <t>NSE</t>
        </is>
      </c>
      <c r="C31" s="39" t="inlineStr">
        <is>
          <t>Buy</t>
        </is>
      </c>
      <c r="D31" s="40" t="n">
        <v>10</v>
      </c>
      <c r="E31" s="41" t="n">
        <v>416.49</v>
      </c>
      <c r="F31" s="41">
        <f>(D5*E5)</f>
        <v/>
      </c>
      <c r="G31" s="39" t="inlineStr">
        <is>
          <t>~</t>
        </is>
      </c>
      <c r="H31" s="41" t="n"/>
      <c r="I31" s="40" t="n"/>
      <c r="J31" s="42">
        <f>Index!$C$2</f>
        <v/>
      </c>
      <c r="K31" s="43">
        <f>IF(AND( C5="Buy", ISBLANK(W5), B5&lt;&gt;"DIV"), L5/sum(F5:I5), "")</f>
        <v/>
      </c>
      <c r="L31" s="44">
        <f>IF(AND( C5="Buy", ISBLANK(W5), B5&lt;&gt;"DIV"), (1-Index!$F$2*2)*((J5*D5)-(E5*D5)), "")</f>
        <v/>
      </c>
      <c r="M31" s="44">
        <f>IF(AND( C5="Buy", ISBLANK(W5), B5&lt;&gt;"DIV"), ((E5*D5)+L5), "")</f>
        <v/>
      </c>
      <c r="N31" s="45">
        <f>IF(AND( C5="Buy", ISBLANK(W5), B5&lt;&gt;"DIV"), D5, "")</f>
        <v/>
      </c>
      <c r="O31" s="43">
        <f>IF(AND( C5="Buy", ISBLANK(W5), B5&lt;&gt;"DIV", NOW()-A5 &lt; 365), P5/sum(F5:I5), "")</f>
        <v/>
      </c>
      <c r="P31" s="44">
        <f>IF(AND( C5="Buy", ISBLANK(W5), B5&lt;&gt;"DIV", NOW()-A5 &lt; 365), (1-Index!$F$2*2)*((J5*D5)-(E5*D5)), "")</f>
        <v/>
      </c>
      <c r="Q31" s="44">
        <f>IF(AND( C5="Buy", ISBLANK(W5), B5&lt;&gt;"DIV", NOW()-A5 &lt; 365), ((E5*D5)+P5), "")</f>
        <v/>
      </c>
      <c r="R31" s="44">
        <f>IF(AND( C5="Buy", ISBLANK(W5), B5&lt;&gt;"DIV", NOW()-A5 &lt; 365), D5, "")</f>
        <v/>
      </c>
      <c r="S31" s="46">
        <f>IF(AND( C5="Buy", ISBLANK(W5), B5&lt;&gt;"DIV", NOW()-A5 &gt; 365), T5/sum(F5:I5), "")</f>
        <v/>
      </c>
      <c r="T31" s="47">
        <f>IF(AND( C5="Buy", ISBLANK(W5), B5&lt;&gt;"DIV", NOW()-A5 &gt; 365), (1-Index!$F$2*2)*((J5*D5)-(E5*D5)), "")</f>
        <v/>
      </c>
      <c r="U31" s="47">
        <f>IF(AND( C5="Buy", ISBLANK(W5), B5&lt;&gt;"DIV", NOW()-A5 &gt; 365), ((E5*D5)+T5), "")</f>
        <v/>
      </c>
      <c r="V31" s="47">
        <f>IF(AND( C5="Buy", ISBLANK(W5), B5&lt;&gt;"DIV", NOW()-A5 &gt; 365), D5, "")</f>
        <v/>
      </c>
      <c r="W31" s="49" t="n"/>
      <c r="X31" s="49" t="n"/>
      <c r="Y31" s="46">
        <f>IF(AND( C5="Buy", W5&lt;&gt;"", AA5&lt;&gt;"", B5&lt;&gt;"DIV"), Z5/sum(F5:I5), "")</f>
        <v/>
      </c>
      <c r="Z31" s="49" t="n"/>
      <c r="AA31" s="49" t="n"/>
      <c r="AB31" s="50" t="n"/>
      <c r="AC31" s="49">
        <f>if(B5="DIV", F5,"")</f>
        <v/>
      </c>
      <c r="AD31" s="51" t="n"/>
    </row>
    <row r="32">
      <c r="A32" s="38" t="n">
        <v>45947</v>
      </c>
      <c r="B32" s="39" t="inlineStr">
        <is>
          <t>NSE</t>
        </is>
      </c>
      <c r="C32" s="39" t="inlineStr">
        <is>
          <t>Buy</t>
        </is>
      </c>
      <c r="D32" s="40" t="n">
        <v>16</v>
      </c>
      <c r="E32" s="41" t="n">
        <v>413.16</v>
      </c>
      <c r="F32" s="41">
        <f>(D6*E6)+I6</f>
        <v/>
      </c>
      <c r="G32" s="39" t="inlineStr">
        <is>
          <t>~</t>
        </is>
      </c>
      <c r="H32" s="41" t="n"/>
      <c r="I32" s="40" t="n"/>
      <c r="J32" s="42">
        <f>Index!$C$2</f>
        <v/>
      </c>
      <c r="K32" s="43">
        <f>IF(AND( C6="Buy", ISBLANK(W6), B6&lt;&gt;"DIV"), L6/sum(F6:I6), "")</f>
        <v/>
      </c>
      <c r="L32" s="44">
        <f>IF(AND( C6="Buy", ISBLANK(W6), B6&lt;&gt;"DIV"), (1-Index!$F$2*2)*((J6*D6)-(E6*D6)), "")</f>
        <v/>
      </c>
      <c r="M32" s="44">
        <f>IF(AND( C6="Buy", ISBLANK(W6), B6&lt;&gt;"DIV"), ((E6*D6)+L6), "")</f>
        <v/>
      </c>
      <c r="N32" s="45">
        <f>IF(AND( C6="Buy", ISBLANK(W6), B6&lt;&gt;"DIV"), D6, "")</f>
        <v/>
      </c>
      <c r="O32" s="43">
        <f>IF(AND( C6="Buy", ISBLANK(W6), B6&lt;&gt;"DIV", NOW()-A6 &lt; 365), P6/sum(F6:I6), "")</f>
        <v/>
      </c>
      <c r="P32" s="44">
        <f>IF(AND( C6="Buy", ISBLANK(W6), B6&lt;&gt;"DIV", NOW()-A6 &lt; 365), (1-Index!$F$2*2)*((J6*D6)-(E6*D6)), "")</f>
        <v/>
      </c>
      <c r="Q32" s="44">
        <f>IF(AND( C6="Buy", ISBLANK(W6), B6&lt;&gt;"DIV", NOW()-A6 &lt; 365), ((E6*D6)+P6), "")</f>
        <v/>
      </c>
      <c r="R32" s="44">
        <f>IF(AND( C6="Buy", ISBLANK(W6), B6&lt;&gt;"DIV", NOW()-A6 &lt; 365), D6, "")</f>
        <v/>
      </c>
      <c r="S32" s="46">
        <f>IF(AND( C6="Buy", ISBLANK(W6), B6&lt;&gt;"DIV", NOW()-A6 &gt; 365), T6/sum(F6:I6), "")</f>
        <v/>
      </c>
      <c r="T32" s="47">
        <f>IF(AND( C6="Buy", ISBLANK(W6), B6&lt;&gt;"DIV", NOW()-A6 &gt; 365), (1-Index!$F$2*2)*((J6*D6)-(E6*D6)), "")</f>
        <v/>
      </c>
      <c r="U32" s="47">
        <f>IF(AND( C6="Buy", ISBLANK(W6), B6&lt;&gt;"DIV", NOW()-A6 &gt; 365), ((E6*D6)+T6), "")</f>
        <v/>
      </c>
      <c r="V32" s="47">
        <f>IF(AND( C6="Buy", ISBLANK(W6), B6&lt;&gt;"DIV", NOW()-A6 &gt; 365), D6, "")</f>
        <v/>
      </c>
      <c r="W32" s="49" t="n"/>
      <c r="X32" s="49" t="n"/>
      <c r="Y32" s="46">
        <f>IF(AND( C6="Buy", W6&lt;&gt;"", AA6&lt;&gt;"", B6&lt;&gt;"DIV"), Z6/sum(F6:I6), "")</f>
        <v/>
      </c>
      <c r="Z32" s="49" t="n"/>
      <c r="AA32" s="49" t="n"/>
      <c r="AB32" s="50" t="n"/>
      <c r="AC32" s="49">
        <f>if(B6="DIV", F6,"")</f>
        <v/>
      </c>
      <c r="AD32" s="51" t="n"/>
    </row>
    <row r="33">
      <c r="A33" s="52" t="n">
        <v>45924</v>
      </c>
      <c r="B33" s="39" t="inlineStr">
        <is>
          <t>NSE</t>
        </is>
      </c>
      <c r="C33" s="39" t="inlineStr">
        <is>
          <t>Buy</t>
        </is>
      </c>
      <c r="D33" s="40" t="n">
        <v>20</v>
      </c>
      <c r="E33" s="41" t="n">
        <v>404.9</v>
      </c>
      <c r="F33" s="41">
        <f>(D7*E7)+I7</f>
        <v/>
      </c>
      <c r="G33" s="39" t="inlineStr">
        <is>
          <t>~</t>
        </is>
      </c>
      <c r="H33" s="41" t="n"/>
      <c r="I33" s="40" t="n"/>
      <c r="J33" s="42">
        <f>Index!$C$2</f>
        <v/>
      </c>
      <c r="K33" s="43">
        <f>IF(AND( C7="Buy", ISBLANK(W7), B7&lt;&gt;"DIV"), L7/sum(F7:I7), "")</f>
        <v/>
      </c>
      <c r="L33" s="44">
        <f>IF(AND( C7="Buy", ISBLANK(W7), B7&lt;&gt;"DIV"), (1-Index!$F$2*2)*((J7*D7)-(E7*D7)), "")</f>
        <v/>
      </c>
      <c r="M33" s="44">
        <f>IF(AND( C7="Buy", ISBLANK(W7), B7&lt;&gt;"DIV"), ((E7*D7)+L7), "")</f>
        <v/>
      </c>
      <c r="N33" s="45">
        <f>IF(AND( C7="Buy", ISBLANK(W7), B7&lt;&gt;"DIV"), D7, "")</f>
        <v/>
      </c>
      <c r="O33" s="43">
        <f>IF(AND( C7="Buy", ISBLANK(W7), B7&lt;&gt;"DIV", NOW()-A7 &lt; 365), P7/sum(F7:I7), "")</f>
        <v/>
      </c>
      <c r="P33" s="44">
        <f>IF(AND( C7="Buy", ISBLANK(W7), B7&lt;&gt;"DIV", NOW()-A7 &lt; 365), (1-Index!$F$2*2)*((J7*D7)-(E7*D7)), "")</f>
        <v/>
      </c>
      <c r="Q33" s="44">
        <f>IF(AND( C7="Buy", ISBLANK(W7), B7&lt;&gt;"DIV", NOW()-A7 &lt; 365), ((E7*D7)+P7), "")</f>
        <v/>
      </c>
      <c r="R33" s="44">
        <f>IF(AND( C7="Buy", ISBLANK(W7), B7&lt;&gt;"DIV", NOW()-A7 &lt; 365), D7, "")</f>
        <v/>
      </c>
      <c r="S33" s="46">
        <f>IF(AND( C7="Buy", ISBLANK(W7), B7&lt;&gt;"DIV", NOW()-A7 &gt; 365), T7/sum(F7:I7), "")</f>
        <v/>
      </c>
      <c r="T33" s="47">
        <f>IF(AND( C7="Buy", ISBLANK(W7), B7&lt;&gt;"DIV", NOW()-A7 &gt; 365), (1-Index!$F$2*2)*((J7*D7)-(E7*D7)), "")</f>
        <v/>
      </c>
      <c r="U33" s="47">
        <f>IF(AND( C7="Buy", ISBLANK(W7), B7&lt;&gt;"DIV", NOW()-A7 &gt; 365), ((E7*D7)+T7), "")</f>
        <v/>
      </c>
      <c r="V33" s="47">
        <f>IF(AND( C7="Buy", ISBLANK(W7), B7&lt;&gt;"DIV", NOW()-A7 &gt; 365), D7, "")</f>
        <v/>
      </c>
      <c r="W33" s="49" t="n"/>
      <c r="X33" s="49" t="n"/>
      <c r="Y33" s="46">
        <f>IF(AND( C7="Buy", W7&lt;&gt;"", AA7&lt;&gt;"", B7&lt;&gt;"DIV"), Z7/sum(F7:I7), "")</f>
        <v/>
      </c>
      <c r="Z33" s="49" t="n"/>
      <c r="AA33" s="49" t="n"/>
      <c r="AB33" s="50" t="n"/>
      <c r="AC33" s="49">
        <f>if(B7="DIV", F7,"")</f>
        <v/>
      </c>
      <c r="AD33" s="51" t="n"/>
    </row>
    <row r="34">
      <c r="A34" s="52" t="n">
        <v>45897</v>
      </c>
      <c r="B34" s="39" t="inlineStr">
        <is>
          <t>NSE</t>
        </is>
      </c>
      <c r="C34" s="39" t="inlineStr">
        <is>
          <t>Buy</t>
        </is>
      </c>
      <c r="D34" s="40" t="n">
        <v>10</v>
      </c>
      <c r="E34" s="41" t="n">
        <v>404.2</v>
      </c>
      <c r="F34" s="41" t="n">
        <v>4042.01</v>
      </c>
      <c r="G34" s="39" t="inlineStr">
        <is>
          <t>~</t>
        </is>
      </c>
      <c r="H34" s="41" t="n">
        <v>4.01</v>
      </c>
      <c r="I34" s="40" t="n">
        <v>24.5</v>
      </c>
      <c r="J34" s="42">
        <f>Index!$C$2</f>
        <v/>
      </c>
      <c r="K34" s="43">
        <f>IF(AND( C8="Buy", ISBLANK(W8), B8&lt;&gt;"DIV"), L8/sum(F8:I8), "")</f>
        <v/>
      </c>
      <c r="L34" s="44">
        <f>IF(AND( C8="Buy", ISBLANK(W8), B8&lt;&gt;"DIV"), (1-Index!$F$2*2)*((J8*D8)-(E8*D8)), "")</f>
        <v/>
      </c>
      <c r="M34" s="44">
        <f>IF(AND( C8="Buy", ISBLANK(W8), B8&lt;&gt;"DIV"), ((E8*D8)+L8), "")</f>
        <v/>
      </c>
      <c r="N34" s="45">
        <f>IF(AND( C8="Buy", ISBLANK(W8), B8&lt;&gt;"DIV"), D8, "")</f>
        <v/>
      </c>
      <c r="O34" s="43">
        <f>IF(AND( C8="Buy", ISBLANK(W8), B8&lt;&gt;"DIV", NOW()-A8 &lt; 365), P8/sum(F8:I8), "")</f>
        <v/>
      </c>
      <c r="P34" s="44">
        <f>IF(AND( C8="Buy", ISBLANK(W8), B8&lt;&gt;"DIV", NOW()-A8 &lt; 365), (1-Index!$F$2*2)*((J8*D8)-(E8*D8)), "")</f>
        <v/>
      </c>
      <c r="Q34" s="44">
        <f>IF(AND( C8="Buy", ISBLANK(W8), B8&lt;&gt;"DIV", NOW()-A8 &lt; 365), ((E8*D8)+P8), "")</f>
        <v/>
      </c>
      <c r="R34" s="44">
        <f>IF(AND( C8="Buy", ISBLANK(W8), B8&lt;&gt;"DIV", NOW()-A8 &lt; 365), D8, "")</f>
        <v/>
      </c>
      <c r="S34" s="46">
        <f>IF(AND( C8="Buy", ISBLANK(W8), B8&lt;&gt;"DIV", NOW()-A8 &gt; 365), T8/sum(F8:I8), "")</f>
        <v/>
      </c>
      <c r="T34" s="47">
        <f>IF(AND( C8="Buy", ISBLANK(W8), B8&lt;&gt;"DIV", NOW()-A8 &gt; 365), (1-Index!$F$2*2)*((J8*D8)-(E8*D8)), "")</f>
        <v/>
      </c>
      <c r="U34" s="47">
        <f>IF(AND( C8="Buy", ISBLANK(W8), B8&lt;&gt;"DIV", NOW()-A8 &gt; 365), ((E8*D8)+T8), "")</f>
        <v/>
      </c>
      <c r="V34" s="47">
        <f>IF(AND( C8="Buy", ISBLANK(W8), B8&lt;&gt;"DIV", NOW()-A8 &gt; 365), D8, "")</f>
        <v/>
      </c>
      <c r="W34" s="49" t="n"/>
      <c r="X34" s="49" t="n"/>
      <c r="Y34" s="46">
        <f>IF(AND( C8="Buy", W8&lt;&gt;"", AA8&lt;&gt;"", B8&lt;&gt;"DIV"), Z8/sum(F8:I8), "")</f>
        <v/>
      </c>
      <c r="Z34" s="49" t="n"/>
      <c r="AA34" s="49" t="n"/>
      <c r="AB34" s="50" t="n"/>
      <c r="AC34" s="49">
        <f>if(B8="DIV", F8,"")</f>
        <v/>
      </c>
      <c r="AD34" s="51" t="n"/>
    </row>
    <row r="35">
      <c r="A35" s="52" t="n">
        <v>45863</v>
      </c>
      <c r="B35" s="39" t="inlineStr">
        <is>
          <t>NSE</t>
        </is>
      </c>
      <c r="C35" s="39" t="inlineStr">
        <is>
          <t>Buy</t>
        </is>
      </c>
      <c r="D35" s="40" t="n">
        <v>10</v>
      </c>
      <c r="E35" s="41" t="n">
        <v>411.8</v>
      </c>
      <c r="F35" s="41" t="n">
        <v>4117.98</v>
      </c>
      <c r="G35" s="39" t="inlineStr">
        <is>
          <t>~</t>
        </is>
      </c>
      <c r="H35" s="41" t="n">
        <v>4.14</v>
      </c>
      <c r="I35" s="40" t="n">
        <v>24.84</v>
      </c>
      <c r="J35" s="42">
        <f>Index!$C$2</f>
        <v/>
      </c>
      <c r="K35" s="43">
        <f>IF(AND( C9="Buy", ISBLANK(W9), B9&lt;&gt;"DIV"), L9/sum(F9:I9), "")</f>
        <v/>
      </c>
      <c r="L35" s="44">
        <f>IF(AND( C9="Buy", ISBLANK(W9), B9&lt;&gt;"DIV"), (1-Index!$F$2*2)*((J9*D9)-(E9*D9)), "")</f>
        <v/>
      </c>
      <c r="M35" s="44">
        <f>IF(AND( C9="Buy", ISBLANK(W9), B9&lt;&gt;"DIV"), ((E9*D9)+L9), "")</f>
        <v/>
      </c>
      <c r="N35" s="45">
        <f>IF(AND( C9="Buy", ISBLANK(W9), B9&lt;&gt;"DIV"), D9, "")</f>
        <v/>
      </c>
      <c r="O35" s="43">
        <f>IF(AND( C9="Buy", ISBLANK(W9), B9&lt;&gt;"DIV", NOW()-A9 &lt; 365), P9/sum(F9:I9), "")</f>
        <v/>
      </c>
      <c r="P35" s="44">
        <f>IF(AND( C9="Buy", ISBLANK(W9), B9&lt;&gt;"DIV", NOW()-A9 &lt; 365), (1-Index!$F$2*2)*((J9*D9)-(E9*D9)), "")</f>
        <v/>
      </c>
      <c r="Q35" s="44">
        <f>IF(AND( C9="Buy", ISBLANK(W9), B9&lt;&gt;"DIV", NOW()-A9 &lt; 365), ((E9*D9)+P9), "")</f>
        <v/>
      </c>
      <c r="R35" s="44">
        <f>IF(AND( C9="Buy", ISBLANK(W9), B9&lt;&gt;"DIV", NOW()-A9 &lt; 365), D9, "")</f>
        <v/>
      </c>
      <c r="S35" s="46">
        <f>IF(AND( C9="Buy", ISBLANK(W9), B9&lt;&gt;"DIV", NOW()-A9 &gt; 365), T9/sum(F9:I9), "")</f>
        <v/>
      </c>
      <c r="T35" s="47">
        <f>IF(AND( C9="Buy", ISBLANK(W9), B9&lt;&gt;"DIV", NOW()-A9 &gt; 365), (1-Index!$F$2*2)*((J9*D9)-(E9*D9)), "")</f>
        <v/>
      </c>
      <c r="U35" s="47">
        <f>IF(AND( C9="Buy", ISBLANK(W9), B9&lt;&gt;"DIV", NOW()-A9 &gt; 365), ((E9*D9)+T9), "")</f>
        <v/>
      </c>
      <c r="V35" s="47">
        <f>IF(AND( C9="Buy", ISBLANK(W9), B9&lt;&gt;"DIV", NOW()-A9 &gt; 365), D9, "")</f>
        <v/>
      </c>
      <c r="W35" s="49" t="n"/>
      <c r="X35" s="49" t="n"/>
      <c r="Y35" s="46">
        <f>IF(AND( C9="Buy", W9&lt;&gt;"", AA9&lt;&gt;"", B9&lt;&gt;"DIV"), Z9/sum(F9:I9), "")</f>
        <v/>
      </c>
      <c r="Z35" s="49" t="n"/>
      <c r="AA35" s="49" t="n"/>
      <c r="AB35" s="50" t="n"/>
      <c r="AC35" s="49">
        <f>if(B9="DIV", F9,"")</f>
        <v/>
      </c>
      <c r="AD35" s="51" t="n"/>
    </row>
    <row r="36">
      <c r="A36" s="52" t="n">
        <v>45855</v>
      </c>
      <c r="B36" s="39" t="inlineStr">
        <is>
          <t>BSE</t>
        </is>
      </c>
      <c r="C36" s="39" t="inlineStr">
        <is>
          <t>Buy</t>
        </is>
      </c>
      <c r="D36" s="40" t="n">
        <v>31</v>
      </c>
      <c r="E36" s="41" t="n">
        <v>426.86</v>
      </c>
      <c r="F36" s="41" t="n">
        <v>13232.6</v>
      </c>
      <c r="G36" s="39" t="inlineStr">
        <is>
          <t>~</t>
        </is>
      </c>
      <c r="H36" s="41" t="n">
        <v>13.14</v>
      </c>
      <c r="I36" s="40" t="n">
        <v>80.11</v>
      </c>
      <c r="J36" s="42">
        <f>Index!$C$2</f>
        <v/>
      </c>
      <c r="K36" s="43">
        <f>IF(AND( C10="Buy", ISBLANK(W10), B10&lt;&gt;"DIV"), L10/sum(F10:I10), "")</f>
        <v/>
      </c>
      <c r="L36" s="44">
        <f>IF(AND( C10="Buy", ISBLANK(W10), B10&lt;&gt;"DIV"), (1-Index!$F$2*2)*((J10*D10)-(E10*D10)), "")</f>
        <v/>
      </c>
      <c r="M36" s="44">
        <f>IF(AND( C10="Buy", ISBLANK(W10), B10&lt;&gt;"DIV"), ((E10*D10)+L10), "")</f>
        <v/>
      </c>
      <c r="N36" s="45">
        <f>IF(AND( C10="Buy", ISBLANK(W10), B10&lt;&gt;"DIV"), D10, "")</f>
        <v/>
      </c>
      <c r="O36" s="43">
        <f>IF(AND( C10="Buy", ISBLANK(W10), B10&lt;&gt;"DIV", NOW()-A10 &lt; 365), P10/sum(F10:I10), "")</f>
        <v/>
      </c>
      <c r="P36" s="44">
        <f>IF(AND( C10="Buy", ISBLANK(W10), B10&lt;&gt;"DIV", NOW()-A10 &lt; 365), (1-Index!$F$2*2)*((J10*D10)-(E10*D10)), "")</f>
        <v/>
      </c>
      <c r="Q36" s="44">
        <f>IF(AND( C10="Buy", ISBLANK(W10), B10&lt;&gt;"DIV", NOW()-A10 &lt; 365), ((E10*D10)+P10), "")</f>
        <v/>
      </c>
      <c r="R36" s="44">
        <f>IF(AND( C10="Buy", ISBLANK(W10), B10&lt;&gt;"DIV", NOW()-A10 &lt; 365), D10, "")</f>
        <v/>
      </c>
      <c r="S36" s="46">
        <f>IF(AND( C10="Buy", ISBLANK(W10), B10&lt;&gt;"DIV", NOW()-A10 &gt; 365), T10/sum(F10:I10), "")</f>
        <v/>
      </c>
      <c r="T36" s="47">
        <f>IF(AND( C10="Buy", ISBLANK(W10), B10&lt;&gt;"DIV", NOW()-A10 &gt; 365), (1-Index!$F$2*2)*((J10*D10)-(E10*D10)), "")</f>
        <v/>
      </c>
      <c r="U36" s="47">
        <f>IF(AND( C10="Buy", ISBLANK(W10), B10&lt;&gt;"DIV", NOW()-A10 &gt; 365), ((E10*D10)+T10), "")</f>
        <v/>
      </c>
      <c r="V36" s="47">
        <f>IF(AND( C10="Buy", ISBLANK(W10), B10&lt;&gt;"DIV", NOW()-A10 &gt; 365), D10, "")</f>
        <v/>
      </c>
      <c r="W36" s="49" t="n"/>
      <c r="X36" s="49" t="n"/>
      <c r="Y36" s="46">
        <f>IF(AND( C10="Buy", W10&lt;&gt;"", AA10&lt;&gt;"", B10&lt;&gt;"DIV"), Z10/sum(F10:I10), "")</f>
        <v/>
      </c>
      <c r="Z36" s="49" t="n"/>
      <c r="AA36" s="49" t="n"/>
      <c r="AB36" s="50" t="n"/>
      <c r="AC36" s="49">
        <f>if(B10="DIV", F10,"")</f>
        <v/>
      </c>
      <c r="AD36" s="51" t="n"/>
    </row>
    <row r="37">
      <c r="A37" s="52" t="n">
        <v>45842</v>
      </c>
      <c r="B37" s="39" t="inlineStr">
        <is>
          <t>NSE</t>
        </is>
      </c>
      <c r="C37" s="39" t="inlineStr">
        <is>
          <t>Buy</t>
        </is>
      </c>
      <c r="D37" s="40" t="n">
        <v>20</v>
      </c>
      <c r="E37" s="41" t="n">
        <v>416.93</v>
      </c>
      <c r="F37" s="41" t="n">
        <v>8338.59</v>
      </c>
      <c r="G37" s="39" t="inlineStr">
        <is>
          <t>~</t>
        </is>
      </c>
      <c r="H37" s="41" t="n">
        <v>8.26</v>
      </c>
      <c r="I37" s="40" t="n">
        <v>50.33</v>
      </c>
      <c r="J37" s="42">
        <f>Index!$C$2</f>
        <v/>
      </c>
      <c r="K37" s="43">
        <f>IF(AND( C11="Buy", ISBLANK(W11), B11&lt;&gt;"DIV"), L11/sum(F11:I11), "")</f>
        <v/>
      </c>
      <c r="L37" s="44">
        <f>IF(AND( C11="Buy", ISBLANK(W11), B11&lt;&gt;"DIV"), (1-Index!$F$2*2)*((J11*D11)-(E11*D11)), "")</f>
        <v/>
      </c>
      <c r="M37" s="44">
        <f>IF(AND( C11="Buy", ISBLANK(W11), B11&lt;&gt;"DIV"), ((E11*D11)+L11), "")</f>
        <v/>
      </c>
      <c r="N37" s="45">
        <f>IF(AND( C11="Buy", ISBLANK(W11), B11&lt;&gt;"DIV"), D11, "")</f>
        <v/>
      </c>
      <c r="O37" s="43">
        <f>IF(AND( C11="Buy", ISBLANK(W11), B11&lt;&gt;"DIV", NOW()-A11 &lt; 365), P11/sum(F11:I11), "")</f>
        <v/>
      </c>
      <c r="P37" s="44">
        <f>IF(AND( C11="Buy", ISBLANK(W11), B11&lt;&gt;"DIV", NOW()-A11 &lt; 365), (1-Index!$F$2*2)*((J11*D11)-(E11*D11)), "")</f>
        <v/>
      </c>
      <c r="Q37" s="44">
        <f>IF(AND( C11="Buy", ISBLANK(W11), B11&lt;&gt;"DIV", NOW()-A11 &lt; 365), ((E11*D11)+P11), "")</f>
        <v/>
      </c>
      <c r="R37" s="44">
        <f>IF(AND( C11="Buy", ISBLANK(W11), B11&lt;&gt;"DIV", NOW()-A11 &lt; 365), D11, "")</f>
        <v/>
      </c>
      <c r="S37" s="46">
        <f>IF(AND( C11="Buy", ISBLANK(W11), B11&lt;&gt;"DIV", NOW()-A11 &gt; 365), T11/sum(F11:I11), "")</f>
        <v/>
      </c>
      <c r="T37" s="47">
        <f>IF(AND( C11="Buy", ISBLANK(W11), B11&lt;&gt;"DIV", NOW()-A11 &gt; 365), (1-Index!$F$2*2)*((J11*D11)-(E11*D11)), "")</f>
        <v/>
      </c>
      <c r="U37" s="47">
        <f>IF(AND( C11="Buy", ISBLANK(W11), B11&lt;&gt;"DIV", NOW()-A11 &gt; 365), ((E11*D11)+T11), "")</f>
        <v/>
      </c>
      <c r="V37" s="47">
        <f>IF(AND( C11="Buy", ISBLANK(W11), B11&lt;&gt;"DIV", NOW()-A11 &gt; 365), D11, "")</f>
        <v/>
      </c>
      <c r="W37" s="49" t="n"/>
      <c r="X37" s="49" t="n"/>
      <c r="Y37" s="46">
        <f>IF(AND( C11="Buy", W11&lt;&gt;"", AA11&lt;&gt;"", B11&lt;&gt;"DIV"), Z11/sum(F11:I11), "")</f>
        <v/>
      </c>
      <c r="Z37" s="49" t="n"/>
      <c r="AA37" s="49" t="n"/>
      <c r="AB37" s="50" t="n"/>
      <c r="AC37" s="49">
        <f>if(B11="DIV", F11,"")</f>
        <v/>
      </c>
      <c r="AD37" s="51" t="n"/>
    </row>
    <row r="38">
      <c r="A38" s="52" t="n">
        <v>45821</v>
      </c>
      <c r="B38" s="39" t="inlineStr">
        <is>
          <t>NSE</t>
        </is>
      </c>
      <c r="C38" s="39" t="inlineStr">
        <is>
          <t>Buy</t>
        </is>
      </c>
      <c r="D38" s="40" t="n">
        <v>7</v>
      </c>
      <c r="E38" s="41" t="n">
        <v>420.67</v>
      </c>
      <c r="F38" s="41" t="n">
        <v>2944.7</v>
      </c>
      <c r="G38" s="39" t="inlineStr">
        <is>
          <t>~</t>
        </is>
      </c>
      <c r="H38" s="41" t="n">
        <v>2.92</v>
      </c>
      <c r="I38" s="40" t="n">
        <v>17.88</v>
      </c>
      <c r="J38" s="42">
        <f>Index!$C$2</f>
        <v/>
      </c>
      <c r="K38" s="43">
        <f>IF(AND( C12="Buy", ISBLANK(W12), B12&lt;&gt;"DIV"), L12/sum(F12:I12), "")</f>
        <v/>
      </c>
      <c r="L38" s="44">
        <f>IF(AND( C12="Buy", ISBLANK(W12), B12&lt;&gt;"DIV"), (1-Index!$F$2*2)*((J12*D12)-(E12*D12)), "")</f>
        <v/>
      </c>
      <c r="M38" s="44">
        <f>IF(AND( C12="Buy", ISBLANK(W12), B12&lt;&gt;"DIV"), ((E12*D12)+L12), "")</f>
        <v/>
      </c>
      <c r="N38" s="45">
        <f>IF(AND( C12="Buy", ISBLANK(W12), B12&lt;&gt;"DIV"), D12, "")</f>
        <v/>
      </c>
      <c r="O38" s="43">
        <f>IF(AND( C12="Buy", ISBLANK(W12), B12&lt;&gt;"DIV", NOW()-A12 &lt; 365), P12/sum(F12:I12), "")</f>
        <v/>
      </c>
      <c r="P38" s="44">
        <f>IF(AND( C12="Buy", ISBLANK(W12), B12&lt;&gt;"DIV", NOW()-A12 &lt; 365), (1-Index!$F$2*2)*((J12*D12)-(E12*D12)), "")</f>
        <v/>
      </c>
      <c r="Q38" s="44">
        <f>IF(AND( C12="Buy", ISBLANK(W12), B12&lt;&gt;"DIV", NOW()-A12 &lt; 365), ((E12*D12)+P12), "")</f>
        <v/>
      </c>
      <c r="R38" s="44">
        <f>IF(AND( C12="Buy", ISBLANK(W12), B12&lt;&gt;"DIV", NOW()-A12 &lt; 365), D12, "")</f>
        <v/>
      </c>
      <c r="S38" s="46">
        <f>IF(AND( C12="Buy", ISBLANK(W12), B12&lt;&gt;"DIV", NOW()-A12 &gt; 365), T12/sum(F12:I12), "")</f>
        <v/>
      </c>
      <c r="T38" s="47">
        <f>IF(AND( C12="Buy", ISBLANK(W12), B12&lt;&gt;"DIV", NOW()-A12 &gt; 365), (1-Index!$F$2*2)*((J12*D12)-(E12*D12)), "")</f>
        <v/>
      </c>
      <c r="U38" s="47">
        <f>IF(AND( C12="Buy", ISBLANK(W12), B12&lt;&gt;"DIV", NOW()-A12 &gt; 365), ((E12*D12)+T12), "")</f>
        <v/>
      </c>
      <c r="V38" s="47">
        <f>IF(AND( C12="Buy", ISBLANK(W12), B12&lt;&gt;"DIV", NOW()-A12 &gt; 365), D12, "")</f>
        <v/>
      </c>
      <c r="W38" s="49" t="n"/>
      <c r="X38" s="49" t="n"/>
      <c r="Y38" s="46">
        <f>IF(AND( C12="Buy", W12&lt;&gt;"", AA12&lt;&gt;"", B12&lt;&gt;"DIV"), Z12/sum(F12:I12), "")</f>
        <v/>
      </c>
      <c r="Z38" s="49" t="n"/>
      <c r="AA38" s="49" t="n"/>
      <c r="AB38" s="50" t="n"/>
      <c r="AC38" s="49">
        <f>if(B12="DIV", F12,"")</f>
        <v/>
      </c>
      <c r="AD38" s="51" t="n"/>
    </row>
    <row r="39">
      <c r="A39" s="52" t="n">
        <v>45820</v>
      </c>
      <c r="B39" s="39" t="inlineStr">
        <is>
          <t>NSE</t>
        </is>
      </c>
      <c r="C39" s="39" t="inlineStr">
        <is>
          <t>Buy</t>
        </is>
      </c>
      <c r="D39" s="40" t="n">
        <v>1</v>
      </c>
      <c r="E39" s="41" t="n">
        <v>426.54</v>
      </c>
      <c r="F39" s="41" t="n">
        <v>426.54</v>
      </c>
      <c r="G39" s="39" t="inlineStr">
        <is>
          <t>~</t>
        </is>
      </c>
      <c r="H39" s="41" t="n">
        <v>0.42</v>
      </c>
      <c r="I39" s="40" t="n">
        <v>2.57</v>
      </c>
      <c r="J39" s="42">
        <f>Index!$C$2</f>
        <v/>
      </c>
      <c r="K39" s="43">
        <f>IF(AND( C13="Buy", ISBLANK(W13), B13&lt;&gt;"DIV"), L13/sum(F13:I13), "")</f>
        <v/>
      </c>
      <c r="L39" s="44">
        <f>IF(AND( C13="Buy", ISBLANK(W13), B13&lt;&gt;"DIV"), (1-Index!$F$2*2)*((J13*D13)-(E13*D13)), "")</f>
        <v/>
      </c>
      <c r="M39" s="44">
        <f>IF(AND( C13="Buy", ISBLANK(W13), B13&lt;&gt;"DIV"), ((E13*D13)+L13), "")</f>
        <v/>
      </c>
      <c r="N39" s="45">
        <f>IF(AND( C13="Buy", ISBLANK(W13), B13&lt;&gt;"DIV"), D13, "")</f>
        <v/>
      </c>
      <c r="O39" s="43">
        <f>IF(AND( C13="Buy", ISBLANK(W13), B13&lt;&gt;"DIV", NOW()-A13 &lt; 365), P13/sum(F13:I13), "")</f>
        <v/>
      </c>
      <c r="P39" s="44">
        <f>IF(AND( C13="Buy", ISBLANK(W13), B13&lt;&gt;"DIV", NOW()-A13 &lt; 365), (1-Index!$F$2*2)*((J13*D13)-(E13*D13)), "")</f>
        <v/>
      </c>
      <c r="Q39" s="44">
        <f>IF(AND( C13="Buy", ISBLANK(W13), B13&lt;&gt;"DIV", NOW()-A13 &lt; 365), ((E13*D13)+P13), "")</f>
        <v/>
      </c>
      <c r="R39" s="44">
        <f>IF(AND( C13="Buy", ISBLANK(W13), B13&lt;&gt;"DIV", NOW()-A13 &lt; 365), D13, "")</f>
        <v/>
      </c>
      <c r="S39" s="46">
        <f>IF(AND( C13="Buy", ISBLANK(W13), B13&lt;&gt;"DIV", NOW()-A13 &gt; 365), T13/sum(F13:I13), "")</f>
        <v/>
      </c>
      <c r="T39" s="47">
        <f>IF(AND( C13="Buy", ISBLANK(W13), B13&lt;&gt;"DIV", NOW()-A13 &gt; 365), (1-Index!$F$2*2)*((J13*D13)-(E13*D13)), "")</f>
        <v/>
      </c>
      <c r="U39" s="47">
        <f>IF(AND( C13="Buy", ISBLANK(W13), B13&lt;&gt;"DIV", NOW()-A13 &gt; 365), ((E13*D13)+T13), "")</f>
        <v/>
      </c>
      <c r="V39" s="47">
        <f>IF(AND( C13="Buy", ISBLANK(W13), B13&lt;&gt;"DIV", NOW()-A13 &gt; 365), D13, "")</f>
        <v/>
      </c>
      <c r="W39" s="49" t="n"/>
      <c r="X39" s="49" t="n"/>
      <c r="Y39" s="46">
        <f>IF(AND( C13="Buy", W13&lt;&gt;"", AA13&lt;&gt;"", B13&lt;&gt;"DIV"), Z13/sum(F13:I13), "")</f>
        <v/>
      </c>
      <c r="Z39" s="49" t="n"/>
      <c r="AA39" s="49" t="n"/>
      <c r="AB39" s="50" t="n"/>
      <c r="AC39" s="49">
        <f>if(B13="DIV", F13,"")</f>
        <v/>
      </c>
      <c r="AD39" s="51" t="n"/>
    </row>
    <row r="40">
      <c r="A40" s="52" t="n">
        <v>45820</v>
      </c>
      <c r="B40" s="39" t="inlineStr">
        <is>
          <t>NSE</t>
        </is>
      </c>
      <c r="C40" s="39" t="inlineStr">
        <is>
          <t>Buy</t>
        </is>
      </c>
      <c r="D40" s="40" t="n">
        <v>1</v>
      </c>
      <c r="E40" s="41" t="n">
        <v>426.54</v>
      </c>
      <c r="F40" s="41" t="n">
        <v>426.54</v>
      </c>
      <c r="G40" s="39" t="inlineStr">
        <is>
          <t>~</t>
        </is>
      </c>
      <c r="H40" s="41" t="n">
        <v>0.42</v>
      </c>
      <c r="I40" s="40" t="n">
        <v>2.57</v>
      </c>
      <c r="J40" s="42">
        <f>Index!$C$2</f>
        <v/>
      </c>
      <c r="K40" s="43">
        <f>IF(AND( C14="Buy", ISBLANK(W14), B14&lt;&gt;"DIV"), L14/sum(F14:I14), "")</f>
        <v/>
      </c>
      <c r="L40" s="44">
        <f>IF(AND( C14="Buy", ISBLANK(W14), B14&lt;&gt;"DIV"), (1-Index!$F$2*2)*((J14*D14)-(E14*D14)), "")</f>
        <v/>
      </c>
      <c r="M40" s="44">
        <f>IF(AND( C14="Buy", ISBLANK(W14), B14&lt;&gt;"DIV"), ((E14*D14)+L14), "")</f>
        <v/>
      </c>
      <c r="N40" s="45">
        <f>IF(AND( C14="Buy", ISBLANK(W14), B14&lt;&gt;"DIV"), D14, "")</f>
        <v/>
      </c>
      <c r="O40" s="43">
        <f>IF(AND( C14="Buy", ISBLANK(W14), B14&lt;&gt;"DIV", NOW()-A14 &lt; 365), P14/sum(F14:I14), "")</f>
        <v/>
      </c>
      <c r="P40" s="44">
        <f>IF(AND( C14="Buy", ISBLANK(W14), B14&lt;&gt;"DIV", NOW()-A14 &lt; 365), (1-Index!$F$2*2)*((J14*D14)-(E14*D14)), "")</f>
        <v/>
      </c>
      <c r="Q40" s="44">
        <f>IF(AND( C14="Buy", ISBLANK(W14), B14&lt;&gt;"DIV", NOW()-A14 &lt; 365), ((E14*D14)+P14), "")</f>
        <v/>
      </c>
      <c r="R40" s="44">
        <f>IF(AND( C14="Buy", ISBLANK(W14), B14&lt;&gt;"DIV", NOW()-A14 &lt; 365), D14, "")</f>
        <v/>
      </c>
      <c r="S40" s="46">
        <f>IF(AND( C14="Buy", ISBLANK(W14), B14&lt;&gt;"DIV", NOW()-A14 &gt; 365), T14/sum(F14:I14), "")</f>
        <v/>
      </c>
      <c r="T40" s="47">
        <f>IF(AND( C14="Buy", ISBLANK(W14), B14&lt;&gt;"DIV", NOW()-A14 &gt; 365), (1-Index!$F$2*2)*((J14*D14)-(E14*D14)), "")</f>
        <v/>
      </c>
      <c r="U40" s="47">
        <f>IF(AND( C14="Buy", ISBLANK(W14), B14&lt;&gt;"DIV", NOW()-A14 &gt; 365), ((E14*D14)+T14), "")</f>
        <v/>
      </c>
      <c r="V40" s="47">
        <f>IF(AND( C14="Buy", ISBLANK(W14), B14&lt;&gt;"DIV", NOW()-A14 &gt; 365), D14, "")</f>
        <v/>
      </c>
      <c r="W40" s="49" t="n"/>
      <c r="X40" s="49" t="n"/>
      <c r="Y40" s="46">
        <f>IF(AND( C14="Buy", W14&lt;&gt;"", AA14&lt;&gt;"", B14&lt;&gt;"DIV"), Z14/sum(F14:I14), "")</f>
        <v/>
      </c>
      <c r="Z40" s="49" t="n"/>
      <c r="AA40" s="49" t="n"/>
      <c r="AB40" s="50" t="n"/>
      <c r="AC40" s="49">
        <f>if(B14="DIV", F14,"")</f>
        <v/>
      </c>
      <c r="AD40" s="51" t="n"/>
    </row>
    <row r="41">
      <c r="A41" s="52" t="n">
        <v>45820</v>
      </c>
      <c r="B41" s="39" t="inlineStr">
        <is>
          <t>NSE</t>
        </is>
      </c>
      <c r="C41" s="39" t="inlineStr">
        <is>
          <t>Buy</t>
        </is>
      </c>
      <c r="D41" s="40" t="n">
        <v>18</v>
      </c>
      <c r="E41" s="41" t="n">
        <v>426.55</v>
      </c>
      <c r="F41" s="41" t="n">
        <v>7677.93</v>
      </c>
      <c r="G41" s="39" t="inlineStr">
        <is>
          <t>~</t>
        </is>
      </c>
      <c r="H41" s="41" t="n">
        <v>7.61</v>
      </c>
      <c r="I41" s="40" t="n">
        <v>46.42</v>
      </c>
      <c r="J41" s="42">
        <f>Index!$C$2</f>
        <v/>
      </c>
      <c r="K41" s="43">
        <f>IF(AND( C15="Buy", ISBLANK(W15), B15&lt;&gt;"DIV"), L15/sum(F15:I15), "")</f>
        <v/>
      </c>
      <c r="L41" s="44">
        <f>IF(AND( C15="Buy", ISBLANK(W15), B15&lt;&gt;"DIV"), (1-Index!$F$2*2)*((J15*D15)-(E15*D15)), "")</f>
        <v/>
      </c>
      <c r="M41" s="44">
        <f>IF(AND( C15="Buy", ISBLANK(W15), B15&lt;&gt;"DIV"), ((E15*D15)+L15), "")</f>
        <v/>
      </c>
      <c r="N41" s="45">
        <f>IF(AND( C15="Buy", ISBLANK(W15), B15&lt;&gt;"DIV"), D15, "")</f>
        <v/>
      </c>
      <c r="O41" s="43">
        <f>IF(AND( C15="Buy", ISBLANK(W15), B15&lt;&gt;"DIV", NOW()-A15 &lt; 365), P15/sum(F15:I15), "")</f>
        <v/>
      </c>
      <c r="P41" s="44">
        <f>IF(AND( C15="Buy", ISBLANK(W15), B15&lt;&gt;"DIV", NOW()-A15 &lt; 365), (1-Index!$F$2*2)*((J15*D15)-(E15*D15)), "")</f>
        <v/>
      </c>
      <c r="Q41" s="44">
        <f>IF(AND( C15="Buy", ISBLANK(W15), B15&lt;&gt;"DIV", NOW()-A15 &lt; 365), ((E15*D15)+P15), "")</f>
        <v/>
      </c>
      <c r="R41" s="44">
        <f>IF(AND( C15="Buy", ISBLANK(W15), B15&lt;&gt;"DIV", NOW()-A15 &lt; 365), D15, "")</f>
        <v/>
      </c>
      <c r="S41" s="46">
        <f>IF(AND( C15="Buy", ISBLANK(W15), B15&lt;&gt;"DIV", NOW()-A15 &gt; 365), T15/sum(F15:I15), "")</f>
        <v/>
      </c>
      <c r="T41" s="47">
        <f>IF(AND( C15="Buy", ISBLANK(W15), B15&lt;&gt;"DIV", NOW()-A15 &gt; 365), (1-Index!$F$2*2)*((J15*D15)-(E15*D15)), "")</f>
        <v/>
      </c>
      <c r="U41" s="47">
        <f>IF(AND( C15="Buy", ISBLANK(W15), B15&lt;&gt;"DIV", NOW()-A15 &gt; 365), ((E15*D15)+T15), "")</f>
        <v/>
      </c>
      <c r="V41" s="47">
        <f>IF(AND( C15="Buy", ISBLANK(W15), B15&lt;&gt;"DIV", NOW()-A15 &gt; 365), D15, "")</f>
        <v/>
      </c>
      <c r="W41" s="49" t="n"/>
      <c r="X41" s="49" t="n"/>
      <c r="Y41" s="46">
        <f>IF(AND( C15="Buy", W15&lt;&gt;"", AA15&lt;&gt;"", B15&lt;&gt;"DIV"), Z15/sum(F15:I15), "")</f>
        <v/>
      </c>
      <c r="Z41" s="49" t="n"/>
      <c r="AA41" s="49" t="n"/>
      <c r="AB41" s="50" t="n"/>
      <c r="AC41" s="49">
        <f>if(B15="DIV", F15,"")</f>
        <v/>
      </c>
      <c r="AD41" s="51" t="n"/>
    </row>
    <row r="42">
      <c r="A42" s="52" t="n">
        <v>45817</v>
      </c>
      <c r="B42" s="39" t="inlineStr">
        <is>
          <t>NSE</t>
        </is>
      </c>
      <c r="C42" s="39" t="inlineStr">
        <is>
          <t>Buy</t>
        </is>
      </c>
      <c r="D42" s="40" t="n">
        <v>8</v>
      </c>
      <c r="E42" s="41" t="n">
        <v>424.22</v>
      </c>
      <c r="F42" s="41" t="n">
        <v>3393.73</v>
      </c>
      <c r="G42" s="39" t="inlineStr">
        <is>
          <t>~</t>
        </is>
      </c>
      <c r="H42" s="41" t="n">
        <v>3.5</v>
      </c>
      <c r="I42" s="40" t="n">
        <v>20.63</v>
      </c>
      <c r="J42" s="42">
        <f>Index!$C$2</f>
        <v/>
      </c>
      <c r="K42" s="43">
        <f>IF(AND( C16="Buy", ISBLANK(W16), B16&lt;&gt;"DIV"), L16/sum(F16:I16), "")</f>
        <v/>
      </c>
      <c r="L42" s="44">
        <f>IF(AND( C16="Buy", ISBLANK(W16), B16&lt;&gt;"DIV"), (1-Index!$F$2*2)*((J16*D16)-(E16*D16)), "")</f>
        <v/>
      </c>
      <c r="M42" s="44">
        <f>IF(AND( C16="Buy", ISBLANK(W16), B16&lt;&gt;"DIV"), ((E16*D16)+L16), "")</f>
        <v/>
      </c>
      <c r="N42" s="45">
        <f>IF(AND( C16="Buy", ISBLANK(W16), B16&lt;&gt;"DIV"), D16, "")</f>
        <v/>
      </c>
      <c r="O42" s="43">
        <f>IF(AND( C16="Buy", ISBLANK(W16), B16&lt;&gt;"DIV", NOW()-A16 &lt; 365), P16/sum(F16:I16), "")</f>
        <v/>
      </c>
      <c r="P42" s="44">
        <f>IF(AND( C16="Buy", ISBLANK(W16), B16&lt;&gt;"DIV", NOW()-A16 &lt; 365), (1-Index!$F$2*2)*((J16*D16)-(E16*D16)), "")</f>
        <v/>
      </c>
      <c r="Q42" s="44">
        <f>IF(AND( C16="Buy", ISBLANK(W16), B16&lt;&gt;"DIV", NOW()-A16 &lt; 365), ((E16*D16)+P16), "")</f>
        <v/>
      </c>
      <c r="R42" s="44">
        <f>IF(AND( C16="Buy", ISBLANK(W16), B16&lt;&gt;"DIV", NOW()-A16 &lt; 365), D16, "")</f>
        <v/>
      </c>
      <c r="S42" s="46">
        <f>IF(AND( C16="Buy", ISBLANK(W16), B16&lt;&gt;"DIV", NOW()-A16 &gt; 365), T16/sum(F16:I16), "")</f>
        <v/>
      </c>
      <c r="T42" s="47">
        <f>IF(AND( C16="Buy", ISBLANK(W16), B16&lt;&gt;"DIV", NOW()-A16 &gt; 365), (1-Index!$F$2*2)*((J16*D16)-(E16*D16)), "")</f>
        <v/>
      </c>
      <c r="U42" s="47">
        <f>IF(AND( C16="Buy", ISBLANK(W16), B16&lt;&gt;"DIV", NOW()-A16 &gt; 365), ((E16*D16)+T16), "")</f>
        <v/>
      </c>
      <c r="V42" s="47">
        <f>IF(AND( C16="Buy", ISBLANK(W16), B16&lt;&gt;"DIV", NOW()-A16 &gt; 365), D16, "")</f>
        <v/>
      </c>
      <c r="W42" s="49" t="n"/>
      <c r="X42" s="49" t="n"/>
      <c r="Y42" s="46">
        <f>IF(AND( C16="Buy", W16&lt;&gt;"", AA16&lt;&gt;"", B16&lt;&gt;"DIV"), Z16/sum(F16:I16), "")</f>
        <v/>
      </c>
      <c r="Z42" s="49" t="n"/>
      <c r="AA42" s="49" t="n"/>
      <c r="AB42" s="50" t="n"/>
      <c r="AC42" s="49">
        <f>if(B16="DIV", F16,"")</f>
        <v/>
      </c>
      <c r="AD42" s="51" t="n"/>
    </row>
    <row r="43">
      <c r="A43" s="52" t="n">
        <v>45811</v>
      </c>
      <c r="B43" s="39" t="inlineStr">
        <is>
          <t>NSE</t>
        </is>
      </c>
      <c r="C43" s="39" t="inlineStr">
        <is>
          <t>Buy</t>
        </is>
      </c>
      <c r="D43" s="40" t="n">
        <v>15</v>
      </c>
      <c r="E43" s="41" t="n">
        <v>422.18</v>
      </c>
      <c r="F43" s="41" t="n">
        <v>6332.66</v>
      </c>
      <c r="G43" s="39" t="inlineStr">
        <is>
          <t>~</t>
        </is>
      </c>
      <c r="H43" s="41" t="n">
        <v>6.29</v>
      </c>
      <c r="I43" s="40" t="n">
        <v>38.37</v>
      </c>
      <c r="J43" s="42">
        <f>Index!$C$2</f>
        <v/>
      </c>
      <c r="K43" s="43">
        <f>IF(AND( C17="Buy", ISBLANK(W17), B17&lt;&gt;"DIV"), L17/sum(F17:I17), "")</f>
        <v/>
      </c>
      <c r="L43" s="44">
        <f>IF(AND( C17="Buy", ISBLANK(W17), B17&lt;&gt;"DIV"), (1-Index!$F$2*2)*((J17*D17)-(E17*D17)), "")</f>
        <v/>
      </c>
      <c r="M43" s="44">
        <f>IF(AND( C17="Buy", ISBLANK(W17), B17&lt;&gt;"DIV"), ((E17*D17)+L17), "")</f>
        <v/>
      </c>
      <c r="N43" s="45">
        <f>IF(AND( C17="Buy", ISBLANK(W17), B17&lt;&gt;"DIV"), D17, "")</f>
        <v/>
      </c>
      <c r="O43" s="43">
        <f>IF(AND( C17="Buy", ISBLANK(W17), B17&lt;&gt;"DIV", NOW()-A17 &lt; 365), P17/sum(F17:I17), "")</f>
        <v/>
      </c>
      <c r="P43" s="44">
        <f>IF(AND( C17="Buy", ISBLANK(W17), B17&lt;&gt;"DIV", NOW()-A17 &lt; 365), (1-Index!$F$2*2)*((J17*D17)-(E17*D17)), "")</f>
        <v/>
      </c>
      <c r="Q43" s="44">
        <f>IF(AND( C17="Buy", ISBLANK(W17), B17&lt;&gt;"DIV", NOW()-A17 &lt; 365), ((E17*D17)+P17), "")</f>
        <v/>
      </c>
      <c r="R43" s="44">
        <f>IF(AND( C17="Buy", ISBLANK(W17), B17&lt;&gt;"DIV", NOW()-A17 &lt; 365), D17, "")</f>
        <v/>
      </c>
      <c r="S43" s="46">
        <f>IF(AND( C17="Buy", ISBLANK(W17), B17&lt;&gt;"DIV", NOW()-A17 &gt; 365), T17/sum(F17:I17), "")</f>
        <v/>
      </c>
      <c r="T43" s="47">
        <f>IF(AND( C17="Buy", ISBLANK(W17), B17&lt;&gt;"DIV", NOW()-A17 &gt; 365), (1-Index!$F$2*2)*((J17*D17)-(E17*D17)), "")</f>
        <v/>
      </c>
      <c r="U43" s="47">
        <f>IF(AND( C17="Buy", ISBLANK(W17), B17&lt;&gt;"DIV", NOW()-A17 &gt; 365), ((E17*D17)+T17), "")</f>
        <v/>
      </c>
      <c r="V43" s="47">
        <f>IF(AND( C17="Buy", ISBLANK(W17), B17&lt;&gt;"DIV", NOW()-A17 &gt; 365), D17, "")</f>
        <v/>
      </c>
      <c r="W43" s="49" t="n"/>
      <c r="X43" s="49" t="n"/>
      <c r="Y43" s="46">
        <f>IF(AND( C17="Buy", W17&lt;&gt;"", AA17&lt;&gt;"", B17&lt;&gt;"DIV"), Z17/sum(F17:I17), "")</f>
        <v/>
      </c>
      <c r="Z43" s="49" t="n"/>
      <c r="AA43" s="49" t="n"/>
      <c r="AB43" s="50" t="n"/>
      <c r="AC43" s="49">
        <f>if(B17="DIV", F17,"")</f>
        <v/>
      </c>
      <c r="AD43" s="51" t="n"/>
    </row>
    <row r="44">
      <c r="A44" s="52" t="n">
        <v>45807</v>
      </c>
      <c r="B44" s="39" t="inlineStr">
        <is>
          <t>NSE</t>
        </is>
      </c>
      <c r="C44" s="39" t="inlineStr">
        <is>
          <t>Buy</t>
        </is>
      </c>
      <c r="D44" s="40" t="n">
        <v>20</v>
      </c>
      <c r="E44" s="41" t="n">
        <v>421.56</v>
      </c>
      <c r="F44" s="41" t="n">
        <v>8431.290000000001</v>
      </c>
      <c r="G44" s="39" t="inlineStr">
        <is>
          <t>~</t>
        </is>
      </c>
      <c r="H44" s="41" t="n">
        <v>8.41</v>
      </c>
      <c r="I44" s="40" t="n">
        <v>50.88</v>
      </c>
      <c r="J44" s="42">
        <f>Index!$C$2</f>
        <v/>
      </c>
      <c r="K44" s="43">
        <f>IF(AND( C18="Buy", ISBLANK(W18), B18&lt;&gt;"DIV"), L18/sum(F18:I18), "")</f>
        <v/>
      </c>
      <c r="L44" s="44">
        <f>IF(AND( C18="Buy", ISBLANK(W18), B18&lt;&gt;"DIV"), (1-Index!$F$2*2)*((J18*D18)-(E18*D18)), "")</f>
        <v/>
      </c>
      <c r="M44" s="44">
        <f>IF(AND( C18="Buy", ISBLANK(W18), B18&lt;&gt;"DIV"), ((E18*D18)+L18), "")</f>
        <v/>
      </c>
      <c r="N44" s="45">
        <f>IF(AND( C18="Buy", ISBLANK(W18), B18&lt;&gt;"DIV"), D18, "")</f>
        <v/>
      </c>
      <c r="O44" s="43">
        <f>IF(AND( C18="Buy", ISBLANK(W18), B18&lt;&gt;"DIV", NOW()-A18 &lt; 365), P18/sum(F18:I18), "")</f>
        <v/>
      </c>
      <c r="P44" s="44">
        <f>IF(AND( C18="Buy", ISBLANK(W18), B18&lt;&gt;"DIV", NOW()-A18 &lt; 365), (1-Index!$F$2*2)*((J18*D18)-(E18*D18)), "")</f>
        <v/>
      </c>
      <c r="Q44" s="44">
        <f>IF(AND( C18="Buy", ISBLANK(W18), B18&lt;&gt;"DIV", NOW()-A18 &lt; 365), ((E18*D18)+P18), "")</f>
        <v/>
      </c>
      <c r="R44" s="44">
        <f>IF(AND( C18="Buy", ISBLANK(W18), B18&lt;&gt;"DIV", NOW()-A18 &lt; 365), D18, "")</f>
        <v/>
      </c>
      <c r="S44" s="46">
        <f>IF(AND( C18="Buy", ISBLANK(W18), B18&lt;&gt;"DIV", NOW()-A18 &gt; 365), T18/sum(F18:I18), "")</f>
        <v/>
      </c>
      <c r="T44" s="47">
        <f>IF(AND( C18="Buy", ISBLANK(W18), B18&lt;&gt;"DIV", NOW()-A18 &gt; 365), (1-Index!$F$2*2)*((J18*D18)-(E18*D18)), "")</f>
        <v/>
      </c>
      <c r="U44" s="47">
        <f>IF(AND( C18="Buy", ISBLANK(W18), B18&lt;&gt;"DIV", NOW()-A18 &gt; 365), ((E18*D18)+T18), "")</f>
        <v/>
      </c>
      <c r="V44" s="47">
        <f>IF(AND( C18="Buy", ISBLANK(W18), B18&lt;&gt;"DIV", NOW()-A18 &gt; 365), D18, "")</f>
        <v/>
      </c>
      <c r="W44" s="49" t="n"/>
      <c r="X44" s="49" t="n"/>
      <c r="Y44" s="46">
        <f>IF(AND( C18="Buy", W18&lt;&gt;"", AA18&lt;&gt;"", B18&lt;&gt;"DIV"), Z18/sum(F18:I18), "")</f>
        <v/>
      </c>
      <c r="Z44" s="49" t="n"/>
      <c r="AA44" s="49" t="n"/>
      <c r="AB44" s="50" t="n"/>
      <c r="AC44" s="49">
        <f>if(B18="DIV", F18,"")</f>
        <v/>
      </c>
      <c r="AD44" s="51" t="n"/>
    </row>
    <row r="45">
      <c r="A45" s="52" t="n">
        <v>45806</v>
      </c>
      <c r="B45" s="39" t="inlineStr">
        <is>
          <t>NSE</t>
        </is>
      </c>
      <c r="C45" s="39" t="inlineStr">
        <is>
          <t>Buy</t>
        </is>
      </c>
      <c r="D45" s="40" t="n">
        <v>10</v>
      </c>
      <c r="E45" s="41" t="n">
        <v>421.62</v>
      </c>
      <c r="F45" s="41" t="n">
        <v>4216.19</v>
      </c>
      <c r="G45" s="39" t="inlineStr">
        <is>
          <t>~</t>
        </is>
      </c>
      <c r="H45" s="41" t="n">
        <v>4.21</v>
      </c>
      <c r="I45" s="40" t="n">
        <v>25.48</v>
      </c>
      <c r="J45" s="42">
        <f>Index!$C$2</f>
        <v/>
      </c>
      <c r="K45" s="43">
        <f>IF(AND( C19="Buy", ISBLANK(W19), B19&lt;&gt;"DIV"), L19/sum(F19:I19), "")</f>
        <v/>
      </c>
      <c r="L45" s="44">
        <f>IF(AND( C19="Buy", ISBLANK(W19), B19&lt;&gt;"DIV"), (1-Index!$F$2*2)*((J19*D19)-(E19*D19)), "")</f>
        <v/>
      </c>
      <c r="M45" s="44">
        <f>IF(AND( C19="Buy", ISBLANK(W19), B19&lt;&gt;"DIV"), ((E19*D19)+L19), "")</f>
        <v/>
      </c>
      <c r="N45" s="45">
        <f>IF(AND( C19="Buy", ISBLANK(W19), B19&lt;&gt;"DIV"), D19, "")</f>
        <v/>
      </c>
      <c r="O45" s="43">
        <f>IF(AND( C19="Buy", ISBLANK(W19), B19&lt;&gt;"DIV", NOW()-A19 &lt; 365), P19/sum(F19:I19), "")</f>
        <v/>
      </c>
      <c r="P45" s="44">
        <f>IF(AND( C19="Buy", ISBLANK(W19), B19&lt;&gt;"DIV", NOW()-A19 &lt; 365), (1-Index!$F$2*2)*((J19*D19)-(E19*D19)), "")</f>
        <v/>
      </c>
      <c r="Q45" s="44">
        <f>IF(AND( C19="Buy", ISBLANK(W19), B19&lt;&gt;"DIV", NOW()-A19 &lt; 365), ((E19*D19)+P19), "")</f>
        <v/>
      </c>
      <c r="R45" s="44">
        <f>IF(AND( C19="Buy", ISBLANK(W19), B19&lt;&gt;"DIV", NOW()-A19 &lt; 365), D19, "")</f>
        <v/>
      </c>
      <c r="S45" s="46">
        <f>IF(AND( C19="Buy", ISBLANK(W19), B19&lt;&gt;"DIV", NOW()-A19 &gt; 365), T19/sum(F19:I19), "")</f>
        <v/>
      </c>
      <c r="T45" s="47">
        <f>IF(AND( C19="Buy", ISBLANK(W19), B19&lt;&gt;"DIV", NOW()-A19 &gt; 365), (1-Index!$F$2*2)*((J19*D19)-(E19*D19)), "")</f>
        <v/>
      </c>
      <c r="U45" s="47">
        <f>IF(AND( C19="Buy", ISBLANK(W19), B19&lt;&gt;"DIV", NOW()-A19 &gt; 365), ((E19*D19)+T19), "")</f>
        <v/>
      </c>
      <c r="V45" s="47">
        <f>IF(AND( C19="Buy", ISBLANK(W19), B19&lt;&gt;"DIV", NOW()-A19 &gt; 365), D19, "")</f>
        <v/>
      </c>
      <c r="W45" s="49" t="n"/>
      <c r="X45" s="49" t="n"/>
      <c r="Y45" s="46">
        <f>IF(AND( C19="Buy", W19&lt;&gt;"", AA19&lt;&gt;"", B19&lt;&gt;"DIV"), Z19/sum(F19:I19), "")</f>
        <v/>
      </c>
      <c r="Z45" s="49" t="n"/>
      <c r="AA45" s="49" t="n"/>
      <c r="AB45" s="50" t="n"/>
      <c r="AC45" s="49">
        <f>if(B19="DIV", F19,"")</f>
        <v/>
      </c>
      <c r="AD45" s="51" t="n"/>
    </row>
    <row r="46">
      <c r="A46" s="52" t="n">
        <v>45805</v>
      </c>
      <c r="B46" s="39" t="inlineStr">
        <is>
          <t>DIV</t>
        </is>
      </c>
      <c r="C46" s="39" t="inlineStr">
        <is>
          <t>Buy</t>
        </is>
      </c>
      <c r="D46" s="40" t="n">
        <v>135</v>
      </c>
      <c r="E46" s="41" t="n">
        <v>7.85</v>
      </c>
      <c r="F46" s="41" t="n">
        <v>1059.75</v>
      </c>
      <c r="G46" s="39" t="inlineStr">
        <is>
          <t>Final-Dividend of Rs.7.8500/- per share on Ex-Date: 28-MAY-2025</t>
        </is>
      </c>
      <c r="H46" s="41" t="n">
        <v>0</v>
      </c>
      <c r="I46" s="40" t="n">
        <v>0</v>
      </c>
      <c r="J46" s="42">
        <f>Index!$C$2</f>
        <v/>
      </c>
      <c r="K46" s="43">
        <f>IF(AND( C20="Buy", ISBLANK(W20), B20&lt;&gt;"DIV"), L20/sum(F20:I20), "")</f>
        <v/>
      </c>
      <c r="L46" s="44">
        <f>IF(AND( C20="Buy", ISBLANK(W20), B20&lt;&gt;"DIV"), (1-Index!$F$2*2)*((J20*D20)-(E20*D20)), "")</f>
        <v/>
      </c>
      <c r="M46" s="44">
        <f>IF(AND( C20="Buy", ISBLANK(W20), B20&lt;&gt;"DIV"), ((E20*D20)+L20), "")</f>
        <v/>
      </c>
      <c r="N46" s="45">
        <f>IF(AND( C20="Buy", ISBLANK(W20), B20&lt;&gt;"DIV"), D20, "")</f>
        <v/>
      </c>
      <c r="O46" s="43">
        <f>IF(AND( C20="Buy", ISBLANK(W20), B20&lt;&gt;"DIV", NOW()-A20 &lt; 365), P20/sum(F20:I20), "")</f>
        <v/>
      </c>
      <c r="P46" s="44">
        <f>IF(AND( C20="Buy", ISBLANK(W20), B20&lt;&gt;"DIV", NOW()-A20 &lt; 365), (1-Index!$F$2*2)*((J20*D20)-(E20*D20)), "")</f>
        <v/>
      </c>
      <c r="Q46" s="44">
        <f>IF(AND( C20="Buy", ISBLANK(W20), B20&lt;&gt;"DIV", NOW()-A20 &lt; 365), ((E20*D20)+P20), "")</f>
        <v/>
      </c>
      <c r="R46" s="44">
        <f>IF(AND( C20="Buy", ISBLANK(W20), B20&lt;&gt;"DIV", NOW()-A20 &lt; 365), D20, "")</f>
        <v/>
      </c>
      <c r="S46" s="46">
        <f>IF(AND( C20="Buy", ISBLANK(W20), B20&lt;&gt;"DIV", NOW()-A20 &gt; 365), T20/sum(F20:I20), "")</f>
        <v/>
      </c>
      <c r="T46" s="47">
        <f>IF(AND( C20="Buy", ISBLANK(W20), B20&lt;&gt;"DIV", NOW()-A20 &gt; 365), (1-Index!$F$2*2)*((J20*D20)-(E20*D20)), "")</f>
        <v/>
      </c>
      <c r="U46" s="47">
        <f>IF(AND( C20="Buy", ISBLANK(W20), B20&lt;&gt;"DIV", NOW()-A20 &gt; 365), ((E20*D20)+T20), "")</f>
        <v/>
      </c>
      <c r="V46" s="47">
        <f>IF(AND( C20="Buy", ISBLANK(W20), B20&lt;&gt;"DIV", NOW()-A20 &gt; 365), D20, "")</f>
        <v/>
      </c>
      <c r="W46" s="49" t="n"/>
      <c r="X46" s="49" t="n"/>
      <c r="Y46" s="46">
        <f>IF(AND( C20="Buy", W20&lt;&gt;"", AA20&lt;&gt;"", B20&lt;&gt;"DIV"), Z20/sum(F20:I20), "")</f>
        <v/>
      </c>
      <c r="Z46" s="49" t="n"/>
      <c r="AA46" s="49" t="n"/>
      <c r="AB46" s="50" t="n"/>
      <c r="AC46" s="49">
        <f>if(B20="DIV", F20,"")</f>
        <v/>
      </c>
      <c r="AD46" s="51" t="n"/>
    </row>
    <row r="47">
      <c r="A47" s="53" t="n">
        <v>45734</v>
      </c>
      <c r="B47" s="58" t="inlineStr">
        <is>
          <t>NSE</t>
        </is>
      </c>
      <c r="C47" s="58" t="inlineStr">
        <is>
          <t>Buy</t>
        </is>
      </c>
      <c r="D47" s="55" t="n">
        <v>10</v>
      </c>
      <c r="E47" s="56" t="n">
        <v>414.02</v>
      </c>
      <c r="F47" s="57">
        <f>E21*D21 + sum(H21:I21)</f>
        <v/>
      </c>
      <c r="G47" s="58" t="inlineStr">
        <is>
          <t>~</t>
        </is>
      </c>
      <c r="H47" s="56" t="n"/>
      <c r="I47" s="55" t="n">
        <v>29.21</v>
      </c>
      <c r="J47" s="42">
        <f>Index!$C$2</f>
        <v/>
      </c>
      <c r="K47" s="43">
        <f>IF(AND( C21="Buy", ISBLANK(W21), B21&lt;&gt;"DIV"), L21/sum(F21:I21), "")</f>
        <v/>
      </c>
      <c r="L47" s="44">
        <f>IF(AND( C21="Buy", ISBLANK(W21), B21&lt;&gt;"DIV"), (1-Index!$F$2*2)*((J21*D21)-(E21*D21)), "")</f>
        <v/>
      </c>
      <c r="M47" s="44">
        <f>IF(AND( C21="Buy", ISBLANK(W21), B21&lt;&gt;"DIV"), ((E21*D21)+L21), "")</f>
        <v/>
      </c>
      <c r="N47" s="45">
        <f>IF(AND( C21="Buy", ISBLANK(W21), B21&lt;&gt;"DIV"), D21, "")</f>
        <v/>
      </c>
      <c r="O47" s="43">
        <f>IF(AND( C21="Buy", ISBLANK(W21), B21&lt;&gt;"DIV", NOW()-A21 &lt; 365), P21/sum(F21:I21), "")</f>
        <v/>
      </c>
      <c r="P47" s="44">
        <f>IF(AND( C21="Buy", ISBLANK(W21), B21&lt;&gt;"DIV", NOW()-A21 &lt; 365), (1-Index!$F$2*2)*((J21*D21)-(E21*D21)), "")</f>
        <v/>
      </c>
      <c r="Q47" s="44">
        <f>IF(AND( C21="Buy", ISBLANK(W21), B21&lt;&gt;"DIV", NOW()-A21 &lt; 365), ((E21*D21)+P21), "")</f>
        <v/>
      </c>
      <c r="R47" s="44">
        <f>IF(AND( C21="Buy", ISBLANK(W21), B21&lt;&gt;"DIV", NOW()-A21 &lt; 365), D21, "")</f>
        <v/>
      </c>
      <c r="S47" s="46">
        <f>IF(AND( C21="Buy", ISBLANK(W21), B21&lt;&gt;"DIV", NOW()-A21 &gt; 365), T21/sum(F21:I21), "")</f>
        <v/>
      </c>
      <c r="T47" s="47">
        <f>IF(AND( C21="Buy", ISBLANK(W21), B21&lt;&gt;"DIV", NOW()-A21 &gt; 365), (1-Index!$F$2*2)*((J21*D21)-(E21*D21)), "")</f>
        <v/>
      </c>
      <c r="U47" s="47">
        <f>IF(AND( C21="Buy", ISBLANK(W21), B21&lt;&gt;"DIV", NOW()-A21 &gt; 365), ((E21*D21)+T21), "")</f>
        <v/>
      </c>
      <c r="V47" s="47">
        <f>IF(AND( C21="Buy", ISBLANK(W21), B21&lt;&gt;"DIV", NOW()-A21 &gt; 365), D21, "")</f>
        <v/>
      </c>
      <c r="W47" s="49" t="n"/>
      <c r="X47" s="49" t="n"/>
      <c r="Y47" s="46">
        <f>IF(AND( C21="Buy", W21&lt;&gt;"", AA21&lt;&gt;"", B21&lt;&gt;"DIV"), Z21/sum(F21:I21), "")</f>
        <v/>
      </c>
      <c r="Z47" s="49" t="n"/>
      <c r="AA47" s="49" t="n"/>
      <c r="AB47" s="50" t="n"/>
      <c r="AC47" s="49">
        <f>if(B21="DIV", F21,"")</f>
        <v/>
      </c>
      <c r="AD47" s="51" t="n"/>
    </row>
    <row r="48">
      <c r="A48" s="53" t="n">
        <v>45722</v>
      </c>
      <c r="B48" s="58" t="inlineStr">
        <is>
          <t>NSE</t>
        </is>
      </c>
      <c r="C48" s="58" t="inlineStr">
        <is>
          <t>Buy</t>
        </is>
      </c>
      <c r="D48" s="55" t="n">
        <v>10</v>
      </c>
      <c r="E48" s="56" t="n">
        <v>404.4</v>
      </c>
      <c r="F48" s="56" t="n">
        <v>4043.99</v>
      </c>
      <c r="G48" s="58" t="inlineStr">
        <is>
          <t>~</t>
        </is>
      </c>
      <c r="H48" s="56" t="n">
        <v>4.04</v>
      </c>
      <c r="I48" s="55" t="n">
        <v>24.45</v>
      </c>
      <c r="J48" s="42">
        <f>Index!$C$2</f>
        <v/>
      </c>
      <c r="K48" s="43">
        <f>IF(AND( C22="Buy", ISBLANK(W22), B22&lt;&gt;"DIV"), L22/sum(F22:I22), "")</f>
        <v/>
      </c>
      <c r="L48" s="44">
        <f>IF(AND( C22="Buy", ISBLANK(W22), B22&lt;&gt;"DIV"), (1-Index!$F$2*2)*((J22*D22)-(E22*D22)), "")</f>
        <v/>
      </c>
      <c r="M48" s="44">
        <f>IF(AND( C22="Buy", ISBLANK(W22), B22&lt;&gt;"DIV"), ((E22*D22)+L22), "")</f>
        <v/>
      </c>
      <c r="N48" s="45">
        <f>IF(AND( C22="Buy", ISBLANK(W22), B22&lt;&gt;"DIV"), D22, "")</f>
        <v/>
      </c>
      <c r="O48" s="43">
        <f>IF(AND( C22="Buy", ISBLANK(W22), B22&lt;&gt;"DIV", NOW()-A22 &lt; 365), P22/sum(F22:I22), "")</f>
        <v/>
      </c>
      <c r="P48" s="44">
        <f>IF(AND( C22="Buy", ISBLANK(W22), B22&lt;&gt;"DIV", NOW()-A22 &lt; 365), (1-Index!$F$2*2)*((J22*D22)-(E22*D22)), "")</f>
        <v/>
      </c>
      <c r="Q48" s="44">
        <f>IF(AND( C22="Buy", ISBLANK(W22), B22&lt;&gt;"DIV", NOW()-A22 &lt; 365), ((E22*D22)+P22), "")</f>
        <v/>
      </c>
      <c r="R48" s="44">
        <f>IF(AND( C22="Buy", ISBLANK(W22), B22&lt;&gt;"DIV", NOW()-A22 &lt; 365), D22, "")</f>
        <v/>
      </c>
      <c r="S48" s="46">
        <f>IF(AND( C22="Buy", ISBLANK(W22), B22&lt;&gt;"DIV", NOW()-A22 &gt; 365), T22/sum(F22:I22), "")</f>
        <v/>
      </c>
      <c r="T48" s="47">
        <f>IF(AND( C22="Buy", ISBLANK(W22), B22&lt;&gt;"DIV", NOW()-A22 &gt; 365), (1-Index!$F$2*2)*((J22*D22)-(E22*D22)), "")</f>
        <v/>
      </c>
      <c r="U48" s="47">
        <f>IF(AND( C22="Buy", ISBLANK(W22), B22&lt;&gt;"DIV", NOW()-A22 &gt; 365), ((E22*D22)+T22), "")</f>
        <v/>
      </c>
      <c r="V48" s="47">
        <f>IF(AND( C22="Buy", ISBLANK(W22), B22&lt;&gt;"DIV", NOW()-A22 &gt; 365), D22, "")</f>
        <v/>
      </c>
      <c r="W48" s="49" t="n"/>
      <c r="X48" s="49" t="n"/>
      <c r="Y48" s="46">
        <f>IF(AND( C22="Buy", W22&lt;&gt;"", AA22&lt;&gt;"", B22&lt;&gt;"DIV"), Z22/sum(F22:I22), "")</f>
        <v/>
      </c>
      <c r="Z48" s="49" t="n"/>
      <c r="AA48" s="49" t="n"/>
      <c r="AB48" s="50" t="n"/>
      <c r="AC48" s="49">
        <f>if(B22="DIV", F22,"")</f>
        <v/>
      </c>
      <c r="AD48" s="51" t="n"/>
    </row>
    <row r="49">
      <c r="A49" s="53" t="n">
        <v>45716</v>
      </c>
      <c r="B49" s="58" t="inlineStr">
        <is>
          <t>NSE</t>
        </is>
      </c>
      <c r="C49" s="58" t="inlineStr">
        <is>
          <t>Buy</t>
        </is>
      </c>
      <c r="D49" s="55" t="n">
        <v>5</v>
      </c>
      <c r="E49" s="56" t="n">
        <v>398.66</v>
      </c>
      <c r="F49" s="56" t="n">
        <v>1993.28</v>
      </c>
      <c r="G49" s="58" t="inlineStr">
        <is>
          <t>~</t>
        </is>
      </c>
      <c r="H49" s="56" t="n">
        <v>1.97</v>
      </c>
      <c r="I49" s="55" t="n">
        <v>12.06</v>
      </c>
      <c r="J49" s="42">
        <f>Index!$C$2</f>
        <v/>
      </c>
      <c r="K49" s="43">
        <f>IF(AND( C23="Buy", ISBLANK(W23), B23&lt;&gt;"DIV"), L23/sum(F23:I23), "")</f>
        <v/>
      </c>
      <c r="L49" s="44">
        <f>IF(AND( C23="Buy", ISBLANK(W23), B23&lt;&gt;"DIV"), (1-Index!$F$2*2)*((J23*D23)-(E23*D23)), "")</f>
        <v/>
      </c>
      <c r="M49" s="44">
        <f>IF(AND( C23="Buy", ISBLANK(W23), B23&lt;&gt;"DIV"), ((E23*D23)+L23), "")</f>
        <v/>
      </c>
      <c r="N49" s="45">
        <f>IF(AND( C23="Buy", ISBLANK(W23), B23&lt;&gt;"DIV"), D23, "")</f>
        <v/>
      </c>
      <c r="O49" s="43">
        <f>IF(AND( C23="Buy", ISBLANK(W23), B23&lt;&gt;"DIV", NOW()-A23 &lt; 365), P23/sum(F23:I23), "")</f>
        <v/>
      </c>
      <c r="P49" s="44">
        <f>IF(AND( C23="Buy", ISBLANK(W23), B23&lt;&gt;"DIV", NOW()-A23 &lt; 365), (1-Index!$F$2*2)*((J23*D23)-(E23*D23)), "")</f>
        <v/>
      </c>
      <c r="Q49" s="44">
        <f>IF(AND( C23="Buy", ISBLANK(W23), B23&lt;&gt;"DIV", NOW()-A23 &lt; 365), ((E23*D23)+P23), "")</f>
        <v/>
      </c>
      <c r="R49" s="44">
        <f>IF(AND( C23="Buy", ISBLANK(W23), B23&lt;&gt;"DIV", NOW()-A23 &lt; 365), D23, "")</f>
        <v/>
      </c>
      <c r="S49" s="46">
        <f>IF(AND( C23="Buy", ISBLANK(W23), B23&lt;&gt;"DIV", NOW()-A23 &gt; 365), T23/sum(F23:I23), "")</f>
        <v/>
      </c>
      <c r="T49" s="47">
        <f>IF(AND( C23="Buy", ISBLANK(W23), B23&lt;&gt;"DIV", NOW()-A23 &gt; 365), (1-Index!$F$2*2)*((J23*D23)-(E23*D23)), "")</f>
        <v/>
      </c>
      <c r="U49" s="47">
        <f>IF(AND( C23="Buy", ISBLANK(W23), B23&lt;&gt;"DIV", NOW()-A23 &gt; 365), ((E23*D23)+T23), "")</f>
        <v/>
      </c>
      <c r="V49" s="47">
        <f>IF(AND( C23="Buy", ISBLANK(W23), B23&lt;&gt;"DIV", NOW()-A23 &gt; 365), D23, "")</f>
        <v/>
      </c>
      <c r="W49" s="49" t="n"/>
      <c r="X49" s="49" t="n"/>
      <c r="Y49" s="46">
        <f>IF(AND( C23="Buy", W23&lt;&gt;"", AA23&lt;&gt;"", B23&lt;&gt;"DIV"), Z23/sum(F23:I23), "")</f>
        <v/>
      </c>
      <c r="Z49" s="49" t="n"/>
      <c r="AA49" s="49" t="n"/>
      <c r="AB49" s="50" t="n"/>
      <c r="AC49" s="49">
        <f>if(B23="DIV", F23,"")</f>
        <v/>
      </c>
      <c r="AD49" s="51" t="n"/>
    </row>
    <row r="50">
      <c r="A50" s="53" t="n">
        <v>45712</v>
      </c>
      <c r="B50" s="58" t="inlineStr">
        <is>
          <t>NSE</t>
        </is>
      </c>
      <c r="C50" s="58" t="inlineStr">
        <is>
          <t>Buy</t>
        </is>
      </c>
      <c r="D50" s="55" t="n">
        <v>50</v>
      </c>
      <c r="E50" s="56" t="n">
        <v>405.2</v>
      </c>
      <c r="F50" s="56" t="n">
        <v>20259.98</v>
      </c>
      <c r="G50" s="58" t="inlineStr">
        <is>
          <t>~</t>
        </is>
      </c>
      <c r="H50" s="56" t="n">
        <v>20.07</v>
      </c>
      <c r="I50" s="55" t="n">
        <v>122.41</v>
      </c>
      <c r="J50" s="42">
        <f>Index!$C$2</f>
        <v/>
      </c>
      <c r="K50" s="43">
        <f>IF(AND( C24="Buy", ISBLANK(W24), B24&lt;&gt;"DIV"), L24/sum(F24:I24), "")</f>
        <v/>
      </c>
      <c r="L50" s="44">
        <f>IF(AND( C24="Buy", ISBLANK(W24), B24&lt;&gt;"DIV"), (1-Index!$F$2*2)*((J24*D24)-(E24*D24)), "")</f>
        <v/>
      </c>
      <c r="M50" s="44">
        <f>IF(AND( C24="Buy", ISBLANK(W24), B24&lt;&gt;"DIV"), ((E24*D24)+L24), "")</f>
        <v/>
      </c>
      <c r="N50" s="45">
        <f>IF(AND( C24="Buy", ISBLANK(W24), B24&lt;&gt;"DIV"), D24, "")</f>
        <v/>
      </c>
      <c r="O50" s="43">
        <f>IF(AND( C24="Buy", ISBLANK(W24), B24&lt;&gt;"DIV", NOW()-A24 &lt; 365), P24/sum(F24:I24), "")</f>
        <v/>
      </c>
      <c r="P50" s="44">
        <f>IF(AND( C24="Buy", ISBLANK(W24), B24&lt;&gt;"DIV", NOW()-A24 &lt; 365), (1-Index!$F$2*2)*((J24*D24)-(E24*D24)), "")</f>
        <v/>
      </c>
      <c r="Q50" s="44">
        <f>IF(AND( C24="Buy", ISBLANK(W24), B24&lt;&gt;"DIV", NOW()-A24 &lt; 365), ((E24*D24)+P24), "")</f>
        <v/>
      </c>
      <c r="R50" s="44">
        <f>IF(AND( C24="Buy", ISBLANK(W24), B24&lt;&gt;"DIV", NOW()-A24 &lt; 365), D24, "")</f>
        <v/>
      </c>
      <c r="S50" s="46">
        <f>IF(AND( C24="Buy", ISBLANK(W24), B24&lt;&gt;"DIV", NOW()-A24 &gt; 365), T24/sum(F24:I24), "")</f>
        <v/>
      </c>
      <c r="T50" s="47">
        <f>IF(AND( C24="Buy", ISBLANK(W24), B24&lt;&gt;"DIV", NOW()-A24 &gt; 365), (1-Index!$F$2*2)*((J24*D24)-(E24*D24)), "")</f>
        <v/>
      </c>
      <c r="U50" s="47">
        <f>IF(AND( C24="Buy", ISBLANK(W24), B24&lt;&gt;"DIV", NOW()-A24 &gt; 365), ((E24*D24)+T24), "")</f>
        <v/>
      </c>
      <c r="V50" s="47">
        <f>IF(AND( C24="Buy", ISBLANK(W24), B24&lt;&gt;"DIV", NOW()-A24 &gt; 365), D24, "")</f>
        <v/>
      </c>
      <c r="W50" s="49" t="n"/>
      <c r="X50" s="49" t="n"/>
      <c r="Y50" s="46">
        <f>IF(AND( C24="Buy", W24&lt;&gt;"", AA24&lt;&gt;"", B24&lt;&gt;"DIV"), Z24/sum(F24:I24), "")</f>
        <v/>
      </c>
      <c r="Z50" s="49" t="n"/>
      <c r="AA50" s="49" t="n"/>
      <c r="AB50" s="50" t="n"/>
      <c r="AC50" s="49">
        <f>if(B24="DIV", F24,"")</f>
        <v/>
      </c>
      <c r="AD50" s="51" t="n"/>
    </row>
    <row r="51">
      <c r="A51" s="53" t="n">
        <v>45708</v>
      </c>
      <c r="B51" s="58" t="inlineStr">
        <is>
          <t>NSE</t>
        </is>
      </c>
      <c r="C51" s="58" t="inlineStr">
        <is>
          <t>Buy</t>
        </is>
      </c>
      <c r="D51" s="55" t="n">
        <v>10</v>
      </c>
      <c r="E51" s="56" t="n">
        <v>405.39</v>
      </c>
      <c r="F51" s="56" t="n">
        <v>4053.89</v>
      </c>
      <c r="G51" s="58" t="inlineStr">
        <is>
          <t>~</t>
        </is>
      </c>
      <c r="H51" s="56" t="n">
        <v>4.01</v>
      </c>
      <c r="I51" s="55" t="n">
        <v>24.38</v>
      </c>
      <c r="J51" s="42">
        <f>Index!$C$2</f>
        <v/>
      </c>
      <c r="K51" s="43">
        <f>IF(AND( C25="Buy", ISBLANK(W25), B25&lt;&gt;"DIV"), L25/sum(F25:I25), "")</f>
        <v/>
      </c>
      <c r="L51" s="44">
        <f>IF(AND( C25="Buy", ISBLANK(W25), B25&lt;&gt;"DIV"), (1-Index!$F$2*2)*((J25*D25)-(E25*D25)), "")</f>
        <v/>
      </c>
      <c r="M51" s="44">
        <f>IF(AND( C25="Buy", ISBLANK(W25), B25&lt;&gt;"DIV"), ((E25*D25)+L25), "")</f>
        <v/>
      </c>
      <c r="N51" s="45">
        <f>IF(AND( C25="Buy", ISBLANK(W25), B25&lt;&gt;"DIV"), D25, "")</f>
        <v/>
      </c>
      <c r="O51" s="43">
        <f>IF(AND( C25="Buy", ISBLANK(W25), B25&lt;&gt;"DIV", NOW()-A25 &lt; 365), P25/sum(F25:I25), "")</f>
        <v/>
      </c>
      <c r="P51" s="44">
        <f>IF(AND( C25="Buy", ISBLANK(W25), B25&lt;&gt;"DIV", NOW()-A25 &lt; 365), (1-Index!$F$2*2)*((J25*D25)-(E25*D25)), "")</f>
        <v/>
      </c>
      <c r="Q51" s="44">
        <f>IF(AND( C25="Buy", ISBLANK(W25), B25&lt;&gt;"DIV", NOW()-A25 &lt; 365), ((E25*D25)+P25), "")</f>
        <v/>
      </c>
      <c r="R51" s="44">
        <f>IF(AND( C25="Buy", ISBLANK(W25), B25&lt;&gt;"DIV", NOW()-A25 &lt; 365), D25, "")</f>
        <v/>
      </c>
      <c r="S51" s="46">
        <f>IF(AND( C25="Buy", ISBLANK(W25), B25&lt;&gt;"DIV", NOW()-A25 &gt; 365), T25/sum(F25:I25), "")</f>
        <v/>
      </c>
      <c r="T51" s="47">
        <f>IF(AND( C25="Buy", ISBLANK(W25), B25&lt;&gt;"DIV", NOW()-A25 &gt; 365), (1-Index!$F$2*2)*((J25*D25)-(E25*D25)), "")</f>
        <v/>
      </c>
      <c r="U51" s="47">
        <f>IF(AND( C25="Buy", ISBLANK(W25), B25&lt;&gt;"DIV", NOW()-A25 &gt; 365), ((E25*D25)+T25), "")</f>
        <v/>
      </c>
      <c r="V51" s="47">
        <f>IF(AND( C25="Buy", ISBLANK(W25), B25&lt;&gt;"DIV", NOW()-A25 &gt; 365), D25, "")</f>
        <v/>
      </c>
      <c r="W51" s="49" t="n"/>
      <c r="X51" s="49" t="n"/>
      <c r="Y51" s="46">
        <f>IF(AND( C25="Buy", W25&lt;&gt;"", AA25&lt;&gt;"", B25&lt;&gt;"DIV"), Z25/sum(F25:I25), "")</f>
        <v/>
      </c>
      <c r="Z51" s="49" t="n"/>
      <c r="AA51" s="49" t="n"/>
      <c r="AB51" s="50" t="n"/>
      <c r="AC51" s="49">
        <f>if(B25="DIV", F25,"")</f>
        <v/>
      </c>
      <c r="AD51" s="51" t="n"/>
    </row>
    <row r="52">
      <c r="A52" s="53" t="n">
        <v>45705</v>
      </c>
      <c r="B52" s="58" t="inlineStr">
        <is>
          <t>NSE</t>
        </is>
      </c>
      <c r="C52" s="58" t="inlineStr">
        <is>
          <t>Buy</t>
        </is>
      </c>
      <c r="D52" s="55" t="n">
        <v>20</v>
      </c>
      <c r="E52" s="56" t="n">
        <v>412.5</v>
      </c>
      <c r="F52" s="56" t="n">
        <v>8250.09</v>
      </c>
      <c r="G52" s="58" t="inlineStr">
        <is>
          <t>~</t>
        </is>
      </c>
      <c r="H52" s="56" t="n">
        <v>8.18</v>
      </c>
      <c r="I52" s="55" t="n">
        <v>49.91</v>
      </c>
      <c r="J52" s="42">
        <f>Index!$C$2</f>
        <v/>
      </c>
      <c r="K52" s="43">
        <f>IF(AND( C26="Buy", ISBLANK(W26), B26&lt;&gt;"DIV"), L26/sum(F26:I26), "")</f>
        <v/>
      </c>
      <c r="L52" s="44">
        <f>IF(AND( C26="Buy", ISBLANK(W26), B26&lt;&gt;"DIV"), (1-Index!$F$2*2)*((J26*D26)-(E26*D26)), "")</f>
        <v/>
      </c>
      <c r="M52" s="44">
        <f>IF(AND( C26="Buy", ISBLANK(W26), B26&lt;&gt;"DIV"), ((E26*D26)+L26), "")</f>
        <v/>
      </c>
      <c r="N52" s="45">
        <f>IF(AND( C26="Buy", ISBLANK(W26), B26&lt;&gt;"DIV"), D26, "")</f>
        <v/>
      </c>
      <c r="O52" s="43">
        <f>IF(AND( C26="Buy", ISBLANK(W26), B26&lt;&gt;"DIV", NOW()-A26 &lt; 365), P26/sum(F26:I26), "")</f>
        <v/>
      </c>
      <c r="P52" s="44">
        <f>IF(AND( C26="Buy", ISBLANK(W26), B26&lt;&gt;"DIV", NOW()-A26 &lt; 365), (1-Index!$F$2*2)*((J26*D26)-(E26*D26)), "")</f>
        <v/>
      </c>
      <c r="Q52" s="44">
        <f>IF(AND( C26="Buy", ISBLANK(W26), B26&lt;&gt;"DIV", NOW()-A26 &lt; 365), ((E26*D26)+P26), "")</f>
        <v/>
      </c>
      <c r="R52" s="44">
        <f>IF(AND( C26="Buy", ISBLANK(W26), B26&lt;&gt;"DIV", NOW()-A26 &lt; 365), D26, "")</f>
        <v/>
      </c>
      <c r="S52" s="46">
        <f>IF(AND( C26="Buy", ISBLANK(W26), B26&lt;&gt;"DIV", NOW()-A26 &gt; 365), T26/sum(F26:I26), "")</f>
        <v/>
      </c>
      <c r="T52" s="47">
        <f>IF(AND( C26="Buy", ISBLANK(W26), B26&lt;&gt;"DIV", NOW()-A26 &gt; 365), (1-Index!$F$2*2)*((J26*D26)-(E26*D26)), "")</f>
        <v/>
      </c>
      <c r="U52" s="47">
        <f>IF(AND( C26="Buy", ISBLANK(W26), B26&lt;&gt;"DIV", NOW()-A26 &gt; 365), ((E26*D26)+T26), "")</f>
        <v/>
      </c>
      <c r="V52" s="47">
        <f>IF(AND( C26="Buy", ISBLANK(W26), B26&lt;&gt;"DIV", NOW()-A26 &gt; 365), D26, "")</f>
        <v/>
      </c>
      <c r="W52" s="49" t="n"/>
      <c r="X52" s="49" t="n"/>
      <c r="Y52" s="46">
        <f>IF(AND( C26="Buy", W26&lt;&gt;"", AA26&lt;&gt;"", B26&lt;&gt;"DIV"), Z26/sum(F26:I26), "")</f>
        <v/>
      </c>
      <c r="Z52" s="49" t="n"/>
      <c r="AA52" s="49" t="n"/>
      <c r="AB52" s="50" t="n"/>
      <c r="AC52" s="49">
        <f>if(B26="DIV", F26,"")</f>
        <v/>
      </c>
      <c r="AD52" s="51" t="n"/>
    </row>
    <row r="53">
      <c r="A53" s="53" t="n">
        <v>45700</v>
      </c>
      <c r="B53" s="58" t="inlineStr">
        <is>
          <t>DIV</t>
        </is>
      </c>
      <c r="C53" s="58" t="inlineStr">
        <is>
          <t>Buy</t>
        </is>
      </c>
      <c r="D53" s="55" t="n">
        <v>30</v>
      </c>
      <c r="E53" s="56" t="n">
        <v>6.5</v>
      </c>
      <c r="F53" s="56" t="n">
        <v>195</v>
      </c>
      <c r="G53" s="58" t="inlineStr">
        <is>
          <t>Interim-Dividend of Rs.6.5000/- per share on Ex-Date: 12-FEB-2025</t>
        </is>
      </c>
      <c r="H53" s="56" t="n">
        <v>0</v>
      </c>
      <c r="I53" s="55" t="n">
        <v>0</v>
      </c>
      <c r="J53" s="42">
        <f>Index!$C$2</f>
        <v/>
      </c>
      <c r="K53" s="43">
        <f>IF(AND( C27="Buy", ISBLANK(W27), B27&lt;&gt;"DIV"), L27/sum(F27:I27), "")</f>
        <v/>
      </c>
      <c r="L53" s="44">
        <f>IF(AND( C27="Buy", ISBLANK(W27), B27&lt;&gt;"DIV"), (1-Index!$F$2*2)*((J27*D27)-(E27*D27)), "")</f>
        <v/>
      </c>
      <c r="M53" s="44">
        <f>IF(AND( C27="Buy", ISBLANK(W27), B27&lt;&gt;"DIV"), ((E27*D27)+L27), "")</f>
        <v/>
      </c>
      <c r="N53" s="45">
        <f>IF(AND( C27="Buy", ISBLANK(W27), B27&lt;&gt;"DIV"), D27, "")</f>
        <v/>
      </c>
      <c r="O53" s="43">
        <f>IF(AND( C27="Buy", ISBLANK(W27), B27&lt;&gt;"DIV", NOW()-A27 &lt; 365), P27/sum(F27:I27), "")</f>
        <v/>
      </c>
      <c r="P53" s="44">
        <f>IF(AND( C27="Buy", ISBLANK(W27), B27&lt;&gt;"DIV", NOW()-A27 &lt; 365), (1-Index!$F$2*2)*((J27*D27)-(E27*D27)), "")</f>
        <v/>
      </c>
      <c r="Q53" s="44">
        <f>IF(AND( C27="Buy", ISBLANK(W27), B27&lt;&gt;"DIV", NOW()-A27 &lt; 365), ((E27*D27)+P27), "")</f>
        <v/>
      </c>
      <c r="R53" s="44">
        <f>IF(AND( C27="Buy", ISBLANK(W27), B27&lt;&gt;"DIV", NOW()-A27 &lt; 365), D27, "")</f>
        <v/>
      </c>
      <c r="S53" s="46">
        <f>IF(AND( C27="Buy", ISBLANK(W27), B27&lt;&gt;"DIV", NOW()-A27 &gt; 365), T27/sum(F27:I27), "")</f>
        <v/>
      </c>
      <c r="T53" s="47">
        <f>IF(AND( C27="Buy", ISBLANK(W27), B27&lt;&gt;"DIV", NOW()-A27 &gt; 365), (1-Index!$F$2*2)*((J27*D27)-(E27*D27)), "")</f>
        <v/>
      </c>
      <c r="U53" s="47">
        <f>IF(AND( C27="Buy", ISBLANK(W27), B27&lt;&gt;"DIV", NOW()-A27 &gt; 365), ((E27*D27)+T27), "")</f>
        <v/>
      </c>
      <c r="V53" s="47">
        <f>IF(AND( C27="Buy", ISBLANK(W27), B27&lt;&gt;"DIV", NOW()-A27 &gt; 365), D27, "")</f>
        <v/>
      </c>
      <c r="W53" s="49" t="n"/>
      <c r="X53" s="49" t="n"/>
      <c r="Y53" s="46">
        <f>IF(AND( C27="Buy", W27&lt;&gt;"", AA27&lt;&gt;"", B27&lt;&gt;"DIV"), Z27/sum(F27:I27), "")</f>
        <v/>
      </c>
      <c r="Z53" s="49" t="n"/>
      <c r="AA53" s="49" t="n"/>
      <c r="AB53" s="50" t="n"/>
      <c r="AC53" s="49">
        <f>if(B27="DIV", F27,"")</f>
        <v/>
      </c>
      <c r="AD53" s="51" t="n"/>
    </row>
    <row r="54">
      <c r="A54" s="53" t="n">
        <v>45699</v>
      </c>
      <c r="B54" s="58" t="inlineStr">
        <is>
          <t>NSE</t>
        </is>
      </c>
      <c r="C54" s="58" t="inlineStr">
        <is>
          <t>Buy</t>
        </is>
      </c>
      <c r="D54" s="55" t="n">
        <v>7</v>
      </c>
      <c r="E54" s="56" t="n">
        <v>429.37</v>
      </c>
      <c r="F54" s="56" t="n">
        <v>3005.57</v>
      </c>
      <c r="G54" s="58" t="inlineStr">
        <is>
          <t>~</t>
        </is>
      </c>
      <c r="H54" s="56" t="n">
        <v>2.98</v>
      </c>
      <c r="I54" s="55" t="n">
        <v>18.14</v>
      </c>
      <c r="J54" s="42">
        <f>Index!$C$2</f>
        <v/>
      </c>
      <c r="K54" s="43">
        <f>IF(AND( C28="Buy", ISBLANK(W28), B28&lt;&gt;"DIV"), L28/sum(F28:I28), "")</f>
        <v/>
      </c>
      <c r="L54" s="44">
        <f>IF(AND( C28="Buy", ISBLANK(W28), B28&lt;&gt;"DIV"), (1-Index!$F$2*2)*((J28*D28)-(E28*D28)), "")</f>
        <v/>
      </c>
      <c r="M54" s="44">
        <f>IF(AND( C28="Buy", ISBLANK(W28), B28&lt;&gt;"DIV"), ((E28*D28)+L28), "")</f>
        <v/>
      </c>
      <c r="N54" s="45">
        <f>IF(AND( C28="Buy", ISBLANK(W28), B28&lt;&gt;"DIV"), D28, "")</f>
        <v/>
      </c>
      <c r="O54" s="43">
        <f>IF(AND( C28="Buy", ISBLANK(W28), B28&lt;&gt;"DIV", NOW()-A28 &lt; 365), P28/sum(F28:I28), "")</f>
        <v/>
      </c>
      <c r="P54" s="44">
        <f>IF(AND( C28="Buy", ISBLANK(W28), B28&lt;&gt;"DIV", NOW()-A28 &lt; 365), (1-Index!$F$2*2)*((J28*D28)-(E28*D28)), "")</f>
        <v/>
      </c>
      <c r="Q54" s="44">
        <f>IF(AND( C28="Buy", ISBLANK(W28), B28&lt;&gt;"DIV", NOW()-A28 &lt; 365), ((E28*D28)+P28), "")</f>
        <v/>
      </c>
      <c r="R54" s="44">
        <f>IF(AND( C28="Buy", ISBLANK(W28), B28&lt;&gt;"DIV", NOW()-A28 &lt; 365), D28, "")</f>
        <v/>
      </c>
      <c r="S54" s="46">
        <f>IF(AND( C28="Buy", ISBLANK(W28), B28&lt;&gt;"DIV", NOW()-A28 &gt; 365), T28/sum(F28:I28), "")</f>
        <v/>
      </c>
      <c r="T54" s="47">
        <f>IF(AND( C28="Buy", ISBLANK(W28), B28&lt;&gt;"DIV", NOW()-A28 &gt; 365), (1-Index!$F$2*2)*((J28*D28)-(E28*D28)), "")</f>
        <v/>
      </c>
      <c r="U54" s="47">
        <f>IF(AND( C28="Buy", ISBLANK(W28), B28&lt;&gt;"DIV", NOW()-A28 &gt; 365), ((E28*D28)+T28), "")</f>
        <v/>
      </c>
      <c r="V54" s="47">
        <f>IF(AND( C28="Buy", ISBLANK(W28), B28&lt;&gt;"DIV", NOW()-A28 &gt; 365), D28, "")</f>
        <v/>
      </c>
      <c r="W54" s="49" t="n"/>
      <c r="X54" s="49" t="n"/>
      <c r="Y54" s="46">
        <f>IF(AND( C28="Buy", W28&lt;&gt;"", AA28&lt;&gt;"", B28&lt;&gt;"DIV"), Z28/sum(F28:I28), "")</f>
        <v/>
      </c>
      <c r="Z54" s="49" t="n"/>
      <c r="AA54" s="49" t="n"/>
      <c r="AB54" s="50" t="n"/>
      <c r="AC54" s="49">
        <f>if(B28="DIV", F28,"")</f>
        <v/>
      </c>
      <c r="AD54" s="51" t="n"/>
    </row>
    <row r="55">
      <c r="A55" s="53" t="n">
        <v>45699</v>
      </c>
      <c r="B55" s="58" t="inlineStr">
        <is>
          <t>NSE</t>
        </is>
      </c>
      <c r="C55" s="58" t="inlineStr">
        <is>
          <t>Buy</t>
        </is>
      </c>
      <c r="D55" s="55" t="n">
        <v>3</v>
      </c>
      <c r="E55" s="56" t="n">
        <v>429.37</v>
      </c>
      <c r="F55" s="56" t="n">
        <v>1288.11</v>
      </c>
      <c r="G55" s="58" t="inlineStr">
        <is>
          <t>~</t>
        </is>
      </c>
      <c r="H55" s="56" t="n">
        <v>1.28</v>
      </c>
      <c r="I55" s="55" t="n">
        <v>7.78</v>
      </c>
      <c r="J55" s="42">
        <f>Index!$C$2</f>
        <v/>
      </c>
      <c r="K55" s="43">
        <f>IF(AND( C29="Buy", ISBLANK(W29), B29&lt;&gt;"DIV"), L29/sum(F29:I29), "")</f>
        <v/>
      </c>
      <c r="L55" s="44">
        <f>IF(AND( C29="Buy", ISBLANK(W29), B29&lt;&gt;"DIV"), (1-Index!$F$2*2)*((J29*D29)-(E29*D29)), "")</f>
        <v/>
      </c>
      <c r="M55" s="44">
        <f>IF(AND( C29="Buy", ISBLANK(W29), B29&lt;&gt;"DIV"), ((E29*D29)+L29), "")</f>
        <v/>
      </c>
      <c r="N55" s="45">
        <f>IF(AND( C29="Buy", ISBLANK(W29), B29&lt;&gt;"DIV"), D29, "")</f>
        <v/>
      </c>
      <c r="O55" s="43">
        <f>IF(AND( C29="Buy", ISBLANK(W29), B29&lt;&gt;"DIV", NOW()-A29 &lt; 365), P29/sum(F29:I29), "")</f>
        <v/>
      </c>
      <c r="P55" s="44">
        <f>IF(AND( C29="Buy", ISBLANK(W29), B29&lt;&gt;"DIV", NOW()-A29 &lt; 365), (1-Index!$F$2*2)*((J29*D29)-(E29*D29)), "")</f>
        <v/>
      </c>
      <c r="Q55" s="44">
        <f>IF(AND( C29="Buy", ISBLANK(W29), B29&lt;&gt;"DIV", NOW()-A29 &lt; 365), ((E29*D29)+P29), "")</f>
        <v/>
      </c>
      <c r="R55" s="44">
        <f>IF(AND( C29="Buy", ISBLANK(W29), B29&lt;&gt;"DIV", NOW()-A29 &lt; 365), D29, "")</f>
        <v/>
      </c>
      <c r="S55" s="46">
        <f>IF(AND( C29="Buy", ISBLANK(W29), B29&lt;&gt;"DIV", NOW()-A29 &gt; 365), T29/sum(F29:I29), "")</f>
        <v/>
      </c>
      <c r="T55" s="47">
        <f>IF(AND( C29="Buy", ISBLANK(W29), B29&lt;&gt;"DIV", NOW()-A29 &gt; 365), (1-Index!$F$2*2)*((J29*D29)-(E29*D29)), "")</f>
        <v/>
      </c>
      <c r="U55" s="47">
        <f>IF(AND( C29="Buy", ISBLANK(W29), B29&lt;&gt;"DIV", NOW()-A29 &gt; 365), ((E29*D29)+T29), "")</f>
        <v/>
      </c>
      <c r="V55" s="47">
        <f>IF(AND( C29="Buy", ISBLANK(W29), B29&lt;&gt;"DIV", NOW()-A29 &gt; 365), D29, "")</f>
        <v/>
      </c>
      <c r="W55" s="49" t="n"/>
      <c r="X55" s="49" t="n"/>
      <c r="Y55" s="46">
        <f>IF(AND( C29="Buy", W29&lt;&gt;"", AA29&lt;&gt;"", B29&lt;&gt;"DIV"), Z29/sum(F29:I29), "")</f>
        <v/>
      </c>
      <c r="Z55" s="49" t="n"/>
      <c r="AA55" s="49" t="n"/>
      <c r="AB55" s="50" t="n"/>
      <c r="AC55" s="49">
        <f>if(B29="DIV", F29,"")</f>
        <v/>
      </c>
      <c r="AD55" s="51" t="n"/>
    </row>
    <row r="56">
      <c r="A56" s="53" t="n">
        <v>45694</v>
      </c>
      <c r="B56" s="58" t="inlineStr">
        <is>
          <t>NSE</t>
        </is>
      </c>
      <c r="C56" s="58" t="inlineStr">
        <is>
          <t>Buy</t>
        </is>
      </c>
      <c r="D56" s="55" t="n">
        <v>10</v>
      </c>
      <c r="E56" s="56" t="n">
        <v>442.26</v>
      </c>
      <c r="F56" s="56" t="n">
        <v>4422.65</v>
      </c>
      <c r="G56" s="58" t="inlineStr">
        <is>
          <t>~</t>
        </is>
      </c>
      <c r="H56" s="56" t="n">
        <v>4.38</v>
      </c>
      <c r="I56" s="55" t="n">
        <v>26.77</v>
      </c>
      <c r="J56" s="42">
        <f>Index!$C$2</f>
        <v/>
      </c>
      <c r="K56" s="43">
        <f>IF(AND( C30="Buy", ISBLANK(W30), B30&lt;&gt;"DIV"), L30/sum(F30:I30), "")</f>
        <v/>
      </c>
      <c r="L56" s="44">
        <f>IF(AND( C30="Buy", ISBLANK(W30), B30&lt;&gt;"DIV"), (1-Index!$F$2*2)*((J30*D30)-(E30*D30)), "")</f>
        <v/>
      </c>
      <c r="M56" s="44">
        <f>IF(AND( C30="Buy", ISBLANK(W30), B30&lt;&gt;"DIV"), ((E30*D30)+L30), "")</f>
        <v/>
      </c>
      <c r="N56" s="45">
        <f>IF(AND( C30="Buy", ISBLANK(W30), B30&lt;&gt;"DIV"), D30, "")</f>
        <v/>
      </c>
      <c r="O56" s="43">
        <f>IF(AND( C30="Buy", ISBLANK(W30), B30&lt;&gt;"DIV", NOW()-A30 &lt; 365), P30/sum(F30:I30), "")</f>
        <v/>
      </c>
      <c r="P56" s="44">
        <f>IF(AND( C30="Buy", ISBLANK(W30), B30&lt;&gt;"DIV", NOW()-A30 &lt; 365), (1-Index!$F$2*2)*((J30*D30)-(E30*D30)), "")</f>
        <v/>
      </c>
      <c r="Q56" s="44">
        <f>IF(AND( C30="Buy", ISBLANK(W30), B30&lt;&gt;"DIV", NOW()-A30 &lt; 365), ((E30*D30)+P30), "")</f>
        <v/>
      </c>
      <c r="R56" s="44">
        <f>IF(AND( C30="Buy", ISBLANK(W30), B30&lt;&gt;"DIV", NOW()-A30 &lt; 365), D30, "")</f>
        <v/>
      </c>
      <c r="S56" s="46">
        <f>IF(AND( C30="Buy", ISBLANK(W30), B30&lt;&gt;"DIV", NOW()-A30 &gt; 365), T30/sum(F30:I30), "")</f>
        <v/>
      </c>
      <c r="T56" s="47">
        <f>IF(AND( C30="Buy", ISBLANK(W30), B30&lt;&gt;"DIV", NOW()-A30 &gt; 365), (1-Index!$F$2*2)*((J30*D30)-(E30*D30)), "")</f>
        <v/>
      </c>
      <c r="U56" s="47">
        <f>IF(AND( C30="Buy", ISBLANK(W30), B30&lt;&gt;"DIV", NOW()-A30 &gt; 365), ((E30*D30)+T30), "")</f>
        <v/>
      </c>
      <c r="V56" s="47">
        <f>IF(AND( C30="Buy", ISBLANK(W30), B30&lt;&gt;"DIV", NOW()-A30 &gt; 365), D30, "")</f>
        <v/>
      </c>
      <c r="W56" s="49" t="n"/>
      <c r="X56" s="49" t="n"/>
      <c r="Y56" s="46">
        <f>IF(AND( C30="Buy", W30&lt;&gt;"", AA30&lt;&gt;"", B30&lt;&gt;"DIV"), Z30/sum(F30:I30), "")</f>
        <v/>
      </c>
      <c r="Z56" s="49" t="n"/>
      <c r="AA56" s="49" t="n"/>
      <c r="AB56" s="50" t="n"/>
      <c r="AC56" s="49">
        <f>if(B30="DIV", F30,"")</f>
        <v/>
      </c>
      <c r="AD56" s="51" t="n"/>
    </row>
    <row r="57">
      <c r="A57" s="53" t="n">
        <v>45565</v>
      </c>
      <c r="B57" s="58" t="inlineStr">
        <is>
          <t>NSE</t>
        </is>
      </c>
      <c r="C57" s="58" t="inlineStr">
        <is>
          <t>Sell</t>
        </is>
      </c>
      <c r="D57" s="55" t="n">
        <v>100</v>
      </c>
      <c r="E57" s="56" t="n">
        <v>519.08</v>
      </c>
      <c r="F57" s="56" t="n">
        <v>51907.59</v>
      </c>
      <c r="G57" s="58" t="n"/>
      <c r="H57" s="56" t="n">
        <v>52.32</v>
      </c>
      <c r="I57" s="55" t="n">
        <v>310.09</v>
      </c>
      <c r="J57" s="42">
        <f>Index!$C$2</f>
        <v/>
      </c>
      <c r="K57" s="43">
        <f>IF(AND( C31="Buy", ISBLANK(W31), B31&lt;&gt;"DIV"), L31/sum(F31:I31), "")</f>
        <v/>
      </c>
      <c r="L57" s="44">
        <f>IF(AND( C31="Buy", ISBLANK(W31), B31&lt;&gt;"DIV"), (1-Index!$F$2*2)*((J31*D31)-(E31*D31)), "")</f>
        <v/>
      </c>
      <c r="M57" s="44">
        <f>IF(AND( C31="Buy", ISBLANK(W31), B31&lt;&gt;"DIV"), ((E31*D31)+L31), "")</f>
        <v/>
      </c>
      <c r="N57" s="45">
        <f>IF(AND( C31="Buy", ISBLANK(W31), B31&lt;&gt;"DIV"), D31, "")</f>
        <v/>
      </c>
      <c r="O57" s="43">
        <f>IF(AND( C31="Buy", ISBLANK(W31), B31&lt;&gt;"DIV", NOW()-A31 &lt; 365), P31/sum(F31:I31), "")</f>
        <v/>
      </c>
      <c r="P57" s="44">
        <f>IF(AND( C31="Buy", ISBLANK(W31), B31&lt;&gt;"DIV", NOW()-A31 &lt; 365), (1-Index!$F$2*2)*((J31*D31)-(E31*D31)), "")</f>
        <v/>
      </c>
      <c r="Q57" s="44">
        <f>IF(AND( C31="Buy", ISBLANK(W31), B31&lt;&gt;"DIV", NOW()-A31 &lt; 365), ((E31*D31)+P31), "")</f>
        <v/>
      </c>
      <c r="R57" s="44">
        <f>IF(AND( C31="Buy", ISBLANK(W31), B31&lt;&gt;"DIV", NOW()-A31 &lt; 365), D31, "")</f>
        <v/>
      </c>
      <c r="S57" s="46">
        <f>IF(AND( C31="Buy", ISBLANK(W31), B31&lt;&gt;"DIV", NOW()-A31 &gt; 365), T31/sum(F31:I31), "")</f>
        <v/>
      </c>
      <c r="T57" s="47">
        <f>IF(AND( C31="Buy", ISBLANK(W31), B31&lt;&gt;"DIV", NOW()-A31 &gt; 365), (1-Index!$F$2*2)*((J31*D31)-(E31*D31)), "")</f>
        <v/>
      </c>
      <c r="U57" s="47">
        <f>IF(AND( C31="Buy", ISBLANK(W31), B31&lt;&gt;"DIV", NOW()-A31 &gt; 365), ((E31*D31)+T31), "")</f>
        <v/>
      </c>
      <c r="V57" s="47">
        <f>IF(AND( C31="Buy", ISBLANK(W31), B31&lt;&gt;"DIV", NOW()-A31 &gt; 365), D31, "")</f>
        <v/>
      </c>
      <c r="W57" s="49" t="n"/>
      <c r="X57" s="49" t="n"/>
      <c r="Y57" s="46">
        <f>IF(AND( C31="Buy", W31&lt;&gt;"", AA31&lt;&gt;"", B31&lt;&gt;"DIV"), Z31/sum(F31:I31), "")</f>
        <v/>
      </c>
      <c r="Z57" s="49" t="n"/>
      <c r="AA57" s="49" t="n"/>
      <c r="AB57" s="50" t="n"/>
      <c r="AC57" s="49">
        <f>if(B31="DIV", F31,"")</f>
        <v/>
      </c>
      <c r="AD57" s="51" t="n"/>
    </row>
    <row r="58">
      <c r="A58" s="53" t="n">
        <v>45447</v>
      </c>
      <c r="B58" s="58" t="inlineStr">
        <is>
          <t>DIV</t>
        </is>
      </c>
      <c r="C58" s="58" t="inlineStr">
        <is>
          <t>Buy</t>
        </is>
      </c>
      <c r="D58" s="55" t="n">
        <v>110</v>
      </c>
      <c r="E58" s="56" t="n">
        <v>7.5</v>
      </c>
      <c r="F58" s="56" t="n">
        <v>825</v>
      </c>
      <c r="G58" s="58" t="inlineStr">
        <is>
          <t>Final-Dividend of Rs.7.5000/- per share on Ex-Date: 04-JUN-2024</t>
        </is>
      </c>
      <c r="H58" s="56" t="n">
        <v>0</v>
      </c>
      <c r="I58" s="55" t="n">
        <v>0</v>
      </c>
      <c r="J58" s="42">
        <f>Index!$C$2</f>
        <v/>
      </c>
      <c r="K58" s="43">
        <f>IF(AND( C32="Buy", ISBLANK(W32), B32&lt;&gt;"DIV"), L32/sum(F32:I32), "")</f>
        <v/>
      </c>
      <c r="L58" s="44">
        <f>IF(AND( C32="Buy", ISBLANK(W32), B32&lt;&gt;"DIV"), (1-Index!$F$2*2)*((J32*D32)-(E32*D32)), "")</f>
        <v/>
      </c>
      <c r="M58" s="44">
        <f>IF(AND( C32="Buy", ISBLANK(W32), B32&lt;&gt;"DIV"), ((E32*D32)+L32), "")</f>
        <v/>
      </c>
      <c r="N58" s="45">
        <f>IF(AND( C32="Buy", ISBLANK(W32), B32&lt;&gt;"DIV"), D32, "")</f>
        <v/>
      </c>
      <c r="O58" s="43">
        <f>IF(AND( C32="Buy", ISBLANK(W32), B32&lt;&gt;"DIV", NOW()-A32 &lt; 365), P32/sum(F32:I32), "")</f>
        <v/>
      </c>
      <c r="P58" s="44">
        <f>IF(AND( C32="Buy", ISBLANK(W32), B32&lt;&gt;"DIV", NOW()-A32 &lt; 365), (1-Index!$F$2*2)*((J32*D32)-(E32*D32)), "")</f>
        <v/>
      </c>
      <c r="Q58" s="44">
        <f>IF(AND( C32="Buy", ISBLANK(W32), B32&lt;&gt;"DIV", NOW()-A32 &lt; 365), ((E32*D32)+P32), "")</f>
        <v/>
      </c>
      <c r="R58" s="44">
        <f>IF(AND( C32="Buy", ISBLANK(W32), B32&lt;&gt;"DIV", NOW()-A32 &lt; 365), D32, "")</f>
        <v/>
      </c>
      <c r="S58" s="46">
        <f>IF(AND( C32="Buy", ISBLANK(W32), B32&lt;&gt;"DIV", NOW()-A32 &gt; 365), T32/sum(F32:I32), "")</f>
        <v/>
      </c>
      <c r="T58" s="47">
        <f>IF(AND( C32="Buy", ISBLANK(W32), B32&lt;&gt;"DIV", NOW()-A32 &gt; 365), (1-Index!$F$2*2)*((J32*D32)-(E32*D32)), "")</f>
        <v/>
      </c>
      <c r="U58" s="47">
        <f>IF(AND( C32="Buy", ISBLANK(W32), B32&lt;&gt;"DIV", NOW()-A32 &gt; 365), ((E32*D32)+T32), "")</f>
        <v/>
      </c>
      <c r="V58" s="47">
        <f>IF(AND( C32="Buy", ISBLANK(W32), B32&lt;&gt;"DIV", NOW()-A32 &gt; 365), D32, "")</f>
        <v/>
      </c>
      <c r="W58" s="49" t="n"/>
      <c r="X58" s="49" t="n"/>
      <c r="Y58" s="46">
        <f>IF(AND( C32="Buy", W32&lt;&gt;"", AA32&lt;&gt;"", B32&lt;&gt;"DIV"), Z32/sum(F32:I32), "")</f>
        <v/>
      </c>
      <c r="Z58" s="49" t="n"/>
      <c r="AA58" s="49" t="n"/>
      <c r="AB58" s="50" t="n"/>
      <c r="AC58" s="49">
        <f>if(B32="DIV", F32,"")</f>
        <v/>
      </c>
      <c r="AD58" s="59" t="inlineStr">
        <is>
          <t>SBI Securities</t>
        </is>
      </c>
    </row>
    <row r="59">
      <c r="A59" s="53" t="n">
        <v>45378</v>
      </c>
      <c r="B59" s="58" t="inlineStr">
        <is>
          <t>NSE</t>
        </is>
      </c>
      <c r="C59" s="58" t="inlineStr">
        <is>
          <t>Buy</t>
        </is>
      </c>
      <c r="D59" s="55" t="n">
        <v>10</v>
      </c>
      <c r="E59" s="56" t="n">
        <v>431.08</v>
      </c>
      <c r="F59" s="56" t="n">
        <v>4310.82</v>
      </c>
      <c r="G59" s="58" t="inlineStr">
        <is>
          <t>~</t>
        </is>
      </c>
      <c r="H59" s="56" t="n">
        <v>4.27</v>
      </c>
      <c r="I59" s="55" t="n">
        <v>26.05</v>
      </c>
      <c r="J59" s="42">
        <f>Index!$C$2</f>
        <v/>
      </c>
      <c r="K59" s="43">
        <f>IF(AND( C33="Buy", ISBLANK(W33), B33&lt;&gt;"DIV"), L33/sum(F33:I33), "")</f>
        <v/>
      </c>
      <c r="L59" s="44">
        <f>IF(AND( C33="Buy", ISBLANK(W33), B33&lt;&gt;"DIV"), (1-Index!$F$2*2)*((J33*D33)-(E33*D33)), "")</f>
        <v/>
      </c>
      <c r="M59" s="44">
        <f>IF(AND( C33="Buy", ISBLANK(W33), B33&lt;&gt;"DIV"), ((E33*D33)+L33), "")</f>
        <v/>
      </c>
      <c r="N59" s="45">
        <f>IF(AND( C33="Buy", ISBLANK(W33), B33&lt;&gt;"DIV"), D33, "")</f>
        <v/>
      </c>
      <c r="O59" s="43">
        <f>IF(AND( C33="Buy", ISBLANK(W33), B33&lt;&gt;"DIV", NOW()-A33 &lt; 365), P33/sum(F33:I33), "")</f>
        <v/>
      </c>
      <c r="P59" s="44">
        <f>IF(AND( C33="Buy", ISBLANK(W33), B33&lt;&gt;"DIV", NOW()-A33 &lt; 365), (1-Index!$F$2*2)*((J33*D33)-(E33*D33)), "")</f>
        <v/>
      </c>
      <c r="Q59" s="44">
        <f>IF(AND( C33="Buy", ISBLANK(W33), B33&lt;&gt;"DIV", NOW()-A33 &lt; 365), ((E33*D33)+P33), "")</f>
        <v/>
      </c>
      <c r="R59" s="44">
        <f>IF(AND( C33="Buy", ISBLANK(W33), B33&lt;&gt;"DIV", NOW()-A33 &lt; 365), D33, "")</f>
        <v/>
      </c>
      <c r="S59" s="46">
        <f>IF(AND( C33="Buy", ISBLANK(W33), B33&lt;&gt;"DIV", NOW()-A33 &gt; 365), T33/sum(F33:I33), "")</f>
        <v/>
      </c>
      <c r="T59" s="47">
        <f>IF(AND( C33="Buy", ISBLANK(W33), B33&lt;&gt;"DIV", NOW()-A33 &gt; 365), (1-Index!$F$2*2)*((J33*D33)-(E33*D33)), "")</f>
        <v/>
      </c>
      <c r="U59" s="47">
        <f>IF(AND( C33="Buy", ISBLANK(W33), B33&lt;&gt;"DIV", NOW()-A33 &gt; 365), ((E33*D33)+T33), "")</f>
        <v/>
      </c>
      <c r="V59" s="47">
        <f>IF(AND( C33="Buy", ISBLANK(W33), B33&lt;&gt;"DIV", NOW()-A33 &gt; 365), D33, "")</f>
        <v/>
      </c>
      <c r="W59" s="49" t="n"/>
      <c r="X59" s="49" t="n"/>
      <c r="Y59" s="46">
        <f>IF(AND( C33="Buy", W33&lt;&gt;"", AA33&lt;&gt;"", B33&lt;&gt;"DIV"), Z33/sum(F33:I33), "")</f>
        <v/>
      </c>
      <c r="Z59" s="49" t="n"/>
      <c r="AA59" s="49" t="n"/>
      <c r="AB59" s="50" t="n"/>
      <c r="AC59" s="49">
        <f>if(B33="DIV", F33,"")</f>
        <v/>
      </c>
      <c r="AD59" s="59" t="inlineStr">
        <is>
          <t>SBI Securities</t>
        </is>
      </c>
    </row>
    <row r="60">
      <c r="A60" s="53" t="n">
        <v>45378</v>
      </c>
      <c r="B60" s="58" t="inlineStr">
        <is>
          <t>NSE</t>
        </is>
      </c>
      <c r="C60" s="58" t="inlineStr">
        <is>
          <t>Buy</t>
        </is>
      </c>
      <c r="D60" s="55" t="n">
        <v>10</v>
      </c>
      <c r="E60" s="56" t="n">
        <v>431.13</v>
      </c>
      <c r="F60" s="56" t="n">
        <v>4311.33</v>
      </c>
      <c r="G60" s="58" t="inlineStr">
        <is>
          <t>~</t>
        </is>
      </c>
      <c r="H60" s="56" t="n">
        <v>4.27</v>
      </c>
      <c r="I60" s="55" t="n">
        <v>26.06</v>
      </c>
      <c r="J60" s="42">
        <f>Index!$C$2</f>
        <v/>
      </c>
      <c r="K60" s="49" t="n"/>
      <c r="L60" s="49">
        <f>IF(AND( C34="Buy", ISBLANK(W34), B34&lt;&gt;"DIV"), (1-Index!$F$2*2)*((J34*D34)-(E34*D34)), "")</f>
        <v/>
      </c>
      <c r="M60" s="60">
        <f>IF(AND( C34="Buy", ISBLANK(W34), B34&lt;&gt;"DIV"), ((E34*D34)+L34), "")</f>
        <v/>
      </c>
      <c r="N60" s="61">
        <f>IF(AND( C34="Buy", ISBLANK(W34), B34&lt;&gt;"DIV"), D34, "")</f>
        <v/>
      </c>
      <c r="O60" s="62" t="n"/>
      <c r="P60" s="49">
        <f>IF(AND( C34="Buy", ISBLANK(W34), B34&lt;&gt;"DIV", NOW()-A34 &lt; 365), (1-Index!$F$2*2)*((J34*D34)-(E34*D34)), "")</f>
        <v/>
      </c>
      <c r="Q60" s="60">
        <f>IF(AND( C34="Buy", ISBLANK(W34), B34&lt;&gt;"DIV", NOW()-A34 &lt; 365), ((E34*D34)+P34), "")</f>
        <v/>
      </c>
      <c r="R60" s="61">
        <f>IF(AND( C34="Buy", ISBLANK(W34), B34&lt;&gt;"DIV", NOW()-A34 &lt; 365), D34, "")</f>
        <v/>
      </c>
      <c r="S60" s="63" t="n"/>
      <c r="T60" s="63">
        <f>IF(AND( C34="Buy", ISBLANK(W34), B34&lt;&gt;"DIV", NOW()-A34 &gt; 365), (J34*D34)-(E34*D34)-(2*sum(H34:I34)), "")</f>
        <v/>
      </c>
      <c r="U60" s="63">
        <f>IF(AND( C34="Buy", ISBLANK(W34), B34&lt;&gt;"DIV", NOW()-A34 &gt; 365), ((E34*D34)+T34), "")</f>
        <v/>
      </c>
      <c r="V60" s="63">
        <f>IF(AND( C34="Buy", ISBLANK(W34), B34&lt;&gt;"DIV", NOW()-A34 &gt; 365), D34, "")</f>
        <v/>
      </c>
      <c r="W60" s="56" t="n">
        <v>519.08</v>
      </c>
      <c r="X60" s="53" t="n">
        <v>45565</v>
      </c>
      <c r="Y60" s="46" t="n">
        <v>0.199736276</v>
      </c>
      <c r="Z60" s="49" t="n">
        <v>867.187</v>
      </c>
      <c r="AA60" s="49" t="n">
        <v>5178.487</v>
      </c>
      <c r="AB60" s="50" t="n">
        <v>10</v>
      </c>
      <c r="AC60" s="49">
        <f>if(B34="DIV", F34,"")</f>
        <v/>
      </c>
      <c r="AD60" s="59" t="inlineStr">
        <is>
          <t>SBI Securities</t>
        </is>
      </c>
    </row>
    <row r="61">
      <c r="A61" s="53" t="n">
        <v>45364</v>
      </c>
      <c r="B61" s="58" t="inlineStr">
        <is>
          <t>NSE</t>
        </is>
      </c>
      <c r="C61" s="58" t="inlineStr">
        <is>
          <t>Buy</t>
        </is>
      </c>
      <c r="D61" s="55" t="n">
        <v>20</v>
      </c>
      <c r="E61" s="56" t="n">
        <v>430.03</v>
      </c>
      <c r="F61" s="56" t="n">
        <v>8600.65</v>
      </c>
      <c r="G61" s="58" t="inlineStr">
        <is>
          <t>~</t>
        </is>
      </c>
      <c r="H61" s="56" t="n">
        <v>8.51</v>
      </c>
      <c r="I61" s="55" t="n">
        <v>52.14</v>
      </c>
      <c r="J61" s="42">
        <f>Index!$C$2</f>
        <v/>
      </c>
      <c r="K61" s="49" t="n"/>
      <c r="L61" s="49">
        <f>IF(AND( C35="Buy", ISBLANK(W35), B35&lt;&gt;"DIV"), (1-Index!$F$2*2)*((J35*D35)-(E35*D35)), "")</f>
        <v/>
      </c>
      <c r="M61" s="60">
        <f>IF(AND( C35="Buy", ISBLANK(W35), B35&lt;&gt;"DIV"), ((E35*D35)+L35), "")</f>
        <v/>
      </c>
      <c r="N61" s="61">
        <f>IF(AND( C35="Buy", ISBLANK(W35), B35&lt;&gt;"DIV"), D35, "")</f>
        <v/>
      </c>
      <c r="O61" s="62" t="n"/>
      <c r="P61" s="49">
        <f>IF(AND( C35="Buy", ISBLANK(W35), B35&lt;&gt;"DIV", NOW()-A35 &lt; 365), (1-Index!$F$2*2)*((J35*D35)-(E35*D35)), "")</f>
        <v/>
      </c>
      <c r="Q61" s="60">
        <f>IF(AND( C35="Buy", ISBLANK(W35), B35&lt;&gt;"DIV", NOW()-A35 &lt; 365), ((E35*D35)+P35), "")</f>
        <v/>
      </c>
      <c r="R61" s="61">
        <f>IF(AND( C35="Buy", ISBLANK(W35), B35&lt;&gt;"DIV", NOW()-A35 &lt; 365), D35, "")</f>
        <v/>
      </c>
      <c r="S61" s="63" t="n"/>
      <c r="T61" s="63">
        <f>IF(AND( C35="Buy", ISBLANK(W35), B35&lt;&gt;"DIV", NOW()-A35 &gt; 365), (J35*D35)-(E35*D35)-(2*sum(H35:I35)), "")</f>
        <v/>
      </c>
      <c r="U61" s="63">
        <f>IF(AND( C35="Buy", ISBLANK(W35), B35&lt;&gt;"DIV", NOW()-A35 &gt; 365), ((E35*D35)+T35), "")</f>
        <v/>
      </c>
      <c r="V61" s="63">
        <f>IF(AND( C35="Buy", ISBLANK(W35), B35&lt;&gt;"DIV", NOW()-A35 &gt; 365), D35, "")</f>
        <v/>
      </c>
      <c r="W61" s="56" t="n">
        <v>519.08</v>
      </c>
      <c r="X61" s="53" t="n">
        <v>45565</v>
      </c>
      <c r="Y61" s="46" t="n">
        <v>0.2027485481</v>
      </c>
      <c r="Z61" s="49" t="n">
        <v>1756.066</v>
      </c>
      <c r="AA61" s="49" t="n">
        <v>10356.666</v>
      </c>
      <c r="AB61" s="50" t="n">
        <v>20</v>
      </c>
      <c r="AC61" s="49">
        <f>if(B35="DIV", F35,"")</f>
        <v/>
      </c>
      <c r="AD61" s="59" t="inlineStr">
        <is>
          <t>SBI Securities</t>
        </is>
      </c>
    </row>
    <row r="62">
      <c r="A62" s="53" t="n">
        <v>45363</v>
      </c>
      <c r="B62" s="58" t="inlineStr">
        <is>
          <t>NSE</t>
        </is>
      </c>
      <c r="C62" s="58" t="inlineStr">
        <is>
          <t>Buy</t>
        </is>
      </c>
      <c r="D62" s="55" t="n">
        <v>30</v>
      </c>
      <c r="E62" s="56" t="n">
        <v>404.3</v>
      </c>
      <c r="F62" s="56" t="n">
        <v>12128.86</v>
      </c>
      <c r="G62" s="58" t="inlineStr">
        <is>
          <t>~</t>
        </is>
      </c>
      <c r="H62" s="56" t="n">
        <v>11.92</v>
      </c>
      <c r="I62" s="55" t="n">
        <v>73.44</v>
      </c>
      <c r="J62" s="42">
        <f>Index!$C$2</f>
        <v/>
      </c>
      <c r="K62" s="49" t="n"/>
      <c r="L62" s="49">
        <f>IF(AND( C36="Buy", ISBLANK(W36), B36&lt;&gt;"DIV"), (1-Index!$F$2*2)*((J36*D36)-(E36*D36)), "")</f>
        <v/>
      </c>
      <c r="M62" s="60">
        <f>IF(AND( C36="Buy", ISBLANK(W36), B36&lt;&gt;"DIV"), ((E36*D36)+L36), "")</f>
        <v/>
      </c>
      <c r="N62" s="61">
        <f>IF(AND( C36="Buy", ISBLANK(W36), B36&lt;&gt;"DIV"), D36, "")</f>
        <v/>
      </c>
      <c r="O62" s="62" t="n"/>
      <c r="P62" s="49">
        <f>IF(AND( C36="Buy", ISBLANK(W36), B36&lt;&gt;"DIV", NOW()-A36 &lt; 365), (1-Index!$F$2*2)*((J36*D36)-(E36*D36)), "")</f>
        <v/>
      </c>
      <c r="Q62" s="60">
        <f>IF(AND( C36="Buy", ISBLANK(W36), B36&lt;&gt;"DIV", NOW()-A36 &lt; 365), ((E36*D36)+P36), "")</f>
        <v/>
      </c>
      <c r="R62" s="61">
        <f>IF(AND( C36="Buy", ISBLANK(W36), B36&lt;&gt;"DIV", NOW()-A36 &lt; 365), D36, "")</f>
        <v/>
      </c>
      <c r="S62" s="63" t="n"/>
      <c r="T62" s="63">
        <f>IF(AND( C36="Buy", ISBLANK(W36), B36&lt;&gt;"DIV", NOW()-A36 &gt; 365), (J36*D36)-(E36*D36)-(2*sum(H36:I36)), "")</f>
        <v/>
      </c>
      <c r="U62" s="63">
        <f>IF(AND( C36="Buy", ISBLANK(W36), B36&lt;&gt;"DIV", NOW()-A36 &gt; 365), ((E36*D36)+T36), "")</f>
        <v/>
      </c>
      <c r="V62" s="63">
        <f>IF(AND( C36="Buy", ISBLANK(W36), B36&lt;&gt;"DIV", NOW()-A36 &gt; 365), D36, "")</f>
        <v/>
      </c>
      <c r="W62" s="56" t="n">
        <v>519.08</v>
      </c>
      <c r="X62" s="53" t="n">
        <v>45565</v>
      </c>
      <c r="Y62" s="46" t="n">
        <v>0.2779704639</v>
      </c>
      <c r="Z62" s="49" t="n">
        <v>3395.1924</v>
      </c>
      <c r="AA62" s="49" t="n">
        <v>15524.1924</v>
      </c>
      <c r="AB62" s="50" t="n">
        <v>30</v>
      </c>
      <c r="AC62" s="49">
        <f>if(B36="DIV", F36,"")</f>
        <v/>
      </c>
      <c r="AD62" s="59" t="inlineStr">
        <is>
          <t>SBI Securities</t>
        </is>
      </c>
    </row>
    <row r="63">
      <c r="A63" s="53" t="n">
        <v>45358</v>
      </c>
      <c r="B63" s="58" t="inlineStr">
        <is>
          <t>NSE</t>
        </is>
      </c>
      <c r="C63" s="58" t="inlineStr">
        <is>
          <t>Buy</t>
        </is>
      </c>
      <c r="D63" s="55" t="n">
        <v>20</v>
      </c>
      <c r="E63" s="56" t="n">
        <v>409.3</v>
      </c>
      <c r="F63" s="56" t="n">
        <v>8185.9</v>
      </c>
      <c r="G63" s="58" t="inlineStr">
        <is>
          <t>~</t>
        </is>
      </c>
      <c r="H63" s="56" t="n">
        <v>8.27</v>
      </c>
      <c r="I63" s="55" t="n">
        <v>49.63</v>
      </c>
      <c r="J63" s="42">
        <f>Index!$C$2</f>
        <v/>
      </c>
      <c r="K63" s="49" t="n"/>
      <c r="L63" s="49">
        <f>IF(AND( C37="Buy", ISBLANK(W37), B37&lt;&gt;"DIV"), (1-Index!$F$2*2)*((J37*D37)-(E37*D37)), "")</f>
        <v/>
      </c>
      <c r="M63" s="60">
        <f>IF(AND( C37="Buy", ISBLANK(W37), B37&lt;&gt;"DIV"), ((E37*D37)+L37), "")</f>
        <v/>
      </c>
      <c r="N63" s="61">
        <f>IF(AND( C37="Buy", ISBLANK(W37), B37&lt;&gt;"DIV"), D37, "")</f>
        <v/>
      </c>
      <c r="O63" s="62" t="n"/>
      <c r="P63" s="49">
        <f>IF(AND( C37="Buy", ISBLANK(W37), B37&lt;&gt;"DIV", NOW()-A37 &lt; 365), (1-Index!$F$2*2)*((J37*D37)-(E37*D37)), "")</f>
        <v/>
      </c>
      <c r="Q63" s="60">
        <f>IF(AND( C37="Buy", ISBLANK(W37), B37&lt;&gt;"DIV", NOW()-A37 &lt; 365), ((E37*D37)+P37), "")</f>
        <v/>
      </c>
      <c r="R63" s="61">
        <f>IF(AND( C37="Buy", ISBLANK(W37), B37&lt;&gt;"DIV", NOW()-A37 &lt; 365), D37, "")</f>
        <v/>
      </c>
      <c r="S63" s="63" t="n"/>
      <c r="T63" s="63">
        <f>IF(AND( C37="Buy", ISBLANK(W37), B37&lt;&gt;"DIV", NOW()-A37 &gt; 365), (J37*D37)-(E37*D37)-(2*sum(H37:I37)), "")</f>
        <v/>
      </c>
      <c r="U63" s="63">
        <f>IF(AND( C37="Buy", ISBLANK(W37), B37&lt;&gt;"DIV", NOW()-A37 &gt; 365), ((E37*D37)+T37), "")</f>
        <v/>
      </c>
      <c r="V63" s="61">
        <f>IF(AND( C37="Buy", ISBLANK(W37), B37&lt;&gt;"DIV", NOW()-A37 &gt; 365), D37, "")</f>
        <v/>
      </c>
      <c r="W63" s="56" t="n">
        <v>519.08</v>
      </c>
      <c r="X63" s="53" t="n">
        <v>45565</v>
      </c>
      <c r="Y63" s="46" t="n">
        <v>0.2626048182</v>
      </c>
      <c r="Z63" s="49" t="n">
        <v>2164.8616</v>
      </c>
      <c r="AA63" s="49" t="n">
        <v>10350.8616</v>
      </c>
      <c r="AB63" s="50" t="n">
        <v>20</v>
      </c>
      <c r="AC63" s="49">
        <f>if(B37="DIV", F37,"")</f>
        <v/>
      </c>
      <c r="AD63" s="59" t="inlineStr">
        <is>
          <t>SBI Securities</t>
        </is>
      </c>
    </row>
    <row r="64">
      <c r="A64" s="53" t="n">
        <v>45330</v>
      </c>
      <c r="B64" s="58" t="inlineStr">
        <is>
          <t>DIV</t>
        </is>
      </c>
      <c r="C64" s="58" t="inlineStr">
        <is>
          <t>Buy</t>
        </is>
      </c>
      <c r="D64" s="55" t="n">
        <v>20</v>
      </c>
      <c r="E64" s="56" t="n">
        <v>6.25</v>
      </c>
      <c r="F64" s="56" t="n">
        <v>125</v>
      </c>
      <c r="G64" s="58" t="inlineStr">
        <is>
          <t>Interim-Dividend of Rs.6.2500/- per share on Ex-Date: 08-FEB-2024</t>
        </is>
      </c>
      <c r="H64" s="56" t="n">
        <v>0</v>
      </c>
      <c r="I64" s="55" t="n">
        <v>0</v>
      </c>
      <c r="J64" s="42">
        <f>Index!$C$2</f>
        <v/>
      </c>
      <c r="K64" s="49" t="n"/>
      <c r="L64" s="49">
        <f>IF(AND( C38="Buy", ISBLANK(W38), B38&lt;&gt;"DIV"), (1-Index!$F$2*2)*((J38*D38)-(E38*D38)), "")</f>
        <v/>
      </c>
      <c r="M64" s="60">
        <f>IF(AND( C38="Buy", ISBLANK(W38), B38&lt;&gt;"DIV"), ((E38*D38)+L38), "")</f>
        <v/>
      </c>
      <c r="N64" s="61">
        <f>IF(AND( C38="Buy", ISBLANK(W38), B38&lt;&gt;"DIV"), D38, "")</f>
        <v/>
      </c>
      <c r="O64" s="62" t="n"/>
      <c r="P64" s="49">
        <f>IF(AND( C38="Buy", ISBLANK(W38), B38&lt;&gt;"DIV", NOW()-A38 &lt; 365), (1-Index!$F$2*2)*((J38*D38)-(E38*D38)), "")</f>
        <v/>
      </c>
      <c r="Q64" s="60">
        <f>IF(AND( C38="Buy", ISBLANK(W38), B38&lt;&gt;"DIV", NOW()-A38 &lt; 365), ((E38*D38)+P38), "")</f>
        <v/>
      </c>
      <c r="R64" s="60">
        <f>IF(AND( C38="Buy", ISBLANK(W38), B38&lt;&gt;"DIV", NOW()-A38 &lt; 365), D38, "")</f>
        <v/>
      </c>
      <c r="S64" s="63" t="n"/>
      <c r="T64" s="63">
        <f>IF(AND( C38="Buy", ISBLANK(W38), B38&lt;&gt;"DIV", NOW()-A38 &gt; 365), (J38*D38)-(E38*D38)-(2*sum(H38:I38)), "")</f>
        <v/>
      </c>
      <c r="U64" s="63">
        <f>IF(AND( C38="Buy", ISBLANK(W38), B38&lt;&gt;"DIV", NOW()-A38 &gt; 365), ((E38*D38)+T38), "")</f>
        <v/>
      </c>
      <c r="V64" s="63">
        <f>IF(AND( C38="Buy", ISBLANK(W38), B38&lt;&gt;"DIV", NOW()-A38 &gt; 365), D38, "")</f>
        <v/>
      </c>
      <c r="W64" s="49" t="n"/>
      <c r="X64" s="49" t="n"/>
      <c r="Y64" s="46">
        <f>IF(AND( C38="Buy", W38&lt;&gt;"", AA38&lt;&gt;"", B38&lt;&gt;"DIV"), Z38/sum(F38:I38), "")</f>
        <v/>
      </c>
      <c r="Z64" s="49" t="n"/>
      <c r="AA64" s="49" t="n"/>
      <c r="AB64" s="50" t="n"/>
      <c r="AC64" s="49">
        <f>if(B38="DIV", F38,"")</f>
        <v/>
      </c>
      <c r="AD64" s="59" t="inlineStr">
        <is>
          <t>SBI Securities</t>
        </is>
      </c>
    </row>
    <row r="65">
      <c r="A65" s="64" t="n">
        <v>45282</v>
      </c>
      <c r="B65" s="65" t="inlineStr">
        <is>
          <t>NSE</t>
        </is>
      </c>
      <c r="C65" s="65" t="inlineStr">
        <is>
          <t>Buy</t>
        </is>
      </c>
      <c r="D65" s="66" t="n">
        <v>10</v>
      </c>
      <c r="E65" s="42" t="n">
        <v>454.202</v>
      </c>
      <c r="F65" s="67" t="n">
        <v>4574.18</v>
      </c>
      <c r="G65" s="65" t="inlineStr">
        <is>
          <t>~</t>
        </is>
      </c>
      <c r="H65" s="68" t="n">
        <v>4.54</v>
      </c>
      <c r="I65" s="66" t="n">
        <v>27.64</v>
      </c>
      <c r="J65" s="42">
        <f>Index!$C$2</f>
        <v/>
      </c>
      <c r="K65" s="49" t="n"/>
      <c r="L65" s="49">
        <f>IF(AND( C39="Buy", ISBLANK(W39), B39&lt;&gt;"DIV"), (1-Index!$F$2*2)*((J39*D39)-(E39*D39)), "")</f>
        <v/>
      </c>
      <c r="M65" s="60">
        <f>IF(AND( C39="Buy", ISBLANK(W39), B39&lt;&gt;"DIV"), ((E39*D39)+L39), "")</f>
        <v/>
      </c>
      <c r="N65" s="61">
        <f>IF(AND( C39="Buy", ISBLANK(W39), B39&lt;&gt;"DIV"), D39, "")</f>
        <v/>
      </c>
      <c r="O65" s="62" t="n"/>
      <c r="P65" s="49">
        <f>IF(AND( C39="Buy", ISBLANK(W39), B39&lt;&gt;"DIV", NOW()-A39 &lt; 365), (1-Index!$F$2*2)*((J39*D39)-(E39*D39)), "")</f>
        <v/>
      </c>
      <c r="Q65" s="60">
        <f>IF(AND( C39="Buy", ISBLANK(W39), B39&lt;&gt;"DIV", NOW()-A39 &lt; 365), ((E39*D39)+P39), "")</f>
        <v/>
      </c>
      <c r="R65" s="60">
        <f>IF(AND( C39="Buy", ISBLANK(W39), B39&lt;&gt;"DIV", NOW()-A39 &lt; 365), D39, "")</f>
        <v/>
      </c>
      <c r="S65" s="63" t="n"/>
      <c r="T65" s="63">
        <f>IF(AND( C39="Buy", ISBLANK(W39), B39&lt;&gt;"DIV", NOW()-A39 &gt; 365), (J39*D39)-(E39*D39)-(2*sum(H39:I39)), "")</f>
        <v/>
      </c>
      <c r="U65" s="63">
        <f>IF(AND( C39="Buy", ISBLANK(W39), B39&lt;&gt;"DIV", NOW()-A39 &gt; 365), ((E39*D39)+T39), "")</f>
        <v/>
      </c>
      <c r="V65" s="61">
        <f>IF(AND( C39="Buy", ISBLANK(W39), B39&lt;&gt;"DIV", NOW()-A39 &gt; 365), D39, "")</f>
        <v/>
      </c>
      <c r="W65" s="56" t="n">
        <v>519.08</v>
      </c>
      <c r="X65" s="53" t="n">
        <v>45565</v>
      </c>
      <c r="Y65" s="46" t="n">
        <v>0.1388725762</v>
      </c>
      <c r="Z65" s="49" t="n">
        <v>639.69708</v>
      </c>
      <c r="AA65" s="49" t="n">
        <v>5181.71708</v>
      </c>
      <c r="AB65" s="50" t="n">
        <v>10</v>
      </c>
      <c r="AC65" s="49">
        <f>if(B39="DIV", F39,"")</f>
        <v/>
      </c>
      <c r="AD65" s="59" t="inlineStr">
        <is>
          <t>SBI Securities</t>
        </is>
      </c>
    </row>
    <row r="66">
      <c r="A66" s="64" t="n">
        <v>45278</v>
      </c>
      <c r="B66" s="65" t="inlineStr">
        <is>
          <t>NSE</t>
        </is>
      </c>
      <c r="C66" s="65" t="inlineStr">
        <is>
          <t>Buy</t>
        </is>
      </c>
      <c r="D66" s="66" t="n">
        <v>5</v>
      </c>
      <c r="E66" s="42" t="n">
        <v>451.804</v>
      </c>
      <c r="F66" s="67" t="n">
        <v>2275.03</v>
      </c>
      <c r="G66" s="65" t="inlineStr">
        <is>
          <t>~</t>
        </is>
      </c>
      <c r="H66" s="68" t="n">
        <v>2.26</v>
      </c>
      <c r="I66" s="66" t="n">
        <v>13.77</v>
      </c>
      <c r="J66" s="42">
        <f>Index!$C$2</f>
        <v/>
      </c>
      <c r="K66" s="49" t="n"/>
      <c r="L66" s="49">
        <f>IF(AND( C40="Buy", ISBLANK(W40), B40&lt;&gt;"DIV"), (1-Index!$F$2*2)*((J40*D40)-(E40*D40)), "")</f>
        <v/>
      </c>
      <c r="M66" s="60">
        <f>IF(AND( C40="Buy", ISBLANK(W40), B40&lt;&gt;"DIV"), ((E40*D40)+L40), "")</f>
        <v/>
      </c>
      <c r="N66" s="61">
        <f>IF(AND( C40="Buy", ISBLANK(W40), B40&lt;&gt;"DIV"), D40, "")</f>
        <v/>
      </c>
      <c r="O66" s="62" t="n"/>
      <c r="P66" s="49">
        <f>IF(AND( C40="Buy", ISBLANK(W40), B40&lt;&gt;"DIV", NOW()-A40 &lt; 365), (1-Index!$F$2*2)*((J40*D40)-(E40*D40)), "")</f>
        <v/>
      </c>
      <c r="Q66" s="60">
        <f>IF(AND( C40="Buy", ISBLANK(W40), B40&lt;&gt;"DIV", NOW()-A40 &lt; 365), ((E40*D40)+P40), "")</f>
        <v/>
      </c>
      <c r="R66" s="60">
        <f>IF(AND( C40="Buy", ISBLANK(W40), B40&lt;&gt;"DIV", NOW()-A40 &lt; 365), D40, "")</f>
        <v/>
      </c>
      <c r="S66" s="63" t="n"/>
      <c r="T66" s="63">
        <f>IF(AND( C40="Buy", ISBLANK(W40), B40&lt;&gt;"DIV", NOW()-A40 &gt; 365), (J40*D40)-(E40*D40)-(2*sum(H40:I40)), "")</f>
        <v/>
      </c>
      <c r="U66" s="63">
        <f>IF(AND( C40="Buy", ISBLANK(W40), B40&lt;&gt;"DIV", NOW()-A40 &gt; 365), ((E40*D40)+T40), "")</f>
        <v/>
      </c>
      <c r="V66" s="61">
        <f>IF(AND( C40="Buy", ISBLANK(W40), B40&lt;&gt;"DIV", NOW()-A40 &gt; 365), D40, "")</f>
        <v/>
      </c>
      <c r="W66" s="56" t="n">
        <v>519.08</v>
      </c>
      <c r="X66" s="53" t="n">
        <v>45565</v>
      </c>
      <c r="Y66" s="46" t="n">
        <v>0.1447673479</v>
      </c>
      <c r="Z66" s="49" t="n">
        <v>331.67068</v>
      </c>
      <c r="AA66" s="49" t="n">
        <v>2590.69068</v>
      </c>
      <c r="AB66" s="50" t="n">
        <v>5</v>
      </c>
      <c r="AC66" s="49">
        <f>if(B40="DIV", F40,"")</f>
        <v/>
      </c>
      <c r="AD66" s="59" t="inlineStr">
        <is>
          <t>SBI Securities</t>
        </is>
      </c>
    </row>
    <row r="67">
      <c r="A67" s="64" t="n">
        <v>45258</v>
      </c>
      <c r="B67" s="65" t="inlineStr">
        <is>
          <t>NSE</t>
        </is>
      </c>
      <c r="C67" s="65" t="inlineStr">
        <is>
          <t>Buy</t>
        </is>
      </c>
      <c r="D67" s="66" t="n">
        <v>5</v>
      </c>
      <c r="E67" s="42" t="n">
        <v>437.8</v>
      </c>
      <c r="F67" s="67" t="n">
        <v>2204.55</v>
      </c>
      <c r="G67" s="65" t="inlineStr">
        <is>
          <t>~</t>
        </is>
      </c>
      <c r="H67" s="68" t="n">
        <v>2.19</v>
      </c>
      <c r="I67" s="66" t="n">
        <v>13.36</v>
      </c>
      <c r="J67" s="42">
        <f>Index!$C$2</f>
        <v/>
      </c>
      <c r="K67" s="49" t="n"/>
      <c r="L67" s="49">
        <f>IF(AND( C41="Buy", ISBLANK(W41), B41&lt;&gt;"DIV"), (1-Index!$F$2*2)*((J41*D41)-(E41*D41)), "")</f>
        <v/>
      </c>
      <c r="M67" s="60">
        <f>IF(AND( C41="Buy", ISBLANK(W41), B41&lt;&gt;"DIV"), ((E41*D41)+L41), "")</f>
        <v/>
      </c>
      <c r="N67" s="61">
        <f>IF(AND( C41="Buy", ISBLANK(W41), B41&lt;&gt;"DIV"), D41, "")</f>
        <v/>
      </c>
      <c r="O67" s="62" t="n"/>
      <c r="P67" s="49">
        <f>IF(AND( C41="Buy", ISBLANK(W41), B41&lt;&gt;"DIV", NOW()-A41 &lt; 365), (1-Index!$F$2*2)*((J41*D41)-(E41*D41)), "")</f>
        <v/>
      </c>
      <c r="Q67" s="60">
        <f>IF(AND( C41="Buy", ISBLANK(W41), B41&lt;&gt;"DIV", NOW()-A41 &lt; 365), ((E41*D41)+P41), "")</f>
        <v/>
      </c>
      <c r="R67" s="60">
        <f>IF(AND( C41="Buy", ISBLANK(W41), B41&lt;&gt;"DIV", NOW()-A41 &lt; 365), D41, "")</f>
        <v/>
      </c>
      <c r="S67" s="63" t="n"/>
      <c r="T67" s="63">
        <f>IF(AND( C41="Buy", ISBLANK(W41), B41&lt;&gt;"DIV", NOW()-A41 &gt; 365), (J41*D41)-(E41*D41)-(2*sum(H41:I41)), "")</f>
        <v/>
      </c>
      <c r="U67" s="63">
        <f>IF(AND( C41="Buy", ISBLANK(W41), B41&lt;&gt;"DIV", NOW()-A41 &gt; 365), ((E41*D41)+T41), "")</f>
        <v/>
      </c>
      <c r="V67" s="61">
        <f>IF(AND( C41="Buy", ISBLANK(W41), B41&lt;&gt;"DIV", NOW()-A41 &gt; 365), D41, "")</f>
        <v/>
      </c>
      <c r="W67" s="56" t="n">
        <v>519.08</v>
      </c>
      <c r="X67" s="53" t="n">
        <v>45565</v>
      </c>
      <c r="Y67" s="46" t="n">
        <v>0.1804920499</v>
      </c>
      <c r="Z67" s="49" t="n">
        <v>400.7104</v>
      </c>
      <c r="AA67" s="49" t="n">
        <v>2589.7104</v>
      </c>
      <c r="AB67" s="50" t="n">
        <v>5</v>
      </c>
      <c r="AC67" s="49">
        <f>if(B41="DIV", F41,"")</f>
        <v/>
      </c>
      <c r="AD67" s="59" t="inlineStr">
        <is>
          <t>SBI Securities</t>
        </is>
      </c>
    </row>
    <row r="68">
      <c r="A68" s="64" t="n">
        <v>44239</v>
      </c>
      <c r="B68" s="65" t="inlineStr">
        <is>
          <t>NSE</t>
        </is>
      </c>
      <c r="C68" s="65" t="inlineStr">
        <is>
          <t>Sell</t>
        </is>
      </c>
      <c r="D68" s="66" t="n">
        <v>200</v>
      </c>
      <c r="E68" s="42" t="n">
        <v>217.0038</v>
      </c>
      <c r="F68" s="67" t="n">
        <v>43706.76</v>
      </c>
      <c r="G68" s="65" t="inlineStr">
        <is>
          <t>~</t>
        </is>
      </c>
      <c r="H68" s="68" t="n">
        <v>44.04</v>
      </c>
      <c r="I68" s="66" t="n">
        <v>261.2</v>
      </c>
      <c r="J68" s="42">
        <f>Index!$C$2</f>
        <v/>
      </c>
      <c r="K68" s="49" t="n"/>
      <c r="L68" s="49">
        <f>IF(AND( C42="Buy", ISBLANK(W42), B42&lt;&gt;"DIV"), (1-Index!$F$2*2)*((J42*D42)-(E42*D42)), "")</f>
        <v/>
      </c>
      <c r="M68" s="60">
        <f>IF(AND( C42="Buy", ISBLANK(W42), B42&lt;&gt;"DIV"), ((E42*D42)+L42), "")</f>
        <v/>
      </c>
      <c r="N68" s="61">
        <f>IF(AND( C42="Buy", ISBLANK(W42), B42&lt;&gt;"DIV"), D42, "")</f>
        <v/>
      </c>
      <c r="O68" s="62" t="n"/>
      <c r="P68" s="49">
        <f>IF(AND( C42="Buy", ISBLANK(W42), B42&lt;&gt;"DIV", NOW()-A42 &lt; 365), (1-Index!$F$2*2)*((J42*D42)-(E42*D42)), "")</f>
        <v/>
      </c>
      <c r="Q68" s="60">
        <f>IF(AND( C42="Buy", ISBLANK(W42), B42&lt;&gt;"DIV", NOW()-A42 &lt; 365), ((E42*D42)+P42), "")</f>
        <v/>
      </c>
      <c r="R68" s="49" t="n"/>
      <c r="S68" s="63" t="n"/>
      <c r="T68" s="63">
        <f>IF(AND( C42="Buy", ISBLANK(W42), B42&lt;&gt;"DIV", NOW()-A42 &gt; 365), (J42*D42)-(E42*D42)-(2*sum(H42:I42)), "")</f>
        <v/>
      </c>
      <c r="U68" s="63">
        <f>IF(AND( C42="Buy", ISBLANK(W42), B42&lt;&gt;"DIV", NOW()-A42 &gt; 365), ((E42*D42)+T42), "")</f>
        <v/>
      </c>
      <c r="V68" s="49" t="n"/>
      <c r="W68" s="49" t="n"/>
      <c r="X68" s="49" t="n"/>
      <c r="Y68" s="46">
        <f>IF(AND( C42="Buy", W42&lt;&gt;"", AA42&lt;&gt;"", B42&lt;&gt;"DIV"), Z42/sum(F42:I42), "")</f>
        <v/>
      </c>
      <c r="Z68" s="49" t="n"/>
      <c r="AA68" s="49" t="n"/>
      <c r="AB68" s="50" t="n"/>
      <c r="AC68" s="49">
        <f>if(B42="DIV", F42,"")</f>
        <v/>
      </c>
      <c r="AD68" s="59" t="inlineStr">
        <is>
          <t>SBI Securities</t>
        </is>
      </c>
    </row>
    <row r="69">
      <c r="A69" s="64" t="n">
        <v>44237</v>
      </c>
      <c r="B69" s="65" t="inlineStr">
        <is>
          <t>NSE</t>
        </is>
      </c>
      <c r="C69" s="65" t="inlineStr">
        <is>
          <t>Sell</t>
        </is>
      </c>
      <c r="D69" s="66" t="n">
        <v>200</v>
      </c>
      <c r="E69" s="42" t="n">
        <v>224.6598</v>
      </c>
      <c r="F69" s="67" t="n">
        <v>45247.92</v>
      </c>
      <c r="G69" s="65" t="inlineStr">
        <is>
          <t>~</t>
        </is>
      </c>
      <c r="H69" s="68" t="n">
        <v>45.31</v>
      </c>
      <c r="I69" s="66" t="n">
        <v>270.73</v>
      </c>
      <c r="J69" s="42">
        <f>Index!$C$2</f>
        <v/>
      </c>
      <c r="K69" s="49" t="n"/>
      <c r="L69" s="49">
        <f>IF(AND( C43="Buy", ISBLANK(W43), B43&lt;&gt;"DIV"), (1-Index!$F$2*2)*((J43*D43)-(E43*D43)), "")</f>
        <v/>
      </c>
      <c r="M69" s="60">
        <f>IF(AND( C43="Buy", ISBLANK(W43), B43&lt;&gt;"DIV"), ((E43*D43)+L43), "")</f>
        <v/>
      </c>
      <c r="N69" s="61">
        <f>IF(AND( C43="Buy", ISBLANK(W43), B43&lt;&gt;"DIV"), D43, "")</f>
        <v/>
      </c>
      <c r="O69" s="62" t="n"/>
      <c r="P69" s="49">
        <f>IF(AND( C43="Buy", ISBLANK(W43), B43&lt;&gt;"DIV", NOW()-A43 &lt; 365), (1-Index!$F$2*2)*((J43*D43)-(E43*D43)), "")</f>
        <v/>
      </c>
      <c r="Q69" s="60">
        <f>IF(AND( C43="Buy", ISBLANK(W43), B43&lt;&gt;"DIV", NOW()-A43 &lt; 365), ((E43*D43)+P43), "")</f>
        <v/>
      </c>
      <c r="R69" s="49" t="n"/>
      <c r="S69" s="63" t="n"/>
      <c r="T69" s="63">
        <f>IF(AND( C43="Buy", ISBLANK(W43), B43&lt;&gt;"DIV", NOW()-A43 &gt; 365), (J43*D43)-(E43*D43)-(2*sum(H43:I43)), "")</f>
        <v/>
      </c>
      <c r="U69" s="63">
        <f>IF(AND( C43="Buy", ISBLANK(W43), B43&lt;&gt;"DIV", NOW()-A43 &gt; 365), ((E43*D43)+T43), "")</f>
        <v/>
      </c>
      <c r="V69" s="49" t="n"/>
      <c r="W69" s="49" t="n"/>
      <c r="X69" s="49" t="n"/>
      <c r="Y69" s="46">
        <f>IF(AND( C43="Buy", W43&lt;&gt;"", AA43&lt;&gt;"", B43&lt;&gt;"DIV"), Z43/sum(F43:I43), "")</f>
        <v/>
      </c>
      <c r="Z69" s="49" t="n"/>
      <c r="AA69" s="49" t="n"/>
      <c r="AB69" s="50" t="n"/>
      <c r="AC69" s="49">
        <f>if(B43="DIV", F43,"")</f>
        <v/>
      </c>
      <c r="AD69" s="59" t="inlineStr">
        <is>
          <t>SBI Securities</t>
        </is>
      </c>
    </row>
    <row r="70">
      <c r="A70" s="64" t="n">
        <v>44236</v>
      </c>
      <c r="B70" s="65" t="inlineStr">
        <is>
          <t>NSE</t>
        </is>
      </c>
      <c r="C70" s="65" t="inlineStr">
        <is>
          <t>Sell</t>
        </is>
      </c>
      <c r="D70" s="66" t="n">
        <v>300</v>
      </c>
      <c r="E70" s="42" t="n">
        <v>233.022067</v>
      </c>
      <c r="F70" s="67" t="n">
        <v>70398.63</v>
      </c>
      <c r="G70" s="65" t="inlineStr">
        <is>
          <t>~</t>
        </is>
      </c>
      <c r="H70" s="68" t="n">
        <v>70.98999999999999</v>
      </c>
      <c r="I70" s="66" t="n">
        <v>420.39</v>
      </c>
      <c r="J70" s="42">
        <f>Index!$C$2</f>
        <v/>
      </c>
      <c r="K70" s="49" t="n"/>
      <c r="L70" s="49">
        <f>IF(AND( C44="Buy", ISBLANK(W44), B44&lt;&gt;"DIV"), (1-Index!$F$2*2)*((J44*D44)-(E44*D44)), "")</f>
        <v/>
      </c>
      <c r="M70" s="60">
        <f>IF(AND( C44="Buy", ISBLANK(W44), B44&lt;&gt;"DIV"), ((E44*D44)+L44), "")</f>
        <v/>
      </c>
      <c r="N70" s="61">
        <f>IF(AND( C44="Buy", ISBLANK(W44), B44&lt;&gt;"DIV"), D44, "")</f>
        <v/>
      </c>
      <c r="O70" s="62" t="n"/>
      <c r="P70" s="49">
        <f>IF(AND( C44="Buy", ISBLANK(W44), B44&lt;&gt;"DIV", NOW()-A44 &lt; 365), (1-Index!$F$2*2)*((J44*D44)-(E44*D44)), "")</f>
        <v/>
      </c>
      <c r="Q70" s="60">
        <f>IF(AND( C44="Buy", ISBLANK(W44), B44&lt;&gt;"DIV", NOW()-A44 &lt; 365), ((E44*D44)+P44), "")</f>
        <v/>
      </c>
      <c r="R70" s="49" t="n"/>
      <c r="S70" s="63" t="n"/>
      <c r="T70" s="63">
        <f>IF(AND( C44="Buy", ISBLANK(W44), B44&lt;&gt;"DIV", NOW()-A44 &gt; 365), (J44*D44)-(E44*D44)-(2*sum(H44:I44)), "")</f>
        <v/>
      </c>
      <c r="U70" s="63">
        <f>IF(AND( C44="Buy", ISBLANK(W44), B44&lt;&gt;"DIV", NOW()-A44 &gt; 365), ((E44*D44)+T44), "")</f>
        <v/>
      </c>
      <c r="V70" s="49" t="n"/>
      <c r="W70" s="49" t="n"/>
      <c r="X70" s="49" t="n"/>
      <c r="Y70" s="46">
        <f>IF(AND( C44="Buy", W44&lt;&gt;"", AA44&lt;&gt;"", B44&lt;&gt;"DIV"), Z44/sum(F44:I44), "")</f>
        <v/>
      </c>
      <c r="Z70" s="49" t="n"/>
      <c r="AA70" s="49" t="n"/>
      <c r="AB70" s="50" t="n"/>
      <c r="AC70" s="49">
        <f>if(B44="DIV", F44,"")</f>
        <v/>
      </c>
      <c r="AD70" s="59" t="inlineStr">
        <is>
          <t>SBI Securities</t>
        </is>
      </c>
    </row>
    <row r="71">
      <c r="A71" s="64" t="n">
        <v>44235</v>
      </c>
      <c r="B71" s="65" t="inlineStr">
        <is>
          <t>NSE</t>
        </is>
      </c>
      <c r="C71" s="65" t="inlineStr">
        <is>
          <t>Sell</t>
        </is>
      </c>
      <c r="D71" s="66" t="n">
        <v>150</v>
      </c>
      <c r="E71" s="42" t="n">
        <v>233.022333</v>
      </c>
      <c r="F71" s="67" t="n">
        <v>35199.35</v>
      </c>
      <c r="G71" s="65" t="inlineStr">
        <is>
          <t>~</t>
        </is>
      </c>
      <c r="H71" s="68" t="n">
        <v>35.43</v>
      </c>
      <c r="I71" s="66" t="n">
        <v>210.22</v>
      </c>
      <c r="J71" s="42">
        <f>Index!$C$2</f>
        <v/>
      </c>
      <c r="K71" s="49" t="n"/>
      <c r="L71" s="49">
        <f>IF(AND( C45="Buy", ISBLANK(W45), B45&lt;&gt;"DIV"), (1-Index!$F$2*2)*((J45*D45)-(E45*D45)), "")</f>
        <v/>
      </c>
      <c r="M71" s="60">
        <f>IF(AND( C45="Buy", ISBLANK(W45), B45&lt;&gt;"DIV"), ((E45*D45)+L45), "")</f>
        <v/>
      </c>
      <c r="N71" s="61">
        <f>IF(AND( C45="Buy", ISBLANK(W45), B45&lt;&gt;"DIV"), D45, "")</f>
        <v/>
      </c>
      <c r="O71" s="62" t="n"/>
      <c r="P71" s="49">
        <f>IF(AND( C45="Buy", ISBLANK(W45), B45&lt;&gt;"DIV", NOW()-A45 &lt; 365), (1-Index!$F$2*2)*((J45*D45)-(E45*D45)), "")</f>
        <v/>
      </c>
      <c r="Q71" s="60">
        <f>IF(AND( C45="Buy", ISBLANK(W45), B45&lt;&gt;"DIV", NOW()-A45 &lt; 365), ((E45*D45)+P45), "")</f>
        <v/>
      </c>
      <c r="R71" s="49" t="n"/>
      <c r="S71" s="63" t="n"/>
      <c r="T71" s="63">
        <f>IF(AND( C45="Buy", ISBLANK(W45), B45&lt;&gt;"DIV", NOW()-A45 &gt; 365), (J45*D45)-(E45*D45)-(2*sum(H45:I45)), "")</f>
        <v/>
      </c>
      <c r="U71" s="63">
        <f>IF(AND( C45="Buy", ISBLANK(W45), B45&lt;&gt;"DIV", NOW()-A45 &gt; 365), ((E45*D45)+T45), "")</f>
        <v/>
      </c>
      <c r="V71" s="49" t="n"/>
      <c r="W71" s="49" t="n"/>
      <c r="X71" s="49" t="n"/>
      <c r="Y71" s="46">
        <f>IF(AND( C45="Buy", W45&lt;&gt;"", AA45&lt;&gt;"", B45&lt;&gt;"DIV"), Z45/sum(F45:I45), "")</f>
        <v/>
      </c>
      <c r="Z71" s="49" t="n"/>
      <c r="AA71" s="49" t="n"/>
      <c r="AB71" s="50" t="n"/>
      <c r="AC71" s="49">
        <f>if(B45="DIV", F45,"")</f>
        <v/>
      </c>
      <c r="AD71" s="59" t="inlineStr">
        <is>
          <t>SBI Securities</t>
        </is>
      </c>
    </row>
    <row r="72">
      <c r="A72" s="64" t="n">
        <v>44232</v>
      </c>
      <c r="B72" s="65" t="inlineStr">
        <is>
          <t>NSE</t>
        </is>
      </c>
      <c r="C72" s="65" t="inlineStr">
        <is>
          <t>Sell</t>
        </is>
      </c>
      <c r="D72" s="66" t="n">
        <v>170</v>
      </c>
      <c r="E72" s="42" t="n">
        <v>228.331471</v>
      </c>
      <c r="F72" s="67" t="n">
        <v>39090.06</v>
      </c>
      <c r="G72" s="65" t="inlineStr">
        <is>
          <t>~</t>
        </is>
      </c>
      <c r="H72" s="68" t="n">
        <v>39.32</v>
      </c>
      <c r="I72" s="66" t="n">
        <v>234.13</v>
      </c>
      <c r="J72" s="42">
        <f>Index!$C$2</f>
        <v/>
      </c>
      <c r="K72" s="49" t="n"/>
      <c r="L72" s="49">
        <f>IF(AND( C46="Buy", ISBLANK(W46), B46&lt;&gt;"DIV"), (1-Index!$F$2*2)*((J46*D46)-(E46*D46)), "")</f>
        <v/>
      </c>
      <c r="M72" s="60">
        <f>IF(AND( C46="Buy", ISBLANK(W46), B46&lt;&gt;"DIV"), ((E46*D46)+L46), "")</f>
        <v/>
      </c>
      <c r="N72" s="61">
        <f>IF(AND( C46="Buy", ISBLANK(W46), B46&lt;&gt;"DIV"), D46, "")</f>
        <v/>
      </c>
      <c r="O72" s="62" t="n"/>
      <c r="P72" s="49">
        <f>IF(AND( C46="Buy", ISBLANK(W46), B46&lt;&gt;"DIV", NOW()-A46 &lt; 365), (1-Index!$F$2*2)*((J46*D46)-(E46*D46)), "")</f>
        <v/>
      </c>
      <c r="Q72" s="60">
        <f>IF(AND( C46="Buy", ISBLANK(W46), B46&lt;&gt;"DIV", NOW()-A46 &lt; 365), ((E46*D46)+P46), "")</f>
        <v/>
      </c>
      <c r="R72" s="49" t="n"/>
      <c r="S72" s="63" t="n"/>
      <c r="T72" s="63">
        <f>IF(AND( C46="Buy", ISBLANK(W46), B46&lt;&gt;"DIV", NOW()-A46 &gt; 365), (J46*D46)-(E46*D46)-(2*sum(H46:I46)), "")</f>
        <v/>
      </c>
      <c r="U72" s="63">
        <f>IF(AND( C46="Buy", ISBLANK(W46), B46&lt;&gt;"DIV", NOW()-A46 &gt; 365), ((E46*D46)+T46), "")</f>
        <v/>
      </c>
      <c r="V72" s="49" t="n"/>
      <c r="W72" s="49" t="n"/>
      <c r="X72" s="49" t="n"/>
      <c r="Y72" s="46">
        <f>IF(AND( C46="Buy", W46&lt;&gt;"", AA46&lt;&gt;"", B46&lt;&gt;"DIV"), Z46/sum(F46:I46), "")</f>
        <v/>
      </c>
      <c r="Z72" s="49" t="n"/>
      <c r="AA72" s="49" t="n"/>
      <c r="AB72" s="50" t="n"/>
      <c r="AC72" s="49">
        <f>if(B46="DIV", F46,"")</f>
        <v/>
      </c>
      <c r="AD72" s="59" t="inlineStr">
        <is>
          <t>SBI Securities</t>
        </is>
      </c>
    </row>
    <row r="73">
      <c r="A73" s="64" t="n">
        <v>44231</v>
      </c>
      <c r="B73" s="65" t="inlineStr">
        <is>
          <t>NSE</t>
        </is>
      </c>
      <c r="C73" s="65" t="inlineStr">
        <is>
          <t>Sell</t>
        </is>
      </c>
      <c r="D73" s="66" t="n">
        <v>200</v>
      </c>
      <c r="E73" s="42" t="n">
        <v>225.03915</v>
      </c>
      <c r="F73" s="67" t="n">
        <v>45323.84</v>
      </c>
      <c r="G73" s="65" t="inlineStr">
        <is>
          <t>~</t>
        </is>
      </c>
      <c r="H73" s="68" t="n">
        <v>45.53</v>
      </c>
      <c r="I73" s="66" t="n">
        <v>270.64</v>
      </c>
      <c r="J73" s="42">
        <f>Index!$C$2</f>
        <v/>
      </c>
      <c r="K73" s="49" t="n"/>
      <c r="L73" s="49">
        <f>IF(AND( C47="Buy", ISBLANK(W47), B47&lt;&gt;"DIV"), (1-Index!$F$2*2)*((J47*D47)-(E47*D47)), "")</f>
        <v/>
      </c>
      <c r="M73" s="60">
        <f>IF(AND( C47="Buy", ISBLANK(W47), B47&lt;&gt;"DIV"), ((E47*D47)+L47), "")</f>
        <v/>
      </c>
      <c r="N73" s="61">
        <f>IF(AND( C47="Buy", ISBLANK(W47), B47&lt;&gt;"DIV"), D47, "")</f>
        <v/>
      </c>
      <c r="O73" s="62" t="n"/>
      <c r="P73" s="49">
        <f>IF(AND( C47="Buy", ISBLANK(W47), B47&lt;&gt;"DIV", NOW()-A47 &lt; 365), (1-Index!$F$2*2)*((J47*D47)-(E47*D47)), "")</f>
        <v/>
      </c>
      <c r="Q73" s="60">
        <f>IF(AND( C47="Buy", ISBLANK(W47), B47&lt;&gt;"DIV", NOW()-A47 &lt; 365), ((E47*D47)+P47), "")</f>
        <v/>
      </c>
      <c r="R73" s="49" t="n"/>
      <c r="S73" s="63" t="n"/>
      <c r="T73" s="63">
        <f>IF(AND( C47="Buy", ISBLANK(W47), B47&lt;&gt;"DIV", NOW()-A47 &gt; 365), (J47*D47)-(E47*D47)-(2*sum(H47:I47)), "")</f>
        <v/>
      </c>
      <c r="U73" s="63">
        <f>IF(AND( C47="Buy", ISBLANK(W47), B47&lt;&gt;"DIV", NOW()-A47 &gt; 365), ((E47*D47)+T47), "")</f>
        <v/>
      </c>
      <c r="V73" s="49" t="n"/>
      <c r="W73" s="49" t="n"/>
      <c r="X73" s="49" t="n"/>
      <c r="Y73" s="46">
        <f>IF(AND( C47="Buy", W47&lt;&gt;"", AA47&lt;&gt;"", B47&lt;&gt;"DIV"), Z47/sum(F47:I47), "")</f>
        <v/>
      </c>
      <c r="Z73" s="49" t="n"/>
      <c r="AA73" s="49" t="n"/>
      <c r="AB73" s="50" t="n"/>
      <c r="AC73" s="49">
        <f>if(B47="DIV", F47,"")</f>
        <v/>
      </c>
      <c r="AD73" s="59" t="inlineStr">
        <is>
          <t>SBI Securities</t>
        </is>
      </c>
    </row>
    <row r="74">
      <c r="A74" s="64" t="n">
        <v>44221</v>
      </c>
      <c r="B74" s="65" t="inlineStr">
        <is>
          <t>NSE</t>
        </is>
      </c>
      <c r="C74" s="65" t="inlineStr">
        <is>
          <t>Buy</t>
        </is>
      </c>
      <c r="D74" s="66" t="n">
        <v>10</v>
      </c>
      <c r="E74" s="42" t="n">
        <v>210.15</v>
      </c>
      <c r="F74" s="67" t="n">
        <v>2116.1</v>
      </c>
      <c r="G74" s="65" t="inlineStr">
        <is>
          <t>~</t>
        </is>
      </c>
      <c r="H74" s="68" t="n">
        <v>1.8</v>
      </c>
      <c r="I74" s="66" t="n">
        <v>12.8</v>
      </c>
      <c r="J74" s="42">
        <f>Index!$C$2</f>
        <v/>
      </c>
      <c r="K74" s="49" t="n"/>
      <c r="L74" s="49">
        <f>IF(AND( C48="Buy", ISBLANK(W48), B48&lt;&gt;"DIV"), (J48*D48)-(E48*D48)-sum(H48:I48), "")</f>
        <v/>
      </c>
      <c r="M74" s="60">
        <f>IF(AND( C48="Buy", ISBLANK(W48), B48&lt;&gt;"DIV"), J48*D48, "")</f>
        <v/>
      </c>
      <c r="N74" s="61">
        <f>IF(AND( C48="Buy", ISBLANK(W48), B48&lt;&gt;"DIV"), D48, "")</f>
        <v/>
      </c>
      <c r="O74" s="62" t="n"/>
      <c r="P74" s="49" t="n"/>
      <c r="Q74" s="49" t="n"/>
      <c r="R74" s="49" t="n"/>
      <c r="S74" s="49" t="n"/>
      <c r="T74" s="49" t="n"/>
      <c r="U74" s="49" t="n"/>
      <c r="V74" s="49" t="n"/>
      <c r="W74" s="49" t="n">
        <v>217.0038</v>
      </c>
      <c r="X74" s="49" t="n">
        <v>44239</v>
      </c>
      <c r="Y74" s="46" t="n">
        <v>0.031716557</v>
      </c>
      <c r="Z74" s="49" t="n">
        <v>67.578468</v>
      </c>
      <c r="AA74" s="49" t="n">
        <v>2169.078468</v>
      </c>
      <c r="AB74" s="50" t="n">
        <v>10</v>
      </c>
      <c r="AC74" s="49" t="n"/>
      <c r="AD74" s="59" t="inlineStr">
        <is>
          <t>SBI Securities</t>
        </is>
      </c>
    </row>
    <row r="75">
      <c r="A75" s="64" t="n">
        <v>44214</v>
      </c>
      <c r="B75" s="65" t="inlineStr">
        <is>
          <t>NSE</t>
        </is>
      </c>
      <c r="C75" s="65" t="inlineStr">
        <is>
          <t>Buy</t>
        </is>
      </c>
      <c r="D75" s="66" t="n">
        <v>10</v>
      </c>
      <c r="E75" s="42" t="n">
        <v>214.95</v>
      </c>
      <c r="F75" s="67" t="n">
        <v>2164.2</v>
      </c>
      <c r="G75" s="65" t="inlineStr">
        <is>
          <t>~</t>
        </is>
      </c>
      <c r="H75" s="68" t="n">
        <v>1.68</v>
      </c>
      <c r="I75" s="66" t="n">
        <v>13.02</v>
      </c>
      <c r="J75" s="42">
        <f>Index!$C$2</f>
        <v/>
      </c>
      <c r="K75" s="49" t="n"/>
      <c r="L75" s="49">
        <f>IF(AND( C49="Buy", ISBLANK(W49), B49&lt;&gt;"DIV"), (J49*D49)-(E49*D49)-sum(H49:I49), "")</f>
        <v/>
      </c>
      <c r="M75" s="60">
        <f>IF(AND( C49="Buy", ISBLANK(W49), B49&lt;&gt;"DIV"), J49*D49, "")</f>
        <v/>
      </c>
      <c r="N75" s="61">
        <f>IF(AND( C49="Buy", ISBLANK(W49), B49&lt;&gt;"DIV"), D49, "")</f>
        <v/>
      </c>
      <c r="O75" s="62" t="n"/>
      <c r="P75" s="49" t="n"/>
      <c r="Q75" s="49" t="n"/>
      <c r="R75" s="49" t="n"/>
      <c r="S75" s="49" t="n"/>
      <c r="T75" s="49" t="n"/>
      <c r="U75" s="49" t="n"/>
      <c r="V75" s="49" t="n"/>
      <c r="W75" s="49" t="n">
        <v>217.0038</v>
      </c>
      <c r="X75" s="49" t="n">
        <v>44239</v>
      </c>
      <c r="Y75" s="46" t="n">
        <v>0.009293895085</v>
      </c>
      <c r="Z75" s="49" t="n">
        <v>20.250468</v>
      </c>
      <c r="AA75" s="49" t="n">
        <v>2169.750468</v>
      </c>
      <c r="AB75" s="50" t="n">
        <v>10</v>
      </c>
      <c r="AC75" s="49" t="n"/>
      <c r="AD75" s="59" t="inlineStr">
        <is>
          <t>SBI Securities</t>
        </is>
      </c>
    </row>
    <row r="76">
      <c r="A76" s="64" t="n">
        <v>44207</v>
      </c>
      <c r="B76" s="65" t="inlineStr">
        <is>
          <t>NSE</t>
        </is>
      </c>
      <c r="C76" s="65" t="inlineStr">
        <is>
          <t>Buy</t>
        </is>
      </c>
      <c r="D76" s="66" t="n">
        <v>50</v>
      </c>
      <c r="E76" s="42" t="n">
        <v>201.7454</v>
      </c>
      <c r="F76" s="67" t="n">
        <v>10157.23</v>
      </c>
      <c r="G76" s="65" t="inlineStr">
        <is>
          <t>~</t>
        </is>
      </c>
      <c r="H76" s="68" t="n">
        <v>8.5</v>
      </c>
      <c r="I76" s="66" t="n">
        <v>61.23</v>
      </c>
      <c r="J76" s="42">
        <f>Index!$C$2</f>
        <v/>
      </c>
      <c r="K76" s="49" t="n"/>
      <c r="L76" s="49">
        <f>IF(AND( C50="Buy", ISBLANK(W50), B50&lt;&gt;"DIV"), (J50*D50)-(E50*D50)-sum(H50:I50), "")</f>
        <v/>
      </c>
      <c r="M76" s="60">
        <f>IF(AND( C50="Buy", ISBLANK(W50), B50&lt;&gt;"DIV"), J50*D50, "")</f>
        <v/>
      </c>
      <c r="N76" s="61">
        <f>IF(AND( C50="Buy", ISBLANK(W50), B50&lt;&gt;"DIV"), D50, "")</f>
        <v/>
      </c>
      <c r="O76" s="62" t="n"/>
      <c r="P76" s="49" t="n"/>
      <c r="Q76" s="49" t="n"/>
      <c r="R76" s="49" t="n"/>
      <c r="S76" s="49" t="n"/>
      <c r="T76" s="49" t="n"/>
      <c r="U76" s="49" t="n"/>
      <c r="V76" s="49" t="n"/>
      <c r="W76" s="49" t="n">
        <v>217.0038</v>
      </c>
      <c r="X76" s="49" t="n">
        <v>44239</v>
      </c>
      <c r="Y76" s="46" t="n">
        <v>0.07355451864</v>
      </c>
      <c r="Z76" s="49" t="n">
        <v>752.23912</v>
      </c>
      <c r="AA76" s="49" t="n">
        <v>10839.50912</v>
      </c>
      <c r="AB76" s="50" t="n">
        <v>50</v>
      </c>
      <c r="AC76" s="49" t="n"/>
      <c r="AD76" s="59" t="inlineStr">
        <is>
          <t>SBI Securities</t>
        </is>
      </c>
    </row>
    <row r="77">
      <c r="A77" s="64" t="n">
        <v>44186</v>
      </c>
      <c r="B77" s="65" t="inlineStr">
        <is>
          <t>NSE</t>
        </is>
      </c>
      <c r="C77" s="65" t="inlineStr">
        <is>
          <t>Buy</t>
        </is>
      </c>
      <c r="D77" s="66" t="n">
        <v>35</v>
      </c>
      <c r="E77" s="42" t="n">
        <v>211.046286</v>
      </c>
      <c r="F77" s="67" t="n">
        <v>7437.98</v>
      </c>
      <c r="G77" s="65" t="inlineStr">
        <is>
          <t>~</t>
        </is>
      </c>
      <c r="H77" s="68" t="n">
        <v>6.17</v>
      </c>
      <c r="I77" s="66" t="n">
        <v>45.06</v>
      </c>
      <c r="J77" s="42">
        <f>Index!$C$2</f>
        <v/>
      </c>
      <c r="K77" s="49" t="n"/>
      <c r="L77" s="49">
        <f>IF(AND( C51="Buy", ISBLANK(W51), B51&lt;&gt;"DIV"), (J51*D51)-(E51*D51)-sum(H51:I51), "")</f>
        <v/>
      </c>
      <c r="M77" s="60">
        <f>IF(AND( C51="Buy", ISBLANK(W51), B51&lt;&gt;"DIV"), J51*D51, "")</f>
        <v/>
      </c>
      <c r="N77" s="61">
        <f>IF(AND( C51="Buy", ISBLANK(W51), B51&lt;&gt;"DIV"), D51, "")</f>
        <v/>
      </c>
      <c r="O77" s="62" t="n"/>
      <c r="P77" s="49" t="n"/>
      <c r="Q77" s="49" t="n"/>
      <c r="R77" s="49" t="n"/>
      <c r="S77" s="49" t="n"/>
      <c r="T77" s="49" t="n"/>
      <c r="U77" s="49" t="n"/>
      <c r="V77" s="49" t="n"/>
      <c r="W77" s="49" t="n">
        <v>217.0038</v>
      </c>
      <c r="X77" s="49" t="n">
        <v>44239</v>
      </c>
      <c r="Y77" s="46" t="n">
        <v>0.02745200203</v>
      </c>
      <c r="Z77" s="49" t="n">
        <v>205.5938081</v>
      </c>
      <c r="AA77" s="49" t="n">
        <v>7592.213818</v>
      </c>
      <c r="AB77" s="50" t="n">
        <v>35</v>
      </c>
      <c r="AC77" s="49" t="n"/>
      <c r="AD77" s="59" t="inlineStr">
        <is>
          <t>SBI Securities</t>
        </is>
      </c>
    </row>
    <row r="78">
      <c r="A78" s="64" t="n">
        <v>44166</v>
      </c>
      <c r="B78" s="65" t="inlineStr">
        <is>
          <t>NSE</t>
        </is>
      </c>
      <c r="C78" s="65" t="inlineStr">
        <is>
          <t>Buy</t>
        </is>
      </c>
      <c r="D78" s="66" t="n">
        <v>5</v>
      </c>
      <c r="E78" s="42" t="n">
        <v>194.854</v>
      </c>
      <c r="F78" s="67" t="n">
        <v>980.83</v>
      </c>
      <c r="G78" s="65" t="inlineStr">
        <is>
          <t>~</t>
        </is>
      </c>
      <c r="H78" s="68" t="n">
        <v>0.6899999999999999</v>
      </c>
      <c r="I78" s="66" t="n">
        <v>5.89</v>
      </c>
      <c r="J78" s="42">
        <f>Index!$C$2</f>
        <v/>
      </c>
      <c r="K78" s="49" t="n"/>
      <c r="L78" s="49">
        <f>IF(AND( C52="Buy", ISBLANK(W52), B52&lt;&gt;"DIV"), ((J52*D52)-(E52*D52)+I52), "")</f>
        <v/>
      </c>
      <c r="M78" s="60">
        <f>IF(AND( C52="Buy", ISBLANK(W52), B52&lt;&gt;"DIV"), J52*D52, "")</f>
        <v/>
      </c>
      <c r="N78" s="61">
        <f>IF(AND( C52="Buy", ISBLANK(W52), B52&lt;&gt;"DIV"), D52, "")</f>
        <v/>
      </c>
      <c r="O78" s="62" t="n"/>
      <c r="P78" s="49" t="n"/>
      <c r="Q78" s="49" t="n"/>
      <c r="R78" s="49" t="n"/>
      <c r="S78" s="49" t="n"/>
      <c r="T78" s="49" t="n"/>
      <c r="U78" s="49" t="n"/>
      <c r="V78" s="49" t="n"/>
      <c r="W78" s="49" t="n">
        <v>217.0038</v>
      </c>
      <c r="X78" s="49" t="n">
        <v>44239</v>
      </c>
      <c r="Y78" s="46" t="n">
        <v>0.1105908528</v>
      </c>
      <c r="Z78" s="49" t="n">
        <v>109.198514</v>
      </c>
      <c r="AA78" s="49" t="n">
        <v>1083.468514</v>
      </c>
      <c r="AB78" s="50" t="n">
        <v>5</v>
      </c>
      <c r="AC78" s="49" t="n"/>
      <c r="AD78" s="59" t="inlineStr">
        <is>
          <t>SBI Securities</t>
        </is>
      </c>
    </row>
    <row r="79">
      <c r="A79" s="64" t="n">
        <v>44152</v>
      </c>
      <c r="B79" s="65" t="inlineStr">
        <is>
          <t>NSE</t>
        </is>
      </c>
      <c r="C79" s="65" t="inlineStr">
        <is>
          <t>Buy</t>
        </is>
      </c>
      <c r="D79" s="66" t="n">
        <v>10</v>
      </c>
      <c r="E79" s="42" t="n">
        <v>187.152</v>
      </c>
      <c r="F79" s="67" t="n">
        <v>1884.48</v>
      </c>
      <c r="G79" s="65" t="inlineStr">
        <is>
          <t>~</t>
        </is>
      </c>
      <c r="H79" s="68" t="n">
        <v>1.52</v>
      </c>
      <c r="I79" s="66" t="n">
        <v>11.46</v>
      </c>
      <c r="J79" s="42">
        <f>Index!$C$2</f>
        <v/>
      </c>
      <c r="K79" s="49" t="n"/>
      <c r="L79" s="49">
        <f>IF(AND( C53="Buy", ISBLANK(W53), B53&lt;&gt;"DIV"), ((J53*D53)-(E53*D53)+I53), "")</f>
        <v/>
      </c>
      <c r="M79" s="60">
        <f>IF(AND( C53="Buy", ISBLANK(W53), B53&lt;&gt;"DIV"), J53*D53, "")</f>
        <v/>
      </c>
      <c r="N79" s="61">
        <f>IF(AND( C53="Buy", ISBLANK(W53), B53&lt;&gt;"DIV"), D53, "")</f>
        <v/>
      </c>
      <c r="O79" s="62" t="n"/>
      <c r="P79" s="49" t="n"/>
      <c r="Q79" s="49" t="n"/>
      <c r="R79" s="49" t="n"/>
      <c r="S79" s="49" t="n"/>
      <c r="T79" s="49" t="n"/>
      <c r="U79" s="49" t="n"/>
      <c r="V79" s="49" t="n"/>
      <c r="W79" s="49" t="n">
        <v>217.0038</v>
      </c>
      <c r="X79" s="49" t="n">
        <v>44239</v>
      </c>
      <c r="Y79" s="46" t="n">
        <v>0.1551225048</v>
      </c>
      <c r="Z79" s="49" t="n">
        <v>294.338748</v>
      </c>
      <c r="AA79" s="49" t="n">
        <v>2165.858748</v>
      </c>
      <c r="AB79" s="50" t="n">
        <v>10</v>
      </c>
      <c r="AC79" s="49" t="n"/>
      <c r="AD79" s="59" t="inlineStr">
        <is>
          <t>SBI Securities</t>
        </is>
      </c>
    </row>
    <row r="80">
      <c r="A80" s="64" t="n">
        <v>44138</v>
      </c>
      <c r="B80" s="65" t="inlineStr">
        <is>
          <t>NSE</t>
        </is>
      </c>
      <c r="C80" s="65" t="inlineStr">
        <is>
          <t>Buy</t>
        </is>
      </c>
      <c r="D80" s="66" t="n">
        <v>30</v>
      </c>
      <c r="E80" s="42" t="n">
        <v>168.003</v>
      </c>
      <c r="F80" s="67" t="n">
        <v>5075.01</v>
      </c>
      <c r="G80" s="65" t="inlineStr">
        <is>
          <t>~</t>
        </is>
      </c>
      <c r="H80" s="68" t="n">
        <v>4.74</v>
      </c>
      <c r="I80" s="66" t="n">
        <v>30.27</v>
      </c>
      <c r="J80" s="42">
        <f>Index!$C$2</f>
        <v/>
      </c>
      <c r="K80" s="49" t="n"/>
      <c r="L80" s="49">
        <f>IF(AND( C54="Buy", ISBLANK(W54), B54&lt;&gt;"DIV"), ((J54*D54)-(E54*D54)+I54), "")</f>
        <v/>
      </c>
      <c r="M80" s="60">
        <f>IF(AND( C54="Buy", ISBLANK(W54), B54&lt;&gt;"DIV"), J54*D54, "")</f>
        <v/>
      </c>
      <c r="N80" s="61">
        <f>IF(AND( C54="Buy", ISBLANK(W54), B54&lt;&gt;"DIV"), D54, "")</f>
        <v/>
      </c>
      <c r="O80" s="62" t="n"/>
      <c r="P80" s="49" t="n"/>
      <c r="Q80" s="49" t="n"/>
      <c r="R80" s="49" t="n"/>
      <c r="S80" s="49" t="n"/>
      <c r="T80" s="49" t="n"/>
      <c r="U80" s="49" t="n"/>
      <c r="V80" s="49" t="n"/>
      <c r="W80" s="49" t="n">
        <v>217.0038</v>
      </c>
      <c r="X80" s="49" t="n">
        <v>44239</v>
      </c>
      <c r="Y80" s="46" t="n">
        <v>0.2836473564</v>
      </c>
      <c r="Z80" s="49" t="n">
        <v>1449.443664</v>
      </c>
      <c r="AA80" s="49" t="n">
        <v>6489.533664</v>
      </c>
      <c r="AB80" s="50" t="n">
        <v>30</v>
      </c>
      <c r="AC80" s="49" t="n"/>
      <c r="AD80" s="59" t="inlineStr">
        <is>
          <t>SBI Securities</t>
        </is>
      </c>
    </row>
    <row r="81">
      <c r="A81" s="64" t="n">
        <v>44133</v>
      </c>
      <c r="B81" s="65" t="inlineStr">
        <is>
          <t>NSE</t>
        </is>
      </c>
      <c r="C81" s="65" t="inlineStr">
        <is>
          <t>Buy</t>
        </is>
      </c>
      <c r="D81" s="66" t="n">
        <v>10</v>
      </c>
      <c r="E81" s="42" t="n">
        <v>164.797</v>
      </c>
      <c r="F81" s="67" t="n">
        <v>1659.13</v>
      </c>
      <c r="G81" s="65" t="inlineStr">
        <is>
          <t>~</t>
        </is>
      </c>
      <c r="H81" s="68" t="n">
        <v>1.21</v>
      </c>
      <c r="I81" s="66" t="n">
        <v>9.92</v>
      </c>
      <c r="J81" s="42">
        <f>Index!$C$2</f>
        <v/>
      </c>
      <c r="K81" s="49" t="n"/>
      <c r="L81" s="49">
        <f>IF(AND( C55="Buy", ISBLANK(W55), B55&lt;&gt;"DIV"), ((J55*D55)-(E55*D55)+I55), "")</f>
        <v/>
      </c>
      <c r="M81" s="60">
        <f>IF(AND( C55="Buy", ISBLANK(W55), B55&lt;&gt;"DIV"), J55*D55, "")</f>
        <v/>
      </c>
      <c r="N81" s="61">
        <f>IF(AND( C55="Buy", ISBLANK(W55), B55&lt;&gt;"DIV"), D55, "")</f>
        <v/>
      </c>
      <c r="O81" s="62" t="n"/>
      <c r="P81" s="49" t="n"/>
      <c r="Q81" s="49" t="n"/>
      <c r="R81" s="49" t="n"/>
      <c r="S81" s="49" t="n"/>
      <c r="T81" s="49" t="n"/>
      <c r="U81" s="49" t="n"/>
      <c r="V81" s="49" t="n"/>
      <c r="W81" s="49" t="n">
        <v>217.0038</v>
      </c>
      <c r="X81" s="49" t="n">
        <v>44239</v>
      </c>
      <c r="Y81" s="46" t="n">
        <v>0.3081909691</v>
      </c>
      <c r="Z81" s="49" t="n">
        <v>514.759048</v>
      </c>
      <c r="AA81" s="49" t="n">
        <v>2162.729048</v>
      </c>
      <c r="AB81" s="50" t="n">
        <v>10</v>
      </c>
      <c r="AC81" s="49" t="n"/>
      <c r="AD81" s="59" t="inlineStr">
        <is>
          <t>SBI Securities</t>
        </is>
      </c>
    </row>
    <row r="82">
      <c r="A82" s="64" t="n">
        <v>44084</v>
      </c>
      <c r="B82" s="65" t="inlineStr">
        <is>
          <t>NSE</t>
        </is>
      </c>
      <c r="C82" s="65" t="inlineStr">
        <is>
          <t>Buy</t>
        </is>
      </c>
      <c r="D82" s="66" t="n">
        <v>10</v>
      </c>
      <c r="E82" s="42" t="n">
        <v>185.153</v>
      </c>
      <c r="F82" s="67" t="n">
        <v>1864.37</v>
      </c>
      <c r="G82" s="65" t="inlineStr">
        <is>
          <t>~</t>
        </is>
      </c>
      <c r="H82" s="68" t="n">
        <v>1.69</v>
      </c>
      <c r="I82" s="66" t="n">
        <v>11.18</v>
      </c>
      <c r="J82" s="42">
        <f>Index!$C$2</f>
        <v/>
      </c>
      <c r="K82" s="49" t="n"/>
      <c r="L82" s="49">
        <f>IF(AND( C56="Buy", ISBLANK(W56), B56&lt;&gt;"DIV"), ((J56*D56)-(E56*D56)+I56), "")</f>
        <v/>
      </c>
      <c r="M82" s="60">
        <f>IF(AND( C56="Buy", ISBLANK(W56), B56&lt;&gt;"DIV"), J56*D56, "")</f>
        <v/>
      </c>
      <c r="N82" s="61">
        <f>IF(AND( C56="Buy", ISBLANK(W56), B56&lt;&gt;"DIV"), D56, "")</f>
        <v/>
      </c>
      <c r="O82" s="62" t="n"/>
      <c r="P82" s="49" t="n"/>
      <c r="Q82" s="49" t="n"/>
      <c r="R82" s="49" t="n"/>
      <c r="S82" s="49" t="n"/>
      <c r="T82" s="49" t="n"/>
      <c r="U82" s="49" t="n"/>
      <c r="V82" s="49" t="n"/>
      <c r="W82" s="49" t="n">
        <v>217.0038</v>
      </c>
      <c r="X82" s="49" t="n">
        <v>44239</v>
      </c>
      <c r="Y82" s="46" t="n">
        <v>0.167292881</v>
      </c>
      <c r="Z82" s="49" t="n">
        <v>314.048888</v>
      </c>
      <c r="AA82" s="49" t="n">
        <v>2165.578888</v>
      </c>
      <c r="AB82" s="50" t="n">
        <v>10</v>
      </c>
      <c r="AC82" s="49" t="n"/>
      <c r="AD82" s="59" t="inlineStr">
        <is>
          <t>SBI Securities</t>
        </is>
      </c>
    </row>
    <row r="83">
      <c r="A83" s="64" t="n">
        <v>44077</v>
      </c>
      <c r="B83" s="65" t="inlineStr">
        <is>
          <t>NSE</t>
        </is>
      </c>
      <c r="C83" s="65" t="inlineStr">
        <is>
          <t>Buy</t>
        </is>
      </c>
      <c r="D83" s="66" t="n">
        <v>10</v>
      </c>
      <c r="E83" s="42" t="n">
        <v>191.551</v>
      </c>
      <c r="F83" s="67" t="n">
        <v>1928.69</v>
      </c>
      <c r="G83" s="65" t="inlineStr">
        <is>
          <t>~</t>
        </is>
      </c>
      <c r="H83" s="68" t="n">
        <v>1.53</v>
      </c>
      <c r="I83" s="66" t="n">
        <v>11.66</v>
      </c>
      <c r="J83" s="42">
        <f>Index!$C$2</f>
        <v/>
      </c>
      <c r="K83" s="49" t="n"/>
      <c r="L83" s="49">
        <f>IF(AND( C57="Buy", ISBLANK(W57), B57&lt;&gt;"DIV"), ((J57*D57)-(E57*D57)+I57), "")</f>
        <v/>
      </c>
      <c r="M83" s="60">
        <f>IF(AND( C57="Buy", ISBLANK(W57), B57&lt;&gt;"DIV"), J57*D57, "")</f>
        <v/>
      </c>
      <c r="N83" s="61">
        <f>IF(AND( C57="Buy", ISBLANK(W57), B57&lt;&gt;"DIV"), D57, "")</f>
        <v/>
      </c>
      <c r="O83" s="62" t="n"/>
      <c r="P83" s="49" t="n"/>
      <c r="Q83" s="49" t="n"/>
      <c r="R83" s="49" t="n"/>
      <c r="S83" s="49" t="n"/>
      <c r="T83" s="49" t="n"/>
      <c r="U83" s="49" t="n"/>
      <c r="V83" s="49" t="n"/>
      <c r="W83" s="49" t="n">
        <v>217.0038</v>
      </c>
      <c r="X83" s="49" t="n">
        <v>44239</v>
      </c>
      <c r="Y83" s="46" t="n">
        <v>0.1292379591</v>
      </c>
      <c r="Z83" s="49" t="n">
        <v>250.964608</v>
      </c>
      <c r="AA83" s="49" t="n">
        <v>2166.474608</v>
      </c>
      <c r="AB83" s="50" t="n">
        <v>10</v>
      </c>
      <c r="AC83" s="49" t="n"/>
      <c r="AD83" s="59" t="inlineStr">
        <is>
          <t>SBI Securities</t>
        </is>
      </c>
    </row>
    <row r="84">
      <c r="A84" s="64" t="n">
        <v>44070</v>
      </c>
      <c r="B84" s="65" t="inlineStr">
        <is>
          <t>NSE</t>
        </is>
      </c>
      <c r="C84" s="65" t="inlineStr">
        <is>
          <t>Buy</t>
        </is>
      </c>
      <c r="D84" s="66" t="n">
        <v>20</v>
      </c>
      <c r="E84" s="42" t="n">
        <v>195.7</v>
      </c>
      <c r="F84" s="67" t="n">
        <v>3941.4</v>
      </c>
      <c r="G84" s="65" t="inlineStr">
        <is>
          <t>~</t>
        </is>
      </c>
      <c r="H84" s="68" t="n">
        <v>3.54</v>
      </c>
      <c r="I84" s="66" t="n">
        <v>23.86</v>
      </c>
      <c r="J84" s="42">
        <f>Index!$C$2</f>
        <v/>
      </c>
      <c r="K84" s="49" t="n"/>
      <c r="L84" s="49">
        <f>IF(AND( C58="Buy", ISBLANK(W58), B58&lt;&gt;"DIV"), ((J58*D58)-(E58*D58)+I58), "")</f>
        <v/>
      </c>
      <c r="M84" s="60">
        <f>IF(AND( C58="Buy", ISBLANK(W58), B58&lt;&gt;"DIV"), J58*D58, "")</f>
        <v/>
      </c>
      <c r="N84" s="61">
        <f>IF(AND( C58="Buy", ISBLANK(W58), B58&lt;&gt;"DIV"), D58, "")</f>
        <v/>
      </c>
      <c r="O84" s="62" t="n"/>
      <c r="P84" s="49" t="n"/>
      <c r="Q84" s="49" t="n"/>
      <c r="R84" s="49" t="n"/>
      <c r="S84" s="49" t="n"/>
      <c r="T84" s="49" t="n"/>
      <c r="U84" s="49" t="n"/>
      <c r="V84" s="49" t="n"/>
      <c r="W84" s="49" t="n">
        <v>217.0038</v>
      </c>
      <c r="X84" s="49" t="n">
        <v>44239</v>
      </c>
      <c r="Y84" s="46" t="n">
        <v>0.1058533904</v>
      </c>
      <c r="Z84" s="49" t="n">
        <v>420.110936</v>
      </c>
      <c r="AA84" s="49" t="n">
        <v>4334.110936</v>
      </c>
      <c r="AB84" s="50" t="n">
        <v>20</v>
      </c>
      <c r="AC84" s="49" t="n"/>
      <c r="AD84" s="59" t="inlineStr">
        <is>
          <t>SBI Securities</t>
        </is>
      </c>
    </row>
    <row r="85">
      <c r="A85" s="64" t="n">
        <v>44060</v>
      </c>
      <c r="B85" s="65" t="inlineStr">
        <is>
          <t>NSE</t>
        </is>
      </c>
      <c r="C85" s="65" t="inlineStr">
        <is>
          <t>Buy</t>
        </is>
      </c>
      <c r="D85" s="66" t="n">
        <v>10</v>
      </c>
      <c r="E85" s="42" t="n">
        <v>198.603</v>
      </c>
      <c r="F85" s="67" t="n">
        <v>1999.67</v>
      </c>
      <c r="G85" s="65" t="inlineStr">
        <is>
          <t>~</t>
        </is>
      </c>
      <c r="H85" s="68" t="n">
        <v>1.8</v>
      </c>
      <c r="I85" s="66" t="n">
        <v>11.87</v>
      </c>
      <c r="J85" s="42">
        <f>Index!$C$2</f>
        <v/>
      </c>
      <c r="K85" s="49" t="n"/>
      <c r="L85" s="49">
        <f>IF(AND( C59="Buy", ISBLANK(W59), B59&lt;&gt;"DIV"), ((J59*D59)-(E59*D59)+I59), "")</f>
        <v/>
      </c>
      <c r="M85" s="60">
        <f>IF(AND( C59="Buy", ISBLANK(W59), B59&lt;&gt;"DIV"), J59*D59, "")</f>
        <v/>
      </c>
      <c r="N85" s="61">
        <f>IF(AND( C59="Buy", ISBLANK(W59), B59&lt;&gt;"DIV"), D59, "")</f>
        <v/>
      </c>
      <c r="O85" s="62" t="n"/>
      <c r="P85" s="49" t="n"/>
      <c r="Q85" s="49" t="n"/>
      <c r="R85" s="49" t="n"/>
      <c r="S85" s="49" t="n"/>
      <c r="T85" s="49" t="n"/>
      <c r="U85" s="49" t="n"/>
      <c r="V85" s="49" t="n"/>
      <c r="W85" s="49" t="n">
        <v>224.6598</v>
      </c>
      <c r="X85" s="49" t="n">
        <v>44237</v>
      </c>
      <c r="Y85" s="46" t="n">
        <v>0.1276088728</v>
      </c>
      <c r="Z85" s="49" t="n">
        <v>256.920048</v>
      </c>
      <c r="AA85" s="49" t="n">
        <v>2242.950048</v>
      </c>
      <c r="AB85" s="50" t="n">
        <v>10</v>
      </c>
      <c r="AC85" s="49" t="n"/>
      <c r="AD85" s="59" t="inlineStr">
        <is>
          <t>SBI Securities</t>
        </is>
      </c>
    </row>
    <row r="86">
      <c r="A86" s="64" t="n">
        <v>44055</v>
      </c>
      <c r="B86" s="65" t="inlineStr">
        <is>
          <t>NSE</t>
        </is>
      </c>
      <c r="C86" s="65" t="inlineStr">
        <is>
          <t>Buy</t>
        </is>
      </c>
      <c r="D86" s="66" t="n">
        <v>20</v>
      </c>
      <c r="E86" s="42" t="n">
        <v>202.6</v>
      </c>
      <c r="F86" s="67" t="n">
        <v>4080.4</v>
      </c>
      <c r="G86" s="65" t="inlineStr">
        <is>
          <t>~</t>
        </is>
      </c>
      <c r="H86" s="68" t="n">
        <v>4.07</v>
      </c>
      <c r="I86" s="66" t="n">
        <v>24.33</v>
      </c>
      <c r="J86" s="42">
        <f>Index!$C$2</f>
        <v/>
      </c>
      <c r="K86" s="49" t="n"/>
      <c r="L86" s="49">
        <f>IF(AND( C60="Buy", ISBLANK(W60), B60&lt;&gt;"DIV"), ((J60*D60)-(E60*D60)+I60), "")</f>
        <v/>
      </c>
      <c r="M86" s="60">
        <f>IF(AND( C60="Buy", ISBLANK(W60), B60&lt;&gt;"DIV"), J60*D60, "")</f>
        <v/>
      </c>
      <c r="N86" s="61">
        <f>IF(AND( C60="Buy", ISBLANK(W60), B60&lt;&gt;"DIV"), D60, "")</f>
        <v/>
      </c>
      <c r="O86" s="62" t="n"/>
      <c r="P86" s="49" t="n"/>
      <c r="Q86" s="49" t="n"/>
      <c r="R86" s="49" t="n"/>
      <c r="S86" s="49" t="n"/>
      <c r="T86" s="49" t="n"/>
      <c r="U86" s="49" t="n"/>
      <c r="V86" s="49" t="n"/>
      <c r="W86" s="49" t="n">
        <v>224.6598</v>
      </c>
      <c r="X86" s="49" t="n">
        <v>44237</v>
      </c>
      <c r="Y86" s="46" t="n">
        <v>0.1058750136</v>
      </c>
      <c r="Z86" s="49" t="n">
        <v>435.019256</v>
      </c>
      <c r="AA86" s="49" t="n">
        <v>4487.019256</v>
      </c>
      <c r="AB86" s="50" t="n">
        <v>20</v>
      </c>
      <c r="AC86" s="49" t="n"/>
      <c r="AD86" s="59" t="inlineStr">
        <is>
          <t>SBI Securities</t>
        </is>
      </c>
    </row>
    <row r="87">
      <c r="A87" s="64" t="n">
        <v>44054</v>
      </c>
      <c r="B87" s="65" t="inlineStr">
        <is>
          <t>NSE</t>
        </is>
      </c>
      <c r="C87" s="65" t="inlineStr">
        <is>
          <t>Buy</t>
        </is>
      </c>
      <c r="D87" s="66" t="n">
        <v>20</v>
      </c>
      <c r="E87" s="42" t="n">
        <v>203.5485</v>
      </c>
      <c r="F87" s="67" t="n">
        <v>4099.83</v>
      </c>
      <c r="G87" s="65" t="inlineStr">
        <is>
          <t>~</t>
        </is>
      </c>
      <c r="H87" s="68" t="n">
        <v>4.09</v>
      </c>
      <c r="I87" s="66" t="n">
        <v>24.74</v>
      </c>
      <c r="J87" s="42">
        <f>Index!$C$2</f>
        <v/>
      </c>
      <c r="K87" s="49" t="n"/>
      <c r="L87" s="49">
        <f>IF(AND( C61="Buy", ISBLANK(W61), B61&lt;&gt;"DIV"), ((J61*D61)-(E61*D61)+I61), "")</f>
        <v/>
      </c>
      <c r="M87" s="60">
        <f>IF(AND( C61="Buy", ISBLANK(W61), B61&lt;&gt;"DIV"), J61*D61, "")</f>
        <v/>
      </c>
      <c r="N87" s="61">
        <f>IF(AND( C61="Buy", ISBLANK(W61), B61&lt;&gt;"DIV"), D61, "")</f>
        <v/>
      </c>
      <c r="O87" s="62" t="n"/>
      <c r="P87" s="49" t="n"/>
      <c r="Q87" s="49" t="n"/>
      <c r="R87" s="49" t="n"/>
      <c r="S87" s="49" t="n"/>
      <c r="T87" s="49" t="n"/>
      <c r="U87" s="49" t="n"/>
      <c r="V87" s="49" t="n"/>
      <c r="W87" s="49" t="n">
        <v>224.6598</v>
      </c>
      <c r="X87" s="49" t="n">
        <v>44237</v>
      </c>
      <c r="Y87" s="46" t="n">
        <v>0.1008353403</v>
      </c>
      <c r="Z87" s="49" t="n">
        <v>416.314836</v>
      </c>
      <c r="AA87" s="49" t="n">
        <v>4487.284836</v>
      </c>
      <c r="AB87" s="50" t="n">
        <v>20</v>
      </c>
      <c r="AC87" s="49" t="n"/>
      <c r="AD87" s="59" t="inlineStr">
        <is>
          <t>SBI Securities</t>
        </is>
      </c>
    </row>
    <row r="88">
      <c r="A88" s="64" t="n">
        <v>44053</v>
      </c>
      <c r="B88" s="65" t="inlineStr">
        <is>
          <t>NSE</t>
        </is>
      </c>
      <c r="C88" s="65" t="inlineStr">
        <is>
          <t>Buy</t>
        </is>
      </c>
      <c r="D88" s="66" t="n">
        <v>30</v>
      </c>
      <c r="E88" s="42" t="n">
        <v>198.498667</v>
      </c>
      <c r="F88" s="67" t="n">
        <v>5997.04</v>
      </c>
      <c r="G88" s="65" t="inlineStr">
        <is>
          <t>~</t>
        </is>
      </c>
      <c r="H88" s="68" t="n">
        <v>5.93</v>
      </c>
      <c r="I88" s="66" t="n">
        <v>36.11</v>
      </c>
      <c r="J88" s="42">
        <f>Index!$C$2</f>
        <v/>
      </c>
      <c r="K88" s="49" t="n"/>
      <c r="L88" s="49">
        <f>IF(AND( C62="Buy", ISBLANK(W62), B62&lt;&gt;"DIV"), ((J62*D62)-(E62*D62)+I62), "")</f>
        <v/>
      </c>
      <c r="M88" s="60">
        <f>IF(AND( C62="Buy", ISBLANK(W62), B62&lt;&gt;"DIV"), J62*D62, "")</f>
        <v/>
      </c>
      <c r="N88" s="61">
        <f>IF(AND( C62="Buy", ISBLANK(W62), B62&lt;&gt;"DIV"), D62, "")</f>
        <v/>
      </c>
      <c r="O88" s="62" t="n"/>
      <c r="P88" s="49" t="n"/>
      <c r="Q88" s="49" t="n"/>
      <c r="R88" s="49" t="n"/>
      <c r="S88" s="49" t="n"/>
      <c r="T88" s="49" t="n"/>
      <c r="U88" s="49" t="n"/>
      <c r="V88" s="49" t="n"/>
      <c r="W88" s="49" t="n">
        <v>224.6598</v>
      </c>
      <c r="X88" s="49" t="n">
        <v>44237</v>
      </c>
      <c r="Y88" s="46" t="n">
        <v>0.1281397687</v>
      </c>
      <c r="Z88" s="49" t="n">
        <v>773.8463141</v>
      </c>
      <c r="AA88" s="49" t="n">
        <v>6728.806324</v>
      </c>
      <c r="AB88" s="50" t="n">
        <v>30</v>
      </c>
      <c r="AC88" s="49" t="n"/>
      <c r="AD88" s="59" t="inlineStr">
        <is>
          <t>SBI Securities</t>
        </is>
      </c>
    </row>
    <row r="89">
      <c r="A89" s="64" t="n">
        <v>44050</v>
      </c>
      <c r="B89" s="65" t="inlineStr">
        <is>
          <t>NSE</t>
        </is>
      </c>
      <c r="C89" s="65" t="inlineStr">
        <is>
          <t>Buy</t>
        </is>
      </c>
      <c r="D89" s="66" t="n">
        <v>20</v>
      </c>
      <c r="E89" s="42" t="n">
        <v>196.497</v>
      </c>
      <c r="F89" s="67" t="n">
        <v>3957.46</v>
      </c>
      <c r="G89" s="65" t="inlineStr">
        <is>
          <t>~</t>
        </is>
      </c>
      <c r="H89" s="68" t="n">
        <v>3.91</v>
      </c>
      <c r="I89" s="66" t="n">
        <v>23.55</v>
      </c>
      <c r="J89" s="42">
        <f>Index!$C$2</f>
        <v/>
      </c>
      <c r="K89" s="49" t="n"/>
      <c r="L89" s="49">
        <f>IF(AND( C63="Buy", ISBLANK(W63), B63&lt;&gt;"DIV"), ((J63*D63)-(E63*D63)+I63), "")</f>
        <v/>
      </c>
      <c r="M89" s="60">
        <f>IF(AND( C63="Buy", ISBLANK(W63), B63&lt;&gt;"DIV"), J63*D63, "")</f>
        <v/>
      </c>
      <c r="N89" s="61">
        <f>IF(AND( C63="Buy", ISBLANK(W63), B63&lt;&gt;"DIV"), D63, "")</f>
        <v/>
      </c>
      <c r="O89" s="62" t="n"/>
      <c r="P89" s="49" t="n"/>
      <c r="Q89" s="49" t="n"/>
      <c r="R89" s="49" t="n"/>
      <c r="S89" s="49" t="n"/>
      <c r="T89" s="49" t="n"/>
      <c r="U89" s="49" t="n"/>
      <c r="V89" s="49" t="n"/>
      <c r="W89" s="49" t="n">
        <v>224.6598</v>
      </c>
      <c r="X89" s="49" t="n">
        <v>44237</v>
      </c>
      <c r="Y89" s="46" t="n">
        <v>0.1393680214</v>
      </c>
      <c r="Z89" s="49" t="n">
        <v>555.370416</v>
      </c>
      <c r="AA89" s="49" t="n">
        <v>4485.310416</v>
      </c>
      <c r="AB89" s="50" t="n">
        <v>20</v>
      </c>
      <c r="AC89" s="49" t="n"/>
      <c r="AD89" s="59" t="inlineStr">
        <is>
          <t>SBI Securities</t>
        </is>
      </c>
    </row>
    <row r="90">
      <c r="A90" s="64" t="n">
        <v>44049</v>
      </c>
      <c r="B90" s="65" t="inlineStr">
        <is>
          <t>NSE</t>
        </is>
      </c>
      <c r="C90" s="65" t="inlineStr">
        <is>
          <t>Buy</t>
        </is>
      </c>
      <c r="D90" s="66" t="n">
        <v>20</v>
      </c>
      <c r="E90" s="42" t="n">
        <v>194.947</v>
      </c>
      <c r="F90" s="67" t="n">
        <v>3926.26</v>
      </c>
      <c r="G90" s="65" t="inlineStr">
        <is>
          <t>~</t>
        </is>
      </c>
      <c r="H90" s="68" t="n">
        <v>3.9</v>
      </c>
      <c r="I90" s="66" t="n">
        <v>23.36</v>
      </c>
      <c r="J90" s="42">
        <f>Index!$C$2</f>
        <v/>
      </c>
      <c r="K90" s="49" t="n"/>
      <c r="L90" s="49">
        <f>IF(AND( C64="Buy", ISBLANK(W64), B64&lt;&gt;"DIV"), ((J64*D64)-(E64*D64)+I64), "")</f>
        <v/>
      </c>
      <c r="M90" s="60">
        <f>IF(AND( C64="Buy", ISBLANK(W64), B64&lt;&gt;"DIV"), J64*D64, "")</f>
        <v/>
      </c>
      <c r="N90" s="61">
        <f>IF(AND( C64="Buy", ISBLANK(W64), B64&lt;&gt;"DIV"), D64, "")</f>
        <v/>
      </c>
      <c r="O90" s="62" t="n"/>
      <c r="P90" s="49" t="n"/>
      <c r="Q90" s="49" t="n"/>
      <c r="R90" s="49" t="n"/>
      <c r="S90" s="49" t="n"/>
      <c r="T90" s="49" t="n"/>
      <c r="U90" s="49" t="n"/>
      <c r="V90" s="49" t="n"/>
      <c r="W90" s="49" t="n">
        <v>224.6598</v>
      </c>
      <c r="X90" s="49" t="n">
        <v>44237</v>
      </c>
      <c r="Y90" s="46" t="n">
        <v>0.1482062607</v>
      </c>
      <c r="Z90" s="49" t="n">
        <v>585.936416</v>
      </c>
      <c r="AA90" s="49" t="n">
        <v>4484.876416</v>
      </c>
      <c r="AB90" s="50" t="n">
        <v>20</v>
      </c>
      <c r="AC90" s="49" t="n"/>
      <c r="AD90" s="59" t="inlineStr">
        <is>
          <t>SBI Securities</t>
        </is>
      </c>
    </row>
    <row r="91">
      <c r="A91" s="64" t="n">
        <v>44046</v>
      </c>
      <c r="B91" s="65" t="inlineStr">
        <is>
          <t>NSE</t>
        </is>
      </c>
      <c r="C91" s="65" t="inlineStr">
        <is>
          <t>Buy</t>
        </is>
      </c>
      <c r="D91" s="66" t="n">
        <v>10</v>
      </c>
      <c r="E91" s="42" t="n">
        <v>193.497</v>
      </c>
      <c r="F91" s="67" t="n">
        <v>1948.63</v>
      </c>
      <c r="G91" s="65" t="inlineStr">
        <is>
          <t>~</t>
        </is>
      </c>
      <c r="H91" s="68" t="n">
        <v>1.95</v>
      </c>
      <c r="I91" s="66" t="n">
        <v>11.68</v>
      </c>
      <c r="J91" s="42">
        <f>Index!$C$2</f>
        <v/>
      </c>
      <c r="K91" s="49" t="n"/>
      <c r="L91" s="49">
        <f>IF(AND( C65="Buy", ISBLANK(W65), B65&lt;&gt;"DIV"), ((J65*D65)-(E65*D65)+I65), "")</f>
        <v/>
      </c>
      <c r="M91" s="60">
        <f>IF(AND( C65="Buy", ISBLANK(W65), B65&lt;&gt;"DIV"), J65*D65, "")</f>
        <v/>
      </c>
      <c r="N91" s="61">
        <f>IF(AND( C65="Buy", ISBLANK(W65), B65&lt;&gt;"DIV"), D65, "")</f>
        <v/>
      </c>
      <c r="O91" s="62" t="n"/>
      <c r="P91" s="49" t="n"/>
      <c r="Q91" s="49" t="n"/>
      <c r="R91" s="49" t="n"/>
      <c r="S91" s="49" t="n"/>
      <c r="T91" s="49" t="n"/>
      <c r="U91" s="49" t="n"/>
      <c r="V91" s="49" t="n"/>
      <c r="W91" s="49" t="n">
        <v>224.6598</v>
      </c>
      <c r="X91" s="49" t="n">
        <v>44237</v>
      </c>
      <c r="Y91" s="46" t="n">
        <v>0.1565874084</v>
      </c>
      <c r="Z91" s="49" t="n">
        <v>307.265208</v>
      </c>
      <c r="AA91" s="49" t="n">
        <v>2242.235208</v>
      </c>
      <c r="AB91" s="50" t="n">
        <v>10</v>
      </c>
      <c r="AC91" s="49" t="n"/>
      <c r="AD91" s="59" t="inlineStr">
        <is>
          <t>SBI Securities</t>
        </is>
      </c>
    </row>
    <row r="92">
      <c r="A92" s="64" t="n">
        <v>44043</v>
      </c>
      <c r="B92" s="65" t="inlineStr">
        <is>
          <t>NSE</t>
        </is>
      </c>
      <c r="C92" s="65" t="inlineStr">
        <is>
          <t>Buy</t>
        </is>
      </c>
      <c r="D92" s="66" t="n">
        <v>10</v>
      </c>
      <c r="E92" s="42" t="n">
        <v>196.605</v>
      </c>
      <c r="F92" s="67" t="n">
        <v>1979.95</v>
      </c>
      <c r="G92" s="65" t="inlineStr">
        <is>
          <t>~</t>
        </is>
      </c>
      <c r="H92" s="68" t="n">
        <v>2</v>
      </c>
      <c r="I92" s="66" t="n">
        <v>11.95</v>
      </c>
      <c r="J92" s="42">
        <f>Index!$C$2</f>
        <v/>
      </c>
      <c r="K92" s="49" t="n"/>
      <c r="L92" s="49">
        <f>IF(AND( C66="Buy", ISBLANK(W66), B66&lt;&gt;"DIV"), ((J66*D66)-(E66*D66)+I66), "")</f>
        <v/>
      </c>
      <c r="M92" s="60">
        <f>IF(AND( C66="Buy", ISBLANK(W66), B66&lt;&gt;"DIV"), J66*D66, "")</f>
        <v/>
      </c>
      <c r="N92" s="61">
        <f>IF(AND( C66="Buy", ISBLANK(W66), B66&lt;&gt;"DIV"), D66, "")</f>
        <v/>
      </c>
      <c r="O92" s="62" t="n"/>
      <c r="P92" s="49" t="n"/>
      <c r="Q92" s="49" t="n"/>
      <c r="R92" s="49" t="n"/>
      <c r="S92" s="49" t="n"/>
      <c r="T92" s="49" t="n"/>
      <c r="U92" s="49" t="n"/>
      <c r="V92" s="49" t="n"/>
      <c r="W92" s="49" t="n">
        <v>224.6598</v>
      </c>
      <c r="X92" s="49" t="n">
        <v>44237</v>
      </c>
      <c r="Y92" s="46" t="n">
        <v>0.1387333006</v>
      </c>
      <c r="Z92" s="49" t="n">
        <v>276.620328</v>
      </c>
      <c r="AA92" s="49" t="n">
        <v>2242.670328</v>
      </c>
      <c r="AB92" s="50" t="n">
        <v>10</v>
      </c>
      <c r="AC92" s="49" t="n"/>
      <c r="AD92" s="59" t="inlineStr">
        <is>
          <t>SBI Securities</t>
        </is>
      </c>
    </row>
    <row r="93">
      <c r="A93" s="64" t="n">
        <v>44040</v>
      </c>
      <c r="B93" s="65" t="inlineStr">
        <is>
          <t>NSE</t>
        </is>
      </c>
      <c r="C93" s="65" t="inlineStr">
        <is>
          <t>Buy</t>
        </is>
      </c>
      <c r="D93" s="66" t="n">
        <v>10</v>
      </c>
      <c r="E93" s="42" t="n">
        <v>196.997</v>
      </c>
      <c r="F93" s="67" t="n">
        <v>1984.03</v>
      </c>
      <c r="G93" s="65" t="inlineStr">
        <is>
          <t>~</t>
        </is>
      </c>
      <c r="H93" s="68" t="n">
        <v>1.97</v>
      </c>
      <c r="I93" s="66" t="n">
        <v>12.06</v>
      </c>
      <c r="J93" s="42">
        <f>Index!$C$2</f>
        <v/>
      </c>
      <c r="K93" s="49" t="n"/>
      <c r="L93" s="49">
        <f>IF(AND( C67="Buy", ISBLANK(W67), B67&lt;&gt;"DIV"), ((J67*D67)-(E67*D67)+I67), "")</f>
        <v/>
      </c>
      <c r="M93" s="60">
        <f>IF(AND( C67="Buy", ISBLANK(W67), B67&lt;&gt;"DIV"), J67*D67, "")</f>
        <v/>
      </c>
      <c r="N93" s="61">
        <f>IF(AND( C67="Buy", ISBLANK(W67), B67&lt;&gt;"DIV"), D67, "")</f>
        <v/>
      </c>
      <c r="O93" s="62" t="n"/>
      <c r="P93" s="49" t="n"/>
      <c r="Q93" s="49" t="n"/>
      <c r="R93" s="49" t="n"/>
      <c r="S93" s="49" t="n"/>
      <c r="T93" s="49" t="n"/>
      <c r="U93" s="49" t="n"/>
      <c r="V93" s="49" t="n"/>
      <c r="W93" s="49" t="n">
        <v>224.6598</v>
      </c>
      <c r="X93" s="49" t="n">
        <v>44237</v>
      </c>
      <c r="Y93" s="46" t="n">
        <v>0.1365100187</v>
      </c>
      <c r="Z93" s="49" t="n">
        <v>272.755208</v>
      </c>
      <c r="AA93" s="49" t="n">
        <v>2242.725208</v>
      </c>
      <c r="AB93" s="50" t="n">
        <v>10</v>
      </c>
      <c r="AC93" s="49" t="n"/>
      <c r="AD93" s="59" t="inlineStr">
        <is>
          <t>SBI Securities</t>
        </is>
      </c>
    </row>
    <row r="94">
      <c r="A94" s="64" t="n">
        <v>44036</v>
      </c>
      <c r="B94" s="65" t="inlineStr">
        <is>
          <t>NSE</t>
        </is>
      </c>
      <c r="C94" s="65" t="inlineStr">
        <is>
          <t>Buy</t>
        </is>
      </c>
      <c r="D94" s="66" t="n">
        <v>30</v>
      </c>
      <c r="E94" s="42" t="n">
        <v>198.149</v>
      </c>
      <c r="F94" s="67" t="n">
        <v>5986.23</v>
      </c>
      <c r="G94" s="65" t="inlineStr">
        <is>
          <t>~</t>
        </is>
      </c>
      <c r="H94" s="68" t="n">
        <v>6</v>
      </c>
      <c r="I94" s="66" t="n">
        <v>35.73</v>
      </c>
      <c r="J94" s="42">
        <f>Index!$C$2</f>
        <v/>
      </c>
      <c r="K94" s="49" t="n"/>
      <c r="L94" s="49">
        <f>IF(AND( C68="Buy", ISBLANK(W68), B68&lt;&gt;"DIV"), ((J68*D68)-(E68*D68)+I68), "")</f>
        <v/>
      </c>
      <c r="M94" s="60">
        <f>IF(AND( C68="Buy", ISBLANK(W68), B68&lt;&gt;"DIV"), J68*D68, "")</f>
        <v/>
      </c>
      <c r="N94" s="61">
        <f>IF(AND( C68="Buy", ISBLANK(W68), B68&lt;&gt;"DIV"), D68, "")</f>
        <v/>
      </c>
      <c r="O94" s="62" t="n"/>
      <c r="P94" s="49" t="n"/>
      <c r="Q94" s="49" t="n"/>
      <c r="R94" s="49" t="n"/>
      <c r="S94" s="49" t="n"/>
      <c r="T94" s="49" t="n"/>
      <c r="U94" s="49" t="n"/>
      <c r="V94" s="49" t="n"/>
      <c r="W94" s="49" t="n">
        <v>224.6598</v>
      </c>
      <c r="X94" s="49" t="n">
        <v>44237</v>
      </c>
      <c r="Y94" s="46" t="n">
        <v>0.1300920152</v>
      </c>
      <c r="Z94" s="49" t="n">
        <v>784.189464</v>
      </c>
      <c r="AA94" s="49" t="n">
        <v>6728.659464</v>
      </c>
      <c r="AB94" s="50" t="n">
        <v>30</v>
      </c>
      <c r="AC94" s="49" t="n"/>
      <c r="AD94" s="59" t="inlineStr">
        <is>
          <t>SBI Securities</t>
        </is>
      </c>
    </row>
    <row r="95">
      <c r="A95" s="64" t="n">
        <v>44029</v>
      </c>
      <c r="B95" s="65" t="inlineStr">
        <is>
          <t>NSE</t>
        </is>
      </c>
      <c r="C95" s="65" t="inlineStr">
        <is>
          <t>Buy</t>
        </is>
      </c>
      <c r="D95" s="66" t="n">
        <v>10</v>
      </c>
      <c r="E95" s="42" t="n">
        <v>194.302</v>
      </c>
      <c r="F95" s="67" t="n">
        <v>1956.78</v>
      </c>
      <c r="G95" s="65" t="inlineStr">
        <is>
          <t>~</t>
        </is>
      </c>
      <c r="H95" s="68" t="n">
        <v>1.95</v>
      </c>
      <c r="I95" s="66" t="n">
        <v>11.83</v>
      </c>
      <c r="J95" s="42">
        <f>Index!$C$2</f>
        <v/>
      </c>
      <c r="K95" s="49" t="n"/>
      <c r="L95" s="49">
        <f>IF(AND( C69="Buy", ISBLANK(W69), B69&lt;&gt;"DIV"), ((J69*D69)-(E69*D69)+I69), "")</f>
        <v/>
      </c>
      <c r="M95" s="60">
        <f>IF(AND( C69="Buy", ISBLANK(W69), B69&lt;&gt;"DIV"), J69*D69, "")</f>
        <v/>
      </c>
      <c r="N95" s="61">
        <f>IF(AND( C69="Buy", ISBLANK(W69), B69&lt;&gt;"DIV"), D69, "")</f>
        <v/>
      </c>
      <c r="O95" s="62" t="n"/>
      <c r="P95" s="49" t="n"/>
      <c r="Q95" s="49" t="n"/>
      <c r="R95" s="49" t="n"/>
      <c r="S95" s="49" t="n"/>
      <c r="T95" s="49" t="n"/>
      <c r="U95" s="49" t="n"/>
      <c r="V95" s="49" t="n"/>
      <c r="W95" s="49" t="n">
        <v>224.6598</v>
      </c>
      <c r="X95" s="49" t="n">
        <v>44237</v>
      </c>
      <c r="Y95" s="46" t="n">
        <v>0.1518999208</v>
      </c>
      <c r="Z95" s="49" t="n">
        <v>299.327908</v>
      </c>
      <c r="AA95" s="49" t="n">
        <v>2242.347908</v>
      </c>
      <c r="AB95" s="50" t="n">
        <v>10</v>
      </c>
      <c r="AC95" s="49" t="n"/>
      <c r="AD95" s="59" t="inlineStr">
        <is>
          <t>SBI Securities</t>
        </is>
      </c>
    </row>
    <row r="96">
      <c r="A96" s="64" t="n">
        <v>44026</v>
      </c>
      <c r="B96" s="65" t="inlineStr">
        <is>
          <t>NSE</t>
        </is>
      </c>
      <c r="C96" s="65" t="inlineStr">
        <is>
          <t>Buy</t>
        </is>
      </c>
      <c r="D96" s="66" t="n">
        <v>10</v>
      </c>
      <c r="E96" s="42" t="n">
        <v>197.348</v>
      </c>
      <c r="F96" s="67" t="n">
        <v>1987.52</v>
      </c>
      <c r="G96" s="65" t="inlineStr">
        <is>
          <t>~</t>
        </is>
      </c>
      <c r="H96" s="68" t="n">
        <v>1.99</v>
      </c>
      <c r="I96" s="66" t="n">
        <v>12.03</v>
      </c>
      <c r="J96" s="42">
        <f>Index!$C$2</f>
        <v/>
      </c>
      <c r="K96" s="49" t="n"/>
      <c r="L96" s="49">
        <f>IF(AND( C70="Buy", ISBLANK(W70), B70&lt;&gt;"DIV"), ((J70*D70)-(E70*D70)+I70), "")</f>
        <v/>
      </c>
      <c r="M96" s="60">
        <f>IF(AND( C70="Buy", ISBLANK(W70), B70&lt;&gt;"DIV"), J70*D70, "")</f>
        <v/>
      </c>
      <c r="N96" s="61">
        <f>IF(AND( C70="Buy", ISBLANK(W70), B70&lt;&gt;"DIV"), D70, "")</f>
        <v/>
      </c>
      <c r="O96" s="62" t="n"/>
      <c r="P96" s="49" t="n"/>
      <c r="Q96" s="49" t="n"/>
      <c r="R96" s="49" t="n"/>
      <c r="S96" s="49" t="n"/>
      <c r="T96" s="49" t="n"/>
      <c r="U96" s="49" t="n"/>
      <c r="V96" s="49" t="n"/>
      <c r="W96" s="49" t="n">
        <v>224.6598</v>
      </c>
      <c r="X96" s="49" t="n">
        <v>44237</v>
      </c>
      <c r="Y96" s="46" t="n">
        <v>0.1345435754</v>
      </c>
      <c r="Z96" s="49" t="n">
        <v>269.294348</v>
      </c>
      <c r="AA96" s="49" t="n">
        <v>2242.774348</v>
      </c>
      <c r="AB96" s="50" t="n">
        <v>10</v>
      </c>
      <c r="AC96" s="49" t="n"/>
      <c r="AD96" s="59" t="inlineStr">
        <is>
          <t>SBI Securities</t>
        </is>
      </c>
    </row>
    <row r="97">
      <c r="A97" s="64" t="n">
        <v>44018</v>
      </c>
      <c r="B97" s="65" t="inlineStr">
        <is>
          <t>DIV</t>
        </is>
      </c>
      <c r="C97" s="65" t="inlineStr">
        <is>
          <t>Buy</t>
        </is>
      </c>
      <c r="D97" s="66" t="n">
        <v>820</v>
      </c>
      <c r="E97" s="42" t="n">
        <v>9.390000000000001</v>
      </c>
      <c r="F97" s="67" t="n">
        <v>7698.82</v>
      </c>
      <c r="G97" s="65" t="inlineStr">
        <is>
          <t>Annual-Dividend of Rs.10.1500/- per share on Ex-Date: 06-JUL-2020</t>
        </is>
      </c>
      <c r="H97" s="68" t="n">
        <v>0</v>
      </c>
      <c r="I97" s="66" t="n">
        <v>0</v>
      </c>
      <c r="J97" s="42">
        <f>Index!$C$2</f>
        <v/>
      </c>
      <c r="K97" s="49" t="n"/>
      <c r="L97" s="49">
        <f>IF(AND( C71="Buy", ISBLANK(W71), B71&lt;&gt;"DIV"), ((J71*D71)-(E71*D71)+I71), "")</f>
        <v/>
      </c>
      <c r="M97" s="60">
        <f>IF(AND( C71="Buy", ISBLANK(W71), B71&lt;&gt;"DIV"), J71*D71, "")</f>
        <v/>
      </c>
      <c r="N97" s="61">
        <f>IF(AND( C71="Buy", ISBLANK(W71), B71&lt;&gt;"DIV"), D71, "")</f>
        <v/>
      </c>
      <c r="O97" s="62" t="n"/>
      <c r="P97" s="49">
        <f>if(C71="DIV", G71,"")</f>
        <v/>
      </c>
      <c r="Q97" s="49">
        <f>if(D71="DIV", H71,"")</f>
        <v/>
      </c>
      <c r="R97" s="49">
        <f>if(E71="DIV", I71,"")</f>
        <v/>
      </c>
      <c r="S97" s="49" t="n"/>
      <c r="T97" s="49">
        <f>if(G71="DIV", N71,"")</f>
        <v/>
      </c>
      <c r="U97" s="49">
        <f>if(H71="DIV", #REF!,"")</f>
        <v/>
      </c>
      <c r="V97" s="49">
        <f>if(I71="DIV", #REF!,"")</f>
        <v/>
      </c>
      <c r="W97" s="49" t="n"/>
      <c r="X97" s="49" t="n"/>
      <c r="Y97" s="46">
        <f>IF(AND( C71="Buy", W71&lt;&gt;"", AA71&lt;&gt;"", B71&lt;&gt;"DIV"), Z71/sum(F71:I71), "")</f>
        <v/>
      </c>
      <c r="Z97" s="49" t="n"/>
      <c r="AA97" s="49" t="n"/>
      <c r="AB97" s="50" t="n"/>
      <c r="AC97" s="49">
        <f>if(B71="DIV", F71,"")</f>
        <v/>
      </c>
      <c r="AD97" s="59" t="inlineStr">
        <is>
          <t>SBI Securities</t>
        </is>
      </c>
    </row>
    <row r="98">
      <c r="A98" s="64" t="n">
        <v>43944</v>
      </c>
      <c r="B98" s="65" t="inlineStr">
        <is>
          <t>NSE</t>
        </is>
      </c>
      <c r="C98" s="65" t="inlineStr">
        <is>
          <t>Buy</t>
        </is>
      </c>
      <c r="D98" s="66" t="n">
        <v>10</v>
      </c>
      <c r="E98" s="42" t="n">
        <v>183.4</v>
      </c>
      <c r="F98" s="67" t="n">
        <v>1843.2</v>
      </c>
      <c r="G98" s="65" t="inlineStr">
        <is>
          <t>~</t>
        </is>
      </c>
      <c r="H98" s="68" t="n">
        <v>0</v>
      </c>
      <c r="I98" s="66" t="n">
        <v>9.199999999999999</v>
      </c>
      <c r="J98" s="42">
        <f>Index!$C$2</f>
        <v/>
      </c>
      <c r="K98" s="49" t="n"/>
      <c r="L98" s="49">
        <f>IF(AND( C72="Buy", ISBLANK(W72), B72&lt;&gt;"DIV"), ((J72*D72)-(E72*D72)+I72), "")</f>
        <v/>
      </c>
      <c r="M98" s="60">
        <f>IF(AND( C72="Buy", ISBLANK(W72), B72&lt;&gt;"DIV"), J72*D72, "")</f>
        <v/>
      </c>
      <c r="N98" s="61">
        <f>IF(AND( C72="Buy", ISBLANK(W72), B72&lt;&gt;"DIV"), D72, "")</f>
        <v/>
      </c>
      <c r="O98" s="62" t="n"/>
      <c r="P98" s="49" t="n"/>
      <c r="Q98" s="49" t="n"/>
      <c r="R98" s="49" t="n"/>
      <c r="S98" s="49" t="n"/>
      <c r="T98" s="49" t="n"/>
      <c r="U98" s="49" t="n"/>
      <c r="V98" s="49" t="n"/>
      <c r="W98" s="49" t="n">
        <v>233.022067</v>
      </c>
      <c r="X98" s="49" t="n">
        <v>44236</v>
      </c>
      <c r="Y98" s="46" t="n">
        <v>0.2641295512</v>
      </c>
      <c r="Z98" s="49" t="n">
        <v>489.2735806</v>
      </c>
      <c r="AA98" s="49" t="n">
        <v>2323.273581</v>
      </c>
      <c r="AB98" s="50" t="n">
        <v>10</v>
      </c>
      <c r="AC98" s="49" t="n"/>
      <c r="AD98" s="59" t="inlineStr">
        <is>
          <t>SBI Securities</t>
        </is>
      </c>
    </row>
    <row r="99">
      <c r="A99" s="64" t="n">
        <v>43921</v>
      </c>
      <c r="B99" s="65" t="inlineStr">
        <is>
          <t>NSE</t>
        </is>
      </c>
      <c r="C99" s="65" t="inlineStr">
        <is>
          <t>Buy</t>
        </is>
      </c>
      <c r="D99" s="66" t="n">
        <v>10</v>
      </c>
      <c r="E99" s="42" t="n">
        <v>167.896</v>
      </c>
      <c r="F99" s="67" t="n">
        <v>1690.84</v>
      </c>
      <c r="G99" s="65" t="inlineStr">
        <is>
          <t>~</t>
        </is>
      </c>
      <c r="H99" s="68" t="n">
        <v>1.69</v>
      </c>
      <c r="I99" s="66" t="n">
        <v>10.15</v>
      </c>
      <c r="J99" s="42">
        <f>Index!$C$2</f>
        <v/>
      </c>
      <c r="K99" s="49" t="n"/>
      <c r="L99" s="49">
        <f>IF(AND( C73="Buy", ISBLANK(W73), B73&lt;&gt;"DIV"), ((J73*D73)-(E73*D73)+I73), "")</f>
        <v/>
      </c>
      <c r="M99" s="60">
        <f>IF(AND( C73="Buy", ISBLANK(W73), B73&lt;&gt;"DIV"), J73*D73, "")</f>
        <v/>
      </c>
      <c r="N99" s="61">
        <f>IF(AND( C73="Buy", ISBLANK(W73), B73&lt;&gt;"DIV"), D73, "")</f>
        <v/>
      </c>
      <c r="O99" s="62" t="n"/>
      <c r="P99" s="49" t="n"/>
      <c r="Q99" s="49" t="n"/>
      <c r="R99" s="49" t="n"/>
      <c r="S99" s="49" t="n"/>
      <c r="T99" s="49" t="n"/>
      <c r="U99" s="49" t="n"/>
      <c r="V99" s="49" t="n"/>
      <c r="W99" s="49" t="n">
        <v>233.022067</v>
      </c>
      <c r="X99" s="49" t="n">
        <v>44236</v>
      </c>
      <c r="Y99" s="46" t="n">
        <v>0.3771366438</v>
      </c>
      <c r="Z99" s="49" t="n">
        <v>642.1430206</v>
      </c>
      <c r="AA99" s="49" t="n">
        <v>2321.103021</v>
      </c>
      <c r="AB99" s="50" t="n">
        <v>10</v>
      </c>
      <c r="AC99" s="49" t="n"/>
      <c r="AD99" s="59" t="inlineStr">
        <is>
          <t>SBI Securities</t>
        </is>
      </c>
    </row>
    <row r="100">
      <c r="A100" s="64" t="n">
        <v>43879</v>
      </c>
      <c r="B100" s="65" t="inlineStr">
        <is>
          <t>NSE</t>
        </is>
      </c>
      <c r="C100" s="65" t="inlineStr">
        <is>
          <t>Buy</t>
        </is>
      </c>
      <c r="D100" s="66" t="n">
        <v>20</v>
      </c>
      <c r="E100" s="42" t="n">
        <v>201.1475</v>
      </c>
      <c r="F100" s="67" t="n">
        <v>4051.25</v>
      </c>
      <c r="G100" s="65" t="inlineStr">
        <is>
          <t>~</t>
        </is>
      </c>
      <c r="H100" s="68" t="n">
        <v>4.01</v>
      </c>
      <c r="I100" s="66" t="n">
        <v>24.24</v>
      </c>
      <c r="J100" s="42">
        <f>Index!$C$2</f>
        <v/>
      </c>
      <c r="K100" s="49" t="n"/>
      <c r="L100" s="49">
        <f>IF(AND( C74="Buy", ISBLANK(W74), B74&lt;&gt;"DIV"), ((J74*D74)-(E74*D74)+I74), "")</f>
        <v/>
      </c>
      <c r="M100" s="60">
        <f>IF(AND( C74="Buy", ISBLANK(W74), B74&lt;&gt;"DIV"), J74*D74, "")</f>
        <v/>
      </c>
      <c r="N100" s="61">
        <f>IF(AND( C74="Buy", ISBLANK(W74), B74&lt;&gt;"DIV"), D74, "")</f>
        <v/>
      </c>
      <c r="O100" s="62" t="n"/>
      <c r="P100" s="49" t="n"/>
      <c r="Q100" s="49" t="n"/>
      <c r="R100" s="49" t="n"/>
      <c r="S100" s="49" t="n"/>
      <c r="T100" s="49" t="n"/>
      <c r="U100" s="49" t="n"/>
      <c r="V100" s="49" t="n"/>
      <c r="W100" s="49" t="n">
        <v>233.022067</v>
      </c>
      <c r="X100" s="49" t="n">
        <v>44236</v>
      </c>
      <c r="Y100" s="46" t="n">
        <v>0.1540792894</v>
      </c>
      <c r="Z100" s="49" t="n">
        <v>628.5664612</v>
      </c>
      <c r="AA100" s="49" t="n">
        <v>4651.516461</v>
      </c>
      <c r="AB100" s="50" t="n">
        <v>20</v>
      </c>
      <c r="AC100" s="49" t="n"/>
      <c r="AD100" s="59" t="inlineStr">
        <is>
          <t>SBI Securities</t>
        </is>
      </c>
    </row>
    <row r="101">
      <c r="A101" s="64" t="n">
        <v>43865</v>
      </c>
      <c r="B101" s="65" t="inlineStr">
        <is>
          <t>NSE</t>
        </is>
      </c>
      <c r="C101" s="65" t="inlineStr">
        <is>
          <t>Buy</t>
        </is>
      </c>
      <c r="D101" s="66" t="n">
        <v>10</v>
      </c>
      <c r="E101" s="42" t="n">
        <v>213.852</v>
      </c>
      <c r="F101" s="67" t="n">
        <v>2153.58</v>
      </c>
      <c r="G101" s="65" t="inlineStr">
        <is>
          <t>~</t>
        </is>
      </c>
      <c r="H101" s="68" t="n">
        <v>2.19</v>
      </c>
      <c r="I101" s="66" t="n">
        <v>12.89</v>
      </c>
      <c r="J101" s="42">
        <f>Index!$C$2</f>
        <v/>
      </c>
      <c r="K101" s="49" t="n"/>
      <c r="L101" s="49">
        <f>IF(AND( C75="Buy", ISBLANK(W75), B75&lt;&gt;"DIV"), ((J75*D75)-(E75*D75)+I75), "")</f>
        <v/>
      </c>
      <c r="M101" s="60">
        <f>IF(AND( C75="Buy", ISBLANK(W75), B75&lt;&gt;"DIV"), J75*D75, "")</f>
        <v/>
      </c>
      <c r="N101" s="61">
        <f>IF(AND( C75="Buy", ISBLANK(W75), B75&lt;&gt;"DIV"), D75, "")</f>
        <v/>
      </c>
      <c r="O101" s="62" t="n"/>
      <c r="P101" s="49" t="n"/>
      <c r="Q101" s="49" t="n"/>
      <c r="R101" s="49" t="n"/>
      <c r="S101" s="49" t="n"/>
      <c r="T101" s="49" t="n"/>
      <c r="U101" s="49" t="n"/>
      <c r="V101" s="49" t="n"/>
      <c r="W101" s="49" t="n">
        <v>233.022067</v>
      </c>
      <c r="X101" s="49" t="n">
        <v>44236</v>
      </c>
      <c r="Y101" s="46" t="n">
        <v>0.08715836536</v>
      </c>
      <c r="Z101" s="49" t="n">
        <v>189.0168606</v>
      </c>
      <c r="AA101" s="49" t="n">
        <v>2327.536861</v>
      </c>
      <c r="AB101" s="50" t="n">
        <v>10</v>
      </c>
      <c r="AC101" s="49" t="n"/>
      <c r="AD101" s="59" t="inlineStr">
        <is>
          <t>SBI Securities</t>
        </is>
      </c>
    </row>
    <row r="102">
      <c r="A102" s="64" t="n">
        <v>43864</v>
      </c>
      <c r="B102" s="65" t="inlineStr">
        <is>
          <t>NSE</t>
        </is>
      </c>
      <c r="C102" s="65" t="inlineStr">
        <is>
          <t>Buy</t>
        </is>
      </c>
      <c r="D102" s="66" t="n">
        <v>20</v>
      </c>
      <c r="E102" s="42" t="n">
        <v>205.6455</v>
      </c>
      <c r="F102" s="67" t="n">
        <v>4141.89</v>
      </c>
      <c r="G102" s="65" t="inlineStr">
        <is>
          <t>~</t>
        </is>
      </c>
      <c r="H102" s="68" t="n">
        <v>4.11</v>
      </c>
      <c r="I102" s="66" t="n">
        <v>24.78</v>
      </c>
      <c r="J102" s="42">
        <f>Index!$C$2</f>
        <v/>
      </c>
      <c r="K102" s="49" t="n"/>
      <c r="L102" s="49">
        <f>IF(AND( C76="Buy", ISBLANK(W76), B76&lt;&gt;"DIV"), ((J76*D76)-(E76*D76)+I76), "")</f>
        <v/>
      </c>
      <c r="M102" s="60">
        <f>IF(AND( C76="Buy", ISBLANK(W76), B76&lt;&gt;"DIV"), J76*D76, "")</f>
        <v/>
      </c>
      <c r="N102" s="61">
        <f>IF(AND( C76="Buy", ISBLANK(W76), B76&lt;&gt;"DIV"), D76, "")</f>
        <v/>
      </c>
      <c r="O102" s="62" t="n"/>
      <c r="P102" s="49" t="n"/>
      <c r="Q102" s="49" t="n"/>
      <c r="R102" s="49" t="n"/>
      <c r="S102" s="49" t="n"/>
      <c r="T102" s="49" t="n"/>
      <c r="U102" s="49" t="n"/>
      <c r="V102" s="49" t="n"/>
      <c r="W102" s="49" t="n">
        <v>233.022067</v>
      </c>
      <c r="X102" s="49" t="n">
        <v>44236</v>
      </c>
      <c r="Y102" s="46" t="n">
        <v>0.1294400331</v>
      </c>
      <c r="Z102" s="49" t="n">
        <v>539.8659012000001</v>
      </c>
      <c r="AA102" s="49" t="n">
        <v>4652.775901</v>
      </c>
      <c r="AB102" s="50" t="n">
        <v>20</v>
      </c>
      <c r="AC102" s="49" t="n"/>
      <c r="AD102" s="59" t="inlineStr">
        <is>
          <t>SBI Securities</t>
        </is>
      </c>
    </row>
    <row r="103">
      <c r="A103" s="64" t="n">
        <v>43860</v>
      </c>
      <c r="B103" s="65" t="inlineStr">
        <is>
          <t>NSE</t>
        </is>
      </c>
      <c r="C103" s="65" t="inlineStr">
        <is>
          <t>Buy</t>
        </is>
      </c>
      <c r="D103" s="66" t="n">
        <v>10</v>
      </c>
      <c r="E103" s="42" t="n">
        <v>234.898</v>
      </c>
      <c r="F103" s="67" t="n">
        <v>2365.42</v>
      </c>
      <c r="G103" s="65" t="inlineStr">
        <is>
          <t>~</t>
        </is>
      </c>
      <c r="H103" s="68" t="n">
        <v>2.3</v>
      </c>
      <c r="I103" s="66" t="n">
        <v>14.12</v>
      </c>
      <c r="J103" s="42">
        <f>Index!$C$2</f>
        <v/>
      </c>
      <c r="K103" s="49" t="n"/>
      <c r="L103" s="49">
        <f>IF(AND( C77="Buy", ISBLANK(W77), B77&lt;&gt;"DIV"), ((J77*D77)-(E77*D77)+I77), "")</f>
        <v/>
      </c>
      <c r="M103" s="60">
        <f>IF(AND( C77="Buy", ISBLANK(W77), B77&lt;&gt;"DIV"), J77*D77, "")</f>
        <v/>
      </c>
      <c r="N103" s="61">
        <f>IF(AND( C77="Buy", ISBLANK(W77), B77&lt;&gt;"DIV"), D77, "")</f>
        <v/>
      </c>
      <c r="O103" s="62" t="n"/>
      <c r="P103" s="49" t="n"/>
      <c r="Q103" s="49" t="n"/>
      <c r="R103" s="49" t="n"/>
      <c r="S103" s="49" t="n"/>
      <c r="T103" s="49" t="n"/>
      <c r="U103" s="49" t="n"/>
      <c r="V103" s="49" t="n"/>
      <c r="W103" s="49" t="n">
        <v>233.022067</v>
      </c>
      <c r="X103" s="49" t="n">
        <v>44236</v>
      </c>
      <c r="Y103" s="46" t="n">
        <v>-0.00776571868</v>
      </c>
      <c r="Z103" s="49" t="n">
        <v>-18.49669938</v>
      </c>
      <c r="AA103" s="49" t="n">
        <v>2330.483301</v>
      </c>
      <c r="AB103" s="50" t="n">
        <v>10</v>
      </c>
      <c r="AC103" s="49" t="n"/>
      <c r="AD103" s="59" t="inlineStr">
        <is>
          <t>SBI Securities</t>
        </is>
      </c>
    </row>
    <row r="104">
      <c r="A104" s="64" t="n">
        <v>43846</v>
      </c>
      <c r="B104" s="65" t="inlineStr">
        <is>
          <t>NSE</t>
        </is>
      </c>
      <c r="C104" s="65" t="inlineStr">
        <is>
          <t>Buy</t>
        </is>
      </c>
      <c r="D104" s="66" t="n">
        <v>10</v>
      </c>
      <c r="E104" s="42" t="n">
        <v>243.003</v>
      </c>
      <c r="F104" s="67" t="n">
        <v>2447.17</v>
      </c>
      <c r="G104" s="65" t="inlineStr">
        <is>
          <t>~</t>
        </is>
      </c>
      <c r="H104" s="68" t="n">
        <v>2.48</v>
      </c>
      <c r="I104" s="66" t="n">
        <v>14.69</v>
      </c>
      <c r="J104" s="42">
        <f>Index!$C$2</f>
        <v/>
      </c>
      <c r="K104" s="49" t="n"/>
      <c r="L104" s="49">
        <f>IF(AND( C78="Buy", ISBLANK(W78), B78&lt;&gt;"DIV"), ((J78*D78)-(E78*D78)+I78), "")</f>
        <v/>
      </c>
      <c r="M104" s="60">
        <f>IF(AND( C78="Buy", ISBLANK(W78), B78&lt;&gt;"DIV"), J78*D78, "")</f>
        <v/>
      </c>
      <c r="N104" s="61">
        <f>IF(AND( C78="Buy", ISBLANK(W78), B78&lt;&gt;"DIV"), D78, "")</f>
        <v/>
      </c>
      <c r="O104" s="62" t="n"/>
      <c r="P104" s="49" t="n"/>
      <c r="Q104" s="49" t="n"/>
      <c r="R104" s="49" t="n"/>
      <c r="S104" s="49" t="n"/>
      <c r="T104" s="49" t="n"/>
      <c r="U104" s="49" t="n"/>
      <c r="V104" s="49" t="n"/>
      <c r="W104" s="49" t="n">
        <v>233.022067</v>
      </c>
      <c r="X104" s="49" t="n">
        <v>44236</v>
      </c>
      <c r="Y104" s="46" t="n">
        <v>-0.03993442438</v>
      </c>
      <c r="Z104" s="49" t="n">
        <v>-98.41199938</v>
      </c>
      <c r="AA104" s="49" t="n">
        <v>2331.618001</v>
      </c>
      <c r="AB104" s="50" t="n">
        <v>10</v>
      </c>
      <c r="AC104" s="49" t="n"/>
      <c r="AD104" s="59" t="inlineStr">
        <is>
          <t>SBI Securities</t>
        </is>
      </c>
    </row>
    <row r="105">
      <c r="A105" s="64" t="n">
        <v>43845</v>
      </c>
      <c r="B105" s="65" t="inlineStr">
        <is>
          <t>NSE</t>
        </is>
      </c>
      <c r="C105" s="65" t="inlineStr">
        <is>
          <t>Buy</t>
        </is>
      </c>
      <c r="D105" s="66" t="n">
        <v>10</v>
      </c>
      <c r="E105" s="42" t="n">
        <v>242.049</v>
      </c>
      <c r="F105" s="67" t="n">
        <v>2437.51</v>
      </c>
      <c r="G105" s="65" t="inlineStr">
        <is>
          <t>~</t>
        </is>
      </c>
      <c r="H105" s="68" t="n">
        <v>2.44</v>
      </c>
      <c r="I105" s="66" t="n">
        <v>14.57</v>
      </c>
      <c r="J105" s="42">
        <f>Index!$C$2</f>
        <v/>
      </c>
      <c r="K105" s="49" t="n"/>
      <c r="L105" s="49">
        <f>IF(AND( C79="Buy", ISBLANK(W79), B79&lt;&gt;"DIV"), ((J79*D79)-(E79*D79)+I79), "")</f>
        <v/>
      </c>
      <c r="M105" s="60">
        <f>IF(AND( C79="Buy", ISBLANK(W79), B79&lt;&gt;"DIV"), J79*D79, "")</f>
        <v/>
      </c>
      <c r="N105" s="61">
        <f>IF(AND( C79="Buy", ISBLANK(W79), B79&lt;&gt;"DIV"), D79, "")</f>
        <v/>
      </c>
      <c r="O105" s="62" t="n"/>
      <c r="P105" s="49" t="n"/>
      <c r="Q105" s="49" t="n"/>
      <c r="R105" s="49" t="n"/>
      <c r="S105" s="49" t="n"/>
      <c r="T105" s="49" t="n"/>
      <c r="U105" s="49" t="n"/>
      <c r="V105" s="49" t="n"/>
      <c r="W105" s="49" t="n">
        <v>233.022067</v>
      </c>
      <c r="X105" s="49" t="n">
        <v>44236</v>
      </c>
      <c r="Y105" s="46" t="n">
        <v>-0.03626190024</v>
      </c>
      <c r="Z105" s="49" t="n">
        <v>-89.00555937999999</v>
      </c>
      <c r="AA105" s="49" t="n">
        <v>2331.484441</v>
      </c>
      <c r="AB105" s="50" t="n">
        <v>10</v>
      </c>
      <c r="AC105" s="49" t="n"/>
      <c r="AD105" s="59" t="inlineStr">
        <is>
          <t>SBI Securities</t>
        </is>
      </c>
    </row>
    <row r="106">
      <c r="A106" s="64" t="n">
        <v>43844</v>
      </c>
      <c r="B106" s="65" t="inlineStr">
        <is>
          <t>NSE</t>
        </is>
      </c>
      <c r="C106" s="65" t="inlineStr">
        <is>
          <t>Buy</t>
        </is>
      </c>
      <c r="D106" s="66" t="n">
        <v>20</v>
      </c>
      <c r="E106" s="42" t="n">
        <v>240.1465</v>
      </c>
      <c r="F106" s="67" t="n">
        <v>4836.67</v>
      </c>
      <c r="G106" s="65" t="inlineStr">
        <is>
          <t>~</t>
        </is>
      </c>
      <c r="H106" s="68" t="n">
        <v>4.78</v>
      </c>
      <c r="I106" s="66" t="n">
        <v>28.89</v>
      </c>
      <c r="J106" s="42">
        <f>Index!$C$2</f>
        <v/>
      </c>
      <c r="K106" s="49" t="n"/>
      <c r="L106" s="49">
        <f>IF(AND( C80="Buy", ISBLANK(W80), B80&lt;&gt;"DIV"), ((J80*D80)-(E80*D80)+I80), "")</f>
        <v/>
      </c>
      <c r="M106" s="60">
        <f>IF(AND( C80="Buy", ISBLANK(W80), B80&lt;&gt;"DIV"), J80*D80, "")</f>
        <v/>
      </c>
      <c r="N106" s="61">
        <f>IF(AND( C80="Buy", ISBLANK(W80), B80&lt;&gt;"DIV"), D80, "")</f>
        <v/>
      </c>
      <c r="O106" s="62" t="n"/>
      <c r="P106" s="49" t="n"/>
      <c r="Q106" s="49" t="n"/>
      <c r="R106" s="49" t="n"/>
      <c r="S106" s="49" t="n"/>
      <c r="T106" s="49" t="n"/>
      <c r="U106" s="49" t="n"/>
      <c r="V106" s="49" t="n"/>
      <c r="W106" s="49" t="n">
        <v>233.022067</v>
      </c>
      <c r="X106" s="49" t="n">
        <v>44236</v>
      </c>
      <c r="Y106" s="46" t="n">
        <v>-0.02884681947</v>
      </c>
      <c r="Z106" s="49" t="n">
        <v>-140.4938188</v>
      </c>
      <c r="AA106" s="49" t="n">
        <v>4662.436181</v>
      </c>
      <c r="AB106" s="50" t="n">
        <v>20</v>
      </c>
      <c r="AC106" s="49" t="n"/>
      <c r="AD106" s="59" t="inlineStr">
        <is>
          <t>SBI Securities</t>
        </is>
      </c>
    </row>
    <row r="107">
      <c r="A107" s="64" t="n">
        <v>43837</v>
      </c>
      <c r="B107" s="65" t="inlineStr">
        <is>
          <t>NSE</t>
        </is>
      </c>
      <c r="C107" s="65" t="inlineStr">
        <is>
          <t>Buy</t>
        </is>
      </c>
      <c r="D107" s="66" t="n">
        <v>30</v>
      </c>
      <c r="E107" s="42" t="n">
        <v>236.249</v>
      </c>
      <c r="F107" s="67" t="n">
        <v>7132.83</v>
      </c>
      <c r="G107" s="65" t="inlineStr">
        <is>
          <t>~</t>
        </is>
      </c>
      <c r="H107" s="68" t="n">
        <v>2.81</v>
      </c>
      <c r="I107" s="66" t="n">
        <v>42.52</v>
      </c>
      <c r="J107" s="42">
        <f>Index!$C$2</f>
        <v/>
      </c>
      <c r="K107" s="49" t="n"/>
      <c r="L107" s="49">
        <f>IF(AND( C81="Buy", ISBLANK(W81), B81&lt;&gt;"DIV"), ((J81*D81)-(E81*D81)+I81), "")</f>
        <v/>
      </c>
      <c r="M107" s="60">
        <f>IF(AND( C81="Buy", ISBLANK(W81), B81&lt;&gt;"DIV"), J81*D81, "")</f>
        <v/>
      </c>
      <c r="N107" s="61">
        <f>IF(AND( C81="Buy", ISBLANK(W81), B81&lt;&gt;"DIV"), D81, "")</f>
        <v/>
      </c>
      <c r="O107" s="62" t="n"/>
      <c r="P107" s="49" t="n"/>
      <c r="Q107" s="49" t="n"/>
      <c r="R107" s="49" t="n"/>
      <c r="S107" s="49" t="n"/>
      <c r="T107" s="49" t="n"/>
      <c r="U107" s="49" t="n"/>
      <c r="V107" s="49" t="n"/>
      <c r="W107" s="49" t="n">
        <v>233.022067</v>
      </c>
      <c r="X107" s="49" t="n">
        <v>44236</v>
      </c>
      <c r="Y107" s="46" t="n">
        <v>-0.01329765262</v>
      </c>
      <c r="Z107" s="49" t="n">
        <v>-95.45267814</v>
      </c>
      <c r="AA107" s="49" t="n">
        <v>6992.017322</v>
      </c>
      <c r="AB107" s="50" t="n">
        <v>30</v>
      </c>
      <c r="AC107" s="49" t="n"/>
      <c r="AD107" s="59" t="inlineStr">
        <is>
          <t>SBI Securities</t>
        </is>
      </c>
    </row>
    <row r="108">
      <c r="A108" s="64" t="n">
        <v>43832</v>
      </c>
      <c r="B108" s="65" t="inlineStr">
        <is>
          <t>NSE</t>
        </is>
      </c>
      <c r="C108" s="65" t="inlineStr">
        <is>
          <t>Buy</t>
        </is>
      </c>
      <c r="D108" s="66" t="n">
        <v>20</v>
      </c>
      <c r="E108" s="42" t="n">
        <v>239.3525</v>
      </c>
      <c r="F108" s="67" t="n">
        <v>4820.55</v>
      </c>
      <c r="G108" s="65" t="inlineStr">
        <is>
          <t>~</t>
        </is>
      </c>
      <c r="H108" s="68" t="n">
        <v>4.71</v>
      </c>
      <c r="I108" s="66" t="n">
        <v>28.84</v>
      </c>
      <c r="J108" s="42">
        <f>Index!$C$2</f>
        <v/>
      </c>
      <c r="K108" s="49" t="n"/>
      <c r="L108" s="49">
        <f>IF(AND( C82="Buy", ISBLANK(W82), B82&lt;&gt;"DIV"), ((J82*D82)-(E82*D82)+I82), "")</f>
        <v/>
      </c>
      <c r="M108" s="60">
        <f>IF(AND( C82="Buy", ISBLANK(W82), B82&lt;&gt;"DIV"), J82*D82, "")</f>
        <v/>
      </c>
      <c r="N108" s="61">
        <f>IF(AND( C82="Buy", ISBLANK(W82), B82&lt;&gt;"DIV"), D82, "")</f>
        <v/>
      </c>
      <c r="O108" s="62" t="n"/>
      <c r="P108" s="49" t="n"/>
      <c r="Q108" s="49" t="n"/>
      <c r="R108" s="49" t="n"/>
      <c r="S108" s="49" t="n"/>
      <c r="T108" s="49" t="n"/>
      <c r="U108" s="49" t="n"/>
      <c r="V108" s="49" t="n"/>
      <c r="W108" s="49" t="n">
        <v>233.022067</v>
      </c>
      <c r="X108" s="49" t="n">
        <v>44236</v>
      </c>
      <c r="Y108" s="46" t="n">
        <v>-0.02571766934</v>
      </c>
      <c r="Z108" s="49" t="n">
        <v>-124.8361388</v>
      </c>
      <c r="AA108" s="49" t="n">
        <v>4662.213861</v>
      </c>
      <c r="AB108" s="50" t="n">
        <v>20</v>
      </c>
      <c r="AC108" s="49" t="n"/>
      <c r="AD108" s="59" t="inlineStr">
        <is>
          <t>SBI Securities</t>
        </is>
      </c>
    </row>
    <row r="109">
      <c r="A109" s="64" t="n">
        <v>43831</v>
      </c>
      <c r="B109" s="65" t="inlineStr">
        <is>
          <t>NSE</t>
        </is>
      </c>
      <c r="C109" s="65" t="inlineStr">
        <is>
          <t>Buy</t>
        </is>
      </c>
      <c r="D109" s="66" t="n">
        <v>10</v>
      </c>
      <c r="E109" s="42" t="n">
        <v>237.451</v>
      </c>
      <c r="F109" s="67" t="n">
        <v>2391.19</v>
      </c>
      <c r="G109" s="65" t="inlineStr">
        <is>
          <t>~</t>
        </is>
      </c>
      <c r="H109" s="68" t="n">
        <v>2.39</v>
      </c>
      <c r="I109" s="66" t="n">
        <v>14.3</v>
      </c>
      <c r="J109" s="42">
        <f>Index!$C$2</f>
        <v/>
      </c>
      <c r="K109" s="49" t="n"/>
      <c r="L109" s="49">
        <f>IF(AND( C83="Buy", ISBLANK(W83), B83&lt;&gt;"DIV"), ((J83*D83)-(E83*D83)+I83), "")</f>
        <v/>
      </c>
      <c r="M109" s="60">
        <f>IF(AND( C83="Buy", ISBLANK(W83), B83&lt;&gt;"DIV"), J83*D83, "")</f>
        <v/>
      </c>
      <c r="N109" s="61">
        <f>IF(AND( C83="Buy", ISBLANK(W83), B83&lt;&gt;"DIV"), D83, "")</f>
        <v/>
      </c>
      <c r="O109" s="62" t="n"/>
      <c r="P109" s="49" t="n"/>
      <c r="Q109" s="49" t="n"/>
      <c r="R109" s="49" t="n"/>
      <c r="S109" s="49" t="n"/>
      <c r="T109" s="49" t="n"/>
      <c r="U109" s="49" t="n"/>
      <c r="V109" s="49" t="n"/>
      <c r="W109" s="49" t="n">
        <v>233.022067</v>
      </c>
      <c r="X109" s="49" t="n">
        <v>44236</v>
      </c>
      <c r="Y109" s="46" t="n">
        <v>-0.01813598659</v>
      </c>
      <c r="Z109" s="49" t="n">
        <v>-43.66927938</v>
      </c>
      <c r="AA109" s="49" t="n">
        <v>2330.840721</v>
      </c>
      <c r="AB109" s="50" t="n">
        <v>10</v>
      </c>
      <c r="AC109" s="49" t="n"/>
      <c r="AD109" s="59" t="inlineStr">
        <is>
          <t>SBI Securities</t>
        </is>
      </c>
    </row>
    <row r="110">
      <c r="A110" s="64" t="n">
        <v>43823</v>
      </c>
      <c r="B110" s="65" t="inlineStr">
        <is>
          <t>NSE</t>
        </is>
      </c>
      <c r="C110" s="65" t="inlineStr">
        <is>
          <t>Buy</t>
        </is>
      </c>
      <c r="D110" s="66" t="n">
        <v>10</v>
      </c>
      <c r="E110" s="42" t="n">
        <v>238.848</v>
      </c>
      <c r="F110" s="67" t="n">
        <v>2405.22</v>
      </c>
      <c r="G110" s="65" t="inlineStr">
        <is>
          <t>~</t>
        </is>
      </c>
      <c r="H110" s="68" t="n">
        <v>2.39</v>
      </c>
      <c r="I110" s="66" t="n">
        <v>14.33</v>
      </c>
      <c r="J110" s="42">
        <f>Index!$C$2</f>
        <v/>
      </c>
      <c r="K110" s="49" t="n"/>
      <c r="L110" s="49">
        <f>IF(AND( C84="Buy", ISBLANK(W84), B84&lt;&gt;"DIV"), ((J84*D84)-(E84*D84)+I84), "")</f>
        <v/>
      </c>
      <c r="M110" s="60">
        <f>IF(AND( C84="Buy", ISBLANK(W84), B84&lt;&gt;"DIV"), J84*D84, "")</f>
        <v/>
      </c>
      <c r="N110" s="61">
        <f>IF(AND( C84="Buy", ISBLANK(W84), B84&lt;&gt;"DIV"), D84, "")</f>
        <v/>
      </c>
      <c r="O110" s="62" t="n"/>
      <c r="P110" s="49" t="n"/>
      <c r="Q110" s="49" t="n"/>
      <c r="R110" s="49" t="n"/>
      <c r="S110" s="49" t="n"/>
      <c r="T110" s="49" t="n"/>
      <c r="U110" s="49" t="n"/>
      <c r="V110" s="49" t="n"/>
      <c r="W110" s="49" t="n">
        <v>233.022067</v>
      </c>
      <c r="X110" s="49" t="n">
        <v>44236</v>
      </c>
      <c r="Y110" s="46" t="n">
        <v>-0.02371805221</v>
      </c>
      <c r="Z110" s="49" t="n">
        <v>-57.44369938</v>
      </c>
      <c r="AA110" s="49" t="n">
        <v>2331.036301</v>
      </c>
      <c r="AB110" s="50" t="n">
        <v>10</v>
      </c>
      <c r="AC110" s="49" t="n"/>
      <c r="AD110" s="59" t="inlineStr">
        <is>
          <t>SBI Securities</t>
        </is>
      </c>
    </row>
    <row r="111">
      <c r="A111" s="64" t="n">
        <v>43822</v>
      </c>
      <c r="B111" s="65" t="inlineStr">
        <is>
          <t>NSE</t>
        </is>
      </c>
      <c r="C111" s="65" t="inlineStr">
        <is>
          <t>Buy</t>
        </is>
      </c>
      <c r="D111" s="66" t="n">
        <v>10</v>
      </c>
      <c r="E111" s="42" t="n">
        <v>239.005</v>
      </c>
      <c r="F111" s="67" t="n">
        <v>2406.85</v>
      </c>
      <c r="G111" s="65" t="inlineStr">
        <is>
          <t>~</t>
        </is>
      </c>
      <c r="H111" s="68" t="n">
        <v>2.41</v>
      </c>
      <c r="I111" s="66" t="n">
        <v>14.44</v>
      </c>
      <c r="J111" s="42">
        <f>Index!$C$2</f>
        <v/>
      </c>
      <c r="K111" s="49" t="n"/>
      <c r="L111" s="49">
        <f>IF(AND( C85="Buy", ISBLANK(W85), B85&lt;&gt;"DIV"), ((J85*D85)-(E85*D85)+I85), "")</f>
        <v/>
      </c>
      <c r="M111" s="60">
        <f>IF(AND( C85="Buy", ISBLANK(W85), B85&lt;&gt;"DIV"), J85*D85, "")</f>
        <v/>
      </c>
      <c r="N111" s="61">
        <f>IF(AND( C85="Buy", ISBLANK(W85), B85&lt;&gt;"DIV"), D85, "")</f>
        <v/>
      </c>
      <c r="O111" s="62" t="n"/>
      <c r="P111" s="49" t="n"/>
      <c r="Q111" s="49" t="n"/>
      <c r="R111" s="49" t="n"/>
      <c r="S111" s="49" t="n"/>
      <c r="T111" s="49" t="n"/>
      <c r="U111" s="49" t="n"/>
      <c r="V111" s="49" t="n"/>
      <c r="W111" s="49" t="n">
        <v>233.022067</v>
      </c>
      <c r="X111" s="49" t="n">
        <v>44236</v>
      </c>
      <c r="Y111" s="46" t="n">
        <v>-0.02433953021</v>
      </c>
      <c r="Z111" s="49" t="n">
        <v>-58.99171938</v>
      </c>
      <c r="AA111" s="49" t="n">
        <v>2331.058281</v>
      </c>
      <c r="AB111" s="50" t="n">
        <v>10</v>
      </c>
      <c r="AC111" s="49" t="n"/>
      <c r="AD111" s="59" t="inlineStr">
        <is>
          <t>SBI Securities</t>
        </is>
      </c>
    </row>
    <row r="112">
      <c r="A112" s="64" t="n">
        <v>43819</v>
      </c>
      <c r="B112" s="65" t="inlineStr">
        <is>
          <t>NSE</t>
        </is>
      </c>
      <c r="C112" s="65" t="inlineStr">
        <is>
          <t>Buy</t>
        </is>
      </c>
      <c r="D112" s="66" t="n">
        <v>10</v>
      </c>
      <c r="E112" s="42" t="n">
        <v>243.005</v>
      </c>
      <c r="F112" s="67" t="n">
        <v>2447.15</v>
      </c>
      <c r="G112" s="65" t="inlineStr">
        <is>
          <t>~</t>
        </is>
      </c>
      <c r="H112" s="68" t="n">
        <v>2.45</v>
      </c>
      <c r="I112" s="66" t="n">
        <v>14.7</v>
      </c>
      <c r="J112" s="42">
        <f>Index!$C$2</f>
        <v/>
      </c>
      <c r="K112" s="49" t="n"/>
      <c r="L112" s="49">
        <f>IF(AND( C86="Buy", ISBLANK(W86), B86&lt;&gt;"DIV"), ((J86*D86)-(E86*D86)+I86), "")</f>
        <v/>
      </c>
      <c r="M112" s="60">
        <f>IF(AND( C86="Buy", ISBLANK(W86), B86&lt;&gt;"DIV"), J86*D86, "")</f>
        <v/>
      </c>
      <c r="N112" s="61">
        <f>IF(AND( C86="Buy", ISBLANK(W86), B86&lt;&gt;"DIV"), D86, "")</f>
        <v/>
      </c>
      <c r="O112" s="62" t="n"/>
      <c r="P112" s="49" t="n"/>
      <c r="Q112" s="49" t="n"/>
      <c r="R112" s="49" t="n"/>
      <c r="S112" s="49" t="n"/>
      <c r="T112" s="49" t="n"/>
      <c r="U112" s="49" t="n"/>
      <c r="V112" s="49" t="n"/>
      <c r="W112" s="49" t="n">
        <v>233.022067</v>
      </c>
      <c r="X112" s="49" t="n">
        <v>44236</v>
      </c>
      <c r="Y112" s="46" t="n">
        <v>-0.03994307486</v>
      </c>
      <c r="Z112" s="49" t="n">
        <v>-98.43171938</v>
      </c>
      <c r="AA112" s="49" t="n">
        <v>2331.618281</v>
      </c>
      <c r="AB112" s="50" t="n">
        <v>10</v>
      </c>
      <c r="AC112" s="49" t="n"/>
      <c r="AD112" s="59" t="inlineStr">
        <is>
          <t>SBI Securities</t>
        </is>
      </c>
    </row>
    <row r="113">
      <c r="A113" s="64" t="n">
        <v>43816</v>
      </c>
      <c r="B113" s="65" t="inlineStr">
        <is>
          <t>NSE</t>
        </is>
      </c>
      <c r="C113" s="65" t="inlineStr">
        <is>
          <t>Buy</t>
        </is>
      </c>
      <c r="D113" s="66" t="n">
        <v>5</v>
      </c>
      <c r="E113" s="42" t="n">
        <v>239.698</v>
      </c>
      <c r="F113" s="67" t="n">
        <v>1206.91</v>
      </c>
      <c r="G113" s="65" t="inlineStr">
        <is>
          <t>~</t>
        </is>
      </c>
      <c r="H113" s="68" t="n">
        <v>1.21</v>
      </c>
      <c r="I113" s="66" t="n">
        <v>7.2</v>
      </c>
      <c r="J113" s="42">
        <f>Index!$C$2</f>
        <v/>
      </c>
      <c r="K113" s="49" t="n"/>
      <c r="L113" s="49">
        <f>IF(AND( C87="Buy", ISBLANK(W87), B87&lt;&gt;"DIV"), ((J87*D87)-(E87*D87)+I87), "")</f>
        <v/>
      </c>
      <c r="M113" s="60">
        <f>IF(AND( C87="Buy", ISBLANK(W87), B87&lt;&gt;"DIV"), J87*D87, "")</f>
        <v/>
      </c>
      <c r="N113" s="61">
        <f>IF(AND( C87="Buy", ISBLANK(W87), B87&lt;&gt;"DIV"), D87, "")</f>
        <v/>
      </c>
      <c r="O113" s="62" t="n"/>
      <c r="P113" s="49" t="n"/>
      <c r="Q113" s="49" t="n"/>
      <c r="R113" s="49" t="n"/>
      <c r="S113" s="49" t="n"/>
      <c r="T113" s="49" t="n"/>
      <c r="U113" s="49" t="n"/>
      <c r="V113" s="49" t="n"/>
      <c r="W113" s="49" t="n">
        <v>233.022067</v>
      </c>
      <c r="X113" s="49" t="n">
        <v>44236</v>
      </c>
      <c r="Y113" s="46" t="n">
        <v>-0.02708122115</v>
      </c>
      <c r="Z113" s="49" t="n">
        <v>-32.91234969</v>
      </c>
      <c r="AA113" s="49" t="n">
        <v>1165.57765</v>
      </c>
      <c r="AB113" s="50" t="n">
        <v>5</v>
      </c>
      <c r="AC113" s="49" t="n"/>
      <c r="AD113" s="59" t="inlineStr">
        <is>
          <t>SBI Securities</t>
        </is>
      </c>
    </row>
    <row r="114">
      <c r="A114" s="64" t="n">
        <v>43815</v>
      </c>
      <c r="B114" s="65" t="inlineStr">
        <is>
          <t>NSE</t>
        </is>
      </c>
      <c r="C114" s="65" t="inlineStr">
        <is>
          <t>Buy</t>
        </is>
      </c>
      <c r="D114" s="66" t="n">
        <v>3</v>
      </c>
      <c r="E114" s="42" t="n">
        <v>239.9</v>
      </c>
      <c r="F114" s="67" t="n">
        <v>724.77</v>
      </c>
      <c r="G114" s="65" t="inlineStr">
        <is>
          <t>~</t>
        </is>
      </c>
      <c r="H114" s="68" t="n">
        <v>0.72</v>
      </c>
      <c r="I114" s="66" t="n">
        <v>4.35</v>
      </c>
      <c r="J114" s="42">
        <f>Index!$C$2</f>
        <v/>
      </c>
      <c r="K114" s="49" t="n"/>
      <c r="L114" s="49">
        <f>IF(AND( C88="Buy", ISBLANK(W88), B88&lt;&gt;"DIV"), ((J88*D88)-(E88*D88)+I88), "")</f>
        <v/>
      </c>
      <c r="M114" s="60">
        <f>IF(AND( C88="Buy", ISBLANK(W88), B88&lt;&gt;"DIV"), J88*D88, "")</f>
        <v/>
      </c>
      <c r="N114" s="61">
        <f>IF(AND( C88="Buy", ISBLANK(W88), B88&lt;&gt;"DIV"), D88, "")</f>
        <v/>
      </c>
      <c r="O114" s="62" t="n"/>
      <c r="P114" s="49" t="n"/>
      <c r="Q114" s="49" t="n"/>
      <c r="R114" s="49" t="n"/>
      <c r="S114" s="49" t="n"/>
      <c r="T114" s="49" t="n"/>
      <c r="U114" s="49" t="n"/>
      <c r="V114" s="49" t="n"/>
      <c r="W114" s="49" t="n">
        <v>233.022067</v>
      </c>
      <c r="X114" s="49" t="n">
        <v>44236</v>
      </c>
      <c r="Y114" s="46" t="n">
        <v>-0.02787587117</v>
      </c>
      <c r="Z114" s="49" t="n">
        <v>-20.34492581</v>
      </c>
      <c r="AA114" s="49" t="n">
        <v>699.3550742</v>
      </c>
      <c r="AB114" s="50" t="n">
        <v>3</v>
      </c>
      <c r="AC114" s="49" t="n"/>
      <c r="AD114" s="59" t="inlineStr">
        <is>
          <t>SBI Securities</t>
        </is>
      </c>
    </row>
    <row r="115">
      <c r="A115" s="64" t="n">
        <v>43753</v>
      </c>
      <c r="B115" s="65" t="inlineStr">
        <is>
          <t>NSE</t>
        </is>
      </c>
      <c r="C115" s="65" t="inlineStr">
        <is>
          <t>Buy</t>
        </is>
      </c>
      <c r="D115" s="66" t="n">
        <v>10</v>
      </c>
      <c r="E115" s="42" t="n">
        <v>248.146</v>
      </c>
      <c r="F115" s="67" t="n">
        <v>2498.94</v>
      </c>
      <c r="G115" s="65" t="inlineStr">
        <is>
          <t>~</t>
        </is>
      </c>
      <c r="H115" s="68" t="n">
        <v>2.42</v>
      </c>
      <c r="I115" s="66" t="n">
        <v>15.02</v>
      </c>
      <c r="J115" s="42">
        <f>Index!$C$2</f>
        <v/>
      </c>
      <c r="K115" s="49" t="n"/>
      <c r="L115" s="49">
        <f>IF(AND( C89="Buy", ISBLANK(W89), B89&lt;&gt;"DIV"), ((J89*D89)-(E89*D89)+I89), "")</f>
        <v/>
      </c>
      <c r="M115" s="60">
        <f>IF(AND( C89="Buy", ISBLANK(W89), B89&lt;&gt;"DIV"), J89*D89, "")</f>
        <v/>
      </c>
      <c r="N115" s="61">
        <f>IF(AND( C89="Buy", ISBLANK(W89), B89&lt;&gt;"DIV"), D89, "")</f>
        <v/>
      </c>
      <c r="O115" s="62" t="n"/>
      <c r="P115" s="49" t="n"/>
      <c r="Q115" s="49" t="n"/>
      <c r="R115" s="49" t="n"/>
      <c r="S115" s="49" t="n"/>
      <c r="T115" s="49" t="n"/>
      <c r="U115" s="49" t="n"/>
      <c r="V115" s="49" t="n"/>
      <c r="W115" s="49" t="n">
        <v>233.022067</v>
      </c>
      <c r="X115" s="49" t="n">
        <v>44236</v>
      </c>
      <c r="Y115" s="46" t="n">
        <v>-0.05926051685</v>
      </c>
      <c r="Z115" s="49" t="n">
        <v>-149.1219794</v>
      </c>
      <c r="AA115" s="49" t="n">
        <v>2332.338021</v>
      </c>
      <c r="AB115" s="50" t="n">
        <v>10</v>
      </c>
      <c r="AC115" s="49" t="n"/>
      <c r="AD115" s="59" t="inlineStr">
        <is>
          <t>SBI Securities</t>
        </is>
      </c>
    </row>
    <row r="116">
      <c r="A116" s="64" t="n">
        <v>43745</v>
      </c>
      <c r="B116" s="65" t="inlineStr">
        <is>
          <t>NSE</t>
        </is>
      </c>
      <c r="C116" s="65" t="inlineStr">
        <is>
          <t>Buy</t>
        </is>
      </c>
      <c r="D116" s="66" t="n">
        <v>2</v>
      </c>
      <c r="E116" s="42" t="n">
        <v>256.645</v>
      </c>
      <c r="F116" s="67" t="n">
        <v>516.9299999999999</v>
      </c>
      <c r="G116" s="65" t="inlineStr">
        <is>
          <t>~</t>
        </is>
      </c>
      <c r="H116" s="68" t="n">
        <v>0.47</v>
      </c>
      <c r="I116" s="66" t="n">
        <v>3.16</v>
      </c>
      <c r="J116" s="42">
        <f>Index!$C$2</f>
        <v/>
      </c>
      <c r="K116" s="49" t="n"/>
      <c r="L116" s="49">
        <f>IF(AND( C90="Buy", ISBLANK(W90), B90&lt;&gt;"DIV"), ((J90*D90)-(E90*D90)+I90), "")</f>
        <v/>
      </c>
      <c r="M116" s="60">
        <f>IF(AND( C90="Buy", ISBLANK(W90), B90&lt;&gt;"DIV"), J90*D90, "")</f>
        <v/>
      </c>
      <c r="N116" s="61">
        <f>IF(AND( C90="Buy", ISBLANK(W90), B90&lt;&gt;"DIV"), D90, "")</f>
        <v/>
      </c>
      <c r="O116" s="62" t="n"/>
      <c r="P116" s="49" t="n"/>
      <c r="Q116" s="49" t="n"/>
      <c r="R116" s="49" t="n"/>
      <c r="S116" s="49" t="n"/>
      <c r="T116" s="49" t="n"/>
      <c r="U116" s="49" t="n"/>
      <c r="V116" s="49" t="n"/>
      <c r="W116" s="49" t="n">
        <v>233.022067</v>
      </c>
      <c r="X116" s="49" t="n">
        <v>44236</v>
      </c>
      <c r="Y116" s="46" t="n">
        <v>-0.0894890577</v>
      </c>
      <c r="Z116" s="49" t="n">
        <v>-46.58442388</v>
      </c>
      <c r="AA116" s="49" t="n">
        <v>466.7055761</v>
      </c>
      <c r="AB116" s="50" t="n">
        <v>2</v>
      </c>
      <c r="AC116" s="49" t="n"/>
      <c r="AD116" s="59" t="inlineStr">
        <is>
          <t>SBI Securities</t>
        </is>
      </c>
    </row>
    <row r="117">
      <c r="A117" s="64" t="n">
        <v>43734</v>
      </c>
      <c r="B117" s="65" t="inlineStr">
        <is>
          <t>NSE</t>
        </is>
      </c>
      <c r="C117" s="65" t="inlineStr">
        <is>
          <t>Buy</t>
        </is>
      </c>
      <c r="D117" s="66" t="n">
        <v>10</v>
      </c>
      <c r="E117" s="42" t="n">
        <v>248.951</v>
      </c>
      <c r="F117" s="67" t="n">
        <v>2507.09</v>
      </c>
      <c r="G117" s="65" t="inlineStr">
        <is>
          <t>~</t>
        </is>
      </c>
      <c r="H117" s="68" t="n">
        <v>2.61</v>
      </c>
      <c r="I117" s="66" t="n">
        <v>14.98</v>
      </c>
      <c r="J117" s="42">
        <f>Index!$C$2</f>
        <v/>
      </c>
      <c r="K117" s="49" t="n"/>
      <c r="L117" s="49">
        <f>IF(AND( C91="Buy", ISBLANK(W91), B91&lt;&gt;"DIV"), ((J91*D91)-(E91*D91)+I91), "")</f>
        <v/>
      </c>
      <c r="M117" s="60">
        <f>IF(AND( C91="Buy", ISBLANK(W91), B91&lt;&gt;"DIV"), J91*D91, "")</f>
        <v/>
      </c>
      <c r="N117" s="61">
        <f>IF(AND( C91="Buy", ISBLANK(W91), B91&lt;&gt;"DIV"), D91, "")</f>
        <v/>
      </c>
      <c r="O117" s="62" t="n"/>
      <c r="P117" s="49" t="n"/>
      <c r="Q117" s="49" t="n"/>
      <c r="R117" s="49" t="n"/>
      <c r="S117" s="49" t="n"/>
      <c r="T117" s="49" t="n"/>
      <c r="U117" s="49" t="n"/>
      <c r="V117" s="49" t="n"/>
      <c r="W117" s="49" t="n">
        <v>233.022067</v>
      </c>
      <c r="X117" s="49" t="n">
        <v>44236</v>
      </c>
      <c r="Y117" s="46" t="n">
        <v>-0.06220957879</v>
      </c>
      <c r="Z117" s="49" t="n">
        <v>-157.0592794</v>
      </c>
      <c r="AA117" s="49" t="n">
        <v>2332.450721</v>
      </c>
      <c r="AB117" s="50" t="n">
        <v>10</v>
      </c>
      <c r="AC117" s="49" t="n"/>
      <c r="AD117" s="59" t="inlineStr">
        <is>
          <t>SBI Securities</t>
        </is>
      </c>
    </row>
    <row r="118">
      <c r="A118" s="64" t="n">
        <v>43724</v>
      </c>
      <c r="B118" s="65" t="inlineStr">
        <is>
          <t>NSE</t>
        </is>
      </c>
      <c r="C118" s="65" t="inlineStr">
        <is>
          <t>Buy</t>
        </is>
      </c>
      <c r="D118" s="66" t="n">
        <v>10</v>
      </c>
      <c r="E118" s="42" t="n">
        <v>239.204</v>
      </c>
      <c r="F118" s="67" t="n">
        <v>2409.16</v>
      </c>
      <c r="G118" s="65" t="inlineStr">
        <is>
          <t>~</t>
        </is>
      </c>
      <c r="H118" s="68" t="n">
        <v>2.53</v>
      </c>
      <c r="I118" s="66" t="n">
        <v>14.63</v>
      </c>
      <c r="J118" s="42">
        <f>Index!$C$2</f>
        <v/>
      </c>
      <c r="K118" s="49" t="n"/>
      <c r="L118" s="49">
        <f>IF(AND( C92="Buy", ISBLANK(W92), B92&lt;&gt;"DIV"), ((J92*D92)-(E92*D92)+I92), "")</f>
        <v/>
      </c>
      <c r="M118" s="60">
        <f>IF(AND( C92="Buy", ISBLANK(W92), B92&lt;&gt;"DIV"), J92*D92, "")</f>
        <v/>
      </c>
      <c r="N118" s="61">
        <f>IF(AND( C92="Buy", ISBLANK(W92), B92&lt;&gt;"DIV"), D92, "")</f>
        <v/>
      </c>
      <c r="O118" s="62" t="n"/>
      <c r="P118" s="49" t="n"/>
      <c r="Q118" s="49" t="n"/>
      <c r="R118" s="49" t="n"/>
      <c r="S118" s="49" t="n"/>
      <c r="T118" s="49" t="n"/>
      <c r="U118" s="49" t="n"/>
      <c r="V118" s="49" t="n"/>
      <c r="W118" s="49" t="n">
        <v>233.022067</v>
      </c>
      <c r="X118" s="49" t="n">
        <v>44236</v>
      </c>
      <c r="Y118" s="46" t="n">
        <v>-0.02512193749</v>
      </c>
      <c r="Z118" s="49" t="n">
        <v>-60.95385938</v>
      </c>
      <c r="AA118" s="49" t="n">
        <v>2331.086141</v>
      </c>
      <c r="AB118" s="50" t="n">
        <v>10</v>
      </c>
      <c r="AC118" s="49" t="n"/>
      <c r="AD118" s="59" t="inlineStr">
        <is>
          <t>SBI Securities</t>
        </is>
      </c>
    </row>
    <row r="119">
      <c r="A119" s="64" t="n">
        <v>43721</v>
      </c>
      <c r="B119" s="65" t="inlineStr">
        <is>
          <t>NSE</t>
        </is>
      </c>
      <c r="C119" s="65" t="inlineStr">
        <is>
          <t>Buy</t>
        </is>
      </c>
      <c r="D119" s="66" t="n">
        <v>10</v>
      </c>
      <c r="E119" s="42" t="n">
        <v>241.799</v>
      </c>
      <c r="F119" s="67" t="n">
        <v>2435.01</v>
      </c>
      <c r="G119" s="65" t="inlineStr">
        <is>
          <t>~</t>
        </is>
      </c>
      <c r="H119" s="68" t="n">
        <v>2.3</v>
      </c>
      <c r="I119" s="66" t="n">
        <v>14.71</v>
      </c>
      <c r="J119" s="42">
        <f>Index!$C$2</f>
        <v/>
      </c>
      <c r="K119" s="49" t="n"/>
      <c r="L119" s="49">
        <f>IF(AND( C93="Buy", ISBLANK(W93), B93&lt;&gt;"DIV"), ((J93*D93)-(E93*D93)+I93), "")</f>
        <v/>
      </c>
      <c r="M119" s="60">
        <f>IF(AND( C93="Buy", ISBLANK(W93), B93&lt;&gt;"DIV"), J93*D93, "")</f>
        <v/>
      </c>
      <c r="N119" s="61">
        <f>IF(AND( C93="Buy", ISBLANK(W93), B93&lt;&gt;"DIV"), D93, "")</f>
        <v/>
      </c>
      <c r="O119" s="62" t="n"/>
      <c r="P119" s="49" t="n"/>
      <c r="Q119" s="49" t="n"/>
      <c r="R119" s="49" t="n"/>
      <c r="S119" s="49" t="n"/>
      <c r="T119" s="49" t="n"/>
      <c r="U119" s="49" t="n"/>
      <c r="V119" s="49" t="n"/>
      <c r="W119" s="49" t="n">
        <v>233.022067</v>
      </c>
      <c r="X119" s="49" t="n">
        <v>44236</v>
      </c>
      <c r="Y119" s="46" t="n">
        <v>-0.0352935781</v>
      </c>
      <c r="Z119" s="49" t="n">
        <v>-86.54055938</v>
      </c>
      <c r="AA119" s="49" t="n">
        <v>2331.449441</v>
      </c>
      <c r="AB119" s="50" t="n">
        <v>10</v>
      </c>
      <c r="AC119" s="49" t="n"/>
      <c r="AD119" s="59" t="inlineStr">
        <is>
          <t>SBI Securities</t>
        </is>
      </c>
    </row>
    <row r="120">
      <c r="A120" s="64" t="n">
        <v>43705</v>
      </c>
      <c r="B120" s="65" t="inlineStr">
        <is>
          <t>NSE</t>
        </is>
      </c>
      <c r="C120" s="65" t="inlineStr">
        <is>
          <t>Buy</t>
        </is>
      </c>
      <c r="D120" s="66" t="n">
        <v>10</v>
      </c>
      <c r="E120" s="42" t="n">
        <v>246.295</v>
      </c>
      <c r="F120" s="67" t="n">
        <v>2480.45</v>
      </c>
      <c r="G120" s="65" t="inlineStr">
        <is>
          <t>~</t>
        </is>
      </c>
      <c r="H120" s="68" t="n">
        <v>2.52</v>
      </c>
      <c r="I120" s="66" t="n">
        <v>14.93</v>
      </c>
      <c r="J120" s="42">
        <f>Index!$C$2</f>
        <v/>
      </c>
      <c r="K120" s="49" t="n"/>
      <c r="L120" s="49">
        <f>IF(AND( C94="Buy", ISBLANK(W94), B94&lt;&gt;"DIV"), ((J94*D94)-(E94*D94)+I94), "")</f>
        <v/>
      </c>
      <c r="M120" s="60">
        <f>IF(AND( C94="Buy", ISBLANK(W94), B94&lt;&gt;"DIV"), J94*D94, "")</f>
        <v/>
      </c>
      <c r="N120" s="61">
        <f>IF(AND( C94="Buy", ISBLANK(W94), B94&lt;&gt;"DIV"), D94, "")</f>
        <v/>
      </c>
      <c r="O120" s="62" t="n"/>
      <c r="P120" s="49" t="n"/>
      <c r="Q120" s="49" t="n"/>
      <c r="R120" s="49" t="n"/>
      <c r="S120" s="49" t="n"/>
      <c r="T120" s="49" t="n"/>
      <c r="U120" s="49" t="n"/>
      <c r="V120" s="49" t="n"/>
      <c r="W120" s="49" t="n">
        <v>233.022067</v>
      </c>
      <c r="X120" s="49" t="n">
        <v>44236</v>
      </c>
      <c r="Y120" s="46" t="n">
        <v>-0.05239245742</v>
      </c>
      <c r="Z120" s="49" t="n">
        <v>-130.8711194</v>
      </c>
      <c r="AA120" s="49" t="n">
        <v>2332.078881</v>
      </c>
      <c r="AB120" s="50" t="n">
        <v>10</v>
      </c>
      <c r="AC120" s="49" t="n"/>
      <c r="AD120" s="59" t="inlineStr">
        <is>
          <t>SBI Securities</t>
        </is>
      </c>
    </row>
    <row r="121">
      <c r="A121" s="64" t="n">
        <v>43700</v>
      </c>
      <c r="B121" s="65" t="inlineStr">
        <is>
          <t>NSE</t>
        </is>
      </c>
      <c r="C121" s="65" t="inlineStr">
        <is>
          <t>Buy</t>
        </is>
      </c>
      <c r="D121" s="66" t="n">
        <v>20</v>
      </c>
      <c r="E121" s="42" t="n">
        <v>235.3985</v>
      </c>
      <c r="F121" s="67" t="n">
        <v>4741.23</v>
      </c>
      <c r="G121" s="65" t="inlineStr">
        <is>
          <t>~</t>
        </is>
      </c>
      <c r="H121" s="68" t="n">
        <v>4.71</v>
      </c>
      <c r="I121" s="66" t="n">
        <v>28.52</v>
      </c>
      <c r="J121" s="42">
        <f>Index!$C$2</f>
        <v/>
      </c>
      <c r="K121" s="49" t="n"/>
      <c r="L121" s="49">
        <f>IF(AND( C95="Buy", ISBLANK(W95), B95&lt;&gt;"DIV"), ((J95*D95)-(E95*D95)+I95), "")</f>
        <v/>
      </c>
      <c r="M121" s="60">
        <f>IF(AND( C95="Buy", ISBLANK(W95), B95&lt;&gt;"DIV"), J95*D95, "")</f>
        <v/>
      </c>
      <c r="N121" s="61">
        <f>IF(AND( C95="Buy", ISBLANK(W95), B95&lt;&gt;"DIV"), D95, "")</f>
        <v/>
      </c>
      <c r="O121" s="62" t="n"/>
      <c r="P121" s="49" t="n"/>
      <c r="Q121" s="49" t="n"/>
      <c r="R121" s="49" t="n"/>
      <c r="S121" s="49" t="n"/>
      <c r="T121" s="49" t="n"/>
      <c r="U121" s="49" t="n"/>
      <c r="V121" s="49" t="n"/>
      <c r="W121" s="49" t="n">
        <v>233.022067</v>
      </c>
      <c r="X121" s="49" t="n">
        <v>44236</v>
      </c>
      <c r="Y121" s="46" t="n">
        <v>-0.009815405043</v>
      </c>
      <c r="Z121" s="49" t="n">
        <v>-46.86325876</v>
      </c>
      <c r="AA121" s="49" t="n">
        <v>4661.106741</v>
      </c>
      <c r="AB121" s="50" t="n">
        <v>20</v>
      </c>
      <c r="AC121" s="49" t="n"/>
      <c r="AD121" s="59" t="inlineStr">
        <is>
          <t>SBI Securities</t>
        </is>
      </c>
    </row>
    <row r="122">
      <c r="A122" s="64" t="n">
        <v>43697</v>
      </c>
      <c r="B122" s="65" t="inlineStr">
        <is>
          <t>NSE</t>
        </is>
      </c>
      <c r="C122" s="65" t="inlineStr">
        <is>
          <t>Buy</t>
        </is>
      </c>
      <c r="D122" s="66" t="n">
        <v>10</v>
      </c>
      <c r="E122" s="42" t="n">
        <v>247.054</v>
      </c>
      <c r="F122" s="67" t="n">
        <v>2487.96</v>
      </c>
      <c r="G122" s="65" t="inlineStr">
        <is>
          <t>~</t>
        </is>
      </c>
      <c r="H122" s="68" t="n">
        <v>2.34</v>
      </c>
      <c r="I122" s="66" t="n">
        <v>15.12</v>
      </c>
      <c r="J122" s="42">
        <f>Index!$C$2</f>
        <v/>
      </c>
      <c r="K122" s="49" t="n"/>
      <c r="L122" s="49">
        <f>IF(AND( C96="Buy", ISBLANK(W96), B96&lt;&gt;"DIV"), ((J96*D96)-(E96*D96)+I96), "")</f>
        <v/>
      </c>
      <c r="M122" s="60">
        <f>IF(AND( C96="Buy", ISBLANK(W96), B96&lt;&gt;"DIV"), J96*D96, "")</f>
        <v/>
      </c>
      <c r="N122" s="61">
        <f>IF(AND( C96="Buy", ISBLANK(W96), B96&lt;&gt;"DIV"), D96, "")</f>
        <v/>
      </c>
      <c r="O122" s="62" t="n"/>
      <c r="P122" s="49" t="n"/>
      <c r="Q122" s="49" t="n"/>
      <c r="R122" s="49" t="n"/>
      <c r="S122" s="49" t="n"/>
      <c r="T122" s="49" t="n"/>
      <c r="U122" s="49" t="n"/>
      <c r="V122" s="49" t="n"/>
      <c r="W122" s="49" t="n">
        <v>233.022067</v>
      </c>
      <c r="X122" s="49" t="n">
        <v>44236</v>
      </c>
      <c r="Y122" s="46" t="n">
        <v>-0.05522222197</v>
      </c>
      <c r="Z122" s="49" t="n">
        <v>-138.3548594</v>
      </c>
      <c r="AA122" s="49" t="n">
        <v>2332.185141</v>
      </c>
      <c r="AB122" s="50" t="n">
        <v>10</v>
      </c>
      <c r="AC122" s="49" t="n"/>
      <c r="AD122" s="59" t="inlineStr">
        <is>
          <t>SBI Securities</t>
        </is>
      </c>
    </row>
    <row r="123">
      <c r="A123" s="64" t="n">
        <v>43685</v>
      </c>
      <c r="B123" s="65" t="inlineStr">
        <is>
          <t>NSE</t>
        </is>
      </c>
      <c r="C123" s="65" t="inlineStr">
        <is>
          <t>Buy</t>
        </is>
      </c>
      <c r="D123" s="66" t="n">
        <v>10</v>
      </c>
      <c r="E123" s="42" t="n">
        <v>254.901</v>
      </c>
      <c r="F123" s="67" t="n">
        <v>2566.79</v>
      </c>
      <c r="G123" s="65" t="inlineStr">
        <is>
          <t>~</t>
        </is>
      </c>
      <c r="H123" s="68" t="n">
        <v>2.45</v>
      </c>
      <c r="I123" s="66" t="n">
        <v>15.34</v>
      </c>
      <c r="J123" s="42">
        <f>Index!$C$2</f>
        <v/>
      </c>
      <c r="K123" s="49" t="n"/>
      <c r="L123" s="49">
        <f>IF(AND( C97="Buy", ISBLANK(W97), B97&lt;&gt;"DIV"), ((J97*D97)-(E97*D97)+I97), "")</f>
        <v/>
      </c>
      <c r="M123" s="60">
        <f>IF(AND( C97="Buy", ISBLANK(W97), B97&lt;&gt;"DIV"), J97*D97, "")</f>
        <v/>
      </c>
      <c r="N123" s="61">
        <f>IF(AND( C97="Buy", ISBLANK(W97), B97&lt;&gt;"DIV"), D97, "")</f>
        <v/>
      </c>
      <c r="O123" s="62" t="n"/>
      <c r="P123" s="49" t="n"/>
      <c r="Q123" s="49" t="n"/>
      <c r="R123" s="49" t="n"/>
      <c r="S123" s="49" t="n"/>
      <c r="T123" s="49" t="n"/>
      <c r="U123" s="49" t="n"/>
      <c r="V123" s="49" t="n"/>
      <c r="W123" s="49" t="n">
        <v>233.022333</v>
      </c>
      <c r="X123" s="49" t="n">
        <v>44235</v>
      </c>
      <c r="Y123" s="46" t="n">
        <v>-0.08346565269</v>
      </c>
      <c r="Z123" s="49" t="n">
        <v>-215.7236566</v>
      </c>
      <c r="AA123" s="49" t="n">
        <v>2333.286343</v>
      </c>
      <c r="AB123" s="50" t="n">
        <v>10</v>
      </c>
      <c r="AC123" s="49" t="n"/>
      <c r="AD123" s="59" t="inlineStr">
        <is>
          <t>SBI Securities</t>
        </is>
      </c>
    </row>
    <row r="124">
      <c r="A124" s="64" t="n">
        <v>43683</v>
      </c>
      <c r="B124" s="65" t="inlineStr">
        <is>
          <t>NSE</t>
        </is>
      </c>
      <c r="C124" s="65" t="inlineStr">
        <is>
          <t>Buy</t>
        </is>
      </c>
      <c r="D124" s="66" t="n">
        <v>10</v>
      </c>
      <c r="E124" s="42" t="n">
        <v>260.503</v>
      </c>
      <c r="F124" s="67" t="n">
        <v>2623.47</v>
      </c>
      <c r="G124" s="65" t="inlineStr">
        <is>
          <t>~</t>
        </is>
      </c>
      <c r="H124" s="68" t="n">
        <v>2.6</v>
      </c>
      <c r="I124" s="66" t="n">
        <v>15.87</v>
      </c>
      <c r="J124" s="42">
        <f>Index!$C$2</f>
        <v/>
      </c>
      <c r="K124" s="49" t="n"/>
      <c r="L124" s="49">
        <f>IF(AND( C98="Buy", ISBLANK(W98), B98&lt;&gt;"DIV"), ((J98*D98)-(E98*D98)+I98), "")</f>
        <v/>
      </c>
      <c r="M124" s="60">
        <f>IF(AND( C98="Buy", ISBLANK(W98), B98&lt;&gt;"DIV"), J98*D98, "")</f>
        <v/>
      </c>
      <c r="N124" s="61">
        <f>IF(AND( C98="Buy", ISBLANK(W98), B98&lt;&gt;"DIV"), D98, "")</f>
        <v/>
      </c>
      <c r="O124" s="62" t="n"/>
      <c r="P124" s="49" t="n"/>
      <c r="Q124" s="49" t="n"/>
      <c r="R124" s="49" t="n"/>
      <c r="S124" s="49" t="n"/>
      <c r="T124" s="49" t="n"/>
      <c r="U124" s="49" t="n"/>
      <c r="V124" s="49" t="n"/>
      <c r="W124" s="49" t="n">
        <v>233.022333</v>
      </c>
      <c r="X124" s="49" t="n">
        <v>44235</v>
      </c>
      <c r="Y124" s="46" t="n">
        <v>-0.1025607609</v>
      </c>
      <c r="Z124" s="49" t="n">
        <v>-270.9593766</v>
      </c>
      <c r="AA124" s="49" t="n">
        <v>2334.070623</v>
      </c>
      <c r="AB124" s="50" t="n">
        <v>10</v>
      </c>
      <c r="AC124" s="49" t="n"/>
      <c r="AD124" s="59" t="inlineStr">
        <is>
          <t>SBI Securities</t>
        </is>
      </c>
    </row>
    <row r="125">
      <c r="A125" s="64" t="n">
        <v>43682</v>
      </c>
      <c r="B125" s="65" t="inlineStr">
        <is>
          <t>NSE</t>
        </is>
      </c>
      <c r="C125" s="65" t="inlineStr">
        <is>
          <t>Buy</t>
        </is>
      </c>
      <c r="D125" s="66" t="n">
        <v>10</v>
      </c>
      <c r="E125" s="42" t="n">
        <v>260.102</v>
      </c>
      <c r="F125" s="67" t="n">
        <v>2619.28</v>
      </c>
      <c r="G125" s="65" t="inlineStr">
        <is>
          <t>~</t>
        </is>
      </c>
      <c r="H125" s="68" t="n">
        <v>2.6</v>
      </c>
      <c r="I125" s="66" t="n">
        <v>15.68</v>
      </c>
      <c r="J125" s="42">
        <f>Index!$C$2</f>
        <v/>
      </c>
      <c r="K125" s="49" t="n"/>
      <c r="L125" s="49">
        <f>IF(AND( C99="Buy", ISBLANK(W99), B99&lt;&gt;"DIV"), ((J99*D99)-(E99*D99)+I99), "")</f>
        <v/>
      </c>
      <c r="M125" s="60">
        <f>IF(AND( C99="Buy", ISBLANK(W99), B99&lt;&gt;"DIV"), J99*D99, "")</f>
        <v/>
      </c>
      <c r="N125" s="61">
        <f>IF(AND( C99="Buy", ISBLANK(W99), B99&lt;&gt;"DIV"), D99, "")</f>
        <v/>
      </c>
      <c r="O125" s="62" t="n"/>
      <c r="P125" s="49" t="n"/>
      <c r="Q125" s="49" t="n"/>
      <c r="R125" s="49" t="n"/>
      <c r="S125" s="49" t="n"/>
      <c r="T125" s="49" t="n"/>
      <c r="U125" s="49" t="n"/>
      <c r="V125" s="49" t="n"/>
      <c r="W125" s="49" t="n">
        <v>233.022333</v>
      </c>
      <c r="X125" s="49" t="n">
        <v>44235</v>
      </c>
      <c r="Y125" s="46" t="n">
        <v>-0.1012320162</v>
      </c>
      <c r="Z125" s="49" t="n">
        <v>-267.0055166</v>
      </c>
      <c r="AA125" s="49" t="n">
        <v>2334.014483</v>
      </c>
      <c r="AB125" s="50" t="n">
        <v>10</v>
      </c>
      <c r="AC125" s="49" t="n"/>
      <c r="AD125" s="59" t="inlineStr">
        <is>
          <t>SBI Securities</t>
        </is>
      </c>
    </row>
    <row r="126">
      <c r="A126" s="64" t="n">
        <v>43668</v>
      </c>
      <c r="B126" s="65" t="inlineStr">
        <is>
          <t>NSE</t>
        </is>
      </c>
      <c r="C126" s="65" t="inlineStr">
        <is>
          <t>Buy</t>
        </is>
      </c>
      <c r="D126" s="66" t="n">
        <v>10</v>
      </c>
      <c r="E126" s="42" t="n">
        <v>266.052</v>
      </c>
      <c r="F126" s="67" t="n">
        <v>2679.18</v>
      </c>
      <c r="G126" s="65" t="inlineStr">
        <is>
          <t>~</t>
        </is>
      </c>
      <c r="H126" s="68" t="n">
        <v>2.59</v>
      </c>
      <c r="I126" s="66" t="n">
        <v>16.09</v>
      </c>
      <c r="J126" s="42">
        <f>Index!$C$2</f>
        <v/>
      </c>
      <c r="K126" s="49" t="n"/>
      <c r="L126" s="49">
        <f>IF(AND( C100="Buy", ISBLANK(W100), B100&lt;&gt;"DIV"), ((J100*D100)-(E100*D100)+I100), "")</f>
        <v/>
      </c>
      <c r="M126" s="60">
        <f>IF(AND( C100="Buy", ISBLANK(W100), B100&lt;&gt;"DIV"), J100*D100, "")</f>
        <v/>
      </c>
      <c r="N126" s="61">
        <f>IF(AND( C100="Buy", ISBLANK(W100), B100&lt;&gt;"DIV"), D100, "")</f>
        <v/>
      </c>
      <c r="O126" s="62" t="n"/>
      <c r="P126" s="49" t="n"/>
      <c r="Q126" s="49" t="n"/>
      <c r="R126" s="49" t="n"/>
      <c r="S126" s="49" t="n"/>
      <c r="T126" s="49" t="n"/>
      <c r="U126" s="49" t="n"/>
      <c r="V126" s="49" t="n"/>
      <c r="W126" s="49" t="n">
        <v>233.022333</v>
      </c>
      <c r="X126" s="49" t="n">
        <v>44235</v>
      </c>
      <c r="Y126" s="46" t="n">
        <v>-0.1207151285</v>
      </c>
      <c r="Z126" s="49" t="n">
        <v>-325.6725166</v>
      </c>
      <c r="AA126" s="49" t="n">
        <v>2334.847483</v>
      </c>
      <c r="AB126" s="50" t="n">
        <v>10</v>
      </c>
      <c r="AC126" s="49" t="n"/>
      <c r="AD126" s="59" t="inlineStr">
        <is>
          <t>SBI Securities</t>
        </is>
      </c>
    </row>
    <row r="127">
      <c r="A127" s="64" t="n">
        <v>43665</v>
      </c>
      <c r="B127" s="65" t="inlineStr">
        <is>
          <t>NSE</t>
        </is>
      </c>
      <c r="C127" s="65" t="inlineStr">
        <is>
          <t>Buy</t>
        </is>
      </c>
      <c r="D127" s="66" t="n">
        <v>10</v>
      </c>
      <c r="E127" s="42" t="n">
        <v>272.248</v>
      </c>
      <c r="F127" s="67" t="n">
        <v>2741.62</v>
      </c>
      <c r="G127" s="65" t="inlineStr">
        <is>
          <t>~</t>
        </is>
      </c>
      <c r="H127" s="68" t="n">
        <v>2.72</v>
      </c>
      <c r="I127" s="66" t="n">
        <v>16.4</v>
      </c>
      <c r="J127" s="42">
        <f>Index!$C$2</f>
        <v/>
      </c>
      <c r="K127" s="49" t="n"/>
      <c r="L127" s="49">
        <f>IF(AND( C101="Buy", ISBLANK(W101), B101&lt;&gt;"DIV"), ((J101*D101)-(E101*D101)+I101), "")</f>
        <v/>
      </c>
      <c r="M127" s="60">
        <f>IF(AND( C101="Buy", ISBLANK(W101), B101&lt;&gt;"DIV"), J101*D101, "")</f>
        <v/>
      </c>
      <c r="N127" s="61">
        <f>IF(AND( C101="Buy", ISBLANK(W101), B101&lt;&gt;"DIV"), D101, "")</f>
        <v/>
      </c>
      <c r="O127" s="62" t="n"/>
      <c r="P127" s="49" t="n"/>
      <c r="Q127" s="49" t="n"/>
      <c r="R127" s="49" t="n"/>
      <c r="S127" s="49" t="n"/>
      <c r="T127" s="49" t="n"/>
      <c r="U127" s="49" t="n"/>
      <c r="V127" s="49" t="n"/>
      <c r="W127" s="49" t="n">
        <v>233.022333</v>
      </c>
      <c r="X127" s="49" t="n">
        <v>44235</v>
      </c>
      <c r="Y127" s="46" t="n">
        <v>-0.1400947125</v>
      </c>
      <c r="Z127" s="49" t="n">
        <v>-386.7650766</v>
      </c>
      <c r="AA127" s="49" t="n">
        <v>2335.714923</v>
      </c>
      <c r="AB127" s="50" t="n">
        <v>10</v>
      </c>
      <c r="AC127" s="49" t="n"/>
      <c r="AD127" s="59" t="inlineStr">
        <is>
          <t>SBI Securities</t>
        </is>
      </c>
    </row>
    <row r="128">
      <c r="A128" s="64" t="n">
        <v>43661</v>
      </c>
      <c r="B128" s="65" t="inlineStr">
        <is>
          <t>NSE</t>
        </is>
      </c>
      <c r="C128" s="65" t="inlineStr">
        <is>
          <t>Buy</t>
        </is>
      </c>
      <c r="D128" s="66" t="n">
        <v>10</v>
      </c>
      <c r="E128" s="42" t="n">
        <v>272.297</v>
      </c>
      <c r="F128" s="67" t="n">
        <v>2742.23</v>
      </c>
      <c r="G128" s="65" t="inlineStr">
        <is>
          <t>~</t>
        </is>
      </c>
      <c r="H128" s="68" t="n">
        <v>2.82</v>
      </c>
      <c r="I128" s="66" t="n">
        <v>16.41</v>
      </c>
      <c r="J128" s="42">
        <f>Index!$C$2</f>
        <v/>
      </c>
      <c r="K128" s="49" t="n"/>
      <c r="L128" s="49">
        <f>IF(AND( C102="Buy", ISBLANK(W102), B102&lt;&gt;"DIV"), ((J102*D102)-(E102*D102)+I102), "")</f>
        <v/>
      </c>
      <c r="M128" s="60">
        <f>IF(AND( C102="Buy", ISBLANK(W102), B102&lt;&gt;"DIV"), J102*D102, "")</f>
        <v/>
      </c>
      <c r="N128" s="61">
        <f>IF(AND( C102="Buy", ISBLANK(W102), B102&lt;&gt;"DIV"), D102, "")</f>
        <v/>
      </c>
      <c r="O128" s="62" t="n"/>
      <c r="P128" s="49" t="n"/>
      <c r="Q128" s="49" t="n"/>
      <c r="R128" s="49" t="n"/>
      <c r="S128" s="49" t="n"/>
      <c r="T128" s="49" t="n"/>
      <c r="U128" s="49" t="n"/>
      <c r="V128" s="49" t="n"/>
      <c r="W128" s="49" t="n">
        <v>233.022333</v>
      </c>
      <c r="X128" s="49" t="n">
        <v>44235</v>
      </c>
      <c r="Y128" s="46" t="n">
        <v>-0.1402331436</v>
      </c>
      <c r="Z128" s="49" t="n">
        <v>-387.2482166</v>
      </c>
      <c r="AA128" s="49" t="n">
        <v>2335.721783</v>
      </c>
      <c r="AB128" s="50" t="n">
        <v>10</v>
      </c>
      <c r="AC128" s="49" t="n"/>
      <c r="AD128" s="59" t="inlineStr">
        <is>
          <t>SBI Securities</t>
        </is>
      </c>
    </row>
    <row r="129">
      <c r="A129" s="64" t="n">
        <v>43649</v>
      </c>
      <c r="B129" s="65" t="inlineStr">
        <is>
          <t>NSE</t>
        </is>
      </c>
      <c r="C129" s="65" t="inlineStr">
        <is>
          <t>Buy</t>
        </is>
      </c>
      <c r="D129" s="66" t="n">
        <v>10</v>
      </c>
      <c r="E129" s="42" t="n">
        <v>272.453</v>
      </c>
      <c r="F129" s="67" t="n">
        <v>2743.77</v>
      </c>
      <c r="G129" s="65" t="inlineStr">
        <is>
          <t>~</t>
        </is>
      </c>
      <c r="H129" s="68" t="n">
        <v>2.81</v>
      </c>
      <c r="I129" s="66" t="n">
        <v>16.46</v>
      </c>
      <c r="J129" s="42">
        <f>Index!$C$2</f>
        <v/>
      </c>
      <c r="K129" s="49" t="n"/>
      <c r="L129" s="49">
        <f>IF(AND( C103="Buy", ISBLANK(W103), B103&lt;&gt;"DIV"), ((J103*D103)-(E103*D103)+I103), "")</f>
        <v/>
      </c>
      <c r="M129" s="60">
        <f>IF(AND( C103="Buy", ISBLANK(W103), B103&lt;&gt;"DIV"), J103*D103, "")</f>
        <v/>
      </c>
      <c r="N129" s="61">
        <f>IF(AND( C103="Buy", ISBLANK(W103), B103&lt;&gt;"DIV"), D103, "")</f>
        <v/>
      </c>
      <c r="O129" s="62" t="n"/>
      <c r="P129" s="49" t="n"/>
      <c r="Q129" s="49" t="n"/>
      <c r="R129" s="49" t="n"/>
      <c r="S129" s="49" t="n"/>
      <c r="T129" s="49" t="n"/>
      <c r="U129" s="49" t="n"/>
      <c r="V129" s="49" t="n"/>
      <c r="W129" s="49" t="n">
        <v>233.022333</v>
      </c>
      <c r="X129" s="49" t="n">
        <v>44235</v>
      </c>
      <c r="Y129" s="46" t="n">
        <v>-0.1407096447</v>
      </c>
      <c r="Z129" s="49" t="n">
        <v>-388.7863766</v>
      </c>
      <c r="AA129" s="49" t="n">
        <v>2335.743623</v>
      </c>
      <c r="AB129" s="50" t="n">
        <v>10</v>
      </c>
      <c r="AC129" s="49" t="n"/>
      <c r="AD129" s="59" t="inlineStr">
        <is>
          <t>SBI Securities</t>
        </is>
      </c>
    </row>
    <row r="130">
      <c r="A130" s="64" t="n">
        <v>43630</v>
      </c>
      <c r="B130" s="65" t="inlineStr">
        <is>
          <t>NSE</t>
        </is>
      </c>
      <c r="C130" s="65" t="inlineStr">
        <is>
          <t>Buy</t>
        </is>
      </c>
      <c r="D130" s="66" t="n">
        <v>20</v>
      </c>
      <c r="E130" s="42" t="n">
        <v>279.003</v>
      </c>
      <c r="F130" s="67" t="n">
        <v>5619.14</v>
      </c>
      <c r="G130" s="65" t="inlineStr">
        <is>
          <t>~</t>
        </is>
      </c>
      <c r="H130" s="68" t="n">
        <v>5.46</v>
      </c>
      <c r="I130" s="66" t="n">
        <v>33.68</v>
      </c>
      <c r="J130" s="42">
        <f>Index!$C$2</f>
        <v/>
      </c>
      <c r="K130" s="49" t="n"/>
      <c r="L130" s="49">
        <f>IF(AND( C104="Buy", ISBLANK(W104), B104&lt;&gt;"DIV"), ((J104*D104)-(E104*D104)+I104), "")</f>
        <v/>
      </c>
      <c r="M130" s="60">
        <f>IF(AND( C104="Buy", ISBLANK(W104), B104&lt;&gt;"DIV"), J104*D104, "")</f>
        <v/>
      </c>
      <c r="N130" s="61">
        <f>IF(AND( C104="Buy", ISBLANK(W104), B104&lt;&gt;"DIV"), D104, "")</f>
        <v/>
      </c>
      <c r="O130" s="62" t="n"/>
      <c r="P130" s="49" t="n"/>
      <c r="Q130" s="49" t="n"/>
      <c r="R130" s="49" t="n"/>
      <c r="S130" s="49" t="n"/>
      <c r="T130" s="49" t="n"/>
      <c r="U130" s="49" t="n"/>
      <c r="V130" s="49" t="n"/>
      <c r="W130" s="49" t="n">
        <v>233.022333</v>
      </c>
      <c r="X130" s="49" t="n">
        <v>44235</v>
      </c>
      <c r="Y130" s="46" t="n">
        <v>-0.160249891</v>
      </c>
      <c r="Z130" s="49" t="n">
        <v>-906.7387532</v>
      </c>
      <c r="AA130" s="49" t="n">
        <v>4673.321247</v>
      </c>
      <c r="AB130" s="50" t="n">
        <v>20</v>
      </c>
      <c r="AC130" s="49" t="n"/>
      <c r="AD130" s="59" t="inlineStr">
        <is>
          <t>SBI Securities</t>
        </is>
      </c>
    </row>
    <row r="131">
      <c r="A131" s="64" t="n">
        <v>43626</v>
      </c>
      <c r="B131" s="65" t="inlineStr">
        <is>
          <t>NSE</t>
        </is>
      </c>
      <c r="C131" s="65" t="inlineStr">
        <is>
          <t>Buy</t>
        </is>
      </c>
      <c r="D131" s="66" t="n">
        <v>20</v>
      </c>
      <c r="E131" s="42" t="n">
        <v>278.5035</v>
      </c>
      <c r="F131" s="67" t="n">
        <v>5608.93</v>
      </c>
      <c r="G131" s="65" t="inlineStr">
        <is>
          <t>~</t>
        </is>
      </c>
      <c r="H131" s="68" t="n">
        <v>5.37</v>
      </c>
      <c r="I131" s="66" t="n">
        <v>33.56</v>
      </c>
      <c r="J131" s="42">
        <f>Index!$C$2</f>
        <v/>
      </c>
      <c r="K131" s="49" t="n"/>
      <c r="L131" s="49">
        <f>IF(AND( C105="Buy", ISBLANK(W105), B105&lt;&gt;"DIV"), ((J105*D105)-(E105*D105)+I105), "")</f>
        <v/>
      </c>
      <c r="M131" s="60">
        <f>IF(AND( C105="Buy", ISBLANK(W105), B105&lt;&gt;"DIV"), J105*D105, "")</f>
        <v/>
      </c>
      <c r="N131" s="61">
        <f>IF(AND( C105="Buy", ISBLANK(W105), B105&lt;&gt;"DIV"), D105, "")</f>
        <v/>
      </c>
      <c r="O131" s="62" t="n"/>
      <c r="P131" s="49" t="n"/>
      <c r="Q131" s="49" t="n"/>
      <c r="R131" s="49" t="n"/>
      <c r="S131" s="49" t="n"/>
      <c r="T131" s="49" t="n"/>
      <c r="U131" s="49" t="n"/>
      <c r="V131" s="49" t="n"/>
      <c r="W131" s="49" t="n">
        <v>233.022333</v>
      </c>
      <c r="X131" s="49" t="n">
        <v>44235</v>
      </c>
      <c r="Y131" s="46" t="n">
        <v>-0.1588014953</v>
      </c>
      <c r="Z131" s="49" t="n">
        <v>-896.8886132</v>
      </c>
      <c r="AA131" s="49" t="n">
        <v>4673.181387</v>
      </c>
      <c r="AB131" s="50" t="n">
        <v>20</v>
      </c>
      <c r="AC131" s="49" t="n"/>
      <c r="AD131" s="59" t="inlineStr">
        <is>
          <t>SBI Securities</t>
        </is>
      </c>
    </row>
    <row r="132">
      <c r="A132" s="64" t="n">
        <v>43619</v>
      </c>
      <c r="B132" s="65" t="inlineStr">
        <is>
          <t>NSE</t>
        </is>
      </c>
      <c r="C132" s="65" t="inlineStr">
        <is>
          <t>Buy</t>
        </is>
      </c>
      <c r="D132" s="66" t="n">
        <v>40</v>
      </c>
      <c r="E132" s="42" t="n">
        <v>276.9495</v>
      </c>
      <c r="F132" s="67" t="n">
        <v>11155.624</v>
      </c>
      <c r="G132" s="65" t="inlineStr">
        <is>
          <t>~</t>
        </is>
      </c>
      <c r="H132" s="68" t="n">
        <v>10.84</v>
      </c>
      <c r="I132" s="66" t="n">
        <v>66.78400000000001</v>
      </c>
      <c r="J132" s="42">
        <f>Index!$C$2</f>
        <v/>
      </c>
      <c r="K132" s="49" t="n"/>
      <c r="L132" s="49">
        <f>IF(AND( C106="Buy", ISBLANK(W106), B106&lt;&gt;"DIV"), ((J106*D106)-(E106*D106)+I106), "")</f>
        <v/>
      </c>
      <c r="M132" s="60">
        <f>IF(AND( C106="Buy", ISBLANK(W106), B106&lt;&gt;"DIV"), J106*D106, "")</f>
        <v/>
      </c>
      <c r="N132" s="61">
        <f>IF(AND( C106="Buy", ISBLANK(W106), B106&lt;&gt;"DIV"), D106, "")</f>
        <v/>
      </c>
      <c r="O132" s="62" t="n"/>
      <c r="P132" s="49" t="n"/>
      <c r="Q132" s="49" t="n"/>
      <c r="R132" s="49" t="n"/>
      <c r="S132" s="49" t="n"/>
      <c r="T132" s="49" t="n"/>
      <c r="U132" s="49" t="n"/>
      <c r="V132" s="49" t="n"/>
      <c r="W132" s="49" t="n">
        <v>233.022333</v>
      </c>
      <c r="X132" s="49" t="n">
        <v>44235</v>
      </c>
      <c r="Y132" s="46" t="n">
        <v>-0.1542285425</v>
      </c>
      <c r="Z132" s="49" t="n">
        <v>-1732.487466</v>
      </c>
      <c r="AA132" s="49" t="n">
        <v>9345.492534000001</v>
      </c>
      <c r="AB132" s="50" t="n">
        <v>40</v>
      </c>
      <c r="AC132" s="49" t="n"/>
      <c r="AD132" s="59" t="inlineStr">
        <is>
          <t>SBI Securities</t>
        </is>
      </c>
    </row>
    <row r="133">
      <c r="A133" s="64" t="n">
        <v>43619</v>
      </c>
      <c r="B133" s="65" t="inlineStr">
        <is>
          <t>NSE</t>
        </is>
      </c>
      <c r="C133" s="65" t="inlineStr">
        <is>
          <t>Buy</t>
        </is>
      </c>
      <c r="D133" s="66" t="n">
        <v>10</v>
      </c>
      <c r="E133" s="42" t="n">
        <v>276.949</v>
      </c>
      <c r="F133" s="67" t="n">
        <v>2788.906</v>
      </c>
      <c r="G133" s="65" t="inlineStr">
        <is>
          <t>~</t>
        </is>
      </c>
      <c r="H133" s="68" t="n">
        <v>2.71</v>
      </c>
      <c r="I133" s="66" t="n">
        <v>16.696</v>
      </c>
      <c r="J133" s="42">
        <f>Index!$C$2</f>
        <v/>
      </c>
      <c r="K133" s="49" t="n"/>
      <c r="L133" s="49">
        <f>IF(AND( C107="Buy", ISBLANK(W107), B107&lt;&gt;"DIV"), ((J107*D107)-(E107*D107)+I107), "")</f>
        <v/>
      </c>
      <c r="M133" s="60">
        <f>IF(AND( C107="Buy", ISBLANK(W107), B107&lt;&gt;"DIV"), J107*D107, "")</f>
        <v/>
      </c>
      <c r="N133" s="61">
        <f>IF(AND( C107="Buy", ISBLANK(W107), B107&lt;&gt;"DIV"), D107, "")</f>
        <v/>
      </c>
      <c r="O133" s="62" t="n"/>
      <c r="P133" s="49" t="n"/>
      <c r="Q133" s="49" t="n"/>
      <c r="R133" s="49" t="n"/>
      <c r="S133" s="49" t="n"/>
      <c r="T133" s="49" t="n"/>
      <c r="U133" s="49" t="n"/>
      <c r="V133" s="49" t="n"/>
      <c r="W133" s="49" t="n">
        <v>228.331471</v>
      </c>
      <c r="X133" s="49" t="n">
        <v>44232</v>
      </c>
      <c r="Y133" s="46" t="n">
        <v>-0.1706964311</v>
      </c>
      <c r="Z133" s="49" t="n">
        <v>-479.3688359</v>
      </c>
      <c r="AA133" s="49" t="n">
        <v>2290.121164</v>
      </c>
      <c r="AB133" s="50" t="n">
        <v>10</v>
      </c>
      <c r="AC133" s="49" t="n"/>
      <c r="AD133" s="59" t="inlineStr">
        <is>
          <t>SBI Securities</t>
        </is>
      </c>
    </row>
    <row r="134">
      <c r="A134" s="64" t="n">
        <v>43616</v>
      </c>
      <c r="B134" s="65" t="inlineStr">
        <is>
          <t>NSE</t>
        </is>
      </c>
      <c r="C134" s="65" t="inlineStr">
        <is>
          <t>Buy</t>
        </is>
      </c>
      <c r="D134" s="66" t="n">
        <v>30</v>
      </c>
      <c r="E134" s="42" t="n">
        <v>290.696667</v>
      </c>
      <c r="F134" s="67" t="n">
        <v>8782.299999999999</v>
      </c>
      <c r="G134" s="65" t="inlineStr">
        <is>
          <t>~</t>
        </is>
      </c>
      <c r="H134" s="68" t="n">
        <v>8.789999999999999</v>
      </c>
      <c r="I134" s="66" t="n">
        <v>52.51</v>
      </c>
      <c r="J134" s="42">
        <f>Index!$C$2</f>
        <v/>
      </c>
      <c r="K134" s="49" t="n"/>
      <c r="L134" s="49">
        <f>IF(AND( C108="Buy", ISBLANK(W108), B108&lt;&gt;"DIV"), ((J108*D108)-(E108*D108)+I108), "")</f>
        <v/>
      </c>
      <c r="M134" s="60">
        <f>IF(AND( C108="Buy", ISBLANK(W108), B108&lt;&gt;"DIV"), J108*D108, "")</f>
        <v/>
      </c>
      <c r="N134" s="61">
        <f>IF(AND( C108="Buy", ISBLANK(W108), B108&lt;&gt;"DIV"), D108, "")</f>
        <v/>
      </c>
      <c r="O134" s="62" t="n"/>
      <c r="P134" s="49">
        <f>IF(AND( C108="Buy", ISBLANK(W108), B108&lt;&gt;"DIV", NOW()-A108 &lt; 365), (J108*D108)-(E108*D108), "")</f>
        <v/>
      </c>
      <c r="Q134" s="49">
        <f>IF(AND( C108="Buy", ISBLANK(W108), B108&lt;&gt;"DIV", NOW()-A108 &lt; 365), J108*D108, "")</f>
        <v/>
      </c>
      <c r="R134" s="49">
        <f>IF(AND( C108="Buy", ISBLANK(W108), B108&lt;&gt;"DIV", NOW()-A108 &lt; 365), D108, "")</f>
        <v/>
      </c>
      <c r="S134" s="49" t="n"/>
      <c r="T134" s="49">
        <f>IF(AND( C108="Buy", ISBLANK(W108), B108&lt;&gt;"DIV", NOW()-A108 &gt; 365), (J108*D108)-(E108*D108), "")</f>
        <v/>
      </c>
      <c r="U134" s="49">
        <f>IF(AND( C108="Buy", ISBLANK(W108), B108&lt;&gt;"DIV", NOW()-A108 &gt; 365), J108*D108, "")</f>
        <v/>
      </c>
      <c r="V134" s="49">
        <f>IF(AND( C108="Buy", ISBLANK(W108), B108&lt;&gt;"DIV", NOW()-A108 &gt; 365), D108, "")</f>
        <v/>
      </c>
      <c r="W134" s="49" t="n">
        <v>228.331471</v>
      </c>
      <c r="X134" s="49" t="n">
        <v>44232</v>
      </c>
      <c r="Y134" s="46" t="n">
        <v>-0.2085985908</v>
      </c>
      <c r="Z134" s="49" t="n">
        <v>-1844.762498</v>
      </c>
      <c r="AA134" s="49" t="n">
        <v>6876.137512</v>
      </c>
      <c r="AB134" s="50" t="n">
        <v>30</v>
      </c>
      <c r="AC134" s="49" t="n"/>
      <c r="AD134" s="59" t="inlineStr">
        <is>
          <t>SBI Securities</t>
        </is>
      </c>
    </row>
    <row r="135">
      <c r="A135" s="64" t="n">
        <v>43615</v>
      </c>
      <c r="B135" s="65" t="inlineStr">
        <is>
          <t>NSE</t>
        </is>
      </c>
      <c r="C135" s="65" t="inlineStr">
        <is>
          <t>Buy</t>
        </is>
      </c>
      <c r="D135" s="66" t="n">
        <v>30</v>
      </c>
      <c r="E135" s="42" t="n">
        <v>290.545667</v>
      </c>
      <c r="F135" s="67" t="n">
        <v>8777.83</v>
      </c>
      <c r="G135" s="65" t="inlineStr">
        <is>
          <t>~</t>
        </is>
      </c>
      <c r="H135" s="68" t="n">
        <v>8.960000000000001</v>
      </c>
      <c r="I135" s="66" t="n">
        <v>52.37</v>
      </c>
      <c r="J135" s="42">
        <f>Index!$C$2</f>
        <v/>
      </c>
      <c r="K135" s="49" t="n"/>
      <c r="L135" s="49">
        <f>IF(AND( C109="Buy", ISBLANK(W109), B109&lt;&gt;"DIV"), ((J109*D109)-(E109*D109)+I109), "")</f>
        <v/>
      </c>
      <c r="M135" s="60">
        <f>IF(AND( C109="Buy", ISBLANK(W109), B109&lt;&gt;"DIV"), J109*D109, "")</f>
        <v/>
      </c>
      <c r="N135" s="61">
        <f>IF(AND( C109="Buy", ISBLANK(W109), B109&lt;&gt;"DIV"), D109, "")</f>
        <v/>
      </c>
      <c r="O135" s="62" t="n"/>
      <c r="P135" s="49" t="n"/>
      <c r="Q135" s="49" t="n"/>
      <c r="R135" s="49" t="n"/>
      <c r="S135" s="49" t="n"/>
      <c r="T135" s="49" t="n"/>
      <c r="U135" s="49" t="n"/>
      <c r="V135" s="49" t="n"/>
      <c r="W135" s="49" t="n">
        <v>228.331471</v>
      </c>
      <c r="X135" s="49" t="n">
        <v>44232</v>
      </c>
      <c r="Y135" s="46" t="n">
        <v>-0.2081980548</v>
      </c>
      <c r="Z135" s="49" t="n">
        <v>-1840.295918</v>
      </c>
      <c r="AA135" s="49" t="n">
        <v>6876.074092</v>
      </c>
      <c r="AB135" s="50" t="n">
        <v>30</v>
      </c>
      <c r="AC135" s="49" t="n"/>
      <c r="AD135" s="59" t="inlineStr">
        <is>
          <t>SBI Securities</t>
        </is>
      </c>
    </row>
    <row r="136">
      <c r="A136" s="64" t="n">
        <v>43612</v>
      </c>
      <c r="B136" s="65" t="inlineStr">
        <is>
          <t>NSE</t>
        </is>
      </c>
      <c r="C136" s="65" t="inlineStr">
        <is>
          <t>Buy</t>
        </is>
      </c>
      <c r="D136" s="66" t="n">
        <v>10</v>
      </c>
      <c r="E136" s="42" t="n">
        <v>292.002</v>
      </c>
      <c r="F136" s="67" t="n">
        <v>2940.58</v>
      </c>
      <c r="G136" s="65" t="inlineStr">
        <is>
          <t>~</t>
        </is>
      </c>
      <c r="H136" s="68" t="n">
        <v>2.9</v>
      </c>
      <c r="I136" s="66" t="n">
        <v>17.68</v>
      </c>
      <c r="J136" s="42">
        <f>Index!$C$2</f>
        <v/>
      </c>
      <c r="K136" s="49" t="n"/>
      <c r="L136" s="49">
        <f>IF(AND( C110="Buy", ISBLANK(W110), B110&lt;&gt;"DIV"), ((J110*D110)-(E110*D110)+I110), "")</f>
        <v/>
      </c>
      <c r="M136" s="60">
        <f>IF(AND( C110="Buy", ISBLANK(W110), B110&lt;&gt;"DIV"), J110*D110, "")</f>
        <v/>
      </c>
      <c r="N136" s="61">
        <f>IF(AND( C110="Buy", ISBLANK(W110), B110&lt;&gt;"DIV"), D110, "")</f>
        <v/>
      </c>
      <c r="O136" s="62" t="n"/>
      <c r="P136" s="49" t="n"/>
      <c r="Q136" s="49" t="n"/>
      <c r="R136" s="49" t="n"/>
      <c r="S136" s="49" t="n"/>
      <c r="T136" s="49" t="n"/>
      <c r="U136" s="49" t="n"/>
      <c r="V136" s="49" t="n"/>
      <c r="W136" s="49" t="n">
        <v>228.331471</v>
      </c>
      <c r="X136" s="49" t="n">
        <v>44232</v>
      </c>
      <c r="Y136" s="46" t="n">
        <v>-0.2120086101</v>
      </c>
      <c r="Z136" s="49" t="n">
        <v>-627.7914158999999</v>
      </c>
      <c r="AA136" s="49" t="n">
        <v>2292.228584</v>
      </c>
      <c r="AB136" s="50" t="n">
        <v>10</v>
      </c>
      <c r="AC136" s="49" t="n"/>
      <c r="AD136" s="59" t="inlineStr">
        <is>
          <t>SBI Securities</t>
        </is>
      </c>
    </row>
    <row r="137">
      <c r="A137" s="64" t="n">
        <v>43609</v>
      </c>
      <c r="B137" s="65" t="inlineStr">
        <is>
          <t>NSE</t>
        </is>
      </c>
      <c r="C137" s="65" t="inlineStr">
        <is>
          <t>Buy</t>
        </is>
      </c>
      <c r="D137" s="66" t="n">
        <v>60</v>
      </c>
      <c r="E137" s="42" t="n">
        <v>288.3625</v>
      </c>
      <c r="F137" s="67" t="n">
        <v>17423.3</v>
      </c>
      <c r="G137" s="65" t="inlineStr">
        <is>
          <t>~</t>
        </is>
      </c>
      <c r="H137" s="68" t="n">
        <v>17</v>
      </c>
      <c r="I137" s="66" t="n">
        <v>104.65</v>
      </c>
      <c r="J137" s="42">
        <f>Index!$C$2</f>
        <v/>
      </c>
      <c r="K137" s="49" t="n"/>
      <c r="L137" s="49">
        <f>IF(AND( C111="Buy", ISBLANK(W111), B111&lt;&gt;"DIV"), ((J111*D111)-(E111*D111)+I111), "")</f>
        <v/>
      </c>
      <c r="M137" s="60">
        <f>IF(AND( C111="Buy", ISBLANK(W111), B111&lt;&gt;"DIV"), J111*D111, "")</f>
        <v/>
      </c>
      <c r="N137" s="61">
        <f>IF(AND( C111="Buy", ISBLANK(W111), B111&lt;&gt;"DIV"), D111, "")</f>
        <v/>
      </c>
      <c r="O137" s="62" t="n"/>
      <c r="P137" s="49" t="n"/>
      <c r="Q137" s="49" t="n"/>
      <c r="R137" s="49" t="n"/>
      <c r="S137" s="49" t="n"/>
      <c r="T137" s="49" t="n"/>
      <c r="U137" s="49" t="n"/>
      <c r="V137" s="49" t="n"/>
      <c r="W137" s="49" t="n">
        <v>228.331471</v>
      </c>
      <c r="X137" s="49" t="n">
        <v>44232</v>
      </c>
      <c r="Y137" s="46" t="n">
        <v>-0.2024192532</v>
      </c>
      <c r="Z137" s="49" t="n">
        <v>-3551.435676</v>
      </c>
      <c r="AA137" s="49" t="n">
        <v>13750.31432</v>
      </c>
      <c r="AB137" s="50" t="n">
        <v>60</v>
      </c>
      <c r="AC137" s="49" t="n"/>
      <c r="AD137" s="59" t="inlineStr">
        <is>
          <t>SBI Securities</t>
        </is>
      </c>
    </row>
    <row r="138">
      <c r="A138" s="64" t="n">
        <v>43607</v>
      </c>
      <c r="B138" s="65" t="inlineStr">
        <is>
          <t>DIV</t>
        </is>
      </c>
      <c r="C138" s="65" t="inlineStr">
        <is>
          <t>Buy</t>
        </is>
      </c>
      <c r="D138" s="66" t="n">
        <v>230</v>
      </c>
      <c r="E138" s="42" t="n">
        <v>5.75</v>
      </c>
      <c r="F138" s="67" t="n">
        <v>1322.5</v>
      </c>
      <c r="G138" s="65" t="inlineStr">
        <is>
          <t>Dividend of Rs.5.7500/- per share on 22-MAY-2019</t>
        </is>
      </c>
      <c r="H138" s="68" t="n">
        <v>0</v>
      </c>
      <c r="I138" s="66" t="n">
        <v>0</v>
      </c>
      <c r="J138" s="42">
        <f>Index!$C$2</f>
        <v/>
      </c>
      <c r="K138" s="49" t="n"/>
      <c r="L138" s="49">
        <f>IF(AND( C112="Buy", ISBLANK(W112), B112&lt;&gt;"DIV"), ((J112*D112)-(E112*D112)+I112), "")</f>
        <v/>
      </c>
      <c r="M138" s="60">
        <f>IF(AND( C112="Buy", ISBLANK(W112), B112&lt;&gt;"DIV"), J112*D112, "")</f>
        <v/>
      </c>
      <c r="N138" s="61">
        <f>IF(AND( C112="Buy", ISBLANK(W112), B112&lt;&gt;"DIV"), D112, "")</f>
        <v/>
      </c>
      <c r="O138" s="62" t="n"/>
      <c r="P138" s="49">
        <f>if(C112="DIV", G112,"")</f>
        <v/>
      </c>
      <c r="Q138" s="49">
        <f>if(D112="DIV", H112,"")</f>
        <v/>
      </c>
      <c r="R138" s="49">
        <f>if(E112="DIV", I112,"")</f>
        <v/>
      </c>
      <c r="S138" s="49" t="n"/>
      <c r="T138" s="49">
        <f>if(G112="DIV", N112,"")</f>
        <v/>
      </c>
      <c r="U138" s="49">
        <f>if(H112="DIV", #REF!,"")</f>
        <v/>
      </c>
      <c r="V138" s="49">
        <f>if(I112="DIV", #REF!,"")</f>
        <v/>
      </c>
      <c r="W138" s="49" t="n"/>
      <c r="X138" s="49" t="n"/>
      <c r="Y138" s="46">
        <f>IF(AND( C112="Buy", W112&lt;&gt;"", AA112&lt;&gt;"", B112&lt;&gt;"DIV"), Z112/sum(F112:I112), "")</f>
        <v/>
      </c>
      <c r="Z138" s="49" t="n"/>
      <c r="AA138" s="49" t="n"/>
      <c r="AB138" s="50" t="n"/>
      <c r="AC138" s="49">
        <f>if(B112="DIV", F112,"")</f>
        <v/>
      </c>
      <c r="AD138" s="59" t="inlineStr">
        <is>
          <t>SBI Securities</t>
        </is>
      </c>
    </row>
    <row r="139">
      <c r="A139" s="64" t="n">
        <v>43403</v>
      </c>
      <c r="B139" s="65" t="inlineStr">
        <is>
          <t>NSE</t>
        </is>
      </c>
      <c r="C139" s="65" t="inlineStr">
        <is>
          <t>Buy</t>
        </is>
      </c>
      <c r="D139" s="66" t="n">
        <v>20</v>
      </c>
      <c r="E139" s="42" t="n">
        <v>282.8</v>
      </c>
      <c r="F139" s="67" t="n">
        <v>5695.4</v>
      </c>
      <c r="G139" s="65" t="inlineStr">
        <is>
          <t>~</t>
        </is>
      </c>
      <c r="H139" s="68" t="n">
        <v>5.42</v>
      </c>
      <c r="I139" s="66" t="n">
        <v>33.98</v>
      </c>
      <c r="J139" s="42">
        <f>Index!$C$2</f>
        <v/>
      </c>
      <c r="K139" s="49" t="n"/>
      <c r="L139" s="49">
        <f>IF(AND( C113="Buy", ISBLANK(W113), B113&lt;&gt;"DIV"), ((J113*D113)-(E113*D113)+I113), "")</f>
        <v/>
      </c>
      <c r="M139" s="60">
        <f>IF(AND( C113="Buy", ISBLANK(W113), B113&lt;&gt;"DIV"), J113*D113, "")</f>
        <v/>
      </c>
      <c r="N139" s="61">
        <f>IF(AND( C113="Buy", ISBLANK(W113), B113&lt;&gt;"DIV"), D113, "")</f>
        <v/>
      </c>
      <c r="O139" s="62" t="n"/>
      <c r="P139" s="49" t="n"/>
      <c r="Q139" s="49" t="n"/>
      <c r="R139" s="49" t="n"/>
      <c r="S139" s="49" t="n"/>
      <c r="T139" s="49" t="n"/>
      <c r="U139" s="49" t="n"/>
      <c r="V139" s="49" t="n"/>
      <c r="W139" s="49" t="n">
        <v>228.331471</v>
      </c>
      <c r="X139" s="49" t="n">
        <v>44232</v>
      </c>
      <c r="Y139" s="46" t="n">
        <v>-0.187298492</v>
      </c>
      <c r="Z139" s="49" t="n">
        <v>-1074.119392</v>
      </c>
      <c r="AA139" s="49" t="n">
        <v>4581.880608</v>
      </c>
      <c r="AB139" s="50" t="n">
        <v>20</v>
      </c>
      <c r="AC139" s="49" t="n"/>
      <c r="AD139" s="59" t="inlineStr">
        <is>
          <t>SBI Securities</t>
        </is>
      </c>
    </row>
    <row r="140">
      <c r="A140" s="64" t="n">
        <v>43383</v>
      </c>
      <c r="B140" s="65" t="inlineStr">
        <is>
          <t>NSE</t>
        </is>
      </c>
      <c r="C140" s="65" t="inlineStr">
        <is>
          <t>Buy</t>
        </is>
      </c>
      <c r="D140" s="66" t="n">
        <v>10</v>
      </c>
      <c r="E140" s="42" t="n">
        <v>268.748</v>
      </c>
      <c r="F140" s="67" t="n">
        <v>2706.41333</v>
      </c>
      <c r="G140" s="65" t="inlineStr">
        <is>
          <t>~</t>
        </is>
      </c>
      <c r="H140" s="68" t="n">
        <v>2.66666</v>
      </c>
      <c r="I140" s="66" t="n">
        <v>16.2466</v>
      </c>
      <c r="J140" s="42">
        <f>Index!$C$2</f>
        <v/>
      </c>
      <c r="K140" s="49" t="n"/>
      <c r="L140" s="49">
        <f>IF(AND( C114="Buy", ISBLANK(W114), B114&lt;&gt;"DIV"), ((J114*D114)-(E114*D114)+I114), "")</f>
        <v/>
      </c>
      <c r="M140" s="60">
        <f>IF(AND( C114="Buy", ISBLANK(W114), B114&lt;&gt;"DIV"), J114*D114, "")</f>
        <v/>
      </c>
      <c r="N140" s="61">
        <f>IF(AND( C114="Buy", ISBLANK(W114), B114&lt;&gt;"DIV"), D114, "")</f>
        <v/>
      </c>
      <c r="O140" s="62" t="n"/>
      <c r="P140" s="49" t="n"/>
      <c r="Q140" s="49" t="n"/>
      <c r="R140" s="49" t="n"/>
      <c r="S140" s="49" t="n"/>
      <c r="T140" s="49" t="n"/>
      <c r="U140" s="49" t="n"/>
      <c r="V140" s="49" t="n"/>
      <c r="W140" s="49" t="n">
        <v>228.331471</v>
      </c>
      <c r="X140" s="49" t="n">
        <v>44232</v>
      </c>
      <c r="Y140" s="46" t="n">
        <v>-0.1462235673</v>
      </c>
      <c r="Z140" s="49" t="n">
        <v>-398.5069759</v>
      </c>
      <c r="AA140" s="49" t="n">
        <v>2288.973024</v>
      </c>
      <c r="AB140" s="50" t="n">
        <v>10</v>
      </c>
      <c r="AC140" s="49" t="n"/>
      <c r="AD140" s="59" t="inlineStr">
        <is>
          <t>SBI Securities</t>
        </is>
      </c>
    </row>
    <row r="141">
      <c r="A141" s="64" t="n">
        <v>43383</v>
      </c>
      <c r="B141" s="65" t="inlineStr">
        <is>
          <t>NSE</t>
        </is>
      </c>
      <c r="C141" s="65" t="inlineStr">
        <is>
          <t>Buy</t>
        </is>
      </c>
      <c r="D141" s="66" t="n">
        <v>20</v>
      </c>
      <c r="E141" s="42" t="n">
        <v>268.749</v>
      </c>
      <c r="F141" s="67" t="n">
        <v>5412.826666</v>
      </c>
      <c r="G141" s="65" t="inlineStr">
        <is>
          <t>~</t>
        </is>
      </c>
      <c r="H141" s="68" t="n">
        <v>5.3333</v>
      </c>
      <c r="I141" s="66" t="n">
        <v>32.49333</v>
      </c>
      <c r="J141" s="42">
        <f>Index!$C$2</f>
        <v/>
      </c>
      <c r="K141" s="49" t="n"/>
      <c r="L141" s="49">
        <f>IF(AND( C115="Buy", ISBLANK(W115), B115&lt;&gt;"DIV"), ((J115*D115)-(E115*D115)+I115), "")</f>
        <v/>
      </c>
      <c r="M141" s="60">
        <f>IF(AND( C115="Buy", ISBLANK(W115), B115&lt;&gt;"DIV"), J115*D115, "")</f>
        <v/>
      </c>
      <c r="N141" s="61">
        <f>IF(AND( C115="Buy", ISBLANK(W115), B115&lt;&gt;"DIV"), D115, "")</f>
        <v/>
      </c>
      <c r="O141" s="62" t="n"/>
      <c r="P141" s="49" t="n"/>
      <c r="Q141" s="49" t="n"/>
      <c r="R141" s="49" t="n"/>
      <c r="S141" s="49" t="n"/>
      <c r="T141" s="49" t="n"/>
      <c r="U141" s="49" t="n"/>
      <c r="V141" s="49" t="n"/>
      <c r="W141" s="49" t="n">
        <v>225.03915</v>
      </c>
      <c r="X141" s="49" t="n">
        <v>44231</v>
      </c>
      <c r="Y141" s="46" t="n">
        <v>-0.1581385194</v>
      </c>
      <c r="Z141" s="49" t="n">
        <v>-861.958242</v>
      </c>
      <c r="AA141" s="49" t="n">
        <v>4513.021758</v>
      </c>
      <c r="AB141" s="50" t="n">
        <v>20</v>
      </c>
      <c r="AC141" s="49" t="n"/>
      <c r="AD141" s="59" t="inlineStr">
        <is>
          <t>SBI Securities</t>
        </is>
      </c>
    </row>
    <row r="142">
      <c r="A142" s="64" t="n">
        <v>43382</v>
      </c>
      <c r="B142" s="65" t="inlineStr">
        <is>
          <t>NSE</t>
        </is>
      </c>
      <c r="C142" s="65" t="inlineStr">
        <is>
          <t>Buy</t>
        </is>
      </c>
      <c r="D142" s="66" t="n">
        <v>30</v>
      </c>
      <c r="E142" s="42" t="n">
        <v>273.051</v>
      </c>
      <c r="F142" s="67" t="n">
        <v>8249.370000000001</v>
      </c>
      <c r="G142" s="65" t="inlineStr">
        <is>
          <t>~</t>
        </is>
      </c>
      <c r="H142" s="68" t="n">
        <v>8.15</v>
      </c>
      <c r="I142" s="66" t="n">
        <v>49.72</v>
      </c>
      <c r="J142" s="42">
        <f>Index!$C$2</f>
        <v/>
      </c>
      <c r="K142" s="49" t="n"/>
      <c r="L142" s="49">
        <f>IF(AND( C116="Buy", ISBLANK(W116), B116&lt;&gt;"DIV"), ((J116*D116)-(E116*D116)+I116), "")</f>
        <v/>
      </c>
      <c r="M142" s="60">
        <f>IF(AND( C116="Buy", ISBLANK(W116), B116&lt;&gt;"DIV"), J116*D116, "")</f>
        <v/>
      </c>
      <c r="N142" s="61">
        <f>IF(AND( C116="Buy", ISBLANK(W116), B116&lt;&gt;"DIV"), D116, "")</f>
        <v/>
      </c>
      <c r="O142" s="62" t="n"/>
      <c r="P142" s="49" t="n"/>
      <c r="Q142" s="49" t="n"/>
      <c r="R142" s="49" t="n"/>
      <c r="S142" s="49" t="n"/>
      <c r="T142" s="49" t="n"/>
      <c r="U142" s="49" t="n"/>
      <c r="V142" s="49" t="n"/>
      <c r="W142" s="49" t="n">
        <v>225.03915</v>
      </c>
      <c r="X142" s="49" t="n">
        <v>44231</v>
      </c>
      <c r="Y142" s="46" t="n">
        <v>-0.170958167</v>
      </c>
      <c r="Z142" s="49" t="n">
        <v>-1420.190523</v>
      </c>
      <c r="AA142" s="49" t="n">
        <v>6771.339477</v>
      </c>
      <c r="AB142" s="50" t="n">
        <v>30</v>
      </c>
      <c r="AC142" s="49" t="n"/>
      <c r="AD142" s="59" t="inlineStr">
        <is>
          <t>SBI Securities</t>
        </is>
      </c>
    </row>
    <row r="143">
      <c r="A143" s="64" t="n">
        <v>43245</v>
      </c>
      <c r="B143" s="65" t="inlineStr">
        <is>
          <t>DIV</t>
        </is>
      </c>
      <c r="C143" s="65" t="inlineStr">
        <is>
          <t>Buy</t>
        </is>
      </c>
      <c r="D143" s="66" t="n">
        <v>150</v>
      </c>
      <c r="E143" s="42" t="n">
        <v>5.15</v>
      </c>
      <c r="F143" s="67" t="n">
        <v>772.5</v>
      </c>
      <c r="G143" s="65" t="inlineStr">
        <is>
          <t>Dividend of Rs.5.1500/- per share on 25-MAY-2018</t>
        </is>
      </c>
      <c r="H143" s="68" t="n">
        <v>0</v>
      </c>
      <c r="I143" s="66" t="n">
        <v>0</v>
      </c>
      <c r="J143" s="42">
        <f>Index!$C$2</f>
        <v/>
      </c>
      <c r="K143" s="49" t="n"/>
      <c r="L143" s="49">
        <f>IF(AND( C117="Buy", ISBLANK(W117), B117&lt;&gt;"DIV"), ((J117*D117)-(E117*D117)+I117), "")</f>
        <v/>
      </c>
      <c r="M143" s="60">
        <f>IF(AND( C117="Buy", ISBLANK(W117), B117&lt;&gt;"DIV"), J117*D117, "")</f>
        <v/>
      </c>
      <c r="N143" s="61">
        <f>IF(AND( C117="Buy", ISBLANK(W117), B117&lt;&gt;"DIV"), D117, "")</f>
        <v/>
      </c>
      <c r="O143" s="62" t="n"/>
      <c r="P143" s="49">
        <f>if(C117="DIV", G117,"")</f>
        <v/>
      </c>
      <c r="Q143" s="49">
        <f>if(D117="DIV", H117,"")</f>
        <v/>
      </c>
      <c r="R143" s="49">
        <f>if(E117="DIV", I117,"")</f>
        <v/>
      </c>
      <c r="S143" s="49" t="n"/>
      <c r="T143" s="49">
        <f>if(G117="DIV", N117,"")</f>
        <v/>
      </c>
      <c r="U143" s="49">
        <f>if(H117="DIV", #REF!,"")</f>
        <v/>
      </c>
      <c r="V143" s="49">
        <f>if(I117="DIV", #REF!,"")</f>
        <v/>
      </c>
      <c r="W143" s="49" t="n"/>
      <c r="X143" s="49" t="n"/>
      <c r="Y143" s="46">
        <f>IF(AND( C117="Buy", W117&lt;&gt;"", AA117&lt;&gt;"", B117&lt;&gt;"DIV"), Z117/sum(F117:I117), "")</f>
        <v/>
      </c>
      <c r="Z143" s="49" t="n"/>
      <c r="AA143" s="49" t="n"/>
      <c r="AB143" s="50" t="n"/>
      <c r="AC143" s="49">
        <f>if(B117="DIV", F117,"")</f>
        <v/>
      </c>
      <c r="AD143" s="59" t="inlineStr">
        <is>
          <t>SBI Securities</t>
        </is>
      </c>
    </row>
    <row r="144">
      <c r="A144" s="64" t="n">
        <v>43209</v>
      </c>
      <c r="B144" s="65" t="inlineStr">
        <is>
          <t>NSE</t>
        </is>
      </c>
      <c r="C144" s="65" t="inlineStr">
        <is>
          <t>Buy</t>
        </is>
      </c>
      <c r="D144" s="66" t="n">
        <v>150</v>
      </c>
      <c r="E144" s="42" t="n">
        <v>276.097667</v>
      </c>
      <c r="F144" s="67" t="n">
        <v>41704.85</v>
      </c>
      <c r="G144" s="65" t="inlineStr">
        <is>
          <t>~</t>
        </is>
      </c>
      <c r="H144" s="68" t="n">
        <v>41</v>
      </c>
      <c r="I144" s="66" t="n">
        <v>248.85</v>
      </c>
      <c r="J144" s="42">
        <f>Index!$C$2</f>
        <v/>
      </c>
      <c r="K144" s="49" t="n"/>
      <c r="L144" s="49">
        <f>IF(AND( C118="Buy", ISBLANK(W118), B118&lt;&gt;"DIV"), ((J118*D118)-(E118*D118)+I118), "")</f>
        <v/>
      </c>
      <c r="M144" s="60">
        <f>IF(AND( C118="Buy", ISBLANK(W118), B118&lt;&gt;"DIV"), J118*D118, "")</f>
        <v/>
      </c>
      <c r="N144" s="61">
        <f>IF(AND( C118="Buy", ISBLANK(W118), B118&lt;&gt;"DIV"), D118, "")</f>
        <v/>
      </c>
      <c r="O144" s="62" t="n"/>
      <c r="P144" s="49" t="n"/>
      <c r="Q144" s="49" t="n"/>
      <c r="R144" s="49" t="n"/>
      <c r="S144" s="49" t="n"/>
      <c r="T144" s="49" t="n"/>
      <c r="U144" s="49" t="n"/>
      <c r="V144" s="49" t="n"/>
      <c r="W144" s="49" t="n">
        <v>225.03915</v>
      </c>
      <c r="X144" s="49" t="n">
        <v>44231</v>
      </c>
      <c r="Y144" s="46" t="n">
        <v>-0.1798216124</v>
      </c>
      <c r="Z144" s="49" t="n">
        <v>-7551.554664</v>
      </c>
      <c r="AA144" s="49" t="n">
        <v>33863.09539</v>
      </c>
      <c r="AB144" s="50" t="n">
        <v>150</v>
      </c>
      <c r="AC144" s="49" t="n"/>
      <c r="AD144" s="59" t="inlineStr">
        <is>
          <t>SBI Securities</t>
        </is>
      </c>
    </row>
    <row r="145">
      <c r="E145" s="69" t="n"/>
      <c r="F145" s="69" t="n"/>
      <c r="G145" s="70" t="n"/>
      <c r="H145" s="69" t="n"/>
      <c r="J145" s="69" t="n"/>
      <c r="K145" s="69" t="n"/>
      <c r="L145" s="69" t="n"/>
      <c r="M145" s="72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  <c r="Z145" s="69" t="n"/>
      <c r="AA145" s="69" t="n"/>
      <c r="AB145" s="69" t="n"/>
      <c r="AC145" s="69" t="n"/>
    </row>
    <row r="146">
      <c r="E146" s="69" t="n"/>
      <c r="F146" s="69" t="n"/>
      <c r="G146" s="70" t="n"/>
      <c r="H146" s="69" t="n"/>
      <c r="J146" s="69" t="n"/>
      <c r="K146" s="69" t="n"/>
      <c r="L146" s="69" t="n"/>
      <c r="M146" s="72" t="n"/>
      <c r="W146" s="69" t="n"/>
      <c r="X146" s="69" t="n"/>
      <c r="Y146" s="69" t="n"/>
      <c r="Z146" s="69" t="n"/>
      <c r="AA146" s="69" t="n"/>
      <c r="AB146" s="69" t="n"/>
      <c r="AC146" s="69" t="n"/>
    </row>
    <row r="147">
      <c r="E147" s="69" t="n"/>
      <c r="F147" s="69" t="n"/>
      <c r="G147" s="70" t="n"/>
      <c r="H147" s="69" t="n"/>
      <c r="J147" s="69" t="n"/>
      <c r="K147" s="69" t="n"/>
      <c r="L147" s="69" t="n"/>
      <c r="M147" s="72" t="n"/>
      <c r="W147" s="69" t="n"/>
      <c r="X147" s="69" t="n"/>
      <c r="Y147" s="69" t="n"/>
      <c r="Z147" s="69" t="n"/>
      <c r="AA147" s="69" t="n"/>
      <c r="AB147" s="69" t="n"/>
      <c r="AC147" s="69" t="n"/>
    </row>
    <row r="148">
      <c r="E148" s="69" t="n"/>
      <c r="F148" s="69" t="n"/>
      <c r="G148" s="70" t="n"/>
      <c r="H148" s="69" t="n"/>
      <c r="J148" s="69" t="n"/>
      <c r="K148" s="69" t="n"/>
      <c r="L148" s="69" t="n"/>
      <c r="M148" s="72" t="n"/>
      <c r="W148" s="69" t="n"/>
      <c r="X148" s="69" t="n"/>
      <c r="Y148" s="69" t="n"/>
      <c r="Z148" s="69" t="n"/>
      <c r="AA148" s="69" t="n"/>
      <c r="AB148" s="69" t="n"/>
      <c r="AC148" s="69" t="n"/>
    </row>
    <row r="149">
      <c r="E149" s="69" t="n"/>
      <c r="F149" s="69" t="n"/>
      <c r="G149" s="70" t="n"/>
      <c r="H149" s="69" t="n"/>
      <c r="J149" s="69" t="n"/>
      <c r="K149" s="69" t="n"/>
      <c r="L149" s="69" t="n"/>
      <c r="M149" s="72" t="n"/>
      <c r="W149" s="69" t="n"/>
      <c r="X149" s="69" t="n"/>
      <c r="Y149" s="69" t="n"/>
      <c r="Z149" s="69" t="n"/>
      <c r="AA149" s="69" t="n"/>
      <c r="AB149" s="69" t="n"/>
      <c r="AC149" s="69" t="n"/>
    </row>
    <row r="150">
      <c r="E150" s="69" t="n"/>
      <c r="F150" s="69" t="n"/>
      <c r="G150" s="70" t="n"/>
      <c r="H150" s="69" t="n"/>
      <c r="J150" s="69" t="n"/>
      <c r="K150" s="69" t="n"/>
      <c r="L150" s="69" t="n"/>
      <c r="M150" s="72" t="n"/>
      <c r="W150" s="69" t="n"/>
      <c r="X150" s="69" t="n"/>
      <c r="Y150" s="69" t="n"/>
      <c r="Z150" s="69" t="n"/>
      <c r="AA150" s="69" t="n"/>
      <c r="AB150" s="69" t="n"/>
      <c r="AC150" s="69" t="n"/>
    </row>
    <row r="151">
      <c r="E151" s="69" t="n"/>
      <c r="F151" s="69" t="n"/>
      <c r="G151" s="70" t="n"/>
      <c r="H151" s="69" t="n"/>
      <c r="J151" s="69" t="n"/>
      <c r="K151" s="69" t="n"/>
      <c r="L151" s="69" t="n"/>
      <c r="M151" s="72" t="n"/>
      <c r="W151" s="69" t="n"/>
      <c r="X151" s="69" t="n"/>
      <c r="Y151" s="69" t="n"/>
      <c r="Z151" s="69" t="n"/>
      <c r="AA151" s="69" t="n"/>
      <c r="AB151" s="69" t="n"/>
      <c r="AC151" s="69" t="n"/>
    </row>
    <row r="152">
      <c r="E152" s="69" t="n"/>
      <c r="F152" s="69" t="n"/>
      <c r="G152" s="70" t="n"/>
      <c r="H152" s="69" t="n"/>
      <c r="J152" s="69" t="n"/>
      <c r="K152" s="69" t="n"/>
      <c r="L152" s="69" t="n"/>
      <c r="M152" s="72" t="n"/>
      <c r="W152" s="69" t="n"/>
      <c r="X152" s="69" t="n"/>
      <c r="Y152" s="69" t="n"/>
      <c r="Z152" s="69" t="n"/>
      <c r="AA152" s="69" t="n"/>
      <c r="AB152" s="69" t="n"/>
      <c r="AC152" s="69" t="n"/>
    </row>
    <row r="153">
      <c r="E153" s="69" t="n"/>
      <c r="F153" s="69" t="n"/>
      <c r="G153" s="70" t="n"/>
      <c r="H153" s="69" t="n"/>
      <c r="J153" s="69" t="n"/>
      <c r="K153" s="69" t="n"/>
      <c r="L153" s="69" t="n"/>
      <c r="M153" s="72" t="n"/>
      <c r="W153" s="69" t="n"/>
      <c r="X153" s="69" t="n"/>
      <c r="Y153" s="69" t="n"/>
      <c r="Z153" s="69" t="n"/>
      <c r="AA153" s="69" t="n"/>
      <c r="AB153" s="69" t="n"/>
      <c r="AC153" s="69" t="n"/>
    </row>
    <row r="154">
      <c r="E154" s="69" t="n"/>
      <c r="F154" s="69" t="n"/>
      <c r="G154" s="70" t="n"/>
      <c r="H154" s="69" t="n"/>
      <c r="J154" s="69" t="n"/>
      <c r="K154" s="69" t="n"/>
      <c r="L154" s="69" t="n"/>
      <c r="M154" s="72" t="n"/>
      <c r="W154" s="69" t="n"/>
      <c r="X154" s="69" t="n"/>
      <c r="Y154" s="69" t="n"/>
      <c r="Z154" s="69" t="n"/>
      <c r="AA154" s="69" t="n"/>
      <c r="AB154" s="69" t="n"/>
      <c r="AC154" s="69" t="n"/>
    </row>
    <row r="155">
      <c r="E155" s="69" t="n"/>
      <c r="F155" s="69" t="n"/>
      <c r="G155" s="70" t="n"/>
      <c r="H155" s="69" t="n"/>
      <c r="J155" s="69" t="n"/>
      <c r="K155" s="69" t="n"/>
      <c r="L155" s="69" t="n"/>
      <c r="M155" s="72" t="n"/>
      <c r="W155" s="69" t="n"/>
      <c r="X155" s="69" t="n"/>
      <c r="Y155" s="69" t="n"/>
      <c r="Z155" s="69" t="n"/>
      <c r="AA155" s="69" t="n"/>
      <c r="AB155" s="69" t="n"/>
      <c r="AC155" s="69" t="n"/>
    </row>
    <row r="156">
      <c r="E156" s="69" t="n"/>
      <c r="F156" s="69" t="n"/>
      <c r="G156" s="70" t="n"/>
      <c r="H156" s="69" t="n"/>
      <c r="J156" s="69" t="n"/>
      <c r="K156" s="69" t="n"/>
      <c r="L156" s="69" t="n"/>
      <c r="M156" s="72" t="n"/>
      <c r="W156" s="69" t="n"/>
      <c r="X156" s="69" t="n"/>
      <c r="Y156" s="69" t="n"/>
      <c r="Z156" s="69" t="n"/>
      <c r="AA156" s="69" t="n"/>
      <c r="AB156" s="69" t="n"/>
      <c r="AC156" s="69" t="n"/>
    </row>
    <row r="157">
      <c r="E157" s="69" t="n"/>
      <c r="F157" s="69" t="n"/>
      <c r="G157" s="70" t="n"/>
      <c r="H157" s="69" t="n"/>
      <c r="J157" s="69" t="n"/>
      <c r="K157" s="69" t="n"/>
      <c r="L157" s="69" t="n"/>
      <c r="M157" s="72" t="n"/>
      <c r="W157" s="69" t="n"/>
      <c r="X157" s="69" t="n"/>
      <c r="Y157" s="69" t="n"/>
      <c r="Z157" s="69" t="n"/>
      <c r="AA157" s="69" t="n"/>
      <c r="AB157" s="69" t="n"/>
      <c r="AC157" s="69" t="n"/>
    </row>
    <row r="158">
      <c r="E158" s="69" t="n"/>
      <c r="F158" s="69" t="n"/>
      <c r="G158" s="70" t="n"/>
      <c r="H158" s="69" t="n"/>
      <c r="J158" s="69" t="n"/>
      <c r="K158" s="69" t="n"/>
      <c r="L158" s="69" t="n"/>
      <c r="M158" s="72" t="n"/>
      <c r="W158" s="69" t="n"/>
      <c r="X158" s="69" t="n"/>
      <c r="Y158" s="69" t="n"/>
      <c r="Z158" s="69" t="n"/>
      <c r="AA158" s="69" t="n"/>
      <c r="AB158" s="69" t="n"/>
      <c r="AC158" s="69" t="n"/>
    </row>
    <row r="159">
      <c r="E159" s="69" t="n"/>
      <c r="F159" s="69" t="n"/>
      <c r="G159" s="70" t="n"/>
      <c r="H159" s="69" t="n"/>
      <c r="J159" s="69" t="n"/>
      <c r="K159" s="69" t="n"/>
      <c r="L159" s="69" t="n"/>
      <c r="M159" s="72" t="n"/>
      <c r="W159" s="69" t="n"/>
      <c r="X159" s="69" t="n"/>
      <c r="Y159" s="69" t="n"/>
      <c r="Z159" s="69" t="n"/>
      <c r="AA159" s="69" t="n"/>
      <c r="AB159" s="69" t="n"/>
      <c r="AC159" s="69" t="n"/>
    </row>
    <row r="160">
      <c r="E160" s="69" t="n"/>
      <c r="F160" s="69" t="n"/>
      <c r="G160" s="70" t="n"/>
      <c r="H160" s="69" t="n"/>
      <c r="J160" s="69" t="n"/>
      <c r="K160" s="69" t="n"/>
      <c r="L160" s="69" t="n"/>
      <c r="M160" s="72" t="n"/>
      <c r="W160" s="69" t="n"/>
      <c r="X160" s="69" t="n"/>
      <c r="Y160" s="69" t="n"/>
      <c r="Z160" s="69" t="n"/>
      <c r="AA160" s="69" t="n"/>
      <c r="AB160" s="69" t="n"/>
      <c r="AC160" s="69" t="n"/>
    </row>
    <row r="161">
      <c r="E161" s="69" t="n"/>
      <c r="F161" s="69" t="n"/>
      <c r="G161" s="70" t="n"/>
      <c r="H161" s="69" t="n"/>
      <c r="J161" s="69" t="n"/>
      <c r="K161" s="69" t="n"/>
      <c r="L161" s="69" t="n"/>
      <c r="M161" s="72" t="n"/>
      <c r="W161" s="69" t="n"/>
      <c r="X161" s="69" t="n"/>
      <c r="Y161" s="69" t="n"/>
      <c r="Z161" s="69" t="n"/>
      <c r="AA161" s="69" t="n"/>
      <c r="AB161" s="69" t="n"/>
      <c r="AC161" s="69" t="n"/>
    </row>
    <row r="162">
      <c r="E162" s="69" t="n"/>
      <c r="F162" s="69" t="n"/>
      <c r="G162" s="70" t="n"/>
      <c r="H162" s="69" t="n"/>
      <c r="J162" s="69" t="n"/>
      <c r="K162" s="69" t="n"/>
      <c r="L162" s="69" t="n"/>
      <c r="M162" s="72" t="n"/>
      <c r="W162" s="69" t="n"/>
      <c r="X162" s="69" t="n"/>
      <c r="Y162" s="69" t="n"/>
      <c r="Z162" s="69" t="n"/>
      <c r="AA162" s="69" t="n"/>
      <c r="AB162" s="69" t="n"/>
      <c r="AC162" s="69" t="n"/>
    </row>
    <row r="163">
      <c r="E163" s="69" t="n"/>
      <c r="F163" s="69" t="n"/>
      <c r="G163" s="70" t="n"/>
      <c r="H163" s="69" t="n"/>
      <c r="J163" s="69" t="n"/>
      <c r="K163" s="69" t="n"/>
      <c r="L163" s="69" t="n"/>
      <c r="M163" s="72" t="n"/>
      <c r="W163" s="69" t="n"/>
      <c r="X163" s="69" t="n"/>
      <c r="Y163" s="69" t="n"/>
      <c r="Z163" s="69" t="n"/>
      <c r="AA163" s="69" t="n"/>
      <c r="AB163" s="69" t="n"/>
      <c r="AC163" s="69" t="n"/>
    </row>
    <row r="164">
      <c r="E164" s="69" t="n"/>
      <c r="F164" s="69" t="n"/>
      <c r="G164" s="70" t="n"/>
      <c r="H164" s="69" t="n"/>
      <c r="J164" s="69" t="n"/>
      <c r="K164" s="69" t="n"/>
      <c r="L164" s="69" t="n"/>
      <c r="M164" s="72" t="n"/>
      <c r="W164" s="69" t="n"/>
      <c r="X164" s="69" t="n"/>
      <c r="Y164" s="69" t="n"/>
      <c r="Z164" s="69" t="n"/>
      <c r="AA164" s="69" t="n"/>
      <c r="AB164" s="69" t="n"/>
      <c r="AC164" s="69" t="n"/>
    </row>
    <row r="165">
      <c r="E165" s="69" t="n"/>
      <c r="F165" s="69" t="n"/>
      <c r="G165" s="70" t="n"/>
      <c r="H165" s="69" t="n"/>
      <c r="J165" s="69" t="n"/>
      <c r="K165" s="69" t="n"/>
      <c r="L165" s="69" t="n"/>
      <c r="M165" s="72" t="n"/>
      <c r="W165" s="69" t="n"/>
      <c r="X165" s="69" t="n"/>
      <c r="Y165" s="69" t="n"/>
      <c r="Z165" s="69" t="n"/>
      <c r="AA165" s="69" t="n"/>
      <c r="AB165" s="69" t="n"/>
      <c r="AC165" s="69" t="n"/>
    </row>
    <row r="166">
      <c r="E166" s="69" t="n"/>
      <c r="F166" s="69" t="n"/>
      <c r="G166" s="70" t="n"/>
      <c r="H166" s="69" t="n"/>
      <c r="J166" s="69" t="n"/>
      <c r="K166" s="69" t="n"/>
      <c r="L166" s="69" t="n"/>
      <c r="M166" s="72" t="n"/>
      <c r="W166" s="69" t="n"/>
      <c r="X166" s="69" t="n"/>
      <c r="Y166" s="69" t="n"/>
      <c r="Z166" s="69" t="n"/>
      <c r="AA166" s="69" t="n"/>
      <c r="AB166" s="69" t="n"/>
      <c r="AC166" s="69" t="n"/>
    </row>
    <row r="167">
      <c r="E167" s="69" t="n"/>
      <c r="F167" s="69" t="n"/>
      <c r="G167" s="70" t="n"/>
      <c r="H167" s="69" t="n"/>
      <c r="J167" s="69" t="n"/>
      <c r="K167" s="69" t="n"/>
      <c r="L167" s="69" t="n"/>
      <c r="M167" s="72" t="n"/>
      <c r="W167" s="69" t="n"/>
      <c r="X167" s="69" t="n"/>
      <c r="Y167" s="69" t="n"/>
      <c r="Z167" s="69" t="n"/>
      <c r="AA167" s="69" t="n"/>
      <c r="AB167" s="69" t="n"/>
      <c r="AC167" s="69" t="n"/>
    </row>
    <row r="168">
      <c r="E168" s="69" t="n"/>
      <c r="F168" s="69" t="n"/>
      <c r="G168" s="70" t="n"/>
      <c r="H168" s="69" t="n"/>
      <c r="J168" s="69" t="n"/>
      <c r="K168" s="69" t="n"/>
      <c r="L168" s="69" t="n"/>
      <c r="M168" s="72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H169" s="69" t="n"/>
      <c r="J169" s="69" t="n"/>
      <c r="K169" s="69" t="n"/>
      <c r="L169" s="69" t="n"/>
      <c r="M169" s="72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H170" s="69" t="n"/>
      <c r="J170" s="69" t="n"/>
      <c r="K170" s="69" t="n"/>
      <c r="L170" s="69" t="n"/>
      <c r="M170" s="72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H171" s="69" t="n"/>
      <c r="J171" s="69" t="n"/>
      <c r="K171" s="69" t="n"/>
      <c r="L171" s="69" t="n"/>
      <c r="M171" s="72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H172" s="69" t="n"/>
      <c r="J172" s="69" t="n"/>
      <c r="K172" s="69" t="n"/>
      <c r="L172" s="69" t="n"/>
      <c r="M172" s="72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H173" s="69" t="n"/>
      <c r="J173" s="69" t="n"/>
      <c r="K173" s="69" t="n"/>
      <c r="L173" s="69" t="n"/>
      <c r="M173" s="72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H174" s="69" t="n"/>
      <c r="J174" s="69" t="n"/>
      <c r="K174" s="69" t="n"/>
      <c r="L174" s="69" t="n"/>
      <c r="M174" s="72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H175" s="69" t="n"/>
      <c r="J175" s="69" t="n"/>
      <c r="K175" s="69" t="n"/>
      <c r="L175" s="69" t="n"/>
      <c r="M175" s="72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H176" s="69" t="n"/>
      <c r="J176" s="69" t="n"/>
      <c r="K176" s="69" t="n"/>
      <c r="L176" s="69" t="n"/>
      <c r="M176" s="72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H177" s="69" t="n"/>
      <c r="J177" s="69" t="n"/>
      <c r="K177" s="69" t="n"/>
      <c r="L177" s="69" t="n"/>
      <c r="M177" s="72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H178" s="69" t="n"/>
      <c r="J178" s="69" t="n"/>
      <c r="K178" s="69" t="n"/>
      <c r="L178" s="69" t="n"/>
      <c r="M178" s="72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H179" s="69" t="n"/>
      <c r="J179" s="69" t="n"/>
      <c r="K179" s="69" t="n"/>
      <c r="L179" s="69" t="n"/>
      <c r="M179" s="72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H180" s="69" t="n"/>
      <c r="J180" s="69" t="n"/>
      <c r="K180" s="69" t="n"/>
      <c r="L180" s="69" t="n"/>
      <c r="M180" s="72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H181" s="69" t="n"/>
      <c r="J181" s="69" t="n"/>
      <c r="K181" s="69" t="n"/>
      <c r="L181" s="69" t="n"/>
      <c r="M181" s="72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H182" s="69" t="n"/>
      <c r="J182" s="69" t="n"/>
      <c r="K182" s="69" t="n"/>
      <c r="L182" s="69" t="n"/>
      <c r="M182" s="72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H183" s="69" t="n"/>
      <c r="J183" s="69" t="n"/>
      <c r="K183" s="69" t="n"/>
      <c r="L183" s="69" t="n"/>
      <c r="M183" s="72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H184" s="69" t="n"/>
      <c r="J184" s="69" t="n"/>
      <c r="K184" s="69" t="n"/>
      <c r="L184" s="69" t="n"/>
      <c r="M184" s="72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H185" s="69" t="n"/>
      <c r="J185" s="69" t="n"/>
      <c r="K185" s="69" t="n"/>
      <c r="L185" s="69" t="n"/>
      <c r="M185" s="72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H186" s="69" t="n"/>
      <c r="J186" s="69" t="n"/>
      <c r="K186" s="69" t="n"/>
      <c r="L186" s="69" t="n"/>
      <c r="M186" s="72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H187" s="69" t="n"/>
      <c r="J187" s="69" t="n"/>
      <c r="K187" s="69" t="n"/>
      <c r="L187" s="69" t="n"/>
      <c r="M187" s="72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H188" s="69" t="n"/>
      <c r="J188" s="69" t="n"/>
      <c r="K188" s="69" t="n"/>
      <c r="L188" s="69" t="n"/>
      <c r="M188" s="72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H189" s="69" t="n"/>
      <c r="J189" s="69" t="n"/>
      <c r="K189" s="69" t="n"/>
      <c r="L189" s="69" t="n"/>
      <c r="M189" s="72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H190" s="69" t="n"/>
      <c r="J190" s="69" t="n"/>
      <c r="K190" s="69" t="n"/>
      <c r="L190" s="69" t="n"/>
      <c r="M190" s="72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H191" s="69" t="n"/>
      <c r="J191" s="69" t="n"/>
      <c r="K191" s="69" t="n"/>
      <c r="L191" s="69" t="n"/>
      <c r="M191" s="72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H192" s="69" t="n"/>
      <c r="J192" s="69" t="n"/>
      <c r="K192" s="69" t="n"/>
      <c r="L192" s="69" t="n"/>
      <c r="M192" s="72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H193" s="69" t="n"/>
      <c r="J193" s="69" t="n"/>
      <c r="K193" s="69" t="n"/>
      <c r="L193" s="69" t="n"/>
      <c r="M193" s="72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H194" s="69" t="n"/>
      <c r="J194" s="69" t="n"/>
      <c r="K194" s="69" t="n"/>
      <c r="L194" s="69" t="n"/>
      <c r="M194" s="72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H195" s="69" t="n"/>
      <c r="J195" s="69" t="n"/>
      <c r="K195" s="69" t="n"/>
      <c r="L195" s="69" t="n"/>
      <c r="M195" s="72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H196" s="69" t="n"/>
      <c r="J196" s="69" t="n"/>
      <c r="K196" s="69" t="n"/>
      <c r="L196" s="69" t="n"/>
      <c r="M196" s="72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H197" s="69" t="n"/>
      <c r="J197" s="69" t="n"/>
      <c r="K197" s="69" t="n"/>
      <c r="L197" s="69" t="n"/>
      <c r="M197" s="72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H198" s="69" t="n"/>
      <c r="J198" s="69" t="n"/>
      <c r="K198" s="69" t="n"/>
      <c r="L198" s="69" t="n"/>
      <c r="M198" s="72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H199" s="69" t="n"/>
      <c r="J199" s="69" t="n"/>
      <c r="K199" s="69" t="n"/>
      <c r="L199" s="69" t="n"/>
      <c r="M199" s="72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H200" s="69" t="n"/>
      <c r="J200" s="69" t="n"/>
      <c r="K200" s="69" t="n"/>
      <c r="L200" s="69" t="n"/>
      <c r="M200" s="72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H201" s="69" t="n"/>
      <c r="J201" s="69" t="n"/>
      <c r="K201" s="69" t="n"/>
      <c r="L201" s="69" t="n"/>
      <c r="M201" s="72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H202" s="69" t="n"/>
      <c r="J202" s="69" t="n"/>
      <c r="K202" s="69" t="n"/>
      <c r="L202" s="69" t="n"/>
      <c r="M202" s="72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H203" s="69" t="n"/>
      <c r="J203" s="69" t="n"/>
      <c r="K203" s="69" t="n"/>
      <c r="L203" s="69" t="n"/>
      <c r="M203" s="72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H204" s="69" t="n"/>
      <c r="J204" s="69" t="n"/>
      <c r="K204" s="69" t="n"/>
      <c r="L204" s="69" t="n"/>
      <c r="M204" s="72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H205" s="69" t="n"/>
      <c r="J205" s="69" t="n"/>
      <c r="K205" s="69" t="n"/>
      <c r="L205" s="69" t="n"/>
      <c r="M205" s="72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H206" s="69" t="n"/>
      <c r="J206" s="69" t="n"/>
      <c r="K206" s="69" t="n"/>
      <c r="L206" s="69" t="n"/>
      <c r="M206" s="72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H207" s="69" t="n"/>
      <c r="J207" s="69" t="n"/>
      <c r="K207" s="69" t="n"/>
      <c r="L207" s="69" t="n"/>
      <c r="M207" s="72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H208" s="69" t="n"/>
      <c r="J208" s="69" t="n"/>
      <c r="K208" s="69" t="n"/>
      <c r="L208" s="69" t="n"/>
      <c r="M208" s="72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H209" s="69" t="n"/>
      <c r="J209" s="69" t="n"/>
      <c r="K209" s="69" t="n"/>
      <c r="L209" s="69" t="n"/>
      <c r="M209" s="72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H210" s="69" t="n"/>
      <c r="J210" s="69" t="n"/>
      <c r="K210" s="69" t="n"/>
      <c r="L210" s="69" t="n"/>
      <c r="M210" s="72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H211" s="69" t="n"/>
      <c r="J211" s="69" t="n"/>
      <c r="K211" s="69" t="n"/>
      <c r="L211" s="69" t="n"/>
      <c r="M211" s="72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H212" s="69" t="n"/>
      <c r="J212" s="69" t="n"/>
      <c r="K212" s="69" t="n"/>
      <c r="L212" s="69" t="n"/>
      <c r="M212" s="72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H213" s="69" t="n"/>
      <c r="J213" s="69" t="n"/>
      <c r="K213" s="69" t="n"/>
      <c r="L213" s="69" t="n"/>
      <c r="M213" s="72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H214" s="69" t="n"/>
      <c r="J214" s="69" t="n"/>
      <c r="K214" s="69" t="n"/>
      <c r="L214" s="69" t="n"/>
      <c r="M214" s="72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H215" s="69" t="n"/>
      <c r="J215" s="69" t="n"/>
      <c r="K215" s="69" t="n"/>
      <c r="L215" s="69" t="n"/>
      <c r="M215" s="72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H216" s="69" t="n"/>
      <c r="J216" s="69" t="n"/>
      <c r="K216" s="69" t="n"/>
      <c r="L216" s="69" t="n"/>
      <c r="M216" s="72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H217" s="69" t="n"/>
      <c r="J217" s="69" t="n"/>
      <c r="K217" s="69" t="n"/>
      <c r="L217" s="69" t="n"/>
      <c r="M217" s="72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H218" s="69" t="n"/>
      <c r="J218" s="69" t="n"/>
      <c r="K218" s="69" t="n"/>
      <c r="L218" s="69" t="n"/>
      <c r="M218" s="72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H219" s="69" t="n"/>
      <c r="J219" s="69" t="n"/>
      <c r="K219" s="69" t="n"/>
      <c r="L219" s="69" t="n"/>
      <c r="M219" s="72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H220" s="69" t="n"/>
      <c r="J220" s="69" t="n"/>
      <c r="K220" s="69" t="n"/>
      <c r="L220" s="69" t="n"/>
      <c r="M220" s="72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H221" s="69" t="n"/>
      <c r="J221" s="69" t="n"/>
      <c r="K221" s="69" t="n"/>
      <c r="L221" s="69" t="n"/>
      <c r="M221" s="72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H222" s="69" t="n"/>
      <c r="J222" s="69" t="n"/>
      <c r="K222" s="69" t="n"/>
      <c r="L222" s="69" t="n"/>
      <c r="M222" s="72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H223" s="69" t="n"/>
      <c r="J223" s="69" t="n"/>
      <c r="K223" s="69" t="n"/>
      <c r="L223" s="69" t="n"/>
      <c r="M223" s="72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H224" s="69" t="n"/>
      <c r="J224" s="69" t="n"/>
      <c r="K224" s="69" t="n"/>
      <c r="L224" s="69" t="n"/>
      <c r="M224" s="72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H225" s="69" t="n"/>
      <c r="J225" s="69" t="n"/>
      <c r="K225" s="69" t="n"/>
      <c r="L225" s="69" t="n"/>
      <c r="M225" s="72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H226" s="69" t="n"/>
      <c r="J226" s="69" t="n"/>
      <c r="K226" s="69" t="n"/>
      <c r="L226" s="69" t="n"/>
      <c r="M226" s="72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H227" s="69" t="n"/>
      <c r="J227" s="69" t="n"/>
      <c r="K227" s="69" t="n"/>
      <c r="L227" s="69" t="n"/>
      <c r="M227" s="72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H228" s="69" t="n"/>
      <c r="J228" s="69" t="n"/>
      <c r="K228" s="69" t="n"/>
      <c r="L228" s="69" t="n"/>
      <c r="M228" s="72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H229" s="69" t="n"/>
      <c r="J229" s="69" t="n"/>
      <c r="K229" s="69" t="n"/>
      <c r="L229" s="69" t="n"/>
      <c r="M229" s="72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H230" s="69" t="n"/>
      <c r="J230" s="69" t="n"/>
      <c r="K230" s="69" t="n"/>
      <c r="L230" s="69" t="n"/>
      <c r="M230" s="72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H231" s="69" t="n"/>
      <c r="J231" s="69" t="n"/>
      <c r="K231" s="69" t="n"/>
      <c r="L231" s="69" t="n"/>
      <c r="M231" s="72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H232" s="69" t="n"/>
      <c r="J232" s="69" t="n"/>
      <c r="K232" s="69" t="n"/>
      <c r="L232" s="69" t="n"/>
      <c r="M232" s="72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H233" s="69" t="n"/>
      <c r="J233" s="69" t="n"/>
      <c r="K233" s="69" t="n"/>
      <c r="L233" s="69" t="n"/>
      <c r="M233" s="72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H234" s="69" t="n"/>
      <c r="J234" s="69" t="n"/>
      <c r="K234" s="69" t="n"/>
      <c r="L234" s="69" t="n"/>
      <c r="M234" s="72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H235" s="69" t="n"/>
      <c r="J235" s="69" t="n"/>
      <c r="K235" s="69" t="n"/>
      <c r="L235" s="69" t="n"/>
      <c r="M235" s="72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H236" s="69" t="n"/>
      <c r="J236" s="69" t="n"/>
      <c r="K236" s="69" t="n"/>
      <c r="L236" s="69" t="n"/>
      <c r="M236" s="72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H237" s="69" t="n"/>
      <c r="J237" s="69" t="n"/>
      <c r="K237" s="69" t="n"/>
      <c r="L237" s="69" t="n"/>
      <c r="M237" s="72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H238" s="69" t="n"/>
      <c r="J238" s="69" t="n"/>
      <c r="K238" s="69" t="n"/>
      <c r="L238" s="69" t="n"/>
      <c r="M238" s="72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H239" s="69" t="n"/>
      <c r="J239" s="69" t="n"/>
      <c r="K239" s="69" t="n"/>
      <c r="L239" s="69" t="n"/>
      <c r="M239" s="72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H240" s="69" t="n"/>
      <c r="J240" s="69" t="n"/>
      <c r="K240" s="69" t="n"/>
      <c r="L240" s="69" t="n"/>
      <c r="M240" s="72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H241" s="69" t="n"/>
      <c r="J241" s="69" t="n"/>
      <c r="K241" s="69" t="n"/>
      <c r="L241" s="69" t="n"/>
      <c r="M241" s="72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H242" s="69" t="n"/>
      <c r="J242" s="69" t="n"/>
      <c r="K242" s="69" t="n"/>
      <c r="L242" s="69" t="n"/>
      <c r="M242" s="72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H243" s="69" t="n"/>
      <c r="J243" s="69" t="n"/>
      <c r="K243" s="69" t="n"/>
      <c r="L243" s="69" t="n"/>
      <c r="M243" s="72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H244" s="69" t="n"/>
      <c r="J244" s="69" t="n"/>
      <c r="K244" s="69" t="n"/>
      <c r="L244" s="69" t="n"/>
      <c r="M244" s="72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H245" s="69" t="n"/>
      <c r="J245" s="69" t="n"/>
      <c r="K245" s="69" t="n"/>
      <c r="L245" s="69" t="n"/>
      <c r="M245" s="72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H246" s="69" t="n"/>
      <c r="J246" s="69" t="n"/>
      <c r="K246" s="69" t="n"/>
      <c r="L246" s="69" t="n"/>
      <c r="M246" s="72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H247" s="69" t="n"/>
      <c r="J247" s="69" t="n"/>
      <c r="K247" s="69" t="n"/>
      <c r="L247" s="69" t="n"/>
      <c r="M247" s="72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H248" s="69" t="n"/>
      <c r="J248" s="69" t="n"/>
      <c r="K248" s="69" t="n"/>
      <c r="L248" s="69" t="n"/>
      <c r="M248" s="72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H249" s="69" t="n"/>
      <c r="J249" s="69" t="n"/>
      <c r="K249" s="69" t="n"/>
      <c r="L249" s="69" t="n"/>
      <c r="M249" s="72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H250" s="69" t="n"/>
      <c r="J250" s="69" t="n"/>
      <c r="K250" s="69" t="n"/>
      <c r="L250" s="69" t="n"/>
      <c r="M250" s="72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H251" s="69" t="n"/>
      <c r="J251" s="69" t="n"/>
      <c r="K251" s="69" t="n"/>
      <c r="L251" s="69" t="n"/>
      <c r="M251" s="72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H252" s="69" t="n"/>
      <c r="J252" s="69" t="n"/>
      <c r="K252" s="69" t="n"/>
      <c r="L252" s="69" t="n"/>
      <c r="M252" s="72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H253" s="69" t="n"/>
      <c r="J253" s="69" t="n"/>
      <c r="K253" s="69" t="n"/>
      <c r="L253" s="69" t="n"/>
      <c r="M253" s="72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H254" s="69" t="n"/>
      <c r="J254" s="69" t="n"/>
      <c r="K254" s="69" t="n"/>
      <c r="L254" s="69" t="n"/>
      <c r="M254" s="72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H255" s="69" t="n"/>
      <c r="J255" s="69" t="n"/>
      <c r="K255" s="69" t="n"/>
      <c r="L255" s="69" t="n"/>
      <c r="M255" s="72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H256" s="69" t="n"/>
      <c r="J256" s="69" t="n"/>
      <c r="K256" s="69" t="n"/>
      <c r="L256" s="69" t="n"/>
      <c r="M256" s="72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H257" s="69" t="n"/>
      <c r="J257" s="69" t="n"/>
      <c r="K257" s="69" t="n"/>
      <c r="L257" s="69" t="n"/>
      <c r="M257" s="72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H258" s="69" t="n"/>
      <c r="J258" s="69" t="n"/>
      <c r="K258" s="69" t="n"/>
      <c r="L258" s="69" t="n"/>
      <c r="M258" s="72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H259" s="69" t="n"/>
      <c r="J259" s="69" t="n"/>
      <c r="K259" s="69" t="n"/>
      <c r="L259" s="69" t="n"/>
      <c r="M259" s="72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H260" s="69" t="n"/>
      <c r="J260" s="69" t="n"/>
      <c r="K260" s="69" t="n"/>
      <c r="L260" s="69" t="n"/>
      <c r="M260" s="72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H261" s="69" t="n"/>
      <c r="J261" s="69" t="n"/>
      <c r="K261" s="69" t="n"/>
      <c r="L261" s="69" t="n"/>
      <c r="M261" s="72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H262" s="69" t="n"/>
      <c r="J262" s="69" t="n"/>
      <c r="K262" s="69" t="n"/>
      <c r="L262" s="69" t="n"/>
      <c r="M262" s="72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H263" s="69" t="n"/>
      <c r="J263" s="69" t="n"/>
      <c r="K263" s="69" t="n"/>
      <c r="L263" s="69" t="n"/>
      <c r="M263" s="72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H264" s="69" t="n"/>
      <c r="J264" s="69" t="n"/>
      <c r="K264" s="69" t="n"/>
      <c r="L264" s="69" t="n"/>
      <c r="M264" s="72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H265" s="69" t="n"/>
      <c r="J265" s="69" t="n"/>
      <c r="K265" s="69" t="n"/>
      <c r="L265" s="69" t="n"/>
      <c r="M265" s="72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H266" s="69" t="n"/>
      <c r="J266" s="69" t="n"/>
      <c r="K266" s="69" t="n"/>
      <c r="L266" s="69" t="n"/>
      <c r="M266" s="72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H267" s="69" t="n"/>
      <c r="J267" s="69" t="n"/>
      <c r="K267" s="69" t="n"/>
      <c r="L267" s="69" t="n"/>
      <c r="M267" s="72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H268" s="69" t="n"/>
      <c r="J268" s="69" t="n"/>
      <c r="K268" s="69" t="n"/>
      <c r="L268" s="69" t="n"/>
      <c r="M268" s="72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H269" s="69" t="n"/>
      <c r="J269" s="69" t="n"/>
      <c r="K269" s="69" t="n"/>
      <c r="L269" s="69" t="n"/>
      <c r="M269" s="72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H270" s="69" t="n"/>
      <c r="J270" s="69" t="n"/>
      <c r="K270" s="69" t="n"/>
      <c r="L270" s="69" t="n"/>
      <c r="M270" s="72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H271" s="69" t="n"/>
      <c r="J271" s="69" t="n"/>
      <c r="K271" s="69" t="n"/>
      <c r="L271" s="69" t="n"/>
      <c r="M271" s="72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H272" s="69" t="n"/>
      <c r="J272" s="69" t="n"/>
      <c r="K272" s="69" t="n"/>
      <c r="L272" s="69" t="n"/>
      <c r="M272" s="72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H273" s="69" t="n"/>
      <c r="J273" s="69" t="n"/>
      <c r="K273" s="69" t="n"/>
      <c r="L273" s="69" t="n"/>
      <c r="M273" s="72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H274" s="69" t="n"/>
      <c r="J274" s="69" t="n"/>
      <c r="K274" s="69" t="n"/>
      <c r="L274" s="69" t="n"/>
      <c r="M274" s="72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H275" s="69" t="n"/>
      <c r="J275" s="69" t="n"/>
      <c r="K275" s="69" t="n"/>
      <c r="L275" s="69" t="n"/>
      <c r="M275" s="72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H276" s="69" t="n"/>
      <c r="J276" s="69" t="n"/>
      <c r="K276" s="69" t="n"/>
      <c r="L276" s="69" t="n"/>
      <c r="M276" s="72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H277" s="69" t="n"/>
      <c r="J277" s="69" t="n"/>
      <c r="K277" s="69" t="n"/>
      <c r="L277" s="69" t="n"/>
      <c r="M277" s="72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H278" s="69" t="n"/>
      <c r="J278" s="69" t="n"/>
      <c r="K278" s="69" t="n"/>
      <c r="L278" s="69" t="n"/>
      <c r="M278" s="72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H279" s="69" t="n"/>
      <c r="J279" s="69" t="n"/>
      <c r="K279" s="69" t="n"/>
      <c r="L279" s="69" t="n"/>
      <c r="M279" s="72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H280" s="69" t="n"/>
      <c r="J280" s="69" t="n"/>
      <c r="K280" s="69" t="n"/>
      <c r="L280" s="69" t="n"/>
      <c r="M280" s="72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H281" s="69" t="n"/>
      <c r="J281" s="69" t="n"/>
      <c r="K281" s="69" t="n"/>
      <c r="L281" s="69" t="n"/>
      <c r="M281" s="72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H282" s="69" t="n"/>
      <c r="J282" s="69" t="n"/>
      <c r="K282" s="69" t="n"/>
      <c r="L282" s="69" t="n"/>
      <c r="M282" s="72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H283" s="69" t="n"/>
      <c r="J283" s="69" t="n"/>
      <c r="K283" s="69" t="n"/>
      <c r="L283" s="69" t="n"/>
      <c r="M283" s="72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H284" s="69" t="n"/>
      <c r="J284" s="69" t="n"/>
      <c r="K284" s="69" t="n"/>
      <c r="L284" s="69" t="n"/>
      <c r="M284" s="72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H285" s="69" t="n"/>
      <c r="J285" s="69" t="n"/>
      <c r="K285" s="69" t="n"/>
      <c r="L285" s="69" t="n"/>
      <c r="M285" s="72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H286" s="69" t="n"/>
      <c r="J286" s="69" t="n"/>
      <c r="K286" s="69" t="n"/>
      <c r="L286" s="69" t="n"/>
      <c r="M286" s="72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H287" s="69" t="n"/>
      <c r="J287" s="69" t="n"/>
      <c r="K287" s="69" t="n"/>
      <c r="L287" s="69" t="n"/>
      <c r="M287" s="72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H288" s="69" t="n"/>
      <c r="J288" s="69" t="n"/>
      <c r="K288" s="69" t="n"/>
      <c r="L288" s="69" t="n"/>
      <c r="M288" s="72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H289" s="69" t="n"/>
      <c r="J289" s="69" t="n"/>
      <c r="K289" s="69" t="n"/>
      <c r="L289" s="69" t="n"/>
      <c r="M289" s="72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H290" s="69" t="n"/>
      <c r="J290" s="69" t="n"/>
      <c r="K290" s="69" t="n"/>
      <c r="L290" s="69" t="n"/>
      <c r="M290" s="72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H291" s="69" t="n"/>
      <c r="J291" s="69" t="n"/>
      <c r="K291" s="69" t="n"/>
      <c r="L291" s="69" t="n"/>
      <c r="M291" s="72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H292" s="69" t="n"/>
      <c r="J292" s="69" t="n"/>
      <c r="K292" s="69" t="n"/>
      <c r="L292" s="69" t="n"/>
      <c r="M292" s="72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H293" s="69" t="n"/>
      <c r="J293" s="69" t="n"/>
      <c r="K293" s="69" t="n"/>
      <c r="L293" s="69" t="n"/>
      <c r="M293" s="72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H294" s="69" t="n"/>
      <c r="J294" s="69" t="n"/>
      <c r="K294" s="69" t="n"/>
      <c r="L294" s="69" t="n"/>
      <c r="M294" s="72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H295" s="69" t="n"/>
      <c r="J295" s="69" t="n"/>
      <c r="K295" s="69" t="n"/>
      <c r="L295" s="69" t="n"/>
      <c r="M295" s="72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H296" s="69" t="n"/>
      <c r="J296" s="69" t="n"/>
      <c r="K296" s="69" t="n"/>
      <c r="L296" s="69" t="n"/>
      <c r="M296" s="72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H297" s="69" t="n"/>
      <c r="J297" s="69" t="n"/>
      <c r="K297" s="69" t="n"/>
      <c r="L297" s="69" t="n"/>
      <c r="M297" s="72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H298" s="69" t="n"/>
      <c r="J298" s="69" t="n"/>
      <c r="K298" s="69" t="n"/>
      <c r="L298" s="69" t="n"/>
      <c r="M298" s="72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H299" s="69" t="n"/>
      <c r="J299" s="69" t="n"/>
      <c r="K299" s="69" t="n"/>
      <c r="L299" s="69" t="n"/>
      <c r="M299" s="72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H300" s="69" t="n"/>
      <c r="J300" s="69" t="n"/>
      <c r="K300" s="69" t="n"/>
      <c r="L300" s="69" t="n"/>
      <c r="M300" s="72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H301" s="69" t="n"/>
      <c r="J301" s="69" t="n"/>
      <c r="K301" s="69" t="n"/>
      <c r="L301" s="69" t="n"/>
      <c r="M301" s="72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H302" s="69" t="n"/>
      <c r="J302" s="69" t="n"/>
      <c r="K302" s="69" t="n"/>
      <c r="L302" s="69" t="n"/>
      <c r="M302" s="72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H303" s="69" t="n"/>
      <c r="J303" s="69" t="n"/>
      <c r="K303" s="69" t="n"/>
      <c r="L303" s="69" t="n"/>
      <c r="M303" s="72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H304" s="69" t="n"/>
      <c r="J304" s="69" t="n"/>
      <c r="K304" s="69" t="n"/>
      <c r="L304" s="69" t="n"/>
      <c r="M304" s="72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H305" s="69" t="n"/>
      <c r="J305" s="69" t="n"/>
      <c r="K305" s="69" t="n"/>
      <c r="L305" s="69" t="n"/>
      <c r="M305" s="72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H306" s="69" t="n"/>
      <c r="J306" s="69" t="n"/>
      <c r="K306" s="69" t="n"/>
      <c r="L306" s="69" t="n"/>
      <c r="M306" s="72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H307" s="69" t="n"/>
      <c r="J307" s="69" t="n"/>
      <c r="K307" s="69" t="n"/>
      <c r="L307" s="69" t="n"/>
      <c r="M307" s="72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H308" s="69" t="n"/>
      <c r="J308" s="69" t="n"/>
      <c r="K308" s="69" t="n"/>
      <c r="L308" s="69" t="n"/>
      <c r="M308" s="72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H309" s="69" t="n"/>
      <c r="J309" s="69" t="n"/>
      <c r="K309" s="69" t="n"/>
      <c r="L309" s="69" t="n"/>
      <c r="M309" s="72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H310" s="69" t="n"/>
      <c r="J310" s="69" t="n"/>
      <c r="K310" s="69" t="n"/>
      <c r="L310" s="69" t="n"/>
      <c r="M310" s="72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H311" s="69" t="n"/>
      <c r="J311" s="69" t="n"/>
      <c r="K311" s="69" t="n"/>
      <c r="L311" s="69" t="n"/>
      <c r="M311" s="72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H312" s="69" t="n"/>
      <c r="J312" s="69" t="n"/>
      <c r="K312" s="69" t="n"/>
      <c r="L312" s="69" t="n"/>
      <c r="M312" s="72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H313" s="69" t="n"/>
      <c r="J313" s="69" t="n"/>
      <c r="K313" s="69" t="n"/>
      <c r="L313" s="69" t="n"/>
      <c r="M313" s="72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H314" s="69" t="n"/>
      <c r="J314" s="69" t="n"/>
      <c r="K314" s="69" t="n"/>
      <c r="L314" s="69" t="n"/>
      <c r="M314" s="72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H315" s="69" t="n"/>
      <c r="J315" s="69" t="n"/>
      <c r="K315" s="69" t="n"/>
      <c r="L315" s="69" t="n"/>
      <c r="M315" s="72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H316" s="69" t="n"/>
      <c r="J316" s="69" t="n"/>
      <c r="K316" s="69" t="n"/>
      <c r="L316" s="69" t="n"/>
      <c r="M316" s="72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H317" s="69" t="n"/>
      <c r="J317" s="69" t="n"/>
      <c r="K317" s="69" t="n"/>
      <c r="L317" s="69" t="n"/>
      <c r="M317" s="72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H318" s="69" t="n"/>
      <c r="J318" s="69" t="n"/>
      <c r="K318" s="69" t="n"/>
      <c r="L318" s="69" t="n"/>
      <c r="M318" s="72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H319" s="69" t="n"/>
      <c r="J319" s="69" t="n"/>
      <c r="K319" s="69" t="n"/>
      <c r="L319" s="69" t="n"/>
      <c r="M319" s="72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H320" s="69" t="n"/>
      <c r="J320" s="69" t="n"/>
      <c r="K320" s="69" t="n"/>
      <c r="L320" s="69" t="n"/>
      <c r="M320" s="72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H321" s="69" t="n"/>
      <c r="J321" s="69" t="n"/>
      <c r="K321" s="69" t="n"/>
      <c r="L321" s="69" t="n"/>
      <c r="M321" s="72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H322" s="69" t="n"/>
      <c r="J322" s="69" t="n"/>
      <c r="K322" s="69" t="n"/>
      <c r="L322" s="69" t="n"/>
      <c r="M322" s="72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H323" s="69" t="n"/>
      <c r="J323" s="69" t="n"/>
      <c r="K323" s="69" t="n"/>
      <c r="L323" s="69" t="n"/>
      <c r="M323" s="72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H324" s="69" t="n"/>
      <c r="J324" s="69" t="n"/>
      <c r="K324" s="69" t="n"/>
      <c r="L324" s="69" t="n"/>
      <c r="M324" s="72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H325" s="69" t="n"/>
      <c r="J325" s="69" t="n"/>
      <c r="K325" s="69" t="n"/>
      <c r="L325" s="69" t="n"/>
      <c r="M325" s="72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H326" s="69" t="n"/>
      <c r="J326" s="69" t="n"/>
      <c r="K326" s="69" t="n"/>
      <c r="L326" s="69" t="n"/>
      <c r="M326" s="72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H327" s="69" t="n"/>
      <c r="J327" s="69" t="n"/>
      <c r="K327" s="69" t="n"/>
      <c r="L327" s="69" t="n"/>
      <c r="M327" s="72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H328" s="69" t="n"/>
      <c r="J328" s="69" t="n"/>
      <c r="K328" s="69" t="n"/>
      <c r="L328" s="69" t="n"/>
      <c r="M328" s="72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H329" s="69" t="n"/>
      <c r="J329" s="69" t="n"/>
      <c r="K329" s="69" t="n"/>
      <c r="L329" s="69" t="n"/>
      <c r="M329" s="72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H330" s="69" t="n"/>
      <c r="J330" s="69" t="n"/>
      <c r="K330" s="69" t="n"/>
      <c r="L330" s="69" t="n"/>
      <c r="M330" s="72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H331" s="69" t="n"/>
      <c r="J331" s="69" t="n"/>
      <c r="K331" s="69" t="n"/>
      <c r="L331" s="69" t="n"/>
      <c r="M331" s="72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H332" s="69" t="n"/>
      <c r="J332" s="69" t="n"/>
      <c r="K332" s="69" t="n"/>
      <c r="L332" s="69" t="n"/>
      <c r="M332" s="72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H333" s="69" t="n"/>
      <c r="J333" s="69" t="n"/>
      <c r="K333" s="69" t="n"/>
      <c r="L333" s="69" t="n"/>
      <c r="M333" s="72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H334" s="69" t="n"/>
      <c r="J334" s="69" t="n"/>
      <c r="K334" s="69" t="n"/>
      <c r="L334" s="69" t="n"/>
      <c r="M334" s="72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H335" s="69" t="n"/>
      <c r="J335" s="69" t="n"/>
      <c r="K335" s="69" t="n"/>
      <c r="L335" s="69" t="n"/>
      <c r="M335" s="72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H336" s="69" t="n"/>
      <c r="J336" s="69" t="n"/>
      <c r="K336" s="69" t="n"/>
      <c r="L336" s="69" t="n"/>
      <c r="M336" s="72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H337" s="69" t="n"/>
      <c r="J337" s="69" t="n"/>
      <c r="K337" s="69" t="n"/>
      <c r="L337" s="69" t="n"/>
      <c r="M337" s="72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H338" s="69" t="n"/>
      <c r="J338" s="69" t="n"/>
      <c r="K338" s="69" t="n"/>
      <c r="L338" s="69" t="n"/>
      <c r="M338" s="72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H339" s="69" t="n"/>
      <c r="J339" s="69" t="n"/>
      <c r="K339" s="69" t="n"/>
      <c r="L339" s="69" t="n"/>
      <c r="M339" s="72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H340" s="69" t="n"/>
      <c r="J340" s="69" t="n"/>
      <c r="K340" s="69" t="n"/>
      <c r="L340" s="69" t="n"/>
      <c r="M340" s="72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H341" s="69" t="n"/>
      <c r="J341" s="69" t="n"/>
      <c r="K341" s="69" t="n"/>
      <c r="L341" s="69" t="n"/>
      <c r="M341" s="72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H342" s="69" t="n"/>
      <c r="J342" s="69" t="n"/>
      <c r="K342" s="69" t="n"/>
      <c r="L342" s="69" t="n"/>
      <c r="M342" s="72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H343" s="69" t="n"/>
      <c r="J343" s="69" t="n"/>
      <c r="K343" s="69" t="n"/>
      <c r="L343" s="69" t="n"/>
      <c r="M343" s="72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H344" s="69" t="n"/>
      <c r="J344" s="69" t="n"/>
      <c r="K344" s="69" t="n"/>
      <c r="L344" s="69" t="n"/>
      <c r="M344" s="72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H345" s="69" t="n"/>
      <c r="J345" s="69" t="n"/>
      <c r="K345" s="69" t="n"/>
      <c r="L345" s="69" t="n"/>
      <c r="M345" s="72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H346" s="69" t="n"/>
      <c r="J346" s="69" t="n"/>
      <c r="K346" s="69" t="n"/>
      <c r="L346" s="69" t="n"/>
      <c r="M346" s="72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H347" s="69" t="n"/>
      <c r="J347" s="69" t="n"/>
      <c r="K347" s="69" t="n"/>
      <c r="L347" s="69" t="n"/>
      <c r="M347" s="72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H348" s="69" t="n"/>
      <c r="J348" s="69" t="n"/>
      <c r="K348" s="69" t="n"/>
      <c r="L348" s="69" t="n"/>
      <c r="M348" s="72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H349" s="69" t="n"/>
      <c r="J349" s="69" t="n"/>
      <c r="K349" s="69" t="n"/>
      <c r="L349" s="69" t="n"/>
      <c r="M349" s="72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H350" s="69" t="n"/>
      <c r="J350" s="69" t="n"/>
      <c r="K350" s="69" t="n"/>
      <c r="L350" s="69" t="n"/>
      <c r="M350" s="72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H351" s="69" t="n"/>
      <c r="J351" s="69" t="n"/>
      <c r="K351" s="69" t="n"/>
      <c r="L351" s="69" t="n"/>
      <c r="M351" s="72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H352" s="69" t="n"/>
      <c r="J352" s="69" t="n"/>
      <c r="K352" s="69" t="n"/>
      <c r="L352" s="69" t="n"/>
      <c r="M352" s="72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H353" s="69" t="n"/>
      <c r="J353" s="69" t="n"/>
      <c r="K353" s="69" t="n"/>
      <c r="L353" s="69" t="n"/>
      <c r="M353" s="72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H354" s="69" t="n"/>
      <c r="J354" s="69" t="n"/>
      <c r="K354" s="69" t="n"/>
      <c r="L354" s="69" t="n"/>
      <c r="M354" s="72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H355" s="69" t="n"/>
      <c r="J355" s="69" t="n"/>
      <c r="K355" s="69" t="n"/>
      <c r="L355" s="69" t="n"/>
      <c r="M355" s="72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H356" s="69" t="n"/>
      <c r="J356" s="69" t="n"/>
      <c r="K356" s="69" t="n"/>
      <c r="L356" s="69" t="n"/>
      <c r="M356" s="72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H357" s="69" t="n"/>
      <c r="J357" s="69" t="n"/>
      <c r="K357" s="69" t="n"/>
      <c r="L357" s="69" t="n"/>
      <c r="M357" s="72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H358" s="69" t="n"/>
      <c r="J358" s="69" t="n"/>
      <c r="K358" s="69" t="n"/>
      <c r="L358" s="69" t="n"/>
      <c r="M358" s="72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H359" s="69" t="n"/>
      <c r="J359" s="69" t="n"/>
      <c r="K359" s="69" t="n"/>
      <c r="L359" s="69" t="n"/>
      <c r="M359" s="72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H360" s="69" t="n"/>
      <c r="J360" s="69" t="n"/>
      <c r="K360" s="69" t="n"/>
      <c r="L360" s="69" t="n"/>
      <c r="M360" s="72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H361" s="69" t="n"/>
      <c r="J361" s="69" t="n"/>
      <c r="K361" s="69" t="n"/>
      <c r="L361" s="69" t="n"/>
      <c r="M361" s="72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H362" s="69" t="n"/>
      <c r="J362" s="69" t="n"/>
      <c r="K362" s="69" t="n"/>
      <c r="L362" s="69" t="n"/>
      <c r="M362" s="72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H363" s="69" t="n"/>
      <c r="J363" s="69" t="n"/>
      <c r="K363" s="69" t="n"/>
      <c r="L363" s="69" t="n"/>
      <c r="M363" s="72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H364" s="69" t="n"/>
      <c r="J364" s="69" t="n"/>
      <c r="K364" s="69" t="n"/>
      <c r="L364" s="69" t="n"/>
      <c r="M364" s="72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H365" s="69" t="n"/>
      <c r="J365" s="69" t="n"/>
      <c r="K365" s="69" t="n"/>
      <c r="L365" s="69" t="n"/>
      <c r="M365" s="72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H366" s="69" t="n"/>
      <c r="J366" s="69" t="n"/>
      <c r="K366" s="69" t="n"/>
      <c r="L366" s="69" t="n"/>
      <c r="M366" s="72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H367" s="69" t="n"/>
      <c r="J367" s="69" t="n"/>
      <c r="K367" s="69" t="n"/>
      <c r="L367" s="69" t="n"/>
      <c r="M367" s="72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H368" s="69" t="n"/>
      <c r="J368" s="69" t="n"/>
      <c r="K368" s="69" t="n"/>
      <c r="L368" s="69" t="n"/>
      <c r="M368" s="72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H369" s="69" t="n"/>
      <c r="J369" s="69" t="n"/>
      <c r="K369" s="69" t="n"/>
      <c r="L369" s="69" t="n"/>
      <c r="M369" s="72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H370" s="69" t="n"/>
      <c r="J370" s="69" t="n"/>
      <c r="K370" s="69" t="n"/>
      <c r="L370" s="69" t="n"/>
      <c r="M370" s="72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H371" s="69" t="n"/>
      <c r="J371" s="69" t="n"/>
      <c r="K371" s="69" t="n"/>
      <c r="L371" s="69" t="n"/>
      <c r="M371" s="72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H372" s="69" t="n"/>
      <c r="J372" s="69" t="n"/>
      <c r="K372" s="69" t="n"/>
      <c r="L372" s="69" t="n"/>
      <c r="M372" s="72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H373" s="69" t="n"/>
      <c r="J373" s="69" t="n"/>
      <c r="K373" s="69" t="n"/>
      <c r="L373" s="69" t="n"/>
      <c r="M373" s="72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H374" s="69" t="n"/>
      <c r="J374" s="69" t="n"/>
      <c r="K374" s="69" t="n"/>
      <c r="L374" s="69" t="n"/>
      <c r="M374" s="72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H375" s="69" t="n"/>
      <c r="J375" s="69" t="n"/>
      <c r="K375" s="69" t="n"/>
      <c r="L375" s="69" t="n"/>
      <c r="M375" s="72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H376" s="69" t="n"/>
      <c r="J376" s="69" t="n"/>
      <c r="K376" s="69" t="n"/>
      <c r="L376" s="69" t="n"/>
      <c r="M376" s="72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H377" s="69" t="n"/>
      <c r="J377" s="69" t="n"/>
      <c r="K377" s="69" t="n"/>
      <c r="L377" s="69" t="n"/>
      <c r="M377" s="72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H378" s="69" t="n"/>
      <c r="J378" s="69" t="n"/>
      <c r="K378" s="69" t="n"/>
      <c r="L378" s="69" t="n"/>
      <c r="M378" s="72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H379" s="69" t="n"/>
      <c r="J379" s="69" t="n"/>
      <c r="K379" s="69" t="n"/>
      <c r="L379" s="69" t="n"/>
      <c r="M379" s="72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H380" s="69" t="n"/>
      <c r="J380" s="69" t="n"/>
      <c r="K380" s="69" t="n"/>
      <c r="L380" s="69" t="n"/>
      <c r="M380" s="72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H381" s="69" t="n"/>
      <c r="J381" s="69" t="n"/>
      <c r="K381" s="69" t="n"/>
      <c r="L381" s="69" t="n"/>
      <c r="M381" s="72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H382" s="69" t="n"/>
      <c r="J382" s="69" t="n"/>
      <c r="K382" s="69" t="n"/>
      <c r="L382" s="69" t="n"/>
      <c r="M382" s="72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H383" s="69" t="n"/>
      <c r="J383" s="69" t="n"/>
      <c r="K383" s="69" t="n"/>
      <c r="L383" s="69" t="n"/>
      <c r="M383" s="72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H384" s="69" t="n"/>
      <c r="J384" s="69" t="n"/>
      <c r="K384" s="69" t="n"/>
      <c r="L384" s="69" t="n"/>
      <c r="M384" s="72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H385" s="69" t="n"/>
      <c r="J385" s="69" t="n"/>
      <c r="K385" s="69" t="n"/>
      <c r="L385" s="69" t="n"/>
      <c r="M385" s="72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H386" s="69" t="n"/>
      <c r="J386" s="69" t="n"/>
      <c r="K386" s="69" t="n"/>
      <c r="L386" s="69" t="n"/>
      <c r="M386" s="72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H387" s="69" t="n"/>
      <c r="J387" s="69" t="n"/>
      <c r="K387" s="69" t="n"/>
      <c r="L387" s="69" t="n"/>
      <c r="M387" s="72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H388" s="69" t="n"/>
      <c r="J388" s="69" t="n"/>
      <c r="K388" s="69" t="n"/>
      <c r="L388" s="69" t="n"/>
      <c r="M388" s="72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H389" s="69" t="n"/>
      <c r="J389" s="69" t="n"/>
      <c r="K389" s="69" t="n"/>
      <c r="L389" s="69" t="n"/>
      <c r="M389" s="72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H390" s="69" t="n"/>
      <c r="J390" s="69" t="n"/>
      <c r="K390" s="69" t="n"/>
      <c r="L390" s="69" t="n"/>
      <c r="M390" s="72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H391" s="69" t="n"/>
      <c r="J391" s="69" t="n"/>
      <c r="K391" s="69" t="n"/>
      <c r="L391" s="69" t="n"/>
      <c r="M391" s="72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H392" s="69" t="n"/>
      <c r="J392" s="69" t="n"/>
      <c r="K392" s="69" t="n"/>
      <c r="L392" s="69" t="n"/>
      <c r="M392" s="72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H393" s="69" t="n"/>
      <c r="J393" s="69" t="n"/>
      <c r="K393" s="69" t="n"/>
      <c r="L393" s="69" t="n"/>
      <c r="M393" s="72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H394" s="69" t="n"/>
      <c r="J394" s="69" t="n"/>
      <c r="K394" s="69" t="n"/>
      <c r="L394" s="69" t="n"/>
      <c r="M394" s="72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H395" s="69" t="n"/>
      <c r="J395" s="69" t="n"/>
      <c r="K395" s="69" t="n"/>
      <c r="L395" s="69" t="n"/>
      <c r="M395" s="72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H396" s="69" t="n"/>
      <c r="J396" s="69" t="n"/>
      <c r="K396" s="69" t="n"/>
      <c r="L396" s="69" t="n"/>
      <c r="M396" s="72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H397" s="69" t="n"/>
      <c r="J397" s="69" t="n"/>
      <c r="K397" s="69" t="n"/>
      <c r="L397" s="69" t="n"/>
      <c r="M397" s="72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H398" s="69" t="n"/>
      <c r="J398" s="69" t="n"/>
      <c r="K398" s="69" t="n"/>
      <c r="L398" s="69" t="n"/>
      <c r="M398" s="72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H399" s="69" t="n"/>
      <c r="J399" s="69" t="n"/>
      <c r="K399" s="69" t="n"/>
      <c r="L399" s="69" t="n"/>
      <c r="M399" s="72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H400" s="69" t="n"/>
      <c r="J400" s="69" t="n"/>
      <c r="K400" s="69" t="n"/>
      <c r="L400" s="69" t="n"/>
      <c r="M400" s="72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H401" s="69" t="n"/>
      <c r="J401" s="69" t="n"/>
      <c r="K401" s="69" t="n"/>
      <c r="L401" s="69" t="n"/>
      <c r="M401" s="72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H402" s="69" t="n"/>
      <c r="J402" s="69" t="n"/>
      <c r="K402" s="69" t="n"/>
      <c r="L402" s="69" t="n"/>
      <c r="M402" s="72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H403" s="69" t="n"/>
      <c r="J403" s="69" t="n"/>
      <c r="K403" s="69" t="n"/>
      <c r="L403" s="69" t="n"/>
      <c r="M403" s="72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H404" s="69" t="n"/>
      <c r="J404" s="69" t="n"/>
      <c r="K404" s="69" t="n"/>
      <c r="L404" s="69" t="n"/>
      <c r="M404" s="72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H405" s="69" t="n"/>
      <c r="J405" s="69" t="n"/>
      <c r="K405" s="69" t="n"/>
      <c r="L405" s="69" t="n"/>
      <c r="M405" s="72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H406" s="69" t="n"/>
      <c r="J406" s="69" t="n"/>
      <c r="K406" s="69" t="n"/>
      <c r="L406" s="69" t="n"/>
      <c r="M406" s="72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H407" s="69" t="n"/>
      <c r="J407" s="69" t="n"/>
      <c r="K407" s="69" t="n"/>
      <c r="L407" s="69" t="n"/>
      <c r="M407" s="72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H408" s="69" t="n"/>
      <c r="J408" s="69" t="n"/>
      <c r="K408" s="69" t="n"/>
      <c r="L408" s="69" t="n"/>
      <c r="M408" s="72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H409" s="69" t="n"/>
      <c r="J409" s="69" t="n"/>
      <c r="K409" s="69" t="n"/>
      <c r="L409" s="69" t="n"/>
      <c r="M409" s="72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H410" s="69" t="n"/>
      <c r="J410" s="69" t="n"/>
      <c r="K410" s="69" t="n"/>
      <c r="L410" s="69" t="n"/>
      <c r="M410" s="72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H411" s="69" t="n"/>
      <c r="J411" s="69" t="n"/>
      <c r="K411" s="69" t="n"/>
      <c r="L411" s="69" t="n"/>
      <c r="M411" s="72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H412" s="69" t="n"/>
      <c r="J412" s="69" t="n"/>
      <c r="K412" s="69" t="n"/>
      <c r="L412" s="69" t="n"/>
      <c r="M412" s="72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H413" s="69" t="n"/>
      <c r="J413" s="69" t="n"/>
      <c r="K413" s="69" t="n"/>
      <c r="L413" s="69" t="n"/>
      <c r="M413" s="72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H414" s="69" t="n"/>
      <c r="J414" s="69" t="n"/>
      <c r="K414" s="69" t="n"/>
      <c r="L414" s="69" t="n"/>
      <c r="M414" s="72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H415" s="69" t="n"/>
      <c r="J415" s="69" t="n"/>
      <c r="K415" s="69" t="n"/>
      <c r="L415" s="69" t="n"/>
      <c r="M415" s="72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H416" s="69" t="n"/>
      <c r="J416" s="69" t="n"/>
      <c r="K416" s="69" t="n"/>
      <c r="L416" s="69" t="n"/>
      <c r="M416" s="72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H417" s="69" t="n"/>
      <c r="J417" s="69" t="n"/>
      <c r="K417" s="69" t="n"/>
      <c r="L417" s="69" t="n"/>
      <c r="M417" s="72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H418" s="69" t="n"/>
      <c r="J418" s="69" t="n"/>
      <c r="K418" s="69" t="n"/>
      <c r="L418" s="69" t="n"/>
      <c r="M418" s="72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H419" s="69" t="n"/>
      <c r="J419" s="69" t="n"/>
      <c r="K419" s="69" t="n"/>
      <c r="L419" s="69" t="n"/>
      <c r="M419" s="72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H420" s="69" t="n"/>
      <c r="J420" s="69" t="n"/>
      <c r="K420" s="69" t="n"/>
      <c r="L420" s="69" t="n"/>
      <c r="M420" s="72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H421" s="69" t="n"/>
      <c r="J421" s="69" t="n"/>
      <c r="K421" s="69" t="n"/>
      <c r="L421" s="69" t="n"/>
      <c r="M421" s="72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H422" s="69" t="n"/>
      <c r="J422" s="69" t="n"/>
      <c r="K422" s="69" t="n"/>
      <c r="L422" s="69" t="n"/>
      <c r="M422" s="72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H423" s="69" t="n"/>
      <c r="J423" s="69" t="n"/>
      <c r="K423" s="69" t="n"/>
      <c r="L423" s="69" t="n"/>
      <c r="M423" s="72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H424" s="69" t="n"/>
      <c r="J424" s="69" t="n"/>
      <c r="K424" s="69" t="n"/>
      <c r="L424" s="69" t="n"/>
      <c r="M424" s="72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H425" s="69" t="n"/>
      <c r="J425" s="69" t="n"/>
      <c r="K425" s="69" t="n"/>
      <c r="L425" s="69" t="n"/>
      <c r="M425" s="72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H426" s="69" t="n"/>
      <c r="J426" s="69" t="n"/>
      <c r="K426" s="69" t="n"/>
      <c r="L426" s="69" t="n"/>
      <c r="M426" s="72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H427" s="69" t="n"/>
      <c r="J427" s="69" t="n"/>
      <c r="K427" s="69" t="n"/>
      <c r="L427" s="69" t="n"/>
      <c r="M427" s="72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H428" s="69" t="n"/>
      <c r="J428" s="69" t="n"/>
      <c r="K428" s="69" t="n"/>
      <c r="L428" s="69" t="n"/>
      <c r="M428" s="72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H429" s="69" t="n"/>
      <c r="J429" s="69" t="n"/>
      <c r="K429" s="69" t="n"/>
      <c r="L429" s="69" t="n"/>
      <c r="M429" s="72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H430" s="69" t="n"/>
      <c r="J430" s="69" t="n"/>
      <c r="K430" s="69" t="n"/>
      <c r="L430" s="69" t="n"/>
      <c r="M430" s="72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H431" s="69" t="n"/>
      <c r="J431" s="69" t="n"/>
      <c r="K431" s="69" t="n"/>
      <c r="L431" s="69" t="n"/>
      <c r="M431" s="72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H432" s="69" t="n"/>
      <c r="J432" s="69" t="n"/>
      <c r="K432" s="69" t="n"/>
      <c r="L432" s="69" t="n"/>
      <c r="M432" s="72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H433" s="69" t="n"/>
      <c r="J433" s="69" t="n"/>
      <c r="K433" s="69" t="n"/>
      <c r="L433" s="69" t="n"/>
      <c r="M433" s="72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H434" s="69" t="n"/>
      <c r="J434" s="69" t="n"/>
      <c r="K434" s="69" t="n"/>
      <c r="L434" s="69" t="n"/>
      <c r="M434" s="72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H435" s="69" t="n"/>
      <c r="J435" s="69" t="n"/>
      <c r="K435" s="69" t="n"/>
      <c r="L435" s="69" t="n"/>
      <c r="M435" s="72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H436" s="69" t="n"/>
      <c r="J436" s="69" t="n"/>
      <c r="K436" s="69" t="n"/>
      <c r="L436" s="69" t="n"/>
      <c r="M436" s="72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H437" s="69" t="n"/>
      <c r="J437" s="69" t="n"/>
      <c r="K437" s="69" t="n"/>
      <c r="L437" s="69" t="n"/>
      <c r="M437" s="72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H438" s="69" t="n"/>
      <c r="J438" s="69" t="n"/>
      <c r="K438" s="69" t="n"/>
      <c r="L438" s="69" t="n"/>
      <c r="M438" s="72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H439" s="69" t="n"/>
      <c r="J439" s="69" t="n"/>
      <c r="K439" s="69" t="n"/>
      <c r="L439" s="69" t="n"/>
      <c r="M439" s="72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H440" s="69" t="n"/>
      <c r="J440" s="69" t="n"/>
      <c r="K440" s="69" t="n"/>
      <c r="L440" s="69" t="n"/>
      <c r="M440" s="72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H441" s="69" t="n"/>
      <c r="J441" s="69" t="n"/>
      <c r="K441" s="69" t="n"/>
      <c r="L441" s="69" t="n"/>
      <c r="M441" s="72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H442" s="69" t="n"/>
      <c r="J442" s="69" t="n"/>
      <c r="K442" s="69" t="n"/>
      <c r="L442" s="69" t="n"/>
      <c r="M442" s="72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H443" s="69" t="n"/>
      <c r="J443" s="69" t="n"/>
      <c r="K443" s="69" t="n"/>
      <c r="L443" s="69" t="n"/>
      <c r="M443" s="72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H444" s="69" t="n"/>
      <c r="J444" s="69" t="n"/>
      <c r="K444" s="69" t="n"/>
      <c r="L444" s="69" t="n"/>
      <c r="M444" s="72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H445" s="69" t="n"/>
      <c r="J445" s="69" t="n"/>
      <c r="K445" s="69" t="n"/>
      <c r="L445" s="69" t="n"/>
      <c r="M445" s="72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H446" s="69" t="n"/>
      <c r="J446" s="69" t="n"/>
      <c r="K446" s="69" t="n"/>
      <c r="L446" s="69" t="n"/>
      <c r="M446" s="72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H447" s="69" t="n"/>
      <c r="J447" s="69" t="n"/>
      <c r="K447" s="69" t="n"/>
      <c r="L447" s="69" t="n"/>
      <c r="M447" s="72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H448" s="69" t="n"/>
      <c r="J448" s="69" t="n"/>
      <c r="K448" s="69" t="n"/>
      <c r="L448" s="69" t="n"/>
      <c r="M448" s="72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H449" s="69" t="n"/>
      <c r="J449" s="69" t="n"/>
      <c r="K449" s="69" t="n"/>
      <c r="L449" s="69" t="n"/>
      <c r="M449" s="72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H450" s="69" t="n"/>
      <c r="J450" s="69" t="n"/>
      <c r="K450" s="69" t="n"/>
      <c r="L450" s="69" t="n"/>
      <c r="M450" s="72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H451" s="69" t="n"/>
      <c r="J451" s="69" t="n"/>
      <c r="K451" s="69" t="n"/>
      <c r="L451" s="69" t="n"/>
      <c r="M451" s="72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H452" s="69" t="n"/>
      <c r="J452" s="69" t="n"/>
      <c r="K452" s="69" t="n"/>
      <c r="L452" s="69" t="n"/>
      <c r="M452" s="72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H453" s="69" t="n"/>
      <c r="J453" s="69" t="n"/>
      <c r="K453" s="69" t="n"/>
      <c r="L453" s="69" t="n"/>
      <c r="M453" s="72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H454" s="69" t="n"/>
      <c r="J454" s="69" t="n"/>
      <c r="K454" s="69" t="n"/>
      <c r="L454" s="69" t="n"/>
      <c r="M454" s="72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H455" s="69" t="n"/>
      <c r="J455" s="69" t="n"/>
      <c r="K455" s="69" t="n"/>
      <c r="L455" s="69" t="n"/>
      <c r="M455" s="72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H456" s="69" t="n"/>
      <c r="J456" s="69" t="n"/>
      <c r="K456" s="69" t="n"/>
      <c r="L456" s="69" t="n"/>
      <c r="M456" s="72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H457" s="69" t="n"/>
      <c r="J457" s="69" t="n"/>
      <c r="K457" s="69" t="n"/>
      <c r="L457" s="69" t="n"/>
      <c r="M457" s="72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H458" s="69" t="n"/>
      <c r="J458" s="69" t="n"/>
      <c r="K458" s="69" t="n"/>
      <c r="L458" s="69" t="n"/>
      <c r="M458" s="72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H459" s="69" t="n"/>
      <c r="J459" s="69" t="n"/>
      <c r="K459" s="69" t="n"/>
      <c r="L459" s="69" t="n"/>
      <c r="M459" s="72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H460" s="69" t="n"/>
      <c r="J460" s="69" t="n"/>
      <c r="K460" s="69" t="n"/>
      <c r="L460" s="69" t="n"/>
      <c r="M460" s="72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H461" s="69" t="n"/>
      <c r="J461" s="69" t="n"/>
      <c r="K461" s="69" t="n"/>
      <c r="L461" s="69" t="n"/>
      <c r="M461" s="72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H462" s="69" t="n"/>
      <c r="J462" s="69" t="n"/>
      <c r="K462" s="69" t="n"/>
      <c r="L462" s="69" t="n"/>
      <c r="M462" s="72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H463" s="69" t="n"/>
      <c r="J463" s="69" t="n"/>
      <c r="K463" s="69" t="n"/>
      <c r="L463" s="69" t="n"/>
      <c r="M463" s="72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H464" s="69" t="n"/>
      <c r="J464" s="69" t="n"/>
      <c r="K464" s="69" t="n"/>
      <c r="L464" s="69" t="n"/>
      <c r="M464" s="72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H465" s="69" t="n"/>
      <c r="J465" s="69" t="n"/>
      <c r="K465" s="69" t="n"/>
      <c r="L465" s="69" t="n"/>
      <c r="M465" s="72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H466" s="69" t="n"/>
      <c r="J466" s="69" t="n"/>
      <c r="K466" s="69" t="n"/>
      <c r="L466" s="69" t="n"/>
      <c r="M466" s="72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H467" s="69" t="n"/>
      <c r="J467" s="69" t="n"/>
      <c r="K467" s="69" t="n"/>
      <c r="L467" s="69" t="n"/>
      <c r="M467" s="72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H468" s="69" t="n"/>
      <c r="J468" s="69" t="n"/>
      <c r="K468" s="69" t="n"/>
      <c r="L468" s="69" t="n"/>
      <c r="M468" s="72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H469" s="69" t="n"/>
      <c r="J469" s="69" t="n"/>
      <c r="K469" s="69" t="n"/>
      <c r="L469" s="69" t="n"/>
      <c r="M469" s="72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H470" s="69" t="n"/>
      <c r="J470" s="69" t="n"/>
      <c r="K470" s="69" t="n"/>
      <c r="L470" s="69" t="n"/>
      <c r="M470" s="72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H471" s="69" t="n"/>
      <c r="J471" s="69" t="n"/>
      <c r="K471" s="69" t="n"/>
      <c r="L471" s="69" t="n"/>
      <c r="M471" s="72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H472" s="69" t="n"/>
      <c r="J472" s="69" t="n"/>
      <c r="K472" s="69" t="n"/>
      <c r="L472" s="69" t="n"/>
      <c r="M472" s="72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H473" s="69" t="n"/>
      <c r="J473" s="69" t="n"/>
      <c r="K473" s="69" t="n"/>
      <c r="L473" s="69" t="n"/>
      <c r="M473" s="72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H474" s="69" t="n"/>
      <c r="J474" s="69" t="n"/>
      <c r="K474" s="69" t="n"/>
      <c r="L474" s="69" t="n"/>
      <c r="M474" s="72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H475" s="69" t="n"/>
      <c r="J475" s="69" t="n"/>
      <c r="K475" s="69" t="n"/>
      <c r="L475" s="69" t="n"/>
      <c r="M475" s="72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H476" s="69" t="n"/>
      <c r="J476" s="69" t="n"/>
      <c r="K476" s="69" t="n"/>
      <c r="L476" s="69" t="n"/>
      <c r="M476" s="72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H477" s="69" t="n"/>
      <c r="J477" s="69" t="n"/>
      <c r="K477" s="69" t="n"/>
      <c r="L477" s="69" t="n"/>
      <c r="M477" s="72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H478" s="69" t="n"/>
      <c r="J478" s="69" t="n"/>
      <c r="K478" s="69" t="n"/>
      <c r="L478" s="69" t="n"/>
      <c r="M478" s="72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H479" s="69" t="n"/>
      <c r="J479" s="69" t="n"/>
      <c r="K479" s="69" t="n"/>
      <c r="L479" s="69" t="n"/>
      <c r="M479" s="72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H480" s="69" t="n"/>
      <c r="J480" s="69" t="n"/>
      <c r="K480" s="69" t="n"/>
      <c r="L480" s="69" t="n"/>
      <c r="M480" s="72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H481" s="69" t="n"/>
      <c r="J481" s="69" t="n"/>
      <c r="K481" s="69" t="n"/>
      <c r="L481" s="69" t="n"/>
      <c r="M481" s="72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H482" s="69" t="n"/>
      <c r="J482" s="69" t="n"/>
      <c r="K482" s="69" t="n"/>
      <c r="L482" s="69" t="n"/>
      <c r="M482" s="72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H483" s="69" t="n"/>
      <c r="J483" s="69" t="n"/>
      <c r="K483" s="69" t="n"/>
      <c r="L483" s="69" t="n"/>
      <c r="M483" s="72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H484" s="69" t="n"/>
      <c r="J484" s="69" t="n"/>
      <c r="K484" s="69" t="n"/>
      <c r="L484" s="69" t="n"/>
      <c r="M484" s="72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H485" s="69" t="n"/>
      <c r="J485" s="69" t="n"/>
      <c r="K485" s="69" t="n"/>
      <c r="L485" s="69" t="n"/>
      <c r="M485" s="72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H486" s="69" t="n"/>
      <c r="J486" s="69" t="n"/>
      <c r="K486" s="69" t="n"/>
      <c r="L486" s="69" t="n"/>
      <c r="M486" s="72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H487" s="69" t="n"/>
      <c r="J487" s="69" t="n"/>
      <c r="K487" s="69" t="n"/>
      <c r="L487" s="69" t="n"/>
      <c r="M487" s="72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H488" s="69" t="n"/>
      <c r="J488" s="69" t="n"/>
      <c r="K488" s="69" t="n"/>
      <c r="L488" s="69" t="n"/>
      <c r="M488" s="72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H489" s="69" t="n"/>
      <c r="J489" s="69" t="n"/>
      <c r="K489" s="69" t="n"/>
      <c r="L489" s="69" t="n"/>
      <c r="M489" s="72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H490" s="69" t="n"/>
      <c r="J490" s="69" t="n"/>
      <c r="K490" s="69" t="n"/>
      <c r="L490" s="69" t="n"/>
      <c r="M490" s="72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H491" s="69" t="n"/>
      <c r="J491" s="69" t="n"/>
      <c r="K491" s="69" t="n"/>
      <c r="L491" s="69" t="n"/>
      <c r="M491" s="72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H492" s="69" t="n"/>
      <c r="J492" s="69" t="n"/>
      <c r="K492" s="69" t="n"/>
      <c r="L492" s="69" t="n"/>
      <c r="M492" s="72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H493" s="69" t="n"/>
      <c r="J493" s="69" t="n"/>
      <c r="K493" s="69" t="n"/>
      <c r="L493" s="69" t="n"/>
      <c r="M493" s="72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H494" s="69" t="n"/>
      <c r="J494" s="69" t="n"/>
      <c r="K494" s="69" t="n"/>
      <c r="L494" s="69" t="n"/>
      <c r="M494" s="72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H495" s="69" t="n"/>
      <c r="J495" s="69" t="n"/>
      <c r="K495" s="69" t="n"/>
      <c r="L495" s="69" t="n"/>
      <c r="M495" s="72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H496" s="69" t="n"/>
      <c r="J496" s="69" t="n"/>
      <c r="K496" s="69" t="n"/>
      <c r="L496" s="69" t="n"/>
      <c r="M496" s="72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H497" s="69" t="n"/>
      <c r="J497" s="69" t="n"/>
      <c r="K497" s="69" t="n"/>
      <c r="L497" s="69" t="n"/>
      <c r="M497" s="72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H498" s="69" t="n"/>
      <c r="J498" s="69" t="n"/>
      <c r="K498" s="69" t="n"/>
      <c r="L498" s="69" t="n"/>
      <c r="M498" s="72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H499" s="69" t="n"/>
      <c r="J499" s="69" t="n"/>
      <c r="K499" s="69" t="n"/>
      <c r="L499" s="69" t="n"/>
      <c r="M499" s="72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H500" s="69" t="n"/>
      <c r="J500" s="69" t="n"/>
      <c r="K500" s="69" t="n"/>
      <c r="L500" s="69" t="n"/>
      <c r="M500" s="72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H501" s="69" t="n"/>
      <c r="J501" s="69" t="n"/>
      <c r="K501" s="69" t="n"/>
      <c r="L501" s="69" t="n"/>
      <c r="M501" s="72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H502" s="69" t="n"/>
      <c r="J502" s="69" t="n"/>
      <c r="K502" s="69" t="n"/>
      <c r="L502" s="69" t="n"/>
      <c r="M502" s="72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H503" s="69" t="n"/>
      <c r="J503" s="69" t="n"/>
      <c r="K503" s="69" t="n"/>
      <c r="L503" s="69" t="n"/>
      <c r="M503" s="72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H504" s="69" t="n"/>
      <c r="J504" s="69" t="n"/>
      <c r="K504" s="69" t="n"/>
      <c r="L504" s="69" t="n"/>
      <c r="M504" s="72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H505" s="69" t="n"/>
      <c r="J505" s="69" t="n"/>
      <c r="K505" s="69" t="n"/>
      <c r="L505" s="69" t="n"/>
      <c r="M505" s="72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H506" s="69" t="n"/>
      <c r="J506" s="69" t="n"/>
      <c r="K506" s="69" t="n"/>
      <c r="L506" s="69" t="n"/>
      <c r="M506" s="72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H507" s="69" t="n"/>
      <c r="J507" s="69" t="n"/>
      <c r="K507" s="69" t="n"/>
      <c r="L507" s="69" t="n"/>
      <c r="M507" s="72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H508" s="69" t="n"/>
      <c r="J508" s="69" t="n"/>
      <c r="K508" s="69" t="n"/>
      <c r="L508" s="69" t="n"/>
      <c r="M508" s="72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H509" s="69" t="n"/>
      <c r="J509" s="69" t="n"/>
      <c r="K509" s="69" t="n"/>
      <c r="L509" s="69" t="n"/>
      <c r="M509" s="72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H510" s="69" t="n"/>
      <c r="J510" s="69" t="n"/>
      <c r="K510" s="69" t="n"/>
      <c r="L510" s="69" t="n"/>
      <c r="M510" s="72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H511" s="69" t="n"/>
      <c r="J511" s="69" t="n"/>
      <c r="K511" s="69" t="n"/>
      <c r="L511" s="69" t="n"/>
      <c r="M511" s="72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H512" s="69" t="n"/>
      <c r="J512" s="69" t="n"/>
      <c r="K512" s="69" t="n"/>
      <c r="L512" s="69" t="n"/>
      <c r="M512" s="72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H513" s="69" t="n"/>
      <c r="J513" s="69" t="n"/>
      <c r="K513" s="69" t="n"/>
      <c r="L513" s="69" t="n"/>
      <c r="M513" s="72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H514" s="69" t="n"/>
      <c r="J514" s="69" t="n"/>
      <c r="K514" s="69" t="n"/>
      <c r="L514" s="69" t="n"/>
      <c r="M514" s="72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H515" s="69" t="n"/>
      <c r="J515" s="69" t="n"/>
      <c r="K515" s="69" t="n"/>
      <c r="L515" s="69" t="n"/>
      <c r="M515" s="72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H516" s="69" t="n"/>
      <c r="J516" s="69" t="n"/>
      <c r="K516" s="69" t="n"/>
      <c r="L516" s="69" t="n"/>
      <c r="M516" s="72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H517" s="69" t="n"/>
      <c r="J517" s="69" t="n"/>
      <c r="K517" s="69" t="n"/>
      <c r="L517" s="69" t="n"/>
      <c r="M517" s="72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H518" s="69" t="n"/>
      <c r="J518" s="69" t="n"/>
      <c r="K518" s="69" t="n"/>
      <c r="L518" s="69" t="n"/>
      <c r="M518" s="72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H519" s="69" t="n"/>
      <c r="J519" s="69" t="n"/>
      <c r="K519" s="69" t="n"/>
      <c r="L519" s="69" t="n"/>
      <c r="M519" s="72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H520" s="69" t="n"/>
      <c r="J520" s="69" t="n"/>
      <c r="K520" s="69" t="n"/>
      <c r="L520" s="69" t="n"/>
      <c r="M520" s="72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H521" s="69" t="n"/>
      <c r="J521" s="69" t="n"/>
      <c r="K521" s="69" t="n"/>
      <c r="L521" s="69" t="n"/>
      <c r="M521" s="72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H522" s="69" t="n"/>
      <c r="J522" s="69" t="n"/>
      <c r="K522" s="69" t="n"/>
      <c r="L522" s="69" t="n"/>
      <c r="M522" s="72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H523" s="69" t="n"/>
      <c r="J523" s="69" t="n"/>
      <c r="K523" s="69" t="n"/>
      <c r="L523" s="69" t="n"/>
      <c r="M523" s="72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H524" s="69" t="n"/>
      <c r="J524" s="69" t="n"/>
      <c r="K524" s="69" t="n"/>
      <c r="L524" s="69" t="n"/>
      <c r="M524" s="72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H525" s="69" t="n"/>
      <c r="J525" s="69" t="n"/>
      <c r="K525" s="69" t="n"/>
      <c r="L525" s="69" t="n"/>
      <c r="M525" s="72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H526" s="69" t="n"/>
      <c r="J526" s="69" t="n"/>
      <c r="K526" s="69" t="n"/>
      <c r="L526" s="69" t="n"/>
      <c r="M526" s="72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H527" s="69" t="n"/>
      <c r="J527" s="69" t="n"/>
      <c r="K527" s="69" t="n"/>
      <c r="L527" s="69" t="n"/>
      <c r="M527" s="72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H528" s="69" t="n"/>
      <c r="J528" s="69" t="n"/>
      <c r="K528" s="69" t="n"/>
      <c r="L528" s="69" t="n"/>
      <c r="M528" s="72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H529" s="69" t="n"/>
      <c r="J529" s="69" t="n"/>
      <c r="K529" s="69" t="n"/>
      <c r="L529" s="69" t="n"/>
      <c r="M529" s="72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H530" s="69" t="n"/>
      <c r="J530" s="69" t="n"/>
      <c r="K530" s="69" t="n"/>
      <c r="L530" s="69" t="n"/>
      <c r="M530" s="72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H531" s="69" t="n"/>
      <c r="J531" s="69" t="n"/>
      <c r="K531" s="69" t="n"/>
      <c r="L531" s="69" t="n"/>
      <c r="M531" s="72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H532" s="69" t="n"/>
      <c r="J532" s="69" t="n"/>
      <c r="K532" s="69" t="n"/>
      <c r="L532" s="69" t="n"/>
      <c r="M532" s="72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H533" s="69" t="n"/>
      <c r="J533" s="69" t="n"/>
      <c r="K533" s="69" t="n"/>
      <c r="L533" s="69" t="n"/>
      <c r="M533" s="72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H534" s="69" t="n"/>
      <c r="J534" s="69" t="n"/>
      <c r="K534" s="69" t="n"/>
      <c r="L534" s="69" t="n"/>
      <c r="M534" s="72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H535" s="69" t="n"/>
      <c r="J535" s="69" t="n"/>
      <c r="K535" s="69" t="n"/>
      <c r="L535" s="69" t="n"/>
      <c r="M535" s="72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H536" s="69" t="n"/>
      <c r="J536" s="69" t="n"/>
      <c r="K536" s="69" t="n"/>
      <c r="L536" s="69" t="n"/>
      <c r="M536" s="72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H537" s="69" t="n"/>
      <c r="J537" s="69" t="n"/>
      <c r="K537" s="69" t="n"/>
      <c r="L537" s="69" t="n"/>
      <c r="M537" s="72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H538" s="69" t="n"/>
      <c r="J538" s="69" t="n"/>
      <c r="K538" s="69" t="n"/>
      <c r="L538" s="69" t="n"/>
      <c r="M538" s="72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H539" s="69" t="n"/>
      <c r="J539" s="69" t="n"/>
      <c r="K539" s="69" t="n"/>
      <c r="L539" s="69" t="n"/>
      <c r="M539" s="72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H540" s="69" t="n"/>
      <c r="J540" s="69" t="n"/>
      <c r="K540" s="69" t="n"/>
      <c r="L540" s="69" t="n"/>
      <c r="M540" s="72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H541" s="69" t="n"/>
      <c r="J541" s="69" t="n"/>
      <c r="K541" s="69" t="n"/>
      <c r="L541" s="69" t="n"/>
      <c r="M541" s="72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H542" s="69" t="n"/>
      <c r="J542" s="69" t="n"/>
      <c r="K542" s="69" t="n"/>
      <c r="L542" s="69" t="n"/>
      <c r="M542" s="72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H543" s="69" t="n"/>
      <c r="J543" s="69" t="n"/>
      <c r="K543" s="69" t="n"/>
      <c r="L543" s="69" t="n"/>
      <c r="M543" s="72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H544" s="69" t="n"/>
      <c r="J544" s="69" t="n"/>
      <c r="K544" s="69" t="n"/>
      <c r="L544" s="69" t="n"/>
      <c r="M544" s="72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H545" s="69" t="n"/>
      <c r="J545" s="69" t="n"/>
      <c r="K545" s="69" t="n"/>
      <c r="L545" s="69" t="n"/>
      <c r="M545" s="72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H546" s="69" t="n"/>
      <c r="J546" s="69" t="n"/>
      <c r="K546" s="69" t="n"/>
      <c r="L546" s="69" t="n"/>
      <c r="M546" s="72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H547" s="69" t="n"/>
      <c r="J547" s="69" t="n"/>
      <c r="K547" s="69" t="n"/>
      <c r="L547" s="69" t="n"/>
      <c r="M547" s="72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H548" s="69" t="n"/>
      <c r="J548" s="69" t="n"/>
      <c r="K548" s="69" t="n"/>
      <c r="L548" s="69" t="n"/>
      <c r="M548" s="72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H549" s="69" t="n"/>
      <c r="J549" s="69" t="n"/>
      <c r="K549" s="69" t="n"/>
      <c r="L549" s="69" t="n"/>
      <c r="M549" s="72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H550" s="69" t="n"/>
      <c r="J550" s="69" t="n"/>
      <c r="K550" s="69" t="n"/>
      <c r="L550" s="69" t="n"/>
      <c r="M550" s="72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H551" s="69" t="n"/>
      <c r="J551" s="69" t="n"/>
      <c r="K551" s="69" t="n"/>
      <c r="L551" s="69" t="n"/>
      <c r="M551" s="72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H552" s="69" t="n"/>
      <c r="J552" s="69" t="n"/>
      <c r="K552" s="69" t="n"/>
      <c r="L552" s="69" t="n"/>
      <c r="M552" s="72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H553" s="69" t="n"/>
      <c r="J553" s="69" t="n"/>
      <c r="K553" s="69" t="n"/>
      <c r="L553" s="69" t="n"/>
      <c r="M553" s="72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H554" s="69" t="n"/>
      <c r="J554" s="69" t="n"/>
      <c r="K554" s="69" t="n"/>
      <c r="L554" s="69" t="n"/>
      <c r="M554" s="72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H555" s="69" t="n"/>
      <c r="J555" s="69" t="n"/>
      <c r="K555" s="69" t="n"/>
      <c r="L555" s="69" t="n"/>
      <c r="M555" s="72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H556" s="69" t="n"/>
      <c r="J556" s="69" t="n"/>
      <c r="K556" s="69" t="n"/>
      <c r="L556" s="69" t="n"/>
      <c r="M556" s="72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H557" s="69" t="n"/>
      <c r="J557" s="69" t="n"/>
      <c r="K557" s="69" t="n"/>
      <c r="L557" s="69" t="n"/>
      <c r="M557" s="72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H558" s="69" t="n"/>
      <c r="J558" s="69" t="n"/>
      <c r="K558" s="69" t="n"/>
      <c r="L558" s="69" t="n"/>
      <c r="M558" s="72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H559" s="69" t="n"/>
      <c r="J559" s="69" t="n"/>
      <c r="K559" s="69" t="n"/>
      <c r="L559" s="69" t="n"/>
      <c r="M559" s="72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H560" s="69" t="n"/>
      <c r="J560" s="69" t="n"/>
      <c r="K560" s="69" t="n"/>
      <c r="L560" s="69" t="n"/>
      <c r="M560" s="72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H561" s="69" t="n"/>
      <c r="J561" s="69" t="n"/>
      <c r="K561" s="69" t="n"/>
      <c r="L561" s="69" t="n"/>
      <c r="M561" s="72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H562" s="69" t="n"/>
      <c r="J562" s="69" t="n"/>
      <c r="K562" s="69" t="n"/>
      <c r="L562" s="69" t="n"/>
      <c r="M562" s="72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H563" s="69" t="n"/>
      <c r="J563" s="69" t="n"/>
      <c r="K563" s="69" t="n"/>
      <c r="L563" s="69" t="n"/>
      <c r="M563" s="72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H564" s="69" t="n"/>
      <c r="J564" s="69" t="n"/>
      <c r="K564" s="69" t="n"/>
      <c r="L564" s="69" t="n"/>
      <c r="M564" s="72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H565" s="69" t="n"/>
      <c r="J565" s="69" t="n"/>
      <c r="K565" s="69" t="n"/>
      <c r="L565" s="69" t="n"/>
      <c r="M565" s="72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H566" s="69" t="n"/>
      <c r="J566" s="69" t="n"/>
      <c r="K566" s="69" t="n"/>
      <c r="L566" s="69" t="n"/>
      <c r="M566" s="72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H567" s="69" t="n"/>
      <c r="J567" s="69" t="n"/>
      <c r="K567" s="69" t="n"/>
      <c r="L567" s="69" t="n"/>
      <c r="M567" s="72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H568" s="69" t="n"/>
      <c r="J568" s="69" t="n"/>
      <c r="K568" s="69" t="n"/>
      <c r="L568" s="69" t="n"/>
      <c r="M568" s="72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H569" s="69" t="n"/>
      <c r="J569" s="69" t="n"/>
      <c r="K569" s="69" t="n"/>
      <c r="L569" s="69" t="n"/>
      <c r="M569" s="72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H570" s="69" t="n"/>
      <c r="J570" s="69" t="n"/>
      <c r="K570" s="69" t="n"/>
      <c r="L570" s="69" t="n"/>
      <c r="M570" s="72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H571" s="69" t="n"/>
      <c r="J571" s="69" t="n"/>
      <c r="K571" s="69" t="n"/>
      <c r="L571" s="69" t="n"/>
      <c r="M571" s="72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H572" s="69" t="n"/>
      <c r="J572" s="69" t="n"/>
      <c r="K572" s="69" t="n"/>
      <c r="L572" s="69" t="n"/>
      <c r="M572" s="72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H573" s="69" t="n"/>
      <c r="J573" s="69" t="n"/>
      <c r="K573" s="69" t="n"/>
      <c r="L573" s="69" t="n"/>
      <c r="M573" s="72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H574" s="69" t="n"/>
      <c r="J574" s="69" t="n"/>
      <c r="K574" s="69" t="n"/>
      <c r="L574" s="69" t="n"/>
      <c r="M574" s="72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H575" s="69" t="n"/>
      <c r="J575" s="69" t="n"/>
      <c r="K575" s="69" t="n"/>
      <c r="L575" s="69" t="n"/>
      <c r="M575" s="72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H576" s="69" t="n"/>
      <c r="J576" s="69" t="n"/>
      <c r="K576" s="69" t="n"/>
      <c r="L576" s="69" t="n"/>
      <c r="M576" s="72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H577" s="69" t="n"/>
      <c r="J577" s="69" t="n"/>
      <c r="K577" s="69" t="n"/>
      <c r="L577" s="69" t="n"/>
      <c r="M577" s="72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H578" s="69" t="n"/>
      <c r="J578" s="69" t="n"/>
      <c r="K578" s="69" t="n"/>
      <c r="L578" s="69" t="n"/>
      <c r="M578" s="72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H579" s="69" t="n"/>
      <c r="J579" s="69" t="n"/>
      <c r="K579" s="69" t="n"/>
      <c r="L579" s="69" t="n"/>
      <c r="M579" s="72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H580" s="69" t="n"/>
      <c r="J580" s="69" t="n"/>
      <c r="K580" s="69" t="n"/>
      <c r="L580" s="69" t="n"/>
      <c r="M580" s="72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H581" s="69" t="n"/>
      <c r="J581" s="69" t="n"/>
      <c r="K581" s="69" t="n"/>
      <c r="L581" s="69" t="n"/>
      <c r="M581" s="72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H582" s="69" t="n"/>
      <c r="J582" s="69" t="n"/>
      <c r="K582" s="69" t="n"/>
      <c r="L582" s="69" t="n"/>
      <c r="M582" s="72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H583" s="69" t="n"/>
      <c r="J583" s="69" t="n"/>
      <c r="K583" s="69" t="n"/>
      <c r="L583" s="69" t="n"/>
      <c r="M583" s="72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H584" s="69" t="n"/>
      <c r="J584" s="69" t="n"/>
      <c r="K584" s="69" t="n"/>
      <c r="L584" s="69" t="n"/>
      <c r="M584" s="72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H585" s="69" t="n"/>
      <c r="J585" s="69" t="n"/>
      <c r="K585" s="69" t="n"/>
      <c r="L585" s="69" t="n"/>
      <c r="M585" s="72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H586" s="69" t="n"/>
      <c r="J586" s="69" t="n"/>
      <c r="K586" s="69" t="n"/>
      <c r="L586" s="69" t="n"/>
      <c r="M586" s="72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H587" s="69" t="n"/>
      <c r="J587" s="69" t="n"/>
      <c r="K587" s="69" t="n"/>
      <c r="L587" s="69" t="n"/>
      <c r="M587" s="72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H588" s="69" t="n"/>
      <c r="J588" s="69" t="n"/>
      <c r="K588" s="69" t="n"/>
      <c r="L588" s="69" t="n"/>
      <c r="M588" s="72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H589" s="69" t="n"/>
      <c r="J589" s="69" t="n"/>
      <c r="K589" s="69" t="n"/>
      <c r="L589" s="69" t="n"/>
      <c r="M589" s="72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H590" s="69" t="n"/>
      <c r="J590" s="69" t="n"/>
      <c r="K590" s="69" t="n"/>
      <c r="L590" s="69" t="n"/>
      <c r="M590" s="72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H591" s="69" t="n"/>
      <c r="J591" s="69" t="n"/>
      <c r="K591" s="69" t="n"/>
      <c r="L591" s="69" t="n"/>
      <c r="M591" s="72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H592" s="69" t="n"/>
      <c r="J592" s="69" t="n"/>
      <c r="K592" s="69" t="n"/>
      <c r="L592" s="69" t="n"/>
      <c r="M592" s="72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H593" s="69" t="n"/>
      <c r="J593" s="69" t="n"/>
      <c r="K593" s="69" t="n"/>
      <c r="L593" s="69" t="n"/>
      <c r="M593" s="72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H594" s="69" t="n"/>
      <c r="J594" s="69" t="n"/>
      <c r="K594" s="69" t="n"/>
      <c r="L594" s="69" t="n"/>
      <c r="M594" s="72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H595" s="69" t="n"/>
      <c r="J595" s="69" t="n"/>
      <c r="K595" s="69" t="n"/>
      <c r="L595" s="69" t="n"/>
      <c r="M595" s="72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H596" s="69" t="n"/>
      <c r="J596" s="69" t="n"/>
      <c r="K596" s="69" t="n"/>
      <c r="L596" s="69" t="n"/>
      <c r="M596" s="72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H597" s="69" t="n"/>
      <c r="J597" s="69" t="n"/>
      <c r="K597" s="69" t="n"/>
      <c r="L597" s="69" t="n"/>
      <c r="M597" s="72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H598" s="69" t="n"/>
      <c r="J598" s="69" t="n"/>
      <c r="K598" s="69" t="n"/>
      <c r="L598" s="69" t="n"/>
      <c r="M598" s="72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H599" s="69" t="n"/>
      <c r="J599" s="69" t="n"/>
      <c r="K599" s="69" t="n"/>
      <c r="L599" s="69" t="n"/>
      <c r="M599" s="72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H600" s="69" t="n"/>
      <c r="J600" s="69" t="n"/>
      <c r="K600" s="69" t="n"/>
      <c r="L600" s="69" t="n"/>
      <c r="M600" s="72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H601" s="69" t="n"/>
      <c r="J601" s="69" t="n"/>
      <c r="K601" s="69" t="n"/>
      <c r="L601" s="69" t="n"/>
      <c r="M601" s="72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H602" s="69" t="n"/>
      <c r="J602" s="69" t="n"/>
      <c r="K602" s="69" t="n"/>
      <c r="L602" s="69" t="n"/>
      <c r="M602" s="72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H603" s="69" t="n"/>
      <c r="J603" s="69" t="n"/>
      <c r="K603" s="69" t="n"/>
      <c r="L603" s="69" t="n"/>
      <c r="M603" s="72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H604" s="69" t="n"/>
      <c r="J604" s="69" t="n"/>
      <c r="K604" s="69" t="n"/>
      <c r="L604" s="69" t="n"/>
      <c r="M604" s="72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H605" s="69" t="n"/>
      <c r="J605" s="69" t="n"/>
      <c r="K605" s="69" t="n"/>
      <c r="L605" s="69" t="n"/>
      <c r="M605" s="72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H606" s="69" t="n"/>
      <c r="J606" s="69" t="n"/>
      <c r="K606" s="69" t="n"/>
      <c r="L606" s="69" t="n"/>
      <c r="M606" s="72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H607" s="69" t="n"/>
      <c r="J607" s="69" t="n"/>
      <c r="K607" s="69" t="n"/>
      <c r="L607" s="69" t="n"/>
      <c r="M607" s="72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H608" s="69" t="n"/>
      <c r="J608" s="69" t="n"/>
      <c r="K608" s="69" t="n"/>
      <c r="L608" s="69" t="n"/>
      <c r="M608" s="72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H609" s="69" t="n"/>
      <c r="J609" s="69" t="n"/>
      <c r="K609" s="69" t="n"/>
      <c r="L609" s="69" t="n"/>
      <c r="M609" s="72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H610" s="69" t="n"/>
      <c r="J610" s="69" t="n"/>
      <c r="K610" s="69" t="n"/>
      <c r="L610" s="69" t="n"/>
      <c r="M610" s="72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H611" s="69" t="n"/>
      <c r="J611" s="69" t="n"/>
      <c r="K611" s="69" t="n"/>
      <c r="L611" s="69" t="n"/>
      <c r="M611" s="72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H612" s="69" t="n"/>
      <c r="J612" s="69" t="n"/>
      <c r="K612" s="69" t="n"/>
      <c r="L612" s="69" t="n"/>
      <c r="M612" s="72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H613" s="69" t="n"/>
      <c r="J613" s="69" t="n"/>
      <c r="K613" s="69" t="n"/>
      <c r="L613" s="69" t="n"/>
      <c r="M613" s="72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H614" s="69" t="n"/>
      <c r="J614" s="69" t="n"/>
      <c r="K614" s="69" t="n"/>
      <c r="L614" s="69" t="n"/>
      <c r="M614" s="72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H615" s="69" t="n"/>
      <c r="J615" s="69" t="n"/>
      <c r="K615" s="69" t="n"/>
      <c r="L615" s="69" t="n"/>
      <c r="M615" s="72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H616" s="69" t="n"/>
      <c r="J616" s="69" t="n"/>
      <c r="K616" s="69" t="n"/>
      <c r="L616" s="69" t="n"/>
      <c r="M616" s="72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H617" s="69" t="n"/>
      <c r="J617" s="69" t="n"/>
      <c r="K617" s="69" t="n"/>
      <c r="L617" s="69" t="n"/>
      <c r="M617" s="72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H618" s="69" t="n"/>
      <c r="J618" s="69" t="n"/>
      <c r="K618" s="69" t="n"/>
      <c r="L618" s="69" t="n"/>
      <c r="M618" s="72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H619" s="69" t="n"/>
      <c r="J619" s="69" t="n"/>
      <c r="K619" s="69" t="n"/>
      <c r="L619" s="69" t="n"/>
      <c r="M619" s="72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H620" s="69" t="n"/>
      <c r="J620" s="69" t="n"/>
      <c r="K620" s="69" t="n"/>
      <c r="L620" s="69" t="n"/>
      <c r="M620" s="72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H621" s="69" t="n"/>
      <c r="J621" s="69" t="n"/>
      <c r="K621" s="69" t="n"/>
      <c r="L621" s="69" t="n"/>
      <c r="M621" s="72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H622" s="69" t="n"/>
      <c r="J622" s="69" t="n"/>
      <c r="K622" s="69" t="n"/>
      <c r="L622" s="69" t="n"/>
      <c r="M622" s="72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H623" s="69" t="n"/>
      <c r="J623" s="69" t="n"/>
      <c r="K623" s="69" t="n"/>
      <c r="L623" s="69" t="n"/>
      <c r="M623" s="72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H624" s="69" t="n"/>
      <c r="J624" s="69" t="n"/>
      <c r="K624" s="69" t="n"/>
      <c r="L624" s="69" t="n"/>
      <c r="M624" s="72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H625" s="69" t="n"/>
      <c r="J625" s="69" t="n"/>
      <c r="K625" s="69" t="n"/>
      <c r="L625" s="69" t="n"/>
      <c r="M625" s="72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H626" s="69" t="n"/>
      <c r="J626" s="69" t="n"/>
      <c r="K626" s="69" t="n"/>
      <c r="L626" s="69" t="n"/>
      <c r="M626" s="72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H627" s="69" t="n"/>
      <c r="J627" s="69" t="n"/>
      <c r="K627" s="69" t="n"/>
      <c r="L627" s="69" t="n"/>
      <c r="M627" s="72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H628" s="69" t="n"/>
      <c r="J628" s="69" t="n"/>
      <c r="K628" s="69" t="n"/>
      <c r="L628" s="69" t="n"/>
      <c r="M628" s="72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H629" s="69" t="n"/>
      <c r="J629" s="69" t="n"/>
      <c r="K629" s="69" t="n"/>
      <c r="L629" s="69" t="n"/>
      <c r="M629" s="72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H630" s="69" t="n"/>
      <c r="J630" s="69" t="n"/>
      <c r="K630" s="69" t="n"/>
      <c r="L630" s="69" t="n"/>
      <c r="M630" s="72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H631" s="69" t="n"/>
      <c r="J631" s="69" t="n"/>
      <c r="K631" s="69" t="n"/>
      <c r="L631" s="69" t="n"/>
      <c r="M631" s="72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H632" s="69" t="n"/>
      <c r="J632" s="69" t="n"/>
      <c r="K632" s="69" t="n"/>
      <c r="L632" s="69" t="n"/>
      <c r="M632" s="72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H633" s="69" t="n"/>
      <c r="J633" s="69" t="n"/>
      <c r="K633" s="69" t="n"/>
      <c r="L633" s="69" t="n"/>
      <c r="M633" s="72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H634" s="69" t="n"/>
      <c r="J634" s="69" t="n"/>
      <c r="K634" s="69" t="n"/>
      <c r="L634" s="69" t="n"/>
      <c r="M634" s="72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H635" s="69" t="n"/>
      <c r="J635" s="69" t="n"/>
      <c r="K635" s="69" t="n"/>
      <c r="L635" s="69" t="n"/>
      <c r="M635" s="72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H636" s="69" t="n"/>
      <c r="J636" s="69" t="n"/>
      <c r="K636" s="69" t="n"/>
      <c r="L636" s="69" t="n"/>
      <c r="M636" s="72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H637" s="69" t="n"/>
      <c r="J637" s="69" t="n"/>
      <c r="K637" s="69" t="n"/>
      <c r="L637" s="69" t="n"/>
      <c r="M637" s="72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H638" s="69" t="n"/>
      <c r="J638" s="69" t="n"/>
      <c r="K638" s="69" t="n"/>
      <c r="L638" s="69" t="n"/>
      <c r="M638" s="72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H639" s="69" t="n"/>
      <c r="J639" s="69" t="n"/>
      <c r="K639" s="69" t="n"/>
      <c r="L639" s="69" t="n"/>
      <c r="M639" s="72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H640" s="69" t="n"/>
      <c r="J640" s="69" t="n"/>
      <c r="K640" s="69" t="n"/>
      <c r="L640" s="69" t="n"/>
      <c r="M640" s="72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H641" s="69" t="n"/>
      <c r="J641" s="69" t="n"/>
      <c r="K641" s="69" t="n"/>
      <c r="L641" s="69" t="n"/>
      <c r="M641" s="72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H642" s="69" t="n"/>
      <c r="J642" s="69" t="n"/>
      <c r="K642" s="69" t="n"/>
      <c r="L642" s="69" t="n"/>
      <c r="M642" s="72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H643" s="69" t="n"/>
      <c r="J643" s="69" t="n"/>
      <c r="K643" s="69" t="n"/>
      <c r="L643" s="69" t="n"/>
      <c r="M643" s="72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H644" s="69" t="n"/>
      <c r="J644" s="69" t="n"/>
      <c r="K644" s="69" t="n"/>
      <c r="L644" s="69" t="n"/>
      <c r="M644" s="72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H645" s="69" t="n"/>
      <c r="J645" s="69" t="n"/>
      <c r="K645" s="69" t="n"/>
      <c r="L645" s="69" t="n"/>
      <c r="M645" s="72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H646" s="69" t="n"/>
      <c r="J646" s="69" t="n"/>
      <c r="K646" s="69" t="n"/>
      <c r="L646" s="69" t="n"/>
      <c r="M646" s="72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H647" s="69" t="n"/>
      <c r="J647" s="69" t="n"/>
      <c r="K647" s="69" t="n"/>
      <c r="L647" s="69" t="n"/>
      <c r="M647" s="72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H648" s="69" t="n"/>
      <c r="J648" s="69" t="n"/>
      <c r="K648" s="69" t="n"/>
      <c r="L648" s="69" t="n"/>
      <c r="M648" s="72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H649" s="69" t="n"/>
      <c r="J649" s="69" t="n"/>
      <c r="K649" s="69" t="n"/>
      <c r="L649" s="69" t="n"/>
      <c r="M649" s="72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H650" s="69" t="n"/>
      <c r="J650" s="69" t="n"/>
      <c r="K650" s="69" t="n"/>
      <c r="L650" s="69" t="n"/>
      <c r="M650" s="72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H651" s="69" t="n"/>
      <c r="J651" s="69" t="n"/>
      <c r="K651" s="69" t="n"/>
      <c r="L651" s="69" t="n"/>
      <c r="M651" s="72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H652" s="69" t="n"/>
      <c r="J652" s="69" t="n"/>
      <c r="K652" s="69" t="n"/>
      <c r="L652" s="69" t="n"/>
      <c r="M652" s="72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H653" s="69" t="n"/>
      <c r="J653" s="69" t="n"/>
      <c r="K653" s="69" t="n"/>
      <c r="L653" s="69" t="n"/>
      <c r="M653" s="72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H654" s="69" t="n"/>
      <c r="J654" s="69" t="n"/>
      <c r="K654" s="69" t="n"/>
      <c r="L654" s="69" t="n"/>
      <c r="M654" s="72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H655" s="69" t="n"/>
      <c r="J655" s="69" t="n"/>
      <c r="K655" s="69" t="n"/>
      <c r="L655" s="69" t="n"/>
      <c r="M655" s="72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H656" s="69" t="n"/>
      <c r="J656" s="69" t="n"/>
      <c r="K656" s="69" t="n"/>
      <c r="L656" s="69" t="n"/>
      <c r="M656" s="72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H657" s="69" t="n"/>
      <c r="J657" s="69" t="n"/>
      <c r="K657" s="69" t="n"/>
      <c r="L657" s="69" t="n"/>
      <c r="M657" s="72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H658" s="69" t="n"/>
      <c r="J658" s="69" t="n"/>
      <c r="K658" s="69" t="n"/>
      <c r="L658" s="69" t="n"/>
      <c r="M658" s="72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H659" s="69" t="n"/>
      <c r="J659" s="69" t="n"/>
      <c r="K659" s="69" t="n"/>
      <c r="L659" s="69" t="n"/>
      <c r="M659" s="72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H660" s="69" t="n"/>
      <c r="J660" s="69" t="n"/>
      <c r="K660" s="69" t="n"/>
      <c r="L660" s="69" t="n"/>
      <c r="M660" s="72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H661" s="69" t="n"/>
      <c r="J661" s="69" t="n"/>
      <c r="K661" s="69" t="n"/>
      <c r="L661" s="69" t="n"/>
      <c r="M661" s="72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H662" s="69" t="n"/>
      <c r="J662" s="69" t="n"/>
      <c r="K662" s="69" t="n"/>
      <c r="L662" s="69" t="n"/>
      <c r="M662" s="72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H663" s="69" t="n"/>
      <c r="J663" s="69" t="n"/>
      <c r="K663" s="69" t="n"/>
      <c r="L663" s="69" t="n"/>
      <c r="M663" s="72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H664" s="69" t="n"/>
      <c r="J664" s="69" t="n"/>
      <c r="K664" s="69" t="n"/>
      <c r="L664" s="69" t="n"/>
      <c r="M664" s="72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H665" s="69" t="n"/>
      <c r="J665" s="69" t="n"/>
      <c r="K665" s="69" t="n"/>
      <c r="L665" s="69" t="n"/>
      <c r="M665" s="72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H666" s="69" t="n"/>
      <c r="J666" s="69" t="n"/>
      <c r="K666" s="69" t="n"/>
      <c r="L666" s="69" t="n"/>
      <c r="M666" s="72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H667" s="69" t="n"/>
      <c r="J667" s="69" t="n"/>
      <c r="K667" s="69" t="n"/>
      <c r="L667" s="69" t="n"/>
      <c r="M667" s="72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H668" s="69" t="n"/>
      <c r="J668" s="69" t="n"/>
      <c r="K668" s="69" t="n"/>
      <c r="L668" s="69" t="n"/>
      <c r="M668" s="72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H669" s="69" t="n"/>
      <c r="J669" s="69" t="n"/>
      <c r="K669" s="69" t="n"/>
      <c r="L669" s="69" t="n"/>
      <c r="M669" s="72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H670" s="69" t="n"/>
      <c r="J670" s="69" t="n"/>
      <c r="K670" s="69" t="n"/>
      <c r="L670" s="69" t="n"/>
      <c r="M670" s="72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H671" s="69" t="n"/>
      <c r="J671" s="69" t="n"/>
      <c r="K671" s="69" t="n"/>
      <c r="L671" s="69" t="n"/>
      <c r="M671" s="72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H672" s="69" t="n"/>
      <c r="J672" s="69" t="n"/>
      <c r="K672" s="69" t="n"/>
      <c r="L672" s="69" t="n"/>
      <c r="M672" s="72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H673" s="69" t="n"/>
      <c r="J673" s="69" t="n"/>
      <c r="K673" s="69" t="n"/>
      <c r="L673" s="69" t="n"/>
      <c r="M673" s="72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H674" s="69" t="n"/>
      <c r="J674" s="69" t="n"/>
      <c r="K674" s="69" t="n"/>
      <c r="L674" s="69" t="n"/>
      <c r="M674" s="72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H675" s="69" t="n"/>
      <c r="J675" s="69" t="n"/>
      <c r="K675" s="69" t="n"/>
      <c r="L675" s="69" t="n"/>
      <c r="M675" s="72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H676" s="69" t="n"/>
      <c r="J676" s="69" t="n"/>
      <c r="K676" s="69" t="n"/>
      <c r="L676" s="69" t="n"/>
      <c r="M676" s="72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H677" s="69" t="n"/>
      <c r="J677" s="69" t="n"/>
      <c r="K677" s="69" t="n"/>
      <c r="L677" s="69" t="n"/>
      <c r="M677" s="72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H678" s="69" t="n"/>
      <c r="J678" s="69" t="n"/>
      <c r="K678" s="69" t="n"/>
      <c r="L678" s="69" t="n"/>
      <c r="M678" s="72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H679" s="69" t="n"/>
      <c r="J679" s="69" t="n"/>
      <c r="K679" s="69" t="n"/>
      <c r="L679" s="69" t="n"/>
      <c r="M679" s="72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H680" s="69" t="n"/>
      <c r="J680" s="69" t="n"/>
      <c r="K680" s="69" t="n"/>
      <c r="L680" s="69" t="n"/>
      <c r="M680" s="72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H681" s="69" t="n"/>
      <c r="J681" s="69" t="n"/>
      <c r="K681" s="69" t="n"/>
      <c r="L681" s="69" t="n"/>
      <c r="M681" s="72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H682" s="69" t="n"/>
      <c r="J682" s="69" t="n"/>
      <c r="K682" s="69" t="n"/>
      <c r="L682" s="69" t="n"/>
      <c r="M682" s="72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H683" s="69" t="n"/>
      <c r="J683" s="69" t="n"/>
      <c r="K683" s="69" t="n"/>
      <c r="L683" s="69" t="n"/>
      <c r="M683" s="72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H684" s="69" t="n"/>
      <c r="J684" s="69" t="n"/>
      <c r="K684" s="69" t="n"/>
      <c r="L684" s="69" t="n"/>
      <c r="M684" s="72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H685" s="69" t="n"/>
      <c r="J685" s="69" t="n"/>
      <c r="K685" s="69" t="n"/>
      <c r="L685" s="69" t="n"/>
      <c r="M685" s="72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H686" s="69" t="n"/>
      <c r="J686" s="69" t="n"/>
      <c r="K686" s="69" t="n"/>
      <c r="L686" s="69" t="n"/>
      <c r="M686" s="72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H687" s="69" t="n"/>
      <c r="J687" s="69" t="n"/>
      <c r="K687" s="69" t="n"/>
      <c r="L687" s="69" t="n"/>
      <c r="M687" s="72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H688" s="69" t="n"/>
      <c r="J688" s="69" t="n"/>
      <c r="K688" s="69" t="n"/>
      <c r="L688" s="69" t="n"/>
      <c r="M688" s="72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H689" s="69" t="n"/>
      <c r="J689" s="69" t="n"/>
      <c r="K689" s="69" t="n"/>
      <c r="L689" s="69" t="n"/>
      <c r="M689" s="72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H690" s="69" t="n"/>
      <c r="J690" s="69" t="n"/>
      <c r="K690" s="69" t="n"/>
      <c r="L690" s="69" t="n"/>
      <c r="M690" s="72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H691" s="69" t="n"/>
      <c r="J691" s="69" t="n"/>
      <c r="K691" s="69" t="n"/>
      <c r="L691" s="69" t="n"/>
      <c r="M691" s="72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H692" s="69" t="n"/>
      <c r="J692" s="69" t="n"/>
      <c r="K692" s="69" t="n"/>
      <c r="L692" s="69" t="n"/>
      <c r="M692" s="72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H693" s="69" t="n"/>
      <c r="J693" s="69" t="n"/>
      <c r="K693" s="69" t="n"/>
      <c r="L693" s="69" t="n"/>
      <c r="M693" s="72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H694" s="69" t="n"/>
      <c r="J694" s="69" t="n"/>
      <c r="K694" s="69" t="n"/>
      <c r="L694" s="69" t="n"/>
      <c r="M694" s="72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H695" s="69" t="n"/>
      <c r="J695" s="69" t="n"/>
      <c r="K695" s="69" t="n"/>
      <c r="L695" s="69" t="n"/>
      <c r="M695" s="72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H696" s="69" t="n"/>
      <c r="J696" s="69" t="n"/>
      <c r="K696" s="69" t="n"/>
      <c r="L696" s="69" t="n"/>
      <c r="M696" s="72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H697" s="69" t="n"/>
      <c r="J697" s="69" t="n"/>
      <c r="K697" s="69" t="n"/>
      <c r="L697" s="69" t="n"/>
      <c r="M697" s="72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H698" s="69" t="n"/>
      <c r="J698" s="69" t="n"/>
      <c r="K698" s="69" t="n"/>
      <c r="L698" s="69" t="n"/>
      <c r="M698" s="72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H699" s="69" t="n"/>
      <c r="J699" s="69" t="n"/>
      <c r="K699" s="69" t="n"/>
      <c r="L699" s="69" t="n"/>
      <c r="M699" s="72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H700" s="69" t="n"/>
      <c r="J700" s="69" t="n"/>
      <c r="K700" s="69" t="n"/>
      <c r="L700" s="69" t="n"/>
      <c r="M700" s="72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H701" s="69" t="n"/>
      <c r="J701" s="69" t="n"/>
      <c r="K701" s="69" t="n"/>
      <c r="L701" s="69" t="n"/>
      <c r="M701" s="72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H702" s="69" t="n"/>
      <c r="J702" s="69" t="n"/>
      <c r="K702" s="69" t="n"/>
      <c r="L702" s="69" t="n"/>
      <c r="M702" s="72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H703" s="69" t="n"/>
      <c r="J703" s="69" t="n"/>
      <c r="K703" s="69" t="n"/>
      <c r="L703" s="69" t="n"/>
      <c r="M703" s="72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H704" s="69" t="n"/>
      <c r="J704" s="69" t="n"/>
      <c r="K704" s="69" t="n"/>
      <c r="L704" s="69" t="n"/>
      <c r="M704" s="72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H705" s="69" t="n"/>
      <c r="J705" s="69" t="n"/>
      <c r="K705" s="69" t="n"/>
      <c r="L705" s="69" t="n"/>
      <c r="M705" s="72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H706" s="69" t="n"/>
      <c r="J706" s="69" t="n"/>
      <c r="K706" s="69" t="n"/>
      <c r="L706" s="69" t="n"/>
      <c r="M706" s="72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H707" s="69" t="n"/>
      <c r="J707" s="69" t="n"/>
      <c r="K707" s="69" t="n"/>
      <c r="L707" s="69" t="n"/>
      <c r="M707" s="72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H708" s="69" t="n"/>
      <c r="J708" s="69" t="n"/>
      <c r="K708" s="69" t="n"/>
      <c r="L708" s="69" t="n"/>
      <c r="M708" s="72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H709" s="69" t="n"/>
      <c r="J709" s="69" t="n"/>
      <c r="K709" s="69" t="n"/>
      <c r="L709" s="69" t="n"/>
      <c r="M709" s="72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H710" s="69" t="n"/>
      <c r="J710" s="69" t="n"/>
      <c r="K710" s="69" t="n"/>
      <c r="L710" s="69" t="n"/>
      <c r="M710" s="72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H711" s="69" t="n"/>
      <c r="J711" s="69" t="n"/>
      <c r="K711" s="69" t="n"/>
      <c r="L711" s="69" t="n"/>
      <c r="M711" s="72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H712" s="69" t="n"/>
      <c r="J712" s="69" t="n"/>
      <c r="K712" s="69" t="n"/>
      <c r="L712" s="69" t="n"/>
      <c r="M712" s="72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H713" s="69" t="n"/>
      <c r="J713" s="69" t="n"/>
      <c r="K713" s="69" t="n"/>
      <c r="L713" s="69" t="n"/>
      <c r="M713" s="72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H714" s="69" t="n"/>
      <c r="J714" s="69" t="n"/>
      <c r="K714" s="69" t="n"/>
      <c r="L714" s="69" t="n"/>
      <c r="M714" s="72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H715" s="69" t="n"/>
      <c r="J715" s="69" t="n"/>
      <c r="K715" s="69" t="n"/>
      <c r="L715" s="69" t="n"/>
      <c r="M715" s="72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H716" s="69" t="n"/>
      <c r="J716" s="69" t="n"/>
      <c r="K716" s="69" t="n"/>
      <c r="L716" s="69" t="n"/>
      <c r="M716" s="72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H717" s="69" t="n"/>
      <c r="J717" s="69" t="n"/>
      <c r="K717" s="69" t="n"/>
      <c r="L717" s="69" t="n"/>
      <c r="M717" s="72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H718" s="69" t="n"/>
      <c r="J718" s="69" t="n"/>
      <c r="K718" s="69" t="n"/>
      <c r="L718" s="69" t="n"/>
      <c r="M718" s="72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H719" s="69" t="n"/>
      <c r="J719" s="69" t="n"/>
      <c r="K719" s="69" t="n"/>
      <c r="L719" s="69" t="n"/>
      <c r="M719" s="72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H720" s="69" t="n"/>
      <c r="J720" s="69" t="n"/>
      <c r="K720" s="69" t="n"/>
      <c r="L720" s="69" t="n"/>
      <c r="M720" s="72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H721" s="69" t="n"/>
      <c r="J721" s="69" t="n"/>
      <c r="K721" s="69" t="n"/>
      <c r="L721" s="69" t="n"/>
      <c r="M721" s="72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H722" s="69" t="n"/>
      <c r="J722" s="69" t="n"/>
      <c r="K722" s="69" t="n"/>
      <c r="L722" s="69" t="n"/>
      <c r="M722" s="72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H723" s="69" t="n"/>
      <c r="J723" s="69" t="n"/>
      <c r="K723" s="69" t="n"/>
      <c r="L723" s="69" t="n"/>
      <c r="M723" s="72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H724" s="69" t="n"/>
      <c r="J724" s="69" t="n"/>
      <c r="K724" s="69" t="n"/>
      <c r="L724" s="69" t="n"/>
      <c r="M724" s="72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H725" s="69" t="n"/>
      <c r="J725" s="69" t="n"/>
      <c r="K725" s="69" t="n"/>
      <c r="L725" s="69" t="n"/>
      <c r="M725" s="72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H726" s="69" t="n"/>
      <c r="J726" s="69" t="n"/>
      <c r="K726" s="69" t="n"/>
      <c r="L726" s="69" t="n"/>
      <c r="M726" s="72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H727" s="69" t="n"/>
      <c r="J727" s="69" t="n"/>
      <c r="K727" s="69" t="n"/>
      <c r="L727" s="69" t="n"/>
      <c r="M727" s="72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H728" s="69" t="n"/>
      <c r="J728" s="69" t="n"/>
      <c r="K728" s="69" t="n"/>
      <c r="L728" s="69" t="n"/>
      <c r="M728" s="72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H729" s="69" t="n"/>
      <c r="J729" s="69" t="n"/>
      <c r="K729" s="69" t="n"/>
      <c r="L729" s="69" t="n"/>
      <c r="M729" s="72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H730" s="69" t="n"/>
      <c r="J730" s="69" t="n"/>
      <c r="K730" s="69" t="n"/>
      <c r="L730" s="69" t="n"/>
      <c r="M730" s="72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H731" s="69" t="n"/>
      <c r="J731" s="69" t="n"/>
      <c r="K731" s="69" t="n"/>
      <c r="L731" s="69" t="n"/>
      <c r="M731" s="72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H732" s="69" t="n"/>
      <c r="J732" s="69" t="n"/>
      <c r="K732" s="69" t="n"/>
      <c r="L732" s="69" t="n"/>
      <c r="M732" s="72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H733" s="69" t="n"/>
      <c r="J733" s="69" t="n"/>
      <c r="K733" s="69" t="n"/>
      <c r="L733" s="69" t="n"/>
      <c r="M733" s="72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H734" s="69" t="n"/>
      <c r="J734" s="69" t="n"/>
      <c r="K734" s="69" t="n"/>
      <c r="L734" s="69" t="n"/>
      <c r="M734" s="72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H735" s="69" t="n"/>
      <c r="J735" s="69" t="n"/>
      <c r="K735" s="69" t="n"/>
      <c r="L735" s="69" t="n"/>
      <c r="M735" s="72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H736" s="69" t="n"/>
      <c r="J736" s="69" t="n"/>
      <c r="K736" s="69" t="n"/>
      <c r="L736" s="69" t="n"/>
      <c r="M736" s="72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H737" s="69" t="n"/>
      <c r="J737" s="69" t="n"/>
      <c r="K737" s="69" t="n"/>
      <c r="L737" s="69" t="n"/>
      <c r="M737" s="72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H738" s="69" t="n"/>
      <c r="J738" s="69" t="n"/>
      <c r="K738" s="69" t="n"/>
      <c r="L738" s="69" t="n"/>
      <c r="M738" s="72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H739" s="69" t="n"/>
      <c r="J739" s="69" t="n"/>
      <c r="K739" s="69" t="n"/>
      <c r="L739" s="69" t="n"/>
      <c r="M739" s="72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H740" s="69" t="n"/>
      <c r="J740" s="69" t="n"/>
      <c r="K740" s="69" t="n"/>
      <c r="L740" s="69" t="n"/>
      <c r="M740" s="72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H741" s="69" t="n"/>
      <c r="J741" s="69" t="n"/>
      <c r="K741" s="69" t="n"/>
      <c r="L741" s="69" t="n"/>
      <c r="M741" s="72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H742" s="69" t="n"/>
      <c r="J742" s="69" t="n"/>
      <c r="K742" s="69" t="n"/>
      <c r="L742" s="69" t="n"/>
      <c r="M742" s="72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H743" s="69" t="n"/>
      <c r="J743" s="69" t="n"/>
      <c r="K743" s="69" t="n"/>
      <c r="L743" s="69" t="n"/>
      <c r="M743" s="72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H744" s="69" t="n"/>
      <c r="J744" s="69" t="n"/>
      <c r="K744" s="69" t="n"/>
      <c r="L744" s="69" t="n"/>
      <c r="M744" s="72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H745" s="69" t="n"/>
      <c r="J745" s="69" t="n"/>
      <c r="K745" s="69" t="n"/>
      <c r="L745" s="69" t="n"/>
      <c r="M745" s="72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H746" s="69" t="n"/>
      <c r="J746" s="69" t="n"/>
      <c r="K746" s="69" t="n"/>
      <c r="L746" s="69" t="n"/>
      <c r="M746" s="72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H747" s="69" t="n"/>
      <c r="J747" s="69" t="n"/>
      <c r="K747" s="69" t="n"/>
      <c r="L747" s="69" t="n"/>
      <c r="M747" s="72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H748" s="69" t="n"/>
      <c r="J748" s="69" t="n"/>
      <c r="K748" s="69" t="n"/>
      <c r="L748" s="69" t="n"/>
      <c r="M748" s="72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H749" s="69" t="n"/>
      <c r="J749" s="69" t="n"/>
      <c r="K749" s="69" t="n"/>
      <c r="L749" s="69" t="n"/>
      <c r="M749" s="72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H750" s="69" t="n"/>
      <c r="J750" s="69" t="n"/>
      <c r="K750" s="69" t="n"/>
      <c r="L750" s="69" t="n"/>
      <c r="M750" s="72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H751" s="69" t="n"/>
      <c r="J751" s="69" t="n"/>
      <c r="K751" s="69" t="n"/>
      <c r="L751" s="69" t="n"/>
      <c r="M751" s="72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H752" s="69" t="n"/>
      <c r="J752" s="69" t="n"/>
      <c r="K752" s="69" t="n"/>
      <c r="L752" s="69" t="n"/>
      <c r="M752" s="72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H753" s="69" t="n"/>
      <c r="J753" s="69" t="n"/>
      <c r="K753" s="69" t="n"/>
      <c r="L753" s="69" t="n"/>
      <c r="M753" s="72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H754" s="69" t="n"/>
      <c r="J754" s="69" t="n"/>
      <c r="K754" s="69" t="n"/>
      <c r="L754" s="69" t="n"/>
      <c r="M754" s="72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H755" s="69" t="n"/>
      <c r="J755" s="69" t="n"/>
      <c r="K755" s="69" t="n"/>
      <c r="L755" s="69" t="n"/>
      <c r="M755" s="72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H756" s="69" t="n"/>
      <c r="J756" s="69" t="n"/>
      <c r="K756" s="69" t="n"/>
      <c r="L756" s="69" t="n"/>
      <c r="M756" s="72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H757" s="69" t="n"/>
      <c r="J757" s="69" t="n"/>
      <c r="K757" s="69" t="n"/>
      <c r="L757" s="69" t="n"/>
      <c r="M757" s="72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H758" s="69" t="n"/>
      <c r="J758" s="69" t="n"/>
      <c r="K758" s="69" t="n"/>
      <c r="L758" s="69" t="n"/>
      <c r="M758" s="72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H759" s="69" t="n"/>
      <c r="J759" s="69" t="n"/>
      <c r="K759" s="69" t="n"/>
      <c r="L759" s="69" t="n"/>
      <c r="M759" s="72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H760" s="69" t="n"/>
      <c r="J760" s="69" t="n"/>
      <c r="K760" s="69" t="n"/>
      <c r="L760" s="69" t="n"/>
      <c r="M760" s="72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H761" s="69" t="n"/>
      <c r="J761" s="69" t="n"/>
      <c r="K761" s="69" t="n"/>
      <c r="L761" s="69" t="n"/>
      <c r="M761" s="72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H762" s="69" t="n"/>
      <c r="J762" s="69" t="n"/>
      <c r="K762" s="69" t="n"/>
      <c r="L762" s="69" t="n"/>
      <c r="M762" s="72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H763" s="69" t="n"/>
      <c r="J763" s="69" t="n"/>
      <c r="K763" s="69" t="n"/>
      <c r="L763" s="69" t="n"/>
      <c r="M763" s="72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H764" s="69" t="n"/>
      <c r="J764" s="69" t="n"/>
      <c r="K764" s="69" t="n"/>
      <c r="L764" s="69" t="n"/>
      <c r="M764" s="72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H765" s="69" t="n"/>
      <c r="J765" s="69" t="n"/>
      <c r="K765" s="69" t="n"/>
      <c r="L765" s="69" t="n"/>
      <c r="M765" s="72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H766" s="69" t="n"/>
      <c r="J766" s="69" t="n"/>
      <c r="K766" s="69" t="n"/>
      <c r="L766" s="69" t="n"/>
      <c r="M766" s="72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H767" s="69" t="n"/>
      <c r="J767" s="69" t="n"/>
      <c r="K767" s="69" t="n"/>
      <c r="L767" s="69" t="n"/>
      <c r="M767" s="72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H768" s="69" t="n"/>
      <c r="J768" s="69" t="n"/>
      <c r="K768" s="69" t="n"/>
      <c r="L768" s="69" t="n"/>
      <c r="M768" s="72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H769" s="69" t="n"/>
      <c r="J769" s="69" t="n"/>
      <c r="K769" s="69" t="n"/>
      <c r="L769" s="69" t="n"/>
      <c r="M769" s="72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H770" s="69" t="n"/>
      <c r="J770" s="69" t="n"/>
      <c r="K770" s="69" t="n"/>
      <c r="L770" s="69" t="n"/>
      <c r="M770" s="72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H771" s="69" t="n"/>
      <c r="J771" s="69" t="n"/>
      <c r="K771" s="69" t="n"/>
      <c r="L771" s="69" t="n"/>
      <c r="M771" s="72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H772" s="69" t="n"/>
      <c r="J772" s="69" t="n"/>
      <c r="K772" s="69" t="n"/>
      <c r="L772" s="69" t="n"/>
      <c r="M772" s="72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H773" s="69" t="n"/>
      <c r="J773" s="69" t="n"/>
      <c r="K773" s="69" t="n"/>
      <c r="L773" s="69" t="n"/>
      <c r="M773" s="72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H774" s="69" t="n"/>
      <c r="J774" s="69" t="n"/>
      <c r="K774" s="69" t="n"/>
      <c r="L774" s="69" t="n"/>
      <c r="M774" s="72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H775" s="69" t="n"/>
      <c r="J775" s="69" t="n"/>
      <c r="K775" s="69" t="n"/>
      <c r="L775" s="69" t="n"/>
      <c r="M775" s="72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H776" s="69" t="n"/>
      <c r="J776" s="69" t="n"/>
      <c r="K776" s="69" t="n"/>
      <c r="L776" s="69" t="n"/>
      <c r="M776" s="72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H777" s="69" t="n"/>
      <c r="J777" s="69" t="n"/>
      <c r="K777" s="69" t="n"/>
      <c r="L777" s="69" t="n"/>
      <c r="M777" s="72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H778" s="69" t="n"/>
      <c r="J778" s="69" t="n"/>
      <c r="K778" s="69" t="n"/>
      <c r="L778" s="69" t="n"/>
      <c r="M778" s="72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H779" s="69" t="n"/>
      <c r="J779" s="69" t="n"/>
      <c r="K779" s="69" t="n"/>
      <c r="L779" s="69" t="n"/>
      <c r="M779" s="72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H780" s="69" t="n"/>
      <c r="J780" s="69" t="n"/>
      <c r="K780" s="69" t="n"/>
      <c r="L780" s="69" t="n"/>
      <c r="M780" s="72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H781" s="69" t="n"/>
      <c r="J781" s="69" t="n"/>
      <c r="K781" s="69" t="n"/>
      <c r="L781" s="69" t="n"/>
      <c r="M781" s="72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H782" s="69" t="n"/>
      <c r="J782" s="69" t="n"/>
      <c r="K782" s="69" t="n"/>
      <c r="L782" s="69" t="n"/>
      <c r="M782" s="72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H783" s="69" t="n"/>
      <c r="J783" s="69" t="n"/>
      <c r="K783" s="69" t="n"/>
      <c r="L783" s="69" t="n"/>
      <c r="M783" s="72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H784" s="69" t="n"/>
      <c r="J784" s="69" t="n"/>
      <c r="K784" s="69" t="n"/>
      <c r="L784" s="69" t="n"/>
      <c r="M784" s="72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H785" s="69" t="n"/>
      <c r="J785" s="69" t="n"/>
      <c r="K785" s="69" t="n"/>
      <c r="L785" s="69" t="n"/>
      <c r="M785" s="72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H786" s="69" t="n"/>
      <c r="J786" s="69" t="n"/>
      <c r="K786" s="69" t="n"/>
      <c r="L786" s="69" t="n"/>
      <c r="M786" s="72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H787" s="69" t="n"/>
      <c r="J787" s="69" t="n"/>
      <c r="K787" s="69" t="n"/>
      <c r="L787" s="69" t="n"/>
      <c r="M787" s="72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H788" s="69" t="n"/>
      <c r="J788" s="69" t="n"/>
      <c r="K788" s="69" t="n"/>
      <c r="L788" s="69" t="n"/>
      <c r="M788" s="72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H789" s="69" t="n"/>
      <c r="J789" s="69" t="n"/>
      <c r="K789" s="69" t="n"/>
      <c r="L789" s="69" t="n"/>
      <c r="M789" s="72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H790" s="69" t="n"/>
      <c r="J790" s="69" t="n"/>
      <c r="K790" s="69" t="n"/>
      <c r="L790" s="69" t="n"/>
      <c r="M790" s="72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H791" s="69" t="n"/>
      <c r="J791" s="69" t="n"/>
      <c r="K791" s="69" t="n"/>
      <c r="L791" s="69" t="n"/>
      <c r="M791" s="72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H792" s="69" t="n"/>
      <c r="J792" s="69" t="n"/>
      <c r="K792" s="69" t="n"/>
      <c r="L792" s="69" t="n"/>
      <c r="M792" s="72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H793" s="69" t="n"/>
      <c r="J793" s="69" t="n"/>
      <c r="K793" s="69" t="n"/>
      <c r="L793" s="69" t="n"/>
      <c r="M793" s="72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H794" s="69" t="n"/>
      <c r="J794" s="69" t="n"/>
      <c r="K794" s="69" t="n"/>
      <c r="L794" s="69" t="n"/>
      <c r="M794" s="72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H795" s="69" t="n"/>
      <c r="J795" s="69" t="n"/>
      <c r="K795" s="69" t="n"/>
      <c r="L795" s="69" t="n"/>
      <c r="M795" s="72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H796" s="69" t="n"/>
      <c r="J796" s="69" t="n"/>
      <c r="K796" s="69" t="n"/>
      <c r="L796" s="69" t="n"/>
      <c r="M796" s="72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H797" s="69" t="n"/>
      <c r="J797" s="69" t="n"/>
      <c r="K797" s="69" t="n"/>
      <c r="L797" s="69" t="n"/>
      <c r="M797" s="72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H798" s="69" t="n"/>
      <c r="J798" s="69" t="n"/>
      <c r="K798" s="69" t="n"/>
      <c r="L798" s="69" t="n"/>
      <c r="M798" s="72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H799" s="69" t="n"/>
      <c r="J799" s="69" t="n"/>
      <c r="K799" s="69" t="n"/>
      <c r="L799" s="69" t="n"/>
      <c r="M799" s="72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H800" s="69" t="n"/>
      <c r="J800" s="69" t="n"/>
      <c r="K800" s="69" t="n"/>
      <c r="L800" s="69" t="n"/>
      <c r="M800" s="72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H801" s="69" t="n"/>
      <c r="J801" s="69" t="n"/>
      <c r="K801" s="69" t="n"/>
      <c r="L801" s="69" t="n"/>
      <c r="M801" s="72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H802" s="69" t="n"/>
      <c r="J802" s="69" t="n"/>
      <c r="K802" s="69" t="n"/>
      <c r="L802" s="69" t="n"/>
      <c r="M802" s="72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H803" s="69" t="n"/>
      <c r="J803" s="69" t="n"/>
      <c r="K803" s="69" t="n"/>
      <c r="L803" s="69" t="n"/>
      <c r="M803" s="72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H804" s="69" t="n"/>
      <c r="J804" s="69" t="n"/>
      <c r="K804" s="69" t="n"/>
      <c r="L804" s="69" t="n"/>
      <c r="M804" s="72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H805" s="69" t="n"/>
      <c r="J805" s="69" t="n"/>
      <c r="K805" s="69" t="n"/>
      <c r="L805" s="69" t="n"/>
      <c r="M805" s="72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H806" s="69" t="n"/>
      <c r="J806" s="69" t="n"/>
      <c r="K806" s="69" t="n"/>
      <c r="L806" s="69" t="n"/>
      <c r="M806" s="72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H807" s="69" t="n"/>
      <c r="J807" s="69" t="n"/>
      <c r="K807" s="69" t="n"/>
      <c r="L807" s="69" t="n"/>
      <c r="M807" s="72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H808" s="69" t="n"/>
      <c r="J808" s="69" t="n"/>
      <c r="K808" s="69" t="n"/>
      <c r="L808" s="69" t="n"/>
      <c r="M808" s="72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H809" s="69" t="n"/>
      <c r="J809" s="69" t="n"/>
      <c r="K809" s="69" t="n"/>
      <c r="L809" s="69" t="n"/>
      <c r="M809" s="72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H810" s="69" t="n"/>
      <c r="J810" s="69" t="n"/>
      <c r="K810" s="69" t="n"/>
      <c r="L810" s="69" t="n"/>
      <c r="M810" s="72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H811" s="69" t="n"/>
      <c r="J811" s="69" t="n"/>
      <c r="K811" s="69" t="n"/>
      <c r="L811" s="69" t="n"/>
      <c r="M811" s="72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H812" s="69" t="n"/>
      <c r="J812" s="69" t="n"/>
      <c r="K812" s="69" t="n"/>
      <c r="L812" s="69" t="n"/>
      <c r="M812" s="72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H813" s="69" t="n"/>
      <c r="J813" s="69" t="n"/>
      <c r="K813" s="69" t="n"/>
      <c r="L813" s="69" t="n"/>
      <c r="M813" s="72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H814" s="69" t="n"/>
      <c r="J814" s="69" t="n"/>
      <c r="K814" s="69" t="n"/>
      <c r="L814" s="69" t="n"/>
      <c r="M814" s="72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H815" s="69" t="n"/>
      <c r="J815" s="69" t="n"/>
      <c r="K815" s="69" t="n"/>
      <c r="L815" s="69" t="n"/>
      <c r="M815" s="72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H816" s="69" t="n"/>
      <c r="J816" s="69" t="n"/>
      <c r="K816" s="69" t="n"/>
      <c r="L816" s="69" t="n"/>
      <c r="M816" s="72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H817" s="69" t="n"/>
      <c r="J817" s="69" t="n"/>
      <c r="K817" s="69" t="n"/>
      <c r="L817" s="69" t="n"/>
      <c r="M817" s="72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H818" s="69" t="n"/>
      <c r="J818" s="69" t="n"/>
      <c r="K818" s="69" t="n"/>
      <c r="L818" s="69" t="n"/>
      <c r="M818" s="72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H819" s="69" t="n"/>
      <c r="J819" s="69" t="n"/>
      <c r="K819" s="69" t="n"/>
      <c r="L819" s="69" t="n"/>
      <c r="M819" s="72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H820" s="69" t="n"/>
      <c r="J820" s="69" t="n"/>
      <c r="K820" s="69" t="n"/>
      <c r="L820" s="69" t="n"/>
      <c r="M820" s="72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H821" s="69" t="n"/>
      <c r="J821" s="69" t="n"/>
      <c r="K821" s="69" t="n"/>
      <c r="L821" s="69" t="n"/>
      <c r="M821" s="72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H822" s="69" t="n"/>
      <c r="J822" s="69" t="n"/>
      <c r="K822" s="69" t="n"/>
      <c r="L822" s="69" t="n"/>
      <c r="M822" s="72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H823" s="69" t="n"/>
      <c r="J823" s="69" t="n"/>
      <c r="K823" s="69" t="n"/>
      <c r="L823" s="69" t="n"/>
      <c r="M823" s="72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H824" s="69" t="n"/>
      <c r="J824" s="69" t="n"/>
      <c r="K824" s="69" t="n"/>
      <c r="L824" s="69" t="n"/>
      <c r="M824" s="72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H825" s="69" t="n"/>
      <c r="J825" s="69" t="n"/>
      <c r="K825" s="69" t="n"/>
      <c r="L825" s="69" t="n"/>
      <c r="M825" s="72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H826" s="69" t="n"/>
      <c r="J826" s="69" t="n"/>
      <c r="K826" s="69" t="n"/>
      <c r="L826" s="69" t="n"/>
      <c r="M826" s="72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H827" s="69" t="n"/>
      <c r="J827" s="69" t="n"/>
      <c r="K827" s="69" t="n"/>
      <c r="L827" s="69" t="n"/>
      <c r="M827" s="72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H828" s="69" t="n"/>
      <c r="J828" s="69" t="n"/>
      <c r="K828" s="69" t="n"/>
      <c r="L828" s="69" t="n"/>
      <c r="M828" s="72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H829" s="69" t="n"/>
      <c r="J829" s="69" t="n"/>
      <c r="K829" s="69" t="n"/>
      <c r="L829" s="69" t="n"/>
      <c r="M829" s="72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H830" s="69" t="n"/>
      <c r="J830" s="69" t="n"/>
      <c r="K830" s="69" t="n"/>
      <c r="L830" s="69" t="n"/>
      <c r="M830" s="72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H831" s="69" t="n"/>
      <c r="J831" s="69" t="n"/>
      <c r="K831" s="69" t="n"/>
      <c r="L831" s="69" t="n"/>
      <c r="M831" s="72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H832" s="69" t="n"/>
      <c r="J832" s="69" t="n"/>
      <c r="K832" s="69" t="n"/>
      <c r="L832" s="69" t="n"/>
      <c r="M832" s="72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H833" s="69" t="n"/>
      <c r="J833" s="69" t="n"/>
      <c r="K833" s="69" t="n"/>
      <c r="L833" s="69" t="n"/>
      <c r="M833" s="72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H834" s="69" t="n"/>
      <c r="J834" s="69" t="n"/>
      <c r="K834" s="69" t="n"/>
      <c r="L834" s="69" t="n"/>
      <c r="M834" s="72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H835" s="69" t="n"/>
      <c r="J835" s="69" t="n"/>
      <c r="K835" s="69" t="n"/>
      <c r="L835" s="69" t="n"/>
      <c r="M835" s="72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H836" s="69" t="n"/>
      <c r="J836" s="69" t="n"/>
      <c r="K836" s="69" t="n"/>
      <c r="L836" s="69" t="n"/>
      <c r="M836" s="72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H837" s="69" t="n"/>
      <c r="J837" s="69" t="n"/>
      <c r="K837" s="69" t="n"/>
      <c r="L837" s="69" t="n"/>
      <c r="M837" s="72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H838" s="69" t="n"/>
      <c r="J838" s="69" t="n"/>
      <c r="K838" s="69" t="n"/>
      <c r="L838" s="69" t="n"/>
      <c r="M838" s="72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H839" s="69" t="n"/>
      <c r="J839" s="69" t="n"/>
      <c r="K839" s="69" t="n"/>
      <c r="L839" s="69" t="n"/>
      <c r="M839" s="72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H840" s="69" t="n"/>
      <c r="J840" s="69" t="n"/>
      <c r="K840" s="69" t="n"/>
      <c r="L840" s="69" t="n"/>
      <c r="M840" s="72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H841" s="69" t="n"/>
      <c r="J841" s="69" t="n"/>
      <c r="K841" s="69" t="n"/>
      <c r="L841" s="69" t="n"/>
      <c r="M841" s="72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H842" s="69" t="n"/>
      <c r="J842" s="69" t="n"/>
      <c r="K842" s="69" t="n"/>
      <c r="L842" s="69" t="n"/>
      <c r="M842" s="72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H843" s="69" t="n"/>
      <c r="J843" s="69" t="n"/>
      <c r="K843" s="69" t="n"/>
      <c r="L843" s="69" t="n"/>
      <c r="M843" s="72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H844" s="69" t="n"/>
      <c r="J844" s="69" t="n"/>
      <c r="K844" s="69" t="n"/>
      <c r="L844" s="69" t="n"/>
      <c r="M844" s="72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H845" s="69" t="n"/>
      <c r="J845" s="69" t="n"/>
      <c r="K845" s="69" t="n"/>
      <c r="L845" s="69" t="n"/>
      <c r="M845" s="72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H846" s="69" t="n"/>
      <c r="J846" s="69" t="n"/>
      <c r="K846" s="69" t="n"/>
      <c r="L846" s="69" t="n"/>
      <c r="M846" s="72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H847" s="69" t="n"/>
      <c r="J847" s="69" t="n"/>
      <c r="K847" s="69" t="n"/>
      <c r="L847" s="69" t="n"/>
      <c r="M847" s="72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H848" s="69" t="n"/>
      <c r="J848" s="69" t="n"/>
      <c r="K848" s="69" t="n"/>
      <c r="L848" s="69" t="n"/>
      <c r="M848" s="72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H849" s="69" t="n"/>
      <c r="J849" s="69" t="n"/>
      <c r="K849" s="69" t="n"/>
      <c r="L849" s="69" t="n"/>
      <c r="M849" s="72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H850" s="69" t="n"/>
      <c r="J850" s="69" t="n"/>
      <c r="K850" s="69" t="n"/>
      <c r="L850" s="69" t="n"/>
      <c r="M850" s="72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H851" s="69" t="n"/>
      <c r="J851" s="69" t="n"/>
      <c r="K851" s="69" t="n"/>
      <c r="L851" s="69" t="n"/>
      <c r="M851" s="72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H852" s="69" t="n"/>
      <c r="J852" s="69" t="n"/>
      <c r="K852" s="69" t="n"/>
      <c r="L852" s="69" t="n"/>
      <c r="M852" s="72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H853" s="69" t="n"/>
      <c r="J853" s="69" t="n"/>
      <c r="K853" s="69" t="n"/>
      <c r="L853" s="69" t="n"/>
      <c r="M853" s="72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H854" s="69" t="n"/>
      <c r="J854" s="69" t="n"/>
      <c r="K854" s="69" t="n"/>
      <c r="L854" s="69" t="n"/>
      <c r="M854" s="72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H855" s="69" t="n"/>
      <c r="J855" s="69" t="n"/>
      <c r="K855" s="69" t="n"/>
      <c r="L855" s="69" t="n"/>
      <c r="M855" s="72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H856" s="69" t="n"/>
      <c r="J856" s="69" t="n"/>
      <c r="K856" s="69" t="n"/>
      <c r="L856" s="69" t="n"/>
      <c r="M856" s="72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H857" s="69" t="n"/>
      <c r="J857" s="69" t="n"/>
      <c r="K857" s="69" t="n"/>
      <c r="L857" s="69" t="n"/>
      <c r="M857" s="72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H858" s="69" t="n"/>
      <c r="J858" s="69" t="n"/>
      <c r="K858" s="69" t="n"/>
      <c r="L858" s="69" t="n"/>
      <c r="M858" s="72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H859" s="69" t="n"/>
      <c r="J859" s="69" t="n"/>
      <c r="K859" s="69" t="n"/>
      <c r="L859" s="69" t="n"/>
      <c r="M859" s="72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H860" s="69" t="n"/>
      <c r="J860" s="69" t="n"/>
      <c r="K860" s="69" t="n"/>
      <c r="L860" s="69" t="n"/>
      <c r="M860" s="72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H861" s="69" t="n"/>
      <c r="J861" s="69" t="n"/>
      <c r="K861" s="69" t="n"/>
      <c r="L861" s="69" t="n"/>
      <c r="M861" s="72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H862" s="69" t="n"/>
      <c r="J862" s="69" t="n"/>
      <c r="K862" s="69" t="n"/>
      <c r="L862" s="69" t="n"/>
      <c r="M862" s="72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H863" s="69" t="n"/>
      <c r="J863" s="69" t="n"/>
      <c r="K863" s="69" t="n"/>
      <c r="L863" s="69" t="n"/>
      <c r="M863" s="72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H864" s="69" t="n"/>
      <c r="J864" s="69" t="n"/>
      <c r="K864" s="69" t="n"/>
      <c r="L864" s="69" t="n"/>
      <c r="M864" s="72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H865" s="69" t="n"/>
      <c r="J865" s="69" t="n"/>
      <c r="K865" s="69" t="n"/>
      <c r="L865" s="69" t="n"/>
      <c r="M865" s="72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H866" s="69" t="n"/>
      <c r="J866" s="69" t="n"/>
      <c r="K866" s="69" t="n"/>
      <c r="L866" s="69" t="n"/>
      <c r="M866" s="72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H867" s="69" t="n"/>
      <c r="J867" s="69" t="n"/>
      <c r="K867" s="69" t="n"/>
      <c r="L867" s="69" t="n"/>
      <c r="M867" s="72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H868" s="69" t="n"/>
      <c r="J868" s="69" t="n"/>
      <c r="K868" s="69" t="n"/>
      <c r="L868" s="69" t="n"/>
      <c r="M868" s="72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H869" s="69" t="n"/>
      <c r="J869" s="69" t="n"/>
      <c r="K869" s="69" t="n"/>
      <c r="L869" s="69" t="n"/>
      <c r="M869" s="72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H870" s="69" t="n"/>
      <c r="J870" s="69" t="n"/>
      <c r="K870" s="69" t="n"/>
      <c r="L870" s="69" t="n"/>
      <c r="M870" s="72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H871" s="69" t="n"/>
      <c r="J871" s="69" t="n"/>
      <c r="K871" s="69" t="n"/>
      <c r="L871" s="69" t="n"/>
      <c r="M871" s="72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H872" s="69" t="n"/>
      <c r="J872" s="69" t="n"/>
      <c r="K872" s="69" t="n"/>
      <c r="L872" s="69" t="n"/>
      <c r="M872" s="72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H873" s="69" t="n"/>
      <c r="J873" s="69" t="n"/>
      <c r="K873" s="69" t="n"/>
      <c r="L873" s="69" t="n"/>
      <c r="M873" s="72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H874" s="69" t="n"/>
      <c r="J874" s="69" t="n"/>
      <c r="K874" s="69" t="n"/>
      <c r="L874" s="69" t="n"/>
      <c r="M874" s="72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H875" s="69" t="n"/>
      <c r="J875" s="69" t="n"/>
      <c r="K875" s="69" t="n"/>
      <c r="L875" s="69" t="n"/>
      <c r="M875" s="72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H876" s="69" t="n"/>
      <c r="J876" s="69" t="n"/>
      <c r="K876" s="69" t="n"/>
      <c r="L876" s="69" t="n"/>
      <c r="M876" s="72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H877" s="69" t="n"/>
      <c r="J877" s="69" t="n"/>
      <c r="K877" s="69" t="n"/>
      <c r="L877" s="69" t="n"/>
      <c r="M877" s="72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H878" s="69" t="n"/>
      <c r="J878" s="69" t="n"/>
      <c r="K878" s="69" t="n"/>
      <c r="L878" s="69" t="n"/>
      <c r="M878" s="72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H879" s="69" t="n"/>
      <c r="J879" s="69" t="n"/>
      <c r="K879" s="69" t="n"/>
      <c r="L879" s="69" t="n"/>
      <c r="M879" s="72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H880" s="69" t="n"/>
      <c r="J880" s="69" t="n"/>
      <c r="K880" s="69" t="n"/>
      <c r="L880" s="69" t="n"/>
      <c r="M880" s="72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H881" s="69" t="n"/>
      <c r="J881" s="69" t="n"/>
      <c r="K881" s="69" t="n"/>
      <c r="L881" s="69" t="n"/>
      <c r="M881" s="72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H882" s="69" t="n"/>
      <c r="J882" s="69" t="n"/>
      <c r="K882" s="69" t="n"/>
      <c r="L882" s="69" t="n"/>
      <c r="M882" s="72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H883" s="69" t="n"/>
      <c r="J883" s="69" t="n"/>
      <c r="K883" s="69" t="n"/>
      <c r="L883" s="69" t="n"/>
      <c r="M883" s="72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H884" s="69" t="n"/>
      <c r="J884" s="69" t="n"/>
      <c r="K884" s="69" t="n"/>
      <c r="L884" s="69" t="n"/>
      <c r="M884" s="72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H885" s="69" t="n"/>
      <c r="J885" s="69" t="n"/>
      <c r="K885" s="69" t="n"/>
      <c r="L885" s="69" t="n"/>
      <c r="M885" s="72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H886" s="69" t="n"/>
      <c r="J886" s="69" t="n"/>
      <c r="K886" s="69" t="n"/>
      <c r="L886" s="69" t="n"/>
      <c r="M886" s="72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H887" s="69" t="n"/>
      <c r="J887" s="69" t="n"/>
      <c r="K887" s="69" t="n"/>
      <c r="L887" s="69" t="n"/>
      <c r="M887" s="72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H888" s="69" t="n"/>
      <c r="J888" s="69" t="n"/>
      <c r="K888" s="69" t="n"/>
      <c r="L888" s="69" t="n"/>
      <c r="M888" s="72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H889" s="69" t="n"/>
      <c r="J889" s="69" t="n"/>
      <c r="K889" s="69" t="n"/>
      <c r="L889" s="69" t="n"/>
      <c r="M889" s="72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H890" s="69" t="n"/>
      <c r="J890" s="69" t="n"/>
      <c r="K890" s="69" t="n"/>
      <c r="L890" s="69" t="n"/>
      <c r="M890" s="72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H891" s="69" t="n"/>
      <c r="J891" s="69" t="n"/>
      <c r="K891" s="69" t="n"/>
      <c r="L891" s="69" t="n"/>
      <c r="M891" s="72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H892" s="69" t="n"/>
      <c r="J892" s="69" t="n"/>
      <c r="K892" s="69" t="n"/>
      <c r="L892" s="69" t="n"/>
      <c r="M892" s="72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H893" s="69" t="n"/>
      <c r="J893" s="69" t="n"/>
      <c r="K893" s="69" t="n"/>
      <c r="L893" s="69" t="n"/>
      <c r="M893" s="72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H894" s="69" t="n"/>
      <c r="J894" s="69" t="n"/>
      <c r="K894" s="69" t="n"/>
      <c r="L894" s="69" t="n"/>
      <c r="M894" s="72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H895" s="69" t="n"/>
      <c r="J895" s="69" t="n"/>
      <c r="K895" s="69" t="n"/>
      <c r="L895" s="69" t="n"/>
      <c r="M895" s="72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H896" s="69" t="n"/>
      <c r="J896" s="69" t="n"/>
      <c r="K896" s="69" t="n"/>
      <c r="L896" s="69" t="n"/>
      <c r="M896" s="72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H897" s="69" t="n"/>
      <c r="J897" s="69" t="n"/>
      <c r="K897" s="69" t="n"/>
      <c r="L897" s="69" t="n"/>
      <c r="M897" s="72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H898" s="69" t="n"/>
      <c r="J898" s="69" t="n"/>
      <c r="K898" s="69" t="n"/>
      <c r="L898" s="69" t="n"/>
      <c r="M898" s="72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H899" s="69" t="n"/>
      <c r="J899" s="69" t="n"/>
      <c r="K899" s="69" t="n"/>
      <c r="L899" s="69" t="n"/>
      <c r="M899" s="72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H900" s="69" t="n"/>
      <c r="J900" s="69" t="n"/>
      <c r="K900" s="69" t="n"/>
      <c r="L900" s="69" t="n"/>
      <c r="M900" s="72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H901" s="69" t="n"/>
      <c r="J901" s="69" t="n"/>
      <c r="K901" s="69" t="n"/>
      <c r="L901" s="69" t="n"/>
      <c r="M901" s="72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H902" s="69" t="n"/>
      <c r="J902" s="69" t="n"/>
      <c r="K902" s="69" t="n"/>
      <c r="L902" s="69" t="n"/>
      <c r="M902" s="72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H903" s="69" t="n"/>
      <c r="J903" s="69" t="n"/>
      <c r="K903" s="69" t="n"/>
      <c r="L903" s="69" t="n"/>
      <c r="M903" s="72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H904" s="69" t="n"/>
      <c r="J904" s="69" t="n"/>
      <c r="K904" s="69" t="n"/>
      <c r="L904" s="69" t="n"/>
      <c r="M904" s="72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H905" s="69" t="n"/>
      <c r="J905" s="69" t="n"/>
      <c r="K905" s="69" t="n"/>
      <c r="L905" s="69" t="n"/>
      <c r="M905" s="72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H906" s="69" t="n"/>
      <c r="J906" s="69" t="n"/>
      <c r="K906" s="69" t="n"/>
      <c r="L906" s="69" t="n"/>
      <c r="M906" s="72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H907" s="69" t="n"/>
      <c r="J907" s="69" t="n"/>
      <c r="K907" s="69" t="n"/>
      <c r="L907" s="69" t="n"/>
      <c r="M907" s="72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H908" s="69" t="n"/>
      <c r="J908" s="69" t="n"/>
      <c r="K908" s="69" t="n"/>
      <c r="L908" s="69" t="n"/>
      <c r="M908" s="72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H909" s="69" t="n"/>
      <c r="J909" s="69" t="n"/>
      <c r="K909" s="69" t="n"/>
      <c r="L909" s="69" t="n"/>
      <c r="M909" s="72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H910" s="69" t="n"/>
      <c r="J910" s="69" t="n"/>
      <c r="K910" s="69" t="n"/>
      <c r="L910" s="69" t="n"/>
      <c r="M910" s="72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H911" s="69" t="n"/>
      <c r="J911" s="69" t="n"/>
      <c r="K911" s="69" t="n"/>
      <c r="L911" s="69" t="n"/>
      <c r="M911" s="72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H912" s="69" t="n"/>
      <c r="J912" s="69" t="n"/>
      <c r="K912" s="69" t="n"/>
      <c r="L912" s="69" t="n"/>
      <c r="M912" s="72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H913" s="69" t="n"/>
      <c r="J913" s="69" t="n"/>
      <c r="K913" s="69" t="n"/>
      <c r="L913" s="69" t="n"/>
      <c r="M913" s="72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H914" s="69" t="n"/>
      <c r="J914" s="69" t="n"/>
      <c r="K914" s="69" t="n"/>
      <c r="L914" s="69" t="n"/>
      <c r="M914" s="72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H915" s="69" t="n"/>
      <c r="J915" s="69" t="n"/>
      <c r="K915" s="69" t="n"/>
      <c r="L915" s="69" t="n"/>
      <c r="M915" s="72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H916" s="69" t="n"/>
      <c r="J916" s="69" t="n"/>
      <c r="K916" s="69" t="n"/>
      <c r="L916" s="69" t="n"/>
      <c r="M916" s="72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H917" s="69" t="n"/>
      <c r="J917" s="69" t="n"/>
      <c r="K917" s="69" t="n"/>
      <c r="L917" s="69" t="n"/>
      <c r="M917" s="72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H918" s="69" t="n"/>
      <c r="J918" s="69" t="n"/>
      <c r="K918" s="69" t="n"/>
      <c r="L918" s="69" t="n"/>
      <c r="M918" s="72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H919" s="69" t="n"/>
      <c r="J919" s="69" t="n"/>
      <c r="K919" s="69" t="n"/>
      <c r="L919" s="69" t="n"/>
      <c r="M919" s="72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H920" s="69" t="n"/>
      <c r="J920" s="69" t="n"/>
      <c r="K920" s="69" t="n"/>
      <c r="L920" s="69" t="n"/>
      <c r="M920" s="72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H921" s="69" t="n"/>
      <c r="J921" s="69" t="n"/>
      <c r="K921" s="69" t="n"/>
      <c r="L921" s="69" t="n"/>
      <c r="M921" s="72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H922" s="69" t="n"/>
      <c r="J922" s="69" t="n"/>
      <c r="K922" s="69" t="n"/>
      <c r="L922" s="69" t="n"/>
      <c r="M922" s="72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H923" s="69" t="n"/>
      <c r="J923" s="69" t="n"/>
      <c r="K923" s="69" t="n"/>
      <c r="L923" s="69" t="n"/>
      <c r="M923" s="72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H924" s="69" t="n"/>
      <c r="J924" s="69" t="n"/>
      <c r="K924" s="69" t="n"/>
      <c r="L924" s="69" t="n"/>
      <c r="M924" s="72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H925" s="69" t="n"/>
      <c r="J925" s="69" t="n"/>
      <c r="K925" s="69" t="n"/>
      <c r="L925" s="69" t="n"/>
      <c r="M925" s="72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H926" s="69" t="n"/>
      <c r="J926" s="69" t="n"/>
      <c r="K926" s="69" t="n"/>
      <c r="L926" s="69" t="n"/>
      <c r="M926" s="72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H927" s="69" t="n"/>
      <c r="J927" s="69" t="n"/>
      <c r="K927" s="69" t="n"/>
      <c r="L927" s="69" t="n"/>
      <c r="M927" s="72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H928" s="69" t="n"/>
      <c r="J928" s="69" t="n"/>
      <c r="K928" s="69" t="n"/>
      <c r="L928" s="69" t="n"/>
      <c r="M928" s="72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H929" s="69" t="n"/>
      <c r="J929" s="69" t="n"/>
      <c r="K929" s="69" t="n"/>
      <c r="L929" s="69" t="n"/>
      <c r="M929" s="72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H930" s="69" t="n"/>
      <c r="J930" s="69" t="n"/>
      <c r="K930" s="69" t="n"/>
      <c r="L930" s="69" t="n"/>
      <c r="M930" s="72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H931" s="69" t="n"/>
      <c r="J931" s="69" t="n"/>
      <c r="K931" s="69" t="n"/>
      <c r="L931" s="69" t="n"/>
      <c r="M931" s="72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H932" s="69" t="n"/>
      <c r="J932" s="69" t="n"/>
      <c r="K932" s="69" t="n"/>
      <c r="L932" s="69" t="n"/>
      <c r="M932" s="72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H933" s="69" t="n"/>
      <c r="J933" s="69" t="n"/>
      <c r="K933" s="69" t="n"/>
      <c r="L933" s="69" t="n"/>
      <c r="M933" s="72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H934" s="69" t="n"/>
      <c r="J934" s="69" t="n"/>
      <c r="K934" s="69" t="n"/>
      <c r="L934" s="69" t="n"/>
      <c r="M934" s="72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H935" s="69" t="n"/>
      <c r="J935" s="69" t="n"/>
      <c r="K935" s="69" t="n"/>
      <c r="L935" s="69" t="n"/>
      <c r="M935" s="72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H936" s="69" t="n"/>
      <c r="J936" s="69" t="n"/>
      <c r="K936" s="69" t="n"/>
      <c r="L936" s="69" t="n"/>
      <c r="M936" s="72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H937" s="69" t="n"/>
      <c r="J937" s="69" t="n"/>
      <c r="K937" s="69" t="n"/>
      <c r="L937" s="69" t="n"/>
      <c r="M937" s="72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H938" s="69" t="n"/>
      <c r="J938" s="69" t="n"/>
      <c r="K938" s="69" t="n"/>
      <c r="L938" s="69" t="n"/>
      <c r="M938" s="72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H939" s="69" t="n"/>
      <c r="J939" s="69" t="n"/>
      <c r="K939" s="69" t="n"/>
      <c r="L939" s="69" t="n"/>
      <c r="M939" s="72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H940" s="69" t="n"/>
      <c r="J940" s="69" t="n"/>
      <c r="K940" s="69" t="n"/>
      <c r="L940" s="69" t="n"/>
      <c r="M940" s="72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H941" s="69" t="n"/>
      <c r="J941" s="69" t="n"/>
      <c r="K941" s="69" t="n"/>
      <c r="L941" s="69" t="n"/>
      <c r="M941" s="72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H942" s="69" t="n"/>
      <c r="J942" s="69" t="n"/>
      <c r="K942" s="69" t="n"/>
      <c r="L942" s="69" t="n"/>
      <c r="M942" s="72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H943" s="69" t="n"/>
      <c r="J943" s="69" t="n"/>
      <c r="K943" s="69" t="n"/>
      <c r="L943" s="69" t="n"/>
      <c r="M943" s="72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H944" s="69" t="n"/>
      <c r="J944" s="69" t="n"/>
      <c r="K944" s="69" t="n"/>
      <c r="L944" s="69" t="n"/>
      <c r="M944" s="72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H945" s="69" t="n"/>
      <c r="J945" s="69" t="n"/>
      <c r="K945" s="69" t="n"/>
      <c r="L945" s="69" t="n"/>
      <c r="M945" s="72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H946" s="69" t="n"/>
      <c r="J946" s="69" t="n"/>
      <c r="K946" s="69" t="n"/>
      <c r="L946" s="69" t="n"/>
      <c r="M946" s="72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H947" s="69" t="n"/>
      <c r="J947" s="69" t="n"/>
      <c r="K947" s="69" t="n"/>
      <c r="L947" s="69" t="n"/>
      <c r="M947" s="72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H948" s="69" t="n"/>
      <c r="J948" s="69" t="n"/>
      <c r="K948" s="69" t="n"/>
      <c r="L948" s="69" t="n"/>
      <c r="M948" s="72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H949" s="69" t="n"/>
      <c r="J949" s="69" t="n"/>
      <c r="K949" s="69" t="n"/>
      <c r="L949" s="69" t="n"/>
      <c r="M949" s="72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H950" s="69" t="n"/>
      <c r="J950" s="69" t="n"/>
      <c r="K950" s="69" t="n"/>
      <c r="L950" s="69" t="n"/>
      <c r="M950" s="72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H951" s="69" t="n"/>
      <c r="J951" s="69" t="n"/>
      <c r="K951" s="69" t="n"/>
      <c r="L951" s="69" t="n"/>
      <c r="M951" s="72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H952" s="69" t="n"/>
      <c r="J952" s="69" t="n"/>
      <c r="K952" s="69" t="n"/>
      <c r="L952" s="69" t="n"/>
      <c r="M952" s="72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H953" s="69" t="n"/>
      <c r="J953" s="69" t="n"/>
      <c r="K953" s="69" t="n"/>
      <c r="L953" s="69" t="n"/>
      <c r="M953" s="72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H954" s="69" t="n"/>
      <c r="J954" s="69" t="n"/>
      <c r="K954" s="69" t="n"/>
      <c r="L954" s="69" t="n"/>
      <c r="M954" s="72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H955" s="69" t="n"/>
      <c r="J955" s="69" t="n"/>
      <c r="K955" s="69" t="n"/>
      <c r="L955" s="69" t="n"/>
      <c r="M955" s="72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H956" s="69" t="n"/>
      <c r="J956" s="69" t="n"/>
      <c r="K956" s="69" t="n"/>
      <c r="L956" s="69" t="n"/>
      <c r="M956" s="72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H957" s="69" t="n"/>
      <c r="J957" s="69" t="n"/>
      <c r="K957" s="69" t="n"/>
      <c r="L957" s="69" t="n"/>
      <c r="M957" s="72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H958" s="69" t="n"/>
      <c r="J958" s="69" t="n"/>
      <c r="K958" s="69" t="n"/>
      <c r="L958" s="69" t="n"/>
      <c r="M958" s="72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H959" s="69" t="n"/>
      <c r="J959" s="69" t="n"/>
      <c r="K959" s="69" t="n"/>
      <c r="L959" s="69" t="n"/>
      <c r="M959" s="72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H960" s="69" t="n"/>
      <c r="J960" s="69" t="n"/>
      <c r="K960" s="69" t="n"/>
      <c r="L960" s="69" t="n"/>
      <c r="M960" s="72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H961" s="69" t="n"/>
      <c r="J961" s="69" t="n"/>
      <c r="K961" s="69" t="n"/>
      <c r="L961" s="69" t="n"/>
      <c r="M961" s="72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H962" s="69" t="n"/>
      <c r="J962" s="69" t="n"/>
      <c r="K962" s="69" t="n"/>
      <c r="L962" s="69" t="n"/>
      <c r="M962" s="72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H963" s="69" t="n"/>
      <c r="J963" s="69" t="n"/>
      <c r="K963" s="69" t="n"/>
      <c r="L963" s="69" t="n"/>
      <c r="M963" s="72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H964" s="69" t="n"/>
      <c r="J964" s="69" t="n"/>
      <c r="K964" s="69" t="n"/>
      <c r="L964" s="69" t="n"/>
      <c r="M964" s="72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H965" s="69" t="n"/>
      <c r="J965" s="69" t="n"/>
      <c r="K965" s="69" t="n"/>
      <c r="L965" s="69" t="n"/>
      <c r="M965" s="72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H966" s="69" t="n"/>
      <c r="J966" s="69" t="n"/>
      <c r="K966" s="69" t="n"/>
      <c r="L966" s="69" t="n"/>
      <c r="M966" s="72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H967" s="69" t="n"/>
      <c r="J967" s="69" t="n"/>
      <c r="K967" s="69" t="n"/>
      <c r="L967" s="69" t="n"/>
      <c r="M967" s="72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H968" s="69" t="n"/>
      <c r="J968" s="69" t="n"/>
      <c r="K968" s="69" t="n"/>
      <c r="L968" s="69" t="n"/>
      <c r="M968" s="72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H969" s="69" t="n"/>
      <c r="J969" s="69" t="n"/>
      <c r="K969" s="69" t="n"/>
      <c r="L969" s="69" t="n"/>
      <c r="M969" s="72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H970" s="69" t="n"/>
      <c r="J970" s="69" t="n"/>
      <c r="K970" s="69" t="n"/>
      <c r="L970" s="69" t="n"/>
      <c r="M970" s="72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H971" s="69" t="n"/>
      <c r="J971" s="69" t="n"/>
      <c r="K971" s="69" t="n"/>
      <c r="L971" s="69" t="n"/>
      <c r="M971" s="72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H972" s="69" t="n"/>
      <c r="J972" s="69" t="n"/>
      <c r="K972" s="69" t="n"/>
      <c r="L972" s="69" t="n"/>
      <c r="M972" s="72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H973" s="69" t="n"/>
      <c r="J973" s="69" t="n"/>
      <c r="K973" s="69" t="n"/>
      <c r="L973" s="69" t="n"/>
      <c r="M973" s="72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H974" s="69" t="n"/>
      <c r="J974" s="69" t="n"/>
      <c r="K974" s="69" t="n"/>
      <c r="L974" s="69" t="n"/>
      <c r="M974" s="72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H975" s="69" t="n"/>
      <c r="J975" s="69" t="n"/>
      <c r="K975" s="69" t="n"/>
      <c r="L975" s="69" t="n"/>
      <c r="M975" s="72" t="n"/>
      <c r="W975" s="69" t="n"/>
      <c r="X975" s="69" t="n"/>
      <c r="Y975" s="69" t="n"/>
      <c r="Z975" s="69" t="n"/>
      <c r="AA975" s="69" t="n"/>
      <c r="AB975" s="69" t="n"/>
      <c r="AC975" s="69" t="n"/>
    </row>
    <row r="976">
      <c r="E976" s="69" t="n"/>
      <c r="F976" s="69" t="n"/>
      <c r="G976" s="70" t="n"/>
      <c r="H976" s="69" t="n"/>
      <c r="J976" s="69" t="n"/>
      <c r="K976" s="69" t="n"/>
      <c r="L976" s="69" t="n"/>
      <c r="M976" s="72" t="n"/>
      <c r="W976" s="69" t="n"/>
      <c r="X976" s="69" t="n"/>
      <c r="Y976" s="69" t="n"/>
      <c r="Z976" s="69" t="n"/>
      <c r="AA976" s="69" t="n"/>
      <c r="AB976" s="69" t="n"/>
      <c r="AC976" s="69" t="n"/>
    </row>
    <row r="977">
      <c r="E977" s="69" t="n"/>
      <c r="F977" s="69" t="n"/>
      <c r="G977" s="70" t="n"/>
      <c r="H977" s="69" t="n"/>
      <c r="J977" s="69" t="n"/>
      <c r="K977" s="69" t="n"/>
      <c r="L977" s="69" t="n"/>
      <c r="M977" s="72" t="n"/>
      <c r="W977" s="69" t="n"/>
      <c r="X977" s="69" t="n"/>
      <c r="Y977" s="69" t="n"/>
      <c r="Z977" s="69" t="n"/>
      <c r="AA977" s="69" t="n"/>
      <c r="AB977" s="69" t="n"/>
      <c r="AC977" s="69" t="n"/>
    </row>
    <row r="978">
      <c r="E978" s="69" t="n"/>
      <c r="F978" s="69" t="n"/>
      <c r="G978" s="70" t="n"/>
      <c r="H978" s="69" t="n"/>
      <c r="J978" s="69" t="n"/>
      <c r="K978" s="69" t="n"/>
      <c r="L978" s="69" t="n"/>
      <c r="M978" s="72" t="n"/>
      <c r="W978" s="69" t="n"/>
      <c r="X978" s="69" t="n"/>
      <c r="Y978" s="69" t="n"/>
      <c r="Z978" s="69" t="n"/>
      <c r="AA978" s="69" t="n"/>
      <c r="AB978" s="69" t="n"/>
      <c r="AC978" s="69" t="n"/>
    </row>
    <row r="979">
      <c r="E979" s="69" t="n"/>
      <c r="F979" s="69" t="n"/>
      <c r="G979" s="70" t="n"/>
      <c r="H979" s="69" t="n"/>
      <c r="J979" s="69" t="n"/>
      <c r="K979" s="69" t="n"/>
      <c r="L979" s="69" t="n"/>
      <c r="M979" s="72" t="n"/>
      <c r="W979" s="69" t="n"/>
      <c r="X979" s="69" t="n"/>
      <c r="Y979" s="69" t="n"/>
      <c r="Z979" s="69" t="n"/>
      <c r="AA979" s="69" t="n"/>
      <c r="AB979" s="69" t="n"/>
      <c r="AC979" s="69" t="n"/>
    </row>
    <row r="980">
      <c r="E980" s="69" t="n"/>
      <c r="F980" s="69" t="n"/>
      <c r="G980" s="70" t="n"/>
      <c r="H980" s="69" t="n"/>
      <c r="J980" s="69" t="n"/>
      <c r="K980" s="69" t="n"/>
      <c r="L980" s="69" t="n"/>
      <c r="M980" s="72" t="n"/>
      <c r="W980" s="69" t="n"/>
      <c r="X980" s="69" t="n"/>
      <c r="Y980" s="69" t="n"/>
      <c r="Z980" s="69" t="n"/>
      <c r="AA980" s="69" t="n"/>
      <c r="AB980" s="69" t="n"/>
      <c r="AC980" s="69" t="n"/>
    </row>
    <row r="981">
      <c r="E981" s="69" t="n"/>
      <c r="F981" s="69" t="n"/>
      <c r="G981" s="70" t="n"/>
      <c r="H981" s="69" t="n"/>
      <c r="J981" s="69" t="n"/>
      <c r="K981" s="69" t="n"/>
      <c r="L981" s="69" t="n"/>
      <c r="M981" s="72" t="n"/>
      <c r="W981" s="69" t="n"/>
      <c r="X981" s="69" t="n"/>
      <c r="Y981" s="69" t="n"/>
      <c r="Z981" s="69" t="n"/>
      <c r="AA981" s="69" t="n"/>
      <c r="AB981" s="69" t="n"/>
      <c r="AC981" s="69" t="n"/>
    </row>
    <row r="982">
      <c r="E982" s="69" t="n"/>
      <c r="F982" s="69" t="n"/>
      <c r="G982" s="70" t="n"/>
      <c r="H982" s="69" t="n"/>
      <c r="J982" s="69" t="n"/>
      <c r="K982" s="69" t="n"/>
      <c r="L982" s="69" t="n"/>
      <c r="M982" s="72" t="n"/>
      <c r="W982" s="69" t="n"/>
      <c r="X982" s="69" t="n"/>
      <c r="Y982" s="69" t="n"/>
      <c r="Z982" s="69" t="n"/>
      <c r="AA982" s="69" t="n"/>
      <c r="AB982" s="69" t="n"/>
      <c r="AC982" s="69" t="n"/>
    </row>
    <row r="983">
      <c r="E983" s="69" t="n"/>
      <c r="F983" s="69" t="n"/>
      <c r="G983" s="70" t="n"/>
      <c r="H983" s="69" t="n"/>
      <c r="J983" s="69" t="n"/>
      <c r="K983" s="69" t="n"/>
      <c r="L983" s="69" t="n"/>
      <c r="M983" s="72" t="n"/>
      <c r="W983" s="69" t="n"/>
      <c r="X983" s="69" t="n"/>
      <c r="Y983" s="69" t="n"/>
      <c r="Z983" s="69" t="n"/>
      <c r="AA983" s="69" t="n"/>
      <c r="AB983" s="69" t="n"/>
      <c r="AC983" s="69" t="n"/>
    </row>
    <row r="984">
      <c r="E984" s="69" t="n"/>
      <c r="F984" s="69" t="n"/>
      <c r="G984" s="70" t="n"/>
      <c r="H984" s="69" t="n"/>
      <c r="J984" s="69" t="n"/>
      <c r="K984" s="69" t="n"/>
      <c r="L984" s="69" t="n"/>
      <c r="M984" s="72" t="n"/>
      <c r="W984" s="69" t="n"/>
      <c r="X984" s="69" t="n"/>
      <c r="Y984" s="69" t="n"/>
      <c r="Z984" s="69" t="n"/>
      <c r="AA984" s="69" t="n"/>
      <c r="AB984" s="69" t="n"/>
      <c r="AC984" s="69" t="n"/>
    </row>
    <row r="985">
      <c r="E985" s="69" t="n"/>
      <c r="F985" s="69" t="n"/>
      <c r="G985" s="70" t="n"/>
      <c r="H985" s="69" t="n"/>
      <c r="J985" s="69" t="n"/>
      <c r="K985" s="69" t="n"/>
      <c r="L985" s="69" t="n"/>
      <c r="M985" s="72" t="n"/>
      <c r="W985" s="69" t="n"/>
      <c r="X985" s="69" t="n"/>
      <c r="Y985" s="69" t="n"/>
      <c r="Z985" s="69" t="n"/>
      <c r="AA985" s="69" t="n"/>
      <c r="AB985" s="69" t="n"/>
      <c r="AC985" s="69" t="n"/>
    </row>
    <row r="986">
      <c r="E986" s="69" t="n"/>
      <c r="F986" s="69" t="n"/>
      <c r="G986" s="70" t="n"/>
      <c r="H986" s="69" t="n"/>
      <c r="J986" s="69" t="n"/>
      <c r="K986" s="69" t="n"/>
      <c r="L986" s="69" t="n"/>
      <c r="M986" s="72" t="n"/>
      <c r="W986" s="69" t="n"/>
      <c r="X986" s="69" t="n"/>
      <c r="Y986" s="69" t="n"/>
      <c r="Z986" s="69" t="n"/>
      <c r="AA986" s="69" t="n"/>
      <c r="AB986" s="69" t="n"/>
      <c r="AC986" s="69" t="n"/>
    </row>
    <row r="987">
      <c r="E987" s="69" t="n"/>
      <c r="F987" s="69" t="n"/>
      <c r="G987" s="70" t="n"/>
      <c r="H987" s="69" t="n"/>
      <c r="J987" s="69" t="n"/>
      <c r="K987" s="69" t="n"/>
      <c r="L987" s="69" t="n"/>
      <c r="M987" s="72" t="n"/>
      <c r="W987" s="69" t="n"/>
      <c r="X987" s="69" t="n"/>
      <c r="Y987" s="69" t="n"/>
      <c r="Z987" s="69" t="n"/>
      <c r="AA987" s="69" t="n"/>
      <c r="AB987" s="69" t="n"/>
      <c r="AC987" s="69" t="n"/>
    </row>
    <row r="988">
      <c r="E988" s="69" t="n"/>
      <c r="F988" s="69" t="n"/>
      <c r="G988" s="70" t="n"/>
      <c r="H988" s="69" t="n"/>
      <c r="J988" s="69" t="n"/>
      <c r="K988" s="69" t="n"/>
      <c r="L988" s="69" t="n"/>
      <c r="M988" s="72" t="n"/>
      <c r="W988" s="69" t="n"/>
      <c r="X988" s="69" t="n"/>
      <c r="Y988" s="69" t="n"/>
      <c r="Z988" s="69" t="n"/>
      <c r="AA988" s="69" t="n"/>
      <c r="AB988" s="69" t="n"/>
      <c r="AC988" s="69" t="n"/>
    </row>
    <row r="989">
      <c r="E989" s="69" t="n"/>
      <c r="F989" s="69" t="n"/>
      <c r="G989" s="70" t="n"/>
      <c r="H989" s="69" t="n"/>
      <c r="J989" s="69" t="n"/>
      <c r="K989" s="69" t="n"/>
      <c r="L989" s="69" t="n"/>
      <c r="M989" s="72" t="n"/>
      <c r="W989" s="69" t="n"/>
      <c r="X989" s="69" t="n"/>
      <c r="Y989" s="69" t="n"/>
      <c r="Z989" s="69" t="n"/>
      <c r="AA989" s="69" t="n"/>
      <c r="AB989" s="69" t="n"/>
      <c r="AC989" s="69" t="n"/>
    </row>
    <row r="990">
      <c r="E990" s="69" t="n"/>
      <c r="F990" s="69" t="n"/>
      <c r="G990" s="70" t="n"/>
      <c r="H990" s="69" t="n"/>
      <c r="J990" s="69" t="n"/>
      <c r="K990" s="69" t="n"/>
      <c r="L990" s="69" t="n"/>
      <c r="M990" s="72" t="n"/>
      <c r="W990" s="69" t="n"/>
      <c r="X990" s="69" t="n"/>
      <c r="Y990" s="69" t="n"/>
      <c r="Z990" s="69" t="n"/>
      <c r="AA990" s="69" t="n"/>
      <c r="AB990" s="69" t="n"/>
      <c r="AC990" s="69" t="n"/>
    </row>
    <row r="991">
      <c r="E991" s="69" t="n"/>
      <c r="F991" s="69" t="n"/>
      <c r="G991" s="70" t="n"/>
      <c r="H991" s="69" t="n"/>
      <c r="J991" s="69" t="n"/>
      <c r="K991" s="69" t="n"/>
      <c r="L991" s="69" t="n"/>
      <c r="M991" s="72" t="n"/>
      <c r="W991" s="69" t="n"/>
      <c r="X991" s="69" t="n"/>
      <c r="Y991" s="69" t="n"/>
      <c r="Z991" s="69" t="n"/>
      <c r="AA991" s="69" t="n"/>
      <c r="AB991" s="69" t="n"/>
      <c r="AC991" s="69" t="n"/>
    </row>
    <row r="992">
      <c r="E992" s="69" t="n"/>
      <c r="F992" s="69" t="n"/>
      <c r="G992" s="70" t="n"/>
      <c r="H992" s="69" t="n"/>
      <c r="J992" s="69" t="n"/>
      <c r="K992" s="69" t="n"/>
      <c r="L992" s="69" t="n"/>
      <c r="M992" s="72" t="n"/>
      <c r="W992" s="69" t="n"/>
      <c r="X992" s="69" t="n"/>
      <c r="Y992" s="69" t="n"/>
      <c r="Z992" s="69" t="n"/>
      <c r="AA992" s="69" t="n"/>
      <c r="AB992" s="69" t="n"/>
      <c r="AC992" s="69" t="n"/>
    </row>
    <row r="993">
      <c r="E993" s="69" t="n"/>
      <c r="F993" s="69" t="n"/>
      <c r="G993" s="70" t="n"/>
      <c r="H993" s="69" t="n"/>
      <c r="J993" s="69" t="n"/>
      <c r="K993" s="69" t="n"/>
      <c r="L993" s="69" t="n"/>
      <c r="M993" s="72" t="n"/>
      <c r="W993" s="69" t="n"/>
      <c r="X993" s="69" t="n"/>
      <c r="Y993" s="69" t="n"/>
      <c r="Z993" s="69" t="n"/>
      <c r="AA993" s="69" t="n"/>
      <c r="AB993" s="69" t="n"/>
      <c r="AC993" s="69" t="n"/>
    </row>
    <row r="994">
      <c r="E994" s="69" t="n"/>
      <c r="F994" s="69" t="n"/>
      <c r="G994" s="70" t="n"/>
      <c r="H994" s="69" t="n"/>
      <c r="J994" s="69" t="n"/>
      <c r="K994" s="69" t="n"/>
      <c r="L994" s="69" t="n"/>
      <c r="M994" s="72" t="n"/>
      <c r="W994" s="69" t="n"/>
      <c r="X994" s="69" t="n"/>
      <c r="Y994" s="69" t="n"/>
      <c r="Z994" s="69" t="n"/>
      <c r="AA994" s="69" t="n"/>
      <c r="AB994" s="69" t="n"/>
      <c r="AC994" s="69" t="n"/>
    </row>
    <row r="995">
      <c r="E995" s="69" t="n"/>
      <c r="F995" s="69" t="n"/>
      <c r="G995" s="70" t="n"/>
      <c r="H995" s="69" t="n"/>
      <c r="J995" s="69" t="n"/>
      <c r="K995" s="69" t="n"/>
      <c r="L995" s="69" t="n"/>
      <c r="M995" s="72" t="n"/>
      <c r="W995" s="69" t="n"/>
      <c r="X995" s="69" t="n"/>
      <c r="Y995" s="69" t="n"/>
      <c r="Z995" s="69" t="n"/>
      <c r="AA995" s="69" t="n"/>
      <c r="AB995" s="69" t="n"/>
      <c r="AC995" s="69" t="n"/>
    </row>
    <row r="996">
      <c r="E996" s="69" t="n"/>
      <c r="F996" s="69" t="n"/>
      <c r="G996" s="70" t="n"/>
      <c r="H996" s="69" t="n"/>
      <c r="J996" s="69" t="n"/>
      <c r="K996" s="69" t="n"/>
      <c r="L996" s="69" t="n"/>
      <c r="M996" s="72" t="n"/>
      <c r="W996" s="69" t="n"/>
      <c r="X996" s="69" t="n"/>
      <c r="Y996" s="69" t="n"/>
      <c r="Z996" s="69" t="n"/>
      <c r="AA996" s="69" t="n"/>
      <c r="AB996" s="69" t="n"/>
      <c r="AC996" s="69" t="n"/>
    </row>
    <row r="997">
      <c r="E997" s="69" t="n"/>
      <c r="F997" s="69" t="n"/>
      <c r="G997" s="70" t="n"/>
      <c r="H997" s="69" t="n"/>
      <c r="J997" s="69" t="n"/>
      <c r="K997" s="69" t="n"/>
      <c r="L997" s="69" t="n"/>
      <c r="M997" s="72" t="n"/>
      <c r="W997" s="69" t="n"/>
      <c r="X997" s="69" t="n"/>
      <c r="Y997" s="69" t="n"/>
      <c r="Z997" s="69" t="n"/>
      <c r="AA997" s="69" t="n"/>
      <c r="AB997" s="69" t="n"/>
      <c r="AC997" s="69" t="n"/>
    </row>
    <row r="998">
      <c r="E998" s="69" t="n"/>
      <c r="F998" s="69" t="n"/>
      <c r="G998" s="70" t="n"/>
      <c r="H998" s="69" t="n"/>
      <c r="J998" s="69" t="n"/>
      <c r="K998" s="69" t="n"/>
      <c r="L998" s="69" t="n"/>
      <c r="M998" s="72" t="n"/>
      <c r="W998" s="69" t="n"/>
      <c r="X998" s="69" t="n"/>
      <c r="Y998" s="69" t="n"/>
      <c r="Z998" s="69" t="n"/>
      <c r="AA998" s="69" t="n"/>
      <c r="AB998" s="69" t="n"/>
      <c r="AC998" s="69" t="n"/>
    </row>
    <row r="999">
      <c r="E999" s="69" t="n"/>
      <c r="F999" s="69" t="n"/>
      <c r="G999" s="70" t="n"/>
      <c r="H999" s="69" t="n"/>
      <c r="J999" s="69" t="n"/>
      <c r="K999" s="69" t="n"/>
      <c r="L999" s="69" t="n"/>
      <c r="M999" s="72" t="n"/>
      <c r="W999" s="69" t="n"/>
      <c r="X999" s="69" t="n"/>
      <c r="Y999" s="69" t="n"/>
      <c r="Z999" s="69" t="n"/>
      <c r="AA999" s="69" t="n"/>
      <c r="AB999" s="69" t="n"/>
      <c r="AC999" s="69" t="n"/>
    </row>
    <row r="1000">
      <c r="E1000" s="69" t="n"/>
      <c r="F1000" s="69" t="n"/>
      <c r="G1000" s="70" t="n"/>
      <c r="H1000" s="69" t="n"/>
      <c r="J1000" s="69" t="n"/>
      <c r="K1000" s="69" t="n"/>
      <c r="L1000" s="69" t="n"/>
      <c r="M1000" s="72" t="n"/>
      <c r="W1000" s="69" t="n"/>
      <c r="X1000" s="69" t="n"/>
      <c r="Y1000" s="69" t="n"/>
      <c r="Z1000" s="69" t="n"/>
      <c r="AA1000" s="69" t="n"/>
      <c r="AB1000" s="69" t="n"/>
      <c r="AC1000" s="69" t="n"/>
    </row>
    <row r="1001">
      <c r="E1001" s="69" t="n"/>
      <c r="F1001" s="69" t="n"/>
      <c r="G1001" s="70" t="n"/>
      <c r="H1001" s="69" t="n"/>
      <c r="J1001" s="69" t="n"/>
      <c r="K1001" s="69" t="n"/>
      <c r="L1001" s="69" t="n"/>
      <c r="M1001" s="72" t="n"/>
      <c r="W1001" s="69" t="n"/>
      <c r="X1001" s="69" t="n"/>
      <c r="Y1001" s="69" t="n"/>
      <c r="Z1001" s="69" t="n"/>
      <c r="AA1001" s="69" t="n"/>
      <c r="AB1001" s="69" t="n"/>
      <c r="AC1001" s="69" t="n"/>
    </row>
    <row r="1002">
      <c r="E1002" s="69" t="n"/>
      <c r="F1002" s="69" t="n"/>
      <c r="G1002" s="70" t="n"/>
      <c r="H1002" s="69" t="n"/>
      <c r="J1002" s="69" t="n"/>
      <c r="K1002" s="69" t="n"/>
      <c r="L1002" s="69" t="n"/>
      <c r="M1002" s="72" t="n"/>
      <c r="W1002" s="69" t="n"/>
      <c r="X1002" s="69" t="n"/>
      <c r="Y1002" s="69" t="n"/>
      <c r="Z1002" s="69" t="n"/>
      <c r="AA1002" s="69" t="n"/>
      <c r="AB1002" s="69" t="n"/>
      <c r="AC1002" s="69" t="n"/>
    </row>
    <row r="1003">
      <c r="E1003" s="69" t="n"/>
      <c r="F1003" s="69" t="n"/>
      <c r="G1003" s="70" t="n"/>
      <c r="H1003" s="69" t="n"/>
      <c r="J1003" s="69" t="n"/>
      <c r="K1003" s="69" t="n"/>
      <c r="L1003" s="69" t="n"/>
      <c r="M1003" s="72" t="n"/>
      <c r="W1003" s="69" t="n"/>
      <c r="X1003" s="69" t="n"/>
      <c r="Y1003" s="69" t="n"/>
      <c r="Z1003" s="69" t="n"/>
      <c r="AA1003" s="69" t="n"/>
      <c r="AB1003" s="69" t="n"/>
      <c r="AC1003" s="69" t="n"/>
    </row>
    <row r="1004">
      <c r="E1004" s="69" t="n"/>
      <c r="F1004" s="69" t="n"/>
      <c r="G1004" s="70" t="n"/>
      <c r="H1004" s="69" t="n"/>
      <c r="J1004" s="69" t="n"/>
      <c r="K1004" s="69" t="n"/>
      <c r="L1004" s="69" t="n"/>
      <c r="M1004" s="72" t="n"/>
      <c r="W1004" s="69" t="n"/>
      <c r="X1004" s="69" t="n"/>
      <c r="Y1004" s="69" t="n"/>
      <c r="Z1004" s="69" t="n"/>
      <c r="AA1004" s="69" t="n"/>
      <c r="AB1004" s="69" t="n"/>
      <c r="AC1004" s="69" t="n"/>
    </row>
    <row r="1005">
      <c r="E1005" s="69" t="n"/>
      <c r="F1005" s="69" t="n"/>
      <c r="G1005" s="70" t="n"/>
      <c r="H1005" s="69" t="n"/>
      <c r="J1005" s="69" t="n"/>
      <c r="K1005" s="69" t="n"/>
      <c r="L1005" s="69" t="n"/>
      <c r="M1005" s="72" t="n"/>
      <c r="W1005" s="69" t="n"/>
      <c r="X1005" s="69" t="n"/>
      <c r="Y1005" s="69" t="n"/>
      <c r="Z1005" s="69" t="n"/>
      <c r="AA1005" s="69" t="n"/>
      <c r="AB1005" s="69" t="n"/>
      <c r="AC1005" s="69" t="n"/>
    </row>
    <row r="1006">
      <c r="E1006" s="69" t="n"/>
      <c r="F1006" s="69" t="n"/>
      <c r="G1006" s="70" t="n"/>
      <c r="H1006" s="69" t="n"/>
      <c r="J1006" s="69" t="n"/>
      <c r="K1006" s="69" t="n"/>
      <c r="L1006" s="69" t="n"/>
      <c r="M1006" s="72" t="n"/>
      <c r="W1006" s="69" t="n"/>
      <c r="X1006" s="69" t="n"/>
      <c r="Y1006" s="69" t="n"/>
      <c r="Z1006" s="69" t="n"/>
      <c r="AA1006" s="69" t="n"/>
      <c r="AB1006" s="69" t="n"/>
      <c r="AC1006" s="69" t="n"/>
    </row>
    <row r="1007">
      <c r="E1007" s="69" t="n"/>
      <c r="F1007" s="69" t="n"/>
      <c r="G1007" s="70" t="n"/>
      <c r="H1007" s="69" t="n"/>
      <c r="J1007" s="69" t="n"/>
      <c r="K1007" s="69" t="n"/>
      <c r="L1007" s="69" t="n"/>
      <c r="M1007" s="72" t="n"/>
      <c r="W1007" s="69" t="n"/>
      <c r="X1007" s="69" t="n"/>
      <c r="Y1007" s="69" t="n"/>
      <c r="Z1007" s="69" t="n"/>
      <c r="AA1007" s="69" t="n"/>
      <c r="AB1007" s="69" t="n"/>
      <c r="AC1007" s="69" t="n"/>
    </row>
    <row r="1008">
      <c r="E1008" s="69" t="n"/>
      <c r="F1008" s="69" t="n"/>
      <c r="G1008" s="70" t="n"/>
      <c r="H1008" s="69" t="n"/>
      <c r="J1008" s="69" t="n"/>
      <c r="K1008" s="69" t="n"/>
      <c r="L1008" s="69" t="n"/>
      <c r="M1008" s="72" t="n"/>
      <c r="W1008" s="69" t="n"/>
      <c r="X1008" s="69" t="n"/>
      <c r="Y1008" s="69" t="n"/>
      <c r="Z1008" s="69" t="n"/>
      <c r="AA1008" s="69" t="n"/>
      <c r="AB1008" s="69" t="n"/>
      <c r="AC1008" s="69" t="n"/>
    </row>
    <row r="1009">
      <c r="E1009" s="69" t="n"/>
      <c r="F1009" s="69" t="n"/>
      <c r="G1009" s="70" t="n"/>
      <c r="H1009" s="69" t="n"/>
      <c r="J1009" s="69" t="n"/>
      <c r="K1009" s="69" t="n"/>
      <c r="L1009" s="69" t="n"/>
      <c r="M1009" s="72" t="n"/>
      <c r="W1009" s="69" t="n"/>
      <c r="X1009" s="69" t="n"/>
      <c r="Y1009" s="69" t="n"/>
      <c r="Z1009" s="69" t="n"/>
      <c r="AA1009" s="69" t="n"/>
      <c r="AB1009" s="69" t="n"/>
      <c r="AC1009" s="69" t="n"/>
    </row>
    <row r="1010">
      <c r="E1010" s="69" t="n"/>
      <c r="F1010" s="69" t="n"/>
      <c r="G1010" s="70" t="n"/>
      <c r="H1010" s="69" t="n"/>
      <c r="J1010" s="69" t="n"/>
      <c r="K1010" s="69" t="n"/>
      <c r="L1010" s="69" t="n"/>
      <c r="M1010" s="72" t="n"/>
      <c r="W1010" s="69" t="n"/>
      <c r="X1010" s="69" t="n"/>
      <c r="Y1010" s="69" t="n"/>
      <c r="Z1010" s="69" t="n"/>
      <c r="AA1010" s="69" t="n"/>
      <c r="AB1010" s="69" t="n"/>
      <c r="AC1010" s="69" t="n"/>
    </row>
    <row r="1011">
      <c r="E1011" s="69" t="n"/>
      <c r="F1011" s="69" t="n"/>
      <c r="G1011" s="70" t="n"/>
      <c r="H1011" s="69" t="n"/>
      <c r="J1011" s="69" t="n"/>
      <c r="K1011" s="69" t="n"/>
      <c r="L1011" s="69" t="n"/>
      <c r="M1011" s="72" t="n"/>
      <c r="W1011" s="69" t="n"/>
      <c r="X1011" s="69" t="n"/>
      <c r="Y1011" s="69" t="n"/>
      <c r="Z1011" s="69" t="n"/>
      <c r="AA1011" s="69" t="n"/>
      <c r="AB1011" s="69" t="n"/>
      <c r="AC1011" s="69" t="n"/>
    </row>
    <row r="1012">
      <c r="E1012" s="69" t="n"/>
      <c r="F1012" s="69" t="n"/>
      <c r="G1012" s="70" t="n"/>
      <c r="H1012" s="69" t="n"/>
      <c r="J1012" s="69" t="n"/>
      <c r="K1012" s="69" t="n"/>
      <c r="L1012" s="69" t="n"/>
      <c r="M1012" s="72" t="n"/>
      <c r="W1012" s="69" t="n"/>
      <c r="X1012" s="69" t="n"/>
      <c r="Y1012" s="69" t="n"/>
      <c r="Z1012" s="69" t="n"/>
      <c r="AA1012" s="69" t="n"/>
      <c r="AB1012" s="69" t="n"/>
      <c r="AC1012" s="69" t="n"/>
    </row>
    <row r="1013">
      <c r="E1013" s="69" t="n"/>
      <c r="F1013" s="69" t="n"/>
      <c r="G1013" s="70" t="n"/>
      <c r="H1013" s="69" t="n"/>
      <c r="J1013" s="69" t="n"/>
      <c r="K1013" s="69" t="n"/>
      <c r="L1013" s="69" t="n"/>
      <c r="M1013" s="72" t="n"/>
      <c r="W1013" s="69" t="n"/>
      <c r="X1013" s="69" t="n"/>
      <c r="Y1013" s="69" t="n"/>
      <c r="Z1013" s="69" t="n"/>
      <c r="AA1013" s="69" t="n"/>
      <c r="AB1013" s="69" t="n"/>
      <c r="AC1013" s="69" t="n"/>
    </row>
    <row r="1014">
      <c r="E1014" s="69" t="n"/>
      <c r="F1014" s="69" t="n"/>
      <c r="G1014" s="70" t="n"/>
      <c r="H1014" s="69" t="n"/>
      <c r="J1014" s="69" t="n"/>
      <c r="K1014" s="69" t="n"/>
      <c r="L1014" s="69" t="n"/>
      <c r="M1014" s="72" t="n"/>
      <c r="W1014" s="69" t="n"/>
      <c r="X1014" s="69" t="n"/>
      <c r="Y1014" s="69" t="n"/>
      <c r="Z1014" s="69" t="n"/>
      <c r="AA1014" s="69" t="n"/>
      <c r="AB1014" s="69" t="n"/>
      <c r="AC1014" s="69" t="n"/>
    </row>
    <row r="1015">
      <c r="E1015" s="69" t="n"/>
      <c r="F1015" s="69" t="n"/>
      <c r="G1015" s="70" t="n"/>
      <c r="H1015" s="69" t="n"/>
      <c r="J1015" s="69" t="n"/>
      <c r="K1015" s="69" t="n"/>
      <c r="L1015" s="69" t="n"/>
      <c r="M1015" s="72" t="n"/>
      <c r="W1015" s="69" t="n"/>
      <c r="X1015" s="69" t="n"/>
      <c r="Y1015" s="69" t="n"/>
      <c r="Z1015" s="69" t="n"/>
      <c r="AA1015" s="69" t="n"/>
      <c r="AB1015" s="69" t="n"/>
      <c r="AC1015" s="69" t="n"/>
    </row>
    <row r="1016">
      <c r="E1016" s="69" t="n"/>
      <c r="F1016" s="69" t="n"/>
      <c r="G1016" s="70" t="n"/>
      <c r="H1016" s="69" t="n"/>
      <c r="J1016" s="69" t="n"/>
      <c r="K1016" s="69" t="n"/>
      <c r="L1016" s="69" t="n"/>
      <c r="M1016" s="72" t="n"/>
      <c r="W1016" s="69" t="n"/>
      <c r="X1016" s="69" t="n"/>
      <c r="Y1016" s="69" t="n"/>
      <c r="Z1016" s="69" t="n"/>
      <c r="AA1016" s="69" t="n"/>
      <c r="AB1016" s="69" t="n"/>
      <c r="AC1016" s="69" t="n"/>
    </row>
    <row r="1017">
      <c r="E1017" s="69" t="n"/>
      <c r="F1017" s="69" t="n"/>
      <c r="G1017" s="70" t="n"/>
      <c r="H1017" s="69" t="n"/>
      <c r="J1017" s="69" t="n"/>
      <c r="K1017" s="69" t="n"/>
      <c r="L1017" s="69" t="n"/>
      <c r="M1017" s="72" t="n"/>
      <c r="W1017" s="69" t="n"/>
      <c r="X1017" s="69" t="n"/>
      <c r="Y1017" s="69" t="n"/>
      <c r="Z1017" s="69" t="n"/>
      <c r="AA1017" s="69" t="n"/>
      <c r="AB1017" s="69" t="n"/>
      <c r="AC1017" s="69" t="n"/>
    </row>
    <row r="1018">
      <c r="E1018" s="69" t="n"/>
      <c r="F1018" s="69" t="n"/>
      <c r="G1018" s="70" t="n"/>
      <c r="H1018" s="69" t="n"/>
      <c r="J1018" s="69" t="n"/>
      <c r="K1018" s="69" t="n"/>
      <c r="L1018" s="69" t="n"/>
      <c r="M1018" s="72" t="n"/>
      <c r="W1018" s="69" t="n"/>
      <c r="X1018" s="69" t="n"/>
      <c r="Y1018" s="69" t="n"/>
      <c r="Z1018" s="69" t="n"/>
      <c r="AA1018" s="69" t="n"/>
      <c r="AB1018" s="69" t="n"/>
      <c r="AC1018" s="69" t="n"/>
    </row>
    <row r="1019">
      <c r="E1019" s="69" t="n"/>
      <c r="F1019" s="69" t="n"/>
      <c r="G1019" s="70" t="n"/>
      <c r="H1019" s="69" t="n"/>
      <c r="J1019" s="69" t="n"/>
      <c r="K1019" s="69" t="n"/>
      <c r="L1019" s="69" t="n"/>
      <c r="M1019" s="72" t="n"/>
      <c r="W1019" s="69" t="n"/>
      <c r="X1019" s="69" t="n"/>
      <c r="Y1019" s="69" t="n"/>
      <c r="Z1019" s="69" t="n"/>
      <c r="AA1019" s="69" t="n"/>
      <c r="AB1019" s="69" t="n"/>
      <c r="AC1019" s="69" t="n"/>
    </row>
    <row r="1020">
      <c r="E1020" s="69" t="n"/>
      <c r="F1020" s="69" t="n"/>
      <c r="G1020" s="70" t="n"/>
      <c r="H1020" s="69" t="n"/>
      <c r="J1020" s="69" t="n"/>
      <c r="K1020" s="69" t="n"/>
      <c r="L1020" s="69" t="n"/>
      <c r="M1020" s="72" t="n"/>
      <c r="W1020" s="69" t="n"/>
      <c r="X1020" s="69" t="n"/>
      <c r="Y1020" s="69" t="n"/>
      <c r="Z1020" s="69" t="n"/>
      <c r="AA1020" s="69" t="n"/>
      <c r="AB1020" s="69" t="n"/>
      <c r="AC1020" s="69" t="n"/>
    </row>
    <row r="1021">
      <c r="E1021" s="69" t="n"/>
      <c r="F1021" s="69" t="n"/>
      <c r="G1021" s="70" t="n"/>
      <c r="H1021" s="69" t="n"/>
      <c r="J1021" s="69" t="n"/>
      <c r="K1021" s="69" t="n"/>
      <c r="L1021" s="69" t="n"/>
      <c r="M1021" s="72" t="n"/>
      <c r="W1021" s="69" t="n"/>
      <c r="X1021" s="69" t="n"/>
      <c r="Y1021" s="69" t="n"/>
      <c r="Z1021" s="69" t="n"/>
      <c r="AA1021" s="69" t="n"/>
      <c r="AB1021" s="69" t="n"/>
      <c r="AC1021" s="69" t="n"/>
    </row>
    <row r="1022">
      <c r="E1022" s="69" t="n"/>
      <c r="F1022" s="69" t="n"/>
      <c r="G1022" s="70" t="n"/>
      <c r="H1022" s="69" t="n"/>
      <c r="J1022" s="69" t="n"/>
      <c r="K1022" s="69" t="n"/>
      <c r="L1022" s="69" t="n"/>
      <c r="M1022" s="72" t="n"/>
      <c r="W1022" s="69" t="n"/>
      <c r="X1022" s="69" t="n"/>
      <c r="Y1022" s="69" t="n"/>
      <c r="Z1022" s="69" t="n"/>
      <c r="AA1022" s="69" t="n"/>
      <c r="AB1022" s="69" t="n"/>
      <c r="AC1022" s="69" t="n"/>
    </row>
    <row r="1023">
      <c r="E1023" s="69" t="n"/>
      <c r="F1023" s="69" t="n"/>
      <c r="G1023" s="70" t="n"/>
      <c r="H1023" s="69" t="n"/>
      <c r="J1023" s="69" t="n"/>
      <c r="K1023" s="69" t="n"/>
      <c r="L1023" s="69" t="n"/>
      <c r="M1023" s="72" t="n"/>
      <c r="W1023" s="69" t="n"/>
      <c r="X1023" s="69" t="n"/>
      <c r="Y1023" s="69" t="n"/>
      <c r="Z1023" s="69" t="n"/>
      <c r="AA1023" s="69" t="n"/>
      <c r="AB1023" s="69" t="n"/>
      <c r="AC1023" s="69" t="n"/>
    </row>
    <row r="1024">
      <c r="E1024" s="69" t="n"/>
      <c r="F1024" s="69" t="n"/>
      <c r="G1024" s="70" t="n"/>
      <c r="H1024" s="69" t="n"/>
      <c r="J1024" s="69" t="n"/>
      <c r="K1024" s="69" t="n"/>
      <c r="L1024" s="69" t="n"/>
      <c r="M1024" s="72" t="n"/>
      <c r="W1024" s="69" t="n"/>
      <c r="X1024" s="69" t="n"/>
      <c r="Y1024" s="69" t="n"/>
      <c r="Z1024" s="69" t="n"/>
      <c r="AA1024" s="69" t="n"/>
      <c r="AB1024" s="69" t="n"/>
      <c r="AC1024" s="69" t="n"/>
    </row>
    <row r="1025">
      <c r="E1025" s="69" t="n"/>
      <c r="F1025" s="69" t="n"/>
      <c r="G1025" s="70" t="n"/>
      <c r="H1025" s="69" t="n"/>
      <c r="J1025" s="69" t="n"/>
      <c r="K1025" s="69" t="n"/>
      <c r="L1025" s="69" t="n"/>
      <c r="M1025" s="72" t="n"/>
      <c r="W1025" s="69" t="n"/>
      <c r="X1025" s="69" t="n"/>
      <c r="Y1025" s="69" t="n"/>
      <c r="Z1025" s="69" t="n"/>
      <c r="AA1025" s="69" t="n"/>
      <c r="AB1025" s="69" t="n"/>
      <c r="AC1025" s="69" t="n"/>
    </row>
    <row r="1026">
      <c r="E1026" s="69" t="n"/>
      <c r="F1026" s="69" t="n"/>
      <c r="G1026" s="70" t="n"/>
      <c r="H1026" s="69" t="n"/>
      <c r="J1026" s="69" t="n"/>
      <c r="K1026" s="69" t="n"/>
      <c r="L1026" s="69" t="n"/>
      <c r="M1026" s="72" t="n"/>
      <c r="W1026" s="69" t="n"/>
      <c r="X1026" s="69" t="n"/>
      <c r="Y1026" s="69" t="n"/>
      <c r="Z1026" s="69" t="n"/>
      <c r="AA1026" s="69" t="n"/>
      <c r="AB1026" s="69" t="n"/>
      <c r="AC1026" s="69" t="n"/>
    </row>
    <row r="1027">
      <c r="E1027" s="69" t="n"/>
      <c r="F1027" s="69" t="n"/>
      <c r="G1027" s="70" t="n"/>
      <c r="H1027" s="69" t="n"/>
      <c r="J1027" s="69" t="n"/>
      <c r="K1027" s="69" t="n"/>
      <c r="L1027" s="69" t="n"/>
      <c r="M1027" s="72" t="n"/>
      <c r="W1027" s="69" t="n"/>
      <c r="X1027" s="69" t="n"/>
      <c r="Y1027" s="69" t="n"/>
      <c r="Z1027" s="69" t="n"/>
      <c r="AA1027" s="69" t="n"/>
      <c r="AB1027" s="69" t="n"/>
      <c r="AC1027" s="69" t="n"/>
    </row>
    <row r="1028">
      <c r="E1028" s="69" t="n"/>
      <c r="F1028" s="69" t="n"/>
      <c r="G1028" s="70" t="n"/>
      <c r="H1028" s="69" t="n"/>
      <c r="J1028" s="69" t="n"/>
      <c r="K1028" s="69" t="n"/>
      <c r="L1028" s="69" t="n"/>
      <c r="M1028" s="72" t="n"/>
      <c r="W1028" s="69" t="n"/>
      <c r="X1028" s="69" t="n"/>
      <c r="Y1028" s="69" t="n"/>
      <c r="Z1028" s="69" t="n"/>
      <c r="AA1028" s="69" t="n"/>
      <c r="AB1028" s="69" t="n"/>
      <c r="AC1028" s="69" t="n"/>
    </row>
    <row r="1029">
      <c r="E1029" s="69" t="n"/>
      <c r="F1029" s="69" t="n"/>
      <c r="G1029" s="70" t="n"/>
      <c r="H1029" s="69" t="n"/>
      <c r="J1029" s="69" t="n"/>
      <c r="K1029" s="69" t="n"/>
      <c r="L1029" s="69" t="n"/>
      <c r="M1029" s="72" t="n"/>
      <c r="W1029" s="69" t="n"/>
      <c r="X1029" s="69" t="n"/>
      <c r="Y1029" s="69" t="n"/>
      <c r="Z1029" s="69" t="n"/>
      <c r="AA1029" s="69" t="n"/>
      <c r="AB1029" s="69" t="n"/>
      <c r="AC1029" s="69" t="n"/>
    </row>
    <row r="1030">
      <c r="E1030" s="69" t="n"/>
      <c r="F1030" s="69" t="n"/>
      <c r="G1030" s="70" t="n"/>
      <c r="H1030" s="69" t="n"/>
      <c r="J1030" s="69" t="n"/>
      <c r="K1030" s="69" t="n"/>
      <c r="L1030" s="69" t="n"/>
      <c r="M1030" s="72" t="n"/>
      <c r="W1030" s="69" t="n"/>
      <c r="X1030" s="69" t="n"/>
      <c r="Y1030" s="69" t="n"/>
      <c r="Z1030" s="69" t="n"/>
      <c r="AA1030" s="69" t="n"/>
      <c r="AB1030" s="69" t="n"/>
      <c r="AC1030" s="69" t="n"/>
    </row>
    <row r="1031">
      <c r="E1031" s="69" t="n"/>
      <c r="F1031" s="69" t="n"/>
      <c r="G1031" s="70" t="n"/>
      <c r="H1031" s="69" t="n"/>
      <c r="J1031" s="69" t="n"/>
      <c r="K1031" s="69" t="n"/>
      <c r="L1031" s="69" t="n"/>
      <c r="M1031" s="72" t="n"/>
      <c r="W1031" s="69" t="n"/>
      <c r="X1031" s="69" t="n"/>
      <c r="Y1031" s="69" t="n"/>
      <c r="Z1031" s="69" t="n"/>
      <c r="AA1031" s="69" t="n"/>
      <c r="AB1031" s="69" t="n"/>
      <c r="AC1031" s="69" t="n"/>
    </row>
    <row r="1032">
      <c r="E1032" s="69" t="n"/>
      <c r="F1032" s="69" t="n"/>
      <c r="G1032" s="70" t="n"/>
      <c r="H1032" s="69" t="n"/>
      <c r="J1032" s="69" t="n"/>
      <c r="K1032" s="69" t="n"/>
      <c r="L1032" s="69" t="n"/>
      <c r="M1032" s="72" t="n"/>
      <c r="W1032" s="69" t="n"/>
      <c r="X1032" s="69" t="n"/>
      <c r="Y1032" s="69" t="n"/>
      <c r="Z1032" s="69" t="n"/>
      <c r="AA1032" s="69" t="n"/>
      <c r="AB1032" s="69" t="n"/>
      <c r="AC1032" s="69" t="n"/>
    </row>
    <row r="1033">
      <c r="E1033" s="69" t="n"/>
      <c r="F1033" s="69" t="n"/>
      <c r="G1033" s="70" t="n"/>
      <c r="H1033" s="69" t="n"/>
      <c r="J1033" s="69" t="n"/>
      <c r="K1033" s="69" t="n"/>
      <c r="L1033" s="69" t="n"/>
      <c r="M1033" s="72" t="n"/>
      <c r="W1033" s="69" t="n"/>
      <c r="X1033" s="69" t="n"/>
      <c r="Y1033" s="69" t="n"/>
      <c r="Z1033" s="69" t="n"/>
      <c r="AA1033" s="69" t="n"/>
      <c r="AB1033" s="69" t="n"/>
      <c r="AC1033" s="69" t="n"/>
    </row>
    <row r="1034">
      <c r="E1034" s="69" t="n"/>
      <c r="F1034" s="69" t="n"/>
      <c r="G1034" s="70" t="n"/>
      <c r="H1034" s="69" t="n"/>
      <c r="J1034" s="69" t="n"/>
      <c r="K1034" s="69" t="n"/>
      <c r="L1034" s="69" t="n"/>
      <c r="M1034" s="72" t="n"/>
      <c r="W1034" s="69" t="n"/>
      <c r="X1034" s="69" t="n"/>
      <c r="Y1034" s="69" t="n"/>
      <c r="Z1034" s="69" t="n"/>
      <c r="AA1034" s="69" t="n"/>
      <c r="AB1034" s="69" t="n"/>
      <c r="AC1034" s="69" t="n"/>
    </row>
    <row r="1035">
      <c r="E1035" s="69" t="n"/>
      <c r="F1035" s="69" t="n"/>
      <c r="G1035" s="70" t="n"/>
      <c r="H1035" s="69" t="n"/>
      <c r="J1035" s="69" t="n"/>
      <c r="K1035" s="69" t="n"/>
      <c r="L1035" s="69" t="n"/>
      <c r="M1035" s="72" t="n"/>
      <c r="W1035" s="69" t="n"/>
      <c r="X1035" s="69" t="n"/>
      <c r="Y1035" s="69" t="n"/>
      <c r="Z1035" s="69" t="n"/>
      <c r="AA1035" s="69" t="n"/>
      <c r="AB1035" s="69" t="n"/>
      <c r="AC1035" s="69" t="n"/>
    </row>
    <row r="1036">
      <c r="E1036" s="69" t="n"/>
      <c r="F1036" s="69" t="n"/>
      <c r="G1036" s="70" t="n"/>
      <c r="H1036" s="69" t="n"/>
      <c r="J1036" s="69" t="n"/>
      <c r="K1036" s="69" t="n"/>
      <c r="L1036" s="69" t="n"/>
      <c r="M1036" s="72" t="n"/>
      <c r="W1036" s="69" t="n"/>
      <c r="X1036" s="69" t="n"/>
      <c r="Y1036" s="69" t="n"/>
      <c r="Z1036" s="69" t="n"/>
      <c r="AA1036" s="69" t="n"/>
      <c r="AB1036" s="69" t="n"/>
      <c r="AC1036" s="69" t="n"/>
    </row>
    <row r="1037">
      <c r="E1037" s="69" t="n"/>
      <c r="F1037" s="69" t="n"/>
      <c r="G1037" s="70" t="n"/>
      <c r="H1037" s="69" t="n"/>
      <c r="J1037" s="69" t="n"/>
      <c r="K1037" s="69" t="n"/>
      <c r="L1037" s="69" t="n"/>
      <c r="M1037" s="72" t="n"/>
      <c r="W1037" s="69" t="n"/>
      <c r="X1037" s="69" t="n"/>
      <c r="Y1037" s="69" t="n"/>
      <c r="Z1037" s="69" t="n"/>
      <c r="AA1037" s="69" t="n"/>
      <c r="AB1037" s="69" t="n"/>
      <c r="AC1037" s="69" t="n"/>
    </row>
    <row r="1038">
      <c r="E1038" s="69" t="n"/>
      <c r="F1038" s="69" t="n"/>
      <c r="G1038" s="70" t="n"/>
      <c r="H1038" s="69" t="n"/>
      <c r="J1038" s="69" t="n"/>
      <c r="K1038" s="69" t="n"/>
      <c r="L1038" s="69" t="n"/>
      <c r="M1038" s="72" t="n"/>
      <c r="W1038" s="69" t="n"/>
      <c r="X1038" s="69" t="n"/>
      <c r="Y1038" s="69" t="n"/>
      <c r="Z1038" s="69" t="n"/>
      <c r="AA1038" s="69" t="n"/>
      <c r="AB1038" s="69" t="n"/>
      <c r="AC1038" s="69" t="n"/>
    </row>
    <row r="1039">
      <c r="E1039" s="69" t="n"/>
      <c r="F1039" s="69" t="n"/>
      <c r="G1039" s="70" t="n"/>
      <c r="H1039" s="69" t="n"/>
      <c r="J1039" s="69" t="n"/>
      <c r="K1039" s="69" t="n"/>
      <c r="L1039" s="69" t="n"/>
      <c r="M1039" s="72" t="n"/>
      <c r="W1039" s="69" t="n"/>
      <c r="X1039" s="69" t="n"/>
      <c r="Y1039" s="69" t="n"/>
      <c r="Z1039" s="69" t="n"/>
      <c r="AA1039" s="69" t="n"/>
      <c r="AB1039" s="69" t="n"/>
      <c r="AC1039" s="69" t="n"/>
    </row>
    <row r="1040">
      <c r="E1040" s="69" t="n"/>
      <c r="F1040" s="69" t="n"/>
      <c r="G1040" s="70" t="n"/>
      <c r="H1040" s="69" t="n"/>
      <c r="J1040" s="69" t="n"/>
      <c r="K1040" s="69" t="n"/>
      <c r="L1040" s="69" t="n"/>
      <c r="M1040" s="72" t="n"/>
      <c r="W1040" s="69" t="n"/>
      <c r="X1040" s="69" t="n"/>
      <c r="Y1040" s="69" t="n"/>
      <c r="Z1040" s="69" t="n"/>
      <c r="AA1040" s="69" t="n"/>
      <c r="AB1040" s="69" t="n"/>
      <c r="AC1040" s="69" t="n"/>
    </row>
    <row r="1041">
      <c r="E1041" s="69" t="n"/>
      <c r="F1041" s="69" t="n"/>
      <c r="G1041" s="70" t="n"/>
      <c r="H1041" s="69" t="n"/>
      <c r="J1041" s="69" t="n"/>
      <c r="K1041" s="69" t="n"/>
      <c r="L1041" s="69" t="n"/>
      <c r="M1041" s="72" t="n"/>
      <c r="W1041" s="69" t="n"/>
      <c r="X1041" s="69" t="n"/>
      <c r="Y1041" s="69" t="n"/>
      <c r="Z1041" s="69" t="n"/>
      <c r="AA1041" s="69" t="n"/>
      <c r="AB1041" s="69" t="n"/>
      <c r="AC1041" s="69" t="n"/>
    </row>
    <row r="1042">
      <c r="E1042" s="69" t="n"/>
      <c r="F1042" s="69" t="n"/>
      <c r="G1042" s="70" t="n"/>
      <c r="H1042" s="69" t="n"/>
      <c r="J1042" s="69" t="n"/>
      <c r="K1042" s="69" t="n"/>
      <c r="L1042" s="69" t="n"/>
      <c r="M1042" s="72" t="n"/>
      <c r="W1042" s="69" t="n"/>
      <c r="X1042" s="69" t="n"/>
      <c r="Y1042" s="69" t="n"/>
      <c r="Z1042" s="69" t="n"/>
      <c r="AA1042" s="69" t="n"/>
      <c r="AB1042" s="69" t="n"/>
      <c r="AC1042" s="69" t="n"/>
    </row>
    <row r="1043">
      <c r="E1043" s="69" t="n"/>
      <c r="F1043" s="69" t="n"/>
      <c r="G1043" s="70" t="n"/>
      <c r="H1043" s="69" t="n"/>
      <c r="J1043" s="69" t="n"/>
      <c r="K1043" s="69" t="n"/>
      <c r="L1043" s="69" t="n"/>
      <c r="M1043" s="72" t="n"/>
      <c r="W1043" s="69" t="n"/>
      <c r="X1043" s="69" t="n"/>
      <c r="Y1043" s="69" t="n"/>
      <c r="Z1043" s="69" t="n"/>
      <c r="AA1043" s="69" t="n"/>
      <c r="AB1043" s="69" t="n"/>
      <c r="AC1043" s="69" t="n"/>
    </row>
    <row r="1044">
      <c r="E1044" s="69" t="n"/>
      <c r="F1044" s="69" t="n"/>
      <c r="G1044" s="70" t="n"/>
      <c r="H1044" s="69" t="n"/>
      <c r="J1044" s="69" t="n"/>
      <c r="K1044" s="69" t="n"/>
      <c r="L1044" s="69" t="n"/>
      <c r="M1044" s="72" t="n"/>
      <c r="W1044" s="69" t="n"/>
      <c r="X1044" s="69" t="n"/>
      <c r="Y1044" s="69" t="n"/>
      <c r="Z1044" s="69" t="n"/>
      <c r="AA1044" s="69" t="n"/>
      <c r="AB1044" s="69" t="n"/>
      <c r="AC1044" s="69" t="n"/>
    </row>
    <row r="1045">
      <c r="E1045" s="69" t="n"/>
      <c r="F1045" s="69" t="n"/>
      <c r="G1045" s="70" t="n"/>
      <c r="H1045" s="69" t="n"/>
      <c r="J1045" s="69" t="n"/>
      <c r="K1045" s="69" t="n"/>
      <c r="L1045" s="69" t="n"/>
      <c r="M1045" s="72" t="n"/>
      <c r="W1045" s="69" t="n"/>
      <c r="X1045" s="69" t="n"/>
      <c r="Y1045" s="69" t="n"/>
      <c r="Z1045" s="69" t="n"/>
      <c r="AA1045" s="69" t="n"/>
      <c r="AB1045" s="69" t="n"/>
      <c r="AC1045" s="69" t="n"/>
    </row>
    <row r="1046">
      <c r="E1046" s="69" t="n"/>
      <c r="F1046" s="69" t="n"/>
      <c r="G1046" s="70" t="n"/>
      <c r="H1046" s="69" t="n"/>
      <c r="J1046" s="69" t="n"/>
      <c r="K1046" s="69" t="n"/>
      <c r="L1046" s="69" t="n"/>
      <c r="M1046" s="72" t="n"/>
      <c r="W1046" s="69" t="n"/>
      <c r="X1046" s="69" t="n"/>
      <c r="Y1046" s="69" t="n"/>
      <c r="Z1046" s="69" t="n"/>
      <c r="AA1046" s="69" t="n"/>
      <c r="AB1046" s="69" t="n"/>
      <c r="AC1046" s="69" t="n"/>
    </row>
    <row r="1047">
      <c r="E1047" s="69" t="n"/>
      <c r="F1047" s="69" t="n"/>
      <c r="G1047" s="70" t="n"/>
      <c r="H1047" s="69" t="n"/>
      <c r="J1047" s="69" t="n"/>
      <c r="K1047" s="69" t="n"/>
      <c r="L1047" s="69" t="n"/>
      <c r="M1047" s="72" t="n"/>
      <c r="W1047" s="69" t="n"/>
      <c r="X1047" s="69" t="n"/>
      <c r="Y1047" s="69" t="n"/>
      <c r="Z1047" s="69" t="n"/>
      <c r="AA1047" s="69" t="n"/>
      <c r="AB1047" s="69" t="n"/>
      <c r="AC1047" s="69" t="n"/>
    </row>
    <row r="1048">
      <c r="E1048" s="69" t="n"/>
      <c r="F1048" s="69" t="n"/>
      <c r="G1048" s="70" t="n"/>
      <c r="H1048" s="69" t="n"/>
      <c r="J1048" s="69" t="n"/>
      <c r="K1048" s="69" t="n"/>
      <c r="L1048" s="69" t="n"/>
      <c r="M1048" s="72" t="n"/>
      <c r="W1048" s="69" t="n"/>
      <c r="X1048" s="69" t="n"/>
      <c r="Y1048" s="69" t="n"/>
      <c r="Z1048" s="69" t="n"/>
      <c r="AA1048" s="69" t="n"/>
      <c r="AB1048" s="69" t="n"/>
      <c r="AC1048" s="69" t="n"/>
    </row>
    <row r="1049">
      <c r="E1049" s="69" t="n"/>
      <c r="F1049" s="69" t="n"/>
      <c r="G1049" s="70" t="n"/>
      <c r="H1049" s="69" t="n"/>
      <c r="J1049" s="69" t="n"/>
      <c r="K1049" s="69" t="n"/>
      <c r="L1049" s="69" t="n"/>
      <c r="M1049" s="72" t="n"/>
      <c r="W1049" s="69" t="n"/>
      <c r="X1049" s="69" t="n"/>
      <c r="Y1049" s="69" t="n"/>
      <c r="Z1049" s="69" t="n"/>
      <c r="AA1049" s="69" t="n"/>
      <c r="AB1049" s="69" t="n"/>
      <c r="AC1049" s="69" t="n"/>
    </row>
    <row r="1050">
      <c r="E1050" s="69" t="n"/>
      <c r="F1050" s="69" t="n"/>
      <c r="G1050" s="70" t="n"/>
      <c r="H1050" s="69" t="n"/>
      <c r="J1050" s="69" t="n"/>
      <c r="K1050" s="69" t="n"/>
      <c r="L1050" s="69" t="n"/>
      <c r="M1050" s="72" t="n"/>
      <c r="W1050" s="69" t="n"/>
      <c r="X1050" s="69" t="n"/>
      <c r="Y1050" s="69" t="n"/>
      <c r="Z1050" s="69" t="n"/>
      <c r="AA1050" s="69" t="n"/>
      <c r="AB1050" s="69" t="n"/>
      <c r="AC1050" s="69" t="n"/>
    </row>
    <row r="1051">
      <c r="E1051" s="69" t="n"/>
      <c r="F1051" s="69" t="n"/>
      <c r="G1051" s="70" t="n"/>
      <c r="H1051" s="69" t="n"/>
      <c r="J1051" s="69" t="n"/>
      <c r="K1051" s="69" t="n"/>
      <c r="L1051" s="69" t="n"/>
      <c r="M1051" s="72" t="n"/>
      <c r="W1051" s="69" t="n"/>
      <c r="X1051" s="69" t="n"/>
      <c r="Y1051" s="69" t="n"/>
      <c r="Z1051" s="69" t="n"/>
      <c r="AA1051" s="69" t="n"/>
      <c r="AB1051" s="69" t="n"/>
      <c r="AC1051" s="69" t="n"/>
    </row>
    <row r="1052">
      <c r="E1052" s="69" t="n"/>
      <c r="F1052" s="69" t="n"/>
      <c r="G1052" s="70" t="n"/>
      <c r="H1052" s="69" t="n"/>
      <c r="J1052" s="69" t="n"/>
      <c r="K1052" s="69" t="n"/>
      <c r="L1052" s="69" t="n"/>
      <c r="M1052" s="72" t="n"/>
      <c r="W1052" s="69" t="n"/>
      <c r="X1052" s="69" t="n"/>
      <c r="Y1052" s="69" t="n"/>
      <c r="Z1052" s="69" t="n"/>
      <c r="AA1052" s="69" t="n"/>
      <c r="AB1052" s="69" t="n"/>
      <c r="AC1052" s="69" t="n"/>
    </row>
    <row r="1053">
      <c r="E1053" s="69" t="n"/>
      <c r="F1053" s="69" t="n"/>
      <c r="G1053" s="70" t="n"/>
      <c r="H1053" s="69" t="n"/>
      <c r="J1053" s="69" t="n"/>
      <c r="K1053" s="69" t="n"/>
      <c r="L1053" s="69" t="n"/>
      <c r="M1053" s="72" t="n"/>
      <c r="W1053" s="69" t="n"/>
      <c r="X1053" s="69" t="n"/>
      <c r="Y1053" s="69" t="n"/>
      <c r="Z1053" s="69" t="n"/>
      <c r="AA1053" s="69" t="n"/>
      <c r="AB1053" s="69" t="n"/>
      <c r="AC1053" s="69" t="n"/>
    </row>
    <row r="1054">
      <c r="E1054" s="69" t="n"/>
      <c r="F1054" s="69" t="n"/>
      <c r="G1054" s="70" t="n"/>
      <c r="H1054" s="69" t="n"/>
      <c r="J1054" s="69" t="n"/>
      <c r="K1054" s="69" t="n"/>
      <c r="L1054" s="69" t="n"/>
      <c r="M1054" s="72" t="n"/>
      <c r="W1054" s="69" t="n"/>
      <c r="X1054" s="69" t="n"/>
      <c r="Y1054" s="69" t="n"/>
      <c r="Z1054" s="69" t="n"/>
      <c r="AA1054" s="69" t="n"/>
      <c r="AB1054" s="69" t="n"/>
      <c r="AC1054" s="69" t="n"/>
    </row>
    <row r="1055">
      <c r="E1055" s="69" t="n"/>
      <c r="F1055" s="69" t="n"/>
      <c r="G1055" s="70" t="n"/>
      <c r="H1055" s="69" t="n"/>
      <c r="J1055" s="69" t="n"/>
      <c r="K1055" s="69" t="n"/>
      <c r="L1055" s="69" t="n"/>
      <c r="M1055" s="72" t="n"/>
      <c r="W1055" s="69" t="n"/>
      <c r="X1055" s="69" t="n"/>
      <c r="Y1055" s="69" t="n"/>
      <c r="Z1055" s="69" t="n"/>
      <c r="AA1055" s="69" t="n"/>
      <c r="AB1055" s="69" t="n"/>
      <c r="AC1055" s="69" t="n"/>
    </row>
    <row r="1056">
      <c r="E1056" s="69" t="n"/>
      <c r="F1056" s="69" t="n"/>
      <c r="G1056" s="70" t="n"/>
      <c r="H1056" s="69" t="n"/>
      <c r="J1056" s="69" t="n"/>
      <c r="K1056" s="69" t="n"/>
      <c r="L1056" s="69" t="n"/>
      <c r="M1056" s="72" t="n"/>
      <c r="W1056" s="69" t="n"/>
      <c r="X1056" s="69" t="n"/>
      <c r="Y1056" s="69" t="n"/>
      <c r="Z1056" s="69" t="n"/>
      <c r="AA1056" s="69" t="n"/>
      <c r="AB1056" s="69" t="n"/>
      <c r="AC1056" s="69" t="n"/>
    </row>
    <row r="1057">
      <c r="E1057" s="69" t="n"/>
      <c r="F1057" s="69" t="n"/>
      <c r="G1057" s="70" t="n"/>
      <c r="H1057" s="69" t="n"/>
      <c r="J1057" s="69" t="n"/>
      <c r="K1057" s="69" t="n"/>
      <c r="L1057" s="69" t="n"/>
      <c r="W1057" s="69" t="n"/>
      <c r="X1057" s="69" t="n"/>
      <c r="Y1057" s="69" t="n"/>
      <c r="Z1057" s="69" t="n"/>
      <c r="AA1057" s="69" t="n"/>
      <c r="AB1057" s="69" t="n"/>
      <c r="AC1057" s="69" t="n"/>
    </row>
    <row r="1058">
      <c r="E1058" s="69" t="n"/>
      <c r="F1058" s="69" t="n"/>
      <c r="G1058" s="70" t="n"/>
      <c r="H1058" s="69" t="n"/>
      <c r="J1058" s="69" t="n"/>
      <c r="K1058" s="69" t="n"/>
      <c r="L1058" s="69" t="n"/>
      <c r="W1058" s="69" t="n"/>
      <c r="X1058" s="69" t="n"/>
      <c r="Y1058" s="69" t="n"/>
      <c r="Z1058" s="69" t="n"/>
      <c r="AA1058" s="69" t="n"/>
      <c r="AB1058" s="69" t="n"/>
      <c r="AC1058" s="69" t="n"/>
    </row>
    <row r="1059">
      <c r="E1059" s="69" t="n"/>
      <c r="F1059" s="69" t="n"/>
      <c r="G1059" s="70" t="n"/>
      <c r="H1059" s="69" t="n"/>
      <c r="J1059" s="69" t="n"/>
      <c r="K1059" s="69" t="n"/>
      <c r="L1059" s="69" t="n"/>
      <c r="W1059" s="69" t="n"/>
      <c r="X1059" s="69" t="n"/>
      <c r="Y1059" s="69" t="n"/>
      <c r="Z1059" s="69" t="n"/>
      <c r="AA1059" s="69" t="n"/>
      <c r="AB1059" s="69" t="n"/>
      <c r="AC1059" s="69" t="n"/>
    </row>
    <row r="1060">
      <c r="E1060" s="69" t="n"/>
      <c r="F1060" s="69" t="n"/>
      <c r="G1060" s="70" t="n"/>
      <c r="H1060" s="69" t="n"/>
      <c r="J1060" s="69" t="n"/>
      <c r="K1060" s="69" t="n"/>
      <c r="L1060" s="69" t="n"/>
      <c r="W1060" s="69" t="n"/>
      <c r="X1060" s="69" t="n"/>
      <c r="Y1060" s="69" t="n"/>
      <c r="Z1060" s="69" t="n"/>
      <c r="AA1060" s="69" t="n"/>
      <c r="AB1060" s="69" t="n"/>
      <c r="AC1060" s="69" t="n"/>
    </row>
    <row r="1061">
      <c r="E1061" s="69" t="n"/>
      <c r="F1061" s="69" t="n"/>
      <c r="G1061" s="70" t="n"/>
      <c r="H1061" s="69" t="n"/>
      <c r="J1061" s="69" t="n"/>
      <c r="K1061" s="69" t="n"/>
      <c r="L1061" s="69" t="n"/>
      <c r="W1061" s="69" t="n"/>
      <c r="X1061" s="69" t="n"/>
      <c r="Y1061" s="69" t="n"/>
      <c r="Z1061" s="69" t="n"/>
      <c r="AA1061" s="69" t="n"/>
      <c r="AB1061" s="69" t="n"/>
      <c r="AC1061" s="69" t="n"/>
    </row>
    <row r="1062">
      <c r="E1062" s="69" t="n"/>
      <c r="F1062" s="69" t="n"/>
      <c r="G1062" s="70" t="n"/>
      <c r="H1062" s="69" t="n"/>
      <c r="J1062" s="69" t="n"/>
      <c r="K1062" s="69" t="n"/>
      <c r="L1062" s="69" t="n"/>
      <c r="W1062" s="69" t="n"/>
      <c r="X1062" s="69" t="n"/>
      <c r="Y1062" s="69" t="n"/>
      <c r="Z1062" s="69" t="n"/>
      <c r="AA1062" s="69" t="n"/>
      <c r="AB1062" s="69" t="n"/>
      <c r="AC1062" s="69" t="n"/>
    </row>
    <row r="1063">
      <c r="E1063" s="69" t="n"/>
      <c r="F1063" s="69" t="n"/>
      <c r="G1063" s="70" t="n"/>
      <c r="H1063" s="69" t="n"/>
      <c r="J1063" s="69" t="n"/>
      <c r="K1063" s="69" t="n"/>
      <c r="L1063" s="69" t="n"/>
      <c r="W1063" s="69" t="n"/>
      <c r="X1063" s="69" t="n"/>
      <c r="Y1063" s="69" t="n"/>
      <c r="Z1063" s="69" t="n"/>
      <c r="AA1063" s="69" t="n"/>
      <c r="AB1063" s="69" t="n"/>
      <c r="AC1063" s="69" t="n"/>
    </row>
    <row r="1064">
      <c r="E1064" s="69" t="n"/>
      <c r="F1064" s="69" t="n"/>
      <c r="G1064" s="70" t="n"/>
      <c r="H1064" s="69" t="n"/>
      <c r="J1064" s="69" t="n"/>
      <c r="K1064" s="69" t="n"/>
      <c r="L1064" s="69" t="n"/>
      <c r="W1064" s="69" t="n"/>
      <c r="X1064" s="69" t="n"/>
      <c r="Y1064" s="69" t="n"/>
      <c r="Z1064" s="69" t="n"/>
      <c r="AA1064" s="69" t="n"/>
      <c r="AB1064" s="69" t="n"/>
      <c r="AC1064" s="69" t="n"/>
    </row>
    <row r="1065">
      <c r="E1065" s="69" t="n"/>
      <c r="F1065" s="69" t="n"/>
      <c r="G1065" s="70" t="n"/>
      <c r="H1065" s="69" t="n"/>
      <c r="J1065" s="69" t="n"/>
      <c r="K1065" s="69" t="n"/>
      <c r="L1065" s="69" t="n"/>
      <c r="W1065" s="69" t="n"/>
      <c r="X1065" s="69" t="n"/>
      <c r="Y1065" s="69" t="n"/>
      <c r="Z1065" s="69" t="n"/>
      <c r="AA1065" s="69" t="n"/>
      <c r="AB1065" s="69" t="n"/>
      <c r="AC1065" s="69" t="n"/>
    </row>
    <row r="1066">
      <c r="E1066" s="69" t="n"/>
      <c r="F1066" s="69" t="n"/>
      <c r="G1066" s="70" t="n"/>
      <c r="H1066" s="69" t="n"/>
      <c r="J1066" s="69" t="n"/>
      <c r="K1066" s="69" t="n"/>
      <c r="L1066" s="69" t="n"/>
      <c r="W1066" s="69" t="n"/>
      <c r="X1066" s="69" t="n"/>
      <c r="Y1066" s="69" t="n"/>
      <c r="Z1066" s="69" t="n"/>
      <c r="AA1066" s="69" t="n"/>
      <c r="AB1066" s="69" t="n"/>
      <c r="AC1066" s="69" t="n"/>
    </row>
    <row r="1067">
      <c r="E1067" s="69" t="n"/>
      <c r="F1067" s="69" t="n"/>
      <c r="G1067" s="70" t="n"/>
      <c r="H1067" s="69" t="n"/>
      <c r="J1067" s="69" t="n"/>
      <c r="K1067" s="69" t="n"/>
      <c r="L1067" s="69" t="n"/>
      <c r="W1067" s="69" t="n"/>
      <c r="X1067" s="69" t="n"/>
      <c r="Y1067" s="69" t="n"/>
      <c r="Z1067" s="69" t="n"/>
      <c r="AA1067" s="69" t="n"/>
      <c r="AB1067" s="69" t="n"/>
      <c r="AC1067" s="69" t="n"/>
    </row>
    <row r="1068">
      <c r="E1068" s="69" t="n"/>
      <c r="F1068" s="69" t="n"/>
      <c r="G1068" s="70" t="n"/>
      <c r="H1068" s="69" t="n"/>
      <c r="J1068" s="69" t="n"/>
      <c r="K1068" s="69" t="n"/>
      <c r="L1068" s="69" t="n"/>
      <c r="W1068" s="69" t="n"/>
      <c r="X1068" s="69" t="n"/>
      <c r="Y1068" s="69" t="n"/>
      <c r="Z1068" s="69" t="n"/>
      <c r="AA1068" s="69" t="n"/>
      <c r="AB1068" s="69" t="n"/>
      <c r="AC1068" s="69" t="n"/>
    </row>
    <row r="1069">
      <c r="E1069" s="69" t="n"/>
      <c r="F1069" s="69" t="n"/>
      <c r="G1069" s="70" t="n"/>
      <c r="H1069" s="69" t="n"/>
      <c r="J1069" s="69" t="n"/>
      <c r="K1069" s="69" t="n"/>
      <c r="L1069" s="69" t="n"/>
      <c r="W1069" s="69" t="n"/>
      <c r="X1069" s="69" t="n"/>
      <c r="Y1069" s="69" t="n"/>
      <c r="Z1069" s="69" t="n"/>
      <c r="AA1069" s="69" t="n"/>
      <c r="AB1069" s="69" t="n"/>
      <c r="AC1069" s="69" t="n"/>
    </row>
    <row r="1070">
      <c r="E1070" s="69" t="n"/>
      <c r="F1070" s="69" t="n"/>
      <c r="G1070" s="70" t="n"/>
      <c r="H1070" s="69" t="n"/>
      <c r="J1070" s="69" t="n"/>
      <c r="K1070" s="69" t="n"/>
      <c r="L1070" s="69" t="n"/>
      <c r="W1070" s="69" t="n"/>
      <c r="X1070" s="69" t="n"/>
      <c r="Y1070" s="69" t="n"/>
      <c r="Z1070" s="69" t="n"/>
      <c r="AA1070" s="69" t="n"/>
      <c r="AB1070" s="69" t="n"/>
      <c r="AC1070" s="69" t="n"/>
    </row>
    <row r="1071">
      <c r="E1071" s="69" t="n"/>
      <c r="F1071" s="69" t="n"/>
      <c r="G1071" s="70" t="n"/>
      <c r="H1071" s="69" t="n"/>
      <c r="J1071" s="69" t="n"/>
      <c r="K1071" s="69" t="n"/>
      <c r="L1071" s="69" t="n"/>
      <c r="W1071" s="69" t="n"/>
      <c r="X1071" s="69" t="n"/>
      <c r="Y1071" s="69" t="n"/>
      <c r="Z1071" s="69" t="n"/>
      <c r="AA1071" s="69" t="n"/>
      <c r="AB1071" s="69" t="n"/>
      <c r="AC1071" s="69" t="n"/>
    </row>
    <row r="1072">
      <c r="E1072" s="69" t="n"/>
      <c r="F1072" s="69" t="n"/>
      <c r="G1072" s="70" t="n"/>
      <c r="H1072" s="69" t="n"/>
      <c r="J1072" s="69" t="n"/>
      <c r="K1072" s="69" t="n"/>
      <c r="L1072" s="69" t="n"/>
      <c r="W1072" s="69" t="n"/>
      <c r="X1072" s="69" t="n"/>
      <c r="Y1072" s="69" t="n"/>
      <c r="Z1072" s="69" t="n"/>
      <c r="AA1072" s="69" t="n"/>
      <c r="AB1072" s="69" t="n"/>
      <c r="AC1072" s="69" t="n"/>
    </row>
    <row r="1073">
      <c r="E1073" s="69" t="n"/>
      <c r="F1073" s="69" t="n"/>
      <c r="G1073" s="70" t="n"/>
      <c r="H1073" s="69" t="n"/>
      <c r="J1073" s="69" t="n"/>
      <c r="K1073" s="69" t="n"/>
      <c r="L1073" s="69" t="n"/>
      <c r="W1073" s="69" t="n"/>
      <c r="X1073" s="69" t="n"/>
      <c r="Y1073" s="69" t="n"/>
      <c r="Z1073" s="69" t="n"/>
      <c r="AA1073" s="69" t="n"/>
      <c r="AB1073" s="69" t="n"/>
      <c r="AC1073" s="69" t="n"/>
    </row>
  </sheetData>
  <autoFilter ref="$A$4:$AO$125"/>
  <mergeCells count="5">
    <mergeCell ref="W2:AC3"/>
    <mergeCell ref="S3:V3"/>
    <mergeCell ref="K2:V2"/>
    <mergeCell ref="K3:N3"/>
    <mergeCell ref="O3:R3"/>
  </mergeCells>
  <conditionalFormatting sqref="C1:C1047 D73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47 C73">
    <cfRule type="containsText" priority="3" operator="containsText" dxfId="2" text="DIV">
      <formula>NOT(ISERROR(SEARCH(("DIV"),(B1))))</formula>
    </cfRule>
  </conditionalFormatting>
  <conditionalFormatting sqref="A5:AD118">
    <cfRule type="expression" priority="4" dxfId="1">
      <formula>NOT(ISBLANK($W5))</formula>
    </cfRule>
  </conditionalFormatting>
  <conditionalFormatting sqref="K5:K118 O5:O118 S5:S11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2" t="n"/>
      <c r="B1" s="74" t="inlineStr">
        <is>
          <t>Code</t>
        </is>
      </c>
      <c r="C1" s="72" t="inlineStr">
        <is>
          <t>NSE:ITC</t>
        </is>
      </c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</row>
    <row r="2">
      <c r="A2" s="72" t="n"/>
      <c r="B2" s="74" t="inlineStr">
        <is>
          <t>Current Price</t>
        </is>
      </c>
      <c r="C2" s="73">
        <f>IFERROR(__xludf.DUMMYFUNCTION("GOOGLEFINANCE($C$1, ""price"")"),318.1)</f>
        <v/>
      </c>
      <c r="D2" s="72" t="n"/>
      <c r="E2" s="74" t="inlineStr">
        <is>
          <t>Commission</t>
        </is>
      </c>
      <c r="F2" s="75" t="n">
        <v>0.007</v>
      </c>
      <c r="G2" s="72" t="n"/>
      <c r="J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2" t="n"/>
      <c r="W2" s="72" t="n"/>
      <c r="X2" s="72" t="n"/>
      <c r="Y2" s="72" t="n"/>
    </row>
    <row r="3">
      <c r="A3" s="72" t="n"/>
      <c r="B3" s="74" t="inlineStr">
        <is>
          <t>52 Week High</t>
        </is>
      </c>
      <c r="C3" s="73">
        <f>IFERROR(__xludf.DUMMYFUNCTION("GOOGLEFINANCE($C$1, ""high52"")"),444.2)</f>
        <v/>
      </c>
      <c r="D3" s="72" t="n"/>
      <c r="E3" s="72" t="n"/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2" t="n"/>
      <c r="T3" s="72" t="n"/>
      <c r="U3" s="72" t="n"/>
      <c r="V3" s="72" t="n"/>
      <c r="W3" s="72" t="n"/>
      <c r="X3" s="72" t="n"/>
      <c r="Y3" s="72" t="n"/>
    </row>
    <row r="4">
      <c r="A4" s="72" t="n"/>
      <c r="B4" s="74" t="inlineStr">
        <is>
          <t>52 Week Low</t>
        </is>
      </c>
      <c r="C4" s="73">
        <f>IFERROR(__xludf.DUMMYFUNCTION("GOOGLEFINANCE($C$1, ""low52"")"),302.0)</f>
        <v/>
      </c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  <c r="M4" s="72" t="n"/>
      <c r="N4" s="72" t="n"/>
      <c r="O4" s="72" t="n"/>
      <c r="P4" s="72" t="n"/>
      <c r="Q4" s="72" t="n"/>
      <c r="R4" s="72" t="n"/>
      <c r="S4" s="72" t="n"/>
      <c r="T4" s="72" t="n"/>
      <c r="U4" s="72" t="n"/>
      <c r="V4" s="72" t="n"/>
      <c r="W4" s="72" t="n"/>
      <c r="X4" s="72" t="n"/>
      <c r="Y4" s="72" t="n"/>
    </row>
    <row r="5">
      <c r="A5" s="72" t="n"/>
      <c r="B5" s="6" t="n"/>
      <c r="C5" s="6" t="n"/>
      <c r="D5" s="6" t="n"/>
      <c r="E5" s="6" t="n"/>
      <c r="F5" s="6" t="n"/>
      <c r="G5" s="6" t="n"/>
      <c r="H5" s="6" t="n"/>
      <c r="I5" s="6" t="n"/>
      <c r="J5" s="72" t="n"/>
      <c r="K5" s="72" t="n"/>
      <c r="L5" s="72" t="n"/>
      <c r="M5" s="72" t="n"/>
      <c r="N5" s="72" t="n"/>
      <c r="O5" s="72" t="n"/>
      <c r="P5" s="72" t="n"/>
      <c r="Q5" s="72" t="n"/>
      <c r="R5" s="72" t="n"/>
      <c r="S5" s="72" t="n"/>
      <c r="T5" s="72" t="n"/>
      <c r="U5" s="72" t="n"/>
      <c r="V5" s="72" t="n"/>
      <c r="W5" s="72" t="n"/>
      <c r="X5" s="72" t="n"/>
      <c r="Y5" s="72" t="n"/>
    </row>
    <row r="6">
      <c r="A6" s="76" t="n"/>
      <c r="B6" s="102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72" t="n"/>
      <c r="K6" s="72" t="n"/>
      <c r="L6" s="72" t="n"/>
      <c r="M6" s="72" t="n"/>
      <c r="N6" s="72" t="n"/>
      <c r="O6" s="72" t="n"/>
      <c r="P6" s="72" t="n"/>
      <c r="Q6" s="72" t="n"/>
      <c r="R6" s="72" t="n"/>
      <c r="S6" s="72" t="n"/>
      <c r="T6" s="72" t="n"/>
      <c r="U6" s="72" t="n"/>
      <c r="V6" s="72" t="n"/>
      <c r="W6" s="72" t="n"/>
      <c r="X6" s="72" t="n"/>
      <c r="Y6" s="72" t="n"/>
    </row>
    <row r="7">
      <c r="A7" s="72" t="n"/>
      <c r="B7" s="6" t="n"/>
      <c r="C7" s="72" t="n"/>
      <c r="D7" s="72" t="n"/>
      <c r="E7" s="6" t="n"/>
      <c r="F7" s="72" t="n"/>
      <c r="G7" s="72" t="n"/>
      <c r="H7" s="6" t="n"/>
      <c r="I7" s="72" t="n"/>
      <c r="J7" s="72" t="n"/>
      <c r="K7" s="6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</row>
    <row r="8">
      <c r="A8" s="78" t="inlineStr">
        <is>
          <t>All</t>
        </is>
      </c>
      <c r="B8" s="79" t="inlineStr">
        <is>
          <t>Units</t>
        </is>
      </c>
      <c r="C8" s="80">
        <f>SUM('Trading History'!$N$4:$N1005)</f>
        <v/>
      </c>
      <c r="D8" s="76" t="n"/>
      <c r="E8" s="81" t="inlineStr">
        <is>
          <t>ST Units</t>
        </is>
      </c>
      <c r="F8" s="80">
        <f>IFERROR(SUM('Trading History'!$R$4:$R1005), 0)</f>
        <v/>
      </c>
      <c r="G8" s="76" t="n"/>
      <c r="H8" s="82" t="inlineStr">
        <is>
          <t>LT Units</t>
        </is>
      </c>
      <c r="I8" s="80">
        <f>SUM('Trading History'!$V$4:$V1005)</f>
        <v/>
      </c>
      <c r="J8" s="76" t="n"/>
      <c r="K8" s="83" t="inlineStr">
        <is>
          <t>Units</t>
        </is>
      </c>
      <c r="L8" s="80">
        <f>SUM('Trading History'!$AB$4:$AB1005)</f>
        <v/>
      </c>
      <c r="M8" s="72" t="n"/>
      <c r="N8" s="72" t="n"/>
      <c r="O8" s="72" t="n"/>
      <c r="P8" s="72" t="n"/>
      <c r="Q8" s="72" t="n"/>
      <c r="R8" s="72" t="n"/>
      <c r="S8" s="72" t="n"/>
      <c r="T8" s="72" t="n"/>
      <c r="U8" s="72" t="n"/>
      <c r="V8" s="72" t="n"/>
      <c r="W8" s="72" t="n"/>
      <c r="X8" s="72" t="n"/>
      <c r="Y8" s="72" t="n"/>
    </row>
    <row r="9">
      <c r="A9" s="84" t="n"/>
      <c r="B9" s="85" t="inlineStr">
        <is>
          <t>Avg %</t>
        </is>
      </c>
      <c r="C9" s="75">
        <f>IFERROR(Index!C10/(Index!C8*Index!$C$2), 0)</f>
        <v/>
      </c>
      <c r="D9" s="76" t="n"/>
      <c r="E9" s="86" t="inlineStr">
        <is>
          <t>ST Avg %</t>
        </is>
      </c>
      <c r="F9" s="75">
        <f>IFERROR(Index!F10/(Index!F8*Index!$C$2), 0)</f>
        <v/>
      </c>
      <c r="G9" s="76" t="n"/>
      <c r="H9" s="87" t="inlineStr">
        <is>
          <t>LT Avg %</t>
        </is>
      </c>
      <c r="I9" s="75">
        <f>IFERROR(Index!I10/(Index!I8*Index!$C$2), 0)</f>
        <v/>
      </c>
      <c r="J9" s="76" t="n"/>
      <c r="K9" s="88" t="inlineStr">
        <is>
          <t>Avg %</t>
        </is>
      </c>
      <c r="L9" s="75">
        <f>IFERROR(Index!L10/(Index!L8*Index!$C$2), 0)</f>
        <v/>
      </c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</row>
    <row r="10">
      <c r="A10" s="84" t="n"/>
      <c r="B10" s="85" t="inlineStr">
        <is>
          <t>Gain</t>
        </is>
      </c>
      <c r="C10" s="89">
        <f>SUM('Trading History'!$L$4:$L1005)</f>
        <v/>
      </c>
      <c r="D10" s="76" t="n"/>
      <c r="E10" s="86" t="inlineStr">
        <is>
          <t>ST Gain</t>
        </is>
      </c>
      <c r="F10" s="89">
        <f>SUM('Trading History'!$P$4:$P1005)</f>
        <v/>
      </c>
      <c r="G10" s="76" t="n"/>
      <c r="H10" s="87" t="inlineStr">
        <is>
          <t>LT Gain</t>
        </is>
      </c>
      <c r="I10" s="89">
        <f>SUM('Trading History'!$T$4:$T1005)</f>
        <v/>
      </c>
      <c r="J10" s="76" t="n"/>
      <c r="K10" s="88" t="inlineStr">
        <is>
          <t>Gain</t>
        </is>
      </c>
      <c r="L10" s="89">
        <f>SUM('Trading History'!$Z$4:$Z1005)</f>
        <v/>
      </c>
      <c r="M10" s="72" t="n"/>
      <c r="N10" s="72" t="n"/>
      <c r="O10" s="72" t="n"/>
      <c r="P10" s="72" t="n"/>
      <c r="Q10" s="72" t="n"/>
      <c r="R10" s="72" t="n"/>
      <c r="S10" s="72" t="n"/>
      <c r="T10" s="72" t="n"/>
      <c r="U10" s="72" t="n"/>
      <c r="V10" s="72" t="n"/>
      <c r="W10" s="72" t="n"/>
      <c r="X10" s="72" t="n"/>
      <c r="Y10" s="72" t="n"/>
    </row>
    <row r="11">
      <c r="A11" s="84" t="n"/>
      <c r="B11" s="85" t="inlineStr">
        <is>
          <t>Invested</t>
        </is>
      </c>
      <c r="C11" s="89">
        <f>Index!C12-Index!C10</f>
        <v/>
      </c>
      <c r="D11" s="76" t="n"/>
      <c r="E11" s="86" t="inlineStr">
        <is>
          <t>ST Invested</t>
        </is>
      </c>
      <c r="F11" s="89">
        <f>Index!F12-Index!F10</f>
        <v/>
      </c>
      <c r="G11" s="76" t="n"/>
      <c r="H11" s="87" t="inlineStr">
        <is>
          <t>LT Invested</t>
        </is>
      </c>
      <c r="I11" s="89">
        <f>Index!I12-Index!I10</f>
        <v/>
      </c>
      <c r="J11" s="76" t="n"/>
      <c r="K11" s="88" t="inlineStr">
        <is>
          <t>Invested</t>
        </is>
      </c>
      <c r="L11" s="89">
        <f>Index!L12-Index!L10</f>
        <v/>
      </c>
      <c r="M11" s="72" t="n"/>
      <c r="N11" s="72" t="n"/>
      <c r="O11" s="72" t="n"/>
      <c r="P11" s="72" t="n"/>
      <c r="Q11" s="72" t="n"/>
      <c r="R11" s="72" t="n"/>
      <c r="S11" s="72" t="n"/>
      <c r="T11" s="72" t="n"/>
      <c r="U11" s="72" t="n"/>
      <c r="V11" s="72" t="n"/>
      <c r="W11" s="72" t="n"/>
      <c r="X11" s="72" t="n"/>
      <c r="Y11" s="72" t="n"/>
    </row>
    <row r="12">
      <c r="A12" s="84" t="n"/>
      <c r="B12" s="85" t="inlineStr">
        <is>
          <t>Gross</t>
        </is>
      </c>
      <c r="C12" s="89">
        <f>SUM('Trading History'!$M$4:$M1005)</f>
        <v/>
      </c>
      <c r="D12" s="76" t="n"/>
      <c r="E12" s="86" t="inlineStr">
        <is>
          <t>ST Gross</t>
        </is>
      </c>
      <c r="F12" s="89">
        <f>SUM('Trading History'!$Q$4:$Q1005)</f>
        <v/>
      </c>
      <c r="G12" s="76" t="n"/>
      <c r="H12" s="87" t="inlineStr">
        <is>
          <t>LT Gross</t>
        </is>
      </c>
      <c r="I12" s="89">
        <f>SUM('Trading History'!$U$4:$U1005)</f>
        <v/>
      </c>
      <c r="J12" s="76" t="n"/>
      <c r="K12" s="88" t="inlineStr">
        <is>
          <t>Gross</t>
        </is>
      </c>
      <c r="L12" s="89">
        <f>SUM('Trading History'!$AA$4:$AA1005)</f>
        <v/>
      </c>
      <c r="M12" s="72" t="n"/>
      <c r="N12" s="72" t="n"/>
      <c r="O12" s="72" t="n"/>
      <c r="P12" s="72" t="n"/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</row>
    <row r="13">
      <c r="A13" s="84" t="n"/>
      <c r="B13" s="72" t="n"/>
      <c r="C13" s="90" t="n"/>
      <c r="D13" s="72" t="n"/>
      <c r="E13" s="2" t="n"/>
      <c r="F13" s="90" t="n"/>
      <c r="G13" s="72" t="n"/>
      <c r="H13" s="2" t="n"/>
      <c r="I13" s="90" t="n"/>
      <c r="J13" s="72" t="n"/>
      <c r="K13" s="88" t="inlineStr">
        <is>
          <t>Dividends</t>
        </is>
      </c>
      <c r="L13" s="89">
        <f>SUMIF('Trading History'!$B29:$B1005,"DIV",'Trading History'!$AC$4:$AC1005)</f>
        <v/>
      </c>
      <c r="M13" s="72" t="n"/>
      <c r="N13" s="72" t="n"/>
      <c r="O13" s="72" t="n"/>
      <c r="P13" s="72" t="n"/>
      <c r="Q13" s="72" t="n"/>
      <c r="R13" s="72" t="n"/>
      <c r="S13" s="72" t="n"/>
      <c r="T13" s="72" t="n"/>
      <c r="U13" s="72" t="n"/>
      <c r="V13" s="72" t="n"/>
      <c r="W13" s="72" t="n"/>
      <c r="X13" s="72" t="n"/>
      <c r="Y13" s="72" t="n"/>
    </row>
    <row r="14">
      <c r="A14" s="84" t="n"/>
      <c r="B14" s="72" t="n"/>
      <c r="C14" s="90" t="n"/>
      <c r="D14" s="72" t="n"/>
      <c r="E14" s="2" t="n"/>
      <c r="F14" s="90" t="n"/>
      <c r="G14" s="72" t="n"/>
      <c r="H14" s="2" t="n"/>
      <c r="I14" s="90" t="n"/>
      <c r="J14" s="72" t="n"/>
      <c r="K14" s="2" t="n"/>
      <c r="L14" s="90" t="n"/>
      <c r="M14" s="72" t="n"/>
      <c r="N14" s="72" t="n"/>
      <c r="O14" s="72" t="n"/>
      <c r="P14" s="72" t="n"/>
      <c r="Q14" s="72" t="n"/>
      <c r="R14" s="72" t="n"/>
      <c r="S14" s="72" t="n"/>
      <c r="T14" s="72" t="n"/>
      <c r="U14" s="72" t="n"/>
      <c r="V14" s="72" t="n"/>
      <c r="W14" s="72" t="n"/>
      <c r="X14" s="72" t="n"/>
      <c r="Y14" s="72" t="n"/>
    </row>
    <row r="15">
      <c r="A15" s="78" t="n">
        <v>0.5</v>
      </c>
      <c r="B15" s="79" t="inlineStr">
        <is>
          <t>Units</t>
        </is>
      </c>
      <c r="C15" s="80">
        <f>SUMIFS('Trading History'!$N$4:$N1005, 'Trading History'!$K$4:$K1005, CONCAT("&gt;", $A15))</f>
        <v/>
      </c>
      <c r="D15" s="76" t="n"/>
      <c r="E15" s="81" t="inlineStr">
        <is>
          <t>ST Units</t>
        </is>
      </c>
      <c r="F15" s="80">
        <f>IFERROR(SUMIFS('Trading History'!$R$4:$R1005, 'Trading History'!$O$4:$O1005, CONCAT("&gt;", $A15)), 0)</f>
        <v/>
      </c>
      <c r="G15" s="76" t="n"/>
      <c r="H15" s="82" t="inlineStr">
        <is>
          <t>LT Units</t>
        </is>
      </c>
      <c r="I15" s="80">
        <f>SUMIFS('Trading History'!$V$4:$V1005, 'Trading History'!$S$4:$S1005, CONCAT("&gt;", $A15))</f>
        <v/>
      </c>
      <c r="J15" s="76" t="n"/>
      <c r="K15" s="83" t="inlineStr">
        <is>
          <t>Units</t>
        </is>
      </c>
      <c r="L15" s="80">
        <f>SUMIFS('Trading History'!$AB$4:$AB1005, 'Trading History'!$Y$4:$Y1005, CONCAT("&gt;", $A15))</f>
        <v/>
      </c>
      <c r="M15" s="72" t="n"/>
      <c r="N15" s="72" t="n"/>
      <c r="O15" s="72" t="n"/>
      <c r="P15" s="72" t="n"/>
      <c r="Q15" s="72" t="n"/>
      <c r="R15" s="72" t="n"/>
      <c r="S15" s="72" t="n"/>
      <c r="T15" s="72" t="n"/>
      <c r="U15" s="72" t="n"/>
      <c r="V15" s="72" t="n"/>
      <c r="W15" s="72" t="n"/>
      <c r="X15" s="72" t="n"/>
      <c r="Y15" s="72" t="n"/>
    </row>
    <row r="16">
      <c r="A16" s="72" t="n"/>
      <c r="B16" s="85" t="inlineStr">
        <is>
          <t>Avg %</t>
        </is>
      </c>
      <c r="C16" s="75">
        <f>IFERROR(Index!C17/(Index!C15*Index!$C$2), 0)</f>
        <v/>
      </c>
      <c r="D16" s="76" t="n"/>
      <c r="E16" s="86" t="inlineStr">
        <is>
          <t>ST Avg %</t>
        </is>
      </c>
      <c r="F16" s="75">
        <f>IFERROR(Index!F17/(Index!F15*Index!$C$2), 0)</f>
        <v/>
      </c>
      <c r="G16" s="76" t="n"/>
      <c r="H16" s="87" t="inlineStr">
        <is>
          <t>LT Avg %</t>
        </is>
      </c>
      <c r="I16" s="75">
        <f>IFERROR(Index!I17/(Index!I15*Index!$C$2), 0)</f>
        <v/>
      </c>
      <c r="J16" s="76" t="n"/>
      <c r="K16" s="88" t="inlineStr">
        <is>
          <t>Avg %</t>
        </is>
      </c>
      <c r="L16" s="75">
        <f>IFERROR(Index!L17/(Index!L15*Index!$C$2), 0)</f>
        <v/>
      </c>
      <c r="M16" s="72" t="n"/>
      <c r="N16" s="72" t="n"/>
      <c r="O16" s="72" t="n"/>
      <c r="P16" s="72" t="n"/>
      <c r="Q16" s="72" t="n"/>
      <c r="R16" s="72" t="n"/>
      <c r="S16" s="72" t="n"/>
      <c r="T16" s="72" t="n"/>
      <c r="U16" s="72" t="n"/>
      <c r="V16" s="72" t="n"/>
      <c r="W16" s="72" t="n"/>
      <c r="X16" s="72" t="n"/>
      <c r="Y16" s="72" t="n"/>
    </row>
    <row r="17">
      <c r="A17" s="72" t="n"/>
      <c r="B17" s="85" t="inlineStr">
        <is>
          <t>Gain</t>
        </is>
      </c>
      <c r="C17" s="89">
        <f>SUMIFS('Trading History'!$L$4:$L1005, 'Trading History'!$K$4:$K1005, CONCAT("&gt;", $A15))</f>
        <v/>
      </c>
      <c r="D17" s="76" t="n"/>
      <c r="E17" s="86" t="inlineStr">
        <is>
          <t>ST Gain</t>
        </is>
      </c>
      <c r="F17" s="89">
        <f>SUMIFS('Trading History'!$P$4:$P1005, 'Trading History'!$O$4:$O1005, CONCAT("&gt;", $A15))</f>
        <v/>
      </c>
      <c r="G17" s="76" t="n"/>
      <c r="H17" s="87" t="inlineStr">
        <is>
          <t>LT Gain</t>
        </is>
      </c>
      <c r="I17" s="89">
        <f>SUMIFS('Trading History'!$T$4:$T1005, 'Trading History'!$S$4:$S1005, CONCAT("&gt;", $A15))</f>
        <v/>
      </c>
      <c r="J17" s="76" t="n"/>
      <c r="K17" s="88" t="inlineStr">
        <is>
          <t>Gain</t>
        </is>
      </c>
      <c r="L17" s="89">
        <f>SUMIFS('Trading History'!$Z$4:$Z1005, 'Trading History'!$Y$4:$Y1005, CONCAT("&gt;", $A15))</f>
        <v/>
      </c>
      <c r="M17" s="72" t="n"/>
      <c r="N17" s="72" t="n"/>
      <c r="O17" s="72" t="n"/>
      <c r="P17" s="72" t="n"/>
      <c r="Q17" s="72" t="n"/>
      <c r="R17" s="72" t="n"/>
      <c r="S17" s="72" t="n"/>
      <c r="T17" s="72" t="n"/>
      <c r="U17" s="72" t="n"/>
      <c r="V17" s="72" t="n"/>
      <c r="W17" s="72" t="n"/>
      <c r="X17" s="72" t="n"/>
      <c r="Y17" s="72" t="n"/>
    </row>
    <row r="18">
      <c r="A18" s="72" t="n"/>
      <c r="B18" s="85" t="inlineStr">
        <is>
          <t>Invested</t>
        </is>
      </c>
      <c r="C18" s="89">
        <f>Index!C19-Index!C17</f>
        <v/>
      </c>
      <c r="D18" s="76" t="n"/>
      <c r="E18" s="86" t="inlineStr">
        <is>
          <t>ST Invested</t>
        </is>
      </c>
      <c r="F18" s="89">
        <f>Index!F19-Index!F17</f>
        <v/>
      </c>
      <c r="G18" s="76" t="n"/>
      <c r="H18" s="87" t="inlineStr">
        <is>
          <t>LT Invested</t>
        </is>
      </c>
      <c r="I18" s="89">
        <f>Index!I19-Index!I17</f>
        <v/>
      </c>
      <c r="J18" s="76" t="n"/>
      <c r="K18" s="88" t="inlineStr">
        <is>
          <t>Invested</t>
        </is>
      </c>
      <c r="L18" s="89">
        <f>Index!L19-Index!L17</f>
        <v/>
      </c>
      <c r="M18" s="72" t="n"/>
      <c r="N18" s="72" t="n"/>
      <c r="O18" s="72" t="n"/>
      <c r="P18" s="72" t="n"/>
      <c r="Q18" s="72" t="n"/>
      <c r="R18" s="72" t="n"/>
      <c r="S18" s="72" t="n"/>
      <c r="T18" s="72" t="n"/>
      <c r="U18" s="72" t="n"/>
      <c r="V18" s="72" t="n"/>
      <c r="W18" s="72" t="n"/>
      <c r="X18" s="72" t="n"/>
      <c r="Y18" s="72" t="n"/>
    </row>
    <row r="19">
      <c r="A19" s="72" t="n"/>
      <c r="B19" s="85" t="inlineStr">
        <is>
          <t>Gross</t>
        </is>
      </c>
      <c r="C19" s="89">
        <f>SUMIFS('Trading History'!$M$4:$M1005, 'Trading History'!$K$4:$K1005, CONCAT("&gt;", $A15))</f>
        <v/>
      </c>
      <c r="D19" s="76" t="n"/>
      <c r="E19" s="86" t="inlineStr">
        <is>
          <t>ST Gross</t>
        </is>
      </c>
      <c r="F19" s="89">
        <f>SUMIFS('Trading History'!$Q$4:$Q1005, 'Trading History'!$O$4:$O1005, CONCAT("&gt;", $A15))</f>
        <v/>
      </c>
      <c r="G19" s="76" t="n"/>
      <c r="H19" s="87" t="inlineStr">
        <is>
          <t>LT Gross</t>
        </is>
      </c>
      <c r="I19" s="89">
        <f>SUMIFS('Trading History'!$U$4:$U1005, 'Trading History'!$S$4:$S1005, CONCAT("&gt;", $A15))</f>
        <v/>
      </c>
      <c r="J19" s="76" t="n"/>
      <c r="K19" s="88" t="inlineStr">
        <is>
          <t>Gross</t>
        </is>
      </c>
      <c r="L19" s="89">
        <f>SUMIFS('Trading History'!$AA$4:$AA1005, 'Trading History'!$Y$4:$Y1005, CONCAT("&gt;", $A15))</f>
        <v/>
      </c>
      <c r="M19" s="72" t="n"/>
      <c r="N19" s="72" t="n"/>
      <c r="O19" s="72" t="n"/>
      <c r="P19" s="72" t="n"/>
      <c r="Q19" s="72" t="n"/>
      <c r="R19" s="72" t="n"/>
      <c r="S19" s="72" t="n"/>
      <c r="T19" s="72" t="n"/>
      <c r="U19" s="72" t="n"/>
      <c r="V19" s="72" t="n"/>
      <c r="W19" s="72" t="n"/>
      <c r="X19" s="72" t="n"/>
      <c r="Y19" s="72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  <c r="J20" s="72" t="n"/>
      <c r="K20" s="2" t="n"/>
      <c r="L20" s="2" t="n"/>
      <c r="M20" s="72" t="n"/>
      <c r="N20" s="72" t="n"/>
      <c r="O20" s="72" t="n"/>
      <c r="P20" s="72" t="n"/>
      <c r="Q20" s="72" t="n"/>
      <c r="R20" s="72" t="n"/>
      <c r="S20" s="72" t="n"/>
      <c r="T20" s="72" t="n"/>
      <c r="U20" s="72" t="n"/>
      <c r="V20" s="72" t="n"/>
      <c r="W20" s="72" t="n"/>
      <c r="X20" s="72" t="n"/>
      <c r="Y20" s="72" t="n"/>
    </row>
    <row r="21">
      <c r="A21" s="72" t="n"/>
      <c r="B21" s="72" t="n"/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  <c r="M21" s="72" t="n"/>
      <c r="N21" s="72" t="n"/>
      <c r="O21" s="72" t="n"/>
      <c r="P21" s="72" t="n"/>
      <c r="Q21" s="72" t="n"/>
      <c r="R21" s="72" t="n"/>
      <c r="S21" s="72" t="n"/>
      <c r="T21" s="72" t="n"/>
      <c r="U21" s="72" t="n"/>
      <c r="V21" s="72" t="n"/>
      <c r="W21" s="72" t="n"/>
      <c r="X21" s="72" t="n"/>
      <c r="Y21" s="72" t="n"/>
    </row>
    <row r="22">
      <c r="A22" s="78" t="n">
        <v>0.45</v>
      </c>
      <c r="B22" s="79" t="inlineStr">
        <is>
          <t>Units</t>
        </is>
      </c>
      <c r="C22" s="80">
        <f>SUMIFS('Trading History'!$N$4:$N1005, 'Trading History'!$K$4:$K1005, CONCAT("&gt;", $A22))</f>
        <v/>
      </c>
      <c r="D22" s="76" t="n"/>
      <c r="E22" s="81" t="inlineStr">
        <is>
          <t>ST Units</t>
        </is>
      </c>
      <c r="F22" s="80">
        <f>IFERROR(SUMIFS('Trading History'!$R$4:$R1005, 'Trading History'!$O$4:$O1005, CONCAT("&gt;", $A22)), 0)</f>
        <v/>
      </c>
      <c r="G22" s="76" t="n"/>
      <c r="H22" s="82" t="inlineStr">
        <is>
          <t>LT Units</t>
        </is>
      </c>
      <c r="I22" s="80">
        <f>SUMIFS('Trading History'!$V$4:$V1005, 'Trading History'!$S$4:$S1005, CONCAT("&gt;", $A22))</f>
        <v/>
      </c>
      <c r="J22" s="76" t="n"/>
      <c r="K22" s="83" t="inlineStr">
        <is>
          <t>Units</t>
        </is>
      </c>
      <c r="L22" s="80">
        <f>SUMIFS('Trading History'!$AB$4:$AB1005, 'Trading History'!$Y$4:$Y1005, CONCAT("&gt;", $A22))</f>
        <v/>
      </c>
      <c r="M22" s="72" t="n"/>
      <c r="N22" s="72" t="n"/>
      <c r="O22" s="72" t="n"/>
      <c r="P22" s="72" t="n"/>
      <c r="Q22" s="72" t="n"/>
      <c r="R22" s="72" t="n"/>
      <c r="S22" s="72" t="n"/>
      <c r="T22" s="72" t="n"/>
      <c r="U22" s="72" t="n"/>
      <c r="V22" s="72" t="n"/>
      <c r="W22" s="72" t="n"/>
      <c r="X22" s="72" t="n"/>
      <c r="Y22" s="72" t="n"/>
    </row>
    <row r="23">
      <c r="A23" s="72" t="n"/>
      <c r="B23" s="85" t="inlineStr">
        <is>
          <t>Avg %</t>
        </is>
      </c>
      <c r="C23" s="75">
        <f>IFERROR(Index!C24/(Index!C22*Index!$C$2), 0)</f>
        <v/>
      </c>
      <c r="D23" s="76" t="n"/>
      <c r="E23" s="86" t="inlineStr">
        <is>
          <t>ST Avg %</t>
        </is>
      </c>
      <c r="F23" s="75">
        <f>IFERROR(Index!F24/(Index!F22*Index!$C$2), 0)</f>
        <v/>
      </c>
      <c r="G23" s="76" t="n"/>
      <c r="H23" s="87" t="inlineStr">
        <is>
          <t>LT Avg %</t>
        </is>
      </c>
      <c r="I23" s="75">
        <f>IFERROR(Index!I24/(Index!I22*Index!$C$2), 0)</f>
        <v/>
      </c>
      <c r="J23" s="76" t="n"/>
      <c r="K23" s="88" t="inlineStr">
        <is>
          <t>Avg %</t>
        </is>
      </c>
      <c r="L23" s="75">
        <f>IFERROR(Index!L24/(Index!L22*Index!$C$2), 0)</f>
        <v/>
      </c>
      <c r="M23" s="72" t="n"/>
      <c r="N23" s="72" t="n"/>
      <c r="O23" s="72" t="n"/>
      <c r="P23" s="72" t="n"/>
      <c r="Q23" s="72" t="n"/>
      <c r="R23" s="72" t="n"/>
      <c r="S23" s="72" t="n"/>
      <c r="T23" s="72" t="n"/>
      <c r="U23" s="72" t="n"/>
      <c r="V23" s="72" t="n"/>
      <c r="W23" s="72" t="n"/>
      <c r="X23" s="72" t="n"/>
      <c r="Y23" s="72" t="n"/>
    </row>
    <row r="24">
      <c r="A24" s="72" t="n"/>
      <c r="B24" s="85" t="inlineStr">
        <is>
          <t>Gain</t>
        </is>
      </c>
      <c r="C24" s="89">
        <f>SUMIFS('Trading History'!$L$4:$L1005, 'Trading History'!$K$4:$K1005, CONCAT("&gt;", $A22))</f>
        <v/>
      </c>
      <c r="D24" s="76" t="n"/>
      <c r="E24" s="86" t="inlineStr">
        <is>
          <t>ST Gain</t>
        </is>
      </c>
      <c r="F24" s="89">
        <f>SUMIFS('Trading History'!$P$4:$P1005, 'Trading History'!$O$4:$O1005, CONCAT("&gt;", $A22))</f>
        <v/>
      </c>
      <c r="G24" s="76" t="n"/>
      <c r="H24" s="87" t="inlineStr">
        <is>
          <t>LT Gain</t>
        </is>
      </c>
      <c r="I24" s="89">
        <f>SUMIFS('Trading History'!$T$4:$T1005, 'Trading History'!$S$4:$S1005, CONCAT("&gt;", $A22))</f>
        <v/>
      </c>
      <c r="J24" s="76" t="n"/>
      <c r="K24" s="88" t="inlineStr">
        <is>
          <t>Gain</t>
        </is>
      </c>
      <c r="L24" s="89">
        <f>SUMIFS('Trading History'!$Z$4:$Z1005, 'Trading History'!$Y$4:$Y1005, CONCAT("&gt;", $A22))</f>
        <v/>
      </c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</row>
    <row r="25">
      <c r="A25" s="72" t="n"/>
      <c r="B25" s="85" t="inlineStr">
        <is>
          <t>Invested</t>
        </is>
      </c>
      <c r="C25" s="89">
        <f>Index!C26-Index!C24</f>
        <v/>
      </c>
      <c r="D25" s="76" t="n"/>
      <c r="E25" s="86" t="inlineStr">
        <is>
          <t>ST Invested</t>
        </is>
      </c>
      <c r="F25" s="89">
        <f>Index!F26-Index!F24</f>
        <v/>
      </c>
      <c r="G25" s="76" t="n"/>
      <c r="H25" s="87" t="inlineStr">
        <is>
          <t>LT Invested</t>
        </is>
      </c>
      <c r="I25" s="89">
        <f>Index!I26-Index!I24</f>
        <v/>
      </c>
      <c r="J25" s="76" t="n"/>
      <c r="K25" s="88" t="inlineStr">
        <is>
          <t>Invested</t>
        </is>
      </c>
      <c r="L25" s="89">
        <f>Index!L26-Index!L24</f>
        <v/>
      </c>
      <c r="M25" s="72" t="n"/>
      <c r="N25" s="72" t="n"/>
      <c r="O25" s="72" t="n"/>
      <c r="P25" s="72" t="n"/>
      <c r="Q25" s="72" t="n"/>
      <c r="R25" s="72" t="n"/>
      <c r="S25" s="72" t="n"/>
      <c r="T25" s="72" t="n"/>
      <c r="U25" s="72" t="n"/>
      <c r="V25" s="72" t="n"/>
      <c r="W25" s="72" t="n"/>
      <c r="X25" s="72" t="n"/>
      <c r="Y25" s="72" t="n"/>
    </row>
    <row r="26">
      <c r="A26" s="72" t="n"/>
      <c r="B26" s="85" t="inlineStr">
        <is>
          <t>Gross</t>
        </is>
      </c>
      <c r="C26" s="89">
        <f>SUMIFS('Trading History'!$M$4:$M1005, 'Trading History'!$K$4:$K1005, CONCAT("&gt;", $A22))</f>
        <v/>
      </c>
      <c r="D26" s="76" t="n"/>
      <c r="E26" s="86" t="inlineStr">
        <is>
          <t>ST Gross</t>
        </is>
      </c>
      <c r="F26" s="89">
        <f>SUMIFS('Trading History'!$Q$4:$Q1005, 'Trading History'!$O$4:$O1005, CONCAT("&gt;", $A22))</f>
        <v/>
      </c>
      <c r="G26" s="76" t="n"/>
      <c r="H26" s="87" t="inlineStr">
        <is>
          <t>LT Gross</t>
        </is>
      </c>
      <c r="I26" s="89">
        <f>SUMIFS('Trading History'!$U$4:$U1005, 'Trading History'!$S$4:$S1005, CONCAT("&gt;", $A22))</f>
        <v/>
      </c>
      <c r="J26" s="76" t="n"/>
      <c r="K26" s="88" t="inlineStr">
        <is>
          <t>Gross</t>
        </is>
      </c>
      <c r="L26" s="89">
        <f>SUMIFS('Trading History'!$AA$4:$AA1005, 'Trading History'!$Y$4:$Y1005, CONCAT("&gt;", $A22))</f>
        <v/>
      </c>
      <c r="M26" s="72" t="n"/>
      <c r="N26" s="72" t="n"/>
      <c r="O26" s="72" t="n"/>
      <c r="P26" s="72" t="n"/>
      <c r="Q26" s="72" t="n"/>
      <c r="R26" s="72" t="n"/>
      <c r="S26" s="72" t="n"/>
      <c r="T26" s="72" t="n"/>
      <c r="U26" s="72" t="n"/>
      <c r="V26" s="72" t="n"/>
      <c r="W26" s="72" t="n"/>
      <c r="X26" s="72" t="n"/>
      <c r="Y26" s="72" t="n"/>
    </row>
    <row r="27">
      <c r="A27" s="72" t="n"/>
      <c r="B27" s="72" t="n"/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  <c r="L27" s="72" t="n"/>
      <c r="M27" s="72" t="n"/>
      <c r="N27" s="72" t="n"/>
      <c r="O27" s="72" t="n"/>
      <c r="P27" s="72" t="n"/>
      <c r="Q27" s="72" t="n"/>
      <c r="R27" s="72" t="n"/>
      <c r="S27" s="72" t="n"/>
      <c r="T27" s="72" t="n"/>
      <c r="U27" s="72" t="n"/>
      <c r="V27" s="72" t="n"/>
      <c r="W27" s="72" t="n"/>
      <c r="X27" s="72" t="n"/>
      <c r="Y27" s="72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  <c r="M28" s="72" t="n"/>
      <c r="N28" s="72" t="n"/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</row>
    <row r="29">
      <c r="A29" s="78" t="n">
        <v>0.4</v>
      </c>
      <c r="B29" s="79" t="inlineStr">
        <is>
          <t>Units</t>
        </is>
      </c>
      <c r="C29" s="80">
        <f>SUMIFS('Trading History'!$N$4:$N1005, 'Trading History'!$K$4:$K1005, CONCAT("&gt;", $A29))</f>
        <v/>
      </c>
      <c r="D29" s="76" t="n"/>
      <c r="E29" s="81" t="inlineStr">
        <is>
          <t>ST Units</t>
        </is>
      </c>
      <c r="F29" s="80">
        <f>IFERROR(SUMIFS('Trading History'!$R$4:$R1005, 'Trading History'!$O$4:$O1005, CONCAT("&gt;", $A29)), 0)</f>
        <v/>
      </c>
      <c r="G29" s="76" t="n"/>
      <c r="H29" s="82" t="inlineStr">
        <is>
          <t>LT Units</t>
        </is>
      </c>
      <c r="I29" s="80">
        <f>SUMIFS('Trading History'!$V$4:$V1005, 'Trading History'!$S$4:$S1005, CONCAT("&gt;", $A29))</f>
        <v/>
      </c>
      <c r="J29" s="76" t="n"/>
      <c r="K29" s="83" t="inlineStr">
        <is>
          <t>Units</t>
        </is>
      </c>
      <c r="L29" s="80">
        <f>SUMIFS('Trading History'!$AB$4:$AB1005, 'Trading History'!$Y$4:$Y1005, CONCAT("&gt;", $A29))</f>
        <v/>
      </c>
      <c r="M29" s="72" t="n"/>
      <c r="N29" s="72" t="n"/>
      <c r="O29" s="72" t="n"/>
      <c r="P29" s="72" t="n"/>
      <c r="Q29" s="72" t="n"/>
      <c r="R29" s="72" t="n"/>
      <c r="S29" s="72" t="n"/>
      <c r="T29" s="72" t="n"/>
      <c r="U29" s="72" t="n"/>
      <c r="V29" s="72" t="n"/>
      <c r="W29" s="72" t="n"/>
      <c r="X29" s="72" t="n"/>
      <c r="Y29" s="72" t="n"/>
    </row>
    <row r="30">
      <c r="A30" s="72" t="n"/>
      <c r="B30" s="85" t="inlineStr">
        <is>
          <t>Avg %</t>
        </is>
      </c>
      <c r="C30" s="75">
        <f>IFERROR(Index!C31/(Index!C29*Index!$C$2), 0)</f>
        <v/>
      </c>
      <c r="D30" s="76" t="n"/>
      <c r="E30" s="86" t="inlineStr">
        <is>
          <t>ST Avg %</t>
        </is>
      </c>
      <c r="F30" s="75">
        <f>IFERROR(Index!F31/(Index!F29*Index!$C$2), 0)</f>
        <v/>
      </c>
      <c r="G30" s="76" t="n"/>
      <c r="H30" s="87" t="inlineStr">
        <is>
          <t>LT Avg %</t>
        </is>
      </c>
      <c r="I30" s="75">
        <f>IFERROR(Index!I31/(Index!I29*Index!$C$2), 0)</f>
        <v/>
      </c>
      <c r="J30" s="76" t="n"/>
      <c r="K30" s="88" t="inlineStr">
        <is>
          <t>Avg %</t>
        </is>
      </c>
      <c r="L30" s="75">
        <f>IFERROR(Index!L31/(Index!L29*Index!$C$2), 0)</f>
        <v/>
      </c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</row>
    <row r="31">
      <c r="A31" s="72" t="n"/>
      <c r="B31" s="85" t="inlineStr">
        <is>
          <t>Gain</t>
        </is>
      </c>
      <c r="C31" s="89">
        <f>SUMIFS('Trading History'!$L$4:$L1005, 'Trading History'!$K$4:$K1005, CONCAT("&gt;", $A29))</f>
        <v/>
      </c>
      <c r="D31" s="76" t="n"/>
      <c r="E31" s="86" t="inlineStr">
        <is>
          <t>ST Gain</t>
        </is>
      </c>
      <c r="F31" s="89">
        <f>SUMIFS('Trading History'!$P$4:$P1005, 'Trading History'!$O$4:$O1005, CONCAT("&gt;", $A29))</f>
        <v/>
      </c>
      <c r="G31" s="76" t="n"/>
      <c r="H31" s="87" t="inlineStr">
        <is>
          <t>LT Gain</t>
        </is>
      </c>
      <c r="I31" s="89">
        <f>SUMIFS('Trading History'!$T$4:$T1005, 'Trading History'!$S$4:$S1005, CONCAT("&gt;", $A29))</f>
        <v/>
      </c>
      <c r="J31" s="76" t="n"/>
      <c r="K31" s="88" t="inlineStr">
        <is>
          <t>Gain</t>
        </is>
      </c>
      <c r="L31" s="89">
        <f>SUMIFS('Trading History'!$Z$4:$Z1005, 'Trading History'!$Y$4:$Y1005, CONCAT("&gt;", $A29))</f>
        <v/>
      </c>
      <c r="M31" s="72" t="n"/>
      <c r="N31" s="72" t="n"/>
      <c r="O31" s="72" t="n"/>
      <c r="P31" s="72" t="n"/>
      <c r="Q31" s="72" t="n"/>
      <c r="R31" s="72" t="n"/>
      <c r="S31" s="72" t="n"/>
      <c r="T31" s="72" t="n"/>
      <c r="U31" s="72" t="n"/>
      <c r="V31" s="72" t="n"/>
      <c r="W31" s="72" t="n"/>
      <c r="X31" s="72" t="n"/>
      <c r="Y31" s="72" t="n"/>
    </row>
    <row r="32">
      <c r="A32" s="72" t="n"/>
      <c r="B32" s="85" t="inlineStr">
        <is>
          <t>Invested</t>
        </is>
      </c>
      <c r="C32" s="89">
        <f>Index!C33-Index!C31</f>
        <v/>
      </c>
      <c r="D32" s="76" t="n"/>
      <c r="E32" s="86" t="inlineStr">
        <is>
          <t>ST Invested</t>
        </is>
      </c>
      <c r="F32" s="89">
        <f>Index!F33-Index!F31</f>
        <v/>
      </c>
      <c r="G32" s="76" t="n"/>
      <c r="H32" s="87" t="inlineStr">
        <is>
          <t>LT Invested</t>
        </is>
      </c>
      <c r="I32" s="89">
        <f>Index!I33-Index!I31</f>
        <v/>
      </c>
      <c r="J32" s="76" t="n"/>
      <c r="K32" s="88" t="inlineStr">
        <is>
          <t>Invested</t>
        </is>
      </c>
      <c r="L32" s="89">
        <f>Index!L33-Index!L31</f>
        <v/>
      </c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2" t="n"/>
      <c r="X32" s="72" t="n"/>
      <c r="Y32" s="72" t="n"/>
    </row>
    <row r="33">
      <c r="A33" s="72" t="n"/>
      <c r="B33" s="85" t="inlineStr">
        <is>
          <t>Gross</t>
        </is>
      </c>
      <c r="C33" s="89">
        <f>SUMIFS('Trading History'!$M$4:$M1005, 'Trading History'!$K$4:$K1005, CONCAT("&gt;", $A29))</f>
        <v/>
      </c>
      <c r="D33" s="76" t="n"/>
      <c r="E33" s="86" t="inlineStr">
        <is>
          <t>ST Gross</t>
        </is>
      </c>
      <c r="F33" s="89">
        <f>SUMIFS('Trading History'!$Q$4:$Q1005, 'Trading History'!$O$4:$O1005, CONCAT("&gt;", $A29))</f>
        <v/>
      </c>
      <c r="G33" s="76" t="n"/>
      <c r="H33" s="87" t="inlineStr">
        <is>
          <t>LT Gross</t>
        </is>
      </c>
      <c r="I33" s="89">
        <f>SUMIFS('Trading History'!$U$4:$U1005, 'Trading History'!$S$4:$S1005, CONCAT("&gt;", $A29))</f>
        <v/>
      </c>
      <c r="J33" s="76" t="n"/>
      <c r="K33" s="88" t="inlineStr">
        <is>
          <t>Gross</t>
        </is>
      </c>
      <c r="L33" s="89">
        <f>SUMIFS('Trading History'!$AA$4:$AA1005, 'Trading History'!$Y$4:$Y1005, CONCAT("&gt;", $A29))</f>
        <v/>
      </c>
      <c r="M33" s="72" t="n"/>
      <c r="N33" s="72" t="n"/>
      <c r="O33" s="72" t="n"/>
      <c r="P33" s="72" t="n"/>
      <c r="Q33" s="72" t="n"/>
      <c r="R33" s="72" t="n"/>
      <c r="S33" s="72" t="n"/>
      <c r="T33" s="72" t="n"/>
      <c r="U33" s="72" t="n"/>
      <c r="V33" s="72" t="n"/>
      <c r="W33" s="72" t="n"/>
      <c r="X33" s="72" t="n"/>
      <c r="Y33" s="72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  <c r="T34" s="72" t="n"/>
      <c r="U34" s="72" t="n"/>
      <c r="V34" s="72" t="n"/>
      <c r="W34" s="72" t="n"/>
      <c r="X34" s="72" t="n"/>
      <c r="Y34" s="72" t="n"/>
    </row>
    <row r="35">
      <c r="A35" s="72" t="n"/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  <c r="T35" s="72" t="n"/>
      <c r="U35" s="72" t="n"/>
      <c r="V35" s="72" t="n"/>
      <c r="W35" s="72" t="n"/>
      <c r="X35" s="72" t="n"/>
      <c r="Y35" s="72" t="n"/>
    </row>
    <row r="36">
      <c r="A36" s="78" t="n">
        <v>0.35</v>
      </c>
      <c r="B36" s="79" t="inlineStr">
        <is>
          <t>Units</t>
        </is>
      </c>
      <c r="C36" s="80">
        <f>SUMIFS('Trading History'!$N$4:$N1005, 'Trading History'!$K$4:$K1005, CONCAT("&gt;", $A36))</f>
        <v/>
      </c>
      <c r="D36" s="76" t="n"/>
      <c r="E36" s="81" t="inlineStr">
        <is>
          <t>ST Units</t>
        </is>
      </c>
      <c r="F36" s="80">
        <f>IFERROR(SUMIFS('Trading History'!$R$4:$R1005, 'Trading History'!$O$4:$O1005, CONCAT("&gt;", $A36)), 0)</f>
        <v/>
      </c>
      <c r="G36" s="76" t="n"/>
      <c r="H36" s="82" t="inlineStr">
        <is>
          <t>LT Units</t>
        </is>
      </c>
      <c r="I36" s="80">
        <f>SUMIFS('Trading History'!$V$4:$V1005, 'Trading History'!$S$4:$S1005, CONCAT("&gt;", $A36))</f>
        <v/>
      </c>
      <c r="J36" s="76" t="n"/>
      <c r="K36" s="83" t="inlineStr">
        <is>
          <t>Units</t>
        </is>
      </c>
      <c r="L36" s="80">
        <f>SUMIFS('Trading History'!$AB$4:$AB1005, 'Trading History'!$Y$4:$Y1005, CONCAT("&gt;", $A36))</f>
        <v/>
      </c>
      <c r="M36" s="72" t="n"/>
      <c r="N36" s="72" t="n"/>
      <c r="O36" s="72" t="n"/>
      <c r="P36" s="72" t="n"/>
      <c r="Q36" s="72" t="n"/>
      <c r="R36" s="72" t="n"/>
      <c r="S36" s="72" t="n"/>
      <c r="T36" s="72" t="n"/>
      <c r="U36" s="72" t="n"/>
      <c r="V36" s="72" t="n"/>
      <c r="W36" s="72" t="n"/>
      <c r="X36" s="72" t="n"/>
      <c r="Y36" s="72" t="n"/>
    </row>
    <row r="37">
      <c r="A37" s="72" t="n"/>
      <c r="B37" s="85" t="inlineStr">
        <is>
          <t>Avg %</t>
        </is>
      </c>
      <c r="C37" s="75">
        <f>IFERROR(Index!C38/(Index!C36*Index!$C$2), 0)</f>
        <v/>
      </c>
      <c r="D37" s="76" t="n"/>
      <c r="E37" s="86" t="inlineStr">
        <is>
          <t>ST Avg %</t>
        </is>
      </c>
      <c r="F37" s="75">
        <f>IFERROR(Index!F38/(Index!F36*Index!$C$2), 0)</f>
        <v/>
      </c>
      <c r="G37" s="76" t="n"/>
      <c r="H37" s="87" t="inlineStr">
        <is>
          <t>LT Avg %</t>
        </is>
      </c>
      <c r="I37" s="75">
        <f>IFERROR(Index!I38/(Index!I36*Index!$C$2), 0)</f>
        <v/>
      </c>
      <c r="J37" s="76" t="n"/>
      <c r="K37" s="88" t="inlineStr">
        <is>
          <t>Avg %</t>
        </is>
      </c>
      <c r="L37" s="75">
        <f>IFERROR(Index!L38/(Index!L36*Index!$C$2), 0)</f>
        <v/>
      </c>
      <c r="M37" s="72" t="n"/>
      <c r="N37" s="72" t="n"/>
      <c r="O37" s="72" t="n"/>
      <c r="P37" s="72" t="n"/>
      <c r="Q37" s="72" t="n"/>
      <c r="R37" s="72" t="n"/>
      <c r="S37" s="72" t="n"/>
      <c r="T37" s="72" t="n"/>
      <c r="U37" s="72" t="n"/>
      <c r="V37" s="72" t="n"/>
      <c r="W37" s="72" t="n"/>
      <c r="X37" s="72" t="n"/>
      <c r="Y37" s="72" t="n"/>
    </row>
    <row r="38">
      <c r="A38" s="72" t="n"/>
      <c r="B38" s="85" t="inlineStr">
        <is>
          <t>Gain</t>
        </is>
      </c>
      <c r="C38" s="89">
        <f>SUMIFS('Trading History'!$L$4:$L1005, 'Trading History'!$K$4:$K1005, CONCAT("&gt;", $A36))</f>
        <v/>
      </c>
      <c r="D38" s="76" t="n"/>
      <c r="E38" s="86" t="inlineStr">
        <is>
          <t>ST Gain</t>
        </is>
      </c>
      <c r="F38" s="89">
        <f>SUMIFS('Trading History'!$P$4:$P1005, 'Trading History'!$O$4:$O1005, CONCAT("&gt;", $A36))</f>
        <v/>
      </c>
      <c r="G38" s="76" t="n"/>
      <c r="H38" s="87" t="inlineStr">
        <is>
          <t>LT Gain</t>
        </is>
      </c>
      <c r="I38" s="89">
        <f>SUMIFS('Trading History'!$T$4:$T1005, 'Trading History'!$S$4:$S1005, CONCAT("&gt;", $A36))</f>
        <v/>
      </c>
      <c r="J38" s="76" t="n"/>
      <c r="K38" s="88" t="inlineStr">
        <is>
          <t>Gain</t>
        </is>
      </c>
      <c r="L38" s="89">
        <f>SUMIFS('Trading History'!$Z$4:$Z1005, 'Trading History'!$Y$4:$Y1005, CONCAT("&gt;", $A36))</f>
        <v/>
      </c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72" t="n"/>
      <c r="X38" s="72" t="n"/>
      <c r="Y38" s="72" t="n"/>
    </row>
    <row r="39">
      <c r="A39" s="72" t="n"/>
      <c r="B39" s="85" t="inlineStr">
        <is>
          <t>Invested</t>
        </is>
      </c>
      <c r="C39" s="89">
        <f>Index!C40-Index!C38</f>
        <v/>
      </c>
      <c r="D39" s="76" t="n"/>
      <c r="E39" s="86" t="inlineStr">
        <is>
          <t>ST Invested</t>
        </is>
      </c>
      <c r="F39" s="89">
        <f>Index!F40-Index!F38</f>
        <v/>
      </c>
      <c r="G39" s="76" t="n"/>
      <c r="H39" s="87" t="inlineStr">
        <is>
          <t>LT Invested</t>
        </is>
      </c>
      <c r="I39" s="89">
        <f>Index!I40-Index!I38</f>
        <v/>
      </c>
      <c r="J39" s="76" t="n"/>
      <c r="K39" s="88" t="inlineStr">
        <is>
          <t>Invested</t>
        </is>
      </c>
      <c r="L39" s="89">
        <f>Index!L40-Index!L38</f>
        <v/>
      </c>
      <c r="M39" s="72" t="n"/>
      <c r="N39" s="72" t="n"/>
      <c r="O39" s="72" t="n"/>
      <c r="P39" s="72" t="n"/>
      <c r="Q39" s="72" t="n"/>
      <c r="R39" s="72" t="n"/>
      <c r="S39" s="72" t="n"/>
      <c r="T39" s="72" t="n"/>
      <c r="U39" s="72" t="n"/>
      <c r="V39" s="72" t="n"/>
      <c r="W39" s="72" t="n"/>
      <c r="X39" s="72" t="n"/>
      <c r="Y39" s="72" t="n"/>
    </row>
    <row r="40">
      <c r="A40" s="72" t="n"/>
      <c r="B40" s="85" t="inlineStr">
        <is>
          <t>Gross</t>
        </is>
      </c>
      <c r="C40" s="89">
        <f>SUMIFS('Trading History'!$M$4:$M1005, 'Trading History'!$K$4:$K1005, CONCAT("&gt;", $A36))</f>
        <v/>
      </c>
      <c r="D40" s="76" t="n"/>
      <c r="E40" s="86" t="inlineStr">
        <is>
          <t>ST Gross</t>
        </is>
      </c>
      <c r="F40" s="89">
        <f>SUMIFS('Trading History'!$Q$4:$Q1005, 'Trading History'!$O$4:$O1005, CONCAT("&gt;", $A36))</f>
        <v/>
      </c>
      <c r="G40" s="76" t="n"/>
      <c r="H40" s="87" t="inlineStr">
        <is>
          <t>LT Gross</t>
        </is>
      </c>
      <c r="I40" s="89">
        <f>SUMIFS('Trading History'!$U$4:$U1005, 'Trading History'!$S$4:$S1005, CONCAT("&gt;", $A36))</f>
        <v/>
      </c>
      <c r="J40" s="76" t="n"/>
      <c r="K40" s="88" t="inlineStr">
        <is>
          <t>Gross</t>
        </is>
      </c>
      <c r="L40" s="89">
        <f>SUMIFS('Trading History'!$AA$4:$AA1005, 'Trading History'!$Y$4:$Y1005, CONCAT("&gt;", $A36))</f>
        <v/>
      </c>
      <c r="M40" s="72" t="n"/>
      <c r="N40" s="72" t="n"/>
      <c r="O40" s="72" t="n"/>
      <c r="P40" s="72" t="n"/>
      <c r="Q40" s="72" t="n"/>
      <c r="R40" s="72" t="n"/>
      <c r="S40" s="72" t="n"/>
      <c r="T40" s="72" t="n"/>
      <c r="U40" s="72" t="n"/>
      <c r="V40" s="72" t="n"/>
      <c r="W40" s="72" t="n"/>
      <c r="X40" s="72" t="n"/>
      <c r="Y40" s="72" t="n"/>
    </row>
    <row r="41">
      <c r="A41" s="72" t="n"/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  <c r="T41" s="72" t="n"/>
      <c r="U41" s="72" t="n"/>
      <c r="V41" s="72" t="n"/>
      <c r="W41" s="72" t="n"/>
      <c r="X41" s="72" t="n"/>
      <c r="Y41" s="72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  <c r="T42" s="72" t="n"/>
      <c r="U42" s="72" t="n"/>
      <c r="V42" s="72" t="n"/>
      <c r="W42" s="72" t="n"/>
      <c r="X42" s="72" t="n"/>
      <c r="Y42" s="72" t="n"/>
    </row>
    <row r="43">
      <c r="A43" s="78" t="n">
        <v>0.3</v>
      </c>
      <c r="B43" s="79" t="inlineStr">
        <is>
          <t>Units</t>
        </is>
      </c>
      <c r="C43" s="80">
        <f>SUMIFS('Trading History'!$N$4:$N1005, 'Trading History'!$K$4:$K1005, CONCAT("&gt;", $A43))</f>
        <v/>
      </c>
      <c r="D43" s="76" t="n"/>
      <c r="E43" s="81" t="inlineStr">
        <is>
          <t>ST Units</t>
        </is>
      </c>
      <c r="F43" s="80">
        <f>IFERROR(SUMIFS('Trading History'!$R$4:$R1005, 'Trading History'!$O$4:$O1005, CONCAT("&gt;", $A43)), 0)</f>
        <v/>
      </c>
      <c r="G43" s="76" t="n"/>
      <c r="H43" s="82" t="inlineStr">
        <is>
          <t>LT Units</t>
        </is>
      </c>
      <c r="I43" s="80">
        <f>SUMIFS('Trading History'!$V$4:$V1005, 'Trading History'!$S$4:$S1005, CONCAT("&gt;", $A43))</f>
        <v/>
      </c>
      <c r="J43" s="76" t="n"/>
      <c r="K43" s="83" t="inlineStr">
        <is>
          <t>Units</t>
        </is>
      </c>
      <c r="L43" s="80">
        <f>SUMIFS('Trading History'!$AB$4:$AB1005, 'Trading History'!$Y$4:$Y1005, CONCAT("&gt;", $A43))</f>
        <v/>
      </c>
      <c r="M43" s="72" t="n"/>
      <c r="N43" s="72" t="n"/>
      <c r="O43" s="72" t="n"/>
      <c r="P43" s="72" t="n"/>
      <c r="Q43" s="72" t="n"/>
      <c r="R43" s="72" t="n"/>
      <c r="S43" s="72" t="n"/>
      <c r="T43" s="72" t="n"/>
      <c r="U43" s="72" t="n"/>
      <c r="V43" s="72" t="n"/>
      <c r="W43" s="72" t="n"/>
      <c r="X43" s="72" t="n"/>
      <c r="Y43" s="72" t="n"/>
    </row>
    <row r="44">
      <c r="A44" s="72" t="n"/>
      <c r="B44" s="85" t="inlineStr">
        <is>
          <t>Avg %</t>
        </is>
      </c>
      <c r="C44" s="75">
        <f>IFERROR(Index!C45/(Index!C43*Index!$C$2), 0)</f>
        <v/>
      </c>
      <c r="D44" s="76" t="n"/>
      <c r="E44" s="86" t="inlineStr">
        <is>
          <t>ST Avg %</t>
        </is>
      </c>
      <c r="F44" s="75">
        <f>IFERROR(Index!F45/(Index!F43*Index!$C$2), 0)</f>
        <v/>
      </c>
      <c r="G44" s="76" t="n"/>
      <c r="H44" s="87" t="inlineStr">
        <is>
          <t>LT Avg %</t>
        </is>
      </c>
      <c r="I44" s="75">
        <f>IFERROR(Index!I45/(Index!I43*Index!$C$2), 0)</f>
        <v/>
      </c>
      <c r="J44" s="76" t="n"/>
      <c r="K44" s="88" t="inlineStr">
        <is>
          <t>Avg %</t>
        </is>
      </c>
      <c r="L44" s="75">
        <f>IFERROR(Index!L45/(Index!L43*Index!$C$2), 0)</f>
        <v/>
      </c>
      <c r="M44" s="72" t="n"/>
      <c r="N44" s="72" t="n"/>
      <c r="O44" s="72" t="n"/>
      <c r="P44" s="72" t="n"/>
      <c r="Q44" s="72" t="n"/>
      <c r="R44" s="72" t="n"/>
      <c r="S44" s="72" t="n"/>
      <c r="T44" s="72" t="n"/>
      <c r="U44" s="72" t="n"/>
      <c r="V44" s="72" t="n"/>
      <c r="W44" s="72" t="n"/>
      <c r="X44" s="72" t="n"/>
      <c r="Y44" s="72" t="n"/>
    </row>
    <row r="45">
      <c r="A45" s="72" t="n"/>
      <c r="B45" s="85" t="inlineStr">
        <is>
          <t>Gain</t>
        </is>
      </c>
      <c r="C45" s="89">
        <f>SUMIFS('Trading History'!$L$4:$L1005, 'Trading History'!$K$4:$K1005, CONCAT("&gt;", $A43))</f>
        <v/>
      </c>
      <c r="D45" s="76" t="n"/>
      <c r="E45" s="86" t="inlineStr">
        <is>
          <t>ST Gain</t>
        </is>
      </c>
      <c r="F45" s="89">
        <f>SUMIFS('Trading History'!$P$4:$P1005, 'Trading History'!$O$4:$O1005, CONCAT("&gt;", $A43))</f>
        <v/>
      </c>
      <c r="G45" s="76" t="n"/>
      <c r="H45" s="87" t="inlineStr">
        <is>
          <t>LT Gain</t>
        </is>
      </c>
      <c r="I45" s="89">
        <f>SUMIFS('Trading History'!$T$4:$T1005, 'Trading History'!$S$4:$S1005, CONCAT("&gt;", $A43))</f>
        <v/>
      </c>
      <c r="J45" s="76" t="n"/>
      <c r="K45" s="88" t="inlineStr">
        <is>
          <t>Gain</t>
        </is>
      </c>
      <c r="L45" s="89">
        <f>SUMIFS('Trading History'!$Z$4:$Z1005, 'Trading History'!$Y$4:$Y1005, CONCAT("&gt;", $A43))</f>
        <v/>
      </c>
      <c r="M45" s="72" t="n"/>
      <c r="N45" s="72" t="n"/>
      <c r="O45" s="72" t="n"/>
      <c r="P45" s="72" t="n"/>
      <c r="Q45" s="72" t="n"/>
      <c r="R45" s="72" t="n"/>
      <c r="S45" s="72" t="n"/>
      <c r="T45" s="72" t="n"/>
      <c r="U45" s="72" t="n"/>
      <c r="V45" s="72" t="n"/>
      <c r="W45" s="72" t="n"/>
      <c r="X45" s="72" t="n"/>
      <c r="Y45" s="72" t="n"/>
    </row>
    <row r="46">
      <c r="A46" s="72" t="n"/>
      <c r="B46" s="85" t="inlineStr">
        <is>
          <t>Invested</t>
        </is>
      </c>
      <c r="C46" s="89">
        <f>Index!C47-Index!C45</f>
        <v/>
      </c>
      <c r="D46" s="76" t="n"/>
      <c r="E46" s="86" t="inlineStr">
        <is>
          <t>ST Invested</t>
        </is>
      </c>
      <c r="F46" s="89">
        <f>Index!F47-Index!F45</f>
        <v/>
      </c>
      <c r="G46" s="76" t="n"/>
      <c r="H46" s="87" t="inlineStr">
        <is>
          <t>LT Invested</t>
        </is>
      </c>
      <c r="I46" s="89">
        <f>Index!I47-Index!I45</f>
        <v/>
      </c>
      <c r="J46" s="76" t="n"/>
      <c r="K46" s="88" t="inlineStr">
        <is>
          <t>Invested</t>
        </is>
      </c>
      <c r="L46" s="89">
        <f>Index!L47-Index!L45</f>
        <v/>
      </c>
      <c r="M46" s="72" t="n"/>
      <c r="N46" s="72" t="n"/>
      <c r="O46" s="72" t="n"/>
      <c r="P46" s="72" t="n"/>
      <c r="Q46" s="72" t="n"/>
      <c r="R46" s="72" t="n"/>
      <c r="S46" s="72" t="n"/>
      <c r="T46" s="72" t="n"/>
      <c r="U46" s="72" t="n"/>
      <c r="V46" s="72" t="n"/>
      <c r="W46" s="72" t="n"/>
      <c r="X46" s="72" t="n"/>
      <c r="Y46" s="72" t="n"/>
    </row>
    <row r="47">
      <c r="A47" s="72" t="n"/>
      <c r="B47" s="85" t="inlineStr">
        <is>
          <t>Gross</t>
        </is>
      </c>
      <c r="C47" s="89">
        <f>SUMIFS('Trading History'!$M$4:$M1005, 'Trading History'!$K$4:$K1005, CONCAT("&gt;", $A43))</f>
        <v/>
      </c>
      <c r="D47" s="76" t="n"/>
      <c r="E47" s="86" t="inlineStr">
        <is>
          <t>ST Gross</t>
        </is>
      </c>
      <c r="F47" s="89">
        <f>SUMIFS('Trading History'!$Q$4:$Q1005, 'Trading History'!$O$4:$O1005, CONCAT("&gt;", $A43))</f>
        <v/>
      </c>
      <c r="G47" s="76" t="n"/>
      <c r="H47" s="87" t="inlineStr">
        <is>
          <t>LT Gross</t>
        </is>
      </c>
      <c r="I47" s="89">
        <f>SUMIFS('Trading History'!$U$4:$U1005, 'Trading History'!$S$4:$S1005, CONCAT("&gt;", $A43))</f>
        <v/>
      </c>
      <c r="J47" s="76" t="n"/>
      <c r="K47" s="88" t="inlineStr">
        <is>
          <t>Gross</t>
        </is>
      </c>
      <c r="L47" s="89">
        <f>SUMIFS('Trading History'!$AA$4:$AA1005, 'Trading History'!$Y$4:$Y1005, CONCAT("&gt;", $A43))</f>
        <v/>
      </c>
      <c r="M47" s="72" t="n"/>
      <c r="N47" s="72" t="n"/>
      <c r="O47" s="72" t="n"/>
      <c r="P47" s="72" t="n"/>
      <c r="Q47" s="72" t="n"/>
      <c r="R47" s="72" t="n"/>
      <c r="S47" s="72" t="n"/>
      <c r="T47" s="72" t="n"/>
      <c r="U47" s="72" t="n"/>
      <c r="V47" s="72" t="n"/>
      <c r="W47" s="72" t="n"/>
      <c r="X47" s="72" t="n"/>
      <c r="Y47" s="72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  <c r="T48" s="72" t="n"/>
      <c r="U48" s="72" t="n"/>
      <c r="V48" s="72" t="n"/>
      <c r="W48" s="72" t="n"/>
      <c r="X48" s="72" t="n"/>
      <c r="Y48" s="72" t="n"/>
    </row>
    <row r="49">
      <c r="A49" s="72" t="n"/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  <c r="T49" s="72" t="n"/>
      <c r="U49" s="72" t="n"/>
      <c r="V49" s="72" t="n"/>
      <c r="W49" s="72" t="n"/>
      <c r="X49" s="72" t="n"/>
      <c r="Y49" s="72" t="n"/>
    </row>
    <row r="50">
      <c r="A50" s="78" t="n">
        <v>0.25</v>
      </c>
      <c r="B50" s="79" t="inlineStr">
        <is>
          <t>Units</t>
        </is>
      </c>
      <c r="C50" s="80">
        <f>SUMIFS('Trading History'!$N$4:$N1005, 'Trading History'!$K$4:$K1005, CONCAT("&gt;", $A50))</f>
        <v/>
      </c>
      <c r="D50" s="76" t="n"/>
      <c r="E50" s="81" t="inlineStr">
        <is>
          <t>ST Units</t>
        </is>
      </c>
      <c r="F50" s="80">
        <f>IFERROR(SUMIFS('Trading History'!$R$4:$R1005, 'Trading History'!$O$4:$O1005, CONCAT("&gt;", $A50)), 0)</f>
        <v/>
      </c>
      <c r="G50" s="76" t="n"/>
      <c r="H50" s="82" t="inlineStr">
        <is>
          <t>LT Units</t>
        </is>
      </c>
      <c r="I50" s="80">
        <f>SUMIFS('Trading History'!$V$4:$V1005, 'Trading History'!$S$4:$S1005, CONCAT("&gt;", $A50))</f>
        <v/>
      </c>
      <c r="J50" s="76" t="n"/>
      <c r="K50" s="83" t="inlineStr">
        <is>
          <t>Units</t>
        </is>
      </c>
      <c r="L50" s="80">
        <f>SUMIFS('Trading History'!$AB$4:$AB1005, 'Trading History'!$Y$4:$Y1005, CONCAT("&gt;", $A50))</f>
        <v/>
      </c>
      <c r="M50" s="72" t="n"/>
      <c r="N50" s="72" t="n"/>
      <c r="O50" s="72" t="n"/>
      <c r="P50" s="72" t="n"/>
      <c r="Q50" s="72" t="n"/>
      <c r="R50" s="72" t="n"/>
      <c r="S50" s="72" t="n"/>
      <c r="T50" s="72" t="n"/>
      <c r="U50" s="72" t="n"/>
      <c r="V50" s="72" t="n"/>
      <c r="W50" s="72" t="n"/>
      <c r="X50" s="72" t="n"/>
      <c r="Y50" s="72" t="n"/>
    </row>
    <row r="51">
      <c r="A51" s="72" t="n"/>
      <c r="B51" s="85" t="inlineStr">
        <is>
          <t>Avg %</t>
        </is>
      </c>
      <c r="C51" s="75">
        <f>IFERROR(Index!C52/(Index!C50*Index!$C$2), 0)</f>
        <v/>
      </c>
      <c r="D51" s="76" t="n"/>
      <c r="E51" s="86" t="inlineStr">
        <is>
          <t>ST Avg %</t>
        </is>
      </c>
      <c r="F51" s="75">
        <f>IFERROR(Index!F52/(Index!F50*Index!$C$2), 0)</f>
        <v/>
      </c>
      <c r="G51" s="76" t="n"/>
      <c r="H51" s="87" t="inlineStr">
        <is>
          <t>LT Avg %</t>
        </is>
      </c>
      <c r="I51" s="75">
        <f>IFERROR(Index!I52/(Index!I50*Index!$C$2), 0)</f>
        <v/>
      </c>
      <c r="J51" s="76" t="n"/>
      <c r="K51" s="88" t="inlineStr">
        <is>
          <t>Avg %</t>
        </is>
      </c>
      <c r="L51" s="75">
        <f>IFERROR(Index!L52/(Index!L50*Index!$C$2), 0)</f>
        <v/>
      </c>
      <c r="M51" s="72" t="n"/>
      <c r="N51" s="72" t="n"/>
      <c r="O51" s="72" t="n"/>
      <c r="P51" s="72" t="n"/>
      <c r="Q51" s="72" t="n"/>
      <c r="R51" s="72" t="n"/>
      <c r="S51" s="72" t="n"/>
      <c r="T51" s="72" t="n"/>
      <c r="U51" s="72" t="n"/>
      <c r="V51" s="72" t="n"/>
      <c r="W51" s="72" t="n"/>
      <c r="X51" s="72" t="n"/>
      <c r="Y51" s="72" t="n"/>
    </row>
    <row r="52">
      <c r="A52" s="72" t="n"/>
      <c r="B52" s="85" t="inlineStr">
        <is>
          <t>Gain</t>
        </is>
      </c>
      <c r="C52" s="89">
        <f>SUMIFS('Trading History'!$L$4:$L1005, 'Trading History'!$K$4:$K1005, CONCAT("&gt;", $A50))</f>
        <v/>
      </c>
      <c r="D52" s="76" t="n"/>
      <c r="E52" s="86" t="inlineStr">
        <is>
          <t>ST Gain</t>
        </is>
      </c>
      <c r="F52" s="89">
        <f>SUMIFS('Trading History'!$P$4:$P1005, 'Trading History'!$O$4:$O1005, CONCAT("&gt;", $A50))</f>
        <v/>
      </c>
      <c r="G52" s="76" t="n"/>
      <c r="H52" s="87" t="inlineStr">
        <is>
          <t>LT Gain</t>
        </is>
      </c>
      <c r="I52" s="89">
        <f>SUMIFS('Trading History'!$T$4:$T1005, 'Trading History'!$S$4:$S1005, CONCAT("&gt;", $A50))</f>
        <v/>
      </c>
      <c r="J52" s="76" t="n"/>
      <c r="K52" s="88" t="inlineStr">
        <is>
          <t>Gain</t>
        </is>
      </c>
      <c r="L52" s="89">
        <f>SUMIFS('Trading History'!$Z$4:$Z1005, 'Trading History'!$Y$4:$Y1005, CONCAT("&gt;", $A50))</f>
        <v/>
      </c>
      <c r="M52" s="72" t="n"/>
      <c r="N52" s="72" t="n"/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/>
      <c r="X52" s="72" t="n"/>
      <c r="Y52" s="72" t="n"/>
    </row>
    <row r="53">
      <c r="A53" s="72" t="n"/>
      <c r="B53" s="85" t="inlineStr">
        <is>
          <t>Invested</t>
        </is>
      </c>
      <c r="C53" s="89">
        <f>Index!C54-Index!C52</f>
        <v/>
      </c>
      <c r="D53" s="76" t="n"/>
      <c r="E53" s="86" t="inlineStr">
        <is>
          <t>ST Invested</t>
        </is>
      </c>
      <c r="F53" s="89">
        <f>Index!F54-Index!F52</f>
        <v/>
      </c>
      <c r="G53" s="76" t="n"/>
      <c r="H53" s="87" t="inlineStr">
        <is>
          <t>LT Invested</t>
        </is>
      </c>
      <c r="I53" s="89">
        <f>Index!I54-Index!I52</f>
        <v/>
      </c>
      <c r="J53" s="76" t="n"/>
      <c r="K53" s="88" t="inlineStr">
        <is>
          <t>Invested</t>
        </is>
      </c>
      <c r="L53" s="89">
        <f>Index!L54-Index!L52</f>
        <v/>
      </c>
      <c r="M53" s="72" t="n"/>
      <c r="N53" s="72" t="n"/>
      <c r="O53" s="72" t="n"/>
      <c r="P53" s="72" t="n"/>
      <c r="Q53" s="72" t="n"/>
      <c r="R53" s="72" t="n"/>
      <c r="S53" s="72" t="n"/>
      <c r="T53" s="72" t="n"/>
      <c r="U53" s="72" t="n"/>
      <c r="V53" s="72" t="n"/>
      <c r="W53" s="72" t="n"/>
      <c r="X53" s="72" t="n"/>
      <c r="Y53" s="72" t="n"/>
    </row>
    <row r="54">
      <c r="A54" s="72" t="n"/>
      <c r="B54" s="85" t="inlineStr">
        <is>
          <t>Gross</t>
        </is>
      </c>
      <c r="C54" s="89">
        <f>SUMIFS('Trading History'!$M$4:$M1005, 'Trading History'!$K$4:$K1005, CONCAT("&gt;", $A50))</f>
        <v/>
      </c>
      <c r="D54" s="76" t="n"/>
      <c r="E54" s="86" t="inlineStr">
        <is>
          <t>ST Gross</t>
        </is>
      </c>
      <c r="F54" s="89">
        <f>SUMIFS('Trading History'!$Q$4:$Q1005, 'Trading History'!$O$4:$O1005, CONCAT("&gt;", $A50))</f>
        <v/>
      </c>
      <c r="G54" s="76" t="n"/>
      <c r="H54" s="87" t="inlineStr">
        <is>
          <t>LT Gross</t>
        </is>
      </c>
      <c r="I54" s="89">
        <f>SUMIFS('Trading History'!$U$4:$U1005, 'Trading History'!$S$4:$S1005, CONCAT("&gt;", $A50))</f>
        <v/>
      </c>
      <c r="J54" s="76" t="n"/>
      <c r="K54" s="88" t="inlineStr">
        <is>
          <t>Gross</t>
        </is>
      </c>
      <c r="L54" s="89">
        <f>SUMIFS('Trading History'!$AA$4:$AA1005, 'Trading History'!$Y$4:$Y1005, CONCAT("&gt;", $A50))</f>
        <v/>
      </c>
      <c r="M54" s="72" t="n"/>
      <c r="N54" s="72" t="n"/>
      <c r="O54" s="72" t="n"/>
      <c r="P54" s="72" t="n"/>
      <c r="Q54" s="72" t="n"/>
      <c r="R54" s="72" t="n"/>
      <c r="S54" s="72" t="n"/>
      <c r="T54" s="72" t="n"/>
      <c r="U54" s="72" t="n"/>
      <c r="V54" s="72" t="n"/>
      <c r="W54" s="72" t="n"/>
      <c r="X54" s="72" t="n"/>
      <c r="Y54" s="72" t="n"/>
    </row>
    <row r="55">
      <c r="A55" s="72" t="n"/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2" t="n"/>
      <c r="L55" s="2" t="n"/>
      <c r="M55" s="72" t="n"/>
      <c r="N55" s="72" t="n"/>
      <c r="O55" s="72" t="n"/>
      <c r="P55" s="72" t="n"/>
      <c r="Q55" s="72" t="n"/>
      <c r="R55" s="72" t="n"/>
      <c r="S55" s="72" t="n"/>
      <c r="T55" s="72" t="n"/>
      <c r="U55" s="72" t="n"/>
      <c r="V55" s="72" t="n"/>
      <c r="W55" s="72" t="n"/>
      <c r="X55" s="72" t="n"/>
      <c r="Y55" s="72" t="n"/>
    </row>
    <row r="56">
      <c r="A56" s="72" t="n"/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  <c r="T56" s="72" t="n"/>
      <c r="U56" s="72" t="n"/>
      <c r="V56" s="72" t="n"/>
      <c r="W56" s="72" t="n"/>
      <c r="X56" s="72" t="n"/>
      <c r="Y56" s="72" t="n"/>
    </row>
    <row r="57">
      <c r="A57" s="78" t="n">
        <v>0.2</v>
      </c>
      <c r="B57" s="79" t="inlineStr">
        <is>
          <t>Units</t>
        </is>
      </c>
      <c r="C57" s="80">
        <f>SUMIFS('Trading History'!$N$4:$N1005, 'Trading History'!$K$4:$K1005, CONCAT("&gt;", $A57))</f>
        <v/>
      </c>
      <c r="D57" s="76" t="n"/>
      <c r="E57" s="81" t="inlineStr">
        <is>
          <t>ST Units</t>
        </is>
      </c>
      <c r="F57" s="80">
        <f>IFERROR(SUMIFS('Trading History'!$R$4:$R1005, 'Trading History'!$O$4:$O1005, CONCAT("&gt;", $A57)), 0)</f>
        <v/>
      </c>
      <c r="G57" s="76" t="n"/>
      <c r="H57" s="82" t="inlineStr">
        <is>
          <t>LT Units</t>
        </is>
      </c>
      <c r="I57" s="80">
        <f>SUMIFS('Trading History'!$V$4:$V1005, 'Trading History'!$S$4:$S1005, CONCAT("&gt;", $A57))</f>
        <v/>
      </c>
      <c r="J57" s="76" t="n"/>
      <c r="K57" s="83" t="inlineStr">
        <is>
          <t>Units</t>
        </is>
      </c>
      <c r="L57" s="80">
        <f>SUMIFS('Trading History'!$AB$4:$AB1005, 'Trading History'!$Y$4:$Y1005, CONCAT("&gt;", $A57))</f>
        <v/>
      </c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</row>
    <row r="58">
      <c r="A58" s="72" t="n"/>
      <c r="B58" s="85" t="inlineStr">
        <is>
          <t>Avg %</t>
        </is>
      </c>
      <c r="C58" s="75">
        <f>IFERROR(Index!C59/(Index!C57*Index!$C$2), 0)</f>
        <v/>
      </c>
      <c r="D58" s="76" t="n"/>
      <c r="E58" s="86" t="inlineStr">
        <is>
          <t>ST Avg %</t>
        </is>
      </c>
      <c r="F58" s="75">
        <f>IFERROR(Index!F59/(Index!F57*Index!$C$2), 0)</f>
        <v/>
      </c>
      <c r="G58" s="76" t="n"/>
      <c r="H58" s="87" t="inlineStr">
        <is>
          <t>LT Avg %</t>
        </is>
      </c>
      <c r="I58" s="75">
        <f>IFERROR(Index!I59/(Index!I57*Index!$C$2), 0)</f>
        <v/>
      </c>
      <c r="J58" s="76" t="n"/>
      <c r="K58" s="88" t="inlineStr">
        <is>
          <t>Avg %</t>
        </is>
      </c>
      <c r="L58" s="75">
        <f>IFERROR(Index!L59/(Index!L57*Index!$C$2), 0)</f>
        <v/>
      </c>
      <c r="M58" s="72" t="n"/>
      <c r="N58" s="72" t="n"/>
      <c r="O58" s="72" t="n"/>
      <c r="P58" s="72" t="n"/>
      <c r="Q58" s="72" t="n"/>
      <c r="R58" s="72" t="n"/>
      <c r="S58" s="72" t="n"/>
      <c r="T58" s="72" t="n"/>
      <c r="U58" s="72" t="n"/>
      <c r="V58" s="72" t="n"/>
      <c r="W58" s="72" t="n"/>
      <c r="X58" s="72" t="n"/>
      <c r="Y58" s="72" t="n"/>
    </row>
    <row r="59">
      <c r="A59" s="72" t="n"/>
      <c r="B59" s="85" t="inlineStr">
        <is>
          <t>Gain</t>
        </is>
      </c>
      <c r="C59" s="89">
        <f>SUMIFS('Trading History'!$L$4:$L1005, 'Trading History'!$K$4:$K1005, CONCAT("&gt;", $A57))</f>
        <v/>
      </c>
      <c r="D59" s="76" t="n"/>
      <c r="E59" s="86" t="inlineStr">
        <is>
          <t>ST Gain</t>
        </is>
      </c>
      <c r="F59" s="89">
        <f>SUMIFS('Trading History'!$P$4:$P1005, 'Trading History'!$O$4:$O1005, CONCAT("&gt;", $A57))</f>
        <v/>
      </c>
      <c r="G59" s="76" t="n"/>
      <c r="H59" s="87" t="inlineStr">
        <is>
          <t>LT Gain</t>
        </is>
      </c>
      <c r="I59" s="89">
        <f>SUMIFS('Trading History'!$T$4:$T1005, 'Trading History'!$S$4:$S1005, CONCAT("&gt;", $A57))</f>
        <v/>
      </c>
      <c r="J59" s="76" t="n"/>
      <c r="K59" s="88" t="inlineStr">
        <is>
          <t>Gain</t>
        </is>
      </c>
      <c r="L59" s="89">
        <f>SUMIFS('Trading History'!$Z$4:$Z1005, 'Trading History'!$Y$4:$Y1005, CONCAT("&gt;", $A57))</f>
        <v/>
      </c>
      <c r="M59" s="72" t="n"/>
      <c r="N59" s="72" t="n"/>
      <c r="O59" s="72" t="n"/>
      <c r="P59" s="72" t="n"/>
      <c r="Q59" s="72" t="n"/>
      <c r="R59" s="72" t="n"/>
      <c r="S59" s="72" t="n"/>
      <c r="T59" s="72" t="n"/>
      <c r="U59" s="72" t="n"/>
      <c r="V59" s="72" t="n"/>
      <c r="W59" s="72" t="n"/>
      <c r="X59" s="72" t="n"/>
      <c r="Y59" s="72" t="n"/>
    </row>
    <row r="60">
      <c r="A60" s="72" t="n"/>
      <c r="B60" s="85" t="inlineStr">
        <is>
          <t>Invested</t>
        </is>
      </c>
      <c r="C60" s="89">
        <f>Index!C61-Index!C59</f>
        <v/>
      </c>
      <c r="D60" s="76" t="n"/>
      <c r="E60" s="86" t="inlineStr">
        <is>
          <t>ST Invested</t>
        </is>
      </c>
      <c r="F60" s="89">
        <f>Index!F61-Index!F59</f>
        <v/>
      </c>
      <c r="G60" s="76" t="n"/>
      <c r="H60" s="87" t="inlineStr">
        <is>
          <t>LT Invested</t>
        </is>
      </c>
      <c r="I60" s="89">
        <f>Index!I61-Index!I59</f>
        <v/>
      </c>
      <c r="J60" s="76" t="n"/>
      <c r="K60" s="88" t="inlineStr">
        <is>
          <t>Invested</t>
        </is>
      </c>
      <c r="L60" s="89">
        <f>Index!L61-Index!L59</f>
        <v/>
      </c>
      <c r="M60" s="72" t="n"/>
      <c r="N60" s="72" t="n"/>
      <c r="O60" s="72" t="n"/>
      <c r="P60" s="72" t="n"/>
      <c r="Q60" s="72" t="n"/>
      <c r="R60" s="72" t="n"/>
      <c r="S60" s="72" t="n"/>
      <c r="T60" s="72" t="n"/>
      <c r="U60" s="72" t="n"/>
      <c r="V60" s="72" t="n"/>
      <c r="W60" s="72" t="n"/>
      <c r="X60" s="72" t="n"/>
      <c r="Y60" s="72" t="n"/>
    </row>
    <row r="61">
      <c r="A61" s="72" t="n"/>
      <c r="B61" s="85" t="inlineStr">
        <is>
          <t>Gross</t>
        </is>
      </c>
      <c r="C61" s="89">
        <f>SUMIFS('Trading History'!$M$4:$M1005, 'Trading History'!$K$4:$K1005, CONCAT("&gt;", $A57))</f>
        <v/>
      </c>
      <c r="D61" s="76" t="n"/>
      <c r="E61" s="86" t="inlineStr">
        <is>
          <t>ST Gross</t>
        </is>
      </c>
      <c r="F61" s="89">
        <f>SUMIFS('Trading History'!$Q$4:$Q1005, 'Trading History'!$O$4:$O1005, CONCAT("&gt;", $A57))</f>
        <v/>
      </c>
      <c r="G61" s="76" t="n"/>
      <c r="H61" s="87" t="inlineStr">
        <is>
          <t>LT Gross</t>
        </is>
      </c>
      <c r="I61" s="89">
        <f>SUMIFS('Trading History'!$U$4:$U1005, 'Trading History'!$S$4:$S1005, CONCAT("&gt;", $A57))</f>
        <v/>
      </c>
      <c r="J61" s="76" t="n"/>
      <c r="K61" s="88" t="inlineStr">
        <is>
          <t>Gross</t>
        </is>
      </c>
      <c r="L61" s="89">
        <f>SUMIFS('Trading History'!$AA$4:$AA1005, 'Trading History'!$Y$4:$Y1005, CONCAT("&gt;", $A57))</f>
        <v/>
      </c>
      <c r="M61" s="72" t="n"/>
      <c r="N61" s="72" t="n"/>
      <c r="O61" s="72" t="n"/>
      <c r="P61" s="72" t="n"/>
      <c r="Q61" s="72" t="n"/>
      <c r="R61" s="72" t="n"/>
      <c r="S61" s="72" t="n"/>
      <c r="T61" s="72" t="n"/>
      <c r="U61" s="72" t="n"/>
      <c r="V61" s="72" t="n"/>
      <c r="W61" s="72" t="n"/>
      <c r="X61" s="72" t="n"/>
      <c r="Y61" s="72" t="n"/>
    </row>
    <row r="62">
      <c r="A62" s="72" t="n"/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  <c r="T62" s="72" t="n"/>
      <c r="U62" s="72" t="n"/>
      <c r="V62" s="72" t="n"/>
      <c r="W62" s="72" t="n"/>
      <c r="X62" s="72" t="n"/>
      <c r="Y62" s="72" t="n"/>
    </row>
    <row r="63">
      <c r="A63" s="72" t="n"/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  <c r="T63" s="72" t="n"/>
      <c r="U63" s="72" t="n"/>
      <c r="V63" s="72" t="n"/>
      <c r="W63" s="72" t="n"/>
      <c r="X63" s="72" t="n"/>
      <c r="Y63" s="72" t="n"/>
    </row>
    <row r="64">
      <c r="A64" s="78" t="n">
        <v>0.15</v>
      </c>
      <c r="B64" s="79" t="inlineStr">
        <is>
          <t>Units</t>
        </is>
      </c>
      <c r="C64" s="80">
        <f>SUMIFS('Trading History'!$N$4:$N1005, 'Trading History'!$K$4:$K1005, CONCAT("&gt;", $A64))</f>
        <v/>
      </c>
      <c r="D64" s="76" t="n"/>
      <c r="E64" s="81" t="inlineStr">
        <is>
          <t>ST Units</t>
        </is>
      </c>
      <c r="F64" s="80">
        <f>IFERROR(SUMIFS('Trading History'!$R$4:$R1005, 'Trading History'!$O$4:$O1005, CONCAT("&gt;", $A64)), 0)</f>
        <v/>
      </c>
      <c r="G64" s="76" t="n"/>
      <c r="H64" s="82" t="inlineStr">
        <is>
          <t>LT Units</t>
        </is>
      </c>
      <c r="I64" s="80">
        <f>SUMIFS('Trading History'!$V$4:$V1005, 'Trading History'!$S$4:$S1005, CONCAT("&gt;", $A64))</f>
        <v/>
      </c>
      <c r="J64" s="76" t="n"/>
      <c r="K64" s="83" t="inlineStr">
        <is>
          <t>Units</t>
        </is>
      </c>
      <c r="L64" s="80">
        <f>SUMIFS('Trading History'!$AB$4:$AB1005, 'Trading History'!$Y$4:$Y1005, CONCAT("&gt;", $A64))</f>
        <v/>
      </c>
      <c r="M64" s="72" t="n"/>
      <c r="N64" s="72" t="n"/>
      <c r="O64" s="72" t="n"/>
      <c r="P64" s="72" t="n"/>
      <c r="Q64" s="72" t="n"/>
      <c r="R64" s="72" t="n"/>
      <c r="S64" s="72" t="n"/>
      <c r="T64" s="72" t="n"/>
      <c r="U64" s="72" t="n"/>
      <c r="V64" s="72" t="n"/>
      <c r="W64" s="72" t="n"/>
      <c r="X64" s="72" t="n"/>
      <c r="Y64" s="72" t="n"/>
    </row>
    <row r="65">
      <c r="A65" s="72" t="n"/>
      <c r="B65" s="85" t="inlineStr">
        <is>
          <t>Avg %</t>
        </is>
      </c>
      <c r="C65" s="75">
        <f>IFERROR(Index!C66/(Index!C64*Index!$C$2), 0)</f>
        <v/>
      </c>
      <c r="D65" s="76" t="n"/>
      <c r="E65" s="86" t="inlineStr">
        <is>
          <t>ST Avg %</t>
        </is>
      </c>
      <c r="F65" s="75">
        <f>IFERROR(Index!F66/(Index!F64*Index!$C$2), 0)</f>
        <v/>
      </c>
      <c r="G65" s="76" t="n"/>
      <c r="H65" s="87" t="inlineStr">
        <is>
          <t>LT Avg %</t>
        </is>
      </c>
      <c r="I65" s="75">
        <f>IFERROR(Index!I66/(Index!I64*Index!$C$2), 0)</f>
        <v/>
      </c>
      <c r="J65" s="76" t="n"/>
      <c r="K65" s="88" t="inlineStr">
        <is>
          <t>Avg %</t>
        </is>
      </c>
      <c r="L65" s="75">
        <f>IFERROR(Index!L66/(Index!L64*Index!$C$2), 0)</f>
        <v/>
      </c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/>
      <c r="W65" s="72" t="n"/>
      <c r="X65" s="72" t="n"/>
      <c r="Y65" s="72" t="n"/>
    </row>
    <row r="66">
      <c r="A66" s="72" t="n"/>
      <c r="B66" s="85" t="inlineStr">
        <is>
          <t>Gain</t>
        </is>
      </c>
      <c r="C66" s="89">
        <f>SUMIFS('Trading History'!$L$4:$L1005, 'Trading History'!$K$4:$K1005, CONCAT("&gt;", $A64))</f>
        <v/>
      </c>
      <c r="D66" s="76" t="n"/>
      <c r="E66" s="86" t="inlineStr">
        <is>
          <t>ST Gain</t>
        </is>
      </c>
      <c r="F66" s="89">
        <f>SUMIFS('Trading History'!$P$4:$P1005, 'Trading History'!$O$4:$O1005, CONCAT("&gt;", $A64))</f>
        <v/>
      </c>
      <c r="G66" s="76" t="n"/>
      <c r="H66" s="87" t="inlineStr">
        <is>
          <t>LT Gain</t>
        </is>
      </c>
      <c r="I66" s="89">
        <f>SUMIFS('Trading History'!$T$4:$T1005, 'Trading History'!$S$4:$S1005, CONCAT("&gt;", $A64))</f>
        <v/>
      </c>
      <c r="J66" s="76" t="n"/>
      <c r="K66" s="88" t="inlineStr">
        <is>
          <t>Gain</t>
        </is>
      </c>
      <c r="L66" s="89">
        <f>SUMIFS('Trading History'!$Z$4:$Z1005, 'Trading History'!$Y$4:$Y1005, CONCAT("&gt;", $A64))</f>
        <v/>
      </c>
      <c r="M66" s="72" t="n"/>
      <c r="N66" s="72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</row>
    <row r="67">
      <c r="A67" s="72" t="n"/>
      <c r="B67" s="85" t="inlineStr">
        <is>
          <t>Invested</t>
        </is>
      </c>
      <c r="C67" s="89">
        <f>Index!C68-Index!C66</f>
        <v/>
      </c>
      <c r="D67" s="76" t="n"/>
      <c r="E67" s="86" t="inlineStr">
        <is>
          <t>ST Invested</t>
        </is>
      </c>
      <c r="F67" s="89">
        <f>Index!F68-Index!F66</f>
        <v/>
      </c>
      <c r="G67" s="76" t="n"/>
      <c r="H67" s="87" t="inlineStr">
        <is>
          <t>LT Invested</t>
        </is>
      </c>
      <c r="I67" s="89">
        <f>Index!I68-Index!I66</f>
        <v/>
      </c>
      <c r="J67" s="76" t="n"/>
      <c r="K67" s="88" t="inlineStr">
        <is>
          <t>Invested</t>
        </is>
      </c>
      <c r="L67" s="89">
        <f>Index!L68-Index!L66</f>
        <v/>
      </c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</row>
    <row r="68">
      <c r="A68" s="72" t="n"/>
      <c r="B68" s="85" t="inlineStr">
        <is>
          <t>Gross</t>
        </is>
      </c>
      <c r="C68" s="89">
        <f>SUMIFS('Trading History'!$M$4:$M1005, 'Trading History'!$K$4:$K1005, CONCAT("&gt;", $A64))</f>
        <v/>
      </c>
      <c r="D68" s="76" t="n"/>
      <c r="E68" s="86" t="inlineStr">
        <is>
          <t>ST Gross</t>
        </is>
      </c>
      <c r="F68" s="89">
        <f>SUMIFS('Trading History'!$Q$4:$Q1005, 'Trading History'!$O$4:$O1005, CONCAT("&gt;", $A64))</f>
        <v/>
      </c>
      <c r="G68" s="76" t="n"/>
      <c r="H68" s="87" t="inlineStr">
        <is>
          <t>LT Gross</t>
        </is>
      </c>
      <c r="I68" s="89">
        <f>SUMIFS('Trading History'!$U$4:$U1005, 'Trading History'!$S$4:$S1005, CONCAT("&gt;", $A64))</f>
        <v/>
      </c>
      <c r="J68" s="76" t="n"/>
      <c r="K68" s="88" t="inlineStr">
        <is>
          <t>Gross</t>
        </is>
      </c>
      <c r="L68" s="89">
        <f>SUMIFS('Trading History'!$AA$4:$AA1005, 'Trading History'!$Y$4:$Y1005, CONCAT("&gt;", $A64))</f>
        <v/>
      </c>
      <c r="M68" s="72" t="n"/>
      <c r="N68" s="72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</row>
    <row r="70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</row>
    <row r="71">
      <c r="A71" s="78" t="n">
        <v>0.1</v>
      </c>
      <c r="B71" s="79" t="inlineStr">
        <is>
          <t>Units</t>
        </is>
      </c>
      <c r="C71" s="80">
        <f>SUMIFS('Trading History'!$N$4:$N1005, 'Trading History'!$K$4:$K1005, CONCAT("&gt;", $A71))</f>
        <v/>
      </c>
      <c r="D71" s="76" t="n"/>
      <c r="E71" s="81" t="inlineStr">
        <is>
          <t>ST Units</t>
        </is>
      </c>
      <c r="F71" s="80">
        <f>IFERROR(SUMIFS('Trading History'!$R$4:$R1005, 'Trading History'!$O$4:$O1005, CONCAT("&gt;", $A71)), 0)</f>
        <v/>
      </c>
      <c r="G71" s="76" t="n"/>
      <c r="H71" s="82" t="inlineStr">
        <is>
          <t>LT Units</t>
        </is>
      </c>
      <c r="I71" s="80">
        <f>SUMIFS('Trading History'!$V$4:$V1005, 'Trading History'!$S$4:$S1005, CONCAT("&gt;", $A71))</f>
        <v/>
      </c>
      <c r="J71" s="76" t="n"/>
      <c r="K71" s="83" t="inlineStr">
        <is>
          <t>Units</t>
        </is>
      </c>
      <c r="L71" s="80">
        <f>SUMIFS('Trading History'!$AB$4:$AB1005, 'Trading History'!$Y$4:$Y1005, CONCAT("&gt;", $A71))</f>
        <v/>
      </c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</row>
    <row r="72">
      <c r="A72" s="72" t="n"/>
      <c r="B72" s="85" t="inlineStr">
        <is>
          <t>Avg %</t>
        </is>
      </c>
      <c r="C72" s="75">
        <f>IFERROR(Index!C73/(Index!C71*Index!$C$2), 0)</f>
        <v/>
      </c>
      <c r="D72" s="76" t="n"/>
      <c r="E72" s="86" t="inlineStr">
        <is>
          <t>ST Avg %</t>
        </is>
      </c>
      <c r="F72" s="75">
        <f>IFERROR(Index!F73/(Index!F71*Index!$C$2), 0)</f>
        <v/>
      </c>
      <c r="G72" s="76" t="n"/>
      <c r="H72" s="87" t="inlineStr">
        <is>
          <t>LT Avg %</t>
        </is>
      </c>
      <c r="I72" s="75">
        <f>IFERROR(Index!I73/(Index!I71*Index!$C$2), 0)</f>
        <v/>
      </c>
      <c r="J72" s="76" t="n"/>
      <c r="K72" s="88" t="inlineStr">
        <is>
          <t>Avg %</t>
        </is>
      </c>
      <c r="L72" s="75">
        <f>IFERROR(Index!L73/(Index!L71*Index!$C$2), 0)</f>
        <v/>
      </c>
      <c r="M72" s="72" t="n"/>
      <c r="N72" s="72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</row>
    <row r="73">
      <c r="A73" s="72" t="n"/>
      <c r="B73" s="85" t="inlineStr">
        <is>
          <t>Gain</t>
        </is>
      </c>
      <c r="C73" s="89">
        <f>SUMIFS('Trading History'!$L$4:$L1005, 'Trading History'!$K$4:$K1005, CONCAT("&gt;", $A71))</f>
        <v/>
      </c>
      <c r="D73" s="76" t="n"/>
      <c r="E73" s="86" t="inlineStr">
        <is>
          <t>ST Gain</t>
        </is>
      </c>
      <c r="F73" s="89">
        <f>SUMIFS('Trading History'!$P$4:$P1005, 'Trading History'!$O$4:$O1005, CONCAT("&gt;", $A71))</f>
        <v/>
      </c>
      <c r="G73" s="76" t="n"/>
      <c r="H73" s="87" t="inlineStr">
        <is>
          <t>LT Gain</t>
        </is>
      </c>
      <c r="I73" s="89">
        <f>SUMIFS('Trading History'!$T$4:$T1005, 'Trading History'!$S$4:$S1005, CONCAT("&gt;", $A71))</f>
        <v/>
      </c>
      <c r="J73" s="76" t="n"/>
      <c r="K73" s="88" t="inlineStr">
        <is>
          <t>Gain</t>
        </is>
      </c>
      <c r="L73" s="89">
        <f>SUMIFS('Trading History'!$Z$4:$Z1005, 'Trading History'!$Y$4:$Y1005, CONCAT("&gt;", $A71))</f>
        <v/>
      </c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</row>
    <row r="74">
      <c r="A74" s="72" t="n"/>
      <c r="B74" s="85" t="inlineStr">
        <is>
          <t>Invested</t>
        </is>
      </c>
      <c r="C74" s="89">
        <f>Index!C75-Index!C73</f>
        <v/>
      </c>
      <c r="D74" s="76" t="n"/>
      <c r="E74" s="86" t="inlineStr">
        <is>
          <t>ST Invested</t>
        </is>
      </c>
      <c r="F74" s="89">
        <f>Index!F75-Index!F73</f>
        <v/>
      </c>
      <c r="G74" s="76" t="n"/>
      <c r="H74" s="87" t="inlineStr">
        <is>
          <t>LT Invested</t>
        </is>
      </c>
      <c r="I74" s="89">
        <f>Index!I75-Index!I73</f>
        <v/>
      </c>
      <c r="J74" s="76" t="n"/>
      <c r="K74" s="88" t="inlineStr">
        <is>
          <t>Invested</t>
        </is>
      </c>
      <c r="L74" s="89">
        <f>Index!L75-Index!L73</f>
        <v/>
      </c>
      <c r="M74" s="72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</row>
    <row r="75">
      <c r="A75" s="72" t="n"/>
      <c r="B75" s="85" t="inlineStr">
        <is>
          <t>Gross</t>
        </is>
      </c>
      <c r="C75" s="89">
        <f>SUMIFS('Trading History'!$M$4:$M1005, 'Trading History'!$K$4:$K1005, CONCAT("&gt;", $A71))</f>
        <v/>
      </c>
      <c r="D75" s="76" t="n"/>
      <c r="E75" s="86" t="inlineStr">
        <is>
          <t>ST Gross</t>
        </is>
      </c>
      <c r="F75" s="89">
        <f>SUMIFS('Trading History'!$Q$4:$Q1005, 'Trading History'!$O$4:$O1005, CONCAT("&gt;", $A71))</f>
        <v/>
      </c>
      <c r="G75" s="76" t="n"/>
      <c r="H75" s="87" t="inlineStr">
        <is>
          <t>LT Gross</t>
        </is>
      </c>
      <c r="I75" s="89">
        <f>SUMIFS('Trading History'!$U$4:$U1005, 'Trading History'!$S$4:$S1005, CONCAT("&gt;", $A71))</f>
        <v/>
      </c>
      <c r="J75" s="76" t="n"/>
      <c r="K75" s="88" t="inlineStr">
        <is>
          <t>Gross</t>
        </is>
      </c>
      <c r="L75" s="89">
        <f>SUMIFS('Trading History'!$AA$4:$AA1005, 'Trading History'!$Y$4:$Y1005, CONCAT("&gt;", $A71))</f>
        <v/>
      </c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</row>
    <row r="76">
      <c r="A76" s="72" t="n"/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</row>
    <row r="78">
      <c r="A78" s="78" t="n">
        <v>0.05</v>
      </c>
      <c r="B78" s="79" t="inlineStr">
        <is>
          <t>Units</t>
        </is>
      </c>
      <c r="C78" s="80">
        <f>SUMIFS('Trading History'!$N$4:$N1005, 'Trading History'!$K$4:$K1005, CONCAT("&gt;", $A78))</f>
        <v/>
      </c>
      <c r="D78" s="76" t="n"/>
      <c r="E78" s="81" t="inlineStr">
        <is>
          <t>ST Units</t>
        </is>
      </c>
      <c r="F78" s="80">
        <f>IFERROR(SUMIFS('Trading History'!$R$4:$R1005, 'Trading History'!$O$4:$O1005, CONCAT("&gt;", $A78)), 0)</f>
        <v/>
      </c>
      <c r="G78" s="76" t="n"/>
      <c r="H78" s="82" t="inlineStr">
        <is>
          <t>LT Units</t>
        </is>
      </c>
      <c r="I78" s="80">
        <f>SUMIFS('Trading History'!$V$4:$V1005, 'Trading History'!$S$4:$S1005, CONCAT("&gt;", $A78))</f>
        <v/>
      </c>
      <c r="J78" s="76" t="n"/>
      <c r="K78" s="83" t="inlineStr">
        <is>
          <t>Units</t>
        </is>
      </c>
      <c r="L78" s="80">
        <f>SUMIFS('Trading History'!$AB$4:$AB1005, 'Trading History'!$Y$4:$Y1005, CONCAT("&gt;", $A78))</f>
        <v/>
      </c>
      <c r="M78" s="72" t="n"/>
      <c r="N78" s="72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</row>
    <row r="79">
      <c r="A79" s="72" t="n"/>
      <c r="B79" s="85" t="inlineStr">
        <is>
          <t>Avg %</t>
        </is>
      </c>
      <c r="C79" s="75">
        <f>IFERROR(Index!C80/(Index!C78*Index!$C$2), 0)</f>
        <v/>
      </c>
      <c r="D79" s="76" t="n"/>
      <c r="E79" s="86" t="inlineStr">
        <is>
          <t>ST Avg %</t>
        </is>
      </c>
      <c r="F79" s="75">
        <f>IFERROR(Index!F80/(Index!F78*Index!$C$2), 0)</f>
        <v/>
      </c>
      <c r="G79" s="76" t="n"/>
      <c r="H79" s="87" t="inlineStr">
        <is>
          <t>LT Avg %</t>
        </is>
      </c>
      <c r="I79" s="75">
        <f>IFERROR(Index!I80/(Index!I78*Index!$C$2), 0)</f>
        <v/>
      </c>
      <c r="J79" s="76" t="n"/>
      <c r="K79" s="88" t="inlineStr">
        <is>
          <t>Avg %</t>
        </is>
      </c>
      <c r="L79" s="75">
        <f>IFERROR(Index!L80/(Index!L78*Index!$C$2), 0)</f>
        <v/>
      </c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</row>
    <row r="80">
      <c r="A80" s="72" t="n"/>
      <c r="B80" s="85" t="inlineStr">
        <is>
          <t>Gain</t>
        </is>
      </c>
      <c r="C80" s="89">
        <f>SUMIFS('Trading History'!$L$4:$L1005, 'Trading History'!$K$4:$K1005, CONCAT("&gt;", $A78))</f>
        <v/>
      </c>
      <c r="D80" s="76" t="n"/>
      <c r="E80" s="86" t="inlineStr">
        <is>
          <t>ST Gain</t>
        </is>
      </c>
      <c r="F80" s="89">
        <f>SUMIFS('Trading History'!$P$4:$P1005, 'Trading History'!$O$4:$O1005, CONCAT("&gt;", $A78))</f>
        <v/>
      </c>
      <c r="G80" s="76" t="n"/>
      <c r="H80" s="87" t="inlineStr">
        <is>
          <t>LT Gain</t>
        </is>
      </c>
      <c r="I80" s="89">
        <f>SUMIFS('Trading History'!$T$4:$T1005, 'Trading History'!$S$4:$S1005, CONCAT("&gt;", $A78))</f>
        <v/>
      </c>
      <c r="J80" s="76" t="n"/>
      <c r="K80" s="88" t="inlineStr">
        <is>
          <t>Gain</t>
        </is>
      </c>
      <c r="L80" s="89">
        <f>SUMIFS('Trading History'!$Z$4:$Z1005, 'Trading History'!$Y$4:$Y1005, CONCAT("&gt;", $A78))</f>
        <v/>
      </c>
      <c r="M80" s="72" t="n"/>
      <c r="N80" s="72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</row>
    <row r="81">
      <c r="A81" s="72" t="n"/>
      <c r="B81" s="85" t="inlineStr">
        <is>
          <t>Invested</t>
        </is>
      </c>
      <c r="C81" s="89">
        <f>Index!C82-Index!C80</f>
        <v/>
      </c>
      <c r="D81" s="76" t="n"/>
      <c r="E81" s="86" t="inlineStr">
        <is>
          <t>ST Invested</t>
        </is>
      </c>
      <c r="F81" s="89">
        <f>Index!F82-Index!F80</f>
        <v/>
      </c>
      <c r="G81" s="76" t="n"/>
      <c r="H81" s="87" t="inlineStr">
        <is>
          <t>LT Invested</t>
        </is>
      </c>
      <c r="I81" s="89">
        <f>Index!I82-Index!I80</f>
        <v/>
      </c>
      <c r="J81" s="76" t="n"/>
      <c r="K81" s="88" t="inlineStr">
        <is>
          <t>Invested</t>
        </is>
      </c>
      <c r="L81" s="89">
        <f>Index!L82-Index!L80</f>
        <v/>
      </c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</row>
    <row r="82">
      <c r="A82" s="72" t="n"/>
      <c r="B82" s="85" t="inlineStr">
        <is>
          <t>Gross</t>
        </is>
      </c>
      <c r="C82" s="89">
        <f>SUMIFS('Trading History'!$M$4:$M1005, 'Trading History'!$K$4:$K1005, CONCAT("&gt;", $A78))</f>
        <v/>
      </c>
      <c r="D82" s="76" t="n"/>
      <c r="E82" s="86" t="inlineStr">
        <is>
          <t>ST Gross</t>
        </is>
      </c>
      <c r="F82" s="89">
        <f>SUMIFS('Trading History'!$Q$4:$Q1005, 'Trading History'!$O$4:$O1005, CONCAT("&gt;", $A78))</f>
        <v/>
      </c>
      <c r="G82" s="76" t="n"/>
      <c r="H82" s="87" t="inlineStr">
        <is>
          <t>LT Gross</t>
        </is>
      </c>
      <c r="I82" s="89">
        <f>SUMIFS('Trading History'!$U$4:$U1005, 'Trading History'!$S$4:$S1005, CONCAT("&gt;", $A78))</f>
        <v/>
      </c>
      <c r="J82" s="76" t="n"/>
      <c r="K82" s="88" t="inlineStr">
        <is>
          <t>Gross</t>
        </is>
      </c>
      <c r="L82" s="89">
        <f>SUMIFS('Trading History'!$AA$4:$AA1005, 'Trading History'!$Y$4:$Y1005, CONCAT("&gt;", $A78))</f>
        <v/>
      </c>
      <c r="M82" s="72" t="n"/>
      <c r="N82" s="72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</row>
    <row r="84">
      <c r="A84" s="72" t="n"/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</row>
    <row r="85">
      <c r="A85" s="78" t="n">
        <v>0</v>
      </c>
      <c r="B85" s="79" t="inlineStr">
        <is>
          <t>Units</t>
        </is>
      </c>
      <c r="C85" s="80">
        <f>SUMIFS('Trading History'!$N$4:$N1005, 'Trading History'!$K$4:$K1005, CONCAT("&gt;", $A85))</f>
        <v/>
      </c>
      <c r="D85" s="76" t="n"/>
      <c r="E85" s="81" t="inlineStr">
        <is>
          <t>ST Units</t>
        </is>
      </c>
      <c r="F85" s="80">
        <f>IFERROR(SUMIFS('Trading History'!$R$4:$R1005, 'Trading History'!$O$4:$O1005, CONCAT("&gt;", $A85)), 0)</f>
        <v/>
      </c>
      <c r="G85" s="76" t="n"/>
      <c r="H85" s="82" t="inlineStr">
        <is>
          <t>LT Units</t>
        </is>
      </c>
      <c r="I85" s="80">
        <f>SUMIFS('Trading History'!$V$4:$V1005, 'Trading History'!$S$4:$S1005, CONCAT("&gt;", $A85))</f>
        <v/>
      </c>
      <c r="J85" s="76" t="n"/>
      <c r="K85" s="83" t="inlineStr">
        <is>
          <t>Units</t>
        </is>
      </c>
      <c r="L85" s="80">
        <f>SUMIFS('Trading History'!$AB$4:$AB1005, 'Trading History'!$Y$4:$Y1005, CONCAT("&gt;", $A85))</f>
        <v/>
      </c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</row>
    <row r="86">
      <c r="A86" s="72" t="n"/>
      <c r="B86" s="85" t="inlineStr">
        <is>
          <t>Avg %</t>
        </is>
      </c>
      <c r="C86" s="75">
        <f>IFERROR(Index!C87/(Index!C85*Index!$C$2), 0)</f>
        <v/>
      </c>
      <c r="D86" s="76" t="n"/>
      <c r="E86" s="86" t="inlineStr">
        <is>
          <t>ST Avg %</t>
        </is>
      </c>
      <c r="F86" s="75">
        <f>IFERROR(Index!F87/(Index!F85*Index!$C$2), 0)</f>
        <v/>
      </c>
      <c r="G86" s="76" t="n"/>
      <c r="H86" s="87" t="inlineStr">
        <is>
          <t>LT Avg %</t>
        </is>
      </c>
      <c r="I86" s="75">
        <f>IFERROR(Index!I87/(Index!I85*Index!$C$2), 0)</f>
        <v/>
      </c>
      <c r="J86" s="76" t="n"/>
      <c r="K86" s="88" t="inlineStr">
        <is>
          <t>Avg %</t>
        </is>
      </c>
      <c r="L86" s="75">
        <f>IFERROR(Index!L87/(Index!L85*Index!$C$2), 0)</f>
        <v/>
      </c>
      <c r="M86" s="72" t="n"/>
      <c r="N86" s="72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</row>
    <row r="87">
      <c r="A87" s="72" t="n"/>
      <c r="B87" s="85" t="inlineStr">
        <is>
          <t>Gain</t>
        </is>
      </c>
      <c r="C87" s="89">
        <f>SUMIFS('Trading History'!$L$4:$L1005, 'Trading History'!$K$4:$K1005, CONCAT("&gt;", $A85))</f>
        <v/>
      </c>
      <c r="D87" s="76" t="n"/>
      <c r="E87" s="86" t="inlineStr">
        <is>
          <t>ST Gain</t>
        </is>
      </c>
      <c r="F87" s="89">
        <f>SUMIFS('Trading History'!$P$4:$P1005, 'Trading History'!$O$4:$O1005, CONCAT("&gt;", $A85))</f>
        <v/>
      </c>
      <c r="G87" s="76" t="n"/>
      <c r="H87" s="87" t="inlineStr">
        <is>
          <t>LT Gain</t>
        </is>
      </c>
      <c r="I87" s="89">
        <f>SUMIFS('Trading History'!$T$4:$T1005, 'Trading History'!$S$4:$S1005, CONCAT("&gt;", $A85))</f>
        <v/>
      </c>
      <c r="J87" s="76" t="n"/>
      <c r="K87" s="88" t="inlineStr">
        <is>
          <t>Gain</t>
        </is>
      </c>
      <c r="L87" s="89">
        <f>SUMIFS('Trading History'!$Z$4:$Z1005, 'Trading History'!$Y$4:$Y1005, CONCAT("&gt;", $A85))</f>
        <v/>
      </c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</row>
    <row r="88">
      <c r="A88" s="72" t="n"/>
      <c r="B88" s="85" t="inlineStr">
        <is>
          <t>Invested</t>
        </is>
      </c>
      <c r="C88" s="89">
        <f>Index!C89-Index!C87</f>
        <v/>
      </c>
      <c r="D88" s="76" t="n"/>
      <c r="E88" s="86" t="inlineStr">
        <is>
          <t>ST Invested</t>
        </is>
      </c>
      <c r="F88" s="89">
        <f>Index!F89-Index!F87</f>
        <v/>
      </c>
      <c r="G88" s="76" t="n"/>
      <c r="H88" s="87" t="inlineStr">
        <is>
          <t>LT Invested</t>
        </is>
      </c>
      <c r="I88" s="89">
        <f>Index!I89-Index!I87</f>
        <v/>
      </c>
      <c r="J88" s="76" t="n"/>
      <c r="K88" s="88" t="inlineStr">
        <is>
          <t>Invested</t>
        </is>
      </c>
      <c r="L88" s="89">
        <f>Index!L89-Index!L87</f>
        <v/>
      </c>
      <c r="M88" s="72" t="n"/>
      <c r="N88" s="72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</row>
    <row r="89">
      <c r="A89" s="72" t="n"/>
      <c r="B89" s="85" t="inlineStr">
        <is>
          <t>Gross</t>
        </is>
      </c>
      <c r="C89" s="89">
        <f>SUMIFS('Trading History'!$M$4:$M1005, 'Trading History'!$K$4:$K1005, CONCAT("&gt;", $A85))</f>
        <v/>
      </c>
      <c r="D89" s="76" t="n"/>
      <c r="E89" s="86" t="inlineStr">
        <is>
          <t>ST Gross</t>
        </is>
      </c>
      <c r="F89" s="89">
        <f>SUMIFS('Trading History'!$Q$4:$Q1005, 'Trading History'!$O$4:$O1005, CONCAT("&gt;", $A85))</f>
        <v/>
      </c>
      <c r="G89" s="76" t="n"/>
      <c r="H89" s="87" t="inlineStr">
        <is>
          <t>LT Gross</t>
        </is>
      </c>
      <c r="I89" s="89">
        <f>SUMIFS('Trading History'!$U$4:$U1005, 'Trading History'!$S$4:$S1005, CONCAT("&gt;", $A85))</f>
        <v/>
      </c>
      <c r="J89" s="76" t="n"/>
      <c r="K89" s="88" t="inlineStr">
        <is>
          <t>Gross</t>
        </is>
      </c>
      <c r="L89" s="89">
        <f>SUMIFS('Trading History'!$AA$4:$AA1005, 'Trading History'!$Y$4:$Y1005, CONCAT("&gt;", $A85))</f>
        <v/>
      </c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</row>
    <row r="90">
      <c r="A90" s="72" t="n"/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2" t="n"/>
      <c r="L90" s="2" t="n"/>
      <c r="M90" s="72" t="n"/>
      <c r="N90" s="72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</row>
    <row r="92">
      <c r="A92" s="72" t="n"/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</row>
    <row r="94">
      <c r="A94" s="72" t="n"/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</row>
    <row r="96">
      <c r="A96" s="72" t="n"/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</row>
    <row r="98">
      <c r="A98" s="72" t="n"/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</row>
    <row r="100">
      <c r="A100" s="72" t="n"/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</row>
    <row r="102">
      <c r="A102" s="72" t="n"/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</row>
    <row r="104">
      <c r="A104" s="72" t="n"/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</row>
    <row r="106">
      <c r="A106" s="72" t="n"/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</row>
    <row r="108">
      <c r="A108" s="72" t="n"/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</row>
    <row r="110">
      <c r="A110" s="72" t="n"/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</row>
    <row r="112">
      <c r="A112" s="72" t="n"/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</row>
    <row r="114">
      <c r="A114" s="72" t="n"/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</row>
    <row r="116">
      <c r="A116" s="72" t="n"/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</row>
    <row r="118">
      <c r="A118" s="72" t="n"/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</row>
    <row r="120">
      <c r="A120" s="72" t="n"/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</row>
    <row r="122">
      <c r="A122" s="72" t="n"/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</row>
    <row r="124">
      <c r="A124" s="72" t="n"/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</row>
    <row r="126">
      <c r="A126" s="72" t="n"/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</row>
    <row r="128">
      <c r="A128" s="72" t="n"/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</row>
    <row r="130">
      <c r="A130" s="72" t="n"/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</row>
    <row r="132">
      <c r="A132" s="72" t="n"/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</row>
    <row r="134">
      <c r="A134" s="72" t="n"/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</row>
    <row r="136">
      <c r="A136" s="72" t="n"/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</row>
    <row r="138">
      <c r="A138" s="72" t="n"/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  <c r="T138" s="72" t="n"/>
      <c r="U138" s="72" t="n"/>
      <c r="V138" s="72" t="n"/>
      <c r="W138" s="72" t="n"/>
      <c r="X138" s="72" t="n"/>
      <c r="Y138" s="72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</row>
    <row r="140">
      <c r="A140" s="72" t="n"/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  <c r="T140" s="72" t="n"/>
      <c r="U140" s="72" t="n"/>
      <c r="V140" s="72" t="n"/>
      <c r="W140" s="72" t="n"/>
      <c r="X140" s="72" t="n"/>
      <c r="Y140" s="72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</row>
    <row r="142">
      <c r="A142" s="72" t="n"/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  <c r="T142" s="72" t="n"/>
      <c r="U142" s="72" t="n"/>
      <c r="V142" s="72" t="n"/>
      <c r="W142" s="72" t="n"/>
      <c r="X142" s="72" t="n"/>
      <c r="Y142" s="72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</row>
    <row r="144">
      <c r="A144" s="72" t="n"/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  <c r="T144" s="72" t="n"/>
      <c r="U144" s="72" t="n"/>
      <c r="V144" s="72" t="n"/>
      <c r="W144" s="72" t="n"/>
      <c r="X144" s="72" t="n"/>
      <c r="Y144" s="72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</row>
    <row r="146">
      <c r="A146" s="72" t="n"/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  <c r="T146" s="72" t="n"/>
      <c r="U146" s="72" t="n"/>
      <c r="V146" s="72" t="n"/>
      <c r="W146" s="72" t="n"/>
      <c r="X146" s="72" t="n"/>
      <c r="Y146" s="72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</row>
    <row r="148">
      <c r="A148" s="72" t="n"/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  <c r="T148" s="72" t="n"/>
      <c r="U148" s="72" t="n"/>
      <c r="V148" s="72" t="n"/>
      <c r="W148" s="72" t="n"/>
      <c r="X148" s="72" t="n"/>
      <c r="Y148" s="72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</row>
    <row r="150">
      <c r="A150" s="72" t="n"/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  <c r="T150" s="72" t="n"/>
      <c r="U150" s="72" t="n"/>
      <c r="V150" s="72" t="n"/>
      <c r="W150" s="72" t="n"/>
      <c r="X150" s="72" t="n"/>
      <c r="Y150" s="72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</row>
    <row r="152">
      <c r="A152" s="72" t="n"/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  <c r="T152" s="72" t="n"/>
      <c r="U152" s="72" t="n"/>
      <c r="V152" s="72" t="n"/>
      <c r="W152" s="72" t="n"/>
      <c r="X152" s="72" t="n"/>
      <c r="Y152" s="72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</row>
    <row r="154">
      <c r="A154" s="72" t="n"/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  <c r="T154" s="72" t="n"/>
      <c r="U154" s="72" t="n"/>
      <c r="V154" s="72" t="n"/>
      <c r="W154" s="72" t="n"/>
      <c r="X154" s="72" t="n"/>
      <c r="Y154" s="72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</row>
    <row r="156">
      <c r="A156" s="72" t="n"/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  <c r="T156" s="72" t="n"/>
      <c r="U156" s="72" t="n"/>
      <c r="V156" s="72" t="n"/>
      <c r="W156" s="72" t="n"/>
      <c r="X156" s="72" t="n"/>
      <c r="Y156" s="72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</row>
    <row r="158">
      <c r="A158" s="72" t="n"/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  <c r="T158" s="72" t="n"/>
      <c r="U158" s="72" t="n"/>
      <c r="V158" s="72" t="n"/>
      <c r="W158" s="72" t="n"/>
      <c r="X158" s="72" t="n"/>
      <c r="Y158" s="72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</row>
    <row r="160">
      <c r="A160" s="72" t="n"/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  <c r="T160" s="72" t="n"/>
      <c r="U160" s="72" t="n"/>
      <c r="V160" s="72" t="n"/>
      <c r="W160" s="72" t="n"/>
      <c r="X160" s="72" t="n"/>
      <c r="Y160" s="72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</row>
    <row r="162">
      <c r="A162" s="72" t="n"/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  <c r="T162" s="72" t="n"/>
      <c r="U162" s="72" t="n"/>
      <c r="V162" s="72" t="n"/>
      <c r="W162" s="72" t="n"/>
      <c r="X162" s="72" t="n"/>
      <c r="Y162" s="72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</row>
    <row r="164">
      <c r="A164" s="72" t="n"/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  <c r="T164" s="72" t="n"/>
      <c r="U164" s="72" t="n"/>
      <c r="V164" s="72" t="n"/>
      <c r="W164" s="72" t="n"/>
      <c r="X164" s="72" t="n"/>
      <c r="Y164" s="72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</row>
    <row r="166">
      <c r="A166" s="72" t="n"/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  <c r="T166" s="72" t="n"/>
      <c r="U166" s="72" t="n"/>
      <c r="V166" s="72" t="n"/>
      <c r="W166" s="72" t="n"/>
      <c r="X166" s="72" t="n"/>
      <c r="Y166" s="72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</row>
    <row r="168">
      <c r="A168" s="72" t="n"/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  <c r="T168" s="72" t="n"/>
      <c r="U168" s="72" t="n"/>
      <c r="V168" s="72" t="n"/>
      <c r="W168" s="72" t="n"/>
      <c r="X168" s="72" t="n"/>
      <c r="Y168" s="72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</row>
    <row r="170">
      <c r="A170" s="72" t="n"/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  <c r="T170" s="72" t="n"/>
      <c r="U170" s="72" t="n"/>
      <c r="V170" s="72" t="n"/>
      <c r="W170" s="72" t="n"/>
      <c r="X170" s="72" t="n"/>
      <c r="Y170" s="72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</row>
    <row r="172">
      <c r="A172" s="72" t="n"/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  <c r="T172" s="72" t="n"/>
      <c r="U172" s="72" t="n"/>
      <c r="V172" s="72" t="n"/>
      <c r="W172" s="72" t="n"/>
      <c r="X172" s="72" t="n"/>
      <c r="Y172" s="72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</row>
    <row r="174">
      <c r="A174" s="72" t="n"/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  <c r="T174" s="72" t="n"/>
      <c r="U174" s="72" t="n"/>
      <c r="V174" s="72" t="n"/>
      <c r="W174" s="72" t="n"/>
      <c r="X174" s="72" t="n"/>
      <c r="Y174" s="72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</row>
    <row r="176">
      <c r="A176" s="72" t="n"/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  <c r="T176" s="72" t="n"/>
      <c r="U176" s="72" t="n"/>
      <c r="V176" s="72" t="n"/>
      <c r="W176" s="72" t="n"/>
      <c r="X176" s="72" t="n"/>
      <c r="Y176" s="72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</row>
    <row r="178">
      <c r="A178" s="72" t="n"/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  <c r="T178" s="72" t="n"/>
      <c r="U178" s="72" t="n"/>
      <c r="V178" s="72" t="n"/>
      <c r="W178" s="72" t="n"/>
      <c r="X178" s="72" t="n"/>
      <c r="Y178" s="72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</row>
    <row r="180">
      <c r="A180" s="72" t="n"/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  <c r="T180" s="72" t="n"/>
      <c r="U180" s="72" t="n"/>
      <c r="V180" s="72" t="n"/>
      <c r="W180" s="72" t="n"/>
      <c r="X180" s="72" t="n"/>
      <c r="Y180" s="72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</row>
    <row r="182">
      <c r="A182" s="72" t="n"/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</row>
    <row r="184">
      <c r="A184" s="72" t="n"/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</row>
    <row r="186">
      <c r="A186" s="72" t="n"/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</row>
    <row r="188">
      <c r="A188" s="72" t="n"/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</row>
    <row r="190">
      <c r="A190" s="72" t="n"/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</row>
    <row r="192">
      <c r="A192" s="72" t="n"/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</row>
    <row r="194">
      <c r="A194" s="72" t="n"/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</row>
    <row r="196">
      <c r="A196" s="72" t="n"/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</row>
    <row r="198">
      <c r="A198" s="72" t="n"/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</row>
    <row r="200">
      <c r="A200" s="72" t="n"/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</row>
    <row r="201">
      <c r="A201" s="72" t="n"/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</row>
    <row r="202">
      <c r="A202" s="72" t="n"/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</row>
    <row r="203">
      <c r="A203" s="72" t="n"/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</row>
    <row r="204">
      <c r="A204" s="72" t="n"/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</row>
    <row r="205">
      <c r="A205" s="72" t="n"/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</row>
    <row r="206">
      <c r="A206" s="72" t="n"/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</row>
    <row r="207">
      <c r="A207" s="72" t="n"/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</row>
    <row r="208">
      <c r="A208" s="72" t="n"/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</row>
    <row r="209">
      <c r="A209" s="72" t="n"/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</row>
    <row r="210">
      <c r="A210" s="72" t="n"/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</row>
    <row r="211">
      <c r="A211" s="72" t="n"/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</row>
    <row r="212">
      <c r="A212" s="72" t="n"/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</row>
    <row r="213">
      <c r="A213" s="72" t="n"/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</row>
    <row r="214">
      <c r="A214" s="72" t="n"/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</row>
    <row r="215">
      <c r="A215" s="72" t="n"/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</row>
    <row r="216">
      <c r="A216" s="72" t="n"/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</row>
    <row r="217">
      <c r="A217" s="72" t="n"/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</row>
    <row r="218">
      <c r="A218" s="72" t="n"/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</row>
    <row r="219">
      <c r="A219" s="72" t="n"/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</row>
    <row r="220">
      <c r="A220" s="72" t="n"/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</row>
    <row r="221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</row>
    <row r="222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</row>
    <row r="223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</row>
    <row r="22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</row>
    <row r="225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</row>
    <row r="226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</row>
    <row r="227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</row>
    <row r="228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</row>
    <row r="229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</row>
    <row r="230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</row>
    <row r="231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</row>
    <row r="232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</row>
    <row r="233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</row>
    <row r="23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</row>
    <row r="235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</row>
    <row r="236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</row>
    <row r="237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</row>
    <row r="238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</row>
    <row r="239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</row>
    <row r="240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</row>
    <row r="241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</row>
    <row r="242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</row>
    <row r="243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</row>
    <row r="24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</row>
    <row r="245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</row>
    <row r="246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</row>
    <row r="247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</row>
    <row r="248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</row>
    <row r="249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</row>
    <row r="250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</row>
    <row r="251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</row>
    <row r="252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</row>
    <row r="253">
      <c r="A253" s="72" t="n"/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  <c r="T253" s="72" t="n"/>
      <c r="U253" s="72" t="n"/>
      <c r="V253" s="72" t="n"/>
      <c r="W253" s="72" t="n"/>
      <c r="X253" s="72" t="n"/>
      <c r="Y253" s="72" t="n"/>
    </row>
    <row r="254">
      <c r="A254" s="72" t="n"/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  <c r="T254" s="72" t="n"/>
      <c r="U254" s="72" t="n"/>
      <c r="V254" s="72" t="n"/>
      <c r="W254" s="72" t="n"/>
      <c r="X254" s="72" t="n"/>
      <c r="Y254" s="72" t="n"/>
    </row>
    <row r="255">
      <c r="A255" s="72" t="n"/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  <c r="T255" s="72" t="n"/>
      <c r="U255" s="72" t="n"/>
      <c r="V255" s="72" t="n"/>
      <c r="W255" s="72" t="n"/>
      <c r="X255" s="72" t="n"/>
      <c r="Y255" s="72" t="n"/>
    </row>
    <row r="256">
      <c r="A256" s="72" t="n"/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  <c r="T256" s="72" t="n"/>
      <c r="U256" s="72" t="n"/>
      <c r="V256" s="72" t="n"/>
      <c r="W256" s="72" t="n"/>
      <c r="X256" s="72" t="n"/>
      <c r="Y256" s="72" t="n"/>
    </row>
    <row r="257">
      <c r="A257" s="72" t="n"/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  <c r="T257" s="72" t="n"/>
      <c r="U257" s="72" t="n"/>
      <c r="V257" s="72" t="n"/>
      <c r="W257" s="72" t="n"/>
      <c r="X257" s="72" t="n"/>
      <c r="Y257" s="72" t="n"/>
    </row>
    <row r="258">
      <c r="A258" s="72" t="n"/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  <c r="T258" s="72" t="n"/>
      <c r="U258" s="72" t="n"/>
      <c r="V258" s="72" t="n"/>
      <c r="W258" s="72" t="n"/>
      <c r="X258" s="72" t="n"/>
      <c r="Y258" s="72" t="n"/>
    </row>
    <row r="259">
      <c r="A259" s="72" t="n"/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  <c r="T259" s="72" t="n"/>
      <c r="U259" s="72" t="n"/>
      <c r="V259" s="72" t="n"/>
      <c r="W259" s="72" t="n"/>
      <c r="X259" s="72" t="n"/>
      <c r="Y259" s="72" t="n"/>
    </row>
    <row r="260">
      <c r="A260" s="72" t="n"/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  <c r="T260" s="72" t="n"/>
      <c r="U260" s="72" t="n"/>
      <c r="V260" s="72" t="n"/>
      <c r="W260" s="72" t="n"/>
      <c r="X260" s="72" t="n"/>
      <c r="Y260" s="72" t="n"/>
    </row>
    <row r="261">
      <c r="A261" s="72" t="n"/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  <c r="T261" s="72" t="n"/>
      <c r="U261" s="72" t="n"/>
      <c r="V261" s="72" t="n"/>
      <c r="W261" s="72" t="n"/>
      <c r="X261" s="72" t="n"/>
      <c r="Y261" s="72" t="n"/>
    </row>
    <row r="262">
      <c r="A262" s="72" t="n"/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  <c r="T262" s="72" t="n"/>
      <c r="U262" s="72" t="n"/>
      <c r="V262" s="72" t="n"/>
      <c r="W262" s="72" t="n"/>
      <c r="X262" s="72" t="n"/>
      <c r="Y262" s="72" t="n"/>
    </row>
    <row r="263">
      <c r="A263" s="72" t="n"/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  <c r="T263" s="72" t="n"/>
      <c r="U263" s="72" t="n"/>
      <c r="V263" s="72" t="n"/>
      <c r="W263" s="72" t="n"/>
      <c r="X263" s="72" t="n"/>
      <c r="Y263" s="72" t="n"/>
    </row>
    <row r="264">
      <c r="A264" s="72" t="n"/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  <c r="T264" s="72" t="n"/>
      <c r="U264" s="72" t="n"/>
      <c r="V264" s="72" t="n"/>
      <c r="W264" s="72" t="n"/>
      <c r="X264" s="72" t="n"/>
      <c r="Y264" s="72" t="n"/>
    </row>
    <row r="265">
      <c r="A265" s="72" t="n"/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  <c r="T265" s="72" t="n"/>
      <c r="U265" s="72" t="n"/>
      <c r="V265" s="72" t="n"/>
      <c r="W265" s="72" t="n"/>
      <c r="X265" s="72" t="n"/>
      <c r="Y265" s="72" t="n"/>
    </row>
    <row r="266">
      <c r="A266" s="72" t="n"/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  <c r="T266" s="72" t="n"/>
      <c r="U266" s="72" t="n"/>
      <c r="V266" s="72" t="n"/>
      <c r="W266" s="72" t="n"/>
      <c r="X266" s="72" t="n"/>
      <c r="Y266" s="72" t="n"/>
    </row>
    <row r="267">
      <c r="A267" s="72" t="n"/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  <c r="T267" s="72" t="n"/>
      <c r="U267" s="72" t="n"/>
      <c r="V267" s="72" t="n"/>
      <c r="W267" s="72" t="n"/>
      <c r="X267" s="72" t="n"/>
      <c r="Y267" s="72" t="n"/>
    </row>
    <row r="268">
      <c r="A268" s="72" t="n"/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  <c r="T268" s="72" t="n"/>
      <c r="U268" s="72" t="n"/>
      <c r="V268" s="72" t="n"/>
      <c r="W268" s="72" t="n"/>
      <c r="X268" s="72" t="n"/>
      <c r="Y268" s="72" t="n"/>
    </row>
    <row r="269">
      <c r="A269" s="72" t="n"/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  <c r="T269" s="72" t="n"/>
      <c r="U269" s="72" t="n"/>
      <c r="V269" s="72" t="n"/>
      <c r="W269" s="72" t="n"/>
      <c r="X269" s="72" t="n"/>
      <c r="Y269" s="72" t="n"/>
    </row>
    <row r="270">
      <c r="A270" s="72" t="n"/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  <c r="T270" s="72" t="n"/>
      <c r="U270" s="72" t="n"/>
      <c r="V270" s="72" t="n"/>
      <c r="W270" s="72" t="n"/>
      <c r="X270" s="72" t="n"/>
      <c r="Y270" s="72" t="n"/>
    </row>
    <row r="271">
      <c r="A271" s="72" t="n"/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  <c r="T271" s="72" t="n"/>
      <c r="U271" s="72" t="n"/>
      <c r="V271" s="72" t="n"/>
      <c r="W271" s="72" t="n"/>
      <c r="X271" s="72" t="n"/>
      <c r="Y271" s="72" t="n"/>
    </row>
    <row r="272">
      <c r="A272" s="72" t="n"/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  <c r="T272" s="72" t="n"/>
      <c r="U272" s="72" t="n"/>
      <c r="V272" s="72" t="n"/>
      <c r="W272" s="72" t="n"/>
      <c r="X272" s="72" t="n"/>
      <c r="Y272" s="72" t="n"/>
    </row>
    <row r="273">
      <c r="A273" s="72" t="n"/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  <c r="T273" s="72" t="n"/>
      <c r="U273" s="72" t="n"/>
      <c r="V273" s="72" t="n"/>
      <c r="W273" s="72" t="n"/>
      <c r="X273" s="72" t="n"/>
      <c r="Y273" s="72" t="n"/>
    </row>
    <row r="274">
      <c r="A274" s="72" t="n"/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  <c r="T274" s="72" t="n"/>
      <c r="U274" s="72" t="n"/>
      <c r="V274" s="72" t="n"/>
      <c r="W274" s="72" t="n"/>
      <c r="X274" s="72" t="n"/>
      <c r="Y274" s="72" t="n"/>
    </row>
    <row r="275">
      <c r="A275" s="72" t="n"/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  <c r="T275" s="72" t="n"/>
      <c r="U275" s="72" t="n"/>
      <c r="V275" s="72" t="n"/>
      <c r="W275" s="72" t="n"/>
      <c r="X275" s="72" t="n"/>
      <c r="Y275" s="72" t="n"/>
    </row>
    <row r="276">
      <c r="A276" s="72" t="n"/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  <c r="T276" s="72" t="n"/>
      <c r="U276" s="72" t="n"/>
      <c r="V276" s="72" t="n"/>
      <c r="W276" s="72" t="n"/>
      <c r="X276" s="72" t="n"/>
      <c r="Y276" s="72" t="n"/>
    </row>
    <row r="277">
      <c r="A277" s="72" t="n"/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  <c r="T277" s="72" t="n"/>
      <c r="U277" s="72" t="n"/>
      <c r="V277" s="72" t="n"/>
      <c r="W277" s="72" t="n"/>
      <c r="X277" s="72" t="n"/>
      <c r="Y277" s="72" t="n"/>
    </row>
    <row r="278">
      <c r="A278" s="72" t="n"/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  <c r="T278" s="72" t="n"/>
      <c r="U278" s="72" t="n"/>
      <c r="V278" s="72" t="n"/>
      <c r="W278" s="72" t="n"/>
      <c r="X278" s="72" t="n"/>
      <c r="Y278" s="72" t="n"/>
    </row>
    <row r="279">
      <c r="A279" s="72" t="n"/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  <c r="T279" s="72" t="n"/>
      <c r="U279" s="72" t="n"/>
      <c r="V279" s="72" t="n"/>
      <c r="W279" s="72" t="n"/>
      <c r="X279" s="72" t="n"/>
      <c r="Y279" s="72" t="n"/>
    </row>
    <row r="280">
      <c r="A280" s="72" t="n"/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  <c r="T280" s="72" t="n"/>
      <c r="U280" s="72" t="n"/>
      <c r="V280" s="72" t="n"/>
      <c r="W280" s="72" t="n"/>
      <c r="X280" s="72" t="n"/>
      <c r="Y280" s="72" t="n"/>
    </row>
    <row r="281">
      <c r="A281" s="72" t="n"/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  <c r="T281" s="72" t="n"/>
      <c r="U281" s="72" t="n"/>
      <c r="V281" s="72" t="n"/>
      <c r="W281" s="72" t="n"/>
      <c r="X281" s="72" t="n"/>
      <c r="Y281" s="72" t="n"/>
    </row>
    <row r="282">
      <c r="A282" s="72" t="n"/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  <c r="T282" s="72" t="n"/>
      <c r="U282" s="72" t="n"/>
      <c r="V282" s="72" t="n"/>
      <c r="W282" s="72" t="n"/>
      <c r="X282" s="72" t="n"/>
      <c r="Y282" s="72" t="n"/>
    </row>
    <row r="283">
      <c r="A283" s="72" t="n"/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  <c r="T283" s="72" t="n"/>
      <c r="U283" s="72" t="n"/>
      <c r="V283" s="72" t="n"/>
      <c r="W283" s="72" t="n"/>
      <c r="X283" s="72" t="n"/>
      <c r="Y283" s="72" t="n"/>
    </row>
    <row r="284">
      <c r="A284" s="72" t="n"/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  <c r="T284" s="72" t="n"/>
      <c r="U284" s="72" t="n"/>
      <c r="V284" s="72" t="n"/>
      <c r="W284" s="72" t="n"/>
      <c r="X284" s="72" t="n"/>
      <c r="Y284" s="72" t="n"/>
    </row>
    <row r="285">
      <c r="A285" s="72" t="n"/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  <c r="T285" s="72" t="n"/>
      <c r="U285" s="72" t="n"/>
      <c r="V285" s="72" t="n"/>
      <c r="W285" s="72" t="n"/>
      <c r="X285" s="72" t="n"/>
      <c r="Y285" s="72" t="n"/>
    </row>
    <row r="286">
      <c r="A286" s="72" t="n"/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  <c r="T286" s="72" t="n"/>
      <c r="U286" s="72" t="n"/>
      <c r="V286" s="72" t="n"/>
      <c r="W286" s="72" t="n"/>
      <c r="X286" s="72" t="n"/>
      <c r="Y286" s="72" t="n"/>
    </row>
    <row r="287">
      <c r="A287" s="72" t="n"/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  <c r="T287" s="72" t="n"/>
      <c r="U287" s="72" t="n"/>
      <c r="V287" s="72" t="n"/>
      <c r="W287" s="72" t="n"/>
      <c r="X287" s="72" t="n"/>
      <c r="Y287" s="72" t="n"/>
    </row>
    <row r="288">
      <c r="A288" s="72" t="n"/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  <c r="T288" s="72" t="n"/>
      <c r="U288" s="72" t="n"/>
      <c r="V288" s="72" t="n"/>
      <c r="W288" s="72" t="n"/>
      <c r="X288" s="72" t="n"/>
      <c r="Y288" s="72" t="n"/>
    </row>
    <row r="289">
      <c r="A289" s="72" t="n"/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  <c r="T289" s="72" t="n"/>
      <c r="U289" s="72" t="n"/>
      <c r="V289" s="72" t="n"/>
      <c r="W289" s="72" t="n"/>
      <c r="X289" s="72" t="n"/>
      <c r="Y289" s="72" t="n"/>
    </row>
    <row r="290">
      <c r="A290" s="72" t="n"/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  <c r="T290" s="72" t="n"/>
      <c r="U290" s="72" t="n"/>
      <c r="V290" s="72" t="n"/>
      <c r="W290" s="72" t="n"/>
      <c r="X290" s="72" t="n"/>
      <c r="Y290" s="72" t="n"/>
    </row>
    <row r="291">
      <c r="A291" s="72" t="n"/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  <c r="T291" s="72" t="n"/>
      <c r="U291" s="72" t="n"/>
      <c r="V291" s="72" t="n"/>
      <c r="W291" s="72" t="n"/>
      <c r="X291" s="72" t="n"/>
      <c r="Y291" s="72" t="n"/>
    </row>
    <row r="292">
      <c r="A292" s="72" t="n"/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  <c r="T292" s="72" t="n"/>
      <c r="U292" s="72" t="n"/>
      <c r="V292" s="72" t="n"/>
      <c r="W292" s="72" t="n"/>
      <c r="X292" s="72" t="n"/>
      <c r="Y292" s="72" t="n"/>
    </row>
    <row r="293">
      <c r="A293" s="72" t="n"/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  <c r="T293" s="72" t="n"/>
      <c r="U293" s="72" t="n"/>
      <c r="V293" s="72" t="n"/>
      <c r="W293" s="72" t="n"/>
      <c r="X293" s="72" t="n"/>
      <c r="Y293" s="72" t="n"/>
    </row>
    <row r="294">
      <c r="A294" s="72" t="n"/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  <c r="T294" s="72" t="n"/>
      <c r="U294" s="72" t="n"/>
      <c r="V294" s="72" t="n"/>
      <c r="W294" s="72" t="n"/>
      <c r="X294" s="72" t="n"/>
      <c r="Y294" s="72" t="n"/>
    </row>
    <row r="295">
      <c r="A295" s="72" t="n"/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  <c r="T295" s="72" t="n"/>
      <c r="U295" s="72" t="n"/>
      <c r="V295" s="72" t="n"/>
      <c r="W295" s="72" t="n"/>
      <c r="X295" s="72" t="n"/>
      <c r="Y295" s="72" t="n"/>
    </row>
    <row r="296">
      <c r="A296" s="72" t="n"/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  <c r="T296" s="72" t="n"/>
      <c r="U296" s="72" t="n"/>
      <c r="V296" s="72" t="n"/>
      <c r="W296" s="72" t="n"/>
      <c r="X296" s="72" t="n"/>
      <c r="Y296" s="72" t="n"/>
    </row>
    <row r="297">
      <c r="A297" s="72" t="n"/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  <c r="T297" s="72" t="n"/>
      <c r="U297" s="72" t="n"/>
      <c r="V297" s="72" t="n"/>
      <c r="W297" s="72" t="n"/>
      <c r="X297" s="72" t="n"/>
      <c r="Y297" s="72" t="n"/>
    </row>
    <row r="298">
      <c r="A298" s="72" t="n"/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  <c r="T298" s="72" t="n"/>
      <c r="U298" s="72" t="n"/>
      <c r="V298" s="72" t="n"/>
      <c r="W298" s="72" t="n"/>
      <c r="X298" s="72" t="n"/>
      <c r="Y298" s="72" t="n"/>
    </row>
    <row r="299">
      <c r="A299" s="72" t="n"/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  <c r="T299" s="72" t="n"/>
      <c r="U299" s="72" t="n"/>
      <c r="V299" s="72" t="n"/>
      <c r="W299" s="72" t="n"/>
      <c r="X299" s="72" t="n"/>
      <c r="Y299" s="72" t="n"/>
    </row>
    <row r="300">
      <c r="A300" s="72" t="n"/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  <c r="T300" s="72" t="n"/>
      <c r="U300" s="72" t="n"/>
      <c r="V300" s="72" t="n"/>
      <c r="W300" s="72" t="n"/>
      <c r="X300" s="72" t="n"/>
      <c r="Y300" s="72" t="n"/>
    </row>
    <row r="301">
      <c r="A301" s="72" t="n"/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  <c r="T301" s="72" t="n"/>
      <c r="U301" s="72" t="n"/>
      <c r="V301" s="72" t="n"/>
      <c r="W301" s="72" t="n"/>
      <c r="X301" s="72" t="n"/>
      <c r="Y301" s="72" t="n"/>
    </row>
    <row r="302">
      <c r="A302" s="72" t="n"/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  <c r="T302" s="72" t="n"/>
      <c r="U302" s="72" t="n"/>
      <c r="V302" s="72" t="n"/>
      <c r="W302" s="72" t="n"/>
      <c r="X302" s="72" t="n"/>
      <c r="Y302" s="72" t="n"/>
    </row>
    <row r="303">
      <c r="A303" s="72" t="n"/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  <c r="T303" s="72" t="n"/>
      <c r="U303" s="72" t="n"/>
      <c r="V303" s="72" t="n"/>
      <c r="W303" s="72" t="n"/>
      <c r="X303" s="72" t="n"/>
      <c r="Y303" s="72" t="n"/>
    </row>
    <row r="304">
      <c r="A304" s="72" t="n"/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  <c r="T304" s="72" t="n"/>
      <c r="U304" s="72" t="n"/>
      <c r="V304" s="72" t="n"/>
      <c r="W304" s="72" t="n"/>
      <c r="X304" s="72" t="n"/>
      <c r="Y304" s="72" t="n"/>
    </row>
    <row r="305">
      <c r="A305" s="72" t="n"/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  <c r="T305" s="72" t="n"/>
      <c r="U305" s="72" t="n"/>
      <c r="V305" s="72" t="n"/>
      <c r="W305" s="72" t="n"/>
      <c r="X305" s="72" t="n"/>
      <c r="Y305" s="72" t="n"/>
    </row>
    <row r="306">
      <c r="A306" s="72" t="n"/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  <c r="T306" s="72" t="n"/>
      <c r="U306" s="72" t="n"/>
      <c r="V306" s="72" t="n"/>
      <c r="W306" s="72" t="n"/>
      <c r="X306" s="72" t="n"/>
      <c r="Y306" s="72" t="n"/>
    </row>
    <row r="307">
      <c r="A307" s="72" t="n"/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  <c r="T307" s="72" t="n"/>
      <c r="U307" s="72" t="n"/>
      <c r="V307" s="72" t="n"/>
      <c r="W307" s="72" t="n"/>
      <c r="X307" s="72" t="n"/>
      <c r="Y307" s="72" t="n"/>
    </row>
    <row r="308">
      <c r="A308" s="72" t="n"/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  <c r="T308" s="72" t="n"/>
      <c r="U308" s="72" t="n"/>
      <c r="V308" s="72" t="n"/>
      <c r="W308" s="72" t="n"/>
      <c r="X308" s="72" t="n"/>
      <c r="Y308" s="72" t="n"/>
    </row>
    <row r="309">
      <c r="A309" s="72" t="n"/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  <c r="T309" s="72" t="n"/>
      <c r="U309" s="72" t="n"/>
      <c r="V309" s="72" t="n"/>
      <c r="W309" s="72" t="n"/>
      <c r="X309" s="72" t="n"/>
      <c r="Y309" s="72" t="n"/>
    </row>
    <row r="310">
      <c r="A310" s="72" t="n"/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  <c r="T310" s="72" t="n"/>
      <c r="U310" s="72" t="n"/>
      <c r="V310" s="72" t="n"/>
      <c r="W310" s="72" t="n"/>
      <c r="X310" s="72" t="n"/>
      <c r="Y310" s="72" t="n"/>
    </row>
    <row r="311">
      <c r="A311" s="72" t="n"/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  <c r="T311" s="72" t="n"/>
      <c r="U311" s="72" t="n"/>
      <c r="V311" s="72" t="n"/>
      <c r="W311" s="72" t="n"/>
      <c r="X311" s="72" t="n"/>
      <c r="Y311" s="72" t="n"/>
    </row>
    <row r="312">
      <c r="A312" s="72" t="n"/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  <c r="T312" s="72" t="n"/>
      <c r="U312" s="72" t="n"/>
      <c r="V312" s="72" t="n"/>
      <c r="W312" s="72" t="n"/>
      <c r="X312" s="72" t="n"/>
      <c r="Y312" s="72" t="n"/>
    </row>
    <row r="313">
      <c r="A313" s="72" t="n"/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  <c r="T313" s="72" t="n"/>
      <c r="U313" s="72" t="n"/>
      <c r="V313" s="72" t="n"/>
      <c r="W313" s="72" t="n"/>
      <c r="X313" s="72" t="n"/>
      <c r="Y313" s="72" t="n"/>
    </row>
    <row r="314">
      <c r="A314" s="72" t="n"/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  <c r="T314" s="72" t="n"/>
      <c r="U314" s="72" t="n"/>
      <c r="V314" s="72" t="n"/>
      <c r="W314" s="72" t="n"/>
      <c r="X314" s="72" t="n"/>
      <c r="Y314" s="72" t="n"/>
    </row>
    <row r="315">
      <c r="A315" s="72" t="n"/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  <c r="T315" s="72" t="n"/>
      <c r="U315" s="72" t="n"/>
      <c r="V315" s="72" t="n"/>
      <c r="W315" s="72" t="n"/>
      <c r="X315" s="72" t="n"/>
      <c r="Y315" s="72" t="n"/>
    </row>
    <row r="316">
      <c r="A316" s="72" t="n"/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  <c r="T316" s="72" t="n"/>
      <c r="U316" s="72" t="n"/>
      <c r="V316" s="72" t="n"/>
      <c r="W316" s="72" t="n"/>
      <c r="X316" s="72" t="n"/>
      <c r="Y316" s="72" t="n"/>
    </row>
    <row r="317">
      <c r="A317" s="72" t="n"/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  <c r="T317" s="72" t="n"/>
      <c r="U317" s="72" t="n"/>
      <c r="V317" s="72" t="n"/>
      <c r="W317" s="72" t="n"/>
      <c r="X317" s="72" t="n"/>
      <c r="Y317" s="72" t="n"/>
    </row>
    <row r="318">
      <c r="A318" s="72" t="n"/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  <c r="T318" s="72" t="n"/>
      <c r="U318" s="72" t="n"/>
      <c r="V318" s="72" t="n"/>
      <c r="W318" s="72" t="n"/>
      <c r="X318" s="72" t="n"/>
      <c r="Y318" s="72" t="n"/>
    </row>
    <row r="319">
      <c r="A319" s="72" t="n"/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  <c r="T319" s="72" t="n"/>
      <c r="U319" s="72" t="n"/>
      <c r="V319" s="72" t="n"/>
      <c r="W319" s="72" t="n"/>
      <c r="X319" s="72" t="n"/>
      <c r="Y319" s="72" t="n"/>
    </row>
    <row r="320">
      <c r="A320" s="72" t="n"/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  <c r="T320" s="72" t="n"/>
      <c r="U320" s="72" t="n"/>
      <c r="V320" s="72" t="n"/>
      <c r="W320" s="72" t="n"/>
      <c r="X320" s="72" t="n"/>
      <c r="Y320" s="72" t="n"/>
    </row>
    <row r="321">
      <c r="A321" s="72" t="n"/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  <c r="T321" s="72" t="n"/>
      <c r="U321" s="72" t="n"/>
      <c r="V321" s="72" t="n"/>
      <c r="W321" s="72" t="n"/>
      <c r="X321" s="72" t="n"/>
      <c r="Y321" s="72" t="n"/>
    </row>
    <row r="322">
      <c r="A322" s="72" t="n"/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  <c r="T322" s="72" t="n"/>
      <c r="U322" s="72" t="n"/>
      <c r="V322" s="72" t="n"/>
      <c r="W322" s="72" t="n"/>
      <c r="X322" s="72" t="n"/>
      <c r="Y322" s="72" t="n"/>
    </row>
    <row r="323">
      <c r="A323" s="72" t="n"/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  <c r="T323" s="72" t="n"/>
      <c r="U323" s="72" t="n"/>
      <c r="V323" s="72" t="n"/>
      <c r="W323" s="72" t="n"/>
      <c r="X323" s="72" t="n"/>
      <c r="Y323" s="72" t="n"/>
    </row>
    <row r="324">
      <c r="A324" s="72" t="n"/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  <c r="T324" s="72" t="n"/>
      <c r="U324" s="72" t="n"/>
      <c r="V324" s="72" t="n"/>
      <c r="W324" s="72" t="n"/>
      <c r="X324" s="72" t="n"/>
      <c r="Y324" s="72" t="n"/>
    </row>
    <row r="325">
      <c r="A325" s="72" t="n"/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  <c r="T325" s="72" t="n"/>
      <c r="U325" s="72" t="n"/>
      <c r="V325" s="72" t="n"/>
      <c r="W325" s="72" t="n"/>
      <c r="X325" s="72" t="n"/>
      <c r="Y325" s="72" t="n"/>
    </row>
    <row r="326">
      <c r="A326" s="72" t="n"/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  <c r="T326" s="72" t="n"/>
      <c r="U326" s="72" t="n"/>
      <c r="V326" s="72" t="n"/>
      <c r="W326" s="72" t="n"/>
      <c r="X326" s="72" t="n"/>
      <c r="Y326" s="72" t="n"/>
    </row>
    <row r="327">
      <c r="A327" s="72" t="n"/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  <c r="T327" s="72" t="n"/>
      <c r="U327" s="72" t="n"/>
      <c r="V327" s="72" t="n"/>
      <c r="W327" s="72" t="n"/>
      <c r="X327" s="72" t="n"/>
      <c r="Y327" s="72" t="n"/>
    </row>
    <row r="328">
      <c r="A328" s="72" t="n"/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  <c r="T328" s="72" t="n"/>
      <c r="U328" s="72" t="n"/>
      <c r="V328" s="72" t="n"/>
      <c r="W328" s="72" t="n"/>
      <c r="X328" s="72" t="n"/>
      <c r="Y328" s="72" t="n"/>
    </row>
    <row r="329">
      <c r="A329" s="72" t="n"/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  <c r="T329" s="72" t="n"/>
      <c r="U329" s="72" t="n"/>
      <c r="V329" s="72" t="n"/>
      <c r="W329" s="72" t="n"/>
      <c r="X329" s="72" t="n"/>
      <c r="Y329" s="72" t="n"/>
    </row>
    <row r="330">
      <c r="A330" s="72" t="n"/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  <c r="T330" s="72" t="n"/>
      <c r="U330" s="72" t="n"/>
      <c r="V330" s="72" t="n"/>
      <c r="W330" s="72" t="n"/>
      <c r="X330" s="72" t="n"/>
      <c r="Y330" s="72" t="n"/>
    </row>
    <row r="331">
      <c r="A331" s="72" t="n"/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  <c r="T331" s="72" t="n"/>
      <c r="U331" s="72" t="n"/>
      <c r="V331" s="72" t="n"/>
      <c r="W331" s="72" t="n"/>
      <c r="X331" s="72" t="n"/>
      <c r="Y331" s="72" t="n"/>
    </row>
    <row r="332">
      <c r="A332" s="72" t="n"/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  <c r="T332" s="72" t="n"/>
      <c r="U332" s="72" t="n"/>
      <c r="V332" s="72" t="n"/>
      <c r="W332" s="72" t="n"/>
      <c r="X332" s="72" t="n"/>
      <c r="Y332" s="72" t="n"/>
    </row>
    <row r="333">
      <c r="A333" s="72" t="n"/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  <c r="T333" s="72" t="n"/>
      <c r="U333" s="72" t="n"/>
      <c r="V333" s="72" t="n"/>
      <c r="W333" s="72" t="n"/>
      <c r="X333" s="72" t="n"/>
      <c r="Y333" s="72" t="n"/>
    </row>
    <row r="334">
      <c r="A334" s="72" t="n"/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  <c r="T334" s="72" t="n"/>
      <c r="U334" s="72" t="n"/>
      <c r="V334" s="72" t="n"/>
      <c r="W334" s="72" t="n"/>
      <c r="X334" s="72" t="n"/>
      <c r="Y334" s="72" t="n"/>
    </row>
    <row r="335">
      <c r="A335" s="72" t="n"/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  <c r="T335" s="72" t="n"/>
      <c r="U335" s="72" t="n"/>
      <c r="V335" s="72" t="n"/>
      <c r="W335" s="72" t="n"/>
      <c r="X335" s="72" t="n"/>
      <c r="Y335" s="72" t="n"/>
    </row>
    <row r="336">
      <c r="A336" s="72" t="n"/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  <c r="T336" s="72" t="n"/>
      <c r="U336" s="72" t="n"/>
      <c r="V336" s="72" t="n"/>
      <c r="W336" s="72" t="n"/>
      <c r="X336" s="72" t="n"/>
      <c r="Y336" s="72" t="n"/>
    </row>
    <row r="337">
      <c r="A337" s="72" t="n"/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  <c r="T337" s="72" t="n"/>
      <c r="U337" s="72" t="n"/>
      <c r="V337" s="72" t="n"/>
      <c r="W337" s="72" t="n"/>
      <c r="X337" s="72" t="n"/>
      <c r="Y337" s="72" t="n"/>
    </row>
    <row r="338">
      <c r="A338" s="72" t="n"/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  <c r="T338" s="72" t="n"/>
      <c r="U338" s="72" t="n"/>
      <c r="V338" s="72" t="n"/>
      <c r="W338" s="72" t="n"/>
      <c r="X338" s="72" t="n"/>
      <c r="Y338" s="72" t="n"/>
    </row>
    <row r="339">
      <c r="A339" s="72" t="n"/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  <c r="T339" s="72" t="n"/>
      <c r="U339" s="72" t="n"/>
      <c r="V339" s="72" t="n"/>
      <c r="W339" s="72" t="n"/>
      <c r="X339" s="72" t="n"/>
      <c r="Y339" s="72" t="n"/>
    </row>
    <row r="340">
      <c r="A340" s="72" t="n"/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  <c r="T340" s="72" t="n"/>
      <c r="U340" s="72" t="n"/>
      <c r="V340" s="72" t="n"/>
      <c r="W340" s="72" t="n"/>
      <c r="X340" s="72" t="n"/>
      <c r="Y340" s="72" t="n"/>
    </row>
    <row r="341">
      <c r="A341" s="72" t="n"/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  <c r="T341" s="72" t="n"/>
      <c r="U341" s="72" t="n"/>
      <c r="V341" s="72" t="n"/>
      <c r="W341" s="72" t="n"/>
      <c r="X341" s="72" t="n"/>
      <c r="Y341" s="72" t="n"/>
    </row>
    <row r="342">
      <c r="A342" s="72" t="n"/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  <c r="T342" s="72" t="n"/>
      <c r="U342" s="72" t="n"/>
      <c r="V342" s="72" t="n"/>
      <c r="W342" s="72" t="n"/>
      <c r="X342" s="72" t="n"/>
      <c r="Y342" s="72" t="n"/>
    </row>
    <row r="343">
      <c r="A343" s="72" t="n"/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  <c r="T343" s="72" t="n"/>
      <c r="U343" s="72" t="n"/>
      <c r="V343" s="72" t="n"/>
      <c r="W343" s="72" t="n"/>
      <c r="X343" s="72" t="n"/>
      <c r="Y343" s="72" t="n"/>
    </row>
    <row r="344">
      <c r="A344" s="72" t="n"/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  <c r="T344" s="72" t="n"/>
      <c r="U344" s="72" t="n"/>
      <c r="V344" s="72" t="n"/>
      <c r="W344" s="72" t="n"/>
      <c r="X344" s="72" t="n"/>
      <c r="Y344" s="72" t="n"/>
    </row>
    <row r="345">
      <c r="A345" s="72" t="n"/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  <c r="T345" s="72" t="n"/>
      <c r="U345" s="72" t="n"/>
      <c r="V345" s="72" t="n"/>
      <c r="W345" s="72" t="n"/>
      <c r="X345" s="72" t="n"/>
      <c r="Y345" s="72" t="n"/>
    </row>
    <row r="346">
      <c r="A346" s="72" t="n"/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  <c r="T346" s="72" t="n"/>
      <c r="U346" s="72" t="n"/>
      <c r="V346" s="72" t="n"/>
      <c r="W346" s="72" t="n"/>
      <c r="X346" s="72" t="n"/>
      <c r="Y346" s="72" t="n"/>
    </row>
    <row r="347">
      <c r="A347" s="72" t="n"/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  <c r="T347" s="72" t="n"/>
      <c r="U347" s="72" t="n"/>
      <c r="V347" s="72" t="n"/>
      <c r="W347" s="72" t="n"/>
      <c r="X347" s="72" t="n"/>
      <c r="Y347" s="72" t="n"/>
    </row>
    <row r="348">
      <c r="A348" s="72" t="n"/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  <c r="T348" s="72" t="n"/>
      <c r="U348" s="72" t="n"/>
      <c r="V348" s="72" t="n"/>
      <c r="W348" s="72" t="n"/>
      <c r="X348" s="72" t="n"/>
      <c r="Y348" s="72" t="n"/>
    </row>
    <row r="349">
      <c r="A349" s="72" t="n"/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  <c r="T349" s="72" t="n"/>
      <c r="U349" s="72" t="n"/>
      <c r="V349" s="72" t="n"/>
      <c r="W349" s="72" t="n"/>
      <c r="X349" s="72" t="n"/>
      <c r="Y349" s="72" t="n"/>
    </row>
    <row r="350">
      <c r="A350" s="72" t="n"/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  <c r="T350" s="72" t="n"/>
      <c r="U350" s="72" t="n"/>
      <c r="V350" s="72" t="n"/>
      <c r="W350" s="72" t="n"/>
      <c r="X350" s="72" t="n"/>
      <c r="Y350" s="72" t="n"/>
    </row>
    <row r="351">
      <c r="A351" s="72" t="n"/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  <c r="T351" s="72" t="n"/>
      <c r="U351" s="72" t="n"/>
      <c r="V351" s="72" t="n"/>
      <c r="W351" s="72" t="n"/>
      <c r="X351" s="72" t="n"/>
      <c r="Y351" s="72" t="n"/>
    </row>
    <row r="352">
      <c r="A352" s="72" t="n"/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  <c r="T352" s="72" t="n"/>
      <c r="U352" s="72" t="n"/>
      <c r="V352" s="72" t="n"/>
      <c r="W352" s="72" t="n"/>
      <c r="X352" s="72" t="n"/>
      <c r="Y352" s="72" t="n"/>
    </row>
    <row r="353">
      <c r="A353" s="72" t="n"/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  <c r="T353" s="72" t="n"/>
      <c r="U353" s="72" t="n"/>
      <c r="V353" s="72" t="n"/>
      <c r="W353" s="72" t="n"/>
      <c r="X353" s="72" t="n"/>
      <c r="Y353" s="72" t="n"/>
    </row>
    <row r="354">
      <c r="A354" s="72" t="n"/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  <c r="T354" s="72" t="n"/>
      <c r="U354" s="72" t="n"/>
      <c r="V354" s="72" t="n"/>
      <c r="W354" s="72" t="n"/>
      <c r="X354" s="72" t="n"/>
      <c r="Y354" s="72" t="n"/>
    </row>
    <row r="355">
      <c r="A355" s="72" t="n"/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  <c r="T355" s="72" t="n"/>
      <c r="U355" s="72" t="n"/>
      <c r="V355" s="72" t="n"/>
      <c r="W355" s="72" t="n"/>
      <c r="X355" s="72" t="n"/>
      <c r="Y355" s="72" t="n"/>
    </row>
    <row r="356">
      <c r="A356" s="72" t="n"/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  <c r="T356" s="72" t="n"/>
      <c r="U356" s="72" t="n"/>
      <c r="V356" s="72" t="n"/>
      <c r="W356" s="72" t="n"/>
      <c r="X356" s="72" t="n"/>
      <c r="Y356" s="72" t="n"/>
    </row>
    <row r="357">
      <c r="A357" s="72" t="n"/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  <c r="T357" s="72" t="n"/>
      <c r="U357" s="72" t="n"/>
      <c r="V357" s="72" t="n"/>
      <c r="W357" s="72" t="n"/>
      <c r="X357" s="72" t="n"/>
      <c r="Y357" s="72" t="n"/>
    </row>
    <row r="358">
      <c r="A358" s="72" t="n"/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  <c r="T358" s="72" t="n"/>
      <c r="U358" s="72" t="n"/>
      <c r="V358" s="72" t="n"/>
      <c r="W358" s="72" t="n"/>
      <c r="X358" s="72" t="n"/>
      <c r="Y358" s="72" t="n"/>
    </row>
    <row r="359">
      <c r="A359" s="72" t="n"/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  <c r="T359" s="72" t="n"/>
      <c r="U359" s="72" t="n"/>
      <c r="V359" s="72" t="n"/>
      <c r="W359" s="72" t="n"/>
      <c r="X359" s="72" t="n"/>
      <c r="Y359" s="72" t="n"/>
    </row>
    <row r="360">
      <c r="A360" s="72" t="n"/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  <c r="T360" s="72" t="n"/>
      <c r="U360" s="72" t="n"/>
      <c r="V360" s="72" t="n"/>
      <c r="W360" s="72" t="n"/>
      <c r="X360" s="72" t="n"/>
      <c r="Y360" s="72" t="n"/>
    </row>
    <row r="361">
      <c r="A361" s="72" t="n"/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  <c r="T361" s="72" t="n"/>
      <c r="U361" s="72" t="n"/>
      <c r="V361" s="72" t="n"/>
      <c r="W361" s="72" t="n"/>
      <c r="X361" s="72" t="n"/>
      <c r="Y361" s="72" t="n"/>
    </row>
    <row r="362">
      <c r="A362" s="72" t="n"/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  <c r="T362" s="72" t="n"/>
      <c r="U362" s="72" t="n"/>
      <c r="V362" s="72" t="n"/>
      <c r="W362" s="72" t="n"/>
      <c r="X362" s="72" t="n"/>
      <c r="Y362" s="72" t="n"/>
    </row>
    <row r="363">
      <c r="A363" s="72" t="n"/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  <c r="T363" s="72" t="n"/>
      <c r="U363" s="72" t="n"/>
      <c r="V363" s="72" t="n"/>
      <c r="W363" s="72" t="n"/>
      <c r="X363" s="72" t="n"/>
      <c r="Y363" s="72" t="n"/>
    </row>
    <row r="364">
      <c r="A364" s="72" t="n"/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  <c r="T364" s="72" t="n"/>
      <c r="U364" s="72" t="n"/>
      <c r="V364" s="72" t="n"/>
      <c r="W364" s="72" t="n"/>
      <c r="X364" s="72" t="n"/>
      <c r="Y364" s="72" t="n"/>
    </row>
    <row r="365">
      <c r="A365" s="72" t="n"/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  <c r="T365" s="72" t="n"/>
      <c r="U365" s="72" t="n"/>
      <c r="V365" s="72" t="n"/>
      <c r="W365" s="72" t="n"/>
      <c r="X365" s="72" t="n"/>
      <c r="Y365" s="72" t="n"/>
    </row>
    <row r="366">
      <c r="A366" s="72" t="n"/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  <c r="T366" s="72" t="n"/>
      <c r="U366" s="72" t="n"/>
      <c r="V366" s="72" t="n"/>
      <c r="W366" s="72" t="n"/>
      <c r="X366" s="72" t="n"/>
      <c r="Y366" s="72" t="n"/>
    </row>
    <row r="367">
      <c r="A367" s="72" t="n"/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  <c r="T367" s="72" t="n"/>
      <c r="U367" s="72" t="n"/>
      <c r="V367" s="72" t="n"/>
      <c r="W367" s="72" t="n"/>
      <c r="X367" s="72" t="n"/>
      <c r="Y367" s="72" t="n"/>
    </row>
    <row r="368">
      <c r="A368" s="72" t="n"/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  <c r="T368" s="72" t="n"/>
      <c r="U368" s="72" t="n"/>
      <c r="V368" s="72" t="n"/>
      <c r="W368" s="72" t="n"/>
      <c r="X368" s="72" t="n"/>
      <c r="Y368" s="72" t="n"/>
    </row>
    <row r="369">
      <c r="A369" s="72" t="n"/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  <c r="T369" s="72" t="n"/>
      <c r="U369" s="72" t="n"/>
      <c r="V369" s="72" t="n"/>
      <c r="W369" s="72" t="n"/>
      <c r="X369" s="72" t="n"/>
      <c r="Y369" s="72" t="n"/>
    </row>
    <row r="370">
      <c r="A370" s="72" t="n"/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  <c r="T370" s="72" t="n"/>
      <c r="U370" s="72" t="n"/>
      <c r="V370" s="72" t="n"/>
      <c r="W370" s="72" t="n"/>
      <c r="X370" s="72" t="n"/>
      <c r="Y370" s="72" t="n"/>
    </row>
    <row r="371">
      <c r="A371" s="72" t="n"/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  <c r="T371" s="72" t="n"/>
      <c r="U371" s="72" t="n"/>
      <c r="V371" s="72" t="n"/>
      <c r="W371" s="72" t="n"/>
      <c r="X371" s="72" t="n"/>
      <c r="Y371" s="72" t="n"/>
    </row>
    <row r="372">
      <c r="A372" s="72" t="n"/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  <c r="T372" s="72" t="n"/>
      <c r="U372" s="72" t="n"/>
      <c r="V372" s="72" t="n"/>
      <c r="W372" s="72" t="n"/>
      <c r="X372" s="72" t="n"/>
      <c r="Y372" s="72" t="n"/>
    </row>
    <row r="373">
      <c r="A373" s="72" t="n"/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  <c r="T373" s="72" t="n"/>
      <c r="U373" s="72" t="n"/>
      <c r="V373" s="72" t="n"/>
      <c r="W373" s="72" t="n"/>
      <c r="X373" s="72" t="n"/>
      <c r="Y373" s="72" t="n"/>
    </row>
    <row r="374">
      <c r="A374" s="72" t="n"/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  <c r="T374" s="72" t="n"/>
      <c r="U374" s="72" t="n"/>
      <c r="V374" s="72" t="n"/>
      <c r="W374" s="72" t="n"/>
      <c r="X374" s="72" t="n"/>
      <c r="Y374" s="72" t="n"/>
    </row>
    <row r="375">
      <c r="A375" s="72" t="n"/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  <c r="T375" s="72" t="n"/>
      <c r="U375" s="72" t="n"/>
      <c r="V375" s="72" t="n"/>
      <c r="W375" s="72" t="n"/>
      <c r="X375" s="72" t="n"/>
      <c r="Y375" s="72" t="n"/>
    </row>
    <row r="376">
      <c r="A376" s="72" t="n"/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  <c r="T376" s="72" t="n"/>
      <c r="U376" s="72" t="n"/>
      <c r="V376" s="72" t="n"/>
      <c r="W376" s="72" t="n"/>
      <c r="X376" s="72" t="n"/>
      <c r="Y376" s="72" t="n"/>
    </row>
    <row r="377">
      <c r="A377" s="72" t="n"/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  <c r="T377" s="72" t="n"/>
      <c r="U377" s="72" t="n"/>
      <c r="V377" s="72" t="n"/>
      <c r="W377" s="72" t="n"/>
      <c r="X377" s="72" t="n"/>
      <c r="Y377" s="72" t="n"/>
    </row>
    <row r="378">
      <c r="A378" s="72" t="n"/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  <c r="T378" s="72" t="n"/>
      <c r="U378" s="72" t="n"/>
      <c r="V378" s="72" t="n"/>
      <c r="W378" s="72" t="n"/>
      <c r="X378" s="72" t="n"/>
      <c r="Y378" s="72" t="n"/>
    </row>
    <row r="379">
      <c r="A379" s="72" t="n"/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  <c r="T379" s="72" t="n"/>
      <c r="U379" s="72" t="n"/>
      <c r="V379" s="72" t="n"/>
      <c r="W379" s="72" t="n"/>
      <c r="X379" s="72" t="n"/>
      <c r="Y379" s="72" t="n"/>
    </row>
    <row r="380">
      <c r="A380" s="72" t="n"/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  <c r="T380" s="72" t="n"/>
      <c r="U380" s="72" t="n"/>
      <c r="V380" s="72" t="n"/>
      <c r="W380" s="72" t="n"/>
      <c r="X380" s="72" t="n"/>
      <c r="Y380" s="72" t="n"/>
    </row>
    <row r="381">
      <c r="A381" s="72" t="n"/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  <c r="T381" s="72" t="n"/>
      <c r="U381" s="72" t="n"/>
      <c r="V381" s="72" t="n"/>
      <c r="W381" s="72" t="n"/>
      <c r="X381" s="72" t="n"/>
      <c r="Y381" s="72" t="n"/>
    </row>
    <row r="382">
      <c r="A382" s="72" t="n"/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  <c r="T382" s="72" t="n"/>
      <c r="U382" s="72" t="n"/>
      <c r="V382" s="72" t="n"/>
      <c r="W382" s="72" t="n"/>
      <c r="X382" s="72" t="n"/>
      <c r="Y382" s="72" t="n"/>
    </row>
    <row r="383">
      <c r="A383" s="72" t="n"/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  <c r="T383" s="72" t="n"/>
      <c r="U383" s="72" t="n"/>
      <c r="V383" s="72" t="n"/>
      <c r="W383" s="72" t="n"/>
      <c r="X383" s="72" t="n"/>
      <c r="Y383" s="72" t="n"/>
    </row>
    <row r="384">
      <c r="A384" s="72" t="n"/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  <c r="T384" s="72" t="n"/>
      <c r="U384" s="72" t="n"/>
      <c r="V384" s="72" t="n"/>
      <c r="W384" s="72" t="n"/>
      <c r="X384" s="72" t="n"/>
      <c r="Y384" s="72" t="n"/>
    </row>
    <row r="385">
      <c r="A385" s="72" t="n"/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  <c r="T385" s="72" t="n"/>
      <c r="U385" s="72" t="n"/>
      <c r="V385" s="72" t="n"/>
      <c r="W385" s="72" t="n"/>
      <c r="X385" s="72" t="n"/>
      <c r="Y385" s="72" t="n"/>
    </row>
    <row r="386">
      <c r="A386" s="72" t="n"/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  <c r="T386" s="72" t="n"/>
      <c r="U386" s="72" t="n"/>
      <c r="V386" s="72" t="n"/>
      <c r="W386" s="72" t="n"/>
      <c r="X386" s="72" t="n"/>
      <c r="Y386" s="72" t="n"/>
    </row>
    <row r="387">
      <c r="A387" s="72" t="n"/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  <c r="T387" s="72" t="n"/>
      <c r="U387" s="72" t="n"/>
      <c r="V387" s="72" t="n"/>
      <c r="W387" s="72" t="n"/>
      <c r="X387" s="72" t="n"/>
      <c r="Y387" s="72" t="n"/>
    </row>
    <row r="388">
      <c r="A388" s="72" t="n"/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  <c r="T388" s="72" t="n"/>
      <c r="U388" s="72" t="n"/>
      <c r="V388" s="72" t="n"/>
      <c r="W388" s="72" t="n"/>
      <c r="X388" s="72" t="n"/>
      <c r="Y388" s="72" t="n"/>
    </row>
    <row r="389">
      <c r="A389" s="72" t="n"/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  <c r="T389" s="72" t="n"/>
      <c r="U389" s="72" t="n"/>
      <c r="V389" s="72" t="n"/>
      <c r="W389" s="72" t="n"/>
      <c r="X389" s="72" t="n"/>
      <c r="Y389" s="72" t="n"/>
    </row>
    <row r="390">
      <c r="A390" s="72" t="n"/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  <c r="T390" s="72" t="n"/>
      <c r="U390" s="72" t="n"/>
      <c r="V390" s="72" t="n"/>
      <c r="W390" s="72" t="n"/>
      <c r="X390" s="72" t="n"/>
      <c r="Y390" s="72" t="n"/>
    </row>
    <row r="391">
      <c r="A391" s="72" t="n"/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  <c r="T391" s="72" t="n"/>
      <c r="U391" s="72" t="n"/>
      <c r="V391" s="72" t="n"/>
      <c r="W391" s="72" t="n"/>
      <c r="X391" s="72" t="n"/>
      <c r="Y391" s="72" t="n"/>
    </row>
    <row r="392">
      <c r="A392" s="72" t="n"/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  <c r="T392" s="72" t="n"/>
      <c r="U392" s="72" t="n"/>
      <c r="V392" s="72" t="n"/>
      <c r="W392" s="72" t="n"/>
      <c r="X392" s="72" t="n"/>
      <c r="Y392" s="72" t="n"/>
    </row>
    <row r="393">
      <c r="A393" s="72" t="n"/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  <c r="T393" s="72" t="n"/>
      <c r="U393" s="72" t="n"/>
      <c r="V393" s="72" t="n"/>
      <c r="W393" s="72" t="n"/>
      <c r="X393" s="72" t="n"/>
      <c r="Y393" s="72" t="n"/>
    </row>
    <row r="394">
      <c r="A394" s="72" t="n"/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  <c r="T394" s="72" t="n"/>
      <c r="U394" s="72" t="n"/>
      <c r="V394" s="72" t="n"/>
      <c r="W394" s="72" t="n"/>
      <c r="X394" s="72" t="n"/>
      <c r="Y394" s="72" t="n"/>
    </row>
    <row r="395">
      <c r="A395" s="72" t="n"/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  <c r="T395" s="72" t="n"/>
      <c r="U395" s="72" t="n"/>
      <c r="V395" s="72" t="n"/>
      <c r="W395" s="72" t="n"/>
      <c r="X395" s="72" t="n"/>
      <c r="Y395" s="72" t="n"/>
    </row>
    <row r="396">
      <c r="A396" s="72" t="n"/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  <c r="T396" s="72" t="n"/>
      <c r="U396" s="72" t="n"/>
      <c r="V396" s="72" t="n"/>
      <c r="W396" s="72" t="n"/>
      <c r="X396" s="72" t="n"/>
      <c r="Y396" s="72" t="n"/>
    </row>
    <row r="397">
      <c r="A397" s="72" t="n"/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  <c r="T397" s="72" t="n"/>
      <c r="U397" s="72" t="n"/>
      <c r="V397" s="72" t="n"/>
      <c r="W397" s="72" t="n"/>
      <c r="X397" s="72" t="n"/>
      <c r="Y397" s="72" t="n"/>
    </row>
    <row r="398">
      <c r="A398" s="72" t="n"/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  <c r="T398" s="72" t="n"/>
      <c r="U398" s="72" t="n"/>
      <c r="V398" s="72" t="n"/>
      <c r="W398" s="72" t="n"/>
      <c r="X398" s="72" t="n"/>
      <c r="Y398" s="72" t="n"/>
    </row>
    <row r="399">
      <c r="A399" s="72" t="n"/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  <c r="T399" s="72" t="n"/>
      <c r="U399" s="72" t="n"/>
      <c r="V399" s="72" t="n"/>
      <c r="W399" s="72" t="n"/>
      <c r="X399" s="72" t="n"/>
      <c r="Y399" s="72" t="n"/>
    </row>
    <row r="400">
      <c r="A400" s="72" t="n"/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  <c r="T400" s="72" t="n"/>
      <c r="U400" s="72" t="n"/>
      <c r="V400" s="72" t="n"/>
      <c r="W400" s="72" t="n"/>
      <c r="X400" s="72" t="n"/>
      <c r="Y400" s="72" t="n"/>
    </row>
    <row r="401">
      <c r="A401" s="72" t="n"/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  <c r="T401" s="72" t="n"/>
      <c r="U401" s="72" t="n"/>
      <c r="V401" s="72" t="n"/>
      <c r="W401" s="72" t="n"/>
      <c r="X401" s="72" t="n"/>
      <c r="Y401" s="72" t="n"/>
    </row>
    <row r="402">
      <c r="A402" s="72" t="n"/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  <c r="T402" s="72" t="n"/>
      <c r="U402" s="72" t="n"/>
      <c r="V402" s="72" t="n"/>
      <c r="W402" s="72" t="n"/>
      <c r="X402" s="72" t="n"/>
      <c r="Y402" s="72" t="n"/>
    </row>
    <row r="403">
      <c r="A403" s="72" t="n"/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  <c r="T403" s="72" t="n"/>
      <c r="U403" s="72" t="n"/>
      <c r="V403" s="72" t="n"/>
      <c r="W403" s="72" t="n"/>
      <c r="X403" s="72" t="n"/>
      <c r="Y403" s="72" t="n"/>
    </row>
    <row r="404">
      <c r="A404" s="72" t="n"/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  <c r="T404" s="72" t="n"/>
      <c r="U404" s="72" t="n"/>
      <c r="V404" s="72" t="n"/>
      <c r="W404" s="72" t="n"/>
      <c r="X404" s="72" t="n"/>
      <c r="Y404" s="72" t="n"/>
    </row>
    <row r="405">
      <c r="A405" s="72" t="n"/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  <c r="T405" s="72" t="n"/>
      <c r="U405" s="72" t="n"/>
      <c r="V405" s="72" t="n"/>
      <c r="W405" s="72" t="n"/>
      <c r="X405" s="72" t="n"/>
      <c r="Y405" s="72" t="n"/>
    </row>
    <row r="406">
      <c r="A406" s="72" t="n"/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  <c r="T406" s="72" t="n"/>
      <c r="U406" s="72" t="n"/>
      <c r="V406" s="72" t="n"/>
      <c r="W406" s="72" t="n"/>
      <c r="X406" s="72" t="n"/>
      <c r="Y406" s="72" t="n"/>
    </row>
    <row r="407">
      <c r="A407" s="72" t="n"/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  <c r="T407" s="72" t="n"/>
      <c r="U407" s="72" t="n"/>
      <c r="V407" s="72" t="n"/>
      <c r="W407" s="72" t="n"/>
      <c r="X407" s="72" t="n"/>
      <c r="Y407" s="72" t="n"/>
    </row>
    <row r="408">
      <c r="A408" s="72" t="n"/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  <c r="T408" s="72" t="n"/>
      <c r="U408" s="72" t="n"/>
      <c r="V408" s="72" t="n"/>
      <c r="W408" s="72" t="n"/>
      <c r="X408" s="72" t="n"/>
      <c r="Y408" s="72" t="n"/>
    </row>
    <row r="409">
      <c r="A409" s="72" t="n"/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  <c r="T409" s="72" t="n"/>
      <c r="U409" s="72" t="n"/>
      <c r="V409" s="72" t="n"/>
      <c r="W409" s="72" t="n"/>
      <c r="X409" s="72" t="n"/>
      <c r="Y409" s="72" t="n"/>
    </row>
    <row r="410">
      <c r="A410" s="72" t="n"/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  <c r="T410" s="72" t="n"/>
      <c r="U410" s="72" t="n"/>
      <c r="V410" s="72" t="n"/>
      <c r="W410" s="72" t="n"/>
      <c r="X410" s="72" t="n"/>
      <c r="Y410" s="72" t="n"/>
    </row>
    <row r="411">
      <c r="A411" s="72" t="n"/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  <c r="T411" s="72" t="n"/>
      <c r="U411" s="72" t="n"/>
      <c r="V411" s="72" t="n"/>
      <c r="W411" s="72" t="n"/>
      <c r="X411" s="72" t="n"/>
      <c r="Y411" s="72" t="n"/>
    </row>
    <row r="412">
      <c r="A412" s="72" t="n"/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  <c r="T412" s="72" t="n"/>
      <c r="U412" s="72" t="n"/>
      <c r="V412" s="72" t="n"/>
      <c r="W412" s="72" t="n"/>
      <c r="X412" s="72" t="n"/>
      <c r="Y412" s="72" t="n"/>
    </row>
    <row r="413">
      <c r="A413" s="72" t="n"/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  <c r="T413" s="72" t="n"/>
      <c r="U413" s="72" t="n"/>
      <c r="V413" s="72" t="n"/>
      <c r="W413" s="72" t="n"/>
      <c r="X413" s="72" t="n"/>
      <c r="Y413" s="72" t="n"/>
    </row>
    <row r="414">
      <c r="A414" s="72" t="n"/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  <c r="T414" s="72" t="n"/>
      <c r="U414" s="72" t="n"/>
      <c r="V414" s="72" t="n"/>
      <c r="W414" s="72" t="n"/>
      <c r="X414" s="72" t="n"/>
      <c r="Y414" s="72" t="n"/>
    </row>
    <row r="415">
      <c r="A415" s="72" t="n"/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  <c r="T415" s="72" t="n"/>
      <c r="U415" s="72" t="n"/>
      <c r="V415" s="72" t="n"/>
      <c r="W415" s="72" t="n"/>
      <c r="X415" s="72" t="n"/>
      <c r="Y415" s="72" t="n"/>
    </row>
    <row r="416">
      <c r="A416" s="72" t="n"/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  <c r="T416" s="72" t="n"/>
      <c r="U416" s="72" t="n"/>
      <c r="V416" s="72" t="n"/>
      <c r="W416" s="72" t="n"/>
      <c r="X416" s="72" t="n"/>
      <c r="Y416" s="72" t="n"/>
    </row>
    <row r="417">
      <c r="A417" s="72" t="n"/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  <c r="T417" s="72" t="n"/>
      <c r="U417" s="72" t="n"/>
      <c r="V417" s="72" t="n"/>
      <c r="W417" s="72" t="n"/>
      <c r="X417" s="72" t="n"/>
      <c r="Y417" s="72" t="n"/>
    </row>
    <row r="418">
      <c r="A418" s="72" t="n"/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  <c r="T418" s="72" t="n"/>
      <c r="U418" s="72" t="n"/>
      <c r="V418" s="72" t="n"/>
      <c r="W418" s="72" t="n"/>
      <c r="X418" s="72" t="n"/>
      <c r="Y418" s="72" t="n"/>
    </row>
    <row r="419">
      <c r="A419" s="72" t="n"/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  <c r="T419" s="72" t="n"/>
      <c r="U419" s="72" t="n"/>
      <c r="V419" s="72" t="n"/>
      <c r="W419" s="72" t="n"/>
      <c r="X419" s="72" t="n"/>
      <c r="Y419" s="72" t="n"/>
    </row>
    <row r="420">
      <c r="A420" s="72" t="n"/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  <c r="T420" s="72" t="n"/>
      <c r="U420" s="72" t="n"/>
      <c r="V420" s="72" t="n"/>
      <c r="W420" s="72" t="n"/>
      <c r="X420" s="72" t="n"/>
      <c r="Y420" s="72" t="n"/>
    </row>
    <row r="421">
      <c r="A421" s="72" t="n"/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  <c r="T421" s="72" t="n"/>
      <c r="U421" s="72" t="n"/>
      <c r="V421" s="72" t="n"/>
      <c r="W421" s="72" t="n"/>
      <c r="X421" s="72" t="n"/>
      <c r="Y421" s="72" t="n"/>
    </row>
    <row r="422">
      <c r="A422" s="72" t="n"/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  <c r="T422" s="72" t="n"/>
      <c r="U422" s="72" t="n"/>
      <c r="V422" s="72" t="n"/>
      <c r="W422" s="72" t="n"/>
      <c r="X422" s="72" t="n"/>
      <c r="Y422" s="72" t="n"/>
    </row>
    <row r="423">
      <c r="A423" s="72" t="n"/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  <c r="T423" s="72" t="n"/>
      <c r="U423" s="72" t="n"/>
      <c r="V423" s="72" t="n"/>
      <c r="W423" s="72" t="n"/>
      <c r="X423" s="72" t="n"/>
      <c r="Y423" s="72" t="n"/>
    </row>
    <row r="424">
      <c r="A424" s="72" t="n"/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  <c r="T424" s="72" t="n"/>
      <c r="U424" s="72" t="n"/>
      <c r="V424" s="72" t="n"/>
      <c r="W424" s="72" t="n"/>
      <c r="X424" s="72" t="n"/>
      <c r="Y424" s="72" t="n"/>
    </row>
    <row r="425">
      <c r="A425" s="72" t="n"/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  <c r="T425" s="72" t="n"/>
      <c r="U425" s="72" t="n"/>
      <c r="V425" s="72" t="n"/>
      <c r="W425" s="72" t="n"/>
      <c r="X425" s="72" t="n"/>
      <c r="Y425" s="72" t="n"/>
    </row>
    <row r="426">
      <c r="A426" s="72" t="n"/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  <c r="T426" s="72" t="n"/>
      <c r="U426" s="72" t="n"/>
      <c r="V426" s="72" t="n"/>
      <c r="W426" s="72" t="n"/>
      <c r="X426" s="72" t="n"/>
      <c r="Y426" s="72" t="n"/>
    </row>
    <row r="427">
      <c r="A427" s="72" t="n"/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  <c r="T427" s="72" t="n"/>
      <c r="U427" s="72" t="n"/>
      <c r="V427" s="72" t="n"/>
      <c r="W427" s="72" t="n"/>
      <c r="X427" s="72" t="n"/>
      <c r="Y427" s="72" t="n"/>
    </row>
    <row r="428">
      <c r="A428" s="72" t="n"/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  <c r="T428" s="72" t="n"/>
      <c r="U428" s="72" t="n"/>
      <c r="V428" s="72" t="n"/>
      <c r="W428" s="72" t="n"/>
      <c r="X428" s="72" t="n"/>
      <c r="Y428" s="72" t="n"/>
    </row>
    <row r="429">
      <c r="A429" s="72" t="n"/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  <c r="T429" s="72" t="n"/>
      <c r="U429" s="72" t="n"/>
      <c r="V429" s="72" t="n"/>
      <c r="W429" s="72" t="n"/>
      <c r="X429" s="72" t="n"/>
      <c r="Y429" s="72" t="n"/>
    </row>
    <row r="430">
      <c r="A430" s="72" t="n"/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  <c r="T430" s="72" t="n"/>
      <c r="U430" s="72" t="n"/>
      <c r="V430" s="72" t="n"/>
      <c r="W430" s="72" t="n"/>
      <c r="X430" s="72" t="n"/>
      <c r="Y430" s="72" t="n"/>
    </row>
    <row r="431">
      <c r="A431" s="72" t="n"/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  <c r="T431" s="72" t="n"/>
      <c r="U431" s="72" t="n"/>
      <c r="V431" s="72" t="n"/>
      <c r="W431" s="72" t="n"/>
      <c r="X431" s="72" t="n"/>
      <c r="Y431" s="72" t="n"/>
    </row>
    <row r="432">
      <c r="A432" s="72" t="n"/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  <c r="T432" s="72" t="n"/>
      <c r="U432" s="72" t="n"/>
      <c r="V432" s="72" t="n"/>
      <c r="W432" s="72" t="n"/>
      <c r="X432" s="72" t="n"/>
      <c r="Y432" s="72" t="n"/>
    </row>
    <row r="433">
      <c r="A433" s="72" t="n"/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  <c r="T433" s="72" t="n"/>
      <c r="U433" s="72" t="n"/>
      <c r="V433" s="72" t="n"/>
      <c r="W433" s="72" t="n"/>
      <c r="X433" s="72" t="n"/>
      <c r="Y433" s="72" t="n"/>
    </row>
    <row r="434">
      <c r="A434" s="72" t="n"/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  <c r="T434" s="72" t="n"/>
      <c r="U434" s="72" t="n"/>
      <c r="V434" s="72" t="n"/>
      <c r="W434" s="72" t="n"/>
      <c r="X434" s="72" t="n"/>
      <c r="Y434" s="72" t="n"/>
    </row>
    <row r="435">
      <c r="A435" s="72" t="n"/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  <c r="T435" s="72" t="n"/>
      <c r="U435" s="72" t="n"/>
      <c r="V435" s="72" t="n"/>
      <c r="W435" s="72" t="n"/>
      <c r="X435" s="72" t="n"/>
      <c r="Y435" s="72" t="n"/>
    </row>
    <row r="436">
      <c r="A436" s="72" t="n"/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  <c r="T436" s="72" t="n"/>
      <c r="U436" s="72" t="n"/>
      <c r="V436" s="72" t="n"/>
      <c r="W436" s="72" t="n"/>
      <c r="X436" s="72" t="n"/>
      <c r="Y436" s="72" t="n"/>
    </row>
    <row r="437">
      <c r="A437" s="72" t="n"/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  <c r="T437" s="72" t="n"/>
      <c r="U437" s="72" t="n"/>
      <c r="V437" s="72" t="n"/>
      <c r="W437" s="72" t="n"/>
      <c r="X437" s="72" t="n"/>
      <c r="Y437" s="72" t="n"/>
    </row>
    <row r="438">
      <c r="A438" s="72" t="n"/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  <c r="T438" s="72" t="n"/>
      <c r="U438" s="72" t="n"/>
      <c r="V438" s="72" t="n"/>
      <c r="W438" s="72" t="n"/>
      <c r="X438" s="72" t="n"/>
      <c r="Y438" s="72" t="n"/>
    </row>
    <row r="439">
      <c r="A439" s="72" t="n"/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  <c r="T439" s="72" t="n"/>
      <c r="U439" s="72" t="n"/>
      <c r="V439" s="72" t="n"/>
      <c r="W439" s="72" t="n"/>
      <c r="X439" s="72" t="n"/>
      <c r="Y439" s="72" t="n"/>
    </row>
    <row r="440">
      <c r="A440" s="72" t="n"/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  <c r="T440" s="72" t="n"/>
      <c r="U440" s="72" t="n"/>
      <c r="V440" s="72" t="n"/>
      <c r="W440" s="72" t="n"/>
      <c r="X440" s="72" t="n"/>
      <c r="Y440" s="72" t="n"/>
    </row>
    <row r="441">
      <c r="A441" s="72" t="n"/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  <c r="T441" s="72" t="n"/>
      <c r="U441" s="72" t="n"/>
      <c r="V441" s="72" t="n"/>
      <c r="W441" s="72" t="n"/>
      <c r="X441" s="72" t="n"/>
      <c r="Y441" s="72" t="n"/>
    </row>
    <row r="442">
      <c r="A442" s="72" t="n"/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  <c r="T442" s="72" t="n"/>
      <c r="U442" s="72" t="n"/>
      <c r="V442" s="72" t="n"/>
      <c r="W442" s="72" t="n"/>
      <c r="X442" s="72" t="n"/>
      <c r="Y442" s="72" t="n"/>
    </row>
    <row r="443">
      <c r="A443" s="72" t="n"/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  <c r="T443" s="72" t="n"/>
      <c r="U443" s="72" t="n"/>
      <c r="V443" s="72" t="n"/>
      <c r="W443" s="72" t="n"/>
      <c r="X443" s="72" t="n"/>
      <c r="Y443" s="72" t="n"/>
    </row>
    <row r="444">
      <c r="A444" s="72" t="n"/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  <c r="T444" s="72" t="n"/>
      <c r="U444" s="72" t="n"/>
      <c r="V444" s="72" t="n"/>
      <c r="W444" s="72" t="n"/>
      <c r="X444" s="72" t="n"/>
      <c r="Y444" s="72" t="n"/>
    </row>
    <row r="445">
      <c r="A445" s="72" t="n"/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  <c r="T445" s="72" t="n"/>
      <c r="U445" s="72" t="n"/>
      <c r="V445" s="72" t="n"/>
      <c r="W445" s="72" t="n"/>
      <c r="X445" s="72" t="n"/>
      <c r="Y445" s="72" t="n"/>
    </row>
    <row r="446">
      <c r="A446" s="72" t="n"/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  <c r="T446" s="72" t="n"/>
      <c r="U446" s="72" t="n"/>
      <c r="V446" s="72" t="n"/>
      <c r="W446" s="72" t="n"/>
      <c r="X446" s="72" t="n"/>
      <c r="Y446" s="72" t="n"/>
    </row>
    <row r="447">
      <c r="A447" s="72" t="n"/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  <c r="T447" s="72" t="n"/>
      <c r="U447" s="72" t="n"/>
      <c r="V447" s="72" t="n"/>
      <c r="W447" s="72" t="n"/>
      <c r="X447" s="72" t="n"/>
      <c r="Y447" s="72" t="n"/>
    </row>
    <row r="448">
      <c r="A448" s="72" t="n"/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  <c r="T448" s="72" t="n"/>
      <c r="U448" s="72" t="n"/>
      <c r="V448" s="72" t="n"/>
      <c r="W448" s="72" t="n"/>
      <c r="X448" s="72" t="n"/>
      <c r="Y448" s="72" t="n"/>
    </row>
    <row r="449">
      <c r="A449" s="72" t="n"/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  <c r="T449" s="72" t="n"/>
      <c r="U449" s="72" t="n"/>
      <c r="V449" s="72" t="n"/>
      <c r="W449" s="72" t="n"/>
      <c r="X449" s="72" t="n"/>
      <c r="Y449" s="72" t="n"/>
    </row>
    <row r="450">
      <c r="A450" s="72" t="n"/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  <c r="T450" s="72" t="n"/>
      <c r="U450" s="72" t="n"/>
      <c r="V450" s="72" t="n"/>
      <c r="W450" s="72" t="n"/>
      <c r="X450" s="72" t="n"/>
      <c r="Y450" s="72" t="n"/>
    </row>
    <row r="451">
      <c r="A451" s="72" t="n"/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  <c r="T451" s="72" t="n"/>
      <c r="U451" s="72" t="n"/>
      <c r="V451" s="72" t="n"/>
      <c r="W451" s="72" t="n"/>
      <c r="X451" s="72" t="n"/>
      <c r="Y451" s="72" t="n"/>
    </row>
    <row r="452">
      <c r="A452" s="72" t="n"/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  <c r="T452" s="72" t="n"/>
      <c r="U452" s="72" t="n"/>
      <c r="V452" s="72" t="n"/>
      <c r="W452" s="72" t="n"/>
      <c r="X452" s="72" t="n"/>
      <c r="Y452" s="72" t="n"/>
    </row>
    <row r="453">
      <c r="A453" s="72" t="n"/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  <c r="T453" s="72" t="n"/>
      <c r="U453" s="72" t="n"/>
      <c r="V453" s="72" t="n"/>
      <c r="W453" s="72" t="n"/>
      <c r="X453" s="72" t="n"/>
      <c r="Y453" s="72" t="n"/>
    </row>
    <row r="454">
      <c r="A454" s="72" t="n"/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  <c r="T454" s="72" t="n"/>
      <c r="U454" s="72" t="n"/>
      <c r="V454" s="72" t="n"/>
      <c r="W454" s="72" t="n"/>
      <c r="X454" s="72" t="n"/>
      <c r="Y454" s="72" t="n"/>
    </row>
    <row r="455">
      <c r="A455" s="72" t="n"/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  <c r="T455" s="72" t="n"/>
      <c r="U455" s="72" t="n"/>
      <c r="V455" s="72" t="n"/>
      <c r="W455" s="72" t="n"/>
      <c r="X455" s="72" t="n"/>
      <c r="Y455" s="72" t="n"/>
    </row>
    <row r="456">
      <c r="A456" s="72" t="n"/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  <c r="T456" s="72" t="n"/>
      <c r="U456" s="72" t="n"/>
      <c r="V456" s="72" t="n"/>
      <c r="W456" s="72" t="n"/>
      <c r="X456" s="72" t="n"/>
      <c r="Y456" s="72" t="n"/>
    </row>
    <row r="457">
      <c r="A457" s="72" t="n"/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  <c r="T457" s="72" t="n"/>
      <c r="U457" s="72" t="n"/>
      <c r="V457" s="72" t="n"/>
      <c r="W457" s="72" t="n"/>
      <c r="X457" s="72" t="n"/>
      <c r="Y457" s="72" t="n"/>
    </row>
    <row r="458">
      <c r="A458" s="72" t="n"/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  <c r="T458" s="72" t="n"/>
      <c r="U458" s="72" t="n"/>
      <c r="V458" s="72" t="n"/>
      <c r="W458" s="72" t="n"/>
      <c r="X458" s="72" t="n"/>
      <c r="Y458" s="72" t="n"/>
    </row>
    <row r="459">
      <c r="A459" s="72" t="n"/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  <c r="T459" s="72" t="n"/>
      <c r="U459" s="72" t="n"/>
      <c r="V459" s="72" t="n"/>
      <c r="W459" s="72" t="n"/>
      <c r="X459" s="72" t="n"/>
      <c r="Y459" s="72" t="n"/>
    </row>
    <row r="460">
      <c r="A460" s="72" t="n"/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  <c r="T460" s="72" t="n"/>
      <c r="U460" s="72" t="n"/>
      <c r="V460" s="72" t="n"/>
      <c r="W460" s="72" t="n"/>
      <c r="X460" s="72" t="n"/>
      <c r="Y460" s="72" t="n"/>
    </row>
    <row r="461">
      <c r="A461" s="72" t="n"/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  <c r="T461" s="72" t="n"/>
      <c r="U461" s="72" t="n"/>
      <c r="V461" s="72" t="n"/>
      <c r="W461" s="72" t="n"/>
      <c r="X461" s="72" t="n"/>
      <c r="Y461" s="72" t="n"/>
    </row>
    <row r="462">
      <c r="A462" s="72" t="n"/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  <c r="T462" s="72" t="n"/>
      <c r="U462" s="72" t="n"/>
      <c r="V462" s="72" t="n"/>
      <c r="W462" s="72" t="n"/>
      <c r="X462" s="72" t="n"/>
      <c r="Y462" s="72" t="n"/>
    </row>
    <row r="463">
      <c r="A463" s="72" t="n"/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  <c r="T463" s="72" t="n"/>
      <c r="U463" s="72" t="n"/>
      <c r="V463" s="72" t="n"/>
      <c r="W463" s="72" t="n"/>
      <c r="X463" s="72" t="n"/>
      <c r="Y463" s="72" t="n"/>
    </row>
    <row r="464">
      <c r="A464" s="72" t="n"/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  <c r="T464" s="72" t="n"/>
      <c r="U464" s="72" t="n"/>
      <c r="V464" s="72" t="n"/>
      <c r="W464" s="72" t="n"/>
      <c r="X464" s="72" t="n"/>
      <c r="Y464" s="72" t="n"/>
    </row>
    <row r="465">
      <c r="A465" s="72" t="n"/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  <c r="T465" s="72" t="n"/>
      <c r="U465" s="72" t="n"/>
      <c r="V465" s="72" t="n"/>
      <c r="W465" s="72" t="n"/>
      <c r="X465" s="72" t="n"/>
      <c r="Y465" s="72" t="n"/>
    </row>
    <row r="466">
      <c r="A466" s="72" t="n"/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  <c r="T466" s="72" t="n"/>
      <c r="U466" s="72" t="n"/>
      <c r="V466" s="72" t="n"/>
      <c r="W466" s="72" t="n"/>
      <c r="X466" s="72" t="n"/>
      <c r="Y466" s="72" t="n"/>
    </row>
    <row r="467">
      <c r="A467" s="72" t="n"/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  <c r="T467" s="72" t="n"/>
      <c r="U467" s="72" t="n"/>
      <c r="V467" s="72" t="n"/>
      <c r="W467" s="72" t="n"/>
      <c r="X467" s="72" t="n"/>
      <c r="Y467" s="72" t="n"/>
    </row>
    <row r="468">
      <c r="A468" s="72" t="n"/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  <c r="T468" s="72" t="n"/>
      <c r="U468" s="72" t="n"/>
      <c r="V468" s="72" t="n"/>
      <c r="W468" s="72" t="n"/>
      <c r="X468" s="72" t="n"/>
      <c r="Y468" s="72" t="n"/>
    </row>
    <row r="469">
      <c r="A469" s="72" t="n"/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  <c r="T469" s="72" t="n"/>
      <c r="U469" s="72" t="n"/>
      <c r="V469" s="72" t="n"/>
      <c r="W469" s="72" t="n"/>
      <c r="X469" s="72" t="n"/>
      <c r="Y469" s="72" t="n"/>
    </row>
    <row r="470">
      <c r="A470" s="72" t="n"/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  <c r="T470" s="72" t="n"/>
      <c r="U470" s="72" t="n"/>
      <c r="V470" s="72" t="n"/>
      <c r="W470" s="72" t="n"/>
      <c r="X470" s="72" t="n"/>
      <c r="Y470" s="72" t="n"/>
    </row>
    <row r="471">
      <c r="A471" s="72" t="n"/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  <c r="T471" s="72" t="n"/>
      <c r="U471" s="72" t="n"/>
      <c r="V471" s="72" t="n"/>
      <c r="W471" s="72" t="n"/>
      <c r="X471" s="72" t="n"/>
      <c r="Y471" s="72" t="n"/>
    </row>
    <row r="472">
      <c r="A472" s="72" t="n"/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  <c r="T472" s="72" t="n"/>
      <c r="U472" s="72" t="n"/>
      <c r="V472" s="72" t="n"/>
      <c r="W472" s="72" t="n"/>
      <c r="X472" s="72" t="n"/>
      <c r="Y472" s="72" t="n"/>
    </row>
    <row r="473">
      <c r="A473" s="72" t="n"/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  <c r="T473" s="72" t="n"/>
      <c r="U473" s="72" t="n"/>
      <c r="V473" s="72" t="n"/>
      <c r="W473" s="72" t="n"/>
      <c r="X473" s="72" t="n"/>
      <c r="Y473" s="72" t="n"/>
    </row>
    <row r="474">
      <c r="A474" s="72" t="n"/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  <c r="T474" s="72" t="n"/>
      <c r="U474" s="72" t="n"/>
      <c r="V474" s="72" t="n"/>
      <c r="W474" s="72" t="n"/>
      <c r="X474" s="72" t="n"/>
      <c r="Y474" s="72" t="n"/>
    </row>
    <row r="475">
      <c r="A475" s="72" t="n"/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  <c r="T475" s="72" t="n"/>
      <c r="U475" s="72" t="n"/>
      <c r="V475" s="72" t="n"/>
      <c r="W475" s="72" t="n"/>
      <c r="X475" s="72" t="n"/>
      <c r="Y475" s="72" t="n"/>
    </row>
    <row r="476">
      <c r="A476" s="72" t="n"/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  <c r="T476" s="72" t="n"/>
      <c r="U476" s="72" t="n"/>
      <c r="V476" s="72" t="n"/>
      <c r="W476" s="72" t="n"/>
      <c r="X476" s="72" t="n"/>
      <c r="Y476" s="72" t="n"/>
    </row>
    <row r="477">
      <c r="A477" s="72" t="n"/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  <c r="T477" s="72" t="n"/>
      <c r="U477" s="72" t="n"/>
      <c r="V477" s="72" t="n"/>
      <c r="W477" s="72" t="n"/>
      <c r="X477" s="72" t="n"/>
      <c r="Y477" s="72" t="n"/>
    </row>
    <row r="478">
      <c r="A478" s="72" t="n"/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  <c r="T478" s="72" t="n"/>
      <c r="U478" s="72" t="n"/>
      <c r="V478" s="72" t="n"/>
      <c r="W478" s="72" t="n"/>
      <c r="X478" s="72" t="n"/>
      <c r="Y478" s="72" t="n"/>
    </row>
    <row r="479">
      <c r="A479" s="72" t="n"/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  <c r="T479" s="72" t="n"/>
      <c r="U479" s="72" t="n"/>
      <c r="V479" s="72" t="n"/>
      <c r="W479" s="72" t="n"/>
      <c r="X479" s="72" t="n"/>
      <c r="Y479" s="72" t="n"/>
    </row>
    <row r="480">
      <c r="A480" s="72" t="n"/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  <c r="T480" s="72" t="n"/>
      <c r="U480" s="72" t="n"/>
      <c r="V480" s="72" t="n"/>
      <c r="W480" s="72" t="n"/>
      <c r="X480" s="72" t="n"/>
      <c r="Y480" s="72" t="n"/>
    </row>
    <row r="481">
      <c r="A481" s="72" t="n"/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  <c r="T481" s="72" t="n"/>
      <c r="U481" s="72" t="n"/>
      <c r="V481" s="72" t="n"/>
      <c r="W481" s="72" t="n"/>
      <c r="X481" s="72" t="n"/>
      <c r="Y481" s="72" t="n"/>
    </row>
    <row r="482">
      <c r="A482" s="72" t="n"/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  <c r="T482" s="72" t="n"/>
      <c r="U482" s="72" t="n"/>
      <c r="V482" s="72" t="n"/>
      <c r="W482" s="72" t="n"/>
      <c r="X482" s="72" t="n"/>
      <c r="Y482" s="72" t="n"/>
    </row>
    <row r="483">
      <c r="A483" s="72" t="n"/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  <c r="T483" s="72" t="n"/>
      <c r="U483" s="72" t="n"/>
      <c r="V483" s="72" t="n"/>
      <c r="W483" s="72" t="n"/>
      <c r="X483" s="72" t="n"/>
      <c r="Y483" s="72" t="n"/>
    </row>
    <row r="484">
      <c r="A484" s="72" t="n"/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  <c r="T484" s="72" t="n"/>
      <c r="U484" s="72" t="n"/>
      <c r="V484" s="72" t="n"/>
      <c r="W484" s="72" t="n"/>
      <c r="X484" s="72" t="n"/>
      <c r="Y484" s="72" t="n"/>
    </row>
    <row r="485">
      <c r="A485" s="72" t="n"/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  <c r="T485" s="72" t="n"/>
      <c r="U485" s="72" t="n"/>
      <c r="V485" s="72" t="n"/>
      <c r="W485" s="72" t="n"/>
      <c r="X485" s="72" t="n"/>
      <c r="Y485" s="72" t="n"/>
    </row>
    <row r="486">
      <c r="A486" s="72" t="n"/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  <c r="T486" s="72" t="n"/>
      <c r="U486" s="72" t="n"/>
      <c r="V486" s="72" t="n"/>
      <c r="W486" s="72" t="n"/>
      <c r="X486" s="72" t="n"/>
      <c r="Y486" s="72" t="n"/>
    </row>
    <row r="487">
      <c r="A487" s="72" t="n"/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  <c r="T487" s="72" t="n"/>
      <c r="U487" s="72" t="n"/>
      <c r="V487" s="72" t="n"/>
      <c r="W487" s="72" t="n"/>
      <c r="X487" s="72" t="n"/>
      <c r="Y487" s="72" t="n"/>
    </row>
    <row r="488">
      <c r="A488" s="72" t="n"/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  <c r="T488" s="72" t="n"/>
      <c r="U488" s="72" t="n"/>
      <c r="V488" s="72" t="n"/>
      <c r="W488" s="72" t="n"/>
      <c r="X488" s="72" t="n"/>
      <c r="Y488" s="72" t="n"/>
    </row>
    <row r="489">
      <c r="A489" s="72" t="n"/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  <c r="T489" s="72" t="n"/>
      <c r="U489" s="72" t="n"/>
      <c r="V489" s="72" t="n"/>
      <c r="W489" s="72" t="n"/>
      <c r="X489" s="72" t="n"/>
      <c r="Y489" s="72" t="n"/>
    </row>
    <row r="490">
      <c r="A490" s="72" t="n"/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  <c r="T490" s="72" t="n"/>
      <c r="U490" s="72" t="n"/>
      <c r="V490" s="72" t="n"/>
      <c r="W490" s="72" t="n"/>
      <c r="X490" s="72" t="n"/>
      <c r="Y490" s="72" t="n"/>
    </row>
    <row r="491">
      <c r="A491" s="72" t="n"/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  <c r="T491" s="72" t="n"/>
      <c r="U491" s="72" t="n"/>
      <c r="V491" s="72" t="n"/>
      <c r="W491" s="72" t="n"/>
      <c r="X491" s="72" t="n"/>
      <c r="Y491" s="72" t="n"/>
    </row>
    <row r="492">
      <c r="A492" s="72" t="n"/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  <c r="T492" s="72" t="n"/>
      <c r="U492" s="72" t="n"/>
      <c r="V492" s="72" t="n"/>
      <c r="W492" s="72" t="n"/>
      <c r="X492" s="72" t="n"/>
      <c r="Y492" s="72" t="n"/>
    </row>
    <row r="493">
      <c r="A493" s="72" t="n"/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  <c r="T493" s="72" t="n"/>
      <c r="U493" s="72" t="n"/>
      <c r="V493" s="72" t="n"/>
      <c r="W493" s="72" t="n"/>
      <c r="X493" s="72" t="n"/>
      <c r="Y493" s="72" t="n"/>
    </row>
    <row r="494">
      <c r="A494" s="72" t="n"/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  <c r="T494" s="72" t="n"/>
      <c r="U494" s="72" t="n"/>
      <c r="V494" s="72" t="n"/>
      <c r="W494" s="72" t="n"/>
      <c r="X494" s="72" t="n"/>
      <c r="Y494" s="72" t="n"/>
    </row>
    <row r="495">
      <c r="A495" s="72" t="n"/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  <c r="T495" s="72" t="n"/>
      <c r="U495" s="72" t="n"/>
      <c r="V495" s="72" t="n"/>
      <c r="W495" s="72" t="n"/>
      <c r="X495" s="72" t="n"/>
      <c r="Y495" s="72" t="n"/>
    </row>
    <row r="496">
      <c r="A496" s="72" t="n"/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  <c r="T496" s="72" t="n"/>
      <c r="U496" s="72" t="n"/>
      <c r="V496" s="72" t="n"/>
      <c r="W496" s="72" t="n"/>
      <c r="X496" s="72" t="n"/>
      <c r="Y496" s="72" t="n"/>
    </row>
    <row r="497">
      <c r="A497" s="72" t="n"/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  <c r="T497" s="72" t="n"/>
      <c r="U497" s="72" t="n"/>
      <c r="V497" s="72" t="n"/>
      <c r="W497" s="72" t="n"/>
      <c r="X497" s="72" t="n"/>
      <c r="Y497" s="72" t="n"/>
    </row>
    <row r="498">
      <c r="A498" s="72" t="n"/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  <c r="T498" s="72" t="n"/>
      <c r="U498" s="72" t="n"/>
      <c r="V498" s="72" t="n"/>
      <c r="W498" s="72" t="n"/>
      <c r="X498" s="72" t="n"/>
      <c r="Y498" s="72" t="n"/>
    </row>
    <row r="499">
      <c r="A499" s="72" t="n"/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  <c r="T499" s="72" t="n"/>
      <c r="U499" s="72" t="n"/>
      <c r="V499" s="72" t="n"/>
      <c r="W499" s="72" t="n"/>
      <c r="X499" s="72" t="n"/>
      <c r="Y499" s="72" t="n"/>
    </row>
    <row r="500">
      <c r="A500" s="72" t="n"/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  <c r="T500" s="72" t="n"/>
      <c r="U500" s="72" t="n"/>
      <c r="V500" s="72" t="n"/>
      <c r="W500" s="72" t="n"/>
      <c r="X500" s="72" t="n"/>
      <c r="Y500" s="72" t="n"/>
    </row>
    <row r="501">
      <c r="A501" s="72" t="n"/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  <c r="T501" s="72" t="n"/>
      <c r="U501" s="72" t="n"/>
      <c r="V501" s="72" t="n"/>
      <c r="W501" s="72" t="n"/>
      <c r="X501" s="72" t="n"/>
      <c r="Y501" s="72" t="n"/>
    </row>
    <row r="502">
      <c r="A502" s="72" t="n"/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  <c r="T502" s="72" t="n"/>
      <c r="U502" s="72" t="n"/>
      <c r="V502" s="72" t="n"/>
      <c r="W502" s="72" t="n"/>
      <c r="X502" s="72" t="n"/>
      <c r="Y502" s="72" t="n"/>
    </row>
    <row r="503">
      <c r="A503" s="72" t="n"/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  <c r="T503" s="72" t="n"/>
      <c r="U503" s="72" t="n"/>
      <c r="V503" s="72" t="n"/>
      <c r="W503" s="72" t="n"/>
      <c r="X503" s="72" t="n"/>
      <c r="Y503" s="72" t="n"/>
    </row>
    <row r="504">
      <c r="A504" s="72" t="n"/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  <c r="T504" s="72" t="n"/>
      <c r="U504" s="72" t="n"/>
      <c r="V504" s="72" t="n"/>
      <c r="W504" s="72" t="n"/>
      <c r="X504" s="72" t="n"/>
      <c r="Y504" s="72" t="n"/>
    </row>
    <row r="505">
      <c r="A505" s="72" t="n"/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  <c r="T505" s="72" t="n"/>
      <c r="U505" s="72" t="n"/>
      <c r="V505" s="72" t="n"/>
      <c r="W505" s="72" t="n"/>
      <c r="X505" s="72" t="n"/>
      <c r="Y505" s="72" t="n"/>
    </row>
    <row r="506">
      <c r="A506" s="72" t="n"/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  <c r="T506" s="72" t="n"/>
      <c r="U506" s="72" t="n"/>
      <c r="V506" s="72" t="n"/>
      <c r="W506" s="72" t="n"/>
      <c r="X506" s="72" t="n"/>
      <c r="Y506" s="72" t="n"/>
    </row>
    <row r="507">
      <c r="A507" s="72" t="n"/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  <c r="T507" s="72" t="n"/>
      <c r="U507" s="72" t="n"/>
      <c r="V507" s="72" t="n"/>
      <c r="W507" s="72" t="n"/>
      <c r="X507" s="72" t="n"/>
      <c r="Y507" s="72" t="n"/>
    </row>
    <row r="508">
      <c r="A508" s="72" t="n"/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  <c r="T508" s="72" t="n"/>
      <c r="U508" s="72" t="n"/>
      <c r="V508" s="72" t="n"/>
      <c r="W508" s="72" t="n"/>
      <c r="X508" s="72" t="n"/>
      <c r="Y508" s="72" t="n"/>
    </row>
    <row r="509">
      <c r="A509" s="72" t="n"/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  <c r="T509" s="72" t="n"/>
      <c r="U509" s="72" t="n"/>
      <c r="V509" s="72" t="n"/>
      <c r="W509" s="72" t="n"/>
      <c r="X509" s="72" t="n"/>
      <c r="Y509" s="72" t="n"/>
    </row>
    <row r="510">
      <c r="A510" s="72" t="n"/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  <c r="T510" s="72" t="n"/>
      <c r="U510" s="72" t="n"/>
      <c r="V510" s="72" t="n"/>
      <c r="W510" s="72" t="n"/>
      <c r="X510" s="72" t="n"/>
      <c r="Y510" s="72" t="n"/>
    </row>
    <row r="511">
      <c r="A511" s="72" t="n"/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  <c r="T511" s="72" t="n"/>
      <c r="U511" s="72" t="n"/>
      <c r="V511" s="72" t="n"/>
      <c r="W511" s="72" t="n"/>
      <c r="X511" s="72" t="n"/>
      <c r="Y511" s="72" t="n"/>
    </row>
    <row r="512">
      <c r="A512" s="72" t="n"/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  <c r="T512" s="72" t="n"/>
      <c r="U512" s="72" t="n"/>
      <c r="V512" s="72" t="n"/>
      <c r="W512" s="72" t="n"/>
      <c r="X512" s="72" t="n"/>
      <c r="Y512" s="72" t="n"/>
    </row>
    <row r="513">
      <c r="A513" s="72" t="n"/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  <c r="T513" s="72" t="n"/>
      <c r="U513" s="72" t="n"/>
      <c r="V513" s="72" t="n"/>
      <c r="W513" s="72" t="n"/>
      <c r="X513" s="72" t="n"/>
      <c r="Y513" s="72" t="n"/>
    </row>
    <row r="514">
      <c r="A514" s="72" t="n"/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  <c r="T514" s="72" t="n"/>
      <c r="U514" s="72" t="n"/>
      <c r="V514" s="72" t="n"/>
      <c r="W514" s="72" t="n"/>
      <c r="X514" s="72" t="n"/>
      <c r="Y514" s="72" t="n"/>
    </row>
    <row r="515">
      <c r="A515" s="72" t="n"/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  <c r="T515" s="72" t="n"/>
      <c r="U515" s="72" t="n"/>
      <c r="V515" s="72" t="n"/>
      <c r="W515" s="72" t="n"/>
      <c r="X515" s="72" t="n"/>
      <c r="Y515" s="72" t="n"/>
    </row>
    <row r="516">
      <c r="A516" s="72" t="n"/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  <c r="T516" s="72" t="n"/>
      <c r="U516" s="72" t="n"/>
      <c r="V516" s="72" t="n"/>
      <c r="W516" s="72" t="n"/>
      <c r="X516" s="72" t="n"/>
      <c r="Y516" s="72" t="n"/>
    </row>
    <row r="517">
      <c r="A517" s="72" t="n"/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  <c r="T517" s="72" t="n"/>
      <c r="U517" s="72" t="n"/>
      <c r="V517" s="72" t="n"/>
      <c r="W517" s="72" t="n"/>
      <c r="X517" s="72" t="n"/>
      <c r="Y517" s="72" t="n"/>
    </row>
    <row r="518">
      <c r="A518" s="72" t="n"/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  <c r="T518" s="72" t="n"/>
      <c r="U518" s="72" t="n"/>
      <c r="V518" s="72" t="n"/>
      <c r="W518" s="72" t="n"/>
      <c r="X518" s="72" t="n"/>
      <c r="Y518" s="72" t="n"/>
    </row>
    <row r="519">
      <c r="A519" s="72" t="n"/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  <c r="T519" s="72" t="n"/>
      <c r="U519" s="72" t="n"/>
      <c r="V519" s="72" t="n"/>
      <c r="W519" s="72" t="n"/>
      <c r="X519" s="72" t="n"/>
      <c r="Y519" s="72" t="n"/>
    </row>
    <row r="520">
      <c r="A520" s="72" t="n"/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  <c r="T520" s="72" t="n"/>
      <c r="U520" s="72" t="n"/>
      <c r="V520" s="72" t="n"/>
      <c r="W520" s="72" t="n"/>
      <c r="X520" s="72" t="n"/>
      <c r="Y520" s="72" t="n"/>
    </row>
    <row r="521">
      <c r="A521" s="72" t="n"/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  <c r="T521" s="72" t="n"/>
      <c r="U521" s="72" t="n"/>
      <c r="V521" s="72" t="n"/>
      <c r="W521" s="72" t="n"/>
      <c r="X521" s="72" t="n"/>
      <c r="Y521" s="72" t="n"/>
    </row>
    <row r="522">
      <c r="A522" s="72" t="n"/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  <c r="T522" s="72" t="n"/>
      <c r="U522" s="72" t="n"/>
      <c r="V522" s="72" t="n"/>
      <c r="W522" s="72" t="n"/>
      <c r="X522" s="72" t="n"/>
      <c r="Y522" s="72" t="n"/>
    </row>
    <row r="523">
      <c r="A523" s="72" t="n"/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  <c r="T523" s="72" t="n"/>
      <c r="U523" s="72" t="n"/>
      <c r="V523" s="72" t="n"/>
      <c r="W523" s="72" t="n"/>
      <c r="X523" s="72" t="n"/>
      <c r="Y523" s="72" t="n"/>
    </row>
    <row r="524">
      <c r="A524" s="72" t="n"/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  <c r="T524" s="72" t="n"/>
      <c r="U524" s="72" t="n"/>
      <c r="V524" s="72" t="n"/>
      <c r="W524" s="72" t="n"/>
      <c r="X524" s="72" t="n"/>
      <c r="Y524" s="72" t="n"/>
    </row>
    <row r="525">
      <c r="A525" s="72" t="n"/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  <c r="T525" s="72" t="n"/>
      <c r="U525" s="72" t="n"/>
      <c r="V525" s="72" t="n"/>
      <c r="W525" s="72" t="n"/>
      <c r="X525" s="72" t="n"/>
      <c r="Y525" s="72" t="n"/>
    </row>
    <row r="526">
      <c r="A526" s="72" t="n"/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  <c r="T526" s="72" t="n"/>
      <c r="U526" s="72" t="n"/>
      <c r="V526" s="72" t="n"/>
      <c r="W526" s="72" t="n"/>
      <c r="X526" s="72" t="n"/>
      <c r="Y526" s="72" t="n"/>
    </row>
    <row r="527">
      <c r="A527" s="72" t="n"/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  <c r="T527" s="72" t="n"/>
      <c r="U527" s="72" t="n"/>
      <c r="V527" s="72" t="n"/>
      <c r="W527" s="72" t="n"/>
      <c r="X527" s="72" t="n"/>
      <c r="Y527" s="72" t="n"/>
    </row>
    <row r="528">
      <c r="A528" s="72" t="n"/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  <c r="T528" s="72" t="n"/>
      <c r="U528" s="72" t="n"/>
      <c r="V528" s="72" t="n"/>
      <c r="W528" s="72" t="n"/>
      <c r="X528" s="72" t="n"/>
      <c r="Y528" s="72" t="n"/>
    </row>
    <row r="529">
      <c r="A529" s="72" t="n"/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  <c r="T529" s="72" t="n"/>
      <c r="U529" s="72" t="n"/>
      <c r="V529" s="72" t="n"/>
      <c r="W529" s="72" t="n"/>
      <c r="X529" s="72" t="n"/>
      <c r="Y529" s="72" t="n"/>
    </row>
    <row r="530">
      <c r="A530" s="72" t="n"/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  <c r="T530" s="72" t="n"/>
      <c r="U530" s="72" t="n"/>
      <c r="V530" s="72" t="n"/>
      <c r="W530" s="72" t="n"/>
      <c r="X530" s="72" t="n"/>
      <c r="Y530" s="72" t="n"/>
    </row>
    <row r="531">
      <c r="A531" s="72" t="n"/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  <c r="T531" s="72" t="n"/>
      <c r="U531" s="72" t="n"/>
      <c r="V531" s="72" t="n"/>
      <c r="W531" s="72" t="n"/>
      <c r="X531" s="72" t="n"/>
      <c r="Y531" s="72" t="n"/>
    </row>
    <row r="532">
      <c r="A532" s="72" t="n"/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  <c r="T532" s="72" t="n"/>
      <c r="U532" s="72" t="n"/>
      <c r="V532" s="72" t="n"/>
      <c r="W532" s="72" t="n"/>
      <c r="X532" s="72" t="n"/>
      <c r="Y532" s="72" t="n"/>
    </row>
    <row r="533">
      <c r="A533" s="72" t="n"/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  <c r="T533" s="72" t="n"/>
      <c r="U533" s="72" t="n"/>
      <c r="V533" s="72" t="n"/>
      <c r="W533" s="72" t="n"/>
      <c r="X533" s="72" t="n"/>
      <c r="Y533" s="72" t="n"/>
    </row>
    <row r="534">
      <c r="A534" s="72" t="n"/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  <c r="T534" s="72" t="n"/>
      <c r="U534" s="72" t="n"/>
      <c r="V534" s="72" t="n"/>
      <c r="W534" s="72" t="n"/>
      <c r="X534" s="72" t="n"/>
      <c r="Y534" s="72" t="n"/>
    </row>
    <row r="535">
      <c r="A535" s="72" t="n"/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  <c r="T535" s="72" t="n"/>
      <c r="U535" s="72" t="n"/>
      <c r="V535" s="72" t="n"/>
      <c r="W535" s="72" t="n"/>
      <c r="X535" s="72" t="n"/>
      <c r="Y535" s="72" t="n"/>
    </row>
    <row r="536">
      <c r="A536" s="72" t="n"/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  <c r="T536" s="72" t="n"/>
      <c r="U536" s="72" t="n"/>
      <c r="V536" s="72" t="n"/>
      <c r="W536" s="72" t="n"/>
      <c r="X536" s="72" t="n"/>
      <c r="Y536" s="72" t="n"/>
    </row>
    <row r="537">
      <c r="A537" s="72" t="n"/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  <c r="T537" s="72" t="n"/>
      <c r="U537" s="72" t="n"/>
      <c r="V537" s="72" t="n"/>
      <c r="W537" s="72" t="n"/>
      <c r="X537" s="72" t="n"/>
      <c r="Y537" s="72" t="n"/>
    </row>
    <row r="538">
      <c r="A538" s="72" t="n"/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  <c r="T538" s="72" t="n"/>
      <c r="U538" s="72" t="n"/>
      <c r="V538" s="72" t="n"/>
      <c r="W538" s="72" t="n"/>
      <c r="X538" s="72" t="n"/>
      <c r="Y538" s="72" t="n"/>
    </row>
    <row r="539">
      <c r="A539" s="72" t="n"/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  <c r="T539" s="72" t="n"/>
      <c r="U539" s="72" t="n"/>
      <c r="V539" s="72" t="n"/>
      <c r="W539" s="72" t="n"/>
      <c r="X539" s="72" t="n"/>
      <c r="Y539" s="72" t="n"/>
    </row>
    <row r="540">
      <c r="A540" s="72" t="n"/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  <c r="T540" s="72" t="n"/>
      <c r="U540" s="72" t="n"/>
      <c r="V540" s="72" t="n"/>
      <c r="W540" s="72" t="n"/>
      <c r="X540" s="72" t="n"/>
      <c r="Y540" s="72" t="n"/>
    </row>
    <row r="541">
      <c r="A541" s="72" t="n"/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  <c r="T541" s="72" t="n"/>
      <c r="U541" s="72" t="n"/>
      <c r="V541" s="72" t="n"/>
      <c r="W541" s="72" t="n"/>
      <c r="X541" s="72" t="n"/>
      <c r="Y541" s="72" t="n"/>
    </row>
    <row r="542">
      <c r="A542" s="72" t="n"/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  <c r="T542" s="72" t="n"/>
      <c r="U542" s="72" t="n"/>
      <c r="V542" s="72" t="n"/>
      <c r="W542" s="72" t="n"/>
      <c r="X542" s="72" t="n"/>
      <c r="Y542" s="72" t="n"/>
    </row>
    <row r="543">
      <c r="A543" s="72" t="n"/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  <c r="T543" s="72" t="n"/>
      <c r="U543" s="72" t="n"/>
      <c r="V543" s="72" t="n"/>
      <c r="W543" s="72" t="n"/>
      <c r="X543" s="72" t="n"/>
      <c r="Y543" s="72" t="n"/>
    </row>
    <row r="544">
      <c r="A544" s="72" t="n"/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  <c r="T544" s="72" t="n"/>
      <c r="U544" s="72" t="n"/>
      <c r="V544" s="72" t="n"/>
      <c r="W544" s="72" t="n"/>
      <c r="X544" s="72" t="n"/>
      <c r="Y544" s="72" t="n"/>
    </row>
    <row r="545">
      <c r="A545" s="72" t="n"/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  <c r="T545" s="72" t="n"/>
      <c r="U545" s="72" t="n"/>
      <c r="V545" s="72" t="n"/>
      <c r="W545" s="72" t="n"/>
      <c r="X545" s="72" t="n"/>
      <c r="Y545" s="72" t="n"/>
    </row>
    <row r="546">
      <c r="A546" s="72" t="n"/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  <c r="T546" s="72" t="n"/>
      <c r="U546" s="72" t="n"/>
      <c r="V546" s="72" t="n"/>
      <c r="W546" s="72" t="n"/>
      <c r="X546" s="72" t="n"/>
      <c r="Y546" s="72" t="n"/>
    </row>
    <row r="547">
      <c r="A547" s="72" t="n"/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  <c r="T547" s="72" t="n"/>
      <c r="U547" s="72" t="n"/>
      <c r="V547" s="72" t="n"/>
      <c r="W547" s="72" t="n"/>
      <c r="X547" s="72" t="n"/>
      <c r="Y547" s="72" t="n"/>
    </row>
    <row r="548">
      <c r="A548" s="72" t="n"/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  <c r="T548" s="72" t="n"/>
      <c r="U548" s="72" t="n"/>
      <c r="V548" s="72" t="n"/>
      <c r="W548" s="72" t="n"/>
      <c r="X548" s="72" t="n"/>
      <c r="Y548" s="72" t="n"/>
    </row>
    <row r="549">
      <c r="A549" s="72" t="n"/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  <c r="T549" s="72" t="n"/>
      <c r="U549" s="72" t="n"/>
      <c r="V549" s="72" t="n"/>
      <c r="W549" s="72" t="n"/>
      <c r="X549" s="72" t="n"/>
      <c r="Y549" s="72" t="n"/>
    </row>
    <row r="550">
      <c r="A550" s="72" t="n"/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  <c r="T550" s="72" t="n"/>
      <c r="U550" s="72" t="n"/>
      <c r="V550" s="72" t="n"/>
      <c r="W550" s="72" t="n"/>
      <c r="X550" s="72" t="n"/>
      <c r="Y550" s="72" t="n"/>
    </row>
    <row r="551">
      <c r="A551" s="72" t="n"/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  <c r="T551" s="72" t="n"/>
      <c r="U551" s="72" t="n"/>
      <c r="V551" s="72" t="n"/>
      <c r="W551" s="72" t="n"/>
      <c r="X551" s="72" t="n"/>
      <c r="Y551" s="72" t="n"/>
    </row>
    <row r="552">
      <c r="A552" s="72" t="n"/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  <c r="T552" s="72" t="n"/>
      <c r="U552" s="72" t="n"/>
      <c r="V552" s="72" t="n"/>
      <c r="W552" s="72" t="n"/>
      <c r="X552" s="72" t="n"/>
      <c r="Y552" s="72" t="n"/>
    </row>
    <row r="553">
      <c r="A553" s="72" t="n"/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  <c r="T553" s="72" t="n"/>
      <c r="U553" s="72" t="n"/>
      <c r="V553" s="72" t="n"/>
      <c r="W553" s="72" t="n"/>
      <c r="X553" s="72" t="n"/>
      <c r="Y553" s="72" t="n"/>
    </row>
    <row r="554">
      <c r="A554" s="72" t="n"/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  <c r="T554" s="72" t="n"/>
      <c r="U554" s="72" t="n"/>
      <c r="V554" s="72" t="n"/>
      <c r="W554" s="72" t="n"/>
      <c r="X554" s="72" t="n"/>
      <c r="Y554" s="72" t="n"/>
    </row>
    <row r="555">
      <c r="A555" s="72" t="n"/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  <c r="T555" s="72" t="n"/>
      <c r="U555" s="72" t="n"/>
      <c r="V555" s="72" t="n"/>
      <c r="W555" s="72" t="n"/>
      <c r="X555" s="72" t="n"/>
      <c r="Y555" s="72" t="n"/>
    </row>
    <row r="556">
      <c r="A556" s="72" t="n"/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  <c r="T556" s="72" t="n"/>
      <c r="U556" s="72" t="n"/>
      <c r="V556" s="72" t="n"/>
      <c r="W556" s="72" t="n"/>
      <c r="X556" s="72" t="n"/>
      <c r="Y556" s="72" t="n"/>
    </row>
    <row r="557">
      <c r="A557" s="72" t="n"/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  <c r="T557" s="72" t="n"/>
      <c r="U557" s="72" t="n"/>
      <c r="V557" s="72" t="n"/>
      <c r="W557" s="72" t="n"/>
      <c r="X557" s="72" t="n"/>
      <c r="Y557" s="72" t="n"/>
    </row>
    <row r="558">
      <c r="A558" s="72" t="n"/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  <c r="T558" s="72" t="n"/>
      <c r="U558" s="72" t="n"/>
      <c r="V558" s="72" t="n"/>
      <c r="W558" s="72" t="n"/>
      <c r="X558" s="72" t="n"/>
      <c r="Y558" s="72" t="n"/>
    </row>
    <row r="559">
      <c r="A559" s="72" t="n"/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  <c r="T559" s="72" t="n"/>
      <c r="U559" s="72" t="n"/>
      <c r="V559" s="72" t="n"/>
      <c r="W559" s="72" t="n"/>
      <c r="X559" s="72" t="n"/>
      <c r="Y559" s="72" t="n"/>
    </row>
    <row r="560">
      <c r="A560" s="72" t="n"/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  <c r="T560" s="72" t="n"/>
      <c r="U560" s="72" t="n"/>
      <c r="V560" s="72" t="n"/>
      <c r="W560" s="72" t="n"/>
      <c r="X560" s="72" t="n"/>
      <c r="Y560" s="72" t="n"/>
    </row>
    <row r="561">
      <c r="A561" s="72" t="n"/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  <c r="T561" s="72" t="n"/>
      <c r="U561" s="72" t="n"/>
      <c r="V561" s="72" t="n"/>
      <c r="W561" s="72" t="n"/>
      <c r="X561" s="72" t="n"/>
      <c r="Y561" s="72" t="n"/>
    </row>
    <row r="562">
      <c r="A562" s="72" t="n"/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  <c r="T562" s="72" t="n"/>
      <c r="U562" s="72" t="n"/>
      <c r="V562" s="72" t="n"/>
      <c r="W562" s="72" t="n"/>
      <c r="X562" s="72" t="n"/>
      <c r="Y562" s="72" t="n"/>
    </row>
    <row r="563">
      <c r="A563" s="72" t="n"/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  <c r="T563" s="72" t="n"/>
      <c r="U563" s="72" t="n"/>
      <c r="V563" s="72" t="n"/>
      <c r="W563" s="72" t="n"/>
      <c r="X563" s="72" t="n"/>
      <c r="Y563" s="72" t="n"/>
    </row>
    <row r="564">
      <c r="A564" s="72" t="n"/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  <c r="T564" s="72" t="n"/>
      <c r="U564" s="72" t="n"/>
      <c r="V564" s="72" t="n"/>
      <c r="W564" s="72" t="n"/>
      <c r="X564" s="72" t="n"/>
      <c r="Y564" s="72" t="n"/>
    </row>
    <row r="565">
      <c r="A565" s="72" t="n"/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  <c r="T565" s="72" t="n"/>
      <c r="U565" s="72" t="n"/>
      <c r="V565" s="72" t="n"/>
      <c r="W565" s="72" t="n"/>
      <c r="X565" s="72" t="n"/>
      <c r="Y565" s="72" t="n"/>
    </row>
    <row r="566">
      <c r="A566" s="72" t="n"/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  <c r="T566" s="72" t="n"/>
      <c r="U566" s="72" t="n"/>
      <c r="V566" s="72" t="n"/>
      <c r="W566" s="72" t="n"/>
      <c r="X566" s="72" t="n"/>
      <c r="Y566" s="72" t="n"/>
    </row>
    <row r="567">
      <c r="A567" s="72" t="n"/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  <c r="T567" s="72" t="n"/>
      <c r="U567" s="72" t="n"/>
      <c r="V567" s="72" t="n"/>
      <c r="W567" s="72" t="n"/>
      <c r="X567" s="72" t="n"/>
      <c r="Y567" s="72" t="n"/>
    </row>
    <row r="568">
      <c r="A568" s="72" t="n"/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  <c r="T568" s="72" t="n"/>
      <c r="U568" s="72" t="n"/>
      <c r="V568" s="72" t="n"/>
      <c r="W568" s="72" t="n"/>
      <c r="X568" s="72" t="n"/>
      <c r="Y568" s="72" t="n"/>
    </row>
    <row r="569">
      <c r="A569" s="72" t="n"/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  <c r="T569" s="72" t="n"/>
      <c r="U569" s="72" t="n"/>
      <c r="V569" s="72" t="n"/>
      <c r="W569" s="72" t="n"/>
      <c r="X569" s="72" t="n"/>
      <c r="Y569" s="72" t="n"/>
    </row>
    <row r="570">
      <c r="A570" s="72" t="n"/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  <c r="T570" s="72" t="n"/>
      <c r="U570" s="72" t="n"/>
      <c r="V570" s="72" t="n"/>
      <c r="W570" s="72" t="n"/>
      <c r="X570" s="72" t="n"/>
      <c r="Y570" s="72" t="n"/>
    </row>
    <row r="571">
      <c r="A571" s="72" t="n"/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  <c r="T571" s="72" t="n"/>
      <c r="U571" s="72" t="n"/>
      <c r="V571" s="72" t="n"/>
      <c r="W571" s="72" t="n"/>
      <c r="X571" s="72" t="n"/>
      <c r="Y571" s="72" t="n"/>
    </row>
    <row r="572">
      <c r="A572" s="72" t="n"/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  <c r="T572" s="72" t="n"/>
      <c r="U572" s="72" t="n"/>
      <c r="V572" s="72" t="n"/>
      <c r="W572" s="72" t="n"/>
      <c r="X572" s="72" t="n"/>
      <c r="Y572" s="72" t="n"/>
    </row>
    <row r="573">
      <c r="A573" s="72" t="n"/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  <c r="T573" s="72" t="n"/>
      <c r="U573" s="72" t="n"/>
      <c r="V573" s="72" t="n"/>
      <c r="W573" s="72" t="n"/>
      <c r="X573" s="72" t="n"/>
      <c r="Y573" s="72" t="n"/>
    </row>
    <row r="574">
      <c r="A574" s="72" t="n"/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  <c r="T574" s="72" t="n"/>
      <c r="U574" s="72" t="n"/>
      <c r="V574" s="72" t="n"/>
      <c r="W574" s="72" t="n"/>
      <c r="X574" s="72" t="n"/>
      <c r="Y574" s="72" t="n"/>
    </row>
    <row r="575">
      <c r="A575" s="72" t="n"/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  <c r="T575" s="72" t="n"/>
      <c r="U575" s="72" t="n"/>
      <c r="V575" s="72" t="n"/>
      <c r="W575" s="72" t="n"/>
      <c r="X575" s="72" t="n"/>
      <c r="Y575" s="72" t="n"/>
    </row>
    <row r="576">
      <c r="A576" s="72" t="n"/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  <c r="T576" s="72" t="n"/>
      <c r="U576" s="72" t="n"/>
      <c r="V576" s="72" t="n"/>
      <c r="W576" s="72" t="n"/>
      <c r="X576" s="72" t="n"/>
      <c r="Y576" s="72" t="n"/>
    </row>
    <row r="577">
      <c r="A577" s="72" t="n"/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  <c r="T577" s="72" t="n"/>
      <c r="U577" s="72" t="n"/>
      <c r="V577" s="72" t="n"/>
      <c r="W577" s="72" t="n"/>
      <c r="X577" s="72" t="n"/>
      <c r="Y577" s="72" t="n"/>
    </row>
    <row r="578">
      <c r="A578" s="72" t="n"/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  <c r="T578" s="72" t="n"/>
      <c r="U578" s="72" t="n"/>
      <c r="V578" s="72" t="n"/>
      <c r="W578" s="72" t="n"/>
      <c r="X578" s="72" t="n"/>
      <c r="Y578" s="72" t="n"/>
    </row>
    <row r="579">
      <c r="A579" s="72" t="n"/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  <c r="T579" s="72" t="n"/>
      <c r="U579" s="72" t="n"/>
      <c r="V579" s="72" t="n"/>
      <c r="W579" s="72" t="n"/>
      <c r="X579" s="72" t="n"/>
      <c r="Y579" s="72" t="n"/>
    </row>
    <row r="580">
      <c r="A580" s="72" t="n"/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  <c r="T580" s="72" t="n"/>
      <c r="U580" s="72" t="n"/>
      <c r="V580" s="72" t="n"/>
      <c r="W580" s="72" t="n"/>
      <c r="X580" s="72" t="n"/>
      <c r="Y580" s="72" t="n"/>
    </row>
    <row r="581">
      <c r="A581" s="72" t="n"/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  <c r="T581" s="72" t="n"/>
      <c r="U581" s="72" t="n"/>
      <c r="V581" s="72" t="n"/>
      <c r="W581" s="72" t="n"/>
      <c r="X581" s="72" t="n"/>
      <c r="Y581" s="72" t="n"/>
    </row>
    <row r="582">
      <c r="A582" s="72" t="n"/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  <c r="T582" s="72" t="n"/>
      <c r="U582" s="72" t="n"/>
      <c r="V582" s="72" t="n"/>
      <c r="W582" s="72" t="n"/>
      <c r="X582" s="72" t="n"/>
      <c r="Y582" s="72" t="n"/>
    </row>
    <row r="583">
      <c r="A583" s="72" t="n"/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  <c r="T583" s="72" t="n"/>
      <c r="U583" s="72" t="n"/>
      <c r="V583" s="72" t="n"/>
      <c r="W583" s="72" t="n"/>
      <c r="X583" s="72" t="n"/>
      <c r="Y583" s="72" t="n"/>
    </row>
    <row r="584">
      <c r="A584" s="72" t="n"/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  <c r="T584" s="72" t="n"/>
      <c r="U584" s="72" t="n"/>
      <c r="V584" s="72" t="n"/>
      <c r="W584" s="72" t="n"/>
      <c r="X584" s="72" t="n"/>
      <c r="Y584" s="72" t="n"/>
    </row>
    <row r="585">
      <c r="A585" s="72" t="n"/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  <c r="T585" s="72" t="n"/>
      <c r="U585" s="72" t="n"/>
      <c r="V585" s="72" t="n"/>
      <c r="W585" s="72" t="n"/>
      <c r="X585" s="72" t="n"/>
      <c r="Y585" s="72" t="n"/>
    </row>
    <row r="586">
      <c r="A586" s="72" t="n"/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  <c r="T586" s="72" t="n"/>
      <c r="U586" s="72" t="n"/>
      <c r="V586" s="72" t="n"/>
      <c r="W586" s="72" t="n"/>
      <c r="X586" s="72" t="n"/>
      <c r="Y586" s="72" t="n"/>
    </row>
    <row r="587">
      <c r="A587" s="72" t="n"/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  <c r="T587" s="72" t="n"/>
      <c r="U587" s="72" t="n"/>
      <c r="V587" s="72" t="n"/>
      <c r="W587" s="72" t="n"/>
      <c r="X587" s="72" t="n"/>
      <c r="Y587" s="72" t="n"/>
    </row>
    <row r="588">
      <c r="A588" s="72" t="n"/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  <c r="T588" s="72" t="n"/>
      <c r="U588" s="72" t="n"/>
      <c r="V588" s="72" t="n"/>
      <c r="W588" s="72" t="n"/>
      <c r="X588" s="72" t="n"/>
      <c r="Y588" s="72" t="n"/>
    </row>
    <row r="589">
      <c r="A589" s="72" t="n"/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  <c r="T589" s="72" t="n"/>
      <c r="U589" s="72" t="n"/>
      <c r="V589" s="72" t="n"/>
      <c r="W589" s="72" t="n"/>
      <c r="X589" s="72" t="n"/>
      <c r="Y589" s="72" t="n"/>
    </row>
    <row r="590">
      <c r="A590" s="72" t="n"/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  <c r="T590" s="72" t="n"/>
      <c r="U590" s="72" t="n"/>
      <c r="V590" s="72" t="n"/>
      <c r="W590" s="72" t="n"/>
      <c r="X590" s="72" t="n"/>
      <c r="Y590" s="72" t="n"/>
    </row>
    <row r="591">
      <c r="A591" s="72" t="n"/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  <c r="T591" s="72" t="n"/>
      <c r="U591" s="72" t="n"/>
      <c r="V591" s="72" t="n"/>
      <c r="W591" s="72" t="n"/>
      <c r="X591" s="72" t="n"/>
      <c r="Y591" s="72" t="n"/>
    </row>
    <row r="592">
      <c r="A592" s="72" t="n"/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  <c r="T592" s="72" t="n"/>
      <c r="U592" s="72" t="n"/>
      <c r="V592" s="72" t="n"/>
      <c r="W592" s="72" t="n"/>
      <c r="X592" s="72" t="n"/>
      <c r="Y592" s="72" t="n"/>
    </row>
    <row r="593">
      <c r="A593" s="72" t="n"/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  <c r="T593" s="72" t="n"/>
      <c r="U593" s="72" t="n"/>
      <c r="V593" s="72" t="n"/>
      <c r="W593" s="72" t="n"/>
      <c r="X593" s="72" t="n"/>
      <c r="Y593" s="72" t="n"/>
    </row>
    <row r="594">
      <c r="A594" s="72" t="n"/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  <c r="T594" s="72" t="n"/>
      <c r="U594" s="72" t="n"/>
      <c r="V594" s="72" t="n"/>
      <c r="W594" s="72" t="n"/>
      <c r="X594" s="72" t="n"/>
      <c r="Y594" s="72" t="n"/>
    </row>
    <row r="595">
      <c r="A595" s="72" t="n"/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  <c r="T595" s="72" t="n"/>
      <c r="U595" s="72" t="n"/>
      <c r="V595" s="72" t="n"/>
      <c r="W595" s="72" t="n"/>
      <c r="X595" s="72" t="n"/>
      <c r="Y595" s="72" t="n"/>
    </row>
    <row r="596">
      <c r="A596" s="72" t="n"/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  <c r="T596" s="72" t="n"/>
      <c r="U596" s="72" t="n"/>
      <c r="V596" s="72" t="n"/>
      <c r="W596" s="72" t="n"/>
      <c r="X596" s="72" t="n"/>
      <c r="Y596" s="72" t="n"/>
    </row>
    <row r="597">
      <c r="A597" s="72" t="n"/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  <c r="T597" s="72" t="n"/>
      <c r="U597" s="72" t="n"/>
      <c r="V597" s="72" t="n"/>
      <c r="W597" s="72" t="n"/>
      <c r="X597" s="72" t="n"/>
      <c r="Y597" s="72" t="n"/>
    </row>
    <row r="598">
      <c r="A598" s="72" t="n"/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  <c r="T598" s="72" t="n"/>
      <c r="U598" s="72" t="n"/>
      <c r="V598" s="72" t="n"/>
      <c r="W598" s="72" t="n"/>
      <c r="X598" s="72" t="n"/>
      <c r="Y598" s="72" t="n"/>
    </row>
    <row r="599">
      <c r="A599" s="72" t="n"/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  <c r="T599" s="72" t="n"/>
      <c r="U599" s="72" t="n"/>
      <c r="V599" s="72" t="n"/>
      <c r="W599" s="72" t="n"/>
      <c r="X599" s="72" t="n"/>
      <c r="Y599" s="72" t="n"/>
    </row>
    <row r="600">
      <c r="A600" s="72" t="n"/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  <c r="T600" s="72" t="n"/>
      <c r="U600" s="72" t="n"/>
      <c r="V600" s="72" t="n"/>
      <c r="W600" s="72" t="n"/>
      <c r="X600" s="72" t="n"/>
      <c r="Y600" s="72" t="n"/>
    </row>
    <row r="601">
      <c r="A601" s="72" t="n"/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  <c r="T601" s="72" t="n"/>
      <c r="U601" s="72" t="n"/>
      <c r="V601" s="72" t="n"/>
      <c r="W601" s="72" t="n"/>
      <c r="X601" s="72" t="n"/>
      <c r="Y601" s="72" t="n"/>
    </row>
    <row r="602">
      <c r="A602" s="72" t="n"/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  <c r="T602" s="72" t="n"/>
      <c r="U602" s="72" t="n"/>
      <c r="V602" s="72" t="n"/>
      <c r="W602" s="72" t="n"/>
      <c r="X602" s="72" t="n"/>
      <c r="Y602" s="72" t="n"/>
    </row>
    <row r="603">
      <c r="A603" s="72" t="n"/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  <c r="T603" s="72" t="n"/>
      <c r="U603" s="72" t="n"/>
      <c r="V603" s="72" t="n"/>
      <c r="W603" s="72" t="n"/>
      <c r="X603" s="72" t="n"/>
      <c r="Y603" s="72" t="n"/>
    </row>
    <row r="604">
      <c r="A604" s="72" t="n"/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  <c r="T604" s="72" t="n"/>
      <c r="U604" s="72" t="n"/>
      <c r="V604" s="72" t="n"/>
      <c r="W604" s="72" t="n"/>
      <c r="X604" s="72" t="n"/>
      <c r="Y604" s="72" t="n"/>
    </row>
    <row r="605">
      <c r="A605" s="72" t="n"/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  <c r="T605" s="72" t="n"/>
      <c r="U605" s="72" t="n"/>
      <c r="V605" s="72" t="n"/>
      <c r="W605" s="72" t="n"/>
      <c r="X605" s="72" t="n"/>
      <c r="Y605" s="72" t="n"/>
    </row>
    <row r="606">
      <c r="A606" s="72" t="n"/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  <c r="T606" s="72" t="n"/>
      <c r="U606" s="72" t="n"/>
      <c r="V606" s="72" t="n"/>
      <c r="W606" s="72" t="n"/>
      <c r="X606" s="72" t="n"/>
      <c r="Y606" s="72" t="n"/>
    </row>
    <row r="607">
      <c r="A607" s="72" t="n"/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  <c r="T607" s="72" t="n"/>
      <c r="U607" s="72" t="n"/>
      <c r="V607" s="72" t="n"/>
      <c r="W607" s="72" t="n"/>
      <c r="X607" s="72" t="n"/>
      <c r="Y607" s="72" t="n"/>
    </row>
    <row r="608">
      <c r="A608" s="72" t="n"/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  <c r="T608" s="72" t="n"/>
      <c r="U608" s="72" t="n"/>
      <c r="V608" s="72" t="n"/>
      <c r="W608" s="72" t="n"/>
      <c r="X608" s="72" t="n"/>
      <c r="Y608" s="72" t="n"/>
    </row>
    <row r="609">
      <c r="A609" s="72" t="n"/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  <c r="T609" s="72" t="n"/>
      <c r="U609" s="72" t="n"/>
      <c r="V609" s="72" t="n"/>
      <c r="W609" s="72" t="n"/>
      <c r="X609" s="72" t="n"/>
      <c r="Y609" s="72" t="n"/>
    </row>
    <row r="610">
      <c r="A610" s="72" t="n"/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  <c r="T610" s="72" t="n"/>
      <c r="U610" s="72" t="n"/>
      <c r="V610" s="72" t="n"/>
      <c r="W610" s="72" t="n"/>
      <c r="X610" s="72" t="n"/>
      <c r="Y610" s="72" t="n"/>
    </row>
    <row r="611">
      <c r="A611" s="72" t="n"/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  <c r="T611" s="72" t="n"/>
      <c r="U611" s="72" t="n"/>
      <c r="V611" s="72" t="n"/>
      <c r="W611" s="72" t="n"/>
      <c r="X611" s="72" t="n"/>
      <c r="Y611" s="72" t="n"/>
    </row>
    <row r="612">
      <c r="A612" s="72" t="n"/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  <c r="T612" s="72" t="n"/>
      <c r="U612" s="72" t="n"/>
      <c r="V612" s="72" t="n"/>
      <c r="W612" s="72" t="n"/>
      <c r="X612" s="72" t="n"/>
      <c r="Y612" s="72" t="n"/>
    </row>
    <row r="613">
      <c r="A613" s="72" t="n"/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  <c r="T613" s="72" t="n"/>
      <c r="U613" s="72" t="n"/>
      <c r="V613" s="72" t="n"/>
      <c r="W613" s="72" t="n"/>
      <c r="X613" s="72" t="n"/>
      <c r="Y613" s="72" t="n"/>
    </row>
    <row r="614">
      <c r="A614" s="72" t="n"/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  <c r="T614" s="72" t="n"/>
      <c r="U614" s="72" t="n"/>
      <c r="V614" s="72" t="n"/>
      <c r="W614" s="72" t="n"/>
      <c r="X614" s="72" t="n"/>
      <c r="Y614" s="72" t="n"/>
    </row>
    <row r="615">
      <c r="A615" s="72" t="n"/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  <c r="T615" s="72" t="n"/>
      <c r="U615" s="72" t="n"/>
      <c r="V615" s="72" t="n"/>
      <c r="W615" s="72" t="n"/>
      <c r="X615" s="72" t="n"/>
      <c r="Y615" s="72" t="n"/>
    </row>
    <row r="616">
      <c r="A616" s="72" t="n"/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  <c r="T616" s="72" t="n"/>
      <c r="U616" s="72" t="n"/>
      <c r="V616" s="72" t="n"/>
      <c r="W616" s="72" t="n"/>
      <c r="X616" s="72" t="n"/>
      <c r="Y616" s="72" t="n"/>
    </row>
    <row r="617">
      <c r="A617" s="72" t="n"/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  <c r="T617" s="72" t="n"/>
      <c r="U617" s="72" t="n"/>
      <c r="V617" s="72" t="n"/>
      <c r="W617" s="72" t="n"/>
      <c r="X617" s="72" t="n"/>
      <c r="Y617" s="72" t="n"/>
    </row>
    <row r="618">
      <c r="A618" s="72" t="n"/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  <c r="T618" s="72" t="n"/>
      <c r="U618" s="72" t="n"/>
      <c r="V618" s="72" t="n"/>
      <c r="W618" s="72" t="n"/>
      <c r="X618" s="72" t="n"/>
      <c r="Y618" s="72" t="n"/>
    </row>
    <row r="619">
      <c r="A619" s="72" t="n"/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  <c r="T619" s="72" t="n"/>
      <c r="U619" s="72" t="n"/>
      <c r="V619" s="72" t="n"/>
      <c r="W619" s="72" t="n"/>
      <c r="X619" s="72" t="n"/>
      <c r="Y619" s="72" t="n"/>
    </row>
    <row r="620">
      <c r="A620" s="72" t="n"/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  <c r="T620" s="72" t="n"/>
      <c r="U620" s="72" t="n"/>
      <c r="V620" s="72" t="n"/>
      <c r="W620" s="72" t="n"/>
      <c r="X620" s="72" t="n"/>
      <c r="Y620" s="72" t="n"/>
    </row>
    <row r="621">
      <c r="A621" s="72" t="n"/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  <c r="T621" s="72" t="n"/>
      <c r="U621" s="72" t="n"/>
      <c r="V621" s="72" t="n"/>
      <c r="W621" s="72" t="n"/>
      <c r="X621" s="72" t="n"/>
      <c r="Y621" s="72" t="n"/>
    </row>
    <row r="622">
      <c r="A622" s="72" t="n"/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  <c r="T622" s="72" t="n"/>
      <c r="U622" s="72" t="n"/>
      <c r="V622" s="72" t="n"/>
      <c r="W622" s="72" t="n"/>
      <c r="X622" s="72" t="n"/>
      <c r="Y622" s="72" t="n"/>
    </row>
    <row r="623">
      <c r="A623" s="72" t="n"/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  <c r="T623" s="72" t="n"/>
      <c r="U623" s="72" t="n"/>
      <c r="V623" s="72" t="n"/>
      <c r="W623" s="72" t="n"/>
      <c r="X623" s="72" t="n"/>
      <c r="Y623" s="72" t="n"/>
    </row>
    <row r="624">
      <c r="A624" s="72" t="n"/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  <c r="T624" s="72" t="n"/>
      <c r="U624" s="72" t="n"/>
      <c r="V624" s="72" t="n"/>
      <c r="W624" s="72" t="n"/>
      <c r="X624" s="72" t="n"/>
      <c r="Y624" s="72" t="n"/>
    </row>
    <row r="625">
      <c r="A625" s="72" t="n"/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  <c r="T625" s="72" t="n"/>
      <c r="U625" s="72" t="n"/>
      <c r="V625" s="72" t="n"/>
      <c r="W625" s="72" t="n"/>
      <c r="X625" s="72" t="n"/>
      <c r="Y625" s="72" t="n"/>
    </row>
    <row r="626">
      <c r="A626" s="72" t="n"/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  <c r="T626" s="72" t="n"/>
      <c r="U626" s="72" t="n"/>
      <c r="V626" s="72" t="n"/>
      <c r="W626" s="72" t="n"/>
      <c r="X626" s="72" t="n"/>
      <c r="Y626" s="72" t="n"/>
    </row>
    <row r="627">
      <c r="A627" s="72" t="n"/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  <c r="T627" s="72" t="n"/>
      <c r="U627" s="72" t="n"/>
      <c r="V627" s="72" t="n"/>
      <c r="W627" s="72" t="n"/>
      <c r="X627" s="72" t="n"/>
      <c r="Y627" s="72" t="n"/>
    </row>
    <row r="628">
      <c r="A628" s="72" t="n"/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  <c r="T628" s="72" t="n"/>
      <c r="U628" s="72" t="n"/>
      <c r="V628" s="72" t="n"/>
      <c r="W628" s="72" t="n"/>
      <c r="X628" s="72" t="n"/>
      <c r="Y628" s="72" t="n"/>
    </row>
    <row r="629">
      <c r="A629" s="72" t="n"/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  <c r="T629" s="72" t="n"/>
      <c r="U629" s="72" t="n"/>
      <c r="V629" s="72" t="n"/>
      <c r="W629" s="72" t="n"/>
      <c r="X629" s="72" t="n"/>
      <c r="Y629" s="72" t="n"/>
    </row>
    <row r="630">
      <c r="A630" s="72" t="n"/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  <c r="T630" s="72" t="n"/>
      <c r="U630" s="72" t="n"/>
      <c r="V630" s="72" t="n"/>
      <c r="W630" s="72" t="n"/>
      <c r="X630" s="72" t="n"/>
      <c r="Y630" s="72" t="n"/>
    </row>
    <row r="631">
      <c r="A631" s="72" t="n"/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  <c r="T631" s="72" t="n"/>
      <c r="U631" s="72" t="n"/>
      <c r="V631" s="72" t="n"/>
      <c r="W631" s="72" t="n"/>
      <c r="X631" s="72" t="n"/>
      <c r="Y631" s="72" t="n"/>
    </row>
    <row r="632">
      <c r="A632" s="72" t="n"/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  <c r="T632" s="72" t="n"/>
      <c r="U632" s="72" t="n"/>
      <c r="V632" s="72" t="n"/>
      <c r="W632" s="72" t="n"/>
      <c r="X632" s="72" t="n"/>
      <c r="Y632" s="72" t="n"/>
    </row>
    <row r="633">
      <c r="A633" s="72" t="n"/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  <c r="T633" s="72" t="n"/>
      <c r="U633" s="72" t="n"/>
      <c r="V633" s="72" t="n"/>
      <c r="W633" s="72" t="n"/>
      <c r="X633" s="72" t="n"/>
      <c r="Y633" s="72" t="n"/>
    </row>
    <row r="634">
      <c r="A634" s="72" t="n"/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  <c r="T634" s="72" t="n"/>
      <c r="U634" s="72" t="n"/>
      <c r="V634" s="72" t="n"/>
      <c r="W634" s="72" t="n"/>
      <c r="X634" s="72" t="n"/>
      <c r="Y634" s="72" t="n"/>
    </row>
    <row r="635">
      <c r="A635" s="72" t="n"/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  <c r="T635" s="72" t="n"/>
      <c r="U635" s="72" t="n"/>
      <c r="V635" s="72" t="n"/>
      <c r="W635" s="72" t="n"/>
      <c r="X635" s="72" t="n"/>
      <c r="Y635" s="72" t="n"/>
    </row>
    <row r="636">
      <c r="A636" s="72" t="n"/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  <c r="T636" s="72" t="n"/>
      <c r="U636" s="72" t="n"/>
      <c r="V636" s="72" t="n"/>
      <c r="W636" s="72" t="n"/>
      <c r="X636" s="72" t="n"/>
      <c r="Y636" s="72" t="n"/>
    </row>
    <row r="637">
      <c r="A637" s="72" t="n"/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  <c r="T637" s="72" t="n"/>
      <c r="U637" s="72" t="n"/>
      <c r="V637" s="72" t="n"/>
      <c r="W637" s="72" t="n"/>
      <c r="X637" s="72" t="n"/>
      <c r="Y637" s="72" t="n"/>
    </row>
    <row r="638">
      <c r="A638" s="72" t="n"/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  <c r="T638" s="72" t="n"/>
      <c r="U638" s="72" t="n"/>
      <c r="V638" s="72" t="n"/>
      <c r="W638" s="72" t="n"/>
      <c r="X638" s="72" t="n"/>
      <c r="Y638" s="72" t="n"/>
    </row>
    <row r="639">
      <c r="A639" s="72" t="n"/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  <c r="T639" s="72" t="n"/>
      <c r="U639" s="72" t="n"/>
      <c r="V639" s="72" t="n"/>
      <c r="W639" s="72" t="n"/>
      <c r="X639" s="72" t="n"/>
      <c r="Y639" s="72" t="n"/>
    </row>
    <row r="640">
      <c r="A640" s="72" t="n"/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  <c r="T640" s="72" t="n"/>
      <c r="U640" s="72" t="n"/>
      <c r="V640" s="72" t="n"/>
      <c r="W640" s="72" t="n"/>
      <c r="X640" s="72" t="n"/>
      <c r="Y640" s="72" t="n"/>
    </row>
    <row r="641">
      <c r="A641" s="72" t="n"/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  <c r="T641" s="72" t="n"/>
      <c r="U641" s="72" t="n"/>
      <c r="V641" s="72" t="n"/>
      <c r="W641" s="72" t="n"/>
      <c r="X641" s="72" t="n"/>
      <c r="Y641" s="72" t="n"/>
    </row>
    <row r="642">
      <c r="A642" s="72" t="n"/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  <c r="T642" s="72" t="n"/>
      <c r="U642" s="72" t="n"/>
      <c r="V642" s="72" t="n"/>
      <c r="W642" s="72" t="n"/>
      <c r="X642" s="72" t="n"/>
      <c r="Y642" s="72" t="n"/>
    </row>
    <row r="643">
      <c r="A643" s="72" t="n"/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  <c r="T643" s="72" t="n"/>
      <c r="U643" s="72" t="n"/>
      <c r="V643" s="72" t="n"/>
      <c r="W643" s="72" t="n"/>
      <c r="X643" s="72" t="n"/>
      <c r="Y643" s="72" t="n"/>
    </row>
    <row r="644">
      <c r="A644" s="72" t="n"/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  <c r="T644" s="72" t="n"/>
      <c r="U644" s="72" t="n"/>
      <c r="V644" s="72" t="n"/>
      <c r="W644" s="72" t="n"/>
      <c r="X644" s="72" t="n"/>
      <c r="Y644" s="72" t="n"/>
    </row>
    <row r="645">
      <c r="A645" s="72" t="n"/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  <c r="T645" s="72" t="n"/>
      <c r="U645" s="72" t="n"/>
      <c r="V645" s="72" t="n"/>
      <c r="W645" s="72" t="n"/>
      <c r="X645" s="72" t="n"/>
      <c r="Y645" s="72" t="n"/>
    </row>
    <row r="646">
      <c r="A646" s="72" t="n"/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  <c r="T646" s="72" t="n"/>
      <c r="U646" s="72" t="n"/>
      <c r="V646" s="72" t="n"/>
      <c r="W646" s="72" t="n"/>
      <c r="X646" s="72" t="n"/>
      <c r="Y646" s="72" t="n"/>
    </row>
    <row r="647">
      <c r="A647" s="72" t="n"/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  <c r="T647" s="72" t="n"/>
      <c r="U647" s="72" t="n"/>
      <c r="V647" s="72" t="n"/>
      <c r="W647" s="72" t="n"/>
      <c r="X647" s="72" t="n"/>
      <c r="Y647" s="72" t="n"/>
    </row>
    <row r="648">
      <c r="A648" s="72" t="n"/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  <c r="T648" s="72" t="n"/>
      <c r="U648" s="72" t="n"/>
      <c r="V648" s="72" t="n"/>
      <c r="W648" s="72" t="n"/>
      <c r="X648" s="72" t="n"/>
      <c r="Y648" s="72" t="n"/>
    </row>
    <row r="649">
      <c r="A649" s="72" t="n"/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  <c r="T649" s="72" t="n"/>
      <c r="U649" s="72" t="n"/>
      <c r="V649" s="72" t="n"/>
      <c r="W649" s="72" t="n"/>
      <c r="X649" s="72" t="n"/>
      <c r="Y649" s="72" t="n"/>
    </row>
    <row r="650">
      <c r="A650" s="72" t="n"/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  <c r="T650" s="72" t="n"/>
      <c r="U650" s="72" t="n"/>
      <c r="V650" s="72" t="n"/>
      <c r="W650" s="72" t="n"/>
      <c r="X650" s="72" t="n"/>
      <c r="Y650" s="72" t="n"/>
    </row>
    <row r="651">
      <c r="A651" s="72" t="n"/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  <c r="T651" s="72" t="n"/>
      <c r="U651" s="72" t="n"/>
      <c r="V651" s="72" t="n"/>
      <c r="W651" s="72" t="n"/>
      <c r="X651" s="72" t="n"/>
      <c r="Y651" s="72" t="n"/>
    </row>
    <row r="652">
      <c r="A652" s="72" t="n"/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  <c r="T652" s="72" t="n"/>
      <c r="U652" s="72" t="n"/>
      <c r="V652" s="72" t="n"/>
      <c r="W652" s="72" t="n"/>
      <c r="X652" s="72" t="n"/>
      <c r="Y652" s="72" t="n"/>
    </row>
    <row r="653">
      <c r="A653" s="72" t="n"/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  <c r="T653" s="72" t="n"/>
      <c r="U653" s="72" t="n"/>
      <c r="V653" s="72" t="n"/>
      <c r="W653" s="72" t="n"/>
      <c r="X653" s="72" t="n"/>
      <c r="Y653" s="72" t="n"/>
    </row>
    <row r="654">
      <c r="A654" s="72" t="n"/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  <c r="T654" s="72" t="n"/>
      <c r="U654" s="72" t="n"/>
      <c r="V654" s="72" t="n"/>
      <c r="W654" s="72" t="n"/>
      <c r="X654" s="72" t="n"/>
      <c r="Y654" s="72" t="n"/>
    </row>
    <row r="655">
      <c r="A655" s="72" t="n"/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  <c r="T655" s="72" t="n"/>
      <c r="U655" s="72" t="n"/>
      <c r="V655" s="72" t="n"/>
      <c r="W655" s="72" t="n"/>
      <c r="X655" s="72" t="n"/>
      <c r="Y655" s="72" t="n"/>
    </row>
    <row r="656">
      <c r="A656" s="72" t="n"/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  <c r="T656" s="72" t="n"/>
      <c r="U656" s="72" t="n"/>
      <c r="V656" s="72" t="n"/>
      <c r="W656" s="72" t="n"/>
      <c r="X656" s="72" t="n"/>
      <c r="Y656" s="72" t="n"/>
    </row>
    <row r="657">
      <c r="A657" s="72" t="n"/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  <c r="T657" s="72" t="n"/>
      <c r="U657" s="72" t="n"/>
      <c r="V657" s="72" t="n"/>
      <c r="W657" s="72" t="n"/>
      <c r="X657" s="72" t="n"/>
      <c r="Y657" s="72" t="n"/>
    </row>
    <row r="658">
      <c r="A658" s="72" t="n"/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  <c r="T658" s="72" t="n"/>
      <c r="U658" s="72" t="n"/>
      <c r="V658" s="72" t="n"/>
      <c r="W658" s="72" t="n"/>
      <c r="X658" s="72" t="n"/>
      <c r="Y658" s="72" t="n"/>
    </row>
    <row r="659">
      <c r="A659" s="72" t="n"/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  <c r="T659" s="72" t="n"/>
      <c r="U659" s="72" t="n"/>
      <c r="V659" s="72" t="n"/>
      <c r="W659" s="72" t="n"/>
      <c r="X659" s="72" t="n"/>
      <c r="Y659" s="72" t="n"/>
    </row>
    <row r="660">
      <c r="A660" s="72" t="n"/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  <c r="T660" s="72" t="n"/>
      <c r="U660" s="72" t="n"/>
      <c r="V660" s="72" t="n"/>
      <c r="W660" s="72" t="n"/>
      <c r="X660" s="72" t="n"/>
      <c r="Y660" s="72" t="n"/>
    </row>
    <row r="661">
      <c r="A661" s="72" t="n"/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  <c r="T661" s="72" t="n"/>
      <c r="U661" s="72" t="n"/>
      <c r="V661" s="72" t="n"/>
      <c r="W661" s="72" t="n"/>
      <c r="X661" s="72" t="n"/>
      <c r="Y661" s="72" t="n"/>
    </row>
    <row r="662">
      <c r="A662" s="72" t="n"/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  <c r="T662" s="72" t="n"/>
      <c r="U662" s="72" t="n"/>
      <c r="V662" s="72" t="n"/>
      <c r="W662" s="72" t="n"/>
      <c r="X662" s="72" t="n"/>
      <c r="Y662" s="72" t="n"/>
    </row>
    <row r="663">
      <c r="A663" s="72" t="n"/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  <c r="T663" s="72" t="n"/>
      <c r="U663" s="72" t="n"/>
      <c r="V663" s="72" t="n"/>
      <c r="W663" s="72" t="n"/>
      <c r="X663" s="72" t="n"/>
      <c r="Y663" s="72" t="n"/>
    </row>
    <row r="664">
      <c r="A664" s="72" t="n"/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  <c r="T664" s="72" t="n"/>
      <c r="U664" s="72" t="n"/>
      <c r="V664" s="72" t="n"/>
      <c r="W664" s="72" t="n"/>
      <c r="X664" s="72" t="n"/>
      <c r="Y664" s="72" t="n"/>
    </row>
    <row r="665">
      <c r="A665" s="72" t="n"/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  <c r="T665" s="72" t="n"/>
      <c r="U665" s="72" t="n"/>
      <c r="V665" s="72" t="n"/>
      <c r="W665" s="72" t="n"/>
      <c r="X665" s="72" t="n"/>
      <c r="Y665" s="72" t="n"/>
    </row>
    <row r="666">
      <c r="A666" s="72" t="n"/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  <c r="T666" s="72" t="n"/>
      <c r="U666" s="72" t="n"/>
      <c r="V666" s="72" t="n"/>
      <c r="W666" s="72" t="n"/>
      <c r="X666" s="72" t="n"/>
      <c r="Y666" s="72" t="n"/>
    </row>
    <row r="667">
      <c r="A667" s="72" t="n"/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  <c r="T667" s="72" t="n"/>
      <c r="U667" s="72" t="n"/>
      <c r="V667" s="72" t="n"/>
      <c r="W667" s="72" t="n"/>
      <c r="X667" s="72" t="n"/>
      <c r="Y667" s="72" t="n"/>
    </row>
    <row r="668">
      <c r="A668" s="72" t="n"/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  <c r="T668" s="72" t="n"/>
      <c r="U668" s="72" t="n"/>
      <c r="V668" s="72" t="n"/>
      <c r="W668" s="72" t="n"/>
      <c r="X668" s="72" t="n"/>
      <c r="Y668" s="72" t="n"/>
    </row>
    <row r="669">
      <c r="A669" s="72" t="n"/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  <c r="T669" s="72" t="n"/>
      <c r="U669" s="72" t="n"/>
      <c r="V669" s="72" t="n"/>
      <c r="W669" s="72" t="n"/>
      <c r="X669" s="72" t="n"/>
      <c r="Y669" s="72" t="n"/>
    </row>
    <row r="670">
      <c r="A670" s="72" t="n"/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  <c r="T670" s="72" t="n"/>
      <c r="U670" s="72" t="n"/>
      <c r="V670" s="72" t="n"/>
      <c r="W670" s="72" t="n"/>
      <c r="X670" s="72" t="n"/>
      <c r="Y670" s="72" t="n"/>
    </row>
    <row r="671">
      <c r="A671" s="72" t="n"/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  <c r="T671" s="72" t="n"/>
      <c r="U671" s="72" t="n"/>
      <c r="V671" s="72" t="n"/>
      <c r="W671" s="72" t="n"/>
      <c r="X671" s="72" t="n"/>
      <c r="Y671" s="72" t="n"/>
    </row>
    <row r="672">
      <c r="A672" s="72" t="n"/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  <c r="T672" s="72" t="n"/>
      <c r="U672" s="72" t="n"/>
      <c r="V672" s="72" t="n"/>
      <c r="W672" s="72" t="n"/>
      <c r="X672" s="72" t="n"/>
      <c r="Y672" s="72" t="n"/>
    </row>
    <row r="673">
      <c r="A673" s="72" t="n"/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  <c r="T673" s="72" t="n"/>
      <c r="U673" s="72" t="n"/>
      <c r="V673" s="72" t="n"/>
      <c r="W673" s="72" t="n"/>
      <c r="X673" s="72" t="n"/>
      <c r="Y673" s="72" t="n"/>
    </row>
    <row r="674">
      <c r="A674" s="72" t="n"/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  <c r="T674" s="72" t="n"/>
      <c r="U674" s="72" t="n"/>
      <c r="V674" s="72" t="n"/>
      <c r="W674" s="72" t="n"/>
      <c r="X674" s="72" t="n"/>
      <c r="Y674" s="72" t="n"/>
    </row>
    <row r="675">
      <c r="A675" s="72" t="n"/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  <c r="T675" s="72" t="n"/>
      <c r="U675" s="72" t="n"/>
      <c r="V675" s="72" t="n"/>
      <c r="W675" s="72" t="n"/>
      <c r="X675" s="72" t="n"/>
      <c r="Y675" s="72" t="n"/>
    </row>
    <row r="676">
      <c r="A676" s="72" t="n"/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  <c r="T676" s="72" t="n"/>
      <c r="U676" s="72" t="n"/>
      <c r="V676" s="72" t="n"/>
      <c r="W676" s="72" t="n"/>
      <c r="X676" s="72" t="n"/>
      <c r="Y676" s="72" t="n"/>
    </row>
    <row r="677">
      <c r="A677" s="72" t="n"/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  <c r="T677" s="72" t="n"/>
      <c r="U677" s="72" t="n"/>
      <c r="V677" s="72" t="n"/>
      <c r="W677" s="72" t="n"/>
      <c r="X677" s="72" t="n"/>
      <c r="Y677" s="72" t="n"/>
    </row>
    <row r="678">
      <c r="A678" s="72" t="n"/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  <c r="T678" s="72" t="n"/>
      <c r="U678" s="72" t="n"/>
      <c r="V678" s="72" t="n"/>
      <c r="W678" s="72" t="n"/>
      <c r="X678" s="72" t="n"/>
      <c r="Y678" s="72" t="n"/>
    </row>
    <row r="679">
      <c r="A679" s="72" t="n"/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  <c r="T679" s="72" t="n"/>
      <c r="U679" s="72" t="n"/>
      <c r="V679" s="72" t="n"/>
      <c r="W679" s="72" t="n"/>
      <c r="X679" s="72" t="n"/>
      <c r="Y679" s="72" t="n"/>
    </row>
    <row r="680">
      <c r="A680" s="72" t="n"/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  <c r="T680" s="72" t="n"/>
      <c r="U680" s="72" t="n"/>
      <c r="V680" s="72" t="n"/>
      <c r="W680" s="72" t="n"/>
      <c r="X680" s="72" t="n"/>
      <c r="Y680" s="72" t="n"/>
    </row>
    <row r="681">
      <c r="A681" s="72" t="n"/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  <c r="T681" s="72" t="n"/>
      <c r="U681" s="72" t="n"/>
      <c r="V681" s="72" t="n"/>
      <c r="W681" s="72" t="n"/>
      <c r="X681" s="72" t="n"/>
      <c r="Y681" s="72" t="n"/>
    </row>
    <row r="682">
      <c r="A682" s="72" t="n"/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  <c r="T682" s="72" t="n"/>
      <c r="U682" s="72" t="n"/>
      <c r="V682" s="72" t="n"/>
      <c r="W682" s="72" t="n"/>
      <c r="X682" s="72" t="n"/>
      <c r="Y682" s="72" t="n"/>
    </row>
    <row r="683">
      <c r="A683" s="72" t="n"/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  <c r="T683" s="72" t="n"/>
      <c r="U683" s="72" t="n"/>
      <c r="V683" s="72" t="n"/>
      <c r="W683" s="72" t="n"/>
      <c r="X683" s="72" t="n"/>
      <c r="Y683" s="72" t="n"/>
    </row>
    <row r="684">
      <c r="A684" s="72" t="n"/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  <c r="T684" s="72" t="n"/>
      <c r="U684" s="72" t="n"/>
      <c r="V684" s="72" t="n"/>
      <c r="W684" s="72" t="n"/>
      <c r="X684" s="72" t="n"/>
      <c r="Y684" s="72" t="n"/>
    </row>
    <row r="685">
      <c r="A685" s="72" t="n"/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  <c r="T685" s="72" t="n"/>
      <c r="U685" s="72" t="n"/>
      <c r="V685" s="72" t="n"/>
      <c r="W685" s="72" t="n"/>
      <c r="X685" s="72" t="n"/>
      <c r="Y685" s="72" t="n"/>
    </row>
    <row r="686">
      <c r="A686" s="72" t="n"/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  <c r="T686" s="72" t="n"/>
      <c r="U686" s="72" t="n"/>
      <c r="V686" s="72" t="n"/>
      <c r="W686" s="72" t="n"/>
      <c r="X686" s="72" t="n"/>
      <c r="Y686" s="72" t="n"/>
    </row>
    <row r="687">
      <c r="A687" s="72" t="n"/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  <c r="T687" s="72" t="n"/>
      <c r="U687" s="72" t="n"/>
      <c r="V687" s="72" t="n"/>
      <c r="W687" s="72" t="n"/>
      <c r="X687" s="72" t="n"/>
      <c r="Y687" s="72" t="n"/>
    </row>
    <row r="688">
      <c r="A688" s="72" t="n"/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  <c r="T688" s="72" t="n"/>
      <c r="U688" s="72" t="n"/>
      <c r="V688" s="72" t="n"/>
      <c r="W688" s="72" t="n"/>
      <c r="X688" s="72" t="n"/>
      <c r="Y688" s="72" t="n"/>
    </row>
    <row r="689">
      <c r="A689" s="72" t="n"/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  <c r="T689" s="72" t="n"/>
      <c r="U689" s="72" t="n"/>
      <c r="V689" s="72" t="n"/>
      <c r="W689" s="72" t="n"/>
      <c r="X689" s="72" t="n"/>
      <c r="Y689" s="72" t="n"/>
    </row>
    <row r="690">
      <c r="A690" s="72" t="n"/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  <c r="T690" s="72" t="n"/>
      <c r="U690" s="72" t="n"/>
      <c r="V690" s="72" t="n"/>
      <c r="W690" s="72" t="n"/>
      <c r="X690" s="72" t="n"/>
      <c r="Y690" s="72" t="n"/>
    </row>
    <row r="691">
      <c r="A691" s="72" t="n"/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  <c r="T691" s="72" t="n"/>
      <c r="U691" s="72" t="n"/>
      <c r="V691" s="72" t="n"/>
      <c r="W691" s="72" t="n"/>
      <c r="X691" s="72" t="n"/>
      <c r="Y691" s="72" t="n"/>
    </row>
    <row r="692">
      <c r="A692" s="72" t="n"/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  <c r="T692" s="72" t="n"/>
      <c r="U692" s="72" t="n"/>
      <c r="V692" s="72" t="n"/>
      <c r="W692" s="72" t="n"/>
      <c r="X692" s="72" t="n"/>
      <c r="Y692" s="72" t="n"/>
    </row>
    <row r="693">
      <c r="A693" s="72" t="n"/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  <c r="T693" s="72" t="n"/>
      <c r="U693" s="72" t="n"/>
      <c r="V693" s="72" t="n"/>
      <c r="W693" s="72" t="n"/>
      <c r="X693" s="72" t="n"/>
      <c r="Y693" s="72" t="n"/>
    </row>
    <row r="694">
      <c r="A694" s="72" t="n"/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  <c r="T694" s="72" t="n"/>
      <c r="U694" s="72" t="n"/>
      <c r="V694" s="72" t="n"/>
      <c r="W694" s="72" t="n"/>
      <c r="X694" s="72" t="n"/>
      <c r="Y694" s="72" t="n"/>
    </row>
    <row r="695">
      <c r="A695" s="72" t="n"/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  <c r="T695" s="72" t="n"/>
      <c r="U695" s="72" t="n"/>
      <c r="V695" s="72" t="n"/>
      <c r="W695" s="72" t="n"/>
      <c r="X695" s="72" t="n"/>
      <c r="Y695" s="72" t="n"/>
    </row>
    <row r="696">
      <c r="A696" s="72" t="n"/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  <c r="T696" s="72" t="n"/>
      <c r="U696" s="72" t="n"/>
      <c r="V696" s="72" t="n"/>
      <c r="W696" s="72" t="n"/>
      <c r="X696" s="72" t="n"/>
      <c r="Y696" s="72" t="n"/>
    </row>
    <row r="697">
      <c r="A697" s="72" t="n"/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  <c r="T697" s="72" t="n"/>
      <c r="U697" s="72" t="n"/>
      <c r="V697" s="72" t="n"/>
      <c r="W697" s="72" t="n"/>
      <c r="X697" s="72" t="n"/>
      <c r="Y697" s="72" t="n"/>
    </row>
    <row r="698">
      <c r="A698" s="72" t="n"/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  <c r="T698" s="72" t="n"/>
      <c r="U698" s="72" t="n"/>
      <c r="V698" s="72" t="n"/>
      <c r="W698" s="72" t="n"/>
      <c r="X698" s="72" t="n"/>
      <c r="Y698" s="72" t="n"/>
    </row>
    <row r="699">
      <c r="A699" s="72" t="n"/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  <c r="T699" s="72" t="n"/>
      <c r="U699" s="72" t="n"/>
      <c r="V699" s="72" t="n"/>
      <c r="W699" s="72" t="n"/>
      <c r="X699" s="72" t="n"/>
      <c r="Y699" s="72" t="n"/>
    </row>
    <row r="700">
      <c r="A700" s="72" t="n"/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  <c r="T700" s="72" t="n"/>
      <c r="U700" s="72" t="n"/>
      <c r="V700" s="72" t="n"/>
      <c r="W700" s="72" t="n"/>
      <c r="X700" s="72" t="n"/>
      <c r="Y700" s="72" t="n"/>
    </row>
    <row r="701">
      <c r="A701" s="72" t="n"/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  <c r="T701" s="72" t="n"/>
      <c r="U701" s="72" t="n"/>
      <c r="V701" s="72" t="n"/>
      <c r="W701" s="72" t="n"/>
      <c r="X701" s="72" t="n"/>
      <c r="Y701" s="72" t="n"/>
    </row>
    <row r="702">
      <c r="A702" s="72" t="n"/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  <c r="T702" s="72" t="n"/>
      <c r="U702" s="72" t="n"/>
      <c r="V702" s="72" t="n"/>
      <c r="W702" s="72" t="n"/>
      <c r="X702" s="72" t="n"/>
      <c r="Y702" s="72" t="n"/>
    </row>
    <row r="703">
      <c r="A703" s="72" t="n"/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  <c r="T703" s="72" t="n"/>
      <c r="U703" s="72" t="n"/>
      <c r="V703" s="72" t="n"/>
      <c r="W703" s="72" t="n"/>
      <c r="X703" s="72" t="n"/>
      <c r="Y703" s="72" t="n"/>
    </row>
    <row r="704">
      <c r="A704" s="72" t="n"/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  <c r="T704" s="72" t="n"/>
      <c r="U704" s="72" t="n"/>
      <c r="V704" s="72" t="n"/>
      <c r="W704" s="72" t="n"/>
      <c r="X704" s="72" t="n"/>
      <c r="Y704" s="72" t="n"/>
    </row>
    <row r="705">
      <c r="A705" s="72" t="n"/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  <c r="T705" s="72" t="n"/>
      <c r="U705" s="72" t="n"/>
      <c r="V705" s="72" t="n"/>
      <c r="W705" s="72" t="n"/>
      <c r="X705" s="72" t="n"/>
      <c r="Y705" s="72" t="n"/>
    </row>
    <row r="706">
      <c r="A706" s="72" t="n"/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  <c r="T706" s="72" t="n"/>
      <c r="U706" s="72" t="n"/>
      <c r="V706" s="72" t="n"/>
      <c r="W706" s="72" t="n"/>
      <c r="X706" s="72" t="n"/>
      <c r="Y706" s="72" t="n"/>
    </row>
    <row r="707">
      <c r="A707" s="72" t="n"/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  <c r="T707" s="72" t="n"/>
      <c r="U707" s="72" t="n"/>
      <c r="V707" s="72" t="n"/>
      <c r="W707" s="72" t="n"/>
      <c r="X707" s="72" t="n"/>
      <c r="Y707" s="72" t="n"/>
    </row>
    <row r="708">
      <c r="A708" s="72" t="n"/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  <c r="T708" s="72" t="n"/>
      <c r="U708" s="72" t="n"/>
      <c r="V708" s="72" t="n"/>
      <c r="W708" s="72" t="n"/>
      <c r="X708" s="72" t="n"/>
      <c r="Y708" s="72" t="n"/>
    </row>
    <row r="709">
      <c r="A709" s="72" t="n"/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  <c r="T709" s="72" t="n"/>
      <c r="U709" s="72" t="n"/>
      <c r="V709" s="72" t="n"/>
      <c r="W709" s="72" t="n"/>
      <c r="X709" s="72" t="n"/>
      <c r="Y709" s="72" t="n"/>
    </row>
    <row r="710">
      <c r="A710" s="72" t="n"/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  <c r="T710" s="72" t="n"/>
      <c r="U710" s="72" t="n"/>
      <c r="V710" s="72" t="n"/>
      <c r="W710" s="72" t="n"/>
      <c r="X710" s="72" t="n"/>
      <c r="Y710" s="72" t="n"/>
    </row>
    <row r="711">
      <c r="A711" s="72" t="n"/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  <c r="T711" s="72" t="n"/>
      <c r="U711" s="72" t="n"/>
      <c r="V711" s="72" t="n"/>
      <c r="W711" s="72" t="n"/>
      <c r="X711" s="72" t="n"/>
      <c r="Y711" s="72" t="n"/>
    </row>
    <row r="712">
      <c r="A712" s="72" t="n"/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  <c r="T712" s="72" t="n"/>
      <c r="U712" s="72" t="n"/>
      <c r="V712" s="72" t="n"/>
      <c r="W712" s="72" t="n"/>
      <c r="X712" s="72" t="n"/>
      <c r="Y712" s="72" t="n"/>
    </row>
    <row r="713">
      <c r="A713" s="72" t="n"/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  <c r="T713" s="72" t="n"/>
      <c r="U713" s="72" t="n"/>
      <c r="V713" s="72" t="n"/>
      <c r="W713" s="72" t="n"/>
      <c r="X713" s="72" t="n"/>
      <c r="Y713" s="72" t="n"/>
    </row>
    <row r="714">
      <c r="A714" s="72" t="n"/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  <c r="T714" s="72" t="n"/>
      <c r="U714" s="72" t="n"/>
      <c r="V714" s="72" t="n"/>
      <c r="W714" s="72" t="n"/>
      <c r="X714" s="72" t="n"/>
      <c r="Y714" s="72" t="n"/>
    </row>
    <row r="715">
      <c r="A715" s="72" t="n"/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  <c r="T715" s="72" t="n"/>
      <c r="U715" s="72" t="n"/>
      <c r="V715" s="72" t="n"/>
      <c r="W715" s="72" t="n"/>
      <c r="X715" s="72" t="n"/>
      <c r="Y715" s="72" t="n"/>
    </row>
    <row r="716">
      <c r="A716" s="72" t="n"/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  <c r="T716" s="72" t="n"/>
      <c r="U716" s="72" t="n"/>
      <c r="V716" s="72" t="n"/>
      <c r="W716" s="72" t="n"/>
      <c r="X716" s="72" t="n"/>
      <c r="Y716" s="72" t="n"/>
    </row>
    <row r="717">
      <c r="A717" s="72" t="n"/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  <c r="T717" s="72" t="n"/>
      <c r="U717" s="72" t="n"/>
      <c r="V717" s="72" t="n"/>
      <c r="W717" s="72" t="n"/>
      <c r="X717" s="72" t="n"/>
      <c r="Y717" s="72" t="n"/>
    </row>
    <row r="718">
      <c r="A718" s="72" t="n"/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  <c r="T718" s="72" t="n"/>
      <c r="U718" s="72" t="n"/>
      <c r="V718" s="72" t="n"/>
      <c r="W718" s="72" t="n"/>
      <c r="X718" s="72" t="n"/>
      <c r="Y718" s="72" t="n"/>
    </row>
    <row r="719">
      <c r="A719" s="72" t="n"/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  <c r="T719" s="72" t="n"/>
      <c r="U719" s="72" t="n"/>
      <c r="V719" s="72" t="n"/>
      <c r="W719" s="72" t="n"/>
      <c r="X719" s="72" t="n"/>
      <c r="Y719" s="72" t="n"/>
    </row>
    <row r="720">
      <c r="A720" s="72" t="n"/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  <c r="T720" s="72" t="n"/>
      <c r="U720" s="72" t="n"/>
      <c r="V720" s="72" t="n"/>
      <c r="W720" s="72" t="n"/>
      <c r="X720" s="72" t="n"/>
      <c r="Y720" s="72" t="n"/>
    </row>
    <row r="721">
      <c r="A721" s="72" t="n"/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  <c r="T721" s="72" t="n"/>
      <c r="U721" s="72" t="n"/>
      <c r="V721" s="72" t="n"/>
      <c r="W721" s="72" t="n"/>
      <c r="X721" s="72" t="n"/>
      <c r="Y721" s="72" t="n"/>
    </row>
    <row r="722">
      <c r="A722" s="72" t="n"/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  <c r="T722" s="72" t="n"/>
      <c r="U722" s="72" t="n"/>
      <c r="V722" s="72" t="n"/>
      <c r="W722" s="72" t="n"/>
      <c r="X722" s="72" t="n"/>
      <c r="Y722" s="72" t="n"/>
    </row>
    <row r="723">
      <c r="A723" s="72" t="n"/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  <c r="T723" s="72" t="n"/>
      <c r="U723" s="72" t="n"/>
      <c r="V723" s="72" t="n"/>
      <c r="W723" s="72" t="n"/>
      <c r="X723" s="72" t="n"/>
      <c r="Y723" s="72" t="n"/>
    </row>
    <row r="724">
      <c r="A724" s="72" t="n"/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  <c r="T724" s="72" t="n"/>
      <c r="U724" s="72" t="n"/>
      <c r="V724" s="72" t="n"/>
      <c r="W724" s="72" t="n"/>
      <c r="X724" s="72" t="n"/>
      <c r="Y724" s="72" t="n"/>
    </row>
    <row r="725">
      <c r="A725" s="72" t="n"/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  <c r="T725" s="72" t="n"/>
      <c r="U725" s="72" t="n"/>
      <c r="V725" s="72" t="n"/>
      <c r="W725" s="72" t="n"/>
      <c r="X725" s="72" t="n"/>
      <c r="Y725" s="72" t="n"/>
    </row>
    <row r="726">
      <c r="A726" s="72" t="n"/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  <c r="T726" s="72" t="n"/>
      <c r="U726" s="72" t="n"/>
      <c r="V726" s="72" t="n"/>
      <c r="W726" s="72" t="n"/>
      <c r="X726" s="72" t="n"/>
      <c r="Y726" s="72" t="n"/>
    </row>
    <row r="727">
      <c r="A727" s="72" t="n"/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  <c r="T727" s="72" t="n"/>
      <c r="U727" s="72" t="n"/>
      <c r="V727" s="72" t="n"/>
      <c r="W727" s="72" t="n"/>
      <c r="X727" s="72" t="n"/>
      <c r="Y727" s="72" t="n"/>
    </row>
    <row r="728">
      <c r="A728" s="72" t="n"/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  <c r="T728" s="72" t="n"/>
      <c r="U728" s="72" t="n"/>
      <c r="V728" s="72" t="n"/>
      <c r="W728" s="72" t="n"/>
      <c r="X728" s="72" t="n"/>
      <c r="Y728" s="72" t="n"/>
    </row>
    <row r="729">
      <c r="A729" s="72" t="n"/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  <c r="T729" s="72" t="n"/>
      <c r="U729" s="72" t="n"/>
      <c r="V729" s="72" t="n"/>
      <c r="W729" s="72" t="n"/>
      <c r="X729" s="72" t="n"/>
      <c r="Y729" s="72" t="n"/>
    </row>
    <row r="730">
      <c r="A730" s="72" t="n"/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  <c r="T730" s="72" t="n"/>
      <c r="U730" s="72" t="n"/>
      <c r="V730" s="72" t="n"/>
      <c r="W730" s="72" t="n"/>
      <c r="X730" s="72" t="n"/>
      <c r="Y730" s="72" t="n"/>
    </row>
    <row r="731">
      <c r="A731" s="72" t="n"/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  <c r="T731" s="72" t="n"/>
      <c r="U731" s="72" t="n"/>
      <c r="V731" s="72" t="n"/>
      <c r="W731" s="72" t="n"/>
      <c r="X731" s="72" t="n"/>
      <c r="Y731" s="72" t="n"/>
    </row>
    <row r="732">
      <c r="A732" s="72" t="n"/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  <c r="T732" s="72" t="n"/>
      <c r="U732" s="72" t="n"/>
      <c r="V732" s="72" t="n"/>
      <c r="W732" s="72" t="n"/>
      <c r="X732" s="72" t="n"/>
      <c r="Y732" s="72" t="n"/>
    </row>
    <row r="733">
      <c r="A733" s="72" t="n"/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  <c r="T733" s="72" t="n"/>
      <c r="U733" s="72" t="n"/>
      <c r="V733" s="72" t="n"/>
      <c r="W733" s="72" t="n"/>
      <c r="X733" s="72" t="n"/>
      <c r="Y733" s="72" t="n"/>
    </row>
    <row r="734">
      <c r="A734" s="72" t="n"/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  <c r="T734" s="72" t="n"/>
      <c r="U734" s="72" t="n"/>
      <c r="V734" s="72" t="n"/>
      <c r="W734" s="72" t="n"/>
      <c r="X734" s="72" t="n"/>
      <c r="Y734" s="72" t="n"/>
    </row>
    <row r="735">
      <c r="A735" s="72" t="n"/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  <c r="T735" s="72" t="n"/>
      <c r="U735" s="72" t="n"/>
      <c r="V735" s="72" t="n"/>
      <c r="W735" s="72" t="n"/>
      <c r="X735" s="72" t="n"/>
      <c r="Y735" s="72" t="n"/>
    </row>
    <row r="736">
      <c r="A736" s="72" t="n"/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  <c r="T736" s="72" t="n"/>
      <c r="U736" s="72" t="n"/>
      <c r="V736" s="72" t="n"/>
      <c r="W736" s="72" t="n"/>
      <c r="X736" s="72" t="n"/>
      <c r="Y736" s="72" t="n"/>
    </row>
    <row r="737">
      <c r="A737" s="72" t="n"/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  <c r="T737" s="72" t="n"/>
      <c r="U737" s="72" t="n"/>
      <c r="V737" s="72" t="n"/>
      <c r="W737" s="72" t="n"/>
      <c r="X737" s="72" t="n"/>
      <c r="Y737" s="72" t="n"/>
    </row>
    <row r="738">
      <c r="A738" s="72" t="n"/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  <c r="T738" s="72" t="n"/>
      <c r="U738" s="72" t="n"/>
      <c r="V738" s="72" t="n"/>
      <c r="W738" s="72" t="n"/>
      <c r="X738" s="72" t="n"/>
      <c r="Y738" s="72" t="n"/>
    </row>
    <row r="739">
      <c r="A739" s="72" t="n"/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  <c r="T739" s="72" t="n"/>
      <c r="U739" s="72" t="n"/>
      <c r="V739" s="72" t="n"/>
      <c r="W739" s="72" t="n"/>
      <c r="X739" s="72" t="n"/>
      <c r="Y739" s="72" t="n"/>
    </row>
    <row r="740">
      <c r="A740" s="72" t="n"/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  <c r="T740" s="72" t="n"/>
      <c r="U740" s="72" t="n"/>
      <c r="V740" s="72" t="n"/>
      <c r="W740" s="72" t="n"/>
      <c r="X740" s="72" t="n"/>
      <c r="Y740" s="72" t="n"/>
    </row>
    <row r="741">
      <c r="A741" s="72" t="n"/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  <c r="T741" s="72" t="n"/>
      <c r="U741" s="72" t="n"/>
      <c r="V741" s="72" t="n"/>
      <c r="W741" s="72" t="n"/>
      <c r="X741" s="72" t="n"/>
      <c r="Y741" s="72" t="n"/>
    </row>
    <row r="742">
      <c r="A742" s="72" t="n"/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  <c r="T742" s="72" t="n"/>
      <c r="U742" s="72" t="n"/>
      <c r="V742" s="72" t="n"/>
      <c r="W742" s="72" t="n"/>
      <c r="X742" s="72" t="n"/>
      <c r="Y742" s="72" t="n"/>
    </row>
    <row r="743">
      <c r="A743" s="72" t="n"/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  <c r="T743" s="72" t="n"/>
      <c r="U743" s="72" t="n"/>
      <c r="V743" s="72" t="n"/>
      <c r="W743" s="72" t="n"/>
      <c r="X743" s="72" t="n"/>
      <c r="Y743" s="72" t="n"/>
    </row>
    <row r="744">
      <c r="A744" s="72" t="n"/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  <c r="T744" s="72" t="n"/>
      <c r="U744" s="72" t="n"/>
      <c r="V744" s="72" t="n"/>
      <c r="W744" s="72" t="n"/>
      <c r="X744" s="72" t="n"/>
      <c r="Y744" s="72" t="n"/>
    </row>
    <row r="745">
      <c r="A745" s="72" t="n"/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  <c r="T745" s="72" t="n"/>
      <c r="U745" s="72" t="n"/>
      <c r="V745" s="72" t="n"/>
      <c r="W745" s="72" t="n"/>
      <c r="X745" s="72" t="n"/>
      <c r="Y745" s="72" t="n"/>
    </row>
    <row r="746">
      <c r="A746" s="72" t="n"/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  <c r="T746" s="72" t="n"/>
      <c r="U746" s="72" t="n"/>
      <c r="V746" s="72" t="n"/>
      <c r="W746" s="72" t="n"/>
      <c r="X746" s="72" t="n"/>
      <c r="Y746" s="72" t="n"/>
    </row>
    <row r="747">
      <c r="A747" s="72" t="n"/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  <c r="T747" s="72" t="n"/>
      <c r="U747" s="72" t="n"/>
      <c r="V747" s="72" t="n"/>
      <c r="W747" s="72" t="n"/>
      <c r="X747" s="72" t="n"/>
      <c r="Y747" s="72" t="n"/>
    </row>
    <row r="748">
      <c r="A748" s="72" t="n"/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  <c r="T748" s="72" t="n"/>
      <c r="U748" s="72" t="n"/>
      <c r="V748" s="72" t="n"/>
      <c r="W748" s="72" t="n"/>
      <c r="X748" s="72" t="n"/>
      <c r="Y748" s="72" t="n"/>
    </row>
    <row r="749">
      <c r="A749" s="72" t="n"/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  <c r="T749" s="72" t="n"/>
      <c r="U749" s="72" t="n"/>
      <c r="V749" s="72" t="n"/>
      <c r="W749" s="72" t="n"/>
      <c r="X749" s="72" t="n"/>
      <c r="Y749" s="72" t="n"/>
    </row>
    <row r="750">
      <c r="A750" s="72" t="n"/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  <c r="T750" s="72" t="n"/>
      <c r="U750" s="72" t="n"/>
      <c r="V750" s="72" t="n"/>
      <c r="W750" s="72" t="n"/>
      <c r="X750" s="72" t="n"/>
      <c r="Y750" s="72" t="n"/>
    </row>
    <row r="751">
      <c r="A751" s="72" t="n"/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  <c r="T751" s="72" t="n"/>
      <c r="U751" s="72" t="n"/>
      <c r="V751" s="72" t="n"/>
      <c r="W751" s="72" t="n"/>
      <c r="X751" s="72" t="n"/>
      <c r="Y751" s="72" t="n"/>
    </row>
    <row r="752">
      <c r="A752" s="72" t="n"/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  <c r="T752" s="72" t="n"/>
      <c r="U752" s="72" t="n"/>
      <c r="V752" s="72" t="n"/>
      <c r="W752" s="72" t="n"/>
      <c r="X752" s="72" t="n"/>
      <c r="Y752" s="72" t="n"/>
    </row>
    <row r="753">
      <c r="A753" s="72" t="n"/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  <c r="T753" s="72" t="n"/>
      <c r="U753" s="72" t="n"/>
      <c r="V753" s="72" t="n"/>
      <c r="W753" s="72" t="n"/>
      <c r="X753" s="72" t="n"/>
      <c r="Y753" s="72" t="n"/>
    </row>
    <row r="754">
      <c r="A754" s="72" t="n"/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  <c r="T754" s="72" t="n"/>
      <c r="U754" s="72" t="n"/>
      <c r="V754" s="72" t="n"/>
      <c r="W754" s="72" t="n"/>
      <c r="X754" s="72" t="n"/>
      <c r="Y754" s="72" t="n"/>
    </row>
    <row r="755">
      <c r="A755" s="72" t="n"/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  <c r="T755" s="72" t="n"/>
      <c r="U755" s="72" t="n"/>
      <c r="V755" s="72" t="n"/>
      <c r="W755" s="72" t="n"/>
      <c r="X755" s="72" t="n"/>
      <c r="Y755" s="72" t="n"/>
    </row>
    <row r="756">
      <c r="A756" s="72" t="n"/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  <c r="T756" s="72" t="n"/>
      <c r="U756" s="72" t="n"/>
      <c r="V756" s="72" t="n"/>
      <c r="W756" s="72" t="n"/>
      <c r="X756" s="72" t="n"/>
      <c r="Y756" s="72" t="n"/>
    </row>
    <row r="757">
      <c r="A757" s="72" t="n"/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  <c r="T757" s="72" t="n"/>
      <c r="U757" s="72" t="n"/>
      <c r="V757" s="72" t="n"/>
      <c r="W757" s="72" t="n"/>
      <c r="X757" s="72" t="n"/>
      <c r="Y757" s="72" t="n"/>
    </row>
    <row r="758">
      <c r="A758" s="72" t="n"/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  <c r="T758" s="72" t="n"/>
      <c r="U758" s="72" t="n"/>
      <c r="V758" s="72" t="n"/>
      <c r="W758" s="72" t="n"/>
      <c r="X758" s="72" t="n"/>
      <c r="Y758" s="72" t="n"/>
    </row>
    <row r="759">
      <c r="A759" s="72" t="n"/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  <c r="T759" s="72" t="n"/>
      <c r="U759" s="72" t="n"/>
      <c r="V759" s="72" t="n"/>
      <c r="W759" s="72" t="n"/>
      <c r="X759" s="72" t="n"/>
      <c r="Y759" s="72" t="n"/>
    </row>
    <row r="760">
      <c r="A760" s="72" t="n"/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  <c r="T760" s="72" t="n"/>
      <c r="U760" s="72" t="n"/>
      <c r="V760" s="72" t="n"/>
      <c r="W760" s="72" t="n"/>
      <c r="X760" s="72" t="n"/>
      <c r="Y760" s="72" t="n"/>
    </row>
    <row r="761">
      <c r="A761" s="72" t="n"/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  <c r="T761" s="72" t="n"/>
      <c r="U761" s="72" t="n"/>
      <c r="V761" s="72" t="n"/>
      <c r="W761" s="72" t="n"/>
      <c r="X761" s="72" t="n"/>
      <c r="Y761" s="72" t="n"/>
    </row>
    <row r="762">
      <c r="A762" s="72" t="n"/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  <c r="T762" s="72" t="n"/>
      <c r="U762" s="72" t="n"/>
      <c r="V762" s="72" t="n"/>
      <c r="W762" s="72" t="n"/>
      <c r="X762" s="72" t="n"/>
      <c r="Y762" s="72" t="n"/>
    </row>
    <row r="763">
      <c r="A763" s="72" t="n"/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  <c r="T763" s="72" t="n"/>
      <c r="U763" s="72" t="n"/>
      <c r="V763" s="72" t="n"/>
      <c r="W763" s="72" t="n"/>
      <c r="X763" s="72" t="n"/>
      <c r="Y763" s="72" t="n"/>
    </row>
    <row r="764">
      <c r="A764" s="72" t="n"/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  <c r="T764" s="72" t="n"/>
      <c r="U764" s="72" t="n"/>
      <c r="V764" s="72" t="n"/>
      <c r="W764" s="72" t="n"/>
      <c r="X764" s="72" t="n"/>
      <c r="Y764" s="72" t="n"/>
    </row>
    <row r="765">
      <c r="A765" s="72" t="n"/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  <c r="T765" s="72" t="n"/>
      <c r="U765" s="72" t="n"/>
      <c r="V765" s="72" t="n"/>
      <c r="W765" s="72" t="n"/>
      <c r="X765" s="72" t="n"/>
      <c r="Y765" s="72" t="n"/>
    </row>
    <row r="766">
      <c r="A766" s="72" t="n"/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  <c r="T766" s="72" t="n"/>
      <c r="U766" s="72" t="n"/>
      <c r="V766" s="72" t="n"/>
      <c r="W766" s="72" t="n"/>
      <c r="X766" s="72" t="n"/>
      <c r="Y766" s="72" t="n"/>
    </row>
    <row r="767">
      <c r="A767" s="72" t="n"/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  <c r="T767" s="72" t="n"/>
      <c r="U767" s="72" t="n"/>
      <c r="V767" s="72" t="n"/>
      <c r="W767" s="72" t="n"/>
      <c r="X767" s="72" t="n"/>
      <c r="Y767" s="72" t="n"/>
    </row>
    <row r="768">
      <c r="A768" s="72" t="n"/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  <c r="T768" s="72" t="n"/>
      <c r="U768" s="72" t="n"/>
      <c r="V768" s="72" t="n"/>
      <c r="W768" s="72" t="n"/>
      <c r="X768" s="72" t="n"/>
      <c r="Y768" s="72" t="n"/>
    </row>
    <row r="769">
      <c r="A769" s="72" t="n"/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  <c r="T769" s="72" t="n"/>
      <c r="U769" s="72" t="n"/>
      <c r="V769" s="72" t="n"/>
      <c r="W769" s="72" t="n"/>
      <c r="X769" s="72" t="n"/>
      <c r="Y769" s="72" t="n"/>
    </row>
    <row r="770">
      <c r="A770" s="72" t="n"/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  <c r="T770" s="72" t="n"/>
      <c r="U770" s="72" t="n"/>
      <c r="V770" s="72" t="n"/>
      <c r="W770" s="72" t="n"/>
      <c r="X770" s="72" t="n"/>
      <c r="Y770" s="72" t="n"/>
    </row>
    <row r="771">
      <c r="A771" s="72" t="n"/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  <c r="T771" s="72" t="n"/>
      <c r="U771" s="72" t="n"/>
      <c r="V771" s="72" t="n"/>
      <c r="W771" s="72" t="n"/>
      <c r="X771" s="72" t="n"/>
      <c r="Y771" s="72" t="n"/>
    </row>
    <row r="772">
      <c r="A772" s="72" t="n"/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  <c r="T772" s="72" t="n"/>
      <c r="U772" s="72" t="n"/>
      <c r="V772" s="72" t="n"/>
      <c r="W772" s="72" t="n"/>
      <c r="X772" s="72" t="n"/>
      <c r="Y772" s="72" t="n"/>
    </row>
    <row r="773">
      <c r="A773" s="72" t="n"/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  <c r="T773" s="72" t="n"/>
      <c r="U773" s="72" t="n"/>
      <c r="V773" s="72" t="n"/>
      <c r="W773" s="72" t="n"/>
      <c r="X773" s="72" t="n"/>
      <c r="Y773" s="72" t="n"/>
    </row>
    <row r="774">
      <c r="A774" s="72" t="n"/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  <c r="T774" s="72" t="n"/>
      <c r="U774" s="72" t="n"/>
      <c r="V774" s="72" t="n"/>
      <c r="W774" s="72" t="n"/>
      <c r="X774" s="72" t="n"/>
      <c r="Y774" s="72" t="n"/>
    </row>
    <row r="775">
      <c r="A775" s="72" t="n"/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  <c r="T775" s="72" t="n"/>
      <c r="U775" s="72" t="n"/>
      <c r="V775" s="72" t="n"/>
      <c r="W775" s="72" t="n"/>
      <c r="X775" s="72" t="n"/>
      <c r="Y775" s="72" t="n"/>
    </row>
    <row r="776">
      <c r="A776" s="72" t="n"/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  <c r="T776" s="72" t="n"/>
      <c r="U776" s="72" t="n"/>
      <c r="V776" s="72" t="n"/>
      <c r="W776" s="72" t="n"/>
      <c r="X776" s="72" t="n"/>
      <c r="Y776" s="72" t="n"/>
    </row>
    <row r="777">
      <c r="A777" s="72" t="n"/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  <c r="T777" s="72" t="n"/>
      <c r="U777" s="72" t="n"/>
      <c r="V777" s="72" t="n"/>
      <c r="W777" s="72" t="n"/>
      <c r="X777" s="72" t="n"/>
      <c r="Y777" s="72" t="n"/>
    </row>
    <row r="778">
      <c r="A778" s="72" t="n"/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  <c r="T778" s="72" t="n"/>
      <c r="U778" s="72" t="n"/>
      <c r="V778" s="72" t="n"/>
      <c r="W778" s="72" t="n"/>
      <c r="X778" s="72" t="n"/>
      <c r="Y778" s="72" t="n"/>
    </row>
    <row r="779">
      <c r="A779" s="72" t="n"/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  <c r="T779" s="72" t="n"/>
      <c r="U779" s="72" t="n"/>
      <c r="V779" s="72" t="n"/>
      <c r="W779" s="72" t="n"/>
      <c r="X779" s="72" t="n"/>
      <c r="Y779" s="72" t="n"/>
    </row>
    <row r="780">
      <c r="A780" s="72" t="n"/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  <c r="T780" s="72" t="n"/>
      <c r="U780" s="72" t="n"/>
      <c r="V780" s="72" t="n"/>
      <c r="W780" s="72" t="n"/>
      <c r="X780" s="72" t="n"/>
      <c r="Y780" s="72" t="n"/>
    </row>
    <row r="781">
      <c r="A781" s="72" t="n"/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  <c r="T781" s="72" t="n"/>
      <c r="U781" s="72" t="n"/>
      <c r="V781" s="72" t="n"/>
      <c r="W781" s="72" t="n"/>
      <c r="X781" s="72" t="n"/>
      <c r="Y781" s="72" t="n"/>
    </row>
    <row r="782">
      <c r="A782" s="72" t="n"/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  <c r="T782" s="72" t="n"/>
      <c r="U782" s="72" t="n"/>
      <c r="V782" s="72" t="n"/>
      <c r="W782" s="72" t="n"/>
      <c r="X782" s="72" t="n"/>
      <c r="Y782" s="72" t="n"/>
    </row>
    <row r="783">
      <c r="A783" s="72" t="n"/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  <c r="T783" s="72" t="n"/>
      <c r="U783" s="72" t="n"/>
      <c r="V783" s="72" t="n"/>
      <c r="W783" s="72" t="n"/>
      <c r="X783" s="72" t="n"/>
      <c r="Y783" s="72" t="n"/>
    </row>
    <row r="784">
      <c r="A784" s="72" t="n"/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  <c r="T784" s="72" t="n"/>
      <c r="U784" s="72" t="n"/>
      <c r="V784" s="72" t="n"/>
      <c r="W784" s="72" t="n"/>
      <c r="X784" s="72" t="n"/>
      <c r="Y784" s="72" t="n"/>
    </row>
    <row r="785">
      <c r="A785" s="72" t="n"/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  <c r="T785" s="72" t="n"/>
      <c r="U785" s="72" t="n"/>
      <c r="V785" s="72" t="n"/>
      <c r="W785" s="72" t="n"/>
      <c r="X785" s="72" t="n"/>
      <c r="Y785" s="72" t="n"/>
    </row>
    <row r="786">
      <c r="A786" s="72" t="n"/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  <c r="T786" s="72" t="n"/>
      <c r="U786" s="72" t="n"/>
      <c r="V786" s="72" t="n"/>
      <c r="W786" s="72" t="n"/>
      <c r="X786" s="72" t="n"/>
      <c r="Y786" s="72" t="n"/>
    </row>
    <row r="787">
      <c r="A787" s="72" t="n"/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  <c r="T787" s="72" t="n"/>
      <c r="U787" s="72" t="n"/>
      <c r="V787" s="72" t="n"/>
      <c r="W787" s="72" t="n"/>
      <c r="X787" s="72" t="n"/>
      <c r="Y787" s="72" t="n"/>
    </row>
    <row r="788">
      <c r="A788" s="72" t="n"/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  <c r="T788" s="72" t="n"/>
      <c r="U788" s="72" t="n"/>
      <c r="V788" s="72" t="n"/>
      <c r="W788" s="72" t="n"/>
      <c r="X788" s="72" t="n"/>
      <c r="Y788" s="72" t="n"/>
    </row>
    <row r="789">
      <c r="A789" s="72" t="n"/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  <c r="T789" s="72" t="n"/>
      <c r="U789" s="72" t="n"/>
      <c r="V789" s="72" t="n"/>
      <c r="W789" s="72" t="n"/>
      <c r="X789" s="72" t="n"/>
      <c r="Y789" s="72" t="n"/>
    </row>
    <row r="790">
      <c r="A790" s="72" t="n"/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  <c r="T790" s="72" t="n"/>
      <c r="U790" s="72" t="n"/>
      <c r="V790" s="72" t="n"/>
      <c r="W790" s="72" t="n"/>
      <c r="X790" s="72" t="n"/>
      <c r="Y790" s="72" t="n"/>
    </row>
    <row r="791">
      <c r="A791" s="72" t="n"/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  <c r="T791" s="72" t="n"/>
      <c r="U791" s="72" t="n"/>
      <c r="V791" s="72" t="n"/>
      <c r="W791" s="72" t="n"/>
      <c r="X791" s="72" t="n"/>
      <c r="Y791" s="72" t="n"/>
    </row>
    <row r="792">
      <c r="A792" s="72" t="n"/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  <c r="T792" s="72" t="n"/>
      <c r="U792" s="72" t="n"/>
      <c r="V792" s="72" t="n"/>
      <c r="W792" s="72" t="n"/>
      <c r="X792" s="72" t="n"/>
      <c r="Y792" s="72" t="n"/>
    </row>
    <row r="793">
      <c r="A793" s="72" t="n"/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  <c r="T793" s="72" t="n"/>
      <c r="U793" s="72" t="n"/>
      <c r="V793" s="72" t="n"/>
      <c r="W793" s="72" t="n"/>
      <c r="X793" s="72" t="n"/>
      <c r="Y793" s="72" t="n"/>
    </row>
    <row r="794">
      <c r="A794" s="72" t="n"/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  <c r="T794" s="72" t="n"/>
      <c r="U794" s="72" t="n"/>
      <c r="V794" s="72" t="n"/>
      <c r="W794" s="72" t="n"/>
      <c r="X794" s="72" t="n"/>
      <c r="Y794" s="72" t="n"/>
    </row>
    <row r="795">
      <c r="A795" s="72" t="n"/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  <c r="T795" s="72" t="n"/>
      <c r="U795" s="72" t="n"/>
      <c r="V795" s="72" t="n"/>
      <c r="W795" s="72" t="n"/>
      <c r="X795" s="72" t="n"/>
      <c r="Y795" s="72" t="n"/>
    </row>
    <row r="796">
      <c r="A796" s="72" t="n"/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  <c r="T796" s="72" t="n"/>
      <c r="U796" s="72" t="n"/>
      <c r="V796" s="72" t="n"/>
      <c r="W796" s="72" t="n"/>
      <c r="X796" s="72" t="n"/>
      <c r="Y796" s="72" t="n"/>
    </row>
    <row r="797">
      <c r="A797" s="72" t="n"/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  <c r="T797" s="72" t="n"/>
      <c r="U797" s="72" t="n"/>
      <c r="V797" s="72" t="n"/>
      <c r="W797" s="72" t="n"/>
      <c r="X797" s="72" t="n"/>
      <c r="Y797" s="72" t="n"/>
    </row>
    <row r="798">
      <c r="A798" s="72" t="n"/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  <c r="T798" s="72" t="n"/>
      <c r="U798" s="72" t="n"/>
      <c r="V798" s="72" t="n"/>
      <c r="W798" s="72" t="n"/>
      <c r="X798" s="72" t="n"/>
      <c r="Y798" s="72" t="n"/>
    </row>
    <row r="799">
      <c r="A799" s="72" t="n"/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  <c r="T799" s="72" t="n"/>
      <c r="U799" s="72" t="n"/>
      <c r="V799" s="72" t="n"/>
      <c r="W799" s="72" t="n"/>
      <c r="X799" s="72" t="n"/>
      <c r="Y799" s="72" t="n"/>
    </row>
    <row r="800">
      <c r="A800" s="72" t="n"/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  <c r="T800" s="72" t="n"/>
      <c r="U800" s="72" t="n"/>
      <c r="V800" s="72" t="n"/>
      <c r="W800" s="72" t="n"/>
      <c r="X800" s="72" t="n"/>
      <c r="Y800" s="72" t="n"/>
    </row>
    <row r="801">
      <c r="A801" s="72" t="n"/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  <c r="T801" s="72" t="n"/>
      <c r="U801" s="72" t="n"/>
      <c r="V801" s="72" t="n"/>
      <c r="W801" s="72" t="n"/>
      <c r="X801" s="72" t="n"/>
      <c r="Y801" s="72" t="n"/>
    </row>
    <row r="802">
      <c r="A802" s="72" t="n"/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  <c r="T802" s="72" t="n"/>
      <c r="U802" s="72" t="n"/>
      <c r="V802" s="72" t="n"/>
      <c r="W802" s="72" t="n"/>
      <c r="X802" s="72" t="n"/>
      <c r="Y802" s="72" t="n"/>
    </row>
    <row r="803">
      <c r="A803" s="72" t="n"/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  <c r="T803" s="72" t="n"/>
      <c r="U803" s="72" t="n"/>
      <c r="V803" s="72" t="n"/>
      <c r="W803" s="72" t="n"/>
      <c r="X803" s="72" t="n"/>
      <c r="Y803" s="72" t="n"/>
    </row>
    <row r="804">
      <c r="A804" s="72" t="n"/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  <c r="T804" s="72" t="n"/>
      <c r="U804" s="72" t="n"/>
      <c r="V804" s="72" t="n"/>
      <c r="W804" s="72" t="n"/>
      <c r="X804" s="72" t="n"/>
      <c r="Y804" s="72" t="n"/>
    </row>
    <row r="805">
      <c r="A805" s="72" t="n"/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  <c r="T805" s="72" t="n"/>
      <c r="U805" s="72" t="n"/>
      <c r="V805" s="72" t="n"/>
      <c r="W805" s="72" t="n"/>
      <c r="X805" s="72" t="n"/>
      <c r="Y805" s="72" t="n"/>
    </row>
    <row r="806">
      <c r="A806" s="72" t="n"/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  <c r="T806" s="72" t="n"/>
      <c r="U806" s="72" t="n"/>
      <c r="V806" s="72" t="n"/>
      <c r="W806" s="72" t="n"/>
      <c r="X806" s="72" t="n"/>
      <c r="Y806" s="72" t="n"/>
    </row>
    <row r="807">
      <c r="A807" s="72" t="n"/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  <c r="T807" s="72" t="n"/>
      <c r="U807" s="72" t="n"/>
      <c r="V807" s="72" t="n"/>
      <c r="W807" s="72" t="n"/>
      <c r="X807" s="72" t="n"/>
      <c r="Y807" s="72" t="n"/>
    </row>
    <row r="808">
      <c r="A808" s="72" t="n"/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  <c r="T808" s="72" t="n"/>
      <c r="U808" s="72" t="n"/>
      <c r="V808" s="72" t="n"/>
      <c r="W808" s="72" t="n"/>
      <c r="X808" s="72" t="n"/>
      <c r="Y808" s="72" t="n"/>
    </row>
    <row r="809">
      <c r="A809" s="72" t="n"/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  <c r="T809" s="72" t="n"/>
      <c r="U809" s="72" t="n"/>
      <c r="V809" s="72" t="n"/>
      <c r="W809" s="72" t="n"/>
      <c r="X809" s="72" t="n"/>
      <c r="Y809" s="72" t="n"/>
    </row>
    <row r="810">
      <c r="A810" s="72" t="n"/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  <c r="T810" s="72" t="n"/>
      <c r="U810" s="72" t="n"/>
      <c r="V810" s="72" t="n"/>
      <c r="W810" s="72" t="n"/>
      <c r="X810" s="72" t="n"/>
      <c r="Y810" s="72" t="n"/>
    </row>
    <row r="811">
      <c r="A811" s="72" t="n"/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  <c r="T811" s="72" t="n"/>
      <c r="U811" s="72" t="n"/>
      <c r="V811" s="72" t="n"/>
      <c r="W811" s="72" t="n"/>
      <c r="X811" s="72" t="n"/>
      <c r="Y811" s="72" t="n"/>
    </row>
    <row r="812">
      <c r="A812" s="72" t="n"/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  <c r="T812" s="72" t="n"/>
      <c r="U812" s="72" t="n"/>
      <c r="V812" s="72" t="n"/>
      <c r="W812" s="72" t="n"/>
      <c r="X812" s="72" t="n"/>
      <c r="Y812" s="72" t="n"/>
    </row>
    <row r="813">
      <c r="A813" s="72" t="n"/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  <c r="T813" s="72" t="n"/>
      <c r="U813" s="72" t="n"/>
      <c r="V813" s="72" t="n"/>
      <c r="W813" s="72" t="n"/>
      <c r="X813" s="72" t="n"/>
      <c r="Y813" s="72" t="n"/>
    </row>
    <row r="814">
      <c r="A814" s="72" t="n"/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  <c r="T814" s="72" t="n"/>
      <c r="U814" s="72" t="n"/>
      <c r="V814" s="72" t="n"/>
      <c r="W814" s="72" t="n"/>
      <c r="X814" s="72" t="n"/>
      <c r="Y814" s="72" t="n"/>
    </row>
    <row r="815">
      <c r="A815" s="72" t="n"/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  <c r="T815" s="72" t="n"/>
      <c r="U815" s="72" t="n"/>
      <c r="V815" s="72" t="n"/>
      <c r="W815" s="72" t="n"/>
      <c r="X815" s="72" t="n"/>
      <c r="Y815" s="72" t="n"/>
    </row>
    <row r="816">
      <c r="A816" s="72" t="n"/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  <c r="T816" s="72" t="n"/>
      <c r="U816" s="72" t="n"/>
      <c r="V816" s="72" t="n"/>
      <c r="W816" s="72" t="n"/>
      <c r="X816" s="72" t="n"/>
      <c r="Y816" s="72" t="n"/>
    </row>
    <row r="817">
      <c r="A817" s="72" t="n"/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  <c r="T817" s="72" t="n"/>
      <c r="U817" s="72" t="n"/>
      <c r="V817" s="72" t="n"/>
      <c r="W817" s="72" t="n"/>
      <c r="X817" s="72" t="n"/>
      <c r="Y817" s="72" t="n"/>
    </row>
    <row r="818">
      <c r="A818" s="72" t="n"/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  <c r="T818" s="72" t="n"/>
      <c r="U818" s="72" t="n"/>
      <c r="V818" s="72" t="n"/>
      <c r="W818" s="72" t="n"/>
      <c r="X818" s="72" t="n"/>
      <c r="Y818" s="72" t="n"/>
    </row>
    <row r="819">
      <c r="A819" s="72" t="n"/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  <c r="T819" s="72" t="n"/>
      <c r="U819" s="72" t="n"/>
      <c r="V819" s="72" t="n"/>
      <c r="W819" s="72" t="n"/>
      <c r="X819" s="72" t="n"/>
      <c r="Y819" s="72" t="n"/>
    </row>
    <row r="820">
      <c r="A820" s="72" t="n"/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  <c r="T820" s="72" t="n"/>
      <c r="U820" s="72" t="n"/>
      <c r="V820" s="72" t="n"/>
      <c r="W820" s="72" t="n"/>
      <c r="X820" s="72" t="n"/>
      <c r="Y820" s="72" t="n"/>
    </row>
    <row r="821">
      <c r="A821" s="72" t="n"/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  <c r="T821" s="72" t="n"/>
      <c r="U821" s="72" t="n"/>
      <c r="V821" s="72" t="n"/>
      <c r="W821" s="72" t="n"/>
      <c r="X821" s="72" t="n"/>
      <c r="Y821" s="72" t="n"/>
    </row>
    <row r="822">
      <c r="A822" s="72" t="n"/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  <c r="T822" s="72" t="n"/>
      <c r="U822" s="72" t="n"/>
      <c r="V822" s="72" t="n"/>
      <c r="W822" s="72" t="n"/>
      <c r="X822" s="72" t="n"/>
      <c r="Y822" s="72" t="n"/>
    </row>
    <row r="823">
      <c r="A823" s="72" t="n"/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  <c r="T823" s="72" t="n"/>
      <c r="U823" s="72" t="n"/>
      <c r="V823" s="72" t="n"/>
      <c r="W823" s="72" t="n"/>
      <c r="X823" s="72" t="n"/>
      <c r="Y823" s="72" t="n"/>
    </row>
    <row r="824">
      <c r="A824" s="72" t="n"/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  <c r="T824" s="72" t="n"/>
      <c r="U824" s="72" t="n"/>
      <c r="V824" s="72" t="n"/>
      <c r="W824" s="72" t="n"/>
      <c r="X824" s="72" t="n"/>
      <c r="Y824" s="72" t="n"/>
    </row>
    <row r="825">
      <c r="A825" s="72" t="n"/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  <c r="T825" s="72" t="n"/>
      <c r="U825" s="72" t="n"/>
      <c r="V825" s="72" t="n"/>
      <c r="W825" s="72" t="n"/>
      <c r="X825" s="72" t="n"/>
      <c r="Y825" s="72" t="n"/>
    </row>
    <row r="826">
      <c r="A826" s="72" t="n"/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  <c r="T826" s="72" t="n"/>
      <c r="U826" s="72" t="n"/>
      <c r="V826" s="72" t="n"/>
      <c r="W826" s="72" t="n"/>
      <c r="X826" s="72" t="n"/>
      <c r="Y826" s="72" t="n"/>
    </row>
    <row r="827">
      <c r="A827" s="72" t="n"/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  <c r="T827" s="72" t="n"/>
      <c r="U827" s="72" t="n"/>
      <c r="V827" s="72" t="n"/>
      <c r="W827" s="72" t="n"/>
      <c r="X827" s="72" t="n"/>
      <c r="Y827" s="72" t="n"/>
    </row>
    <row r="828">
      <c r="A828" s="72" t="n"/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  <c r="T828" s="72" t="n"/>
      <c r="U828" s="72" t="n"/>
      <c r="V828" s="72" t="n"/>
      <c r="W828" s="72" t="n"/>
      <c r="X828" s="72" t="n"/>
      <c r="Y828" s="72" t="n"/>
    </row>
    <row r="829">
      <c r="A829" s="72" t="n"/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  <c r="T829" s="72" t="n"/>
      <c r="U829" s="72" t="n"/>
      <c r="V829" s="72" t="n"/>
      <c r="W829" s="72" t="n"/>
      <c r="X829" s="72" t="n"/>
      <c r="Y829" s="72" t="n"/>
    </row>
    <row r="830">
      <c r="A830" s="72" t="n"/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  <c r="T830" s="72" t="n"/>
      <c r="U830" s="72" t="n"/>
      <c r="V830" s="72" t="n"/>
      <c r="W830" s="72" t="n"/>
      <c r="X830" s="72" t="n"/>
      <c r="Y830" s="72" t="n"/>
    </row>
    <row r="831">
      <c r="A831" s="72" t="n"/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  <c r="T831" s="72" t="n"/>
      <c r="U831" s="72" t="n"/>
      <c r="V831" s="72" t="n"/>
      <c r="W831" s="72" t="n"/>
      <c r="X831" s="72" t="n"/>
      <c r="Y831" s="72" t="n"/>
    </row>
    <row r="832">
      <c r="A832" s="72" t="n"/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  <c r="T832" s="72" t="n"/>
      <c r="U832" s="72" t="n"/>
      <c r="V832" s="72" t="n"/>
      <c r="W832" s="72" t="n"/>
      <c r="X832" s="72" t="n"/>
      <c r="Y832" s="72" t="n"/>
    </row>
    <row r="833">
      <c r="A833" s="72" t="n"/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  <c r="T833" s="72" t="n"/>
      <c r="U833" s="72" t="n"/>
      <c r="V833" s="72" t="n"/>
      <c r="W833" s="72" t="n"/>
      <c r="X833" s="72" t="n"/>
      <c r="Y833" s="72" t="n"/>
    </row>
    <row r="834">
      <c r="A834" s="72" t="n"/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  <c r="T834" s="72" t="n"/>
      <c r="U834" s="72" t="n"/>
      <c r="V834" s="72" t="n"/>
      <c r="W834" s="72" t="n"/>
      <c r="X834" s="72" t="n"/>
      <c r="Y834" s="72" t="n"/>
    </row>
    <row r="835">
      <c r="A835" s="72" t="n"/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  <c r="T835" s="72" t="n"/>
      <c r="U835" s="72" t="n"/>
      <c r="V835" s="72" t="n"/>
      <c r="W835" s="72" t="n"/>
      <c r="X835" s="72" t="n"/>
      <c r="Y835" s="72" t="n"/>
    </row>
    <row r="836">
      <c r="A836" s="72" t="n"/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  <c r="T836" s="72" t="n"/>
      <c r="U836" s="72" t="n"/>
      <c r="V836" s="72" t="n"/>
      <c r="W836" s="72" t="n"/>
      <c r="X836" s="72" t="n"/>
      <c r="Y836" s="72" t="n"/>
    </row>
    <row r="837">
      <c r="A837" s="72" t="n"/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  <c r="T837" s="72" t="n"/>
      <c r="U837" s="72" t="n"/>
      <c r="V837" s="72" t="n"/>
      <c r="W837" s="72" t="n"/>
      <c r="X837" s="72" t="n"/>
      <c r="Y837" s="72" t="n"/>
    </row>
    <row r="838">
      <c r="A838" s="72" t="n"/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  <c r="T838" s="72" t="n"/>
      <c r="U838" s="72" t="n"/>
      <c r="V838" s="72" t="n"/>
      <c r="W838" s="72" t="n"/>
      <c r="X838" s="72" t="n"/>
      <c r="Y838" s="72" t="n"/>
    </row>
    <row r="839">
      <c r="A839" s="72" t="n"/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  <c r="T839" s="72" t="n"/>
      <c r="U839" s="72" t="n"/>
      <c r="V839" s="72" t="n"/>
      <c r="W839" s="72" t="n"/>
      <c r="X839" s="72" t="n"/>
      <c r="Y839" s="72" t="n"/>
    </row>
    <row r="840">
      <c r="A840" s="72" t="n"/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  <c r="T840" s="72" t="n"/>
      <c r="U840" s="72" t="n"/>
      <c r="V840" s="72" t="n"/>
      <c r="W840" s="72" t="n"/>
      <c r="X840" s="72" t="n"/>
      <c r="Y840" s="72" t="n"/>
    </row>
    <row r="841">
      <c r="A841" s="72" t="n"/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  <c r="T841" s="72" t="n"/>
      <c r="U841" s="72" t="n"/>
      <c r="V841" s="72" t="n"/>
      <c r="W841" s="72" t="n"/>
      <c r="X841" s="72" t="n"/>
      <c r="Y841" s="72" t="n"/>
    </row>
    <row r="842">
      <c r="A842" s="72" t="n"/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  <c r="T842" s="72" t="n"/>
      <c r="U842" s="72" t="n"/>
      <c r="V842" s="72" t="n"/>
      <c r="W842" s="72" t="n"/>
      <c r="X842" s="72" t="n"/>
      <c r="Y842" s="72" t="n"/>
    </row>
    <row r="843">
      <c r="A843" s="72" t="n"/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  <c r="T843" s="72" t="n"/>
      <c r="U843" s="72" t="n"/>
      <c r="V843" s="72" t="n"/>
      <c r="W843" s="72" t="n"/>
      <c r="X843" s="72" t="n"/>
      <c r="Y843" s="72" t="n"/>
    </row>
    <row r="844">
      <c r="A844" s="72" t="n"/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  <c r="T844" s="72" t="n"/>
      <c r="U844" s="72" t="n"/>
      <c r="V844" s="72" t="n"/>
      <c r="W844" s="72" t="n"/>
      <c r="X844" s="72" t="n"/>
      <c r="Y844" s="72" t="n"/>
    </row>
    <row r="845">
      <c r="A845" s="72" t="n"/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  <c r="T845" s="72" t="n"/>
      <c r="U845" s="72" t="n"/>
      <c r="V845" s="72" t="n"/>
      <c r="W845" s="72" t="n"/>
      <c r="X845" s="72" t="n"/>
      <c r="Y845" s="72" t="n"/>
    </row>
    <row r="846">
      <c r="A846" s="72" t="n"/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  <c r="T846" s="72" t="n"/>
      <c r="U846" s="72" t="n"/>
      <c r="V846" s="72" t="n"/>
      <c r="W846" s="72" t="n"/>
      <c r="X846" s="72" t="n"/>
      <c r="Y846" s="72" t="n"/>
    </row>
    <row r="847">
      <c r="A847" s="72" t="n"/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  <c r="T847" s="72" t="n"/>
      <c r="U847" s="72" t="n"/>
      <c r="V847" s="72" t="n"/>
      <c r="W847" s="72" t="n"/>
      <c r="X847" s="72" t="n"/>
      <c r="Y847" s="72" t="n"/>
    </row>
    <row r="848">
      <c r="A848" s="72" t="n"/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  <c r="T848" s="72" t="n"/>
      <c r="U848" s="72" t="n"/>
      <c r="V848" s="72" t="n"/>
      <c r="W848" s="72" t="n"/>
      <c r="X848" s="72" t="n"/>
      <c r="Y848" s="72" t="n"/>
    </row>
    <row r="849">
      <c r="A849" s="72" t="n"/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  <c r="T849" s="72" t="n"/>
      <c r="U849" s="72" t="n"/>
      <c r="V849" s="72" t="n"/>
      <c r="W849" s="72" t="n"/>
      <c r="X849" s="72" t="n"/>
      <c r="Y849" s="72" t="n"/>
    </row>
    <row r="850">
      <c r="A850" s="72" t="n"/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  <c r="T850" s="72" t="n"/>
      <c r="U850" s="72" t="n"/>
      <c r="V850" s="72" t="n"/>
      <c r="W850" s="72" t="n"/>
      <c r="X850" s="72" t="n"/>
      <c r="Y850" s="72" t="n"/>
    </row>
    <row r="851">
      <c r="A851" s="72" t="n"/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  <c r="T851" s="72" t="n"/>
      <c r="U851" s="72" t="n"/>
      <c r="V851" s="72" t="n"/>
      <c r="W851" s="72" t="n"/>
      <c r="X851" s="72" t="n"/>
      <c r="Y851" s="72" t="n"/>
    </row>
    <row r="852">
      <c r="A852" s="72" t="n"/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  <c r="T852" s="72" t="n"/>
      <c r="U852" s="72" t="n"/>
      <c r="V852" s="72" t="n"/>
      <c r="W852" s="72" t="n"/>
      <c r="X852" s="72" t="n"/>
      <c r="Y852" s="72" t="n"/>
    </row>
    <row r="853">
      <c r="A853" s="72" t="n"/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  <c r="T853" s="72" t="n"/>
      <c r="U853" s="72" t="n"/>
      <c r="V853" s="72" t="n"/>
      <c r="W853" s="72" t="n"/>
      <c r="X853" s="72" t="n"/>
      <c r="Y853" s="72" t="n"/>
    </row>
    <row r="854">
      <c r="A854" s="72" t="n"/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  <c r="T854" s="72" t="n"/>
      <c r="U854" s="72" t="n"/>
      <c r="V854" s="72" t="n"/>
      <c r="W854" s="72" t="n"/>
      <c r="X854" s="72" t="n"/>
      <c r="Y854" s="72" t="n"/>
    </row>
    <row r="855">
      <c r="A855" s="72" t="n"/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  <c r="T855" s="72" t="n"/>
      <c r="U855" s="72" t="n"/>
      <c r="V855" s="72" t="n"/>
      <c r="W855" s="72" t="n"/>
      <c r="X855" s="72" t="n"/>
      <c r="Y855" s="72" t="n"/>
    </row>
    <row r="856">
      <c r="A856" s="72" t="n"/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  <c r="T856" s="72" t="n"/>
      <c r="U856" s="72" t="n"/>
      <c r="V856" s="72" t="n"/>
      <c r="W856" s="72" t="n"/>
      <c r="X856" s="72" t="n"/>
      <c r="Y856" s="72" t="n"/>
    </row>
    <row r="857">
      <c r="A857" s="72" t="n"/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  <c r="T857" s="72" t="n"/>
      <c r="U857" s="72" t="n"/>
      <c r="V857" s="72" t="n"/>
      <c r="W857" s="72" t="n"/>
      <c r="X857" s="72" t="n"/>
      <c r="Y857" s="72" t="n"/>
    </row>
    <row r="858">
      <c r="A858" s="72" t="n"/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  <c r="T858" s="72" t="n"/>
      <c r="U858" s="72" t="n"/>
      <c r="V858" s="72" t="n"/>
      <c r="W858" s="72" t="n"/>
      <c r="X858" s="72" t="n"/>
      <c r="Y858" s="72" t="n"/>
    </row>
    <row r="859">
      <c r="A859" s="72" t="n"/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  <c r="T859" s="72" t="n"/>
      <c r="U859" s="72" t="n"/>
      <c r="V859" s="72" t="n"/>
      <c r="W859" s="72" t="n"/>
      <c r="X859" s="72" t="n"/>
      <c r="Y859" s="72" t="n"/>
    </row>
    <row r="860">
      <c r="A860" s="72" t="n"/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  <c r="T860" s="72" t="n"/>
      <c r="U860" s="72" t="n"/>
      <c r="V860" s="72" t="n"/>
      <c r="W860" s="72" t="n"/>
      <c r="X860" s="72" t="n"/>
      <c r="Y860" s="72" t="n"/>
    </row>
    <row r="861">
      <c r="A861" s="72" t="n"/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  <c r="T861" s="72" t="n"/>
      <c r="U861" s="72" t="n"/>
      <c r="V861" s="72" t="n"/>
      <c r="W861" s="72" t="n"/>
      <c r="X861" s="72" t="n"/>
      <c r="Y861" s="72" t="n"/>
    </row>
    <row r="862">
      <c r="A862" s="72" t="n"/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  <c r="T862" s="72" t="n"/>
      <c r="U862" s="72" t="n"/>
      <c r="V862" s="72" t="n"/>
      <c r="W862" s="72" t="n"/>
      <c r="X862" s="72" t="n"/>
      <c r="Y862" s="72" t="n"/>
    </row>
    <row r="863">
      <c r="A863" s="72" t="n"/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  <c r="T863" s="72" t="n"/>
      <c r="U863" s="72" t="n"/>
      <c r="V863" s="72" t="n"/>
      <c r="W863" s="72" t="n"/>
      <c r="X863" s="72" t="n"/>
      <c r="Y863" s="72" t="n"/>
    </row>
    <row r="864">
      <c r="A864" s="72" t="n"/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  <c r="T864" s="72" t="n"/>
      <c r="U864" s="72" t="n"/>
      <c r="V864" s="72" t="n"/>
      <c r="W864" s="72" t="n"/>
      <c r="X864" s="72" t="n"/>
      <c r="Y864" s="72" t="n"/>
    </row>
    <row r="865">
      <c r="A865" s="72" t="n"/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  <c r="T865" s="72" t="n"/>
      <c r="U865" s="72" t="n"/>
      <c r="V865" s="72" t="n"/>
      <c r="W865" s="72" t="n"/>
      <c r="X865" s="72" t="n"/>
      <c r="Y865" s="72" t="n"/>
    </row>
    <row r="866">
      <c r="A866" s="72" t="n"/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  <c r="T866" s="72" t="n"/>
      <c r="U866" s="72" t="n"/>
      <c r="V866" s="72" t="n"/>
      <c r="W866" s="72" t="n"/>
      <c r="X866" s="72" t="n"/>
      <c r="Y866" s="72" t="n"/>
    </row>
    <row r="867">
      <c r="A867" s="72" t="n"/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  <c r="T867" s="72" t="n"/>
      <c r="U867" s="72" t="n"/>
      <c r="V867" s="72" t="n"/>
      <c r="W867" s="72" t="n"/>
      <c r="X867" s="72" t="n"/>
      <c r="Y867" s="72" t="n"/>
    </row>
    <row r="868">
      <c r="A868" s="72" t="n"/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  <c r="T868" s="72" t="n"/>
      <c r="U868" s="72" t="n"/>
      <c r="V868" s="72" t="n"/>
      <c r="W868" s="72" t="n"/>
      <c r="X868" s="72" t="n"/>
      <c r="Y868" s="72" t="n"/>
    </row>
    <row r="869">
      <c r="A869" s="72" t="n"/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  <c r="T869" s="72" t="n"/>
      <c r="U869" s="72" t="n"/>
      <c r="V869" s="72" t="n"/>
      <c r="W869" s="72" t="n"/>
      <c r="X869" s="72" t="n"/>
      <c r="Y869" s="72" t="n"/>
    </row>
    <row r="870">
      <c r="A870" s="72" t="n"/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  <c r="T870" s="72" t="n"/>
      <c r="U870" s="72" t="n"/>
      <c r="V870" s="72" t="n"/>
      <c r="W870" s="72" t="n"/>
      <c r="X870" s="72" t="n"/>
      <c r="Y870" s="72" t="n"/>
    </row>
    <row r="871">
      <c r="A871" s="72" t="n"/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  <c r="T871" s="72" t="n"/>
      <c r="U871" s="72" t="n"/>
      <c r="V871" s="72" t="n"/>
      <c r="W871" s="72" t="n"/>
      <c r="X871" s="72" t="n"/>
      <c r="Y871" s="72" t="n"/>
    </row>
    <row r="872">
      <c r="A872" s="72" t="n"/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  <c r="T872" s="72" t="n"/>
      <c r="U872" s="72" t="n"/>
      <c r="V872" s="72" t="n"/>
      <c r="W872" s="72" t="n"/>
      <c r="X872" s="72" t="n"/>
      <c r="Y872" s="72" t="n"/>
    </row>
    <row r="873">
      <c r="A873" s="72" t="n"/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  <c r="T873" s="72" t="n"/>
      <c r="U873" s="72" t="n"/>
      <c r="V873" s="72" t="n"/>
      <c r="W873" s="72" t="n"/>
      <c r="X873" s="72" t="n"/>
      <c r="Y873" s="72" t="n"/>
    </row>
    <row r="874">
      <c r="A874" s="72" t="n"/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  <c r="T874" s="72" t="n"/>
      <c r="U874" s="72" t="n"/>
      <c r="V874" s="72" t="n"/>
      <c r="W874" s="72" t="n"/>
      <c r="X874" s="72" t="n"/>
      <c r="Y874" s="72" t="n"/>
    </row>
    <row r="875">
      <c r="A875" s="72" t="n"/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  <c r="T875" s="72" t="n"/>
      <c r="U875" s="72" t="n"/>
      <c r="V875" s="72" t="n"/>
      <c r="W875" s="72" t="n"/>
      <c r="X875" s="72" t="n"/>
      <c r="Y875" s="72" t="n"/>
    </row>
    <row r="876">
      <c r="A876" s="72" t="n"/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  <c r="T876" s="72" t="n"/>
      <c r="U876" s="72" t="n"/>
      <c r="V876" s="72" t="n"/>
      <c r="W876" s="72" t="n"/>
      <c r="X876" s="72" t="n"/>
      <c r="Y876" s="72" t="n"/>
    </row>
    <row r="877">
      <c r="A877" s="72" t="n"/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  <c r="T877" s="72" t="n"/>
      <c r="U877" s="72" t="n"/>
      <c r="V877" s="72" t="n"/>
      <c r="W877" s="72" t="n"/>
      <c r="X877" s="72" t="n"/>
      <c r="Y877" s="72" t="n"/>
    </row>
    <row r="878">
      <c r="A878" s="72" t="n"/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  <c r="T878" s="72" t="n"/>
      <c r="U878" s="72" t="n"/>
      <c r="V878" s="72" t="n"/>
      <c r="W878" s="72" t="n"/>
      <c r="X878" s="72" t="n"/>
      <c r="Y878" s="72" t="n"/>
    </row>
    <row r="879">
      <c r="A879" s="72" t="n"/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  <c r="T879" s="72" t="n"/>
      <c r="U879" s="72" t="n"/>
      <c r="V879" s="72" t="n"/>
      <c r="W879" s="72" t="n"/>
      <c r="X879" s="72" t="n"/>
      <c r="Y879" s="72" t="n"/>
    </row>
    <row r="880">
      <c r="A880" s="72" t="n"/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  <c r="T880" s="72" t="n"/>
      <c r="U880" s="72" t="n"/>
      <c r="V880" s="72" t="n"/>
      <c r="W880" s="72" t="n"/>
      <c r="X880" s="72" t="n"/>
      <c r="Y880" s="72" t="n"/>
    </row>
    <row r="881">
      <c r="A881" s="72" t="n"/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  <c r="T881" s="72" t="n"/>
      <c r="U881" s="72" t="n"/>
      <c r="V881" s="72" t="n"/>
      <c r="W881" s="72" t="n"/>
      <c r="X881" s="72" t="n"/>
      <c r="Y881" s="72" t="n"/>
    </row>
    <row r="882">
      <c r="A882" s="72" t="n"/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  <c r="T882" s="72" t="n"/>
      <c r="U882" s="72" t="n"/>
      <c r="V882" s="72" t="n"/>
      <c r="W882" s="72" t="n"/>
      <c r="X882" s="72" t="n"/>
      <c r="Y882" s="72" t="n"/>
    </row>
    <row r="883">
      <c r="A883" s="72" t="n"/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  <c r="T883" s="72" t="n"/>
      <c r="U883" s="72" t="n"/>
      <c r="V883" s="72" t="n"/>
      <c r="W883" s="72" t="n"/>
      <c r="X883" s="72" t="n"/>
      <c r="Y883" s="72" t="n"/>
    </row>
    <row r="884">
      <c r="A884" s="72" t="n"/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  <c r="T884" s="72" t="n"/>
      <c r="U884" s="72" t="n"/>
      <c r="V884" s="72" t="n"/>
      <c r="W884" s="72" t="n"/>
      <c r="X884" s="72" t="n"/>
      <c r="Y884" s="72" t="n"/>
    </row>
    <row r="885">
      <c r="A885" s="72" t="n"/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  <c r="T885" s="72" t="n"/>
      <c r="U885" s="72" t="n"/>
      <c r="V885" s="72" t="n"/>
      <c r="W885" s="72" t="n"/>
      <c r="X885" s="72" t="n"/>
      <c r="Y885" s="72" t="n"/>
    </row>
    <row r="886">
      <c r="A886" s="72" t="n"/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  <c r="T886" s="72" t="n"/>
      <c r="U886" s="72" t="n"/>
      <c r="V886" s="72" t="n"/>
      <c r="W886" s="72" t="n"/>
      <c r="X886" s="72" t="n"/>
      <c r="Y886" s="72" t="n"/>
    </row>
    <row r="887">
      <c r="A887" s="72" t="n"/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  <c r="T887" s="72" t="n"/>
      <c r="U887" s="72" t="n"/>
      <c r="V887" s="72" t="n"/>
      <c r="W887" s="72" t="n"/>
      <c r="X887" s="72" t="n"/>
      <c r="Y887" s="72" t="n"/>
    </row>
    <row r="888">
      <c r="A888" s="72" t="n"/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  <c r="T888" s="72" t="n"/>
      <c r="U888" s="72" t="n"/>
      <c r="V888" s="72" t="n"/>
      <c r="W888" s="72" t="n"/>
      <c r="X888" s="72" t="n"/>
      <c r="Y888" s="72" t="n"/>
    </row>
    <row r="889">
      <c r="A889" s="72" t="n"/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  <c r="T889" s="72" t="n"/>
      <c r="U889" s="72" t="n"/>
      <c r="V889" s="72" t="n"/>
      <c r="W889" s="72" t="n"/>
      <c r="X889" s="72" t="n"/>
      <c r="Y889" s="72" t="n"/>
    </row>
    <row r="890">
      <c r="A890" s="72" t="n"/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  <c r="T890" s="72" t="n"/>
      <c r="U890" s="72" t="n"/>
      <c r="V890" s="72" t="n"/>
      <c r="W890" s="72" t="n"/>
      <c r="X890" s="72" t="n"/>
      <c r="Y890" s="72" t="n"/>
    </row>
    <row r="891">
      <c r="A891" s="72" t="n"/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  <c r="T891" s="72" t="n"/>
      <c r="U891" s="72" t="n"/>
      <c r="V891" s="72" t="n"/>
      <c r="W891" s="72" t="n"/>
      <c r="X891" s="72" t="n"/>
      <c r="Y891" s="72" t="n"/>
    </row>
    <row r="892">
      <c r="A892" s="72" t="n"/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  <c r="T892" s="72" t="n"/>
      <c r="U892" s="72" t="n"/>
      <c r="V892" s="72" t="n"/>
      <c r="W892" s="72" t="n"/>
      <c r="X892" s="72" t="n"/>
      <c r="Y892" s="72" t="n"/>
    </row>
    <row r="893">
      <c r="A893" s="72" t="n"/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  <c r="T893" s="72" t="n"/>
      <c r="U893" s="72" t="n"/>
      <c r="V893" s="72" t="n"/>
      <c r="W893" s="72" t="n"/>
      <c r="X893" s="72" t="n"/>
      <c r="Y893" s="72" t="n"/>
    </row>
    <row r="894">
      <c r="A894" s="72" t="n"/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  <c r="T894" s="72" t="n"/>
      <c r="U894" s="72" t="n"/>
      <c r="V894" s="72" t="n"/>
      <c r="W894" s="72" t="n"/>
      <c r="X894" s="72" t="n"/>
      <c r="Y894" s="72" t="n"/>
    </row>
    <row r="895">
      <c r="A895" s="72" t="n"/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  <c r="T895" s="72" t="n"/>
      <c r="U895" s="72" t="n"/>
      <c r="V895" s="72" t="n"/>
      <c r="W895" s="72" t="n"/>
      <c r="X895" s="72" t="n"/>
      <c r="Y895" s="72" t="n"/>
    </row>
    <row r="896">
      <c r="A896" s="72" t="n"/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  <c r="T896" s="72" t="n"/>
      <c r="U896" s="72" t="n"/>
      <c r="V896" s="72" t="n"/>
      <c r="W896" s="72" t="n"/>
      <c r="X896" s="72" t="n"/>
      <c r="Y896" s="72" t="n"/>
    </row>
    <row r="897">
      <c r="A897" s="72" t="n"/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  <c r="T897" s="72" t="n"/>
      <c r="U897" s="72" t="n"/>
      <c r="V897" s="72" t="n"/>
      <c r="W897" s="72" t="n"/>
      <c r="X897" s="72" t="n"/>
      <c r="Y897" s="72" t="n"/>
    </row>
    <row r="898">
      <c r="A898" s="72" t="n"/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  <c r="T898" s="72" t="n"/>
      <c r="U898" s="72" t="n"/>
      <c r="V898" s="72" t="n"/>
      <c r="W898" s="72" t="n"/>
      <c r="X898" s="72" t="n"/>
      <c r="Y898" s="72" t="n"/>
    </row>
    <row r="899">
      <c r="A899" s="72" t="n"/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  <c r="T899" s="72" t="n"/>
      <c r="U899" s="72" t="n"/>
      <c r="V899" s="72" t="n"/>
      <c r="W899" s="72" t="n"/>
      <c r="X899" s="72" t="n"/>
      <c r="Y899" s="72" t="n"/>
    </row>
    <row r="900">
      <c r="A900" s="72" t="n"/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  <c r="T900" s="72" t="n"/>
      <c r="U900" s="72" t="n"/>
      <c r="V900" s="72" t="n"/>
      <c r="W900" s="72" t="n"/>
      <c r="X900" s="72" t="n"/>
      <c r="Y900" s="72" t="n"/>
    </row>
    <row r="901">
      <c r="A901" s="72" t="n"/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  <c r="T901" s="72" t="n"/>
      <c r="U901" s="72" t="n"/>
      <c r="V901" s="72" t="n"/>
      <c r="W901" s="72" t="n"/>
      <c r="X901" s="72" t="n"/>
      <c r="Y901" s="72" t="n"/>
    </row>
    <row r="902">
      <c r="A902" s="72" t="n"/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  <c r="T902" s="72" t="n"/>
      <c r="U902" s="72" t="n"/>
      <c r="V902" s="72" t="n"/>
      <c r="W902" s="72" t="n"/>
      <c r="X902" s="72" t="n"/>
      <c r="Y902" s="72" t="n"/>
    </row>
    <row r="903">
      <c r="A903" s="72" t="n"/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  <c r="T903" s="72" t="n"/>
      <c r="U903" s="72" t="n"/>
      <c r="V903" s="72" t="n"/>
      <c r="W903" s="72" t="n"/>
      <c r="X903" s="72" t="n"/>
      <c r="Y903" s="72" t="n"/>
    </row>
    <row r="904">
      <c r="A904" s="72" t="n"/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  <c r="T904" s="72" t="n"/>
      <c r="U904" s="72" t="n"/>
      <c r="V904" s="72" t="n"/>
      <c r="W904" s="72" t="n"/>
      <c r="X904" s="72" t="n"/>
      <c r="Y904" s="72" t="n"/>
    </row>
    <row r="905">
      <c r="A905" s="72" t="n"/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  <c r="T905" s="72" t="n"/>
      <c r="U905" s="72" t="n"/>
      <c r="V905" s="72" t="n"/>
      <c r="W905" s="72" t="n"/>
      <c r="X905" s="72" t="n"/>
      <c r="Y905" s="72" t="n"/>
    </row>
    <row r="906">
      <c r="A906" s="72" t="n"/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  <c r="T906" s="72" t="n"/>
      <c r="U906" s="72" t="n"/>
      <c r="V906" s="72" t="n"/>
      <c r="W906" s="72" t="n"/>
      <c r="X906" s="72" t="n"/>
      <c r="Y906" s="72" t="n"/>
    </row>
    <row r="907">
      <c r="A907" s="72" t="n"/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  <c r="T907" s="72" t="n"/>
      <c r="U907" s="72" t="n"/>
      <c r="V907" s="72" t="n"/>
      <c r="W907" s="72" t="n"/>
      <c r="X907" s="72" t="n"/>
      <c r="Y907" s="72" t="n"/>
    </row>
    <row r="908">
      <c r="A908" s="72" t="n"/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  <c r="T908" s="72" t="n"/>
      <c r="U908" s="72" t="n"/>
      <c r="V908" s="72" t="n"/>
      <c r="W908" s="72" t="n"/>
      <c r="X908" s="72" t="n"/>
      <c r="Y908" s="72" t="n"/>
    </row>
    <row r="909">
      <c r="A909" s="72" t="n"/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  <c r="T909" s="72" t="n"/>
      <c r="U909" s="72" t="n"/>
      <c r="V909" s="72" t="n"/>
      <c r="W909" s="72" t="n"/>
      <c r="X909" s="72" t="n"/>
      <c r="Y909" s="72" t="n"/>
    </row>
    <row r="910">
      <c r="A910" s="72" t="n"/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  <c r="T910" s="72" t="n"/>
      <c r="U910" s="72" t="n"/>
      <c r="V910" s="72" t="n"/>
      <c r="W910" s="72" t="n"/>
      <c r="X910" s="72" t="n"/>
      <c r="Y910" s="72" t="n"/>
    </row>
    <row r="911">
      <c r="A911" s="72" t="n"/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  <c r="T911" s="72" t="n"/>
      <c r="U911" s="72" t="n"/>
      <c r="V911" s="72" t="n"/>
      <c r="W911" s="72" t="n"/>
      <c r="X911" s="72" t="n"/>
      <c r="Y911" s="72" t="n"/>
    </row>
    <row r="912">
      <c r="A912" s="72" t="n"/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  <c r="T912" s="72" t="n"/>
      <c r="U912" s="72" t="n"/>
      <c r="V912" s="72" t="n"/>
      <c r="W912" s="72" t="n"/>
      <c r="X912" s="72" t="n"/>
      <c r="Y912" s="72" t="n"/>
    </row>
    <row r="913">
      <c r="A913" s="72" t="n"/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  <c r="T913" s="72" t="n"/>
      <c r="U913" s="72" t="n"/>
      <c r="V913" s="72" t="n"/>
      <c r="W913" s="72" t="n"/>
      <c r="X913" s="72" t="n"/>
      <c r="Y913" s="72" t="n"/>
    </row>
    <row r="914">
      <c r="A914" s="72" t="n"/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  <c r="T914" s="72" t="n"/>
      <c r="U914" s="72" t="n"/>
      <c r="V914" s="72" t="n"/>
      <c r="W914" s="72" t="n"/>
      <c r="X914" s="72" t="n"/>
      <c r="Y914" s="72" t="n"/>
    </row>
    <row r="915">
      <c r="A915" s="72" t="n"/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  <c r="T915" s="72" t="n"/>
      <c r="U915" s="72" t="n"/>
      <c r="V915" s="72" t="n"/>
      <c r="W915" s="72" t="n"/>
      <c r="X915" s="72" t="n"/>
      <c r="Y915" s="72" t="n"/>
    </row>
    <row r="916">
      <c r="A916" s="72" t="n"/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  <c r="T916" s="72" t="n"/>
      <c r="U916" s="72" t="n"/>
      <c r="V916" s="72" t="n"/>
      <c r="W916" s="72" t="n"/>
      <c r="X916" s="72" t="n"/>
      <c r="Y916" s="72" t="n"/>
    </row>
    <row r="917">
      <c r="A917" s="72" t="n"/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  <c r="T917" s="72" t="n"/>
      <c r="U917" s="72" t="n"/>
      <c r="V917" s="72" t="n"/>
      <c r="W917" s="72" t="n"/>
      <c r="X917" s="72" t="n"/>
      <c r="Y917" s="72" t="n"/>
    </row>
    <row r="918">
      <c r="A918" s="72" t="n"/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  <c r="T918" s="72" t="n"/>
      <c r="U918" s="72" t="n"/>
      <c r="V918" s="72" t="n"/>
      <c r="W918" s="72" t="n"/>
      <c r="X918" s="72" t="n"/>
      <c r="Y918" s="72" t="n"/>
    </row>
    <row r="919">
      <c r="A919" s="72" t="n"/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  <c r="T919" s="72" t="n"/>
      <c r="U919" s="72" t="n"/>
      <c r="V919" s="72" t="n"/>
      <c r="W919" s="72" t="n"/>
      <c r="X919" s="72" t="n"/>
      <c r="Y919" s="72" t="n"/>
    </row>
    <row r="920">
      <c r="A920" s="72" t="n"/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  <c r="T920" s="72" t="n"/>
      <c r="U920" s="72" t="n"/>
      <c r="V920" s="72" t="n"/>
      <c r="W920" s="72" t="n"/>
      <c r="X920" s="72" t="n"/>
      <c r="Y920" s="72" t="n"/>
    </row>
    <row r="921">
      <c r="A921" s="72" t="n"/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  <c r="T921" s="72" t="n"/>
      <c r="U921" s="72" t="n"/>
      <c r="V921" s="72" t="n"/>
      <c r="W921" s="72" t="n"/>
      <c r="X921" s="72" t="n"/>
      <c r="Y921" s="72" t="n"/>
    </row>
    <row r="922">
      <c r="A922" s="72" t="n"/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  <c r="T922" s="72" t="n"/>
      <c r="U922" s="72" t="n"/>
      <c r="V922" s="72" t="n"/>
      <c r="W922" s="72" t="n"/>
      <c r="X922" s="72" t="n"/>
      <c r="Y922" s="72" t="n"/>
    </row>
    <row r="923">
      <c r="A923" s="72" t="n"/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  <c r="T923" s="72" t="n"/>
      <c r="U923" s="72" t="n"/>
      <c r="V923" s="72" t="n"/>
      <c r="W923" s="72" t="n"/>
      <c r="X923" s="72" t="n"/>
      <c r="Y923" s="72" t="n"/>
    </row>
    <row r="924">
      <c r="A924" s="72" t="n"/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  <c r="T924" s="72" t="n"/>
      <c r="U924" s="72" t="n"/>
      <c r="V924" s="72" t="n"/>
      <c r="W924" s="72" t="n"/>
      <c r="X924" s="72" t="n"/>
      <c r="Y924" s="72" t="n"/>
    </row>
    <row r="925">
      <c r="A925" s="72" t="n"/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  <c r="T925" s="72" t="n"/>
      <c r="U925" s="72" t="n"/>
      <c r="V925" s="72" t="n"/>
      <c r="W925" s="72" t="n"/>
      <c r="X925" s="72" t="n"/>
      <c r="Y925" s="72" t="n"/>
    </row>
    <row r="926">
      <c r="A926" s="72" t="n"/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  <c r="T926" s="72" t="n"/>
      <c r="U926" s="72" t="n"/>
      <c r="V926" s="72" t="n"/>
      <c r="W926" s="72" t="n"/>
      <c r="X926" s="72" t="n"/>
      <c r="Y926" s="72" t="n"/>
    </row>
    <row r="927">
      <c r="A927" s="72" t="n"/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  <c r="T927" s="72" t="n"/>
      <c r="U927" s="72" t="n"/>
      <c r="V927" s="72" t="n"/>
      <c r="W927" s="72" t="n"/>
      <c r="X927" s="72" t="n"/>
      <c r="Y927" s="72" t="n"/>
    </row>
    <row r="928">
      <c r="A928" s="72" t="n"/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  <c r="T928" s="72" t="n"/>
      <c r="U928" s="72" t="n"/>
      <c r="V928" s="72" t="n"/>
      <c r="W928" s="72" t="n"/>
      <c r="X928" s="72" t="n"/>
      <c r="Y928" s="72" t="n"/>
    </row>
    <row r="929">
      <c r="A929" s="72" t="n"/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  <c r="T929" s="72" t="n"/>
      <c r="U929" s="72" t="n"/>
      <c r="V929" s="72" t="n"/>
      <c r="W929" s="72" t="n"/>
      <c r="X929" s="72" t="n"/>
      <c r="Y929" s="72" t="n"/>
    </row>
    <row r="930">
      <c r="A930" s="72" t="n"/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  <c r="T930" s="72" t="n"/>
      <c r="U930" s="72" t="n"/>
      <c r="V930" s="72" t="n"/>
      <c r="W930" s="72" t="n"/>
      <c r="X930" s="72" t="n"/>
      <c r="Y930" s="72" t="n"/>
    </row>
    <row r="931">
      <c r="A931" s="72" t="n"/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  <c r="T931" s="72" t="n"/>
      <c r="U931" s="72" t="n"/>
      <c r="V931" s="72" t="n"/>
      <c r="W931" s="72" t="n"/>
      <c r="X931" s="72" t="n"/>
      <c r="Y931" s="72" t="n"/>
    </row>
    <row r="932">
      <c r="A932" s="72" t="n"/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  <c r="T932" s="72" t="n"/>
      <c r="U932" s="72" t="n"/>
      <c r="V932" s="72" t="n"/>
      <c r="W932" s="72" t="n"/>
      <c r="X932" s="72" t="n"/>
      <c r="Y932" s="72" t="n"/>
    </row>
    <row r="933">
      <c r="A933" s="72" t="n"/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  <c r="T933" s="72" t="n"/>
      <c r="U933" s="72" t="n"/>
      <c r="V933" s="72" t="n"/>
      <c r="W933" s="72" t="n"/>
      <c r="X933" s="72" t="n"/>
      <c r="Y933" s="72" t="n"/>
    </row>
    <row r="934">
      <c r="A934" s="72" t="n"/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  <c r="T934" s="72" t="n"/>
      <c r="U934" s="72" t="n"/>
      <c r="V934" s="72" t="n"/>
      <c r="W934" s="72" t="n"/>
      <c r="X934" s="72" t="n"/>
      <c r="Y934" s="72" t="n"/>
    </row>
    <row r="935">
      <c r="A935" s="72" t="n"/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  <c r="T935" s="72" t="n"/>
      <c r="U935" s="72" t="n"/>
      <c r="V935" s="72" t="n"/>
      <c r="W935" s="72" t="n"/>
      <c r="X935" s="72" t="n"/>
      <c r="Y935" s="72" t="n"/>
    </row>
    <row r="936">
      <c r="A936" s="72" t="n"/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  <c r="T936" s="72" t="n"/>
      <c r="U936" s="72" t="n"/>
      <c r="V936" s="72" t="n"/>
      <c r="W936" s="72" t="n"/>
      <c r="X936" s="72" t="n"/>
      <c r="Y936" s="72" t="n"/>
    </row>
    <row r="937">
      <c r="A937" s="72" t="n"/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  <c r="T937" s="72" t="n"/>
      <c r="U937" s="72" t="n"/>
      <c r="V937" s="72" t="n"/>
      <c r="W937" s="72" t="n"/>
      <c r="X937" s="72" t="n"/>
      <c r="Y937" s="72" t="n"/>
    </row>
    <row r="938">
      <c r="A938" s="72" t="n"/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  <c r="T938" s="72" t="n"/>
      <c r="U938" s="72" t="n"/>
      <c r="V938" s="72" t="n"/>
      <c r="W938" s="72" t="n"/>
      <c r="X938" s="72" t="n"/>
      <c r="Y938" s="72" t="n"/>
    </row>
    <row r="939">
      <c r="A939" s="72" t="n"/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  <c r="T939" s="72" t="n"/>
      <c r="U939" s="72" t="n"/>
      <c r="V939" s="72" t="n"/>
      <c r="W939" s="72" t="n"/>
      <c r="X939" s="72" t="n"/>
      <c r="Y939" s="72" t="n"/>
    </row>
    <row r="940">
      <c r="A940" s="72" t="n"/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  <c r="T940" s="72" t="n"/>
      <c r="U940" s="72" t="n"/>
      <c r="V940" s="72" t="n"/>
      <c r="W940" s="72" t="n"/>
      <c r="X940" s="72" t="n"/>
      <c r="Y940" s="72" t="n"/>
    </row>
    <row r="941">
      <c r="A941" s="72" t="n"/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  <c r="T941" s="72" t="n"/>
      <c r="U941" s="72" t="n"/>
      <c r="V941" s="72" t="n"/>
      <c r="W941" s="72" t="n"/>
      <c r="X941" s="72" t="n"/>
      <c r="Y941" s="72" t="n"/>
    </row>
    <row r="942">
      <c r="A942" s="72" t="n"/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  <c r="T942" s="72" t="n"/>
      <c r="U942" s="72" t="n"/>
      <c r="V942" s="72" t="n"/>
      <c r="W942" s="72" t="n"/>
      <c r="X942" s="72" t="n"/>
      <c r="Y942" s="72" t="n"/>
    </row>
    <row r="943">
      <c r="A943" s="72" t="n"/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  <c r="T943" s="72" t="n"/>
      <c r="U943" s="72" t="n"/>
      <c r="V943" s="72" t="n"/>
      <c r="W943" s="72" t="n"/>
      <c r="X943" s="72" t="n"/>
      <c r="Y943" s="72" t="n"/>
    </row>
    <row r="944">
      <c r="A944" s="72" t="n"/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  <c r="T944" s="72" t="n"/>
      <c r="U944" s="72" t="n"/>
      <c r="V944" s="72" t="n"/>
      <c r="W944" s="72" t="n"/>
      <c r="X944" s="72" t="n"/>
      <c r="Y944" s="72" t="n"/>
    </row>
    <row r="945">
      <c r="A945" s="72" t="n"/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  <c r="T945" s="72" t="n"/>
      <c r="U945" s="72" t="n"/>
      <c r="V945" s="72" t="n"/>
      <c r="W945" s="72" t="n"/>
      <c r="X945" s="72" t="n"/>
      <c r="Y945" s="72" t="n"/>
    </row>
    <row r="946">
      <c r="A946" s="72" t="n"/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  <c r="T946" s="72" t="n"/>
      <c r="U946" s="72" t="n"/>
      <c r="V946" s="72" t="n"/>
      <c r="W946" s="72" t="n"/>
      <c r="X946" s="72" t="n"/>
      <c r="Y946" s="72" t="n"/>
    </row>
    <row r="947">
      <c r="A947" s="72" t="n"/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  <c r="T947" s="72" t="n"/>
      <c r="U947" s="72" t="n"/>
      <c r="V947" s="72" t="n"/>
      <c r="W947" s="72" t="n"/>
      <c r="X947" s="72" t="n"/>
      <c r="Y947" s="72" t="n"/>
    </row>
    <row r="948">
      <c r="A948" s="72" t="n"/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  <c r="T948" s="72" t="n"/>
      <c r="U948" s="72" t="n"/>
      <c r="V948" s="72" t="n"/>
      <c r="W948" s="72" t="n"/>
      <c r="X948" s="72" t="n"/>
      <c r="Y948" s="72" t="n"/>
    </row>
    <row r="949">
      <c r="A949" s="72" t="n"/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  <c r="T949" s="72" t="n"/>
      <c r="U949" s="72" t="n"/>
      <c r="V949" s="72" t="n"/>
      <c r="W949" s="72" t="n"/>
      <c r="X949" s="72" t="n"/>
      <c r="Y949" s="72" t="n"/>
    </row>
    <row r="950">
      <c r="A950" s="72" t="n"/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  <c r="T950" s="72" t="n"/>
      <c r="U950" s="72" t="n"/>
      <c r="V950" s="72" t="n"/>
      <c r="W950" s="72" t="n"/>
      <c r="X950" s="72" t="n"/>
      <c r="Y950" s="72" t="n"/>
    </row>
    <row r="951">
      <c r="A951" s="72" t="n"/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  <c r="T951" s="72" t="n"/>
      <c r="U951" s="72" t="n"/>
      <c r="V951" s="72" t="n"/>
      <c r="W951" s="72" t="n"/>
      <c r="X951" s="72" t="n"/>
      <c r="Y951" s="72" t="n"/>
    </row>
    <row r="952">
      <c r="A952" s="72" t="n"/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  <c r="T952" s="72" t="n"/>
      <c r="U952" s="72" t="n"/>
      <c r="V952" s="72" t="n"/>
      <c r="W952" s="72" t="n"/>
      <c r="X952" s="72" t="n"/>
      <c r="Y952" s="72" t="n"/>
    </row>
    <row r="953">
      <c r="A953" s="72" t="n"/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  <c r="T953" s="72" t="n"/>
      <c r="U953" s="72" t="n"/>
      <c r="V953" s="72" t="n"/>
      <c r="W953" s="72" t="n"/>
      <c r="X953" s="72" t="n"/>
      <c r="Y953" s="72" t="n"/>
    </row>
    <row r="954">
      <c r="A954" s="72" t="n"/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  <c r="T954" s="72" t="n"/>
      <c r="U954" s="72" t="n"/>
      <c r="V954" s="72" t="n"/>
      <c r="W954" s="72" t="n"/>
      <c r="X954" s="72" t="n"/>
      <c r="Y954" s="72" t="n"/>
    </row>
    <row r="955">
      <c r="A955" s="72" t="n"/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  <c r="T955" s="72" t="n"/>
      <c r="U955" s="72" t="n"/>
      <c r="V955" s="72" t="n"/>
      <c r="W955" s="72" t="n"/>
      <c r="X955" s="72" t="n"/>
      <c r="Y955" s="72" t="n"/>
    </row>
    <row r="956">
      <c r="A956" s="72" t="n"/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  <c r="T956" s="72" t="n"/>
      <c r="U956" s="72" t="n"/>
      <c r="V956" s="72" t="n"/>
      <c r="W956" s="72" t="n"/>
      <c r="X956" s="72" t="n"/>
      <c r="Y956" s="72" t="n"/>
    </row>
    <row r="957">
      <c r="A957" s="72" t="n"/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  <c r="T957" s="72" t="n"/>
      <c r="U957" s="72" t="n"/>
      <c r="V957" s="72" t="n"/>
      <c r="W957" s="72" t="n"/>
      <c r="X957" s="72" t="n"/>
      <c r="Y957" s="72" t="n"/>
    </row>
    <row r="958">
      <c r="A958" s="72" t="n"/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  <c r="T958" s="72" t="n"/>
      <c r="U958" s="72" t="n"/>
      <c r="V958" s="72" t="n"/>
      <c r="W958" s="72" t="n"/>
      <c r="X958" s="72" t="n"/>
      <c r="Y958" s="72" t="n"/>
    </row>
    <row r="959">
      <c r="A959" s="72" t="n"/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  <c r="T959" s="72" t="n"/>
      <c r="U959" s="72" t="n"/>
      <c r="V959" s="72" t="n"/>
      <c r="W959" s="72" t="n"/>
      <c r="X959" s="72" t="n"/>
      <c r="Y959" s="72" t="n"/>
    </row>
    <row r="960">
      <c r="A960" s="72" t="n"/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  <c r="T960" s="72" t="n"/>
      <c r="U960" s="72" t="n"/>
      <c r="V960" s="72" t="n"/>
      <c r="W960" s="72" t="n"/>
      <c r="X960" s="72" t="n"/>
      <c r="Y960" s="72" t="n"/>
    </row>
    <row r="961">
      <c r="A961" s="72" t="n"/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  <c r="T961" s="72" t="n"/>
      <c r="U961" s="72" t="n"/>
      <c r="V961" s="72" t="n"/>
      <c r="W961" s="72" t="n"/>
      <c r="X961" s="72" t="n"/>
      <c r="Y961" s="72" t="n"/>
    </row>
    <row r="962">
      <c r="A962" s="72" t="n"/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  <c r="T962" s="72" t="n"/>
      <c r="U962" s="72" t="n"/>
      <c r="V962" s="72" t="n"/>
      <c r="W962" s="72" t="n"/>
      <c r="X962" s="72" t="n"/>
      <c r="Y962" s="72" t="n"/>
    </row>
    <row r="963">
      <c r="A963" s="72" t="n"/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  <c r="T963" s="72" t="n"/>
      <c r="U963" s="72" t="n"/>
      <c r="V963" s="72" t="n"/>
      <c r="W963" s="72" t="n"/>
      <c r="X963" s="72" t="n"/>
      <c r="Y963" s="72" t="n"/>
    </row>
    <row r="964">
      <c r="A964" s="72" t="n"/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  <c r="T964" s="72" t="n"/>
      <c r="U964" s="72" t="n"/>
      <c r="V964" s="72" t="n"/>
      <c r="W964" s="72" t="n"/>
      <c r="X964" s="72" t="n"/>
      <c r="Y964" s="72" t="n"/>
    </row>
    <row r="965">
      <c r="A965" s="72" t="n"/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  <c r="T965" s="72" t="n"/>
      <c r="U965" s="72" t="n"/>
      <c r="V965" s="72" t="n"/>
      <c r="W965" s="72" t="n"/>
      <c r="X965" s="72" t="n"/>
      <c r="Y965" s="72" t="n"/>
    </row>
    <row r="966">
      <c r="A966" s="72" t="n"/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  <c r="T966" s="72" t="n"/>
      <c r="U966" s="72" t="n"/>
      <c r="V966" s="72" t="n"/>
      <c r="W966" s="72" t="n"/>
      <c r="X966" s="72" t="n"/>
      <c r="Y966" s="72" t="n"/>
    </row>
    <row r="967">
      <c r="A967" s="72" t="n"/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  <c r="T967" s="72" t="n"/>
      <c r="U967" s="72" t="n"/>
      <c r="V967" s="72" t="n"/>
      <c r="W967" s="72" t="n"/>
      <c r="X967" s="72" t="n"/>
      <c r="Y967" s="72" t="n"/>
    </row>
    <row r="968">
      <c r="A968" s="72" t="n"/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  <c r="T968" s="72" t="n"/>
      <c r="U968" s="72" t="n"/>
      <c r="V968" s="72" t="n"/>
      <c r="W968" s="72" t="n"/>
      <c r="X968" s="72" t="n"/>
      <c r="Y968" s="72" t="n"/>
    </row>
    <row r="969">
      <c r="A969" s="72" t="n"/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  <c r="T969" s="72" t="n"/>
      <c r="U969" s="72" t="n"/>
      <c r="V969" s="72" t="n"/>
      <c r="W969" s="72" t="n"/>
      <c r="X969" s="72" t="n"/>
      <c r="Y969" s="72" t="n"/>
    </row>
    <row r="970">
      <c r="A970" s="72" t="n"/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  <c r="T970" s="72" t="n"/>
      <c r="U970" s="72" t="n"/>
      <c r="V970" s="72" t="n"/>
      <c r="W970" s="72" t="n"/>
      <c r="X970" s="72" t="n"/>
      <c r="Y970" s="72" t="n"/>
    </row>
    <row r="971">
      <c r="A971" s="72" t="n"/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  <c r="T971" s="72" t="n"/>
      <c r="U971" s="72" t="n"/>
      <c r="V971" s="72" t="n"/>
      <c r="W971" s="72" t="n"/>
      <c r="X971" s="72" t="n"/>
      <c r="Y971" s="72" t="n"/>
    </row>
    <row r="972">
      <c r="A972" s="72" t="n"/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  <c r="T972" s="72" t="n"/>
      <c r="U972" s="72" t="n"/>
      <c r="V972" s="72" t="n"/>
      <c r="W972" s="72" t="n"/>
      <c r="X972" s="72" t="n"/>
      <c r="Y972" s="72" t="n"/>
    </row>
    <row r="973">
      <c r="A973" s="72" t="n"/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  <c r="T973" s="72" t="n"/>
      <c r="U973" s="72" t="n"/>
      <c r="V973" s="72" t="n"/>
      <c r="W973" s="72" t="n"/>
      <c r="X973" s="72" t="n"/>
      <c r="Y973" s="72" t="n"/>
    </row>
    <row r="974">
      <c r="A974" s="72" t="n"/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  <c r="T974" s="72" t="n"/>
      <c r="U974" s="72" t="n"/>
      <c r="V974" s="72" t="n"/>
      <c r="W974" s="72" t="n"/>
      <c r="X974" s="72" t="n"/>
      <c r="Y974" s="72" t="n"/>
    </row>
    <row r="975">
      <c r="A975" s="72" t="n"/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  <c r="T975" s="72" t="n"/>
      <c r="U975" s="72" t="n"/>
      <c r="V975" s="72" t="n"/>
      <c r="W975" s="72" t="n"/>
      <c r="X975" s="72" t="n"/>
      <c r="Y975" s="72" t="n"/>
    </row>
    <row r="976">
      <c r="A976" s="72" t="n"/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  <c r="T976" s="72" t="n"/>
      <c r="U976" s="72" t="n"/>
      <c r="V976" s="72" t="n"/>
      <c r="W976" s="72" t="n"/>
      <c r="X976" s="72" t="n"/>
      <c r="Y976" s="72" t="n"/>
    </row>
    <row r="977">
      <c r="A977" s="72" t="n"/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  <c r="T977" s="72" t="n"/>
      <c r="U977" s="72" t="n"/>
      <c r="V977" s="72" t="n"/>
      <c r="W977" s="72" t="n"/>
      <c r="X977" s="72" t="n"/>
      <c r="Y977" s="72" t="n"/>
    </row>
    <row r="978">
      <c r="A978" s="72" t="n"/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  <c r="T978" s="72" t="n"/>
      <c r="U978" s="72" t="n"/>
      <c r="V978" s="72" t="n"/>
      <c r="W978" s="72" t="n"/>
      <c r="X978" s="72" t="n"/>
      <c r="Y978" s="72" t="n"/>
    </row>
    <row r="979">
      <c r="A979" s="72" t="n"/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  <c r="T979" s="72" t="n"/>
      <c r="U979" s="72" t="n"/>
      <c r="V979" s="72" t="n"/>
      <c r="W979" s="72" t="n"/>
      <c r="X979" s="72" t="n"/>
      <c r="Y979" s="72" t="n"/>
    </row>
    <row r="980">
      <c r="A980" s="72" t="n"/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  <c r="T980" s="72" t="n"/>
      <c r="U980" s="72" t="n"/>
      <c r="V980" s="72" t="n"/>
      <c r="W980" s="72" t="n"/>
      <c r="X980" s="72" t="n"/>
      <c r="Y980" s="72" t="n"/>
    </row>
    <row r="981">
      <c r="A981" s="72" t="n"/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  <c r="T981" s="72" t="n"/>
      <c r="U981" s="72" t="n"/>
      <c r="V981" s="72" t="n"/>
      <c r="W981" s="72" t="n"/>
      <c r="X981" s="72" t="n"/>
      <c r="Y981" s="72" t="n"/>
    </row>
    <row r="982">
      <c r="A982" s="72" t="n"/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  <c r="T982" s="72" t="n"/>
      <c r="U982" s="72" t="n"/>
      <c r="V982" s="72" t="n"/>
      <c r="W982" s="72" t="n"/>
      <c r="X982" s="72" t="n"/>
      <c r="Y982" s="72" t="n"/>
    </row>
    <row r="983">
      <c r="A983" s="72" t="n"/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  <c r="T983" s="72" t="n"/>
      <c r="U983" s="72" t="n"/>
      <c r="V983" s="72" t="n"/>
      <c r="W983" s="72" t="n"/>
      <c r="X983" s="72" t="n"/>
      <c r="Y983" s="72" t="n"/>
    </row>
    <row r="984">
      <c r="A984" s="72" t="n"/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  <c r="T984" s="72" t="n"/>
      <c r="U984" s="72" t="n"/>
      <c r="V984" s="72" t="n"/>
      <c r="W984" s="72" t="n"/>
      <c r="X984" s="72" t="n"/>
      <c r="Y984" s="72" t="n"/>
    </row>
    <row r="985">
      <c r="A985" s="72" t="n"/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  <c r="T985" s="72" t="n"/>
      <c r="U985" s="72" t="n"/>
      <c r="V985" s="72" t="n"/>
      <c r="W985" s="72" t="n"/>
      <c r="X985" s="72" t="n"/>
      <c r="Y985" s="72" t="n"/>
    </row>
    <row r="986">
      <c r="A986" s="72" t="n"/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  <c r="T986" s="72" t="n"/>
      <c r="U986" s="72" t="n"/>
      <c r="V986" s="72" t="n"/>
      <c r="W986" s="72" t="n"/>
      <c r="X986" s="72" t="n"/>
      <c r="Y986" s="72" t="n"/>
    </row>
    <row r="987">
      <c r="A987" s="72" t="n"/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  <c r="T987" s="72" t="n"/>
      <c r="U987" s="72" t="n"/>
      <c r="V987" s="72" t="n"/>
      <c r="W987" s="72" t="n"/>
      <c r="X987" s="72" t="n"/>
      <c r="Y987" s="72" t="n"/>
    </row>
    <row r="988">
      <c r="A988" s="72" t="n"/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  <c r="T988" s="72" t="n"/>
      <c r="U988" s="72" t="n"/>
      <c r="V988" s="72" t="n"/>
      <c r="W988" s="72" t="n"/>
      <c r="X988" s="72" t="n"/>
      <c r="Y988" s="72" t="n"/>
    </row>
    <row r="989">
      <c r="A989" s="72" t="n"/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  <c r="T989" s="72" t="n"/>
      <c r="U989" s="72" t="n"/>
      <c r="V989" s="72" t="n"/>
      <c r="W989" s="72" t="n"/>
      <c r="X989" s="72" t="n"/>
      <c r="Y989" s="72" t="n"/>
    </row>
    <row r="990">
      <c r="A990" s="72" t="n"/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  <c r="T990" s="72" t="n"/>
      <c r="U990" s="72" t="n"/>
      <c r="V990" s="72" t="n"/>
      <c r="W990" s="72" t="n"/>
      <c r="X990" s="72" t="n"/>
      <c r="Y990" s="72" t="n"/>
    </row>
    <row r="991">
      <c r="A991" s="72" t="n"/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  <c r="T991" s="72" t="n"/>
      <c r="U991" s="72" t="n"/>
      <c r="V991" s="72" t="n"/>
      <c r="W991" s="72" t="n"/>
      <c r="X991" s="72" t="n"/>
      <c r="Y991" s="72" t="n"/>
    </row>
    <row r="992">
      <c r="A992" s="72" t="n"/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  <c r="T992" s="72" t="n"/>
      <c r="U992" s="72" t="n"/>
      <c r="V992" s="72" t="n"/>
      <c r="W992" s="72" t="n"/>
      <c r="X992" s="72" t="n"/>
      <c r="Y992" s="72" t="n"/>
    </row>
    <row r="993">
      <c r="A993" s="72" t="n"/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  <c r="T993" s="72" t="n"/>
      <c r="U993" s="72" t="n"/>
      <c r="V993" s="72" t="n"/>
      <c r="W993" s="72" t="n"/>
      <c r="X993" s="72" t="n"/>
      <c r="Y993" s="72" t="n"/>
    </row>
    <row r="994">
      <c r="A994" s="72" t="n"/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  <c r="T994" s="72" t="n"/>
      <c r="U994" s="72" t="n"/>
      <c r="V994" s="72" t="n"/>
      <c r="W994" s="72" t="n"/>
      <c r="X994" s="72" t="n"/>
      <c r="Y994" s="72" t="n"/>
    </row>
    <row r="995">
      <c r="A995" s="72" t="n"/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  <c r="T995" s="72" t="n"/>
      <c r="U995" s="72" t="n"/>
      <c r="V995" s="72" t="n"/>
      <c r="W995" s="72" t="n"/>
      <c r="X995" s="72" t="n"/>
      <c r="Y995" s="72" t="n"/>
    </row>
    <row r="996">
      <c r="A996" s="72" t="n"/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  <c r="T996" s="72" t="n"/>
      <c r="U996" s="72" t="n"/>
      <c r="V996" s="72" t="n"/>
      <c r="W996" s="72" t="n"/>
      <c r="X996" s="72" t="n"/>
      <c r="Y996" s="72" t="n"/>
    </row>
    <row r="997">
      <c r="A997" s="72" t="n"/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  <c r="T997" s="72" t="n"/>
      <c r="U997" s="72" t="n"/>
      <c r="V997" s="72" t="n"/>
      <c r="W997" s="72" t="n"/>
      <c r="X997" s="72" t="n"/>
      <c r="Y997" s="72" t="n"/>
    </row>
    <row r="998">
      <c r="A998" s="72" t="n"/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  <c r="T998" s="72" t="n"/>
      <c r="U998" s="72" t="n"/>
      <c r="V998" s="72" t="n"/>
      <c r="W998" s="72" t="n"/>
      <c r="X998" s="72" t="n"/>
      <c r="Y998" s="72" t="n"/>
    </row>
    <row r="999">
      <c r="A999" s="72" t="n"/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  <c r="T999" s="72" t="n"/>
      <c r="U999" s="72" t="n"/>
      <c r="V999" s="72" t="n"/>
      <c r="W999" s="72" t="n"/>
      <c r="X999" s="72" t="n"/>
      <c r="Y999" s="72" t="n"/>
    </row>
    <row r="1000">
      <c r="A1000" s="72" t="n"/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  <c r="T1000" s="72" t="n"/>
      <c r="U1000" s="72" t="n"/>
      <c r="V1000" s="72" t="n"/>
      <c r="W1000" s="72" t="n"/>
      <c r="X1000" s="72" t="n"/>
      <c r="Y1000" s="72" t="n"/>
    </row>
    <row r="1001">
      <c r="A1001" s="72" t="n"/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  <c r="T1001" s="72" t="n"/>
      <c r="U1001" s="72" t="n"/>
      <c r="V1001" s="72" t="n"/>
      <c r="W1001" s="72" t="n"/>
      <c r="X1001" s="72" t="n"/>
      <c r="Y1001" s="72" t="n"/>
    </row>
    <row r="1002">
      <c r="A1002" s="72" t="n"/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  <c r="T1002" s="72" t="n"/>
      <c r="U1002" s="72" t="n"/>
      <c r="V1002" s="72" t="n"/>
      <c r="W1002" s="72" t="n"/>
      <c r="X1002" s="72" t="n"/>
      <c r="Y1002" s="72" t="n"/>
    </row>
    <row r="1003">
      <c r="A1003" s="72" t="n"/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  <c r="T1003" s="72" t="n"/>
      <c r="U1003" s="72" t="n"/>
      <c r="V1003" s="72" t="n"/>
      <c r="W1003" s="72" t="n"/>
      <c r="X1003" s="72" t="n"/>
      <c r="Y1003" s="72" t="n"/>
    </row>
    <row r="1004">
      <c r="A1004" s="72" t="n"/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  <c r="T1004" s="72" t="n"/>
      <c r="U1004" s="72" t="n"/>
      <c r="V1004" s="72" t="n"/>
      <c r="W1004" s="72" t="n"/>
      <c r="X1004" s="72" t="n"/>
      <c r="Y1004" s="72" t="n"/>
    </row>
    <row r="1005">
      <c r="A1005" s="72" t="n"/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  <c r="T1005" s="72" t="n"/>
      <c r="U1005" s="72" t="n"/>
      <c r="V1005" s="72" t="n"/>
      <c r="W1005" s="72" t="n"/>
      <c r="X1005" s="72" t="n"/>
      <c r="Y1005" s="72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2026-02-12T03:16:47Z</dcterms:created>
  <dcterms:modified xmlns:dcterms="http://purl.org/dc/terms/" xmlns:xsi="http://www.w3.org/2001/XMLSchema-instance" xsi:type="dcterms:W3CDTF">2026-02-12T03:25:01Z</dcterms:modified>
</cp:coreProperties>
</file>