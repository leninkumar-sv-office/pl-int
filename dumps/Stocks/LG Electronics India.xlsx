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BFF9513_F4B9_409D_9F67_A09902270332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2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45971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1643.9</v>
      </c>
      <c r="F5" t="n">
        <v>3304.24</v>
      </c>
      <c r="G5" t="inlineStr">
        <is>
          <t>CN#252607962278</t>
        </is>
      </c>
      <c r="I5" t="n">
        <v>16.44</v>
      </c>
      <c r="J5">
        <f>Index!$C$2</f>
        <v/>
      </c>
    </row>
    <row r="6">
      <c r="A6" s="93" t="n">
        <v>45967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1607.15</v>
      </c>
      <c r="F6" s="0" t="n">
        <v>3230.38</v>
      </c>
      <c r="G6" s="0" t="inlineStr">
        <is>
          <t>CN#252607785263</t>
        </is>
      </c>
      <c r="I6" s="0" t="n">
        <v>16.08</v>
      </c>
      <c r="J6" s="0">
        <f>Index!$C$2</f>
        <v/>
      </c>
    </row>
    <row r="7">
      <c r="A7" s="93" t="n">
        <v>45961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1663</v>
      </c>
      <c r="F7" s="0" t="n">
        <v>3342.64</v>
      </c>
      <c r="G7" s="0" t="inlineStr">
        <is>
          <t>CN#252607606298</t>
        </is>
      </c>
      <c r="I7" s="0" t="n">
        <v>16.64</v>
      </c>
      <c r="J7" s="0">
        <f>Index!$C$2</f>
        <v/>
      </c>
    </row>
    <row r="8">
      <c r="A8" s="93" t="n">
        <v>45959</v>
      </c>
      <c r="B8" s="0" t="inlineStr">
        <is>
          <t>NSE</t>
        </is>
      </c>
      <c r="C8" s="0" t="inlineStr">
        <is>
          <t>Buy</t>
        </is>
      </c>
      <c r="D8" s="0" t="n">
        <v>1</v>
      </c>
      <c r="E8" s="0" t="n">
        <v>1651.5</v>
      </c>
      <c r="F8" s="0" t="n">
        <v>1659.76</v>
      </c>
      <c r="G8" s="0" t="inlineStr">
        <is>
          <t>CN#252607497001</t>
        </is>
      </c>
      <c r="I8" s="0" t="n">
        <v>8.26</v>
      </c>
      <c r="J8" s="0">
        <f>Index!$C$2</f>
        <v/>
      </c>
    </row>
    <row r="9">
      <c r="A9" s="93" t="n">
        <v>45957</v>
      </c>
      <c r="B9" s="0" t="inlineStr">
        <is>
          <t>BSE</t>
        </is>
      </c>
      <c r="C9" s="0" t="inlineStr">
        <is>
          <t>Buy</t>
        </is>
      </c>
      <c r="D9" s="0" t="n">
        <v>2</v>
      </c>
      <c r="E9" s="0" t="n">
        <v>1650.5</v>
      </c>
      <c r="F9" s="0" t="n">
        <v>3317.5</v>
      </c>
      <c r="G9" s="0" t="inlineStr">
        <is>
          <t>CN#252607382790</t>
        </is>
      </c>
      <c r="I9" s="0" t="n">
        <v>16.5</v>
      </c>
      <c r="J9" s="0">
        <f>Index!$C$2</f>
        <v/>
      </c>
    </row>
    <row r="10">
      <c r="A10" s="93" t="n">
        <v>45968</v>
      </c>
      <c r="B10" s="0" t="inlineStr">
        <is>
          <t>BSE</t>
        </is>
      </c>
      <c r="C10" s="0" t="inlineStr">
        <is>
          <t>Buy</t>
        </is>
      </c>
      <c r="D10" s="0" t="n">
        <v>2</v>
      </c>
      <c r="E10" s="0" t="n">
        <v>1610.5</v>
      </c>
      <c r="F10" s="0" t="n">
        <v>3237.1</v>
      </c>
      <c r="G10" s="0" t="inlineStr">
        <is>
          <t>CN#252607899666</t>
        </is>
      </c>
      <c r="I10" s="0" t="n">
        <v>16.1</v>
      </c>
      <c r="J10" s="0">
        <f>Index!$C$2</f>
        <v/>
      </c>
    </row>
    <row r="11">
      <c r="A11" s="93" t="n">
        <v>46063</v>
      </c>
      <c r="B11" s="0" t="inlineStr">
        <is>
          <t>BSE</t>
        </is>
      </c>
      <c r="C11" s="0" t="inlineStr">
        <is>
          <t>Buy</t>
        </is>
      </c>
      <c r="D11" s="0" t="n">
        <v>2</v>
      </c>
      <c r="E11" s="0" t="n">
        <v>1554.1</v>
      </c>
      <c r="F11" s="0" t="n">
        <v>3130.26</v>
      </c>
      <c r="G11" s="0" t="inlineStr">
        <is>
          <t>CN#252611730667</t>
        </is>
      </c>
      <c r="H11" s="0" t="n">
        <v>3.11</v>
      </c>
      <c r="I11" s="0" t="n">
        <v>18.95</v>
      </c>
      <c r="J11" s="0">
        <f>Index!$C$2</f>
        <v/>
      </c>
    </row>
    <row r="12">
      <c r="A12" s="93" t="n">
        <v>46062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1498</v>
      </c>
      <c r="F12" s="0" t="n">
        <v>3017.23</v>
      </c>
      <c r="G12" s="0" t="inlineStr">
        <is>
          <t>CN#252611665409</t>
        </is>
      </c>
      <c r="H12" s="0" t="n">
        <v>3</v>
      </c>
      <c r="I12" s="0" t="n">
        <v>18.23</v>
      </c>
      <c r="J12" s="0">
        <f>Index!$C$2</f>
        <v/>
      </c>
    </row>
    <row r="13">
      <c r="A13" s="31" t="n">
        <v>45863</v>
      </c>
      <c r="B13" s="32" t="inlineStr">
        <is>
          <t>DIV</t>
        </is>
      </c>
      <c r="C13" s="32" t="inlineStr">
        <is>
          <t>Buy</t>
        </is>
      </c>
      <c r="D13" s="33" t="n">
        <v>100</v>
      </c>
      <c r="E13" s="34" t="n">
        <v>4.75</v>
      </c>
      <c r="F13" s="34" t="n">
        <v>475</v>
      </c>
      <c r="G13" s="32" t="inlineStr">
        <is>
          <t>Annual-Dividend of Rs.4.7500/- per share on Ex-Date: 25-JUL-2025</t>
        </is>
      </c>
      <c r="H13" s="34" t="n">
        <v>0</v>
      </c>
      <c r="I13" s="33" t="n">
        <v>0</v>
      </c>
      <c r="J13" s="35">
        <f>Index!$C$2</f>
        <v/>
      </c>
      <c r="K13" s="36">
        <f>IF(AND( C5="Buy", ISBLANK(W5), B5&lt;&gt;"DIV"), L5/sum(F5:I5), "")</f>
        <v/>
      </c>
      <c r="L13" s="37">
        <f>IF(AND( C5="Buy", ISBLANK(W5), B5&lt;&gt;"DIV"), (1-Index!$F$2*2)*((J5*D5)-(E5*D5)), "")</f>
        <v/>
      </c>
      <c r="M13" s="37">
        <f>IF(AND( C5="Buy", ISBLANK(W5), B5&lt;&gt;"DIV"), ((E5*D5)+L5), "")</f>
        <v/>
      </c>
      <c r="N13" s="38">
        <f>IF(AND( C5="Buy", ISBLANK(W5), B5&lt;&gt;"DIV"), D5, "")</f>
        <v/>
      </c>
      <c r="O13" s="36">
        <f>IF(AND( C5="Buy", ISBLANK(W5), B5&lt;&gt;"DIV", NOW()-A5 &lt; 365), P5/sum(F5:I5), "")</f>
        <v/>
      </c>
      <c r="P13" s="37">
        <f>IF(AND( C5="Buy", ISBLANK(W5), B5&lt;&gt;"DIV", NOW()-A5 &lt; 365), (1-Index!$F$2*2)*((J5*D5)-(E5*D5)), "")</f>
        <v/>
      </c>
      <c r="Q13" s="37">
        <f>IF(AND( C5="Buy", ISBLANK(W5), B5&lt;&gt;"DIV", NOW()-A5 &lt; 365), ((E5*D5)+P5), "")</f>
        <v/>
      </c>
      <c r="R13" s="37">
        <f>IF(AND( C5="Buy", ISBLANK(W5), B5&lt;&gt;"DIV", NOW()-A5 &lt; 365), D5, "")</f>
        <v/>
      </c>
      <c r="S13" s="39">
        <f>IF(AND( C5="Buy", ISBLANK(W5), B5&lt;&gt;"DIV", NOW()-A5 &gt; 365), T5/sum(F5:I5), "")</f>
        <v/>
      </c>
      <c r="T13" s="40">
        <f>IF(AND( C5="Buy", ISBLANK(W5), B5&lt;&gt;"DIV", NOW()-A5 &gt; 365), (1-Index!$F$2*2)*((J5*D5)-(E5*D5)), "")</f>
        <v/>
      </c>
      <c r="U13" s="40">
        <f>IF(AND( C5="Buy", ISBLANK(W5), B5&lt;&gt;"DIV", NOW()-A5 &gt; 365), ((E5*D5)+T5), "")</f>
        <v/>
      </c>
      <c r="V13" s="40">
        <f>IF(AND( C5="Buy", ISBLANK(W5), B5&lt;&gt;"DIV", NOW()-A5 &gt; 365), D5, "")</f>
        <v/>
      </c>
      <c r="W13" s="40" t="n"/>
      <c r="X13" s="40" t="n"/>
      <c r="Y13" s="39">
        <f>IF(AND( C5="Buy", W5&lt;&gt;"", AA5&lt;&gt;"", B5&lt;&gt;"DIV"), Z5/sum(F5:I5), "")</f>
        <v/>
      </c>
      <c r="Z13" s="40" t="n"/>
      <c r="AA13" s="40" t="n"/>
      <c r="AB13" s="41" t="n"/>
      <c r="AC13" s="37">
        <f>if(B5="DIV", F5,"")</f>
        <v/>
      </c>
      <c r="AD13" s="42" t="n"/>
    </row>
    <row r="14">
      <c r="A14" s="43" t="n">
        <v>45699</v>
      </c>
      <c r="B14" s="44" t="inlineStr">
        <is>
          <t>NSE</t>
        </is>
      </c>
      <c r="C14" s="44" t="inlineStr">
        <is>
          <t>Buy</t>
        </is>
      </c>
      <c r="D14" s="45" t="n">
        <v>60</v>
      </c>
      <c r="E14" s="46" t="n">
        <v>114.17</v>
      </c>
      <c r="F14" s="46" t="n">
        <v>6850.01</v>
      </c>
      <c r="G14" s="44" t="inlineStr">
        <is>
          <t>~</t>
        </is>
      </c>
      <c r="H14" s="46" t="n">
        <v>6.78</v>
      </c>
      <c r="I14" s="45" t="n">
        <v>41.63</v>
      </c>
      <c r="J14" s="35">
        <f>Index!$C$2</f>
        <v/>
      </c>
      <c r="K14" s="36">
        <f>IF(AND( C6="Buy", ISBLANK(W6), B6&lt;&gt;"DIV"), L6/sum(F6:I6), "")</f>
        <v/>
      </c>
      <c r="L14" s="37">
        <f>IF(AND( C6="Buy", ISBLANK(W6), B6&lt;&gt;"DIV"), (1-Index!$F$2*2)*((J6*D6)-(E6*D6)), "")</f>
        <v/>
      </c>
      <c r="M14" s="37">
        <f>IF(AND( C6="Buy", ISBLANK(W6), B6&lt;&gt;"DIV"), ((E6*D6)+L6), "")</f>
        <v/>
      </c>
      <c r="N14" s="38">
        <f>IF(AND( C6="Buy", ISBLANK(W6), B6&lt;&gt;"DIV"), D6, "")</f>
        <v/>
      </c>
      <c r="O14" s="36">
        <f>IF(AND( C6="Buy", ISBLANK(W6), B6&lt;&gt;"DIV", NOW()-A6 &lt; 365), P6/sum(F6:I6), "")</f>
        <v/>
      </c>
      <c r="P14" s="37">
        <f>IF(AND( C6="Buy", ISBLANK(W6), B6&lt;&gt;"DIV", NOW()-A6 &lt; 365), (1-Index!$F$2*2)*((J6*D6)-(E6*D6)), "")</f>
        <v/>
      </c>
      <c r="Q14" s="37">
        <f>IF(AND( C6="Buy", ISBLANK(W6), B6&lt;&gt;"DIV", NOW()-A6 &lt; 365), ((E6*D6)+P6), "")</f>
        <v/>
      </c>
      <c r="R14" s="37">
        <f>IF(AND( C6="Buy", ISBLANK(W6), B6&lt;&gt;"DIV", NOW()-A6 &lt; 365), D6, "")</f>
        <v/>
      </c>
      <c r="S14" s="39">
        <f>IF(AND( C6="Buy", ISBLANK(W6), B6&lt;&gt;"DIV", NOW()-A6 &gt; 365), T6/sum(F6:I6), "")</f>
        <v/>
      </c>
      <c r="T14" s="40">
        <f>IF(AND( C6="Buy", ISBLANK(W6), B6&lt;&gt;"DIV", NOW()-A6 &gt; 365), (1-Index!$F$2*2)*((J6*D6)-(E6*D6)), "")</f>
        <v/>
      </c>
      <c r="U14" s="40">
        <f>IF(AND( C6="Buy", ISBLANK(W6), B6&lt;&gt;"DIV", NOW()-A6 &gt; 365), ((E6*D6)+T6), "")</f>
        <v/>
      </c>
      <c r="V14" s="40">
        <f>IF(AND( C6="Buy", ISBLANK(W6), B6&lt;&gt;"DIV", NOW()-A6 &gt; 365), D6, "")</f>
        <v/>
      </c>
      <c r="W14" s="40" t="n"/>
      <c r="X14" s="40" t="n"/>
      <c r="Y14" s="39">
        <f>IF(AND( C6="Buy", W6&lt;&gt;"", AA6&lt;&gt;"", B6&lt;&gt;"DIV"), Z6/sum(F6:I6), "")</f>
        <v/>
      </c>
      <c r="Z14" s="40" t="n"/>
      <c r="AA14" s="40" t="n"/>
      <c r="AB14" s="41" t="n"/>
      <c r="AC14" s="37">
        <f>if(B6="DIV", F6,"")</f>
        <v/>
      </c>
      <c r="AD14" s="42" t="n"/>
    </row>
    <row r="15">
      <c r="A15" s="43" t="n">
        <v>45492</v>
      </c>
      <c r="B15" s="44" t="inlineStr">
        <is>
          <t>DIV</t>
        </is>
      </c>
      <c r="C15" s="44" t="inlineStr">
        <is>
          <t>Buy</t>
        </is>
      </c>
      <c r="D15" s="45" t="n">
        <v>40</v>
      </c>
      <c r="E15" s="46" t="n">
        <v>3.6</v>
      </c>
      <c r="F15" s="46" t="n">
        <v>144</v>
      </c>
      <c r="G15" s="44" t="inlineStr">
        <is>
          <t>Annual-Dividend of Rs.3.6000/- per share on Ex-Date: 19-JUL-2024</t>
        </is>
      </c>
      <c r="H15" s="46" t="n">
        <v>0</v>
      </c>
      <c r="I15" s="45" t="n">
        <v>0</v>
      </c>
      <c r="J15" s="35">
        <f>Index!$C$2</f>
        <v/>
      </c>
      <c r="K15" s="36">
        <f>IF(AND( C7="Buy", ISBLANK(W7), B7&lt;&gt;"DIV"), L7/sum(F7:I7), "")</f>
        <v/>
      </c>
      <c r="L15" s="37">
        <f>IF(AND( C7="Buy", ISBLANK(W7), B7&lt;&gt;"DIV"), (1-Index!$F$2*2)*((J7*D7)-(E7*D7)), "")</f>
        <v/>
      </c>
      <c r="M15" s="37">
        <f>IF(AND( C7="Buy", ISBLANK(W7), B7&lt;&gt;"DIV"), ((E7*D7)+L7), "")</f>
        <v/>
      </c>
      <c r="N15" s="38">
        <f>IF(AND( C7="Buy", ISBLANK(W7), B7&lt;&gt;"DIV"), D7, "")</f>
        <v/>
      </c>
      <c r="O15" s="36">
        <f>IF(AND( C7="Buy", ISBLANK(W7), B7&lt;&gt;"DIV", NOW()-A7 &lt; 365), P7/sum(F7:I7), "")</f>
        <v/>
      </c>
      <c r="P15" s="37">
        <f>IF(AND( C7="Buy", ISBLANK(W7), B7&lt;&gt;"DIV", NOW()-A7 &lt; 365), (1-Index!$F$2*2)*((J7*D7)-(E7*D7)), "")</f>
        <v/>
      </c>
      <c r="Q15" s="37">
        <f>IF(AND( C7="Buy", ISBLANK(W7), B7&lt;&gt;"DIV", NOW()-A7 &lt; 365), ((E7*D7)+P7), "")</f>
        <v/>
      </c>
      <c r="R15" s="37">
        <f>IF(AND( C7="Buy", ISBLANK(W7), B7&lt;&gt;"DIV", NOW()-A7 &lt; 365), D7, "")</f>
        <v/>
      </c>
      <c r="S15" s="39">
        <f>IF(AND( C7="Buy", ISBLANK(W7), B7&lt;&gt;"DIV", NOW()-A7 &gt; 365), T7/sum(F7:I7), "")</f>
        <v/>
      </c>
      <c r="T15" s="40">
        <f>IF(AND( C7="Buy", ISBLANK(W7), B7&lt;&gt;"DIV", NOW()-A7 &gt; 365), (1-Index!$F$2*2)*((J7*D7)-(E7*D7)), "")</f>
        <v/>
      </c>
      <c r="U15" s="40">
        <f>IF(AND( C7="Buy", ISBLANK(W7), B7&lt;&gt;"DIV", NOW()-A7 &gt; 365), ((E7*D7)+T7), "")</f>
        <v/>
      </c>
      <c r="V15" s="40">
        <f>IF(AND( C7="Buy", ISBLANK(W7), B7&lt;&gt;"DIV", NOW()-A7 &gt; 365), D7, "")</f>
        <v/>
      </c>
      <c r="W15" s="40" t="n"/>
      <c r="X15" s="40" t="n"/>
      <c r="Y15" s="39">
        <f>IF(AND( C7="Buy", W7&lt;&gt;"", AA7&lt;&gt;"", B7&lt;&gt;"DIV"), Z7/sum(F7:I7), "")</f>
        <v/>
      </c>
      <c r="Z15" s="40" t="n"/>
      <c r="AA15" s="40" t="n"/>
      <c r="AB15" s="41" t="n"/>
      <c r="AC15" s="37">
        <f>if(B7="DIV", F7,"")</f>
        <v/>
      </c>
      <c r="AD15" s="42" t="n"/>
    </row>
    <row r="16">
      <c r="A16" s="43" t="n">
        <v>45282</v>
      </c>
      <c r="B16" s="44" t="inlineStr">
        <is>
          <t>NSE</t>
        </is>
      </c>
      <c r="C16" s="44" t="inlineStr">
        <is>
          <t>Buy</t>
        </is>
      </c>
      <c r="D16" s="45" t="n">
        <v>20</v>
      </c>
      <c r="E16" s="46" t="n">
        <v>117.99</v>
      </c>
      <c r="F16" s="46" t="n">
        <v>2359.71</v>
      </c>
      <c r="G16" s="44" t="inlineStr">
        <is>
          <t>~</t>
        </is>
      </c>
      <c r="H16" s="46" t="n">
        <v>2.34</v>
      </c>
      <c r="I16" s="45" t="n">
        <v>14.37</v>
      </c>
      <c r="J16" s="35">
        <f>Index!$C$2</f>
        <v/>
      </c>
      <c r="K16" s="36">
        <f>IF(AND( C8="Buy", ISBLANK(W8), B8&lt;&gt;"DIV"), L8/sum(F8:I8), "")</f>
        <v/>
      </c>
      <c r="L16" s="37">
        <f>IF(AND( C8="Buy", ISBLANK(W8), B8&lt;&gt;"DIV"), (1-Index!$F$2*2)*((J8*D8)-(E8*D8)), "")</f>
        <v/>
      </c>
      <c r="M16" s="37">
        <f>IF(AND( C8="Buy", ISBLANK(W8), B8&lt;&gt;"DIV"), ((E8*D8)+L8), "")</f>
        <v/>
      </c>
      <c r="N16" s="38">
        <f>IF(AND( C8="Buy", ISBLANK(W8), B8&lt;&gt;"DIV"), D8, "")</f>
        <v/>
      </c>
      <c r="O16" s="36">
        <f>IF(AND( C8="Buy", ISBLANK(W8), B8&lt;&gt;"DIV", NOW()-A8 &lt; 365), P8/sum(F8:I8), "")</f>
        <v/>
      </c>
      <c r="P16" s="37">
        <f>IF(AND( C8="Buy", ISBLANK(W8), B8&lt;&gt;"DIV", NOW()-A8 &lt; 365), (1-Index!$F$2*2)*((J8*D8)-(E8*D8)), "")</f>
        <v/>
      </c>
      <c r="Q16" s="37">
        <f>IF(AND( C8="Buy", ISBLANK(W8), B8&lt;&gt;"DIV", NOW()-A8 &lt; 365), ((E8*D8)+P8), "")</f>
        <v/>
      </c>
      <c r="R16" s="37">
        <f>IF(AND( C8="Buy", ISBLANK(W8), B8&lt;&gt;"DIV", NOW()-A8 &lt; 365), D8, "")</f>
        <v/>
      </c>
      <c r="S16" s="39">
        <f>IF(AND( C8="Buy", ISBLANK(W8), B8&lt;&gt;"DIV", NOW()-A8 &gt; 365), T8/sum(F8:I8), "")</f>
        <v/>
      </c>
      <c r="T16" s="40">
        <f>IF(AND( C8="Buy", ISBLANK(W8), B8&lt;&gt;"DIV", NOW()-A8 &gt; 365), (1-Index!$F$2*2)*((J8*D8)-(E8*D8)), "")</f>
        <v/>
      </c>
      <c r="U16" s="40">
        <f>IF(AND( C8="Buy", ISBLANK(W8), B8&lt;&gt;"DIV", NOW()-A8 &gt; 365), ((E8*D8)+T8), "")</f>
        <v/>
      </c>
      <c r="V16" s="40">
        <f>IF(AND( C8="Buy", ISBLANK(W8), B8&lt;&gt;"DIV", NOW()-A8 &gt; 365), D8, "")</f>
        <v/>
      </c>
      <c r="W16" s="40" t="n"/>
      <c r="X16" s="40" t="n"/>
      <c r="Y16" s="39">
        <f>IF(AND( C8="Buy", W8&lt;&gt;"", AA8&lt;&gt;"", B8&lt;&gt;"DIV"), Z8/sum(F8:I8), "")</f>
        <v/>
      </c>
      <c r="Z16" s="40" t="n"/>
      <c r="AA16" s="40" t="n"/>
      <c r="AB16" s="41" t="n"/>
      <c r="AC16" s="37">
        <f>if(B8="DIV", F8,"")</f>
        <v/>
      </c>
      <c r="AD16" s="47" t="inlineStr">
        <is>
          <t>SBI Securities</t>
        </is>
      </c>
    </row>
    <row r="17">
      <c r="A17" s="43" t="n">
        <v>45278</v>
      </c>
      <c r="B17" s="44" t="inlineStr">
        <is>
          <t>NSE</t>
        </is>
      </c>
      <c r="C17" s="44" t="inlineStr">
        <is>
          <t>Buy</t>
        </is>
      </c>
      <c r="D17" s="45" t="n">
        <v>10</v>
      </c>
      <c r="E17" s="46" t="n">
        <v>125.73</v>
      </c>
      <c r="F17" s="46" t="n">
        <v>1257.3</v>
      </c>
      <c r="G17" s="44" t="inlineStr">
        <is>
          <t>~</t>
        </is>
      </c>
      <c r="H17" s="46" t="n">
        <v>1.25</v>
      </c>
      <c r="I17" s="45" t="n">
        <v>7.55</v>
      </c>
      <c r="J17" s="35">
        <f>Index!$C$2</f>
        <v/>
      </c>
      <c r="K17" s="36">
        <f>IF(AND( C9="Buy", ISBLANK(W9), B9&lt;&gt;"DIV"), L9/sum(F9:I9), "")</f>
        <v/>
      </c>
      <c r="L17" s="37">
        <f>IF(AND( C9="Buy", ISBLANK(W9), B9&lt;&gt;"DIV"), (1-Index!$F$2*2)*((J9*D9)-(E9*D9)), "")</f>
        <v/>
      </c>
      <c r="M17" s="37">
        <f>IF(AND( C9="Buy", ISBLANK(W9), B9&lt;&gt;"DIV"), ((E9*D9)+L9), "")</f>
        <v/>
      </c>
      <c r="N17" s="38">
        <f>IF(AND( C9="Buy", ISBLANK(W9), B9&lt;&gt;"DIV"), D9, "")</f>
        <v/>
      </c>
      <c r="O17" s="36">
        <f>IF(AND( C9="Buy", ISBLANK(W9), B9&lt;&gt;"DIV", NOW()-A9 &lt; 365), P9/sum(F9:I9), "")</f>
        <v/>
      </c>
      <c r="P17" s="37">
        <f>IF(AND( C9="Buy", ISBLANK(W9), B9&lt;&gt;"DIV", NOW()-A9 &lt; 365), (1-Index!$F$2*2)*((J9*D9)-(E9*D9)), "")</f>
        <v/>
      </c>
      <c r="Q17" s="37">
        <f>IF(AND( C9="Buy", ISBLANK(W9), B9&lt;&gt;"DIV", NOW()-A9 &lt; 365), ((E9*D9)+P9), "")</f>
        <v/>
      </c>
      <c r="R17" s="37">
        <f>IF(AND( C9="Buy", ISBLANK(W9), B9&lt;&gt;"DIV", NOW()-A9 &lt; 365), D9, "")</f>
        <v/>
      </c>
      <c r="S17" s="39">
        <f>IF(AND( C9="Buy", ISBLANK(W9), B9&lt;&gt;"DIV", NOW()-A9 &gt; 365), T9/sum(F9:I9), "")</f>
        <v/>
      </c>
      <c r="T17" s="40">
        <f>IF(AND( C9="Buy", ISBLANK(W9), B9&lt;&gt;"DIV", NOW()-A9 &gt; 365), (1-Index!$F$2*2)*((J9*D9)-(E9*D9)), "")</f>
        <v/>
      </c>
      <c r="U17" s="40">
        <f>IF(AND( C9="Buy", ISBLANK(W9), B9&lt;&gt;"DIV", NOW()-A9 &gt; 365), ((E9*D9)+T9), "")</f>
        <v/>
      </c>
      <c r="V17" s="40">
        <f>IF(AND( C9="Buy", ISBLANK(W9), B9&lt;&gt;"DIV", NOW()-A9 &gt; 365), D9, "")</f>
        <v/>
      </c>
      <c r="W17" s="40" t="n"/>
      <c r="X17" s="40" t="n"/>
      <c r="Y17" s="39">
        <f>IF(AND( C9="Buy", W9&lt;&gt;"", AA9&lt;&gt;"", B9&lt;&gt;"DIV"), Z9/sum(F9:I9), "")</f>
        <v/>
      </c>
      <c r="Z17" s="40" t="n"/>
      <c r="AA17" s="40" t="n"/>
      <c r="AB17" s="41" t="n"/>
      <c r="AC17" s="37">
        <f>if(B9="DIV", F9,"")</f>
        <v/>
      </c>
      <c r="AD17" s="47" t="inlineStr">
        <is>
          <t>SBI Securities</t>
        </is>
      </c>
    </row>
    <row r="18">
      <c r="A18" s="43" t="n">
        <v>45258</v>
      </c>
      <c r="B18" s="44" t="inlineStr">
        <is>
          <t>NSE</t>
        </is>
      </c>
      <c r="C18" s="44" t="inlineStr">
        <is>
          <t>Buy</t>
        </is>
      </c>
      <c r="D18" s="45" t="n">
        <v>10</v>
      </c>
      <c r="E18" s="46" t="n">
        <v>107.7</v>
      </c>
      <c r="F18" s="46" t="n">
        <v>1077.03</v>
      </c>
      <c r="G18" s="44" t="inlineStr">
        <is>
          <t>~</t>
        </is>
      </c>
      <c r="H18" s="46" t="n">
        <v>1.07</v>
      </c>
      <c r="I18" s="45" t="n">
        <v>6.46</v>
      </c>
      <c r="J18" s="35">
        <f>Index!$C$2</f>
        <v/>
      </c>
      <c r="K18" s="36">
        <f>IF(AND( C10="Buy", ISBLANK(W10), B10&lt;&gt;"DIV"), L10/sum(F10:I10), "")</f>
        <v/>
      </c>
      <c r="L18" s="37">
        <f>IF(AND( C10="Buy", ISBLANK(W10), B10&lt;&gt;"DIV"), (1-Index!$F$2*2)*((J10*D10)-(E10*D10)), "")</f>
        <v/>
      </c>
      <c r="M18" s="37">
        <f>IF(AND( C10="Buy", ISBLANK(W10), B10&lt;&gt;"DIV"), ((E10*D10)+L10), "")</f>
        <v/>
      </c>
      <c r="N18" s="38">
        <f>IF(AND( C10="Buy", ISBLANK(W10), B10&lt;&gt;"DIV"), D10, "")</f>
        <v/>
      </c>
      <c r="O18" s="36">
        <f>IF(AND( C10="Buy", ISBLANK(W10), B10&lt;&gt;"DIV", NOW()-A10 &lt; 365), P10/sum(F10:I10), "")</f>
        <v/>
      </c>
      <c r="P18" s="37">
        <f>IF(AND( C10="Buy", ISBLANK(W10), B10&lt;&gt;"DIV", NOW()-A10 &lt; 365), (1-Index!$F$2*2)*((J10*D10)-(E10*D10)), "")</f>
        <v/>
      </c>
      <c r="Q18" s="37">
        <f>IF(AND( C10="Buy", ISBLANK(W10), B10&lt;&gt;"DIV", NOW()-A10 &lt; 365), ((E10*D10)+P10), "")</f>
        <v/>
      </c>
      <c r="R18" s="37">
        <f>IF(AND( C10="Buy", ISBLANK(W10), B10&lt;&gt;"DIV", NOW()-A10 &lt; 365), D10, "")</f>
        <v/>
      </c>
      <c r="S18" s="39">
        <f>IF(AND( C10="Buy", ISBLANK(W10), B10&lt;&gt;"DIV", NOW()-A10 &gt; 365), T10/sum(F10:I10), "")</f>
        <v/>
      </c>
      <c r="T18" s="40">
        <f>IF(AND( C10="Buy", ISBLANK(W10), B10&lt;&gt;"DIV", NOW()-A10 &gt; 365), (1-Index!$F$2*2)*((J10*D10)-(E10*D10)), "")</f>
        <v/>
      </c>
      <c r="U18" s="40">
        <f>IF(AND( C10="Buy", ISBLANK(W10), B10&lt;&gt;"DIV", NOW()-A10 &gt; 365), ((E10*D10)+T10), "")</f>
        <v/>
      </c>
      <c r="V18" s="40">
        <f>IF(AND( C10="Buy", ISBLANK(W10), B10&lt;&gt;"DIV", NOW()-A10 &gt; 365), D10, "")</f>
        <v/>
      </c>
      <c r="W18" s="40" t="n"/>
      <c r="X18" s="40" t="n"/>
      <c r="Y18" s="39">
        <f>IF(AND( C10="Buy", W10&lt;&gt;"", AA10&lt;&gt;"", B10&lt;&gt;"DIV"), Z10/sum(F10:I10), "")</f>
        <v/>
      </c>
      <c r="Z18" s="40" t="n"/>
      <c r="AA18" s="40" t="n"/>
      <c r="AB18" s="41" t="n"/>
      <c r="AC18" s="37">
        <f>if(B10="DIV", F10,"")</f>
        <v/>
      </c>
      <c r="AD18" s="47" t="inlineStr">
        <is>
          <t>SBI Securities</t>
        </is>
      </c>
    </row>
    <row r="19">
      <c r="A19" s="48" t="n">
        <v>44257</v>
      </c>
      <c r="B19" s="44" t="inlineStr">
        <is>
          <t>NSE</t>
        </is>
      </c>
      <c r="C19" s="44" t="inlineStr">
        <is>
          <t>Sell</t>
        </is>
      </c>
      <c r="D19" s="45" t="n">
        <v>200</v>
      </c>
      <c r="E19" s="46" t="n">
        <v>40.49</v>
      </c>
      <c r="F19" s="46" t="n">
        <v>8097.1</v>
      </c>
      <c r="G19" s="44" t="inlineStr">
        <is>
          <t>~</t>
        </is>
      </c>
      <c r="H19" s="46" t="n">
        <v>8.130000000000001</v>
      </c>
      <c r="I19" s="45" t="n">
        <v>47.47</v>
      </c>
      <c r="J19" s="35">
        <f>Index!$C$2</f>
        <v/>
      </c>
      <c r="K19" s="36">
        <f>IF(AND( C11="Buy", ISBLANK(W11), B11&lt;&gt;"DIV"), L11/sum(F11:I11), "")</f>
        <v/>
      </c>
      <c r="L19" s="37">
        <f>IF(AND( C11="Buy", ISBLANK(W11), B11&lt;&gt;"DIV"), (1-Index!$F$2*2)*((J11*D11)-(E11*D11)), "")</f>
        <v/>
      </c>
      <c r="M19" s="37">
        <f>IF(AND( C11="Buy", ISBLANK(W11), B11&lt;&gt;"DIV"), ((E11*D11)+L11), "")</f>
        <v/>
      </c>
      <c r="N19" s="38">
        <f>IF(AND( C11="Buy", ISBLANK(W11), B11&lt;&gt;"DIV"), D11, "")</f>
        <v/>
      </c>
      <c r="O19" s="36">
        <f>IF(AND( C11="Buy", ISBLANK(W11), B11&lt;&gt;"DIV", NOW()-A11 &lt; 365), P11/sum(F11:I11), "")</f>
        <v/>
      </c>
      <c r="P19" s="37">
        <f>IF(AND( C11="Buy", ISBLANK(W11), B11&lt;&gt;"DIV", NOW()-A11 &lt; 365), (1-Index!$F$2*2)*((J11*D11)-(E11*D11)), "")</f>
        <v/>
      </c>
      <c r="Q19" s="37">
        <f>IF(AND( C11="Buy", ISBLANK(W11), B11&lt;&gt;"DIV", NOW()-A11 &lt; 365), ((E11*D11)+P11), "")</f>
        <v/>
      </c>
      <c r="R19" s="37">
        <f>IF(AND( C11="Buy", ISBLANK(W11), B11&lt;&gt;"DIV", NOW()-A11 &lt; 365), D11, "")</f>
        <v/>
      </c>
      <c r="S19" s="39">
        <f>IF(AND( C11="Buy", ISBLANK(W11), B11&lt;&gt;"DIV", NOW()-A11 &gt; 365), T11/sum(F11:I11), "")</f>
        <v/>
      </c>
      <c r="T19" s="40">
        <f>IF(AND( C11="Buy", ISBLANK(W11), B11&lt;&gt;"DIV", NOW()-A11 &gt; 365), (1-Index!$F$2*2)*((J11*D11)-(E11*D11)), "")</f>
        <v/>
      </c>
      <c r="U19" s="40">
        <f>IF(AND( C11="Buy", ISBLANK(W11), B11&lt;&gt;"DIV", NOW()-A11 &gt; 365), ((E11*D11)+T11), "")</f>
        <v/>
      </c>
      <c r="V19" s="40">
        <f>IF(AND( C11="Buy", ISBLANK(W11), B11&lt;&gt;"DIV", NOW()-A11 &gt; 365), D11, "")</f>
        <v/>
      </c>
      <c r="W19" s="40" t="n"/>
      <c r="X19" s="40" t="n"/>
      <c r="Y19" s="39">
        <f>IF(AND( C11="Buy", W11&lt;&gt;"", AA11&lt;&gt;"", B11&lt;&gt;"DIV"), Z11/sum(F11:I11), "")</f>
        <v/>
      </c>
      <c r="Z19" s="40" t="n"/>
      <c r="AA19" s="40" t="n"/>
      <c r="AB19" s="41" t="n"/>
      <c r="AC19" s="37">
        <f>if(B11="DIV", F11,"")</f>
        <v/>
      </c>
      <c r="AD19" s="47" t="inlineStr">
        <is>
          <t>SBI Securities</t>
        </is>
      </c>
    </row>
    <row r="20">
      <c r="A20" s="48" t="n">
        <v>44021</v>
      </c>
      <c r="B20" s="44" t="inlineStr">
        <is>
          <t>NSE</t>
        </is>
      </c>
      <c r="C20" s="44" t="inlineStr">
        <is>
          <t>Buy</t>
        </is>
      </c>
      <c r="D20" s="45" t="n">
        <v>101</v>
      </c>
      <c r="E20" s="46" t="n">
        <v>33.03</v>
      </c>
      <c r="F20" s="46" t="n">
        <v>3335.87</v>
      </c>
      <c r="G20" s="44" t="inlineStr">
        <is>
          <t>~</t>
        </is>
      </c>
      <c r="H20" s="46" t="n">
        <v>3.36</v>
      </c>
      <c r="I20" s="45" t="n">
        <v>19.71</v>
      </c>
      <c r="J20" s="35">
        <f>Index!$C$2</f>
        <v/>
      </c>
      <c r="K20" s="54" t="n"/>
      <c r="L20" s="54">
        <f>IF(AND( C12="Buy", ISBLANK(W12), B12&lt;&gt;"DIV"), ((J12*D12)-(E12*D12)+I12), "")</f>
        <v/>
      </c>
      <c r="M20" s="50">
        <f>IF(AND( C12="Buy", ISBLANK(W12), B12&lt;&gt;"DIV"), J12*D12, "")</f>
        <v/>
      </c>
      <c r="N20" s="51">
        <f>IF(AND( C12="Buy", ISBLANK(W12), B12&lt;&gt;"DIV"), D12, "")</f>
        <v/>
      </c>
      <c r="O20" s="52" t="n"/>
      <c r="P20" s="54" t="n"/>
      <c r="Q20" s="50" t="n"/>
      <c r="R20" s="50" t="n"/>
      <c r="S20" s="53" t="n"/>
      <c r="T20" s="53" t="n"/>
      <c r="U20" s="53" t="n"/>
      <c r="V20" s="53" t="n"/>
      <c r="W20" s="54" t="n">
        <v>40.212</v>
      </c>
      <c r="X20" s="54" t="n">
        <v>44257</v>
      </c>
      <c r="Y20" s="39" t="n">
        <v>0.2090873907</v>
      </c>
      <c r="Z20" s="54" t="n">
        <v>702.312</v>
      </c>
      <c r="AA20" s="54" t="n">
        <v>4061.412</v>
      </c>
      <c r="AB20" s="55" t="n">
        <v>101</v>
      </c>
      <c r="AC20" s="54" t="n"/>
      <c r="AD20" s="47" t="inlineStr">
        <is>
          <t>SBI Securities</t>
        </is>
      </c>
    </row>
    <row r="21">
      <c r="A21" s="43" t="n">
        <v>43910</v>
      </c>
      <c r="B21" s="44" t="inlineStr">
        <is>
          <t>MRGR</t>
        </is>
      </c>
      <c r="C21" s="44" t="inlineStr">
        <is>
          <t>Buy</t>
        </is>
      </c>
      <c r="D21" s="45" t="n">
        <v>99</v>
      </c>
      <c r="E21" s="46" t="n">
        <v>143.44</v>
      </c>
      <c r="F21" s="46" t="n">
        <v>14200.35</v>
      </c>
      <c r="G21" s="44" t="inlineStr">
        <is>
          <t>330:1000 Merger of 532179 to 532477 on 20-MAR-2020 325:1000 Merger of 532418 to 532477 on 20-MAR-2020</t>
        </is>
      </c>
      <c r="H21" s="46" t="n">
        <v>14</v>
      </c>
      <c r="I21" s="45" t="n">
        <v>86.34999999999999</v>
      </c>
      <c r="J21" s="35">
        <f>Index!$C$2</f>
        <v/>
      </c>
      <c r="K21" s="54" t="n"/>
      <c r="L21" s="54">
        <f>IF(AND( C13="Buy", ISBLANK(W13), B13&lt;&gt;"DIV"), ((J13*D13)-(E13*D13)+I13), "")</f>
        <v/>
      </c>
      <c r="M21" s="50">
        <f>IF(AND( C13="Buy", ISBLANK(W13), B13&lt;&gt;"DIV"), J13*D13, "")</f>
        <v/>
      </c>
      <c r="N21" s="51">
        <f>IF(AND( C13="Buy", ISBLANK(W13), B13&lt;&gt;"DIV"), D13, "")</f>
        <v/>
      </c>
      <c r="O21" s="52" t="n"/>
      <c r="P21" s="54" t="n"/>
      <c r="Q21" s="50" t="n"/>
      <c r="R21" s="50" t="n"/>
      <c r="S21" s="53" t="n"/>
      <c r="T21" s="53" t="n"/>
      <c r="U21" s="53" t="n"/>
      <c r="V21" s="53" t="n"/>
      <c r="W21" s="54" t="n">
        <v>40.212</v>
      </c>
      <c r="X21" s="54" t="n">
        <v>44257</v>
      </c>
      <c r="Y21" s="39" t="n">
        <v>-0.7216375422</v>
      </c>
      <c r="Z21" s="54" t="n">
        <v>-10319.922</v>
      </c>
      <c r="AA21" s="54" t="n">
        <v>3980.988</v>
      </c>
      <c r="AB21" s="55" t="n">
        <v>99</v>
      </c>
      <c r="AC21" s="54" t="n"/>
      <c r="AD21" s="47" t="inlineStr">
        <is>
          <t>SBI Securities</t>
        </is>
      </c>
    </row>
    <row r="22">
      <c r="A22" s="56" t="n"/>
      <c r="B22" s="56" t="n"/>
      <c r="C22" s="56" t="n"/>
      <c r="D22" s="56" t="n"/>
      <c r="E22" s="57" t="n"/>
      <c r="F22" s="57" t="n"/>
      <c r="G22" s="58" t="n"/>
      <c r="H22" s="57" t="n"/>
      <c r="I22" s="56" t="n"/>
      <c r="J22" s="57" t="n"/>
      <c r="K22" s="57" t="n"/>
      <c r="L22" s="57" t="n"/>
      <c r="M22" s="2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7" t="n"/>
      <c r="X22" s="57" t="n"/>
      <c r="Y22" s="57" t="n"/>
      <c r="Z22" s="57" t="n"/>
      <c r="AA22" s="57" t="n"/>
      <c r="AB22" s="57" t="n"/>
      <c r="AC22" s="57" t="n"/>
      <c r="AD22" s="56" t="n"/>
    </row>
    <row r="23">
      <c r="A23" s="56" t="n"/>
      <c r="B23" s="56" t="n"/>
      <c r="C23" s="56" t="n"/>
      <c r="D23" s="56" t="n"/>
      <c r="E23" s="57" t="n"/>
      <c r="F23" s="57" t="n"/>
      <c r="G23" s="58" t="n"/>
      <c r="H23" s="57" t="n"/>
      <c r="I23" s="56" t="n"/>
      <c r="J23" s="57" t="n"/>
      <c r="K23" s="57" t="n"/>
      <c r="L23" s="57" t="n"/>
      <c r="M23" s="2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7" t="n"/>
      <c r="X23" s="57" t="n"/>
      <c r="Y23" s="57" t="n"/>
      <c r="Z23" s="57" t="n"/>
      <c r="AA23" s="57" t="n"/>
      <c r="AB23" s="57" t="n"/>
      <c r="AC23" s="57" t="n"/>
      <c r="AD23" s="56" t="n"/>
    </row>
    <row r="24">
      <c r="A24" s="56" t="n"/>
      <c r="B24" s="56" t="n"/>
      <c r="C24" s="56" t="n"/>
      <c r="D24" s="56" t="n"/>
      <c r="E24" s="57" t="n"/>
      <c r="F24" s="57" t="n"/>
      <c r="G24" s="58" t="n"/>
      <c r="H24" s="57" t="n"/>
      <c r="I24" s="56" t="n"/>
      <c r="J24" s="57" t="n"/>
      <c r="K24" s="57" t="n"/>
      <c r="L24" s="57" t="n"/>
      <c r="M24" s="2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7" t="n"/>
      <c r="X24" s="57" t="n"/>
      <c r="Y24" s="57" t="n"/>
      <c r="Z24" s="57" t="n"/>
      <c r="AA24" s="57" t="n"/>
      <c r="AB24" s="57" t="n"/>
      <c r="AC24" s="57" t="n"/>
      <c r="AD24" s="56" t="n"/>
    </row>
    <row r="25">
      <c r="A25" s="56" t="n"/>
      <c r="B25" s="56" t="n"/>
      <c r="C25" s="56" t="n"/>
      <c r="D25" s="56" t="n"/>
      <c r="E25" s="57" t="n"/>
      <c r="F25" s="57" t="n"/>
      <c r="G25" s="58" t="n"/>
      <c r="H25" s="57" t="n"/>
      <c r="I25" s="56" t="n"/>
      <c r="J25" s="57" t="n"/>
      <c r="K25" s="57" t="n"/>
      <c r="L25" s="57" t="n"/>
      <c r="M25" s="2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7" t="n"/>
      <c r="X25" s="57" t="n"/>
      <c r="Y25" s="57" t="n"/>
      <c r="Z25" s="57" t="n"/>
      <c r="AA25" s="57" t="n"/>
      <c r="AB25" s="57" t="n"/>
      <c r="AC25" s="57" t="n"/>
      <c r="AD25" s="56" t="n"/>
    </row>
    <row r="26">
      <c r="A26" s="56" t="n"/>
      <c r="B26" s="56" t="n"/>
      <c r="C26" s="56" t="n"/>
      <c r="D26" s="56" t="n"/>
      <c r="E26" s="57" t="n"/>
      <c r="F26" s="57" t="n"/>
      <c r="G26" s="58" t="n"/>
      <c r="H26" s="57" t="n"/>
      <c r="I26" s="56" t="n"/>
      <c r="J26" s="57" t="n"/>
      <c r="K26" s="57" t="n"/>
      <c r="L26" s="57" t="n"/>
      <c r="M26" s="2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7" t="n"/>
      <c r="X26" s="57" t="n"/>
      <c r="Y26" s="57" t="n"/>
      <c r="Z26" s="57" t="n"/>
      <c r="AA26" s="57" t="n"/>
      <c r="AB26" s="57" t="n"/>
      <c r="AC26" s="57" t="n"/>
      <c r="AD26" s="56" t="n"/>
    </row>
    <row r="27">
      <c r="A27" s="56" t="n"/>
      <c r="B27" s="56" t="n"/>
      <c r="C27" s="56" t="n"/>
      <c r="D27" s="56" t="n"/>
      <c r="E27" s="57" t="n"/>
      <c r="F27" s="57" t="n"/>
      <c r="G27" s="58" t="n"/>
      <c r="H27" s="57" t="n"/>
      <c r="I27" s="56" t="n"/>
      <c r="J27" s="57" t="n"/>
      <c r="K27" s="57" t="n"/>
      <c r="L27" s="57" t="n"/>
      <c r="M27" s="2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7" t="n"/>
      <c r="X27" s="57" t="n"/>
      <c r="Y27" s="57" t="n"/>
      <c r="Z27" s="57" t="n"/>
      <c r="AA27" s="57" t="n"/>
      <c r="AB27" s="57" t="n"/>
      <c r="AC27" s="57" t="n"/>
      <c r="AD27" s="56" t="n"/>
    </row>
    <row r="28">
      <c r="A28" s="56" t="n"/>
      <c r="B28" s="56" t="n"/>
      <c r="C28" s="56" t="n"/>
      <c r="D28" s="56" t="n"/>
      <c r="E28" s="57" t="n"/>
      <c r="F28" s="57" t="n"/>
      <c r="G28" s="58" t="n"/>
      <c r="H28" s="57" t="n"/>
      <c r="I28" s="56" t="n"/>
      <c r="J28" s="57" t="n"/>
      <c r="K28" s="57" t="n"/>
      <c r="L28" s="57" t="n"/>
      <c r="M28" s="2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7" t="n"/>
      <c r="X28" s="57" t="n"/>
      <c r="Y28" s="57" t="n"/>
      <c r="Z28" s="57" t="n"/>
      <c r="AA28" s="57" t="n"/>
      <c r="AB28" s="57" t="n"/>
      <c r="AC28" s="57" t="n"/>
      <c r="AD28" s="56" t="n"/>
    </row>
    <row r="29">
      <c r="A29" s="56" t="n"/>
      <c r="B29" s="56" t="n"/>
      <c r="C29" s="56" t="n"/>
      <c r="D29" s="56" t="n"/>
      <c r="E29" s="57" t="n"/>
      <c r="F29" s="57" t="n"/>
      <c r="G29" s="58" t="n"/>
      <c r="H29" s="57" t="n"/>
      <c r="I29" s="56" t="n"/>
      <c r="J29" s="57" t="n"/>
      <c r="K29" s="57" t="n"/>
      <c r="L29" s="57" t="n"/>
      <c r="M29" s="2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7" t="n"/>
      <c r="X29" s="57" t="n"/>
      <c r="Y29" s="57" t="n"/>
      <c r="Z29" s="57" t="n"/>
      <c r="AA29" s="57" t="n"/>
      <c r="AB29" s="57" t="n"/>
      <c r="AC29" s="57" t="n"/>
      <c r="AD29" s="56" t="n"/>
    </row>
    <row r="30">
      <c r="A30" s="56" t="n"/>
      <c r="B30" s="56" t="n"/>
      <c r="C30" s="56" t="n"/>
      <c r="D30" s="56" t="n"/>
      <c r="E30" s="57" t="n"/>
      <c r="F30" s="57" t="n"/>
      <c r="G30" s="58" t="n"/>
      <c r="H30" s="57" t="n"/>
      <c r="I30" s="56" t="n"/>
      <c r="J30" s="57" t="n"/>
      <c r="K30" s="57" t="n"/>
      <c r="L30" s="57" t="n"/>
      <c r="M30" s="2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7" t="n"/>
      <c r="X30" s="57" t="n"/>
      <c r="Y30" s="57" t="n"/>
      <c r="Z30" s="57" t="n"/>
      <c r="AA30" s="57" t="n"/>
      <c r="AB30" s="57" t="n"/>
      <c r="AC30" s="57" t="n"/>
      <c r="AD30" s="56" t="n"/>
    </row>
    <row r="31">
      <c r="A31" s="56" t="n"/>
      <c r="B31" s="56" t="n"/>
      <c r="C31" s="56" t="n"/>
      <c r="D31" s="56" t="n"/>
      <c r="E31" s="57" t="n"/>
      <c r="F31" s="57" t="n"/>
      <c r="G31" s="58" t="n"/>
      <c r="H31" s="57" t="n"/>
      <c r="I31" s="56" t="n"/>
      <c r="J31" s="57" t="n"/>
      <c r="K31" s="57" t="n"/>
      <c r="L31" s="57" t="n"/>
      <c r="M31" s="2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7" t="n"/>
      <c r="X31" s="57" t="n"/>
      <c r="Y31" s="57" t="n"/>
      <c r="Z31" s="57" t="n"/>
      <c r="AA31" s="57" t="n"/>
      <c r="AB31" s="57" t="n"/>
      <c r="AC31" s="57" t="n"/>
      <c r="AD31" s="56" t="n"/>
    </row>
    <row r="32">
      <c r="A32" s="56" t="n"/>
      <c r="B32" s="56" t="n"/>
      <c r="C32" s="56" t="n"/>
      <c r="D32" s="56" t="n"/>
      <c r="E32" s="57" t="n"/>
      <c r="F32" s="57" t="n"/>
      <c r="G32" s="58" t="n"/>
      <c r="H32" s="57" t="n"/>
      <c r="I32" s="56" t="n"/>
      <c r="J32" s="57" t="n"/>
      <c r="K32" s="57" t="n"/>
      <c r="L32" s="57" t="n"/>
      <c r="M32" s="2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7" t="n"/>
      <c r="X32" s="57" t="n"/>
      <c r="Y32" s="57" t="n"/>
      <c r="Z32" s="57" t="n"/>
      <c r="AA32" s="57" t="n"/>
      <c r="AB32" s="57" t="n"/>
      <c r="AC32" s="57" t="n"/>
      <c r="AD32" s="56" t="n"/>
    </row>
    <row r="33">
      <c r="A33" s="56" t="n"/>
      <c r="B33" s="56" t="n"/>
      <c r="C33" s="56" t="n"/>
      <c r="D33" s="56" t="n"/>
      <c r="E33" s="57" t="n"/>
      <c r="F33" s="57" t="n"/>
      <c r="G33" s="58" t="n"/>
      <c r="H33" s="57" t="n"/>
      <c r="I33" s="56" t="n"/>
      <c r="J33" s="57" t="n"/>
      <c r="K33" s="57" t="n"/>
      <c r="L33" s="57" t="n"/>
      <c r="M33" s="2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7" t="n"/>
      <c r="X33" s="57" t="n"/>
      <c r="Y33" s="57" t="n"/>
      <c r="Z33" s="57" t="n"/>
      <c r="AA33" s="57" t="n"/>
      <c r="AB33" s="57" t="n"/>
      <c r="AC33" s="57" t="n"/>
      <c r="AD33" s="56" t="n"/>
    </row>
    <row r="34">
      <c r="A34" s="56" t="n"/>
      <c r="B34" s="56" t="n"/>
      <c r="C34" s="56" t="n"/>
      <c r="D34" s="56" t="n"/>
      <c r="E34" s="57" t="n"/>
      <c r="F34" s="57" t="n"/>
      <c r="G34" s="58" t="n"/>
      <c r="H34" s="57" t="n"/>
      <c r="I34" s="56" t="n"/>
      <c r="J34" s="57" t="n"/>
      <c r="K34" s="57" t="n"/>
      <c r="L34" s="57" t="n"/>
      <c r="M34" s="2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7" t="n"/>
      <c r="X34" s="57" t="n"/>
      <c r="Y34" s="57" t="n"/>
      <c r="Z34" s="57" t="n"/>
      <c r="AA34" s="57" t="n"/>
      <c r="AB34" s="57" t="n"/>
      <c r="AC34" s="57" t="n"/>
      <c r="AD34" s="56" t="n"/>
    </row>
    <row r="35">
      <c r="A35" s="56" t="n"/>
      <c r="B35" s="56" t="n"/>
      <c r="C35" s="56" t="n"/>
      <c r="D35" s="56" t="n"/>
      <c r="E35" s="57" t="n"/>
      <c r="F35" s="57" t="n"/>
      <c r="G35" s="58" t="n"/>
      <c r="H35" s="57" t="n"/>
      <c r="I35" s="56" t="n"/>
      <c r="J35" s="57" t="n"/>
      <c r="K35" s="57" t="n"/>
      <c r="L35" s="57" t="n"/>
      <c r="M35" s="2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7" t="n"/>
      <c r="X35" s="57" t="n"/>
      <c r="Y35" s="57" t="n"/>
      <c r="Z35" s="57" t="n"/>
      <c r="AA35" s="57" t="n"/>
      <c r="AB35" s="57" t="n"/>
      <c r="AC35" s="57" t="n"/>
      <c r="AD35" s="56" t="n"/>
    </row>
    <row r="36">
      <c r="A36" s="56" t="n"/>
      <c r="B36" s="56" t="n"/>
      <c r="C36" s="56" t="n"/>
      <c r="D36" s="56" t="n"/>
      <c r="E36" s="57" t="n"/>
      <c r="F36" s="57" t="n"/>
      <c r="G36" s="58" t="n"/>
      <c r="H36" s="57" t="n"/>
      <c r="I36" s="56" t="n"/>
      <c r="J36" s="57" t="n"/>
      <c r="K36" s="57" t="n"/>
      <c r="L36" s="57" t="n"/>
      <c r="M36" s="2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7" t="n"/>
      <c r="X36" s="57" t="n"/>
      <c r="Y36" s="57" t="n"/>
      <c r="Z36" s="57" t="n"/>
      <c r="AA36" s="57" t="n"/>
      <c r="AB36" s="57" t="n"/>
      <c r="AC36" s="57" t="n"/>
      <c r="AD36" s="56" t="n"/>
    </row>
    <row r="37">
      <c r="A37" s="56" t="n"/>
      <c r="B37" s="56" t="n"/>
      <c r="C37" s="56" t="n"/>
      <c r="D37" s="56" t="n"/>
      <c r="E37" s="57" t="n"/>
      <c r="F37" s="57" t="n"/>
      <c r="G37" s="58" t="n"/>
      <c r="H37" s="57" t="n"/>
      <c r="I37" s="56" t="n"/>
      <c r="J37" s="57" t="n"/>
      <c r="K37" s="57" t="n"/>
      <c r="L37" s="57" t="n"/>
      <c r="M37" s="2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7" t="n"/>
      <c r="X37" s="57" t="n"/>
      <c r="Y37" s="57" t="n"/>
      <c r="Z37" s="57" t="n"/>
      <c r="AA37" s="57" t="n"/>
      <c r="AB37" s="57" t="n"/>
      <c r="AC37" s="57" t="n"/>
      <c r="AD37" s="56" t="n"/>
    </row>
    <row r="38">
      <c r="A38" s="56" t="n"/>
      <c r="B38" s="56" t="n"/>
      <c r="C38" s="56" t="n"/>
      <c r="D38" s="56" t="n"/>
      <c r="E38" s="57" t="n"/>
      <c r="F38" s="57" t="n"/>
      <c r="G38" s="58" t="n"/>
      <c r="H38" s="57" t="n"/>
      <c r="I38" s="56" t="n"/>
      <c r="J38" s="57" t="n"/>
      <c r="K38" s="57" t="n"/>
      <c r="L38" s="57" t="n"/>
      <c r="M38" s="2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7" t="n"/>
      <c r="X38" s="57" t="n"/>
      <c r="Y38" s="57" t="n"/>
      <c r="Z38" s="57" t="n"/>
      <c r="AA38" s="57" t="n"/>
      <c r="AB38" s="57" t="n"/>
      <c r="AC38" s="57" t="n"/>
      <c r="AD38" s="56" t="n"/>
    </row>
    <row r="39">
      <c r="A39" s="56" t="n"/>
      <c r="B39" s="56" t="n"/>
      <c r="C39" s="56" t="n"/>
      <c r="D39" s="56" t="n"/>
      <c r="E39" s="57" t="n"/>
      <c r="F39" s="57" t="n"/>
      <c r="G39" s="58" t="n"/>
      <c r="H39" s="57" t="n"/>
      <c r="I39" s="56" t="n"/>
      <c r="J39" s="57" t="n"/>
      <c r="K39" s="57" t="n"/>
      <c r="L39" s="57" t="n"/>
      <c r="M39" s="2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7" t="n"/>
      <c r="X39" s="57" t="n"/>
      <c r="Y39" s="57" t="n"/>
      <c r="Z39" s="57" t="n"/>
      <c r="AA39" s="57" t="n"/>
      <c r="AB39" s="57" t="n"/>
      <c r="AC39" s="57" t="n"/>
      <c r="AD39" s="56" t="n"/>
    </row>
    <row r="40">
      <c r="A40" s="56" t="n"/>
      <c r="B40" s="56" t="n"/>
      <c r="C40" s="56" t="n"/>
      <c r="D40" s="56" t="n"/>
      <c r="E40" s="57" t="n"/>
      <c r="F40" s="57" t="n"/>
      <c r="G40" s="58" t="n"/>
      <c r="H40" s="57" t="n"/>
      <c r="I40" s="56" t="n"/>
      <c r="J40" s="57" t="n"/>
      <c r="K40" s="57" t="n"/>
      <c r="L40" s="57" t="n"/>
      <c r="M40" s="2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7" t="n"/>
      <c r="X40" s="57" t="n"/>
      <c r="Y40" s="57" t="n"/>
      <c r="Z40" s="57" t="n"/>
      <c r="AA40" s="57" t="n"/>
      <c r="AB40" s="57" t="n"/>
      <c r="AC40" s="57" t="n"/>
      <c r="AD40" s="56" t="n"/>
    </row>
    <row r="41">
      <c r="A41" s="56" t="n"/>
      <c r="B41" s="56" t="n"/>
      <c r="C41" s="56" t="n"/>
      <c r="D41" s="56" t="n"/>
      <c r="E41" s="57" t="n"/>
      <c r="F41" s="57" t="n"/>
      <c r="G41" s="58" t="n"/>
      <c r="H41" s="57" t="n"/>
      <c r="I41" s="56" t="n"/>
      <c r="J41" s="57" t="n"/>
      <c r="K41" s="57" t="n"/>
      <c r="L41" s="57" t="n"/>
      <c r="M41" s="2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7" t="n"/>
      <c r="X41" s="57" t="n"/>
      <c r="Y41" s="57" t="n"/>
      <c r="Z41" s="57" t="n"/>
      <c r="AA41" s="57" t="n"/>
      <c r="AB41" s="57" t="n"/>
      <c r="AC41" s="57" t="n"/>
      <c r="AD41" s="56" t="n"/>
    </row>
    <row r="42">
      <c r="A42" s="56" t="n"/>
      <c r="B42" s="56" t="n"/>
      <c r="C42" s="56" t="n"/>
      <c r="D42" s="56" t="n"/>
      <c r="E42" s="57" t="n"/>
      <c r="F42" s="57" t="n"/>
      <c r="G42" s="58" t="n"/>
      <c r="H42" s="57" t="n"/>
      <c r="I42" s="56" t="n"/>
      <c r="J42" s="57" t="n"/>
      <c r="K42" s="57" t="n"/>
      <c r="L42" s="57" t="n"/>
      <c r="M42" s="2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7" t="n"/>
      <c r="X42" s="57" t="n"/>
      <c r="Y42" s="57" t="n"/>
      <c r="Z42" s="57" t="n"/>
      <c r="AA42" s="57" t="n"/>
      <c r="AB42" s="57" t="n"/>
      <c r="AC42" s="57" t="n"/>
      <c r="AD42" s="56" t="n"/>
    </row>
    <row r="43">
      <c r="A43" s="56" t="n"/>
      <c r="B43" s="56" t="n"/>
      <c r="C43" s="56" t="n"/>
      <c r="D43" s="56" t="n"/>
      <c r="E43" s="57" t="n"/>
      <c r="F43" s="57" t="n"/>
      <c r="G43" s="58" t="n"/>
      <c r="H43" s="57" t="n"/>
      <c r="I43" s="56" t="n"/>
      <c r="J43" s="57" t="n"/>
      <c r="K43" s="57" t="n"/>
      <c r="L43" s="57" t="n"/>
      <c r="M43" s="2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7" t="n"/>
      <c r="X43" s="57" t="n"/>
      <c r="Y43" s="57" t="n"/>
      <c r="Z43" s="57" t="n"/>
      <c r="AA43" s="57" t="n"/>
      <c r="AB43" s="57" t="n"/>
      <c r="AC43" s="57" t="n"/>
      <c r="AD43" s="56" t="n"/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2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2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2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2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2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2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2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56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56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56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56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56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56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56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56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  <row r="1016">
      <c r="A1016" s="56" t="n"/>
      <c r="B1016" s="56" t="n"/>
      <c r="C1016" s="56" t="n"/>
      <c r="D1016" s="56" t="n"/>
      <c r="E1016" s="57" t="n"/>
      <c r="F1016" s="57" t="n"/>
      <c r="G1016" s="58" t="n"/>
      <c r="H1016" s="57" t="n"/>
      <c r="I1016" s="56" t="n"/>
      <c r="J1016" s="57" t="n"/>
      <c r="K1016" s="57" t="n"/>
      <c r="L1016" s="57" t="n"/>
      <c r="M1016" s="56" t="n"/>
      <c r="N1016" s="56" t="n"/>
      <c r="O1016" s="56" t="n"/>
      <c r="P1016" s="56" t="n"/>
      <c r="Q1016" s="56" t="n"/>
      <c r="R1016" s="56" t="n"/>
      <c r="S1016" s="56" t="n"/>
      <c r="T1016" s="56" t="n"/>
      <c r="U1016" s="56" t="n"/>
      <c r="V1016" s="56" t="n"/>
      <c r="W1016" s="57" t="n"/>
      <c r="X1016" s="57" t="n"/>
      <c r="Y1016" s="57" t="n"/>
      <c r="Z1016" s="57" t="n"/>
      <c r="AA1016" s="57" t="n"/>
      <c r="AB1016" s="57" t="n"/>
      <c r="AC1016" s="57" t="n"/>
      <c r="AD1016" s="56" t="n"/>
    </row>
    <row r="1017">
      <c r="A1017" s="56" t="n"/>
      <c r="B1017" s="56" t="n"/>
      <c r="C1017" s="56" t="n"/>
      <c r="D1017" s="56" t="n"/>
      <c r="E1017" s="57" t="n"/>
      <c r="F1017" s="57" t="n"/>
      <c r="G1017" s="58" t="n"/>
      <c r="H1017" s="57" t="n"/>
      <c r="I1017" s="56" t="n"/>
      <c r="J1017" s="57" t="n"/>
      <c r="K1017" s="57" t="n"/>
      <c r="L1017" s="57" t="n"/>
      <c r="M1017" s="56" t="n"/>
      <c r="N1017" s="56" t="n"/>
      <c r="O1017" s="56" t="n"/>
      <c r="P1017" s="56" t="n"/>
      <c r="Q1017" s="56" t="n"/>
      <c r="R1017" s="56" t="n"/>
      <c r="S1017" s="56" t="n"/>
      <c r="T1017" s="56" t="n"/>
      <c r="U1017" s="56" t="n"/>
      <c r="V1017" s="56" t="n"/>
      <c r="W1017" s="57" t="n"/>
      <c r="X1017" s="57" t="n"/>
      <c r="Y1017" s="57" t="n"/>
      <c r="Z1017" s="57" t="n"/>
      <c r="AA1017" s="57" t="n"/>
      <c r="AB1017" s="57" t="n"/>
      <c r="AC1017" s="57" t="n"/>
      <c r="AD1017" s="56" t="n"/>
    </row>
    <row r="1018">
      <c r="A1018" s="56" t="n"/>
      <c r="B1018" s="56" t="n"/>
      <c r="C1018" s="56" t="n"/>
      <c r="D1018" s="56" t="n"/>
      <c r="E1018" s="57" t="n"/>
      <c r="F1018" s="57" t="n"/>
      <c r="G1018" s="58" t="n"/>
      <c r="H1018" s="57" t="n"/>
      <c r="I1018" s="56" t="n"/>
      <c r="J1018" s="57" t="n"/>
      <c r="K1018" s="57" t="n"/>
      <c r="L1018" s="57" t="n"/>
      <c r="M1018" s="56" t="n"/>
      <c r="N1018" s="56" t="n"/>
      <c r="O1018" s="56" t="n"/>
      <c r="P1018" s="56" t="n"/>
      <c r="Q1018" s="56" t="n"/>
      <c r="R1018" s="56" t="n"/>
      <c r="S1018" s="56" t="n"/>
      <c r="T1018" s="56" t="n"/>
      <c r="U1018" s="56" t="n"/>
      <c r="V1018" s="56" t="n"/>
      <c r="W1018" s="57" t="n"/>
      <c r="X1018" s="57" t="n"/>
      <c r="Y1018" s="57" t="n"/>
      <c r="Z1018" s="57" t="n"/>
      <c r="AA1018" s="57" t="n"/>
      <c r="AB1018" s="57" t="n"/>
      <c r="AC1018" s="57" t="n"/>
      <c r="AD1018" s="56" t="n"/>
    </row>
    <row r="1019">
      <c r="A1019" s="56" t="n"/>
      <c r="B1019" s="56" t="n"/>
      <c r="C1019" s="56" t="n"/>
      <c r="D1019" s="56" t="n"/>
      <c r="E1019" s="57" t="n"/>
      <c r="F1019" s="57" t="n"/>
      <c r="G1019" s="58" t="n"/>
      <c r="H1019" s="57" t="n"/>
      <c r="I1019" s="56" t="n"/>
      <c r="J1019" s="57" t="n"/>
      <c r="K1019" s="57" t="n"/>
      <c r="L1019" s="57" t="n"/>
      <c r="M1019" s="56" t="n"/>
      <c r="N1019" s="56" t="n"/>
      <c r="O1019" s="56" t="n"/>
      <c r="P1019" s="56" t="n"/>
      <c r="Q1019" s="56" t="n"/>
      <c r="R1019" s="56" t="n"/>
      <c r="S1019" s="56" t="n"/>
      <c r="T1019" s="56" t="n"/>
      <c r="U1019" s="56" t="n"/>
      <c r="V1019" s="56" t="n"/>
      <c r="W1019" s="57" t="n"/>
      <c r="X1019" s="57" t="n"/>
      <c r="Y1019" s="57" t="n"/>
      <c r="Z1019" s="57" t="n"/>
      <c r="AA1019" s="57" t="n"/>
      <c r="AB1019" s="57" t="n"/>
      <c r="AC1019" s="57" t="n"/>
      <c r="AD1019" s="56" t="n"/>
    </row>
    <row r="1020">
      <c r="A1020" s="56" t="n"/>
      <c r="B1020" s="56" t="n"/>
      <c r="C1020" s="56" t="n"/>
      <c r="D1020" s="56" t="n"/>
      <c r="E1020" s="57" t="n"/>
      <c r="F1020" s="57" t="n"/>
      <c r="G1020" s="58" t="n"/>
      <c r="H1020" s="57" t="n"/>
      <c r="I1020" s="56" t="n"/>
      <c r="J1020" s="57" t="n"/>
      <c r="K1020" s="57" t="n"/>
      <c r="L1020" s="57" t="n"/>
      <c r="M1020" s="56" t="n"/>
      <c r="N1020" s="56" t="n"/>
      <c r="O1020" s="56" t="n"/>
      <c r="P1020" s="56" t="n"/>
      <c r="Q1020" s="56" t="n"/>
      <c r="R1020" s="56" t="n"/>
      <c r="S1020" s="56" t="n"/>
      <c r="T1020" s="56" t="n"/>
      <c r="U1020" s="56" t="n"/>
      <c r="V1020" s="56" t="n"/>
      <c r="W1020" s="57" t="n"/>
      <c r="X1020" s="57" t="n"/>
      <c r="Y1020" s="57" t="n"/>
      <c r="Z1020" s="57" t="n"/>
      <c r="AA1020" s="57" t="n"/>
      <c r="AB1020" s="57" t="n"/>
      <c r="AC1020" s="57" t="n"/>
      <c r="AD1020" s="56" t="n"/>
    </row>
    <row r="1021">
      <c r="A1021" s="56" t="n"/>
      <c r="B1021" s="56" t="n"/>
      <c r="C1021" s="56" t="n"/>
      <c r="D1021" s="56" t="n"/>
      <c r="E1021" s="57" t="n"/>
      <c r="F1021" s="57" t="n"/>
      <c r="G1021" s="58" t="n"/>
      <c r="H1021" s="57" t="n"/>
      <c r="I1021" s="56" t="n"/>
      <c r="J1021" s="57" t="n"/>
      <c r="K1021" s="57" t="n"/>
      <c r="L1021" s="57" t="n"/>
      <c r="M1021" s="56" t="n"/>
      <c r="N1021" s="56" t="n"/>
      <c r="O1021" s="56" t="n"/>
      <c r="P1021" s="56" t="n"/>
      <c r="Q1021" s="56" t="n"/>
      <c r="R1021" s="56" t="n"/>
      <c r="S1021" s="56" t="n"/>
      <c r="T1021" s="56" t="n"/>
      <c r="U1021" s="56" t="n"/>
      <c r="V1021" s="56" t="n"/>
      <c r="W1021" s="57" t="n"/>
      <c r="X1021" s="57" t="n"/>
      <c r="Y1021" s="57" t="n"/>
      <c r="Z1021" s="57" t="n"/>
      <c r="AA1021" s="57" t="n"/>
      <c r="AB1021" s="57" t="n"/>
      <c r="AC1021" s="57" t="n"/>
      <c r="AD1021" s="56" t="n"/>
    </row>
    <row r="1022">
      <c r="A1022" s="56" t="n"/>
      <c r="B1022" s="56" t="n"/>
      <c r="C1022" s="56" t="n"/>
      <c r="D1022" s="56" t="n"/>
      <c r="E1022" s="57" t="n"/>
      <c r="F1022" s="57" t="n"/>
      <c r="G1022" s="58" t="n"/>
      <c r="H1022" s="57" t="n"/>
      <c r="I1022" s="56" t="n"/>
      <c r="J1022" s="57" t="n"/>
      <c r="K1022" s="57" t="n"/>
      <c r="L1022" s="57" t="n"/>
      <c r="M1022" s="56" t="n"/>
      <c r="N1022" s="56" t="n"/>
      <c r="O1022" s="56" t="n"/>
      <c r="P1022" s="56" t="n"/>
      <c r="Q1022" s="56" t="n"/>
      <c r="R1022" s="56" t="n"/>
      <c r="S1022" s="56" t="n"/>
      <c r="T1022" s="56" t="n"/>
      <c r="U1022" s="56" t="n"/>
      <c r="V1022" s="56" t="n"/>
      <c r="W1022" s="57" t="n"/>
      <c r="X1022" s="57" t="n"/>
      <c r="Y1022" s="57" t="n"/>
      <c r="Z1022" s="57" t="n"/>
      <c r="AA1022" s="57" t="n"/>
      <c r="AB1022" s="57" t="n"/>
      <c r="AC1022" s="57" t="n"/>
      <c r="AD1022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n"/>
      <c r="B1" s="63" t="inlineStr">
        <is>
          <t>Code</t>
        </is>
      </c>
      <c r="C1" s="60" t="inlineStr">
        <is>
          <t>LGEINDIA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""price"")"),1499.0)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""high52"")"),1749.0)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""low52"")"),1325.5)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2026-02-10T06:54:33Z</dcterms:created>
  <dcterms:modified xmlns:dcterms="http://purl.org/dc/terms/" xmlns:xsi="http://www.w3.org/2001/XMLSchema-instance" xsi:type="dcterms:W3CDTF">2026-02-12T00:09:16Z</dcterms:modified>
</cp:coreProperties>
</file>