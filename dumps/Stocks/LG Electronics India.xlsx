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8C97EBA_8E58_4337_BFC4_9F6E630DBB6C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46063</v>
      </c>
      <c r="B5" t="inlineStr">
        <is>
          <t>BSE</t>
        </is>
      </c>
      <c r="C5" t="inlineStr">
        <is>
          <t>Buy</t>
        </is>
      </c>
      <c r="D5" t="n">
        <v>2</v>
      </c>
      <c r="E5" t="n">
        <v>1554.1</v>
      </c>
      <c r="F5" t="n">
        <v>3123.74</v>
      </c>
      <c r="G5" t="inlineStr">
        <is>
          <t>CN#252611730667</t>
        </is>
      </c>
      <c r="I5" t="n">
        <v>15.54</v>
      </c>
      <c r="J5">
        <f>Index!$C$2</f>
        <v/>
      </c>
    </row>
    <row r="6">
      <c r="A6" s="93" t="n">
        <v>46059</v>
      </c>
      <c r="B6" s="0" t="inlineStr">
        <is>
          <t>NSE</t>
        </is>
      </c>
      <c r="C6" s="0" t="inlineStr">
        <is>
          <t>Buy</t>
        </is>
      </c>
      <c r="D6" s="0" t="n">
        <v>3</v>
      </c>
      <c r="E6" s="0" t="n">
        <v>1503.9</v>
      </c>
      <c r="F6" s="0" t="n">
        <v>4534.26</v>
      </c>
      <c r="G6" s="0" t="inlineStr">
        <is>
          <t>CN#252611604850</t>
        </is>
      </c>
      <c r="I6" s="0" t="n">
        <v>22.56</v>
      </c>
      <c r="J6" s="0">
        <f>Index!$C$2</f>
        <v/>
      </c>
    </row>
    <row r="7">
      <c r="A7" s="93" t="n">
        <v>46057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1525.4</v>
      </c>
      <c r="F7" s="0" t="n">
        <v>3066.06</v>
      </c>
      <c r="G7" s="0" t="inlineStr">
        <is>
          <t>CN#252611485581</t>
        </is>
      </c>
      <c r="I7" s="0" t="n">
        <v>15.26</v>
      </c>
      <c r="J7" s="0">
        <f>Index!$C$2</f>
        <v/>
      </c>
    </row>
    <row r="8">
      <c r="A8" s="93" t="n">
        <v>46050</v>
      </c>
      <c r="B8" s="0" t="inlineStr">
        <is>
          <t>NSE</t>
        </is>
      </c>
      <c r="C8" s="0" t="inlineStr">
        <is>
          <t>Buy</t>
        </is>
      </c>
      <c r="D8" s="0" t="n">
        <v>3</v>
      </c>
      <c r="E8" s="0" t="n">
        <v>1395.7</v>
      </c>
      <c r="F8" s="0" t="n">
        <v>4208.04</v>
      </c>
      <c r="G8" s="0" t="inlineStr">
        <is>
          <t>CN#252611091662</t>
        </is>
      </c>
      <c r="I8" s="0" t="n">
        <v>20.94</v>
      </c>
      <c r="J8" s="0">
        <f>Index!$C$2</f>
        <v/>
      </c>
    </row>
    <row r="9">
      <c r="A9" s="93" t="n">
        <v>46049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1401.1</v>
      </c>
      <c r="F9" s="0" t="n">
        <v>7040.55</v>
      </c>
      <c r="G9" s="0" t="inlineStr">
        <is>
          <t>CN#252611030591</t>
        </is>
      </c>
      <c r="I9" s="0" t="n">
        <v>35.05</v>
      </c>
      <c r="J9" s="0">
        <f>Index!$C$2</f>
        <v/>
      </c>
    </row>
    <row r="10">
      <c r="A10" s="93" t="n">
        <v>46044</v>
      </c>
      <c r="B10" s="0" t="inlineStr">
        <is>
          <t>NSE</t>
        </is>
      </c>
      <c r="C10" s="0" t="inlineStr">
        <is>
          <t>Buy</t>
        </is>
      </c>
      <c r="D10" s="0" t="n">
        <v>3</v>
      </c>
      <c r="E10" s="0" t="n">
        <v>1373.4</v>
      </c>
      <c r="F10" s="0" t="n">
        <v>4140.81</v>
      </c>
      <c r="G10" s="0" t="inlineStr">
        <is>
          <t>CN#252610906344</t>
        </is>
      </c>
      <c r="I10" s="0" t="n">
        <v>20.61</v>
      </c>
      <c r="J10" s="0">
        <f>Index!$C$2</f>
        <v/>
      </c>
    </row>
    <row r="11">
      <c r="A11" s="93" t="n">
        <v>46042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1356.5</v>
      </c>
      <c r="F11" s="0" t="n">
        <v>6816.4</v>
      </c>
      <c r="G11" s="0" t="inlineStr">
        <is>
          <t>CN#252610779339</t>
        </is>
      </c>
      <c r="I11" s="0" t="n">
        <v>33.9</v>
      </c>
      <c r="J11" s="0">
        <f>Index!$C$2</f>
        <v/>
      </c>
    </row>
    <row r="12">
      <c r="A12" s="93" t="n">
        <v>46038</v>
      </c>
      <c r="B12" s="0" t="inlineStr">
        <is>
          <t>NSE</t>
        </is>
      </c>
      <c r="C12" s="0" t="inlineStr">
        <is>
          <t>Buy</t>
        </is>
      </c>
      <c r="D12" s="0" t="n">
        <v>3</v>
      </c>
      <c r="E12" s="0" t="n">
        <v>1392</v>
      </c>
      <c r="F12" s="0" t="n">
        <v>4196.88</v>
      </c>
      <c r="G12" s="0" t="inlineStr">
        <is>
          <t>CN#252610644483</t>
        </is>
      </c>
      <c r="I12" s="0" t="n">
        <v>20.88</v>
      </c>
      <c r="J12" s="0">
        <f>Index!$C$2</f>
        <v/>
      </c>
    </row>
    <row r="13">
      <c r="A13" s="93" t="n">
        <v>46034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1389.9</v>
      </c>
      <c r="F13" s="0" t="n">
        <v>6984.25</v>
      </c>
      <c r="G13" s="0" t="inlineStr">
        <is>
          <t>CN#252610469431</t>
        </is>
      </c>
      <c r="I13" s="0" t="n">
        <v>34.75</v>
      </c>
      <c r="J13" s="0">
        <f>Index!$C$2</f>
        <v/>
      </c>
    </row>
    <row r="14">
      <c r="A14" s="93" t="n">
        <v>46030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1427.1</v>
      </c>
      <c r="F14" s="0" t="n">
        <v>7171.2</v>
      </c>
      <c r="G14" s="0" t="inlineStr">
        <is>
          <t>CN#252610347614</t>
        </is>
      </c>
      <c r="I14" s="0" t="n">
        <v>35.7</v>
      </c>
      <c r="J14" s="0">
        <f>Index!$C$2</f>
        <v/>
      </c>
    </row>
    <row r="15">
      <c r="A15" s="93" t="n">
        <v>46027</v>
      </c>
      <c r="B15" s="0" t="inlineStr">
        <is>
          <t>NSE</t>
        </is>
      </c>
      <c r="C15" s="0" t="inlineStr">
        <is>
          <t>Buy</t>
        </is>
      </c>
      <c r="D15" s="0" t="n">
        <v>3</v>
      </c>
      <c r="E15" s="0" t="n">
        <v>1483.4</v>
      </c>
      <c r="F15" s="0" t="n">
        <v>4472.46</v>
      </c>
      <c r="G15" s="0" t="inlineStr">
        <is>
          <t>CN#252610159828</t>
        </is>
      </c>
      <c r="I15" s="0" t="n">
        <v>22.26</v>
      </c>
      <c r="J15" s="0">
        <f>Index!$C$2</f>
        <v/>
      </c>
    </row>
    <row r="16">
      <c r="A16" s="93" t="n">
        <v>46024</v>
      </c>
      <c r="B16" s="0" t="inlineStr">
        <is>
          <t>BSE</t>
        </is>
      </c>
      <c r="C16" s="0" t="inlineStr">
        <is>
          <t>Buy</t>
        </is>
      </c>
      <c r="D16" s="0" t="n">
        <v>3</v>
      </c>
      <c r="E16" s="0" t="n">
        <v>1486.85</v>
      </c>
      <c r="F16" s="0" t="n">
        <v>4482.84</v>
      </c>
      <c r="G16" s="0" t="inlineStr">
        <is>
          <t>CN#252610092927</t>
        </is>
      </c>
      <c r="I16" s="0" t="n">
        <v>22.29</v>
      </c>
      <c r="J16" s="0">
        <f>Index!$C$2</f>
        <v/>
      </c>
    </row>
    <row r="17">
      <c r="A17" s="93" t="n">
        <v>46023</v>
      </c>
      <c r="B17" s="0" t="inlineStr">
        <is>
          <t>BSE</t>
        </is>
      </c>
      <c r="C17" s="0" t="inlineStr">
        <is>
          <t>Buy</t>
        </is>
      </c>
      <c r="D17" s="0" t="n">
        <v>3</v>
      </c>
      <c r="E17" s="0" t="n">
        <v>1484.4</v>
      </c>
      <c r="F17" s="0" t="n">
        <v>4475.46</v>
      </c>
      <c r="G17" s="0" t="inlineStr">
        <is>
          <t>CN#252610036219</t>
        </is>
      </c>
      <c r="I17" s="0" t="n">
        <v>22.26</v>
      </c>
      <c r="J17" s="0">
        <f>Index!$C$2</f>
        <v/>
      </c>
    </row>
    <row r="18">
      <c r="A18" s="93" t="n">
        <v>46022</v>
      </c>
      <c r="B18" s="0" t="inlineStr">
        <is>
          <t>BSE</t>
        </is>
      </c>
      <c r="C18" s="0" t="inlineStr">
        <is>
          <t>Buy</t>
        </is>
      </c>
      <c r="D18" s="0" t="n">
        <v>3</v>
      </c>
      <c r="E18" s="0" t="n">
        <v>1526.45</v>
      </c>
      <c r="F18" s="0" t="n">
        <v>4602.24</v>
      </c>
      <c r="G18" s="0" t="inlineStr">
        <is>
          <t>CN#252609981253</t>
        </is>
      </c>
      <c r="I18" s="0" t="n">
        <v>22.89</v>
      </c>
      <c r="J18" s="0">
        <f>Index!$C$2</f>
        <v/>
      </c>
    </row>
    <row r="19">
      <c r="A19" s="93" t="n">
        <v>46020</v>
      </c>
      <c r="B19" s="0" t="inlineStr">
        <is>
          <t>NSE</t>
        </is>
      </c>
      <c r="C19" s="0" t="inlineStr">
        <is>
          <t>Buy</t>
        </is>
      </c>
      <c r="D19" s="0" t="n">
        <v>3</v>
      </c>
      <c r="E19" s="0" t="n">
        <v>1548.5</v>
      </c>
      <c r="F19" s="0" t="n">
        <v>4668.72</v>
      </c>
      <c r="G19" s="0" t="inlineStr">
        <is>
          <t>CN#252609871125</t>
        </is>
      </c>
      <c r="I19" s="0" t="n">
        <v>23.22</v>
      </c>
      <c r="J19" s="0">
        <f>Index!$C$2</f>
        <v/>
      </c>
    </row>
    <row r="20">
      <c r="A20" s="93" t="n">
        <v>46017</v>
      </c>
      <c r="B20" s="0" t="inlineStr">
        <is>
          <t>BSE</t>
        </is>
      </c>
      <c r="C20" s="0" t="inlineStr">
        <is>
          <t>Buy</t>
        </is>
      </c>
      <c r="D20" s="0" t="n">
        <v>5</v>
      </c>
      <c r="E20" s="0" t="n">
        <v>1530.35</v>
      </c>
      <c r="F20" s="0" t="n">
        <v>7690</v>
      </c>
      <c r="G20" s="0" t="inlineStr">
        <is>
          <t>CN#252609810990</t>
        </is>
      </c>
      <c r="I20" s="0" t="n">
        <v>38.25</v>
      </c>
      <c r="J20" s="0">
        <f>Index!$C$2</f>
        <v/>
      </c>
    </row>
    <row r="21">
      <c r="A21" s="93" t="n">
        <v>46015</v>
      </c>
      <c r="B21" s="0" t="inlineStr">
        <is>
          <t>BSE</t>
        </is>
      </c>
      <c r="C21" s="0" t="inlineStr">
        <is>
          <t>Buy</t>
        </is>
      </c>
      <c r="D21" s="0" t="n">
        <v>3</v>
      </c>
      <c r="E21" s="0" t="n">
        <v>1527.9</v>
      </c>
      <c r="F21" s="0" t="n">
        <v>4606.62</v>
      </c>
      <c r="G21" s="0" t="inlineStr">
        <is>
          <t>CN#252609755521</t>
        </is>
      </c>
      <c r="I21" s="0" t="n">
        <v>22.92</v>
      </c>
      <c r="J21" s="0">
        <f>Index!$C$2</f>
        <v/>
      </c>
    </row>
    <row r="22">
      <c r="A22" s="93" t="n">
        <v>46014</v>
      </c>
      <c r="B22" s="0" t="inlineStr">
        <is>
          <t>NSE</t>
        </is>
      </c>
      <c r="C22" s="0" t="inlineStr">
        <is>
          <t>Buy</t>
        </is>
      </c>
      <c r="D22" s="0" t="n">
        <v>3</v>
      </c>
      <c r="E22" s="0" t="n">
        <v>1556.7</v>
      </c>
      <c r="F22" s="0" t="n">
        <v>4693.44</v>
      </c>
      <c r="G22" s="0" t="inlineStr">
        <is>
          <t>CN#252609701573</t>
        </is>
      </c>
      <c r="I22" s="0" t="n">
        <v>23.34</v>
      </c>
      <c r="J22" s="0">
        <f>Index!$C$2</f>
        <v/>
      </c>
    </row>
    <row r="23">
      <c r="A23" s="93" t="n">
        <v>46009</v>
      </c>
      <c r="B23" s="0" t="inlineStr">
        <is>
          <t>BSE</t>
        </is>
      </c>
      <c r="C23" s="0" t="inlineStr">
        <is>
          <t>Buy</t>
        </is>
      </c>
      <c r="D23" s="0" t="n">
        <v>3</v>
      </c>
      <c r="E23" s="0" t="n">
        <v>1537.35</v>
      </c>
      <c r="F23" s="0" t="n">
        <v>4635.12</v>
      </c>
      <c r="G23" s="0" t="inlineStr">
        <is>
          <t>CN#252609527272</t>
        </is>
      </c>
      <c r="I23" s="0" t="n">
        <v>23.07</v>
      </c>
      <c r="J23" s="0">
        <f>Index!$C$2</f>
        <v/>
      </c>
    </row>
    <row r="24">
      <c r="A24" s="93" t="n">
        <v>46008</v>
      </c>
      <c r="B24" s="0" t="inlineStr">
        <is>
          <t>BSE</t>
        </is>
      </c>
      <c r="C24" s="0" t="inlineStr">
        <is>
          <t>Buy</t>
        </is>
      </c>
      <c r="D24" s="0" t="n">
        <v>3</v>
      </c>
      <c r="E24" s="0" t="n">
        <v>1545.7</v>
      </c>
      <c r="F24" s="0" t="n">
        <v>4660.29</v>
      </c>
      <c r="G24" s="0" t="inlineStr">
        <is>
          <t>CN#252609476500</t>
        </is>
      </c>
      <c r="I24" s="0" t="n">
        <v>23.19</v>
      </c>
      <c r="J24" s="0">
        <f>Index!$C$2</f>
        <v/>
      </c>
    </row>
    <row r="25">
      <c r="A25" s="93" t="n">
        <v>46007</v>
      </c>
      <c r="B25" s="0" t="inlineStr">
        <is>
          <t>NSE</t>
        </is>
      </c>
      <c r="C25" s="0" t="inlineStr">
        <is>
          <t>Buy</t>
        </is>
      </c>
      <c r="D25" s="0" t="n">
        <v>3</v>
      </c>
      <c r="E25" s="0" t="n">
        <v>1553.2</v>
      </c>
      <c r="F25" s="0" t="n">
        <v>4682.91</v>
      </c>
      <c r="G25" s="0" t="inlineStr">
        <is>
          <t>CN#252609425003</t>
        </is>
      </c>
      <c r="I25" s="0" t="n">
        <v>23.31</v>
      </c>
      <c r="J25" s="0">
        <f>Index!$C$2</f>
        <v/>
      </c>
    </row>
    <row r="26">
      <c r="A26" s="93" t="n">
        <v>46006</v>
      </c>
      <c r="B26" s="0" t="inlineStr">
        <is>
          <t>BSE</t>
        </is>
      </c>
      <c r="C26" s="0" t="inlineStr">
        <is>
          <t>Buy</t>
        </is>
      </c>
      <c r="D26" s="0" t="n">
        <v>3</v>
      </c>
      <c r="E26" s="0" t="n">
        <v>1574.95</v>
      </c>
      <c r="F26" s="0" t="n">
        <v>4748.46</v>
      </c>
      <c r="G26" s="0" t="inlineStr">
        <is>
          <t>CN#252609372767</t>
        </is>
      </c>
      <c r="I26" s="0" t="n">
        <v>23.61</v>
      </c>
      <c r="J26" s="0">
        <f>Index!$C$2</f>
        <v/>
      </c>
    </row>
    <row r="27">
      <c r="A27" s="93" t="n">
        <v>46002</v>
      </c>
      <c r="B27" s="0" t="inlineStr">
        <is>
          <t>NSE</t>
        </is>
      </c>
      <c r="C27" s="0" t="inlineStr">
        <is>
          <t>Buy</t>
        </is>
      </c>
      <c r="D27" s="0" t="n">
        <v>5</v>
      </c>
      <c r="E27" s="0" t="n">
        <v>1560.6</v>
      </c>
      <c r="F27" s="0" t="n">
        <v>7842</v>
      </c>
      <c r="G27" s="0" t="inlineStr">
        <is>
          <t>CN#252609267726</t>
        </is>
      </c>
      <c r="I27" s="0" t="n">
        <v>39</v>
      </c>
      <c r="J27" s="0">
        <f>Index!$C$2</f>
        <v/>
      </c>
    </row>
    <row r="28">
      <c r="A28" s="93" t="n">
        <v>46000</v>
      </c>
      <c r="B28" s="0" t="inlineStr">
        <is>
          <t>BSE</t>
        </is>
      </c>
      <c r="C28" s="0" t="inlineStr">
        <is>
          <t>Buy</t>
        </is>
      </c>
      <c r="D28" s="0" t="n">
        <v>2</v>
      </c>
      <c r="E28" s="0" t="n">
        <v>1578</v>
      </c>
      <c r="F28" s="0" t="n">
        <v>3171.78</v>
      </c>
      <c r="G28" s="0" t="inlineStr">
        <is>
          <t>CN#252609157599</t>
        </is>
      </c>
      <c r="I28" s="0" t="n">
        <v>15.78</v>
      </c>
      <c r="J28" s="0">
        <f>Index!$C$2</f>
        <v/>
      </c>
    </row>
    <row r="29">
      <c r="A29" s="93" t="n">
        <v>45993</v>
      </c>
      <c r="B29" s="0" t="inlineStr">
        <is>
          <t>NSE</t>
        </is>
      </c>
      <c r="C29" s="0" t="inlineStr">
        <is>
          <t>Buy</t>
        </is>
      </c>
      <c r="D29" s="0" t="n">
        <v>3</v>
      </c>
      <c r="E29" s="0" t="n">
        <v>1636.4</v>
      </c>
      <c r="F29" s="0" t="n">
        <v>4933.74</v>
      </c>
      <c r="G29" s="0" t="inlineStr">
        <is>
          <t>CN#252608877522</t>
        </is>
      </c>
      <c r="I29" s="0" t="n">
        <v>24.54</v>
      </c>
      <c r="J29" s="0">
        <f>Index!$C$2</f>
        <v/>
      </c>
    </row>
    <row r="30">
      <c r="A30" s="93" t="n">
        <v>45989</v>
      </c>
      <c r="B30" s="0" t="inlineStr">
        <is>
          <t>BSE</t>
        </is>
      </c>
      <c r="C30" s="0" t="inlineStr">
        <is>
          <t>Buy</t>
        </is>
      </c>
      <c r="D30" s="0" t="n">
        <v>3</v>
      </c>
      <c r="E30" s="0" t="n">
        <v>1647.3</v>
      </c>
      <c r="F30" s="0" t="n">
        <v>4966.62</v>
      </c>
      <c r="G30" s="0" t="inlineStr">
        <is>
          <t>CN#252608755594</t>
        </is>
      </c>
      <c r="I30" s="0" t="n">
        <v>24.72</v>
      </c>
      <c r="J30" s="0">
        <f>Index!$C$2</f>
        <v/>
      </c>
    </row>
    <row r="31">
      <c r="A31" s="93" t="n">
        <v>45988</v>
      </c>
      <c r="B31" s="0" t="inlineStr">
        <is>
          <t>NSE</t>
        </is>
      </c>
      <c r="C31" s="0" t="inlineStr">
        <is>
          <t>Buy</t>
        </is>
      </c>
      <c r="D31" s="0" t="n">
        <v>5</v>
      </c>
      <c r="E31" s="0" t="n">
        <v>1634.7</v>
      </c>
      <c r="F31" s="0" t="n">
        <v>8214.35</v>
      </c>
      <c r="G31" s="0" t="inlineStr">
        <is>
          <t>CN#252608703866</t>
        </is>
      </c>
      <c r="I31" s="0" t="n">
        <v>40.85</v>
      </c>
      <c r="J31" s="0">
        <f>Index!$C$2</f>
        <v/>
      </c>
    </row>
    <row r="32">
      <c r="A32" s="93" t="n">
        <v>45982</v>
      </c>
      <c r="B32" s="0" t="inlineStr">
        <is>
          <t>NSE</t>
        </is>
      </c>
      <c r="C32" s="0" t="inlineStr">
        <is>
          <t>Buy</t>
        </is>
      </c>
      <c r="D32" s="0" t="n">
        <v>3</v>
      </c>
      <c r="E32" s="0" t="n">
        <v>1656.7</v>
      </c>
      <c r="F32" s="0" t="n">
        <v>4994.94</v>
      </c>
      <c r="G32" s="0" t="inlineStr">
        <is>
          <t>CN#252608495287</t>
        </is>
      </c>
      <c r="I32" s="0" t="n">
        <v>24.84</v>
      </c>
      <c r="J32" s="0">
        <f>Index!$C$2</f>
        <v/>
      </c>
    </row>
    <row r="33">
      <c r="A33" s="93" t="n">
        <v>45978</v>
      </c>
      <c r="B33" s="0" t="inlineStr">
        <is>
          <t>BSE</t>
        </is>
      </c>
      <c r="C33" s="0" t="inlineStr">
        <is>
          <t>Buy</t>
        </is>
      </c>
      <c r="D33" s="0" t="n">
        <v>2</v>
      </c>
      <c r="E33" s="0" t="n">
        <v>1613.05</v>
      </c>
      <c r="F33" s="0" t="n">
        <v>3242.24</v>
      </c>
      <c r="G33" s="0" t="inlineStr">
        <is>
          <t>CN#252608260909</t>
        </is>
      </c>
      <c r="I33" s="0" t="n">
        <v>16.14</v>
      </c>
      <c r="J33" s="0">
        <f>Index!$C$2</f>
        <v/>
      </c>
    </row>
    <row r="34">
      <c r="A34" s="93" t="n">
        <v>45975</v>
      </c>
      <c r="B34" s="0" t="inlineStr">
        <is>
          <t>NSE</t>
        </is>
      </c>
      <c r="C34" s="0" t="inlineStr">
        <is>
          <t>Buy</t>
        </is>
      </c>
      <c r="D34" s="0" t="n">
        <v>2</v>
      </c>
      <c r="E34" s="0" t="n">
        <v>1632.3</v>
      </c>
      <c r="F34" s="0" t="n">
        <v>3280.92</v>
      </c>
      <c r="G34" s="0" t="inlineStr">
        <is>
          <t>CN#252608199734</t>
        </is>
      </c>
      <c r="I34" s="0" t="n">
        <v>16.32</v>
      </c>
      <c r="J34" s="0">
        <f>Index!$C$2</f>
        <v/>
      </c>
    </row>
    <row r="35">
      <c r="A35" s="93" t="n">
        <v>45971</v>
      </c>
      <c r="B35" s="0" t="inlineStr">
        <is>
          <t>NSE</t>
        </is>
      </c>
      <c r="C35" s="0" t="inlineStr">
        <is>
          <t>Buy</t>
        </is>
      </c>
      <c r="D35" s="0" t="n">
        <v>2</v>
      </c>
      <c r="E35" s="0" t="n">
        <v>1643.9</v>
      </c>
      <c r="F35" s="0" t="n">
        <v>3304.24</v>
      </c>
      <c r="G35" s="0" t="inlineStr">
        <is>
          <t>CN#252607962278</t>
        </is>
      </c>
      <c r="I35" s="0" t="n">
        <v>16.44</v>
      </c>
      <c r="J35" s="0">
        <f>Index!$C$2</f>
        <v/>
      </c>
    </row>
    <row r="36">
      <c r="A36" s="93" t="n">
        <v>45968</v>
      </c>
      <c r="B36" s="0" t="inlineStr">
        <is>
          <t>BSE</t>
        </is>
      </c>
      <c r="C36" s="0" t="inlineStr">
        <is>
          <t>Buy</t>
        </is>
      </c>
      <c r="D36" s="0" t="n">
        <v>2</v>
      </c>
      <c r="E36" s="0" t="n">
        <v>1610.5</v>
      </c>
      <c r="F36" s="0" t="n">
        <v>3237.1</v>
      </c>
      <c r="G36" s="0" t="inlineStr">
        <is>
          <t>CN#252607899666</t>
        </is>
      </c>
      <c r="I36" s="0" t="n">
        <v>16.1</v>
      </c>
      <c r="J36" s="0">
        <f>Index!$C$2</f>
        <v/>
      </c>
    </row>
    <row r="37">
      <c r="A37" s="93" t="n">
        <v>45961</v>
      </c>
      <c r="B37" s="0" t="inlineStr">
        <is>
          <t>NSE</t>
        </is>
      </c>
      <c r="C37" s="0" t="inlineStr">
        <is>
          <t>Buy</t>
        </is>
      </c>
      <c r="D37" s="0" t="n">
        <v>2</v>
      </c>
      <c r="E37" s="0" t="n">
        <v>1663</v>
      </c>
      <c r="F37" s="0" t="n">
        <v>3342.64</v>
      </c>
      <c r="G37" s="0" t="inlineStr">
        <is>
          <t>CN#252607606298</t>
        </is>
      </c>
      <c r="I37" s="0" t="n">
        <v>16.64</v>
      </c>
      <c r="J37" s="0">
        <f>Index!$C$2</f>
        <v/>
      </c>
    </row>
    <row r="38">
      <c r="A38" s="93" t="n">
        <v>45959</v>
      </c>
      <c r="B38" s="0" t="inlineStr">
        <is>
          <t>NSE</t>
        </is>
      </c>
      <c r="C38" s="0" t="inlineStr">
        <is>
          <t>Buy</t>
        </is>
      </c>
      <c r="D38" s="0" t="n">
        <v>1</v>
      </c>
      <c r="E38" s="0" t="n">
        <v>1651.5</v>
      </c>
      <c r="F38" s="0" t="n">
        <v>1659.76</v>
      </c>
      <c r="G38" s="0" t="inlineStr">
        <is>
          <t>CN#252607497001</t>
        </is>
      </c>
      <c r="I38" s="0" t="n">
        <v>8.26</v>
      </c>
      <c r="J38" s="0">
        <f>Index!$C$2</f>
        <v/>
      </c>
    </row>
    <row r="39">
      <c r="A39" s="93" t="n">
        <v>45957</v>
      </c>
      <c r="B39" s="0" t="inlineStr">
        <is>
          <t>BSE</t>
        </is>
      </c>
      <c r="C39" s="0" t="inlineStr">
        <is>
          <t>Buy</t>
        </is>
      </c>
      <c r="D39" s="0" t="n">
        <v>2</v>
      </c>
      <c r="E39" s="0" t="n">
        <v>1650.5</v>
      </c>
      <c r="F39" s="0" t="n">
        <v>3317.5</v>
      </c>
      <c r="G39" s="0" t="inlineStr">
        <is>
          <t>CN#252607382790</t>
        </is>
      </c>
      <c r="I39" s="0" t="n">
        <v>16.5</v>
      </c>
      <c r="J39" s="0">
        <f>Index!$C$2</f>
        <v/>
      </c>
    </row>
    <row r="40">
      <c r="A40" s="93" t="n">
        <v>45967</v>
      </c>
      <c r="B40" s="0" t="inlineStr">
        <is>
          <t>NSE</t>
        </is>
      </c>
      <c r="C40" s="0" t="inlineStr">
        <is>
          <t>Buy</t>
        </is>
      </c>
      <c r="D40" s="0" t="n">
        <v>2</v>
      </c>
      <c r="E40" s="0" t="n">
        <v>1607.15</v>
      </c>
      <c r="F40" s="0" t="n">
        <v>3230.38</v>
      </c>
      <c r="G40" s="0" t="inlineStr">
        <is>
          <t>CN#252607785263</t>
        </is>
      </c>
      <c r="I40" s="0" t="n">
        <v>16.08</v>
      </c>
      <c r="J40" s="0">
        <f>Index!$C$2</f>
        <v/>
      </c>
    </row>
    <row r="41">
      <c r="A41" s="31" t="n">
        <v>45863</v>
      </c>
      <c r="B41" s="32" t="inlineStr">
        <is>
          <t>DIV</t>
        </is>
      </c>
      <c r="C41" s="32" t="inlineStr">
        <is>
          <t>Buy</t>
        </is>
      </c>
      <c r="D41" s="33" t="n">
        <v>100</v>
      </c>
      <c r="E41" s="34" t="n">
        <v>4.75</v>
      </c>
      <c r="F41" s="34" t="n">
        <v>475</v>
      </c>
      <c r="G41" s="32" t="inlineStr">
        <is>
          <t>Annual-Dividend of Rs.4.7500/- per share on Ex-Date: 25-JUL-2025</t>
        </is>
      </c>
      <c r="H41" s="34" t="n">
        <v>0</v>
      </c>
      <c r="I41" s="33" t="n">
        <v>0</v>
      </c>
      <c r="J41" s="35">
        <f>Index!$C$2</f>
        <v/>
      </c>
      <c r="K41" s="36">
        <f>IF(AND( C5="Buy", ISBLANK(W5), B5&lt;&gt;"DIV"), L5/sum(F5:I5), "")</f>
        <v/>
      </c>
      <c r="L41" s="37">
        <f>IF(AND( C5="Buy", ISBLANK(W5), B5&lt;&gt;"DIV"), (1-Index!$F$2*2)*((J5*D5)-(E5*D5)), "")</f>
        <v/>
      </c>
      <c r="M41" s="37">
        <f>IF(AND( C5="Buy", ISBLANK(W5), B5&lt;&gt;"DIV"), ((E5*D5)+L5), "")</f>
        <v/>
      </c>
      <c r="N41" s="38">
        <f>IF(AND( C5="Buy", ISBLANK(W5), B5&lt;&gt;"DIV"), D5, "")</f>
        <v/>
      </c>
      <c r="O41" s="36">
        <f>IF(AND( C5="Buy", ISBLANK(W5), B5&lt;&gt;"DIV", NOW()-A5 &lt; 365), P5/sum(F5:I5), "")</f>
        <v/>
      </c>
      <c r="P41" s="37">
        <f>IF(AND( C5="Buy", ISBLANK(W5), B5&lt;&gt;"DIV", NOW()-A5 &lt; 365), (1-Index!$F$2*2)*((J5*D5)-(E5*D5)), "")</f>
        <v/>
      </c>
      <c r="Q41" s="37">
        <f>IF(AND( C5="Buy", ISBLANK(W5), B5&lt;&gt;"DIV", NOW()-A5 &lt; 365), ((E5*D5)+P5), "")</f>
        <v/>
      </c>
      <c r="R41" s="37">
        <f>IF(AND( C5="Buy", ISBLANK(W5), B5&lt;&gt;"DIV", NOW()-A5 &lt; 365), D5, "")</f>
        <v/>
      </c>
      <c r="S41" s="39">
        <f>IF(AND( C5="Buy", ISBLANK(W5), B5&lt;&gt;"DIV", NOW()-A5 &gt; 365), T5/sum(F5:I5), "")</f>
        <v/>
      </c>
      <c r="T41" s="40">
        <f>IF(AND( C5="Buy", ISBLANK(W5), B5&lt;&gt;"DIV", NOW()-A5 &gt; 365), (1-Index!$F$2*2)*((J5*D5)-(E5*D5)), "")</f>
        <v/>
      </c>
      <c r="U41" s="40">
        <f>IF(AND( C5="Buy", ISBLANK(W5), B5&lt;&gt;"DIV", NOW()-A5 &gt; 365), ((E5*D5)+T5), "")</f>
        <v/>
      </c>
      <c r="V41" s="40">
        <f>IF(AND( C5="Buy", ISBLANK(W5), B5&lt;&gt;"DIV", NOW()-A5 &gt; 365), D5, "")</f>
        <v/>
      </c>
      <c r="W41" s="40" t="n"/>
      <c r="X41" s="40" t="n"/>
      <c r="Y41" s="39">
        <f>IF(AND( C5="Buy", W5&lt;&gt;"", AA5&lt;&gt;"", B5&lt;&gt;"DIV"), Z5/sum(F5:I5), "")</f>
        <v/>
      </c>
      <c r="Z41" s="40" t="n"/>
      <c r="AA41" s="40" t="n"/>
      <c r="AB41" s="41" t="n"/>
      <c r="AC41" s="37">
        <f>if(B5="DIV", F5,"")</f>
        <v/>
      </c>
      <c r="AD41" s="42" t="n"/>
    </row>
    <row r="42">
      <c r="A42" s="43" t="n">
        <v>45699</v>
      </c>
      <c r="B42" s="44" t="inlineStr">
        <is>
          <t>NSE</t>
        </is>
      </c>
      <c r="C42" s="44" t="inlineStr">
        <is>
          <t>Buy</t>
        </is>
      </c>
      <c r="D42" s="45" t="n">
        <v>60</v>
      </c>
      <c r="E42" s="46" t="n">
        <v>114.17</v>
      </c>
      <c r="F42" s="46" t="n">
        <v>6850.01</v>
      </c>
      <c r="G42" s="44" t="inlineStr">
        <is>
          <t>~</t>
        </is>
      </c>
      <c r="H42" s="46" t="n">
        <v>6.78</v>
      </c>
      <c r="I42" s="45" t="n">
        <v>41.63</v>
      </c>
      <c r="J42" s="35">
        <f>Index!$C$2</f>
        <v/>
      </c>
      <c r="K42" s="36">
        <f>IF(AND( C6="Buy", ISBLANK(W6), B6&lt;&gt;"DIV"), L6/sum(F6:I6), "")</f>
        <v/>
      </c>
      <c r="L42" s="37">
        <f>IF(AND( C6="Buy", ISBLANK(W6), B6&lt;&gt;"DIV"), (1-Index!$F$2*2)*((J6*D6)-(E6*D6)), "")</f>
        <v/>
      </c>
      <c r="M42" s="37">
        <f>IF(AND( C6="Buy", ISBLANK(W6), B6&lt;&gt;"DIV"), ((E6*D6)+L6), "")</f>
        <v/>
      </c>
      <c r="N42" s="38">
        <f>IF(AND( C6="Buy", ISBLANK(W6), B6&lt;&gt;"DIV"), D6, "")</f>
        <v/>
      </c>
      <c r="O42" s="36">
        <f>IF(AND( C6="Buy", ISBLANK(W6), B6&lt;&gt;"DIV", NOW()-A6 &lt; 365), P6/sum(F6:I6), "")</f>
        <v/>
      </c>
      <c r="P42" s="37">
        <f>IF(AND( C6="Buy", ISBLANK(W6), B6&lt;&gt;"DIV", NOW()-A6 &lt; 365), (1-Index!$F$2*2)*((J6*D6)-(E6*D6)), "")</f>
        <v/>
      </c>
      <c r="Q42" s="37">
        <f>IF(AND( C6="Buy", ISBLANK(W6), B6&lt;&gt;"DIV", NOW()-A6 &lt; 365), ((E6*D6)+P6), "")</f>
        <v/>
      </c>
      <c r="R42" s="37">
        <f>IF(AND( C6="Buy", ISBLANK(W6), B6&lt;&gt;"DIV", NOW()-A6 &lt; 365), D6, "")</f>
        <v/>
      </c>
      <c r="S42" s="39">
        <f>IF(AND( C6="Buy", ISBLANK(W6), B6&lt;&gt;"DIV", NOW()-A6 &gt; 365), T6/sum(F6:I6), "")</f>
        <v/>
      </c>
      <c r="T42" s="40">
        <f>IF(AND( C6="Buy", ISBLANK(W6), B6&lt;&gt;"DIV", NOW()-A6 &gt; 365), (1-Index!$F$2*2)*((J6*D6)-(E6*D6)), "")</f>
        <v/>
      </c>
      <c r="U42" s="40">
        <f>IF(AND( C6="Buy", ISBLANK(W6), B6&lt;&gt;"DIV", NOW()-A6 &gt; 365), ((E6*D6)+T6), "")</f>
        <v/>
      </c>
      <c r="V42" s="40">
        <f>IF(AND( C6="Buy", ISBLANK(W6), B6&lt;&gt;"DIV", NOW()-A6 &gt; 365), D6, "")</f>
        <v/>
      </c>
      <c r="W42" s="40" t="n"/>
      <c r="X42" s="40" t="n"/>
      <c r="Y42" s="39">
        <f>IF(AND( C6="Buy", W6&lt;&gt;"", AA6&lt;&gt;"", B6&lt;&gt;"DIV"), Z6/sum(F6:I6), "")</f>
        <v/>
      </c>
      <c r="Z42" s="40" t="n"/>
      <c r="AA42" s="40" t="n"/>
      <c r="AB42" s="41" t="n"/>
      <c r="AC42" s="37">
        <f>if(B6="DIV", F6,"")</f>
        <v/>
      </c>
      <c r="AD42" s="42" t="n"/>
    </row>
    <row r="43">
      <c r="A43" s="43" t="n">
        <v>45492</v>
      </c>
      <c r="B43" s="44" t="inlineStr">
        <is>
          <t>DIV</t>
        </is>
      </c>
      <c r="C43" s="44" t="inlineStr">
        <is>
          <t>Buy</t>
        </is>
      </c>
      <c r="D43" s="45" t="n">
        <v>40</v>
      </c>
      <c r="E43" s="46" t="n">
        <v>3.6</v>
      </c>
      <c r="F43" s="46" t="n">
        <v>144</v>
      </c>
      <c r="G43" s="44" t="inlineStr">
        <is>
          <t>Annual-Dividend of Rs.3.6000/- per share on Ex-Date: 19-JUL-2024</t>
        </is>
      </c>
      <c r="H43" s="46" t="n">
        <v>0</v>
      </c>
      <c r="I43" s="45" t="n">
        <v>0</v>
      </c>
      <c r="J43" s="35">
        <f>Index!$C$2</f>
        <v/>
      </c>
      <c r="K43" s="36">
        <f>IF(AND( C7="Buy", ISBLANK(W7), B7&lt;&gt;"DIV"), L7/sum(F7:I7), "")</f>
        <v/>
      </c>
      <c r="L43" s="37">
        <f>IF(AND( C7="Buy", ISBLANK(W7), B7&lt;&gt;"DIV"), (1-Index!$F$2*2)*((J7*D7)-(E7*D7)), "")</f>
        <v/>
      </c>
      <c r="M43" s="37">
        <f>IF(AND( C7="Buy", ISBLANK(W7), B7&lt;&gt;"DIV"), ((E7*D7)+L7), "")</f>
        <v/>
      </c>
      <c r="N43" s="38">
        <f>IF(AND( C7="Buy", ISBLANK(W7), B7&lt;&gt;"DIV"), D7, "")</f>
        <v/>
      </c>
      <c r="O43" s="36">
        <f>IF(AND( C7="Buy", ISBLANK(W7), B7&lt;&gt;"DIV", NOW()-A7 &lt; 365), P7/sum(F7:I7), "")</f>
        <v/>
      </c>
      <c r="P43" s="37">
        <f>IF(AND( C7="Buy", ISBLANK(W7), B7&lt;&gt;"DIV", NOW()-A7 &lt; 365), (1-Index!$F$2*2)*((J7*D7)-(E7*D7)), "")</f>
        <v/>
      </c>
      <c r="Q43" s="37">
        <f>IF(AND( C7="Buy", ISBLANK(W7), B7&lt;&gt;"DIV", NOW()-A7 &lt; 365), ((E7*D7)+P7), "")</f>
        <v/>
      </c>
      <c r="R43" s="37">
        <f>IF(AND( C7="Buy", ISBLANK(W7), B7&lt;&gt;"DIV", NOW()-A7 &lt; 365), D7, "")</f>
        <v/>
      </c>
      <c r="S43" s="39">
        <f>IF(AND( C7="Buy", ISBLANK(W7), B7&lt;&gt;"DIV", NOW()-A7 &gt; 365), T7/sum(F7:I7), "")</f>
        <v/>
      </c>
      <c r="T43" s="40">
        <f>IF(AND( C7="Buy", ISBLANK(W7), B7&lt;&gt;"DIV", NOW()-A7 &gt; 365), (1-Index!$F$2*2)*((J7*D7)-(E7*D7)), "")</f>
        <v/>
      </c>
      <c r="U43" s="40">
        <f>IF(AND( C7="Buy", ISBLANK(W7), B7&lt;&gt;"DIV", NOW()-A7 &gt; 365), ((E7*D7)+T7), "")</f>
        <v/>
      </c>
      <c r="V43" s="40">
        <f>IF(AND( C7="Buy", ISBLANK(W7), B7&lt;&gt;"DIV", NOW()-A7 &gt; 365), D7, "")</f>
        <v/>
      </c>
      <c r="W43" s="40" t="n"/>
      <c r="X43" s="40" t="n"/>
      <c r="Y43" s="39">
        <f>IF(AND( C7="Buy", W7&lt;&gt;"", AA7&lt;&gt;"", B7&lt;&gt;"DIV"), Z7/sum(F7:I7), "")</f>
        <v/>
      </c>
      <c r="Z43" s="40" t="n"/>
      <c r="AA43" s="40" t="n"/>
      <c r="AB43" s="41" t="n"/>
      <c r="AC43" s="37">
        <f>if(B7="DIV", F7,"")</f>
        <v/>
      </c>
      <c r="AD43" s="42" t="n"/>
    </row>
    <row r="44">
      <c r="A44" s="43" t="n">
        <v>45282</v>
      </c>
      <c r="B44" s="44" t="inlineStr">
        <is>
          <t>NSE</t>
        </is>
      </c>
      <c r="C44" s="44" t="inlineStr">
        <is>
          <t>Buy</t>
        </is>
      </c>
      <c r="D44" s="45" t="n">
        <v>20</v>
      </c>
      <c r="E44" s="46" t="n">
        <v>117.99</v>
      </c>
      <c r="F44" s="46" t="n">
        <v>2359.71</v>
      </c>
      <c r="G44" s="44" t="inlineStr">
        <is>
          <t>~</t>
        </is>
      </c>
      <c r="H44" s="46" t="n">
        <v>2.34</v>
      </c>
      <c r="I44" s="45" t="n">
        <v>14.37</v>
      </c>
      <c r="J44" s="35">
        <f>Index!$C$2</f>
        <v/>
      </c>
      <c r="K44" s="36">
        <f>IF(AND( C8="Buy", ISBLANK(W8), B8&lt;&gt;"DIV"), L8/sum(F8:I8), "")</f>
        <v/>
      </c>
      <c r="L44" s="37">
        <f>IF(AND( C8="Buy", ISBLANK(W8), B8&lt;&gt;"DIV"), (1-Index!$F$2*2)*((J8*D8)-(E8*D8)), "")</f>
        <v/>
      </c>
      <c r="M44" s="37">
        <f>IF(AND( C8="Buy", ISBLANK(W8), B8&lt;&gt;"DIV"), ((E8*D8)+L8), "")</f>
        <v/>
      </c>
      <c r="N44" s="38">
        <f>IF(AND( C8="Buy", ISBLANK(W8), B8&lt;&gt;"DIV"), D8, "")</f>
        <v/>
      </c>
      <c r="O44" s="36">
        <f>IF(AND( C8="Buy", ISBLANK(W8), B8&lt;&gt;"DIV", NOW()-A8 &lt; 365), P8/sum(F8:I8), "")</f>
        <v/>
      </c>
      <c r="P44" s="37">
        <f>IF(AND( C8="Buy", ISBLANK(W8), B8&lt;&gt;"DIV", NOW()-A8 &lt; 365), (1-Index!$F$2*2)*((J8*D8)-(E8*D8)), "")</f>
        <v/>
      </c>
      <c r="Q44" s="37">
        <f>IF(AND( C8="Buy", ISBLANK(W8), B8&lt;&gt;"DIV", NOW()-A8 &lt; 365), ((E8*D8)+P8), "")</f>
        <v/>
      </c>
      <c r="R44" s="37">
        <f>IF(AND( C8="Buy", ISBLANK(W8), B8&lt;&gt;"DIV", NOW()-A8 &lt; 365), D8, "")</f>
        <v/>
      </c>
      <c r="S44" s="39">
        <f>IF(AND( C8="Buy", ISBLANK(W8), B8&lt;&gt;"DIV", NOW()-A8 &gt; 365), T8/sum(F8:I8), "")</f>
        <v/>
      </c>
      <c r="T44" s="40">
        <f>IF(AND( C8="Buy", ISBLANK(W8), B8&lt;&gt;"DIV", NOW()-A8 &gt; 365), (1-Index!$F$2*2)*((J8*D8)-(E8*D8)), "")</f>
        <v/>
      </c>
      <c r="U44" s="40">
        <f>IF(AND( C8="Buy", ISBLANK(W8), B8&lt;&gt;"DIV", NOW()-A8 &gt; 365), ((E8*D8)+T8), "")</f>
        <v/>
      </c>
      <c r="V44" s="40">
        <f>IF(AND( C8="Buy", ISBLANK(W8), B8&lt;&gt;"DIV", NOW()-A8 &gt; 365), D8, "")</f>
        <v/>
      </c>
      <c r="W44" s="40" t="n"/>
      <c r="X44" s="40" t="n"/>
      <c r="Y44" s="39">
        <f>IF(AND( C8="Buy", W8&lt;&gt;"", AA8&lt;&gt;"", B8&lt;&gt;"DIV"), Z8/sum(F8:I8), "")</f>
        <v/>
      </c>
      <c r="Z44" s="40" t="n"/>
      <c r="AA44" s="40" t="n"/>
      <c r="AB44" s="41" t="n"/>
      <c r="AC44" s="37">
        <f>if(B8="DIV", F8,"")</f>
        <v/>
      </c>
      <c r="AD44" s="47" t="inlineStr">
        <is>
          <t>SBI Securities</t>
        </is>
      </c>
    </row>
    <row r="45">
      <c r="A45" s="43" t="n">
        <v>45278</v>
      </c>
      <c r="B45" s="44" t="inlineStr">
        <is>
          <t>NSE</t>
        </is>
      </c>
      <c r="C45" s="44" t="inlineStr">
        <is>
          <t>Buy</t>
        </is>
      </c>
      <c r="D45" s="45" t="n">
        <v>10</v>
      </c>
      <c r="E45" s="46" t="n">
        <v>125.73</v>
      </c>
      <c r="F45" s="46" t="n">
        <v>1257.3</v>
      </c>
      <c r="G45" s="44" t="inlineStr">
        <is>
          <t>~</t>
        </is>
      </c>
      <c r="H45" s="46" t="n">
        <v>1.25</v>
      </c>
      <c r="I45" s="45" t="n">
        <v>7.55</v>
      </c>
      <c r="J45" s="35">
        <f>Index!$C$2</f>
        <v/>
      </c>
      <c r="K45" s="36">
        <f>IF(AND( C9="Buy", ISBLANK(W9), B9&lt;&gt;"DIV"), L9/sum(F9:I9), "")</f>
        <v/>
      </c>
      <c r="L45" s="37">
        <f>IF(AND( C9="Buy", ISBLANK(W9), B9&lt;&gt;"DIV"), (1-Index!$F$2*2)*((J9*D9)-(E9*D9)), "")</f>
        <v/>
      </c>
      <c r="M45" s="37">
        <f>IF(AND( C9="Buy", ISBLANK(W9), B9&lt;&gt;"DIV"), ((E9*D9)+L9), "")</f>
        <v/>
      </c>
      <c r="N45" s="38">
        <f>IF(AND( C9="Buy", ISBLANK(W9), B9&lt;&gt;"DIV"), D9, "")</f>
        <v/>
      </c>
      <c r="O45" s="36">
        <f>IF(AND( C9="Buy", ISBLANK(W9), B9&lt;&gt;"DIV", NOW()-A9 &lt; 365), P9/sum(F9:I9), "")</f>
        <v/>
      </c>
      <c r="P45" s="37">
        <f>IF(AND( C9="Buy", ISBLANK(W9), B9&lt;&gt;"DIV", NOW()-A9 &lt; 365), (1-Index!$F$2*2)*((J9*D9)-(E9*D9)), "")</f>
        <v/>
      </c>
      <c r="Q45" s="37">
        <f>IF(AND( C9="Buy", ISBLANK(W9), B9&lt;&gt;"DIV", NOW()-A9 &lt; 365), ((E9*D9)+P9), "")</f>
        <v/>
      </c>
      <c r="R45" s="37">
        <f>IF(AND( C9="Buy", ISBLANK(W9), B9&lt;&gt;"DIV", NOW()-A9 &lt; 365), D9, "")</f>
        <v/>
      </c>
      <c r="S45" s="39">
        <f>IF(AND( C9="Buy", ISBLANK(W9), B9&lt;&gt;"DIV", NOW()-A9 &gt; 365), T9/sum(F9:I9), "")</f>
        <v/>
      </c>
      <c r="T45" s="40">
        <f>IF(AND( C9="Buy", ISBLANK(W9), B9&lt;&gt;"DIV", NOW()-A9 &gt; 365), (1-Index!$F$2*2)*((J9*D9)-(E9*D9)), "")</f>
        <v/>
      </c>
      <c r="U45" s="40">
        <f>IF(AND( C9="Buy", ISBLANK(W9), B9&lt;&gt;"DIV", NOW()-A9 &gt; 365), ((E9*D9)+T9), "")</f>
        <v/>
      </c>
      <c r="V45" s="40">
        <f>IF(AND( C9="Buy", ISBLANK(W9), B9&lt;&gt;"DIV", NOW()-A9 &gt; 365), D9, "")</f>
        <v/>
      </c>
      <c r="W45" s="40" t="n"/>
      <c r="X45" s="40" t="n"/>
      <c r="Y45" s="39">
        <f>IF(AND( C9="Buy", W9&lt;&gt;"", AA9&lt;&gt;"", B9&lt;&gt;"DIV"), Z9/sum(F9:I9), "")</f>
        <v/>
      </c>
      <c r="Z45" s="40" t="n"/>
      <c r="AA45" s="40" t="n"/>
      <c r="AB45" s="41" t="n"/>
      <c r="AC45" s="37">
        <f>if(B9="DIV", F9,"")</f>
        <v/>
      </c>
      <c r="AD45" s="47" t="inlineStr">
        <is>
          <t>SBI Securities</t>
        </is>
      </c>
    </row>
    <row r="46">
      <c r="A46" s="43" t="n">
        <v>45258</v>
      </c>
      <c r="B46" s="44" t="inlineStr">
        <is>
          <t>NSE</t>
        </is>
      </c>
      <c r="C46" s="44" t="inlineStr">
        <is>
          <t>Buy</t>
        </is>
      </c>
      <c r="D46" s="45" t="n">
        <v>10</v>
      </c>
      <c r="E46" s="46" t="n">
        <v>107.7</v>
      </c>
      <c r="F46" s="46" t="n">
        <v>1077.03</v>
      </c>
      <c r="G46" s="44" t="inlineStr">
        <is>
          <t>~</t>
        </is>
      </c>
      <c r="H46" s="46" t="n">
        <v>1.07</v>
      </c>
      <c r="I46" s="45" t="n">
        <v>6.46</v>
      </c>
      <c r="J46" s="35">
        <f>Index!$C$2</f>
        <v/>
      </c>
      <c r="K46" s="36">
        <f>IF(AND( C10="Buy", ISBLANK(W10), B10&lt;&gt;"DIV"), L10/sum(F10:I10), "")</f>
        <v/>
      </c>
      <c r="L46" s="37">
        <f>IF(AND( C10="Buy", ISBLANK(W10), B10&lt;&gt;"DIV"), (1-Index!$F$2*2)*((J10*D10)-(E10*D10)), "")</f>
        <v/>
      </c>
      <c r="M46" s="37">
        <f>IF(AND( C10="Buy", ISBLANK(W10), B10&lt;&gt;"DIV"), ((E10*D10)+L10), "")</f>
        <v/>
      </c>
      <c r="N46" s="38">
        <f>IF(AND( C10="Buy", ISBLANK(W10), B10&lt;&gt;"DIV"), D10, "")</f>
        <v/>
      </c>
      <c r="O46" s="36">
        <f>IF(AND( C10="Buy", ISBLANK(W10), B10&lt;&gt;"DIV", NOW()-A10 &lt; 365), P10/sum(F10:I10), "")</f>
        <v/>
      </c>
      <c r="P46" s="37">
        <f>IF(AND( C10="Buy", ISBLANK(W10), B10&lt;&gt;"DIV", NOW()-A10 &lt; 365), (1-Index!$F$2*2)*((J10*D10)-(E10*D10)), "")</f>
        <v/>
      </c>
      <c r="Q46" s="37">
        <f>IF(AND( C10="Buy", ISBLANK(W10), B10&lt;&gt;"DIV", NOW()-A10 &lt; 365), ((E10*D10)+P10), "")</f>
        <v/>
      </c>
      <c r="R46" s="37">
        <f>IF(AND( C10="Buy", ISBLANK(W10), B10&lt;&gt;"DIV", NOW()-A10 &lt; 365), D10, "")</f>
        <v/>
      </c>
      <c r="S46" s="39">
        <f>IF(AND( C10="Buy", ISBLANK(W10), B10&lt;&gt;"DIV", NOW()-A10 &gt; 365), T10/sum(F10:I10), "")</f>
        <v/>
      </c>
      <c r="T46" s="40">
        <f>IF(AND( C10="Buy", ISBLANK(W10), B10&lt;&gt;"DIV", NOW()-A10 &gt; 365), (1-Index!$F$2*2)*((J10*D10)-(E10*D10)), "")</f>
        <v/>
      </c>
      <c r="U46" s="40">
        <f>IF(AND( C10="Buy", ISBLANK(W10), B10&lt;&gt;"DIV", NOW()-A10 &gt; 365), ((E10*D10)+T10), "")</f>
        <v/>
      </c>
      <c r="V46" s="40">
        <f>IF(AND( C10="Buy", ISBLANK(W10), B10&lt;&gt;"DIV", NOW()-A10 &gt; 365), D10, "")</f>
        <v/>
      </c>
      <c r="W46" s="40" t="n"/>
      <c r="X46" s="40" t="n"/>
      <c r="Y46" s="39">
        <f>IF(AND( C10="Buy", W10&lt;&gt;"", AA10&lt;&gt;"", B10&lt;&gt;"DIV"), Z10/sum(F10:I10), "")</f>
        <v/>
      </c>
      <c r="Z46" s="40" t="n"/>
      <c r="AA46" s="40" t="n"/>
      <c r="AB46" s="41" t="n"/>
      <c r="AC46" s="37">
        <f>if(B10="DIV", F10,"")</f>
        <v/>
      </c>
      <c r="AD46" s="47" t="inlineStr">
        <is>
          <t>SBI Securities</t>
        </is>
      </c>
    </row>
    <row r="47">
      <c r="A47" s="48" t="n">
        <v>44257</v>
      </c>
      <c r="B47" s="44" t="inlineStr">
        <is>
          <t>NSE</t>
        </is>
      </c>
      <c r="C47" s="44" t="inlineStr">
        <is>
          <t>Sell</t>
        </is>
      </c>
      <c r="D47" s="45" t="n">
        <v>200</v>
      </c>
      <c r="E47" s="46" t="n">
        <v>40.49</v>
      </c>
      <c r="F47" s="46" t="n">
        <v>8097.1</v>
      </c>
      <c r="G47" s="44" t="inlineStr">
        <is>
          <t>~</t>
        </is>
      </c>
      <c r="H47" s="46" t="n">
        <v>8.130000000000001</v>
      </c>
      <c r="I47" s="45" t="n">
        <v>47.47</v>
      </c>
      <c r="J47" s="35">
        <f>Index!$C$2</f>
        <v/>
      </c>
      <c r="K47" s="36">
        <f>IF(AND( C11="Buy", ISBLANK(W11), B11&lt;&gt;"DIV"), L11/sum(F11:I11), "")</f>
        <v/>
      </c>
      <c r="L47" s="37">
        <f>IF(AND( C11="Buy", ISBLANK(W11), B11&lt;&gt;"DIV"), (1-Index!$F$2*2)*((J11*D11)-(E11*D11)), "")</f>
        <v/>
      </c>
      <c r="M47" s="37">
        <f>IF(AND( C11="Buy", ISBLANK(W11), B11&lt;&gt;"DIV"), ((E11*D11)+L11), "")</f>
        <v/>
      </c>
      <c r="N47" s="38">
        <f>IF(AND( C11="Buy", ISBLANK(W11), B11&lt;&gt;"DIV"), D11, "")</f>
        <v/>
      </c>
      <c r="O47" s="36">
        <f>IF(AND( C11="Buy", ISBLANK(W11), B11&lt;&gt;"DIV", NOW()-A11 &lt; 365), P11/sum(F11:I11), "")</f>
        <v/>
      </c>
      <c r="P47" s="37">
        <f>IF(AND( C11="Buy", ISBLANK(W11), B11&lt;&gt;"DIV", NOW()-A11 &lt; 365), (1-Index!$F$2*2)*((J11*D11)-(E11*D11)), "")</f>
        <v/>
      </c>
      <c r="Q47" s="37">
        <f>IF(AND( C11="Buy", ISBLANK(W11), B11&lt;&gt;"DIV", NOW()-A11 &lt; 365), ((E11*D11)+P11), "")</f>
        <v/>
      </c>
      <c r="R47" s="37">
        <f>IF(AND( C11="Buy", ISBLANK(W11), B11&lt;&gt;"DIV", NOW()-A11 &lt; 365), D11, "")</f>
        <v/>
      </c>
      <c r="S47" s="39">
        <f>IF(AND( C11="Buy", ISBLANK(W11), B11&lt;&gt;"DIV", NOW()-A11 &gt; 365), T11/sum(F11:I11), "")</f>
        <v/>
      </c>
      <c r="T47" s="40">
        <f>IF(AND( C11="Buy", ISBLANK(W11), B11&lt;&gt;"DIV", NOW()-A11 &gt; 365), (1-Index!$F$2*2)*((J11*D11)-(E11*D11)), "")</f>
        <v/>
      </c>
      <c r="U47" s="40">
        <f>IF(AND( C11="Buy", ISBLANK(W11), B11&lt;&gt;"DIV", NOW()-A11 &gt; 365), ((E11*D11)+T11), "")</f>
        <v/>
      </c>
      <c r="V47" s="40">
        <f>IF(AND( C11="Buy", ISBLANK(W11), B11&lt;&gt;"DIV", NOW()-A11 &gt; 365), D11, "")</f>
        <v/>
      </c>
      <c r="W47" s="40" t="n"/>
      <c r="X47" s="40" t="n"/>
      <c r="Y47" s="39">
        <f>IF(AND( C11="Buy", W11&lt;&gt;"", AA11&lt;&gt;"", B11&lt;&gt;"DIV"), Z11/sum(F11:I11), "")</f>
        <v/>
      </c>
      <c r="Z47" s="40" t="n"/>
      <c r="AA47" s="40" t="n"/>
      <c r="AB47" s="41" t="n"/>
      <c r="AC47" s="37">
        <f>if(B11="DIV", F11,"")</f>
        <v/>
      </c>
      <c r="AD47" s="47" t="inlineStr">
        <is>
          <t>SBI Securities</t>
        </is>
      </c>
    </row>
    <row r="48">
      <c r="A48" s="48" t="n">
        <v>44021</v>
      </c>
      <c r="B48" s="44" t="inlineStr">
        <is>
          <t>NSE</t>
        </is>
      </c>
      <c r="C48" s="44" t="inlineStr">
        <is>
          <t>Buy</t>
        </is>
      </c>
      <c r="D48" s="45" t="n">
        <v>101</v>
      </c>
      <c r="E48" s="46" t="n">
        <v>33.03</v>
      </c>
      <c r="F48" s="46" t="n">
        <v>3335.87</v>
      </c>
      <c r="G48" s="44" t="inlineStr">
        <is>
          <t>~</t>
        </is>
      </c>
      <c r="H48" s="46" t="n">
        <v>3.36</v>
      </c>
      <c r="I48" s="45" t="n">
        <v>19.71</v>
      </c>
      <c r="J48" s="35">
        <f>Index!$C$2</f>
        <v/>
      </c>
      <c r="K48" s="54" t="n"/>
      <c r="L48" s="54">
        <f>IF(AND( C12="Buy", ISBLANK(W12), B12&lt;&gt;"DIV"), ((J12*D12)-(E12*D12)+I12), "")</f>
        <v/>
      </c>
      <c r="M48" s="50">
        <f>IF(AND( C12="Buy", ISBLANK(W12), B12&lt;&gt;"DIV"), J12*D12, "")</f>
        <v/>
      </c>
      <c r="N48" s="51">
        <f>IF(AND( C12="Buy", ISBLANK(W12), B12&lt;&gt;"DIV"), D12, "")</f>
        <v/>
      </c>
      <c r="O48" s="52" t="n"/>
      <c r="P48" s="54" t="n"/>
      <c r="Q48" s="50" t="n"/>
      <c r="R48" s="50" t="n"/>
      <c r="S48" s="53" t="n"/>
      <c r="T48" s="53" t="n"/>
      <c r="U48" s="53" t="n"/>
      <c r="V48" s="53" t="n"/>
      <c r="W48" s="54" t="n">
        <v>40.212</v>
      </c>
      <c r="X48" s="54" t="n">
        <v>44257</v>
      </c>
      <c r="Y48" s="39" t="n">
        <v>0.2090873907</v>
      </c>
      <c r="Z48" s="54" t="n">
        <v>702.312</v>
      </c>
      <c r="AA48" s="54" t="n">
        <v>4061.412</v>
      </c>
      <c r="AB48" s="55" t="n">
        <v>101</v>
      </c>
      <c r="AC48" s="54" t="n"/>
      <c r="AD48" s="47" t="inlineStr">
        <is>
          <t>SBI Securities</t>
        </is>
      </c>
    </row>
    <row r="49">
      <c r="A49" s="43" t="n">
        <v>43910</v>
      </c>
      <c r="B49" s="44" t="inlineStr">
        <is>
          <t>MRGR</t>
        </is>
      </c>
      <c r="C49" s="44" t="inlineStr">
        <is>
          <t>Buy</t>
        </is>
      </c>
      <c r="D49" s="45" t="n">
        <v>99</v>
      </c>
      <c r="E49" s="46" t="n">
        <v>143.44</v>
      </c>
      <c r="F49" s="46" t="n">
        <v>14200.35</v>
      </c>
      <c r="G49" s="44" t="inlineStr">
        <is>
          <t>330:1000 Merger of 532179 to 532477 on 20-MAR-2020 325:1000 Merger of 532418 to 532477 on 20-MAR-2020</t>
        </is>
      </c>
      <c r="H49" s="46" t="n">
        <v>14</v>
      </c>
      <c r="I49" s="45" t="n">
        <v>86.34999999999999</v>
      </c>
      <c r="J49" s="35">
        <f>Index!$C$2</f>
        <v/>
      </c>
      <c r="K49" s="54" t="n"/>
      <c r="L49" s="54">
        <f>IF(AND( C13="Buy", ISBLANK(W13), B13&lt;&gt;"DIV"), ((J13*D13)-(E13*D13)+I13), "")</f>
        <v/>
      </c>
      <c r="M49" s="50">
        <f>IF(AND( C13="Buy", ISBLANK(W13), B13&lt;&gt;"DIV"), J13*D13, "")</f>
        <v/>
      </c>
      <c r="N49" s="51">
        <f>IF(AND( C13="Buy", ISBLANK(W13), B13&lt;&gt;"DIV"), D13, "")</f>
        <v/>
      </c>
      <c r="O49" s="52" t="n"/>
      <c r="P49" s="54" t="n"/>
      <c r="Q49" s="50" t="n"/>
      <c r="R49" s="50" t="n"/>
      <c r="S49" s="53" t="n"/>
      <c r="T49" s="53" t="n"/>
      <c r="U49" s="53" t="n"/>
      <c r="V49" s="53" t="n"/>
      <c r="W49" s="54" t="n">
        <v>40.212</v>
      </c>
      <c r="X49" s="54" t="n">
        <v>44257</v>
      </c>
      <c r="Y49" s="39" t="n">
        <v>-0.7216375422</v>
      </c>
      <c r="Z49" s="54" t="n">
        <v>-10319.922</v>
      </c>
      <c r="AA49" s="54" t="n">
        <v>3980.988</v>
      </c>
      <c r="AB49" s="55" t="n">
        <v>99</v>
      </c>
      <c r="AC49" s="54" t="n"/>
      <c r="AD49" s="47" t="inlineStr">
        <is>
          <t>SBI Securities</t>
        </is>
      </c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2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2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2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2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2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2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2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2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2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2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2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2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2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2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2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2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2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  <row r="1017">
      <c r="A1017" s="56" t="n"/>
      <c r="B1017" s="56" t="n"/>
      <c r="C1017" s="56" t="n"/>
      <c r="D1017" s="56" t="n"/>
      <c r="E1017" s="57" t="n"/>
      <c r="F1017" s="57" t="n"/>
      <c r="G1017" s="58" t="n"/>
      <c r="H1017" s="57" t="n"/>
      <c r="I1017" s="56" t="n"/>
      <c r="J1017" s="57" t="n"/>
      <c r="K1017" s="57" t="n"/>
      <c r="L1017" s="57" t="n"/>
      <c r="M1017" s="2" t="n"/>
      <c r="N1017" s="56" t="n"/>
      <c r="O1017" s="56" t="n"/>
      <c r="P1017" s="56" t="n"/>
      <c r="Q1017" s="56" t="n"/>
      <c r="R1017" s="56" t="n"/>
      <c r="S1017" s="56" t="n"/>
      <c r="T1017" s="56" t="n"/>
      <c r="U1017" s="56" t="n"/>
      <c r="V1017" s="56" t="n"/>
      <c r="W1017" s="57" t="n"/>
      <c r="X1017" s="57" t="n"/>
      <c r="Y1017" s="57" t="n"/>
      <c r="Z1017" s="57" t="n"/>
      <c r="AA1017" s="57" t="n"/>
      <c r="AB1017" s="57" t="n"/>
      <c r="AC1017" s="57" t="n"/>
      <c r="AD1017" s="56" t="n"/>
    </row>
    <row r="1018">
      <c r="A1018" s="56" t="n"/>
      <c r="B1018" s="56" t="n"/>
      <c r="C1018" s="56" t="n"/>
      <c r="D1018" s="56" t="n"/>
      <c r="E1018" s="57" t="n"/>
      <c r="F1018" s="57" t="n"/>
      <c r="G1018" s="58" t="n"/>
      <c r="H1018" s="57" t="n"/>
      <c r="I1018" s="56" t="n"/>
      <c r="J1018" s="57" t="n"/>
      <c r="K1018" s="57" t="n"/>
      <c r="L1018" s="57" t="n"/>
      <c r="M1018" s="2" t="n"/>
      <c r="N1018" s="56" t="n"/>
      <c r="O1018" s="56" t="n"/>
      <c r="P1018" s="56" t="n"/>
      <c r="Q1018" s="56" t="n"/>
      <c r="R1018" s="56" t="n"/>
      <c r="S1018" s="56" t="n"/>
      <c r="T1018" s="56" t="n"/>
      <c r="U1018" s="56" t="n"/>
      <c r="V1018" s="56" t="n"/>
      <c r="W1018" s="57" t="n"/>
      <c r="X1018" s="57" t="n"/>
      <c r="Y1018" s="57" t="n"/>
      <c r="Z1018" s="57" t="n"/>
      <c r="AA1018" s="57" t="n"/>
      <c r="AB1018" s="57" t="n"/>
      <c r="AC1018" s="57" t="n"/>
      <c r="AD1018" s="56" t="n"/>
    </row>
    <row r="1019">
      <c r="A1019" s="56" t="n"/>
      <c r="B1019" s="56" t="n"/>
      <c r="C1019" s="56" t="n"/>
      <c r="D1019" s="56" t="n"/>
      <c r="E1019" s="57" t="n"/>
      <c r="F1019" s="57" t="n"/>
      <c r="G1019" s="58" t="n"/>
      <c r="H1019" s="57" t="n"/>
      <c r="I1019" s="56" t="n"/>
      <c r="J1019" s="57" t="n"/>
      <c r="K1019" s="57" t="n"/>
      <c r="L1019" s="57" t="n"/>
      <c r="M1019" s="2" t="n"/>
      <c r="N1019" s="56" t="n"/>
      <c r="O1019" s="56" t="n"/>
      <c r="P1019" s="56" t="n"/>
      <c r="Q1019" s="56" t="n"/>
      <c r="R1019" s="56" t="n"/>
      <c r="S1019" s="56" t="n"/>
      <c r="T1019" s="56" t="n"/>
      <c r="U1019" s="56" t="n"/>
      <c r="V1019" s="56" t="n"/>
      <c r="W1019" s="57" t="n"/>
      <c r="X1019" s="57" t="n"/>
      <c r="Y1019" s="57" t="n"/>
      <c r="Z1019" s="57" t="n"/>
      <c r="AA1019" s="57" t="n"/>
      <c r="AB1019" s="57" t="n"/>
      <c r="AC1019" s="57" t="n"/>
      <c r="AD1019" s="56" t="n"/>
    </row>
    <row r="1020">
      <c r="A1020" s="56" t="n"/>
      <c r="B1020" s="56" t="n"/>
      <c r="C1020" s="56" t="n"/>
      <c r="D1020" s="56" t="n"/>
      <c r="E1020" s="57" t="n"/>
      <c r="F1020" s="57" t="n"/>
      <c r="G1020" s="58" t="n"/>
      <c r="H1020" s="57" t="n"/>
      <c r="I1020" s="56" t="n"/>
      <c r="J1020" s="57" t="n"/>
      <c r="K1020" s="57" t="n"/>
      <c r="L1020" s="57" t="n"/>
      <c r="M1020" s="2" t="n"/>
      <c r="N1020" s="56" t="n"/>
      <c r="O1020" s="56" t="n"/>
      <c r="P1020" s="56" t="n"/>
      <c r="Q1020" s="56" t="n"/>
      <c r="R1020" s="56" t="n"/>
      <c r="S1020" s="56" t="n"/>
      <c r="T1020" s="56" t="n"/>
      <c r="U1020" s="56" t="n"/>
      <c r="V1020" s="56" t="n"/>
      <c r="W1020" s="57" t="n"/>
      <c r="X1020" s="57" t="n"/>
      <c r="Y1020" s="57" t="n"/>
      <c r="Z1020" s="57" t="n"/>
      <c r="AA1020" s="57" t="n"/>
      <c r="AB1020" s="57" t="n"/>
      <c r="AC1020" s="57" t="n"/>
      <c r="AD1020" s="56" t="n"/>
    </row>
    <row r="1021">
      <c r="A1021" s="56" t="n"/>
      <c r="B1021" s="56" t="n"/>
      <c r="C1021" s="56" t="n"/>
      <c r="D1021" s="56" t="n"/>
      <c r="E1021" s="57" t="n"/>
      <c r="F1021" s="57" t="n"/>
      <c r="G1021" s="58" t="n"/>
      <c r="H1021" s="57" t="n"/>
      <c r="I1021" s="56" t="n"/>
      <c r="J1021" s="57" t="n"/>
      <c r="K1021" s="57" t="n"/>
      <c r="L1021" s="57" t="n"/>
      <c r="M1021" s="2" t="n"/>
      <c r="N1021" s="56" t="n"/>
      <c r="O1021" s="56" t="n"/>
      <c r="P1021" s="56" t="n"/>
      <c r="Q1021" s="56" t="n"/>
      <c r="R1021" s="56" t="n"/>
      <c r="S1021" s="56" t="n"/>
      <c r="T1021" s="56" t="n"/>
      <c r="U1021" s="56" t="n"/>
      <c r="V1021" s="56" t="n"/>
      <c r="W1021" s="57" t="n"/>
      <c r="X1021" s="57" t="n"/>
      <c r="Y1021" s="57" t="n"/>
      <c r="Z1021" s="57" t="n"/>
      <c r="AA1021" s="57" t="n"/>
      <c r="AB1021" s="57" t="n"/>
      <c r="AC1021" s="57" t="n"/>
      <c r="AD1021" s="56" t="n"/>
    </row>
    <row r="1022">
      <c r="A1022" s="56" t="n"/>
      <c r="B1022" s="56" t="n"/>
      <c r="C1022" s="56" t="n"/>
      <c r="D1022" s="56" t="n"/>
      <c r="E1022" s="57" t="n"/>
      <c r="F1022" s="57" t="n"/>
      <c r="G1022" s="58" t="n"/>
      <c r="H1022" s="57" t="n"/>
      <c r="I1022" s="56" t="n"/>
      <c r="J1022" s="57" t="n"/>
      <c r="K1022" s="57" t="n"/>
      <c r="L1022" s="57" t="n"/>
      <c r="M1022" s="2" t="n"/>
      <c r="N1022" s="56" t="n"/>
      <c r="O1022" s="56" t="n"/>
      <c r="P1022" s="56" t="n"/>
      <c r="Q1022" s="56" t="n"/>
      <c r="R1022" s="56" t="n"/>
      <c r="S1022" s="56" t="n"/>
      <c r="T1022" s="56" t="n"/>
      <c r="U1022" s="56" t="n"/>
      <c r="V1022" s="56" t="n"/>
      <c r="W1022" s="57" t="n"/>
      <c r="X1022" s="57" t="n"/>
      <c r="Y1022" s="57" t="n"/>
      <c r="Z1022" s="57" t="n"/>
      <c r="AA1022" s="57" t="n"/>
      <c r="AB1022" s="57" t="n"/>
      <c r="AC1022" s="57" t="n"/>
      <c r="AD1022" s="56" t="n"/>
    </row>
    <row r="1023">
      <c r="A1023" s="56" t="n"/>
      <c r="B1023" s="56" t="n"/>
      <c r="C1023" s="56" t="n"/>
      <c r="D1023" s="56" t="n"/>
      <c r="E1023" s="57" t="n"/>
      <c r="F1023" s="57" t="n"/>
      <c r="G1023" s="58" t="n"/>
      <c r="H1023" s="57" t="n"/>
      <c r="I1023" s="56" t="n"/>
      <c r="J1023" s="57" t="n"/>
      <c r="K1023" s="57" t="n"/>
      <c r="L1023" s="57" t="n"/>
      <c r="M1023" s="2" t="n"/>
      <c r="N1023" s="56" t="n"/>
      <c r="O1023" s="56" t="n"/>
      <c r="P1023" s="56" t="n"/>
      <c r="Q1023" s="56" t="n"/>
      <c r="R1023" s="56" t="n"/>
      <c r="S1023" s="56" t="n"/>
      <c r="T1023" s="56" t="n"/>
      <c r="U1023" s="56" t="n"/>
      <c r="V1023" s="56" t="n"/>
      <c r="W1023" s="57" t="n"/>
      <c r="X1023" s="57" t="n"/>
      <c r="Y1023" s="57" t="n"/>
      <c r="Z1023" s="57" t="n"/>
      <c r="AA1023" s="57" t="n"/>
      <c r="AB1023" s="57" t="n"/>
      <c r="AC1023" s="57" t="n"/>
      <c r="AD1023" s="56" t="n"/>
    </row>
    <row r="1024">
      <c r="A1024" s="56" t="n"/>
      <c r="B1024" s="56" t="n"/>
      <c r="C1024" s="56" t="n"/>
      <c r="D1024" s="56" t="n"/>
      <c r="E1024" s="57" t="n"/>
      <c r="F1024" s="57" t="n"/>
      <c r="G1024" s="58" t="n"/>
      <c r="H1024" s="57" t="n"/>
      <c r="I1024" s="56" t="n"/>
      <c r="J1024" s="57" t="n"/>
      <c r="K1024" s="57" t="n"/>
      <c r="L1024" s="57" t="n"/>
      <c r="M1024" s="2" t="n"/>
      <c r="N1024" s="56" t="n"/>
      <c r="O1024" s="56" t="n"/>
      <c r="P1024" s="56" t="n"/>
      <c r="Q1024" s="56" t="n"/>
      <c r="R1024" s="56" t="n"/>
      <c r="S1024" s="56" t="n"/>
      <c r="T1024" s="56" t="n"/>
      <c r="U1024" s="56" t="n"/>
      <c r="V1024" s="56" t="n"/>
      <c r="W1024" s="57" t="n"/>
      <c r="X1024" s="57" t="n"/>
      <c r="Y1024" s="57" t="n"/>
      <c r="Z1024" s="57" t="n"/>
      <c r="AA1024" s="57" t="n"/>
      <c r="AB1024" s="57" t="n"/>
      <c r="AC1024" s="57" t="n"/>
      <c r="AD1024" s="56" t="n"/>
    </row>
    <row r="1025">
      <c r="A1025" s="56" t="n"/>
      <c r="B1025" s="56" t="n"/>
      <c r="C1025" s="56" t="n"/>
      <c r="D1025" s="56" t="n"/>
      <c r="E1025" s="57" t="n"/>
      <c r="F1025" s="57" t="n"/>
      <c r="G1025" s="58" t="n"/>
      <c r="H1025" s="57" t="n"/>
      <c r="I1025" s="56" t="n"/>
      <c r="J1025" s="57" t="n"/>
      <c r="K1025" s="57" t="n"/>
      <c r="L1025" s="57" t="n"/>
      <c r="M1025" s="2" t="n"/>
      <c r="N1025" s="56" t="n"/>
      <c r="O1025" s="56" t="n"/>
      <c r="P1025" s="56" t="n"/>
      <c r="Q1025" s="56" t="n"/>
      <c r="R1025" s="56" t="n"/>
      <c r="S1025" s="56" t="n"/>
      <c r="T1025" s="56" t="n"/>
      <c r="U1025" s="56" t="n"/>
      <c r="V1025" s="56" t="n"/>
      <c r="W1025" s="57" t="n"/>
      <c r="X1025" s="57" t="n"/>
      <c r="Y1025" s="57" t="n"/>
      <c r="Z1025" s="57" t="n"/>
      <c r="AA1025" s="57" t="n"/>
      <c r="AB1025" s="57" t="n"/>
      <c r="AC1025" s="57" t="n"/>
      <c r="AD1025" s="56" t="n"/>
    </row>
    <row r="1026">
      <c r="A1026" s="56" t="n"/>
      <c r="B1026" s="56" t="n"/>
      <c r="C1026" s="56" t="n"/>
      <c r="D1026" s="56" t="n"/>
      <c r="E1026" s="57" t="n"/>
      <c r="F1026" s="57" t="n"/>
      <c r="G1026" s="58" t="n"/>
      <c r="H1026" s="57" t="n"/>
      <c r="I1026" s="56" t="n"/>
      <c r="J1026" s="57" t="n"/>
      <c r="K1026" s="57" t="n"/>
      <c r="L1026" s="57" t="n"/>
      <c r="M1026" s="2" t="n"/>
      <c r="N1026" s="56" t="n"/>
      <c r="O1026" s="56" t="n"/>
      <c r="P1026" s="56" t="n"/>
      <c r="Q1026" s="56" t="n"/>
      <c r="R1026" s="56" t="n"/>
      <c r="S1026" s="56" t="n"/>
      <c r="T1026" s="56" t="n"/>
      <c r="U1026" s="56" t="n"/>
      <c r="V1026" s="56" t="n"/>
      <c r="W1026" s="57" t="n"/>
      <c r="X1026" s="57" t="n"/>
      <c r="Y1026" s="57" t="n"/>
      <c r="Z1026" s="57" t="n"/>
      <c r="AA1026" s="57" t="n"/>
      <c r="AB1026" s="57" t="n"/>
      <c r="AC1026" s="57" t="n"/>
      <c r="AD1026" s="56" t="n"/>
    </row>
    <row r="1027">
      <c r="A1027" s="56" t="n"/>
      <c r="B1027" s="56" t="n"/>
      <c r="C1027" s="56" t="n"/>
      <c r="D1027" s="56" t="n"/>
      <c r="E1027" s="57" t="n"/>
      <c r="F1027" s="57" t="n"/>
      <c r="G1027" s="58" t="n"/>
      <c r="H1027" s="57" t="n"/>
      <c r="I1027" s="56" t="n"/>
      <c r="J1027" s="57" t="n"/>
      <c r="K1027" s="57" t="n"/>
      <c r="L1027" s="57" t="n"/>
      <c r="M1027" s="2" t="n"/>
      <c r="N1027" s="56" t="n"/>
      <c r="O1027" s="56" t="n"/>
      <c r="P1027" s="56" t="n"/>
      <c r="Q1027" s="56" t="n"/>
      <c r="R1027" s="56" t="n"/>
      <c r="S1027" s="56" t="n"/>
      <c r="T1027" s="56" t="n"/>
      <c r="U1027" s="56" t="n"/>
      <c r="V1027" s="56" t="n"/>
      <c r="W1027" s="57" t="n"/>
      <c r="X1027" s="57" t="n"/>
      <c r="Y1027" s="57" t="n"/>
      <c r="Z1027" s="57" t="n"/>
      <c r="AA1027" s="57" t="n"/>
      <c r="AB1027" s="57" t="n"/>
      <c r="AC1027" s="57" t="n"/>
      <c r="AD1027" s="56" t="n"/>
    </row>
    <row r="1028">
      <c r="A1028" s="56" t="n"/>
      <c r="B1028" s="56" t="n"/>
      <c r="C1028" s="56" t="n"/>
      <c r="D1028" s="56" t="n"/>
      <c r="E1028" s="57" t="n"/>
      <c r="F1028" s="57" t="n"/>
      <c r="G1028" s="58" t="n"/>
      <c r="H1028" s="57" t="n"/>
      <c r="I1028" s="56" t="n"/>
      <c r="J1028" s="57" t="n"/>
      <c r="K1028" s="57" t="n"/>
      <c r="L1028" s="57" t="n"/>
      <c r="M1028" s="2" t="n"/>
      <c r="N1028" s="56" t="n"/>
      <c r="O1028" s="56" t="n"/>
      <c r="P1028" s="56" t="n"/>
      <c r="Q1028" s="56" t="n"/>
      <c r="R1028" s="56" t="n"/>
      <c r="S1028" s="56" t="n"/>
      <c r="T1028" s="56" t="n"/>
      <c r="U1028" s="56" t="n"/>
      <c r="V1028" s="56" t="n"/>
      <c r="W1028" s="57" t="n"/>
      <c r="X1028" s="57" t="n"/>
      <c r="Y1028" s="57" t="n"/>
      <c r="Z1028" s="57" t="n"/>
      <c r="AA1028" s="57" t="n"/>
      <c r="AB1028" s="57" t="n"/>
      <c r="AC1028" s="57" t="n"/>
      <c r="AD1028" s="56" t="n"/>
    </row>
    <row r="1029">
      <c r="A1029" s="56" t="n"/>
      <c r="B1029" s="56" t="n"/>
      <c r="C1029" s="56" t="n"/>
      <c r="D1029" s="56" t="n"/>
      <c r="E1029" s="57" t="n"/>
      <c r="F1029" s="57" t="n"/>
      <c r="G1029" s="58" t="n"/>
      <c r="H1029" s="57" t="n"/>
      <c r="I1029" s="56" t="n"/>
      <c r="J1029" s="57" t="n"/>
      <c r="K1029" s="57" t="n"/>
      <c r="L1029" s="57" t="n"/>
      <c r="M1029" s="2" t="n"/>
      <c r="N1029" s="56" t="n"/>
      <c r="O1029" s="56" t="n"/>
      <c r="P1029" s="56" t="n"/>
      <c r="Q1029" s="56" t="n"/>
      <c r="R1029" s="56" t="n"/>
      <c r="S1029" s="56" t="n"/>
      <c r="T1029" s="56" t="n"/>
      <c r="U1029" s="56" t="n"/>
      <c r="V1029" s="56" t="n"/>
      <c r="W1029" s="57" t="n"/>
      <c r="X1029" s="57" t="n"/>
      <c r="Y1029" s="57" t="n"/>
      <c r="Z1029" s="57" t="n"/>
      <c r="AA1029" s="57" t="n"/>
      <c r="AB1029" s="57" t="n"/>
      <c r="AC1029" s="57" t="n"/>
      <c r="AD1029" s="56" t="n"/>
    </row>
    <row r="1030">
      <c r="A1030" s="56" t="n"/>
      <c r="B1030" s="56" t="n"/>
      <c r="C1030" s="56" t="n"/>
      <c r="D1030" s="56" t="n"/>
      <c r="E1030" s="57" t="n"/>
      <c r="F1030" s="57" t="n"/>
      <c r="G1030" s="58" t="n"/>
      <c r="H1030" s="57" t="n"/>
      <c r="I1030" s="56" t="n"/>
      <c r="J1030" s="57" t="n"/>
      <c r="K1030" s="57" t="n"/>
      <c r="L1030" s="57" t="n"/>
      <c r="M1030" s="2" t="n"/>
      <c r="N1030" s="56" t="n"/>
      <c r="O1030" s="56" t="n"/>
      <c r="P1030" s="56" t="n"/>
      <c r="Q1030" s="56" t="n"/>
      <c r="R1030" s="56" t="n"/>
      <c r="S1030" s="56" t="n"/>
      <c r="T1030" s="56" t="n"/>
      <c r="U1030" s="56" t="n"/>
      <c r="V1030" s="56" t="n"/>
      <c r="W1030" s="57" t="n"/>
      <c r="X1030" s="57" t="n"/>
      <c r="Y1030" s="57" t="n"/>
      <c r="Z1030" s="57" t="n"/>
      <c r="AA1030" s="57" t="n"/>
      <c r="AB1030" s="57" t="n"/>
      <c r="AC1030" s="57" t="n"/>
      <c r="AD1030" s="56" t="n"/>
    </row>
    <row r="1031">
      <c r="A1031" s="56" t="n"/>
      <c r="B1031" s="56" t="n"/>
      <c r="C1031" s="56" t="n"/>
      <c r="D1031" s="56" t="n"/>
      <c r="E1031" s="57" t="n"/>
      <c r="F1031" s="57" t="n"/>
      <c r="G1031" s="58" t="n"/>
      <c r="H1031" s="57" t="n"/>
      <c r="I1031" s="56" t="n"/>
      <c r="J1031" s="57" t="n"/>
      <c r="K1031" s="57" t="n"/>
      <c r="L1031" s="57" t="n"/>
      <c r="M1031" s="2" t="n"/>
      <c r="N1031" s="56" t="n"/>
      <c r="O1031" s="56" t="n"/>
      <c r="P1031" s="56" t="n"/>
      <c r="Q1031" s="56" t="n"/>
      <c r="R1031" s="56" t="n"/>
      <c r="S1031" s="56" t="n"/>
      <c r="T1031" s="56" t="n"/>
      <c r="U1031" s="56" t="n"/>
      <c r="V1031" s="56" t="n"/>
      <c r="W1031" s="57" t="n"/>
      <c r="X1031" s="57" t="n"/>
      <c r="Y1031" s="57" t="n"/>
      <c r="Z1031" s="57" t="n"/>
      <c r="AA1031" s="57" t="n"/>
      <c r="AB1031" s="57" t="n"/>
      <c r="AC1031" s="57" t="n"/>
      <c r="AD1031" s="56" t="n"/>
    </row>
    <row r="1032">
      <c r="A1032" s="56" t="n"/>
      <c r="B1032" s="56" t="n"/>
      <c r="C1032" s="56" t="n"/>
      <c r="D1032" s="56" t="n"/>
      <c r="E1032" s="57" t="n"/>
      <c r="F1032" s="57" t="n"/>
      <c r="G1032" s="58" t="n"/>
      <c r="H1032" s="57" t="n"/>
      <c r="I1032" s="56" t="n"/>
      <c r="J1032" s="57" t="n"/>
      <c r="K1032" s="57" t="n"/>
      <c r="L1032" s="57" t="n"/>
      <c r="M1032" s="2" t="n"/>
      <c r="N1032" s="56" t="n"/>
      <c r="O1032" s="56" t="n"/>
      <c r="P1032" s="56" t="n"/>
      <c r="Q1032" s="56" t="n"/>
      <c r="R1032" s="56" t="n"/>
      <c r="S1032" s="56" t="n"/>
      <c r="T1032" s="56" t="n"/>
      <c r="U1032" s="56" t="n"/>
      <c r="V1032" s="56" t="n"/>
      <c r="W1032" s="57" t="n"/>
      <c r="X1032" s="57" t="n"/>
      <c r="Y1032" s="57" t="n"/>
      <c r="Z1032" s="57" t="n"/>
      <c r="AA1032" s="57" t="n"/>
      <c r="AB1032" s="57" t="n"/>
      <c r="AC1032" s="57" t="n"/>
      <c r="AD1032" s="56" t="n"/>
    </row>
    <row r="1033">
      <c r="A1033" s="56" t="n"/>
      <c r="B1033" s="56" t="n"/>
      <c r="C1033" s="56" t="n"/>
      <c r="D1033" s="56" t="n"/>
      <c r="E1033" s="57" t="n"/>
      <c r="F1033" s="57" t="n"/>
      <c r="G1033" s="58" t="n"/>
      <c r="H1033" s="57" t="n"/>
      <c r="I1033" s="56" t="n"/>
      <c r="J1033" s="57" t="n"/>
      <c r="K1033" s="57" t="n"/>
      <c r="L1033" s="57" t="n"/>
      <c r="M1033" s="2" t="n"/>
      <c r="N1033" s="56" t="n"/>
      <c r="O1033" s="56" t="n"/>
      <c r="P1033" s="56" t="n"/>
      <c r="Q1033" s="56" t="n"/>
      <c r="R1033" s="56" t="n"/>
      <c r="S1033" s="56" t="n"/>
      <c r="T1033" s="56" t="n"/>
      <c r="U1033" s="56" t="n"/>
      <c r="V1033" s="56" t="n"/>
      <c r="W1033" s="57" t="n"/>
      <c r="X1033" s="57" t="n"/>
      <c r="Y1033" s="57" t="n"/>
      <c r="Z1033" s="57" t="n"/>
      <c r="AA1033" s="57" t="n"/>
      <c r="AB1033" s="57" t="n"/>
      <c r="AC1033" s="57" t="n"/>
      <c r="AD1033" s="56" t="n"/>
    </row>
    <row r="1034">
      <c r="A1034" s="56" t="n"/>
      <c r="B1034" s="56" t="n"/>
      <c r="C1034" s="56" t="n"/>
      <c r="D1034" s="56" t="n"/>
      <c r="E1034" s="57" t="n"/>
      <c r="F1034" s="57" t="n"/>
      <c r="G1034" s="58" t="n"/>
      <c r="H1034" s="57" t="n"/>
      <c r="I1034" s="56" t="n"/>
      <c r="J1034" s="57" t="n"/>
      <c r="K1034" s="57" t="n"/>
      <c r="L1034" s="57" t="n"/>
      <c r="M1034" s="56" t="n"/>
      <c r="N1034" s="56" t="n"/>
      <c r="O1034" s="56" t="n"/>
      <c r="P1034" s="56" t="n"/>
      <c r="Q1034" s="56" t="n"/>
      <c r="R1034" s="56" t="n"/>
      <c r="S1034" s="56" t="n"/>
      <c r="T1034" s="56" t="n"/>
      <c r="U1034" s="56" t="n"/>
      <c r="V1034" s="56" t="n"/>
      <c r="W1034" s="57" t="n"/>
      <c r="X1034" s="57" t="n"/>
      <c r="Y1034" s="57" t="n"/>
      <c r="Z1034" s="57" t="n"/>
      <c r="AA1034" s="57" t="n"/>
      <c r="AB1034" s="57" t="n"/>
      <c r="AC1034" s="57" t="n"/>
      <c r="AD1034" s="56" t="n"/>
    </row>
    <row r="1035">
      <c r="A1035" s="56" t="n"/>
      <c r="B1035" s="56" t="n"/>
      <c r="C1035" s="56" t="n"/>
      <c r="D1035" s="56" t="n"/>
      <c r="E1035" s="57" t="n"/>
      <c r="F1035" s="57" t="n"/>
      <c r="G1035" s="58" t="n"/>
      <c r="H1035" s="57" t="n"/>
      <c r="I1035" s="56" t="n"/>
      <c r="J1035" s="57" t="n"/>
      <c r="K1035" s="57" t="n"/>
      <c r="L1035" s="57" t="n"/>
      <c r="M1035" s="56" t="n"/>
      <c r="N1035" s="56" t="n"/>
      <c r="O1035" s="56" t="n"/>
      <c r="P1035" s="56" t="n"/>
      <c r="Q1035" s="56" t="n"/>
      <c r="R1035" s="56" t="n"/>
      <c r="S1035" s="56" t="n"/>
      <c r="T1035" s="56" t="n"/>
      <c r="U1035" s="56" t="n"/>
      <c r="V1035" s="56" t="n"/>
      <c r="W1035" s="57" t="n"/>
      <c r="X1035" s="57" t="n"/>
      <c r="Y1035" s="57" t="n"/>
      <c r="Z1035" s="57" t="n"/>
      <c r="AA1035" s="57" t="n"/>
      <c r="AB1035" s="57" t="n"/>
      <c r="AC1035" s="57" t="n"/>
      <c r="AD1035" s="56" t="n"/>
    </row>
    <row r="1036">
      <c r="A1036" s="56" t="n"/>
      <c r="B1036" s="56" t="n"/>
      <c r="C1036" s="56" t="n"/>
      <c r="D1036" s="56" t="n"/>
      <c r="E1036" s="57" t="n"/>
      <c r="F1036" s="57" t="n"/>
      <c r="G1036" s="58" t="n"/>
      <c r="H1036" s="57" t="n"/>
      <c r="I1036" s="56" t="n"/>
      <c r="J1036" s="57" t="n"/>
      <c r="K1036" s="57" t="n"/>
      <c r="L1036" s="57" t="n"/>
      <c r="M1036" s="56" t="n"/>
      <c r="N1036" s="56" t="n"/>
      <c r="O1036" s="56" t="n"/>
      <c r="P1036" s="56" t="n"/>
      <c r="Q1036" s="56" t="n"/>
      <c r="R1036" s="56" t="n"/>
      <c r="S1036" s="56" t="n"/>
      <c r="T1036" s="56" t="n"/>
      <c r="U1036" s="56" t="n"/>
      <c r="V1036" s="56" t="n"/>
      <c r="W1036" s="57" t="n"/>
      <c r="X1036" s="57" t="n"/>
      <c r="Y1036" s="57" t="n"/>
      <c r="Z1036" s="57" t="n"/>
      <c r="AA1036" s="57" t="n"/>
      <c r="AB1036" s="57" t="n"/>
      <c r="AC1036" s="57" t="n"/>
      <c r="AD1036" s="56" t="n"/>
    </row>
    <row r="1037">
      <c r="A1037" s="56" t="n"/>
      <c r="B1037" s="56" t="n"/>
      <c r="C1037" s="56" t="n"/>
      <c r="D1037" s="56" t="n"/>
      <c r="E1037" s="57" t="n"/>
      <c r="F1037" s="57" t="n"/>
      <c r="G1037" s="58" t="n"/>
      <c r="H1037" s="57" t="n"/>
      <c r="I1037" s="56" t="n"/>
      <c r="J1037" s="57" t="n"/>
      <c r="K1037" s="57" t="n"/>
      <c r="L1037" s="57" t="n"/>
      <c r="M1037" s="56" t="n"/>
      <c r="N1037" s="56" t="n"/>
      <c r="O1037" s="56" t="n"/>
      <c r="P1037" s="56" t="n"/>
      <c r="Q1037" s="56" t="n"/>
      <c r="R1037" s="56" t="n"/>
      <c r="S1037" s="56" t="n"/>
      <c r="T1037" s="56" t="n"/>
      <c r="U1037" s="56" t="n"/>
      <c r="V1037" s="56" t="n"/>
      <c r="W1037" s="57" t="n"/>
      <c r="X1037" s="57" t="n"/>
      <c r="Y1037" s="57" t="n"/>
      <c r="Z1037" s="57" t="n"/>
      <c r="AA1037" s="57" t="n"/>
      <c r="AB1037" s="57" t="n"/>
      <c r="AC1037" s="57" t="n"/>
      <c r="AD1037" s="56" t="n"/>
    </row>
    <row r="1038">
      <c r="A1038" s="56" t="n"/>
      <c r="B1038" s="56" t="n"/>
      <c r="C1038" s="56" t="n"/>
      <c r="D1038" s="56" t="n"/>
      <c r="E1038" s="57" t="n"/>
      <c r="F1038" s="57" t="n"/>
      <c r="G1038" s="58" t="n"/>
      <c r="H1038" s="57" t="n"/>
      <c r="I1038" s="56" t="n"/>
      <c r="J1038" s="57" t="n"/>
      <c r="K1038" s="57" t="n"/>
      <c r="L1038" s="57" t="n"/>
      <c r="M1038" s="56" t="n"/>
      <c r="N1038" s="56" t="n"/>
      <c r="O1038" s="56" t="n"/>
      <c r="P1038" s="56" t="n"/>
      <c r="Q1038" s="56" t="n"/>
      <c r="R1038" s="56" t="n"/>
      <c r="S1038" s="56" t="n"/>
      <c r="T1038" s="56" t="n"/>
      <c r="U1038" s="56" t="n"/>
      <c r="V1038" s="56" t="n"/>
      <c r="W1038" s="57" t="n"/>
      <c r="X1038" s="57" t="n"/>
      <c r="Y1038" s="57" t="n"/>
      <c r="Z1038" s="57" t="n"/>
      <c r="AA1038" s="57" t="n"/>
      <c r="AB1038" s="57" t="n"/>
      <c r="AC1038" s="57" t="n"/>
      <c r="AD1038" s="56" t="n"/>
    </row>
    <row r="1039">
      <c r="A1039" s="56" t="n"/>
      <c r="B1039" s="56" t="n"/>
      <c r="C1039" s="56" t="n"/>
      <c r="D1039" s="56" t="n"/>
      <c r="E1039" s="57" t="n"/>
      <c r="F1039" s="57" t="n"/>
      <c r="G1039" s="58" t="n"/>
      <c r="H1039" s="57" t="n"/>
      <c r="I1039" s="56" t="n"/>
      <c r="J1039" s="57" t="n"/>
      <c r="K1039" s="57" t="n"/>
      <c r="L1039" s="57" t="n"/>
      <c r="M1039" s="56" t="n"/>
      <c r="N1039" s="56" t="n"/>
      <c r="O1039" s="56" t="n"/>
      <c r="P1039" s="56" t="n"/>
      <c r="Q1039" s="56" t="n"/>
      <c r="R1039" s="56" t="n"/>
      <c r="S1039" s="56" t="n"/>
      <c r="T1039" s="56" t="n"/>
      <c r="U1039" s="56" t="n"/>
      <c r="V1039" s="56" t="n"/>
      <c r="W1039" s="57" t="n"/>
      <c r="X1039" s="57" t="n"/>
      <c r="Y1039" s="57" t="n"/>
      <c r="Z1039" s="57" t="n"/>
      <c r="AA1039" s="57" t="n"/>
      <c r="AB1039" s="57" t="n"/>
      <c r="AC1039" s="57" t="n"/>
      <c r="AD1039" s="56" t="n"/>
    </row>
    <row r="1040">
      <c r="A1040" s="56" t="n"/>
      <c r="B1040" s="56" t="n"/>
      <c r="C1040" s="56" t="n"/>
      <c r="D1040" s="56" t="n"/>
      <c r="E1040" s="57" t="n"/>
      <c r="F1040" s="57" t="n"/>
      <c r="G1040" s="58" t="n"/>
      <c r="H1040" s="57" t="n"/>
      <c r="I1040" s="56" t="n"/>
      <c r="J1040" s="57" t="n"/>
      <c r="K1040" s="57" t="n"/>
      <c r="L1040" s="57" t="n"/>
      <c r="M1040" s="56" t="n"/>
      <c r="N1040" s="56" t="n"/>
      <c r="O1040" s="56" t="n"/>
      <c r="P1040" s="56" t="n"/>
      <c r="Q1040" s="56" t="n"/>
      <c r="R1040" s="56" t="n"/>
      <c r="S1040" s="56" t="n"/>
      <c r="T1040" s="56" t="n"/>
      <c r="U1040" s="56" t="n"/>
      <c r="V1040" s="56" t="n"/>
      <c r="W1040" s="57" t="n"/>
      <c r="X1040" s="57" t="n"/>
      <c r="Y1040" s="57" t="n"/>
      <c r="Z1040" s="57" t="n"/>
      <c r="AA1040" s="57" t="n"/>
      <c r="AB1040" s="57" t="n"/>
      <c r="AC1040" s="57" t="n"/>
      <c r="AD1040" s="56" t="n"/>
    </row>
    <row r="1041">
      <c r="A1041" s="56" t="n"/>
      <c r="B1041" s="56" t="n"/>
      <c r="C1041" s="56" t="n"/>
      <c r="D1041" s="56" t="n"/>
      <c r="E1041" s="57" t="n"/>
      <c r="F1041" s="57" t="n"/>
      <c r="G1041" s="58" t="n"/>
      <c r="H1041" s="57" t="n"/>
      <c r="I1041" s="56" t="n"/>
      <c r="J1041" s="57" t="n"/>
      <c r="K1041" s="57" t="n"/>
      <c r="L1041" s="57" t="n"/>
      <c r="M1041" s="56" t="n"/>
      <c r="N1041" s="56" t="n"/>
      <c r="O1041" s="56" t="n"/>
      <c r="P1041" s="56" t="n"/>
      <c r="Q1041" s="56" t="n"/>
      <c r="R1041" s="56" t="n"/>
      <c r="S1041" s="56" t="n"/>
      <c r="T1041" s="56" t="n"/>
      <c r="U1041" s="56" t="n"/>
      <c r="V1041" s="56" t="n"/>
      <c r="W1041" s="57" t="n"/>
      <c r="X1041" s="57" t="n"/>
      <c r="Y1041" s="57" t="n"/>
      <c r="Z1041" s="57" t="n"/>
      <c r="AA1041" s="57" t="n"/>
      <c r="AB1041" s="57" t="n"/>
      <c r="AC1041" s="57" t="n"/>
      <c r="AD1041" s="56" t="n"/>
    </row>
    <row r="1042">
      <c r="A1042" s="56" t="n"/>
      <c r="B1042" s="56" t="n"/>
      <c r="C1042" s="56" t="n"/>
      <c r="D1042" s="56" t="n"/>
      <c r="E1042" s="57" t="n"/>
      <c r="F1042" s="57" t="n"/>
      <c r="G1042" s="58" t="n"/>
      <c r="H1042" s="57" t="n"/>
      <c r="I1042" s="56" t="n"/>
      <c r="J1042" s="57" t="n"/>
      <c r="K1042" s="57" t="n"/>
      <c r="L1042" s="57" t="n"/>
      <c r="M1042" s="56" t="n"/>
      <c r="N1042" s="56" t="n"/>
      <c r="O1042" s="56" t="n"/>
      <c r="P1042" s="56" t="n"/>
      <c r="Q1042" s="56" t="n"/>
      <c r="R1042" s="56" t="n"/>
      <c r="S1042" s="56" t="n"/>
      <c r="T1042" s="56" t="n"/>
      <c r="U1042" s="56" t="n"/>
      <c r="V1042" s="56" t="n"/>
      <c r="W1042" s="57" t="n"/>
      <c r="X1042" s="57" t="n"/>
      <c r="Y1042" s="57" t="n"/>
      <c r="Z1042" s="57" t="n"/>
      <c r="AA1042" s="57" t="n"/>
      <c r="AB1042" s="57" t="n"/>
      <c r="AC1042" s="57" t="n"/>
      <c r="AD1042" s="56" t="n"/>
    </row>
    <row r="1043">
      <c r="A1043" s="56" t="n"/>
      <c r="B1043" s="56" t="n"/>
      <c r="C1043" s="56" t="n"/>
      <c r="D1043" s="56" t="n"/>
      <c r="E1043" s="57" t="n"/>
      <c r="F1043" s="57" t="n"/>
      <c r="G1043" s="58" t="n"/>
      <c r="H1043" s="57" t="n"/>
      <c r="I1043" s="56" t="n"/>
      <c r="J1043" s="57" t="n"/>
      <c r="K1043" s="57" t="n"/>
      <c r="L1043" s="57" t="n"/>
      <c r="M1043" s="56" t="n"/>
      <c r="N1043" s="56" t="n"/>
      <c r="O1043" s="56" t="n"/>
      <c r="P1043" s="56" t="n"/>
      <c r="Q1043" s="56" t="n"/>
      <c r="R1043" s="56" t="n"/>
      <c r="S1043" s="56" t="n"/>
      <c r="T1043" s="56" t="n"/>
      <c r="U1043" s="56" t="n"/>
      <c r="V1043" s="56" t="n"/>
      <c r="W1043" s="57" t="n"/>
      <c r="X1043" s="57" t="n"/>
      <c r="Y1043" s="57" t="n"/>
      <c r="Z1043" s="57" t="n"/>
      <c r="AA1043" s="57" t="n"/>
      <c r="AB1043" s="57" t="n"/>
      <c r="AC1043" s="57" t="n"/>
      <c r="AD1043" s="56" t="n"/>
    </row>
    <row r="1044">
      <c r="A1044" s="56" t="n"/>
      <c r="B1044" s="56" t="n"/>
      <c r="C1044" s="56" t="n"/>
      <c r="D1044" s="56" t="n"/>
      <c r="E1044" s="57" t="n"/>
      <c r="F1044" s="57" t="n"/>
      <c r="G1044" s="58" t="n"/>
      <c r="H1044" s="57" t="n"/>
      <c r="I1044" s="56" t="n"/>
      <c r="J1044" s="57" t="n"/>
      <c r="K1044" s="57" t="n"/>
      <c r="L1044" s="57" t="n"/>
      <c r="M1044" s="56" t="n"/>
      <c r="N1044" s="56" t="n"/>
      <c r="O1044" s="56" t="n"/>
      <c r="P1044" s="56" t="n"/>
      <c r="Q1044" s="56" t="n"/>
      <c r="R1044" s="56" t="n"/>
      <c r="S1044" s="56" t="n"/>
      <c r="T1044" s="56" t="n"/>
      <c r="U1044" s="56" t="n"/>
      <c r="V1044" s="56" t="n"/>
      <c r="W1044" s="57" t="n"/>
      <c r="X1044" s="57" t="n"/>
      <c r="Y1044" s="57" t="n"/>
      <c r="Z1044" s="57" t="n"/>
      <c r="AA1044" s="57" t="n"/>
      <c r="AB1044" s="57" t="n"/>
      <c r="AC1044" s="57" t="n"/>
      <c r="AD1044" s="56" t="n"/>
    </row>
    <row r="1045">
      <c r="A1045" s="56" t="n"/>
      <c r="B1045" s="56" t="n"/>
      <c r="C1045" s="56" t="n"/>
      <c r="D1045" s="56" t="n"/>
      <c r="E1045" s="57" t="n"/>
      <c r="F1045" s="57" t="n"/>
      <c r="G1045" s="58" t="n"/>
      <c r="H1045" s="57" t="n"/>
      <c r="I1045" s="56" t="n"/>
      <c r="J1045" s="57" t="n"/>
      <c r="K1045" s="57" t="n"/>
      <c r="L1045" s="57" t="n"/>
      <c r="M1045" s="56" t="n"/>
      <c r="N1045" s="56" t="n"/>
      <c r="O1045" s="56" t="n"/>
      <c r="P1045" s="56" t="n"/>
      <c r="Q1045" s="56" t="n"/>
      <c r="R1045" s="56" t="n"/>
      <c r="S1045" s="56" t="n"/>
      <c r="T1045" s="56" t="n"/>
      <c r="U1045" s="56" t="n"/>
      <c r="V1045" s="56" t="n"/>
      <c r="W1045" s="57" t="n"/>
      <c r="X1045" s="57" t="n"/>
      <c r="Y1045" s="57" t="n"/>
      <c r="Z1045" s="57" t="n"/>
      <c r="AA1045" s="57" t="n"/>
      <c r="AB1045" s="57" t="n"/>
      <c r="AC1045" s="57" t="n"/>
      <c r="AD1045" s="56" t="n"/>
    </row>
    <row r="1046">
      <c r="A1046" s="56" t="n"/>
      <c r="B1046" s="56" t="n"/>
      <c r="C1046" s="56" t="n"/>
      <c r="D1046" s="56" t="n"/>
      <c r="E1046" s="57" t="n"/>
      <c r="F1046" s="57" t="n"/>
      <c r="G1046" s="58" t="n"/>
      <c r="H1046" s="57" t="n"/>
      <c r="I1046" s="56" t="n"/>
      <c r="J1046" s="57" t="n"/>
      <c r="K1046" s="57" t="n"/>
      <c r="L1046" s="57" t="n"/>
      <c r="M1046" s="56" t="n"/>
      <c r="N1046" s="56" t="n"/>
      <c r="O1046" s="56" t="n"/>
      <c r="P1046" s="56" t="n"/>
      <c r="Q1046" s="56" t="n"/>
      <c r="R1046" s="56" t="n"/>
      <c r="S1046" s="56" t="n"/>
      <c r="T1046" s="56" t="n"/>
      <c r="U1046" s="56" t="n"/>
      <c r="V1046" s="56" t="n"/>
      <c r="W1046" s="57" t="n"/>
      <c r="X1046" s="57" t="n"/>
      <c r="Y1046" s="57" t="n"/>
      <c r="Z1046" s="57" t="n"/>
      <c r="AA1046" s="57" t="n"/>
      <c r="AB1046" s="57" t="n"/>
      <c r="AC1046" s="57" t="n"/>
      <c r="AD1046" s="56" t="n"/>
    </row>
    <row r="1047">
      <c r="A1047" s="56" t="n"/>
      <c r="B1047" s="56" t="n"/>
      <c r="C1047" s="56" t="n"/>
      <c r="D1047" s="56" t="n"/>
      <c r="E1047" s="57" t="n"/>
      <c r="F1047" s="57" t="n"/>
      <c r="G1047" s="58" t="n"/>
      <c r="H1047" s="57" t="n"/>
      <c r="I1047" s="56" t="n"/>
      <c r="J1047" s="57" t="n"/>
      <c r="K1047" s="57" t="n"/>
      <c r="L1047" s="57" t="n"/>
      <c r="M1047" s="56" t="n"/>
      <c r="N1047" s="56" t="n"/>
      <c r="O1047" s="56" t="n"/>
      <c r="P1047" s="56" t="n"/>
      <c r="Q1047" s="56" t="n"/>
      <c r="R1047" s="56" t="n"/>
      <c r="S1047" s="56" t="n"/>
      <c r="T1047" s="56" t="n"/>
      <c r="U1047" s="56" t="n"/>
      <c r="V1047" s="56" t="n"/>
      <c r="W1047" s="57" t="n"/>
      <c r="X1047" s="57" t="n"/>
      <c r="Y1047" s="57" t="n"/>
      <c r="Z1047" s="57" t="n"/>
      <c r="AA1047" s="57" t="n"/>
      <c r="AB1047" s="57" t="n"/>
      <c r="AC1047" s="57" t="n"/>
      <c r="AD1047" s="56" t="n"/>
    </row>
    <row r="1048">
      <c r="A1048" s="56" t="n"/>
      <c r="B1048" s="56" t="n"/>
      <c r="C1048" s="56" t="n"/>
      <c r="D1048" s="56" t="n"/>
      <c r="E1048" s="57" t="n"/>
      <c r="F1048" s="57" t="n"/>
      <c r="G1048" s="58" t="n"/>
      <c r="H1048" s="57" t="n"/>
      <c r="I1048" s="56" t="n"/>
      <c r="J1048" s="57" t="n"/>
      <c r="K1048" s="57" t="n"/>
      <c r="L1048" s="57" t="n"/>
      <c r="M1048" s="56" t="n"/>
      <c r="N1048" s="56" t="n"/>
      <c r="O1048" s="56" t="n"/>
      <c r="P1048" s="56" t="n"/>
      <c r="Q1048" s="56" t="n"/>
      <c r="R1048" s="56" t="n"/>
      <c r="S1048" s="56" t="n"/>
      <c r="T1048" s="56" t="n"/>
      <c r="U1048" s="56" t="n"/>
      <c r="V1048" s="56" t="n"/>
      <c r="W1048" s="57" t="n"/>
      <c r="X1048" s="57" t="n"/>
      <c r="Y1048" s="57" t="n"/>
      <c r="Z1048" s="57" t="n"/>
      <c r="AA1048" s="57" t="n"/>
      <c r="AB1048" s="57" t="n"/>
      <c r="AC1048" s="57" t="n"/>
      <c r="AD1048" s="56" t="n"/>
    </row>
    <row r="1049">
      <c r="A1049" s="56" t="n"/>
      <c r="B1049" s="56" t="n"/>
      <c r="C1049" s="56" t="n"/>
      <c r="D1049" s="56" t="n"/>
      <c r="E1049" s="57" t="n"/>
      <c r="F1049" s="57" t="n"/>
      <c r="G1049" s="58" t="n"/>
      <c r="H1049" s="57" t="n"/>
      <c r="I1049" s="56" t="n"/>
      <c r="J1049" s="57" t="n"/>
      <c r="K1049" s="57" t="n"/>
      <c r="L1049" s="57" t="n"/>
      <c r="M1049" s="56" t="n"/>
      <c r="N1049" s="56" t="n"/>
      <c r="O1049" s="56" t="n"/>
      <c r="P1049" s="56" t="n"/>
      <c r="Q1049" s="56" t="n"/>
      <c r="R1049" s="56" t="n"/>
      <c r="S1049" s="56" t="n"/>
      <c r="T1049" s="56" t="n"/>
      <c r="U1049" s="56" t="n"/>
      <c r="V1049" s="56" t="n"/>
      <c r="W1049" s="57" t="n"/>
      <c r="X1049" s="57" t="n"/>
      <c r="Y1049" s="57" t="n"/>
      <c r="Z1049" s="57" t="n"/>
      <c r="AA1049" s="57" t="n"/>
      <c r="AB1049" s="57" t="n"/>
      <c r="AC1049" s="57" t="n"/>
      <c r="AD1049" s="56" t="n"/>
    </row>
    <row r="1050">
      <c r="A1050" s="56" t="n"/>
      <c r="B1050" s="56" t="n"/>
      <c r="C1050" s="56" t="n"/>
      <c r="D1050" s="56" t="n"/>
      <c r="E1050" s="57" t="n"/>
      <c r="F1050" s="57" t="n"/>
      <c r="G1050" s="58" t="n"/>
      <c r="H1050" s="57" t="n"/>
      <c r="I1050" s="56" t="n"/>
      <c r="J1050" s="57" t="n"/>
      <c r="K1050" s="57" t="n"/>
      <c r="L1050" s="57" t="n"/>
      <c r="M1050" s="56" t="n"/>
      <c r="N1050" s="56" t="n"/>
      <c r="O1050" s="56" t="n"/>
      <c r="P1050" s="56" t="n"/>
      <c r="Q1050" s="56" t="n"/>
      <c r="R1050" s="56" t="n"/>
      <c r="S1050" s="56" t="n"/>
      <c r="T1050" s="56" t="n"/>
      <c r="U1050" s="56" t="n"/>
      <c r="V1050" s="56" t="n"/>
      <c r="W1050" s="57" t="n"/>
      <c r="X1050" s="57" t="n"/>
      <c r="Y1050" s="57" t="n"/>
      <c r="Z1050" s="57" t="n"/>
      <c r="AA1050" s="57" t="n"/>
      <c r="AB1050" s="57" t="n"/>
      <c r="AC1050" s="57" t="n"/>
      <c r="AD1050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0" t="n"/>
      <c r="B1" s="63" t="inlineStr">
        <is>
          <t>Code</t>
        </is>
      </c>
      <c r="C1" s="60" t="inlineStr">
        <is>
          <t>LGEINDIA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""price"")"),1519.0)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""high52"")"),1749.0)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""low52"")"),1325.5)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2026-02-12T03:15:29Z</dcterms:created>
  <dcterms:modified xmlns:dcterms="http://purl.org/dc/terms/" xmlns:xsi="http://www.w3.org/2001/XMLSchema-instance" xsi:type="dcterms:W3CDTF">2026-02-12T03:25:41Z</dcterms:modified>
</cp:coreProperties>
</file>