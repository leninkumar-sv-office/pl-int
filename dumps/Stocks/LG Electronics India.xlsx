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BFF9513_F4B9_409D_9F67_A0990227033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1498</v>
      </c>
      <c r="F5" t="n">
        <v>3017.23</v>
      </c>
      <c r="G5" t="inlineStr">
        <is>
          <t>CN#252611665409</t>
        </is>
      </c>
      <c r="H5" t="n">
        <v>3</v>
      </c>
      <c r="I5" t="n">
        <v>18.23</v>
      </c>
      <c r="J5">
        <f>Index!$C$2</f>
        <v/>
      </c>
    </row>
    <row r="6">
      <c r="A6" s="31" t="n">
        <v>45863</v>
      </c>
      <c r="B6" s="32" t="inlineStr">
        <is>
          <t>DIV</t>
        </is>
      </c>
      <c r="C6" s="32" t="inlineStr">
        <is>
          <t>Buy</t>
        </is>
      </c>
      <c r="D6" s="33" t="n">
        <v>100</v>
      </c>
      <c r="E6" s="34" t="n">
        <v>4.75</v>
      </c>
      <c r="F6" s="34" t="n">
        <v>475</v>
      </c>
      <c r="G6" s="32" t="inlineStr">
        <is>
          <t>Annual-Dividend of Rs.4.7500/- per share on Ex-Date: 25-JUL-2025</t>
        </is>
      </c>
      <c r="H6" s="34" t="n">
        <v>0</v>
      </c>
      <c r="I6" s="33" t="n">
        <v>0</v>
      </c>
      <c r="J6" s="35">
        <f>Index!$C$2</f>
        <v/>
      </c>
      <c r="K6" s="36">
        <f>IF(AND( C5="Buy", ISBLANK(W5), B5&lt;&gt;"DIV"), L5/sum(F5:I5), "")</f>
        <v/>
      </c>
      <c r="L6" s="37">
        <f>IF(AND( C5="Buy", ISBLANK(W5), B5&lt;&gt;"DIV"), (1-Index!$F$2*2)*((J5*D5)-(E5*D5)), "")</f>
        <v/>
      </c>
      <c r="M6" s="37">
        <f>IF(AND( C5="Buy", ISBLANK(W5), B5&lt;&gt;"DIV"), ((E5*D5)+L5), "")</f>
        <v/>
      </c>
      <c r="N6" s="38">
        <f>IF(AND( C5="Buy", ISBLANK(W5), B5&lt;&gt;"DIV"), D5, "")</f>
        <v/>
      </c>
      <c r="O6" s="36">
        <f>IF(AND( C5="Buy", ISBLANK(W5), B5&lt;&gt;"DIV", NOW()-A5 &lt; 365), P5/sum(F5:I5), "")</f>
        <v/>
      </c>
      <c r="P6" s="37">
        <f>IF(AND( C5="Buy", ISBLANK(W5), B5&lt;&gt;"DIV", NOW()-A5 &lt; 365), (1-Index!$F$2*2)*((J5*D5)-(E5*D5)), "")</f>
        <v/>
      </c>
      <c r="Q6" s="37">
        <f>IF(AND( C5="Buy", ISBLANK(W5), B5&lt;&gt;"DIV", NOW()-A5 &lt; 365), ((E5*D5)+P5), "")</f>
        <v/>
      </c>
      <c r="R6" s="37">
        <f>IF(AND( C5="Buy", ISBLANK(W5), B5&lt;&gt;"DIV", NOW()-A5 &lt; 365), D5, "")</f>
        <v/>
      </c>
      <c r="S6" s="39">
        <f>IF(AND( C5="Buy", ISBLANK(W5), B5&lt;&gt;"DIV", NOW()-A5 &gt; 365), T5/sum(F5:I5), "")</f>
        <v/>
      </c>
      <c r="T6" s="40">
        <f>IF(AND( C5="Buy", ISBLANK(W5), B5&lt;&gt;"DIV", NOW()-A5 &gt; 365), (1-Index!$F$2*2)*((J5*D5)-(E5*D5)), "")</f>
        <v/>
      </c>
      <c r="U6" s="40">
        <f>IF(AND( C5="Buy", ISBLANK(W5), B5&lt;&gt;"DIV", NOW()-A5 &gt; 365), ((E5*D5)+T5), "")</f>
        <v/>
      </c>
      <c r="V6" s="40">
        <f>IF(AND( C5="Buy", ISBLANK(W5), B5&lt;&gt;"DIV", NOW()-A5 &gt; 365), D5, "")</f>
        <v/>
      </c>
      <c r="W6" s="40" t="n"/>
      <c r="X6" s="40" t="n"/>
      <c r="Y6" s="39">
        <f>IF(AND( C5="Buy", W5&lt;&gt;"", AA5&lt;&gt;"", B5&lt;&gt;"DIV"), Z5/sum(F5:I5), "")</f>
        <v/>
      </c>
      <c r="Z6" s="40" t="n"/>
      <c r="AA6" s="40" t="n"/>
      <c r="AB6" s="41" t="n"/>
      <c r="AC6" s="37">
        <f>if(B5="DIV", F5,"")</f>
        <v/>
      </c>
      <c r="AD6" s="42" t="n"/>
    </row>
    <row r="7">
      <c r="A7" s="43" t="n">
        <v>45699</v>
      </c>
      <c r="B7" s="44" t="inlineStr">
        <is>
          <t>NSE</t>
        </is>
      </c>
      <c r="C7" s="44" t="inlineStr">
        <is>
          <t>Buy</t>
        </is>
      </c>
      <c r="D7" s="45" t="n">
        <v>60</v>
      </c>
      <c r="E7" s="46" t="n">
        <v>114.17</v>
      </c>
      <c r="F7" s="46" t="n">
        <v>6850.01</v>
      </c>
      <c r="G7" s="44" t="inlineStr">
        <is>
          <t>~</t>
        </is>
      </c>
      <c r="H7" s="46" t="n">
        <v>6.78</v>
      </c>
      <c r="I7" s="45" t="n">
        <v>41.63</v>
      </c>
      <c r="J7" s="35">
        <f>Index!$C$2</f>
        <v/>
      </c>
      <c r="K7" s="36">
        <f>IF(AND( C6="Buy", ISBLANK(W6), B6&lt;&gt;"DIV"), L6/sum(F6:I6), "")</f>
        <v/>
      </c>
      <c r="L7" s="37">
        <f>IF(AND( C6="Buy", ISBLANK(W6), B6&lt;&gt;"DIV"), (1-Index!$F$2*2)*((J6*D6)-(E6*D6)), "")</f>
        <v/>
      </c>
      <c r="M7" s="37">
        <f>IF(AND( C6="Buy", ISBLANK(W6), B6&lt;&gt;"DIV"), ((E6*D6)+L6), "")</f>
        <v/>
      </c>
      <c r="N7" s="38">
        <f>IF(AND( C6="Buy", ISBLANK(W6), B6&lt;&gt;"DIV"), D6, "")</f>
        <v/>
      </c>
      <c r="O7" s="36">
        <f>IF(AND( C6="Buy", ISBLANK(W6), B6&lt;&gt;"DIV", NOW()-A6 &lt; 365), P6/sum(F6:I6), "")</f>
        <v/>
      </c>
      <c r="P7" s="37">
        <f>IF(AND( C6="Buy", ISBLANK(W6), B6&lt;&gt;"DIV", NOW()-A6 &lt; 365), (1-Index!$F$2*2)*((J6*D6)-(E6*D6)), "")</f>
        <v/>
      </c>
      <c r="Q7" s="37">
        <f>IF(AND( C6="Buy", ISBLANK(W6), B6&lt;&gt;"DIV", NOW()-A6 &lt; 365), ((E6*D6)+P6), "")</f>
        <v/>
      </c>
      <c r="R7" s="37">
        <f>IF(AND( C6="Buy", ISBLANK(W6), B6&lt;&gt;"DIV", NOW()-A6 &lt; 365), D6, "")</f>
        <v/>
      </c>
      <c r="S7" s="39">
        <f>IF(AND( C6="Buy", ISBLANK(W6), B6&lt;&gt;"DIV", NOW()-A6 &gt; 365), T6/sum(F6:I6), "")</f>
        <v/>
      </c>
      <c r="T7" s="40">
        <f>IF(AND( C6="Buy", ISBLANK(W6), B6&lt;&gt;"DIV", NOW()-A6 &gt; 365), (1-Index!$F$2*2)*((J6*D6)-(E6*D6)), "")</f>
        <v/>
      </c>
      <c r="U7" s="40">
        <f>IF(AND( C6="Buy", ISBLANK(W6), B6&lt;&gt;"DIV", NOW()-A6 &gt; 365), ((E6*D6)+T6), "")</f>
        <v/>
      </c>
      <c r="V7" s="40">
        <f>IF(AND( C6="Buy", ISBLANK(W6), B6&lt;&gt;"DIV", NOW()-A6 &gt; 365), D6, "")</f>
        <v/>
      </c>
      <c r="W7" s="40" t="n"/>
      <c r="X7" s="40" t="n"/>
      <c r="Y7" s="39">
        <f>IF(AND( C6="Buy", W6&lt;&gt;"", AA6&lt;&gt;"", B6&lt;&gt;"DIV"), Z6/sum(F6:I6), "")</f>
        <v/>
      </c>
      <c r="Z7" s="40" t="n"/>
      <c r="AA7" s="40" t="n"/>
      <c r="AB7" s="41" t="n"/>
      <c r="AC7" s="37">
        <f>if(B6="DIV", F6,"")</f>
        <v/>
      </c>
      <c r="AD7" s="42" t="n"/>
    </row>
    <row r="8">
      <c r="A8" s="43" t="n">
        <v>45492</v>
      </c>
      <c r="B8" s="44" t="inlineStr">
        <is>
          <t>DIV</t>
        </is>
      </c>
      <c r="C8" s="44" t="inlineStr">
        <is>
          <t>Buy</t>
        </is>
      </c>
      <c r="D8" s="45" t="n">
        <v>40</v>
      </c>
      <c r="E8" s="46" t="n">
        <v>3.6</v>
      </c>
      <c r="F8" s="46" t="n">
        <v>144</v>
      </c>
      <c r="G8" s="44" t="inlineStr">
        <is>
          <t>Annual-Dividend of Rs.3.6000/- per share on Ex-Date: 19-JUL-2024</t>
        </is>
      </c>
      <c r="H8" s="46" t="n">
        <v>0</v>
      </c>
      <c r="I8" s="45" t="n">
        <v>0</v>
      </c>
      <c r="J8" s="35">
        <f>Index!$C$2</f>
        <v/>
      </c>
      <c r="K8" s="36">
        <f>IF(AND( C7="Buy", ISBLANK(W7), B7&lt;&gt;"DIV"), L7/sum(F7:I7), "")</f>
        <v/>
      </c>
      <c r="L8" s="37">
        <f>IF(AND( C7="Buy", ISBLANK(W7), B7&lt;&gt;"DIV"), (1-Index!$F$2*2)*((J7*D7)-(E7*D7)), "")</f>
        <v/>
      </c>
      <c r="M8" s="37">
        <f>IF(AND( C7="Buy", ISBLANK(W7), B7&lt;&gt;"DIV"), ((E7*D7)+L7), "")</f>
        <v/>
      </c>
      <c r="N8" s="38">
        <f>IF(AND( C7="Buy", ISBLANK(W7), B7&lt;&gt;"DIV"), D7, "")</f>
        <v/>
      </c>
      <c r="O8" s="36">
        <f>IF(AND( C7="Buy", ISBLANK(W7), B7&lt;&gt;"DIV", NOW()-A7 &lt; 365), P7/sum(F7:I7), "")</f>
        <v/>
      </c>
      <c r="P8" s="37">
        <f>IF(AND( C7="Buy", ISBLANK(W7), B7&lt;&gt;"DIV", NOW()-A7 &lt; 365), (1-Index!$F$2*2)*((J7*D7)-(E7*D7)), "")</f>
        <v/>
      </c>
      <c r="Q8" s="37">
        <f>IF(AND( C7="Buy", ISBLANK(W7), B7&lt;&gt;"DIV", NOW()-A7 &lt; 365), ((E7*D7)+P7), "")</f>
        <v/>
      </c>
      <c r="R8" s="37">
        <f>IF(AND( C7="Buy", ISBLANK(W7), B7&lt;&gt;"DIV", NOW()-A7 &lt; 365), D7, "")</f>
        <v/>
      </c>
      <c r="S8" s="39">
        <f>IF(AND( C7="Buy", ISBLANK(W7), B7&lt;&gt;"DIV", NOW()-A7 &gt; 365), T7/sum(F7:I7), "")</f>
        <v/>
      </c>
      <c r="T8" s="40">
        <f>IF(AND( C7="Buy", ISBLANK(W7), B7&lt;&gt;"DIV", NOW()-A7 &gt; 365), (1-Index!$F$2*2)*((J7*D7)-(E7*D7)), "")</f>
        <v/>
      </c>
      <c r="U8" s="40">
        <f>IF(AND( C7="Buy", ISBLANK(W7), B7&lt;&gt;"DIV", NOW()-A7 &gt; 365), ((E7*D7)+T7), "")</f>
        <v/>
      </c>
      <c r="V8" s="40">
        <f>IF(AND( C7="Buy", ISBLANK(W7), B7&lt;&gt;"DIV", NOW()-A7 &gt; 365), D7, "")</f>
        <v/>
      </c>
      <c r="W8" s="40" t="n"/>
      <c r="X8" s="40" t="n"/>
      <c r="Y8" s="39">
        <f>IF(AND( C7="Buy", W7&lt;&gt;"", AA7&lt;&gt;"", B7&lt;&gt;"DIV"), Z7/sum(F7:I7), "")</f>
        <v/>
      </c>
      <c r="Z8" s="40" t="n"/>
      <c r="AA8" s="40" t="n"/>
      <c r="AB8" s="41" t="n"/>
      <c r="AC8" s="37">
        <f>if(B7="DIV", F7,"")</f>
        <v/>
      </c>
      <c r="AD8" s="42" t="n"/>
    </row>
    <row r="9">
      <c r="A9" s="43" t="n">
        <v>45282</v>
      </c>
      <c r="B9" s="44" t="inlineStr">
        <is>
          <t>NSE</t>
        </is>
      </c>
      <c r="C9" s="44" t="inlineStr">
        <is>
          <t>Buy</t>
        </is>
      </c>
      <c r="D9" s="45" t="n">
        <v>20</v>
      </c>
      <c r="E9" s="46" t="n">
        <v>117.99</v>
      </c>
      <c r="F9" s="46" t="n">
        <v>2359.71</v>
      </c>
      <c r="G9" s="44" t="inlineStr">
        <is>
          <t>~</t>
        </is>
      </c>
      <c r="H9" s="46" t="n">
        <v>2.34</v>
      </c>
      <c r="I9" s="45" t="n">
        <v>14.37</v>
      </c>
      <c r="J9" s="35">
        <f>Index!$C$2</f>
        <v/>
      </c>
      <c r="K9" s="36">
        <f>IF(AND( C8="Buy", ISBLANK(W8), B8&lt;&gt;"DIV"), L8/sum(F8:I8), "")</f>
        <v/>
      </c>
      <c r="L9" s="37">
        <f>IF(AND( C8="Buy", ISBLANK(W8), B8&lt;&gt;"DIV"), (1-Index!$F$2*2)*((J8*D8)-(E8*D8)), "")</f>
        <v/>
      </c>
      <c r="M9" s="37">
        <f>IF(AND( C8="Buy", ISBLANK(W8), B8&lt;&gt;"DIV"), ((E8*D8)+L8), "")</f>
        <v/>
      </c>
      <c r="N9" s="38">
        <f>IF(AND( C8="Buy", ISBLANK(W8), B8&lt;&gt;"DIV"), D8, "")</f>
        <v/>
      </c>
      <c r="O9" s="36">
        <f>IF(AND( C8="Buy", ISBLANK(W8), B8&lt;&gt;"DIV", NOW()-A8 &lt; 365), P8/sum(F8:I8), "")</f>
        <v/>
      </c>
      <c r="P9" s="37">
        <f>IF(AND( C8="Buy", ISBLANK(W8), B8&lt;&gt;"DIV", NOW()-A8 &lt; 365), (1-Index!$F$2*2)*((J8*D8)-(E8*D8)), "")</f>
        <v/>
      </c>
      <c r="Q9" s="37">
        <f>IF(AND( C8="Buy", ISBLANK(W8), B8&lt;&gt;"DIV", NOW()-A8 &lt; 365), ((E8*D8)+P8), "")</f>
        <v/>
      </c>
      <c r="R9" s="37">
        <f>IF(AND( C8="Buy", ISBLANK(W8), B8&lt;&gt;"DIV", NOW()-A8 &lt; 365), D8, "")</f>
        <v/>
      </c>
      <c r="S9" s="39">
        <f>IF(AND( C8="Buy", ISBLANK(W8), B8&lt;&gt;"DIV", NOW()-A8 &gt; 365), T8/sum(F8:I8), "")</f>
        <v/>
      </c>
      <c r="T9" s="40">
        <f>IF(AND( C8="Buy", ISBLANK(W8), B8&lt;&gt;"DIV", NOW()-A8 &gt; 365), (1-Index!$F$2*2)*((J8*D8)-(E8*D8)), "")</f>
        <v/>
      </c>
      <c r="U9" s="40">
        <f>IF(AND( C8="Buy", ISBLANK(W8), B8&lt;&gt;"DIV", NOW()-A8 &gt; 365), ((E8*D8)+T8), "")</f>
        <v/>
      </c>
      <c r="V9" s="40">
        <f>IF(AND( C8="Buy", ISBLANK(W8), B8&lt;&gt;"DIV", NOW()-A8 &gt; 365), D8, "")</f>
        <v/>
      </c>
      <c r="W9" s="40" t="n"/>
      <c r="X9" s="40" t="n"/>
      <c r="Y9" s="39">
        <f>IF(AND( C8="Buy", W8&lt;&gt;"", AA8&lt;&gt;"", B8&lt;&gt;"DIV"), Z8/sum(F8:I8), "")</f>
        <v/>
      </c>
      <c r="Z9" s="40" t="n"/>
      <c r="AA9" s="40" t="n"/>
      <c r="AB9" s="41" t="n"/>
      <c r="AC9" s="37">
        <f>if(B8="DIV", F8,"")</f>
        <v/>
      </c>
      <c r="AD9" s="47" t="inlineStr">
        <is>
          <t>SBI Securities</t>
        </is>
      </c>
    </row>
    <row r="10">
      <c r="A10" s="43" t="n">
        <v>45278</v>
      </c>
      <c r="B10" s="44" t="inlineStr">
        <is>
          <t>NSE</t>
        </is>
      </c>
      <c r="C10" s="44" t="inlineStr">
        <is>
          <t>Buy</t>
        </is>
      </c>
      <c r="D10" s="45" t="n">
        <v>10</v>
      </c>
      <c r="E10" s="46" t="n">
        <v>125.73</v>
      </c>
      <c r="F10" s="46" t="n">
        <v>1257.3</v>
      </c>
      <c r="G10" s="44" t="inlineStr">
        <is>
          <t>~</t>
        </is>
      </c>
      <c r="H10" s="46" t="n">
        <v>1.25</v>
      </c>
      <c r="I10" s="45" t="n">
        <v>7.55</v>
      </c>
      <c r="J10" s="35">
        <f>Index!$C$2</f>
        <v/>
      </c>
      <c r="K10" s="36">
        <f>IF(AND( C9="Buy", ISBLANK(W9), B9&lt;&gt;"DIV"), L9/sum(F9:I9), "")</f>
        <v/>
      </c>
      <c r="L10" s="37">
        <f>IF(AND( C9="Buy", ISBLANK(W9), B9&lt;&gt;"DIV"), (1-Index!$F$2*2)*((J9*D9)-(E9*D9)), "")</f>
        <v/>
      </c>
      <c r="M10" s="37">
        <f>IF(AND( C9="Buy", ISBLANK(W9), B9&lt;&gt;"DIV"), ((E9*D9)+L9), "")</f>
        <v/>
      </c>
      <c r="N10" s="38">
        <f>IF(AND( C9="Buy", ISBLANK(W9), B9&lt;&gt;"DIV"), D9, "")</f>
        <v/>
      </c>
      <c r="O10" s="36">
        <f>IF(AND( C9="Buy", ISBLANK(W9), B9&lt;&gt;"DIV", NOW()-A9 &lt; 365), P9/sum(F9:I9), "")</f>
        <v/>
      </c>
      <c r="P10" s="37">
        <f>IF(AND( C9="Buy", ISBLANK(W9), B9&lt;&gt;"DIV", NOW()-A9 &lt; 365), (1-Index!$F$2*2)*((J9*D9)-(E9*D9)), "")</f>
        <v/>
      </c>
      <c r="Q10" s="37">
        <f>IF(AND( C9="Buy", ISBLANK(W9), B9&lt;&gt;"DIV", NOW()-A9 &lt; 365), ((E9*D9)+P9), "")</f>
        <v/>
      </c>
      <c r="R10" s="37">
        <f>IF(AND( C9="Buy", ISBLANK(W9), B9&lt;&gt;"DIV", NOW()-A9 &lt; 365), D9, "")</f>
        <v/>
      </c>
      <c r="S10" s="39">
        <f>IF(AND( C9="Buy", ISBLANK(W9), B9&lt;&gt;"DIV", NOW()-A9 &gt; 365), T9/sum(F9:I9), "")</f>
        <v/>
      </c>
      <c r="T10" s="40">
        <f>IF(AND( C9="Buy", ISBLANK(W9), B9&lt;&gt;"DIV", NOW()-A9 &gt; 365), (1-Index!$F$2*2)*((J9*D9)-(E9*D9)), "")</f>
        <v/>
      </c>
      <c r="U10" s="40">
        <f>IF(AND( C9="Buy", ISBLANK(W9), B9&lt;&gt;"DIV", NOW()-A9 &gt; 365), ((E9*D9)+T9), "")</f>
        <v/>
      </c>
      <c r="V10" s="40">
        <f>IF(AND( C9="Buy", ISBLANK(W9), B9&lt;&gt;"DIV", NOW()-A9 &gt; 365), D9, "")</f>
        <v/>
      </c>
      <c r="W10" s="40" t="n"/>
      <c r="X10" s="40" t="n"/>
      <c r="Y10" s="39">
        <f>IF(AND( C9="Buy", W9&lt;&gt;"", AA9&lt;&gt;"", B9&lt;&gt;"DIV"), Z9/sum(F9:I9), "")</f>
        <v/>
      </c>
      <c r="Z10" s="40" t="n"/>
      <c r="AA10" s="40" t="n"/>
      <c r="AB10" s="41" t="n"/>
      <c r="AC10" s="37">
        <f>if(B9="DIV", F9,"")</f>
        <v/>
      </c>
      <c r="AD10" s="47" t="inlineStr">
        <is>
          <t>SBI Securities</t>
        </is>
      </c>
    </row>
    <row r="11">
      <c r="A11" s="43" t="n">
        <v>45258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107.7</v>
      </c>
      <c r="F11" s="46" t="n">
        <v>1077.03</v>
      </c>
      <c r="G11" s="44" t="inlineStr">
        <is>
          <t>~</t>
        </is>
      </c>
      <c r="H11" s="46" t="n">
        <v>1.07</v>
      </c>
      <c r="I11" s="45" t="n">
        <v>6.46</v>
      </c>
      <c r="J11" s="35">
        <f>Index!$C$2</f>
        <v/>
      </c>
      <c r="K11" s="36">
        <f>IF(AND( C10="Buy", ISBLANK(W10), B10&lt;&gt;"DIV"), L10/sum(F10:I10), "")</f>
        <v/>
      </c>
      <c r="L11" s="37">
        <f>IF(AND( C10="Buy", ISBLANK(W10), B10&lt;&gt;"DIV"), (1-Index!$F$2*2)*((J10*D10)-(E10*D10)), "")</f>
        <v/>
      </c>
      <c r="M11" s="37">
        <f>IF(AND( C10="Buy", ISBLANK(W10), B10&lt;&gt;"DIV"), ((E10*D10)+L10), "")</f>
        <v/>
      </c>
      <c r="N11" s="38">
        <f>IF(AND( C10="Buy", ISBLANK(W10), B10&lt;&gt;"DIV"), D10, "")</f>
        <v/>
      </c>
      <c r="O11" s="36">
        <f>IF(AND( C10="Buy", ISBLANK(W10), B10&lt;&gt;"DIV", NOW()-A10 &lt; 365), P10/sum(F10:I10), "")</f>
        <v/>
      </c>
      <c r="P11" s="37">
        <f>IF(AND( C10="Buy", ISBLANK(W10), B10&lt;&gt;"DIV", NOW()-A10 &lt; 365), (1-Index!$F$2*2)*((J10*D10)-(E10*D10)), "")</f>
        <v/>
      </c>
      <c r="Q11" s="37">
        <f>IF(AND( C10="Buy", ISBLANK(W10), B10&lt;&gt;"DIV", NOW()-A10 &lt; 365), ((E10*D10)+P10), "")</f>
        <v/>
      </c>
      <c r="R11" s="37">
        <f>IF(AND( C10="Buy", ISBLANK(W10), B10&lt;&gt;"DIV", NOW()-A10 &lt; 365), D10, "")</f>
        <v/>
      </c>
      <c r="S11" s="39">
        <f>IF(AND( C10="Buy", ISBLANK(W10), B10&lt;&gt;"DIV", NOW()-A10 &gt; 365), T10/sum(F10:I10), "")</f>
        <v/>
      </c>
      <c r="T11" s="40">
        <f>IF(AND( C10="Buy", ISBLANK(W10), B10&lt;&gt;"DIV", NOW()-A10 &gt; 365), (1-Index!$F$2*2)*((J10*D10)-(E10*D10)), "")</f>
        <v/>
      </c>
      <c r="U11" s="40">
        <f>IF(AND( C10="Buy", ISBLANK(W10), B10&lt;&gt;"DIV", NOW()-A10 &gt; 365), ((E10*D10)+T10), "")</f>
        <v/>
      </c>
      <c r="V11" s="40">
        <f>IF(AND( C10="Buy", ISBLANK(W10), B10&lt;&gt;"DIV", NOW()-A10 &gt; 365), D10, "")</f>
        <v/>
      </c>
      <c r="W11" s="40" t="n"/>
      <c r="X11" s="40" t="n"/>
      <c r="Y11" s="39">
        <f>IF(AND( C10="Buy", W10&lt;&gt;"", AA10&lt;&gt;"", B10&lt;&gt;"DIV"), Z10/sum(F10:I10), "")</f>
        <v/>
      </c>
      <c r="Z11" s="40" t="n"/>
      <c r="AA11" s="40" t="n"/>
      <c r="AB11" s="41" t="n"/>
      <c r="AC11" s="37">
        <f>if(B10="DIV", F10,"")</f>
        <v/>
      </c>
      <c r="AD11" s="47" t="inlineStr">
        <is>
          <t>SBI Securities</t>
        </is>
      </c>
    </row>
    <row r="12">
      <c r="A12" s="48" t="n">
        <v>44257</v>
      </c>
      <c r="B12" s="44" t="inlineStr">
        <is>
          <t>NSE</t>
        </is>
      </c>
      <c r="C12" s="44" t="inlineStr">
        <is>
          <t>Sell</t>
        </is>
      </c>
      <c r="D12" s="45" t="n">
        <v>200</v>
      </c>
      <c r="E12" s="46" t="n">
        <v>40.49</v>
      </c>
      <c r="F12" s="46" t="n">
        <v>8097.1</v>
      </c>
      <c r="G12" s="44" t="inlineStr">
        <is>
          <t>~</t>
        </is>
      </c>
      <c r="H12" s="46" t="n">
        <v>8.130000000000001</v>
      </c>
      <c r="I12" s="45" t="n">
        <v>47.47</v>
      </c>
      <c r="J12" s="35">
        <f>Index!$C$2</f>
        <v/>
      </c>
      <c r="K12" s="36">
        <f>IF(AND( C11="Buy", ISBLANK(W11), B11&lt;&gt;"DIV"), L11/sum(F11:I11), "")</f>
        <v/>
      </c>
      <c r="L12" s="37">
        <f>IF(AND( C11="Buy", ISBLANK(W11), B11&lt;&gt;"DIV"), (1-Index!$F$2*2)*((J11*D11)-(E11*D11)), "")</f>
        <v/>
      </c>
      <c r="M12" s="37">
        <f>IF(AND( C11="Buy", ISBLANK(W11), B11&lt;&gt;"DIV"), ((E11*D11)+L11), "")</f>
        <v/>
      </c>
      <c r="N12" s="38">
        <f>IF(AND( C11="Buy", ISBLANK(W11), B11&lt;&gt;"DIV"), D11, "")</f>
        <v/>
      </c>
      <c r="O12" s="36">
        <f>IF(AND( C11="Buy", ISBLANK(W11), B11&lt;&gt;"DIV", NOW()-A11 &lt; 365), P11/sum(F11:I11), "")</f>
        <v/>
      </c>
      <c r="P12" s="37">
        <f>IF(AND( C11="Buy", ISBLANK(W11), B11&lt;&gt;"DIV", NOW()-A11 &lt; 365), (1-Index!$F$2*2)*((J11*D11)-(E11*D11)), "")</f>
        <v/>
      </c>
      <c r="Q12" s="37">
        <f>IF(AND( C11="Buy", ISBLANK(W11), B11&lt;&gt;"DIV", NOW()-A11 &lt; 365), ((E11*D11)+P11), "")</f>
        <v/>
      </c>
      <c r="R12" s="37">
        <f>IF(AND( C11="Buy", ISBLANK(W11), B11&lt;&gt;"DIV", NOW()-A11 &lt; 365), D11, "")</f>
        <v/>
      </c>
      <c r="S12" s="39">
        <f>IF(AND( C11="Buy", ISBLANK(W11), B11&lt;&gt;"DIV", NOW()-A11 &gt; 365), T11/sum(F11:I11), "")</f>
        <v/>
      </c>
      <c r="T12" s="40">
        <f>IF(AND( C11="Buy", ISBLANK(W11), B11&lt;&gt;"DIV", NOW()-A11 &gt; 365), (1-Index!$F$2*2)*((J11*D11)-(E11*D11)), "")</f>
        <v/>
      </c>
      <c r="U12" s="40">
        <f>IF(AND( C11="Buy", ISBLANK(W11), B11&lt;&gt;"DIV", NOW()-A11 &gt; 365), ((E11*D11)+T11), "")</f>
        <v/>
      </c>
      <c r="V12" s="40">
        <f>IF(AND( C11="Buy", ISBLANK(W11), B11&lt;&gt;"DIV", NOW()-A11 &gt; 365), D11, "")</f>
        <v/>
      </c>
      <c r="W12" s="40" t="n"/>
      <c r="X12" s="40" t="n"/>
      <c r="Y12" s="39">
        <f>IF(AND( C11="Buy", W11&lt;&gt;"", AA11&lt;&gt;"", B11&lt;&gt;"DIV"), Z11/sum(F11:I11), "")</f>
        <v/>
      </c>
      <c r="Z12" s="40" t="n"/>
      <c r="AA12" s="40" t="n"/>
      <c r="AB12" s="41" t="n"/>
      <c r="AC12" s="37">
        <f>if(B11="DIV", F11,"")</f>
        <v/>
      </c>
      <c r="AD12" s="47" t="inlineStr">
        <is>
          <t>SBI Securities</t>
        </is>
      </c>
    </row>
    <row r="13">
      <c r="A13" s="48" t="n">
        <v>44021</v>
      </c>
      <c r="B13" s="44" t="inlineStr">
        <is>
          <t>NSE</t>
        </is>
      </c>
      <c r="C13" s="44" t="inlineStr">
        <is>
          <t>Buy</t>
        </is>
      </c>
      <c r="D13" s="45" t="n">
        <v>101</v>
      </c>
      <c r="E13" s="46" t="n">
        <v>33.03</v>
      </c>
      <c r="F13" s="46" t="n">
        <v>3335.87</v>
      </c>
      <c r="G13" s="44" t="inlineStr">
        <is>
          <t>~</t>
        </is>
      </c>
      <c r="H13" s="46" t="n">
        <v>3.36</v>
      </c>
      <c r="I13" s="45" t="n">
        <v>19.71</v>
      </c>
      <c r="J13" s="35">
        <f>Index!$C$2</f>
        <v/>
      </c>
      <c r="K13" s="54" t="n"/>
      <c r="L13" s="54">
        <f>IF(AND( C12="Buy", ISBLANK(W12), B12&lt;&gt;"DIV"), ((J12*D12)-(E12*D12)+I12), "")</f>
        <v/>
      </c>
      <c r="M13" s="50">
        <f>IF(AND( C12="Buy", ISBLANK(W12), B12&lt;&gt;"DIV"), J12*D12, "")</f>
        <v/>
      </c>
      <c r="N13" s="51">
        <f>IF(AND( C12="Buy", ISBLANK(W12), B12&lt;&gt;"DIV"), D12, "")</f>
        <v/>
      </c>
      <c r="O13" s="52" t="n"/>
      <c r="P13" s="54" t="n"/>
      <c r="Q13" s="50" t="n"/>
      <c r="R13" s="50" t="n"/>
      <c r="S13" s="53" t="n"/>
      <c r="T13" s="53" t="n"/>
      <c r="U13" s="53" t="n"/>
      <c r="V13" s="53" t="n"/>
      <c r="W13" s="54" t="n">
        <v>40.212</v>
      </c>
      <c r="X13" s="54" t="n">
        <v>44257</v>
      </c>
      <c r="Y13" s="39" t="n">
        <v>0.2090873907</v>
      </c>
      <c r="Z13" s="54" t="n">
        <v>702.312</v>
      </c>
      <c r="AA13" s="54" t="n">
        <v>4061.412</v>
      </c>
      <c r="AB13" s="55" t="n">
        <v>101</v>
      </c>
      <c r="AC13" s="54" t="n"/>
      <c r="AD13" s="47" t="inlineStr">
        <is>
          <t>SBI Securities</t>
        </is>
      </c>
    </row>
    <row r="14">
      <c r="A14" s="43" t="n">
        <v>43910</v>
      </c>
      <c r="B14" s="44" t="inlineStr">
        <is>
          <t>MRGR</t>
        </is>
      </c>
      <c r="C14" s="44" t="inlineStr">
        <is>
          <t>Buy</t>
        </is>
      </c>
      <c r="D14" s="45" t="n">
        <v>99</v>
      </c>
      <c r="E14" s="46" t="n">
        <v>143.44</v>
      </c>
      <c r="F14" s="46" t="n">
        <v>14200.35</v>
      </c>
      <c r="G14" s="44" t="inlineStr">
        <is>
          <t>330:1000 Merger of 532179 to 532477 on 20-MAR-2020 325:1000 Merger of 532418 to 532477 on 20-MAR-2020</t>
        </is>
      </c>
      <c r="H14" s="46" t="n">
        <v>14</v>
      </c>
      <c r="I14" s="45" t="n">
        <v>86.34999999999999</v>
      </c>
      <c r="J14" s="35">
        <f>Index!$C$2</f>
        <v/>
      </c>
      <c r="K14" s="54" t="n"/>
      <c r="L14" s="54">
        <f>IF(AND( C13="Buy", ISBLANK(W13), B13&lt;&gt;"DIV"), ((J13*D13)-(E13*D13)+I13), "")</f>
        <v/>
      </c>
      <c r="M14" s="50">
        <f>IF(AND( C13="Buy", ISBLANK(W13), B13&lt;&gt;"DIV"), J13*D13, "")</f>
        <v/>
      </c>
      <c r="N14" s="51">
        <f>IF(AND( C13="Buy", ISBLANK(W13), B13&lt;&gt;"DIV"), D13,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-0.7216375422</v>
      </c>
      <c r="Z14" s="54" t="n">
        <v>-10319.922</v>
      </c>
      <c r="AA14" s="54" t="n">
        <v>3980.988</v>
      </c>
      <c r="AB14" s="55" t="n">
        <v>99</v>
      </c>
      <c r="AC14" s="54" t="n"/>
      <c r="AD14" s="47" t="inlineStr">
        <is>
          <t>SBI Securities</t>
        </is>
      </c>
    </row>
    <row r="15">
      <c r="A15" s="56" t="n"/>
      <c r="B15" s="56" t="n"/>
      <c r="C15" s="56" t="n"/>
      <c r="D15" s="56" t="n"/>
      <c r="E15" s="57" t="n"/>
      <c r="F15" s="57" t="n"/>
      <c r="G15" s="58" t="n"/>
      <c r="H15" s="57" t="n"/>
      <c r="I15" s="56" t="n"/>
      <c r="J15" s="57" t="n"/>
      <c r="K15" s="57" t="n"/>
      <c r="L15" s="57" t="n"/>
      <c r="M15" s="2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7" t="n"/>
      <c r="X15" s="57" t="n"/>
      <c r="Y15" s="57" t="n"/>
      <c r="Z15" s="57" t="n"/>
      <c r="AA15" s="57" t="n"/>
      <c r="AB15" s="57" t="n"/>
      <c r="AC15" s="57" t="n"/>
      <c r="AD15" s="56" t="n"/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""price"")"),1499.0)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2026-02-10T06:54:33Z</dcterms:created>
  <dcterms:modified xmlns:dcterms="http://purl.org/dc/terms/" xmlns:xsi="http://www.w3.org/2001/XMLSchema-instance" xsi:type="dcterms:W3CDTF">2026-02-10T06:54:34Z</dcterms:modified>
</cp:coreProperties>
</file>