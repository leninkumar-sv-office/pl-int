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B6B6139_3DBA_4F7A_A56D_A36B348B9F21_.wvu.FilterData" localSheetId="0" hidden="1">'Trading History'!$A$4:$AO$39</definedName>
    <definedName name="_xlnm._FilterDatabase" localSheetId="0" hidden="1">'Trading History'!$A$4:$AO$39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9" t="n">
        <v>45959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220.768</v>
      </c>
      <c r="F5" t="n">
        <v>2218.68</v>
      </c>
      <c r="G5" t="inlineStr">
        <is>
          <t>CN#252607497001</t>
        </is>
      </c>
      <c r="I5" t="n">
        <v>11</v>
      </c>
      <c r="J5">
        <f>Index!$C$2</f>
        <v/>
      </c>
    </row>
    <row r="6">
      <c r="A6" s="89" t="n">
        <v>45968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209.1</v>
      </c>
      <c r="F6" s="0" t="n">
        <v>2101.5</v>
      </c>
      <c r="G6" s="0" t="inlineStr">
        <is>
          <t>CN#252607899666</t>
        </is>
      </c>
      <c r="I6" s="0" t="n">
        <v>10.5</v>
      </c>
      <c r="J6" s="0">
        <f>Index!$C$2</f>
        <v/>
      </c>
    </row>
    <row r="7">
      <c r="A7" s="89" t="n">
        <v>46063</v>
      </c>
      <c r="B7" s="0" t="inlineStr">
        <is>
          <t>BSE</t>
        </is>
      </c>
      <c r="C7" s="0" t="inlineStr">
        <is>
          <t>Buy</t>
        </is>
      </c>
      <c r="D7" s="0" t="n">
        <v>10</v>
      </c>
      <c r="E7" s="0" t="n">
        <v>187.22</v>
      </c>
      <c r="F7" s="0" t="n">
        <v>1885.5</v>
      </c>
      <c r="G7" s="0" t="inlineStr">
        <is>
          <t>CN#252611730667</t>
        </is>
      </c>
      <c r="H7" s="0" t="n">
        <v>1.87</v>
      </c>
      <c r="I7" s="0" t="n">
        <v>11.43</v>
      </c>
      <c r="J7" s="0">
        <f>Index!$C$2</f>
        <v/>
      </c>
    </row>
    <row r="8">
      <c r="A8" s="89" t="n">
        <v>46062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181.75</v>
      </c>
      <c r="F8" s="0" t="n">
        <v>1830.4</v>
      </c>
      <c r="G8" s="0" t="inlineStr">
        <is>
          <t>CN#252611665409</t>
        </is>
      </c>
      <c r="H8" s="0" t="n">
        <v>1.82</v>
      </c>
      <c r="I8" s="0" t="n">
        <v>11.08</v>
      </c>
      <c r="J8" s="0">
        <f>Index!$C$2</f>
        <v/>
      </c>
    </row>
    <row r="9">
      <c r="A9" s="88" t="n">
        <v>46057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184.67</v>
      </c>
      <c r="F9" s="0" t="n">
        <v>1859.77</v>
      </c>
      <c r="G9" s="0" t="inlineStr">
        <is>
          <t>~</t>
        </is>
      </c>
      <c r="H9" s="0" t="n">
        <v>1.85</v>
      </c>
      <c r="I9" s="0" t="n">
        <v>11.22</v>
      </c>
    </row>
    <row r="10">
      <c r="A10" s="88" t="n">
        <v>46017</v>
      </c>
      <c r="B10" s="0" t="inlineStr">
        <is>
          <t>NSE</t>
        </is>
      </c>
      <c r="C10" s="0" t="inlineStr">
        <is>
          <t>Buy</t>
        </is>
      </c>
      <c r="D10" s="0" t="n">
        <v>49</v>
      </c>
      <c r="E10" s="0" t="n">
        <v>195.5</v>
      </c>
      <c r="F10" s="0" t="n">
        <v>9647.57</v>
      </c>
      <c r="G10" s="0" t="inlineStr">
        <is>
          <t>~</t>
        </is>
      </c>
      <c r="H10" s="0" t="n">
        <v>9.619999999999999</v>
      </c>
      <c r="I10" s="0" t="n">
        <v>58.45</v>
      </c>
    </row>
    <row r="11">
      <c r="A11" s="88" t="n">
        <v>46017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195.45</v>
      </c>
      <c r="F11" s="0" t="n">
        <v>196.85</v>
      </c>
      <c r="G11" s="0" t="inlineStr">
        <is>
          <t>~</t>
        </is>
      </c>
      <c r="H11" s="0" t="n">
        <v>0.2</v>
      </c>
      <c r="I11" s="0" t="n">
        <v>1.2</v>
      </c>
    </row>
    <row r="12">
      <c r="A12" s="88" t="n">
        <v>46015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195.82</v>
      </c>
      <c r="F12" s="0" t="n">
        <v>1972.08</v>
      </c>
      <c r="G12" s="0" t="inlineStr">
        <is>
          <t>~</t>
        </is>
      </c>
      <c r="H12" s="0" t="n">
        <v>1.95</v>
      </c>
      <c r="I12" s="0" t="n">
        <v>11.93</v>
      </c>
    </row>
    <row r="13">
      <c r="A13" s="88" t="n">
        <v>46014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195.75</v>
      </c>
      <c r="F13" s="0" t="n">
        <v>1971.38</v>
      </c>
      <c r="G13" s="0" t="inlineStr">
        <is>
          <t>~</t>
        </is>
      </c>
      <c r="H13" s="0" t="n">
        <v>1.95</v>
      </c>
      <c r="I13" s="0" t="n">
        <v>11.93</v>
      </c>
    </row>
    <row r="14">
      <c r="A14" s="88" t="n">
        <v>46008</v>
      </c>
      <c r="B14" s="0" t="inlineStr">
        <is>
          <t>NSE</t>
        </is>
      </c>
      <c r="C14" s="0" t="inlineStr">
        <is>
          <t>Buy</t>
        </is>
      </c>
      <c r="D14" s="0" t="n">
        <v>19</v>
      </c>
      <c r="E14" s="0" t="n">
        <v>191.85</v>
      </c>
      <c r="F14" s="0" t="n">
        <v>3670.99</v>
      </c>
      <c r="G14" s="0" t="inlineStr">
        <is>
          <t>~</t>
        </is>
      </c>
      <c r="H14" s="0" t="n">
        <v>3.67</v>
      </c>
      <c r="I14" s="0" t="n">
        <v>22.17</v>
      </c>
    </row>
    <row r="15">
      <c r="A15" s="88" t="n">
        <v>46008</v>
      </c>
      <c r="B15" s="0" t="inlineStr">
        <is>
          <t>NSE</t>
        </is>
      </c>
      <c r="C15" s="0" t="inlineStr">
        <is>
          <t>Buy</t>
        </is>
      </c>
      <c r="D15" s="0" t="n">
        <v>11</v>
      </c>
      <c r="E15" s="0" t="n">
        <v>191.9</v>
      </c>
      <c r="F15" s="0" t="n">
        <v>2125.88</v>
      </c>
      <c r="G15" s="0" t="inlineStr">
        <is>
          <t>~</t>
        </is>
      </c>
      <c r="H15" s="0" t="n">
        <v>2.12</v>
      </c>
      <c r="I15" s="0" t="n">
        <v>12.86</v>
      </c>
    </row>
    <row r="16">
      <c r="A16" s="88" t="n">
        <v>46007</v>
      </c>
      <c r="B16" s="0" t="inlineStr">
        <is>
          <t>BSE</t>
        </is>
      </c>
      <c r="C16" s="0" t="inlineStr">
        <is>
          <t>Buy</t>
        </is>
      </c>
      <c r="D16" s="0" t="n">
        <v>80</v>
      </c>
      <c r="E16" s="0" t="n">
        <v>191.4</v>
      </c>
      <c r="F16" s="0" t="n">
        <v>15420.96</v>
      </c>
      <c r="G16" s="0" t="inlineStr">
        <is>
          <t>~</t>
        </is>
      </c>
      <c r="H16" s="0" t="n">
        <v>15.28</v>
      </c>
      <c r="I16" s="0" t="n">
        <v>93.68000000000001</v>
      </c>
    </row>
    <row r="17">
      <c r="A17" s="88" t="n">
        <v>45968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209.1</v>
      </c>
      <c r="F17" s="0" t="n">
        <v>1052.93</v>
      </c>
      <c r="G17" s="0" t="inlineStr">
        <is>
          <t>~</t>
        </is>
      </c>
      <c r="H17" s="0" t="n">
        <v>1.05</v>
      </c>
      <c r="I17" s="0" t="n">
        <v>6.38</v>
      </c>
    </row>
    <row r="18">
      <c r="A18" s="88" t="n">
        <v>45968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209.1</v>
      </c>
      <c r="F18" s="0" t="n">
        <v>1052.93</v>
      </c>
      <c r="G18" s="0" t="inlineStr">
        <is>
          <t>~</t>
        </is>
      </c>
      <c r="H18" s="0" t="n">
        <v>1.05</v>
      </c>
      <c r="I18" s="0" t="n">
        <v>6.38</v>
      </c>
    </row>
    <row r="19">
      <c r="A19" s="88" t="n">
        <v>45959</v>
      </c>
      <c r="B19" s="0" t="inlineStr">
        <is>
          <t>NSE</t>
        </is>
      </c>
      <c r="C19" s="0" t="inlineStr">
        <is>
          <t>Buy</t>
        </is>
      </c>
      <c r="D19" s="0" t="n">
        <v>4</v>
      </c>
      <c r="E19" s="0" t="n">
        <v>220.75</v>
      </c>
      <c r="F19" s="0" t="n">
        <v>889.24</v>
      </c>
      <c r="G19" s="0" t="inlineStr">
        <is>
          <t>~</t>
        </is>
      </c>
      <c r="H19" s="0" t="n">
        <v>0.88</v>
      </c>
      <c r="I19" s="0" t="n">
        <v>5.36</v>
      </c>
    </row>
    <row r="20">
      <c r="A20" s="88" t="n">
        <v>45959</v>
      </c>
      <c r="B20" s="0" t="inlineStr">
        <is>
          <t>NSE</t>
        </is>
      </c>
      <c r="C20" s="0" t="inlineStr">
        <is>
          <t>Buy</t>
        </is>
      </c>
      <c r="D20" s="0" t="n">
        <v>6</v>
      </c>
      <c r="E20" s="0" t="n">
        <v>220.78</v>
      </c>
      <c r="F20" s="0" t="n">
        <v>1334.03</v>
      </c>
      <c r="G20" s="0" t="inlineStr">
        <is>
          <t>~</t>
        </is>
      </c>
      <c r="H20" s="0" t="n">
        <v>1.33</v>
      </c>
      <c r="I20" s="0" t="n">
        <v>8.02</v>
      </c>
    </row>
    <row r="21">
      <c r="A21" s="88" t="n">
        <v>45957</v>
      </c>
      <c r="B21" s="0" t="inlineStr">
        <is>
          <t>BSE</t>
        </is>
      </c>
      <c r="C21" s="0" t="inlineStr">
        <is>
          <t>Buy</t>
        </is>
      </c>
      <c r="D21" s="0" t="n">
        <v>25</v>
      </c>
      <c r="E21" s="0" t="n">
        <v>220.1</v>
      </c>
      <c r="F21" s="0" t="n">
        <v>5541.56</v>
      </c>
      <c r="G21" s="0" t="inlineStr">
        <is>
          <t>~</t>
        </is>
      </c>
      <c r="H21" s="0" t="n">
        <v>5.51</v>
      </c>
      <c r="I21" s="0" t="n">
        <v>33.55</v>
      </c>
    </row>
    <row r="22">
      <c r="A22" s="88" t="n">
        <v>45954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223.62</v>
      </c>
      <c r="F22" s="0" t="n">
        <v>450.41</v>
      </c>
      <c r="G22" s="0" t="inlineStr">
        <is>
          <t>~</t>
        </is>
      </c>
      <c r="H22" s="0" t="n">
        <v>0.45</v>
      </c>
      <c r="I22" s="0" t="n">
        <v>2.72</v>
      </c>
    </row>
    <row r="23">
      <c r="A23" s="88" t="n">
        <v>45954</v>
      </c>
      <c r="B23" s="0" t="inlineStr">
        <is>
          <t>NSE</t>
        </is>
      </c>
      <c r="C23" s="0" t="inlineStr">
        <is>
          <t>Buy</t>
        </is>
      </c>
      <c r="D23" s="0" t="n">
        <v>3</v>
      </c>
      <c r="E23" s="0" t="n">
        <v>223.63</v>
      </c>
      <c r="F23" s="0" t="n">
        <v>675.64</v>
      </c>
      <c r="G23" s="0" t="inlineStr">
        <is>
          <t>~</t>
        </is>
      </c>
      <c r="H23" s="0" t="n">
        <v>0.67</v>
      </c>
      <c r="I23" s="0" t="n">
        <v>4.08</v>
      </c>
    </row>
    <row r="24">
      <c r="A24" s="88" t="n">
        <v>45953</v>
      </c>
      <c r="B24" s="0" t="inlineStr">
        <is>
          <t>BSE</t>
        </is>
      </c>
      <c r="C24" s="0" t="inlineStr">
        <is>
          <t>Buy</t>
        </is>
      </c>
      <c r="D24" s="0" t="n">
        <v>20</v>
      </c>
      <c r="E24" s="0" t="n">
        <v>222.9</v>
      </c>
      <c r="F24" s="0" t="n">
        <v>4489.53</v>
      </c>
      <c r="G24" s="0" t="inlineStr">
        <is>
          <t>~</t>
        </is>
      </c>
      <c r="H24" s="0" t="n">
        <v>4.45</v>
      </c>
      <c r="I24" s="0" t="n">
        <v>27.08</v>
      </c>
    </row>
    <row r="25">
      <c r="A25" s="88" t="n">
        <v>45950</v>
      </c>
      <c r="B25" s="0" t="inlineStr">
        <is>
          <t>NSE</t>
        </is>
      </c>
      <c r="C25" s="0" t="inlineStr">
        <is>
          <t>Buy</t>
        </is>
      </c>
      <c r="D25" s="0" t="n">
        <v>19</v>
      </c>
      <c r="E25" s="0" t="n">
        <v>220.28</v>
      </c>
      <c r="F25" s="0" t="n">
        <v>4214.96</v>
      </c>
      <c r="G25" s="0" t="inlineStr">
        <is>
          <t>~</t>
        </is>
      </c>
      <c r="H25" s="0" t="n">
        <v>4.19</v>
      </c>
      <c r="I25" s="0" t="n">
        <v>25.45</v>
      </c>
    </row>
    <row r="26">
      <c r="A26" s="88" t="n">
        <v>45950</v>
      </c>
      <c r="B26" s="0" t="inlineStr">
        <is>
          <t>NSE</t>
        </is>
      </c>
      <c r="C26" s="0" t="inlineStr">
        <is>
          <t>Buy</t>
        </is>
      </c>
      <c r="D26" s="0" t="n">
        <v>1</v>
      </c>
      <c r="E26" s="0" t="n">
        <v>220.19</v>
      </c>
      <c r="F26" s="0" t="n">
        <v>221.75</v>
      </c>
      <c r="G26" s="0" t="inlineStr">
        <is>
          <t>~</t>
        </is>
      </c>
      <c r="H26" s="0" t="n">
        <v>0.22</v>
      </c>
      <c r="I26" s="0" t="n">
        <v>1.34</v>
      </c>
    </row>
    <row r="27">
      <c r="A27" s="88" t="n">
        <v>45947</v>
      </c>
      <c r="B27" s="0" t="inlineStr">
        <is>
          <t>BSE</t>
        </is>
      </c>
      <c r="C27" s="0" t="inlineStr">
        <is>
          <t>Buy</t>
        </is>
      </c>
      <c r="D27" s="0" t="n">
        <v>9</v>
      </c>
      <c r="E27" s="0" t="n">
        <v>217.4</v>
      </c>
      <c r="F27" s="0" t="n">
        <v>1970.51</v>
      </c>
      <c r="G27" s="0" t="inlineStr">
        <is>
          <t>~</t>
        </is>
      </c>
      <c r="H27" s="0" t="n">
        <v>1.96</v>
      </c>
      <c r="I27" s="0" t="n">
        <v>11.95</v>
      </c>
    </row>
    <row r="28">
      <c r="A28" s="88" t="n">
        <v>45903</v>
      </c>
      <c r="B28" s="0" t="inlineStr">
        <is>
          <t>BSE</t>
        </is>
      </c>
      <c r="C28" s="0" t="inlineStr">
        <is>
          <t>Buy</t>
        </is>
      </c>
      <c r="D28" s="0" t="n">
        <v>11</v>
      </c>
      <c r="E28" s="0" t="n">
        <v>251.85</v>
      </c>
      <c r="F28" s="0" t="n">
        <v>2790.03</v>
      </c>
      <c r="G28" s="0" t="inlineStr">
        <is>
          <t>~</t>
        </is>
      </c>
      <c r="H28" s="0" t="n">
        <v>2.78</v>
      </c>
      <c r="I28" s="0" t="n">
        <v>16.9</v>
      </c>
    </row>
    <row r="29">
      <c r="A29" s="88" t="n">
        <v>45903</v>
      </c>
      <c r="B29" s="0" t="inlineStr">
        <is>
          <t>BSE</t>
        </is>
      </c>
      <c r="C29" s="0" t="inlineStr">
        <is>
          <t>Buy</t>
        </is>
      </c>
      <c r="D29" s="0" t="n">
        <v>9</v>
      </c>
      <c r="E29" s="0" t="n">
        <v>251.9</v>
      </c>
      <c r="F29" s="0" t="n">
        <v>2283.21</v>
      </c>
      <c r="G29" s="0" t="inlineStr">
        <is>
          <t>~</t>
        </is>
      </c>
      <c r="H29" s="0" t="n">
        <v>2.28</v>
      </c>
      <c r="I29" s="0" t="n">
        <v>13.83</v>
      </c>
    </row>
    <row r="30">
      <c r="A30" s="38" t="n">
        <v>45950</v>
      </c>
      <c r="B30" s="39" t="inlineStr">
        <is>
          <t>BSE</t>
        </is>
      </c>
      <c r="C30" s="39" t="inlineStr">
        <is>
          <t>Buy</t>
        </is>
      </c>
      <c r="D30" s="40" t="n">
        <v>20</v>
      </c>
      <c r="E30" s="41" t="n">
        <v>221.84</v>
      </c>
      <c r="F30" s="41">
        <f>D5*E5</f>
        <v/>
      </c>
      <c r="G30" s="39" t="inlineStr">
        <is>
          <t>~</t>
        </is>
      </c>
      <c r="H30" s="40" t="n"/>
      <c r="I30" s="40" t="n"/>
      <c r="J30" s="42">
        <f>Index!$C$2</f>
        <v/>
      </c>
      <c r="K30" s="43">
        <f>IF(AND( C5="Buy", ISBLANK(W5), B5&lt;&gt;"DIV"), L5/sum(F5:I5), "")</f>
        <v/>
      </c>
      <c r="L30" s="44">
        <f>IF(AND( C5="Buy", ISBLANK(W5), B5&lt;&gt;"DIV"), (1-Index!$F$2*2)*((J5*D5)-(E5*D5)), "")</f>
        <v/>
      </c>
      <c r="M30" s="44">
        <f>IF(AND( C5="Buy", ISBLANK(W5), B5&lt;&gt;"DIV"), ((E5*D5)+L5), "")</f>
        <v/>
      </c>
      <c r="N30" s="45">
        <f>IF(AND( C5="Buy", ISBLANK(W5), B5&lt;&gt;"DIV"), D5, "")</f>
        <v/>
      </c>
      <c r="O30" s="43">
        <f>IF(AND( C5="Buy", ISBLANK(W5), B5&lt;&gt;"DIV", NOW()-A5 &lt; 365), P5/sum(F5:I5), "")</f>
        <v/>
      </c>
      <c r="P30" s="44">
        <f>IF(AND( C5="Buy", ISBLANK(W5), B5&lt;&gt;"DIV", NOW()-A5 &lt; 365), (1-Index!$F$2*2)*((J5*D5)-(E5*D5)), "")</f>
        <v/>
      </c>
      <c r="Q30" s="44">
        <f>IF(AND( C5="Buy", ISBLANK(W5), B5&lt;&gt;"DIV", NOW()-A5 &lt; 365), ((E5*D5)+P5), "")</f>
        <v/>
      </c>
      <c r="R30" s="44">
        <f>IF(AND( C5="Buy", ISBLANK(W5), B5&lt;&gt;"DIV", NOW()-A5 &lt; 365), D5, "")</f>
        <v/>
      </c>
      <c r="S30" s="43">
        <f>IF(AND( C5="Buy", ISBLANK(W5), B5&lt;&gt;"DIV", NOW()-A5 &gt; 365), T5/sum(F5:I5), "")</f>
        <v/>
      </c>
      <c r="T30" s="44">
        <f>IF(AND( C5="Buy", ISBLANK(W5), B5&lt;&gt;"DIV", NOW()-A5 &gt; 365), (1-Index!$F$2*2)*((J5*D5)-(E5*D5)), "")</f>
        <v/>
      </c>
      <c r="U30" s="44">
        <f>IF(AND( C5="Buy", ISBLANK(W5), B5&lt;&gt;"DIV", NOW()-A5 &gt; 365), ((E5*D5)+T5), "")</f>
        <v/>
      </c>
      <c r="V30" s="44">
        <f>IF(AND( C5="Buy", ISBLANK(W5), B5&lt;&gt;"DIV", NOW()-A5 &gt; 365), D5, "")</f>
        <v/>
      </c>
      <c r="W30" s="44" t="n"/>
      <c r="X30" s="44" t="n"/>
      <c r="Y30" s="43">
        <f>IF(AND( C5="Buy", W5&lt;&gt;"", AA5&lt;&gt;"", B5&lt;&gt;"DIV"), Z5/sum(F5:I5), "")</f>
        <v/>
      </c>
      <c r="Z30" s="44" t="n"/>
      <c r="AA30" s="44" t="n"/>
      <c r="AB30" s="45" t="n"/>
      <c r="AC30" s="46">
        <f>if(B5="DIV", F5,"")</f>
        <v/>
      </c>
      <c r="AD30" s="47" t="n"/>
    </row>
    <row r="31">
      <c r="A31" s="38" t="n">
        <v>45947</v>
      </c>
      <c r="B31" s="39" t="inlineStr">
        <is>
          <t>BSE</t>
        </is>
      </c>
      <c r="C31" s="39" t="inlineStr">
        <is>
          <t>Buy</t>
        </is>
      </c>
      <c r="D31" s="40" t="n">
        <v>9</v>
      </c>
      <c r="E31" s="41" t="n">
        <v>218.95</v>
      </c>
      <c r="F31" s="41">
        <f>D6*E6</f>
        <v/>
      </c>
      <c r="G31" s="39" t="inlineStr">
        <is>
          <t>~</t>
        </is>
      </c>
      <c r="H31" s="40" t="n"/>
      <c r="I31" s="40" t="n"/>
      <c r="J31" s="42">
        <f>Index!$C$2</f>
        <v/>
      </c>
      <c r="K31" s="43">
        <f>IF(AND( C6="Buy", ISBLANK(W6), B6&lt;&gt;"DIV"), L6/sum(F6:I6), "")</f>
        <v/>
      </c>
      <c r="L31" s="44">
        <f>IF(AND( C6="Buy", ISBLANK(W6), B6&lt;&gt;"DIV"), (1-Index!$F$2*2)*((J6*D6)-(E6*D6)), "")</f>
        <v/>
      </c>
      <c r="M31" s="44">
        <f>IF(AND( C6="Buy", ISBLANK(W6), B6&lt;&gt;"DIV"), ((E6*D6)+L6), "")</f>
        <v/>
      </c>
      <c r="N31" s="45">
        <f>IF(AND( C6="Buy", ISBLANK(W6), B6&lt;&gt;"DIV"), D6, "")</f>
        <v/>
      </c>
      <c r="O31" s="43">
        <f>IF(AND( C6="Buy", ISBLANK(W6), B6&lt;&gt;"DIV", NOW()-A6 &lt; 365), P6/sum(F6:I6), "")</f>
        <v/>
      </c>
      <c r="P31" s="44">
        <f>IF(AND( C6="Buy", ISBLANK(W6), B6&lt;&gt;"DIV", NOW()-A6 &lt; 365), (1-Index!$F$2*2)*((J6*D6)-(E6*D6)), "")</f>
        <v/>
      </c>
      <c r="Q31" s="44">
        <f>IF(AND( C6="Buy", ISBLANK(W6), B6&lt;&gt;"DIV", NOW()-A6 &lt; 365), ((E6*D6)+P6), "")</f>
        <v/>
      </c>
      <c r="R31" s="44">
        <f>IF(AND( C6="Buy", ISBLANK(W6), B6&lt;&gt;"DIV", NOW()-A6 &lt; 365), D6, "")</f>
        <v/>
      </c>
      <c r="S31" s="43">
        <f>IF(AND( C6="Buy", ISBLANK(W6), B6&lt;&gt;"DIV", NOW()-A6 &gt; 365), T6/sum(F6:I6), "")</f>
        <v/>
      </c>
      <c r="T31" s="44">
        <f>IF(AND( C6="Buy", ISBLANK(W6), B6&lt;&gt;"DIV", NOW()-A6 &gt; 365), (1-Index!$F$2*2)*((J6*D6)-(E6*D6)), "")</f>
        <v/>
      </c>
      <c r="U31" s="44">
        <f>IF(AND( C6="Buy", ISBLANK(W6), B6&lt;&gt;"DIV", NOW()-A6 &gt; 365), ((E6*D6)+T6), "")</f>
        <v/>
      </c>
      <c r="V31" s="44">
        <f>IF(AND( C6="Buy", ISBLANK(W6), B6&lt;&gt;"DIV", NOW()-A6 &gt; 365), D6, "")</f>
        <v/>
      </c>
      <c r="W31" s="44" t="n"/>
      <c r="X31" s="44" t="n"/>
      <c r="Y31" s="43">
        <f>IF(AND( C6="Buy", W6&lt;&gt;"", AA6&lt;&gt;"", B6&lt;&gt;"DIV"), Z6/sum(F6:I6), "")</f>
        <v/>
      </c>
      <c r="Z31" s="44" t="n"/>
      <c r="AA31" s="44" t="n"/>
      <c r="AB31" s="45" t="n"/>
      <c r="AC31" s="46">
        <f>if(B6="DIV", F6,"")</f>
        <v/>
      </c>
      <c r="AD31" s="47" t="n"/>
    </row>
    <row r="32">
      <c r="A32" s="38" t="n">
        <v>45903</v>
      </c>
      <c r="B32" s="39" t="inlineStr">
        <is>
          <t>BSE</t>
        </is>
      </c>
      <c r="C32" s="39" t="inlineStr">
        <is>
          <t>Buy</t>
        </is>
      </c>
      <c r="D32" s="40" t="n">
        <v>9</v>
      </c>
      <c r="E32" s="41" t="n">
        <v>253.69</v>
      </c>
      <c r="F32" s="41" t="n">
        <v>2283.21</v>
      </c>
      <c r="G32" s="39" t="inlineStr">
        <is>
          <t>~</t>
        </is>
      </c>
      <c r="H32" s="40" t="n">
        <v>2.28</v>
      </c>
      <c r="I32" s="40" t="n">
        <v>13.83</v>
      </c>
      <c r="J32" s="42">
        <f>Index!$C$2</f>
        <v/>
      </c>
      <c r="K32" s="43">
        <f>IF(AND( C7="Buy", ISBLANK(W7), B7&lt;&gt;"DIV"), L7/sum(F7:I7), "")</f>
        <v/>
      </c>
      <c r="L32" s="44">
        <f>IF(AND( C7="Buy", ISBLANK(W7), B7&lt;&gt;"DIV"), (1-Index!$F$2*2)*((J7*D7)-(E7*D7)), "")</f>
        <v/>
      </c>
      <c r="M32" s="44">
        <f>IF(AND( C7="Buy", ISBLANK(W7), B7&lt;&gt;"DIV"), ((E7*D7)+L7), "")</f>
        <v/>
      </c>
      <c r="N32" s="45">
        <f>IF(AND( C7="Buy", ISBLANK(W7), B7&lt;&gt;"DIV"), D7, "")</f>
        <v/>
      </c>
      <c r="O32" s="43">
        <f>IF(AND( C7="Buy", ISBLANK(W7), B7&lt;&gt;"DIV", NOW()-A7 &lt; 365), P7/sum(F7:I7), "")</f>
        <v/>
      </c>
      <c r="P32" s="44">
        <f>IF(AND( C7="Buy", ISBLANK(W7), B7&lt;&gt;"DIV", NOW()-A7 &lt; 365), (1-Index!$F$2*2)*((J7*D7)-(E7*D7)), "")</f>
        <v/>
      </c>
      <c r="Q32" s="44">
        <f>IF(AND( C7="Buy", ISBLANK(W7), B7&lt;&gt;"DIV", NOW()-A7 &lt; 365), ((E7*D7)+P7), "")</f>
        <v/>
      </c>
      <c r="R32" s="44">
        <f>IF(AND( C7="Buy", ISBLANK(W7), B7&lt;&gt;"DIV", NOW()-A7 &lt; 365), D7, "")</f>
        <v/>
      </c>
      <c r="S32" s="43">
        <f>IF(AND( C7="Buy", ISBLANK(W7), B7&lt;&gt;"DIV", NOW()-A7 &gt; 365), T7/sum(F7:I7), "")</f>
        <v/>
      </c>
      <c r="T32" s="44">
        <f>IF(AND( C7="Buy", ISBLANK(W7), B7&lt;&gt;"DIV", NOW()-A7 &gt; 365), (1-Index!$F$2*2)*((J7*D7)-(E7*D7)), "")</f>
        <v/>
      </c>
      <c r="U32" s="44">
        <f>IF(AND( C7="Buy", ISBLANK(W7), B7&lt;&gt;"DIV", NOW()-A7 &gt; 365), ((E7*D7)+T7), "")</f>
        <v/>
      </c>
      <c r="V32" s="44">
        <f>IF(AND( C7="Buy", ISBLANK(W7), B7&lt;&gt;"DIV", NOW()-A7 &gt; 365), D7, "")</f>
        <v/>
      </c>
      <c r="W32" s="44" t="n"/>
      <c r="X32" s="44" t="n"/>
      <c r="Y32" s="43">
        <f>IF(AND( C7="Buy", W7&lt;&gt;"", AA7&lt;&gt;"", B7&lt;&gt;"DIV"), Z7/sum(F7:I7), "")</f>
        <v/>
      </c>
      <c r="Z32" s="44" t="n"/>
      <c r="AA32" s="44" t="n"/>
      <c r="AB32" s="45" t="n"/>
      <c r="AC32" s="46">
        <f>if(B7="DIV", F7,"")</f>
        <v/>
      </c>
      <c r="AD32" s="47" t="n"/>
    </row>
    <row r="33">
      <c r="A33" s="38" t="n">
        <v>45903</v>
      </c>
      <c r="B33" s="39" t="inlineStr">
        <is>
          <t>BSE</t>
        </is>
      </c>
      <c r="C33" s="39" t="inlineStr">
        <is>
          <t>Buy</t>
        </is>
      </c>
      <c r="D33" s="40" t="n">
        <v>11</v>
      </c>
      <c r="E33" s="41" t="n">
        <v>253.64</v>
      </c>
      <c r="F33" s="41" t="n">
        <v>2790.03</v>
      </c>
      <c r="G33" s="39" t="inlineStr">
        <is>
          <t>~</t>
        </is>
      </c>
      <c r="H33" s="40" t="n">
        <v>2.78</v>
      </c>
      <c r="I33" s="40" t="n">
        <v>16.9</v>
      </c>
      <c r="J33" s="42">
        <f>Index!$C$2</f>
        <v/>
      </c>
      <c r="K33" s="43">
        <f>IF(AND( C8="Buy", ISBLANK(W8), B8&lt;&gt;"DIV"), L8/sum(F8:I8), "")</f>
        <v/>
      </c>
      <c r="L33" s="44">
        <f>IF(AND( C8="Buy", ISBLANK(W8), B8&lt;&gt;"DIV"), (1-Index!$F$2*2)*((J8*D8)-(E8*D8)), "")</f>
        <v/>
      </c>
      <c r="M33" s="44">
        <f>IF(AND( C8="Buy", ISBLANK(W8), B8&lt;&gt;"DIV"), ((E8*D8)+L8), "")</f>
        <v/>
      </c>
      <c r="N33" s="45">
        <f>IF(AND( C8="Buy", ISBLANK(W8), B8&lt;&gt;"DIV"), D8, "")</f>
        <v/>
      </c>
      <c r="O33" s="43">
        <f>IF(AND( C8="Buy", ISBLANK(W8), B8&lt;&gt;"DIV", NOW()-A8 &lt; 365), P8/sum(F8:I8), "")</f>
        <v/>
      </c>
      <c r="P33" s="44">
        <f>IF(AND( C8="Buy", ISBLANK(W8), B8&lt;&gt;"DIV", NOW()-A8 &lt; 365), (1-Index!$F$2*2)*((J8*D8)-(E8*D8)), "")</f>
        <v/>
      </c>
      <c r="Q33" s="44">
        <f>IF(AND( C8="Buy", ISBLANK(W8), B8&lt;&gt;"DIV", NOW()-A8 &lt; 365), ((E8*D8)+P8), "")</f>
        <v/>
      </c>
      <c r="R33" s="44">
        <f>IF(AND( C8="Buy", ISBLANK(W8), B8&lt;&gt;"DIV", NOW()-A8 &lt; 365), D8, "")</f>
        <v/>
      </c>
      <c r="S33" s="43">
        <f>IF(AND( C8="Buy", ISBLANK(W8), B8&lt;&gt;"DIV", NOW()-A8 &gt; 365), T8/sum(F8:I8), "")</f>
        <v/>
      </c>
      <c r="T33" s="44">
        <f>IF(AND( C8="Buy", ISBLANK(W8), B8&lt;&gt;"DIV", NOW()-A8 &gt; 365), (1-Index!$F$2*2)*((J8*D8)-(E8*D8)), "")</f>
        <v/>
      </c>
      <c r="U33" s="44">
        <f>IF(AND( C8="Buy", ISBLANK(W8), B8&lt;&gt;"DIV", NOW()-A8 &gt; 365), ((E8*D8)+T8), "")</f>
        <v/>
      </c>
      <c r="V33" s="44">
        <f>IF(AND( C8="Buy", ISBLANK(W8), B8&lt;&gt;"DIV", NOW()-A8 &gt; 365), D8, "")</f>
        <v/>
      </c>
      <c r="W33" s="44" t="n"/>
      <c r="X33" s="44" t="n"/>
      <c r="Y33" s="43">
        <f>IF(AND( C8="Buy", W8&lt;&gt;"", AA8&lt;&gt;"", B8&lt;&gt;"DIV"), Z8/sum(F8:I8), "")</f>
        <v/>
      </c>
      <c r="Z33" s="44" t="n"/>
      <c r="AA33" s="44" t="n"/>
      <c r="AB33" s="45" t="n"/>
      <c r="AC33" s="46">
        <f>if(B8="DIV", F8,"")</f>
        <v/>
      </c>
      <c r="AD33" s="47" t="n"/>
    </row>
    <row r="34">
      <c r="A34" s="48" t="n">
        <v>45663</v>
      </c>
      <c r="B34" s="52" t="inlineStr">
        <is>
          <t>DMRGR</t>
        </is>
      </c>
      <c r="C34" s="52" t="inlineStr">
        <is>
          <t>Buy</t>
        </is>
      </c>
      <c r="D34" s="50" t="n">
        <v>1</v>
      </c>
      <c r="E34" s="51" t="n">
        <v>164</v>
      </c>
      <c r="F34" s="51" t="n">
        <v>167</v>
      </c>
      <c r="G34" s="52" t="n"/>
      <c r="H34" s="50" t="n">
        <v>0</v>
      </c>
      <c r="I34" s="50" t="n">
        <v>0</v>
      </c>
      <c r="J34" s="42">
        <f>Index!$C$2</f>
        <v/>
      </c>
      <c r="K34" s="43">
        <f>IF(AND( C9="Buy", ISBLANK(W9), B9&lt;&gt;"DIV"), L9/sum(F9:I9), "")</f>
        <v/>
      </c>
      <c r="L34" s="44">
        <f>IF(AND( C9="Buy", ISBLANK(W9), B9&lt;&gt;"DIV"), (1-Index!$F$2*2)*((J9*D9)-(E9*D9)), "")</f>
        <v/>
      </c>
      <c r="M34" s="44">
        <f>IF(AND( C9="Buy", ISBLANK(W9), B9&lt;&gt;"DIV"), ((E9*D9)+L9), "")</f>
        <v/>
      </c>
      <c r="N34" s="45">
        <f>IF(AND( C9="Buy", ISBLANK(W9), B9&lt;&gt;"DIV"), D9, "")</f>
        <v/>
      </c>
      <c r="O34" s="43">
        <f>IF(AND( C9="Buy", ISBLANK(W9), B9&lt;&gt;"DIV", NOW()-A9 &lt; 365), P9/sum(F9:I9), "")</f>
        <v/>
      </c>
      <c r="P34" s="44">
        <f>IF(AND( C9="Buy", ISBLANK(W9), B9&lt;&gt;"DIV", NOW()-A9 &lt; 365), (1-Index!$F$2*2)*((J9*D9)-(E9*D9)), "")</f>
        <v/>
      </c>
      <c r="Q34" s="44">
        <f>IF(AND( C9="Buy", ISBLANK(W9), B9&lt;&gt;"DIV", NOW()-A9 &lt; 365), ((E9*D9)+P9), "")</f>
        <v/>
      </c>
      <c r="R34" s="44">
        <f>IF(AND( C9="Buy", ISBLANK(W9), B9&lt;&gt;"DIV", NOW()-A9 &lt; 365), D9, "")</f>
        <v/>
      </c>
      <c r="S34" s="43">
        <f>IF(AND( C9="Buy", ISBLANK(W9), B9&lt;&gt;"DIV", NOW()-A9 &gt; 365), T9/sum(F9:I9), "")</f>
        <v/>
      </c>
      <c r="T34" s="44">
        <f>IF(AND( C9="Buy", ISBLANK(W9), B9&lt;&gt;"DIV", NOW()-A9 &gt; 365), (1-Index!$F$2*2)*((J9*D9)-(E9*D9)), "")</f>
        <v/>
      </c>
      <c r="U34" s="44">
        <f>IF(AND( C9="Buy", ISBLANK(W9), B9&lt;&gt;"DIV", NOW()-A9 &gt; 365), ((E9*D9)+T9), "")</f>
        <v/>
      </c>
      <c r="V34" s="44">
        <f>IF(AND( C9="Buy", ISBLANK(W9), B9&lt;&gt;"DIV", NOW()-A9 &gt; 365), D9, "")</f>
        <v/>
      </c>
      <c r="W34" s="44" t="n"/>
      <c r="X34" s="44" t="n"/>
      <c r="Y34" s="43">
        <f>IF(AND( C9="Buy", W9&lt;&gt;"", AA9&lt;&gt;"", B9&lt;&gt;"DIV"), Z9/sum(F9:I9), "")</f>
        <v/>
      </c>
      <c r="Z34" s="44" t="n"/>
      <c r="AA34" s="44" t="n"/>
      <c r="AB34" s="45" t="n"/>
      <c r="AC34" s="46">
        <f>if(B9="DIV", F9,"")</f>
        <v/>
      </c>
      <c r="AD34" s="47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M958" s="56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M959" s="56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M960" s="56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M961" s="56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M962" s="56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M963" s="56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M964" s="56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M965" s="56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M966" s="56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M967" s="56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M968" s="56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M969" s="56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M970" s="56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  <row r="975">
      <c r="E975" s="53" t="n"/>
      <c r="F975" s="53" t="n"/>
      <c r="G975" s="54" t="n"/>
      <c r="J975" s="53" t="n"/>
      <c r="K975" s="53" t="n"/>
      <c r="L975" s="53" t="n"/>
      <c r="W975" s="53" t="n"/>
      <c r="X975" s="53" t="n"/>
      <c r="Y975" s="53" t="n"/>
      <c r="Z975" s="53" t="n"/>
      <c r="AA975" s="53" t="n"/>
      <c r="AB975" s="53" t="n"/>
      <c r="AC975" s="53" t="n"/>
    </row>
    <row r="976">
      <c r="E976" s="53" t="n"/>
      <c r="F976" s="53" t="n"/>
      <c r="G976" s="54" t="n"/>
      <c r="J976" s="53" t="n"/>
      <c r="K976" s="53" t="n"/>
      <c r="L976" s="53" t="n"/>
      <c r="W976" s="53" t="n"/>
      <c r="X976" s="53" t="n"/>
      <c r="Y976" s="53" t="n"/>
      <c r="Z976" s="53" t="n"/>
      <c r="AA976" s="53" t="n"/>
      <c r="AB976" s="53" t="n"/>
      <c r="AC976" s="53" t="n"/>
    </row>
    <row r="977">
      <c r="E977" s="53" t="n"/>
      <c r="F977" s="53" t="n"/>
      <c r="G977" s="54" t="n"/>
      <c r="J977" s="53" t="n"/>
      <c r="K977" s="53" t="n"/>
      <c r="L977" s="53" t="n"/>
      <c r="W977" s="53" t="n"/>
      <c r="X977" s="53" t="n"/>
      <c r="Y977" s="53" t="n"/>
      <c r="Z977" s="53" t="n"/>
      <c r="AA977" s="53" t="n"/>
      <c r="AB977" s="53" t="n"/>
      <c r="AC977" s="53" t="n"/>
    </row>
    <row r="978">
      <c r="E978" s="53" t="n"/>
      <c r="F978" s="53" t="n"/>
      <c r="G978" s="54" t="n"/>
      <c r="J978" s="53" t="n"/>
      <c r="K978" s="53" t="n"/>
      <c r="L978" s="53" t="n"/>
      <c r="W978" s="53" t="n"/>
      <c r="X978" s="53" t="n"/>
      <c r="Y978" s="53" t="n"/>
      <c r="Z978" s="53" t="n"/>
      <c r="AA978" s="53" t="n"/>
      <c r="AB978" s="53" t="n"/>
      <c r="AC978" s="53" t="n"/>
    </row>
    <row r="979">
      <c r="E979" s="53" t="n"/>
      <c r="F979" s="53" t="n"/>
      <c r="G979" s="54" t="n"/>
      <c r="J979" s="53" t="n"/>
      <c r="K979" s="53" t="n"/>
      <c r="L979" s="53" t="n"/>
      <c r="W979" s="53" t="n"/>
      <c r="X979" s="53" t="n"/>
      <c r="Y979" s="53" t="n"/>
      <c r="Z979" s="53" t="n"/>
      <c r="AA979" s="53" t="n"/>
      <c r="AB979" s="53" t="n"/>
      <c r="AC979" s="53" t="n"/>
    </row>
    <row r="980">
      <c r="E980" s="53" t="n"/>
      <c r="F980" s="53" t="n"/>
      <c r="G980" s="54" t="n"/>
      <c r="J980" s="53" t="n"/>
      <c r="K980" s="53" t="n"/>
      <c r="L980" s="53" t="n"/>
      <c r="W980" s="53" t="n"/>
      <c r="X980" s="53" t="n"/>
      <c r="Y980" s="53" t="n"/>
      <c r="Z980" s="53" t="n"/>
      <c r="AA980" s="53" t="n"/>
      <c r="AB980" s="53" t="n"/>
      <c r="AC980" s="53" t="n"/>
    </row>
    <row r="981">
      <c r="E981" s="53" t="n"/>
      <c r="F981" s="53" t="n"/>
      <c r="G981" s="54" t="n"/>
      <c r="J981" s="53" t="n"/>
      <c r="K981" s="53" t="n"/>
      <c r="L981" s="53" t="n"/>
      <c r="W981" s="53" t="n"/>
      <c r="X981" s="53" t="n"/>
      <c r="Y981" s="53" t="n"/>
      <c r="Z981" s="53" t="n"/>
      <c r="AA981" s="53" t="n"/>
      <c r="AB981" s="53" t="n"/>
      <c r="AC981" s="53" t="n"/>
    </row>
    <row r="982">
      <c r="E982" s="53" t="n"/>
      <c r="F982" s="53" t="n"/>
      <c r="G982" s="54" t="n"/>
      <c r="J982" s="53" t="n"/>
      <c r="K982" s="53" t="n"/>
      <c r="L982" s="53" t="n"/>
      <c r="W982" s="53" t="n"/>
      <c r="X982" s="53" t="n"/>
      <c r="Y982" s="53" t="n"/>
      <c r="Z982" s="53" t="n"/>
      <c r="AA982" s="53" t="n"/>
      <c r="AB982" s="53" t="n"/>
      <c r="AC982" s="53" t="n"/>
    </row>
    <row r="983">
      <c r="E983" s="53" t="n"/>
      <c r="F983" s="53" t="n"/>
      <c r="G983" s="54" t="n"/>
      <c r="J983" s="53" t="n"/>
      <c r="K983" s="53" t="n"/>
      <c r="L983" s="53" t="n"/>
      <c r="W983" s="53" t="n"/>
      <c r="X983" s="53" t="n"/>
      <c r="Y983" s="53" t="n"/>
      <c r="Z983" s="53" t="n"/>
      <c r="AA983" s="53" t="n"/>
      <c r="AB983" s="53" t="n"/>
      <c r="AC983" s="53" t="n"/>
    </row>
    <row r="984">
      <c r="E984" s="53" t="n"/>
      <c r="F984" s="53" t="n"/>
      <c r="G984" s="54" t="n"/>
      <c r="J984" s="53" t="n"/>
      <c r="K984" s="53" t="n"/>
      <c r="L984" s="53" t="n"/>
      <c r="W984" s="53" t="n"/>
      <c r="X984" s="53" t="n"/>
      <c r="Y984" s="53" t="n"/>
      <c r="Z984" s="53" t="n"/>
      <c r="AA984" s="53" t="n"/>
      <c r="AB984" s="53" t="n"/>
      <c r="AC984" s="53" t="n"/>
    </row>
    <row r="985">
      <c r="E985" s="53" t="n"/>
      <c r="F985" s="53" t="n"/>
      <c r="G985" s="54" t="n"/>
      <c r="J985" s="53" t="n"/>
      <c r="K985" s="53" t="n"/>
      <c r="L985" s="53" t="n"/>
      <c r="W985" s="53" t="n"/>
      <c r="X985" s="53" t="n"/>
      <c r="Y985" s="53" t="n"/>
      <c r="Z985" s="53" t="n"/>
      <c r="AA985" s="53" t="n"/>
      <c r="AB985" s="53" t="n"/>
      <c r="AC985" s="53" t="n"/>
    </row>
    <row r="986">
      <c r="E986" s="53" t="n"/>
      <c r="F986" s="53" t="n"/>
      <c r="G986" s="54" t="n"/>
      <c r="J986" s="53" t="n"/>
      <c r="K986" s="53" t="n"/>
      <c r="L986" s="53" t="n"/>
      <c r="W986" s="53" t="n"/>
      <c r="X986" s="53" t="n"/>
      <c r="Y986" s="53" t="n"/>
      <c r="Z986" s="53" t="n"/>
      <c r="AA986" s="53" t="n"/>
      <c r="AB986" s="53" t="n"/>
      <c r="AC986" s="53" t="n"/>
    </row>
    <row r="987">
      <c r="E987" s="53" t="n"/>
      <c r="F987" s="53" t="n"/>
      <c r="G987" s="54" t="n"/>
      <c r="J987" s="53" t="n"/>
      <c r="K987" s="53" t="n"/>
      <c r="L987" s="53" t="n"/>
      <c r="W987" s="53" t="n"/>
      <c r="X987" s="53" t="n"/>
      <c r="Y987" s="53" t="n"/>
      <c r="Z987" s="53" t="n"/>
      <c r="AA987" s="53" t="n"/>
      <c r="AB987" s="53" t="n"/>
      <c r="AC987" s="53" t="n"/>
    </row>
  </sheetData>
  <autoFilter ref="$A$4:$AO$39"/>
  <mergeCells count="5">
    <mergeCell ref="W2:AC3"/>
    <mergeCell ref="S3:V3"/>
    <mergeCell ref="K2:V2"/>
    <mergeCell ref="K3:N3"/>
    <mergeCell ref="O3:R3"/>
  </mergeCells>
  <conditionalFormatting sqref="C1:C96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9">
    <cfRule type="expression" priority="5" dxfId="1">
      <formula>NOT(ISBLANK($W5))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NSE:ITCHOTELS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 t="n">
        <v>180.8</v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M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 t="n">
        <v>261.62</v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 t="n">
        <v>158.35</v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History'!$N$4:$N1007)</f>
        <v/>
      </c>
      <c r="D8" s="60" t="n"/>
      <c r="E8" s="65" t="inlineStr">
        <is>
          <t>ST Units</t>
        </is>
      </c>
      <c r="F8" s="64">
        <f>IFERROR(SUM('Trading History'!$R$4:$R1007), 0)</f>
        <v/>
      </c>
      <c r="G8" s="60" t="n"/>
      <c r="H8" s="66" t="inlineStr">
        <is>
          <t>LT Units</t>
        </is>
      </c>
      <c r="I8" s="64">
        <f>SUM('Trading History'!$V$4:$V1007)</f>
        <v/>
      </c>
      <c r="J8" s="60" t="n"/>
      <c r="K8" s="67" t="inlineStr">
        <is>
          <t>Units</t>
        </is>
      </c>
      <c r="L8" s="64">
        <f>SUM('Trading History'!$AB$4:$AB1007)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History'!$L$4:$L1007)</f>
        <v/>
      </c>
      <c r="D10" s="60" t="n"/>
      <c r="E10" s="70" t="inlineStr">
        <is>
          <t>ST Gain</t>
        </is>
      </c>
      <c r="F10" s="73">
        <f>SUM('Trading History'!$P$4:$P1007)</f>
        <v/>
      </c>
      <c r="G10" s="60" t="n"/>
      <c r="H10" s="71" t="inlineStr">
        <is>
          <t>LT Gain</t>
        </is>
      </c>
      <c r="I10" s="73">
        <f>SUM('Trading History'!$T$4:$T1007)</f>
        <v/>
      </c>
      <c r="J10" s="60" t="n"/>
      <c r="K10" s="72" t="inlineStr">
        <is>
          <t>Gain</t>
        </is>
      </c>
      <c r="L10" s="73">
        <f>SUM('Trading History'!$Z$4:$Z1007)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History'!$M$4:$M1007)</f>
        <v/>
      </c>
      <c r="D12" s="60" t="n"/>
      <c r="E12" s="70" t="inlineStr">
        <is>
          <t>ST Gross</t>
        </is>
      </c>
      <c r="F12" s="73">
        <f>SUM('Trading History'!$Q$4:$Q1007)</f>
        <v/>
      </c>
      <c r="G12" s="60" t="n"/>
      <c r="H12" s="71" t="inlineStr">
        <is>
          <t>LT Gross</t>
        </is>
      </c>
      <c r="I12" s="73">
        <f>SUM('Trading History'!$U$4:$U1007)</f>
        <v/>
      </c>
      <c r="J12" s="60" t="n"/>
      <c r="K12" s="72" t="inlineStr">
        <is>
          <t>Gross</t>
        </is>
      </c>
      <c r="L12" s="73">
        <f>SUM('Trading History'!$AA$4:$AA1007)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History'!$B16:$B1007,"DIV",'Trading History'!$AC$4:$AC1007)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History'!$N$4:$N1007, 'Trading History'!$K$4:$K1007, CONCAT("&gt;", $A15))</f>
        <v/>
      </c>
      <c r="D15" s="60" t="n"/>
      <c r="E15" s="65" t="inlineStr">
        <is>
          <t>ST Units</t>
        </is>
      </c>
      <c r="F15" s="64">
        <f>IFERROR(SUMIFS('Trading History'!$R$4:$R1007, 'Trading History'!$O$4:$O1007, CONCAT("&gt;", $A15)), 0)</f>
        <v/>
      </c>
      <c r="G15" s="60" t="n"/>
      <c r="H15" s="66" t="inlineStr">
        <is>
          <t>LT Units</t>
        </is>
      </c>
      <c r="I15" s="64">
        <f>SUMIFS('Trading History'!$V$4:$V1007, 'Trading History'!$S$4:$S1007, CONCAT("&gt;", $A15))</f>
        <v/>
      </c>
      <c r="J15" s="60" t="n"/>
      <c r="K15" s="67" t="inlineStr">
        <is>
          <t>Units</t>
        </is>
      </c>
      <c r="L15" s="64">
        <f>SUMIFS('Trading History'!$AB$4:$AB1007, 'Trading History'!$Y$4:$Y1007,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History'!$L$4:$L1007, 'Trading History'!$K$4:$K1007, CONCAT("&gt;", $A15))</f>
        <v/>
      </c>
      <c r="D17" s="60" t="n"/>
      <c r="E17" s="70" t="inlineStr">
        <is>
          <t>ST Gain</t>
        </is>
      </c>
      <c r="F17" s="73">
        <f>SUMIFS('Trading History'!$P$4:$P1007, 'Trading History'!$O$4:$O1007, CONCAT("&gt;", $A15))</f>
        <v/>
      </c>
      <c r="G17" s="60" t="n"/>
      <c r="H17" s="71" t="inlineStr">
        <is>
          <t>LT Gain</t>
        </is>
      </c>
      <c r="I17" s="73">
        <f>SUMIFS('Trading History'!$T$4:$T1007, 'Trading History'!$S$4:$S1007, CONCAT("&gt;", $A15))</f>
        <v/>
      </c>
      <c r="J17" s="60" t="n"/>
      <c r="K17" s="72" t="inlineStr">
        <is>
          <t>Gain</t>
        </is>
      </c>
      <c r="L17" s="73">
        <f>SUMIFS('Trading History'!$Z$4:$Z1007, 'Trading History'!$Y$4:$Y1007,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History'!$M$4:$M1007, 'Trading History'!$K$4:$K1007, CONCAT("&gt;", $A15))</f>
        <v/>
      </c>
      <c r="D19" s="60" t="n"/>
      <c r="E19" s="70" t="inlineStr">
        <is>
          <t>ST Gross</t>
        </is>
      </c>
      <c r="F19" s="73">
        <f>SUMIFS('Trading History'!$Q$4:$Q1007, 'Trading History'!$O$4:$O1007, CONCAT("&gt;", $A15))</f>
        <v/>
      </c>
      <c r="G19" s="60" t="n"/>
      <c r="H19" s="71" t="inlineStr">
        <is>
          <t>LT Gross</t>
        </is>
      </c>
      <c r="I19" s="73">
        <f>SUMIFS('Trading History'!$U$4:$U1007, 'Trading History'!$S$4:$S1007, CONCAT("&gt;", $A15))</f>
        <v/>
      </c>
      <c r="J19" s="60" t="n"/>
      <c r="K19" s="72" t="inlineStr">
        <is>
          <t>Gross</t>
        </is>
      </c>
      <c r="L19" s="73">
        <f>SUMIFS('Trading History'!$AA$4:$AA1007, 'Trading History'!$Y$4:$Y1007,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History'!$N$4:$N1007, 'Trading History'!$K$4:$K1007, CONCAT("&gt;", $A22))</f>
        <v/>
      </c>
      <c r="D22" s="60" t="n"/>
      <c r="E22" s="65" t="inlineStr">
        <is>
          <t>ST Units</t>
        </is>
      </c>
      <c r="F22" s="64">
        <f>IFERROR(SUMIFS('Trading History'!$R$4:$R1007, 'Trading History'!$O$4:$O1007, CONCAT("&gt;", $A22)), 0)</f>
        <v/>
      </c>
      <c r="G22" s="60" t="n"/>
      <c r="H22" s="66" t="inlineStr">
        <is>
          <t>LT Units</t>
        </is>
      </c>
      <c r="I22" s="64">
        <f>SUMIFS('Trading History'!$V$4:$V1007, 'Trading History'!$S$4:$S1007, CONCAT("&gt;", $A22))</f>
        <v/>
      </c>
      <c r="J22" s="60" t="n"/>
      <c r="K22" s="67" t="inlineStr">
        <is>
          <t>Units</t>
        </is>
      </c>
      <c r="L22" s="64">
        <f>SUMIFS('Trading History'!$AB$4:$AB1007, 'Trading History'!$Y$4:$Y1007,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History'!$L$4:$L1007, 'Trading History'!$K$4:$K1007, CONCAT("&gt;", $A22))</f>
        <v/>
      </c>
      <c r="D24" s="60" t="n"/>
      <c r="E24" s="70" t="inlineStr">
        <is>
          <t>ST Gain</t>
        </is>
      </c>
      <c r="F24" s="73">
        <f>SUMIFS('Trading History'!$P$4:$P1007, 'Trading History'!$O$4:$O1007, CONCAT("&gt;", $A22))</f>
        <v/>
      </c>
      <c r="G24" s="60" t="n"/>
      <c r="H24" s="71" t="inlineStr">
        <is>
          <t>LT Gain</t>
        </is>
      </c>
      <c r="I24" s="73">
        <f>SUMIFS('Trading History'!$T$4:$T1007, 'Trading History'!$S$4:$S1007, CONCAT("&gt;", $A22))</f>
        <v/>
      </c>
      <c r="J24" s="60" t="n"/>
      <c r="K24" s="72" t="inlineStr">
        <is>
          <t>Gain</t>
        </is>
      </c>
      <c r="L24" s="73">
        <f>SUMIFS('Trading History'!$Z$4:$Z1007, 'Trading History'!$Y$4:$Y1007,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History'!$M$4:$M1007, 'Trading History'!$K$4:$K1007, CONCAT("&gt;", $A22))</f>
        <v/>
      </c>
      <c r="D26" s="60" t="n"/>
      <c r="E26" s="70" t="inlineStr">
        <is>
          <t>ST Gross</t>
        </is>
      </c>
      <c r="F26" s="73">
        <f>SUMIFS('Trading History'!$Q$4:$Q1007, 'Trading History'!$O$4:$O1007, CONCAT("&gt;", $A22))</f>
        <v/>
      </c>
      <c r="G26" s="60" t="n"/>
      <c r="H26" s="71" t="inlineStr">
        <is>
          <t>LT Gross</t>
        </is>
      </c>
      <c r="I26" s="73">
        <f>SUMIFS('Trading History'!$U$4:$U1007, 'Trading History'!$S$4:$S1007, CONCAT("&gt;", $A22))</f>
        <v/>
      </c>
      <c r="J26" s="60" t="n"/>
      <c r="K26" s="72" t="inlineStr">
        <is>
          <t>Gross</t>
        </is>
      </c>
      <c r="L26" s="73">
        <f>SUMIFS('Trading History'!$AA$4:$AA1007, 'Trading History'!$Y$4:$Y1007,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History'!$N$4:$N1007, 'Trading History'!$K$4:$K1007, CONCAT("&gt;", $A29))</f>
        <v/>
      </c>
      <c r="D29" s="60" t="n"/>
      <c r="E29" s="65" t="inlineStr">
        <is>
          <t>ST Units</t>
        </is>
      </c>
      <c r="F29" s="64">
        <f>IFERROR(SUMIFS('Trading History'!$R$4:$R1007, 'Trading History'!$O$4:$O1007, CONCAT("&gt;", $A29)), 0)</f>
        <v/>
      </c>
      <c r="G29" s="60" t="n"/>
      <c r="H29" s="66" t="inlineStr">
        <is>
          <t>LT Units</t>
        </is>
      </c>
      <c r="I29" s="64">
        <f>SUMIFS('Trading History'!$V$4:$V1007, 'Trading History'!$S$4:$S1007, CONCAT("&gt;", $A29))</f>
        <v/>
      </c>
      <c r="J29" s="60" t="n"/>
      <c r="K29" s="67" t="inlineStr">
        <is>
          <t>Units</t>
        </is>
      </c>
      <c r="L29" s="64">
        <f>SUMIFS('Trading History'!$AB$4:$AB1007, 'Trading History'!$Y$4:$Y1007,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History'!$L$4:$L1007, 'Trading History'!$K$4:$K1007, CONCAT("&gt;", $A29))</f>
        <v/>
      </c>
      <c r="D31" s="60" t="n"/>
      <c r="E31" s="70" t="inlineStr">
        <is>
          <t>ST Gain</t>
        </is>
      </c>
      <c r="F31" s="73">
        <f>SUMIFS('Trading History'!$P$4:$P1007, 'Trading History'!$O$4:$O1007, CONCAT("&gt;", $A29))</f>
        <v/>
      </c>
      <c r="G31" s="60" t="n"/>
      <c r="H31" s="71" t="inlineStr">
        <is>
          <t>LT Gain</t>
        </is>
      </c>
      <c r="I31" s="73">
        <f>SUMIFS('Trading History'!$T$4:$T1007, 'Trading History'!$S$4:$S1007, CONCAT("&gt;", $A29))</f>
        <v/>
      </c>
      <c r="J31" s="60" t="n"/>
      <c r="K31" s="72" t="inlineStr">
        <is>
          <t>Gain</t>
        </is>
      </c>
      <c r="L31" s="73">
        <f>SUMIFS('Trading History'!$Z$4:$Z1007, 'Trading History'!$Y$4:$Y1007,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History'!$M$4:$M1007, 'Trading History'!$K$4:$K1007, CONCAT("&gt;", $A29))</f>
        <v/>
      </c>
      <c r="D33" s="60" t="n"/>
      <c r="E33" s="70" t="inlineStr">
        <is>
          <t>ST Gross</t>
        </is>
      </c>
      <c r="F33" s="73">
        <f>SUMIFS('Trading History'!$Q$4:$Q1007, 'Trading History'!$O$4:$O1007, CONCAT("&gt;", $A29))</f>
        <v/>
      </c>
      <c r="G33" s="60" t="n"/>
      <c r="H33" s="71" t="inlineStr">
        <is>
          <t>LT Gross</t>
        </is>
      </c>
      <c r="I33" s="73">
        <f>SUMIFS('Trading History'!$U$4:$U1007, 'Trading History'!$S$4:$S1007, CONCAT("&gt;", $A29))</f>
        <v/>
      </c>
      <c r="J33" s="60" t="n"/>
      <c r="K33" s="72" t="inlineStr">
        <is>
          <t>Gross</t>
        </is>
      </c>
      <c r="L33" s="73">
        <f>SUMIFS('Trading History'!$AA$4:$AA1007, 'Trading History'!$Y$4:$Y1007,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History'!$N$4:$N1007, 'Trading History'!$K$4:$K1007, CONCAT("&gt;", $A36))</f>
        <v/>
      </c>
      <c r="D36" s="60" t="n"/>
      <c r="E36" s="65" t="inlineStr">
        <is>
          <t>ST Units</t>
        </is>
      </c>
      <c r="F36" s="64">
        <f>IFERROR(SUMIFS('Trading History'!$R$4:$R1007, 'Trading History'!$O$4:$O1007, CONCAT("&gt;", $A36)), 0)</f>
        <v/>
      </c>
      <c r="G36" s="60" t="n"/>
      <c r="H36" s="66" t="inlineStr">
        <is>
          <t>LT Units</t>
        </is>
      </c>
      <c r="I36" s="64">
        <f>SUMIFS('Trading History'!$V$4:$V1007, 'Trading History'!$S$4:$S1007, CONCAT("&gt;", $A36))</f>
        <v/>
      </c>
      <c r="J36" s="60" t="n"/>
      <c r="K36" s="67" t="inlineStr">
        <is>
          <t>Units</t>
        </is>
      </c>
      <c r="L36" s="64">
        <f>SUMIFS('Trading History'!$AB$4:$AB1007, 'Trading History'!$Y$4:$Y1007,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History'!$L$4:$L1007, 'Trading History'!$K$4:$K1007, CONCAT("&gt;", $A36))</f>
        <v/>
      </c>
      <c r="D38" s="60" t="n"/>
      <c r="E38" s="70" t="inlineStr">
        <is>
          <t>ST Gain</t>
        </is>
      </c>
      <c r="F38" s="73">
        <f>SUMIFS('Trading History'!$P$4:$P1007, 'Trading History'!$O$4:$O1007, CONCAT("&gt;", $A36))</f>
        <v/>
      </c>
      <c r="G38" s="60" t="n"/>
      <c r="H38" s="71" t="inlineStr">
        <is>
          <t>LT Gain</t>
        </is>
      </c>
      <c r="I38" s="73">
        <f>SUMIFS('Trading History'!$T$4:$T1007, 'Trading History'!$S$4:$S1007, CONCAT("&gt;", $A36))</f>
        <v/>
      </c>
      <c r="J38" s="60" t="n"/>
      <c r="K38" s="72" t="inlineStr">
        <is>
          <t>Gain</t>
        </is>
      </c>
      <c r="L38" s="73">
        <f>SUMIFS('Trading History'!$Z$4:$Z1007, 'Trading History'!$Y$4:$Y1007,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History'!$M$4:$M1007, 'Trading History'!$K$4:$K1007, CONCAT("&gt;", $A36))</f>
        <v/>
      </c>
      <c r="D40" s="60" t="n"/>
      <c r="E40" s="70" t="inlineStr">
        <is>
          <t>ST Gross</t>
        </is>
      </c>
      <c r="F40" s="73">
        <f>SUMIFS('Trading History'!$Q$4:$Q1007, 'Trading History'!$O$4:$O1007, CONCAT("&gt;", $A36))</f>
        <v/>
      </c>
      <c r="G40" s="60" t="n"/>
      <c r="H40" s="71" t="inlineStr">
        <is>
          <t>LT Gross</t>
        </is>
      </c>
      <c r="I40" s="73">
        <f>SUMIFS('Trading History'!$U$4:$U1007, 'Trading History'!$S$4:$S1007, CONCAT("&gt;", $A36))</f>
        <v/>
      </c>
      <c r="J40" s="60" t="n"/>
      <c r="K40" s="72" t="inlineStr">
        <is>
          <t>Gross</t>
        </is>
      </c>
      <c r="L40" s="73">
        <f>SUMIFS('Trading History'!$AA$4:$AA1007, 'Trading History'!$Y$4:$Y1007,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History'!$N$4:$N1007, 'Trading History'!$K$4:$K1007, CONCAT("&gt;", $A43))</f>
        <v/>
      </c>
      <c r="D43" s="60" t="n"/>
      <c r="E43" s="65" t="inlineStr">
        <is>
          <t>ST Units</t>
        </is>
      </c>
      <c r="F43" s="64">
        <f>IFERROR(SUMIFS('Trading History'!$R$4:$R1007, 'Trading History'!$O$4:$O1007, CONCAT("&gt;", $A43)), 0)</f>
        <v/>
      </c>
      <c r="G43" s="60" t="n"/>
      <c r="H43" s="66" t="inlineStr">
        <is>
          <t>LT Units</t>
        </is>
      </c>
      <c r="I43" s="64">
        <f>SUMIFS('Trading History'!$V$4:$V1007, 'Trading History'!$S$4:$S1007, CONCAT("&gt;", $A43))</f>
        <v/>
      </c>
      <c r="J43" s="60" t="n"/>
      <c r="K43" s="67" t="inlineStr">
        <is>
          <t>Units</t>
        </is>
      </c>
      <c r="L43" s="64">
        <f>SUMIFS('Trading History'!$AB$4:$AB1007, 'Trading History'!$Y$4:$Y1007,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History'!$L$4:$L1007, 'Trading History'!$K$4:$K1007, CONCAT("&gt;", $A43))</f>
        <v/>
      </c>
      <c r="D45" s="60" t="n"/>
      <c r="E45" s="70" t="inlineStr">
        <is>
          <t>ST Gain</t>
        </is>
      </c>
      <c r="F45" s="73">
        <f>SUMIFS('Trading History'!$P$4:$P1007, 'Trading History'!$O$4:$O1007, CONCAT("&gt;", $A43))</f>
        <v/>
      </c>
      <c r="G45" s="60" t="n"/>
      <c r="H45" s="71" t="inlineStr">
        <is>
          <t>LT Gain</t>
        </is>
      </c>
      <c r="I45" s="73">
        <f>SUMIFS('Trading History'!$T$4:$T1007, 'Trading History'!$S$4:$S1007, CONCAT("&gt;", $A43))</f>
        <v/>
      </c>
      <c r="J45" s="60" t="n"/>
      <c r="K45" s="72" t="inlineStr">
        <is>
          <t>Gain</t>
        </is>
      </c>
      <c r="L45" s="73">
        <f>SUMIFS('Trading History'!$Z$4:$Z1007, 'Trading History'!$Y$4:$Y1007,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History'!$M$4:$M1007, 'Trading History'!$K$4:$K1007, CONCAT("&gt;", $A43))</f>
        <v/>
      </c>
      <c r="D47" s="60" t="n"/>
      <c r="E47" s="70" t="inlineStr">
        <is>
          <t>ST Gross</t>
        </is>
      </c>
      <c r="F47" s="73">
        <f>SUMIFS('Trading History'!$Q$4:$Q1007, 'Trading History'!$O$4:$O1007, CONCAT("&gt;", $A43))</f>
        <v/>
      </c>
      <c r="G47" s="60" t="n"/>
      <c r="H47" s="71" t="inlineStr">
        <is>
          <t>LT Gross</t>
        </is>
      </c>
      <c r="I47" s="73">
        <f>SUMIFS('Trading History'!$U$4:$U1007, 'Trading History'!$S$4:$S1007, CONCAT("&gt;", $A43))</f>
        <v/>
      </c>
      <c r="J47" s="60" t="n"/>
      <c r="K47" s="72" t="inlineStr">
        <is>
          <t>Gross</t>
        </is>
      </c>
      <c r="L47" s="73">
        <f>SUMIFS('Trading History'!$AA$4:$AA1007, 'Trading History'!$Y$4:$Y1007,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History'!$N$4:$N1007, 'Trading History'!$K$4:$K1007, CONCAT("&gt;", $A50))</f>
        <v/>
      </c>
      <c r="D50" s="60" t="n"/>
      <c r="E50" s="65" t="inlineStr">
        <is>
          <t>ST Units</t>
        </is>
      </c>
      <c r="F50" s="64">
        <f>IFERROR(SUMIFS('Trading History'!$R$4:$R1007, 'Trading History'!$O$4:$O1007, CONCAT("&gt;", $A50)), 0)</f>
        <v/>
      </c>
      <c r="G50" s="60" t="n"/>
      <c r="H50" s="66" t="inlineStr">
        <is>
          <t>LT Units</t>
        </is>
      </c>
      <c r="I50" s="64">
        <f>SUMIFS('Trading History'!$V$4:$V1007, 'Trading History'!$S$4:$S1007, CONCAT("&gt;", $A50))</f>
        <v/>
      </c>
      <c r="J50" s="60" t="n"/>
      <c r="K50" s="67" t="inlineStr">
        <is>
          <t>Units</t>
        </is>
      </c>
      <c r="L50" s="64">
        <f>SUMIFS('Trading History'!$AB$4:$AB1007, 'Trading History'!$Y$4:$Y1007,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History'!$L$4:$L1007, 'Trading History'!$K$4:$K1007, CONCAT("&gt;", $A50))</f>
        <v/>
      </c>
      <c r="D52" s="60" t="n"/>
      <c r="E52" s="70" t="inlineStr">
        <is>
          <t>ST Gain</t>
        </is>
      </c>
      <c r="F52" s="73">
        <f>SUMIFS('Trading History'!$P$4:$P1007, 'Trading History'!$O$4:$O1007, CONCAT("&gt;", $A50))</f>
        <v/>
      </c>
      <c r="G52" s="60" t="n"/>
      <c r="H52" s="71" t="inlineStr">
        <is>
          <t>LT Gain</t>
        </is>
      </c>
      <c r="I52" s="73">
        <f>SUMIFS('Trading History'!$T$4:$T1007, 'Trading History'!$S$4:$S1007, CONCAT("&gt;", $A50))</f>
        <v/>
      </c>
      <c r="J52" s="60" t="n"/>
      <c r="K52" s="72" t="inlineStr">
        <is>
          <t>Gain</t>
        </is>
      </c>
      <c r="L52" s="73">
        <f>SUMIFS('Trading History'!$Z$4:$Z1007, 'Trading History'!$Y$4:$Y1007,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History'!$M$4:$M1007, 'Trading History'!$K$4:$K1007, CONCAT("&gt;", $A50))</f>
        <v/>
      </c>
      <c r="D54" s="60" t="n"/>
      <c r="E54" s="70" t="inlineStr">
        <is>
          <t>ST Gross</t>
        </is>
      </c>
      <c r="F54" s="73">
        <f>SUMIFS('Trading History'!$Q$4:$Q1007, 'Trading History'!$O$4:$O1007, CONCAT("&gt;", $A50))</f>
        <v/>
      </c>
      <c r="G54" s="60" t="n"/>
      <c r="H54" s="71" t="inlineStr">
        <is>
          <t>LT Gross</t>
        </is>
      </c>
      <c r="I54" s="73">
        <f>SUMIFS('Trading History'!$U$4:$U1007, 'Trading History'!$S$4:$S1007, CONCAT("&gt;", $A50))</f>
        <v/>
      </c>
      <c r="J54" s="60" t="n"/>
      <c r="K54" s="72" t="inlineStr">
        <is>
          <t>Gross</t>
        </is>
      </c>
      <c r="L54" s="73">
        <f>SUMIFS('Trading History'!$AA$4:$AA1007, 'Trading History'!$Y$4:$Y1007,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History'!$N$4:$N1007, 'Trading History'!$K$4:$K1007, CONCAT("&gt;", $A57))</f>
        <v/>
      </c>
      <c r="D57" s="60" t="n"/>
      <c r="E57" s="65" t="inlineStr">
        <is>
          <t>ST Units</t>
        </is>
      </c>
      <c r="F57" s="64">
        <f>IFERROR(SUMIFS('Trading History'!$R$4:$R1007, 'Trading History'!$O$4:$O1007, CONCAT("&gt;", $A57)), 0)</f>
        <v/>
      </c>
      <c r="G57" s="60" t="n"/>
      <c r="H57" s="66" t="inlineStr">
        <is>
          <t>LT Units</t>
        </is>
      </c>
      <c r="I57" s="64">
        <f>SUMIFS('Trading History'!$V$4:$V1007, 'Trading History'!$S$4:$S1007, CONCAT("&gt;", $A57))</f>
        <v/>
      </c>
      <c r="J57" s="60" t="n"/>
      <c r="K57" s="67" t="inlineStr">
        <is>
          <t>Units</t>
        </is>
      </c>
      <c r="L57" s="64">
        <f>SUMIFS('Trading History'!$AB$4:$AB1007, 'Trading History'!$Y$4:$Y1007,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History'!$L$4:$L1007, 'Trading History'!$K$4:$K1007, CONCAT("&gt;", $A57))</f>
        <v/>
      </c>
      <c r="D59" s="60" t="n"/>
      <c r="E59" s="70" t="inlineStr">
        <is>
          <t>ST Gain</t>
        </is>
      </c>
      <c r="F59" s="73">
        <f>SUMIFS('Trading History'!$P$4:$P1007, 'Trading History'!$O$4:$O1007, CONCAT("&gt;", $A57))</f>
        <v/>
      </c>
      <c r="G59" s="60" t="n"/>
      <c r="H59" s="71" t="inlineStr">
        <is>
          <t>LT Gain</t>
        </is>
      </c>
      <c r="I59" s="73">
        <f>SUMIFS('Trading History'!$T$4:$T1007, 'Trading History'!$S$4:$S1007, CONCAT("&gt;", $A57))</f>
        <v/>
      </c>
      <c r="J59" s="60" t="n"/>
      <c r="K59" s="72" t="inlineStr">
        <is>
          <t>Gain</t>
        </is>
      </c>
      <c r="L59" s="73">
        <f>SUMIFS('Trading History'!$Z$4:$Z1007, 'Trading History'!$Y$4:$Y1007,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History'!$M$4:$M1007, 'Trading History'!$K$4:$K1007, CONCAT("&gt;", $A57))</f>
        <v/>
      </c>
      <c r="D61" s="60" t="n"/>
      <c r="E61" s="70" t="inlineStr">
        <is>
          <t>ST Gross</t>
        </is>
      </c>
      <c r="F61" s="73">
        <f>SUMIFS('Trading History'!$Q$4:$Q1007, 'Trading History'!$O$4:$O1007, CONCAT("&gt;", $A57))</f>
        <v/>
      </c>
      <c r="G61" s="60" t="n"/>
      <c r="H61" s="71" t="inlineStr">
        <is>
          <t>LT Gross</t>
        </is>
      </c>
      <c r="I61" s="73">
        <f>SUMIFS('Trading History'!$U$4:$U1007, 'Trading History'!$S$4:$S1007, CONCAT("&gt;", $A57))</f>
        <v/>
      </c>
      <c r="J61" s="60" t="n"/>
      <c r="K61" s="72" t="inlineStr">
        <is>
          <t>Gross</t>
        </is>
      </c>
      <c r="L61" s="73">
        <f>SUMIFS('Trading History'!$AA$4:$AA1007, 'Trading History'!$Y$4:$Y1007,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History'!$N$4:$N1007, 'Trading History'!$K$4:$K1007, CONCAT("&gt;", $A64))</f>
        <v/>
      </c>
      <c r="D64" s="60" t="n"/>
      <c r="E64" s="65" t="inlineStr">
        <is>
          <t>ST Units</t>
        </is>
      </c>
      <c r="F64" s="64">
        <f>IFERROR(SUMIFS('Trading History'!$R$4:$R1007, 'Trading History'!$O$4:$O1007, CONCAT("&gt;", $A64)), 0)</f>
        <v/>
      </c>
      <c r="G64" s="60" t="n"/>
      <c r="H64" s="66" t="inlineStr">
        <is>
          <t>LT Units</t>
        </is>
      </c>
      <c r="I64" s="64">
        <f>SUMIFS('Trading History'!$V$4:$V1007, 'Trading History'!$S$4:$S1007, CONCAT("&gt;", $A64))</f>
        <v/>
      </c>
      <c r="J64" s="60" t="n"/>
      <c r="K64" s="67" t="inlineStr">
        <is>
          <t>Units</t>
        </is>
      </c>
      <c r="L64" s="64">
        <f>SUMIFS('Trading History'!$AB$4:$AB1007, 'Trading History'!$Y$4:$Y1007,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History'!$L$4:$L1007, 'Trading History'!$K$4:$K1007, CONCAT("&gt;", $A64))</f>
        <v/>
      </c>
      <c r="D66" s="60" t="n"/>
      <c r="E66" s="70" t="inlineStr">
        <is>
          <t>ST Gain</t>
        </is>
      </c>
      <c r="F66" s="73">
        <f>SUMIFS('Trading History'!$P$4:$P1007, 'Trading History'!$O$4:$O1007, CONCAT("&gt;", $A64))</f>
        <v/>
      </c>
      <c r="G66" s="60" t="n"/>
      <c r="H66" s="71" t="inlineStr">
        <is>
          <t>LT Gain</t>
        </is>
      </c>
      <c r="I66" s="73">
        <f>SUMIFS('Trading History'!$T$4:$T1007, 'Trading History'!$S$4:$S1007, CONCAT("&gt;", $A64))</f>
        <v/>
      </c>
      <c r="J66" s="60" t="n"/>
      <c r="K66" s="72" t="inlineStr">
        <is>
          <t>Gain</t>
        </is>
      </c>
      <c r="L66" s="73">
        <f>SUMIFS('Trading History'!$Z$4:$Z1007, 'Trading History'!$Y$4:$Y1007,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History'!$M$4:$M1007, 'Trading History'!$K$4:$K1007, CONCAT("&gt;", $A64))</f>
        <v/>
      </c>
      <c r="D68" s="60" t="n"/>
      <c r="E68" s="70" t="inlineStr">
        <is>
          <t>ST Gross</t>
        </is>
      </c>
      <c r="F68" s="73">
        <f>SUMIFS('Trading History'!$Q$4:$Q1007, 'Trading History'!$O$4:$O1007, CONCAT("&gt;", $A64))</f>
        <v/>
      </c>
      <c r="G68" s="60" t="n"/>
      <c r="H68" s="71" t="inlineStr">
        <is>
          <t>LT Gross</t>
        </is>
      </c>
      <c r="I68" s="73">
        <f>SUMIFS('Trading History'!$U$4:$U1007, 'Trading History'!$S$4:$S1007, CONCAT("&gt;", $A64))</f>
        <v/>
      </c>
      <c r="J68" s="60" t="n"/>
      <c r="K68" s="72" t="inlineStr">
        <is>
          <t>Gross</t>
        </is>
      </c>
      <c r="L68" s="73">
        <f>SUMIFS('Trading History'!$AA$4:$AA1007, 'Trading History'!$Y$4:$Y1007,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History'!$N$4:$N1007, 'Trading History'!$K$4:$K1007, CONCAT("&gt;", $A71))</f>
        <v/>
      </c>
      <c r="D71" s="60" t="n"/>
      <c r="E71" s="65" t="inlineStr">
        <is>
          <t>ST Units</t>
        </is>
      </c>
      <c r="F71" s="64">
        <f>IFERROR(SUMIFS('Trading History'!$R$4:$R1007, 'Trading History'!$O$4:$O1007, CONCAT("&gt;", $A71)), 0)</f>
        <v/>
      </c>
      <c r="G71" s="60" t="n"/>
      <c r="H71" s="66" t="inlineStr">
        <is>
          <t>LT Units</t>
        </is>
      </c>
      <c r="I71" s="64">
        <f>SUMIFS('Trading History'!$V$4:$V1007, 'Trading History'!$S$4:$S1007, CONCAT("&gt;", $A71))</f>
        <v/>
      </c>
      <c r="J71" s="60" t="n"/>
      <c r="K71" s="67" t="inlineStr">
        <is>
          <t>Units</t>
        </is>
      </c>
      <c r="L71" s="64">
        <f>SUMIFS('Trading History'!$AB$4:$AB1007, 'Trading History'!$Y$4:$Y1007,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History'!$L$4:$L1007, 'Trading History'!$K$4:$K1007, CONCAT("&gt;", $A71))</f>
        <v/>
      </c>
      <c r="D73" s="60" t="n"/>
      <c r="E73" s="70" t="inlineStr">
        <is>
          <t>ST Gain</t>
        </is>
      </c>
      <c r="F73" s="73">
        <f>SUMIFS('Trading History'!$P$4:$P1007, 'Trading History'!$O$4:$O1007, CONCAT("&gt;", $A71))</f>
        <v/>
      </c>
      <c r="G73" s="60" t="n"/>
      <c r="H73" s="71" t="inlineStr">
        <is>
          <t>LT Gain</t>
        </is>
      </c>
      <c r="I73" s="73">
        <f>SUMIFS('Trading History'!$T$4:$T1007, 'Trading History'!$S$4:$S1007, CONCAT("&gt;", $A71))</f>
        <v/>
      </c>
      <c r="J73" s="60" t="n"/>
      <c r="K73" s="72" t="inlineStr">
        <is>
          <t>Gain</t>
        </is>
      </c>
      <c r="L73" s="73">
        <f>SUMIFS('Trading History'!$Z$4:$Z1007, 'Trading History'!$Y$4:$Y1007,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History'!$M$4:$M1007, 'Trading History'!$K$4:$K1007, CONCAT("&gt;", $A71))</f>
        <v/>
      </c>
      <c r="D75" s="60" t="n"/>
      <c r="E75" s="70" t="inlineStr">
        <is>
          <t>ST Gross</t>
        </is>
      </c>
      <c r="F75" s="73">
        <f>SUMIFS('Trading History'!$Q$4:$Q1007, 'Trading History'!$O$4:$O1007, CONCAT("&gt;", $A71))</f>
        <v/>
      </c>
      <c r="G75" s="60" t="n"/>
      <c r="H75" s="71" t="inlineStr">
        <is>
          <t>LT Gross</t>
        </is>
      </c>
      <c r="I75" s="73">
        <f>SUMIFS('Trading History'!$U$4:$U1007, 'Trading History'!$S$4:$S1007, CONCAT("&gt;", $A71))</f>
        <v/>
      </c>
      <c r="J75" s="60" t="n"/>
      <c r="K75" s="72" t="inlineStr">
        <is>
          <t>Gross</t>
        </is>
      </c>
      <c r="L75" s="73">
        <f>SUMIFS('Trading History'!$AA$4:$AA1007, 'Trading History'!$Y$4:$Y1007,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History'!$N$4:$N1007, 'Trading History'!$K$4:$K1007, CONCAT("&gt;", $A78))</f>
        <v/>
      </c>
      <c r="D78" s="60" t="n"/>
      <c r="E78" s="65" t="inlineStr">
        <is>
          <t>ST Units</t>
        </is>
      </c>
      <c r="F78" s="64">
        <f>IFERROR(SUMIFS('Trading History'!$R$4:$R1007, 'Trading History'!$O$4:$O1007, CONCAT("&gt;", $A78)), 0)</f>
        <v/>
      </c>
      <c r="G78" s="60" t="n"/>
      <c r="H78" s="66" t="inlineStr">
        <is>
          <t>LT Units</t>
        </is>
      </c>
      <c r="I78" s="64">
        <f>SUMIFS('Trading History'!$V$4:$V1007, 'Trading History'!$S$4:$S1007, CONCAT("&gt;", $A78))</f>
        <v/>
      </c>
      <c r="J78" s="60" t="n"/>
      <c r="K78" s="67" t="inlineStr">
        <is>
          <t>Units</t>
        </is>
      </c>
      <c r="L78" s="64">
        <f>SUMIFS('Trading History'!$AB$4:$AB1007, 'Trading History'!$Y$4:$Y1007,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History'!$L$4:$L1007, 'Trading History'!$K$4:$K1007, CONCAT("&gt;", $A78))</f>
        <v/>
      </c>
      <c r="D80" s="60" t="n"/>
      <c r="E80" s="70" t="inlineStr">
        <is>
          <t>ST Gain</t>
        </is>
      </c>
      <c r="F80" s="73">
        <f>SUMIFS('Trading History'!$P$4:$P1007, 'Trading History'!$O$4:$O1007, CONCAT("&gt;", $A78))</f>
        <v/>
      </c>
      <c r="G80" s="60" t="n"/>
      <c r="H80" s="71" t="inlineStr">
        <is>
          <t>LT Gain</t>
        </is>
      </c>
      <c r="I80" s="73">
        <f>SUMIFS('Trading History'!$T$4:$T1007, 'Trading History'!$S$4:$S1007, CONCAT("&gt;", $A78))</f>
        <v/>
      </c>
      <c r="J80" s="60" t="n"/>
      <c r="K80" s="72" t="inlineStr">
        <is>
          <t>Gain</t>
        </is>
      </c>
      <c r="L80" s="73">
        <f>SUMIFS('Trading History'!$Z$4:$Z1007, 'Trading History'!$Y$4:$Y1007,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History'!$M$4:$M1007, 'Trading History'!$K$4:$K1007, CONCAT("&gt;", $A78))</f>
        <v/>
      </c>
      <c r="D82" s="60" t="n"/>
      <c r="E82" s="70" t="inlineStr">
        <is>
          <t>ST Gross</t>
        </is>
      </c>
      <c r="F82" s="73">
        <f>SUMIFS('Trading History'!$Q$4:$Q1007, 'Trading History'!$O$4:$O1007, CONCAT("&gt;", $A78))</f>
        <v/>
      </c>
      <c r="G82" s="60" t="n"/>
      <c r="H82" s="71" t="inlineStr">
        <is>
          <t>LT Gross</t>
        </is>
      </c>
      <c r="I82" s="73">
        <f>SUMIFS('Trading History'!$U$4:$U1007, 'Trading History'!$S$4:$S1007, CONCAT("&gt;", $A78))</f>
        <v/>
      </c>
      <c r="J82" s="60" t="n"/>
      <c r="K82" s="72" t="inlineStr">
        <is>
          <t>Gross</t>
        </is>
      </c>
      <c r="L82" s="73">
        <f>SUMIFS('Trading History'!$AA$4:$AA1007, 'Trading History'!$Y$4:$Y1007,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History'!$N$4:$N1007, 'Trading History'!$K$4:$K1007, CONCAT("&gt;", $A85))</f>
        <v/>
      </c>
      <c r="D85" s="60" t="n"/>
      <c r="E85" s="65" t="inlineStr">
        <is>
          <t>ST Units</t>
        </is>
      </c>
      <c r="F85" s="64">
        <f>IFERROR(SUMIFS('Trading History'!$R$4:$R1007, 'Trading History'!$O$4:$O1007, CONCAT("&gt;", $A85)), 0)</f>
        <v/>
      </c>
      <c r="G85" s="60" t="n"/>
      <c r="H85" s="66" t="inlineStr">
        <is>
          <t>LT Units</t>
        </is>
      </c>
      <c r="I85" s="64">
        <f>SUMIFS('Trading History'!$V$4:$V1007, 'Trading History'!$S$4:$S1007, CONCAT("&gt;", $A85))</f>
        <v/>
      </c>
      <c r="J85" s="60" t="n"/>
      <c r="K85" s="67" t="inlineStr">
        <is>
          <t>Units</t>
        </is>
      </c>
      <c r="L85" s="64">
        <f>SUMIFS('Trading History'!$AB$4:$AB1007, 'Trading History'!$Y$4:$Y1007,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History'!$L$4:$L1007, 'Trading History'!$K$4:$K1007, CONCAT("&gt;", $A85))</f>
        <v/>
      </c>
      <c r="D87" s="60" t="n"/>
      <c r="E87" s="70" t="inlineStr">
        <is>
          <t>ST Gain</t>
        </is>
      </c>
      <c r="F87" s="73">
        <f>SUMIFS('Trading History'!$P$4:$P1007, 'Trading History'!$O$4:$O1007, CONCAT("&gt;", $A85))</f>
        <v/>
      </c>
      <c r="G87" s="60" t="n"/>
      <c r="H87" s="71" t="inlineStr">
        <is>
          <t>LT Gain</t>
        </is>
      </c>
      <c r="I87" s="73">
        <f>SUMIFS('Trading History'!$T$4:$T1007, 'Trading History'!$S$4:$S1007, CONCAT("&gt;", $A85))</f>
        <v/>
      </c>
      <c r="J87" s="60" t="n"/>
      <c r="K87" s="72" t="inlineStr">
        <is>
          <t>Gain</t>
        </is>
      </c>
      <c r="L87" s="73">
        <f>SUMIFS('Trading History'!$Z$4:$Z1007, 'Trading History'!$Y$4:$Y1007,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History'!$M$4:$M1007, 'Trading History'!$K$4:$K1007, CONCAT("&gt;", $A85))</f>
        <v/>
      </c>
      <c r="D89" s="60" t="n"/>
      <c r="E89" s="70" t="inlineStr">
        <is>
          <t>ST Gross</t>
        </is>
      </c>
      <c r="F89" s="73">
        <f>SUMIFS('Trading History'!$Q$4:$Q1007, 'Trading History'!$O$4:$O1007, CONCAT("&gt;", $A85))</f>
        <v/>
      </c>
      <c r="G89" s="60" t="n"/>
      <c r="H89" s="71" t="inlineStr">
        <is>
          <t>LT Gross</t>
        </is>
      </c>
      <c r="I89" s="73">
        <f>SUMIFS('Trading History'!$U$4:$U1007, 'Trading History'!$S$4:$S1007, CONCAT("&gt;", $A85))</f>
        <v/>
      </c>
      <c r="J89" s="60" t="n"/>
      <c r="K89" s="72" t="inlineStr">
        <is>
          <t>Gross</t>
        </is>
      </c>
      <c r="L89" s="73">
        <f>SUMIFS('Trading History'!$AA$4:$AA1007, 'Trading History'!$Y$4:$Y1007,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  <row r="1006">
      <c r="A1006" s="56" t="n"/>
      <c r="B1006" s="56" t="n"/>
      <c r="C1006" s="56" t="n"/>
      <c r="D1006" s="56" t="n"/>
      <c r="E1006" s="56" t="n"/>
      <c r="F1006" s="56" t="n"/>
      <c r="G1006" s="56" t="n"/>
      <c r="H1006" s="56" t="n"/>
      <c r="I1006" s="56" t="n"/>
      <c r="J1006" s="56" t="n"/>
      <c r="K1006" s="56" t="n"/>
      <c r="L1006" s="56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6" t="n"/>
      <c r="X1006" s="56" t="n"/>
      <c r="Y1006" s="56" t="n"/>
    </row>
    <row r="1007">
      <c r="A1007" s="56" t="n"/>
      <c r="B1007" s="56" t="n"/>
      <c r="C1007" s="56" t="n"/>
      <c r="D1007" s="56" t="n"/>
      <c r="E1007" s="56" t="n"/>
      <c r="F1007" s="56" t="n"/>
      <c r="G1007" s="56" t="n"/>
      <c r="H1007" s="56" t="n"/>
      <c r="I1007" s="56" t="n"/>
      <c r="J1007" s="56" t="n"/>
      <c r="K1007" s="56" t="n"/>
      <c r="L1007" s="56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6" t="n"/>
      <c r="X1007" s="56" t="n"/>
      <c r="Y1007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2026-02-07T07:12:19Z</dcterms:created>
  <dcterms:modified xmlns:dcterms="http://purl.org/dc/terms/" xmlns:xsi="http://www.w3.org/2001/XMLSchema-instance" xsi:type="dcterms:W3CDTF">2026-02-12T00:08:52Z</dcterms:modified>
</cp:coreProperties>
</file>