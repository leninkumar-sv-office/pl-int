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4B42865_048A_44B3_955D_573BD2C543E0_.wvu.FilterData" localSheetId="0" hidden="1">'Trading History'!$A$4:$AO$44</definedName>
    <definedName name="_xlnm._FilterDatabase" localSheetId="0" hidden="1">'Trading History'!$A$4:$AO$44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7" t="n">
        <v>46049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440.35</v>
      </c>
      <c r="F5" t="n">
        <v>2212.75</v>
      </c>
      <c r="G5" t="inlineStr">
        <is>
          <t>CN#252611030591</t>
        </is>
      </c>
      <c r="I5" t="n">
        <v>11</v>
      </c>
      <c r="J5">
        <f>Index!$C$2</f>
        <v/>
      </c>
    </row>
    <row r="6">
      <c r="A6" s="87" t="n">
        <v>45996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409.3</v>
      </c>
      <c r="F6" s="0" t="n">
        <v>2056.75</v>
      </c>
      <c r="G6" s="0" t="inlineStr">
        <is>
          <t>CN#252609039305</t>
        </is>
      </c>
      <c r="I6" s="0" t="n">
        <v>10.25</v>
      </c>
      <c r="J6" s="0">
        <f>Index!$C$2</f>
        <v/>
      </c>
    </row>
    <row r="7">
      <c r="A7" s="87" t="n">
        <v>45957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421.25</v>
      </c>
      <c r="F7" s="0" t="n">
        <v>4233.6</v>
      </c>
      <c r="G7" s="0" t="inlineStr">
        <is>
          <t>CN#252607382790</t>
        </is>
      </c>
      <c r="I7" s="0" t="n">
        <v>21.1</v>
      </c>
      <c r="J7" s="0">
        <f>Index!$C$2</f>
        <v/>
      </c>
    </row>
    <row r="8">
      <c r="A8" s="38" t="n">
        <v>45950</v>
      </c>
      <c r="B8" s="39" t="inlineStr">
        <is>
          <t>NSE</t>
        </is>
      </c>
      <c r="C8" s="39" t="inlineStr">
        <is>
          <t>Buy</t>
        </is>
      </c>
      <c r="D8" s="40" t="n">
        <v>20</v>
      </c>
      <c r="E8" s="41" t="n">
        <v>410.49</v>
      </c>
      <c r="F8" s="41">
        <f>(D5*E5)</f>
        <v/>
      </c>
      <c r="G8" s="39" t="inlineStr">
        <is>
          <t>~</t>
        </is>
      </c>
      <c r="H8" s="40" t="n"/>
      <c r="I8" s="40" t="n"/>
      <c r="J8" s="42">
        <f>Index!$C$2</f>
        <v/>
      </c>
      <c r="K8" s="43">
        <f>IF(AND( C5="Buy", ISBLANK(W5), B5&lt;&gt;"DIV"), L5/sum(F5:I5), "")</f>
        <v/>
      </c>
      <c r="L8" s="44">
        <f>IF(AND( C5="Buy", ISBLANK(W5), B5&lt;&gt;"DIV"), (1-Index!$F$2*2)*((J5*D5)-(E5*D5)), "")</f>
        <v/>
      </c>
      <c r="M8" s="44">
        <f>IF(AND( C5="Buy", ISBLANK(W5), B5&lt;&gt;"DIV"), ((E5*D5)+L5), "")</f>
        <v/>
      </c>
      <c r="N8" s="45">
        <f>IF(AND( C5="Buy", ISBLANK(W5), B5&lt;&gt;"DIV"), D5, "")</f>
        <v/>
      </c>
      <c r="O8" s="43">
        <f>IF(AND( C5="Buy", ISBLANK(W5), B5&lt;&gt;"DIV", NOW()-A5 &lt; 365), P5/sum(F5:I5), "")</f>
        <v/>
      </c>
      <c r="P8" s="44">
        <f>IF(AND( C5="Buy", ISBLANK(W5), B5&lt;&gt;"DIV", NOW()-A5 &lt; 365), (1-Index!$F$2*2)*((J5*D5)-(E5*D5)), "")</f>
        <v/>
      </c>
      <c r="Q8" s="44">
        <f>IF(AND( C5="Buy", ISBLANK(W5), B5&lt;&gt;"DIV", NOW()-A5 &lt; 365), ((E5*D5)+P5), "")</f>
        <v/>
      </c>
      <c r="R8" s="44">
        <f>IF(AND( C5="Buy", ISBLANK(W5), B5&lt;&gt;"DIV", NOW()-A5 &lt; 365), D5, "")</f>
        <v/>
      </c>
      <c r="S8" s="46">
        <f>IF(AND( C5="Buy", ISBLANK(W5), B5&lt;&gt;"DIV", NOW()-A5 &gt; 365), T5/sum(F5:I5), "")</f>
        <v/>
      </c>
      <c r="T8" s="47">
        <f>IF(AND( C5="Buy", ISBLANK(W5), B5&lt;&gt;"DIV", NOW()-A5 &gt; 365), (1-Index!$F$2*2)*((J5*D5)-(E5*D5)), "")</f>
        <v/>
      </c>
      <c r="U8" s="47">
        <f>IF(AND( C5="Buy", ISBLANK(W5), B5&lt;&gt;"DIV", NOW()-A5 &gt; 365), ((E5*D5)+T5), "")</f>
        <v/>
      </c>
      <c r="V8" s="47">
        <f>IF(AND( C5="Buy", ISBLANK(W5), B5&lt;&gt;"DIV", NOW()-A5 &gt; 365), D5, "")</f>
        <v/>
      </c>
      <c r="W8" s="47" t="n"/>
      <c r="X8" s="47" t="n"/>
      <c r="Y8" s="46">
        <f>IF(AND( C5="Buy", W5&lt;&gt;"", AA5&lt;&gt;"", B5&lt;&gt;"DIV"), Z5/sum(F5:I5), "")</f>
        <v/>
      </c>
      <c r="Z8" s="47" t="n"/>
      <c r="AA8" s="47" t="n"/>
      <c r="AB8" s="48" t="n"/>
      <c r="AC8" s="44">
        <f>if(B5="DIV", F5,"")</f>
        <v/>
      </c>
      <c r="AD8" s="49" t="n"/>
    </row>
    <row r="9">
      <c r="A9" s="38" t="n">
        <v>45947</v>
      </c>
      <c r="B9" s="39" t="inlineStr">
        <is>
          <t>NSE</t>
        </is>
      </c>
      <c r="C9" s="39" t="inlineStr">
        <is>
          <t>Buy</t>
        </is>
      </c>
      <c r="D9" s="40" t="n">
        <v>10</v>
      </c>
      <c r="E9" s="41" t="n">
        <v>413.61</v>
      </c>
      <c r="F9" s="41">
        <f>(D6*E6)+I6</f>
        <v/>
      </c>
      <c r="G9" s="39" t="inlineStr">
        <is>
          <t>~</t>
        </is>
      </c>
      <c r="H9" s="40" t="n"/>
      <c r="I9" s="40" t="n"/>
      <c r="J9" s="42">
        <f>Index!$C$2</f>
        <v/>
      </c>
      <c r="K9" s="43">
        <f>IF(AND( C6="Buy", ISBLANK(W6), B6&lt;&gt;"DIV"), L6/sum(F6:I6), "")</f>
        <v/>
      </c>
      <c r="L9" s="44">
        <f>IF(AND( C6="Buy", ISBLANK(W6), B6&lt;&gt;"DIV"), (1-Index!$F$2*2)*((J6*D6)-(E6*D6)), "")</f>
        <v/>
      </c>
      <c r="M9" s="44">
        <f>IF(AND( C6="Buy", ISBLANK(W6), B6&lt;&gt;"DIV"), ((E6*D6)+L6), "")</f>
        <v/>
      </c>
      <c r="N9" s="45">
        <f>IF(AND( C6="Buy", ISBLANK(W6), B6&lt;&gt;"DIV"), D6, "")</f>
        <v/>
      </c>
      <c r="O9" s="43">
        <f>IF(AND( C6="Buy", ISBLANK(W6), B6&lt;&gt;"DIV", NOW()-A6 &lt; 365), P6/sum(F6:I6), "")</f>
        <v/>
      </c>
      <c r="P9" s="44">
        <f>IF(AND( C6="Buy", ISBLANK(W6), B6&lt;&gt;"DIV", NOW()-A6 &lt; 365), (1-Index!$F$2*2)*((J6*D6)-(E6*D6)), "")</f>
        <v/>
      </c>
      <c r="Q9" s="44">
        <f>IF(AND( C6="Buy", ISBLANK(W6), B6&lt;&gt;"DIV", NOW()-A6 &lt; 365), ((E6*D6)+P6), "")</f>
        <v/>
      </c>
      <c r="R9" s="44">
        <f>IF(AND( C6="Buy", ISBLANK(W6), B6&lt;&gt;"DIV", NOW()-A6 &lt; 365), D6, "")</f>
        <v/>
      </c>
      <c r="S9" s="46">
        <f>IF(AND( C6="Buy", ISBLANK(W6), B6&lt;&gt;"DIV", NOW()-A6 &gt; 365), T6/sum(F6:I6), "")</f>
        <v/>
      </c>
      <c r="T9" s="47">
        <f>IF(AND( C6="Buy", ISBLANK(W6), B6&lt;&gt;"DIV", NOW()-A6 &gt; 365), (1-Index!$F$2*2)*((J6*D6)-(E6*D6)), "")</f>
        <v/>
      </c>
      <c r="U9" s="47">
        <f>IF(AND( C6="Buy", ISBLANK(W6), B6&lt;&gt;"DIV", NOW()-A6 &gt; 365), ((E6*D6)+T6), "")</f>
        <v/>
      </c>
      <c r="V9" s="47">
        <f>IF(AND( C6="Buy", ISBLANK(W6), B6&lt;&gt;"DIV", NOW()-A6 &gt; 365), D6, "")</f>
        <v/>
      </c>
      <c r="W9" s="47" t="n"/>
      <c r="X9" s="47" t="n"/>
      <c r="Y9" s="46">
        <f>IF(AND( C6="Buy", W6&lt;&gt;"", AA6&lt;&gt;"", B6&lt;&gt;"DIV"), Z6/sum(F6:I6), "")</f>
        <v/>
      </c>
      <c r="Z9" s="47" t="n"/>
      <c r="AA9" s="47" t="n"/>
      <c r="AB9" s="48" t="n"/>
      <c r="AC9" s="44">
        <f>if(B6="DIV", F6,"")</f>
        <v/>
      </c>
      <c r="AD9" s="49" t="n"/>
    </row>
    <row r="10">
      <c r="A10" s="38" t="n">
        <v>45924</v>
      </c>
      <c r="B10" s="39" t="inlineStr">
        <is>
          <t>NSE</t>
        </is>
      </c>
      <c r="C10" s="39" t="inlineStr">
        <is>
          <t>Buy</t>
        </is>
      </c>
      <c r="D10" s="40" t="n">
        <v>20</v>
      </c>
      <c r="E10" s="41" t="n">
        <v>407.88</v>
      </c>
      <c r="F10" s="41">
        <f>(D7*E7)+I7</f>
        <v/>
      </c>
      <c r="G10" s="39" t="inlineStr">
        <is>
          <t>~</t>
        </is>
      </c>
      <c r="H10" s="40" t="n"/>
      <c r="I10" s="40" t="n"/>
      <c r="J10" s="42">
        <f>Index!$C$2</f>
        <v/>
      </c>
      <c r="K10" s="43">
        <f>IF(AND( C7="Buy", ISBLANK(W7), B7&lt;&gt;"DIV"), L7/sum(F7:I7), "")</f>
        <v/>
      </c>
      <c r="L10" s="44">
        <f>IF(AND( C7="Buy", ISBLANK(W7), B7&lt;&gt;"DIV"), (1-Index!$F$2*2)*((J7*D7)-(E7*D7)), "")</f>
        <v/>
      </c>
      <c r="M10" s="44">
        <f>IF(AND( C7="Buy", ISBLANK(W7), B7&lt;&gt;"DIV"), ((E7*D7)+L7), "")</f>
        <v/>
      </c>
      <c r="N10" s="45">
        <f>IF(AND( C7="Buy", ISBLANK(W7), B7&lt;&gt;"DIV"), D7, "")</f>
        <v/>
      </c>
      <c r="O10" s="43">
        <f>IF(AND( C7="Buy", ISBLANK(W7), B7&lt;&gt;"DIV", NOW()-A7 &lt; 365), P7/sum(F7:I7), "")</f>
        <v/>
      </c>
      <c r="P10" s="44">
        <f>IF(AND( C7="Buy", ISBLANK(W7), B7&lt;&gt;"DIV", NOW()-A7 &lt; 365), (1-Index!$F$2*2)*((J7*D7)-(E7*D7)), "")</f>
        <v/>
      </c>
      <c r="Q10" s="44">
        <f>IF(AND( C7="Buy", ISBLANK(W7), B7&lt;&gt;"DIV", NOW()-A7 &lt; 365), ((E7*D7)+P7), "")</f>
        <v/>
      </c>
      <c r="R10" s="44">
        <f>IF(AND( C7="Buy", ISBLANK(W7), B7&lt;&gt;"DIV", NOW()-A7 &lt; 365), D7, "")</f>
        <v/>
      </c>
      <c r="S10" s="46">
        <f>IF(AND( C7="Buy", ISBLANK(W7), B7&lt;&gt;"DIV", NOW()-A7 &gt; 365), T7/sum(F7:I7), "")</f>
        <v/>
      </c>
      <c r="T10" s="47">
        <f>IF(AND( C7="Buy", ISBLANK(W7), B7&lt;&gt;"DIV", NOW()-A7 &gt; 365), (1-Index!$F$2*2)*((J7*D7)-(E7*D7)), "")</f>
        <v/>
      </c>
      <c r="U10" s="47">
        <f>IF(AND( C7="Buy", ISBLANK(W7), B7&lt;&gt;"DIV", NOW()-A7 &gt; 365), ((E7*D7)+T7), "")</f>
        <v/>
      </c>
      <c r="V10" s="47">
        <f>IF(AND( C7="Buy", ISBLANK(W7), B7&lt;&gt;"DIV", NOW()-A7 &gt; 365), D7, "")</f>
        <v/>
      </c>
      <c r="W10" s="47" t="n"/>
      <c r="X10" s="47" t="n"/>
      <c r="Y10" s="46">
        <f>IF(AND( C7="Buy", W7&lt;&gt;"", AA7&lt;&gt;"", B7&lt;&gt;"DIV"), Z7/sum(F7:I7), "")</f>
        <v/>
      </c>
      <c r="Z10" s="47" t="n"/>
      <c r="AA10" s="47" t="n"/>
      <c r="AB10" s="48" t="n"/>
      <c r="AC10" s="44">
        <f>if(B7="DIV", F7,"")</f>
        <v/>
      </c>
      <c r="AD10" s="49" t="n"/>
    </row>
    <row r="11">
      <c r="A11" s="38" t="n">
        <v>45904</v>
      </c>
      <c r="B11" s="39" t="inlineStr">
        <is>
          <t>DIV</t>
        </is>
      </c>
      <c r="C11" s="39" t="inlineStr">
        <is>
          <t>Buy</t>
        </is>
      </c>
      <c r="D11" s="40" t="n">
        <v>50</v>
      </c>
      <c r="E11" s="41" t="n">
        <v>1.5</v>
      </c>
      <c r="F11" s="41" t="n">
        <v>75</v>
      </c>
      <c r="G11" s="39" t="inlineStr">
        <is>
          <t>Final-Dividend of Rs.1.5000/- per share on Ex-Date: 04-SEP-2025</t>
        </is>
      </c>
      <c r="H11" s="40" t="n">
        <v>0</v>
      </c>
      <c r="I11" s="40" t="n">
        <v>0</v>
      </c>
      <c r="J11" s="42">
        <f>Index!$C$2</f>
        <v/>
      </c>
      <c r="K11" s="43">
        <f>IF(AND( C8="Buy", ISBLANK(W8), B8&lt;&gt;"DIV"), L8/sum(F8:I8), "")</f>
        <v/>
      </c>
      <c r="L11" s="44">
        <f>IF(AND( C8="Buy", ISBLANK(W8), B8&lt;&gt;"DIV"), (1-Index!$F$2*2)*((J8*D8)-(E8*D8)), "")</f>
        <v/>
      </c>
      <c r="M11" s="44">
        <f>IF(AND( C8="Buy", ISBLANK(W8), B8&lt;&gt;"DIV"), ((E8*D8)+L8), "")</f>
        <v/>
      </c>
      <c r="N11" s="45">
        <f>IF(AND( C8="Buy", ISBLANK(W8), B8&lt;&gt;"DIV"), D8, "")</f>
        <v/>
      </c>
      <c r="O11" s="43">
        <f>IF(AND( C8="Buy", ISBLANK(W8), B8&lt;&gt;"DIV", NOW()-A8 &lt; 365), P8/sum(F8:I8), "")</f>
        <v/>
      </c>
      <c r="P11" s="44">
        <f>IF(AND( C8="Buy", ISBLANK(W8), B8&lt;&gt;"DIV", NOW()-A8 &lt; 365), (1-Index!$F$2*2)*((J8*D8)-(E8*D8)), "")</f>
        <v/>
      </c>
      <c r="Q11" s="44">
        <f>IF(AND( C8="Buy", ISBLANK(W8), B8&lt;&gt;"DIV", NOW()-A8 &lt; 365), ((E8*D8)+P8), "")</f>
        <v/>
      </c>
      <c r="R11" s="44">
        <f>IF(AND( C8="Buy", ISBLANK(W8), B8&lt;&gt;"DIV", NOW()-A8 &lt; 365), D8, "")</f>
        <v/>
      </c>
      <c r="S11" s="46">
        <f>IF(AND( C8="Buy", ISBLANK(W8), B8&lt;&gt;"DIV", NOW()-A8 &gt; 365), T8/sum(F8:I8), "")</f>
        <v/>
      </c>
      <c r="T11" s="47">
        <f>IF(AND( C8="Buy", ISBLANK(W8), B8&lt;&gt;"DIV", NOW()-A8 &gt; 365), (1-Index!$F$2*2)*((J8*D8)-(E8*D8)), "")</f>
        <v/>
      </c>
      <c r="U11" s="47">
        <f>IF(AND( C8="Buy", ISBLANK(W8), B8&lt;&gt;"DIV", NOW()-A8 &gt; 365), ((E8*D8)+T8), "")</f>
        <v/>
      </c>
      <c r="V11" s="47">
        <f>IF(AND( C8="Buy", ISBLANK(W8), B8&lt;&gt;"DIV", NOW()-A8 &gt; 365), D8, "")</f>
        <v/>
      </c>
      <c r="W11" s="47" t="n"/>
      <c r="X11" s="47" t="n"/>
      <c r="Y11" s="46">
        <f>IF(AND( C8="Buy", W8&lt;&gt;"", AA8&lt;&gt;"", B8&lt;&gt;"DIV"), Z8/sum(F8:I8), "")</f>
        <v/>
      </c>
      <c r="Z11" s="47" t="n"/>
      <c r="AA11" s="47" t="n"/>
      <c r="AB11" s="48" t="n"/>
      <c r="AC11" s="44">
        <f>if(B8="DIV", F8,"")</f>
        <v/>
      </c>
      <c r="AD11" s="49" t="n"/>
    </row>
    <row r="12">
      <c r="A12" s="38" t="n">
        <v>45855</v>
      </c>
      <c r="B12" s="39" t="inlineStr">
        <is>
          <t>NSE</t>
        </is>
      </c>
      <c r="C12" s="39" t="inlineStr">
        <is>
          <t>Buy</t>
        </is>
      </c>
      <c r="D12" s="40" t="n">
        <v>20</v>
      </c>
      <c r="E12" s="41" t="n">
        <v>451.08</v>
      </c>
      <c r="F12" s="41" t="n">
        <v>9021.52</v>
      </c>
      <c r="G12" s="39" t="inlineStr">
        <is>
          <t>~</t>
        </is>
      </c>
      <c r="H12" s="40" t="n">
        <v>8.960000000000001</v>
      </c>
      <c r="I12" s="40" t="n">
        <v>54.56</v>
      </c>
      <c r="J12" s="42">
        <f>Index!$C$2</f>
        <v/>
      </c>
      <c r="K12" s="43">
        <f>IF(AND( C9="Buy", ISBLANK(W9), B9&lt;&gt;"DIV"), L9/sum(F9:I9), "")</f>
        <v/>
      </c>
      <c r="L12" s="44">
        <f>IF(AND( C9="Buy", ISBLANK(W9), B9&lt;&gt;"DIV"), (1-Index!$F$2*2)*((J9*D9)-(E9*D9)), "")</f>
        <v/>
      </c>
      <c r="M12" s="44">
        <f>IF(AND( C9="Buy", ISBLANK(W9), B9&lt;&gt;"DIV"), ((E9*D9)+L9), "")</f>
        <v/>
      </c>
      <c r="N12" s="45">
        <f>IF(AND( C9="Buy", ISBLANK(W9), B9&lt;&gt;"DIV"), D9, "")</f>
        <v/>
      </c>
      <c r="O12" s="43">
        <f>IF(AND( C9="Buy", ISBLANK(W9), B9&lt;&gt;"DIV", NOW()-A9 &lt; 365), P9/sum(F9:I9), "")</f>
        <v/>
      </c>
      <c r="P12" s="44">
        <f>IF(AND( C9="Buy", ISBLANK(W9), B9&lt;&gt;"DIV", NOW()-A9 &lt; 365), (1-Index!$F$2*2)*((J9*D9)-(E9*D9)), "")</f>
        <v/>
      </c>
      <c r="Q12" s="44">
        <f>IF(AND( C9="Buy", ISBLANK(W9), B9&lt;&gt;"DIV", NOW()-A9 &lt; 365), ((E9*D9)+P9), "")</f>
        <v/>
      </c>
      <c r="R12" s="44">
        <f>IF(AND( C9="Buy", ISBLANK(W9), B9&lt;&gt;"DIV", NOW()-A9 &lt; 365), D9, "")</f>
        <v/>
      </c>
      <c r="S12" s="46">
        <f>IF(AND( C9="Buy", ISBLANK(W9), B9&lt;&gt;"DIV", NOW()-A9 &gt; 365), T9/sum(F9:I9), "")</f>
        <v/>
      </c>
      <c r="T12" s="47">
        <f>IF(AND( C9="Buy", ISBLANK(W9), B9&lt;&gt;"DIV", NOW()-A9 &gt; 365), (1-Index!$F$2*2)*((J9*D9)-(E9*D9)), "")</f>
        <v/>
      </c>
      <c r="U12" s="47">
        <f>IF(AND( C9="Buy", ISBLANK(W9), B9&lt;&gt;"DIV", NOW()-A9 &gt; 365), ((E9*D9)+T9), "")</f>
        <v/>
      </c>
      <c r="V12" s="47">
        <f>IF(AND( C9="Buy", ISBLANK(W9), B9&lt;&gt;"DIV", NOW()-A9 &gt; 365), D9, "")</f>
        <v/>
      </c>
      <c r="W12" s="47" t="n"/>
      <c r="X12" s="47" t="n"/>
      <c r="Y12" s="46">
        <f>IF(AND( C9="Buy", W9&lt;&gt;"", AA9&lt;&gt;"", B9&lt;&gt;"DIV"), Z9/sum(F9:I9), "")</f>
        <v/>
      </c>
      <c r="Z12" s="47" t="n"/>
      <c r="AA12" s="47" t="n"/>
      <c r="AB12" s="48" t="n"/>
      <c r="AC12" s="44">
        <f>if(B9="DIV", F9,"")</f>
        <v/>
      </c>
      <c r="AD12" s="49" t="n"/>
    </row>
    <row r="13">
      <c r="A13" s="38" t="n">
        <v>45811</v>
      </c>
      <c r="B13" s="39" t="inlineStr">
        <is>
          <t>NSE</t>
        </is>
      </c>
      <c r="C13" s="39" t="inlineStr">
        <is>
          <t>Buy</t>
        </is>
      </c>
      <c r="D13" s="40" t="n">
        <v>3</v>
      </c>
      <c r="E13" s="41" t="n">
        <v>425.19</v>
      </c>
      <c r="F13" s="41" t="n">
        <v>1275.57</v>
      </c>
      <c r="G13" s="39" t="inlineStr">
        <is>
          <t>~</t>
        </is>
      </c>
      <c r="H13" s="40" t="n">
        <v>1.27</v>
      </c>
      <c r="I13" s="40" t="n">
        <v>7.7</v>
      </c>
      <c r="J13" s="42">
        <f>Index!$C$2</f>
        <v/>
      </c>
      <c r="K13" s="43">
        <f>IF(AND( C10="Buy", ISBLANK(W10), B10&lt;&gt;"DIV"), L10/sum(F10:I10), "")</f>
        <v/>
      </c>
      <c r="L13" s="44">
        <f>IF(AND( C10="Buy", ISBLANK(W10), B10&lt;&gt;"DIV"), (1-Index!$F$2*2)*((J10*D10)-(E10*D10)), "")</f>
        <v/>
      </c>
      <c r="M13" s="44">
        <f>IF(AND( C10="Buy", ISBLANK(W10), B10&lt;&gt;"DIV"), ((E10*D10)+L10), "")</f>
        <v/>
      </c>
      <c r="N13" s="45">
        <f>IF(AND( C10="Buy", ISBLANK(W10), B10&lt;&gt;"DIV"), D10, "")</f>
        <v/>
      </c>
      <c r="O13" s="43">
        <f>IF(AND( C10="Buy", ISBLANK(W10), B10&lt;&gt;"DIV", NOW()-A10 &lt; 365), P10/sum(F10:I10), "")</f>
        <v/>
      </c>
      <c r="P13" s="44">
        <f>IF(AND( C10="Buy", ISBLANK(W10), B10&lt;&gt;"DIV", NOW()-A10 &lt; 365), (1-Index!$F$2*2)*((J10*D10)-(E10*D10)), "")</f>
        <v/>
      </c>
      <c r="Q13" s="44">
        <f>IF(AND( C10="Buy", ISBLANK(W10), B10&lt;&gt;"DIV", NOW()-A10 &lt; 365), ((E10*D10)+P10), "")</f>
        <v/>
      </c>
      <c r="R13" s="44">
        <f>IF(AND( C10="Buy", ISBLANK(W10), B10&lt;&gt;"DIV", NOW()-A10 &lt; 365), D10, "")</f>
        <v/>
      </c>
      <c r="S13" s="46">
        <f>IF(AND( C10="Buy", ISBLANK(W10), B10&lt;&gt;"DIV", NOW()-A10 &gt; 365), T10/sum(F10:I10), "")</f>
        <v/>
      </c>
      <c r="T13" s="47">
        <f>IF(AND( C10="Buy", ISBLANK(W10), B10&lt;&gt;"DIV", NOW()-A10 &gt; 365), (1-Index!$F$2*2)*((J10*D10)-(E10*D10)), "")</f>
        <v/>
      </c>
      <c r="U13" s="47">
        <f>IF(AND( C10="Buy", ISBLANK(W10), B10&lt;&gt;"DIV", NOW()-A10 &gt; 365), ((E10*D10)+T10), "")</f>
        <v/>
      </c>
      <c r="V13" s="47">
        <f>IF(AND( C10="Buy", ISBLANK(W10), B10&lt;&gt;"DIV", NOW()-A10 &gt; 365), D10, "")</f>
        <v/>
      </c>
      <c r="W13" s="47" t="n"/>
      <c r="X13" s="47" t="n"/>
      <c r="Y13" s="46">
        <f>IF(AND( C10="Buy", W10&lt;&gt;"", AA10&lt;&gt;"", B10&lt;&gt;"DIV"), Z10/sum(F10:I10), "")</f>
        <v/>
      </c>
      <c r="Z13" s="47" t="n"/>
      <c r="AA13" s="47" t="n"/>
      <c r="AB13" s="48" t="n"/>
      <c r="AC13" s="44">
        <f>if(B10="DIV", F10,"")</f>
        <v/>
      </c>
      <c r="AD13" s="49" t="n"/>
    </row>
    <row r="14">
      <c r="A14" s="38" t="n">
        <v>45811</v>
      </c>
      <c r="B14" s="39" t="inlineStr">
        <is>
          <t>NSE</t>
        </is>
      </c>
      <c r="C14" s="39" t="inlineStr">
        <is>
          <t>Buy</t>
        </is>
      </c>
      <c r="D14" s="40" t="n">
        <v>2</v>
      </c>
      <c r="E14" s="41" t="n">
        <v>425.19</v>
      </c>
      <c r="F14" s="41" t="n">
        <v>850.38</v>
      </c>
      <c r="G14" s="39" t="inlineStr">
        <is>
          <t>~</t>
        </is>
      </c>
      <c r="H14" s="40" t="n">
        <v>0.84</v>
      </c>
      <c r="I14" s="40" t="n">
        <v>5.14</v>
      </c>
      <c r="J14" s="42">
        <f>Index!$C$2</f>
        <v/>
      </c>
      <c r="K14" s="43">
        <f>IF(AND( C11="Buy", ISBLANK(W11), B11&lt;&gt;"DIV"), L11/sum(F11:I11), "")</f>
        <v/>
      </c>
      <c r="L14" s="44">
        <f>IF(AND( C11="Buy", ISBLANK(W11), B11&lt;&gt;"DIV"), (1-Index!$F$2*2)*((J11*D11)-(E11*D11)), "")</f>
        <v/>
      </c>
      <c r="M14" s="44">
        <f>IF(AND( C11="Buy", ISBLANK(W11), B11&lt;&gt;"DIV"), ((E11*D11)+L11), "")</f>
        <v/>
      </c>
      <c r="N14" s="45">
        <f>IF(AND( C11="Buy", ISBLANK(W11), B11&lt;&gt;"DIV"), D11, "")</f>
        <v/>
      </c>
      <c r="O14" s="43">
        <f>IF(AND( C11="Buy", ISBLANK(W11), B11&lt;&gt;"DIV", NOW()-A11 &lt; 365), P11/sum(F11:I11), "")</f>
        <v/>
      </c>
      <c r="P14" s="44">
        <f>IF(AND( C11="Buy", ISBLANK(W11), B11&lt;&gt;"DIV", NOW()-A11 &lt; 365), (1-Index!$F$2*2)*((J11*D11)-(E11*D11)), "")</f>
        <v/>
      </c>
      <c r="Q14" s="44">
        <f>IF(AND( C11="Buy", ISBLANK(W11), B11&lt;&gt;"DIV", NOW()-A11 &lt; 365), ((E11*D11)+P11), "")</f>
        <v/>
      </c>
      <c r="R14" s="44">
        <f>IF(AND( C11="Buy", ISBLANK(W11), B11&lt;&gt;"DIV", NOW()-A11 &lt; 365), D11, "")</f>
        <v/>
      </c>
      <c r="S14" s="46">
        <f>IF(AND( C11="Buy", ISBLANK(W11), B11&lt;&gt;"DIV", NOW()-A11 &gt; 365), T11/sum(F11:I11), "")</f>
        <v/>
      </c>
      <c r="T14" s="47">
        <f>IF(AND( C11="Buy", ISBLANK(W11), B11&lt;&gt;"DIV", NOW()-A11 &gt; 365), (1-Index!$F$2*2)*((J11*D11)-(E11*D11)), "")</f>
        <v/>
      </c>
      <c r="U14" s="47">
        <f>IF(AND( C11="Buy", ISBLANK(W11), B11&lt;&gt;"DIV", NOW()-A11 &gt; 365), ((E11*D11)+T11), "")</f>
        <v/>
      </c>
      <c r="V14" s="47">
        <f>IF(AND( C11="Buy", ISBLANK(W11), B11&lt;&gt;"DIV", NOW()-A11 &gt; 365), D11, "")</f>
        <v/>
      </c>
      <c r="W14" s="47" t="n"/>
      <c r="X14" s="47" t="n"/>
      <c r="Y14" s="46">
        <f>IF(AND( C11="Buy", W11&lt;&gt;"", AA11&lt;&gt;"", B11&lt;&gt;"DIV"), Z11/sum(F11:I11), "")</f>
        <v/>
      </c>
      <c r="Z14" s="47" t="n"/>
      <c r="AA14" s="47" t="n"/>
      <c r="AB14" s="48" t="n"/>
      <c r="AC14" s="44">
        <f>if(B11="DIV", F11,"")</f>
        <v/>
      </c>
      <c r="AD14" s="49" t="n"/>
    </row>
    <row r="15">
      <c r="A15" s="38" t="n">
        <v>45811</v>
      </c>
      <c r="B15" s="39" t="inlineStr">
        <is>
          <t>NSE</t>
        </is>
      </c>
      <c r="C15" s="39" t="inlineStr">
        <is>
          <t>Buy</t>
        </is>
      </c>
      <c r="D15" s="40" t="n">
        <v>5</v>
      </c>
      <c r="E15" s="41" t="n">
        <v>425.19</v>
      </c>
      <c r="F15" s="41" t="n">
        <v>2125.97</v>
      </c>
      <c r="G15" s="39" t="inlineStr">
        <is>
          <t>~</t>
        </is>
      </c>
      <c r="H15" s="40" t="n">
        <v>2.11</v>
      </c>
      <c r="I15" s="40" t="n">
        <v>12.86</v>
      </c>
      <c r="J15" s="42">
        <f>Index!$C$2</f>
        <v/>
      </c>
      <c r="K15" s="43">
        <f>IF(AND( C12="Buy", ISBLANK(W12), B12&lt;&gt;"DIV"), L12/sum(F12:I12), "")</f>
        <v/>
      </c>
      <c r="L15" s="44">
        <f>IF(AND( C12="Buy", ISBLANK(W12), B12&lt;&gt;"DIV"), (1-Index!$F$2*2)*((J12*D12)-(E12*D12)), "")</f>
        <v/>
      </c>
      <c r="M15" s="44">
        <f>IF(AND( C12="Buy", ISBLANK(W12), B12&lt;&gt;"DIV"), ((E12*D12)+L12), "")</f>
        <v/>
      </c>
      <c r="N15" s="45">
        <f>IF(AND( C12="Buy", ISBLANK(W12), B12&lt;&gt;"DIV"), D12, "")</f>
        <v/>
      </c>
      <c r="O15" s="43">
        <f>IF(AND( C12="Buy", ISBLANK(W12), B12&lt;&gt;"DIV", NOW()-A12 &lt; 365), P12/sum(F12:I12), "")</f>
        <v/>
      </c>
      <c r="P15" s="44">
        <f>IF(AND( C12="Buy", ISBLANK(W12), B12&lt;&gt;"DIV", NOW()-A12 &lt; 365), (1-Index!$F$2*2)*((J12*D12)-(E12*D12)), "")</f>
        <v/>
      </c>
      <c r="Q15" s="44">
        <f>IF(AND( C12="Buy", ISBLANK(W12), B12&lt;&gt;"DIV", NOW()-A12 &lt; 365), ((E12*D12)+P12), "")</f>
        <v/>
      </c>
      <c r="R15" s="44">
        <f>IF(AND( C12="Buy", ISBLANK(W12), B12&lt;&gt;"DIV", NOW()-A12 &lt; 365), D12, "")</f>
        <v/>
      </c>
      <c r="S15" s="46">
        <f>IF(AND( C12="Buy", ISBLANK(W12), B12&lt;&gt;"DIV", NOW()-A12 &gt; 365), T12/sum(F12:I12), "")</f>
        <v/>
      </c>
      <c r="T15" s="47">
        <f>IF(AND( C12="Buy", ISBLANK(W12), B12&lt;&gt;"DIV", NOW()-A12 &gt; 365), (1-Index!$F$2*2)*((J12*D12)-(E12*D12)), "")</f>
        <v/>
      </c>
      <c r="U15" s="47">
        <f>IF(AND( C12="Buy", ISBLANK(W12), B12&lt;&gt;"DIV", NOW()-A12 &gt; 365), ((E12*D12)+T12), "")</f>
        <v/>
      </c>
      <c r="V15" s="47">
        <f>IF(AND( C12="Buy", ISBLANK(W12), B12&lt;&gt;"DIV", NOW()-A12 &gt; 365), D12, "")</f>
        <v/>
      </c>
      <c r="W15" s="47" t="n"/>
      <c r="X15" s="47" t="n"/>
      <c r="Y15" s="46">
        <f>IF(AND( C12="Buy", W12&lt;&gt;"", AA12&lt;&gt;"", B12&lt;&gt;"DIV"), Z12/sum(F12:I12), "")</f>
        <v/>
      </c>
      <c r="Z15" s="47" t="n"/>
      <c r="AA15" s="47" t="n"/>
      <c r="AB15" s="48" t="n"/>
      <c r="AC15" s="44">
        <f>if(B12="DIV", F12,"")</f>
        <v/>
      </c>
      <c r="AD15" s="49" t="n"/>
    </row>
    <row r="16">
      <c r="A16" s="50" t="n">
        <v>45705</v>
      </c>
      <c r="B16" s="51" t="inlineStr">
        <is>
          <t>NSE</t>
        </is>
      </c>
      <c r="C16" s="51" t="inlineStr">
        <is>
          <t>Buy</t>
        </is>
      </c>
      <c r="D16" s="52" t="n">
        <v>12</v>
      </c>
      <c r="E16" s="53" t="n">
        <v>383.85</v>
      </c>
      <c r="F16" s="53" t="n">
        <v>4606.24</v>
      </c>
      <c r="G16" s="51" t="inlineStr">
        <is>
          <t>~</t>
        </is>
      </c>
      <c r="H16" s="52" t="n">
        <v>4.56</v>
      </c>
      <c r="I16" s="52" t="n">
        <v>27.88</v>
      </c>
      <c r="J16" s="42">
        <f>Index!$C$2</f>
        <v/>
      </c>
      <c r="K16" s="43">
        <f>IF(AND( C13="Buy", ISBLANK(W13), B13&lt;&gt;"DIV"), L13/sum(F13:I13), "")</f>
        <v/>
      </c>
      <c r="L16" s="44">
        <f>IF(AND( C13="Buy", ISBLANK(W13), B13&lt;&gt;"DIV"), (1-Index!$F$2*2)*((J13*D13)-(E13*D13)), "")</f>
        <v/>
      </c>
      <c r="M16" s="44">
        <f>IF(AND( C13="Buy", ISBLANK(W13), B13&lt;&gt;"DIV"), ((E13*D13)+L13), "")</f>
        <v/>
      </c>
      <c r="N16" s="45">
        <f>IF(AND( C13="Buy", ISBLANK(W13), B13&lt;&gt;"DIV"), D13, "")</f>
        <v/>
      </c>
      <c r="O16" s="43">
        <f>IF(AND( C13="Buy", ISBLANK(W13), B13&lt;&gt;"DIV", NOW()-A13 &lt; 365), P13/sum(F13:I13), "")</f>
        <v/>
      </c>
      <c r="P16" s="44">
        <f>IF(AND( C13="Buy", ISBLANK(W13), B13&lt;&gt;"DIV", NOW()-A13 &lt; 365), (1-Index!$F$2*2)*((J13*D13)-(E13*D13)), "")</f>
        <v/>
      </c>
      <c r="Q16" s="44">
        <f>IF(AND( C13="Buy", ISBLANK(W13), B13&lt;&gt;"DIV", NOW()-A13 &lt; 365), ((E13*D13)+P13), "")</f>
        <v/>
      </c>
      <c r="R16" s="44">
        <f>IF(AND( C13="Buy", ISBLANK(W13), B13&lt;&gt;"DIV", NOW()-A13 &lt; 365), D13, "")</f>
        <v/>
      </c>
      <c r="S16" s="46">
        <f>IF(AND( C13="Buy", ISBLANK(W13), B13&lt;&gt;"DIV", NOW()-A13 &gt; 365), T13/sum(F13:I13), "")</f>
        <v/>
      </c>
      <c r="T16" s="47">
        <f>IF(AND( C13="Buy", ISBLANK(W13), B13&lt;&gt;"DIV", NOW()-A13 &gt; 365), (1-Index!$F$2*2)*((J13*D13)-(E13*D13)), "")</f>
        <v/>
      </c>
      <c r="U16" s="47">
        <f>IF(AND( C13="Buy", ISBLANK(W13), B13&lt;&gt;"DIV", NOW()-A13 &gt; 365), ((E13*D13)+T13), "")</f>
        <v/>
      </c>
      <c r="V16" s="47">
        <f>IF(AND( C13="Buy", ISBLANK(W13), B13&lt;&gt;"DIV", NOW()-A13 &gt; 365), D13, "")</f>
        <v/>
      </c>
      <c r="W16" s="47" t="n"/>
      <c r="X16" s="47" t="n"/>
      <c r="Y16" s="46">
        <f>IF(AND( C13="Buy", W13&lt;&gt;"", AA13&lt;&gt;"", B13&lt;&gt;"DIV"), Z13/sum(F13:I13), "")</f>
        <v/>
      </c>
      <c r="Z16" s="47" t="n"/>
      <c r="AA16" s="47" t="n"/>
      <c r="AB16" s="48" t="n"/>
      <c r="AC16" s="44">
        <f>if(B13="DIV", F13,"")</f>
        <v/>
      </c>
      <c r="AD16" s="49" t="n"/>
    </row>
    <row r="17">
      <c r="A17" s="50" t="n">
        <v>45705</v>
      </c>
      <c r="B17" s="51" t="inlineStr">
        <is>
          <t>NSE</t>
        </is>
      </c>
      <c r="C17" s="51" t="inlineStr">
        <is>
          <t>Buy</t>
        </is>
      </c>
      <c r="D17" s="52" t="n">
        <v>8</v>
      </c>
      <c r="E17" s="53" t="n">
        <v>383.91</v>
      </c>
      <c r="F17" s="53" t="n">
        <v>3071.26</v>
      </c>
      <c r="G17" s="51" t="inlineStr">
        <is>
          <t>~</t>
        </is>
      </c>
      <c r="H17" s="52" t="n">
        <v>3.05</v>
      </c>
      <c r="I17" s="52" t="n">
        <v>18.61</v>
      </c>
      <c r="J17" s="42">
        <f>Index!$C$2</f>
        <v/>
      </c>
      <c r="K17" s="43">
        <f>IF(AND( C14="Buy", ISBLANK(W14), B14&lt;&gt;"DIV"), L14/sum(F14:I14), "")</f>
        <v/>
      </c>
      <c r="L17" s="44">
        <f>IF(AND( C14="Buy", ISBLANK(W14), B14&lt;&gt;"DIV"), (1-Index!$F$2*2)*((J14*D14)-(E14*D14)), "")</f>
        <v/>
      </c>
      <c r="M17" s="44">
        <f>IF(AND( C14="Buy", ISBLANK(W14), B14&lt;&gt;"DIV"), ((E14*D14)+L14), "")</f>
        <v/>
      </c>
      <c r="N17" s="45">
        <f>IF(AND( C14="Buy", ISBLANK(W14), B14&lt;&gt;"DIV"), D14, "")</f>
        <v/>
      </c>
      <c r="O17" s="43">
        <f>IF(AND( C14="Buy", ISBLANK(W14), B14&lt;&gt;"DIV", NOW()-A14 &lt; 365), P14/sum(F14:I14), "")</f>
        <v/>
      </c>
      <c r="P17" s="44">
        <f>IF(AND( C14="Buy", ISBLANK(W14), B14&lt;&gt;"DIV", NOW()-A14 &lt; 365), (1-Index!$F$2*2)*((J14*D14)-(E14*D14)), "")</f>
        <v/>
      </c>
      <c r="Q17" s="44">
        <f>IF(AND( C14="Buy", ISBLANK(W14), B14&lt;&gt;"DIV", NOW()-A14 &lt; 365), ((E14*D14)+P14), "")</f>
        <v/>
      </c>
      <c r="R17" s="44">
        <f>IF(AND( C14="Buy", ISBLANK(W14), B14&lt;&gt;"DIV", NOW()-A14 &lt; 365), D14, "")</f>
        <v/>
      </c>
      <c r="S17" s="46">
        <f>IF(AND( C14="Buy", ISBLANK(W14), B14&lt;&gt;"DIV", NOW()-A14 &gt; 365), T14/sum(F14:I14), "")</f>
        <v/>
      </c>
      <c r="T17" s="47">
        <f>IF(AND( C14="Buy", ISBLANK(W14), B14&lt;&gt;"DIV", NOW()-A14 &gt; 365), (1-Index!$F$2*2)*((J14*D14)-(E14*D14)), "")</f>
        <v/>
      </c>
      <c r="U17" s="47">
        <f>IF(AND( C14="Buy", ISBLANK(W14), B14&lt;&gt;"DIV", NOW()-A14 &gt; 365), ((E14*D14)+T14), "")</f>
        <v/>
      </c>
      <c r="V17" s="47">
        <f>IF(AND( C14="Buy", ISBLANK(W14), B14&lt;&gt;"DIV", NOW()-A14 &gt; 365), D14, "")</f>
        <v/>
      </c>
      <c r="W17" s="47" t="n"/>
      <c r="X17" s="47" t="n"/>
      <c r="Y17" s="46">
        <f>IF(AND( C14="Buy", W14&lt;&gt;"", AA14&lt;&gt;"", B14&lt;&gt;"DIV"), Z14/sum(F14:I14), "")</f>
        <v/>
      </c>
      <c r="Z17" s="47" t="n"/>
      <c r="AA17" s="47" t="n"/>
      <c r="AB17" s="48" t="n"/>
      <c r="AC17" s="44">
        <f>if(B14="DIV", F14,"")</f>
        <v/>
      </c>
      <c r="AD17" s="49" t="n"/>
    </row>
    <row r="18">
      <c r="E18" s="54" t="n"/>
      <c r="F18" s="54" t="n"/>
      <c r="G18" s="55" t="n"/>
      <c r="J18" s="54" t="n"/>
      <c r="K18" s="54" t="n"/>
      <c r="L18" s="54" t="n"/>
      <c r="M18" s="57" t="n"/>
      <c r="W18" s="54" t="n"/>
      <c r="X18" s="54" t="n"/>
      <c r="Y18" s="54" t="n"/>
      <c r="Z18" s="54" t="n"/>
      <c r="AA18" s="54" t="n"/>
      <c r="AB18" s="54" t="n"/>
      <c r="AC18" s="54" t="n"/>
    </row>
    <row r="19">
      <c r="E19" s="54" t="n"/>
      <c r="F19" s="54" t="n"/>
      <c r="G19" s="55" t="n"/>
      <c r="J19" s="54" t="n"/>
      <c r="K19" s="54" t="n"/>
      <c r="L19" s="54" t="n"/>
      <c r="M19" s="57" t="n"/>
      <c r="W19" s="54" t="n"/>
      <c r="X19" s="54" t="n"/>
      <c r="Y19" s="54" t="n"/>
      <c r="Z19" s="54" t="n"/>
      <c r="AA19" s="54" t="n"/>
      <c r="AB19" s="54" t="n"/>
      <c r="AC19" s="54" t="n"/>
    </row>
    <row r="20">
      <c r="E20" s="54" t="n"/>
      <c r="F20" s="54" t="n"/>
      <c r="G20" s="55" t="n"/>
      <c r="J20" s="54" t="n"/>
      <c r="K20" s="54" t="n"/>
      <c r="L20" s="54" t="n"/>
      <c r="M20" s="57" t="n"/>
      <c r="W20" s="54" t="n"/>
      <c r="X20" s="54" t="n"/>
      <c r="Y20" s="54" t="n"/>
      <c r="Z20" s="54" t="n"/>
      <c r="AA20" s="54" t="n"/>
      <c r="AB20" s="54" t="n"/>
      <c r="AC20" s="54" t="n"/>
    </row>
    <row r="21">
      <c r="E21" s="54" t="n"/>
      <c r="F21" s="54" t="n"/>
      <c r="G21" s="55" t="n"/>
      <c r="J21" s="54" t="n"/>
      <c r="K21" s="54" t="n"/>
      <c r="L21" s="54" t="n"/>
      <c r="M21" s="57" t="n"/>
      <c r="W21" s="54" t="n"/>
      <c r="X21" s="54" t="n"/>
      <c r="Y21" s="54" t="n"/>
      <c r="Z21" s="54" t="n"/>
      <c r="AA21" s="54" t="n"/>
      <c r="AB21" s="54" t="n"/>
      <c r="AC21" s="54" t="n"/>
    </row>
    <row r="22">
      <c r="E22" s="54" t="n"/>
      <c r="F22" s="54" t="n"/>
      <c r="G22" s="55" t="n"/>
      <c r="J22" s="54" t="n"/>
      <c r="K22" s="54" t="n"/>
      <c r="L22" s="54" t="n"/>
      <c r="M22" s="57" t="n"/>
      <c r="W22" s="54" t="n"/>
      <c r="X22" s="54" t="n"/>
      <c r="Y22" s="54" t="n"/>
      <c r="Z22" s="54" t="n"/>
      <c r="AA22" s="54" t="n"/>
      <c r="AB22" s="54" t="n"/>
      <c r="AC22" s="54" t="n"/>
    </row>
    <row r="23">
      <c r="E23" s="54" t="n"/>
      <c r="F23" s="54" t="n"/>
      <c r="G23" s="55" t="n"/>
      <c r="J23" s="54" t="n"/>
      <c r="K23" s="54" t="n"/>
      <c r="L23" s="54" t="n"/>
      <c r="M23" s="57" t="n"/>
      <c r="W23" s="54" t="n"/>
      <c r="X23" s="54" t="n"/>
      <c r="Y23" s="54" t="n"/>
      <c r="Z23" s="54" t="n"/>
      <c r="AA23" s="54" t="n"/>
      <c r="AB23" s="54" t="n"/>
      <c r="AC23" s="54" t="n"/>
    </row>
    <row r="24">
      <c r="E24" s="54" t="n"/>
      <c r="F24" s="54" t="n"/>
      <c r="G24" s="55" t="n"/>
      <c r="J24" s="54" t="n"/>
      <c r="K24" s="54" t="n"/>
      <c r="L24" s="54" t="n"/>
      <c r="M24" s="57" t="n"/>
      <c r="W24" s="54" t="n"/>
      <c r="X24" s="54" t="n"/>
      <c r="Y24" s="54" t="n"/>
      <c r="Z24" s="54" t="n"/>
      <c r="AA24" s="54" t="n"/>
      <c r="AB24" s="54" t="n"/>
      <c r="AC24" s="54" t="n"/>
    </row>
    <row r="25">
      <c r="E25" s="54" t="n"/>
      <c r="F25" s="54" t="n"/>
      <c r="G25" s="55" t="n"/>
      <c r="J25" s="54" t="n"/>
      <c r="K25" s="54" t="n"/>
      <c r="L25" s="54" t="n"/>
      <c r="M25" s="57" t="n"/>
      <c r="W25" s="54" t="n"/>
      <c r="X25" s="54" t="n"/>
      <c r="Y25" s="54" t="n"/>
      <c r="Z25" s="54" t="n"/>
      <c r="AA25" s="54" t="n"/>
      <c r="AB25" s="54" t="n"/>
      <c r="AC25" s="54" t="n"/>
    </row>
    <row r="26">
      <c r="E26" s="54" t="n"/>
      <c r="F26" s="54" t="n"/>
      <c r="G26" s="55" t="n"/>
      <c r="J26" s="54" t="n"/>
      <c r="K26" s="54" t="n"/>
      <c r="L26" s="54" t="n"/>
      <c r="M26" s="57" t="n"/>
      <c r="W26" s="54" t="n"/>
      <c r="X26" s="54" t="n"/>
      <c r="Y26" s="54" t="n"/>
      <c r="Z26" s="54" t="n"/>
      <c r="AA26" s="54" t="n"/>
      <c r="AB26" s="54" t="n"/>
      <c r="AC26" s="54" t="n"/>
    </row>
    <row r="27">
      <c r="E27" s="54" t="n"/>
      <c r="F27" s="54" t="n"/>
      <c r="G27" s="55" t="n"/>
      <c r="J27" s="54" t="n"/>
      <c r="K27" s="54" t="n"/>
      <c r="L27" s="54" t="n"/>
      <c r="M27" s="57" t="n"/>
      <c r="W27" s="54" t="n"/>
      <c r="X27" s="54" t="n"/>
      <c r="Y27" s="54" t="n"/>
      <c r="Z27" s="54" t="n"/>
      <c r="AA27" s="54" t="n"/>
      <c r="AB27" s="54" t="n"/>
      <c r="AC27" s="54" t="n"/>
    </row>
    <row r="28">
      <c r="E28" s="54" t="n"/>
      <c r="F28" s="54" t="n"/>
      <c r="G28" s="55" t="n"/>
      <c r="J28" s="54" t="n"/>
      <c r="K28" s="54" t="n"/>
      <c r="L28" s="54" t="n"/>
      <c r="M28" s="57" t="n"/>
      <c r="W28" s="54" t="n"/>
      <c r="X28" s="54" t="n"/>
      <c r="Y28" s="54" t="n"/>
      <c r="Z28" s="54" t="n"/>
      <c r="AA28" s="54" t="n"/>
      <c r="AB28" s="54" t="n"/>
      <c r="AC28" s="54" t="n"/>
    </row>
    <row r="29">
      <c r="E29" s="54" t="n"/>
      <c r="F29" s="54" t="n"/>
      <c r="G29" s="55" t="n"/>
      <c r="J29" s="54" t="n"/>
      <c r="K29" s="54" t="n"/>
      <c r="L29" s="54" t="n"/>
      <c r="M29" s="57" t="n"/>
      <c r="W29" s="54" t="n"/>
      <c r="X29" s="54" t="n"/>
      <c r="Y29" s="54" t="n"/>
      <c r="Z29" s="54" t="n"/>
      <c r="AA29" s="54" t="n"/>
      <c r="AB29" s="54" t="n"/>
      <c r="AC29" s="54" t="n"/>
    </row>
    <row r="30">
      <c r="E30" s="54" t="n"/>
      <c r="F30" s="54" t="n"/>
      <c r="G30" s="55" t="n"/>
      <c r="J30" s="54" t="n"/>
      <c r="K30" s="54" t="n"/>
      <c r="L30" s="54" t="n"/>
      <c r="M30" s="57" t="n"/>
      <c r="W30" s="54" t="n"/>
      <c r="X30" s="54" t="n"/>
      <c r="Y30" s="54" t="n"/>
      <c r="Z30" s="54" t="n"/>
      <c r="AA30" s="54" t="n"/>
      <c r="AB30" s="54" t="n"/>
      <c r="AC30" s="54" t="n"/>
    </row>
    <row r="31">
      <c r="E31" s="54" t="n"/>
      <c r="F31" s="54" t="n"/>
      <c r="G31" s="55" t="n"/>
      <c r="J31" s="54" t="n"/>
      <c r="K31" s="54" t="n"/>
      <c r="L31" s="54" t="n"/>
      <c r="M31" s="57" t="n"/>
      <c r="W31" s="54" t="n"/>
      <c r="X31" s="54" t="n"/>
      <c r="Y31" s="54" t="n"/>
      <c r="Z31" s="54" t="n"/>
      <c r="AA31" s="54" t="n"/>
      <c r="AB31" s="54" t="n"/>
      <c r="AC31" s="54" t="n"/>
    </row>
    <row r="32">
      <c r="E32" s="54" t="n"/>
      <c r="F32" s="54" t="n"/>
      <c r="G32" s="55" t="n"/>
      <c r="J32" s="54" t="n"/>
      <c r="K32" s="54" t="n"/>
      <c r="L32" s="54" t="n"/>
      <c r="M32" s="57" t="n"/>
      <c r="W32" s="54" t="n"/>
      <c r="X32" s="54" t="n"/>
      <c r="Y32" s="54" t="n"/>
      <c r="Z32" s="54" t="n"/>
      <c r="AA32" s="54" t="n"/>
      <c r="AB32" s="54" t="n"/>
      <c r="AC32" s="54" t="n"/>
    </row>
    <row r="33">
      <c r="E33" s="54" t="n"/>
      <c r="F33" s="54" t="n"/>
      <c r="G33" s="55" t="n"/>
      <c r="J33" s="54" t="n"/>
      <c r="K33" s="54" t="n"/>
      <c r="L33" s="54" t="n"/>
      <c r="M33" s="57" t="n"/>
      <c r="W33" s="54" t="n"/>
      <c r="X33" s="54" t="n"/>
      <c r="Y33" s="54" t="n"/>
      <c r="Z33" s="54" t="n"/>
      <c r="AA33" s="54" t="n"/>
      <c r="AB33" s="54" t="n"/>
      <c r="AC33" s="54" t="n"/>
    </row>
    <row r="34">
      <c r="E34" s="54" t="n"/>
      <c r="F34" s="54" t="n"/>
      <c r="G34" s="55" t="n"/>
      <c r="J34" s="54" t="n"/>
      <c r="K34" s="54" t="n"/>
      <c r="L34" s="54" t="n"/>
      <c r="M34" s="57" t="n"/>
      <c r="W34" s="54" t="n"/>
      <c r="X34" s="54" t="n"/>
      <c r="Y34" s="54" t="n"/>
      <c r="Z34" s="54" t="n"/>
      <c r="AA34" s="54" t="n"/>
      <c r="AB34" s="54" t="n"/>
      <c r="AC34" s="54" t="n"/>
    </row>
    <row r="35">
      <c r="E35" s="54" t="n"/>
      <c r="F35" s="54" t="n"/>
      <c r="G35" s="55" t="n"/>
      <c r="J35" s="54" t="n"/>
      <c r="K35" s="54" t="n"/>
      <c r="L35" s="54" t="n"/>
      <c r="M35" s="57" t="n"/>
      <c r="W35" s="54" t="n"/>
      <c r="X35" s="54" t="n"/>
      <c r="Y35" s="54" t="n"/>
      <c r="Z35" s="54" t="n"/>
      <c r="AA35" s="54" t="n"/>
      <c r="AB35" s="54" t="n"/>
      <c r="AC35" s="54" t="n"/>
    </row>
    <row r="36">
      <c r="E36" s="54" t="n"/>
      <c r="F36" s="54" t="n"/>
      <c r="G36" s="55" t="n"/>
      <c r="J36" s="54" t="n"/>
      <c r="K36" s="54" t="n"/>
      <c r="L36" s="54" t="n"/>
      <c r="M36" s="57" t="n"/>
      <c r="W36" s="54" t="n"/>
      <c r="X36" s="54" t="n"/>
      <c r="Y36" s="54" t="n"/>
      <c r="Z36" s="54" t="n"/>
      <c r="AA36" s="54" t="n"/>
      <c r="AB36" s="54" t="n"/>
      <c r="AC36" s="54" t="n"/>
    </row>
    <row r="37">
      <c r="E37" s="54" t="n"/>
      <c r="F37" s="54" t="n"/>
      <c r="G37" s="55" t="n"/>
      <c r="J37" s="54" t="n"/>
      <c r="K37" s="54" t="n"/>
      <c r="L37" s="54" t="n"/>
      <c r="M37" s="57" t="n"/>
      <c r="W37" s="54" t="n"/>
      <c r="X37" s="54" t="n"/>
      <c r="Y37" s="54" t="n"/>
      <c r="Z37" s="54" t="n"/>
      <c r="AA37" s="54" t="n"/>
      <c r="AB37" s="54" t="n"/>
      <c r="AC37" s="54" t="n"/>
    </row>
    <row r="38">
      <c r="E38" s="54" t="n"/>
      <c r="F38" s="54" t="n"/>
      <c r="G38" s="55" t="n"/>
      <c r="J38" s="54" t="n"/>
      <c r="K38" s="54" t="n"/>
      <c r="L38" s="54" t="n"/>
      <c r="M38" s="57" t="n"/>
      <c r="W38" s="54" t="n"/>
      <c r="X38" s="54" t="n"/>
      <c r="Y38" s="54" t="n"/>
      <c r="Z38" s="54" t="n"/>
      <c r="AA38" s="54" t="n"/>
      <c r="AB38" s="54" t="n"/>
      <c r="AC38" s="54" t="n"/>
    </row>
    <row r="39">
      <c r="E39" s="54" t="n"/>
      <c r="F39" s="54" t="n"/>
      <c r="G39" s="55" t="n"/>
      <c r="J39" s="54" t="n"/>
      <c r="K39" s="54" t="n"/>
      <c r="L39" s="54" t="n"/>
      <c r="M39" s="57" t="n"/>
      <c r="W39" s="54" t="n"/>
      <c r="X39" s="54" t="n"/>
      <c r="Y39" s="54" t="n"/>
      <c r="Z39" s="54" t="n"/>
      <c r="AA39" s="54" t="n"/>
      <c r="AB39" s="54" t="n"/>
      <c r="AC39" s="54" t="n"/>
    </row>
    <row r="40">
      <c r="E40" s="54" t="n"/>
      <c r="F40" s="54" t="n"/>
      <c r="G40" s="55" t="n"/>
      <c r="J40" s="54" t="n"/>
      <c r="K40" s="54" t="n"/>
      <c r="L40" s="54" t="n"/>
      <c r="M40" s="57" t="n"/>
      <c r="W40" s="54" t="n"/>
      <c r="X40" s="54" t="n"/>
      <c r="Y40" s="54" t="n"/>
      <c r="Z40" s="54" t="n"/>
      <c r="AA40" s="54" t="n"/>
      <c r="AB40" s="54" t="n"/>
      <c r="AC40" s="54" t="n"/>
    </row>
    <row r="41">
      <c r="E41" s="54" t="n"/>
      <c r="F41" s="54" t="n"/>
      <c r="G41" s="55" t="n"/>
      <c r="J41" s="54" t="n"/>
      <c r="K41" s="54" t="n"/>
      <c r="L41" s="54" t="n"/>
      <c r="M41" s="57" t="n"/>
      <c r="W41" s="54" t="n"/>
      <c r="X41" s="54" t="n"/>
      <c r="Y41" s="54" t="n"/>
      <c r="Z41" s="54" t="n"/>
      <c r="AA41" s="54" t="n"/>
      <c r="AB41" s="54" t="n"/>
      <c r="AC41" s="54" t="n"/>
    </row>
    <row r="42">
      <c r="E42" s="54" t="n"/>
      <c r="F42" s="54" t="n"/>
      <c r="G42" s="55" t="n"/>
      <c r="J42" s="54" t="n"/>
      <c r="K42" s="54" t="n"/>
      <c r="L42" s="54" t="n"/>
      <c r="M42" s="57" t="n"/>
      <c r="W42" s="54" t="n"/>
      <c r="X42" s="54" t="n"/>
      <c r="Y42" s="54" t="n"/>
      <c r="Z42" s="54" t="n"/>
      <c r="AA42" s="54" t="n"/>
      <c r="AB42" s="54" t="n"/>
      <c r="AC42" s="54" t="n"/>
    </row>
    <row r="43">
      <c r="E43" s="54" t="n"/>
      <c r="F43" s="54" t="n"/>
      <c r="G43" s="55" t="n"/>
      <c r="J43" s="54" t="n"/>
      <c r="K43" s="54" t="n"/>
      <c r="L43" s="54" t="n"/>
      <c r="M43" s="57" t="n"/>
      <c r="W43" s="54" t="n"/>
      <c r="X43" s="54" t="n"/>
      <c r="Y43" s="54" t="n"/>
      <c r="Z43" s="54" t="n"/>
      <c r="AA43" s="54" t="n"/>
      <c r="AB43" s="54" t="n"/>
      <c r="AC43" s="54" t="n"/>
    </row>
    <row r="44">
      <c r="E44" s="54" t="n"/>
      <c r="F44" s="54" t="n"/>
      <c r="G44" s="55" t="n"/>
      <c r="J44" s="54" t="n"/>
      <c r="K44" s="54" t="n"/>
      <c r="L44" s="54" t="n"/>
      <c r="M44" s="57" t="n"/>
      <c r="W44" s="54" t="n"/>
      <c r="X44" s="54" t="n"/>
      <c r="Y44" s="54" t="n"/>
      <c r="Z44" s="54" t="n"/>
      <c r="AA44" s="54" t="n"/>
      <c r="AB44" s="54" t="n"/>
      <c r="AC44" s="54" t="n"/>
    </row>
    <row r="45">
      <c r="E45" s="54" t="n"/>
      <c r="F45" s="54" t="n"/>
      <c r="G45" s="55" t="n"/>
      <c r="J45" s="54" t="n"/>
      <c r="K45" s="54" t="n"/>
      <c r="L45" s="54" t="n"/>
      <c r="M45" s="57" t="n"/>
      <c r="W45" s="54" t="n"/>
      <c r="X45" s="54" t="n"/>
      <c r="Y45" s="54" t="n"/>
      <c r="Z45" s="54" t="n"/>
      <c r="AA45" s="54" t="n"/>
      <c r="AB45" s="54" t="n"/>
      <c r="AC45" s="54" t="n"/>
    </row>
    <row r="46">
      <c r="E46" s="54" t="n"/>
      <c r="F46" s="54" t="n"/>
      <c r="G46" s="55" t="n"/>
      <c r="J46" s="54" t="n"/>
      <c r="K46" s="54" t="n"/>
      <c r="L46" s="54" t="n"/>
      <c r="M46" s="57" t="n"/>
      <c r="W46" s="54" t="n"/>
      <c r="X46" s="54" t="n"/>
      <c r="Y46" s="54" t="n"/>
      <c r="Z46" s="54" t="n"/>
      <c r="AA46" s="54" t="n"/>
      <c r="AB46" s="54" t="n"/>
      <c r="AC46" s="54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W970" s="54" t="n"/>
      <c r="X970" s="54" t="n"/>
      <c r="Y970" s="54" t="n"/>
      <c r="Z970" s="54" t="n"/>
      <c r="AA970" s="54" t="n"/>
      <c r="AB970" s="54" t="n"/>
      <c r="AC970" s="54" t="n"/>
    </row>
  </sheetData>
  <autoFilter ref="$A$4:$AO$44"/>
  <mergeCells count="5">
    <mergeCell ref="W2:AC3"/>
    <mergeCell ref="S3:V3"/>
    <mergeCell ref="K2:V2"/>
    <mergeCell ref="K3:N3"/>
    <mergeCell ref="O3:R3"/>
  </mergeCells>
  <conditionalFormatting sqref="C1:C9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4">
    <cfRule type="expression" priority="5" dxfId="1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NSE:OIL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""price"")"),478.9)</f>
        <v/>
      </c>
      <c r="D2" s="57" t="n"/>
      <c r="E2" s="60" t="inlineStr">
        <is>
          <t>Commission</t>
        </is>
      </c>
      <c r="F2" s="59" t="n">
        <v>0.007</v>
      </c>
      <c r="G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""high52"")"),524.0)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""low52"")"),325.0)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History'!$B20:$B1007,"DIV",'Trading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2026-02-12T03:15:47Z</dcterms:created>
  <dcterms:modified xmlns:dcterms="http://purl.org/dc/terms/" xmlns:xsi="http://www.w3.org/2001/XMLSchema-instance" xsi:type="dcterms:W3CDTF">2026-02-12T03:24:48Z</dcterms:modified>
</cp:coreProperties>
</file>