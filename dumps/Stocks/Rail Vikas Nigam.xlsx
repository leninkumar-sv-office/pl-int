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9185B88_328F_4EEE_8BF3_A33658F36CA5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9" t="n">
        <v>46057</v>
      </c>
      <c r="B5" s="0" t="inlineStr">
        <is>
          <t>NSE</t>
        </is>
      </c>
      <c r="C5" s="0" t="inlineStr">
        <is>
          <t>Buy</t>
        </is>
      </c>
      <c r="D5" s="0" t="n">
        <v>10</v>
      </c>
      <c r="E5" s="0" t="n">
        <v>321.15</v>
      </c>
      <c r="F5" s="0" t="n">
        <v>3234.33</v>
      </c>
      <c r="G5" s="0" t="inlineStr">
        <is>
          <t>~</t>
        </is>
      </c>
      <c r="H5" s="0" t="n">
        <v>3.22</v>
      </c>
      <c r="I5" s="0" t="n">
        <v>19.61</v>
      </c>
    </row>
    <row r="6">
      <c r="A6" s="89" t="n">
        <v>46049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326.5</v>
      </c>
      <c r="F6" s="0" t="n">
        <v>3288.13</v>
      </c>
      <c r="G6" s="0" t="inlineStr">
        <is>
          <t>~</t>
        </is>
      </c>
      <c r="H6" s="0" t="n">
        <v>3.27</v>
      </c>
      <c r="I6" s="0" t="n">
        <v>19.86</v>
      </c>
    </row>
    <row r="7">
      <c r="A7" s="89" t="n">
        <v>46034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327.5</v>
      </c>
      <c r="F7" s="0" t="n">
        <v>3298.26</v>
      </c>
      <c r="G7" s="0" t="inlineStr">
        <is>
          <t>~</t>
        </is>
      </c>
      <c r="H7" s="0" t="n">
        <v>3.29</v>
      </c>
      <c r="I7" s="0" t="n">
        <v>19.97</v>
      </c>
    </row>
    <row r="8">
      <c r="A8" s="89" t="n">
        <v>46009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303.35</v>
      </c>
      <c r="F8" s="0" t="n">
        <v>3055.04</v>
      </c>
      <c r="G8" s="0" t="inlineStr">
        <is>
          <t>~</t>
        </is>
      </c>
      <c r="H8" s="0" t="n">
        <v>3.04</v>
      </c>
      <c r="I8" s="0" t="n">
        <v>18.5</v>
      </c>
    </row>
    <row r="9">
      <c r="A9" s="89" t="n">
        <v>46008</v>
      </c>
      <c r="B9" s="0" t="inlineStr">
        <is>
          <t>BSE</t>
        </is>
      </c>
      <c r="C9" s="0" t="inlineStr">
        <is>
          <t>Buy</t>
        </is>
      </c>
      <c r="D9" s="0" t="n">
        <v>10</v>
      </c>
      <c r="E9" s="0" t="n">
        <v>307.8</v>
      </c>
      <c r="F9" s="0" t="n">
        <v>3099.86</v>
      </c>
      <c r="G9" s="0" t="inlineStr">
        <is>
          <t>~</t>
        </is>
      </c>
      <c r="H9" s="0" t="n">
        <v>3.1</v>
      </c>
      <c r="I9" s="0" t="n">
        <v>18.76</v>
      </c>
    </row>
    <row r="10">
      <c r="A10" s="89" t="n">
        <v>46007</v>
      </c>
      <c r="B10" s="0" t="inlineStr">
        <is>
          <t>BSE</t>
        </is>
      </c>
      <c r="C10" s="0" t="inlineStr">
        <is>
          <t>Buy</t>
        </is>
      </c>
      <c r="D10" s="0" t="n">
        <v>10</v>
      </c>
      <c r="E10" s="0" t="n">
        <v>310.25</v>
      </c>
      <c r="F10" s="0" t="n">
        <v>3124.51</v>
      </c>
      <c r="G10" s="0" t="inlineStr">
        <is>
          <t>~</t>
        </is>
      </c>
      <c r="H10" s="0" t="n">
        <v>3.09</v>
      </c>
      <c r="I10" s="0" t="n">
        <v>18.92</v>
      </c>
    </row>
    <row r="11">
      <c r="A11" s="89" t="n">
        <v>46000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312.35</v>
      </c>
      <c r="F11" s="0" t="n">
        <v>3145.61</v>
      </c>
      <c r="G11" s="0" t="inlineStr">
        <is>
          <t>~</t>
        </is>
      </c>
      <c r="H11" s="0" t="n">
        <v>3.11</v>
      </c>
      <c r="I11" s="0" t="n">
        <v>19</v>
      </c>
    </row>
    <row r="12">
      <c r="A12" s="89" t="n">
        <v>45993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319.35</v>
      </c>
      <c r="F12" s="0" t="n">
        <v>3216.18</v>
      </c>
      <c r="G12" s="0" t="inlineStr">
        <is>
          <t>~</t>
        </is>
      </c>
      <c r="H12" s="0" t="n">
        <v>3.21</v>
      </c>
      <c r="I12" s="0" t="n">
        <v>19.47</v>
      </c>
    </row>
    <row r="13">
      <c r="A13" s="89" t="n">
        <v>45982</v>
      </c>
      <c r="B13" s="0" t="inlineStr">
        <is>
          <t>NSE</t>
        </is>
      </c>
      <c r="C13" s="0" t="inlineStr">
        <is>
          <t>Buy</t>
        </is>
      </c>
      <c r="D13" s="0" t="n">
        <v>20</v>
      </c>
      <c r="E13" s="0" t="n">
        <v>315.7</v>
      </c>
      <c r="F13" s="0" t="n">
        <v>6358.77</v>
      </c>
      <c r="G13" s="0" t="inlineStr">
        <is>
          <t>~</t>
        </is>
      </c>
      <c r="H13" s="0" t="n">
        <v>6.31</v>
      </c>
      <c r="I13" s="0" t="n">
        <v>38.46</v>
      </c>
    </row>
    <row r="14">
      <c r="A14" s="89" t="n">
        <v>45978</v>
      </c>
      <c r="B14" s="0" t="inlineStr">
        <is>
          <t>NSE</t>
        </is>
      </c>
      <c r="C14" s="0" t="inlineStr">
        <is>
          <t>Buy</t>
        </is>
      </c>
      <c r="D14" s="0" t="n">
        <v>20</v>
      </c>
      <c r="E14" s="0" t="n">
        <v>331.55</v>
      </c>
      <c r="F14" s="0" t="n">
        <v>6678.07</v>
      </c>
      <c r="G14" s="0" t="inlineStr">
        <is>
          <t>~</t>
        </is>
      </c>
      <c r="H14" s="0" t="n">
        <v>6.66</v>
      </c>
      <c r="I14" s="0" t="n">
        <v>40.41</v>
      </c>
    </row>
    <row r="15">
      <c r="A15" s="89" t="n">
        <v>45975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316.35</v>
      </c>
      <c r="F15" s="0" t="n">
        <v>6371.79</v>
      </c>
      <c r="G15" s="0" t="inlineStr">
        <is>
          <t>~</t>
        </is>
      </c>
      <c r="H15" s="0" t="n">
        <v>6.33</v>
      </c>
      <c r="I15" s="0" t="n">
        <v>38.46</v>
      </c>
    </row>
    <row r="16">
      <c r="A16" s="89" t="n">
        <v>45974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317.75</v>
      </c>
      <c r="F16" s="0" t="n">
        <v>3200.04</v>
      </c>
      <c r="G16" s="0" t="inlineStr">
        <is>
          <t>~</t>
        </is>
      </c>
      <c r="H16" s="0" t="n">
        <v>3.17</v>
      </c>
      <c r="I16" s="0" t="n">
        <v>19.37</v>
      </c>
    </row>
    <row r="17">
      <c r="A17" s="89" t="n">
        <v>45972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317.35</v>
      </c>
      <c r="F17" s="0" t="n">
        <v>3196.03</v>
      </c>
      <c r="G17" s="0" t="inlineStr">
        <is>
          <t>~</t>
        </is>
      </c>
      <c r="H17" s="0" t="n">
        <v>3.15</v>
      </c>
      <c r="I17" s="0" t="n">
        <v>19.38</v>
      </c>
    </row>
    <row r="18">
      <c r="A18" s="89" t="n">
        <v>45971</v>
      </c>
      <c r="B18" s="0" t="inlineStr">
        <is>
          <t>NSE</t>
        </is>
      </c>
      <c r="C18" s="0" t="inlineStr">
        <is>
          <t>Buy</t>
        </is>
      </c>
      <c r="D18" s="0" t="n">
        <v>20</v>
      </c>
      <c r="E18" s="0" t="n">
        <v>318.15</v>
      </c>
      <c r="F18" s="0" t="n">
        <v>6408.02</v>
      </c>
      <c r="G18" s="0" t="inlineStr">
        <is>
          <t>~</t>
        </is>
      </c>
      <c r="H18" s="0" t="n">
        <v>6.32</v>
      </c>
      <c r="I18" s="0" t="n">
        <v>38.7</v>
      </c>
    </row>
    <row r="19">
      <c r="A19" s="89" t="n">
        <v>45968</v>
      </c>
      <c r="B19" s="0" t="inlineStr">
        <is>
          <t>NSE</t>
        </is>
      </c>
      <c r="C19" s="0" t="inlineStr">
        <is>
          <t>Buy</t>
        </is>
      </c>
      <c r="D19" s="0" t="n">
        <v>20</v>
      </c>
      <c r="E19" s="0" t="n">
        <v>315.5</v>
      </c>
      <c r="F19" s="0" t="n">
        <v>6354.78</v>
      </c>
      <c r="G19" s="0" t="inlineStr">
        <is>
          <t>~</t>
        </is>
      </c>
      <c r="H19" s="0" t="n">
        <v>6.29</v>
      </c>
      <c r="I19" s="0" t="n">
        <v>38.49</v>
      </c>
    </row>
    <row r="20">
      <c r="A20" s="89" t="n">
        <v>45967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320.3</v>
      </c>
      <c r="F20" s="0" t="n">
        <v>6451.44</v>
      </c>
      <c r="G20" s="0" t="inlineStr">
        <is>
          <t>~</t>
        </is>
      </c>
      <c r="H20" s="0" t="n">
        <v>6.45</v>
      </c>
      <c r="I20" s="0" t="n">
        <v>38.99</v>
      </c>
    </row>
    <row r="21">
      <c r="A21" s="89" t="n">
        <v>45961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329.9</v>
      </c>
      <c r="F21" s="0" t="n">
        <v>6644.77</v>
      </c>
      <c r="G21" s="0" t="inlineStr">
        <is>
          <t>~</t>
        </is>
      </c>
      <c r="H21" s="0" t="n">
        <v>6.58</v>
      </c>
      <c r="I21" s="0" t="n">
        <v>40.19</v>
      </c>
    </row>
    <row r="22">
      <c r="A22" s="89" t="n">
        <v>45959</v>
      </c>
      <c r="B22" s="0" t="inlineStr">
        <is>
          <t>NSE</t>
        </is>
      </c>
      <c r="C22" s="0" t="inlineStr">
        <is>
          <t>Buy</t>
        </is>
      </c>
      <c r="D22" s="0" t="n">
        <v>30</v>
      </c>
      <c r="E22" s="0" t="n">
        <v>328.3</v>
      </c>
      <c r="F22" s="0" t="n">
        <v>9918.719999999999</v>
      </c>
      <c r="G22" s="0" t="inlineStr">
        <is>
          <t>~</t>
        </is>
      </c>
      <c r="H22" s="0" t="n">
        <v>9.83</v>
      </c>
      <c r="I22" s="0" t="n">
        <v>59.89</v>
      </c>
    </row>
    <row r="23">
      <c r="A23" s="89" t="n">
        <v>45957</v>
      </c>
      <c r="B23" s="0" t="inlineStr">
        <is>
          <t>NSE</t>
        </is>
      </c>
      <c r="C23" s="0" t="inlineStr">
        <is>
          <t>Buy</t>
        </is>
      </c>
      <c r="D23" s="0" t="n">
        <v>10</v>
      </c>
      <c r="E23" s="0" t="n">
        <v>329.8</v>
      </c>
      <c r="F23" s="0" t="n">
        <v>3321.4</v>
      </c>
      <c r="G23" s="0" t="inlineStr">
        <is>
          <t>~</t>
        </is>
      </c>
      <c r="H23" s="0" t="n">
        <v>3.31</v>
      </c>
      <c r="I23" s="0" t="n">
        <v>20.09</v>
      </c>
    </row>
    <row r="24">
      <c r="A24" s="89" t="n">
        <v>45954</v>
      </c>
      <c r="B24" s="0" t="inlineStr">
        <is>
          <t>NSE</t>
        </is>
      </c>
      <c r="C24" s="0" t="inlineStr">
        <is>
          <t>Buy</t>
        </is>
      </c>
      <c r="D24" s="0" t="n">
        <v>30</v>
      </c>
      <c r="E24" s="0" t="n">
        <v>331.45</v>
      </c>
      <c r="F24" s="0" t="n">
        <v>10014.1</v>
      </c>
      <c r="G24" s="0" t="inlineStr">
        <is>
          <t>~</t>
        </is>
      </c>
      <c r="H24" s="0" t="n">
        <v>9.960000000000001</v>
      </c>
      <c r="I24" s="0" t="n">
        <v>60.64</v>
      </c>
    </row>
    <row r="25">
      <c r="A25" s="89" t="n">
        <v>45953</v>
      </c>
      <c r="B25" s="0" t="inlineStr">
        <is>
          <t>BSE</t>
        </is>
      </c>
      <c r="C25" s="0" t="inlineStr">
        <is>
          <t>Buy</t>
        </is>
      </c>
      <c r="D25" s="0" t="n">
        <v>20</v>
      </c>
      <c r="E25" s="0" t="n">
        <v>333.95</v>
      </c>
      <c r="F25" s="0" t="n">
        <v>6726.39</v>
      </c>
      <c r="G25" s="0" t="inlineStr">
        <is>
          <t>~</t>
        </is>
      </c>
      <c r="H25" s="0" t="n">
        <v>6.66</v>
      </c>
      <c r="I25" s="0" t="n">
        <v>40.73</v>
      </c>
    </row>
    <row r="26">
      <c r="A26" s="89" t="n">
        <v>45950</v>
      </c>
      <c r="B26" s="0" t="inlineStr">
        <is>
          <t>NSE</t>
        </is>
      </c>
      <c r="C26" s="0" t="inlineStr">
        <is>
          <t>Buy</t>
        </is>
      </c>
      <c r="D26" s="0" t="n">
        <v>40</v>
      </c>
      <c r="E26" s="0" t="n">
        <v>330.7</v>
      </c>
      <c r="F26" s="0" t="n">
        <v>13321.59</v>
      </c>
      <c r="G26" s="0" t="inlineStr">
        <is>
          <t>~</t>
        </is>
      </c>
      <c r="H26" s="0" t="n">
        <v>13.22</v>
      </c>
      <c r="I26" s="0" t="n">
        <v>80.37</v>
      </c>
    </row>
    <row r="27">
      <c r="A27" s="89" t="n">
        <v>45947</v>
      </c>
      <c r="B27" s="0" t="inlineStr">
        <is>
          <t>NSE</t>
        </is>
      </c>
      <c r="C27" s="0" t="inlineStr">
        <is>
          <t>Buy</t>
        </is>
      </c>
      <c r="D27" s="0" t="n">
        <v>1</v>
      </c>
      <c r="E27" s="0" t="n">
        <v>333.55</v>
      </c>
      <c r="F27" s="0" t="n">
        <v>335.91</v>
      </c>
      <c r="G27" s="0" t="inlineStr">
        <is>
          <t>~</t>
        </is>
      </c>
      <c r="H27" s="0" t="n">
        <v>0.33</v>
      </c>
      <c r="I27" s="0" t="n">
        <v>2.03</v>
      </c>
    </row>
    <row r="28">
      <c r="A28" s="89" t="n">
        <v>45947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333.55</v>
      </c>
      <c r="F28" s="0" t="n">
        <v>335.91</v>
      </c>
      <c r="G28" s="0" t="inlineStr">
        <is>
          <t>~</t>
        </is>
      </c>
      <c r="H28" s="0" t="n">
        <v>0.33</v>
      </c>
      <c r="I28" s="0" t="n">
        <v>2.03</v>
      </c>
    </row>
    <row r="29">
      <c r="A29" s="89" t="n">
        <v>45947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333.55</v>
      </c>
      <c r="F29" s="0" t="n">
        <v>671.83</v>
      </c>
      <c r="G29" s="0" t="inlineStr">
        <is>
          <t>~</t>
        </is>
      </c>
      <c r="H29" s="0" t="n">
        <v>0.67</v>
      </c>
      <c r="I29" s="0" t="n">
        <v>4.06</v>
      </c>
    </row>
    <row r="30">
      <c r="A30" s="89" t="n">
        <v>45947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333.55</v>
      </c>
      <c r="F30" s="0" t="n">
        <v>671.83</v>
      </c>
      <c r="G30" s="0" t="inlineStr">
        <is>
          <t>~</t>
        </is>
      </c>
      <c r="H30" s="0" t="n">
        <v>0.67</v>
      </c>
      <c r="I30" s="0" t="n">
        <v>4.06</v>
      </c>
    </row>
    <row r="31">
      <c r="A31" s="89" t="n">
        <v>45947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333.55</v>
      </c>
      <c r="F31" s="0" t="n">
        <v>671.83</v>
      </c>
      <c r="G31" s="0" t="inlineStr">
        <is>
          <t>~</t>
        </is>
      </c>
      <c r="H31" s="0" t="n">
        <v>0.67</v>
      </c>
      <c r="I31" s="0" t="n">
        <v>4.06</v>
      </c>
    </row>
    <row r="32">
      <c r="A32" s="89" t="n">
        <v>45947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333.55</v>
      </c>
      <c r="F32" s="0" t="n">
        <v>671.83</v>
      </c>
      <c r="G32" s="0" t="inlineStr">
        <is>
          <t>~</t>
        </is>
      </c>
      <c r="H32" s="0" t="n">
        <v>0.67</v>
      </c>
      <c r="I32" s="0" t="n">
        <v>4.06</v>
      </c>
    </row>
    <row r="33">
      <c r="A33" s="89" t="n">
        <v>45947</v>
      </c>
      <c r="B33" s="0" t="inlineStr">
        <is>
          <t>NSE</t>
        </is>
      </c>
      <c r="C33" s="0" t="inlineStr">
        <is>
          <t>Buy</t>
        </is>
      </c>
      <c r="D33" s="0" t="n">
        <v>2</v>
      </c>
      <c r="E33" s="0" t="n">
        <v>333.55</v>
      </c>
      <c r="F33" s="0" t="n">
        <v>671.83</v>
      </c>
      <c r="G33" s="0" t="inlineStr">
        <is>
          <t>~</t>
        </is>
      </c>
      <c r="H33" s="0" t="n">
        <v>0.67</v>
      </c>
      <c r="I33" s="0" t="n">
        <v>4.06</v>
      </c>
    </row>
    <row r="34">
      <c r="A34" s="89" t="n">
        <v>45947</v>
      </c>
      <c r="B34" s="0" t="inlineStr">
        <is>
          <t>NSE</t>
        </is>
      </c>
      <c r="C34" s="0" t="inlineStr">
        <is>
          <t>Buy</t>
        </is>
      </c>
      <c r="D34" s="0" t="n">
        <v>1</v>
      </c>
      <c r="E34" s="0" t="n">
        <v>333.55</v>
      </c>
      <c r="F34" s="0" t="n">
        <v>335.91</v>
      </c>
      <c r="G34" s="0" t="inlineStr">
        <is>
          <t>~</t>
        </is>
      </c>
      <c r="H34" s="0" t="n">
        <v>0.33</v>
      </c>
      <c r="I34" s="0" t="n">
        <v>2.03</v>
      </c>
    </row>
    <row r="35">
      <c r="A35" s="89" t="n">
        <v>45947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333.55</v>
      </c>
      <c r="F35" s="0" t="n">
        <v>671.83</v>
      </c>
      <c r="G35" s="0" t="inlineStr">
        <is>
          <t>~</t>
        </is>
      </c>
      <c r="H35" s="0" t="n">
        <v>0.67</v>
      </c>
      <c r="I35" s="0" t="n">
        <v>4.06</v>
      </c>
    </row>
    <row r="36">
      <c r="A36" s="89" t="n">
        <v>45947</v>
      </c>
      <c r="B36" s="0" t="inlineStr">
        <is>
          <t>NSE</t>
        </is>
      </c>
      <c r="C36" s="0" t="inlineStr">
        <is>
          <t>Buy</t>
        </is>
      </c>
      <c r="D36" s="0" t="n">
        <v>1</v>
      </c>
      <c r="E36" s="0" t="n">
        <v>333.55</v>
      </c>
      <c r="F36" s="0" t="n">
        <v>335.91</v>
      </c>
      <c r="G36" s="0" t="inlineStr">
        <is>
          <t>~</t>
        </is>
      </c>
      <c r="H36" s="0" t="n">
        <v>0.33</v>
      </c>
      <c r="I36" s="0" t="n">
        <v>2.03</v>
      </c>
    </row>
    <row r="37">
      <c r="A37" s="89" t="n">
        <v>45947</v>
      </c>
      <c r="B37" s="0" t="inlineStr">
        <is>
          <t>NSE</t>
        </is>
      </c>
      <c r="C37" s="0" t="inlineStr">
        <is>
          <t>Buy</t>
        </is>
      </c>
      <c r="D37" s="0" t="n">
        <v>1</v>
      </c>
      <c r="E37" s="0" t="n">
        <v>333.55</v>
      </c>
      <c r="F37" s="0" t="n">
        <v>335.91</v>
      </c>
      <c r="G37" s="0" t="inlineStr">
        <is>
          <t>~</t>
        </is>
      </c>
      <c r="H37" s="0" t="n">
        <v>0.33</v>
      </c>
      <c r="I37" s="0" t="n">
        <v>2.03</v>
      </c>
    </row>
    <row r="38">
      <c r="A38" s="89" t="n">
        <v>45947</v>
      </c>
      <c r="B38" s="0" t="inlineStr">
        <is>
          <t>NSE</t>
        </is>
      </c>
      <c r="C38" s="0" t="inlineStr">
        <is>
          <t>Buy</t>
        </is>
      </c>
      <c r="D38" s="0" t="n">
        <v>2</v>
      </c>
      <c r="E38" s="0" t="n">
        <v>333.55</v>
      </c>
      <c r="F38" s="0" t="n">
        <v>671.83</v>
      </c>
      <c r="G38" s="0" t="inlineStr">
        <is>
          <t>~</t>
        </is>
      </c>
      <c r="H38" s="0" t="n">
        <v>0.67</v>
      </c>
      <c r="I38" s="0" t="n">
        <v>4.06</v>
      </c>
    </row>
    <row r="39">
      <c r="A39" s="89" t="n">
        <v>45947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333.55</v>
      </c>
      <c r="F39" s="0" t="n">
        <v>335.91</v>
      </c>
      <c r="G39" s="0" t="inlineStr">
        <is>
          <t>~</t>
        </is>
      </c>
      <c r="H39" s="0" t="n">
        <v>0.33</v>
      </c>
      <c r="I39" s="0" t="n">
        <v>2.03</v>
      </c>
    </row>
    <row r="40">
      <c r="A40" s="89" t="n">
        <v>45947</v>
      </c>
      <c r="B40" s="0" t="inlineStr">
        <is>
          <t>NSE</t>
        </is>
      </c>
      <c r="C40" s="0" t="inlineStr">
        <is>
          <t>Buy</t>
        </is>
      </c>
      <c r="D40" s="0" t="n">
        <v>2</v>
      </c>
      <c r="E40" s="0" t="n">
        <v>333.55</v>
      </c>
      <c r="F40" s="0" t="n">
        <v>671.83</v>
      </c>
      <c r="G40" s="0" t="inlineStr">
        <is>
          <t>~</t>
        </is>
      </c>
      <c r="H40" s="0" t="n">
        <v>0.67</v>
      </c>
      <c r="I40" s="0" t="n">
        <v>4.06</v>
      </c>
    </row>
    <row r="41">
      <c r="A41" s="89" t="n">
        <v>45947</v>
      </c>
      <c r="B41" s="0" t="inlineStr">
        <is>
          <t>NSE</t>
        </is>
      </c>
      <c r="C41" s="0" t="inlineStr">
        <is>
          <t>Buy</t>
        </is>
      </c>
      <c r="D41" s="0" t="n">
        <v>2</v>
      </c>
      <c r="E41" s="0" t="n">
        <v>333.55</v>
      </c>
      <c r="F41" s="0" t="n">
        <v>671.83</v>
      </c>
      <c r="G41" s="0" t="inlineStr">
        <is>
          <t>~</t>
        </is>
      </c>
      <c r="H41" s="0" t="n">
        <v>0.67</v>
      </c>
      <c r="I41" s="0" t="n">
        <v>4.06</v>
      </c>
    </row>
    <row r="42">
      <c r="A42" s="89" t="n">
        <v>45947</v>
      </c>
      <c r="B42" s="0" t="inlineStr">
        <is>
          <t>NSE</t>
        </is>
      </c>
      <c r="C42" s="0" t="inlineStr">
        <is>
          <t>Buy</t>
        </is>
      </c>
      <c r="D42" s="0" t="n">
        <v>2</v>
      </c>
      <c r="E42" s="0" t="n">
        <v>333.55</v>
      </c>
      <c r="F42" s="0" t="n">
        <v>671.83</v>
      </c>
      <c r="G42" s="0" t="inlineStr">
        <is>
          <t>~</t>
        </is>
      </c>
      <c r="H42" s="0" t="n">
        <v>0.67</v>
      </c>
      <c r="I42" s="0" t="n">
        <v>4.06</v>
      </c>
    </row>
    <row r="43">
      <c r="A43" s="89" t="n">
        <v>45947</v>
      </c>
      <c r="B43" s="0" t="inlineStr">
        <is>
          <t>NSE</t>
        </is>
      </c>
      <c r="C43" s="0" t="inlineStr">
        <is>
          <t>Buy</t>
        </is>
      </c>
      <c r="D43" s="0" t="n">
        <v>2</v>
      </c>
      <c r="E43" s="0" t="n">
        <v>333.55</v>
      </c>
      <c r="F43" s="0" t="n">
        <v>671.83</v>
      </c>
      <c r="G43" s="0" t="inlineStr">
        <is>
          <t>~</t>
        </is>
      </c>
      <c r="H43" s="0" t="n">
        <v>0.67</v>
      </c>
      <c r="I43" s="0" t="n">
        <v>4.06</v>
      </c>
    </row>
    <row r="44">
      <c r="A44" s="89" t="n">
        <v>45947</v>
      </c>
      <c r="B44" s="0" t="inlineStr">
        <is>
          <t>NSE</t>
        </is>
      </c>
      <c r="C44" s="0" t="inlineStr">
        <is>
          <t>Buy</t>
        </is>
      </c>
      <c r="D44" s="0" t="n">
        <v>1</v>
      </c>
      <c r="E44" s="0" t="n">
        <v>333.55</v>
      </c>
      <c r="F44" s="0" t="n">
        <v>335.91</v>
      </c>
      <c r="G44" s="0" t="inlineStr">
        <is>
          <t>~</t>
        </is>
      </c>
      <c r="H44" s="0" t="n">
        <v>0.33</v>
      </c>
      <c r="I44" s="0" t="n">
        <v>2.03</v>
      </c>
    </row>
    <row r="45">
      <c r="A45" s="89" t="n">
        <v>45947</v>
      </c>
      <c r="B45" s="0" t="inlineStr">
        <is>
          <t>NSE</t>
        </is>
      </c>
      <c r="C45" s="0" t="inlineStr">
        <is>
          <t>Buy</t>
        </is>
      </c>
      <c r="D45" s="0" t="n">
        <v>1</v>
      </c>
      <c r="E45" s="0" t="n">
        <v>333.55</v>
      </c>
      <c r="F45" s="0" t="n">
        <v>335.91</v>
      </c>
      <c r="G45" s="0" t="inlineStr">
        <is>
          <t>~</t>
        </is>
      </c>
      <c r="H45" s="0" t="n">
        <v>0.33</v>
      </c>
      <c r="I45" s="0" t="n">
        <v>2.03</v>
      </c>
    </row>
    <row r="46">
      <c r="A46" s="89" t="n">
        <v>45943</v>
      </c>
      <c r="B46" s="0" t="inlineStr">
        <is>
          <t>BSE</t>
        </is>
      </c>
      <c r="C46" s="0" t="inlineStr">
        <is>
          <t>Buy</t>
        </is>
      </c>
      <c r="D46" s="0" t="n">
        <v>10</v>
      </c>
      <c r="E46" s="0" t="n">
        <v>339.1</v>
      </c>
      <c r="F46" s="0" t="n">
        <v>3414.95</v>
      </c>
      <c r="G46" s="0" t="inlineStr">
        <is>
          <t>~</t>
        </is>
      </c>
      <c r="H46" s="0" t="n">
        <v>3.2</v>
      </c>
      <c r="I46" s="0" t="n">
        <v>20.75</v>
      </c>
    </row>
    <row r="47">
      <c r="A47" s="89" t="n">
        <v>45940</v>
      </c>
      <c r="B47" s="0" t="inlineStr">
        <is>
          <t>NSE</t>
        </is>
      </c>
      <c r="C47" s="0" t="inlineStr">
        <is>
          <t>Buy</t>
        </is>
      </c>
      <c r="D47" s="0" t="n">
        <v>20</v>
      </c>
      <c r="E47" s="0" t="n">
        <v>345.05</v>
      </c>
      <c r="F47" s="0" t="n">
        <v>6950.08</v>
      </c>
      <c r="G47" s="0" t="inlineStr">
        <is>
          <t>~</t>
        </is>
      </c>
      <c r="H47" s="0" t="n">
        <v>7</v>
      </c>
      <c r="I47" s="0" t="n">
        <v>42.08</v>
      </c>
    </row>
    <row r="48">
      <c r="A48" s="38" t="n">
        <v>45950</v>
      </c>
      <c r="B48" s="39" t="inlineStr">
        <is>
          <t>NSE</t>
        </is>
      </c>
      <c r="C48" s="39" t="inlineStr">
        <is>
          <t>Buy</t>
        </is>
      </c>
      <c r="D48" s="40" t="n">
        <v>40</v>
      </c>
      <c r="E48" s="41" t="n">
        <v>333.04</v>
      </c>
      <c r="F48" s="42">
        <f>D5*E5</f>
        <v/>
      </c>
      <c r="G48" s="39" t="inlineStr">
        <is>
          <t>~</t>
        </is>
      </c>
      <c r="H48" s="40" t="n"/>
      <c r="I48" s="40" t="n"/>
      <c r="J48" s="43">
        <f>Index!$C$2</f>
        <v/>
      </c>
      <c r="K48" s="44">
        <f>IF(AND( C5="Buy", ISBLANK(W5), B5&lt;&gt;"DIV"), L5/sum(F5:I5), "")</f>
        <v/>
      </c>
      <c r="L48" s="45">
        <f>IF(AND( C5="Buy", ISBLANK(W5), B5&lt;&gt;"DIV"), (1-Index!$F$2*2)*((J5*D5)-(E5*D5)), "")</f>
        <v/>
      </c>
      <c r="M48" s="45">
        <f>IF(AND( C5="Buy", ISBLANK(W5), B5&lt;&gt;"DIV"), ((E5*D5)+L5), "")</f>
        <v/>
      </c>
      <c r="N48" s="46">
        <f>IF(AND( C5="Buy", ISBLANK(W5), B5&lt;&gt;"DIV"), D5, "")</f>
        <v/>
      </c>
      <c r="O48" s="44">
        <f>IF(AND( C5="Buy", ISBLANK(W5), B5&lt;&gt;"DIV", NOW()-A5 &lt; 365), P5/sum(F5:I5), "")</f>
        <v/>
      </c>
      <c r="P48" s="45">
        <f>IF(AND( C5="Buy", ISBLANK(W5), B5&lt;&gt;"DIV", NOW()-A5 &lt; 365), (1-Index!$F$2*2)*((J5*D5)-(E5*D5)), "")</f>
        <v/>
      </c>
      <c r="Q48" s="45">
        <f>IF(AND( C5="Buy", ISBLANK(W5), B5&lt;&gt;"DIV", NOW()-A5 &lt; 365), ((E5*D5)+P5), "")</f>
        <v/>
      </c>
      <c r="R48" s="45">
        <f>IF(AND( C5="Buy", ISBLANK(W5), B5&lt;&gt;"DIV", NOW()-A5 &lt; 365), D5, "")</f>
        <v/>
      </c>
      <c r="S48" s="47">
        <f>IF(AND( C5="Buy", ISBLANK(W5), B5&lt;&gt;"DIV", NOW()-A5 &gt; 365), T5/sum(F5:I5), "")</f>
        <v/>
      </c>
      <c r="T48" s="48">
        <f>IF(AND( C5="Buy", ISBLANK(W5), B5&lt;&gt;"DIV", NOW()-A5 &gt; 365), (1-Index!$F$2*2)*((J5*D5)-(E5*D5)), "")</f>
        <v/>
      </c>
      <c r="U48" s="48">
        <f>IF(AND( C5="Buy", ISBLANK(W5), B5&lt;&gt;"DIV", NOW()-A5 &gt; 365), ((E5*D5)+T5), "")</f>
        <v/>
      </c>
      <c r="V48" s="48">
        <f>IF(AND( C5="Buy", ISBLANK(W5), B5&lt;&gt;"DIV", NOW()-A5 &gt; 365), D5, "")</f>
        <v/>
      </c>
      <c r="W48" s="49" t="n"/>
      <c r="X48" s="49" t="n"/>
      <c r="Y48" s="50" t="n"/>
      <c r="Z48" s="49" t="n"/>
      <c r="AA48" s="49" t="n"/>
      <c r="AB48" s="51" t="n"/>
      <c r="AC48" s="52" t="n"/>
      <c r="AD48" s="53" t="n"/>
    </row>
    <row r="49">
      <c r="A49" s="38" t="n">
        <v>45947</v>
      </c>
      <c r="B49" s="39" t="inlineStr">
        <is>
          <t>NSE</t>
        </is>
      </c>
      <c r="C49" s="39" t="inlineStr">
        <is>
          <t>Buy</t>
        </is>
      </c>
      <c r="D49" s="40" t="n">
        <v>30</v>
      </c>
      <c r="E49" s="41" t="n">
        <v>335.92</v>
      </c>
      <c r="F49" s="42">
        <f>D6*E6</f>
        <v/>
      </c>
      <c r="G49" s="39" t="inlineStr">
        <is>
          <t>~</t>
        </is>
      </c>
      <c r="H49" s="40" t="n"/>
      <c r="I49" s="40" t="n"/>
      <c r="J49" s="43">
        <f>Index!$C$2</f>
        <v/>
      </c>
      <c r="K49" s="44">
        <f>IF(AND( C6="Buy", ISBLANK(W6), B6&lt;&gt;"DIV"), L6/sum(F6:I6), "")</f>
        <v/>
      </c>
      <c r="L49" s="45">
        <f>IF(AND( C6="Buy", ISBLANK(W6), B6&lt;&gt;"DIV"), (1-Index!$F$2*2)*((J6*D6)-(E6*D6)), "")</f>
        <v/>
      </c>
      <c r="M49" s="45">
        <f>IF(AND( C6="Buy", ISBLANK(W6), B6&lt;&gt;"DIV"), ((E6*D6)+L6), "")</f>
        <v/>
      </c>
      <c r="N49" s="46">
        <f>IF(AND( C6="Buy", ISBLANK(W6), B6&lt;&gt;"DIV"), D6, "")</f>
        <v/>
      </c>
      <c r="O49" s="44">
        <f>IF(AND( C6="Buy", ISBLANK(W6), B6&lt;&gt;"DIV", NOW()-A6 &lt; 365), P6/sum(F6:I6), "")</f>
        <v/>
      </c>
      <c r="P49" s="45">
        <f>IF(AND( C6="Buy", ISBLANK(W6), B6&lt;&gt;"DIV", NOW()-A6 &lt; 365), (1-Index!$F$2*2)*((J6*D6)-(E6*D6)), "")</f>
        <v/>
      </c>
      <c r="Q49" s="45">
        <f>IF(AND( C6="Buy", ISBLANK(W6), B6&lt;&gt;"DIV", NOW()-A6 &lt; 365), ((E6*D6)+P6), "")</f>
        <v/>
      </c>
      <c r="R49" s="45">
        <f>IF(AND( C6="Buy", ISBLANK(W6), B6&lt;&gt;"DIV", NOW()-A6 &lt; 365), D6, "")</f>
        <v/>
      </c>
      <c r="S49" s="47">
        <f>IF(AND( C6="Buy", ISBLANK(W6), B6&lt;&gt;"DIV", NOW()-A6 &gt; 365), T6/sum(F6:I6), "")</f>
        <v/>
      </c>
      <c r="T49" s="48">
        <f>IF(AND( C6="Buy", ISBLANK(W6), B6&lt;&gt;"DIV", NOW()-A6 &gt; 365), (1-Index!$F$2*2)*((J6*D6)-(E6*D6)), "")</f>
        <v/>
      </c>
      <c r="U49" s="48">
        <f>IF(AND( C6="Buy", ISBLANK(W6), B6&lt;&gt;"DIV", NOW()-A6 &gt; 365), ((E6*D6)+T6), "")</f>
        <v/>
      </c>
      <c r="V49" s="48">
        <f>IF(AND( C6="Buy", ISBLANK(W6), B6&lt;&gt;"DIV", NOW()-A6 &gt; 365), D6, "")</f>
        <v/>
      </c>
      <c r="W49" s="49" t="n"/>
      <c r="X49" s="49" t="n"/>
      <c r="Y49" s="50" t="n"/>
      <c r="Z49" s="49" t="n"/>
      <c r="AA49" s="49" t="n"/>
      <c r="AB49" s="51" t="n"/>
      <c r="AC49" s="52" t="n"/>
      <c r="AD49" s="53" t="n"/>
    </row>
    <row r="50">
      <c r="A50" s="38" t="n">
        <v>45943</v>
      </c>
      <c r="B50" s="39" t="inlineStr">
        <is>
          <t>NSE</t>
        </is>
      </c>
      <c r="C50" s="39" t="inlineStr">
        <is>
          <t>Buy</t>
        </is>
      </c>
      <c r="D50" s="40" t="n">
        <v>10</v>
      </c>
      <c r="E50" s="41" t="n">
        <v>341.5</v>
      </c>
      <c r="F50" s="42">
        <f>D7*E7</f>
        <v/>
      </c>
      <c r="G50" s="39" t="inlineStr">
        <is>
          <t>~</t>
        </is>
      </c>
      <c r="H50" s="40" t="n"/>
      <c r="I50" s="40" t="n"/>
      <c r="J50" s="43">
        <f>Index!$C$2</f>
        <v/>
      </c>
      <c r="K50" s="44">
        <f>IF(AND( C7="Buy", ISBLANK(W7), B7&lt;&gt;"DIV"), L7/sum(F7:I7), "")</f>
        <v/>
      </c>
      <c r="L50" s="45">
        <f>IF(AND( C7="Buy", ISBLANK(W7), B7&lt;&gt;"DIV"), (1-Index!$F$2*2)*((J7*D7)-(E7*D7)), "")</f>
        <v/>
      </c>
      <c r="M50" s="45">
        <f>IF(AND( C7="Buy", ISBLANK(W7), B7&lt;&gt;"DIV"), ((E7*D7)+L7), "")</f>
        <v/>
      </c>
      <c r="N50" s="46">
        <f>IF(AND( C7="Buy", ISBLANK(W7), B7&lt;&gt;"DIV"), D7, "")</f>
        <v/>
      </c>
      <c r="O50" s="44">
        <f>IF(AND( C7="Buy", ISBLANK(W7), B7&lt;&gt;"DIV", NOW()-A7 &lt; 365), P7/sum(F7:I7), "")</f>
        <v/>
      </c>
      <c r="P50" s="45">
        <f>IF(AND( C7="Buy", ISBLANK(W7), B7&lt;&gt;"DIV", NOW()-A7 &lt; 365), (1-Index!$F$2*2)*((J7*D7)-(E7*D7)), "")</f>
        <v/>
      </c>
      <c r="Q50" s="45">
        <f>IF(AND( C7="Buy", ISBLANK(W7), B7&lt;&gt;"DIV", NOW()-A7 &lt; 365), ((E7*D7)+P7), "")</f>
        <v/>
      </c>
      <c r="R50" s="45">
        <f>IF(AND( C7="Buy", ISBLANK(W7), B7&lt;&gt;"DIV", NOW()-A7 &lt; 365), D7, "")</f>
        <v/>
      </c>
      <c r="S50" s="47">
        <f>IF(AND( C7="Buy", ISBLANK(W7), B7&lt;&gt;"DIV", NOW()-A7 &gt; 365), T7/sum(F7:I7), "")</f>
        <v/>
      </c>
      <c r="T50" s="48">
        <f>IF(AND( C7="Buy", ISBLANK(W7), B7&lt;&gt;"DIV", NOW()-A7 &gt; 365), (1-Index!$F$2*2)*((J7*D7)-(E7*D7)), "")</f>
        <v/>
      </c>
      <c r="U50" s="48">
        <f>IF(AND( C7="Buy", ISBLANK(W7), B7&lt;&gt;"DIV", NOW()-A7 &gt; 365), ((E7*D7)+T7), "")</f>
        <v/>
      </c>
      <c r="V50" s="48">
        <f>IF(AND( C7="Buy", ISBLANK(W7), B7&lt;&gt;"DIV", NOW()-A7 &gt; 365), D7, "")</f>
        <v/>
      </c>
      <c r="W50" s="49" t="n"/>
      <c r="X50" s="49" t="n"/>
      <c r="Y50" s="50" t="n"/>
      <c r="Z50" s="49" t="n"/>
      <c r="AA50" s="49" t="n"/>
      <c r="AB50" s="51" t="n"/>
      <c r="AC50" s="52" t="n"/>
      <c r="AD50" s="53" t="n"/>
    </row>
    <row r="51">
      <c r="A51" s="38" t="n">
        <v>45940</v>
      </c>
      <c r="B51" s="39" t="inlineStr">
        <is>
          <t>NSE</t>
        </is>
      </c>
      <c r="C51" s="39" t="inlineStr">
        <is>
          <t>Buy</t>
        </is>
      </c>
      <c r="D51" s="40" t="n">
        <v>20</v>
      </c>
      <c r="E51" s="41" t="n">
        <v>347.5</v>
      </c>
      <c r="F51" s="42">
        <f>D8*E8</f>
        <v/>
      </c>
      <c r="G51" s="39" t="inlineStr">
        <is>
          <t>~</t>
        </is>
      </c>
      <c r="H51" s="40" t="n"/>
      <c r="I51" s="40" t="n"/>
      <c r="J51" s="43">
        <f>Index!$C$2</f>
        <v/>
      </c>
      <c r="K51" s="44">
        <f>IF(AND( C8="Buy", ISBLANK(W8), B8&lt;&gt;"DIV"), L8/sum(F8:I8), "")</f>
        <v/>
      </c>
      <c r="L51" s="45">
        <f>IF(AND( C8="Buy", ISBLANK(W8), B8&lt;&gt;"DIV"), (1-Index!$F$2*2)*((J8*D8)-(E8*D8)), "")</f>
        <v/>
      </c>
      <c r="M51" s="45">
        <f>IF(AND( C8="Buy", ISBLANK(W8), B8&lt;&gt;"DIV"), ((E8*D8)+L8), "")</f>
        <v/>
      </c>
      <c r="N51" s="46">
        <f>IF(AND( C8="Buy", ISBLANK(W8), B8&lt;&gt;"DIV"), D8, "")</f>
        <v/>
      </c>
      <c r="O51" s="44">
        <f>IF(AND( C8="Buy", ISBLANK(W8), B8&lt;&gt;"DIV", NOW()-A8 &lt; 365), P8/sum(F8:I8), "")</f>
        <v/>
      </c>
      <c r="P51" s="45">
        <f>IF(AND( C8="Buy", ISBLANK(W8), B8&lt;&gt;"DIV", NOW()-A8 &lt; 365), (1-Index!$F$2*2)*((J8*D8)-(E8*D8)), "")</f>
        <v/>
      </c>
      <c r="Q51" s="45">
        <f>IF(AND( C8="Buy", ISBLANK(W8), B8&lt;&gt;"DIV", NOW()-A8 &lt; 365), ((E8*D8)+P8), "")</f>
        <v/>
      </c>
      <c r="R51" s="45">
        <f>IF(AND( C8="Buy", ISBLANK(W8), B8&lt;&gt;"DIV", NOW()-A8 &lt; 365), D8, "")</f>
        <v/>
      </c>
      <c r="S51" s="47">
        <f>IF(AND( C8="Buy", ISBLANK(W8), B8&lt;&gt;"DIV", NOW()-A8 &gt; 365), T8/sum(F8:I8), "")</f>
        <v/>
      </c>
      <c r="T51" s="48">
        <f>IF(AND( C8="Buy", ISBLANK(W8), B8&lt;&gt;"DIV", NOW()-A8 &gt; 365), (1-Index!$F$2*2)*((J8*D8)-(E8*D8)), "")</f>
        <v/>
      </c>
      <c r="U51" s="48">
        <f>IF(AND( C8="Buy", ISBLANK(W8), B8&lt;&gt;"DIV", NOW()-A8 &gt; 365), ((E8*D8)+T8), "")</f>
        <v/>
      </c>
      <c r="V51" s="48">
        <f>IF(AND( C8="Buy", ISBLANK(W8), B8&lt;&gt;"DIV", NOW()-A8 &gt; 365), D8, "")</f>
        <v/>
      </c>
      <c r="W51" s="49" t="n"/>
      <c r="X51" s="49" t="n"/>
      <c r="Y51" s="50" t="n"/>
      <c r="Z51" s="49" t="n"/>
      <c r="AA51" s="49" t="n"/>
      <c r="AB51" s="51" t="n"/>
      <c r="AC51" s="52" t="n"/>
      <c r="AD51" s="53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M979" s="57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M980" s="57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M981" s="57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M982" s="57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M983" s="57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M984" s="57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M985" s="57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M986" s="57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M987" s="57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W995" s="54" t="n"/>
      <c r="X995" s="54" t="n"/>
      <c r="Y995" s="54" t="n"/>
      <c r="Z995" s="54" t="n"/>
      <c r="AA995" s="54" t="n"/>
      <c r="AB995" s="54" t="n"/>
      <c r="AC995" s="54" t="n"/>
    </row>
    <row r="996">
      <c r="E996" s="54" t="n"/>
      <c r="F996" s="54" t="n"/>
      <c r="G996" s="55" t="n"/>
      <c r="J996" s="54" t="n"/>
      <c r="K996" s="54" t="n"/>
      <c r="L996" s="54" t="n"/>
      <c r="W996" s="54" t="n"/>
      <c r="X996" s="54" t="n"/>
      <c r="Y996" s="54" t="n"/>
      <c r="Z996" s="54" t="n"/>
      <c r="AA996" s="54" t="n"/>
      <c r="AB996" s="54" t="n"/>
      <c r="AC996" s="54" t="n"/>
    </row>
    <row r="997">
      <c r="E997" s="54" t="n"/>
      <c r="F997" s="54" t="n"/>
      <c r="G997" s="55" t="n"/>
      <c r="J997" s="54" t="n"/>
      <c r="K997" s="54" t="n"/>
      <c r="L997" s="54" t="n"/>
      <c r="W997" s="54" t="n"/>
      <c r="X997" s="54" t="n"/>
      <c r="Y997" s="54" t="n"/>
      <c r="Z997" s="54" t="n"/>
      <c r="AA997" s="54" t="n"/>
      <c r="AB997" s="54" t="n"/>
      <c r="AC997" s="54" t="n"/>
    </row>
    <row r="998">
      <c r="E998" s="54" t="n"/>
      <c r="F998" s="54" t="n"/>
      <c r="G998" s="55" t="n"/>
      <c r="J998" s="54" t="n"/>
      <c r="K998" s="54" t="n"/>
      <c r="L998" s="54" t="n"/>
      <c r="W998" s="54" t="n"/>
      <c r="X998" s="54" t="n"/>
      <c r="Y998" s="54" t="n"/>
      <c r="Z998" s="54" t="n"/>
      <c r="AA998" s="54" t="n"/>
      <c r="AB998" s="54" t="n"/>
      <c r="AC998" s="54" t="n"/>
    </row>
    <row r="999">
      <c r="E999" s="54" t="n"/>
      <c r="F999" s="54" t="n"/>
      <c r="G999" s="55" t="n"/>
      <c r="J999" s="54" t="n"/>
      <c r="K999" s="54" t="n"/>
      <c r="L999" s="54" t="n"/>
      <c r="W999" s="54" t="n"/>
      <c r="X999" s="54" t="n"/>
      <c r="Y999" s="54" t="n"/>
      <c r="Z999" s="54" t="n"/>
      <c r="AA999" s="54" t="n"/>
      <c r="AB999" s="54" t="n"/>
      <c r="AC999" s="54" t="n"/>
    </row>
    <row r="1000">
      <c r="E1000" s="54" t="n"/>
      <c r="F1000" s="54" t="n"/>
      <c r="G1000" s="55" t="n"/>
      <c r="J1000" s="54" t="n"/>
      <c r="K1000" s="54" t="n"/>
      <c r="L1000" s="54" t="n"/>
      <c r="W1000" s="54" t="n"/>
      <c r="X1000" s="54" t="n"/>
      <c r="Y1000" s="54" t="n"/>
      <c r="Z1000" s="54" t="n"/>
      <c r="AA1000" s="54" t="n"/>
      <c r="AB1000" s="54" t="n"/>
      <c r="AC1000" s="54" t="n"/>
    </row>
    <row r="1001">
      <c r="E1001" s="54" t="n"/>
      <c r="F1001" s="54" t="n"/>
      <c r="G1001" s="55" t="n"/>
      <c r="J1001" s="54" t="n"/>
      <c r="K1001" s="54" t="n"/>
      <c r="L1001" s="54" t="n"/>
      <c r="W1001" s="54" t="n"/>
      <c r="X1001" s="54" t="n"/>
      <c r="Y1001" s="54" t="n"/>
      <c r="Z1001" s="54" t="n"/>
      <c r="AA1001" s="54" t="n"/>
      <c r="AB1001" s="54" t="n"/>
      <c r="AC1001" s="54" t="n"/>
    </row>
    <row r="1002">
      <c r="E1002" s="54" t="n"/>
      <c r="F1002" s="54" t="n"/>
      <c r="G1002" s="55" t="n"/>
      <c r="J1002" s="54" t="n"/>
      <c r="K1002" s="54" t="n"/>
      <c r="L1002" s="54" t="n"/>
      <c r="W1002" s="54" t="n"/>
      <c r="X1002" s="54" t="n"/>
      <c r="Y1002" s="54" t="n"/>
      <c r="Z1002" s="54" t="n"/>
      <c r="AA1002" s="54" t="n"/>
      <c r="AB1002" s="54" t="n"/>
      <c r="AC1002" s="54" t="n"/>
    </row>
    <row r="1003">
      <c r="E1003" s="54" t="n"/>
      <c r="F1003" s="54" t="n"/>
      <c r="G1003" s="55" t="n"/>
      <c r="J1003" s="54" t="n"/>
      <c r="K1003" s="54" t="n"/>
      <c r="L1003" s="54" t="n"/>
      <c r="W1003" s="54" t="n"/>
      <c r="X1003" s="54" t="n"/>
      <c r="Y1003" s="54" t="n"/>
      <c r="Z1003" s="54" t="n"/>
      <c r="AA1003" s="54" t="n"/>
      <c r="AB1003" s="54" t="n"/>
      <c r="AC1003" s="54" t="n"/>
    </row>
    <row r="1004">
      <c r="E1004" s="54" t="n"/>
      <c r="F1004" s="54" t="n"/>
      <c r="G1004" s="55" t="n"/>
      <c r="J1004" s="54" t="n"/>
      <c r="K1004" s="54" t="n"/>
      <c r="L1004" s="54" t="n"/>
      <c r="W1004" s="54" t="n"/>
      <c r="X1004" s="54" t="n"/>
      <c r="Y1004" s="54" t="n"/>
      <c r="Z1004" s="54" t="n"/>
      <c r="AA1004" s="54" t="n"/>
      <c r="AB1004" s="54" t="n"/>
      <c r="AC1004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 t="n">
        <v>313.05</v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 t="n">
        <v>447.8</v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 t="n">
        <v>301.2</v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2026-02-07T07:12:25Z</dcterms:created>
  <dcterms:modified xmlns:dcterms="http://purl.org/dc/terms/" xmlns:xsi="http://www.w3.org/2001/XMLSchema-instance" xsi:type="dcterms:W3CDTF">2026-02-07T14:33:17Z</dcterms:modified>
</cp:coreProperties>
</file>