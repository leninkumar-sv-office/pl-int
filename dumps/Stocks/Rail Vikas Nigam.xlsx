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A72D82B5_7840_4315_9FC0_BDC333DA1919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317.85</v>
      </c>
      <c r="F5" t="n">
        <v>3194.4</v>
      </c>
      <c r="G5" t="inlineStr">
        <is>
          <t>CN#252611730667</t>
        </is>
      </c>
      <c r="I5" t="n">
        <v>15.9</v>
      </c>
      <c r="J5">
        <f>Index!$C$2</f>
        <v/>
      </c>
    </row>
    <row r="6">
      <c r="A6" s="87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312.2</v>
      </c>
      <c r="F6" s="0" t="n">
        <v>3137.6</v>
      </c>
      <c r="G6" s="0" t="inlineStr">
        <is>
          <t>CN#252611604850</t>
        </is>
      </c>
      <c r="I6" s="0" t="n">
        <v>15.6</v>
      </c>
      <c r="J6" s="0">
        <f>Index!$C$2</f>
        <v/>
      </c>
    </row>
    <row r="7">
      <c r="A7" s="87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321.15</v>
      </c>
      <c r="F7" s="0" t="n">
        <v>3227.6</v>
      </c>
      <c r="G7" s="0" t="inlineStr">
        <is>
          <t>CN#252611485581</t>
        </is>
      </c>
      <c r="I7" s="0" t="n">
        <v>16.1</v>
      </c>
      <c r="J7" s="0">
        <f>Index!$C$2</f>
        <v/>
      </c>
    </row>
    <row r="8">
      <c r="A8" s="87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326.5</v>
      </c>
      <c r="F8" s="0" t="n">
        <v>3281.3</v>
      </c>
      <c r="G8" s="0" t="inlineStr">
        <is>
          <t>CN#252611030591</t>
        </is>
      </c>
      <c r="I8" s="0" t="n">
        <v>16.3</v>
      </c>
      <c r="J8" s="0">
        <f>Index!$C$2</f>
        <v/>
      </c>
    </row>
    <row r="9">
      <c r="A9" s="87" t="n">
        <v>46034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327.5</v>
      </c>
      <c r="F9" s="0" t="n">
        <v>3291.4</v>
      </c>
      <c r="G9" s="0" t="inlineStr">
        <is>
          <t>CN#252610469431</t>
        </is>
      </c>
      <c r="I9" s="0" t="n">
        <v>16.4</v>
      </c>
      <c r="J9" s="0">
        <f>Index!$C$2</f>
        <v/>
      </c>
    </row>
    <row r="10">
      <c r="A10" s="87" t="n">
        <v>46009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303.35</v>
      </c>
      <c r="F10" s="0" t="n">
        <v>3048.7</v>
      </c>
      <c r="G10" s="0" t="inlineStr">
        <is>
          <t>CN#252609527272</t>
        </is>
      </c>
      <c r="I10" s="0" t="n">
        <v>15.2</v>
      </c>
      <c r="J10" s="0">
        <f>Index!$C$2</f>
        <v/>
      </c>
    </row>
    <row r="11">
      <c r="A11" s="87" t="n">
        <v>46008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307.8</v>
      </c>
      <c r="F11" s="0" t="n">
        <v>3093.4</v>
      </c>
      <c r="G11" s="0" t="inlineStr">
        <is>
          <t>CN#252609476500</t>
        </is>
      </c>
      <c r="I11" s="0" t="n">
        <v>15.4</v>
      </c>
      <c r="J11" s="0">
        <f>Index!$C$2</f>
        <v/>
      </c>
    </row>
    <row r="12">
      <c r="A12" s="87" t="n">
        <v>46007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310.25</v>
      </c>
      <c r="F12" s="0" t="n">
        <v>3118</v>
      </c>
      <c r="G12" s="0" t="inlineStr">
        <is>
          <t>CN#252609425003</t>
        </is>
      </c>
      <c r="I12" s="0" t="n">
        <v>15.5</v>
      </c>
      <c r="J12" s="0">
        <f>Index!$C$2</f>
        <v/>
      </c>
    </row>
    <row r="13">
      <c r="A13" s="87" t="n">
        <v>46000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312.35</v>
      </c>
      <c r="F13" s="0" t="n">
        <v>3139.1</v>
      </c>
      <c r="G13" s="0" t="inlineStr">
        <is>
          <t>CN#252609157599</t>
        </is>
      </c>
      <c r="I13" s="0" t="n">
        <v>15.6</v>
      </c>
      <c r="J13" s="0">
        <f>Index!$C$2</f>
        <v/>
      </c>
    </row>
    <row r="14">
      <c r="A14" s="87" t="n">
        <v>45993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319.35</v>
      </c>
      <c r="F14" s="0" t="n">
        <v>3209.5</v>
      </c>
      <c r="G14" s="0" t="inlineStr">
        <is>
          <t>CN#252608877522</t>
        </is>
      </c>
      <c r="I14" s="0" t="n">
        <v>16</v>
      </c>
      <c r="J14" s="0">
        <f>Index!$C$2</f>
        <v/>
      </c>
    </row>
    <row r="15">
      <c r="A15" s="87" t="n">
        <v>45982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315.7</v>
      </c>
      <c r="F15" s="0" t="n">
        <v>6345.6</v>
      </c>
      <c r="G15" s="0" t="inlineStr">
        <is>
          <t>CN#252608495287</t>
        </is>
      </c>
      <c r="I15" s="0" t="n">
        <v>31.6</v>
      </c>
      <c r="J15" s="0">
        <f>Index!$C$2</f>
        <v/>
      </c>
    </row>
    <row r="16">
      <c r="A16" s="87" t="n">
        <v>45978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331.55</v>
      </c>
      <c r="F16" s="0" t="n">
        <v>6664.2</v>
      </c>
      <c r="G16" s="0" t="inlineStr">
        <is>
          <t>CN#252608260909</t>
        </is>
      </c>
      <c r="I16" s="0" t="n">
        <v>33.2</v>
      </c>
      <c r="J16" s="0">
        <f>Index!$C$2</f>
        <v/>
      </c>
    </row>
    <row r="17">
      <c r="A17" s="87" t="n">
        <v>45975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316.35</v>
      </c>
      <c r="F17" s="0" t="n">
        <v>6358.6</v>
      </c>
      <c r="G17" s="0" t="inlineStr">
        <is>
          <t>CN#252608199734</t>
        </is>
      </c>
      <c r="I17" s="0" t="n">
        <v>31.6</v>
      </c>
      <c r="J17" s="0">
        <f>Index!$C$2</f>
        <v/>
      </c>
    </row>
    <row r="18">
      <c r="A18" s="87" t="n">
        <v>45974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317.75</v>
      </c>
      <c r="F18" s="0" t="n">
        <v>3193.4</v>
      </c>
      <c r="G18" s="0" t="inlineStr">
        <is>
          <t>CN#252608142538</t>
        </is>
      </c>
      <c r="I18" s="0" t="n">
        <v>15.9</v>
      </c>
      <c r="J18" s="0">
        <f>Index!$C$2</f>
        <v/>
      </c>
    </row>
    <row r="19">
      <c r="A19" s="87" t="n">
        <v>45972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317.35</v>
      </c>
      <c r="F19" s="0" t="n">
        <v>3189.4</v>
      </c>
      <c r="G19" s="0" t="inlineStr">
        <is>
          <t>CN#252608021091</t>
        </is>
      </c>
      <c r="I19" s="0" t="n">
        <v>15.9</v>
      </c>
      <c r="J19" s="0">
        <f>Index!$C$2</f>
        <v/>
      </c>
    </row>
    <row r="20">
      <c r="A20" s="87" t="n">
        <v>45971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318.15</v>
      </c>
      <c r="F20" s="0" t="n">
        <v>6394.8</v>
      </c>
      <c r="G20" s="0" t="inlineStr">
        <is>
          <t>CN#252607962278</t>
        </is>
      </c>
      <c r="I20" s="0" t="n">
        <v>31.8</v>
      </c>
      <c r="J20" s="0">
        <f>Index!$C$2</f>
        <v/>
      </c>
    </row>
    <row r="21">
      <c r="A21" s="87" t="n">
        <v>45968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315.5</v>
      </c>
      <c r="F21" s="0" t="n">
        <v>6341.6</v>
      </c>
      <c r="G21" s="0" t="inlineStr">
        <is>
          <t>CN#252607899666</t>
        </is>
      </c>
      <c r="I21" s="0" t="n">
        <v>31.6</v>
      </c>
      <c r="J21" s="0">
        <f>Index!$C$2</f>
        <v/>
      </c>
    </row>
    <row r="22">
      <c r="A22" s="87" t="n">
        <v>45961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329.9</v>
      </c>
      <c r="F22" s="0" t="n">
        <v>6631</v>
      </c>
      <c r="G22" s="0" t="inlineStr">
        <is>
          <t>CN#252607606298</t>
        </is>
      </c>
      <c r="I22" s="0" t="n">
        <v>33</v>
      </c>
      <c r="J22" s="0">
        <f>Index!$C$2</f>
        <v/>
      </c>
    </row>
    <row r="23">
      <c r="A23" s="87" t="n">
        <v>45959</v>
      </c>
      <c r="B23" s="0" t="inlineStr">
        <is>
          <t>NSE</t>
        </is>
      </c>
      <c r="C23" s="0" t="inlineStr">
        <is>
          <t>Buy</t>
        </is>
      </c>
      <c r="D23" s="0" t="n">
        <v>30</v>
      </c>
      <c r="E23" s="0" t="n">
        <v>328.3</v>
      </c>
      <c r="F23" s="0" t="n">
        <v>9898.200000000001</v>
      </c>
      <c r="G23" s="0" t="inlineStr">
        <is>
          <t>CN#252607497001</t>
        </is>
      </c>
      <c r="I23" s="0" t="n">
        <v>49.2</v>
      </c>
      <c r="J23" s="0">
        <f>Index!$C$2</f>
        <v/>
      </c>
    </row>
    <row r="24">
      <c r="A24" s="87" t="n">
        <v>45957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329.8</v>
      </c>
      <c r="F24" s="0" t="n">
        <v>3314.5</v>
      </c>
      <c r="G24" s="0" t="inlineStr">
        <is>
          <t>CN#252607382790</t>
        </is>
      </c>
      <c r="I24" s="0" t="n">
        <v>16.5</v>
      </c>
      <c r="J24" s="0">
        <f>Index!$C$2</f>
        <v/>
      </c>
    </row>
    <row r="25">
      <c r="A25" s="87" t="n">
        <v>45967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320.3</v>
      </c>
      <c r="F25" s="0" t="n">
        <v>6438</v>
      </c>
      <c r="G25" s="0" t="inlineStr">
        <is>
          <t>CN#252607785263</t>
        </is>
      </c>
      <c r="I25" s="0" t="n">
        <v>32</v>
      </c>
      <c r="J25" s="0">
        <f>Index!$C$2</f>
        <v/>
      </c>
    </row>
    <row r="26">
      <c r="A26" s="38" t="n">
        <v>45950</v>
      </c>
      <c r="B26" s="39" t="inlineStr">
        <is>
          <t>NSE</t>
        </is>
      </c>
      <c r="C26" s="39" t="inlineStr">
        <is>
          <t>Buy</t>
        </is>
      </c>
      <c r="D26" s="40" t="n">
        <v>40</v>
      </c>
      <c r="E26" s="41" t="n">
        <v>333.04</v>
      </c>
      <c r="F26" s="42">
        <f>D5*E5</f>
        <v/>
      </c>
      <c r="G26" s="39" t="inlineStr">
        <is>
          <t>~</t>
        </is>
      </c>
      <c r="H26" s="40" t="n"/>
      <c r="I26" s="40" t="n"/>
      <c r="J26" s="43">
        <f>Index!$C$2</f>
        <v/>
      </c>
      <c r="K26" s="44">
        <f>IF(AND( C5="Buy", ISBLANK(W5), B5&lt;&gt;"DIV"), L5/sum(F5:I5), "")</f>
        <v/>
      </c>
      <c r="L26" s="45">
        <f>IF(AND( C5="Buy", ISBLANK(W5), B5&lt;&gt;"DIV"), (1-Index!$F$2*2)*((J5*D5)-(E5*D5)), "")</f>
        <v/>
      </c>
      <c r="M26" s="45">
        <f>IF(AND( C5="Buy", ISBLANK(W5), B5&lt;&gt;"DIV"), ((E5*D5)+L5), "")</f>
        <v/>
      </c>
      <c r="N26" s="46">
        <f>IF(AND( C5="Buy", ISBLANK(W5), B5&lt;&gt;"DIV"), D5, "")</f>
        <v/>
      </c>
      <c r="O26" s="44">
        <f>IF(AND( C5="Buy", ISBLANK(W5), B5&lt;&gt;"DIV", NOW()-A5 &lt; 365), P5/sum(F5:I5), "")</f>
        <v/>
      </c>
      <c r="P26" s="45">
        <f>IF(AND( C5="Buy", ISBLANK(W5), B5&lt;&gt;"DIV", NOW()-A5 &lt; 365), (1-Index!$F$2*2)*((J5*D5)-(E5*D5)), "")</f>
        <v/>
      </c>
      <c r="Q26" s="45">
        <f>IF(AND( C5="Buy", ISBLANK(W5), B5&lt;&gt;"DIV", NOW()-A5 &lt; 365), ((E5*D5)+P5), "")</f>
        <v/>
      </c>
      <c r="R26" s="45">
        <f>IF(AND( C5="Buy", ISBLANK(W5), B5&lt;&gt;"DIV", NOW()-A5 &lt; 365), D5, "")</f>
        <v/>
      </c>
      <c r="S26" s="47">
        <f>IF(AND( C5="Buy", ISBLANK(W5), B5&lt;&gt;"DIV", NOW()-A5 &gt; 365), T5/sum(F5:I5), "")</f>
        <v/>
      </c>
      <c r="T26" s="48">
        <f>IF(AND( C5="Buy", ISBLANK(W5), B5&lt;&gt;"DIV", NOW()-A5 &gt; 365), (1-Index!$F$2*2)*((J5*D5)-(E5*D5)), "")</f>
        <v/>
      </c>
      <c r="U26" s="48">
        <f>IF(AND( C5="Buy", ISBLANK(W5), B5&lt;&gt;"DIV", NOW()-A5 &gt; 365), ((E5*D5)+T5), "")</f>
        <v/>
      </c>
      <c r="V26" s="48">
        <f>IF(AND( C5="Buy", ISBLANK(W5), B5&lt;&gt;"DIV", NOW()-A5 &gt; 365), D5, "")</f>
        <v/>
      </c>
      <c r="W26" s="49" t="n"/>
      <c r="X26" s="49" t="n"/>
      <c r="Y26" s="50" t="n"/>
      <c r="Z26" s="49" t="n"/>
      <c r="AA26" s="49" t="n"/>
      <c r="AB26" s="51" t="n"/>
      <c r="AC26" s="52" t="n"/>
      <c r="AD26" s="53" t="n"/>
    </row>
    <row r="27">
      <c r="A27" s="38" t="n">
        <v>45947</v>
      </c>
      <c r="B27" s="39" t="inlineStr">
        <is>
          <t>NSE</t>
        </is>
      </c>
      <c r="C27" s="39" t="inlineStr">
        <is>
          <t>Buy</t>
        </is>
      </c>
      <c r="D27" s="40" t="n">
        <v>30</v>
      </c>
      <c r="E27" s="41" t="n">
        <v>335.92</v>
      </c>
      <c r="F27" s="42">
        <f>D6*E6</f>
        <v/>
      </c>
      <c r="G27" s="39" t="inlineStr">
        <is>
          <t>~</t>
        </is>
      </c>
      <c r="H27" s="40" t="n"/>
      <c r="I27" s="40" t="n"/>
      <c r="J27" s="43">
        <f>Index!$C$2</f>
        <v/>
      </c>
      <c r="K27" s="44">
        <f>IF(AND( C6="Buy", ISBLANK(W6), B6&lt;&gt;"DIV"), L6/sum(F6:I6), "")</f>
        <v/>
      </c>
      <c r="L27" s="45">
        <f>IF(AND( C6="Buy", ISBLANK(W6), B6&lt;&gt;"DIV"), (1-Index!$F$2*2)*((J6*D6)-(E6*D6)), "")</f>
        <v/>
      </c>
      <c r="M27" s="45">
        <f>IF(AND( C6="Buy", ISBLANK(W6), B6&lt;&gt;"DIV"), ((E6*D6)+L6), "")</f>
        <v/>
      </c>
      <c r="N27" s="46">
        <f>IF(AND( C6="Buy", ISBLANK(W6), B6&lt;&gt;"DIV"), D6, "")</f>
        <v/>
      </c>
      <c r="O27" s="44">
        <f>IF(AND( C6="Buy", ISBLANK(W6), B6&lt;&gt;"DIV", NOW()-A6 &lt; 365), P6/sum(F6:I6), "")</f>
        <v/>
      </c>
      <c r="P27" s="45">
        <f>IF(AND( C6="Buy", ISBLANK(W6), B6&lt;&gt;"DIV", NOW()-A6 &lt; 365), (1-Index!$F$2*2)*((J6*D6)-(E6*D6)), "")</f>
        <v/>
      </c>
      <c r="Q27" s="45">
        <f>IF(AND( C6="Buy", ISBLANK(W6), B6&lt;&gt;"DIV", NOW()-A6 &lt; 365), ((E6*D6)+P6), "")</f>
        <v/>
      </c>
      <c r="R27" s="45">
        <f>IF(AND( C6="Buy", ISBLANK(W6), B6&lt;&gt;"DIV", NOW()-A6 &lt; 365), D6, "")</f>
        <v/>
      </c>
      <c r="S27" s="47">
        <f>IF(AND( C6="Buy", ISBLANK(W6), B6&lt;&gt;"DIV", NOW()-A6 &gt; 365), T6/sum(F6:I6), "")</f>
        <v/>
      </c>
      <c r="T27" s="48">
        <f>IF(AND( C6="Buy", ISBLANK(W6), B6&lt;&gt;"DIV", NOW()-A6 &gt; 365), (1-Index!$F$2*2)*((J6*D6)-(E6*D6)), "")</f>
        <v/>
      </c>
      <c r="U27" s="48">
        <f>IF(AND( C6="Buy", ISBLANK(W6), B6&lt;&gt;"DIV", NOW()-A6 &gt; 365), ((E6*D6)+T6), "")</f>
        <v/>
      </c>
      <c r="V27" s="48">
        <f>IF(AND( C6="Buy", ISBLANK(W6), B6&lt;&gt;"DIV", NOW()-A6 &gt; 365), D6, "")</f>
        <v/>
      </c>
      <c r="W27" s="49" t="n"/>
      <c r="X27" s="49" t="n"/>
      <c r="Y27" s="50" t="n"/>
      <c r="Z27" s="49" t="n"/>
      <c r="AA27" s="49" t="n"/>
      <c r="AB27" s="51" t="n"/>
      <c r="AC27" s="52" t="n"/>
      <c r="AD27" s="53" t="n"/>
    </row>
    <row r="28">
      <c r="A28" s="38" t="n">
        <v>45943</v>
      </c>
      <c r="B28" s="39" t="inlineStr">
        <is>
          <t>NSE</t>
        </is>
      </c>
      <c r="C28" s="39" t="inlineStr">
        <is>
          <t>Buy</t>
        </is>
      </c>
      <c r="D28" s="40" t="n">
        <v>10</v>
      </c>
      <c r="E28" s="41" t="n">
        <v>341.5</v>
      </c>
      <c r="F28" s="42">
        <f>D7*E7</f>
        <v/>
      </c>
      <c r="G28" s="39" t="inlineStr">
        <is>
          <t>~</t>
        </is>
      </c>
      <c r="H28" s="40" t="n"/>
      <c r="I28" s="40" t="n"/>
      <c r="J28" s="43">
        <f>Index!$C$2</f>
        <v/>
      </c>
      <c r="K28" s="44">
        <f>IF(AND( C7="Buy", ISBLANK(W7), B7&lt;&gt;"DIV"), L7/sum(F7:I7), "")</f>
        <v/>
      </c>
      <c r="L28" s="45">
        <f>IF(AND( C7="Buy", ISBLANK(W7), B7&lt;&gt;"DIV"), (1-Index!$F$2*2)*((J7*D7)-(E7*D7)), "")</f>
        <v/>
      </c>
      <c r="M28" s="45">
        <f>IF(AND( C7="Buy", ISBLANK(W7), B7&lt;&gt;"DIV"), ((E7*D7)+L7), "")</f>
        <v/>
      </c>
      <c r="N28" s="46">
        <f>IF(AND( C7="Buy", ISBLANK(W7), B7&lt;&gt;"DIV"), D7, "")</f>
        <v/>
      </c>
      <c r="O28" s="44">
        <f>IF(AND( C7="Buy", ISBLANK(W7), B7&lt;&gt;"DIV", NOW()-A7 &lt; 365), P7/sum(F7:I7), "")</f>
        <v/>
      </c>
      <c r="P28" s="45">
        <f>IF(AND( C7="Buy", ISBLANK(W7), B7&lt;&gt;"DIV", NOW()-A7 &lt; 365), (1-Index!$F$2*2)*((J7*D7)-(E7*D7)), "")</f>
        <v/>
      </c>
      <c r="Q28" s="45">
        <f>IF(AND( C7="Buy", ISBLANK(W7), B7&lt;&gt;"DIV", NOW()-A7 &lt; 365), ((E7*D7)+P7), "")</f>
        <v/>
      </c>
      <c r="R28" s="45">
        <f>IF(AND( C7="Buy", ISBLANK(W7), B7&lt;&gt;"DIV", NOW()-A7 &lt; 365), D7, "")</f>
        <v/>
      </c>
      <c r="S28" s="47">
        <f>IF(AND( C7="Buy", ISBLANK(W7), B7&lt;&gt;"DIV", NOW()-A7 &gt; 365), T7/sum(F7:I7), "")</f>
        <v/>
      </c>
      <c r="T28" s="48">
        <f>IF(AND( C7="Buy", ISBLANK(W7), B7&lt;&gt;"DIV", NOW()-A7 &gt; 365), (1-Index!$F$2*2)*((J7*D7)-(E7*D7)), "")</f>
        <v/>
      </c>
      <c r="U28" s="48">
        <f>IF(AND( C7="Buy", ISBLANK(W7), B7&lt;&gt;"DIV", NOW()-A7 &gt; 365), ((E7*D7)+T7), "")</f>
        <v/>
      </c>
      <c r="V28" s="48">
        <f>IF(AND( C7="Buy", ISBLANK(W7), B7&lt;&gt;"DIV", NOW()-A7 &gt; 365), D7, "")</f>
        <v/>
      </c>
      <c r="W28" s="49" t="n"/>
      <c r="X28" s="49" t="n"/>
      <c r="Y28" s="50" t="n"/>
      <c r="Z28" s="49" t="n"/>
      <c r="AA28" s="49" t="n"/>
      <c r="AB28" s="51" t="n"/>
      <c r="AC28" s="52" t="n"/>
      <c r="AD28" s="53" t="n"/>
    </row>
    <row r="29">
      <c r="A29" s="38" t="n">
        <v>45940</v>
      </c>
      <c r="B29" s="39" t="inlineStr">
        <is>
          <t>NSE</t>
        </is>
      </c>
      <c r="C29" s="39" t="inlineStr">
        <is>
          <t>Buy</t>
        </is>
      </c>
      <c r="D29" s="40" t="n">
        <v>20</v>
      </c>
      <c r="E29" s="41" t="n">
        <v>347.5</v>
      </c>
      <c r="F29" s="42">
        <f>D8*E8</f>
        <v/>
      </c>
      <c r="G29" s="39" t="inlineStr">
        <is>
          <t>~</t>
        </is>
      </c>
      <c r="H29" s="40" t="n"/>
      <c r="I29" s="40" t="n"/>
      <c r="J29" s="43">
        <f>Index!$C$2</f>
        <v/>
      </c>
      <c r="K29" s="44">
        <f>IF(AND( C8="Buy", ISBLANK(W8), B8&lt;&gt;"DIV"), L8/sum(F8:I8), "")</f>
        <v/>
      </c>
      <c r="L29" s="45">
        <f>IF(AND( C8="Buy", ISBLANK(W8), B8&lt;&gt;"DIV"), (1-Index!$F$2*2)*((J8*D8)-(E8*D8)), "")</f>
        <v/>
      </c>
      <c r="M29" s="45">
        <f>IF(AND( C8="Buy", ISBLANK(W8), B8&lt;&gt;"DIV"), ((E8*D8)+L8), "")</f>
        <v/>
      </c>
      <c r="N29" s="46">
        <f>IF(AND( C8="Buy", ISBLANK(W8), B8&lt;&gt;"DIV"), D8, "")</f>
        <v/>
      </c>
      <c r="O29" s="44">
        <f>IF(AND( C8="Buy", ISBLANK(W8), B8&lt;&gt;"DIV", NOW()-A8 &lt; 365), P8/sum(F8:I8), "")</f>
        <v/>
      </c>
      <c r="P29" s="45">
        <f>IF(AND( C8="Buy", ISBLANK(W8), B8&lt;&gt;"DIV", NOW()-A8 &lt; 365), (1-Index!$F$2*2)*((J8*D8)-(E8*D8)), "")</f>
        <v/>
      </c>
      <c r="Q29" s="45">
        <f>IF(AND( C8="Buy", ISBLANK(W8), B8&lt;&gt;"DIV", NOW()-A8 &lt; 365), ((E8*D8)+P8), "")</f>
        <v/>
      </c>
      <c r="R29" s="45">
        <f>IF(AND( C8="Buy", ISBLANK(W8), B8&lt;&gt;"DIV", NOW()-A8 &lt; 365), D8, "")</f>
        <v/>
      </c>
      <c r="S29" s="47">
        <f>IF(AND( C8="Buy", ISBLANK(W8), B8&lt;&gt;"DIV", NOW()-A8 &gt; 365), T8/sum(F8:I8), "")</f>
        <v/>
      </c>
      <c r="T29" s="48">
        <f>IF(AND( C8="Buy", ISBLANK(W8), B8&lt;&gt;"DIV", NOW()-A8 &gt; 365), (1-Index!$F$2*2)*((J8*D8)-(E8*D8)), "")</f>
        <v/>
      </c>
      <c r="U29" s="48">
        <f>IF(AND( C8="Buy", ISBLANK(W8), B8&lt;&gt;"DIV", NOW()-A8 &gt; 365), ((E8*D8)+T8), "")</f>
        <v/>
      </c>
      <c r="V29" s="48">
        <f>IF(AND( C8="Buy", ISBLANK(W8), B8&lt;&gt;"DIV", NOW()-A8 &gt; 365), D8, "")</f>
        <v/>
      </c>
      <c r="W29" s="49" t="n"/>
      <c r="X29" s="49" t="n"/>
      <c r="Y29" s="50" t="n"/>
      <c r="Z29" s="49" t="n"/>
      <c r="AA29" s="49" t="n"/>
      <c r="AB29" s="51" t="n"/>
      <c r="AC29" s="52" t="n"/>
      <c r="AD29" s="53" t="n"/>
    </row>
    <row r="30">
      <c r="E30" s="54" t="n"/>
      <c r="F30" s="54" t="n"/>
      <c r="G30" s="55" t="n"/>
      <c r="J30" s="54" t="n"/>
      <c r="K30" s="54" t="n"/>
      <c r="L30" s="54" t="n"/>
      <c r="M30" s="57" t="n"/>
      <c r="W30" s="54" t="n"/>
      <c r="X30" s="54" t="n"/>
      <c r="Y30" s="54" t="n"/>
      <c r="Z30" s="54" t="n"/>
      <c r="AA30" s="54" t="n"/>
      <c r="AB30" s="54" t="n"/>
      <c r="AC30" s="54" t="n"/>
    </row>
    <row r="31">
      <c r="E31" s="54" t="n"/>
      <c r="F31" s="54" t="n"/>
      <c r="G31" s="55" t="n"/>
      <c r="J31" s="54" t="n"/>
      <c r="K31" s="54" t="n"/>
      <c r="L31" s="54" t="n"/>
      <c r="M31" s="57" t="n"/>
      <c r="W31" s="54" t="n"/>
      <c r="X31" s="54" t="n"/>
      <c r="Y31" s="54" t="n"/>
      <c r="Z31" s="54" t="n"/>
      <c r="AA31" s="54" t="n"/>
      <c r="AB31" s="54" t="n"/>
      <c r="AC31" s="54" t="n"/>
    </row>
    <row r="32">
      <c r="E32" s="54" t="n"/>
      <c r="F32" s="54" t="n"/>
      <c r="G32" s="55" t="n"/>
      <c r="J32" s="54" t="n"/>
      <c r="K32" s="54" t="n"/>
      <c r="L32" s="54" t="n"/>
      <c r="M32" s="57" t="n"/>
      <c r="W32" s="54" t="n"/>
      <c r="X32" s="54" t="n"/>
      <c r="Y32" s="54" t="n"/>
      <c r="Z32" s="54" t="n"/>
      <c r="AA32" s="54" t="n"/>
      <c r="AB32" s="54" t="n"/>
      <c r="AC32" s="54" t="n"/>
    </row>
    <row r="33">
      <c r="E33" s="54" t="n"/>
      <c r="F33" s="54" t="n"/>
      <c r="G33" s="55" t="n"/>
      <c r="J33" s="54" t="n"/>
      <c r="K33" s="54" t="n"/>
      <c r="L33" s="54" t="n"/>
      <c r="M33" s="57" t="n"/>
      <c r="W33" s="54" t="n"/>
      <c r="X33" s="54" t="n"/>
      <c r="Y33" s="54" t="n"/>
      <c r="Z33" s="54" t="n"/>
      <c r="AA33" s="54" t="n"/>
      <c r="AB33" s="54" t="n"/>
      <c r="AC33" s="54" t="n"/>
    </row>
    <row r="34">
      <c r="E34" s="54" t="n"/>
      <c r="F34" s="54" t="n"/>
      <c r="G34" s="55" t="n"/>
      <c r="J34" s="54" t="n"/>
      <c r="K34" s="54" t="n"/>
      <c r="L34" s="54" t="n"/>
      <c r="M34" s="57" t="n"/>
      <c r="W34" s="54" t="n"/>
      <c r="X34" s="54" t="n"/>
      <c r="Y34" s="54" t="n"/>
      <c r="Z34" s="54" t="n"/>
      <c r="AA34" s="54" t="n"/>
      <c r="AB34" s="54" t="n"/>
      <c r="AC34" s="54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W982" s="54" t="n"/>
      <c r="X982" s="54" t="n"/>
      <c r="Y982" s="54" t="n"/>
      <c r="Z982" s="54" t="n"/>
      <c r="AA982" s="54" t="n"/>
      <c r="AB982" s="54" t="n"/>
      <c r="AC982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""price"")"),316.55)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""high52"")"),447.8)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""low52"")"),301.2)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2026-02-12T03:15:30Z</dcterms:created>
  <dcterms:modified xmlns:dcterms="http://purl.org/dc/terms/" xmlns:xsi="http://www.w3.org/2001/XMLSchema-instance" xsi:type="dcterms:W3CDTF">2026-02-12T03:25:43Z</dcterms:modified>
</cp:coreProperties>
</file>