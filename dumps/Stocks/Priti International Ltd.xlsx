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History'!$A$4:$AD$20</definedName>
    <definedName hidden="1" localSheetId="0" name="Z_2D0BF067_022D_4275_A861_6E86AE8C88C6_.wvu.FilterData">'Trading History'!$A$4:$AO$50</definedName>
  </definedNames>
  <calcPr/>
  <customWorkbookViews>
    <customWorkbookView activeSheetId="0" maximized="1" windowHeight="0" windowWidth="0" guid="{2D0BF067-022D-4275-A861-6E86AE8C88C6}" name="Filter 1"/>
  </customWorkbookViews>
</workbook>
</file>

<file path=xl/sharedStrings.xml><?xml version="1.0" encoding="utf-8"?>
<sst xmlns="http://schemas.openxmlformats.org/spreadsheetml/2006/main" count="332" uniqueCount="49">
  <si>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</si>
  <si>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</si>
  <si>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</si>
  <si>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</si>
  <si>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</si>
  <si>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</si>
  <si>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</si>
  <si>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</si>
  <si>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</si>
  <si>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</si>
  <si>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</si>
  <si>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</si>
  <si>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</si>
  <si>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</si>
  <si>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</si>
  <si>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</si>
  <si>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</si>
  <si>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</si>
  <si>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</si>
  <si>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</si>
  <si>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</si>
  <si>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</si>
  <si>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</si>
  <si>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</si>
  <si>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</si>
  <si>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</si>
  <si>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</si>
  <si>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</si>
  <si>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</si>
  <si>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Sell</t>
  </si>
  <si>
    <t>Code</t>
  </si>
  <si>
    <t>NSE:PRITI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</si>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</sst>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5" fillId="0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0" fillId="0" fontId="7" numFmtId="0" xfId="0" applyFont="1"/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45811.0</v>
      </c>
      <c r="B5" s="39" t="s">
        <v>26</v>
      </c>
      <c r="C5" s="39" t="s">
        <v>27</v>
      </c>
      <c r="D5" s="40">
        <v>36.0</v>
      </c>
      <c r="E5" s="41">
        <v>98.59</v>
      </c>
      <c r="F5" s="41">
        <v>3549.42</v>
      </c>
      <c r="G5" s="39" t="s">
        <v>28</v>
      </c>
      <c r="H5" s="40">
        <v>3.53</v>
      </c>
      <c r="I5" s="40">
        <v>21.49</v>
      </c>
      <c r="J5" s="42">
        <f>Index!$C$2</f>
        <v>53</v>
      </c>
      <c r="K5" s="43">
        <f t="shared" ref="K5:K11" si="1">IF(AND( C5="Buy", ISBLANK(W5), B5&lt;&gt;"DIV"), L5/sum(F5:I5), "")</f>
        <v>-0.4527317957</v>
      </c>
      <c r="L5" s="44">
        <f>IF(AND( C5="Buy", ISBLANK(W5), B5&lt;&gt;"DIV"), (1-Index!$F$2*2)*((J5*D5)-(E5*D5)), "")</f>
        <v>-1618.26264</v>
      </c>
      <c r="M5" s="44">
        <f t="shared" ref="M5:M11" si="2">IF(AND( C5="Buy", ISBLANK(W5), B5&lt;&gt;"DIV"), ((E5*D5)+L5), "")</f>
        <v>1930.97736</v>
      </c>
      <c r="N5" s="45">
        <f t="shared" ref="N5:N11" si="3">IF(AND( C5="Buy", ISBLANK(W5), B5&lt;&gt;"DIV"), D5, "")</f>
        <v>36</v>
      </c>
      <c r="O5" s="43">
        <f t="shared" ref="O5:O11" si="4">IF(AND( C5="Buy", ISBLANK(W5), B5&lt;&gt;"DIV", NOW()-A5 &lt; 365), P5/sum(F5:I5), "")</f>
        <v>-0.4527317957</v>
      </c>
      <c r="P5" s="44">
        <f>IF(AND( C5="Buy", ISBLANK(W5), B5&lt;&gt;"DIV", NOW()-A5 &lt; 365), (1-Index!$F$2*2)*((J5*D5)-(E5*D5)), "")</f>
        <v>-1618.26264</v>
      </c>
      <c r="Q5" s="44">
        <f t="shared" ref="Q5:Q11" si="5">IF(AND( C5="Buy", ISBLANK(W5), B5&lt;&gt;"DIV", NOW()-A5 &lt; 365), ((E5*D5)+P5), "")</f>
        <v>1930.97736</v>
      </c>
      <c r="R5" s="44">
        <f t="shared" ref="R5:R11" si="6">IF(AND( C5="Buy", ISBLANK(W5), B5&lt;&gt;"DIV", NOW()-A5 &lt; 365), D5, "")</f>
        <v>36</v>
      </c>
      <c r="S5" s="46" t="str">
        <f t="shared" ref="S5:S11" si="7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11" si="8">IF(AND( C5="Buy", ISBLANK(W5), B5&lt;&gt;"DIV", NOW()-A5 &gt; 365), ((E5*D5)+T5), "")</f>
        <v/>
      </c>
      <c r="V5" s="47" t="str">
        <f t="shared" ref="V5:V11" si="9">IF(AND( C5="Buy", ISBLANK(W5), B5&lt;&gt;"DIV", NOW()-A5 &gt; 365), D5, "")</f>
        <v/>
      </c>
      <c r="W5" s="47"/>
      <c r="X5" s="47"/>
      <c r="Y5" s="46" t="str">
        <f t="shared" ref="Y5:Y20" si="10">IF(AND( C5="Buy", W5&lt;&gt;"", AA5&lt;&gt;"", B5&lt;&gt;"DIV"), Z5/sum(F5:I5), "")</f>
        <v/>
      </c>
      <c r="Z5" s="47"/>
      <c r="AA5" s="47"/>
      <c r="AB5" s="48"/>
      <c r="AC5" s="44" t="str">
        <f t="shared" ref="AC5:AC9" si="11">if(B5="DIV", F5,"")</f>
        <v/>
      </c>
      <c r="AD5" s="49"/>
    </row>
    <row r="6">
      <c r="A6" s="38">
        <v>45811.0</v>
      </c>
      <c r="B6" s="39" t="s">
        <v>26</v>
      </c>
      <c r="C6" s="39" t="s">
        <v>27</v>
      </c>
      <c r="D6" s="40">
        <v>14.0</v>
      </c>
      <c r="E6" s="41">
        <v>98.58</v>
      </c>
      <c r="F6" s="41">
        <v>1380.17</v>
      </c>
      <c r="G6" s="39" t="s">
        <v>28</v>
      </c>
      <c r="H6" s="40">
        <v>1.37</v>
      </c>
      <c r="I6" s="40">
        <v>8.34</v>
      </c>
      <c r="J6" s="42">
        <f>Index!$C$2</f>
        <v>53</v>
      </c>
      <c r="K6" s="43">
        <f t="shared" si="1"/>
        <v>-0.45269111</v>
      </c>
      <c r="L6" s="44">
        <f>IF(AND( C6="Buy", ISBLANK(W6), B6&lt;&gt;"DIV"), (1-Index!$F$2*2)*((J6*D6)-(E6*D6)), "")</f>
        <v>-629.18632</v>
      </c>
      <c r="M6" s="44">
        <f t="shared" si="2"/>
        <v>750.93368</v>
      </c>
      <c r="N6" s="45">
        <f t="shared" si="3"/>
        <v>14</v>
      </c>
      <c r="O6" s="43">
        <f t="shared" si="4"/>
        <v>-0.45269111</v>
      </c>
      <c r="P6" s="44">
        <f>IF(AND( C6="Buy", ISBLANK(W6), B6&lt;&gt;"DIV", NOW()-A6 &lt; 365), (1-Index!$F$2*2)*((J6*D6)-(E6*D6)), "")</f>
        <v>-629.18632</v>
      </c>
      <c r="Q6" s="44">
        <f t="shared" si="5"/>
        <v>750.93368</v>
      </c>
      <c r="R6" s="44">
        <f t="shared" si="6"/>
        <v>14</v>
      </c>
      <c r="S6" s="46" t="str">
        <f t="shared" si="7"/>
        <v/>
      </c>
      <c r="T6" s="47" t="str">
        <f>IF(AND( C6="Buy", ISBLANK(W6), B6&lt;&gt;"DIV", NOW()-A6 &gt; 365), (1-Index!$F$2*2)*((J6*D6)-(E6*D6)), "")</f>
        <v/>
      </c>
      <c r="U6" s="47" t="str">
        <f t="shared" si="8"/>
        <v/>
      </c>
      <c r="V6" s="47" t="str">
        <f t="shared" si="9"/>
        <v/>
      </c>
      <c r="W6" s="47"/>
      <c r="X6" s="47"/>
      <c r="Y6" s="46" t="str">
        <f t="shared" si="10"/>
        <v/>
      </c>
      <c r="Z6" s="47"/>
      <c r="AA6" s="47"/>
      <c r="AB6" s="48"/>
      <c r="AC6" s="44" t="str">
        <f t="shared" si="11"/>
        <v/>
      </c>
      <c r="AD6" s="49"/>
    </row>
    <row r="7">
      <c r="A7" s="50">
        <v>45705.0</v>
      </c>
      <c r="B7" s="51" t="s">
        <v>26</v>
      </c>
      <c r="C7" s="51" t="s">
        <v>27</v>
      </c>
      <c r="D7" s="52">
        <v>28.0</v>
      </c>
      <c r="E7" s="53">
        <v>105.17</v>
      </c>
      <c r="F7" s="53">
        <v>2944.7</v>
      </c>
      <c r="G7" s="51" t="s">
        <v>28</v>
      </c>
      <c r="H7" s="52">
        <v>2.93</v>
      </c>
      <c r="I7" s="52">
        <v>17.73</v>
      </c>
      <c r="J7" s="42">
        <f>Index!$C$2</f>
        <v>53</v>
      </c>
      <c r="K7" s="43">
        <f t="shared" si="1"/>
        <v>-0.4857114684</v>
      </c>
      <c r="L7" s="44">
        <f>IF(AND( C7="Buy", ISBLANK(W7), B7&lt;&gt;"DIV"), (1-Index!$F$2*2)*((J7*D7)-(E7*D7)), "")</f>
        <v>-1440.30936</v>
      </c>
      <c r="M7" s="44">
        <f t="shared" si="2"/>
        <v>1504.45064</v>
      </c>
      <c r="N7" s="45">
        <f t="shared" si="3"/>
        <v>28</v>
      </c>
      <c r="O7" s="43">
        <f t="shared" si="4"/>
        <v>-0.4857114684</v>
      </c>
      <c r="P7" s="44">
        <f>IF(AND( C7="Buy", ISBLANK(W7), B7&lt;&gt;"DIV", NOW()-A7 &lt; 365), (1-Index!$F$2*2)*((J7*D7)-(E7*D7)), "")</f>
        <v>-1440.30936</v>
      </c>
      <c r="Q7" s="44">
        <f t="shared" si="5"/>
        <v>1504.45064</v>
      </c>
      <c r="R7" s="44">
        <f t="shared" si="6"/>
        <v>28</v>
      </c>
      <c r="S7" s="46" t="str">
        <f t="shared" si="7"/>
        <v/>
      </c>
      <c r="T7" s="47" t="str">
        <f>IF(AND( C7="Buy", ISBLANK(W7), B7&lt;&gt;"DIV", NOW()-A7 &gt; 365), (1-Index!$F$2*2)*((J7*D7)-(E7*D7)), "")</f>
        <v/>
      </c>
      <c r="U7" s="47" t="str">
        <f t="shared" si="8"/>
        <v/>
      </c>
      <c r="V7" s="47" t="str">
        <f t="shared" si="9"/>
        <v/>
      </c>
      <c r="W7" s="47"/>
      <c r="X7" s="47"/>
      <c r="Y7" s="46" t="str">
        <f t="shared" si="10"/>
        <v/>
      </c>
      <c r="Z7" s="47"/>
      <c r="AA7" s="47"/>
      <c r="AB7" s="48"/>
      <c r="AC7" s="44" t="str">
        <f t="shared" si="11"/>
        <v/>
      </c>
      <c r="AD7" s="49"/>
    </row>
    <row r="8">
      <c r="A8" s="50">
        <v>45705.0</v>
      </c>
      <c r="B8" s="51" t="s">
        <v>26</v>
      </c>
      <c r="C8" s="51" t="s">
        <v>27</v>
      </c>
      <c r="D8" s="52">
        <v>12.0</v>
      </c>
      <c r="E8" s="53">
        <v>105.18</v>
      </c>
      <c r="F8" s="53">
        <v>1262.12</v>
      </c>
      <c r="G8" s="51" t="s">
        <v>28</v>
      </c>
      <c r="H8" s="52">
        <v>1.25</v>
      </c>
      <c r="I8" s="52">
        <v>7.59</v>
      </c>
      <c r="J8" s="42">
        <f>Index!$C$2</f>
        <v>53</v>
      </c>
      <c r="K8" s="43">
        <f t="shared" si="1"/>
        <v>-0.485769623</v>
      </c>
      <c r="L8" s="44">
        <f>IF(AND( C8="Buy", ISBLANK(W8), B8&lt;&gt;"DIV"), (1-Index!$F$2*2)*((J8*D8)-(E8*D8)), "")</f>
        <v>-617.39376</v>
      </c>
      <c r="M8" s="44">
        <f t="shared" si="2"/>
        <v>644.76624</v>
      </c>
      <c r="N8" s="45">
        <f t="shared" si="3"/>
        <v>12</v>
      </c>
      <c r="O8" s="43">
        <f t="shared" si="4"/>
        <v>-0.485769623</v>
      </c>
      <c r="P8" s="44">
        <f>IF(AND( C8="Buy", ISBLANK(W8), B8&lt;&gt;"DIV", NOW()-A8 &lt; 365), (1-Index!$F$2*2)*((J8*D8)-(E8*D8)), "")</f>
        <v>-617.39376</v>
      </c>
      <c r="Q8" s="44">
        <f t="shared" si="5"/>
        <v>644.76624</v>
      </c>
      <c r="R8" s="44">
        <f t="shared" si="6"/>
        <v>12</v>
      </c>
      <c r="S8" s="46" t="str">
        <f t="shared" si="7"/>
        <v/>
      </c>
      <c r="T8" s="47" t="str">
        <f>IF(AND( C8="Buy", ISBLANK(W8), B8&lt;&gt;"DIV", NOW()-A8 &gt; 365), (1-Index!$F$2*2)*((J8*D8)-(E8*D8)), "")</f>
        <v/>
      </c>
      <c r="U8" s="47" t="str">
        <f t="shared" si="8"/>
        <v/>
      </c>
      <c r="V8" s="47" t="str">
        <f t="shared" si="9"/>
        <v/>
      </c>
      <c r="W8" s="47"/>
      <c r="X8" s="47"/>
      <c r="Y8" s="46" t="str">
        <f t="shared" si="10"/>
        <v/>
      </c>
      <c r="Z8" s="47"/>
      <c r="AA8" s="47"/>
      <c r="AB8" s="48"/>
      <c r="AC8" s="44" t="str">
        <f t="shared" si="11"/>
        <v/>
      </c>
      <c r="AD8" s="49"/>
    </row>
    <row r="9">
      <c r="A9" s="50">
        <v>45694.0</v>
      </c>
      <c r="B9" s="51" t="s">
        <v>26</v>
      </c>
      <c r="C9" s="51" t="s">
        <v>27</v>
      </c>
      <c r="D9" s="52">
        <v>10.0</v>
      </c>
      <c r="E9" s="53">
        <v>128.2</v>
      </c>
      <c r="F9" s="53">
        <v>1281.96</v>
      </c>
      <c r="G9" s="51" t="s">
        <v>28</v>
      </c>
      <c r="H9" s="52">
        <v>1.27</v>
      </c>
      <c r="I9" s="52">
        <v>7.79</v>
      </c>
      <c r="J9" s="42">
        <f>Index!$C$2</f>
        <v>53</v>
      </c>
      <c r="K9" s="43">
        <f t="shared" si="1"/>
        <v>-0.5743303744</v>
      </c>
      <c r="L9" s="44">
        <f>IF(AND( C9="Buy", ISBLANK(W9), B9&lt;&gt;"DIV"), (1-Index!$F$2*2)*((J9*D9)-(E9*D9)), "")</f>
        <v>-741.472</v>
      </c>
      <c r="M9" s="44">
        <f t="shared" si="2"/>
        <v>540.528</v>
      </c>
      <c r="N9" s="45">
        <f t="shared" si="3"/>
        <v>10</v>
      </c>
      <c r="O9" s="43" t="str">
        <f t="shared" si="4"/>
        <v/>
      </c>
      <c r="P9" s="44" t="str">
        <f>IF(AND( C9="Buy", ISBLANK(W9), B9&lt;&gt;"DIV", NOW()-A9 &lt; 365), (1-Index!$F$2*2)*((J9*D9)-(E9*D9)), "")</f>
        <v/>
      </c>
      <c r="Q9" s="44" t="str">
        <f t="shared" si="5"/>
        <v/>
      </c>
      <c r="R9" s="44" t="str">
        <f t="shared" si="6"/>
        <v/>
      </c>
      <c r="S9" s="46">
        <f t="shared" si="7"/>
        <v>-0.5743303744</v>
      </c>
      <c r="T9" s="47">
        <f>IF(AND( C9="Buy", ISBLANK(W9), B9&lt;&gt;"DIV", NOW()-A9 &gt; 365), (1-Index!$F$2*2)*((J9*D9)-(E9*D9)), "")</f>
        <v>-741.472</v>
      </c>
      <c r="U9" s="47">
        <f t="shared" si="8"/>
        <v>540.528</v>
      </c>
      <c r="V9" s="47">
        <f t="shared" si="9"/>
        <v>10</v>
      </c>
      <c r="W9" s="47"/>
      <c r="X9" s="47"/>
      <c r="Y9" s="46" t="str">
        <f t="shared" si="10"/>
        <v/>
      </c>
      <c r="Z9" s="47"/>
      <c r="AA9" s="47"/>
      <c r="AB9" s="48"/>
      <c r="AC9" s="44" t="str">
        <f t="shared" si="11"/>
        <v/>
      </c>
      <c r="AD9" s="49"/>
    </row>
    <row r="10">
      <c r="A10" s="50">
        <v>45282.0</v>
      </c>
      <c r="B10" s="51" t="s">
        <v>26</v>
      </c>
      <c r="C10" s="51" t="s">
        <v>29</v>
      </c>
      <c r="D10" s="52">
        <v>50.0</v>
      </c>
      <c r="E10" s="53">
        <v>235.55</v>
      </c>
      <c r="F10" s="53">
        <v>11777.42</v>
      </c>
      <c r="G10" s="51" t="s">
        <v>28</v>
      </c>
      <c r="H10" s="52">
        <v>11.87</v>
      </c>
      <c r="I10" s="52">
        <v>70.71</v>
      </c>
      <c r="J10" s="42">
        <f>Index!$C$2</f>
        <v>53</v>
      </c>
      <c r="K10" s="43" t="str">
        <f t="shared" si="1"/>
        <v/>
      </c>
      <c r="L10" s="44" t="str">
        <f>IF(AND( C10="Buy", ISBLANK(W10), B10&lt;&gt;"DIV"), (1-Index!$F$2*2)*((J10*D10)-(E10*D10)), "")</f>
        <v/>
      </c>
      <c r="M10" s="44" t="str">
        <f t="shared" si="2"/>
        <v/>
      </c>
      <c r="N10" s="45" t="str">
        <f t="shared" si="3"/>
        <v/>
      </c>
      <c r="O10" s="43" t="str">
        <f t="shared" si="4"/>
        <v/>
      </c>
      <c r="P10" s="44" t="str">
        <f>IF(AND( C10="Buy", ISBLANK(W10), B10&lt;&gt;"DIV", NOW()-A10 &lt; 365), (1-Index!$F$2*2)*((J10*D10)-(E10*D10)), "")</f>
        <v/>
      </c>
      <c r="Q10" s="44" t="str">
        <f t="shared" si="5"/>
        <v/>
      </c>
      <c r="R10" s="44" t="str">
        <f t="shared" si="6"/>
        <v/>
      </c>
      <c r="S10" s="46" t="str">
        <f t="shared" si="7"/>
        <v/>
      </c>
      <c r="T10" s="47" t="str">
        <f>IF(AND( C10="Buy", ISBLANK(W10), B10&lt;&gt;"DIV", NOW()-A10 &gt; 365), (1-Index!$F$2*2)*((J10*D10)-(E10*D10)), "")</f>
        <v/>
      </c>
      <c r="U10" s="47" t="str">
        <f t="shared" si="8"/>
        <v/>
      </c>
      <c r="V10" s="47" t="str">
        <f t="shared" si="9"/>
        <v/>
      </c>
      <c r="W10" s="47"/>
      <c r="X10" s="47"/>
      <c r="Y10" s="46" t="str">
        <f t="shared" si="10"/>
        <v/>
      </c>
      <c r="Z10" s="47"/>
      <c r="AA10" s="47"/>
      <c r="AB10" s="48"/>
      <c r="AC10" s="44"/>
      <c r="AD10" s="49"/>
    </row>
    <row r="11">
      <c r="A11" s="50">
        <v>45282.0</v>
      </c>
      <c r="B11" s="51" t="s">
        <v>26</v>
      </c>
      <c r="C11" s="51" t="s">
        <v>29</v>
      </c>
      <c r="D11" s="52">
        <v>50.0</v>
      </c>
      <c r="E11" s="53">
        <v>235.5</v>
      </c>
      <c r="F11" s="53">
        <v>11774.92</v>
      </c>
      <c r="G11" s="51" t="s">
        <v>28</v>
      </c>
      <c r="H11" s="52">
        <v>11.87</v>
      </c>
      <c r="I11" s="52">
        <v>70.71</v>
      </c>
      <c r="J11" s="42">
        <f>Index!$C$2</f>
        <v>53</v>
      </c>
      <c r="K11" s="43" t="str">
        <f t="shared" si="1"/>
        <v/>
      </c>
      <c r="L11" s="44" t="str">
        <f>IF(AND( C11="Buy", ISBLANK(W11), B11&lt;&gt;"DIV"), (1-Index!$F$2*2)*((J11*D11)-(E11*D11)), "")</f>
        <v/>
      </c>
      <c r="M11" s="44" t="str">
        <f t="shared" si="2"/>
        <v/>
      </c>
      <c r="N11" s="45" t="str">
        <f t="shared" si="3"/>
        <v/>
      </c>
      <c r="O11" s="43" t="str">
        <f t="shared" si="4"/>
        <v/>
      </c>
      <c r="P11" s="44" t="str">
        <f>IF(AND( C11="Buy", ISBLANK(W11), B11&lt;&gt;"DIV", NOW()-A11 &lt; 365), (1-Index!$F$2*2)*((J11*D11)-(E11*D11)), "")</f>
        <v/>
      </c>
      <c r="Q11" s="44" t="str">
        <f t="shared" si="5"/>
        <v/>
      </c>
      <c r="R11" s="44" t="str">
        <f t="shared" si="6"/>
        <v/>
      </c>
      <c r="S11" s="46" t="str">
        <f t="shared" si="7"/>
        <v/>
      </c>
      <c r="T11" s="47" t="str">
        <f>IF(AND( C11="Buy", ISBLANK(W11), B11&lt;&gt;"DIV", NOW()-A11 &gt; 365), (1-Index!$F$2*2)*((J11*D11)-(E11*D11)), "")</f>
        <v/>
      </c>
      <c r="U11" s="47" t="str">
        <f t="shared" si="8"/>
        <v/>
      </c>
      <c r="V11" s="47" t="str">
        <f t="shared" si="9"/>
        <v/>
      </c>
      <c r="W11" s="47"/>
      <c r="X11" s="47"/>
      <c r="Y11" s="46" t="str">
        <f t="shared" si="10"/>
        <v/>
      </c>
      <c r="Z11" s="47"/>
      <c r="AA11" s="47"/>
      <c r="AB11" s="48"/>
      <c r="AC11" s="44"/>
      <c r="AD11" s="49"/>
    </row>
    <row r="12">
      <c r="A12" s="50">
        <v>45278.0</v>
      </c>
      <c r="B12" s="51" t="s">
        <v>26</v>
      </c>
      <c r="C12" s="51" t="s">
        <v>27</v>
      </c>
      <c r="D12" s="52">
        <v>10.0</v>
      </c>
      <c r="E12" s="53">
        <v>259.83</v>
      </c>
      <c r="F12" s="53">
        <v>2598.29</v>
      </c>
      <c r="G12" s="51" t="s">
        <v>28</v>
      </c>
      <c r="H12" s="52">
        <v>2.58</v>
      </c>
      <c r="I12" s="52">
        <v>15.71</v>
      </c>
      <c r="J12" s="42">
        <f>Index!$C$2</f>
        <v>53</v>
      </c>
      <c r="K12" s="47"/>
      <c r="L12" s="47"/>
      <c r="M12" s="54"/>
      <c r="N12" s="55"/>
      <c r="O12" s="54"/>
      <c r="P12" s="47"/>
      <c r="Q12" s="54"/>
      <c r="R12" s="54"/>
      <c r="S12" s="54"/>
      <c r="T12" s="54"/>
      <c r="U12" s="54"/>
      <c r="V12" s="54"/>
      <c r="W12" s="53">
        <v>235.55</v>
      </c>
      <c r="X12" s="50">
        <v>45282.0</v>
      </c>
      <c r="Y12" s="46">
        <f t="shared" si="10"/>
        <v>-0.09149378196</v>
      </c>
      <c r="Z12" s="56">
        <f>(1-Index!$F$2*2)*((W12*D12)-(E12*D12))</f>
        <v>-239.4008</v>
      </c>
      <c r="AA12" s="56">
        <f t="shared" ref="AA12:AA20" si="12">((E12*D12)+Z12)</f>
        <v>2358.8992</v>
      </c>
      <c r="AB12" s="57">
        <f t="shared" ref="AB12:AB20" si="13">D12</f>
        <v>10</v>
      </c>
      <c r="AC12" s="44"/>
      <c r="AD12" s="49"/>
      <c r="AE12" s="58"/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</row>
    <row r="13">
      <c r="A13" s="50">
        <v>45225.0</v>
      </c>
      <c r="B13" s="51" t="s">
        <v>26</v>
      </c>
      <c r="C13" s="51" t="s">
        <v>27</v>
      </c>
      <c r="D13" s="52">
        <v>10.0</v>
      </c>
      <c r="E13" s="53">
        <v>154.79</v>
      </c>
      <c r="F13" s="53">
        <v>1547.92</v>
      </c>
      <c r="G13" s="51" t="s">
        <v>28</v>
      </c>
      <c r="H13" s="52">
        <v>1.55</v>
      </c>
      <c r="I13" s="52">
        <v>9.37</v>
      </c>
      <c r="J13" s="42">
        <f>Index!$C$2</f>
        <v>53</v>
      </c>
      <c r="K13" s="47"/>
      <c r="L13" s="47"/>
      <c r="M13" s="54"/>
      <c r="N13" s="55"/>
      <c r="O13" s="54"/>
      <c r="P13" s="47"/>
      <c r="Q13" s="54"/>
      <c r="R13" s="54"/>
      <c r="S13" s="54"/>
      <c r="T13" s="54"/>
      <c r="U13" s="54"/>
      <c r="V13" s="54"/>
      <c r="W13" s="53">
        <v>235.55</v>
      </c>
      <c r="X13" s="50">
        <v>45282.0</v>
      </c>
      <c r="Y13" s="46">
        <f t="shared" si="10"/>
        <v>0.5108244592</v>
      </c>
      <c r="Z13" s="56">
        <f>(1-Index!$F$2*2)*((W13*D13)-(E13*D13))</f>
        <v>796.2936</v>
      </c>
      <c r="AA13" s="56">
        <f t="shared" si="12"/>
        <v>2344.1936</v>
      </c>
      <c r="AB13" s="57">
        <f t="shared" si="13"/>
        <v>10</v>
      </c>
      <c r="AC13" s="44"/>
      <c r="AD13" s="49"/>
      <c r="AE13" s="58"/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</row>
    <row r="14">
      <c r="A14" s="50">
        <v>45191.0</v>
      </c>
      <c r="B14" s="51" t="s">
        <v>26</v>
      </c>
      <c r="C14" s="51" t="s">
        <v>27</v>
      </c>
      <c r="D14" s="52">
        <v>10.0</v>
      </c>
      <c r="E14" s="53">
        <v>166.07</v>
      </c>
      <c r="F14" s="53">
        <v>1660.72</v>
      </c>
      <c r="G14" s="51" t="s">
        <v>28</v>
      </c>
      <c r="H14" s="52">
        <v>1.68</v>
      </c>
      <c r="I14" s="52">
        <v>10.04</v>
      </c>
      <c r="J14" s="42">
        <f>Index!$C$2</f>
        <v>53</v>
      </c>
      <c r="K14" s="47"/>
      <c r="L14" s="47"/>
      <c r="M14" s="54"/>
      <c r="N14" s="55"/>
      <c r="O14" s="54"/>
      <c r="P14" s="47"/>
      <c r="Q14" s="54"/>
      <c r="R14" s="54"/>
      <c r="S14" s="54"/>
      <c r="T14" s="54"/>
      <c r="U14" s="54"/>
      <c r="V14" s="54"/>
      <c r="W14" s="53">
        <v>235.55</v>
      </c>
      <c r="X14" s="50">
        <v>45282.0</v>
      </c>
      <c r="Y14" s="46">
        <f t="shared" si="10"/>
        <v>0.4096247399</v>
      </c>
      <c r="Z14" s="56">
        <f>(1-Index!$F$2*2)*((W14*D14)-(E14*D14))</f>
        <v>685.0728</v>
      </c>
      <c r="AA14" s="56">
        <f t="shared" si="12"/>
        <v>2345.7728</v>
      </c>
      <c r="AB14" s="57">
        <f t="shared" si="13"/>
        <v>10</v>
      </c>
      <c r="AC14" s="44"/>
      <c r="AD14" s="49"/>
      <c r="AE14" s="58"/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</row>
    <row r="15">
      <c r="A15" s="50">
        <v>45184.0</v>
      </c>
      <c r="B15" s="51" t="s">
        <v>26</v>
      </c>
      <c r="C15" s="51" t="s">
        <v>27</v>
      </c>
      <c r="D15" s="52">
        <v>10.0</v>
      </c>
      <c r="E15" s="53">
        <v>171.11</v>
      </c>
      <c r="F15" s="53">
        <v>1711.12</v>
      </c>
      <c r="G15" s="51" t="s">
        <v>28</v>
      </c>
      <c r="H15" s="52">
        <v>1.72</v>
      </c>
      <c r="I15" s="52">
        <v>10.4</v>
      </c>
      <c r="J15" s="42">
        <f>Index!$C$2</f>
        <v>53</v>
      </c>
      <c r="K15" s="47"/>
      <c r="L15" s="47"/>
      <c r="M15" s="54"/>
      <c r="N15" s="55"/>
      <c r="O15" s="54"/>
      <c r="P15" s="47"/>
      <c r="Q15" s="54"/>
      <c r="R15" s="54"/>
      <c r="S15" s="54"/>
      <c r="T15" s="54"/>
      <c r="U15" s="54"/>
      <c r="V15" s="54"/>
      <c r="W15" s="53">
        <v>235.55</v>
      </c>
      <c r="X15" s="50">
        <v>45282.0</v>
      </c>
      <c r="Y15" s="46">
        <f t="shared" si="10"/>
        <v>0.3687114969</v>
      </c>
      <c r="Z15" s="56">
        <f>(1-Index!$F$2*2)*((W15*D15)-(E15*D15))</f>
        <v>635.3784</v>
      </c>
      <c r="AA15" s="56">
        <f t="shared" si="12"/>
        <v>2346.4784</v>
      </c>
      <c r="AB15" s="57">
        <f t="shared" si="13"/>
        <v>10</v>
      </c>
      <c r="AC15" s="44"/>
      <c r="AD15" s="49"/>
      <c r="AE15" s="58"/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</row>
    <row r="16">
      <c r="A16" s="50">
        <v>45181.0</v>
      </c>
      <c r="B16" s="51" t="s">
        <v>26</v>
      </c>
      <c r="C16" s="51" t="s">
        <v>27</v>
      </c>
      <c r="D16" s="52">
        <v>10.0</v>
      </c>
      <c r="E16" s="53">
        <v>175.48</v>
      </c>
      <c r="F16" s="53">
        <v>1754.83</v>
      </c>
      <c r="G16" s="51" t="s">
        <v>28</v>
      </c>
      <c r="H16" s="52">
        <v>1.74</v>
      </c>
      <c r="I16" s="52">
        <v>10.59</v>
      </c>
      <c r="J16" s="42">
        <f>Index!$C$2</f>
        <v>53</v>
      </c>
      <c r="K16" s="47"/>
      <c r="L16" s="47"/>
      <c r="M16" s="54"/>
      <c r="N16" s="55"/>
      <c r="O16" s="54"/>
      <c r="P16" s="47"/>
      <c r="Q16" s="54"/>
      <c r="R16" s="54"/>
      <c r="S16" s="54"/>
      <c r="T16" s="54"/>
      <c r="U16" s="54"/>
      <c r="V16" s="54"/>
      <c r="W16" s="53">
        <v>235.55</v>
      </c>
      <c r="X16" s="50">
        <v>45282.0</v>
      </c>
      <c r="Y16" s="46">
        <f t="shared" si="10"/>
        <v>0.3351650105</v>
      </c>
      <c r="Z16" s="56">
        <f>(1-Index!$F$2*2)*((W16*D16)-(E16*D16))</f>
        <v>592.2902</v>
      </c>
      <c r="AA16" s="56">
        <f t="shared" si="12"/>
        <v>2347.0902</v>
      </c>
      <c r="AB16" s="57">
        <f t="shared" si="13"/>
        <v>10</v>
      </c>
      <c r="AC16" s="44"/>
      <c r="AD16" s="49"/>
      <c r="AE16" s="58"/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</row>
    <row r="17">
      <c r="A17" s="50">
        <v>45180.0</v>
      </c>
      <c r="B17" s="51" t="s">
        <v>26</v>
      </c>
      <c r="C17" s="51" t="s">
        <v>27</v>
      </c>
      <c r="D17" s="52">
        <v>10.0</v>
      </c>
      <c r="E17" s="53">
        <v>180.28</v>
      </c>
      <c r="F17" s="53">
        <v>1802.78</v>
      </c>
      <c r="G17" s="51" t="s">
        <v>28</v>
      </c>
      <c r="H17" s="52">
        <v>1.79</v>
      </c>
      <c r="I17" s="52">
        <v>10.99</v>
      </c>
      <c r="J17" s="42">
        <f>Index!$C$2</f>
        <v>53</v>
      </c>
      <c r="K17" s="47"/>
      <c r="L17" s="47"/>
      <c r="M17" s="54"/>
      <c r="N17" s="55"/>
      <c r="O17" s="54"/>
      <c r="P17" s="47"/>
      <c r="Q17" s="54"/>
      <c r="R17" s="54"/>
      <c r="S17" s="54"/>
      <c r="T17" s="54"/>
      <c r="U17" s="54"/>
      <c r="V17" s="54"/>
      <c r="W17" s="53">
        <v>235.5</v>
      </c>
      <c r="X17" s="50">
        <v>45282.0</v>
      </c>
      <c r="Y17" s="46">
        <f t="shared" si="10"/>
        <v>0.2998905021</v>
      </c>
      <c r="Z17" s="56">
        <f>(1-Index!$F$2*2)*((W17*D17)-(E17*D17))</f>
        <v>544.4692</v>
      </c>
      <c r="AA17" s="56">
        <f t="shared" si="12"/>
        <v>2347.2692</v>
      </c>
      <c r="AB17" s="57">
        <f t="shared" si="13"/>
        <v>10</v>
      </c>
      <c r="AC17" s="44"/>
      <c r="AD17" s="49"/>
      <c r="AE17" s="58"/>
      <c r="AF17" s="58"/>
      <c r="AG17" s="58"/>
      <c r="AH17" s="58"/>
      <c r="AI17" s="58"/>
      <c r="AJ17" s="58"/>
      <c r="AK17" s="58"/>
      <c r="AL17" s="58"/>
      <c r="AM17" s="58"/>
      <c r="AN17" s="58"/>
      <c r="AO17" s="58"/>
      <c r="AP17" s="58"/>
    </row>
    <row r="18">
      <c r="A18" s="50">
        <v>45131.0</v>
      </c>
      <c r="B18" s="51" t="s">
        <v>26</v>
      </c>
      <c r="C18" s="51" t="s">
        <v>27</v>
      </c>
      <c r="D18" s="52">
        <v>10.0</v>
      </c>
      <c r="E18" s="53">
        <v>210.22</v>
      </c>
      <c r="F18" s="53">
        <v>2102.23</v>
      </c>
      <c r="G18" s="51" t="s">
        <v>28</v>
      </c>
      <c r="H18" s="52">
        <v>2.08</v>
      </c>
      <c r="I18" s="52">
        <v>12.65</v>
      </c>
      <c r="J18" s="42">
        <f>Index!$C$2</f>
        <v>53</v>
      </c>
      <c r="K18" s="47"/>
      <c r="L18" s="47"/>
      <c r="M18" s="54"/>
      <c r="N18" s="55"/>
      <c r="O18" s="54"/>
      <c r="P18" s="47"/>
      <c r="Q18" s="54"/>
      <c r="R18" s="54"/>
      <c r="S18" s="54"/>
      <c r="T18" s="54"/>
      <c r="U18" s="54"/>
      <c r="V18" s="54"/>
      <c r="W18" s="53">
        <v>235.5</v>
      </c>
      <c r="X18" s="50">
        <v>45282.0</v>
      </c>
      <c r="Y18" s="46">
        <f t="shared" si="10"/>
        <v>0.1177446905</v>
      </c>
      <c r="Z18" s="56">
        <f>(1-Index!$F$2*2)*((W18*D18)-(E18*D18))</f>
        <v>249.2608</v>
      </c>
      <c r="AA18" s="56">
        <f t="shared" si="12"/>
        <v>2351.4608</v>
      </c>
      <c r="AB18" s="57">
        <f t="shared" si="13"/>
        <v>10</v>
      </c>
      <c r="AC18" s="44"/>
      <c r="AD18" s="49"/>
      <c r="AE18" s="58"/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</row>
    <row r="19">
      <c r="A19" s="50">
        <v>45034.0</v>
      </c>
      <c r="B19" s="51" t="s">
        <v>26</v>
      </c>
      <c r="C19" s="51" t="s">
        <v>27</v>
      </c>
      <c r="D19" s="52">
        <v>10.0</v>
      </c>
      <c r="E19" s="53">
        <v>160.88</v>
      </c>
      <c r="F19" s="53">
        <v>1608.84</v>
      </c>
      <c r="G19" s="51" t="s">
        <v>28</v>
      </c>
      <c r="H19" s="52">
        <v>1.6</v>
      </c>
      <c r="I19" s="52">
        <v>9.74</v>
      </c>
      <c r="J19" s="42">
        <f>Index!$C$2</f>
        <v>53</v>
      </c>
      <c r="K19" s="47"/>
      <c r="L19" s="47"/>
      <c r="M19" s="54"/>
      <c r="N19" s="55"/>
      <c r="O19" s="54"/>
      <c r="P19" s="47"/>
      <c r="Q19" s="54"/>
      <c r="R19" s="54"/>
      <c r="S19" s="54"/>
      <c r="T19" s="54"/>
      <c r="U19" s="54"/>
      <c r="V19" s="54"/>
      <c r="W19" s="53">
        <v>235.5</v>
      </c>
      <c r="X19" s="50">
        <v>45282.0</v>
      </c>
      <c r="Y19" s="46">
        <f t="shared" si="10"/>
        <v>0.4541181844</v>
      </c>
      <c r="Z19" s="56">
        <f>(1-Index!$F$2*2)*((W19*D19)-(E19*D19))</f>
        <v>735.7532</v>
      </c>
      <c r="AA19" s="56">
        <f t="shared" si="12"/>
        <v>2344.5532</v>
      </c>
      <c r="AB19" s="57">
        <f t="shared" si="13"/>
        <v>10</v>
      </c>
      <c r="AC19" s="44"/>
      <c r="AD19" s="49"/>
      <c r="AE19" s="58"/>
      <c r="AF19" s="58"/>
      <c r="AG19" s="58"/>
      <c r="AH19" s="58"/>
      <c r="AI19" s="58"/>
      <c r="AJ19" s="58"/>
      <c r="AK19" s="58"/>
      <c r="AL19" s="58"/>
      <c r="AM19" s="58"/>
      <c r="AN19" s="58"/>
      <c r="AO19" s="58"/>
      <c r="AP19" s="58"/>
    </row>
    <row r="20">
      <c r="A20" s="50">
        <v>44981.0</v>
      </c>
      <c r="B20" s="51" t="s">
        <v>26</v>
      </c>
      <c r="C20" s="51" t="s">
        <v>27</v>
      </c>
      <c r="D20" s="52">
        <v>20.0</v>
      </c>
      <c r="E20" s="53">
        <v>160.83</v>
      </c>
      <c r="F20" s="53">
        <v>3216.69</v>
      </c>
      <c r="G20" s="51" t="s">
        <v>28</v>
      </c>
      <c r="H20" s="52">
        <v>3.19</v>
      </c>
      <c r="I20" s="52">
        <v>19.5</v>
      </c>
      <c r="J20" s="42">
        <f>Index!$C$2</f>
        <v>53</v>
      </c>
      <c r="K20" s="47"/>
      <c r="L20" s="47"/>
      <c r="M20" s="54"/>
      <c r="N20" s="55"/>
      <c r="O20" s="54"/>
      <c r="P20" s="47"/>
      <c r="Q20" s="54"/>
      <c r="R20" s="54"/>
      <c r="S20" s="54"/>
      <c r="T20" s="54"/>
      <c r="U20" s="54"/>
      <c r="V20" s="54"/>
      <c r="W20" s="53">
        <v>235.5</v>
      </c>
      <c r="X20" s="50">
        <v>45282.0</v>
      </c>
      <c r="Y20" s="46">
        <f t="shared" si="10"/>
        <v>0.4545599467</v>
      </c>
      <c r="Z20" s="56">
        <f>(1-Index!$F$2*2)*((W20*D20)-(E20*D20))</f>
        <v>1472.4924</v>
      </c>
      <c r="AA20" s="56">
        <f t="shared" si="12"/>
        <v>4689.0924</v>
      </c>
      <c r="AB20" s="57">
        <f t="shared" si="13"/>
        <v>20</v>
      </c>
      <c r="AC20" s="44"/>
      <c r="AD20" s="49"/>
      <c r="AE20" s="58"/>
      <c r="AF20" s="58"/>
      <c r="AG20" s="58"/>
      <c r="AH20" s="58"/>
      <c r="AI20" s="58"/>
      <c r="AJ20" s="58"/>
      <c r="AK20" s="58"/>
      <c r="AL20" s="58"/>
      <c r="AM20" s="58"/>
      <c r="AN20" s="58"/>
      <c r="AO20" s="58"/>
      <c r="AP20" s="58"/>
    </row>
    <row r="21">
      <c r="E21" s="59"/>
      <c r="F21" s="59"/>
      <c r="G21" s="60"/>
      <c r="J21" s="59"/>
      <c r="K21" s="59"/>
      <c r="L21" s="59"/>
      <c r="M21" s="3"/>
      <c r="W21" s="59"/>
      <c r="X21" s="59"/>
      <c r="Y21" s="59"/>
      <c r="Z21" s="59"/>
      <c r="AA21" s="59"/>
      <c r="AB21" s="59"/>
      <c r="AC21" s="59"/>
    </row>
    <row r="22">
      <c r="E22" s="59"/>
      <c r="F22" s="59"/>
      <c r="G22" s="60"/>
      <c r="J22" s="59"/>
      <c r="K22" s="59"/>
      <c r="L22" s="59"/>
      <c r="M22" s="3"/>
      <c r="W22" s="59"/>
      <c r="X22" s="59"/>
      <c r="Y22" s="59"/>
      <c r="Z22" s="59"/>
      <c r="AA22" s="59"/>
      <c r="AB22" s="59"/>
      <c r="AC22" s="59"/>
    </row>
    <row r="23">
      <c r="E23" s="59"/>
      <c r="F23" s="59"/>
      <c r="G23" s="60"/>
      <c r="J23" s="59"/>
      <c r="K23" s="59"/>
      <c r="L23" s="59"/>
      <c r="M23" s="3"/>
      <c r="W23" s="59"/>
      <c r="X23" s="59"/>
      <c r="Y23" s="59"/>
      <c r="Z23" s="59"/>
      <c r="AA23" s="59"/>
      <c r="AB23" s="59"/>
      <c r="AC23" s="59"/>
    </row>
    <row r="24">
      <c r="E24" s="59"/>
      <c r="F24" s="59"/>
      <c r="G24" s="60"/>
      <c r="J24" s="59"/>
      <c r="K24" s="59"/>
      <c r="L24" s="59"/>
      <c r="M24" s="3"/>
      <c r="W24" s="59"/>
      <c r="X24" s="59"/>
      <c r="Y24" s="59"/>
      <c r="Z24" s="59"/>
      <c r="AA24" s="59"/>
      <c r="AB24" s="59"/>
      <c r="AC24" s="59"/>
    </row>
    <row r="25">
      <c r="E25" s="59"/>
      <c r="F25" s="59"/>
      <c r="G25" s="60"/>
      <c r="J25" s="59"/>
      <c r="K25" s="59"/>
      <c r="L25" s="59"/>
      <c r="M25" s="3"/>
      <c r="W25" s="59"/>
      <c r="X25" s="59"/>
      <c r="Y25" s="59"/>
      <c r="Z25" s="59"/>
      <c r="AA25" s="59"/>
      <c r="AB25" s="59"/>
      <c r="AC25" s="59"/>
    </row>
    <row r="26">
      <c r="E26" s="59"/>
      <c r="F26" s="59"/>
      <c r="G26" s="60"/>
      <c r="J26" s="59"/>
      <c r="K26" s="59"/>
      <c r="L26" s="59"/>
      <c r="M26" s="3"/>
      <c r="W26" s="59"/>
      <c r="X26" s="59"/>
      <c r="Y26" s="59"/>
      <c r="Z26" s="59"/>
      <c r="AA26" s="59"/>
      <c r="AB26" s="59"/>
      <c r="AC26" s="59"/>
    </row>
    <row r="27">
      <c r="E27" s="59"/>
      <c r="F27" s="59"/>
      <c r="G27" s="60"/>
      <c r="J27" s="59"/>
      <c r="K27" s="59"/>
      <c r="L27" s="59"/>
      <c r="M27" s="3"/>
      <c r="W27" s="59"/>
      <c r="X27" s="59"/>
      <c r="Y27" s="59"/>
      <c r="Z27" s="59"/>
      <c r="AA27" s="59"/>
      <c r="AB27" s="59"/>
      <c r="AC27" s="59"/>
    </row>
    <row r="28">
      <c r="E28" s="59"/>
      <c r="F28" s="59"/>
      <c r="G28" s="60"/>
      <c r="J28" s="59"/>
      <c r="K28" s="59"/>
      <c r="L28" s="59"/>
      <c r="M28" s="3"/>
      <c r="W28" s="59"/>
      <c r="X28" s="59"/>
      <c r="Y28" s="59"/>
      <c r="Z28" s="59"/>
      <c r="AA28" s="59"/>
      <c r="AB28" s="59"/>
      <c r="AC28" s="59"/>
    </row>
    <row r="29">
      <c r="E29" s="59"/>
      <c r="F29" s="59"/>
      <c r="G29" s="60"/>
      <c r="J29" s="59"/>
      <c r="K29" s="59"/>
      <c r="L29" s="59"/>
      <c r="M29" s="3"/>
      <c r="W29" s="59"/>
      <c r="X29" s="59"/>
      <c r="Y29" s="59"/>
      <c r="Z29" s="59"/>
      <c r="AA29" s="59"/>
      <c r="AB29" s="59"/>
      <c r="AC29" s="59"/>
    </row>
    <row r="30">
      <c r="E30" s="59"/>
      <c r="F30" s="59"/>
      <c r="G30" s="60"/>
      <c r="J30" s="59"/>
      <c r="K30" s="59"/>
      <c r="L30" s="59"/>
      <c r="M30" s="3"/>
      <c r="W30" s="59"/>
      <c r="X30" s="59"/>
      <c r="Y30" s="59"/>
      <c r="Z30" s="59"/>
      <c r="AA30" s="59"/>
      <c r="AB30" s="59"/>
      <c r="AC30" s="59"/>
    </row>
    <row r="31">
      <c r="E31" s="59"/>
      <c r="F31" s="59"/>
      <c r="G31" s="60"/>
      <c r="J31" s="59"/>
      <c r="K31" s="59"/>
      <c r="L31" s="59"/>
      <c r="M31" s="3"/>
      <c r="W31" s="59"/>
      <c r="X31" s="59"/>
      <c r="Y31" s="59"/>
      <c r="Z31" s="59"/>
      <c r="AA31" s="59"/>
      <c r="AB31" s="59"/>
      <c r="AC31" s="59"/>
    </row>
    <row r="32">
      <c r="E32" s="59"/>
      <c r="F32" s="59"/>
      <c r="G32" s="60"/>
      <c r="J32" s="59"/>
      <c r="K32" s="59"/>
      <c r="L32" s="59"/>
      <c r="M32" s="3"/>
      <c r="W32" s="59"/>
      <c r="X32" s="59"/>
      <c r="Y32" s="59"/>
      <c r="Z32" s="59"/>
      <c r="AA32" s="59"/>
      <c r="AB32" s="59"/>
      <c r="AC32" s="59"/>
    </row>
    <row r="33">
      <c r="E33" s="59"/>
      <c r="F33" s="59"/>
      <c r="G33" s="60"/>
      <c r="J33" s="59"/>
      <c r="K33" s="59"/>
      <c r="L33" s="59"/>
      <c r="M33" s="3"/>
      <c r="W33" s="59"/>
      <c r="X33" s="59"/>
      <c r="Y33" s="59"/>
      <c r="Z33" s="59"/>
      <c r="AA33" s="59"/>
      <c r="AB33" s="59"/>
      <c r="AC33" s="59"/>
    </row>
    <row r="34">
      <c r="E34" s="59"/>
      <c r="F34" s="59"/>
      <c r="G34" s="60"/>
      <c r="J34" s="59"/>
      <c r="K34" s="59"/>
      <c r="L34" s="59"/>
      <c r="M34" s="3"/>
      <c r="W34" s="59"/>
      <c r="X34" s="59"/>
      <c r="Y34" s="59"/>
      <c r="Z34" s="59"/>
      <c r="AA34" s="59"/>
      <c r="AB34" s="59"/>
      <c r="AC34" s="59"/>
    </row>
    <row r="35">
      <c r="E35" s="59"/>
      <c r="F35" s="59"/>
      <c r="G35" s="60"/>
      <c r="J35" s="59"/>
      <c r="K35" s="59"/>
      <c r="L35" s="59"/>
      <c r="M35" s="3"/>
      <c r="W35" s="59"/>
      <c r="X35" s="59"/>
      <c r="Y35" s="59"/>
      <c r="Z35" s="59"/>
      <c r="AA35" s="59"/>
      <c r="AB35" s="59"/>
      <c r="AC35" s="59"/>
    </row>
    <row r="36">
      <c r="E36" s="59"/>
      <c r="F36" s="59"/>
      <c r="G36" s="60"/>
      <c r="J36" s="59"/>
      <c r="K36" s="59"/>
      <c r="L36" s="59"/>
      <c r="M36" s="3"/>
      <c r="W36" s="59"/>
      <c r="X36" s="59"/>
      <c r="Y36" s="59"/>
      <c r="Z36" s="59"/>
      <c r="AA36" s="59"/>
      <c r="AB36" s="59"/>
      <c r="AC36" s="59"/>
    </row>
    <row r="37">
      <c r="E37" s="59"/>
      <c r="F37" s="59"/>
      <c r="G37" s="60"/>
      <c r="J37" s="59"/>
      <c r="K37" s="59"/>
      <c r="L37" s="59"/>
      <c r="M37" s="3"/>
      <c r="W37" s="59"/>
      <c r="X37" s="59"/>
      <c r="Y37" s="59"/>
      <c r="Z37" s="59"/>
      <c r="AA37" s="59"/>
      <c r="AB37" s="59"/>
      <c r="AC37" s="59"/>
    </row>
    <row r="38">
      <c r="E38" s="59"/>
      <c r="F38" s="59"/>
      <c r="G38" s="60"/>
      <c r="J38" s="59"/>
      <c r="K38" s="59"/>
      <c r="L38" s="59"/>
      <c r="M38" s="3"/>
      <c r="W38" s="59"/>
      <c r="X38" s="59"/>
      <c r="Y38" s="59"/>
      <c r="Z38" s="59"/>
      <c r="AA38" s="59"/>
      <c r="AB38" s="59"/>
      <c r="AC38" s="59"/>
    </row>
    <row r="39">
      <c r="E39" s="59"/>
      <c r="F39" s="59"/>
      <c r="G39" s="60"/>
      <c r="J39" s="59"/>
      <c r="K39" s="59"/>
      <c r="L39" s="59"/>
      <c r="M39" s="3"/>
      <c r="W39" s="59"/>
      <c r="X39" s="59"/>
      <c r="Y39" s="59"/>
      <c r="Z39" s="59"/>
      <c r="AA39" s="59"/>
      <c r="AB39" s="59"/>
      <c r="AC39" s="59"/>
    </row>
    <row r="40">
      <c r="E40" s="59"/>
      <c r="F40" s="59"/>
      <c r="G40" s="60"/>
      <c r="J40" s="59"/>
      <c r="K40" s="59"/>
      <c r="L40" s="59"/>
      <c r="M40" s="3"/>
      <c r="W40" s="59"/>
      <c r="X40" s="59"/>
      <c r="Y40" s="59"/>
      <c r="Z40" s="59"/>
      <c r="AA40" s="59"/>
      <c r="AB40" s="59"/>
      <c r="AC40" s="59"/>
    </row>
    <row r="41">
      <c r="E41" s="59"/>
      <c r="F41" s="59"/>
      <c r="G41" s="60"/>
      <c r="J41" s="59"/>
      <c r="K41" s="59"/>
      <c r="L41" s="59"/>
      <c r="M41" s="3"/>
      <c r="W41" s="59"/>
      <c r="X41" s="59"/>
      <c r="Y41" s="59"/>
      <c r="Z41" s="59"/>
      <c r="AA41" s="59"/>
      <c r="AB41" s="59"/>
      <c r="AC41" s="59"/>
    </row>
    <row r="42">
      <c r="E42" s="59"/>
      <c r="F42" s="59"/>
      <c r="G42" s="60"/>
      <c r="J42" s="59"/>
      <c r="K42" s="59"/>
      <c r="L42" s="59"/>
      <c r="M42" s="3"/>
      <c r="W42" s="59"/>
      <c r="X42" s="59"/>
      <c r="Y42" s="59"/>
      <c r="Z42" s="59"/>
      <c r="AA42" s="59"/>
      <c r="AB42" s="59"/>
      <c r="AC42" s="59"/>
    </row>
    <row r="43">
      <c r="E43" s="59"/>
      <c r="F43" s="59"/>
      <c r="G43" s="60"/>
      <c r="J43" s="59"/>
      <c r="K43" s="59"/>
      <c r="L43" s="59"/>
      <c r="M43" s="3"/>
      <c r="W43" s="59"/>
      <c r="X43" s="59"/>
      <c r="Y43" s="59"/>
      <c r="Z43" s="59"/>
      <c r="AA43" s="59"/>
      <c r="AB43" s="59"/>
      <c r="AC43" s="59"/>
    </row>
    <row r="44">
      <c r="E44" s="59"/>
      <c r="F44" s="59"/>
      <c r="G44" s="60"/>
      <c r="J44" s="59"/>
      <c r="K44" s="59"/>
      <c r="L44" s="59"/>
      <c r="M44" s="3"/>
      <c r="W44" s="59"/>
      <c r="X44" s="59"/>
      <c r="Y44" s="59"/>
      <c r="Z44" s="59"/>
      <c r="AA44" s="59"/>
      <c r="AB44" s="59"/>
      <c r="AC44" s="59"/>
    </row>
    <row r="45">
      <c r="E45" s="59"/>
      <c r="F45" s="59"/>
      <c r="G45" s="60"/>
      <c r="J45" s="59"/>
      <c r="K45" s="59"/>
      <c r="L45" s="59"/>
      <c r="M45" s="3"/>
      <c r="W45" s="59"/>
      <c r="X45" s="59"/>
      <c r="Y45" s="59"/>
      <c r="Z45" s="59"/>
      <c r="AA45" s="59"/>
      <c r="AB45" s="59"/>
      <c r="AC45" s="59"/>
    </row>
    <row r="46">
      <c r="E46" s="59"/>
      <c r="F46" s="59"/>
      <c r="G46" s="60"/>
      <c r="J46" s="59"/>
      <c r="K46" s="59"/>
      <c r="L46" s="59"/>
      <c r="M46" s="3"/>
      <c r="W46" s="59"/>
      <c r="X46" s="59"/>
      <c r="Y46" s="59"/>
      <c r="Z46" s="59"/>
      <c r="AA46" s="59"/>
      <c r="AB46" s="59"/>
      <c r="AC46" s="59"/>
    </row>
    <row r="47">
      <c r="E47" s="59"/>
      <c r="F47" s="59"/>
      <c r="G47" s="60"/>
      <c r="J47" s="59"/>
      <c r="K47" s="59"/>
      <c r="L47" s="59"/>
      <c r="M47" s="3"/>
      <c r="W47" s="59"/>
      <c r="X47" s="59"/>
      <c r="Y47" s="59"/>
      <c r="Z47" s="59"/>
      <c r="AA47" s="59"/>
      <c r="AB47" s="59"/>
      <c r="AC47" s="59"/>
    </row>
    <row r="48">
      <c r="E48" s="59"/>
      <c r="F48" s="59"/>
      <c r="G48" s="60"/>
      <c r="J48" s="59"/>
      <c r="K48" s="59"/>
      <c r="L48" s="59"/>
      <c r="M48" s="3"/>
      <c r="W48" s="59"/>
      <c r="X48" s="59"/>
      <c r="Y48" s="59"/>
      <c r="Z48" s="59"/>
      <c r="AA48" s="59"/>
      <c r="AB48" s="59"/>
      <c r="AC48" s="59"/>
    </row>
    <row r="49">
      <c r="E49" s="59"/>
      <c r="F49" s="59"/>
      <c r="G49" s="60"/>
      <c r="J49" s="59"/>
      <c r="K49" s="59"/>
      <c r="L49" s="59"/>
      <c r="M49" s="3"/>
      <c r="W49" s="59"/>
      <c r="X49" s="59"/>
      <c r="Y49" s="59"/>
      <c r="Z49" s="59"/>
      <c r="AA49" s="59"/>
      <c r="AB49" s="59"/>
      <c r="AC49" s="59"/>
    </row>
    <row r="50">
      <c r="E50" s="59"/>
      <c r="F50" s="59"/>
      <c r="G50" s="60"/>
      <c r="J50" s="59"/>
      <c r="K50" s="59"/>
      <c r="L50" s="59"/>
      <c r="M50" s="3"/>
      <c r="W50" s="59"/>
      <c r="X50" s="59"/>
      <c r="Y50" s="59"/>
      <c r="Z50" s="59"/>
      <c r="AA50" s="59"/>
      <c r="AB50" s="59"/>
      <c r="AC50" s="59"/>
    </row>
    <row r="51">
      <c r="E51" s="59"/>
      <c r="F51" s="59"/>
      <c r="G51" s="60"/>
      <c r="J51" s="59"/>
      <c r="K51" s="59"/>
      <c r="L51" s="59"/>
      <c r="M51" s="3"/>
      <c r="W51" s="59"/>
      <c r="X51" s="59"/>
      <c r="Y51" s="59"/>
      <c r="Z51" s="59"/>
      <c r="AA51" s="59"/>
      <c r="AB51" s="59"/>
      <c r="AC51" s="59"/>
    </row>
    <row r="52">
      <c r="E52" s="59"/>
      <c r="F52" s="59"/>
      <c r="G52" s="60"/>
      <c r="J52" s="59"/>
      <c r="K52" s="59"/>
      <c r="L52" s="59"/>
      <c r="M52" s="3"/>
      <c r="W52" s="59"/>
      <c r="X52" s="59"/>
      <c r="Y52" s="59"/>
      <c r="Z52" s="59"/>
      <c r="AA52" s="59"/>
      <c r="AB52" s="59"/>
      <c r="AC52" s="59"/>
    </row>
    <row r="53">
      <c r="E53" s="59"/>
      <c r="F53" s="59"/>
      <c r="G53" s="60"/>
      <c r="J53" s="59"/>
      <c r="K53" s="59"/>
      <c r="L53" s="59"/>
      <c r="M53" s="3"/>
      <c r="W53" s="59"/>
      <c r="X53" s="59"/>
      <c r="Y53" s="59"/>
      <c r="Z53" s="59"/>
      <c r="AA53" s="59"/>
      <c r="AB53" s="59"/>
      <c r="AC53" s="59"/>
    </row>
    <row r="54">
      <c r="E54" s="59"/>
      <c r="F54" s="59"/>
      <c r="G54" s="60"/>
      <c r="J54" s="59"/>
      <c r="K54" s="59"/>
      <c r="L54" s="59"/>
      <c r="M54" s="3"/>
      <c r="W54" s="59"/>
      <c r="X54" s="59"/>
      <c r="Y54" s="59"/>
      <c r="Z54" s="59"/>
      <c r="AA54" s="59"/>
      <c r="AB54" s="59"/>
      <c r="AC54" s="59"/>
    </row>
    <row r="55">
      <c r="E55" s="59"/>
      <c r="F55" s="59"/>
      <c r="G55" s="60"/>
      <c r="J55" s="59"/>
      <c r="K55" s="59"/>
      <c r="L55" s="59"/>
      <c r="M55" s="3"/>
      <c r="W55" s="59"/>
      <c r="X55" s="59"/>
      <c r="Y55" s="59"/>
      <c r="Z55" s="59"/>
      <c r="AA55" s="59"/>
      <c r="AB55" s="59"/>
      <c r="AC55" s="59"/>
    </row>
    <row r="56">
      <c r="E56" s="59"/>
      <c r="F56" s="59"/>
      <c r="G56" s="60"/>
      <c r="J56" s="59"/>
      <c r="K56" s="59"/>
      <c r="L56" s="59"/>
      <c r="M56" s="3"/>
      <c r="W56" s="59"/>
      <c r="X56" s="59"/>
      <c r="Y56" s="59"/>
      <c r="Z56" s="59"/>
      <c r="AA56" s="59"/>
      <c r="AB56" s="59"/>
      <c r="AC56" s="59"/>
    </row>
    <row r="57">
      <c r="E57" s="59"/>
      <c r="F57" s="59"/>
      <c r="G57" s="60"/>
      <c r="J57" s="59"/>
      <c r="K57" s="59"/>
      <c r="L57" s="59"/>
      <c r="M57" s="3"/>
      <c r="W57" s="59"/>
      <c r="X57" s="59"/>
      <c r="Y57" s="59"/>
      <c r="Z57" s="59"/>
      <c r="AA57" s="59"/>
      <c r="AB57" s="59"/>
      <c r="AC57" s="59"/>
    </row>
    <row r="58">
      <c r="E58" s="59"/>
      <c r="F58" s="59"/>
      <c r="G58" s="60"/>
      <c r="J58" s="59"/>
      <c r="K58" s="59"/>
      <c r="L58" s="59"/>
      <c r="M58" s="3"/>
      <c r="W58" s="59"/>
      <c r="X58" s="59"/>
      <c r="Y58" s="59"/>
      <c r="Z58" s="59"/>
      <c r="AA58" s="59"/>
      <c r="AB58" s="59"/>
      <c r="AC58" s="59"/>
    </row>
    <row r="59">
      <c r="E59" s="59"/>
      <c r="F59" s="59"/>
      <c r="G59" s="60"/>
      <c r="J59" s="59"/>
      <c r="K59" s="59"/>
      <c r="L59" s="59"/>
      <c r="M59" s="3"/>
      <c r="W59" s="59"/>
      <c r="X59" s="59"/>
      <c r="Y59" s="59"/>
      <c r="Z59" s="59"/>
      <c r="AA59" s="59"/>
      <c r="AB59" s="59"/>
      <c r="AC59" s="59"/>
    </row>
    <row r="60">
      <c r="E60" s="59"/>
      <c r="F60" s="59"/>
      <c r="G60" s="60"/>
      <c r="J60" s="59"/>
      <c r="K60" s="59"/>
      <c r="L60" s="59"/>
      <c r="M60" s="3"/>
      <c r="W60" s="59"/>
      <c r="X60" s="59"/>
      <c r="Y60" s="59"/>
      <c r="Z60" s="59"/>
      <c r="AA60" s="59"/>
      <c r="AB60" s="59"/>
      <c r="AC60" s="59"/>
    </row>
    <row r="61">
      <c r="E61" s="59"/>
      <c r="F61" s="59"/>
      <c r="G61" s="60"/>
      <c r="J61" s="59"/>
      <c r="K61" s="59"/>
      <c r="L61" s="59"/>
      <c r="M61" s="3"/>
      <c r="W61" s="59"/>
      <c r="X61" s="59"/>
      <c r="Y61" s="59"/>
      <c r="Z61" s="59"/>
      <c r="AA61" s="59"/>
      <c r="AB61" s="59"/>
      <c r="AC61" s="59"/>
    </row>
    <row r="62">
      <c r="E62" s="59"/>
      <c r="F62" s="59"/>
      <c r="G62" s="60"/>
      <c r="J62" s="59"/>
      <c r="K62" s="59"/>
      <c r="L62" s="59"/>
      <c r="M62" s="3"/>
      <c r="W62" s="59"/>
      <c r="X62" s="59"/>
      <c r="Y62" s="59"/>
      <c r="Z62" s="59"/>
      <c r="AA62" s="59"/>
      <c r="AB62" s="59"/>
      <c r="AC62" s="59"/>
    </row>
    <row r="63">
      <c r="E63" s="59"/>
      <c r="F63" s="59"/>
      <c r="G63" s="60"/>
      <c r="J63" s="59"/>
      <c r="K63" s="59"/>
      <c r="L63" s="59"/>
      <c r="M63" s="3"/>
      <c r="W63" s="59"/>
      <c r="X63" s="59"/>
      <c r="Y63" s="59"/>
      <c r="Z63" s="59"/>
      <c r="AA63" s="59"/>
      <c r="AB63" s="59"/>
      <c r="AC63" s="59"/>
    </row>
    <row r="64">
      <c r="E64" s="59"/>
      <c r="F64" s="59"/>
      <c r="G64" s="60"/>
      <c r="J64" s="59"/>
      <c r="K64" s="59"/>
      <c r="L64" s="59"/>
      <c r="M64" s="3"/>
      <c r="W64" s="59"/>
      <c r="X64" s="59"/>
      <c r="Y64" s="59"/>
      <c r="Z64" s="59"/>
      <c r="AA64" s="59"/>
      <c r="AB64" s="59"/>
      <c r="AC64" s="59"/>
    </row>
    <row r="65">
      <c r="E65" s="59"/>
      <c r="F65" s="59"/>
      <c r="G65" s="60"/>
      <c r="J65" s="59"/>
      <c r="K65" s="59"/>
      <c r="L65" s="59"/>
      <c r="M65" s="3"/>
      <c r="W65" s="59"/>
      <c r="X65" s="59"/>
      <c r="Y65" s="59"/>
      <c r="Z65" s="59"/>
      <c r="AA65" s="59"/>
      <c r="AB65" s="59"/>
      <c r="AC65" s="59"/>
    </row>
    <row r="66">
      <c r="E66" s="59"/>
      <c r="F66" s="59"/>
      <c r="G66" s="60"/>
      <c r="J66" s="59"/>
      <c r="K66" s="59"/>
      <c r="L66" s="59"/>
      <c r="M66" s="3"/>
      <c r="W66" s="59"/>
      <c r="X66" s="59"/>
      <c r="Y66" s="59"/>
      <c r="Z66" s="59"/>
      <c r="AA66" s="59"/>
      <c r="AB66" s="59"/>
      <c r="AC66" s="59"/>
    </row>
    <row r="67">
      <c r="E67" s="59"/>
      <c r="F67" s="59"/>
      <c r="G67" s="60"/>
      <c r="J67" s="59"/>
      <c r="K67" s="59"/>
      <c r="L67" s="59"/>
      <c r="M67" s="3"/>
      <c r="W67" s="59"/>
      <c r="X67" s="59"/>
      <c r="Y67" s="59"/>
      <c r="Z67" s="59"/>
      <c r="AA67" s="59"/>
      <c r="AB67" s="59"/>
      <c r="AC67" s="59"/>
    </row>
    <row r="68">
      <c r="E68" s="59"/>
      <c r="F68" s="59"/>
      <c r="G68" s="60"/>
      <c r="J68" s="59"/>
      <c r="K68" s="59"/>
      <c r="L68" s="59"/>
      <c r="M68" s="3"/>
      <c r="W68" s="59"/>
      <c r="X68" s="59"/>
      <c r="Y68" s="59"/>
      <c r="Z68" s="59"/>
      <c r="AA68" s="59"/>
      <c r="AB68" s="59"/>
      <c r="AC68" s="59"/>
    </row>
    <row r="69">
      <c r="E69" s="59"/>
      <c r="F69" s="59"/>
      <c r="G69" s="60"/>
      <c r="J69" s="59"/>
      <c r="K69" s="59"/>
      <c r="L69" s="59"/>
      <c r="M69" s="3"/>
      <c r="W69" s="59"/>
      <c r="X69" s="59"/>
      <c r="Y69" s="59"/>
      <c r="Z69" s="59"/>
      <c r="AA69" s="59"/>
      <c r="AB69" s="59"/>
      <c r="AC69" s="59"/>
    </row>
    <row r="70">
      <c r="E70" s="59"/>
      <c r="F70" s="59"/>
      <c r="G70" s="60"/>
      <c r="J70" s="59"/>
      <c r="K70" s="59"/>
      <c r="L70" s="59"/>
      <c r="M70" s="3"/>
      <c r="W70" s="59"/>
      <c r="X70" s="59"/>
      <c r="Y70" s="59"/>
      <c r="Z70" s="59"/>
      <c r="AA70" s="59"/>
      <c r="AB70" s="59"/>
      <c r="AC70" s="59"/>
    </row>
    <row r="71">
      <c r="E71" s="59"/>
      <c r="F71" s="59"/>
      <c r="G71" s="60"/>
      <c r="J71" s="59"/>
      <c r="K71" s="59"/>
      <c r="L71" s="59"/>
      <c r="M71" s="3"/>
      <c r="W71" s="59"/>
      <c r="X71" s="59"/>
      <c r="Y71" s="59"/>
      <c r="Z71" s="59"/>
      <c r="AA71" s="59"/>
      <c r="AB71" s="59"/>
      <c r="AC71" s="59"/>
    </row>
    <row r="72">
      <c r="E72" s="59"/>
      <c r="F72" s="59"/>
      <c r="G72" s="60"/>
      <c r="J72" s="59"/>
      <c r="K72" s="59"/>
      <c r="L72" s="59"/>
      <c r="M72" s="3"/>
      <c r="W72" s="59"/>
      <c r="X72" s="59"/>
      <c r="Y72" s="59"/>
      <c r="Z72" s="59"/>
      <c r="AA72" s="59"/>
      <c r="AB72" s="59"/>
      <c r="AC72" s="59"/>
    </row>
    <row r="73">
      <c r="E73" s="59"/>
      <c r="F73" s="59"/>
      <c r="G73" s="60"/>
      <c r="J73" s="59"/>
      <c r="K73" s="59"/>
      <c r="L73" s="59"/>
      <c r="M73" s="3"/>
      <c r="W73" s="59"/>
      <c r="X73" s="59"/>
      <c r="Y73" s="59"/>
      <c r="Z73" s="59"/>
      <c r="AA73" s="59"/>
      <c r="AB73" s="59"/>
      <c r="AC73" s="59"/>
    </row>
    <row r="74">
      <c r="E74" s="59"/>
      <c r="F74" s="59"/>
      <c r="G74" s="60"/>
      <c r="J74" s="59"/>
      <c r="K74" s="59"/>
      <c r="L74" s="59"/>
      <c r="M74" s="3"/>
      <c r="W74" s="59"/>
      <c r="X74" s="59"/>
      <c r="Y74" s="59"/>
      <c r="Z74" s="59"/>
      <c r="AA74" s="59"/>
      <c r="AB74" s="59"/>
      <c r="AC74" s="59"/>
    </row>
    <row r="75">
      <c r="E75" s="59"/>
      <c r="F75" s="59"/>
      <c r="G75" s="60"/>
      <c r="J75" s="59"/>
      <c r="K75" s="59"/>
      <c r="L75" s="59"/>
      <c r="M75" s="3"/>
      <c r="W75" s="59"/>
      <c r="X75" s="59"/>
      <c r="Y75" s="59"/>
      <c r="Z75" s="59"/>
      <c r="AA75" s="59"/>
      <c r="AB75" s="59"/>
      <c r="AC75" s="59"/>
    </row>
    <row r="76">
      <c r="E76" s="59"/>
      <c r="F76" s="59"/>
      <c r="G76" s="60"/>
      <c r="J76" s="59"/>
      <c r="K76" s="59"/>
      <c r="L76" s="59"/>
      <c r="M76" s="3"/>
      <c r="W76" s="59"/>
      <c r="X76" s="59"/>
      <c r="Y76" s="59"/>
      <c r="Z76" s="59"/>
      <c r="AA76" s="59"/>
      <c r="AB76" s="59"/>
      <c r="AC76" s="59"/>
    </row>
    <row r="77">
      <c r="E77" s="59"/>
      <c r="F77" s="59"/>
      <c r="G77" s="60"/>
      <c r="J77" s="59"/>
      <c r="K77" s="59"/>
      <c r="L77" s="59"/>
      <c r="M77" s="3"/>
      <c r="W77" s="59"/>
      <c r="X77" s="59"/>
      <c r="Y77" s="59"/>
      <c r="Z77" s="59"/>
      <c r="AA77" s="59"/>
      <c r="AB77" s="59"/>
      <c r="AC77" s="59"/>
    </row>
    <row r="78">
      <c r="E78" s="59"/>
      <c r="F78" s="59"/>
      <c r="G78" s="60"/>
      <c r="J78" s="59"/>
      <c r="K78" s="59"/>
      <c r="L78" s="59"/>
      <c r="M78" s="3"/>
      <c r="W78" s="59"/>
      <c r="X78" s="59"/>
      <c r="Y78" s="59"/>
      <c r="Z78" s="59"/>
      <c r="AA78" s="59"/>
      <c r="AB78" s="59"/>
      <c r="AC78" s="59"/>
    </row>
    <row r="79">
      <c r="E79" s="59"/>
      <c r="F79" s="59"/>
      <c r="G79" s="60"/>
      <c r="J79" s="59"/>
      <c r="K79" s="59"/>
      <c r="L79" s="59"/>
      <c r="M79" s="3"/>
      <c r="W79" s="59"/>
      <c r="X79" s="59"/>
      <c r="Y79" s="59"/>
      <c r="Z79" s="59"/>
      <c r="AA79" s="59"/>
      <c r="AB79" s="59"/>
      <c r="AC79" s="59"/>
    </row>
    <row r="80">
      <c r="E80" s="59"/>
      <c r="F80" s="59"/>
      <c r="G80" s="60"/>
      <c r="J80" s="59"/>
      <c r="K80" s="59"/>
      <c r="L80" s="59"/>
      <c r="M80" s="3"/>
      <c r="W80" s="59"/>
      <c r="X80" s="59"/>
      <c r="Y80" s="59"/>
      <c r="Z80" s="59"/>
      <c r="AA80" s="59"/>
      <c r="AB80" s="59"/>
      <c r="AC80" s="59"/>
    </row>
    <row r="81">
      <c r="E81" s="59"/>
      <c r="F81" s="59"/>
      <c r="G81" s="60"/>
      <c r="J81" s="59"/>
      <c r="K81" s="59"/>
      <c r="L81" s="59"/>
      <c r="M81" s="3"/>
      <c r="W81" s="59"/>
      <c r="X81" s="59"/>
      <c r="Y81" s="59"/>
      <c r="Z81" s="59"/>
      <c r="AA81" s="59"/>
      <c r="AB81" s="59"/>
      <c r="AC81" s="59"/>
    </row>
    <row r="82">
      <c r="E82" s="59"/>
      <c r="F82" s="59"/>
      <c r="G82" s="60"/>
      <c r="J82" s="59"/>
      <c r="K82" s="59"/>
      <c r="L82" s="59"/>
      <c r="M82" s="3"/>
      <c r="W82" s="59"/>
      <c r="X82" s="59"/>
      <c r="Y82" s="59"/>
      <c r="Z82" s="59"/>
      <c r="AA82" s="59"/>
      <c r="AB82" s="59"/>
      <c r="AC82" s="59"/>
    </row>
    <row r="83">
      <c r="E83" s="59"/>
      <c r="F83" s="59"/>
      <c r="G83" s="60"/>
      <c r="J83" s="59"/>
      <c r="K83" s="59"/>
      <c r="L83" s="59"/>
      <c r="M83" s="3"/>
      <c r="W83" s="59"/>
      <c r="X83" s="59"/>
      <c r="Y83" s="59"/>
      <c r="Z83" s="59"/>
      <c r="AA83" s="59"/>
      <c r="AB83" s="59"/>
      <c r="AC83" s="59"/>
    </row>
    <row r="84">
      <c r="E84" s="59"/>
      <c r="F84" s="59"/>
      <c r="G84" s="60"/>
      <c r="J84" s="59"/>
      <c r="K84" s="59"/>
      <c r="L84" s="59"/>
      <c r="M84" s="3"/>
      <c r="W84" s="59"/>
      <c r="X84" s="59"/>
      <c r="Y84" s="59"/>
      <c r="Z84" s="59"/>
      <c r="AA84" s="59"/>
      <c r="AB84" s="59"/>
      <c r="AC84" s="59"/>
    </row>
    <row r="85">
      <c r="E85" s="59"/>
      <c r="F85" s="59"/>
      <c r="G85" s="60"/>
      <c r="J85" s="59"/>
      <c r="K85" s="59"/>
      <c r="L85" s="59"/>
      <c r="M85" s="3"/>
      <c r="W85" s="59"/>
      <c r="X85" s="59"/>
      <c r="Y85" s="59"/>
      <c r="Z85" s="59"/>
      <c r="AA85" s="59"/>
      <c r="AB85" s="59"/>
      <c r="AC85" s="59"/>
    </row>
    <row r="86">
      <c r="E86" s="59"/>
      <c r="F86" s="59"/>
      <c r="G86" s="60"/>
      <c r="J86" s="59"/>
      <c r="K86" s="59"/>
      <c r="L86" s="59"/>
      <c r="M86" s="3"/>
      <c r="W86" s="59"/>
      <c r="X86" s="59"/>
      <c r="Y86" s="59"/>
      <c r="Z86" s="59"/>
      <c r="AA86" s="59"/>
      <c r="AB86" s="59"/>
      <c r="AC86" s="59"/>
    </row>
    <row r="87">
      <c r="E87" s="59"/>
      <c r="F87" s="59"/>
      <c r="G87" s="60"/>
      <c r="J87" s="59"/>
      <c r="K87" s="59"/>
      <c r="L87" s="59"/>
      <c r="M87" s="3"/>
      <c r="W87" s="59"/>
      <c r="X87" s="59"/>
      <c r="Y87" s="59"/>
      <c r="Z87" s="59"/>
      <c r="AA87" s="59"/>
      <c r="AB87" s="59"/>
      <c r="AC87" s="59"/>
    </row>
    <row r="88">
      <c r="E88" s="59"/>
      <c r="F88" s="59"/>
      <c r="G88" s="60"/>
      <c r="J88" s="59"/>
      <c r="K88" s="59"/>
      <c r="L88" s="59"/>
      <c r="M88" s="3"/>
      <c r="W88" s="59"/>
      <c r="X88" s="59"/>
      <c r="Y88" s="59"/>
      <c r="Z88" s="59"/>
      <c r="AA88" s="59"/>
      <c r="AB88" s="59"/>
      <c r="AC88" s="59"/>
    </row>
    <row r="89">
      <c r="E89" s="59"/>
      <c r="F89" s="59"/>
      <c r="G89" s="60"/>
      <c r="J89" s="59"/>
      <c r="K89" s="59"/>
      <c r="L89" s="59"/>
      <c r="M89" s="3"/>
      <c r="W89" s="59"/>
      <c r="X89" s="59"/>
      <c r="Y89" s="59"/>
      <c r="Z89" s="59"/>
      <c r="AA89" s="59"/>
      <c r="AB89" s="59"/>
      <c r="AC89" s="59"/>
    </row>
    <row r="90">
      <c r="E90" s="59"/>
      <c r="F90" s="59"/>
      <c r="G90" s="60"/>
      <c r="J90" s="59"/>
      <c r="K90" s="59"/>
      <c r="L90" s="59"/>
      <c r="M90" s="3"/>
      <c r="W90" s="59"/>
      <c r="X90" s="59"/>
      <c r="Y90" s="59"/>
      <c r="Z90" s="59"/>
      <c r="AA90" s="59"/>
      <c r="AB90" s="59"/>
      <c r="AC90" s="59"/>
    </row>
    <row r="91">
      <c r="E91" s="59"/>
      <c r="F91" s="59"/>
      <c r="G91" s="60"/>
      <c r="J91" s="59"/>
      <c r="K91" s="59"/>
      <c r="L91" s="59"/>
      <c r="M91" s="3"/>
      <c r="W91" s="59"/>
      <c r="X91" s="59"/>
      <c r="Y91" s="59"/>
      <c r="Z91" s="59"/>
      <c r="AA91" s="59"/>
      <c r="AB91" s="59"/>
      <c r="AC91" s="59"/>
    </row>
    <row r="92">
      <c r="E92" s="59"/>
      <c r="F92" s="59"/>
      <c r="G92" s="60"/>
      <c r="J92" s="59"/>
      <c r="K92" s="59"/>
      <c r="L92" s="59"/>
      <c r="M92" s="3"/>
      <c r="W92" s="59"/>
      <c r="X92" s="59"/>
      <c r="Y92" s="59"/>
      <c r="Z92" s="59"/>
      <c r="AA92" s="59"/>
      <c r="AB92" s="59"/>
      <c r="AC92" s="59"/>
    </row>
    <row r="93">
      <c r="E93" s="59"/>
      <c r="F93" s="59"/>
      <c r="G93" s="60"/>
      <c r="J93" s="59"/>
      <c r="K93" s="59"/>
      <c r="L93" s="59"/>
      <c r="M93" s="3"/>
      <c r="W93" s="59"/>
      <c r="X93" s="59"/>
      <c r="Y93" s="59"/>
      <c r="Z93" s="59"/>
      <c r="AA93" s="59"/>
      <c r="AB93" s="59"/>
      <c r="AC93" s="59"/>
    </row>
    <row r="94">
      <c r="E94" s="59"/>
      <c r="F94" s="59"/>
      <c r="G94" s="60"/>
      <c r="J94" s="59"/>
      <c r="K94" s="59"/>
      <c r="L94" s="59"/>
      <c r="M94" s="3"/>
      <c r="W94" s="59"/>
      <c r="X94" s="59"/>
      <c r="Y94" s="59"/>
      <c r="Z94" s="59"/>
      <c r="AA94" s="59"/>
      <c r="AB94" s="59"/>
      <c r="AC94" s="59"/>
    </row>
    <row r="95">
      <c r="E95" s="59"/>
      <c r="F95" s="59"/>
      <c r="G95" s="60"/>
      <c r="J95" s="59"/>
      <c r="K95" s="59"/>
      <c r="L95" s="59"/>
      <c r="M95" s="3"/>
      <c r="W95" s="59"/>
      <c r="X95" s="59"/>
      <c r="Y95" s="59"/>
      <c r="Z95" s="59"/>
      <c r="AA95" s="59"/>
      <c r="AB95" s="59"/>
      <c r="AC95" s="59"/>
    </row>
    <row r="96">
      <c r="E96" s="59"/>
      <c r="F96" s="59"/>
      <c r="G96" s="60"/>
      <c r="J96" s="59"/>
      <c r="K96" s="59"/>
      <c r="L96" s="59"/>
      <c r="M96" s="3"/>
      <c r="W96" s="59"/>
      <c r="X96" s="59"/>
      <c r="Y96" s="59"/>
      <c r="Z96" s="59"/>
      <c r="AA96" s="59"/>
      <c r="AB96" s="59"/>
      <c r="AC96" s="59"/>
    </row>
    <row r="97">
      <c r="E97" s="59"/>
      <c r="F97" s="59"/>
      <c r="G97" s="60"/>
      <c r="J97" s="59"/>
      <c r="K97" s="59"/>
      <c r="L97" s="59"/>
      <c r="M97" s="3"/>
      <c r="W97" s="59"/>
      <c r="X97" s="59"/>
      <c r="Y97" s="59"/>
      <c r="Z97" s="59"/>
      <c r="AA97" s="59"/>
      <c r="AB97" s="59"/>
      <c r="AC97" s="59"/>
    </row>
    <row r="98">
      <c r="E98" s="59"/>
      <c r="F98" s="59"/>
      <c r="G98" s="60"/>
      <c r="J98" s="59"/>
      <c r="K98" s="59"/>
      <c r="L98" s="59"/>
      <c r="M98" s="3"/>
      <c r="W98" s="59"/>
      <c r="X98" s="59"/>
      <c r="Y98" s="59"/>
      <c r="Z98" s="59"/>
      <c r="AA98" s="59"/>
      <c r="AB98" s="59"/>
      <c r="AC98" s="59"/>
    </row>
    <row r="99">
      <c r="E99" s="59"/>
      <c r="F99" s="59"/>
      <c r="G99" s="60"/>
      <c r="J99" s="59"/>
      <c r="K99" s="59"/>
      <c r="L99" s="59"/>
      <c r="M99" s="3"/>
      <c r="W99" s="59"/>
      <c r="X99" s="59"/>
      <c r="Y99" s="59"/>
      <c r="Z99" s="59"/>
      <c r="AA99" s="59"/>
      <c r="AB99" s="59"/>
      <c r="AC99" s="59"/>
    </row>
    <row r="100">
      <c r="E100" s="59"/>
      <c r="F100" s="59"/>
      <c r="G100" s="60"/>
      <c r="J100" s="59"/>
      <c r="K100" s="59"/>
      <c r="L100" s="59"/>
      <c r="M100" s="3"/>
      <c r="W100" s="59"/>
      <c r="X100" s="59"/>
      <c r="Y100" s="59"/>
      <c r="Z100" s="59"/>
      <c r="AA100" s="59"/>
      <c r="AB100" s="59"/>
      <c r="AC100" s="59"/>
    </row>
    <row r="101">
      <c r="E101" s="59"/>
      <c r="F101" s="59"/>
      <c r="G101" s="60"/>
      <c r="J101" s="59"/>
      <c r="K101" s="59"/>
      <c r="L101" s="59"/>
      <c r="M101" s="3"/>
      <c r="W101" s="59"/>
      <c r="X101" s="59"/>
      <c r="Y101" s="59"/>
      <c r="Z101" s="59"/>
      <c r="AA101" s="59"/>
      <c r="AB101" s="59"/>
      <c r="AC101" s="59"/>
    </row>
    <row r="102">
      <c r="E102" s="59"/>
      <c r="F102" s="59"/>
      <c r="G102" s="60"/>
      <c r="J102" s="59"/>
      <c r="K102" s="59"/>
      <c r="L102" s="59"/>
      <c r="M102" s="3"/>
      <c r="W102" s="59"/>
      <c r="X102" s="59"/>
      <c r="Y102" s="59"/>
      <c r="Z102" s="59"/>
      <c r="AA102" s="59"/>
      <c r="AB102" s="59"/>
      <c r="AC102" s="59"/>
    </row>
    <row r="103">
      <c r="E103" s="59"/>
      <c r="F103" s="59"/>
      <c r="G103" s="60"/>
      <c r="J103" s="59"/>
      <c r="K103" s="59"/>
      <c r="L103" s="59"/>
      <c r="M103" s="3"/>
      <c r="W103" s="59"/>
      <c r="X103" s="59"/>
      <c r="Y103" s="59"/>
      <c r="Z103" s="59"/>
      <c r="AA103" s="59"/>
      <c r="AB103" s="59"/>
      <c r="AC103" s="59"/>
    </row>
    <row r="104">
      <c r="E104" s="59"/>
      <c r="F104" s="59"/>
      <c r="G104" s="60"/>
      <c r="J104" s="59"/>
      <c r="K104" s="59"/>
      <c r="L104" s="59"/>
      <c r="M104" s="3"/>
      <c r="W104" s="59"/>
      <c r="X104" s="59"/>
      <c r="Y104" s="59"/>
      <c r="Z104" s="59"/>
      <c r="AA104" s="59"/>
      <c r="AB104" s="59"/>
      <c r="AC104" s="59"/>
    </row>
    <row r="105">
      <c r="E105" s="59"/>
      <c r="F105" s="59"/>
      <c r="G105" s="60"/>
      <c r="J105" s="59"/>
      <c r="K105" s="59"/>
      <c r="L105" s="59"/>
      <c r="M105" s="3"/>
      <c r="W105" s="59"/>
      <c r="X105" s="59"/>
      <c r="Y105" s="59"/>
      <c r="Z105" s="59"/>
      <c r="AA105" s="59"/>
      <c r="AB105" s="59"/>
      <c r="AC105" s="59"/>
    </row>
    <row r="106">
      <c r="E106" s="59"/>
      <c r="F106" s="59"/>
      <c r="G106" s="60"/>
      <c r="J106" s="59"/>
      <c r="K106" s="59"/>
      <c r="L106" s="59"/>
      <c r="M106" s="3"/>
      <c r="W106" s="59"/>
      <c r="X106" s="59"/>
      <c r="Y106" s="59"/>
      <c r="Z106" s="59"/>
      <c r="AA106" s="59"/>
      <c r="AB106" s="59"/>
      <c r="AC106" s="59"/>
    </row>
    <row r="107">
      <c r="E107" s="59"/>
      <c r="F107" s="59"/>
      <c r="G107" s="60"/>
      <c r="J107" s="59"/>
      <c r="K107" s="59"/>
      <c r="L107" s="59"/>
      <c r="M107" s="3"/>
      <c r="W107" s="59"/>
      <c r="X107" s="59"/>
      <c r="Y107" s="59"/>
      <c r="Z107" s="59"/>
      <c r="AA107" s="59"/>
      <c r="AB107" s="59"/>
      <c r="AC107" s="59"/>
    </row>
    <row r="108">
      <c r="E108" s="59"/>
      <c r="F108" s="59"/>
      <c r="G108" s="60"/>
      <c r="J108" s="59"/>
      <c r="K108" s="59"/>
      <c r="L108" s="59"/>
      <c r="M108" s="3"/>
      <c r="W108" s="59"/>
      <c r="X108" s="59"/>
      <c r="Y108" s="59"/>
      <c r="Z108" s="59"/>
      <c r="AA108" s="59"/>
      <c r="AB108" s="59"/>
      <c r="AC108" s="59"/>
    </row>
    <row r="109">
      <c r="E109" s="59"/>
      <c r="F109" s="59"/>
      <c r="G109" s="60"/>
      <c r="J109" s="59"/>
      <c r="K109" s="59"/>
      <c r="L109" s="59"/>
      <c r="M109" s="3"/>
      <c r="W109" s="59"/>
      <c r="X109" s="59"/>
      <c r="Y109" s="59"/>
      <c r="Z109" s="59"/>
      <c r="AA109" s="59"/>
      <c r="AB109" s="59"/>
      <c r="AC109" s="59"/>
    </row>
    <row r="110">
      <c r="E110" s="59"/>
      <c r="F110" s="59"/>
      <c r="G110" s="60"/>
      <c r="J110" s="59"/>
      <c r="K110" s="59"/>
      <c r="L110" s="59"/>
      <c r="M110" s="3"/>
      <c r="W110" s="59"/>
      <c r="X110" s="59"/>
      <c r="Y110" s="59"/>
      <c r="Z110" s="59"/>
      <c r="AA110" s="59"/>
      <c r="AB110" s="59"/>
      <c r="AC110" s="59"/>
    </row>
    <row r="111">
      <c r="E111" s="59"/>
      <c r="F111" s="59"/>
      <c r="G111" s="60"/>
      <c r="J111" s="59"/>
      <c r="K111" s="59"/>
      <c r="L111" s="59"/>
      <c r="M111" s="3"/>
      <c r="W111" s="59"/>
      <c r="X111" s="59"/>
      <c r="Y111" s="59"/>
      <c r="Z111" s="59"/>
      <c r="AA111" s="59"/>
      <c r="AB111" s="59"/>
      <c r="AC111" s="59"/>
    </row>
    <row r="112">
      <c r="E112" s="59"/>
      <c r="F112" s="59"/>
      <c r="G112" s="60"/>
      <c r="J112" s="59"/>
      <c r="K112" s="59"/>
      <c r="L112" s="59"/>
      <c r="M112" s="3"/>
      <c r="W112" s="59"/>
      <c r="X112" s="59"/>
      <c r="Y112" s="59"/>
      <c r="Z112" s="59"/>
      <c r="AA112" s="59"/>
      <c r="AB112" s="59"/>
      <c r="AC112" s="59"/>
    </row>
    <row r="113">
      <c r="E113" s="59"/>
      <c r="F113" s="59"/>
      <c r="G113" s="60"/>
      <c r="J113" s="59"/>
      <c r="K113" s="59"/>
      <c r="L113" s="59"/>
      <c r="M113" s="3"/>
      <c r="W113" s="59"/>
      <c r="X113" s="59"/>
      <c r="Y113" s="59"/>
      <c r="Z113" s="59"/>
      <c r="AA113" s="59"/>
      <c r="AB113" s="59"/>
      <c r="AC113" s="59"/>
    </row>
    <row r="114">
      <c r="E114" s="59"/>
      <c r="F114" s="59"/>
      <c r="G114" s="60"/>
      <c r="J114" s="59"/>
      <c r="K114" s="59"/>
      <c r="L114" s="59"/>
      <c r="M114" s="3"/>
      <c r="W114" s="59"/>
      <c r="X114" s="59"/>
      <c r="Y114" s="59"/>
      <c r="Z114" s="59"/>
      <c r="AA114" s="59"/>
      <c r="AB114" s="59"/>
      <c r="AC114" s="59"/>
    </row>
    <row r="115">
      <c r="E115" s="59"/>
      <c r="F115" s="59"/>
      <c r="G115" s="60"/>
      <c r="J115" s="59"/>
      <c r="K115" s="59"/>
      <c r="L115" s="59"/>
      <c r="M115" s="3"/>
      <c r="W115" s="59"/>
      <c r="X115" s="59"/>
      <c r="Y115" s="59"/>
      <c r="Z115" s="59"/>
      <c r="AA115" s="59"/>
      <c r="AB115" s="59"/>
      <c r="AC115" s="59"/>
    </row>
    <row r="116">
      <c r="E116" s="59"/>
      <c r="F116" s="59"/>
      <c r="G116" s="60"/>
      <c r="J116" s="59"/>
      <c r="K116" s="59"/>
      <c r="L116" s="59"/>
      <c r="M116" s="3"/>
      <c r="W116" s="59"/>
      <c r="X116" s="59"/>
      <c r="Y116" s="59"/>
      <c r="Z116" s="59"/>
      <c r="AA116" s="59"/>
      <c r="AB116" s="59"/>
      <c r="AC116" s="59"/>
    </row>
    <row r="117">
      <c r="E117" s="59"/>
      <c r="F117" s="59"/>
      <c r="G117" s="60"/>
      <c r="J117" s="59"/>
      <c r="K117" s="59"/>
      <c r="L117" s="59"/>
      <c r="M117" s="3"/>
      <c r="W117" s="59"/>
      <c r="X117" s="59"/>
      <c r="Y117" s="59"/>
      <c r="Z117" s="59"/>
      <c r="AA117" s="59"/>
      <c r="AB117" s="59"/>
      <c r="AC117" s="59"/>
    </row>
    <row r="118">
      <c r="E118" s="59"/>
      <c r="F118" s="59"/>
      <c r="G118" s="60"/>
      <c r="J118" s="59"/>
      <c r="K118" s="59"/>
      <c r="L118" s="59"/>
      <c r="M118" s="3"/>
      <c r="W118" s="59"/>
      <c r="X118" s="59"/>
      <c r="Y118" s="59"/>
      <c r="Z118" s="59"/>
      <c r="AA118" s="59"/>
      <c r="AB118" s="59"/>
      <c r="AC118" s="59"/>
    </row>
    <row r="119">
      <c r="E119" s="59"/>
      <c r="F119" s="59"/>
      <c r="G119" s="60"/>
      <c r="J119" s="59"/>
      <c r="K119" s="59"/>
      <c r="L119" s="59"/>
      <c r="M119" s="3"/>
      <c r="W119" s="59"/>
      <c r="X119" s="59"/>
      <c r="Y119" s="59"/>
      <c r="Z119" s="59"/>
      <c r="AA119" s="59"/>
      <c r="AB119" s="59"/>
      <c r="AC119" s="59"/>
    </row>
    <row r="120">
      <c r="E120" s="59"/>
      <c r="F120" s="59"/>
      <c r="G120" s="60"/>
      <c r="J120" s="59"/>
      <c r="K120" s="59"/>
      <c r="L120" s="59"/>
      <c r="M120" s="3"/>
      <c r="W120" s="59"/>
      <c r="X120" s="59"/>
      <c r="Y120" s="59"/>
      <c r="Z120" s="59"/>
      <c r="AA120" s="59"/>
      <c r="AB120" s="59"/>
      <c r="AC120" s="59"/>
    </row>
    <row r="121">
      <c r="E121" s="59"/>
      <c r="F121" s="59"/>
      <c r="G121" s="60"/>
      <c r="J121" s="59"/>
      <c r="K121" s="59"/>
      <c r="L121" s="59"/>
      <c r="M121" s="3"/>
      <c r="W121" s="59"/>
      <c r="X121" s="59"/>
      <c r="Y121" s="59"/>
      <c r="Z121" s="59"/>
      <c r="AA121" s="59"/>
      <c r="AB121" s="59"/>
      <c r="AC121" s="59"/>
    </row>
    <row r="122">
      <c r="E122" s="59"/>
      <c r="F122" s="59"/>
      <c r="G122" s="60"/>
      <c r="J122" s="59"/>
      <c r="K122" s="59"/>
      <c r="L122" s="59"/>
      <c r="M122" s="3"/>
      <c r="W122" s="59"/>
      <c r="X122" s="59"/>
      <c r="Y122" s="59"/>
      <c r="Z122" s="59"/>
      <c r="AA122" s="59"/>
      <c r="AB122" s="59"/>
      <c r="AC122" s="59"/>
    </row>
    <row r="123">
      <c r="E123" s="59"/>
      <c r="F123" s="59"/>
      <c r="G123" s="60"/>
      <c r="J123" s="59"/>
      <c r="K123" s="59"/>
      <c r="L123" s="59"/>
      <c r="M123" s="3"/>
      <c r="W123" s="59"/>
      <c r="X123" s="59"/>
      <c r="Y123" s="59"/>
      <c r="Z123" s="59"/>
      <c r="AA123" s="59"/>
      <c r="AB123" s="59"/>
      <c r="AC123" s="59"/>
    </row>
    <row r="124">
      <c r="E124" s="59"/>
      <c r="F124" s="59"/>
      <c r="G124" s="60"/>
      <c r="J124" s="59"/>
      <c r="K124" s="59"/>
      <c r="L124" s="59"/>
      <c r="M124" s="3"/>
      <c r="W124" s="59"/>
      <c r="X124" s="59"/>
      <c r="Y124" s="59"/>
      <c r="Z124" s="59"/>
      <c r="AA124" s="59"/>
      <c r="AB124" s="59"/>
      <c r="AC124" s="59"/>
    </row>
    <row r="125">
      <c r="E125" s="59"/>
      <c r="F125" s="59"/>
      <c r="G125" s="60"/>
      <c r="J125" s="59"/>
      <c r="K125" s="59"/>
      <c r="L125" s="59"/>
      <c r="M125" s="3"/>
      <c r="W125" s="59"/>
      <c r="X125" s="59"/>
      <c r="Y125" s="59"/>
      <c r="Z125" s="59"/>
      <c r="AA125" s="59"/>
      <c r="AB125" s="59"/>
      <c r="AC125" s="59"/>
    </row>
    <row r="126">
      <c r="E126" s="59"/>
      <c r="F126" s="59"/>
      <c r="G126" s="60"/>
      <c r="J126" s="59"/>
      <c r="K126" s="59"/>
      <c r="L126" s="59"/>
      <c r="M126" s="3"/>
      <c r="W126" s="59"/>
      <c r="X126" s="59"/>
      <c r="Y126" s="59"/>
      <c r="Z126" s="59"/>
      <c r="AA126" s="59"/>
      <c r="AB126" s="59"/>
      <c r="AC126" s="59"/>
    </row>
    <row r="127">
      <c r="E127" s="59"/>
      <c r="F127" s="59"/>
      <c r="G127" s="60"/>
      <c r="J127" s="59"/>
      <c r="K127" s="59"/>
      <c r="L127" s="59"/>
      <c r="M127" s="3"/>
      <c r="W127" s="59"/>
      <c r="X127" s="59"/>
      <c r="Y127" s="59"/>
      <c r="Z127" s="59"/>
      <c r="AA127" s="59"/>
      <c r="AB127" s="59"/>
      <c r="AC127" s="59"/>
    </row>
    <row r="128">
      <c r="E128" s="59"/>
      <c r="F128" s="59"/>
      <c r="G128" s="60"/>
      <c r="J128" s="59"/>
      <c r="K128" s="59"/>
      <c r="L128" s="59"/>
      <c r="M128" s="3"/>
      <c r="W128" s="59"/>
      <c r="X128" s="59"/>
      <c r="Y128" s="59"/>
      <c r="Z128" s="59"/>
      <c r="AA128" s="59"/>
      <c r="AB128" s="59"/>
      <c r="AC128" s="59"/>
    </row>
    <row r="129">
      <c r="E129" s="59"/>
      <c r="F129" s="59"/>
      <c r="G129" s="60"/>
      <c r="J129" s="59"/>
      <c r="K129" s="59"/>
      <c r="L129" s="59"/>
      <c r="M129" s="3"/>
      <c r="W129" s="59"/>
      <c r="X129" s="59"/>
      <c r="Y129" s="59"/>
      <c r="Z129" s="59"/>
      <c r="AA129" s="59"/>
      <c r="AB129" s="59"/>
      <c r="AC129" s="59"/>
    </row>
    <row r="130">
      <c r="E130" s="59"/>
      <c r="F130" s="59"/>
      <c r="G130" s="60"/>
      <c r="J130" s="59"/>
      <c r="K130" s="59"/>
      <c r="L130" s="59"/>
      <c r="M130" s="3"/>
      <c r="W130" s="59"/>
      <c r="X130" s="59"/>
      <c r="Y130" s="59"/>
      <c r="Z130" s="59"/>
      <c r="AA130" s="59"/>
      <c r="AB130" s="59"/>
      <c r="AC130" s="59"/>
    </row>
    <row r="131">
      <c r="E131" s="59"/>
      <c r="F131" s="59"/>
      <c r="G131" s="60"/>
      <c r="J131" s="59"/>
      <c r="K131" s="59"/>
      <c r="L131" s="59"/>
      <c r="M131" s="3"/>
      <c r="W131" s="59"/>
      <c r="X131" s="59"/>
      <c r="Y131" s="59"/>
      <c r="Z131" s="59"/>
      <c r="AA131" s="59"/>
      <c r="AB131" s="59"/>
      <c r="AC131" s="59"/>
    </row>
    <row r="132">
      <c r="E132" s="59"/>
      <c r="F132" s="59"/>
      <c r="G132" s="60"/>
      <c r="J132" s="59"/>
      <c r="K132" s="59"/>
      <c r="L132" s="59"/>
      <c r="M132" s="3"/>
      <c r="W132" s="59"/>
      <c r="X132" s="59"/>
      <c r="Y132" s="59"/>
      <c r="Z132" s="59"/>
      <c r="AA132" s="59"/>
      <c r="AB132" s="59"/>
      <c r="AC132" s="59"/>
    </row>
    <row r="133">
      <c r="E133" s="59"/>
      <c r="F133" s="59"/>
      <c r="G133" s="60"/>
      <c r="J133" s="59"/>
      <c r="K133" s="59"/>
      <c r="L133" s="59"/>
      <c r="M133" s="3"/>
      <c r="W133" s="59"/>
      <c r="X133" s="59"/>
      <c r="Y133" s="59"/>
      <c r="Z133" s="59"/>
      <c r="AA133" s="59"/>
      <c r="AB133" s="59"/>
      <c r="AC133" s="59"/>
    </row>
    <row r="134">
      <c r="E134" s="59"/>
      <c r="F134" s="59"/>
      <c r="G134" s="60"/>
      <c r="J134" s="59"/>
      <c r="K134" s="59"/>
      <c r="L134" s="59"/>
      <c r="M134" s="3"/>
      <c r="W134" s="59"/>
      <c r="X134" s="59"/>
      <c r="Y134" s="59"/>
      <c r="Z134" s="59"/>
      <c r="AA134" s="59"/>
      <c r="AB134" s="59"/>
      <c r="AC134" s="59"/>
    </row>
    <row r="135">
      <c r="E135" s="59"/>
      <c r="F135" s="59"/>
      <c r="G135" s="60"/>
      <c r="J135" s="59"/>
      <c r="K135" s="59"/>
      <c r="L135" s="59"/>
      <c r="M135" s="3"/>
      <c r="W135" s="59"/>
      <c r="X135" s="59"/>
      <c r="Y135" s="59"/>
      <c r="Z135" s="59"/>
      <c r="AA135" s="59"/>
      <c r="AB135" s="59"/>
      <c r="AC135" s="59"/>
    </row>
    <row r="136">
      <c r="E136" s="59"/>
      <c r="F136" s="59"/>
      <c r="G136" s="60"/>
      <c r="J136" s="59"/>
      <c r="K136" s="59"/>
      <c r="L136" s="59"/>
      <c r="M136" s="3"/>
      <c r="W136" s="59"/>
      <c r="X136" s="59"/>
      <c r="Y136" s="59"/>
      <c r="Z136" s="59"/>
      <c r="AA136" s="59"/>
      <c r="AB136" s="59"/>
      <c r="AC136" s="59"/>
    </row>
    <row r="137">
      <c r="E137" s="59"/>
      <c r="F137" s="59"/>
      <c r="G137" s="60"/>
      <c r="J137" s="59"/>
      <c r="K137" s="59"/>
      <c r="L137" s="59"/>
      <c r="M137" s="3"/>
      <c r="W137" s="59"/>
      <c r="X137" s="59"/>
      <c r="Y137" s="59"/>
      <c r="Z137" s="59"/>
      <c r="AA137" s="59"/>
      <c r="AB137" s="59"/>
      <c r="AC137" s="59"/>
    </row>
    <row r="138">
      <c r="E138" s="59"/>
      <c r="F138" s="59"/>
      <c r="G138" s="60"/>
      <c r="J138" s="59"/>
      <c r="K138" s="59"/>
      <c r="L138" s="59"/>
      <c r="M138" s="3"/>
      <c r="W138" s="59"/>
      <c r="X138" s="59"/>
      <c r="Y138" s="59"/>
      <c r="Z138" s="59"/>
      <c r="AA138" s="59"/>
      <c r="AB138" s="59"/>
      <c r="AC138" s="59"/>
    </row>
    <row r="139">
      <c r="E139" s="59"/>
      <c r="F139" s="59"/>
      <c r="G139" s="60"/>
      <c r="J139" s="59"/>
      <c r="K139" s="59"/>
      <c r="L139" s="59"/>
      <c r="M139" s="3"/>
      <c r="W139" s="59"/>
      <c r="X139" s="59"/>
      <c r="Y139" s="59"/>
      <c r="Z139" s="59"/>
      <c r="AA139" s="59"/>
      <c r="AB139" s="59"/>
      <c r="AC139" s="59"/>
    </row>
    <row r="140">
      <c r="E140" s="59"/>
      <c r="F140" s="59"/>
      <c r="G140" s="60"/>
      <c r="J140" s="59"/>
      <c r="K140" s="59"/>
      <c r="L140" s="59"/>
      <c r="M140" s="3"/>
      <c r="W140" s="59"/>
      <c r="X140" s="59"/>
      <c r="Y140" s="59"/>
      <c r="Z140" s="59"/>
      <c r="AA140" s="59"/>
      <c r="AB140" s="59"/>
      <c r="AC140" s="59"/>
    </row>
    <row r="141">
      <c r="E141" s="59"/>
      <c r="F141" s="59"/>
      <c r="G141" s="60"/>
      <c r="J141" s="59"/>
      <c r="K141" s="59"/>
      <c r="L141" s="59"/>
      <c r="M141" s="3"/>
      <c r="W141" s="59"/>
      <c r="X141" s="59"/>
      <c r="Y141" s="59"/>
      <c r="Z141" s="59"/>
      <c r="AA141" s="59"/>
      <c r="AB141" s="59"/>
      <c r="AC141" s="59"/>
    </row>
    <row r="142">
      <c r="E142" s="59"/>
      <c r="F142" s="59"/>
      <c r="G142" s="60"/>
      <c r="J142" s="59"/>
      <c r="K142" s="59"/>
      <c r="L142" s="59"/>
      <c r="M142" s="3"/>
      <c r="W142" s="59"/>
      <c r="X142" s="59"/>
      <c r="Y142" s="59"/>
      <c r="Z142" s="59"/>
      <c r="AA142" s="59"/>
      <c r="AB142" s="59"/>
      <c r="AC142" s="59"/>
    </row>
    <row r="143">
      <c r="E143" s="59"/>
      <c r="F143" s="59"/>
      <c r="G143" s="60"/>
      <c r="J143" s="59"/>
      <c r="K143" s="59"/>
      <c r="L143" s="59"/>
      <c r="M143" s="3"/>
      <c r="W143" s="59"/>
      <c r="X143" s="59"/>
      <c r="Y143" s="59"/>
      <c r="Z143" s="59"/>
      <c r="AA143" s="59"/>
      <c r="AB143" s="59"/>
      <c r="AC143" s="59"/>
    </row>
    <row r="144">
      <c r="E144" s="59"/>
      <c r="F144" s="59"/>
      <c r="G144" s="60"/>
      <c r="J144" s="59"/>
      <c r="K144" s="59"/>
      <c r="L144" s="59"/>
      <c r="M144" s="3"/>
      <c r="W144" s="59"/>
      <c r="X144" s="59"/>
      <c r="Y144" s="59"/>
      <c r="Z144" s="59"/>
      <c r="AA144" s="59"/>
      <c r="AB144" s="59"/>
      <c r="AC144" s="59"/>
    </row>
    <row r="145">
      <c r="E145" s="59"/>
      <c r="F145" s="59"/>
      <c r="G145" s="60"/>
      <c r="J145" s="59"/>
      <c r="K145" s="59"/>
      <c r="L145" s="59"/>
      <c r="M145" s="3"/>
      <c r="W145" s="59"/>
      <c r="X145" s="59"/>
      <c r="Y145" s="59"/>
      <c r="Z145" s="59"/>
      <c r="AA145" s="59"/>
      <c r="AB145" s="59"/>
      <c r="AC145" s="59"/>
    </row>
    <row r="146">
      <c r="E146" s="59"/>
      <c r="F146" s="59"/>
      <c r="G146" s="60"/>
      <c r="J146" s="59"/>
      <c r="K146" s="59"/>
      <c r="L146" s="59"/>
      <c r="M146" s="3"/>
      <c r="W146" s="59"/>
      <c r="X146" s="59"/>
      <c r="Y146" s="59"/>
      <c r="Z146" s="59"/>
      <c r="AA146" s="59"/>
      <c r="AB146" s="59"/>
      <c r="AC146" s="59"/>
    </row>
    <row r="147">
      <c r="E147" s="59"/>
      <c r="F147" s="59"/>
      <c r="G147" s="60"/>
      <c r="J147" s="59"/>
      <c r="K147" s="59"/>
      <c r="L147" s="59"/>
      <c r="M147" s="3"/>
      <c r="W147" s="59"/>
      <c r="X147" s="59"/>
      <c r="Y147" s="59"/>
      <c r="Z147" s="59"/>
      <c r="AA147" s="59"/>
      <c r="AB147" s="59"/>
      <c r="AC147" s="59"/>
    </row>
    <row r="148">
      <c r="E148" s="59"/>
      <c r="F148" s="59"/>
      <c r="G148" s="60"/>
      <c r="J148" s="59"/>
      <c r="K148" s="59"/>
      <c r="L148" s="59"/>
      <c r="M148" s="3"/>
      <c r="W148" s="59"/>
      <c r="X148" s="59"/>
      <c r="Y148" s="59"/>
      <c r="Z148" s="59"/>
      <c r="AA148" s="59"/>
      <c r="AB148" s="59"/>
      <c r="AC148" s="59"/>
    </row>
    <row r="149">
      <c r="E149" s="59"/>
      <c r="F149" s="59"/>
      <c r="G149" s="60"/>
      <c r="J149" s="59"/>
      <c r="K149" s="59"/>
      <c r="L149" s="59"/>
      <c r="M149" s="3"/>
      <c r="W149" s="59"/>
      <c r="X149" s="59"/>
      <c r="Y149" s="59"/>
      <c r="Z149" s="59"/>
      <c r="AA149" s="59"/>
      <c r="AB149" s="59"/>
      <c r="AC149" s="59"/>
    </row>
    <row r="150">
      <c r="E150" s="59"/>
      <c r="F150" s="59"/>
      <c r="G150" s="60"/>
      <c r="J150" s="59"/>
      <c r="K150" s="59"/>
      <c r="L150" s="59"/>
      <c r="M150" s="3"/>
      <c r="W150" s="59"/>
      <c r="X150" s="59"/>
      <c r="Y150" s="59"/>
      <c r="Z150" s="59"/>
      <c r="AA150" s="59"/>
      <c r="AB150" s="59"/>
      <c r="AC150" s="59"/>
    </row>
    <row r="151">
      <c r="E151" s="59"/>
      <c r="F151" s="59"/>
      <c r="G151" s="60"/>
      <c r="J151" s="59"/>
      <c r="K151" s="59"/>
      <c r="L151" s="59"/>
      <c r="M151" s="3"/>
      <c r="W151" s="59"/>
      <c r="X151" s="59"/>
      <c r="Y151" s="59"/>
      <c r="Z151" s="59"/>
      <c r="AA151" s="59"/>
      <c r="AB151" s="59"/>
      <c r="AC151" s="59"/>
    </row>
    <row r="152">
      <c r="E152" s="59"/>
      <c r="F152" s="59"/>
      <c r="G152" s="60"/>
      <c r="J152" s="59"/>
      <c r="K152" s="59"/>
      <c r="L152" s="59"/>
      <c r="M152" s="3"/>
      <c r="W152" s="59"/>
      <c r="X152" s="59"/>
      <c r="Y152" s="59"/>
      <c r="Z152" s="59"/>
      <c r="AA152" s="59"/>
      <c r="AB152" s="59"/>
      <c r="AC152" s="59"/>
    </row>
    <row r="153">
      <c r="E153" s="59"/>
      <c r="F153" s="59"/>
      <c r="G153" s="60"/>
      <c r="J153" s="59"/>
      <c r="K153" s="59"/>
      <c r="L153" s="59"/>
      <c r="M153" s="3"/>
      <c r="W153" s="59"/>
      <c r="X153" s="59"/>
      <c r="Y153" s="59"/>
      <c r="Z153" s="59"/>
      <c r="AA153" s="59"/>
      <c r="AB153" s="59"/>
      <c r="AC153" s="59"/>
    </row>
    <row r="154">
      <c r="E154" s="59"/>
      <c r="F154" s="59"/>
      <c r="G154" s="60"/>
      <c r="J154" s="59"/>
      <c r="K154" s="59"/>
      <c r="L154" s="59"/>
      <c r="M154" s="3"/>
      <c r="W154" s="59"/>
      <c r="X154" s="59"/>
      <c r="Y154" s="59"/>
      <c r="Z154" s="59"/>
      <c r="AA154" s="59"/>
      <c r="AB154" s="59"/>
      <c r="AC154" s="59"/>
    </row>
    <row r="155">
      <c r="E155" s="59"/>
      <c r="F155" s="59"/>
      <c r="G155" s="60"/>
      <c r="J155" s="59"/>
      <c r="K155" s="59"/>
      <c r="L155" s="59"/>
      <c r="M155" s="3"/>
      <c r="W155" s="59"/>
      <c r="X155" s="59"/>
      <c r="Y155" s="59"/>
      <c r="Z155" s="59"/>
      <c r="AA155" s="59"/>
      <c r="AB155" s="59"/>
      <c r="AC155" s="59"/>
    </row>
    <row r="156">
      <c r="E156" s="59"/>
      <c r="F156" s="59"/>
      <c r="G156" s="60"/>
      <c r="J156" s="59"/>
      <c r="K156" s="59"/>
      <c r="L156" s="59"/>
      <c r="M156" s="3"/>
      <c r="W156" s="59"/>
      <c r="X156" s="59"/>
      <c r="Y156" s="59"/>
      <c r="Z156" s="59"/>
      <c r="AA156" s="59"/>
      <c r="AB156" s="59"/>
      <c r="AC156" s="59"/>
    </row>
    <row r="157">
      <c r="E157" s="59"/>
      <c r="F157" s="59"/>
      <c r="G157" s="60"/>
      <c r="J157" s="59"/>
      <c r="K157" s="59"/>
      <c r="L157" s="59"/>
      <c r="M157" s="3"/>
      <c r="W157" s="59"/>
      <c r="X157" s="59"/>
      <c r="Y157" s="59"/>
      <c r="Z157" s="59"/>
      <c r="AA157" s="59"/>
      <c r="AB157" s="59"/>
      <c r="AC157" s="59"/>
    </row>
    <row r="158">
      <c r="E158" s="59"/>
      <c r="F158" s="59"/>
      <c r="G158" s="60"/>
      <c r="J158" s="59"/>
      <c r="K158" s="59"/>
      <c r="L158" s="59"/>
      <c r="M158" s="3"/>
      <c r="W158" s="59"/>
      <c r="X158" s="59"/>
      <c r="Y158" s="59"/>
      <c r="Z158" s="59"/>
      <c r="AA158" s="59"/>
      <c r="AB158" s="59"/>
      <c r="AC158" s="59"/>
    </row>
    <row r="159">
      <c r="E159" s="59"/>
      <c r="F159" s="59"/>
      <c r="G159" s="60"/>
      <c r="J159" s="59"/>
      <c r="K159" s="59"/>
      <c r="L159" s="59"/>
      <c r="M159" s="3"/>
      <c r="W159" s="59"/>
      <c r="X159" s="59"/>
      <c r="Y159" s="59"/>
      <c r="Z159" s="59"/>
      <c r="AA159" s="59"/>
      <c r="AB159" s="59"/>
      <c r="AC159" s="59"/>
    </row>
    <row r="160">
      <c r="E160" s="59"/>
      <c r="F160" s="59"/>
      <c r="G160" s="60"/>
      <c r="J160" s="59"/>
      <c r="K160" s="59"/>
      <c r="L160" s="59"/>
      <c r="M160" s="3"/>
      <c r="W160" s="59"/>
      <c r="X160" s="59"/>
      <c r="Y160" s="59"/>
      <c r="Z160" s="59"/>
      <c r="AA160" s="59"/>
      <c r="AB160" s="59"/>
      <c r="AC160" s="59"/>
    </row>
    <row r="161">
      <c r="E161" s="59"/>
      <c r="F161" s="59"/>
      <c r="G161" s="60"/>
      <c r="J161" s="59"/>
      <c r="K161" s="59"/>
      <c r="L161" s="59"/>
      <c r="M161" s="3"/>
      <c r="W161" s="59"/>
      <c r="X161" s="59"/>
      <c r="Y161" s="59"/>
      <c r="Z161" s="59"/>
      <c r="AA161" s="59"/>
      <c r="AB161" s="59"/>
      <c r="AC161" s="59"/>
    </row>
    <row r="162">
      <c r="E162" s="59"/>
      <c r="F162" s="59"/>
      <c r="G162" s="60"/>
      <c r="J162" s="59"/>
      <c r="K162" s="59"/>
      <c r="L162" s="59"/>
      <c r="M162" s="3"/>
      <c r="W162" s="59"/>
      <c r="X162" s="59"/>
      <c r="Y162" s="59"/>
      <c r="Z162" s="59"/>
      <c r="AA162" s="59"/>
      <c r="AB162" s="59"/>
      <c r="AC162" s="59"/>
    </row>
    <row r="163">
      <c r="E163" s="59"/>
      <c r="F163" s="59"/>
      <c r="G163" s="60"/>
      <c r="J163" s="59"/>
      <c r="K163" s="59"/>
      <c r="L163" s="59"/>
      <c r="M163" s="3"/>
      <c r="W163" s="59"/>
      <c r="X163" s="59"/>
      <c r="Y163" s="59"/>
      <c r="Z163" s="59"/>
      <c r="AA163" s="59"/>
      <c r="AB163" s="59"/>
      <c r="AC163" s="59"/>
    </row>
    <row r="164">
      <c r="E164" s="59"/>
      <c r="F164" s="59"/>
      <c r="G164" s="60"/>
      <c r="J164" s="59"/>
      <c r="K164" s="59"/>
      <c r="L164" s="59"/>
      <c r="M164" s="3"/>
      <c r="W164" s="59"/>
      <c r="X164" s="59"/>
      <c r="Y164" s="59"/>
      <c r="Z164" s="59"/>
      <c r="AA164" s="59"/>
      <c r="AB164" s="59"/>
      <c r="AC164" s="59"/>
    </row>
    <row r="165">
      <c r="E165" s="59"/>
      <c r="F165" s="59"/>
      <c r="G165" s="60"/>
      <c r="J165" s="59"/>
      <c r="K165" s="59"/>
      <c r="L165" s="59"/>
      <c r="M165" s="3"/>
      <c r="W165" s="59"/>
      <c r="X165" s="59"/>
      <c r="Y165" s="59"/>
      <c r="Z165" s="59"/>
      <c r="AA165" s="59"/>
      <c r="AB165" s="59"/>
      <c r="AC165" s="59"/>
    </row>
    <row r="166">
      <c r="E166" s="59"/>
      <c r="F166" s="59"/>
      <c r="G166" s="60"/>
      <c r="J166" s="59"/>
      <c r="K166" s="59"/>
      <c r="L166" s="59"/>
      <c r="M166" s="3"/>
      <c r="W166" s="59"/>
      <c r="X166" s="59"/>
      <c r="Y166" s="59"/>
      <c r="Z166" s="59"/>
      <c r="AA166" s="59"/>
      <c r="AB166" s="59"/>
      <c r="AC166" s="59"/>
    </row>
    <row r="167">
      <c r="E167" s="59"/>
      <c r="F167" s="59"/>
      <c r="G167" s="60"/>
      <c r="J167" s="59"/>
      <c r="K167" s="59"/>
      <c r="L167" s="59"/>
      <c r="M167" s="3"/>
      <c r="W167" s="59"/>
      <c r="X167" s="59"/>
      <c r="Y167" s="59"/>
      <c r="Z167" s="59"/>
      <c r="AA167" s="59"/>
      <c r="AB167" s="59"/>
      <c r="AC167" s="59"/>
    </row>
    <row r="168">
      <c r="E168" s="59"/>
      <c r="F168" s="59"/>
      <c r="G168" s="60"/>
      <c r="J168" s="59"/>
      <c r="K168" s="59"/>
      <c r="L168" s="59"/>
      <c r="M168" s="3"/>
      <c r="W168" s="59"/>
      <c r="X168" s="59"/>
      <c r="Y168" s="59"/>
      <c r="Z168" s="59"/>
      <c r="AA168" s="59"/>
      <c r="AB168" s="59"/>
      <c r="AC168" s="59"/>
    </row>
    <row r="169">
      <c r="E169" s="59"/>
      <c r="F169" s="59"/>
      <c r="G169" s="60"/>
      <c r="J169" s="59"/>
      <c r="K169" s="59"/>
      <c r="L169" s="59"/>
      <c r="M169" s="3"/>
      <c r="W169" s="59"/>
      <c r="X169" s="59"/>
      <c r="Y169" s="59"/>
      <c r="Z169" s="59"/>
      <c r="AA169" s="59"/>
      <c r="AB169" s="59"/>
      <c r="AC169" s="59"/>
    </row>
    <row r="170">
      <c r="E170" s="59"/>
      <c r="F170" s="59"/>
      <c r="G170" s="60"/>
      <c r="J170" s="59"/>
      <c r="K170" s="59"/>
      <c r="L170" s="59"/>
      <c r="M170" s="3"/>
      <c r="W170" s="59"/>
      <c r="X170" s="59"/>
      <c r="Y170" s="59"/>
      <c r="Z170" s="59"/>
      <c r="AA170" s="59"/>
      <c r="AB170" s="59"/>
      <c r="AC170" s="59"/>
    </row>
    <row r="171">
      <c r="E171" s="59"/>
      <c r="F171" s="59"/>
      <c r="G171" s="60"/>
      <c r="J171" s="59"/>
      <c r="K171" s="59"/>
      <c r="L171" s="59"/>
      <c r="M171" s="3"/>
      <c r="W171" s="59"/>
      <c r="X171" s="59"/>
      <c r="Y171" s="59"/>
      <c r="Z171" s="59"/>
      <c r="AA171" s="59"/>
      <c r="AB171" s="59"/>
      <c r="AC171" s="59"/>
    </row>
    <row r="172">
      <c r="E172" s="59"/>
      <c r="F172" s="59"/>
      <c r="G172" s="60"/>
      <c r="J172" s="59"/>
      <c r="K172" s="59"/>
      <c r="L172" s="59"/>
      <c r="M172" s="3"/>
      <c r="W172" s="59"/>
      <c r="X172" s="59"/>
      <c r="Y172" s="59"/>
      <c r="Z172" s="59"/>
      <c r="AA172" s="59"/>
      <c r="AB172" s="59"/>
      <c r="AC172" s="59"/>
    </row>
    <row r="173">
      <c r="E173" s="59"/>
      <c r="F173" s="59"/>
      <c r="G173" s="60"/>
      <c r="J173" s="59"/>
      <c r="K173" s="59"/>
      <c r="L173" s="59"/>
      <c r="M173" s="3"/>
      <c r="W173" s="59"/>
      <c r="X173" s="59"/>
      <c r="Y173" s="59"/>
      <c r="Z173" s="59"/>
      <c r="AA173" s="59"/>
      <c r="AB173" s="59"/>
      <c r="AC173" s="59"/>
    </row>
    <row r="174">
      <c r="E174" s="59"/>
      <c r="F174" s="59"/>
      <c r="G174" s="60"/>
      <c r="J174" s="59"/>
      <c r="K174" s="59"/>
      <c r="L174" s="59"/>
      <c r="M174" s="3"/>
      <c r="W174" s="59"/>
      <c r="X174" s="59"/>
      <c r="Y174" s="59"/>
      <c r="Z174" s="59"/>
      <c r="AA174" s="59"/>
      <c r="AB174" s="59"/>
      <c r="AC174" s="59"/>
    </row>
    <row r="175">
      <c r="E175" s="59"/>
      <c r="F175" s="59"/>
      <c r="G175" s="60"/>
      <c r="J175" s="59"/>
      <c r="K175" s="59"/>
      <c r="L175" s="59"/>
      <c r="M175" s="3"/>
      <c r="W175" s="59"/>
      <c r="X175" s="59"/>
      <c r="Y175" s="59"/>
      <c r="Z175" s="59"/>
      <c r="AA175" s="59"/>
      <c r="AB175" s="59"/>
      <c r="AC175" s="59"/>
    </row>
    <row r="176">
      <c r="E176" s="59"/>
      <c r="F176" s="59"/>
      <c r="G176" s="60"/>
      <c r="J176" s="59"/>
      <c r="K176" s="59"/>
      <c r="L176" s="59"/>
      <c r="M176" s="3"/>
      <c r="W176" s="59"/>
      <c r="X176" s="59"/>
      <c r="Y176" s="59"/>
      <c r="Z176" s="59"/>
      <c r="AA176" s="59"/>
      <c r="AB176" s="59"/>
      <c r="AC176" s="59"/>
    </row>
    <row r="177">
      <c r="E177" s="59"/>
      <c r="F177" s="59"/>
      <c r="G177" s="60"/>
      <c r="J177" s="59"/>
      <c r="K177" s="59"/>
      <c r="L177" s="59"/>
      <c r="M177" s="3"/>
      <c r="W177" s="59"/>
      <c r="X177" s="59"/>
      <c r="Y177" s="59"/>
      <c r="Z177" s="59"/>
      <c r="AA177" s="59"/>
      <c r="AB177" s="59"/>
      <c r="AC177" s="59"/>
    </row>
    <row r="178">
      <c r="E178" s="59"/>
      <c r="F178" s="59"/>
      <c r="G178" s="60"/>
      <c r="J178" s="59"/>
      <c r="K178" s="59"/>
      <c r="L178" s="59"/>
      <c r="M178" s="3"/>
      <c r="W178" s="59"/>
      <c r="X178" s="59"/>
      <c r="Y178" s="59"/>
      <c r="Z178" s="59"/>
      <c r="AA178" s="59"/>
      <c r="AB178" s="59"/>
      <c r="AC178" s="59"/>
    </row>
    <row r="179">
      <c r="E179" s="59"/>
      <c r="F179" s="59"/>
      <c r="G179" s="60"/>
      <c r="J179" s="59"/>
      <c r="K179" s="59"/>
      <c r="L179" s="59"/>
      <c r="M179" s="3"/>
      <c r="W179" s="59"/>
      <c r="X179" s="59"/>
      <c r="Y179" s="59"/>
      <c r="Z179" s="59"/>
      <c r="AA179" s="59"/>
      <c r="AB179" s="59"/>
      <c r="AC179" s="59"/>
    </row>
    <row r="180">
      <c r="E180" s="59"/>
      <c r="F180" s="59"/>
      <c r="G180" s="60"/>
      <c r="J180" s="59"/>
      <c r="K180" s="59"/>
      <c r="L180" s="59"/>
      <c r="M180" s="3"/>
      <c r="W180" s="59"/>
      <c r="X180" s="59"/>
      <c r="Y180" s="59"/>
      <c r="Z180" s="59"/>
      <c r="AA180" s="59"/>
      <c r="AB180" s="59"/>
      <c r="AC180" s="59"/>
    </row>
    <row r="181">
      <c r="E181" s="59"/>
      <c r="F181" s="59"/>
      <c r="G181" s="60"/>
      <c r="J181" s="59"/>
      <c r="K181" s="59"/>
      <c r="L181" s="59"/>
      <c r="M181" s="3"/>
      <c r="W181" s="59"/>
      <c r="X181" s="59"/>
      <c r="Y181" s="59"/>
      <c r="Z181" s="59"/>
      <c r="AA181" s="59"/>
      <c r="AB181" s="59"/>
      <c r="AC181" s="59"/>
    </row>
    <row r="182">
      <c r="E182" s="59"/>
      <c r="F182" s="59"/>
      <c r="G182" s="60"/>
      <c r="J182" s="59"/>
      <c r="K182" s="59"/>
      <c r="L182" s="59"/>
      <c r="M182" s="3"/>
      <c r="W182" s="59"/>
      <c r="X182" s="59"/>
      <c r="Y182" s="59"/>
      <c r="Z182" s="59"/>
      <c r="AA182" s="59"/>
      <c r="AB182" s="59"/>
      <c r="AC182" s="59"/>
    </row>
    <row r="183">
      <c r="E183" s="59"/>
      <c r="F183" s="59"/>
      <c r="G183" s="60"/>
      <c r="J183" s="59"/>
      <c r="K183" s="59"/>
      <c r="L183" s="59"/>
      <c r="M183" s="3"/>
      <c r="W183" s="59"/>
      <c r="X183" s="59"/>
      <c r="Y183" s="59"/>
      <c r="Z183" s="59"/>
      <c r="AA183" s="59"/>
      <c r="AB183" s="59"/>
      <c r="AC183" s="59"/>
    </row>
    <row r="184">
      <c r="E184" s="59"/>
      <c r="F184" s="59"/>
      <c r="G184" s="60"/>
      <c r="J184" s="59"/>
      <c r="K184" s="59"/>
      <c r="L184" s="59"/>
      <c r="M184" s="3"/>
      <c r="W184" s="59"/>
      <c r="X184" s="59"/>
      <c r="Y184" s="59"/>
      <c r="Z184" s="59"/>
      <c r="AA184" s="59"/>
      <c r="AB184" s="59"/>
      <c r="AC184" s="59"/>
    </row>
    <row r="185">
      <c r="E185" s="59"/>
      <c r="F185" s="59"/>
      <c r="G185" s="60"/>
      <c r="J185" s="59"/>
      <c r="K185" s="59"/>
      <c r="L185" s="59"/>
      <c r="M185" s="3"/>
      <c r="W185" s="59"/>
      <c r="X185" s="59"/>
      <c r="Y185" s="59"/>
      <c r="Z185" s="59"/>
      <c r="AA185" s="59"/>
      <c r="AB185" s="59"/>
      <c r="AC185" s="59"/>
    </row>
    <row r="186">
      <c r="E186" s="59"/>
      <c r="F186" s="59"/>
      <c r="G186" s="60"/>
      <c r="J186" s="59"/>
      <c r="K186" s="59"/>
      <c r="L186" s="59"/>
      <c r="M186" s="3"/>
      <c r="W186" s="59"/>
      <c r="X186" s="59"/>
      <c r="Y186" s="59"/>
      <c r="Z186" s="59"/>
      <c r="AA186" s="59"/>
      <c r="AB186" s="59"/>
      <c r="AC186" s="59"/>
    </row>
    <row r="187">
      <c r="E187" s="59"/>
      <c r="F187" s="59"/>
      <c r="G187" s="60"/>
      <c r="J187" s="59"/>
      <c r="K187" s="59"/>
      <c r="L187" s="59"/>
      <c r="M187" s="3"/>
      <c r="W187" s="59"/>
      <c r="X187" s="59"/>
      <c r="Y187" s="59"/>
      <c r="Z187" s="59"/>
      <c r="AA187" s="59"/>
      <c r="AB187" s="59"/>
      <c r="AC187" s="59"/>
    </row>
    <row r="188">
      <c r="E188" s="59"/>
      <c r="F188" s="59"/>
      <c r="G188" s="60"/>
      <c r="J188" s="59"/>
      <c r="K188" s="59"/>
      <c r="L188" s="59"/>
      <c r="M188" s="3"/>
      <c r="W188" s="59"/>
      <c r="X188" s="59"/>
      <c r="Y188" s="59"/>
      <c r="Z188" s="59"/>
      <c r="AA188" s="59"/>
      <c r="AB188" s="59"/>
      <c r="AC188" s="59"/>
    </row>
    <row r="189">
      <c r="E189" s="59"/>
      <c r="F189" s="59"/>
      <c r="G189" s="60"/>
      <c r="J189" s="59"/>
      <c r="K189" s="59"/>
      <c r="L189" s="59"/>
      <c r="M189" s="3"/>
      <c r="W189" s="59"/>
      <c r="X189" s="59"/>
      <c r="Y189" s="59"/>
      <c r="Z189" s="59"/>
      <c r="AA189" s="59"/>
      <c r="AB189" s="59"/>
      <c r="AC189" s="59"/>
    </row>
    <row r="190">
      <c r="E190" s="59"/>
      <c r="F190" s="59"/>
      <c r="G190" s="60"/>
      <c r="J190" s="59"/>
      <c r="K190" s="59"/>
      <c r="L190" s="59"/>
      <c r="M190" s="3"/>
      <c r="W190" s="59"/>
      <c r="X190" s="59"/>
      <c r="Y190" s="59"/>
      <c r="Z190" s="59"/>
      <c r="AA190" s="59"/>
      <c r="AB190" s="59"/>
      <c r="AC190" s="59"/>
    </row>
    <row r="191">
      <c r="E191" s="59"/>
      <c r="F191" s="59"/>
      <c r="G191" s="60"/>
      <c r="J191" s="59"/>
      <c r="K191" s="59"/>
      <c r="L191" s="59"/>
      <c r="M191" s="3"/>
      <c r="W191" s="59"/>
      <c r="X191" s="59"/>
      <c r="Y191" s="59"/>
      <c r="Z191" s="59"/>
      <c r="AA191" s="59"/>
      <c r="AB191" s="59"/>
      <c r="AC191" s="59"/>
    </row>
    <row r="192">
      <c r="E192" s="59"/>
      <c r="F192" s="59"/>
      <c r="G192" s="60"/>
      <c r="J192" s="59"/>
      <c r="K192" s="59"/>
      <c r="L192" s="59"/>
      <c r="M192" s="3"/>
      <c r="W192" s="59"/>
      <c r="X192" s="59"/>
      <c r="Y192" s="59"/>
      <c r="Z192" s="59"/>
      <c r="AA192" s="59"/>
      <c r="AB192" s="59"/>
      <c r="AC192" s="59"/>
    </row>
    <row r="193">
      <c r="E193" s="59"/>
      <c r="F193" s="59"/>
      <c r="G193" s="60"/>
      <c r="J193" s="59"/>
      <c r="K193" s="59"/>
      <c r="L193" s="59"/>
      <c r="M193" s="3"/>
      <c r="W193" s="59"/>
      <c r="X193" s="59"/>
      <c r="Y193" s="59"/>
      <c r="Z193" s="59"/>
      <c r="AA193" s="59"/>
      <c r="AB193" s="59"/>
      <c r="AC193" s="59"/>
    </row>
    <row r="194">
      <c r="E194" s="59"/>
      <c r="F194" s="59"/>
      <c r="G194" s="60"/>
      <c r="J194" s="59"/>
      <c r="K194" s="59"/>
      <c r="L194" s="59"/>
      <c r="M194" s="3"/>
      <c r="W194" s="59"/>
      <c r="X194" s="59"/>
      <c r="Y194" s="59"/>
      <c r="Z194" s="59"/>
      <c r="AA194" s="59"/>
      <c r="AB194" s="59"/>
      <c r="AC194" s="59"/>
    </row>
    <row r="195">
      <c r="E195" s="59"/>
      <c r="F195" s="59"/>
      <c r="G195" s="60"/>
      <c r="J195" s="59"/>
      <c r="K195" s="59"/>
      <c r="L195" s="59"/>
      <c r="M195" s="3"/>
      <c r="W195" s="59"/>
      <c r="X195" s="59"/>
      <c r="Y195" s="59"/>
      <c r="Z195" s="59"/>
      <c r="AA195" s="59"/>
      <c r="AB195" s="59"/>
      <c r="AC195" s="59"/>
    </row>
    <row r="196">
      <c r="E196" s="59"/>
      <c r="F196" s="59"/>
      <c r="G196" s="60"/>
      <c r="J196" s="59"/>
      <c r="K196" s="59"/>
      <c r="L196" s="59"/>
      <c r="M196" s="3"/>
      <c r="W196" s="59"/>
      <c r="X196" s="59"/>
      <c r="Y196" s="59"/>
      <c r="Z196" s="59"/>
      <c r="AA196" s="59"/>
      <c r="AB196" s="59"/>
      <c r="AC196" s="59"/>
    </row>
    <row r="197">
      <c r="E197" s="59"/>
      <c r="F197" s="59"/>
      <c r="G197" s="60"/>
      <c r="J197" s="59"/>
      <c r="K197" s="59"/>
      <c r="L197" s="59"/>
      <c r="M197" s="3"/>
      <c r="W197" s="59"/>
      <c r="X197" s="59"/>
      <c r="Y197" s="59"/>
      <c r="Z197" s="59"/>
      <c r="AA197" s="59"/>
      <c r="AB197" s="59"/>
      <c r="AC197" s="59"/>
    </row>
    <row r="198">
      <c r="E198" s="59"/>
      <c r="F198" s="59"/>
      <c r="G198" s="60"/>
      <c r="J198" s="59"/>
      <c r="K198" s="59"/>
      <c r="L198" s="59"/>
      <c r="M198" s="3"/>
      <c r="W198" s="59"/>
      <c r="X198" s="59"/>
      <c r="Y198" s="59"/>
      <c r="Z198" s="59"/>
      <c r="AA198" s="59"/>
      <c r="AB198" s="59"/>
      <c r="AC198" s="59"/>
    </row>
    <row r="199">
      <c r="E199" s="59"/>
      <c r="F199" s="59"/>
      <c r="G199" s="60"/>
      <c r="J199" s="59"/>
      <c r="K199" s="59"/>
      <c r="L199" s="59"/>
      <c r="M199" s="3"/>
      <c r="W199" s="59"/>
      <c r="X199" s="59"/>
      <c r="Y199" s="59"/>
      <c r="Z199" s="59"/>
      <c r="AA199" s="59"/>
      <c r="AB199" s="59"/>
      <c r="AC199" s="59"/>
    </row>
    <row r="200">
      <c r="E200" s="59"/>
      <c r="F200" s="59"/>
      <c r="G200" s="60"/>
      <c r="J200" s="59"/>
      <c r="K200" s="59"/>
      <c r="L200" s="59"/>
      <c r="M200" s="3"/>
      <c r="W200" s="59"/>
      <c r="X200" s="59"/>
      <c r="Y200" s="59"/>
      <c r="Z200" s="59"/>
      <c r="AA200" s="59"/>
      <c r="AB200" s="59"/>
      <c r="AC200" s="59"/>
    </row>
    <row r="201">
      <c r="E201" s="59"/>
      <c r="F201" s="59"/>
      <c r="G201" s="60"/>
      <c r="J201" s="59"/>
      <c r="K201" s="59"/>
      <c r="L201" s="59"/>
      <c r="M201" s="3"/>
      <c r="W201" s="59"/>
      <c r="X201" s="59"/>
      <c r="Y201" s="59"/>
      <c r="Z201" s="59"/>
      <c r="AA201" s="59"/>
      <c r="AB201" s="59"/>
      <c r="AC201" s="59"/>
    </row>
    <row r="202">
      <c r="E202" s="59"/>
      <c r="F202" s="59"/>
      <c r="G202" s="60"/>
      <c r="J202" s="59"/>
      <c r="K202" s="59"/>
      <c r="L202" s="59"/>
      <c r="M202" s="3"/>
      <c r="W202" s="59"/>
      <c r="X202" s="59"/>
      <c r="Y202" s="59"/>
      <c r="Z202" s="59"/>
      <c r="AA202" s="59"/>
      <c r="AB202" s="59"/>
      <c r="AC202" s="59"/>
    </row>
    <row r="203">
      <c r="E203" s="59"/>
      <c r="F203" s="59"/>
      <c r="G203" s="60"/>
      <c r="J203" s="59"/>
      <c r="K203" s="59"/>
      <c r="L203" s="59"/>
      <c r="M203" s="3"/>
      <c r="W203" s="59"/>
      <c r="X203" s="59"/>
      <c r="Y203" s="59"/>
      <c r="Z203" s="59"/>
      <c r="AA203" s="59"/>
      <c r="AB203" s="59"/>
      <c r="AC203" s="59"/>
    </row>
    <row r="204">
      <c r="E204" s="59"/>
      <c r="F204" s="59"/>
      <c r="G204" s="60"/>
      <c r="J204" s="59"/>
      <c r="K204" s="59"/>
      <c r="L204" s="59"/>
      <c r="M204" s="3"/>
      <c r="W204" s="59"/>
      <c r="X204" s="59"/>
      <c r="Y204" s="59"/>
      <c r="Z204" s="59"/>
      <c r="AA204" s="59"/>
      <c r="AB204" s="59"/>
      <c r="AC204" s="59"/>
    </row>
    <row r="205">
      <c r="E205" s="59"/>
      <c r="F205" s="59"/>
      <c r="G205" s="60"/>
      <c r="J205" s="59"/>
      <c r="K205" s="59"/>
      <c r="L205" s="59"/>
      <c r="M205" s="3"/>
      <c r="W205" s="59"/>
      <c r="X205" s="59"/>
      <c r="Y205" s="59"/>
      <c r="Z205" s="59"/>
      <c r="AA205" s="59"/>
      <c r="AB205" s="59"/>
      <c r="AC205" s="59"/>
    </row>
    <row r="206">
      <c r="E206" s="59"/>
      <c r="F206" s="59"/>
      <c r="G206" s="60"/>
      <c r="J206" s="59"/>
      <c r="K206" s="59"/>
      <c r="L206" s="59"/>
      <c r="M206" s="3"/>
      <c r="W206" s="59"/>
      <c r="X206" s="59"/>
      <c r="Y206" s="59"/>
      <c r="Z206" s="59"/>
      <c r="AA206" s="59"/>
      <c r="AB206" s="59"/>
      <c r="AC206" s="59"/>
    </row>
    <row r="207">
      <c r="E207" s="59"/>
      <c r="F207" s="59"/>
      <c r="G207" s="60"/>
      <c r="J207" s="59"/>
      <c r="K207" s="59"/>
      <c r="L207" s="59"/>
      <c r="M207" s="3"/>
      <c r="W207" s="59"/>
      <c r="X207" s="59"/>
      <c r="Y207" s="59"/>
      <c r="Z207" s="59"/>
      <c r="AA207" s="59"/>
      <c r="AB207" s="59"/>
      <c r="AC207" s="59"/>
    </row>
    <row r="208">
      <c r="E208" s="59"/>
      <c r="F208" s="59"/>
      <c r="G208" s="60"/>
      <c r="J208" s="59"/>
      <c r="K208" s="59"/>
      <c r="L208" s="59"/>
      <c r="M208" s="3"/>
      <c r="W208" s="59"/>
      <c r="X208" s="59"/>
      <c r="Y208" s="59"/>
      <c r="Z208" s="59"/>
      <c r="AA208" s="59"/>
      <c r="AB208" s="59"/>
      <c r="AC208" s="59"/>
    </row>
    <row r="209">
      <c r="E209" s="59"/>
      <c r="F209" s="59"/>
      <c r="G209" s="60"/>
      <c r="J209" s="59"/>
      <c r="K209" s="59"/>
      <c r="L209" s="59"/>
      <c r="M209" s="3"/>
      <c r="W209" s="59"/>
      <c r="X209" s="59"/>
      <c r="Y209" s="59"/>
      <c r="Z209" s="59"/>
      <c r="AA209" s="59"/>
      <c r="AB209" s="59"/>
      <c r="AC209" s="59"/>
    </row>
    <row r="210">
      <c r="E210" s="59"/>
      <c r="F210" s="59"/>
      <c r="G210" s="60"/>
      <c r="J210" s="59"/>
      <c r="K210" s="59"/>
      <c r="L210" s="59"/>
      <c r="M210" s="3"/>
      <c r="W210" s="59"/>
      <c r="X210" s="59"/>
      <c r="Y210" s="59"/>
      <c r="Z210" s="59"/>
      <c r="AA210" s="59"/>
      <c r="AB210" s="59"/>
      <c r="AC210" s="59"/>
    </row>
    <row r="211">
      <c r="E211" s="59"/>
      <c r="F211" s="59"/>
      <c r="G211" s="60"/>
      <c r="J211" s="59"/>
      <c r="K211" s="59"/>
      <c r="L211" s="59"/>
      <c r="M211" s="3"/>
      <c r="W211" s="59"/>
      <c r="X211" s="59"/>
      <c r="Y211" s="59"/>
      <c r="Z211" s="59"/>
      <c r="AA211" s="59"/>
      <c r="AB211" s="59"/>
      <c r="AC211" s="59"/>
    </row>
    <row r="212">
      <c r="E212" s="59"/>
      <c r="F212" s="59"/>
      <c r="G212" s="60"/>
      <c r="J212" s="59"/>
      <c r="K212" s="59"/>
      <c r="L212" s="59"/>
      <c r="M212" s="3"/>
      <c r="W212" s="59"/>
      <c r="X212" s="59"/>
      <c r="Y212" s="59"/>
      <c r="Z212" s="59"/>
      <c r="AA212" s="59"/>
      <c r="AB212" s="59"/>
      <c r="AC212" s="59"/>
    </row>
    <row r="213">
      <c r="E213" s="59"/>
      <c r="F213" s="59"/>
      <c r="G213" s="60"/>
      <c r="J213" s="59"/>
      <c r="K213" s="59"/>
      <c r="L213" s="59"/>
      <c r="M213" s="3"/>
      <c r="W213" s="59"/>
      <c r="X213" s="59"/>
      <c r="Y213" s="59"/>
      <c r="Z213" s="59"/>
      <c r="AA213" s="59"/>
      <c r="AB213" s="59"/>
      <c r="AC213" s="59"/>
    </row>
    <row r="214">
      <c r="E214" s="59"/>
      <c r="F214" s="59"/>
      <c r="G214" s="60"/>
      <c r="J214" s="59"/>
      <c r="K214" s="59"/>
      <c r="L214" s="59"/>
      <c r="M214" s="3"/>
      <c r="W214" s="59"/>
      <c r="X214" s="59"/>
      <c r="Y214" s="59"/>
      <c r="Z214" s="59"/>
      <c r="AA214" s="59"/>
      <c r="AB214" s="59"/>
      <c r="AC214" s="59"/>
    </row>
    <row r="215">
      <c r="E215" s="59"/>
      <c r="F215" s="59"/>
      <c r="G215" s="60"/>
      <c r="J215" s="59"/>
      <c r="K215" s="59"/>
      <c r="L215" s="59"/>
      <c r="M215" s="3"/>
      <c r="W215" s="59"/>
      <c r="X215" s="59"/>
      <c r="Y215" s="59"/>
      <c r="Z215" s="59"/>
      <c r="AA215" s="59"/>
      <c r="AB215" s="59"/>
      <c r="AC215" s="59"/>
    </row>
    <row r="216">
      <c r="E216" s="59"/>
      <c r="F216" s="59"/>
      <c r="G216" s="60"/>
      <c r="J216" s="59"/>
      <c r="K216" s="59"/>
      <c r="L216" s="59"/>
      <c r="M216" s="3"/>
      <c r="W216" s="59"/>
      <c r="X216" s="59"/>
      <c r="Y216" s="59"/>
      <c r="Z216" s="59"/>
      <c r="AA216" s="59"/>
      <c r="AB216" s="59"/>
      <c r="AC216" s="59"/>
    </row>
    <row r="217">
      <c r="E217" s="59"/>
      <c r="F217" s="59"/>
      <c r="G217" s="60"/>
      <c r="J217" s="59"/>
      <c r="K217" s="59"/>
      <c r="L217" s="59"/>
      <c r="M217" s="3"/>
      <c r="W217" s="59"/>
      <c r="X217" s="59"/>
      <c r="Y217" s="59"/>
      <c r="Z217" s="59"/>
      <c r="AA217" s="59"/>
      <c r="AB217" s="59"/>
      <c r="AC217" s="59"/>
    </row>
    <row r="218">
      <c r="E218" s="59"/>
      <c r="F218" s="59"/>
      <c r="G218" s="60"/>
      <c r="J218" s="59"/>
      <c r="K218" s="59"/>
      <c r="L218" s="59"/>
      <c r="M218" s="3"/>
      <c r="W218" s="59"/>
      <c r="X218" s="59"/>
      <c r="Y218" s="59"/>
      <c r="Z218" s="59"/>
      <c r="AA218" s="59"/>
      <c r="AB218" s="59"/>
      <c r="AC218" s="59"/>
    </row>
    <row r="219">
      <c r="E219" s="59"/>
      <c r="F219" s="59"/>
      <c r="G219" s="60"/>
      <c r="J219" s="59"/>
      <c r="K219" s="59"/>
      <c r="L219" s="59"/>
      <c r="M219" s="3"/>
      <c r="W219" s="59"/>
      <c r="X219" s="59"/>
      <c r="Y219" s="59"/>
      <c r="Z219" s="59"/>
      <c r="AA219" s="59"/>
      <c r="AB219" s="59"/>
      <c r="AC219" s="59"/>
    </row>
    <row r="220">
      <c r="E220" s="59"/>
      <c r="F220" s="59"/>
      <c r="G220" s="60"/>
      <c r="J220" s="59"/>
      <c r="K220" s="59"/>
      <c r="L220" s="59"/>
      <c r="M220" s="3"/>
      <c r="W220" s="59"/>
      <c r="X220" s="59"/>
      <c r="Y220" s="59"/>
      <c r="Z220" s="59"/>
      <c r="AA220" s="59"/>
      <c r="AB220" s="59"/>
      <c r="AC220" s="59"/>
    </row>
    <row r="221">
      <c r="E221" s="59"/>
      <c r="F221" s="59"/>
      <c r="G221" s="60"/>
      <c r="J221" s="59"/>
      <c r="K221" s="59"/>
      <c r="L221" s="59"/>
      <c r="M221" s="3"/>
      <c r="W221" s="59"/>
      <c r="X221" s="59"/>
      <c r="Y221" s="59"/>
      <c r="Z221" s="59"/>
      <c r="AA221" s="59"/>
      <c r="AB221" s="59"/>
      <c r="AC221" s="59"/>
    </row>
    <row r="222">
      <c r="E222" s="59"/>
      <c r="F222" s="59"/>
      <c r="G222" s="60"/>
      <c r="J222" s="59"/>
      <c r="K222" s="59"/>
      <c r="L222" s="59"/>
      <c r="M222" s="3"/>
      <c r="W222" s="59"/>
      <c r="X222" s="59"/>
      <c r="Y222" s="59"/>
      <c r="Z222" s="59"/>
      <c r="AA222" s="59"/>
      <c r="AB222" s="59"/>
      <c r="AC222" s="59"/>
    </row>
    <row r="223">
      <c r="E223" s="59"/>
      <c r="F223" s="59"/>
      <c r="G223" s="60"/>
      <c r="J223" s="59"/>
      <c r="K223" s="59"/>
      <c r="L223" s="59"/>
      <c r="M223" s="3"/>
      <c r="W223" s="59"/>
      <c r="X223" s="59"/>
      <c r="Y223" s="59"/>
      <c r="Z223" s="59"/>
      <c r="AA223" s="59"/>
      <c r="AB223" s="59"/>
      <c r="AC223" s="59"/>
    </row>
    <row r="224">
      <c r="E224" s="59"/>
      <c r="F224" s="59"/>
      <c r="G224" s="60"/>
      <c r="J224" s="59"/>
      <c r="K224" s="59"/>
      <c r="L224" s="59"/>
      <c r="M224" s="3"/>
      <c r="W224" s="59"/>
      <c r="X224" s="59"/>
      <c r="Y224" s="59"/>
      <c r="Z224" s="59"/>
      <c r="AA224" s="59"/>
      <c r="AB224" s="59"/>
      <c r="AC224" s="59"/>
    </row>
    <row r="225">
      <c r="E225" s="59"/>
      <c r="F225" s="59"/>
      <c r="G225" s="60"/>
      <c r="J225" s="59"/>
      <c r="K225" s="59"/>
      <c r="L225" s="59"/>
      <c r="M225" s="3"/>
      <c r="W225" s="59"/>
      <c r="X225" s="59"/>
      <c r="Y225" s="59"/>
      <c r="Z225" s="59"/>
      <c r="AA225" s="59"/>
      <c r="AB225" s="59"/>
      <c r="AC225" s="59"/>
    </row>
    <row r="226">
      <c r="E226" s="59"/>
      <c r="F226" s="59"/>
      <c r="G226" s="60"/>
      <c r="J226" s="59"/>
      <c r="K226" s="59"/>
      <c r="L226" s="59"/>
      <c r="M226" s="3"/>
      <c r="W226" s="59"/>
      <c r="X226" s="59"/>
      <c r="Y226" s="59"/>
      <c r="Z226" s="59"/>
      <c r="AA226" s="59"/>
      <c r="AB226" s="59"/>
      <c r="AC226" s="59"/>
    </row>
    <row r="227">
      <c r="E227" s="59"/>
      <c r="F227" s="59"/>
      <c r="G227" s="60"/>
      <c r="J227" s="59"/>
      <c r="K227" s="59"/>
      <c r="L227" s="59"/>
      <c r="M227" s="3"/>
      <c r="W227" s="59"/>
      <c r="X227" s="59"/>
      <c r="Y227" s="59"/>
      <c r="Z227" s="59"/>
      <c r="AA227" s="59"/>
      <c r="AB227" s="59"/>
      <c r="AC227" s="59"/>
    </row>
    <row r="228">
      <c r="E228" s="59"/>
      <c r="F228" s="59"/>
      <c r="G228" s="60"/>
      <c r="J228" s="59"/>
      <c r="K228" s="59"/>
      <c r="L228" s="59"/>
      <c r="M228" s="3"/>
      <c r="W228" s="59"/>
      <c r="X228" s="59"/>
      <c r="Y228" s="59"/>
      <c r="Z228" s="59"/>
      <c r="AA228" s="59"/>
      <c r="AB228" s="59"/>
      <c r="AC228" s="59"/>
    </row>
    <row r="229">
      <c r="E229" s="59"/>
      <c r="F229" s="59"/>
      <c r="G229" s="60"/>
      <c r="J229" s="59"/>
      <c r="K229" s="59"/>
      <c r="L229" s="59"/>
      <c r="M229" s="3"/>
      <c r="W229" s="59"/>
      <c r="X229" s="59"/>
      <c r="Y229" s="59"/>
      <c r="Z229" s="59"/>
      <c r="AA229" s="59"/>
      <c r="AB229" s="59"/>
      <c r="AC229" s="59"/>
    </row>
    <row r="230">
      <c r="E230" s="59"/>
      <c r="F230" s="59"/>
      <c r="G230" s="60"/>
      <c r="J230" s="59"/>
      <c r="K230" s="59"/>
      <c r="L230" s="59"/>
      <c r="M230" s="3"/>
      <c r="W230" s="59"/>
      <c r="X230" s="59"/>
      <c r="Y230" s="59"/>
      <c r="Z230" s="59"/>
      <c r="AA230" s="59"/>
      <c r="AB230" s="59"/>
      <c r="AC230" s="59"/>
    </row>
    <row r="231">
      <c r="E231" s="59"/>
      <c r="F231" s="59"/>
      <c r="G231" s="60"/>
      <c r="J231" s="59"/>
      <c r="K231" s="59"/>
      <c r="L231" s="59"/>
      <c r="M231" s="3"/>
      <c r="W231" s="59"/>
      <c r="X231" s="59"/>
      <c r="Y231" s="59"/>
      <c r="Z231" s="59"/>
      <c r="AA231" s="59"/>
      <c r="AB231" s="59"/>
      <c r="AC231" s="59"/>
    </row>
    <row r="232">
      <c r="E232" s="59"/>
      <c r="F232" s="59"/>
      <c r="G232" s="60"/>
      <c r="J232" s="59"/>
      <c r="K232" s="59"/>
      <c r="L232" s="59"/>
      <c r="M232" s="3"/>
      <c r="W232" s="59"/>
      <c r="X232" s="59"/>
      <c r="Y232" s="59"/>
      <c r="Z232" s="59"/>
      <c r="AA232" s="59"/>
      <c r="AB232" s="59"/>
      <c r="AC232" s="59"/>
    </row>
    <row r="233">
      <c r="E233" s="59"/>
      <c r="F233" s="59"/>
      <c r="G233" s="60"/>
      <c r="J233" s="59"/>
      <c r="K233" s="59"/>
      <c r="L233" s="59"/>
      <c r="M233" s="3"/>
      <c r="W233" s="59"/>
      <c r="X233" s="59"/>
      <c r="Y233" s="59"/>
      <c r="Z233" s="59"/>
      <c r="AA233" s="59"/>
      <c r="AB233" s="59"/>
      <c r="AC233" s="59"/>
    </row>
    <row r="234">
      <c r="E234" s="59"/>
      <c r="F234" s="59"/>
      <c r="G234" s="60"/>
      <c r="J234" s="59"/>
      <c r="K234" s="59"/>
      <c r="L234" s="59"/>
      <c r="M234" s="3"/>
      <c r="W234" s="59"/>
      <c r="X234" s="59"/>
      <c r="Y234" s="59"/>
      <c r="Z234" s="59"/>
      <c r="AA234" s="59"/>
      <c r="AB234" s="59"/>
      <c r="AC234" s="59"/>
    </row>
    <row r="235">
      <c r="E235" s="59"/>
      <c r="F235" s="59"/>
      <c r="G235" s="60"/>
      <c r="J235" s="59"/>
      <c r="K235" s="59"/>
      <c r="L235" s="59"/>
      <c r="M235" s="3"/>
      <c r="W235" s="59"/>
      <c r="X235" s="59"/>
      <c r="Y235" s="59"/>
      <c r="Z235" s="59"/>
      <c r="AA235" s="59"/>
      <c r="AB235" s="59"/>
      <c r="AC235" s="59"/>
    </row>
    <row r="236">
      <c r="E236" s="59"/>
      <c r="F236" s="59"/>
      <c r="G236" s="60"/>
      <c r="J236" s="59"/>
      <c r="K236" s="59"/>
      <c r="L236" s="59"/>
      <c r="M236" s="3"/>
      <c r="W236" s="59"/>
      <c r="X236" s="59"/>
      <c r="Y236" s="59"/>
      <c r="Z236" s="59"/>
      <c r="AA236" s="59"/>
      <c r="AB236" s="59"/>
      <c r="AC236" s="59"/>
    </row>
    <row r="237">
      <c r="E237" s="59"/>
      <c r="F237" s="59"/>
      <c r="G237" s="60"/>
      <c r="J237" s="59"/>
      <c r="K237" s="59"/>
      <c r="L237" s="59"/>
      <c r="M237" s="3"/>
      <c r="W237" s="59"/>
      <c r="X237" s="59"/>
      <c r="Y237" s="59"/>
      <c r="Z237" s="59"/>
      <c r="AA237" s="59"/>
      <c r="AB237" s="59"/>
      <c r="AC237" s="59"/>
    </row>
    <row r="238">
      <c r="E238" s="59"/>
      <c r="F238" s="59"/>
      <c r="G238" s="60"/>
      <c r="J238" s="59"/>
      <c r="K238" s="59"/>
      <c r="L238" s="59"/>
      <c r="M238" s="3"/>
      <c r="W238" s="59"/>
      <c r="X238" s="59"/>
      <c r="Y238" s="59"/>
      <c r="Z238" s="59"/>
      <c r="AA238" s="59"/>
      <c r="AB238" s="59"/>
      <c r="AC238" s="59"/>
    </row>
    <row r="239">
      <c r="E239" s="59"/>
      <c r="F239" s="59"/>
      <c r="G239" s="60"/>
      <c r="J239" s="59"/>
      <c r="K239" s="59"/>
      <c r="L239" s="59"/>
      <c r="M239" s="3"/>
      <c r="W239" s="59"/>
      <c r="X239" s="59"/>
      <c r="Y239" s="59"/>
      <c r="Z239" s="59"/>
      <c r="AA239" s="59"/>
      <c r="AB239" s="59"/>
      <c r="AC239" s="59"/>
    </row>
    <row r="240">
      <c r="E240" s="59"/>
      <c r="F240" s="59"/>
      <c r="G240" s="60"/>
      <c r="J240" s="59"/>
      <c r="K240" s="59"/>
      <c r="L240" s="59"/>
      <c r="M240" s="3"/>
      <c r="W240" s="59"/>
      <c r="X240" s="59"/>
      <c r="Y240" s="59"/>
      <c r="Z240" s="59"/>
      <c r="AA240" s="59"/>
      <c r="AB240" s="59"/>
      <c r="AC240" s="59"/>
    </row>
    <row r="241">
      <c r="E241" s="59"/>
      <c r="F241" s="59"/>
      <c r="G241" s="60"/>
      <c r="J241" s="59"/>
      <c r="K241" s="59"/>
      <c r="L241" s="59"/>
      <c r="M241" s="3"/>
      <c r="W241" s="59"/>
      <c r="X241" s="59"/>
      <c r="Y241" s="59"/>
      <c r="Z241" s="59"/>
      <c r="AA241" s="59"/>
      <c r="AB241" s="59"/>
      <c r="AC241" s="59"/>
    </row>
    <row r="242">
      <c r="E242" s="59"/>
      <c r="F242" s="59"/>
      <c r="G242" s="60"/>
      <c r="J242" s="59"/>
      <c r="K242" s="59"/>
      <c r="L242" s="59"/>
      <c r="M242" s="3"/>
      <c r="W242" s="59"/>
      <c r="X242" s="59"/>
      <c r="Y242" s="59"/>
      <c r="Z242" s="59"/>
      <c r="AA242" s="59"/>
      <c r="AB242" s="59"/>
      <c r="AC242" s="59"/>
    </row>
    <row r="243">
      <c r="E243" s="59"/>
      <c r="F243" s="59"/>
      <c r="G243" s="60"/>
      <c r="J243" s="59"/>
      <c r="K243" s="59"/>
      <c r="L243" s="59"/>
      <c r="M243" s="3"/>
      <c r="W243" s="59"/>
      <c r="X243" s="59"/>
      <c r="Y243" s="59"/>
      <c r="Z243" s="59"/>
      <c r="AA243" s="59"/>
      <c r="AB243" s="59"/>
      <c r="AC243" s="59"/>
    </row>
    <row r="244">
      <c r="E244" s="59"/>
      <c r="F244" s="59"/>
      <c r="G244" s="60"/>
      <c r="J244" s="59"/>
      <c r="K244" s="59"/>
      <c r="L244" s="59"/>
      <c r="M244" s="3"/>
      <c r="W244" s="59"/>
      <c r="X244" s="59"/>
      <c r="Y244" s="59"/>
      <c r="Z244" s="59"/>
      <c r="AA244" s="59"/>
      <c r="AB244" s="59"/>
      <c r="AC244" s="59"/>
    </row>
    <row r="245">
      <c r="E245" s="59"/>
      <c r="F245" s="59"/>
      <c r="G245" s="60"/>
      <c r="J245" s="59"/>
      <c r="K245" s="59"/>
      <c r="L245" s="59"/>
      <c r="M245" s="3"/>
      <c r="W245" s="59"/>
      <c r="X245" s="59"/>
      <c r="Y245" s="59"/>
      <c r="Z245" s="59"/>
      <c r="AA245" s="59"/>
      <c r="AB245" s="59"/>
      <c r="AC245" s="59"/>
    </row>
    <row r="246">
      <c r="E246" s="59"/>
      <c r="F246" s="59"/>
      <c r="G246" s="60"/>
      <c r="J246" s="59"/>
      <c r="K246" s="59"/>
      <c r="L246" s="59"/>
      <c r="M246" s="3"/>
      <c r="W246" s="59"/>
      <c r="X246" s="59"/>
      <c r="Y246" s="59"/>
      <c r="Z246" s="59"/>
      <c r="AA246" s="59"/>
      <c r="AB246" s="59"/>
      <c r="AC246" s="59"/>
    </row>
    <row r="247">
      <c r="E247" s="59"/>
      <c r="F247" s="59"/>
      <c r="G247" s="60"/>
      <c r="J247" s="59"/>
      <c r="K247" s="59"/>
      <c r="L247" s="59"/>
      <c r="M247" s="3"/>
      <c r="W247" s="59"/>
      <c r="X247" s="59"/>
      <c r="Y247" s="59"/>
      <c r="Z247" s="59"/>
      <c r="AA247" s="59"/>
      <c r="AB247" s="59"/>
      <c r="AC247" s="59"/>
    </row>
    <row r="248">
      <c r="E248" s="59"/>
      <c r="F248" s="59"/>
      <c r="G248" s="60"/>
      <c r="J248" s="59"/>
      <c r="K248" s="59"/>
      <c r="L248" s="59"/>
      <c r="M248" s="3"/>
      <c r="W248" s="59"/>
      <c r="X248" s="59"/>
      <c r="Y248" s="59"/>
      <c r="Z248" s="59"/>
      <c r="AA248" s="59"/>
      <c r="AB248" s="59"/>
      <c r="AC248" s="59"/>
    </row>
    <row r="249">
      <c r="E249" s="59"/>
      <c r="F249" s="59"/>
      <c r="G249" s="60"/>
      <c r="J249" s="59"/>
      <c r="K249" s="59"/>
      <c r="L249" s="59"/>
      <c r="M249" s="3"/>
      <c r="W249" s="59"/>
      <c r="X249" s="59"/>
      <c r="Y249" s="59"/>
      <c r="Z249" s="59"/>
      <c r="AA249" s="59"/>
      <c r="AB249" s="59"/>
      <c r="AC249" s="59"/>
    </row>
    <row r="250">
      <c r="E250" s="59"/>
      <c r="F250" s="59"/>
      <c r="G250" s="60"/>
      <c r="J250" s="59"/>
      <c r="K250" s="59"/>
      <c r="L250" s="59"/>
      <c r="M250" s="3"/>
      <c r="W250" s="59"/>
      <c r="X250" s="59"/>
      <c r="Y250" s="59"/>
      <c r="Z250" s="59"/>
      <c r="AA250" s="59"/>
      <c r="AB250" s="59"/>
      <c r="AC250" s="59"/>
    </row>
    <row r="251">
      <c r="E251" s="59"/>
      <c r="F251" s="59"/>
      <c r="G251" s="60"/>
      <c r="J251" s="59"/>
      <c r="K251" s="59"/>
      <c r="L251" s="59"/>
      <c r="M251" s="3"/>
      <c r="W251" s="59"/>
      <c r="X251" s="59"/>
      <c r="Y251" s="59"/>
      <c r="Z251" s="59"/>
      <c r="AA251" s="59"/>
      <c r="AB251" s="59"/>
      <c r="AC251" s="59"/>
    </row>
    <row r="252">
      <c r="E252" s="59"/>
      <c r="F252" s="59"/>
      <c r="G252" s="60"/>
      <c r="J252" s="59"/>
      <c r="K252" s="59"/>
      <c r="L252" s="59"/>
      <c r="M252" s="3"/>
      <c r="W252" s="59"/>
      <c r="X252" s="59"/>
      <c r="Y252" s="59"/>
      <c r="Z252" s="59"/>
      <c r="AA252" s="59"/>
      <c r="AB252" s="59"/>
      <c r="AC252" s="59"/>
    </row>
    <row r="253">
      <c r="E253" s="59"/>
      <c r="F253" s="59"/>
      <c r="G253" s="60"/>
      <c r="J253" s="59"/>
      <c r="K253" s="59"/>
      <c r="L253" s="59"/>
      <c r="M253" s="3"/>
      <c r="W253" s="59"/>
      <c r="X253" s="59"/>
      <c r="Y253" s="59"/>
      <c r="Z253" s="59"/>
      <c r="AA253" s="59"/>
      <c r="AB253" s="59"/>
      <c r="AC253" s="59"/>
    </row>
    <row r="254">
      <c r="E254" s="59"/>
      <c r="F254" s="59"/>
      <c r="G254" s="60"/>
      <c r="J254" s="59"/>
      <c r="K254" s="59"/>
      <c r="L254" s="59"/>
      <c r="M254" s="3"/>
      <c r="W254" s="59"/>
      <c r="X254" s="59"/>
      <c r="Y254" s="59"/>
      <c r="Z254" s="59"/>
      <c r="AA254" s="59"/>
      <c r="AB254" s="59"/>
      <c r="AC254" s="59"/>
    </row>
    <row r="255">
      <c r="E255" s="59"/>
      <c r="F255" s="59"/>
      <c r="G255" s="60"/>
      <c r="J255" s="59"/>
      <c r="K255" s="59"/>
      <c r="L255" s="59"/>
      <c r="M255" s="3"/>
      <c r="W255" s="59"/>
      <c r="X255" s="59"/>
      <c r="Y255" s="59"/>
      <c r="Z255" s="59"/>
      <c r="AA255" s="59"/>
      <c r="AB255" s="59"/>
      <c r="AC255" s="59"/>
    </row>
    <row r="256">
      <c r="E256" s="59"/>
      <c r="F256" s="59"/>
      <c r="G256" s="60"/>
      <c r="J256" s="59"/>
      <c r="K256" s="59"/>
      <c r="L256" s="59"/>
      <c r="M256" s="3"/>
      <c r="W256" s="59"/>
      <c r="X256" s="59"/>
      <c r="Y256" s="59"/>
      <c r="Z256" s="59"/>
      <c r="AA256" s="59"/>
      <c r="AB256" s="59"/>
      <c r="AC256" s="59"/>
    </row>
    <row r="257">
      <c r="E257" s="59"/>
      <c r="F257" s="59"/>
      <c r="G257" s="60"/>
      <c r="J257" s="59"/>
      <c r="K257" s="59"/>
      <c r="L257" s="59"/>
      <c r="M257" s="3"/>
      <c r="W257" s="59"/>
      <c r="X257" s="59"/>
      <c r="Y257" s="59"/>
      <c r="Z257" s="59"/>
      <c r="AA257" s="59"/>
      <c r="AB257" s="59"/>
      <c r="AC257" s="59"/>
    </row>
    <row r="258">
      <c r="E258" s="59"/>
      <c r="F258" s="59"/>
      <c r="G258" s="60"/>
      <c r="J258" s="59"/>
      <c r="K258" s="59"/>
      <c r="L258" s="59"/>
      <c r="M258" s="3"/>
      <c r="W258" s="59"/>
      <c r="X258" s="59"/>
      <c r="Y258" s="59"/>
      <c r="Z258" s="59"/>
      <c r="AA258" s="59"/>
      <c r="AB258" s="59"/>
      <c r="AC258" s="59"/>
    </row>
    <row r="259">
      <c r="E259" s="59"/>
      <c r="F259" s="59"/>
      <c r="G259" s="60"/>
      <c r="J259" s="59"/>
      <c r="K259" s="59"/>
      <c r="L259" s="59"/>
      <c r="M259" s="3"/>
      <c r="W259" s="59"/>
      <c r="X259" s="59"/>
      <c r="Y259" s="59"/>
      <c r="Z259" s="59"/>
      <c r="AA259" s="59"/>
      <c r="AB259" s="59"/>
      <c r="AC259" s="59"/>
    </row>
    <row r="260">
      <c r="E260" s="59"/>
      <c r="F260" s="59"/>
      <c r="G260" s="60"/>
      <c r="J260" s="59"/>
      <c r="K260" s="59"/>
      <c r="L260" s="59"/>
      <c r="M260" s="3"/>
      <c r="W260" s="59"/>
      <c r="X260" s="59"/>
      <c r="Y260" s="59"/>
      <c r="Z260" s="59"/>
      <c r="AA260" s="59"/>
      <c r="AB260" s="59"/>
      <c r="AC260" s="59"/>
    </row>
    <row r="261">
      <c r="E261" s="59"/>
      <c r="F261" s="59"/>
      <c r="G261" s="60"/>
      <c r="J261" s="59"/>
      <c r="K261" s="59"/>
      <c r="L261" s="59"/>
      <c r="M261" s="3"/>
      <c r="W261" s="59"/>
      <c r="X261" s="59"/>
      <c r="Y261" s="59"/>
      <c r="Z261" s="59"/>
      <c r="AA261" s="59"/>
      <c r="AB261" s="59"/>
      <c r="AC261" s="59"/>
    </row>
    <row r="262">
      <c r="E262" s="59"/>
      <c r="F262" s="59"/>
      <c r="G262" s="60"/>
      <c r="J262" s="59"/>
      <c r="K262" s="59"/>
      <c r="L262" s="59"/>
      <c r="M262" s="3"/>
      <c r="W262" s="59"/>
      <c r="X262" s="59"/>
      <c r="Y262" s="59"/>
      <c r="Z262" s="59"/>
      <c r="AA262" s="59"/>
      <c r="AB262" s="59"/>
      <c r="AC262" s="59"/>
    </row>
    <row r="263">
      <c r="E263" s="59"/>
      <c r="F263" s="59"/>
      <c r="G263" s="60"/>
      <c r="J263" s="59"/>
      <c r="K263" s="59"/>
      <c r="L263" s="59"/>
      <c r="M263" s="3"/>
      <c r="W263" s="59"/>
      <c r="X263" s="59"/>
      <c r="Y263" s="59"/>
      <c r="Z263" s="59"/>
      <c r="AA263" s="59"/>
      <c r="AB263" s="59"/>
      <c r="AC263" s="59"/>
    </row>
    <row r="264">
      <c r="E264" s="59"/>
      <c r="F264" s="59"/>
      <c r="G264" s="60"/>
      <c r="J264" s="59"/>
      <c r="K264" s="59"/>
      <c r="L264" s="59"/>
      <c r="M264" s="3"/>
      <c r="W264" s="59"/>
      <c r="X264" s="59"/>
      <c r="Y264" s="59"/>
      <c r="Z264" s="59"/>
      <c r="AA264" s="59"/>
      <c r="AB264" s="59"/>
      <c r="AC264" s="59"/>
    </row>
    <row r="265">
      <c r="E265" s="59"/>
      <c r="F265" s="59"/>
      <c r="G265" s="60"/>
      <c r="J265" s="59"/>
      <c r="K265" s="59"/>
      <c r="L265" s="59"/>
      <c r="M265" s="3"/>
      <c r="W265" s="59"/>
      <c r="X265" s="59"/>
      <c r="Y265" s="59"/>
      <c r="Z265" s="59"/>
      <c r="AA265" s="59"/>
      <c r="AB265" s="59"/>
      <c r="AC265" s="59"/>
    </row>
    <row r="266">
      <c r="E266" s="59"/>
      <c r="F266" s="59"/>
      <c r="G266" s="60"/>
      <c r="J266" s="59"/>
      <c r="K266" s="59"/>
      <c r="L266" s="59"/>
      <c r="M266" s="3"/>
      <c r="W266" s="59"/>
      <c r="X266" s="59"/>
      <c r="Y266" s="59"/>
      <c r="Z266" s="59"/>
      <c r="AA266" s="59"/>
      <c r="AB266" s="59"/>
      <c r="AC266" s="59"/>
    </row>
    <row r="267">
      <c r="E267" s="59"/>
      <c r="F267" s="59"/>
      <c r="G267" s="60"/>
      <c r="J267" s="59"/>
      <c r="K267" s="59"/>
      <c r="L267" s="59"/>
      <c r="M267" s="3"/>
      <c r="W267" s="59"/>
      <c r="X267" s="59"/>
      <c r="Y267" s="59"/>
      <c r="Z267" s="59"/>
      <c r="AA267" s="59"/>
      <c r="AB267" s="59"/>
      <c r="AC267" s="59"/>
    </row>
    <row r="268">
      <c r="E268" s="59"/>
      <c r="F268" s="59"/>
      <c r="G268" s="60"/>
      <c r="J268" s="59"/>
      <c r="K268" s="59"/>
      <c r="L268" s="59"/>
      <c r="M268" s="3"/>
      <c r="W268" s="59"/>
      <c r="X268" s="59"/>
      <c r="Y268" s="59"/>
      <c r="Z268" s="59"/>
      <c r="AA268" s="59"/>
      <c r="AB268" s="59"/>
      <c r="AC268" s="59"/>
    </row>
    <row r="269">
      <c r="E269" s="59"/>
      <c r="F269" s="59"/>
      <c r="G269" s="60"/>
      <c r="J269" s="59"/>
      <c r="K269" s="59"/>
      <c r="L269" s="59"/>
      <c r="M269" s="3"/>
      <c r="W269" s="59"/>
      <c r="X269" s="59"/>
      <c r="Y269" s="59"/>
      <c r="Z269" s="59"/>
      <c r="AA269" s="59"/>
      <c r="AB269" s="59"/>
      <c r="AC269" s="59"/>
    </row>
    <row r="270">
      <c r="E270" s="59"/>
      <c r="F270" s="59"/>
      <c r="G270" s="60"/>
      <c r="J270" s="59"/>
      <c r="K270" s="59"/>
      <c r="L270" s="59"/>
      <c r="M270" s="3"/>
      <c r="W270" s="59"/>
      <c r="X270" s="59"/>
      <c r="Y270" s="59"/>
      <c r="Z270" s="59"/>
      <c r="AA270" s="59"/>
      <c r="AB270" s="59"/>
      <c r="AC270" s="59"/>
    </row>
    <row r="271">
      <c r="E271" s="59"/>
      <c r="F271" s="59"/>
      <c r="G271" s="60"/>
      <c r="J271" s="59"/>
      <c r="K271" s="59"/>
      <c r="L271" s="59"/>
      <c r="M271" s="3"/>
      <c r="W271" s="59"/>
      <c r="X271" s="59"/>
      <c r="Y271" s="59"/>
      <c r="Z271" s="59"/>
      <c r="AA271" s="59"/>
      <c r="AB271" s="59"/>
      <c r="AC271" s="59"/>
    </row>
    <row r="272">
      <c r="E272" s="59"/>
      <c r="F272" s="59"/>
      <c r="G272" s="60"/>
      <c r="J272" s="59"/>
      <c r="K272" s="59"/>
      <c r="L272" s="59"/>
      <c r="M272" s="3"/>
      <c r="W272" s="59"/>
      <c r="X272" s="59"/>
      <c r="Y272" s="59"/>
      <c r="Z272" s="59"/>
      <c r="AA272" s="59"/>
      <c r="AB272" s="59"/>
      <c r="AC272" s="59"/>
    </row>
    <row r="273">
      <c r="E273" s="59"/>
      <c r="F273" s="59"/>
      <c r="G273" s="60"/>
      <c r="J273" s="59"/>
      <c r="K273" s="59"/>
      <c r="L273" s="59"/>
      <c r="M273" s="3"/>
      <c r="W273" s="59"/>
      <c r="X273" s="59"/>
      <c r="Y273" s="59"/>
      <c r="Z273" s="59"/>
      <c r="AA273" s="59"/>
      <c r="AB273" s="59"/>
      <c r="AC273" s="59"/>
    </row>
    <row r="274">
      <c r="E274" s="59"/>
      <c r="F274" s="59"/>
      <c r="G274" s="60"/>
      <c r="J274" s="59"/>
      <c r="K274" s="59"/>
      <c r="L274" s="59"/>
      <c r="M274" s="3"/>
      <c r="W274" s="59"/>
      <c r="X274" s="59"/>
      <c r="Y274" s="59"/>
      <c r="Z274" s="59"/>
      <c r="AA274" s="59"/>
      <c r="AB274" s="59"/>
      <c r="AC274" s="59"/>
    </row>
    <row r="275">
      <c r="E275" s="59"/>
      <c r="F275" s="59"/>
      <c r="G275" s="60"/>
      <c r="J275" s="59"/>
      <c r="K275" s="59"/>
      <c r="L275" s="59"/>
      <c r="M275" s="3"/>
      <c r="W275" s="59"/>
      <c r="X275" s="59"/>
      <c r="Y275" s="59"/>
      <c r="Z275" s="59"/>
      <c r="AA275" s="59"/>
      <c r="AB275" s="59"/>
      <c r="AC275" s="59"/>
    </row>
    <row r="276">
      <c r="E276" s="59"/>
      <c r="F276" s="59"/>
      <c r="G276" s="60"/>
      <c r="J276" s="59"/>
      <c r="K276" s="59"/>
      <c r="L276" s="59"/>
      <c r="M276" s="3"/>
      <c r="W276" s="59"/>
      <c r="X276" s="59"/>
      <c r="Y276" s="59"/>
      <c r="Z276" s="59"/>
      <c r="AA276" s="59"/>
      <c r="AB276" s="59"/>
      <c r="AC276" s="59"/>
    </row>
    <row r="277">
      <c r="E277" s="59"/>
      <c r="F277" s="59"/>
      <c r="G277" s="60"/>
      <c r="J277" s="59"/>
      <c r="K277" s="59"/>
      <c r="L277" s="59"/>
      <c r="M277" s="3"/>
      <c r="W277" s="59"/>
      <c r="X277" s="59"/>
      <c r="Y277" s="59"/>
      <c r="Z277" s="59"/>
      <c r="AA277" s="59"/>
      <c r="AB277" s="59"/>
      <c r="AC277" s="59"/>
    </row>
    <row r="278">
      <c r="E278" s="59"/>
      <c r="F278" s="59"/>
      <c r="G278" s="60"/>
      <c r="J278" s="59"/>
      <c r="K278" s="59"/>
      <c r="L278" s="59"/>
      <c r="M278" s="3"/>
      <c r="W278" s="59"/>
      <c r="X278" s="59"/>
      <c r="Y278" s="59"/>
      <c r="Z278" s="59"/>
      <c r="AA278" s="59"/>
      <c r="AB278" s="59"/>
      <c r="AC278" s="59"/>
    </row>
    <row r="279">
      <c r="E279" s="59"/>
      <c r="F279" s="59"/>
      <c r="G279" s="60"/>
      <c r="J279" s="59"/>
      <c r="K279" s="59"/>
      <c r="L279" s="59"/>
      <c r="M279" s="3"/>
      <c r="W279" s="59"/>
      <c r="X279" s="59"/>
      <c r="Y279" s="59"/>
      <c r="Z279" s="59"/>
      <c r="AA279" s="59"/>
      <c r="AB279" s="59"/>
      <c r="AC279" s="59"/>
    </row>
    <row r="280">
      <c r="E280" s="59"/>
      <c r="F280" s="59"/>
      <c r="G280" s="60"/>
      <c r="J280" s="59"/>
      <c r="K280" s="59"/>
      <c r="L280" s="59"/>
      <c r="M280" s="3"/>
      <c r="W280" s="59"/>
      <c r="X280" s="59"/>
      <c r="Y280" s="59"/>
      <c r="Z280" s="59"/>
      <c r="AA280" s="59"/>
      <c r="AB280" s="59"/>
      <c r="AC280" s="59"/>
    </row>
    <row r="281">
      <c r="E281" s="59"/>
      <c r="F281" s="59"/>
      <c r="G281" s="60"/>
      <c r="J281" s="59"/>
      <c r="K281" s="59"/>
      <c r="L281" s="59"/>
      <c r="M281" s="3"/>
      <c r="W281" s="59"/>
      <c r="X281" s="59"/>
      <c r="Y281" s="59"/>
      <c r="Z281" s="59"/>
      <c r="AA281" s="59"/>
      <c r="AB281" s="59"/>
      <c r="AC281" s="59"/>
    </row>
    <row r="282">
      <c r="E282" s="59"/>
      <c r="F282" s="59"/>
      <c r="G282" s="60"/>
      <c r="J282" s="59"/>
      <c r="K282" s="59"/>
      <c r="L282" s="59"/>
      <c r="M282" s="3"/>
      <c r="W282" s="59"/>
      <c r="X282" s="59"/>
      <c r="Y282" s="59"/>
      <c r="Z282" s="59"/>
      <c r="AA282" s="59"/>
      <c r="AB282" s="59"/>
      <c r="AC282" s="59"/>
    </row>
    <row r="283">
      <c r="E283" s="59"/>
      <c r="F283" s="59"/>
      <c r="G283" s="60"/>
      <c r="J283" s="59"/>
      <c r="K283" s="59"/>
      <c r="L283" s="59"/>
      <c r="M283" s="3"/>
      <c r="W283" s="59"/>
      <c r="X283" s="59"/>
      <c r="Y283" s="59"/>
      <c r="Z283" s="59"/>
      <c r="AA283" s="59"/>
      <c r="AB283" s="59"/>
      <c r="AC283" s="59"/>
    </row>
    <row r="284">
      <c r="E284" s="59"/>
      <c r="F284" s="59"/>
      <c r="G284" s="60"/>
      <c r="J284" s="59"/>
      <c r="K284" s="59"/>
      <c r="L284" s="59"/>
      <c r="M284" s="3"/>
      <c r="W284" s="59"/>
      <c r="X284" s="59"/>
      <c r="Y284" s="59"/>
      <c r="Z284" s="59"/>
      <c r="AA284" s="59"/>
      <c r="AB284" s="59"/>
      <c r="AC284" s="59"/>
    </row>
    <row r="285">
      <c r="E285" s="59"/>
      <c r="F285" s="59"/>
      <c r="G285" s="60"/>
      <c r="J285" s="59"/>
      <c r="K285" s="59"/>
      <c r="L285" s="59"/>
      <c r="M285" s="3"/>
      <c r="W285" s="59"/>
      <c r="X285" s="59"/>
      <c r="Y285" s="59"/>
      <c r="Z285" s="59"/>
      <c r="AA285" s="59"/>
      <c r="AB285" s="59"/>
      <c r="AC285" s="59"/>
    </row>
    <row r="286">
      <c r="E286" s="59"/>
      <c r="F286" s="59"/>
      <c r="G286" s="60"/>
      <c r="J286" s="59"/>
      <c r="K286" s="59"/>
      <c r="L286" s="59"/>
      <c r="M286" s="3"/>
      <c r="W286" s="59"/>
      <c r="X286" s="59"/>
      <c r="Y286" s="59"/>
      <c r="Z286" s="59"/>
      <c r="AA286" s="59"/>
      <c r="AB286" s="59"/>
      <c r="AC286" s="59"/>
    </row>
    <row r="287">
      <c r="E287" s="59"/>
      <c r="F287" s="59"/>
      <c r="G287" s="60"/>
      <c r="J287" s="59"/>
      <c r="K287" s="59"/>
      <c r="L287" s="59"/>
      <c r="M287" s="3"/>
      <c r="W287" s="59"/>
      <c r="X287" s="59"/>
      <c r="Y287" s="59"/>
      <c r="Z287" s="59"/>
      <c r="AA287" s="59"/>
      <c r="AB287" s="59"/>
      <c r="AC287" s="59"/>
    </row>
    <row r="288">
      <c r="E288" s="59"/>
      <c r="F288" s="59"/>
      <c r="G288" s="60"/>
      <c r="J288" s="59"/>
      <c r="K288" s="59"/>
      <c r="L288" s="59"/>
      <c r="M288" s="3"/>
      <c r="W288" s="59"/>
      <c r="X288" s="59"/>
      <c r="Y288" s="59"/>
      <c r="Z288" s="59"/>
      <c r="AA288" s="59"/>
      <c r="AB288" s="59"/>
      <c r="AC288" s="59"/>
    </row>
    <row r="289">
      <c r="E289" s="59"/>
      <c r="F289" s="59"/>
      <c r="G289" s="60"/>
      <c r="J289" s="59"/>
      <c r="K289" s="59"/>
      <c r="L289" s="59"/>
      <c r="M289" s="3"/>
      <c r="W289" s="59"/>
      <c r="X289" s="59"/>
      <c r="Y289" s="59"/>
      <c r="Z289" s="59"/>
      <c r="AA289" s="59"/>
      <c r="AB289" s="59"/>
      <c r="AC289" s="59"/>
    </row>
    <row r="290">
      <c r="E290" s="59"/>
      <c r="F290" s="59"/>
      <c r="G290" s="60"/>
      <c r="J290" s="59"/>
      <c r="K290" s="59"/>
      <c r="L290" s="59"/>
      <c r="M290" s="3"/>
      <c r="W290" s="59"/>
      <c r="X290" s="59"/>
      <c r="Y290" s="59"/>
      <c r="Z290" s="59"/>
      <c r="AA290" s="59"/>
      <c r="AB290" s="59"/>
      <c r="AC290" s="59"/>
    </row>
    <row r="291">
      <c r="E291" s="59"/>
      <c r="F291" s="59"/>
      <c r="G291" s="60"/>
      <c r="J291" s="59"/>
      <c r="K291" s="59"/>
      <c r="L291" s="59"/>
      <c r="M291" s="3"/>
      <c r="W291" s="59"/>
      <c r="X291" s="59"/>
      <c r="Y291" s="59"/>
      <c r="Z291" s="59"/>
      <c r="AA291" s="59"/>
      <c r="AB291" s="59"/>
      <c r="AC291" s="59"/>
    </row>
    <row r="292">
      <c r="E292" s="59"/>
      <c r="F292" s="59"/>
      <c r="G292" s="60"/>
      <c r="J292" s="59"/>
      <c r="K292" s="59"/>
      <c r="L292" s="59"/>
      <c r="M292" s="3"/>
      <c r="W292" s="59"/>
      <c r="X292" s="59"/>
      <c r="Y292" s="59"/>
      <c r="Z292" s="59"/>
      <c r="AA292" s="59"/>
      <c r="AB292" s="59"/>
      <c r="AC292" s="59"/>
    </row>
    <row r="293">
      <c r="E293" s="59"/>
      <c r="F293" s="59"/>
      <c r="G293" s="60"/>
      <c r="J293" s="59"/>
      <c r="K293" s="59"/>
      <c r="L293" s="59"/>
      <c r="M293" s="3"/>
      <c r="W293" s="59"/>
      <c r="X293" s="59"/>
      <c r="Y293" s="59"/>
      <c r="Z293" s="59"/>
      <c r="AA293" s="59"/>
      <c r="AB293" s="59"/>
      <c r="AC293" s="59"/>
    </row>
    <row r="294">
      <c r="E294" s="59"/>
      <c r="F294" s="59"/>
      <c r="G294" s="60"/>
      <c r="J294" s="59"/>
      <c r="K294" s="59"/>
      <c r="L294" s="59"/>
      <c r="M294" s="3"/>
      <c r="W294" s="59"/>
      <c r="X294" s="59"/>
      <c r="Y294" s="59"/>
      <c r="Z294" s="59"/>
      <c r="AA294" s="59"/>
      <c r="AB294" s="59"/>
      <c r="AC294" s="59"/>
    </row>
    <row r="295">
      <c r="E295" s="59"/>
      <c r="F295" s="59"/>
      <c r="G295" s="60"/>
      <c r="J295" s="59"/>
      <c r="K295" s="59"/>
      <c r="L295" s="59"/>
      <c r="M295" s="3"/>
      <c r="W295" s="59"/>
      <c r="X295" s="59"/>
      <c r="Y295" s="59"/>
      <c r="Z295" s="59"/>
      <c r="AA295" s="59"/>
      <c r="AB295" s="59"/>
      <c r="AC295" s="59"/>
    </row>
    <row r="296">
      <c r="E296" s="59"/>
      <c r="F296" s="59"/>
      <c r="G296" s="60"/>
      <c r="J296" s="59"/>
      <c r="K296" s="59"/>
      <c r="L296" s="59"/>
      <c r="M296" s="3"/>
      <c r="W296" s="59"/>
      <c r="X296" s="59"/>
      <c r="Y296" s="59"/>
      <c r="Z296" s="59"/>
      <c r="AA296" s="59"/>
      <c r="AB296" s="59"/>
      <c r="AC296" s="59"/>
    </row>
    <row r="297">
      <c r="E297" s="59"/>
      <c r="F297" s="59"/>
      <c r="G297" s="60"/>
      <c r="J297" s="59"/>
      <c r="K297" s="59"/>
      <c r="L297" s="59"/>
      <c r="M297" s="3"/>
      <c r="W297" s="59"/>
      <c r="X297" s="59"/>
      <c r="Y297" s="59"/>
      <c r="Z297" s="59"/>
      <c r="AA297" s="59"/>
      <c r="AB297" s="59"/>
      <c r="AC297" s="59"/>
    </row>
    <row r="298">
      <c r="E298" s="59"/>
      <c r="F298" s="59"/>
      <c r="G298" s="60"/>
      <c r="J298" s="59"/>
      <c r="K298" s="59"/>
      <c r="L298" s="59"/>
      <c r="M298" s="3"/>
      <c r="W298" s="59"/>
      <c r="X298" s="59"/>
      <c r="Y298" s="59"/>
      <c r="Z298" s="59"/>
      <c r="AA298" s="59"/>
      <c r="AB298" s="59"/>
      <c r="AC298" s="59"/>
    </row>
    <row r="299">
      <c r="E299" s="59"/>
      <c r="F299" s="59"/>
      <c r="G299" s="60"/>
      <c r="J299" s="59"/>
      <c r="K299" s="59"/>
      <c r="L299" s="59"/>
      <c r="M299" s="3"/>
      <c r="W299" s="59"/>
      <c r="X299" s="59"/>
      <c r="Y299" s="59"/>
      <c r="Z299" s="59"/>
      <c r="AA299" s="59"/>
      <c r="AB299" s="59"/>
      <c r="AC299" s="59"/>
    </row>
    <row r="300">
      <c r="E300" s="59"/>
      <c r="F300" s="59"/>
      <c r="G300" s="60"/>
      <c r="J300" s="59"/>
      <c r="K300" s="59"/>
      <c r="L300" s="59"/>
      <c r="M300" s="3"/>
      <c r="W300" s="59"/>
      <c r="X300" s="59"/>
      <c r="Y300" s="59"/>
      <c r="Z300" s="59"/>
      <c r="AA300" s="59"/>
      <c r="AB300" s="59"/>
      <c r="AC300" s="59"/>
    </row>
    <row r="301">
      <c r="E301" s="59"/>
      <c r="F301" s="59"/>
      <c r="G301" s="60"/>
      <c r="J301" s="59"/>
      <c r="K301" s="59"/>
      <c r="L301" s="59"/>
      <c r="M301" s="3"/>
      <c r="W301" s="59"/>
      <c r="X301" s="59"/>
      <c r="Y301" s="59"/>
      <c r="Z301" s="59"/>
      <c r="AA301" s="59"/>
      <c r="AB301" s="59"/>
      <c r="AC301" s="59"/>
    </row>
    <row r="302">
      <c r="E302" s="59"/>
      <c r="F302" s="59"/>
      <c r="G302" s="60"/>
      <c r="J302" s="59"/>
      <c r="K302" s="59"/>
      <c r="L302" s="59"/>
      <c r="M302" s="3"/>
      <c r="W302" s="59"/>
      <c r="X302" s="59"/>
      <c r="Y302" s="59"/>
      <c r="Z302" s="59"/>
      <c r="AA302" s="59"/>
      <c r="AB302" s="59"/>
      <c r="AC302" s="59"/>
    </row>
    <row r="303">
      <c r="E303" s="59"/>
      <c r="F303" s="59"/>
      <c r="G303" s="60"/>
      <c r="J303" s="59"/>
      <c r="K303" s="59"/>
      <c r="L303" s="59"/>
      <c r="M303" s="3"/>
      <c r="W303" s="59"/>
      <c r="X303" s="59"/>
      <c r="Y303" s="59"/>
      <c r="Z303" s="59"/>
      <c r="AA303" s="59"/>
      <c r="AB303" s="59"/>
      <c r="AC303" s="59"/>
    </row>
    <row r="304">
      <c r="E304" s="59"/>
      <c r="F304" s="59"/>
      <c r="G304" s="60"/>
      <c r="J304" s="59"/>
      <c r="K304" s="59"/>
      <c r="L304" s="59"/>
      <c r="M304" s="3"/>
      <c r="W304" s="59"/>
      <c r="X304" s="59"/>
      <c r="Y304" s="59"/>
      <c r="Z304" s="59"/>
      <c r="AA304" s="59"/>
      <c r="AB304" s="59"/>
      <c r="AC304" s="59"/>
    </row>
    <row r="305">
      <c r="E305" s="59"/>
      <c r="F305" s="59"/>
      <c r="G305" s="60"/>
      <c r="J305" s="59"/>
      <c r="K305" s="59"/>
      <c r="L305" s="59"/>
      <c r="M305" s="3"/>
      <c r="W305" s="59"/>
      <c r="X305" s="59"/>
      <c r="Y305" s="59"/>
      <c r="Z305" s="59"/>
      <c r="AA305" s="59"/>
      <c r="AB305" s="59"/>
      <c r="AC305" s="59"/>
    </row>
    <row r="306">
      <c r="E306" s="59"/>
      <c r="F306" s="59"/>
      <c r="G306" s="60"/>
      <c r="J306" s="59"/>
      <c r="K306" s="59"/>
      <c r="L306" s="59"/>
      <c r="M306" s="3"/>
      <c r="W306" s="59"/>
      <c r="X306" s="59"/>
      <c r="Y306" s="59"/>
      <c r="Z306" s="59"/>
      <c r="AA306" s="59"/>
      <c r="AB306" s="59"/>
      <c r="AC306" s="59"/>
    </row>
    <row r="307">
      <c r="E307" s="59"/>
      <c r="F307" s="59"/>
      <c r="G307" s="60"/>
      <c r="J307" s="59"/>
      <c r="K307" s="59"/>
      <c r="L307" s="59"/>
      <c r="M307" s="3"/>
      <c r="W307" s="59"/>
      <c r="X307" s="59"/>
      <c r="Y307" s="59"/>
      <c r="Z307" s="59"/>
      <c r="AA307" s="59"/>
      <c r="AB307" s="59"/>
      <c r="AC307" s="59"/>
    </row>
    <row r="308">
      <c r="E308" s="59"/>
      <c r="F308" s="59"/>
      <c r="G308" s="60"/>
      <c r="J308" s="59"/>
      <c r="K308" s="59"/>
      <c r="L308" s="59"/>
      <c r="M308" s="3"/>
      <c r="W308" s="59"/>
      <c r="X308" s="59"/>
      <c r="Y308" s="59"/>
      <c r="Z308" s="59"/>
      <c r="AA308" s="59"/>
      <c r="AB308" s="59"/>
      <c r="AC308" s="59"/>
    </row>
    <row r="309">
      <c r="E309" s="59"/>
      <c r="F309" s="59"/>
      <c r="G309" s="60"/>
      <c r="J309" s="59"/>
      <c r="K309" s="59"/>
      <c r="L309" s="59"/>
      <c r="M309" s="3"/>
      <c r="W309" s="59"/>
      <c r="X309" s="59"/>
      <c r="Y309" s="59"/>
      <c r="Z309" s="59"/>
      <c r="AA309" s="59"/>
      <c r="AB309" s="59"/>
      <c r="AC309" s="59"/>
    </row>
    <row r="310">
      <c r="E310" s="59"/>
      <c r="F310" s="59"/>
      <c r="G310" s="60"/>
      <c r="J310" s="59"/>
      <c r="K310" s="59"/>
      <c r="L310" s="59"/>
      <c r="M310" s="3"/>
      <c r="W310" s="59"/>
      <c r="X310" s="59"/>
      <c r="Y310" s="59"/>
      <c r="Z310" s="59"/>
      <c r="AA310" s="59"/>
      <c r="AB310" s="59"/>
      <c r="AC310" s="59"/>
    </row>
    <row r="311">
      <c r="E311" s="59"/>
      <c r="F311" s="59"/>
      <c r="G311" s="60"/>
      <c r="J311" s="59"/>
      <c r="K311" s="59"/>
      <c r="L311" s="59"/>
      <c r="M311" s="3"/>
      <c r="W311" s="59"/>
      <c r="X311" s="59"/>
      <c r="Y311" s="59"/>
      <c r="Z311" s="59"/>
      <c r="AA311" s="59"/>
      <c r="AB311" s="59"/>
      <c r="AC311" s="59"/>
    </row>
    <row r="312">
      <c r="E312" s="59"/>
      <c r="F312" s="59"/>
      <c r="G312" s="60"/>
      <c r="J312" s="59"/>
      <c r="K312" s="59"/>
      <c r="L312" s="59"/>
      <c r="M312" s="3"/>
      <c r="W312" s="59"/>
      <c r="X312" s="59"/>
      <c r="Y312" s="59"/>
      <c r="Z312" s="59"/>
      <c r="AA312" s="59"/>
      <c r="AB312" s="59"/>
      <c r="AC312" s="59"/>
    </row>
    <row r="313">
      <c r="E313" s="59"/>
      <c r="F313" s="59"/>
      <c r="G313" s="60"/>
      <c r="J313" s="59"/>
      <c r="K313" s="59"/>
      <c r="L313" s="59"/>
      <c r="M313" s="3"/>
      <c r="W313" s="59"/>
      <c r="X313" s="59"/>
      <c r="Y313" s="59"/>
      <c r="Z313" s="59"/>
      <c r="AA313" s="59"/>
      <c r="AB313" s="59"/>
      <c r="AC313" s="59"/>
    </row>
    <row r="314">
      <c r="E314" s="59"/>
      <c r="F314" s="59"/>
      <c r="G314" s="60"/>
      <c r="J314" s="59"/>
      <c r="K314" s="59"/>
      <c r="L314" s="59"/>
      <c r="M314" s="3"/>
      <c r="W314" s="59"/>
      <c r="X314" s="59"/>
      <c r="Y314" s="59"/>
      <c r="Z314" s="59"/>
      <c r="AA314" s="59"/>
      <c r="AB314" s="59"/>
      <c r="AC314" s="59"/>
    </row>
    <row r="315">
      <c r="E315" s="59"/>
      <c r="F315" s="59"/>
      <c r="G315" s="60"/>
      <c r="J315" s="59"/>
      <c r="K315" s="59"/>
      <c r="L315" s="59"/>
      <c r="M315" s="3"/>
      <c r="W315" s="59"/>
      <c r="X315" s="59"/>
      <c r="Y315" s="59"/>
      <c r="Z315" s="59"/>
      <c r="AA315" s="59"/>
      <c r="AB315" s="59"/>
      <c r="AC315" s="59"/>
    </row>
    <row r="316">
      <c r="E316" s="59"/>
      <c r="F316" s="59"/>
      <c r="G316" s="60"/>
      <c r="J316" s="59"/>
      <c r="K316" s="59"/>
      <c r="L316" s="59"/>
      <c r="M316" s="3"/>
      <c r="W316" s="59"/>
      <c r="X316" s="59"/>
      <c r="Y316" s="59"/>
      <c r="Z316" s="59"/>
      <c r="AA316" s="59"/>
      <c r="AB316" s="59"/>
      <c r="AC316" s="59"/>
    </row>
    <row r="317">
      <c r="E317" s="59"/>
      <c r="F317" s="59"/>
      <c r="G317" s="60"/>
      <c r="J317" s="59"/>
      <c r="K317" s="59"/>
      <c r="L317" s="59"/>
      <c r="M317" s="3"/>
      <c r="W317" s="59"/>
      <c r="X317" s="59"/>
      <c r="Y317" s="59"/>
      <c r="Z317" s="59"/>
      <c r="AA317" s="59"/>
      <c r="AB317" s="59"/>
      <c r="AC317" s="59"/>
    </row>
    <row r="318">
      <c r="E318" s="59"/>
      <c r="F318" s="59"/>
      <c r="G318" s="60"/>
      <c r="J318" s="59"/>
      <c r="K318" s="59"/>
      <c r="L318" s="59"/>
      <c r="M318" s="3"/>
      <c r="W318" s="59"/>
      <c r="X318" s="59"/>
      <c r="Y318" s="59"/>
      <c r="Z318" s="59"/>
      <c r="AA318" s="59"/>
      <c r="AB318" s="59"/>
      <c r="AC318" s="59"/>
    </row>
    <row r="319">
      <c r="E319" s="59"/>
      <c r="F319" s="59"/>
      <c r="G319" s="60"/>
      <c r="J319" s="59"/>
      <c r="K319" s="59"/>
      <c r="L319" s="59"/>
      <c r="M319" s="3"/>
      <c r="W319" s="59"/>
      <c r="X319" s="59"/>
      <c r="Y319" s="59"/>
      <c r="Z319" s="59"/>
      <c r="AA319" s="59"/>
      <c r="AB319" s="59"/>
      <c r="AC319" s="59"/>
    </row>
    <row r="320">
      <c r="E320" s="59"/>
      <c r="F320" s="59"/>
      <c r="G320" s="60"/>
      <c r="J320" s="59"/>
      <c r="K320" s="59"/>
      <c r="L320" s="59"/>
      <c r="M320" s="3"/>
      <c r="W320" s="59"/>
      <c r="X320" s="59"/>
      <c r="Y320" s="59"/>
      <c r="Z320" s="59"/>
      <c r="AA320" s="59"/>
      <c r="AB320" s="59"/>
      <c r="AC320" s="59"/>
    </row>
    <row r="321">
      <c r="E321" s="59"/>
      <c r="F321" s="59"/>
      <c r="G321" s="60"/>
      <c r="J321" s="59"/>
      <c r="K321" s="59"/>
      <c r="L321" s="59"/>
      <c r="M321" s="3"/>
      <c r="W321" s="59"/>
      <c r="X321" s="59"/>
      <c r="Y321" s="59"/>
      <c r="Z321" s="59"/>
      <c r="AA321" s="59"/>
      <c r="AB321" s="59"/>
      <c r="AC321" s="59"/>
    </row>
    <row r="322">
      <c r="E322" s="59"/>
      <c r="F322" s="59"/>
      <c r="G322" s="60"/>
      <c r="J322" s="59"/>
      <c r="K322" s="59"/>
      <c r="L322" s="59"/>
      <c r="M322" s="3"/>
      <c r="W322" s="59"/>
      <c r="X322" s="59"/>
      <c r="Y322" s="59"/>
      <c r="Z322" s="59"/>
      <c r="AA322" s="59"/>
      <c r="AB322" s="59"/>
      <c r="AC322" s="59"/>
    </row>
    <row r="323">
      <c r="E323" s="59"/>
      <c r="F323" s="59"/>
      <c r="G323" s="60"/>
      <c r="J323" s="59"/>
      <c r="K323" s="59"/>
      <c r="L323" s="59"/>
      <c r="M323" s="3"/>
      <c r="W323" s="59"/>
      <c r="X323" s="59"/>
      <c r="Y323" s="59"/>
      <c r="Z323" s="59"/>
      <c r="AA323" s="59"/>
      <c r="AB323" s="59"/>
      <c r="AC323" s="59"/>
    </row>
    <row r="324">
      <c r="E324" s="59"/>
      <c r="F324" s="59"/>
      <c r="G324" s="60"/>
      <c r="J324" s="59"/>
      <c r="K324" s="59"/>
      <c r="L324" s="59"/>
      <c r="M324" s="3"/>
      <c r="W324" s="59"/>
      <c r="X324" s="59"/>
      <c r="Y324" s="59"/>
      <c r="Z324" s="59"/>
      <c r="AA324" s="59"/>
      <c r="AB324" s="59"/>
      <c r="AC324" s="59"/>
    </row>
    <row r="325">
      <c r="E325" s="59"/>
      <c r="F325" s="59"/>
      <c r="G325" s="60"/>
      <c r="J325" s="59"/>
      <c r="K325" s="59"/>
      <c r="L325" s="59"/>
      <c r="M325" s="3"/>
      <c r="W325" s="59"/>
      <c r="X325" s="59"/>
      <c r="Y325" s="59"/>
      <c r="Z325" s="59"/>
      <c r="AA325" s="59"/>
      <c r="AB325" s="59"/>
      <c r="AC325" s="59"/>
    </row>
    <row r="326">
      <c r="E326" s="59"/>
      <c r="F326" s="59"/>
      <c r="G326" s="60"/>
      <c r="J326" s="59"/>
      <c r="K326" s="59"/>
      <c r="L326" s="59"/>
      <c r="M326" s="3"/>
      <c r="W326" s="59"/>
      <c r="X326" s="59"/>
      <c r="Y326" s="59"/>
      <c r="Z326" s="59"/>
      <c r="AA326" s="59"/>
      <c r="AB326" s="59"/>
      <c r="AC326" s="59"/>
    </row>
    <row r="327">
      <c r="E327" s="59"/>
      <c r="F327" s="59"/>
      <c r="G327" s="60"/>
      <c r="J327" s="59"/>
      <c r="K327" s="59"/>
      <c r="L327" s="59"/>
      <c r="M327" s="3"/>
      <c r="W327" s="59"/>
      <c r="X327" s="59"/>
      <c r="Y327" s="59"/>
      <c r="Z327" s="59"/>
      <c r="AA327" s="59"/>
      <c r="AB327" s="59"/>
      <c r="AC327" s="59"/>
    </row>
    <row r="328">
      <c r="E328" s="59"/>
      <c r="F328" s="59"/>
      <c r="G328" s="60"/>
      <c r="J328" s="59"/>
      <c r="K328" s="59"/>
      <c r="L328" s="59"/>
      <c r="M328" s="3"/>
      <c r="W328" s="59"/>
      <c r="X328" s="59"/>
      <c r="Y328" s="59"/>
      <c r="Z328" s="59"/>
      <c r="AA328" s="59"/>
      <c r="AB328" s="59"/>
      <c r="AC328" s="59"/>
    </row>
    <row r="329">
      <c r="E329" s="59"/>
      <c r="F329" s="59"/>
      <c r="G329" s="60"/>
      <c r="J329" s="59"/>
      <c r="K329" s="59"/>
      <c r="L329" s="59"/>
      <c r="M329" s="3"/>
      <c r="W329" s="59"/>
      <c r="X329" s="59"/>
      <c r="Y329" s="59"/>
      <c r="Z329" s="59"/>
      <c r="AA329" s="59"/>
      <c r="AB329" s="59"/>
      <c r="AC329" s="59"/>
    </row>
    <row r="330">
      <c r="E330" s="59"/>
      <c r="F330" s="59"/>
      <c r="G330" s="60"/>
      <c r="J330" s="59"/>
      <c r="K330" s="59"/>
      <c r="L330" s="59"/>
      <c r="M330" s="3"/>
      <c r="W330" s="59"/>
      <c r="X330" s="59"/>
      <c r="Y330" s="59"/>
      <c r="Z330" s="59"/>
      <c r="AA330" s="59"/>
      <c r="AB330" s="59"/>
      <c r="AC330" s="59"/>
    </row>
    <row r="331">
      <c r="E331" s="59"/>
      <c r="F331" s="59"/>
      <c r="G331" s="60"/>
      <c r="J331" s="59"/>
      <c r="K331" s="59"/>
      <c r="L331" s="59"/>
      <c r="M331" s="3"/>
      <c r="W331" s="59"/>
      <c r="X331" s="59"/>
      <c r="Y331" s="59"/>
      <c r="Z331" s="59"/>
      <c r="AA331" s="59"/>
      <c r="AB331" s="59"/>
      <c r="AC331" s="59"/>
    </row>
    <row r="332">
      <c r="E332" s="59"/>
      <c r="F332" s="59"/>
      <c r="G332" s="60"/>
      <c r="J332" s="59"/>
      <c r="K332" s="59"/>
      <c r="L332" s="59"/>
      <c r="M332" s="3"/>
      <c r="W332" s="59"/>
      <c r="X332" s="59"/>
      <c r="Y332" s="59"/>
      <c r="Z332" s="59"/>
      <c r="AA332" s="59"/>
      <c r="AB332" s="59"/>
      <c r="AC332" s="59"/>
    </row>
    <row r="333">
      <c r="E333" s="59"/>
      <c r="F333" s="59"/>
      <c r="G333" s="60"/>
      <c r="J333" s="59"/>
      <c r="K333" s="59"/>
      <c r="L333" s="59"/>
      <c r="M333" s="3"/>
      <c r="W333" s="59"/>
      <c r="X333" s="59"/>
      <c r="Y333" s="59"/>
      <c r="Z333" s="59"/>
      <c r="AA333" s="59"/>
      <c r="AB333" s="59"/>
      <c r="AC333" s="59"/>
    </row>
    <row r="334">
      <c r="E334" s="59"/>
      <c r="F334" s="59"/>
      <c r="G334" s="60"/>
      <c r="J334" s="59"/>
      <c r="K334" s="59"/>
      <c r="L334" s="59"/>
      <c r="M334" s="3"/>
      <c r="W334" s="59"/>
      <c r="X334" s="59"/>
      <c r="Y334" s="59"/>
      <c r="Z334" s="59"/>
      <c r="AA334" s="59"/>
      <c r="AB334" s="59"/>
      <c r="AC334" s="59"/>
    </row>
    <row r="335">
      <c r="E335" s="59"/>
      <c r="F335" s="59"/>
      <c r="G335" s="60"/>
      <c r="J335" s="59"/>
      <c r="K335" s="59"/>
      <c r="L335" s="59"/>
      <c r="M335" s="3"/>
      <c r="W335" s="59"/>
      <c r="X335" s="59"/>
      <c r="Y335" s="59"/>
      <c r="Z335" s="59"/>
      <c r="AA335" s="59"/>
      <c r="AB335" s="59"/>
      <c r="AC335" s="59"/>
    </row>
    <row r="336">
      <c r="E336" s="59"/>
      <c r="F336" s="59"/>
      <c r="G336" s="60"/>
      <c r="J336" s="59"/>
      <c r="K336" s="59"/>
      <c r="L336" s="59"/>
      <c r="M336" s="3"/>
      <c r="W336" s="59"/>
      <c r="X336" s="59"/>
      <c r="Y336" s="59"/>
      <c r="Z336" s="59"/>
      <c r="AA336" s="59"/>
      <c r="AB336" s="59"/>
      <c r="AC336" s="59"/>
    </row>
    <row r="337">
      <c r="E337" s="59"/>
      <c r="F337" s="59"/>
      <c r="G337" s="60"/>
      <c r="J337" s="59"/>
      <c r="K337" s="59"/>
      <c r="L337" s="59"/>
      <c r="M337" s="3"/>
      <c r="W337" s="59"/>
      <c r="X337" s="59"/>
      <c r="Y337" s="59"/>
      <c r="Z337" s="59"/>
      <c r="AA337" s="59"/>
      <c r="AB337" s="59"/>
      <c r="AC337" s="59"/>
    </row>
    <row r="338">
      <c r="E338" s="59"/>
      <c r="F338" s="59"/>
      <c r="G338" s="60"/>
      <c r="J338" s="59"/>
      <c r="K338" s="59"/>
      <c r="L338" s="59"/>
      <c r="M338" s="3"/>
      <c r="W338" s="59"/>
      <c r="X338" s="59"/>
      <c r="Y338" s="59"/>
      <c r="Z338" s="59"/>
      <c r="AA338" s="59"/>
      <c r="AB338" s="59"/>
      <c r="AC338" s="59"/>
    </row>
    <row r="339">
      <c r="E339" s="59"/>
      <c r="F339" s="59"/>
      <c r="G339" s="60"/>
      <c r="J339" s="59"/>
      <c r="K339" s="59"/>
      <c r="L339" s="59"/>
      <c r="M339" s="3"/>
      <c r="W339" s="59"/>
      <c r="X339" s="59"/>
      <c r="Y339" s="59"/>
      <c r="Z339" s="59"/>
      <c r="AA339" s="59"/>
      <c r="AB339" s="59"/>
      <c r="AC339" s="59"/>
    </row>
    <row r="340">
      <c r="E340" s="59"/>
      <c r="F340" s="59"/>
      <c r="G340" s="60"/>
      <c r="J340" s="59"/>
      <c r="K340" s="59"/>
      <c r="L340" s="59"/>
      <c r="M340" s="3"/>
      <c r="W340" s="59"/>
      <c r="X340" s="59"/>
      <c r="Y340" s="59"/>
      <c r="Z340" s="59"/>
      <c r="AA340" s="59"/>
      <c r="AB340" s="59"/>
      <c r="AC340" s="59"/>
    </row>
    <row r="341">
      <c r="E341" s="59"/>
      <c r="F341" s="59"/>
      <c r="G341" s="60"/>
      <c r="J341" s="59"/>
      <c r="K341" s="59"/>
      <c r="L341" s="59"/>
      <c r="M341" s="3"/>
      <c r="W341" s="59"/>
      <c r="X341" s="59"/>
      <c r="Y341" s="59"/>
      <c r="Z341" s="59"/>
      <c r="AA341" s="59"/>
      <c r="AB341" s="59"/>
      <c r="AC341" s="59"/>
    </row>
    <row r="342">
      <c r="E342" s="59"/>
      <c r="F342" s="59"/>
      <c r="G342" s="60"/>
      <c r="J342" s="59"/>
      <c r="K342" s="59"/>
      <c r="L342" s="59"/>
      <c r="M342" s="3"/>
      <c r="W342" s="59"/>
      <c r="X342" s="59"/>
      <c r="Y342" s="59"/>
      <c r="Z342" s="59"/>
      <c r="AA342" s="59"/>
      <c r="AB342" s="59"/>
      <c r="AC342" s="59"/>
    </row>
    <row r="343">
      <c r="E343" s="59"/>
      <c r="F343" s="59"/>
      <c r="G343" s="60"/>
      <c r="J343" s="59"/>
      <c r="K343" s="59"/>
      <c r="L343" s="59"/>
      <c r="M343" s="3"/>
      <c r="W343" s="59"/>
      <c r="X343" s="59"/>
      <c r="Y343" s="59"/>
      <c r="Z343" s="59"/>
      <c r="AA343" s="59"/>
      <c r="AB343" s="59"/>
      <c r="AC343" s="59"/>
    </row>
    <row r="344">
      <c r="E344" s="59"/>
      <c r="F344" s="59"/>
      <c r="G344" s="60"/>
      <c r="J344" s="59"/>
      <c r="K344" s="59"/>
      <c r="L344" s="59"/>
      <c r="M344" s="3"/>
      <c r="W344" s="59"/>
      <c r="X344" s="59"/>
      <c r="Y344" s="59"/>
      <c r="Z344" s="59"/>
      <c r="AA344" s="59"/>
      <c r="AB344" s="59"/>
      <c r="AC344" s="59"/>
    </row>
    <row r="345">
      <c r="E345" s="59"/>
      <c r="F345" s="59"/>
      <c r="G345" s="60"/>
      <c r="J345" s="59"/>
      <c r="K345" s="59"/>
      <c r="L345" s="59"/>
      <c r="M345" s="3"/>
      <c r="W345" s="59"/>
      <c r="X345" s="59"/>
      <c r="Y345" s="59"/>
      <c r="Z345" s="59"/>
      <c r="AA345" s="59"/>
      <c r="AB345" s="59"/>
      <c r="AC345" s="59"/>
    </row>
    <row r="346">
      <c r="E346" s="59"/>
      <c r="F346" s="59"/>
      <c r="G346" s="60"/>
      <c r="J346" s="59"/>
      <c r="K346" s="59"/>
      <c r="L346" s="59"/>
      <c r="M346" s="3"/>
      <c r="W346" s="59"/>
      <c r="X346" s="59"/>
      <c r="Y346" s="59"/>
      <c r="Z346" s="59"/>
      <c r="AA346" s="59"/>
      <c r="AB346" s="59"/>
      <c r="AC346" s="59"/>
    </row>
    <row r="347">
      <c r="E347" s="59"/>
      <c r="F347" s="59"/>
      <c r="G347" s="60"/>
      <c r="J347" s="59"/>
      <c r="K347" s="59"/>
      <c r="L347" s="59"/>
      <c r="M347" s="3"/>
      <c r="W347" s="59"/>
      <c r="X347" s="59"/>
      <c r="Y347" s="59"/>
      <c r="Z347" s="59"/>
      <c r="AA347" s="59"/>
      <c r="AB347" s="59"/>
      <c r="AC347" s="59"/>
    </row>
    <row r="348">
      <c r="E348" s="59"/>
      <c r="F348" s="59"/>
      <c r="G348" s="60"/>
      <c r="J348" s="59"/>
      <c r="K348" s="59"/>
      <c r="L348" s="59"/>
      <c r="M348" s="3"/>
      <c r="W348" s="59"/>
      <c r="X348" s="59"/>
      <c r="Y348" s="59"/>
      <c r="Z348" s="59"/>
      <c r="AA348" s="59"/>
      <c r="AB348" s="59"/>
      <c r="AC348" s="59"/>
    </row>
    <row r="349">
      <c r="E349" s="59"/>
      <c r="F349" s="59"/>
      <c r="G349" s="60"/>
      <c r="J349" s="59"/>
      <c r="K349" s="59"/>
      <c r="L349" s="59"/>
      <c r="M349" s="3"/>
      <c r="W349" s="59"/>
      <c r="X349" s="59"/>
      <c r="Y349" s="59"/>
      <c r="Z349" s="59"/>
      <c r="AA349" s="59"/>
      <c r="AB349" s="59"/>
      <c r="AC349" s="59"/>
    </row>
    <row r="350">
      <c r="E350" s="59"/>
      <c r="F350" s="59"/>
      <c r="G350" s="60"/>
      <c r="J350" s="59"/>
      <c r="K350" s="59"/>
      <c r="L350" s="59"/>
      <c r="M350" s="3"/>
      <c r="W350" s="59"/>
      <c r="X350" s="59"/>
      <c r="Y350" s="59"/>
      <c r="Z350" s="59"/>
      <c r="AA350" s="59"/>
      <c r="AB350" s="59"/>
      <c r="AC350" s="59"/>
    </row>
    <row r="351">
      <c r="E351" s="59"/>
      <c r="F351" s="59"/>
      <c r="G351" s="60"/>
      <c r="J351" s="59"/>
      <c r="K351" s="59"/>
      <c r="L351" s="59"/>
      <c r="M351" s="3"/>
      <c r="W351" s="59"/>
      <c r="X351" s="59"/>
      <c r="Y351" s="59"/>
      <c r="Z351" s="59"/>
      <c r="AA351" s="59"/>
      <c r="AB351" s="59"/>
      <c r="AC351" s="59"/>
    </row>
    <row r="352">
      <c r="E352" s="59"/>
      <c r="F352" s="59"/>
      <c r="G352" s="60"/>
      <c r="J352" s="59"/>
      <c r="K352" s="59"/>
      <c r="L352" s="59"/>
      <c r="M352" s="3"/>
      <c r="W352" s="59"/>
      <c r="X352" s="59"/>
      <c r="Y352" s="59"/>
      <c r="Z352" s="59"/>
      <c r="AA352" s="59"/>
      <c r="AB352" s="59"/>
      <c r="AC352" s="59"/>
    </row>
    <row r="353">
      <c r="E353" s="59"/>
      <c r="F353" s="59"/>
      <c r="G353" s="60"/>
      <c r="J353" s="59"/>
      <c r="K353" s="59"/>
      <c r="L353" s="59"/>
      <c r="M353" s="3"/>
      <c r="W353" s="59"/>
      <c r="X353" s="59"/>
      <c r="Y353" s="59"/>
      <c r="Z353" s="59"/>
      <c r="AA353" s="59"/>
      <c r="AB353" s="59"/>
      <c r="AC353" s="59"/>
    </row>
    <row r="354">
      <c r="E354" s="59"/>
      <c r="F354" s="59"/>
      <c r="G354" s="60"/>
      <c r="J354" s="59"/>
      <c r="K354" s="59"/>
      <c r="L354" s="59"/>
      <c r="M354" s="3"/>
      <c r="W354" s="59"/>
      <c r="X354" s="59"/>
      <c r="Y354" s="59"/>
      <c r="Z354" s="59"/>
      <c r="AA354" s="59"/>
      <c r="AB354" s="59"/>
      <c r="AC354" s="59"/>
    </row>
    <row r="355">
      <c r="E355" s="59"/>
      <c r="F355" s="59"/>
      <c r="G355" s="60"/>
      <c r="J355" s="59"/>
      <c r="K355" s="59"/>
      <c r="L355" s="59"/>
      <c r="M355" s="3"/>
      <c r="W355" s="59"/>
      <c r="X355" s="59"/>
      <c r="Y355" s="59"/>
      <c r="Z355" s="59"/>
      <c r="AA355" s="59"/>
      <c r="AB355" s="59"/>
      <c r="AC355" s="59"/>
    </row>
    <row r="356">
      <c r="E356" s="59"/>
      <c r="F356" s="59"/>
      <c r="G356" s="60"/>
      <c r="J356" s="59"/>
      <c r="K356" s="59"/>
      <c r="L356" s="59"/>
      <c r="M356" s="3"/>
      <c r="W356" s="59"/>
      <c r="X356" s="59"/>
      <c r="Y356" s="59"/>
      <c r="Z356" s="59"/>
      <c r="AA356" s="59"/>
      <c r="AB356" s="59"/>
      <c r="AC356" s="59"/>
    </row>
    <row r="357">
      <c r="E357" s="59"/>
      <c r="F357" s="59"/>
      <c r="G357" s="60"/>
      <c r="J357" s="59"/>
      <c r="K357" s="59"/>
      <c r="L357" s="59"/>
      <c r="M357" s="3"/>
      <c r="W357" s="59"/>
      <c r="X357" s="59"/>
      <c r="Y357" s="59"/>
      <c r="Z357" s="59"/>
      <c r="AA357" s="59"/>
      <c r="AB357" s="59"/>
      <c r="AC357" s="59"/>
    </row>
    <row r="358">
      <c r="E358" s="59"/>
      <c r="F358" s="59"/>
      <c r="G358" s="60"/>
      <c r="J358" s="59"/>
      <c r="K358" s="59"/>
      <c r="L358" s="59"/>
      <c r="M358" s="3"/>
      <c r="W358" s="59"/>
      <c r="X358" s="59"/>
      <c r="Y358" s="59"/>
      <c r="Z358" s="59"/>
      <c r="AA358" s="59"/>
      <c r="AB358" s="59"/>
      <c r="AC358" s="59"/>
    </row>
    <row r="359">
      <c r="E359" s="59"/>
      <c r="F359" s="59"/>
      <c r="G359" s="60"/>
      <c r="J359" s="59"/>
      <c r="K359" s="59"/>
      <c r="L359" s="59"/>
      <c r="M359" s="3"/>
      <c r="W359" s="59"/>
      <c r="X359" s="59"/>
      <c r="Y359" s="59"/>
      <c r="Z359" s="59"/>
      <c r="AA359" s="59"/>
      <c r="AB359" s="59"/>
      <c r="AC359" s="59"/>
    </row>
    <row r="360">
      <c r="E360" s="59"/>
      <c r="F360" s="59"/>
      <c r="G360" s="60"/>
      <c r="J360" s="59"/>
      <c r="K360" s="59"/>
      <c r="L360" s="59"/>
      <c r="M360" s="3"/>
      <c r="W360" s="59"/>
      <c r="X360" s="59"/>
      <c r="Y360" s="59"/>
      <c r="Z360" s="59"/>
      <c r="AA360" s="59"/>
      <c r="AB360" s="59"/>
      <c r="AC360" s="59"/>
    </row>
    <row r="361">
      <c r="E361" s="59"/>
      <c r="F361" s="59"/>
      <c r="G361" s="60"/>
      <c r="J361" s="59"/>
      <c r="K361" s="59"/>
      <c r="L361" s="59"/>
      <c r="M361" s="3"/>
      <c r="W361" s="59"/>
      <c r="X361" s="59"/>
      <c r="Y361" s="59"/>
      <c r="Z361" s="59"/>
      <c r="AA361" s="59"/>
      <c r="AB361" s="59"/>
      <c r="AC361" s="59"/>
    </row>
    <row r="362">
      <c r="E362" s="59"/>
      <c r="F362" s="59"/>
      <c r="G362" s="60"/>
      <c r="J362" s="59"/>
      <c r="K362" s="59"/>
      <c r="L362" s="59"/>
      <c r="M362" s="3"/>
      <c r="W362" s="59"/>
      <c r="X362" s="59"/>
      <c r="Y362" s="59"/>
      <c r="Z362" s="59"/>
      <c r="AA362" s="59"/>
      <c r="AB362" s="59"/>
      <c r="AC362" s="59"/>
    </row>
    <row r="363">
      <c r="E363" s="59"/>
      <c r="F363" s="59"/>
      <c r="G363" s="60"/>
      <c r="J363" s="59"/>
      <c r="K363" s="59"/>
      <c r="L363" s="59"/>
      <c r="M363" s="3"/>
      <c r="W363" s="59"/>
      <c r="X363" s="59"/>
      <c r="Y363" s="59"/>
      <c r="Z363" s="59"/>
      <c r="AA363" s="59"/>
      <c r="AB363" s="59"/>
      <c r="AC363" s="59"/>
    </row>
    <row r="364">
      <c r="E364" s="59"/>
      <c r="F364" s="59"/>
      <c r="G364" s="60"/>
      <c r="J364" s="59"/>
      <c r="K364" s="59"/>
      <c r="L364" s="59"/>
      <c r="M364" s="3"/>
      <c r="W364" s="59"/>
      <c r="X364" s="59"/>
      <c r="Y364" s="59"/>
      <c r="Z364" s="59"/>
      <c r="AA364" s="59"/>
      <c r="AB364" s="59"/>
      <c r="AC364" s="59"/>
    </row>
    <row r="365">
      <c r="E365" s="59"/>
      <c r="F365" s="59"/>
      <c r="G365" s="60"/>
      <c r="J365" s="59"/>
      <c r="K365" s="59"/>
      <c r="L365" s="59"/>
      <c r="M365" s="3"/>
      <c r="W365" s="59"/>
      <c r="X365" s="59"/>
      <c r="Y365" s="59"/>
      <c r="Z365" s="59"/>
      <c r="AA365" s="59"/>
      <c r="AB365" s="59"/>
      <c r="AC365" s="59"/>
    </row>
    <row r="366">
      <c r="E366" s="59"/>
      <c r="F366" s="59"/>
      <c r="G366" s="60"/>
      <c r="J366" s="59"/>
      <c r="K366" s="59"/>
      <c r="L366" s="59"/>
      <c r="M366" s="3"/>
      <c r="W366" s="59"/>
      <c r="X366" s="59"/>
      <c r="Y366" s="59"/>
      <c r="Z366" s="59"/>
      <c r="AA366" s="59"/>
      <c r="AB366" s="59"/>
      <c r="AC366" s="59"/>
    </row>
    <row r="367">
      <c r="E367" s="59"/>
      <c r="F367" s="59"/>
      <c r="G367" s="60"/>
      <c r="J367" s="59"/>
      <c r="K367" s="59"/>
      <c r="L367" s="59"/>
      <c r="M367" s="3"/>
      <c r="W367" s="59"/>
      <c r="X367" s="59"/>
      <c r="Y367" s="59"/>
      <c r="Z367" s="59"/>
      <c r="AA367" s="59"/>
      <c r="AB367" s="59"/>
      <c r="AC367" s="59"/>
    </row>
    <row r="368">
      <c r="E368" s="59"/>
      <c r="F368" s="59"/>
      <c r="G368" s="60"/>
      <c r="J368" s="59"/>
      <c r="K368" s="59"/>
      <c r="L368" s="59"/>
      <c r="M368" s="3"/>
      <c r="W368" s="59"/>
      <c r="X368" s="59"/>
      <c r="Y368" s="59"/>
      <c r="Z368" s="59"/>
      <c r="AA368" s="59"/>
      <c r="AB368" s="59"/>
      <c r="AC368" s="59"/>
    </row>
    <row r="369">
      <c r="E369" s="59"/>
      <c r="F369" s="59"/>
      <c r="G369" s="60"/>
      <c r="J369" s="59"/>
      <c r="K369" s="59"/>
      <c r="L369" s="59"/>
      <c r="M369" s="3"/>
      <c r="W369" s="59"/>
      <c r="X369" s="59"/>
      <c r="Y369" s="59"/>
      <c r="Z369" s="59"/>
      <c r="AA369" s="59"/>
      <c r="AB369" s="59"/>
      <c r="AC369" s="59"/>
    </row>
    <row r="370">
      <c r="E370" s="59"/>
      <c r="F370" s="59"/>
      <c r="G370" s="60"/>
      <c r="J370" s="59"/>
      <c r="K370" s="59"/>
      <c r="L370" s="59"/>
      <c r="M370" s="3"/>
      <c r="W370" s="59"/>
      <c r="X370" s="59"/>
      <c r="Y370" s="59"/>
      <c r="Z370" s="59"/>
      <c r="AA370" s="59"/>
      <c r="AB370" s="59"/>
      <c r="AC370" s="59"/>
    </row>
    <row r="371">
      <c r="E371" s="59"/>
      <c r="F371" s="59"/>
      <c r="G371" s="60"/>
      <c r="J371" s="59"/>
      <c r="K371" s="59"/>
      <c r="L371" s="59"/>
      <c r="M371" s="3"/>
      <c r="W371" s="59"/>
      <c r="X371" s="59"/>
      <c r="Y371" s="59"/>
      <c r="Z371" s="59"/>
      <c r="AA371" s="59"/>
      <c r="AB371" s="59"/>
      <c r="AC371" s="59"/>
    </row>
    <row r="372">
      <c r="E372" s="59"/>
      <c r="F372" s="59"/>
      <c r="G372" s="60"/>
      <c r="J372" s="59"/>
      <c r="K372" s="59"/>
      <c r="L372" s="59"/>
      <c r="M372" s="3"/>
      <c r="W372" s="59"/>
      <c r="X372" s="59"/>
      <c r="Y372" s="59"/>
      <c r="Z372" s="59"/>
      <c r="AA372" s="59"/>
      <c r="AB372" s="59"/>
      <c r="AC372" s="59"/>
    </row>
    <row r="373">
      <c r="E373" s="59"/>
      <c r="F373" s="59"/>
      <c r="G373" s="60"/>
      <c r="J373" s="59"/>
      <c r="K373" s="59"/>
      <c r="L373" s="59"/>
      <c r="M373" s="3"/>
      <c r="W373" s="59"/>
      <c r="X373" s="59"/>
      <c r="Y373" s="59"/>
      <c r="Z373" s="59"/>
      <c r="AA373" s="59"/>
      <c r="AB373" s="59"/>
      <c r="AC373" s="59"/>
    </row>
    <row r="374">
      <c r="E374" s="59"/>
      <c r="F374" s="59"/>
      <c r="G374" s="60"/>
      <c r="J374" s="59"/>
      <c r="K374" s="59"/>
      <c r="L374" s="59"/>
      <c r="M374" s="3"/>
      <c r="W374" s="59"/>
      <c r="X374" s="59"/>
      <c r="Y374" s="59"/>
      <c r="Z374" s="59"/>
      <c r="AA374" s="59"/>
      <c r="AB374" s="59"/>
      <c r="AC374" s="59"/>
    </row>
    <row r="375">
      <c r="E375" s="59"/>
      <c r="F375" s="59"/>
      <c r="G375" s="60"/>
      <c r="J375" s="59"/>
      <c r="K375" s="59"/>
      <c r="L375" s="59"/>
      <c r="M375" s="3"/>
      <c r="W375" s="59"/>
      <c r="X375" s="59"/>
      <c r="Y375" s="59"/>
      <c r="Z375" s="59"/>
      <c r="AA375" s="59"/>
      <c r="AB375" s="59"/>
      <c r="AC375" s="59"/>
    </row>
    <row r="376">
      <c r="E376" s="59"/>
      <c r="F376" s="59"/>
      <c r="G376" s="60"/>
      <c r="J376" s="59"/>
      <c r="K376" s="59"/>
      <c r="L376" s="59"/>
      <c r="M376" s="3"/>
      <c r="W376" s="59"/>
      <c r="X376" s="59"/>
      <c r="Y376" s="59"/>
      <c r="Z376" s="59"/>
      <c r="AA376" s="59"/>
      <c r="AB376" s="59"/>
      <c r="AC376" s="59"/>
    </row>
    <row r="377">
      <c r="E377" s="59"/>
      <c r="F377" s="59"/>
      <c r="G377" s="60"/>
      <c r="J377" s="59"/>
      <c r="K377" s="59"/>
      <c r="L377" s="59"/>
      <c r="M377" s="3"/>
      <c r="W377" s="59"/>
      <c r="X377" s="59"/>
      <c r="Y377" s="59"/>
      <c r="Z377" s="59"/>
      <c r="AA377" s="59"/>
      <c r="AB377" s="59"/>
      <c r="AC377" s="59"/>
    </row>
    <row r="378">
      <c r="E378" s="59"/>
      <c r="F378" s="59"/>
      <c r="G378" s="60"/>
      <c r="J378" s="59"/>
      <c r="K378" s="59"/>
      <c r="L378" s="59"/>
      <c r="M378" s="3"/>
      <c r="W378" s="59"/>
      <c r="X378" s="59"/>
      <c r="Y378" s="59"/>
      <c r="Z378" s="59"/>
      <c r="AA378" s="59"/>
      <c r="AB378" s="59"/>
      <c r="AC378" s="59"/>
    </row>
    <row r="379">
      <c r="E379" s="59"/>
      <c r="F379" s="59"/>
      <c r="G379" s="60"/>
      <c r="J379" s="59"/>
      <c r="K379" s="59"/>
      <c r="L379" s="59"/>
      <c r="M379" s="3"/>
      <c r="W379" s="59"/>
      <c r="X379" s="59"/>
      <c r="Y379" s="59"/>
      <c r="Z379" s="59"/>
      <c r="AA379" s="59"/>
      <c r="AB379" s="59"/>
      <c r="AC379" s="59"/>
    </row>
    <row r="380">
      <c r="E380" s="59"/>
      <c r="F380" s="59"/>
      <c r="G380" s="60"/>
      <c r="J380" s="59"/>
      <c r="K380" s="59"/>
      <c r="L380" s="59"/>
      <c r="M380" s="3"/>
      <c r="W380" s="59"/>
      <c r="X380" s="59"/>
      <c r="Y380" s="59"/>
      <c r="Z380" s="59"/>
      <c r="AA380" s="59"/>
      <c r="AB380" s="59"/>
      <c r="AC380" s="59"/>
    </row>
    <row r="381">
      <c r="E381" s="59"/>
      <c r="F381" s="59"/>
      <c r="G381" s="60"/>
      <c r="J381" s="59"/>
      <c r="K381" s="59"/>
      <c r="L381" s="59"/>
      <c r="M381" s="3"/>
      <c r="W381" s="59"/>
      <c r="X381" s="59"/>
      <c r="Y381" s="59"/>
      <c r="Z381" s="59"/>
      <c r="AA381" s="59"/>
      <c r="AB381" s="59"/>
      <c r="AC381" s="59"/>
    </row>
    <row r="382">
      <c r="E382" s="59"/>
      <c r="F382" s="59"/>
      <c r="G382" s="60"/>
      <c r="J382" s="59"/>
      <c r="K382" s="59"/>
      <c r="L382" s="59"/>
      <c r="M382" s="3"/>
      <c r="W382" s="59"/>
      <c r="X382" s="59"/>
      <c r="Y382" s="59"/>
      <c r="Z382" s="59"/>
      <c r="AA382" s="59"/>
      <c r="AB382" s="59"/>
      <c r="AC382" s="59"/>
    </row>
    <row r="383">
      <c r="E383" s="59"/>
      <c r="F383" s="59"/>
      <c r="G383" s="60"/>
      <c r="J383" s="59"/>
      <c r="K383" s="59"/>
      <c r="L383" s="59"/>
      <c r="M383" s="3"/>
      <c r="W383" s="59"/>
      <c r="X383" s="59"/>
      <c r="Y383" s="59"/>
      <c r="Z383" s="59"/>
      <c r="AA383" s="59"/>
      <c r="AB383" s="59"/>
      <c r="AC383" s="59"/>
    </row>
    <row r="384">
      <c r="E384" s="59"/>
      <c r="F384" s="59"/>
      <c r="G384" s="60"/>
      <c r="J384" s="59"/>
      <c r="K384" s="59"/>
      <c r="L384" s="59"/>
      <c r="M384" s="3"/>
      <c r="W384" s="59"/>
      <c r="X384" s="59"/>
      <c r="Y384" s="59"/>
      <c r="Z384" s="59"/>
      <c r="AA384" s="59"/>
      <c r="AB384" s="59"/>
      <c r="AC384" s="59"/>
    </row>
    <row r="385">
      <c r="E385" s="59"/>
      <c r="F385" s="59"/>
      <c r="G385" s="60"/>
      <c r="J385" s="59"/>
      <c r="K385" s="59"/>
      <c r="L385" s="59"/>
      <c r="M385" s="3"/>
      <c r="W385" s="59"/>
      <c r="X385" s="59"/>
      <c r="Y385" s="59"/>
      <c r="Z385" s="59"/>
      <c r="AA385" s="59"/>
      <c r="AB385" s="59"/>
      <c r="AC385" s="59"/>
    </row>
    <row r="386">
      <c r="E386" s="59"/>
      <c r="F386" s="59"/>
      <c r="G386" s="60"/>
      <c r="J386" s="59"/>
      <c r="K386" s="59"/>
      <c r="L386" s="59"/>
      <c r="M386" s="3"/>
      <c r="W386" s="59"/>
      <c r="X386" s="59"/>
      <c r="Y386" s="59"/>
      <c r="Z386" s="59"/>
      <c r="AA386" s="59"/>
      <c r="AB386" s="59"/>
      <c r="AC386" s="59"/>
    </row>
    <row r="387">
      <c r="E387" s="59"/>
      <c r="F387" s="59"/>
      <c r="G387" s="60"/>
      <c r="J387" s="59"/>
      <c r="K387" s="59"/>
      <c r="L387" s="59"/>
      <c r="M387" s="3"/>
      <c r="W387" s="59"/>
      <c r="X387" s="59"/>
      <c r="Y387" s="59"/>
      <c r="Z387" s="59"/>
      <c r="AA387" s="59"/>
      <c r="AB387" s="59"/>
      <c r="AC387" s="59"/>
    </row>
    <row r="388">
      <c r="E388" s="59"/>
      <c r="F388" s="59"/>
      <c r="G388" s="60"/>
      <c r="J388" s="59"/>
      <c r="K388" s="59"/>
      <c r="L388" s="59"/>
      <c r="M388" s="3"/>
      <c r="W388" s="59"/>
      <c r="X388" s="59"/>
      <c r="Y388" s="59"/>
      <c r="Z388" s="59"/>
      <c r="AA388" s="59"/>
      <c r="AB388" s="59"/>
      <c r="AC388" s="59"/>
    </row>
    <row r="389">
      <c r="E389" s="59"/>
      <c r="F389" s="59"/>
      <c r="G389" s="60"/>
      <c r="J389" s="59"/>
      <c r="K389" s="59"/>
      <c r="L389" s="59"/>
      <c r="M389" s="3"/>
      <c r="W389" s="59"/>
      <c r="X389" s="59"/>
      <c r="Y389" s="59"/>
      <c r="Z389" s="59"/>
      <c r="AA389" s="59"/>
      <c r="AB389" s="59"/>
      <c r="AC389" s="59"/>
    </row>
    <row r="390">
      <c r="E390" s="59"/>
      <c r="F390" s="59"/>
      <c r="G390" s="60"/>
      <c r="J390" s="59"/>
      <c r="K390" s="59"/>
      <c r="L390" s="59"/>
      <c r="M390" s="3"/>
      <c r="W390" s="59"/>
      <c r="X390" s="59"/>
      <c r="Y390" s="59"/>
      <c r="Z390" s="59"/>
      <c r="AA390" s="59"/>
      <c r="AB390" s="59"/>
      <c r="AC390" s="59"/>
    </row>
    <row r="391">
      <c r="E391" s="59"/>
      <c r="F391" s="59"/>
      <c r="G391" s="60"/>
      <c r="J391" s="59"/>
      <c r="K391" s="59"/>
      <c r="L391" s="59"/>
      <c r="M391" s="3"/>
      <c r="W391" s="59"/>
      <c r="X391" s="59"/>
      <c r="Y391" s="59"/>
      <c r="Z391" s="59"/>
      <c r="AA391" s="59"/>
      <c r="AB391" s="59"/>
      <c r="AC391" s="59"/>
    </row>
    <row r="392">
      <c r="E392" s="59"/>
      <c r="F392" s="59"/>
      <c r="G392" s="60"/>
      <c r="J392" s="59"/>
      <c r="K392" s="59"/>
      <c r="L392" s="59"/>
      <c r="M392" s="3"/>
      <c r="W392" s="59"/>
      <c r="X392" s="59"/>
      <c r="Y392" s="59"/>
      <c r="Z392" s="59"/>
      <c r="AA392" s="59"/>
      <c r="AB392" s="59"/>
      <c r="AC392" s="59"/>
    </row>
    <row r="393">
      <c r="E393" s="59"/>
      <c r="F393" s="59"/>
      <c r="G393" s="60"/>
      <c r="J393" s="59"/>
      <c r="K393" s="59"/>
      <c r="L393" s="59"/>
      <c r="M393" s="3"/>
      <c r="W393" s="59"/>
      <c r="X393" s="59"/>
      <c r="Y393" s="59"/>
      <c r="Z393" s="59"/>
      <c r="AA393" s="59"/>
      <c r="AB393" s="59"/>
      <c r="AC393" s="59"/>
    </row>
    <row r="394">
      <c r="E394" s="59"/>
      <c r="F394" s="59"/>
      <c r="G394" s="60"/>
      <c r="J394" s="59"/>
      <c r="K394" s="59"/>
      <c r="L394" s="59"/>
      <c r="M394" s="3"/>
      <c r="W394" s="59"/>
      <c r="X394" s="59"/>
      <c r="Y394" s="59"/>
      <c r="Z394" s="59"/>
      <c r="AA394" s="59"/>
      <c r="AB394" s="59"/>
      <c r="AC394" s="59"/>
    </row>
    <row r="395">
      <c r="E395" s="59"/>
      <c r="F395" s="59"/>
      <c r="G395" s="60"/>
      <c r="J395" s="59"/>
      <c r="K395" s="59"/>
      <c r="L395" s="59"/>
      <c r="M395" s="3"/>
      <c r="W395" s="59"/>
      <c r="X395" s="59"/>
      <c r="Y395" s="59"/>
      <c r="Z395" s="59"/>
      <c r="AA395" s="59"/>
      <c r="AB395" s="59"/>
      <c r="AC395" s="59"/>
    </row>
    <row r="396">
      <c r="E396" s="59"/>
      <c r="F396" s="59"/>
      <c r="G396" s="60"/>
      <c r="J396" s="59"/>
      <c r="K396" s="59"/>
      <c r="L396" s="59"/>
      <c r="M396" s="3"/>
      <c r="W396" s="59"/>
      <c r="X396" s="59"/>
      <c r="Y396" s="59"/>
      <c r="Z396" s="59"/>
      <c r="AA396" s="59"/>
      <c r="AB396" s="59"/>
      <c r="AC396" s="59"/>
    </row>
    <row r="397">
      <c r="E397" s="59"/>
      <c r="F397" s="59"/>
      <c r="G397" s="60"/>
      <c r="J397" s="59"/>
      <c r="K397" s="59"/>
      <c r="L397" s="59"/>
      <c r="M397" s="3"/>
      <c r="W397" s="59"/>
      <c r="X397" s="59"/>
      <c r="Y397" s="59"/>
      <c r="Z397" s="59"/>
      <c r="AA397" s="59"/>
      <c r="AB397" s="59"/>
      <c r="AC397" s="59"/>
    </row>
    <row r="398">
      <c r="E398" s="59"/>
      <c r="F398" s="59"/>
      <c r="G398" s="60"/>
      <c r="J398" s="59"/>
      <c r="K398" s="59"/>
      <c r="L398" s="59"/>
      <c r="M398" s="3"/>
      <c r="W398" s="59"/>
      <c r="X398" s="59"/>
      <c r="Y398" s="59"/>
      <c r="Z398" s="59"/>
      <c r="AA398" s="59"/>
      <c r="AB398" s="59"/>
      <c r="AC398" s="59"/>
    </row>
    <row r="399">
      <c r="E399" s="59"/>
      <c r="F399" s="59"/>
      <c r="G399" s="60"/>
      <c r="J399" s="59"/>
      <c r="K399" s="59"/>
      <c r="L399" s="59"/>
      <c r="M399" s="3"/>
      <c r="W399" s="59"/>
      <c r="X399" s="59"/>
      <c r="Y399" s="59"/>
      <c r="Z399" s="59"/>
      <c r="AA399" s="59"/>
      <c r="AB399" s="59"/>
      <c r="AC399" s="59"/>
    </row>
    <row r="400">
      <c r="E400" s="59"/>
      <c r="F400" s="59"/>
      <c r="G400" s="60"/>
      <c r="J400" s="59"/>
      <c r="K400" s="59"/>
      <c r="L400" s="59"/>
      <c r="M400" s="3"/>
      <c r="W400" s="59"/>
      <c r="X400" s="59"/>
      <c r="Y400" s="59"/>
      <c r="Z400" s="59"/>
      <c r="AA400" s="59"/>
      <c r="AB400" s="59"/>
      <c r="AC400" s="59"/>
    </row>
    <row r="401">
      <c r="E401" s="59"/>
      <c r="F401" s="59"/>
      <c r="G401" s="60"/>
      <c r="J401" s="59"/>
      <c r="K401" s="59"/>
      <c r="L401" s="59"/>
      <c r="M401" s="3"/>
      <c r="W401" s="59"/>
      <c r="X401" s="59"/>
      <c r="Y401" s="59"/>
      <c r="Z401" s="59"/>
      <c r="AA401" s="59"/>
      <c r="AB401" s="59"/>
      <c r="AC401" s="59"/>
    </row>
    <row r="402">
      <c r="E402" s="59"/>
      <c r="F402" s="59"/>
      <c r="G402" s="60"/>
      <c r="J402" s="59"/>
      <c r="K402" s="59"/>
      <c r="L402" s="59"/>
      <c r="M402" s="3"/>
      <c r="W402" s="59"/>
      <c r="X402" s="59"/>
      <c r="Y402" s="59"/>
      <c r="Z402" s="59"/>
      <c r="AA402" s="59"/>
      <c r="AB402" s="59"/>
      <c r="AC402" s="59"/>
    </row>
    <row r="403">
      <c r="E403" s="59"/>
      <c r="F403" s="59"/>
      <c r="G403" s="60"/>
      <c r="J403" s="59"/>
      <c r="K403" s="59"/>
      <c r="L403" s="59"/>
      <c r="M403" s="3"/>
      <c r="W403" s="59"/>
      <c r="X403" s="59"/>
      <c r="Y403" s="59"/>
      <c r="Z403" s="59"/>
      <c r="AA403" s="59"/>
      <c r="AB403" s="59"/>
      <c r="AC403" s="59"/>
    </row>
    <row r="404">
      <c r="E404" s="59"/>
      <c r="F404" s="59"/>
      <c r="G404" s="60"/>
      <c r="J404" s="59"/>
      <c r="K404" s="59"/>
      <c r="L404" s="59"/>
      <c r="M404" s="3"/>
      <c r="W404" s="59"/>
      <c r="X404" s="59"/>
      <c r="Y404" s="59"/>
      <c r="Z404" s="59"/>
      <c r="AA404" s="59"/>
      <c r="AB404" s="59"/>
      <c r="AC404" s="59"/>
    </row>
    <row r="405">
      <c r="E405" s="59"/>
      <c r="F405" s="59"/>
      <c r="G405" s="60"/>
      <c r="J405" s="59"/>
      <c r="K405" s="59"/>
      <c r="L405" s="59"/>
      <c r="M405" s="3"/>
      <c r="W405" s="59"/>
      <c r="X405" s="59"/>
      <c r="Y405" s="59"/>
      <c r="Z405" s="59"/>
      <c r="AA405" s="59"/>
      <c r="AB405" s="59"/>
      <c r="AC405" s="59"/>
    </row>
    <row r="406">
      <c r="E406" s="59"/>
      <c r="F406" s="59"/>
      <c r="G406" s="60"/>
      <c r="J406" s="59"/>
      <c r="K406" s="59"/>
      <c r="L406" s="59"/>
      <c r="M406" s="3"/>
      <c r="W406" s="59"/>
      <c r="X406" s="59"/>
      <c r="Y406" s="59"/>
      <c r="Z406" s="59"/>
      <c r="AA406" s="59"/>
      <c r="AB406" s="59"/>
      <c r="AC406" s="59"/>
    </row>
    <row r="407">
      <c r="E407" s="59"/>
      <c r="F407" s="59"/>
      <c r="G407" s="60"/>
      <c r="J407" s="59"/>
      <c r="K407" s="59"/>
      <c r="L407" s="59"/>
      <c r="M407" s="3"/>
      <c r="W407" s="59"/>
      <c r="X407" s="59"/>
      <c r="Y407" s="59"/>
      <c r="Z407" s="59"/>
      <c r="AA407" s="59"/>
      <c r="AB407" s="59"/>
      <c r="AC407" s="59"/>
    </row>
    <row r="408">
      <c r="E408" s="59"/>
      <c r="F408" s="59"/>
      <c r="G408" s="60"/>
      <c r="J408" s="59"/>
      <c r="K408" s="59"/>
      <c r="L408" s="59"/>
      <c r="M408" s="3"/>
      <c r="W408" s="59"/>
      <c r="X408" s="59"/>
      <c r="Y408" s="59"/>
      <c r="Z408" s="59"/>
      <c r="AA408" s="59"/>
      <c r="AB408" s="59"/>
      <c r="AC408" s="59"/>
    </row>
    <row r="409">
      <c r="E409" s="59"/>
      <c r="F409" s="59"/>
      <c r="G409" s="60"/>
      <c r="J409" s="59"/>
      <c r="K409" s="59"/>
      <c r="L409" s="59"/>
      <c r="M409" s="3"/>
      <c r="W409" s="59"/>
      <c r="X409" s="59"/>
      <c r="Y409" s="59"/>
      <c r="Z409" s="59"/>
      <c r="AA409" s="59"/>
      <c r="AB409" s="59"/>
      <c r="AC409" s="59"/>
    </row>
    <row r="410">
      <c r="E410" s="59"/>
      <c r="F410" s="59"/>
      <c r="G410" s="60"/>
      <c r="J410" s="59"/>
      <c r="K410" s="59"/>
      <c r="L410" s="59"/>
      <c r="M410" s="3"/>
      <c r="W410" s="59"/>
      <c r="X410" s="59"/>
      <c r="Y410" s="59"/>
      <c r="Z410" s="59"/>
      <c r="AA410" s="59"/>
      <c r="AB410" s="59"/>
      <c r="AC410" s="59"/>
    </row>
    <row r="411">
      <c r="E411" s="59"/>
      <c r="F411" s="59"/>
      <c r="G411" s="60"/>
      <c r="J411" s="59"/>
      <c r="K411" s="59"/>
      <c r="L411" s="59"/>
      <c r="M411" s="3"/>
      <c r="W411" s="59"/>
      <c r="X411" s="59"/>
      <c r="Y411" s="59"/>
      <c r="Z411" s="59"/>
      <c r="AA411" s="59"/>
      <c r="AB411" s="59"/>
      <c r="AC411" s="59"/>
    </row>
    <row r="412">
      <c r="E412" s="59"/>
      <c r="F412" s="59"/>
      <c r="G412" s="60"/>
      <c r="J412" s="59"/>
      <c r="K412" s="59"/>
      <c r="L412" s="59"/>
      <c r="M412" s="3"/>
      <c r="W412" s="59"/>
      <c r="X412" s="59"/>
      <c r="Y412" s="59"/>
      <c r="Z412" s="59"/>
      <c r="AA412" s="59"/>
      <c r="AB412" s="59"/>
      <c r="AC412" s="59"/>
    </row>
    <row r="413">
      <c r="E413" s="59"/>
      <c r="F413" s="59"/>
      <c r="G413" s="60"/>
      <c r="J413" s="59"/>
      <c r="K413" s="59"/>
      <c r="L413" s="59"/>
      <c r="M413" s="3"/>
      <c r="W413" s="59"/>
      <c r="X413" s="59"/>
      <c r="Y413" s="59"/>
      <c r="Z413" s="59"/>
      <c r="AA413" s="59"/>
      <c r="AB413" s="59"/>
      <c r="AC413" s="59"/>
    </row>
    <row r="414">
      <c r="E414" s="59"/>
      <c r="F414" s="59"/>
      <c r="G414" s="60"/>
      <c r="J414" s="59"/>
      <c r="K414" s="59"/>
      <c r="L414" s="59"/>
      <c r="M414" s="3"/>
      <c r="W414" s="59"/>
      <c r="X414" s="59"/>
      <c r="Y414" s="59"/>
      <c r="Z414" s="59"/>
      <c r="AA414" s="59"/>
      <c r="AB414" s="59"/>
      <c r="AC414" s="59"/>
    </row>
    <row r="415">
      <c r="E415" s="59"/>
      <c r="F415" s="59"/>
      <c r="G415" s="60"/>
      <c r="J415" s="59"/>
      <c r="K415" s="59"/>
      <c r="L415" s="59"/>
      <c r="M415" s="3"/>
      <c r="W415" s="59"/>
      <c r="X415" s="59"/>
      <c r="Y415" s="59"/>
      <c r="Z415" s="59"/>
      <c r="AA415" s="59"/>
      <c r="AB415" s="59"/>
      <c r="AC415" s="59"/>
    </row>
    <row r="416">
      <c r="E416" s="59"/>
      <c r="F416" s="59"/>
      <c r="G416" s="60"/>
      <c r="J416" s="59"/>
      <c r="K416" s="59"/>
      <c r="L416" s="59"/>
      <c r="M416" s="3"/>
      <c r="W416" s="59"/>
      <c r="X416" s="59"/>
      <c r="Y416" s="59"/>
      <c r="Z416" s="59"/>
      <c r="AA416" s="59"/>
      <c r="AB416" s="59"/>
      <c r="AC416" s="59"/>
    </row>
    <row r="417">
      <c r="E417" s="59"/>
      <c r="F417" s="59"/>
      <c r="G417" s="60"/>
      <c r="J417" s="59"/>
      <c r="K417" s="59"/>
      <c r="L417" s="59"/>
      <c r="M417" s="3"/>
      <c r="W417" s="59"/>
      <c r="X417" s="59"/>
      <c r="Y417" s="59"/>
      <c r="Z417" s="59"/>
      <c r="AA417" s="59"/>
      <c r="AB417" s="59"/>
      <c r="AC417" s="59"/>
    </row>
    <row r="418">
      <c r="E418" s="59"/>
      <c r="F418" s="59"/>
      <c r="G418" s="60"/>
      <c r="J418" s="59"/>
      <c r="K418" s="59"/>
      <c r="L418" s="59"/>
      <c r="M418" s="3"/>
      <c r="W418" s="59"/>
      <c r="X418" s="59"/>
      <c r="Y418" s="59"/>
      <c r="Z418" s="59"/>
      <c r="AA418" s="59"/>
      <c r="AB418" s="59"/>
      <c r="AC418" s="59"/>
    </row>
    <row r="419">
      <c r="E419" s="59"/>
      <c r="F419" s="59"/>
      <c r="G419" s="60"/>
      <c r="J419" s="59"/>
      <c r="K419" s="59"/>
      <c r="L419" s="59"/>
      <c r="M419" s="3"/>
      <c r="W419" s="59"/>
      <c r="X419" s="59"/>
      <c r="Y419" s="59"/>
      <c r="Z419" s="59"/>
      <c r="AA419" s="59"/>
      <c r="AB419" s="59"/>
      <c r="AC419" s="59"/>
    </row>
    <row r="420">
      <c r="E420" s="59"/>
      <c r="F420" s="59"/>
      <c r="G420" s="60"/>
      <c r="J420" s="59"/>
      <c r="K420" s="59"/>
      <c r="L420" s="59"/>
      <c r="M420" s="3"/>
      <c r="W420" s="59"/>
      <c r="X420" s="59"/>
      <c r="Y420" s="59"/>
      <c r="Z420" s="59"/>
      <c r="AA420" s="59"/>
      <c r="AB420" s="59"/>
      <c r="AC420" s="59"/>
    </row>
    <row r="421">
      <c r="E421" s="59"/>
      <c r="F421" s="59"/>
      <c r="G421" s="60"/>
      <c r="J421" s="59"/>
      <c r="K421" s="59"/>
      <c r="L421" s="59"/>
      <c r="M421" s="3"/>
      <c r="W421" s="59"/>
      <c r="X421" s="59"/>
      <c r="Y421" s="59"/>
      <c r="Z421" s="59"/>
      <c r="AA421" s="59"/>
      <c r="AB421" s="59"/>
      <c r="AC421" s="59"/>
    </row>
    <row r="422">
      <c r="E422" s="59"/>
      <c r="F422" s="59"/>
      <c r="G422" s="60"/>
      <c r="J422" s="59"/>
      <c r="K422" s="59"/>
      <c r="L422" s="59"/>
      <c r="M422" s="3"/>
      <c r="W422" s="59"/>
      <c r="X422" s="59"/>
      <c r="Y422" s="59"/>
      <c r="Z422" s="59"/>
      <c r="AA422" s="59"/>
      <c r="AB422" s="59"/>
      <c r="AC422" s="59"/>
    </row>
    <row r="423">
      <c r="E423" s="59"/>
      <c r="F423" s="59"/>
      <c r="G423" s="60"/>
      <c r="J423" s="59"/>
      <c r="K423" s="59"/>
      <c r="L423" s="59"/>
      <c r="M423" s="3"/>
      <c r="W423" s="59"/>
      <c r="X423" s="59"/>
      <c r="Y423" s="59"/>
      <c r="Z423" s="59"/>
      <c r="AA423" s="59"/>
      <c r="AB423" s="59"/>
      <c r="AC423" s="59"/>
    </row>
    <row r="424">
      <c r="E424" s="59"/>
      <c r="F424" s="59"/>
      <c r="G424" s="60"/>
      <c r="J424" s="59"/>
      <c r="K424" s="59"/>
      <c r="L424" s="59"/>
      <c r="M424" s="3"/>
      <c r="W424" s="59"/>
      <c r="X424" s="59"/>
      <c r="Y424" s="59"/>
      <c r="Z424" s="59"/>
      <c r="AA424" s="59"/>
      <c r="AB424" s="59"/>
      <c r="AC424" s="59"/>
    </row>
    <row r="425">
      <c r="E425" s="59"/>
      <c r="F425" s="59"/>
      <c r="G425" s="60"/>
      <c r="J425" s="59"/>
      <c r="K425" s="59"/>
      <c r="L425" s="59"/>
      <c r="M425" s="3"/>
      <c r="W425" s="59"/>
      <c r="X425" s="59"/>
      <c r="Y425" s="59"/>
      <c r="Z425" s="59"/>
      <c r="AA425" s="59"/>
      <c r="AB425" s="59"/>
      <c r="AC425" s="59"/>
    </row>
    <row r="426">
      <c r="E426" s="59"/>
      <c r="F426" s="59"/>
      <c r="G426" s="60"/>
      <c r="J426" s="59"/>
      <c r="K426" s="59"/>
      <c r="L426" s="59"/>
      <c r="M426" s="3"/>
      <c r="W426" s="59"/>
      <c r="X426" s="59"/>
      <c r="Y426" s="59"/>
      <c r="Z426" s="59"/>
      <c r="AA426" s="59"/>
      <c r="AB426" s="59"/>
      <c r="AC426" s="59"/>
    </row>
    <row r="427">
      <c r="E427" s="59"/>
      <c r="F427" s="59"/>
      <c r="G427" s="60"/>
      <c r="J427" s="59"/>
      <c r="K427" s="59"/>
      <c r="L427" s="59"/>
      <c r="M427" s="3"/>
      <c r="W427" s="59"/>
      <c r="X427" s="59"/>
      <c r="Y427" s="59"/>
      <c r="Z427" s="59"/>
      <c r="AA427" s="59"/>
      <c r="AB427" s="59"/>
      <c r="AC427" s="59"/>
    </row>
    <row r="428">
      <c r="E428" s="59"/>
      <c r="F428" s="59"/>
      <c r="G428" s="60"/>
      <c r="J428" s="59"/>
      <c r="K428" s="59"/>
      <c r="L428" s="59"/>
      <c r="M428" s="3"/>
      <c r="W428" s="59"/>
      <c r="X428" s="59"/>
      <c r="Y428" s="59"/>
      <c r="Z428" s="59"/>
      <c r="AA428" s="59"/>
      <c r="AB428" s="59"/>
      <c r="AC428" s="59"/>
    </row>
    <row r="429">
      <c r="E429" s="59"/>
      <c r="F429" s="59"/>
      <c r="G429" s="60"/>
      <c r="J429" s="59"/>
      <c r="K429" s="59"/>
      <c r="L429" s="59"/>
      <c r="M429" s="3"/>
      <c r="W429" s="59"/>
      <c r="X429" s="59"/>
      <c r="Y429" s="59"/>
      <c r="Z429" s="59"/>
      <c r="AA429" s="59"/>
      <c r="AB429" s="59"/>
      <c r="AC429" s="59"/>
    </row>
    <row r="430">
      <c r="E430" s="59"/>
      <c r="F430" s="59"/>
      <c r="G430" s="60"/>
      <c r="J430" s="59"/>
      <c r="K430" s="59"/>
      <c r="L430" s="59"/>
      <c r="M430" s="3"/>
      <c r="W430" s="59"/>
      <c r="X430" s="59"/>
      <c r="Y430" s="59"/>
      <c r="Z430" s="59"/>
      <c r="AA430" s="59"/>
      <c r="AB430" s="59"/>
      <c r="AC430" s="59"/>
    </row>
    <row r="431">
      <c r="E431" s="59"/>
      <c r="F431" s="59"/>
      <c r="G431" s="60"/>
      <c r="J431" s="59"/>
      <c r="K431" s="59"/>
      <c r="L431" s="59"/>
      <c r="M431" s="3"/>
      <c r="W431" s="59"/>
      <c r="X431" s="59"/>
      <c r="Y431" s="59"/>
      <c r="Z431" s="59"/>
      <c r="AA431" s="59"/>
      <c r="AB431" s="59"/>
      <c r="AC431" s="59"/>
    </row>
    <row r="432">
      <c r="E432" s="59"/>
      <c r="F432" s="59"/>
      <c r="G432" s="60"/>
      <c r="J432" s="59"/>
      <c r="K432" s="59"/>
      <c r="L432" s="59"/>
      <c r="M432" s="3"/>
      <c r="W432" s="59"/>
      <c r="X432" s="59"/>
      <c r="Y432" s="59"/>
      <c r="Z432" s="59"/>
      <c r="AA432" s="59"/>
      <c r="AB432" s="59"/>
      <c r="AC432" s="59"/>
    </row>
    <row r="433">
      <c r="E433" s="59"/>
      <c r="F433" s="59"/>
      <c r="G433" s="60"/>
      <c r="J433" s="59"/>
      <c r="K433" s="59"/>
      <c r="L433" s="59"/>
      <c r="M433" s="3"/>
      <c r="W433" s="59"/>
      <c r="X433" s="59"/>
      <c r="Y433" s="59"/>
      <c r="Z433" s="59"/>
      <c r="AA433" s="59"/>
      <c r="AB433" s="59"/>
      <c r="AC433" s="59"/>
    </row>
    <row r="434">
      <c r="E434" s="59"/>
      <c r="F434" s="59"/>
      <c r="G434" s="60"/>
      <c r="J434" s="59"/>
      <c r="K434" s="59"/>
      <c r="L434" s="59"/>
      <c r="M434" s="3"/>
      <c r="W434" s="59"/>
      <c r="X434" s="59"/>
      <c r="Y434" s="59"/>
      <c r="Z434" s="59"/>
      <c r="AA434" s="59"/>
      <c r="AB434" s="59"/>
      <c r="AC434" s="59"/>
    </row>
    <row r="435">
      <c r="E435" s="59"/>
      <c r="F435" s="59"/>
      <c r="G435" s="60"/>
      <c r="J435" s="59"/>
      <c r="K435" s="59"/>
      <c r="L435" s="59"/>
      <c r="M435" s="3"/>
      <c r="W435" s="59"/>
      <c r="X435" s="59"/>
      <c r="Y435" s="59"/>
      <c r="Z435" s="59"/>
      <c r="AA435" s="59"/>
      <c r="AB435" s="59"/>
      <c r="AC435" s="59"/>
    </row>
    <row r="436">
      <c r="E436" s="59"/>
      <c r="F436" s="59"/>
      <c r="G436" s="60"/>
      <c r="J436" s="59"/>
      <c r="K436" s="59"/>
      <c r="L436" s="59"/>
      <c r="M436" s="3"/>
      <c r="W436" s="59"/>
      <c r="X436" s="59"/>
      <c r="Y436" s="59"/>
      <c r="Z436" s="59"/>
      <c r="AA436" s="59"/>
      <c r="AB436" s="59"/>
      <c r="AC436" s="59"/>
    </row>
    <row r="437">
      <c r="E437" s="59"/>
      <c r="F437" s="59"/>
      <c r="G437" s="60"/>
      <c r="J437" s="59"/>
      <c r="K437" s="59"/>
      <c r="L437" s="59"/>
      <c r="M437" s="3"/>
      <c r="W437" s="59"/>
      <c r="X437" s="59"/>
      <c r="Y437" s="59"/>
      <c r="Z437" s="59"/>
      <c r="AA437" s="59"/>
      <c r="AB437" s="59"/>
      <c r="AC437" s="59"/>
    </row>
    <row r="438">
      <c r="E438" s="59"/>
      <c r="F438" s="59"/>
      <c r="G438" s="60"/>
      <c r="J438" s="59"/>
      <c r="K438" s="59"/>
      <c r="L438" s="59"/>
      <c r="M438" s="3"/>
      <c r="W438" s="59"/>
      <c r="X438" s="59"/>
      <c r="Y438" s="59"/>
      <c r="Z438" s="59"/>
      <c r="AA438" s="59"/>
      <c r="AB438" s="59"/>
      <c r="AC438" s="59"/>
    </row>
    <row r="439">
      <c r="E439" s="59"/>
      <c r="F439" s="59"/>
      <c r="G439" s="60"/>
      <c r="J439" s="59"/>
      <c r="K439" s="59"/>
      <c r="L439" s="59"/>
      <c r="M439" s="3"/>
      <c r="W439" s="59"/>
      <c r="X439" s="59"/>
      <c r="Y439" s="59"/>
      <c r="Z439" s="59"/>
      <c r="AA439" s="59"/>
      <c r="AB439" s="59"/>
      <c r="AC439" s="59"/>
    </row>
    <row r="440">
      <c r="E440" s="59"/>
      <c r="F440" s="59"/>
      <c r="G440" s="60"/>
      <c r="J440" s="59"/>
      <c r="K440" s="59"/>
      <c r="L440" s="59"/>
      <c r="M440" s="3"/>
      <c r="W440" s="59"/>
      <c r="X440" s="59"/>
      <c r="Y440" s="59"/>
      <c r="Z440" s="59"/>
      <c r="AA440" s="59"/>
      <c r="AB440" s="59"/>
      <c r="AC440" s="59"/>
    </row>
    <row r="441">
      <c r="E441" s="59"/>
      <c r="F441" s="59"/>
      <c r="G441" s="60"/>
      <c r="J441" s="59"/>
      <c r="K441" s="59"/>
      <c r="L441" s="59"/>
      <c r="M441" s="3"/>
      <c r="W441" s="59"/>
      <c r="X441" s="59"/>
      <c r="Y441" s="59"/>
      <c r="Z441" s="59"/>
      <c r="AA441" s="59"/>
      <c r="AB441" s="59"/>
      <c r="AC441" s="59"/>
    </row>
    <row r="442">
      <c r="E442" s="59"/>
      <c r="F442" s="59"/>
      <c r="G442" s="60"/>
      <c r="J442" s="59"/>
      <c r="K442" s="59"/>
      <c r="L442" s="59"/>
      <c r="M442" s="3"/>
      <c r="W442" s="59"/>
      <c r="X442" s="59"/>
      <c r="Y442" s="59"/>
      <c r="Z442" s="59"/>
      <c r="AA442" s="59"/>
      <c r="AB442" s="59"/>
      <c r="AC442" s="59"/>
    </row>
    <row r="443">
      <c r="E443" s="59"/>
      <c r="F443" s="59"/>
      <c r="G443" s="60"/>
      <c r="J443" s="59"/>
      <c r="K443" s="59"/>
      <c r="L443" s="59"/>
      <c r="M443" s="3"/>
      <c r="W443" s="59"/>
      <c r="X443" s="59"/>
      <c r="Y443" s="59"/>
      <c r="Z443" s="59"/>
      <c r="AA443" s="59"/>
      <c r="AB443" s="59"/>
      <c r="AC443" s="59"/>
    </row>
    <row r="444">
      <c r="E444" s="59"/>
      <c r="F444" s="59"/>
      <c r="G444" s="60"/>
      <c r="J444" s="59"/>
      <c r="K444" s="59"/>
      <c r="L444" s="59"/>
      <c r="M444" s="3"/>
      <c r="W444" s="59"/>
      <c r="X444" s="59"/>
      <c r="Y444" s="59"/>
      <c r="Z444" s="59"/>
      <c r="AA444" s="59"/>
      <c r="AB444" s="59"/>
      <c r="AC444" s="59"/>
    </row>
    <row r="445">
      <c r="E445" s="59"/>
      <c r="F445" s="59"/>
      <c r="G445" s="60"/>
      <c r="J445" s="59"/>
      <c r="K445" s="59"/>
      <c r="L445" s="59"/>
      <c r="M445" s="3"/>
      <c r="W445" s="59"/>
      <c r="X445" s="59"/>
      <c r="Y445" s="59"/>
      <c r="Z445" s="59"/>
      <c r="AA445" s="59"/>
      <c r="AB445" s="59"/>
      <c r="AC445" s="59"/>
    </row>
    <row r="446">
      <c r="E446" s="59"/>
      <c r="F446" s="59"/>
      <c r="G446" s="60"/>
      <c r="J446" s="59"/>
      <c r="K446" s="59"/>
      <c r="L446" s="59"/>
      <c r="M446" s="3"/>
      <c r="W446" s="59"/>
      <c r="X446" s="59"/>
      <c r="Y446" s="59"/>
      <c r="Z446" s="59"/>
      <c r="AA446" s="59"/>
      <c r="AB446" s="59"/>
      <c r="AC446" s="59"/>
    </row>
    <row r="447">
      <c r="E447" s="59"/>
      <c r="F447" s="59"/>
      <c r="G447" s="60"/>
      <c r="J447" s="59"/>
      <c r="K447" s="59"/>
      <c r="L447" s="59"/>
      <c r="M447" s="3"/>
      <c r="W447" s="59"/>
      <c r="X447" s="59"/>
      <c r="Y447" s="59"/>
      <c r="Z447" s="59"/>
      <c r="AA447" s="59"/>
      <c r="AB447" s="59"/>
      <c r="AC447" s="59"/>
    </row>
    <row r="448">
      <c r="E448" s="59"/>
      <c r="F448" s="59"/>
      <c r="G448" s="60"/>
      <c r="J448" s="59"/>
      <c r="K448" s="59"/>
      <c r="L448" s="59"/>
      <c r="M448" s="3"/>
      <c r="W448" s="59"/>
      <c r="X448" s="59"/>
      <c r="Y448" s="59"/>
      <c r="Z448" s="59"/>
      <c r="AA448" s="59"/>
      <c r="AB448" s="59"/>
      <c r="AC448" s="59"/>
    </row>
    <row r="449">
      <c r="E449" s="59"/>
      <c r="F449" s="59"/>
      <c r="G449" s="60"/>
      <c r="J449" s="59"/>
      <c r="K449" s="59"/>
      <c r="L449" s="59"/>
      <c r="M449" s="3"/>
      <c r="W449" s="59"/>
      <c r="X449" s="59"/>
      <c r="Y449" s="59"/>
      <c r="Z449" s="59"/>
      <c r="AA449" s="59"/>
      <c r="AB449" s="59"/>
      <c r="AC449" s="59"/>
    </row>
    <row r="450">
      <c r="E450" s="59"/>
      <c r="F450" s="59"/>
      <c r="G450" s="60"/>
      <c r="J450" s="59"/>
      <c r="K450" s="59"/>
      <c r="L450" s="59"/>
      <c r="M450" s="3"/>
      <c r="W450" s="59"/>
      <c r="X450" s="59"/>
      <c r="Y450" s="59"/>
      <c r="Z450" s="59"/>
      <c r="AA450" s="59"/>
      <c r="AB450" s="59"/>
      <c r="AC450" s="59"/>
    </row>
    <row r="451">
      <c r="E451" s="59"/>
      <c r="F451" s="59"/>
      <c r="G451" s="60"/>
      <c r="J451" s="59"/>
      <c r="K451" s="59"/>
      <c r="L451" s="59"/>
      <c r="M451" s="3"/>
      <c r="W451" s="59"/>
      <c r="X451" s="59"/>
      <c r="Y451" s="59"/>
      <c r="Z451" s="59"/>
      <c r="AA451" s="59"/>
      <c r="AB451" s="59"/>
      <c r="AC451" s="59"/>
    </row>
    <row r="452">
      <c r="E452" s="59"/>
      <c r="F452" s="59"/>
      <c r="G452" s="60"/>
      <c r="J452" s="59"/>
      <c r="K452" s="59"/>
      <c r="L452" s="59"/>
      <c r="M452" s="3"/>
      <c r="W452" s="59"/>
      <c r="X452" s="59"/>
      <c r="Y452" s="59"/>
      <c r="Z452" s="59"/>
      <c r="AA452" s="59"/>
      <c r="AB452" s="59"/>
      <c r="AC452" s="59"/>
    </row>
    <row r="453">
      <c r="E453" s="59"/>
      <c r="F453" s="59"/>
      <c r="G453" s="60"/>
      <c r="J453" s="59"/>
      <c r="K453" s="59"/>
      <c r="L453" s="59"/>
      <c r="M453" s="3"/>
      <c r="W453" s="59"/>
      <c r="X453" s="59"/>
      <c r="Y453" s="59"/>
      <c r="Z453" s="59"/>
      <c r="AA453" s="59"/>
      <c r="AB453" s="59"/>
      <c r="AC453" s="59"/>
    </row>
    <row r="454">
      <c r="E454" s="59"/>
      <c r="F454" s="59"/>
      <c r="G454" s="60"/>
      <c r="J454" s="59"/>
      <c r="K454" s="59"/>
      <c r="L454" s="59"/>
      <c r="M454" s="3"/>
      <c r="W454" s="59"/>
      <c r="X454" s="59"/>
      <c r="Y454" s="59"/>
      <c r="Z454" s="59"/>
      <c r="AA454" s="59"/>
      <c r="AB454" s="59"/>
      <c r="AC454" s="59"/>
    </row>
    <row r="455">
      <c r="E455" s="59"/>
      <c r="F455" s="59"/>
      <c r="G455" s="60"/>
      <c r="J455" s="59"/>
      <c r="K455" s="59"/>
      <c r="L455" s="59"/>
      <c r="M455" s="3"/>
      <c r="W455" s="59"/>
      <c r="X455" s="59"/>
      <c r="Y455" s="59"/>
      <c r="Z455" s="59"/>
      <c r="AA455" s="59"/>
      <c r="AB455" s="59"/>
      <c r="AC455" s="59"/>
    </row>
    <row r="456">
      <c r="E456" s="59"/>
      <c r="F456" s="59"/>
      <c r="G456" s="60"/>
      <c r="J456" s="59"/>
      <c r="K456" s="59"/>
      <c r="L456" s="59"/>
      <c r="M456" s="3"/>
      <c r="W456" s="59"/>
      <c r="X456" s="59"/>
      <c r="Y456" s="59"/>
      <c r="Z456" s="59"/>
      <c r="AA456" s="59"/>
      <c r="AB456" s="59"/>
      <c r="AC456" s="59"/>
    </row>
    <row r="457">
      <c r="E457" s="59"/>
      <c r="F457" s="59"/>
      <c r="G457" s="60"/>
      <c r="J457" s="59"/>
      <c r="K457" s="59"/>
      <c r="L457" s="59"/>
      <c r="M457" s="3"/>
      <c r="W457" s="59"/>
      <c r="X457" s="59"/>
      <c r="Y457" s="59"/>
      <c r="Z457" s="59"/>
      <c r="AA457" s="59"/>
      <c r="AB457" s="59"/>
      <c r="AC457" s="59"/>
    </row>
    <row r="458">
      <c r="E458" s="59"/>
      <c r="F458" s="59"/>
      <c r="G458" s="60"/>
      <c r="J458" s="59"/>
      <c r="K458" s="59"/>
      <c r="L458" s="59"/>
      <c r="M458" s="3"/>
      <c r="W458" s="59"/>
      <c r="X458" s="59"/>
      <c r="Y458" s="59"/>
      <c r="Z458" s="59"/>
      <c r="AA458" s="59"/>
      <c r="AB458" s="59"/>
      <c r="AC458" s="59"/>
    </row>
    <row r="459">
      <c r="E459" s="59"/>
      <c r="F459" s="59"/>
      <c r="G459" s="60"/>
      <c r="J459" s="59"/>
      <c r="K459" s="59"/>
      <c r="L459" s="59"/>
      <c r="M459" s="3"/>
      <c r="W459" s="59"/>
      <c r="X459" s="59"/>
      <c r="Y459" s="59"/>
      <c r="Z459" s="59"/>
      <c r="AA459" s="59"/>
      <c r="AB459" s="59"/>
      <c r="AC459" s="59"/>
    </row>
    <row r="460">
      <c r="E460" s="59"/>
      <c r="F460" s="59"/>
      <c r="G460" s="60"/>
      <c r="J460" s="59"/>
      <c r="K460" s="59"/>
      <c r="L460" s="59"/>
      <c r="M460" s="3"/>
      <c r="W460" s="59"/>
      <c r="X460" s="59"/>
      <c r="Y460" s="59"/>
      <c r="Z460" s="59"/>
      <c r="AA460" s="59"/>
      <c r="AB460" s="59"/>
      <c r="AC460" s="59"/>
    </row>
    <row r="461">
      <c r="E461" s="59"/>
      <c r="F461" s="59"/>
      <c r="G461" s="60"/>
      <c r="J461" s="59"/>
      <c r="K461" s="59"/>
      <c r="L461" s="59"/>
      <c r="M461" s="3"/>
      <c r="W461" s="59"/>
      <c r="X461" s="59"/>
      <c r="Y461" s="59"/>
      <c r="Z461" s="59"/>
      <c r="AA461" s="59"/>
      <c r="AB461" s="59"/>
      <c r="AC461" s="59"/>
    </row>
    <row r="462">
      <c r="E462" s="59"/>
      <c r="F462" s="59"/>
      <c r="G462" s="60"/>
      <c r="J462" s="59"/>
      <c r="K462" s="59"/>
      <c r="L462" s="59"/>
      <c r="M462" s="3"/>
      <c r="W462" s="59"/>
      <c r="X462" s="59"/>
      <c r="Y462" s="59"/>
      <c r="Z462" s="59"/>
      <c r="AA462" s="59"/>
      <c r="AB462" s="59"/>
      <c r="AC462" s="59"/>
    </row>
    <row r="463">
      <c r="E463" s="59"/>
      <c r="F463" s="59"/>
      <c r="G463" s="60"/>
      <c r="J463" s="59"/>
      <c r="K463" s="59"/>
      <c r="L463" s="59"/>
      <c r="M463" s="3"/>
      <c r="W463" s="59"/>
      <c r="X463" s="59"/>
      <c r="Y463" s="59"/>
      <c r="Z463" s="59"/>
      <c r="AA463" s="59"/>
      <c r="AB463" s="59"/>
      <c r="AC463" s="59"/>
    </row>
    <row r="464">
      <c r="E464" s="59"/>
      <c r="F464" s="59"/>
      <c r="G464" s="60"/>
      <c r="J464" s="59"/>
      <c r="K464" s="59"/>
      <c r="L464" s="59"/>
      <c r="M464" s="3"/>
      <c r="W464" s="59"/>
      <c r="X464" s="59"/>
      <c r="Y464" s="59"/>
      <c r="Z464" s="59"/>
      <c r="AA464" s="59"/>
      <c r="AB464" s="59"/>
      <c r="AC464" s="59"/>
    </row>
    <row r="465">
      <c r="E465" s="59"/>
      <c r="F465" s="59"/>
      <c r="G465" s="60"/>
      <c r="J465" s="59"/>
      <c r="K465" s="59"/>
      <c r="L465" s="59"/>
      <c r="M465" s="3"/>
      <c r="W465" s="59"/>
      <c r="X465" s="59"/>
      <c r="Y465" s="59"/>
      <c r="Z465" s="59"/>
      <c r="AA465" s="59"/>
      <c r="AB465" s="59"/>
      <c r="AC465" s="59"/>
    </row>
    <row r="466">
      <c r="E466" s="59"/>
      <c r="F466" s="59"/>
      <c r="G466" s="60"/>
      <c r="J466" s="59"/>
      <c r="K466" s="59"/>
      <c r="L466" s="59"/>
      <c r="M466" s="3"/>
      <c r="W466" s="59"/>
      <c r="X466" s="59"/>
      <c r="Y466" s="59"/>
      <c r="Z466" s="59"/>
      <c r="AA466" s="59"/>
      <c r="AB466" s="59"/>
      <c r="AC466" s="59"/>
    </row>
    <row r="467">
      <c r="E467" s="59"/>
      <c r="F467" s="59"/>
      <c r="G467" s="60"/>
      <c r="J467" s="59"/>
      <c r="K467" s="59"/>
      <c r="L467" s="59"/>
      <c r="M467" s="3"/>
      <c r="W467" s="59"/>
      <c r="X467" s="59"/>
      <c r="Y467" s="59"/>
      <c r="Z467" s="59"/>
      <c r="AA467" s="59"/>
      <c r="AB467" s="59"/>
      <c r="AC467" s="59"/>
    </row>
    <row r="468">
      <c r="E468" s="59"/>
      <c r="F468" s="59"/>
      <c r="G468" s="60"/>
      <c r="J468" s="59"/>
      <c r="K468" s="59"/>
      <c r="L468" s="59"/>
      <c r="M468" s="3"/>
      <c r="W468" s="59"/>
      <c r="X468" s="59"/>
      <c r="Y468" s="59"/>
      <c r="Z468" s="59"/>
      <c r="AA468" s="59"/>
      <c r="AB468" s="59"/>
      <c r="AC468" s="59"/>
    </row>
    <row r="469">
      <c r="E469" s="59"/>
      <c r="F469" s="59"/>
      <c r="G469" s="60"/>
      <c r="J469" s="59"/>
      <c r="K469" s="59"/>
      <c r="L469" s="59"/>
      <c r="M469" s="3"/>
      <c r="W469" s="59"/>
      <c r="X469" s="59"/>
      <c r="Y469" s="59"/>
      <c r="Z469" s="59"/>
      <c r="AA469" s="59"/>
      <c r="AB469" s="59"/>
      <c r="AC469" s="59"/>
    </row>
    <row r="470">
      <c r="E470" s="59"/>
      <c r="F470" s="59"/>
      <c r="G470" s="60"/>
      <c r="J470" s="59"/>
      <c r="K470" s="59"/>
      <c r="L470" s="59"/>
      <c r="M470" s="3"/>
      <c r="W470" s="59"/>
      <c r="X470" s="59"/>
      <c r="Y470" s="59"/>
      <c r="Z470" s="59"/>
      <c r="AA470" s="59"/>
      <c r="AB470" s="59"/>
      <c r="AC470" s="59"/>
    </row>
    <row r="471">
      <c r="E471" s="59"/>
      <c r="F471" s="59"/>
      <c r="G471" s="60"/>
      <c r="J471" s="59"/>
      <c r="K471" s="59"/>
      <c r="L471" s="59"/>
      <c r="M471" s="3"/>
      <c r="W471" s="59"/>
      <c r="X471" s="59"/>
      <c r="Y471" s="59"/>
      <c r="Z471" s="59"/>
      <c r="AA471" s="59"/>
      <c r="AB471" s="59"/>
      <c r="AC471" s="59"/>
    </row>
    <row r="472">
      <c r="E472" s="59"/>
      <c r="F472" s="59"/>
      <c r="G472" s="60"/>
      <c r="J472" s="59"/>
      <c r="K472" s="59"/>
      <c r="L472" s="59"/>
      <c r="M472" s="3"/>
      <c r="W472" s="59"/>
      <c r="X472" s="59"/>
      <c r="Y472" s="59"/>
      <c r="Z472" s="59"/>
      <c r="AA472" s="59"/>
      <c r="AB472" s="59"/>
      <c r="AC472" s="59"/>
    </row>
    <row r="473">
      <c r="E473" s="59"/>
      <c r="F473" s="59"/>
      <c r="G473" s="60"/>
      <c r="J473" s="59"/>
      <c r="K473" s="59"/>
      <c r="L473" s="59"/>
      <c r="M473" s="3"/>
      <c r="W473" s="59"/>
      <c r="X473" s="59"/>
      <c r="Y473" s="59"/>
      <c r="Z473" s="59"/>
      <c r="AA473" s="59"/>
      <c r="AB473" s="59"/>
      <c r="AC473" s="59"/>
    </row>
    <row r="474">
      <c r="E474" s="59"/>
      <c r="F474" s="59"/>
      <c r="G474" s="60"/>
      <c r="J474" s="59"/>
      <c r="K474" s="59"/>
      <c r="L474" s="59"/>
      <c r="M474" s="3"/>
      <c r="W474" s="59"/>
      <c r="X474" s="59"/>
      <c r="Y474" s="59"/>
      <c r="Z474" s="59"/>
      <c r="AA474" s="59"/>
      <c r="AB474" s="59"/>
      <c r="AC474" s="59"/>
    </row>
    <row r="475">
      <c r="E475" s="59"/>
      <c r="F475" s="59"/>
      <c r="G475" s="60"/>
      <c r="J475" s="59"/>
      <c r="K475" s="59"/>
      <c r="L475" s="59"/>
      <c r="M475" s="3"/>
      <c r="W475" s="59"/>
      <c r="X475" s="59"/>
      <c r="Y475" s="59"/>
      <c r="Z475" s="59"/>
      <c r="AA475" s="59"/>
      <c r="AB475" s="59"/>
      <c r="AC475" s="59"/>
    </row>
    <row r="476">
      <c r="E476" s="59"/>
      <c r="F476" s="59"/>
      <c r="G476" s="60"/>
      <c r="J476" s="59"/>
      <c r="K476" s="59"/>
      <c r="L476" s="59"/>
      <c r="M476" s="3"/>
      <c r="W476" s="59"/>
      <c r="X476" s="59"/>
      <c r="Y476" s="59"/>
      <c r="Z476" s="59"/>
      <c r="AA476" s="59"/>
      <c r="AB476" s="59"/>
      <c r="AC476" s="59"/>
    </row>
    <row r="477">
      <c r="E477" s="59"/>
      <c r="F477" s="59"/>
      <c r="G477" s="60"/>
      <c r="J477" s="59"/>
      <c r="K477" s="59"/>
      <c r="L477" s="59"/>
      <c r="M477" s="3"/>
      <c r="W477" s="59"/>
      <c r="X477" s="59"/>
      <c r="Y477" s="59"/>
      <c r="Z477" s="59"/>
      <c r="AA477" s="59"/>
      <c r="AB477" s="59"/>
      <c r="AC477" s="59"/>
    </row>
    <row r="478">
      <c r="E478" s="59"/>
      <c r="F478" s="59"/>
      <c r="G478" s="60"/>
      <c r="J478" s="59"/>
      <c r="K478" s="59"/>
      <c r="L478" s="59"/>
      <c r="M478" s="3"/>
      <c r="W478" s="59"/>
      <c r="X478" s="59"/>
      <c r="Y478" s="59"/>
      <c r="Z478" s="59"/>
      <c r="AA478" s="59"/>
      <c r="AB478" s="59"/>
      <c r="AC478" s="59"/>
    </row>
    <row r="479">
      <c r="E479" s="59"/>
      <c r="F479" s="59"/>
      <c r="G479" s="60"/>
      <c r="J479" s="59"/>
      <c r="K479" s="59"/>
      <c r="L479" s="59"/>
      <c r="M479" s="3"/>
      <c r="W479" s="59"/>
      <c r="X479" s="59"/>
      <c r="Y479" s="59"/>
      <c r="Z479" s="59"/>
      <c r="AA479" s="59"/>
      <c r="AB479" s="59"/>
      <c r="AC479" s="59"/>
    </row>
    <row r="480">
      <c r="E480" s="59"/>
      <c r="F480" s="59"/>
      <c r="G480" s="60"/>
      <c r="J480" s="59"/>
      <c r="K480" s="59"/>
      <c r="L480" s="59"/>
      <c r="M480" s="3"/>
      <c r="W480" s="59"/>
      <c r="X480" s="59"/>
      <c r="Y480" s="59"/>
      <c r="Z480" s="59"/>
      <c r="AA480" s="59"/>
      <c r="AB480" s="59"/>
      <c r="AC480" s="59"/>
    </row>
    <row r="481">
      <c r="E481" s="59"/>
      <c r="F481" s="59"/>
      <c r="G481" s="60"/>
      <c r="J481" s="59"/>
      <c r="K481" s="59"/>
      <c r="L481" s="59"/>
      <c r="M481" s="3"/>
      <c r="W481" s="59"/>
      <c r="X481" s="59"/>
      <c r="Y481" s="59"/>
      <c r="Z481" s="59"/>
      <c r="AA481" s="59"/>
      <c r="AB481" s="59"/>
      <c r="AC481" s="59"/>
    </row>
    <row r="482">
      <c r="E482" s="59"/>
      <c r="F482" s="59"/>
      <c r="G482" s="60"/>
      <c r="J482" s="59"/>
      <c r="K482" s="59"/>
      <c r="L482" s="59"/>
      <c r="M482" s="3"/>
      <c r="W482" s="59"/>
      <c r="X482" s="59"/>
      <c r="Y482" s="59"/>
      <c r="Z482" s="59"/>
      <c r="AA482" s="59"/>
      <c r="AB482" s="59"/>
      <c r="AC482" s="59"/>
    </row>
    <row r="483">
      <c r="E483" s="59"/>
      <c r="F483" s="59"/>
      <c r="G483" s="60"/>
      <c r="J483" s="59"/>
      <c r="K483" s="59"/>
      <c r="L483" s="59"/>
      <c r="M483" s="3"/>
      <c r="W483" s="59"/>
      <c r="X483" s="59"/>
      <c r="Y483" s="59"/>
      <c r="Z483" s="59"/>
      <c r="AA483" s="59"/>
      <c r="AB483" s="59"/>
      <c r="AC483" s="59"/>
    </row>
    <row r="484">
      <c r="E484" s="59"/>
      <c r="F484" s="59"/>
      <c r="G484" s="60"/>
      <c r="J484" s="59"/>
      <c r="K484" s="59"/>
      <c r="L484" s="59"/>
      <c r="M484" s="3"/>
      <c r="W484" s="59"/>
      <c r="X484" s="59"/>
      <c r="Y484" s="59"/>
      <c r="Z484" s="59"/>
      <c r="AA484" s="59"/>
      <c r="AB484" s="59"/>
      <c r="AC484" s="59"/>
    </row>
    <row r="485">
      <c r="E485" s="59"/>
      <c r="F485" s="59"/>
      <c r="G485" s="60"/>
      <c r="J485" s="59"/>
      <c r="K485" s="59"/>
      <c r="L485" s="59"/>
      <c r="M485" s="3"/>
      <c r="W485" s="59"/>
      <c r="X485" s="59"/>
      <c r="Y485" s="59"/>
      <c r="Z485" s="59"/>
      <c r="AA485" s="59"/>
      <c r="AB485" s="59"/>
      <c r="AC485" s="59"/>
    </row>
    <row r="486">
      <c r="E486" s="59"/>
      <c r="F486" s="59"/>
      <c r="G486" s="60"/>
      <c r="J486" s="59"/>
      <c r="K486" s="59"/>
      <c r="L486" s="59"/>
      <c r="M486" s="3"/>
      <c r="W486" s="59"/>
      <c r="X486" s="59"/>
      <c r="Y486" s="59"/>
      <c r="Z486" s="59"/>
      <c r="AA486" s="59"/>
      <c r="AB486" s="59"/>
      <c r="AC486" s="59"/>
    </row>
    <row r="487">
      <c r="E487" s="59"/>
      <c r="F487" s="59"/>
      <c r="G487" s="60"/>
      <c r="J487" s="59"/>
      <c r="K487" s="59"/>
      <c r="L487" s="59"/>
      <c r="M487" s="3"/>
      <c r="W487" s="59"/>
      <c r="X487" s="59"/>
      <c r="Y487" s="59"/>
      <c r="Z487" s="59"/>
      <c r="AA487" s="59"/>
      <c r="AB487" s="59"/>
      <c r="AC487" s="59"/>
    </row>
    <row r="488">
      <c r="E488" s="59"/>
      <c r="F488" s="59"/>
      <c r="G488" s="60"/>
      <c r="J488" s="59"/>
      <c r="K488" s="59"/>
      <c r="L488" s="59"/>
      <c r="M488" s="3"/>
      <c r="W488" s="59"/>
      <c r="X488" s="59"/>
      <c r="Y488" s="59"/>
      <c r="Z488" s="59"/>
      <c r="AA488" s="59"/>
      <c r="AB488" s="59"/>
      <c r="AC488" s="59"/>
    </row>
    <row r="489">
      <c r="E489" s="59"/>
      <c r="F489" s="59"/>
      <c r="G489" s="60"/>
      <c r="J489" s="59"/>
      <c r="K489" s="59"/>
      <c r="L489" s="59"/>
      <c r="M489" s="3"/>
      <c r="W489" s="59"/>
      <c r="X489" s="59"/>
      <c r="Y489" s="59"/>
      <c r="Z489" s="59"/>
      <c r="AA489" s="59"/>
      <c r="AB489" s="59"/>
      <c r="AC489" s="59"/>
    </row>
    <row r="490">
      <c r="E490" s="59"/>
      <c r="F490" s="59"/>
      <c r="G490" s="60"/>
      <c r="J490" s="59"/>
      <c r="K490" s="59"/>
      <c r="L490" s="59"/>
      <c r="M490" s="3"/>
      <c r="W490" s="59"/>
      <c r="X490" s="59"/>
      <c r="Y490" s="59"/>
      <c r="Z490" s="59"/>
      <c r="AA490" s="59"/>
      <c r="AB490" s="59"/>
      <c r="AC490" s="59"/>
    </row>
    <row r="491">
      <c r="E491" s="59"/>
      <c r="F491" s="59"/>
      <c r="G491" s="60"/>
      <c r="J491" s="59"/>
      <c r="K491" s="59"/>
      <c r="L491" s="59"/>
      <c r="M491" s="3"/>
      <c r="W491" s="59"/>
      <c r="X491" s="59"/>
      <c r="Y491" s="59"/>
      <c r="Z491" s="59"/>
      <c r="AA491" s="59"/>
      <c r="AB491" s="59"/>
      <c r="AC491" s="59"/>
    </row>
    <row r="492">
      <c r="E492" s="59"/>
      <c r="F492" s="59"/>
      <c r="G492" s="60"/>
      <c r="J492" s="59"/>
      <c r="K492" s="59"/>
      <c r="L492" s="59"/>
      <c r="M492" s="3"/>
      <c r="W492" s="59"/>
      <c r="X492" s="59"/>
      <c r="Y492" s="59"/>
      <c r="Z492" s="59"/>
      <c r="AA492" s="59"/>
      <c r="AB492" s="59"/>
      <c r="AC492" s="59"/>
    </row>
    <row r="493">
      <c r="E493" s="59"/>
      <c r="F493" s="59"/>
      <c r="G493" s="60"/>
      <c r="J493" s="59"/>
      <c r="K493" s="59"/>
      <c r="L493" s="59"/>
      <c r="M493" s="3"/>
      <c r="W493" s="59"/>
      <c r="X493" s="59"/>
      <c r="Y493" s="59"/>
      <c r="Z493" s="59"/>
      <c r="AA493" s="59"/>
      <c r="AB493" s="59"/>
      <c r="AC493" s="59"/>
    </row>
    <row r="494">
      <c r="E494" s="59"/>
      <c r="F494" s="59"/>
      <c r="G494" s="60"/>
      <c r="J494" s="59"/>
      <c r="K494" s="59"/>
      <c r="L494" s="59"/>
      <c r="M494" s="3"/>
      <c r="W494" s="59"/>
      <c r="X494" s="59"/>
      <c r="Y494" s="59"/>
      <c r="Z494" s="59"/>
      <c r="AA494" s="59"/>
      <c r="AB494" s="59"/>
      <c r="AC494" s="59"/>
    </row>
    <row r="495">
      <c r="E495" s="59"/>
      <c r="F495" s="59"/>
      <c r="G495" s="60"/>
      <c r="J495" s="59"/>
      <c r="K495" s="59"/>
      <c r="L495" s="59"/>
      <c r="M495" s="3"/>
      <c r="W495" s="59"/>
      <c r="X495" s="59"/>
      <c r="Y495" s="59"/>
      <c r="Z495" s="59"/>
      <c r="AA495" s="59"/>
      <c r="AB495" s="59"/>
      <c r="AC495" s="59"/>
    </row>
    <row r="496">
      <c r="E496" s="59"/>
      <c r="F496" s="59"/>
      <c r="G496" s="60"/>
      <c r="J496" s="59"/>
      <c r="K496" s="59"/>
      <c r="L496" s="59"/>
      <c r="M496" s="3"/>
      <c r="W496" s="59"/>
      <c r="X496" s="59"/>
      <c r="Y496" s="59"/>
      <c r="Z496" s="59"/>
      <c r="AA496" s="59"/>
      <c r="AB496" s="59"/>
      <c r="AC496" s="59"/>
    </row>
    <row r="497">
      <c r="E497" s="59"/>
      <c r="F497" s="59"/>
      <c r="G497" s="60"/>
      <c r="J497" s="59"/>
      <c r="K497" s="59"/>
      <c r="L497" s="59"/>
      <c r="M497" s="3"/>
      <c r="W497" s="59"/>
      <c r="X497" s="59"/>
      <c r="Y497" s="59"/>
      <c r="Z497" s="59"/>
      <c r="AA497" s="59"/>
      <c r="AB497" s="59"/>
      <c r="AC497" s="59"/>
    </row>
    <row r="498">
      <c r="E498" s="59"/>
      <c r="F498" s="59"/>
      <c r="G498" s="60"/>
      <c r="J498" s="59"/>
      <c r="K498" s="59"/>
      <c r="L498" s="59"/>
      <c r="M498" s="3"/>
      <c r="W498" s="59"/>
      <c r="X498" s="59"/>
      <c r="Y498" s="59"/>
      <c r="Z498" s="59"/>
      <c r="AA498" s="59"/>
      <c r="AB498" s="59"/>
      <c r="AC498" s="59"/>
    </row>
    <row r="499">
      <c r="E499" s="59"/>
      <c r="F499" s="59"/>
      <c r="G499" s="60"/>
      <c r="J499" s="59"/>
      <c r="K499" s="59"/>
      <c r="L499" s="59"/>
      <c r="M499" s="3"/>
      <c r="W499" s="59"/>
      <c r="X499" s="59"/>
      <c r="Y499" s="59"/>
      <c r="Z499" s="59"/>
      <c r="AA499" s="59"/>
      <c r="AB499" s="59"/>
      <c r="AC499" s="59"/>
    </row>
    <row r="500">
      <c r="E500" s="59"/>
      <c r="F500" s="59"/>
      <c r="G500" s="60"/>
      <c r="J500" s="59"/>
      <c r="K500" s="59"/>
      <c r="L500" s="59"/>
      <c r="M500" s="3"/>
      <c r="W500" s="59"/>
      <c r="X500" s="59"/>
      <c r="Y500" s="59"/>
      <c r="Z500" s="59"/>
      <c r="AA500" s="59"/>
      <c r="AB500" s="59"/>
      <c r="AC500" s="59"/>
    </row>
    <row r="501">
      <c r="E501" s="59"/>
      <c r="F501" s="59"/>
      <c r="G501" s="60"/>
      <c r="J501" s="59"/>
      <c r="K501" s="59"/>
      <c r="L501" s="59"/>
      <c r="M501" s="3"/>
      <c r="W501" s="59"/>
      <c r="X501" s="59"/>
      <c r="Y501" s="59"/>
      <c r="Z501" s="59"/>
      <c r="AA501" s="59"/>
      <c r="AB501" s="59"/>
      <c r="AC501" s="59"/>
    </row>
    <row r="502">
      <c r="E502" s="59"/>
      <c r="F502" s="59"/>
      <c r="G502" s="60"/>
      <c r="J502" s="59"/>
      <c r="K502" s="59"/>
      <c r="L502" s="59"/>
      <c r="M502" s="3"/>
      <c r="W502" s="59"/>
      <c r="X502" s="59"/>
      <c r="Y502" s="59"/>
      <c r="Z502" s="59"/>
      <c r="AA502" s="59"/>
      <c r="AB502" s="59"/>
      <c r="AC502" s="59"/>
    </row>
    <row r="503">
      <c r="E503" s="59"/>
      <c r="F503" s="59"/>
      <c r="G503" s="60"/>
      <c r="J503" s="59"/>
      <c r="K503" s="59"/>
      <c r="L503" s="59"/>
      <c r="M503" s="3"/>
      <c r="W503" s="59"/>
      <c r="X503" s="59"/>
      <c r="Y503" s="59"/>
      <c r="Z503" s="59"/>
      <c r="AA503" s="59"/>
      <c r="AB503" s="59"/>
      <c r="AC503" s="59"/>
    </row>
    <row r="504">
      <c r="E504" s="59"/>
      <c r="F504" s="59"/>
      <c r="G504" s="60"/>
      <c r="J504" s="59"/>
      <c r="K504" s="59"/>
      <c r="L504" s="59"/>
      <c r="M504" s="3"/>
      <c r="W504" s="59"/>
      <c r="X504" s="59"/>
      <c r="Y504" s="59"/>
      <c r="Z504" s="59"/>
      <c r="AA504" s="59"/>
      <c r="AB504" s="59"/>
      <c r="AC504" s="59"/>
    </row>
    <row r="505">
      <c r="E505" s="59"/>
      <c r="F505" s="59"/>
      <c r="G505" s="60"/>
      <c r="J505" s="59"/>
      <c r="K505" s="59"/>
      <c r="L505" s="59"/>
      <c r="M505" s="3"/>
      <c r="W505" s="59"/>
      <c r="X505" s="59"/>
      <c r="Y505" s="59"/>
      <c r="Z505" s="59"/>
      <c r="AA505" s="59"/>
      <c r="AB505" s="59"/>
      <c r="AC505" s="59"/>
    </row>
    <row r="506">
      <c r="E506" s="59"/>
      <c r="F506" s="59"/>
      <c r="G506" s="60"/>
      <c r="J506" s="59"/>
      <c r="K506" s="59"/>
      <c r="L506" s="59"/>
      <c r="M506" s="3"/>
      <c r="W506" s="59"/>
      <c r="X506" s="59"/>
      <c r="Y506" s="59"/>
      <c r="Z506" s="59"/>
      <c r="AA506" s="59"/>
      <c r="AB506" s="59"/>
      <c r="AC506" s="59"/>
    </row>
    <row r="507">
      <c r="E507" s="59"/>
      <c r="F507" s="59"/>
      <c r="G507" s="60"/>
      <c r="J507" s="59"/>
      <c r="K507" s="59"/>
      <c r="L507" s="59"/>
      <c r="M507" s="3"/>
      <c r="W507" s="59"/>
      <c r="X507" s="59"/>
      <c r="Y507" s="59"/>
      <c r="Z507" s="59"/>
      <c r="AA507" s="59"/>
      <c r="AB507" s="59"/>
      <c r="AC507" s="59"/>
    </row>
    <row r="508">
      <c r="E508" s="59"/>
      <c r="F508" s="59"/>
      <c r="G508" s="60"/>
      <c r="J508" s="59"/>
      <c r="K508" s="59"/>
      <c r="L508" s="59"/>
      <c r="M508" s="3"/>
      <c r="W508" s="59"/>
      <c r="X508" s="59"/>
      <c r="Y508" s="59"/>
      <c r="Z508" s="59"/>
      <c r="AA508" s="59"/>
      <c r="AB508" s="59"/>
      <c r="AC508" s="59"/>
    </row>
    <row r="509">
      <c r="E509" s="59"/>
      <c r="F509" s="59"/>
      <c r="G509" s="60"/>
      <c r="J509" s="59"/>
      <c r="K509" s="59"/>
      <c r="L509" s="59"/>
      <c r="M509" s="3"/>
      <c r="W509" s="59"/>
      <c r="X509" s="59"/>
      <c r="Y509" s="59"/>
      <c r="Z509" s="59"/>
      <c r="AA509" s="59"/>
      <c r="AB509" s="59"/>
      <c r="AC509" s="59"/>
    </row>
    <row r="510">
      <c r="E510" s="59"/>
      <c r="F510" s="59"/>
      <c r="G510" s="60"/>
      <c r="J510" s="59"/>
      <c r="K510" s="59"/>
      <c r="L510" s="59"/>
      <c r="M510" s="3"/>
      <c r="W510" s="59"/>
      <c r="X510" s="59"/>
      <c r="Y510" s="59"/>
      <c r="Z510" s="59"/>
      <c r="AA510" s="59"/>
      <c r="AB510" s="59"/>
      <c r="AC510" s="59"/>
    </row>
    <row r="511">
      <c r="E511" s="59"/>
      <c r="F511" s="59"/>
      <c r="G511" s="60"/>
      <c r="J511" s="59"/>
      <c r="K511" s="59"/>
      <c r="L511" s="59"/>
      <c r="M511" s="3"/>
      <c r="W511" s="59"/>
      <c r="X511" s="59"/>
      <c r="Y511" s="59"/>
      <c r="Z511" s="59"/>
      <c r="AA511" s="59"/>
      <c r="AB511" s="59"/>
      <c r="AC511" s="59"/>
    </row>
    <row r="512">
      <c r="E512" s="59"/>
      <c r="F512" s="59"/>
      <c r="G512" s="60"/>
      <c r="J512" s="59"/>
      <c r="K512" s="59"/>
      <c r="L512" s="59"/>
      <c r="M512" s="3"/>
      <c r="W512" s="59"/>
      <c r="X512" s="59"/>
      <c r="Y512" s="59"/>
      <c r="Z512" s="59"/>
      <c r="AA512" s="59"/>
      <c r="AB512" s="59"/>
      <c r="AC512" s="59"/>
    </row>
    <row r="513">
      <c r="E513" s="59"/>
      <c r="F513" s="59"/>
      <c r="G513" s="60"/>
      <c r="J513" s="59"/>
      <c r="K513" s="59"/>
      <c r="L513" s="59"/>
      <c r="M513" s="3"/>
      <c r="W513" s="59"/>
      <c r="X513" s="59"/>
      <c r="Y513" s="59"/>
      <c r="Z513" s="59"/>
      <c r="AA513" s="59"/>
      <c r="AB513" s="59"/>
      <c r="AC513" s="59"/>
    </row>
    <row r="514">
      <c r="E514" s="59"/>
      <c r="F514" s="59"/>
      <c r="G514" s="60"/>
      <c r="J514" s="59"/>
      <c r="K514" s="59"/>
      <c r="L514" s="59"/>
      <c r="M514" s="3"/>
      <c r="W514" s="59"/>
      <c r="X514" s="59"/>
      <c r="Y514" s="59"/>
      <c r="Z514" s="59"/>
      <c r="AA514" s="59"/>
      <c r="AB514" s="59"/>
      <c r="AC514" s="59"/>
    </row>
    <row r="515">
      <c r="E515" s="59"/>
      <c r="F515" s="59"/>
      <c r="G515" s="60"/>
      <c r="J515" s="59"/>
      <c r="K515" s="59"/>
      <c r="L515" s="59"/>
      <c r="M515" s="3"/>
      <c r="W515" s="59"/>
      <c r="X515" s="59"/>
      <c r="Y515" s="59"/>
      <c r="Z515" s="59"/>
      <c r="AA515" s="59"/>
      <c r="AB515" s="59"/>
      <c r="AC515" s="59"/>
    </row>
    <row r="516">
      <c r="E516" s="59"/>
      <c r="F516" s="59"/>
      <c r="G516" s="60"/>
      <c r="J516" s="59"/>
      <c r="K516" s="59"/>
      <c r="L516" s="59"/>
      <c r="M516" s="3"/>
      <c r="W516" s="59"/>
      <c r="X516" s="59"/>
      <c r="Y516" s="59"/>
      <c r="Z516" s="59"/>
      <c r="AA516" s="59"/>
      <c r="AB516" s="59"/>
      <c r="AC516" s="59"/>
    </row>
    <row r="517">
      <c r="E517" s="59"/>
      <c r="F517" s="59"/>
      <c r="G517" s="60"/>
      <c r="J517" s="59"/>
      <c r="K517" s="59"/>
      <c r="L517" s="59"/>
      <c r="M517" s="3"/>
      <c r="W517" s="59"/>
      <c r="X517" s="59"/>
      <c r="Y517" s="59"/>
      <c r="Z517" s="59"/>
      <c r="AA517" s="59"/>
      <c r="AB517" s="59"/>
      <c r="AC517" s="59"/>
    </row>
    <row r="518">
      <c r="E518" s="59"/>
      <c r="F518" s="59"/>
      <c r="G518" s="60"/>
      <c r="J518" s="59"/>
      <c r="K518" s="59"/>
      <c r="L518" s="59"/>
      <c r="M518" s="3"/>
      <c r="W518" s="59"/>
      <c r="X518" s="59"/>
      <c r="Y518" s="59"/>
      <c r="Z518" s="59"/>
      <c r="AA518" s="59"/>
      <c r="AB518" s="59"/>
      <c r="AC518" s="59"/>
    </row>
    <row r="519">
      <c r="E519" s="59"/>
      <c r="F519" s="59"/>
      <c r="G519" s="60"/>
      <c r="J519" s="59"/>
      <c r="K519" s="59"/>
      <c r="L519" s="59"/>
      <c r="M519" s="3"/>
      <c r="W519" s="59"/>
      <c r="X519" s="59"/>
      <c r="Y519" s="59"/>
      <c r="Z519" s="59"/>
      <c r="AA519" s="59"/>
      <c r="AB519" s="59"/>
      <c r="AC519" s="59"/>
    </row>
    <row r="520">
      <c r="E520" s="59"/>
      <c r="F520" s="59"/>
      <c r="G520" s="60"/>
      <c r="J520" s="59"/>
      <c r="K520" s="59"/>
      <c r="L520" s="59"/>
      <c r="M520" s="3"/>
      <c r="W520" s="59"/>
      <c r="X520" s="59"/>
      <c r="Y520" s="59"/>
      <c r="Z520" s="59"/>
      <c r="AA520" s="59"/>
      <c r="AB520" s="59"/>
      <c r="AC520" s="59"/>
    </row>
    <row r="521">
      <c r="E521" s="59"/>
      <c r="F521" s="59"/>
      <c r="G521" s="60"/>
      <c r="J521" s="59"/>
      <c r="K521" s="59"/>
      <c r="L521" s="59"/>
      <c r="M521" s="3"/>
      <c r="W521" s="59"/>
      <c r="X521" s="59"/>
      <c r="Y521" s="59"/>
      <c r="Z521" s="59"/>
      <c r="AA521" s="59"/>
      <c r="AB521" s="59"/>
      <c r="AC521" s="59"/>
    </row>
    <row r="522">
      <c r="E522" s="59"/>
      <c r="F522" s="59"/>
      <c r="G522" s="60"/>
      <c r="J522" s="59"/>
      <c r="K522" s="59"/>
      <c r="L522" s="59"/>
      <c r="M522" s="3"/>
      <c r="W522" s="59"/>
      <c r="X522" s="59"/>
      <c r="Y522" s="59"/>
      <c r="Z522" s="59"/>
      <c r="AA522" s="59"/>
      <c r="AB522" s="59"/>
      <c r="AC522" s="59"/>
    </row>
    <row r="523">
      <c r="E523" s="59"/>
      <c r="F523" s="59"/>
      <c r="G523" s="60"/>
      <c r="J523" s="59"/>
      <c r="K523" s="59"/>
      <c r="L523" s="59"/>
      <c r="M523" s="3"/>
      <c r="W523" s="59"/>
      <c r="X523" s="59"/>
      <c r="Y523" s="59"/>
      <c r="Z523" s="59"/>
      <c r="AA523" s="59"/>
      <c r="AB523" s="59"/>
      <c r="AC523" s="59"/>
    </row>
    <row r="524">
      <c r="E524" s="59"/>
      <c r="F524" s="59"/>
      <c r="G524" s="60"/>
      <c r="J524" s="59"/>
      <c r="K524" s="59"/>
      <c r="L524" s="59"/>
      <c r="M524" s="3"/>
      <c r="W524" s="59"/>
      <c r="X524" s="59"/>
      <c r="Y524" s="59"/>
      <c r="Z524" s="59"/>
      <c r="AA524" s="59"/>
      <c r="AB524" s="59"/>
      <c r="AC524" s="59"/>
    </row>
    <row r="525">
      <c r="E525" s="59"/>
      <c r="F525" s="59"/>
      <c r="G525" s="60"/>
      <c r="J525" s="59"/>
      <c r="K525" s="59"/>
      <c r="L525" s="59"/>
      <c r="M525" s="3"/>
      <c r="W525" s="59"/>
      <c r="X525" s="59"/>
      <c r="Y525" s="59"/>
      <c r="Z525" s="59"/>
      <c r="AA525" s="59"/>
      <c r="AB525" s="59"/>
      <c r="AC525" s="59"/>
    </row>
    <row r="526">
      <c r="E526" s="59"/>
      <c r="F526" s="59"/>
      <c r="G526" s="60"/>
      <c r="J526" s="59"/>
      <c r="K526" s="59"/>
      <c r="L526" s="59"/>
      <c r="M526" s="3"/>
      <c r="W526" s="59"/>
      <c r="X526" s="59"/>
      <c r="Y526" s="59"/>
      <c r="Z526" s="59"/>
      <c r="AA526" s="59"/>
      <c r="AB526" s="59"/>
      <c r="AC526" s="59"/>
    </row>
    <row r="527">
      <c r="E527" s="59"/>
      <c r="F527" s="59"/>
      <c r="G527" s="60"/>
      <c r="J527" s="59"/>
      <c r="K527" s="59"/>
      <c r="L527" s="59"/>
      <c r="M527" s="3"/>
      <c r="W527" s="59"/>
      <c r="X527" s="59"/>
      <c r="Y527" s="59"/>
      <c r="Z527" s="59"/>
      <c r="AA527" s="59"/>
      <c r="AB527" s="59"/>
      <c r="AC527" s="59"/>
    </row>
    <row r="528">
      <c r="E528" s="59"/>
      <c r="F528" s="59"/>
      <c r="G528" s="60"/>
      <c r="J528" s="59"/>
      <c r="K528" s="59"/>
      <c r="L528" s="59"/>
      <c r="M528" s="3"/>
      <c r="W528" s="59"/>
      <c r="X528" s="59"/>
      <c r="Y528" s="59"/>
      <c r="Z528" s="59"/>
      <c r="AA528" s="59"/>
      <c r="AB528" s="59"/>
      <c r="AC528" s="59"/>
    </row>
    <row r="529">
      <c r="E529" s="59"/>
      <c r="F529" s="59"/>
      <c r="G529" s="60"/>
      <c r="J529" s="59"/>
      <c r="K529" s="59"/>
      <c r="L529" s="59"/>
      <c r="M529" s="3"/>
      <c r="W529" s="59"/>
      <c r="X529" s="59"/>
      <c r="Y529" s="59"/>
      <c r="Z529" s="59"/>
      <c r="AA529" s="59"/>
      <c r="AB529" s="59"/>
      <c r="AC529" s="59"/>
    </row>
    <row r="530">
      <c r="E530" s="59"/>
      <c r="F530" s="59"/>
      <c r="G530" s="60"/>
      <c r="J530" s="59"/>
      <c r="K530" s="59"/>
      <c r="L530" s="59"/>
      <c r="M530" s="3"/>
      <c r="W530" s="59"/>
      <c r="X530" s="59"/>
      <c r="Y530" s="59"/>
      <c r="Z530" s="59"/>
      <c r="AA530" s="59"/>
      <c r="AB530" s="59"/>
      <c r="AC530" s="59"/>
    </row>
    <row r="531">
      <c r="E531" s="59"/>
      <c r="F531" s="59"/>
      <c r="G531" s="60"/>
      <c r="J531" s="59"/>
      <c r="K531" s="59"/>
      <c r="L531" s="59"/>
      <c r="M531" s="3"/>
      <c r="W531" s="59"/>
      <c r="X531" s="59"/>
      <c r="Y531" s="59"/>
      <c r="Z531" s="59"/>
      <c r="AA531" s="59"/>
      <c r="AB531" s="59"/>
      <c r="AC531" s="59"/>
    </row>
    <row r="532">
      <c r="E532" s="59"/>
      <c r="F532" s="59"/>
      <c r="G532" s="60"/>
      <c r="J532" s="59"/>
      <c r="K532" s="59"/>
      <c r="L532" s="59"/>
      <c r="M532" s="3"/>
      <c r="W532" s="59"/>
      <c r="X532" s="59"/>
      <c r="Y532" s="59"/>
      <c r="Z532" s="59"/>
      <c r="AA532" s="59"/>
      <c r="AB532" s="59"/>
      <c r="AC532" s="59"/>
    </row>
    <row r="533">
      <c r="E533" s="59"/>
      <c r="F533" s="59"/>
      <c r="G533" s="60"/>
      <c r="J533" s="59"/>
      <c r="K533" s="59"/>
      <c r="L533" s="59"/>
      <c r="M533" s="3"/>
      <c r="W533" s="59"/>
      <c r="X533" s="59"/>
      <c r="Y533" s="59"/>
      <c r="Z533" s="59"/>
      <c r="AA533" s="59"/>
      <c r="AB533" s="59"/>
      <c r="AC533" s="59"/>
    </row>
    <row r="534">
      <c r="E534" s="59"/>
      <c r="F534" s="59"/>
      <c r="G534" s="60"/>
      <c r="J534" s="59"/>
      <c r="K534" s="59"/>
      <c r="L534" s="59"/>
      <c r="M534" s="3"/>
      <c r="W534" s="59"/>
      <c r="X534" s="59"/>
      <c r="Y534" s="59"/>
      <c r="Z534" s="59"/>
      <c r="AA534" s="59"/>
      <c r="AB534" s="59"/>
      <c r="AC534" s="59"/>
    </row>
    <row r="535">
      <c r="E535" s="59"/>
      <c r="F535" s="59"/>
      <c r="G535" s="60"/>
      <c r="J535" s="59"/>
      <c r="K535" s="59"/>
      <c r="L535" s="59"/>
      <c r="M535" s="3"/>
      <c r="W535" s="59"/>
      <c r="X535" s="59"/>
      <c r="Y535" s="59"/>
      <c r="Z535" s="59"/>
      <c r="AA535" s="59"/>
      <c r="AB535" s="59"/>
      <c r="AC535" s="59"/>
    </row>
    <row r="536">
      <c r="E536" s="59"/>
      <c r="F536" s="59"/>
      <c r="G536" s="60"/>
      <c r="J536" s="59"/>
      <c r="K536" s="59"/>
      <c r="L536" s="59"/>
      <c r="M536" s="3"/>
      <c r="W536" s="59"/>
      <c r="X536" s="59"/>
      <c r="Y536" s="59"/>
      <c r="Z536" s="59"/>
      <c r="AA536" s="59"/>
      <c r="AB536" s="59"/>
      <c r="AC536" s="59"/>
    </row>
    <row r="537">
      <c r="E537" s="59"/>
      <c r="F537" s="59"/>
      <c r="G537" s="60"/>
      <c r="J537" s="59"/>
      <c r="K537" s="59"/>
      <c r="L537" s="59"/>
      <c r="M537" s="3"/>
      <c r="W537" s="59"/>
      <c r="X537" s="59"/>
      <c r="Y537" s="59"/>
      <c r="Z537" s="59"/>
      <c r="AA537" s="59"/>
      <c r="AB537" s="59"/>
      <c r="AC537" s="59"/>
    </row>
    <row r="538">
      <c r="E538" s="59"/>
      <c r="F538" s="59"/>
      <c r="G538" s="60"/>
      <c r="J538" s="59"/>
      <c r="K538" s="59"/>
      <c r="L538" s="59"/>
      <c r="M538" s="3"/>
      <c r="W538" s="59"/>
      <c r="X538" s="59"/>
      <c r="Y538" s="59"/>
      <c r="Z538" s="59"/>
      <c r="AA538" s="59"/>
      <c r="AB538" s="59"/>
      <c r="AC538" s="59"/>
    </row>
    <row r="539">
      <c r="E539" s="59"/>
      <c r="F539" s="59"/>
      <c r="G539" s="60"/>
      <c r="J539" s="59"/>
      <c r="K539" s="59"/>
      <c r="L539" s="59"/>
      <c r="M539" s="3"/>
      <c r="W539" s="59"/>
      <c r="X539" s="59"/>
      <c r="Y539" s="59"/>
      <c r="Z539" s="59"/>
      <c r="AA539" s="59"/>
      <c r="AB539" s="59"/>
      <c r="AC539" s="59"/>
    </row>
    <row r="540">
      <c r="E540" s="59"/>
      <c r="F540" s="59"/>
      <c r="G540" s="60"/>
      <c r="J540" s="59"/>
      <c r="K540" s="59"/>
      <c r="L540" s="59"/>
      <c r="M540" s="3"/>
      <c r="W540" s="59"/>
      <c r="X540" s="59"/>
      <c r="Y540" s="59"/>
      <c r="Z540" s="59"/>
      <c r="AA540" s="59"/>
      <c r="AB540" s="59"/>
      <c r="AC540" s="59"/>
    </row>
    <row r="541">
      <c r="E541" s="59"/>
      <c r="F541" s="59"/>
      <c r="G541" s="60"/>
      <c r="J541" s="59"/>
      <c r="K541" s="59"/>
      <c r="L541" s="59"/>
      <c r="M541" s="3"/>
      <c r="W541" s="59"/>
      <c r="X541" s="59"/>
      <c r="Y541" s="59"/>
      <c r="Z541" s="59"/>
      <c r="AA541" s="59"/>
      <c r="AB541" s="59"/>
      <c r="AC541" s="59"/>
    </row>
    <row r="542">
      <c r="E542" s="59"/>
      <c r="F542" s="59"/>
      <c r="G542" s="60"/>
      <c r="J542" s="59"/>
      <c r="K542" s="59"/>
      <c r="L542" s="59"/>
      <c r="M542" s="3"/>
      <c r="W542" s="59"/>
      <c r="X542" s="59"/>
      <c r="Y542" s="59"/>
      <c r="Z542" s="59"/>
      <c r="AA542" s="59"/>
      <c r="AB542" s="59"/>
      <c r="AC542" s="59"/>
    </row>
    <row r="543">
      <c r="E543" s="59"/>
      <c r="F543" s="59"/>
      <c r="G543" s="60"/>
      <c r="J543" s="59"/>
      <c r="K543" s="59"/>
      <c r="L543" s="59"/>
      <c r="M543" s="3"/>
      <c r="W543" s="59"/>
      <c r="X543" s="59"/>
      <c r="Y543" s="59"/>
      <c r="Z543" s="59"/>
      <c r="AA543" s="59"/>
      <c r="AB543" s="59"/>
      <c r="AC543" s="59"/>
    </row>
    <row r="544">
      <c r="E544" s="59"/>
      <c r="F544" s="59"/>
      <c r="G544" s="60"/>
      <c r="J544" s="59"/>
      <c r="K544" s="59"/>
      <c r="L544" s="59"/>
      <c r="M544" s="3"/>
      <c r="W544" s="59"/>
      <c r="X544" s="59"/>
      <c r="Y544" s="59"/>
      <c r="Z544" s="59"/>
      <c r="AA544" s="59"/>
      <c r="AB544" s="59"/>
      <c r="AC544" s="59"/>
    </row>
    <row r="545">
      <c r="E545" s="59"/>
      <c r="F545" s="59"/>
      <c r="G545" s="60"/>
      <c r="J545" s="59"/>
      <c r="K545" s="59"/>
      <c r="L545" s="59"/>
      <c r="M545" s="3"/>
      <c r="W545" s="59"/>
      <c r="X545" s="59"/>
      <c r="Y545" s="59"/>
      <c r="Z545" s="59"/>
      <c r="AA545" s="59"/>
      <c r="AB545" s="59"/>
      <c r="AC545" s="59"/>
    </row>
    <row r="546">
      <c r="E546" s="59"/>
      <c r="F546" s="59"/>
      <c r="G546" s="60"/>
      <c r="J546" s="59"/>
      <c r="K546" s="59"/>
      <c r="L546" s="59"/>
      <c r="M546" s="3"/>
      <c r="W546" s="59"/>
      <c r="X546" s="59"/>
      <c r="Y546" s="59"/>
      <c r="Z546" s="59"/>
      <c r="AA546" s="59"/>
      <c r="AB546" s="59"/>
      <c r="AC546" s="59"/>
    </row>
    <row r="547">
      <c r="E547" s="59"/>
      <c r="F547" s="59"/>
      <c r="G547" s="60"/>
      <c r="J547" s="59"/>
      <c r="K547" s="59"/>
      <c r="L547" s="59"/>
      <c r="M547" s="3"/>
      <c r="W547" s="59"/>
      <c r="X547" s="59"/>
      <c r="Y547" s="59"/>
      <c r="Z547" s="59"/>
      <c r="AA547" s="59"/>
      <c r="AB547" s="59"/>
      <c r="AC547" s="59"/>
    </row>
    <row r="548">
      <c r="E548" s="59"/>
      <c r="F548" s="59"/>
      <c r="G548" s="60"/>
      <c r="J548" s="59"/>
      <c r="K548" s="59"/>
      <c r="L548" s="59"/>
      <c r="M548" s="3"/>
      <c r="W548" s="59"/>
      <c r="X548" s="59"/>
      <c r="Y548" s="59"/>
      <c r="Z548" s="59"/>
      <c r="AA548" s="59"/>
      <c r="AB548" s="59"/>
      <c r="AC548" s="59"/>
    </row>
    <row r="549">
      <c r="E549" s="59"/>
      <c r="F549" s="59"/>
      <c r="G549" s="60"/>
      <c r="J549" s="59"/>
      <c r="K549" s="59"/>
      <c r="L549" s="59"/>
      <c r="M549" s="3"/>
      <c r="W549" s="59"/>
      <c r="X549" s="59"/>
      <c r="Y549" s="59"/>
      <c r="Z549" s="59"/>
      <c r="AA549" s="59"/>
      <c r="AB549" s="59"/>
      <c r="AC549" s="59"/>
    </row>
    <row r="550">
      <c r="E550" s="59"/>
      <c r="F550" s="59"/>
      <c r="G550" s="60"/>
      <c r="J550" s="59"/>
      <c r="K550" s="59"/>
      <c r="L550" s="59"/>
      <c r="M550" s="3"/>
      <c r="W550" s="59"/>
      <c r="X550" s="59"/>
      <c r="Y550" s="59"/>
      <c r="Z550" s="59"/>
      <c r="AA550" s="59"/>
      <c r="AB550" s="59"/>
      <c r="AC550" s="59"/>
    </row>
    <row r="551">
      <c r="E551" s="59"/>
      <c r="F551" s="59"/>
      <c r="G551" s="60"/>
      <c r="J551" s="59"/>
      <c r="K551" s="59"/>
      <c r="L551" s="59"/>
      <c r="M551" s="3"/>
      <c r="W551" s="59"/>
      <c r="X551" s="59"/>
      <c r="Y551" s="59"/>
      <c r="Z551" s="59"/>
      <c r="AA551" s="59"/>
      <c r="AB551" s="59"/>
      <c r="AC551" s="59"/>
    </row>
    <row r="552">
      <c r="E552" s="59"/>
      <c r="F552" s="59"/>
      <c r="G552" s="60"/>
      <c r="J552" s="59"/>
      <c r="K552" s="59"/>
      <c r="L552" s="59"/>
      <c r="M552" s="3"/>
      <c r="W552" s="59"/>
      <c r="X552" s="59"/>
      <c r="Y552" s="59"/>
      <c r="Z552" s="59"/>
      <c r="AA552" s="59"/>
      <c r="AB552" s="59"/>
      <c r="AC552" s="59"/>
    </row>
    <row r="553">
      <c r="E553" s="59"/>
      <c r="F553" s="59"/>
      <c r="G553" s="60"/>
      <c r="J553" s="59"/>
      <c r="K553" s="59"/>
      <c r="L553" s="59"/>
      <c r="M553" s="3"/>
      <c r="W553" s="59"/>
      <c r="X553" s="59"/>
      <c r="Y553" s="59"/>
      <c r="Z553" s="59"/>
      <c r="AA553" s="59"/>
      <c r="AB553" s="59"/>
      <c r="AC553" s="59"/>
    </row>
    <row r="554">
      <c r="E554" s="59"/>
      <c r="F554" s="59"/>
      <c r="G554" s="60"/>
      <c r="J554" s="59"/>
      <c r="K554" s="59"/>
      <c r="L554" s="59"/>
      <c r="M554" s="3"/>
      <c r="W554" s="59"/>
      <c r="X554" s="59"/>
      <c r="Y554" s="59"/>
      <c r="Z554" s="59"/>
      <c r="AA554" s="59"/>
      <c r="AB554" s="59"/>
      <c r="AC554" s="59"/>
    </row>
    <row r="555">
      <c r="E555" s="59"/>
      <c r="F555" s="59"/>
      <c r="G555" s="60"/>
      <c r="J555" s="59"/>
      <c r="K555" s="59"/>
      <c r="L555" s="59"/>
      <c r="M555" s="3"/>
      <c r="W555" s="59"/>
      <c r="X555" s="59"/>
      <c r="Y555" s="59"/>
      <c r="Z555" s="59"/>
      <c r="AA555" s="59"/>
      <c r="AB555" s="59"/>
      <c r="AC555" s="59"/>
    </row>
    <row r="556">
      <c r="E556" s="59"/>
      <c r="F556" s="59"/>
      <c r="G556" s="60"/>
      <c r="J556" s="59"/>
      <c r="K556" s="59"/>
      <c r="L556" s="59"/>
      <c r="M556" s="3"/>
      <c r="W556" s="59"/>
      <c r="X556" s="59"/>
      <c r="Y556" s="59"/>
      <c r="Z556" s="59"/>
      <c r="AA556" s="59"/>
      <c r="AB556" s="59"/>
      <c r="AC556" s="59"/>
    </row>
    <row r="557">
      <c r="E557" s="59"/>
      <c r="F557" s="59"/>
      <c r="G557" s="60"/>
      <c r="J557" s="59"/>
      <c r="K557" s="59"/>
      <c r="L557" s="59"/>
      <c r="M557" s="3"/>
      <c r="W557" s="59"/>
      <c r="X557" s="59"/>
      <c r="Y557" s="59"/>
      <c r="Z557" s="59"/>
      <c r="AA557" s="59"/>
      <c r="AB557" s="59"/>
      <c r="AC557" s="59"/>
    </row>
    <row r="558">
      <c r="E558" s="59"/>
      <c r="F558" s="59"/>
      <c r="G558" s="60"/>
      <c r="J558" s="59"/>
      <c r="K558" s="59"/>
      <c r="L558" s="59"/>
      <c r="M558" s="3"/>
      <c r="W558" s="59"/>
      <c r="X558" s="59"/>
      <c r="Y558" s="59"/>
      <c r="Z558" s="59"/>
      <c r="AA558" s="59"/>
      <c r="AB558" s="59"/>
      <c r="AC558" s="59"/>
    </row>
    <row r="559">
      <c r="E559" s="59"/>
      <c r="F559" s="59"/>
      <c r="G559" s="60"/>
      <c r="J559" s="59"/>
      <c r="K559" s="59"/>
      <c r="L559" s="59"/>
      <c r="M559" s="3"/>
      <c r="W559" s="59"/>
      <c r="X559" s="59"/>
      <c r="Y559" s="59"/>
      <c r="Z559" s="59"/>
      <c r="AA559" s="59"/>
      <c r="AB559" s="59"/>
      <c r="AC559" s="59"/>
    </row>
    <row r="560">
      <c r="E560" s="59"/>
      <c r="F560" s="59"/>
      <c r="G560" s="60"/>
      <c r="J560" s="59"/>
      <c r="K560" s="59"/>
      <c r="L560" s="59"/>
      <c r="M560" s="3"/>
      <c r="W560" s="59"/>
      <c r="X560" s="59"/>
      <c r="Y560" s="59"/>
      <c r="Z560" s="59"/>
      <c r="AA560" s="59"/>
      <c r="AB560" s="59"/>
      <c r="AC560" s="59"/>
    </row>
    <row r="561">
      <c r="E561" s="59"/>
      <c r="F561" s="59"/>
      <c r="G561" s="60"/>
      <c r="J561" s="59"/>
      <c r="K561" s="59"/>
      <c r="L561" s="59"/>
      <c r="M561" s="3"/>
      <c r="W561" s="59"/>
      <c r="X561" s="59"/>
      <c r="Y561" s="59"/>
      <c r="Z561" s="59"/>
      <c r="AA561" s="59"/>
      <c r="AB561" s="59"/>
      <c r="AC561" s="59"/>
    </row>
    <row r="562">
      <c r="E562" s="59"/>
      <c r="F562" s="59"/>
      <c r="G562" s="60"/>
      <c r="J562" s="59"/>
      <c r="K562" s="59"/>
      <c r="L562" s="59"/>
      <c r="M562" s="3"/>
      <c r="W562" s="59"/>
      <c r="X562" s="59"/>
      <c r="Y562" s="59"/>
      <c r="Z562" s="59"/>
      <c r="AA562" s="59"/>
      <c r="AB562" s="59"/>
      <c r="AC562" s="59"/>
    </row>
    <row r="563">
      <c r="E563" s="59"/>
      <c r="F563" s="59"/>
      <c r="G563" s="60"/>
      <c r="J563" s="59"/>
      <c r="K563" s="59"/>
      <c r="L563" s="59"/>
      <c r="M563" s="3"/>
      <c r="W563" s="59"/>
      <c r="X563" s="59"/>
      <c r="Y563" s="59"/>
      <c r="Z563" s="59"/>
      <c r="AA563" s="59"/>
      <c r="AB563" s="59"/>
      <c r="AC563" s="59"/>
    </row>
    <row r="564">
      <c r="E564" s="59"/>
      <c r="F564" s="59"/>
      <c r="G564" s="60"/>
      <c r="J564" s="59"/>
      <c r="K564" s="59"/>
      <c r="L564" s="59"/>
      <c r="M564" s="3"/>
      <c r="W564" s="59"/>
      <c r="X564" s="59"/>
      <c r="Y564" s="59"/>
      <c r="Z564" s="59"/>
      <c r="AA564" s="59"/>
      <c r="AB564" s="59"/>
      <c r="AC564" s="59"/>
    </row>
    <row r="565">
      <c r="E565" s="59"/>
      <c r="F565" s="59"/>
      <c r="G565" s="60"/>
      <c r="J565" s="59"/>
      <c r="K565" s="59"/>
      <c r="L565" s="59"/>
      <c r="M565" s="3"/>
      <c r="W565" s="59"/>
      <c r="X565" s="59"/>
      <c r="Y565" s="59"/>
      <c r="Z565" s="59"/>
      <c r="AA565" s="59"/>
      <c r="AB565" s="59"/>
      <c r="AC565" s="59"/>
    </row>
    <row r="566">
      <c r="E566" s="59"/>
      <c r="F566" s="59"/>
      <c r="G566" s="60"/>
      <c r="J566" s="59"/>
      <c r="K566" s="59"/>
      <c r="L566" s="59"/>
      <c r="M566" s="3"/>
      <c r="W566" s="59"/>
      <c r="X566" s="59"/>
      <c r="Y566" s="59"/>
      <c r="Z566" s="59"/>
      <c r="AA566" s="59"/>
      <c r="AB566" s="59"/>
      <c r="AC566" s="59"/>
    </row>
    <row r="567">
      <c r="E567" s="59"/>
      <c r="F567" s="59"/>
      <c r="G567" s="60"/>
      <c r="J567" s="59"/>
      <c r="K567" s="59"/>
      <c r="L567" s="59"/>
      <c r="M567" s="3"/>
      <c r="W567" s="59"/>
      <c r="X567" s="59"/>
      <c r="Y567" s="59"/>
      <c r="Z567" s="59"/>
      <c r="AA567" s="59"/>
      <c r="AB567" s="59"/>
      <c r="AC567" s="59"/>
    </row>
    <row r="568">
      <c r="E568" s="59"/>
      <c r="F568" s="59"/>
      <c r="G568" s="60"/>
      <c r="J568" s="59"/>
      <c r="K568" s="59"/>
      <c r="L568" s="59"/>
      <c r="M568" s="3"/>
      <c r="W568" s="59"/>
      <c r="X568" s="59"/>
      <c r="Y568" s="59"/>
      <c r="Z568" s="59"/>
      <c r="AA568" s="59"/>
      <c r="AB568" s="59"/>
      <c r="AC568" s="59"/>
    </row>
    <row r="569">
      <c r="E569" s="59"/>
      <c r="F569" s="59"/>
      <c r="G569" s="60"/>
      <c r="J569" s="59"/>
      <c r="K569" s="59"/>
      <c r="L569" s="59"/>
      <c r="M569" s="3"/>
      <c r="W569" s="59"/>
      <c r="X569" s="59"/>
      <c r="Y569" s="59"/>
      <c r="Z569" s="59"/>
      <c r="AA569" s="59"/>
      <c r="AB569" s="59"/>
      <c r="AC569" s="59"/>
    </row>
    <row r="570">
      <c r="E570" s="59"/>
      <c r="F570" s="59"/>
      <c r="G570" s="60"/>
      <c r="J570" s="59"/>
      <c r="K570" s="59"/>
      <c r="L570" s="59"/>
      <c r="M570" s="3"/>
      <c r="W570" s="59"/>
      <c r="X570" s="59"/>
      <c r="Y570" s="59"/>
      <c r="Z570" s="59"/>
      <c r="AA570" s="59"/>
      <c r="AB570" s="59"/>
      <c r="AC570" s="59"/>
    </row>
    <row r="571">
      <c r="E571" s="59"/>
      <c r="F571" s="59"/>
      <c r="G571" s="60"/>
      <c r="J571" s="59"/>
      <c r="K571" s="59"/>
      <c r="L571" s="59"/>
      <c r="M571" s="3"/>
      <c r="W571" s="59"/>
      <c r="X571" s="59"/>
      <c r="Y571" s="59"/>
      <c r="Z571" s="59"/>
      <c r="AA571" s="59"/>
      <c r="AB571" s="59"/>
      <c r="AC571" s="59"/>
    </row>
    <row r="572">
      <c r="E572" s="59"/>
      <c r="F572" s="59"/>
      <c r="G572" s="60"/>
      <c r="J572" s="59"/>
      <c r="K572" s="59"/>
      <c r="L572" s="59"/>
      <c r="M572" s="3"/>
      <c r="W572" s="59"/>
      <c r="X572" s="59"/>
      <c r="Y572" s="59"/>
      <c r="Z572" s="59"/>
      <c r="AA572" s="59"/>
      <c r="AB572" s="59"/>
      <c r="AC572" s="59"/>
    </row>
    <row r="573">
      <c r="E573" s="59"/>
      <c r="F573" s="59"/>
      <c r="G573" s="60"/>
      <c r="J573" s="59"/>
      <c r="K573" s="59"/>
      <c r="L573" s="59"/>
      <c r="M573" s="3"/>
      <c r="W573" s="59"/>
      <c r="X573" s="59"/>
      <c r="Y573" s="59"/>
      <c r="Z573" s="59"/>
      <c r="AA573" s="59"/>
      <c r="AB573" s="59"/>
      <c r="AC573" s="59"/>
    </row>
    <row r="574">
      <c r="E574" s="59"/>
      <c r="F574" s="59"/>
      <c r="G574" s="60"/>
      <c r="J574" s="59"/>
      <c r="K574" s="59"/>
      <c r="L574" s="59"/>
      <c r="M574" s="3"/>
      <c r="W574" s="59"/>
      <c r="X574" s="59"/>
      <c r="Y574" s="59"/>
      <c r="Z574" s="59"/>
      <c r="AA574" s="59"/>
      <c r="AB574" s="59"/>
      <c r="AC574" s="59"/>
    </row>
    <row r="575">
      <c r="E575" s="59"/>
      <c r="F575" s="59"/>
      <c r="G575" s="60"/>
      <c r="J575" s="59"/>
      <c r="K575" s="59"/>
      <c r="L575" s="59"/>
      <c r="M575" s="3"/>
      <c r="W575" s="59"/>
      <c r="X575" s="59"/>
      <c r="Y575" s="59"/>
      <c r="Z575" s="59"/>
      <c r="AA575" s="59"/>
      <c r="AB575" s="59"/>
      <c r="AC575" s="59"/>
    </row>
    <row r="576">
      <c r="E576" s="59"/>
      <c r="F576" s="59"/>
      <c r="G576" s="60"/>
      <c r="J576" s="59"/>
      <c r="K576" s="59"/>
      <c r="L576" s="59"/>
      <c r="M576" s="3"/>
      <c r="W576" s="59"/>
      <c r="X576" s="59"/>
      <c r="Y576" s="59"/>
      <c r="Z576" s="59"/>
      <c r="AA576" s="59"/>
      <c r="AB576" s="59"/>
      <c r="AC576" s="59"/>
    </row>
    <row r="577">
      <c r="E577" s="59"/>
      <c r="F577" s="59"/>
      <c r="G577" s="60"/>
      <c r="J577" s="59"/>
      <c r="K577" s="59"/>
      <c r="L577" s="59"/>
      <c r="M577" s="3"/>
      <c r="W577" s="59"/>
      <c r="X577" s="59"/>
      <c r="Y577" s="59"/>
      <c r="Z577" s="59"/>
      <c r="AA577" s="59"/>
      <c r="AB577" s="59"/>
      <c r="AC577" s="59"/>
    </row>
    <row r="578">
      <c r="E578" s="59"/>
      <c r="F578" s="59"/>
      <c r="G578" s="60"/>
      <c r="J578" s="59"/>
      <c r="K578" s="59"/>
      <c r="L578" s="59"/>
      <c r="M578" s="3"/>
      <c r="W578" s="59"/>
      <c r="X578" s="59"/>
      <c r="Y578" s="59"/>
      <c r="Z578" s="59"/>
      <c r="AA578" s="59"/>
      <c r="AB578" s="59"/>
      <c r="AC578" s="59"/>
    </row>
    <row r="579">
      <c r="E579" s="59"/>
      <c r="F579" s="59"/>
      <c r="G579" s="60"/>
      <c r="J579" s="59"/>
      <c r="K579" s="59"/>
      <c r="L579" s="59"/>
      <c r="M579" s="3"/>
      <c r="W579" s="59"/>
      <c r="X579" s="59"/>
      <c r="Y579" s="59"/>
      <c r="Z579" s="59"/>
      <c r="AA579" s="59"/>
      <c r="AB579" s="59"/>
      <c r="AC579" s="59"/>
    </row>
    <row r="580">
      <c r="E580" s="59"/>
      <c r="F580" s="59"/>
      <c r="G580" s="60"/>
      <c r="J580" s="59"/>
      <c r="K580" s="59"/>
      <c r="L580" s="59"/>
      <c r="M580" s="3"/>
      <c r="W580" s="59"/>
      <c r="X580" s="59"/>
      <c r="Y580" s="59"/>
      <c r="Z580" s="59"/>
      <c r="AA580" s="59"/>
      <c r="AB580" s="59"/>
      <c r="AC580" s="59"/>
    </row>
    <row r="581">
      <c r="E581" s="59"/>
      <c r="F581" s="59"/>
      <c r="G581" s="60"/>
      <c r="J581" s="59"/>
      <c r="K581" s="59"/>
      <c r="L581" s="59"/>
      <c r="M581" s="3"/>
      <c r="W581" s="59"/>
      <c r="X581" s="59"/>
      <c r="Y581" s="59"/>
      <c r="Z581" s="59"/>
      <c r="AA581" s="59"/>
      <c r="AB581" s="59"/>
      <c r="AC581" s="59"/>
    </row>
    <row r="582">
      <c r="E582" s="59"/>
      <c r="F582" s="59"/>
      <c r="G582" s="60"/>
      <c r="J582" s="59"/>
      <c r="K582" s="59"/>
      <c r="L582" s="59"/>
      <c r="M582" s="3"/>
      <c r="W582" s="59"/>
      <c r="X582" s="59"/>
      <c r="Y582" s="59"/>
      <c r="Z582" s="59"/>
      <c r="AA582" s="59"/>
      <c r="AB582" s="59"/>
      <c r="AC582" s="59"/>
    </row>
    <row r="583">
      <c r="E583" s="59"/>
      <c r="F583" s="59"/>
      <c r="G583" s="60"/>
      <c r="J583" s="59"/>
      <c r="K583" s="59"/>
      <c r="L583" s="59"/>
      <c r="M583" s="3"/>
      <c r="W583" s="59"/>
      <c r="X583" s="59"/>
      <c r="Y583" s="59"/>
      <c r="Z583" s="59"/>
      <c r="AA583" s="59"/>
      <c r="AB583" s="59"/>
      <c r="AC583" s="59"/>
    </row>
    <row r="584">
      <c r="E584" s="59"/>
      <c r="F584" s="59"/>
      <c r="G584" s="60"/>
      <c r="J584" s="59"/>
      <c r="K584" s="59"/>
      <c r="L584" s="59"/>
      <c r="M584" s="3"/>
      <c r="W584" s="59"/>
      <c r="X584" s="59"/>
      <c r="Y584" s="59"/>
      <c r="Z584" s="59"/>
      <c r="AA584" s="59"/>
      <c r="AB584" s="59"/>
      <c r="AC584" s="59"/>
    </row>
    <row r="585">
      <c r="E585" s="59"/>
      <c r="F585" s="59"/>
      <c r="G585" s="60"/>
      <c r="J585" s="59"/>
      <c r="K585" s="59"/>
      <c r="L585" s="59"/>
      <c r="M585" s="3"/>
      <c r="W585" s="59"/>
      <c r="X585" s="59"/>
      <c r="Y585" s="59"/>
      <c r="Z585" s="59"/>
      <c r="AA585" s="59"/>
      <c r="AB585" s="59"/>
      <c r="AC585" s="59"/>
    </row>
    <row r="586">
      <c r="E586" s="59"/>
      <c r="F586" s="59"/>
      <c r="G586" s="60"/>
      <c r="J586" s="59"/>
      <c r="K586" s="59"/>
      <c r="L586" s="59"/>
      <c r="M586" s="3"/>
      <c r="W586" s="59"/>
      <c r="X586" s="59"/>
      <c r="Y586" s="59"/>
      <c r="Z586" s="59"/>
      <c r="AA586" s="59"/>
      <c r="AB586" s="59"/>
      <c r="AC586" s="59"/>
    </row>
    <row r="587">
      <c r="E587" s="59"/>
      <c r="F587" s="59"/>
      <c r="G587" s="60"/>
      <c r="J587" s="59"/>
      <c r="K587" s="59"/>
      <c r="L587" s="59"/>
      <c r="M587" s="3"/>
      <c r="W587" s="59"/>
      <c r="X587" s="59"/>
      <c r="Y587" s="59"/>
      <c r="Z587" s="59"/>
      <c r="AA587" s="59"/>
      <c r="AB587" s="59"/>
      <c r="AC587" s="59"/>
    </row>
    <row r="588">
      <c r="E588" s="59"/>
      <c r="F588" s="59"/>
      <c r="G588" s="60"/>
      <c r="J588" s="59"/>
      <c r="K588" s="59"/>
      <c r="L588" s="59"/>
      <c r="M588" s="3"/>
      <c r="W588" s="59"/>
      <c r="X588" s="59"/>
      <c r="Y588" s="59"/>
      <c r="Z588" s="59"/>
      <c r="AA588" s="59"/>
      <c r="AB588" s="59"/>
      <c r="AC588" s="59"/>
    </row>
    <row r="589">
      <c r="E589" s="59"/>
      <c r="F589" s="59"/>
      <c r="G589" s="60"/>
      <c r="J589" s="59"/>
      <c r="K589" s="59"/>
      <c r="L589" s="59"/>
      <c r="M589" s="3"/>
      <c r="W589" s="59"/>
      <c r="X589" s="59"/>
      <c r="Y589" s="59"/>
      <c r="Z589" s="59"/>
      <c r="AA589" s="59"/>
      <c r="AB589" s="59"/>
      <c r="AC589" s="59"/>
    </row>
    <row r="590">
      <c r="E590" s="59"/>
      <c r="F590" s="59"/>
      <c r="G590" s="60"/>
      <c r="J590" s="59"/>
      <c r="K590" s="59"/>
      <c r="L590" s="59"/>
      <c r="M590" s="3"/>
      <c r="W590" s="59"/>
      <c r="X590" s="59"/>
      <c r="Y590" s="59"/>
      <c r="Z590" s="59"/>
      <c r="AA590" s="59"/>
      <c r="AB590" s="59"/>
      <c r="AC590" s="59"/>
    </row>
    <row r="591">
      <c r="E591" s="59"/>
      <c r="F591" s="59"/>
      <c r="G591" s="60"/>
      <c r="J591" s="59"/>
      <c r="K591" s="59"/>
      <c r="L591" s="59"/>
      <c r="M591" s="3"/>
      <c r="W591" s="59"/>
      <c r="X591" s="59"/>
      <c r="Y591" s="59"/>
      <c r="Z591" s="59"/>
      <c r="AA591" s="59"/>
      <c r="AB591" s="59"/>
      <c r="AC591" s="59"/>
    </row>
    <row r="592">
      <c r="E592" s="59"/>
      <c r="F592" s="59"/>
      <c r="G592" s="60"/>
      <c r="J592" s="59"/>
      <c r="K592" s="59"/>
      <c r="L592" s="59"/>
      <c r="M592" s="3"/>
      <c r="W592" s="59"/>
      <c r="X592" s="59"/>
      <c r="Y592" s="59"/>
      <c r="Z592" s="59"/>
      <c r="AA592" s="59"/>
      <c r="AB592" s="59"/>
      <c r="AC592" s="59"/>
    </row>
    <row r="593">
      <c r="E593" s="59"/>
      <c r="F593" s="59"/>
      <c r="G593" s="60"/>
      <c r="J593" s="59"/>
      <c r="K593" s="59"/>
      <c r="L593" s="59"/>
      <c r="M593" s="3"/>
      <c r="W593" s="59"/>
      <c r="X593" s="59"/>
      <c r="Y593" s="59"/>
      <c r="Z593" s="59"/>
      <c r="AA593" s="59"/>
      <c r="AB593" s="59"/>
      <c r="AC593" s="59"/>
    </row>
    <row r="594">
      <c r="E594" s="59"/>
      <c r="F594" s="59"/>
      <c r="G594" s="60"/>
      <c r="J594" s="59"/>
      <c r="K594" s="59"/>
      <c r="L594" s="59"/>
      <c r="M594" s="3"/>
      <c r="W594" s="59"/>
      <c r="X594" s="59"/>
      <c r="Y594" s="59"/>
      <c r="Z594" s="59"/>
      <c r="AA594" s="59"/>
      <c r="AB594" s="59"/>
      <c r="AC594" s="59"/>
    </row>
    <row r="595">
      <c r="E595" s="59"/>
      <c r="F595" s="59"/>
      <c r="G595" s="60"/>
      <c r="J595" s="59"/>
      <c r="K595" s="59"/>
      <c r="L595" s="59"/>
      <c r="M595" s="3"/>
      <c r="W595" s="59"/>
      <c r="X595" s="59"/>
      <c r="Y595" s="59"/>
      <c r="Z595" s="59"/>
      <c r="AA595" s="59"/>
      <c r="AB595" s="59"/>
      <c r="AC595" s="59"/>
    </row>
    <row r="596">
      <c r="E596" s="59"/>
      <c r="F596" s="59"/>
      <c r="G596" s="60"/>
      <c r="J596" s="59"/>
      <c r="K596" s="59"/>
      <c r="L596" s="59"/>
      <c r="M596" s="3"/>
      <c r="W596" s="59"/>
      <c r="X596" s="59"/>
      <c r="Y596" s="59"/>
      <c r="Z596" s="59"/>
      <c r="AA596" s="59"/>
      <c r="AB596" s="59"/>
      <c r="AC596" s="59"/>
    </row>
    <row r="597">
      <c r="E597" s="59"/>
      <c r="F597" s="59"/>
      <c r="G597" s="60"/>
      <c r="J597" s="59"/>
      <c r="K597" s="59"/>
      <c r="L597" s="59"/>
      <c r="M597" s="3"/>
      <c r="W597" s="59"/>
      <c r="X597" s="59"/>
      <c r="Y597" s="59"/>
      <c r="Z597" s="59"/>
      <c r="AA597" s="59"/>
      <c r="AB597" s="59"/>
      <c r="AC597" s="59"/>
    </row>
    <row r="598">
      <c r="E598" s="59"/>
      <c r="F598" s="59"/>
      <c r="G598" s="60"/>
      <c r="J598" s="59"/>
      <c r="K598" s="59"/>
      <c r="L598" s="59"/>
      <c r="M598" s="3"/>
      <c r="W598" s="59"/>
      <c r="X598" s="59"/>
      <c r="Y598" s="59"/>
      <c r="Z598" s="59"/>
      <c r="AA598" s="59"/>
      <c r="AB598" s="59"/>
      <c r="AC598" s="59"/>
    </row>
    <row r="599">
      <c r="E599" s="59"/>
      <c r="F599" s="59"/>
      <c r="G599" s="60"/>
      <c r="J599" s="59"/>
      <c r="K599" s="59"/>
      <c r="L599" s="59"/>
      <c r="M599" s="3"/>
      <c r="W599" s="59"/>
      <c r="X599" s="59"/>
      <c r="Y599" s="59"/>
      <c r="Z599" s="59"/>
      <c r="AA599" s="59"/>
      <c r="AB599" s="59"/>
      <c r="AC599" s="59"/>
    </row>
    <row r="600">
      <c r="E600" s="59"/>
      <c r="F600" s="59"/>
      <c r="G600" s="60"/>
      <c r="J600" s="59"/>
      <c r="K600" s="59"/>
      <c r="L600" s="59"/>
      <c r="M600" s="3"/>
      <c r="W600" s="59"/>
      <c r="X600" s="59"/>
      <c r="Y600" s="59"/>
      <c r="Z600" s="59"/>
      <c r="AA600" s="59"/>
      <c r="AB600" s="59"/>
      <c r="AC600" s="59"/>
    </row>
    <row r="601">
      <c r="E601" s="59"/>
      <c r="F601" s="59"/>
      <c r="G601" s="60"/>
      <c r="J601" s="59"/>
      <c r="K601" s="59"/>
      <c r="L601" s="59"/>
      <c r="M601" s="3"/>
      <c r="W601" s="59"/>
      <c r="X601" s="59"/>
      <c r="Y601" s="59"/>
      <c r="Z601" s="59"/>
      <c r="AA601" s="59"/>
      <c r="AB601" s="59"/>
      <c r="AC601" s="59"/>
    </row>
    <row r="602">
      <c r="E602" s="59"/>
      <c r="F602" s="59"/>
      <c r="G602" s="60"/>
      <c r="J602" s="59"/>
      <c r="K602" s="59"/>
      <c r="L602" s="59"/>
      <c r="M602" s="3"/>
      <c r="W602" s="59"/>
      <c r="X602" s="59"/>
      <c r="Y602" s="59"/>
      <c r="Z602" s="59"/>
      <c r="AA602" s="59"/>
      <c r="AB602" s="59"/>
      <c r="AC602" s="59"/>
    </row>
    <row r="603">
      <c r="E603" s="59"/>
      <c r="F603" s="59"/>
      <c r="G603" s="60"/>
      <c r="J603" s="59"/>
      <c r="K603" s="59"/>
      <c r="L603" s="59"/>
      <c r="M603" s="3"/>
      <c r="W603" s="59"/>
      <c r="X603" s="59"/>
      <c r="Y603" s="59"/>
      <c r="Z603" s="59"/>
      <c r="AA603" s="59"/>
      <c r="AB603" s="59"/>
      <c r="AC603" s="59"/>
    </row>
    <row r="604">
      <c r="E604" s="59"/>
      <c r="F604" s="59"/>
      <c r="G604" s="60"/>
      <c r="J604" s="59"/>
      <c r="K604" s="59"/>
      <c r="L604" s="59"/>
      <c r="M604" s="3"/>
      <c r="W604" s="59"/>
      <c r="X604" s="59"/>
      <c r="Y604" s="59"/>
      <c r="Z604" s="59"/>
      <c r="AA604" s="59"/>
      <c r="AB604" s="59"/>
      <c r="AC604" s="59"/>
    </row>
    <row r="605">
      <c r="E605" s="59"/>
      <c r="F605" s="59"/>
      <c r="G605" s="60"/>
      <c r="J605" s="59"/>
      <c r="K605" s="59"/>
      <c r="L605" s="59"/>
      <c r="M605" s="3"/>
      <c r="W605" s="59"/>
      <c r="X605" s="59"/>
      <c r="Y605" s="59"/>
      <c r="Z605" s="59"/>
      <c r="AA605" s="59"/>
      <c r="AB605" s="59"/>
      <c r="AC605" s="59"/>
    </row>
    <row r="606">
      <c r="E606" s="59"/>
      <c r="F606" s="59"/>
      <c r="G606" s="60"/>
      <c r="J606" s="59"/>
      <c r="K606" s="59"/>
      <c r="L606" s="59"/>
      <c r="M606" s="3"/>
      <c r="W606" s="59"/>
      <c r="X606" s="59"/>
      <c r="Y606" s="59"/>
      <c r="Z606" s="59"/>
      <c r="AA606" s="59"/>
      <c r="AB606" s="59"/>
      <c r="AC606" s="59"/>
    </row>
    <row r="607">
      <c r="E607" s="59"/>
      <c r="F607" s="59"/>
      <c r="G607" s="60"/>
      <c r="J607" s="59"/>
      <c r="K607" s="59"/>
      <c r="L607" s="59"/>
      <c r="M607" s="3"/>
      <c r="W607" s="59"/>
      <c r="X607" s="59"/>
      <c r="Y607" s="59"/>
      <c r="Z607" s="59"/>
      <c r="AA607" s="59"/>
      <c r="AB607" s="59"/>
      <c r="AC607" s="59"/>
    </row>
    <row r="608">
      <c r="E608" s="59"/>
      <c r="F608" s="59"/>
      <c r="G608" s="60"/>
      <c r="J608" s="59"/>
      <c r="K608" s="59"/>
      <c r="L608" s="59"/>
      <c r="M608" s="3"/>
      <c r="W608" s="59"/>
      <c r="X608" s="59"/>
      <c r="Y608" s="59"/>
      <c r="Z608" s="59"/>
      <c r="AA608" s="59"/>
      <c r="AB608" s="59"/>
      <c r="AC608" s="59"/>
    </row>
    <row r="609">
      <c r="E609" s="59"/>
      <c r="F609" s="59"/>
      <c r="G609" s="60"/>
      <c r="J609" s="59"/>
      <c r="K609" s="59"/>
      <c r="L609" s="59"/>
      <c r="M609" s="3"/>
      <c r="W609" s="59"/>
      <c r="X609" s="59"/>
      <c r="Y609" s="59"/>
      <c r="Z609" s="59"/>
      <c r="AA609" s="59"/>
      <c r="AB609" s="59"/>
      <c r="AC609" s="59"/>
    </row>
    <row r="610">
      <c r="E610" s="59"/>
      <c r="F610" s="59"/>
      <c r="G610" s="60"/>
      <c r="J610" s="59"/>
      <c r="K610" s="59"/>
      <c r="L610" s="59"/>
      <c r="M610" s="3"/>
      <c r="W610" s="59"/>
      <c r="X610" s="59"/>
      <c r="Y610" s="59"/>
      <c r="Z610" s="59"/>
      <c r="AA610" s="59"/>
      <c r="AB610" s="59"/>
      <c r="AC610" s="59"/>
    </row>
    <row r="611">
      <c r="E611" s="59"/>
      <c r="F611" s="59"/>
      <c r="G611" s="60"/>
      <c r="J611" s="59"/>
      <c r="K611" s="59"/>
      <c r="L611" s="59"/>
      <c r="M611" s="3"/>
      <c r="W611" s="59"/>
      <c r="X611" s="59"/>
      <c r="Y611" s="59"/>
      <c r="Z611" s="59"/>
      <c r="AA611" s="59"/>
      <c r="AB611" s="59"/>
      <c r="AC611" s="59"/>
    </row>
    <row r="612">
      <c r="E612" s="59"/>
      <c r="F612" s="59"/>
      <c r="G612" s="60"/>
      <c r="J612" s="59"/>
      <c r="K612" s="59"/>
      <c r="L612" s="59"/>
      <c r="M612" s="3"/>
      <c r="W612" s="59"/>
      <c r="X612" s="59"/>
      <c r="Y612" s="59"/>
      <c r="Z612" s="59"/>
      <c r="AA612" s="59"/>
      <c r="AB612" s="59"/>
      <c r="AC612" s="59"/>
    </row>
    <row r="613">
      <c r="E613" s="59"/>
      <c r="F613" s="59"/>
      <c r="G613" s="60"/>
      <c r="J613" s="59"/>
      <c r="K613" s="59"/>
      <c r="L613" s="59"/>
      <c r="M613" s="3"/>
      <c r="W613" s="59"/>
      <c r="X613" s="59"/>
      <c r="Y613" s="59"/>
      <c r="Z613" s="59"/>
      <c r="AA613" s="59"/>
      <c r="AB613" s="59"/>
      <c r="AC613" s="59"/>
    </row>
    <row r="614">
      <c r="E614" s="59"/>
      <c r="F614" s="59"/>
      <c r="G614" s="60"/>
      <c r="J614" s="59"/>
      <c r="K614" s="59"/>
      <c r="L614" s="59"/>
      <c r="M614" s="3"/>
      <c r="W614" s="59"/>
      <c r="X614" s="59"/>
      <c r="Y614" s="59"/>
      <c r="Z614" s="59"/>
      <c r="AA614" s="59"/>
      <c r="AB614" s="59"/>
      <c r="AC614" s="59"/>
    </row>
    <row r="615">
      <c r="E615" s="59"/>
      <c r="F615" s="59"/>
      <c r="G615" s="60"/>
      <c r="J615" s="59"/>
      <c r="K615" s="59"/>
      <c r="L615" s="59"/>
      <c r="M615" s="3"/>
      <c r="W615" s="59"/>
      <c r="X615" s="59"/>
      <c r="Y615" s="59"/>
      <c r="Z615" s="59"/>
      <c r="AA615" s="59"/>
      <c r="AB615" s="59"/>
      <c r="AC615" s="59"/>
    </row>
    <row r="616">
      <c r="E616" s="59"/>
      <c r="F616" s="59"/>
      <c r="G616" s="60"/>
      <c r="J616" s="59"/>
      <c r="K616" s="59"/>
      <c r="L616" s="59"/>
      <c r="M616" s="3"/>
      <c r="W616" s="59"/>
      <c r="X616" s="59"/>
      <c r="Y616" s="59"/>
      <c r="Z616" s="59"/>
      <c r="AA616" s="59"/>
      <c r="AB616" s="59"/>
      <c r="AC616" s="59"/>
    </row>
    <row r="617">
      <c r="E617" s="59"/>
      <c r="F617" s="59"/>
      <c r="G617" s="60"/>
      <c r="J617" s="59"/>
      <c r="K617" s="59"/>
      <c r="L617" s="59"/>
      <c r="M617" s="3"/>
      <c r="W617" s="59"/>
      <c r="X617" s="59"/>
      <c r="Y617" s="59"/>
      <c r="Z617" s="59"/>
      <c r="AA617" s="59"/>
      <c r="AB617" s="59"/>
      <c r="AC617" s="59"/>
    </row>
    <row r="618">
      <c r="E618" s="59"/>
      <c r="F618" s="59"/>
      <c r="G618" s="60"/>
      <c r="J618" s="59"/>
      <c r="K618" s="59"/>
      <c r="L618" s="59"/>
      <c r="M618" s="3"/>
      <c r="W618" s="59"/>
      <c r="X618" s="59"/>
      <c r="Y618" s="59"/>
      <c r="Z618" s="59"/>
      <c r="AA618" s="59"/>
      <c r="AB618" s="59"/>
      <c r="AC618" s="59"/>
    </row>
    <row r="619">
      <c r="E619" s="59"/>
      <c r="F619" s="59"/>
      <c r="G619" s="60"/>
      <c r="J619" s="59"/>
      <c r="K619" s="59"/>
      <c r="L619" s="59"/>
      <c r="M619" s="3"/>
      <c r="W619" s="59"/>
      <c r="X619" s="59"/>
      <c r="Y619" s="59"/>
      <c r="Z619" s="59"/>
      <c r="AA619" s="59"/>
      <c r="AB619" s="59"/>
      <c r="AC619" s="59"/>
    </row>
    <row r="620">
      <c r="E620" s="59"/>
      <c r="F620" s="59"/>
      <c r="G620" s="60"/>
      <c r="J620" s="59"/>
      <c r="K620" s="59"/>
      <c r="L620" s="59"/>
      <c r="M620" s="3"/>
      <c r="W620" s="59"/>
      <c r="X620" s="59"/>
      <c r="Y620" s="59"/>
      <c r="Z620" s="59"/>
      <c r="AA620" s="59"/>
      <c r="AB620" s="59"/>
      <c r="AC620" s="59"/>
    </row>
    <row r="621">
      <c r="E621" s="59"/>
      <c r="F621" s="59"/>
      <c r="G621" s="60"/>
      <c r="J621" s="59"/>
      <c r="K621" s="59"/>
      <c r="L621" s="59"/>
      <c r="M621" s="3"/>
      <c r="W621" s="59"/>
      <c r="X621" s="59"/>
      <c r="Y621" s="59"/>
      <c r="Z621" s="59"/>
      <c r="AA621" s="59"/>
      <c r="AB621" s="59"/>
      <c r="AC621" s="59"/>
    </row>
    <row r="622">
      <c r="E622" s="59"/>
      <c r="F622" s="59"/>
      <c r="G622" s="60"/>
      <c r="J622" s="59"/>
      <c r="K622" s="59"/>
      <c r="L622" s="59"/>
      <c r="M622" s="3"/>
      <c r="W622" s="59"/>
      <c r="X622" s="59"/>
      <c r="Y622" s="59"/>
      <c r="Z622" s="59"/>
      <c r="AA622" s="59"/>
      <c r="AB622" s="59"/>
      <c r="AC622" s="59"/>
    </row>
    <row r="623">
      <c r="E623" s="59"/>
      <c r="F623" s="59"/>
      <c r="G623" s="60"/>
      <c r="J623" s="59"/>
      <c r="K623" s="59"/>
      <c r="L623" s="59"/>
      <c r="M623" s="3"/>
      <c r="W623" s="59"/>
      <c r="X623" s="59"/>
      <c r="Y623" s="59"/>
      <c r="Z623" s="59"/>
      <c r="AA623" s="59"/>
      <c r="AB623" s="59"/>
      <c r="AC623" s="59"/>
    </row>
    <row r="624">
      <c r="E624" s="59"/>
      <c r="F624" s="59"/>
      <c r="G624" s="60"/>
      <c r="J624" s="59"/>
      <c r="K624" s="59"/>
      <c r="L624" s="59"/>
      <c r="M624" s="3"/>
      <c r="W624" s="59"/>
      <c r="X624" s="59"/>
      <c r="Y624" s="59"/>
      <c r="Z624" s="59"/>
      <c r="AA624" s="59"/>
      <c r="AB624" s="59"/>
      <c r="AC624" s="59"/>
    </row>
    <row r="625">
      <c r="E625" s="59"/>
      <c r="F625" s="59"/>
      <c r="G625" s="60"/>
      <c r="J625" s="59"/>
      <c r="K625" s="59"/>
      <c r="L625" s="59"/>
      <c r="M625" s="3"/>
      <c r="W625" s="59"/>
      <c r="X625" s="59"/>
      <c r="Y625" s="59"/>
      <c r="Z625" s="59"/>
      <c r="AA625" s="59"/>
      <c r="AB625" s="59"/>
      <c r="AC625" s="59"/>
    </row>
    <row r="626">
      <c r="E626" s="59"/>
      <c r="F626" s="59"/>
      <c r="G626" s="60"/>
      <c r="J626" s="59"/>
      <c r="K626" s="59"/>
      <c r="L626" s="59"/>
      <c r="M626" s="3"/>
      <c r="W626" s="59"/>
      <c r="X626" s="59"/>
      <c r="Y626" s="59"/>
      <c r="Z626" s="59"/>
      <c r="AA626" s="59"/>
      <c r="AB626" s="59"/>
      <c r="AC626" s="59"/>
    </row>
    <row r="627">
      <c r="E627" s="59"/>
      <c r="F627" s="59"/>
      <c r="G627" s="60"/>
      <c r="J627" s="59"/>
      <c r="K627" s="59"/>
      <c r="L627" s="59"/>
      <c r="M627" s="3"/>
      <c r="W627" s="59"/>
      <c r="X627" s="59"/>
      <c r="Y627" s="59"/>
      <c r="Z627" s="59"/>
      <c r="AA627" s="59"/>
      <c r="AB627" s="59"/>
      <c r="AC627" s="59"/>
    </row>
    <row r="628">
      <c r="E628" s="59"/>
      <c r="F628" s="59"/>
      <c r="G628" s="60"/>
      <c r="J628" s="59"/>
      <c r="K628" s="59"/>
      <c r="L628" s="59"/>
      <c r="M628" s="3"/>
      <c r="W628" s="59"/>
      <c r="X628" s="59"/>
      <c r="Y628" s="59"/>
      <c r="Z628" s="59"/>
      <c r="AA628" s="59"/>
      <c r="AB628" s="59"/>
      <c r="AC628" s="59"/>
    </row>
    <row r="629">
      <c r="E629" s="59"/>
      <c r="F629" s="59"/>
      <c r="G629" s="60"/>
      <c r="J629" s="59"/>
      <c r="K629" s="59"/>
      <c r="L629" s="59"/>
      <c r="M629" s="3"/>
      <c r="W629" s="59"/>
      <c r="X629" s="59"/>
      <c r="Y629" s="59"/>
      <c r="Z629" s="59"/>
      <c r="AA629" s="59"/>
      <c r="AB629" s="59"/>
      <c r="AC629" s="59"/>
    </row>
    <row r="630">
      <c r="E630" s="59"/>
      <c r="F630" s="59"/>
      <c r="G630" s="60"/>
      <c r="J630" s="59"/>
      <c r="K630" s="59"/>
      <c r="L630" s="59"/>
      <c r="M630" s="3"/>
      <c r="W630" s="59"/>
      <c r="X630" s="59"/>
      <c r="Y630" s="59"/>
      <c r="Z630" s="59"/>
      <c r="AA630" s="59"/>
      <c r="AB630" s="59"/>
      <c r="AC630" s="59"/>
    </row>
    <row r="631">
      <c r="E631" s="59"/>
      <c r="F631" s="59"/>
      <c r="G631" s="60"/>
      <c r="J631" s="59"/>
      <c r="K631" s="59"/>
      <c r="L631" s="59"/>
      <c r="M631" s="3"/>
      <c r="W631" s="59"/>
      <c r="X631" s="59"/>
      <c r="Y631" s="59"/>
      <c r="Z631" s="59"/>
      <c r="AA631" s="59"/>
      <c r="AB631" s="59"/>
      <c r="AC631" s="59"/>
    </row>
    <row r="632">
      <c r="E632" s="59"/>
      <c r="F632" s="59"/>
      <c r="G632" s="60"/>
      <c r="J632" s="59"/>
      <c r="K632" s="59"/>
      <c r="L632" s="59"/>
      <c r="M632" s="3"/>
      <c r="W632" s="59"/>
      <c r="X632" s="59"/>
      <c r="Y632" s="59"/>
      <c r="Z632" s="59"/>
      <c r="AA632" s="59"/>
      <c r="AB632" s="59"/>
      <c r="AC632" s="59"/>
    </row>
    <row r="633">
      <c r="E633" s="59"/>
      <c r="F633" s="59"/>
      <c r="G633" s="60"/>
      <c r="J633" s="59"/>
      <c r="K633" s="59"/>
      <c r="L633" s="59"/>
      <c r="M633" s="3"/>
      <c r="W633" s="59"/>
      <c r="X633" s="59"/>
      <c r="Y633" s="59"/>
      <c r="Z633" s="59"/>
      <c r="AA633" s="59"/>
      <c r="AB633" s="59"/>
      <c r="AC633" s="59"/>
    </row>
    <row r="634">
      <c r="E634" s="59"/>
      <c r="F634" s="59"/>
      <c r="G634" s="60"/>
      <c r="J634" s="59"/>
      <c r="K634" s="59"/>
      <c r="L634" s="59"/>
      <c r="M634" s="3"/>
      <c r="W634" s="59"/>
      <c r="X634" s="59"/>
      <c r="Y634" s="59"/>
      <c r="Z634" s="59"/>
      <c r="AA634" s="59"/>
      <c r="AB634" s="59"/>
      <c r="AC634" s="59"/>
    </row>
    <row r="635">
      <c r="E635" s="59"/>
      <c r="F635" s="59"/>
      <c r="G635" s="60"/>
      <c r="J635" s="59"/>
      <c r="K635" s="59"/>
      <c r="L635" s="59"/>
      <c r="M635" s="3"/>
      <c r="W635" s="59"/>
      <c r="X635" s="59"/>
      <c r="Y635" s="59"/>
      <c r="Z635" s="59"/>
      <c r="AA635" s="59"/>
      <c r="AB635" s="59"/>
      <c r="AC635" s="59"/>
    </row>
    <row r="636">
      <c r="E636" s="59"/>
      <c r="F636" s="59"/>
      <c r="G636" s="60"/>
      <c r="J636" s="59"/>
      <c r="K636" s="59"/>
      <c r="L636" s="59"/>
      <c r="M636" s="3"/>
      <c r="W636" s="59"/>
      <c r="X636" s="59"/>
      <c r="Y636" s="59"/>
      <c r="Z636" s="59"/>
      <c r="AA636" s="59"/>
      <c r="AB636" s="59"/>
      <c r="AC636" s="59"/>
    </row>
    <row r="637">
      <c r="E637" s="59"/>
      <c r="F637" s="59"/>
      <c r="G637" s="60"/>
      <c r="J637" s="59"/>
      <c r="K637" s="59"/>
      <c r="L637" s="59"/>
      <c r="M637" s="3"/>
      <c r="W637" s="59"/>
      <c r="X637" s="59"/>
      <c r="Y637" s="59"/>
      <c r="Z637" s="59"/>
      <c r="AA637" s="59"/>
      <c r="AB637" s="59"/>
      <c r="AC637" s="59"/>
    </row>
    <row r="638">
      <c r="E638" s="59"/>
      <c r="F638" s="59"/>
      <c r="G638" s="60"/>
      <c r="J638" s="59"/>
      <c r="K638" s="59"/>
      <c r="L638" s="59"/>
      <c r="M638" s="3"/>
      <c r="W638" s="59"/>
      <c r="X638" s="59"/>
      <c r="Y638" s="59"/>
      <c r="Z638" s="59"/>
      <c r="AA638" s="59"/>
      <c r="AB638" s="59"/>
      <c r="AC638" s="59"/>
    </row>
    <row r="639">
      <c r="E639" s="59"/>
      <c r="F639" s="59"/>
      <c r="G639" s="60"/>
      <c r="J639" s="59"/>
      <c r="K639" s="59"/>
      <c r="L639" s="59"/>
      <c r="M639" s="3"/>
      <c r="W639" s="59"/>
      <c r="X639" s="59"/>
      <c r="Y639" s="59"/>
      <c r="Z639" s="59"/>
      <c r="AA639" s="59"/>
      <c r="AB639" s="59"/>
      <c r="AC639" s="59"/>
    </row>
    <row r="640">
      <c r="E640" s="59"/>
      <c r="F640" s="59"/>
      <c r="G640" s="60"/>
      <c r="J640" s="59"/>
      <c r="K640" s="59"/>
      <c r="L640" s="59"/>
      <c r="M640" s="3"/>
      <c r="W640" s="59"/>
      <c r="X640" s="59"/>
      <c r="Y640" s="59"/>
      <c r="Z640" s="59"/>
      <c r="AA640" s="59"/>
      <c r="AB640" s="59"/>
      <c r="AC640" s="59"/>
    </row>
    <row r="641">
      <c r="E641" s="59"/>
      <c r="F641" s="59"/>
      <c r="G641" s="60"/>
      <c r="J641" s="59"/>
      <c r="K641" s="59"/>
      <c r="L641" s="59"/>
      <c r="M641" s="3"/>
      <c r="W641" s="59"/>
      <c r="X641" s="59"/>
      <c r="Y641" s="59"/>
      <c r="Z641" s="59"/>
      <c r="AA641" s="59"/>
      <c r="AB641" s="59"/>
      <c r="AC641" s="59"/>
    </row>
    <row r="642">
      <c r="E642" s="59"/>
      <c r="F642" s="59"/>
      <c r="G642" s="60"/>
      <c r="J642" s="59"/>
      <c r="K642" s="59"/>
      <c r="L642" s="59"/>
      <c r="M642" s="3"/>
      <c r="W642" s="59"/>
      <c r="X642" s="59"/>
      <c r="Y642" s="59"/>
      <c r="Z642" s="59"/>
      <c r="AA642" s="59"/>
      <c r="AB642" s="59"/>
      <c r="AC642" s="59"/>
    </row>
    <row r="643">
      <c r="E643" s="59"/>
      <c r="F643" s="59"/>
      <c r="G643" s="60"/>
      <c r="J643" s="59"/>
      <c r="K643" s="59"/>
      <c r="L643" s="59"/>
      <c r="M643" s="3"/>
      <c r="W643" s="59"/>
      <c r="X643" s="59"/>
      <c r="Y643" s="59"/>
      <c r="Z643" s="59"/>
      <c r="AA643" s="59"/>
      <c r="AB643" s="59"/>
      <c r="AC643" s="59"/>
    </row>
    <row r="644">
      <c r="E644" s="59"/>
      <c r="F644" s="59"/>
      <c r="G644" s="60"/>
      <c r="J644" s="59"/>
      <c r="K644" s="59"/>
      <c r="L644" s="59"/>
      <c r="M644" s="3"/>
      <c r="W644" s="59"/>
      <c r="X644" s="59"/>
      <c r="Y644" s="59"/>
      <c r="Z644" s="59"/>
      <c r="AA644" s="59"/>
      <c r="AB644" s="59"/>
      <c r="AC644" s="59"/>
    </row>
    <row r="645">
      <c r="E645" s="59"/>
      <c r="F645" s="59"/>
      <c r="G645" s="60"/>
      <c r="J645" s="59"/>
      <c r="K645" s="59"/>
      <c r="L645" s="59"/>
      <c r="M645" s="3"/>
      <c r="W645" s="59"/>
      <c r="X645" s="59"/>
      <c r="Y645" s="59"/>
      <c r="Z645" s="59"/>
      <c r="AA645" s="59"/>
      <c r="AB645" s="59"/>
      <c r="AC645" s="59"/>
    </row>
    <row r="646">
      <c r="E646" s="59"/>
      <c r="F646" s="59"/>
      <c r="G646" s="60"/>
      <c r="J646" s="59"/>
      <c r="K646" s="59"/>
      <c r="L646" s="59"/>
      <c r="M646" s="3"/>
      <c r="W646" s="59"/>
      <c r="X646" s="59"/>
      <c r="Y646" s="59"/>
      <c r="Z646" s="59"/>
      <c r="AA646" s="59"/>
      <c r="AB646" s="59"/>
      <c r="AC646" s="59"/>
    </row>
    <row r="647">
      <c r="E647" s="59"/>
      <c r="F647" s="59"/>
      <c r="G647" s="60"/>
      <c r="J647" s="59"/>
      <c r="K647" s="59"/>
      <c r="L647" s="59"/>
      <c r="M647" s="3"/>
      <c r="W647" s="59"/>
      <c r="X647" s="59"/>
      <c r="Y647" s="59"/>
      <c r="Z647" s="59"/>
      <c r="AA647" s="59"/>
      <c r="AB647" s="59"/>
      <c r="AC647" s="59"/>
    </row>
    <row r="648">
      <c r="E648" s="59"/>
      <c r="F648" s="59"/>
      <c r="G648" s="60"/>
      <c r="J648" s="59"/>
      <c r="K648" s="59"/>
      <c r="L648" s="59"/>
      <c r="M648" s="3"/>
      <c r="W648" s="59"/>
      <c r="X648" s="59"/>
      <c r="Y648" s="59"/>
      <c r="Z648" s="59"/>
      <c r="AA648" s="59"/>
      <c r="AB648" s="59"/>
      <c r="AC648" s="59"/>
    </row>
    <row r="649">
      <c r="E649" s="59"/>
      <c r="F649" s="59"/>
      <c r="G649" s="60"/>
      <c r="J649" s="59"/>
      <c r="K649" s="59"/>
      <c r="L649" s="59"/>
      <c r="M649" s="3"/>
      <c r="W649" s="59"/>
      <c r="X649" s="59"/>
      <c r="Y649" s="59"/>
      <c r="Z649" s="59"/>
      <c r="AA649" s="59"/>
      <c r="AB649" s="59"/>
      <c r="AC649" s="59"/>
    </row>
    <row r="650">
      <c r="E650" s="59"/>
      <c r="F650" s="59"/>
      <c r="G650" s="60"/>
      <c r="J650" s="59"/>
      <c r="K650" s="59"/>
      <c r="L650" s="59"/>
      <c r="M650" s="3"/>
      <c r="W650" s="59"/>
      <c r="X650" s="59"/>
      <c r="Y650" s="59"/>
      <c r="Z650" s="59"/>
      <c r="AA650" s="59"/>
      <c r="AB650" s="59"/>
      <c r="AC650" s="59"/>
    </row>
    <row r="651">
      <c r="E651" s="59"/>
      <c r="F651" s="59"/>
      <c r="G651" s="60"/>
      <c r="J651" s="59"/>
      <c r="K651" s="59"/>
      <c r="L651" s="59"/>
      <c r="M651" s="3"/>
      <c r="W651" s="59"/>
      <c r="X651" s="59"/>
      <c r="Y651" s="59"/>
      <c r="Z651" s="59"/>
      <c r="AA651" s="59"/>
      <c r="AB651" s="59"/>
      <c r="AC651" s="59"/>
    </row>
    <row r="652">
      <c r="E652" s="59"/>
      <c r="F652" s="59"/>
      <c r="G652" s="60"/>
      <c r="J652" s="59"/>
      <c r="K652" s="59"/>
      <c r="L652" s="59"/>
      <c r="M652" s="3"/>
      <c r="W652" s="59"/>
      <c r="X652" s="59"/>
      <c r="Y652" s="59"/>
      <c r="Z652" s="59"/>
      <c r="AA652" s="59"/>
      <c r="AB652" s="59"/>
      <c r="AC652" s="59"/>
    </row>
    <row r="653">
      <c r="E653" s="59"/>
      <c r="F653" s="59"/>
      <c r="G653" s="60"/>
      <c r="J653" s="59"/>
      <c r="K653" s="59"/>
      <c r="L653" s="59"/>
      <c r="M653" s="3"/>
      <c r="W653" s="59"/>
      <c r="X653" s="59"/>
      <c r="Y653" s="59"/>
      <c r="Z653" s="59"/>
      <c r="AA653" s="59"/>
      <c r="AB653" s="59"/>
      <c r="AC653" s="59"/>
    </row>
    <row r="654">
      <c r="E654" s="59"/>
      <c r="F654" s="59"/>
      <c r="G654" s="60"/>
      <c r="J654" s="59"/>
      <c r="K654" s="59"/>
      <c r="L654" s="59"/>
      <c r="M654" s="3"/>
      <c r="W654" s="59"/>
      <c r="X654" s="59"/>
      <c r="Y654" s="59"/>
      <c r="Z654" s="59"/>
      <c r="AA654" s="59"/>
      <c r="AB654" s="59"/>
      <c r="AC654" s="59"/>
    </row>
    <row r="655">
      <c r="E655" s="59"/>
      <c r="F655" s="59"/>
      <c r="G655" s="60"/>
      <c r="J655" s="59"/>
      <c r="K655" s="59"/>
      <c r="L655" s="59"/>
      <c r="M655" s="3"/>
      <c r="W655" s="59"/>
      <c r="X655" s="59"/>
      <c r="Y655" s="59"/>
      <c r="Z655" s="59"/>
      <c r="AA655" s="59"/>
      <c r="AB655" s="59"/>
      <c r="AC655" s="59"/>
    </row>
    <row r="656">
      <c r="E656" s="59"/>
      <c r="F656" s="59"/>
      <c r="G656" s="60"/>
      <c r="J656" s="59"/>
      <c r="K656" s="59"/>
      <c r="L656" s="59"/>
      <c r="M656" s="3"/>
      <c r="W656" s="59"/>
      <c r="X656" s="59"/>
      <c r="Y656" s="59"/>
      <c r="Z656" s="59"/>
      <c r="AA656" s="59"/>
      <c r="AB656" s="59"/>
      <c r="AC656" s="59"/>
    </row>
    <row r="657">
      <c r="E657" s="59"/>
      <c r="F657" s="59"/>
      <c r="G657" s="60"/>
      <c r="J657" s="59"/>
      <c r="K657" s="59"/>
      <c r="L657" s="59"/>
      <c r="M657" s="3"/>
      <c r="W657" s="59"/>
      <c r="X657" s="59"/>
      <c r="Y657" s="59"/>
      <c r="Z657" s="59"/>
      <c r="AA657" s="59"/>
      <c r="AB657" s="59"/>
      <c r="AC657" s="59"/>
    </row>
    <row r="658">
      <c r="E658" s="59"/>
      <c r="F658" s="59"/>
      <c r="G658" s="60"/>
      <c r="J658" s="59"/>
      <c r="K658" s="59"/>
      <c r="L658" s="59"/>
      <c r="M658" s="3"/>
      <c r="W658" s="59"/>
      <c r="X658" s="59"/>
      <c r="Y658" s="59"/>
      <c r="Z658" s="59"/>
      <c r="AA658" s="59"/>
      <c r="AB658" s="59"/>
      <c r="AC658" s="59"/>
    </row>
    <row r="659">
      <c r="E659" s="59"/>
      <c r="F659" s="59"/>
      <c r="G659" s="60"/>
      <c r="J659" s="59"/>
      <c r="K659" s="59"/>
      <c r="L659" s="59"/>
      <c r="M659" s="3"/>
      <c r="W659" s="59"/>
      <c r="X659" s="59"/>
      <c r="Y659" s="59"/>
      <c r="Z659" s="59"/>
      <c r="AA659" s="59"/>
      <c r="AB659" s="59"/>
      <c r="AC659" s="59"/>
    </row>
    <row r="660">
      <c r="E660" s="59"/>
      <c r="F660" s="59"/>
      <c r="G660" s="60"/>
      <c r="J660" s="59"/>
      <c r="K660" s="59"/>
      <c r="L660" s="59"/>
      <c r="M660" s="3"/>
      <c r="W660" s="59"/>
      <c r="X660" s="59"/>
      <c r="Y660" s="59"/>
      <c r="Z660" s="59"/>
      <c r="AA660" s="59"/>
      <c r="AB660" s="59"/>
      <c r="AC660" s="59"/>
    </row>
    <row r="661">
      <c r="E661" s="59"/>
      <c r="F661" s="59"/>
      <c r="G661" s="60"/>
      <c r="J661" s="59"/>
      <c r="K661" s="59"/>
      <c r="L661" s="59"/>
      <c r="M661" s="3"/>
      <c r="W661" s="59"/>
      <c r="X661" s="59"/>
      <c r="Y661" s="59"/>
      <c r="Z661" s="59"/>
      <c r="AA661" s="59"/>
      <c r="AB661" s="59"/>
      <c r="AC661" s="59"/>
    </row>
    <row r="662">
      <c r="E662" s="59"/>
      <c r="F662" s="59"/>
      <c r="G662" s="60"/>
      <c r="J662" s="59"/>
      <c r="K662" s="59"/>
      <c r="L662" s="59"/>
      <c r="M662" s="3"/>
      <c r="W662" s="59"/>
      <c r="X662" s="59"/>
      <c r="Y662" s="59"/>
      <c r="Z662" s="59"/>
      <c r="AA662" s="59"/>
      <c r="AB662" s="59"/>
      <c r="AC662" s="59"/>
    </row>
    <row r="663">
      <c r="E663" s="59"/>
      <c r="F663" s="59"/>
      <c r="G663" s="60"/>
      <c r="J663" s="59"/>
      <c r="K663" s="59"/>
      <c r="L663" s="59"/>
      <c r="M663" s="3"/>
      <c r="W663" s="59"/>
      <c r="X663" s="59"/>
      <c r="Y663" s="59"/>
      <c r="Z663" s="59"/>
      <c r="AA663" s="59"/>
      <c r="AB663" s="59"/>
      <c r="AC663" s="59"/>
    </row>
    <row r="664">
      <c r="E664" s="59"/>
      <c r="F664" s="59"/>
      <c r="G664" s="60"/>
      <c r="J664" s="59"/>
      <c r="K664" s="59"/>
      <c r="L664" s="59"/>
      <c r="M664" s="3"/>
      <c r="W664" s="59"/>
      <c r="X664" s="59"/>
      <c r="Y664" s="59"/>
      <c r="Z664" s="59"/>
      <c r="AA664" s="59"/>
      <c r="AB664" s="59"/>
      <c r="AC664" s="59"/>
    </row>
    <row r="665">
      <c r="E665" s="59"/>
      <c r="F665" s="59"/>
      <c r="G665" s="60"/>
      <c r="J665" s="59"/>
      <c r="K665" s="59"/>
      <c r="L665" s="59"/>
      <c r="M665" s="3"/>
      <c r="W665" s="59"/>
      <c r="X665" s="59"/>
      <c r="Y665" s="59"/>
      <c r="Z665" s="59"/>
      <c r="AA665" s="59"/>
      <c r="AB665" s="59"/>
      <c r="AC665" s="59"/>
    </row>
    <row r="666">
      <c r="E666" s="59"/>
      <c r="F666" s="59"/>
      <c r="G666" s="60"/>
      <c r="J666" s="59"/>
      <c r="K666" s="59"/>
      <c r="L666" s="59"/>
      <c r="M666" s="3"/>
      <c r="W666" s="59"/>
      <c r="X666" s="59"/>
      <c r="Y666" s="59"/>
      <c r="Z666" s="59"/>
      <c r="AA666" s="59"/>
      <c r="AB666" s="59"/>
      <c r="AC666" s="59"/>
    </row>
    <row r="667">
      <c r="E667" s="59"/>
      <c r="F667" s="59"/>
      <c r="G667" s="60"/>
      <c r="J667" s="59"/>
      <c r="K667" s="59"/>
      <c r="L667" s="59"/>
      <c r="M667" s="3"/>
      <c r="W667" s="59"/>
      <c r="X667" s="59"/>
      <c r="Y667" s="59"/>
      <c r="Z667" s="59"/>
      <c r="AA667" s="59"/>
      <c r="AB667" s="59"/>
      <c r="AC667" s="59"/>
    </row>
    <row r="668">
      <c r="E668" s="59"/>
      <c r="F668" s="59"/>
      <c r="G668" s="60"/>
      <c r="J668" s="59"/>
      <c r="K668" s="59"/>
      <c r="L668" s="59"/>
      <c r="M668" s="3"/>
      <c r="W668" s="59"/>
      <c r="X668" s="59"/>
      <c r="Y668" s="59"/>
      <c r="Z668" s="59"/>
      <c r="AA668" s="59"/>
      <c r="AB668" s="59"/>
      <c r="AC668" s="59"/>
    </row>
    <row r="669">
      <c r="E669" s="59"/>
      <c r="F669" s="59"/>
      <c r="G669" s="60"/>
      <c r="J669" s="59"/>
      <c r="K669" s="59"/>
      <c r="L669" s="59"/>
      <c r="M669" s="3"/>
      <c r="W669" s="59"/>
      <c r="X669" s="59"/>
      <c r="Y669" s="59"/>
      <c r="Z669" s="59"/>
      <c r="AA669" s="59"/>
      <c r="AB669" s="59"/>
      <c r="AC669" s="59"/>
    </row>
    <row r="670">
      <c r="E670" s="59"/>
      <c r="F670" s="59"/>
      <c r="G670" s="60"/>
      <c r="J670" s="59"/>
      <c r="K670" s="59"/>
      <c r="L670" s="59"/>
      <c r="M670" s="3"/>
      <c r="W670" s="59"/>
      <c r="X670" s="59"/>
      <c r="Y670" s="59"/>
      <c r="Z670" s="59"/>
      <c r="AA670" s="59"/>
      <c r="AB670" s="59"/>
      <c r="AC670" s="59"/>
    </row>
    <row r="671">
      <c r="E671" s="59"/>
      <c r="F671" s="59"/>
      <c r="G671" s="60"/>
      <c r="J671" s="59"/>
      <c r="K671" s="59"/>
      <c r="L671" s="59"/>
      <c r="M671" s="3"/>
      <c r="W671" s="59"/>
      <c r="X671" s="59"/>
      <c r="Y671" s="59"/>
      <c r="Z671" s="59"/>
      <c r="AA671" s="59"/>
      <c r="AB671" s="59"/>
      <c r="AC671" s="59"/>
    </row>
    <row r="672">
      <c r="E672" s="59"/>
      <c r="F672" s="59"/>
      <c r="G672" s="60"/>
      <c r="J672" s="59"/>
      <c r="K672" s="59"/>
      <c r="L672" s="59"/>
      <c r="M672" s="3"/>
      <c r="W672" s="59"/>
      <c r="X672" s="59"/>
      <c r="Y672" s="59"/>
      <c r="Z672" s="59"/>
      <c r="AA672" s="59"/>
      <c r="AB672" s="59"/>
      <c r="AC672" s="59"/>
    </row>
    <row r="673">
      <c r="E673" s="59"/>
      <c r="F673" s="59"/>
      <c r="G673" s="60"/>
      <c r="J673" s="59"/>
      <c r="K673" s="59"/>
      <c r="L673" s="59"/>
      <c r="M673" s="3"/>
      <c r="W673" s="59"/>
      <c r="X673" s="59"/>
      <c r="Y673" s="59"/>
      <c r="Z673" s="59"/>
      <c r="AA673" s="59"/>
      <c r="AB673" s="59"/>
      <c r="AC673" s="59"/>
    </row>
    <row r="674">
      <c r="E674" s="59"/>
      <c r="F674" s="59"/>
      <c r="G674" s="60"/>
      <c r="J674" s="59"/>
      <c r="K674" s="59"/>
      <c r="L674" s="59"/>
      <c r="M674" s="3"/>
      <c r="W674" s="59"/>
      <c r="X674" s="59"/>
      <c r="Y674" s="59"/>
      <c r="Z674" s="59"/>
      <c r="AA674" s="59"/>
      <c r="AB674" s="59"/>
      <c r="AC674" s="59"/>
    </row>
    <row r="675">
      <c r="E675" s="59"/>
      <c r="F675" s="59"/>
      <c r="G675" s="60"/>
      <c r="J675" s="59"/>
      <c r="K675" s="59"/>
      <c r="L675" s="59"/>
      <c r="M675" s="3"/>
      <c r="W675" s="59"/>
      <c r="X675" s="59"/>
      <c r="Y675" s="59"/>
      <c r="Z675" s="59"/>
      <c r="AA675" s="59"/>
      <c r="AB675" s="59"/>
      <c r="AC675" s="59"/>
    </row>
    <row r="676">
      <c r="E676" s="59"/>
      <c r="F676" s="59"/>
      <c r="G676" s="60"/>
      <c r="J676" s="59"/>
      <c r="K676" s="59"/>
      <c r="L676" s="59"/>
      <c r="M676" s="3"/>
      <c r="W676" s="59"/>
      <c r="X676" s="59"/>
      <c r="Y676" s="59"/>
      <c r="Z676" s="59"/>
      <c r="AA676" s="59"/>
      <c r="AB676" s="59"/>
      <c r="AC676" s="59"/>
    </row>
    <row r="677">
      <c r="E677" s="59"/>
      <c r="F677" s="59"/>
      <c r="G677" s="60"/>
      <c r="J677" s="59"/>
      <c r="K677" s="59"/>
      <c r="L677" s="59"/>
      <c r="M677" s="3"/>
      <c r="W677" s="59"/>
      <c r="X677" s="59"/>
      <c r="Y677" s="59"/>
      <c r="Z677" s="59"/>
      <c r="AA677" s="59"/>
      <c r="AB677" s="59"/>
      <c r="AC677" s="59"/>
    </row>
    <row r="678">
      <c r="E678" s="59"/>
      <c r="F678" s="59"/>
      <c r="G678" s="60"/>
      <c r="J678" s="59"/>
      <c r="K678" s="59"/>
      <c r="L678" s="59"/>
      <c r="M678" s="3"/>
      <c r="W678" s="59"/>
      <c r="X678" s="59"/>
      <c r="Y678" s="59"/>
      <c r="Z678" s="59"/>
      <c r="AA678" s="59"/>
      <c r="AB678" s="59"/>
      <c r="AC678" s="59"/>
    </row>
    <row r="679">
      <c r="E679" s="59"/>
      <c r="F679" s="59"/>
      <c r="G679" s="60"/>
      <c r="J679" s="59"/>
      <c r="K679" s="59"/>
      <c r="L679" s="59"/>
      <c r="M679" s="3"/>
      <c r="W679" s="59"/>
      <c r="X679" s="59"/>
      <c r="Y679" s="59"/>
      <c r="Z679" s="59"/>
      <c r="AA679" s="59"/>
      <c r="AB679" s="59"/>
      <c r="AC679" s="59"/>
    </row>
    <row r="680">
      <c r="E680" s="59"/>
      <c r="F680" s="59"/>
      <c r="G680" s="60"/>
      <c r="J680" s="59"/>
      <c r="K680" s="59"/>
      <c r="L680" s="59"/>
      <c r="M680" s="3"/>
      <c r="W680" s="59"/>
      <c r="X680" s="59"/>
      <c r="Y680" s="59"/>
      <c r="Z680" s="59"/>
      <c r="AA680" s="59"/>
      <c r="AB680" s="59"/>
      <c r="AC680" s="59"/>
    </row>
    <row r="681">
      <c r="E681" s="59"/>
      <c r="F681" s="59"/>
      <c r="G681" s="60"/>
      <c r="J681" s="59"/>
      <c r="K681" s="59"/>
      <c r="L681" s="59"/>
      <c r="M681" s="3"/>
      <c r="W681" s="59"/>
      <c r="X681" s="59"/>
      <c r="Y681" s="59"/>
      <c r="Z681" s="59"/>
      <c r="AA681" s="59"/>
      <c r="AB681" s="59"/>
      <c r="AC681" s="59"/>
    </row>
    <row r="682">
      <c r="E682" s="59"/>
      <c r="F682" s="59"/>
      <c r="G682" s="60"/>
      <c r="J682" s="59"/>
      <c r="K682" s="59"/>
      <c r="L682" s="59"/>
      <c r="M682" s="3"/>
      <c r="W682" s="59"/>
      <c r="X682" s="59"/>
      <c r="Y682" s="59"/>
      <c r="Z682" s="59"/>
      <c r="AA682" s="59"/>
      <c r="AB682" s="59"/>
      <c r="AC682" s="59"/>
    </row>
    <row r="683">
      <c r="E683" s="59"/>
      <c r="F683" s="59"/>
      <c r="G683" s="60"/>
      <c r="J683" s="59"/>
      <c r="K683" s="59"/>
      <c r="L683" s="59"/>
      <c r="M683" s="3"/>
      <c r="W683" s="59"/>
      <c r="X683" s="59"/>
      <c r="Y683" s="59"/>
      <c r="Z683" s="59"/>
      <c r="AA683" s="59"/>
      <c r="AB683" s="59"/>
      <c r="AC683" s="59"/>
    </row>
    <row r="684">
      <c r="E684" s="59"/>
      <c r="F684" s="59"/>
      <c r="G684" s="60"/>
      <c r="J684" s="59"/>
      <c r="K684" s="59"/>
      <c r="L684" s="59"/>
      <c r="M684" s="3"/>
      <c r="W684" s="59"/>
      <c r="X684" s="59"/>
      <c r="Y684" s="59"/>
      <c r="Z684" s="59"/>
      <c r="AA684" s="59"/>
      <c r="AB684" s="59"/>
      <c r="AC684" s="59"/>
    </row>
    <row r="685">
      <c r="E685" s="59"/>
      <c r="F685" s="59"/>
      <c r="G685" s="60"/>
      <c r="J685" s="59"/>
      <c r="K685" s="59"/>
      <c r="L685" s="59"/>
      <c r="M685" s="3"/>
      <c r="W685" s="59"/>
      <c r="X685" s="59"/>
      <c r="Y685" s="59"/>
      <c r="Z685" s="59"/>
      <c r="AA685" s="59"/>
      <c r="AB685" s="59"/>
      <c r="AC685" s="59"/>
    </row>
    <row r="686">
      <c r="E686" s="59"/>
      <c r="F686" s="59"/>
      <c r="G686" s="60"/>
      <c r="J686" s="59"/>
      <c r="K686" s="59"/>
      <c r="L686" s="59"/>
      <c r="M686" s="3"/>
      <c r="W686" s="59"/>
      <c r="X686" s="59"/>
      <c r="Y686" s="59"/>
      <c r="Z686" s="59"/>
      <c r="AA686" s="59"/>
      <c r="AB686" s="59"/>
      <c r="AC686" s="59"/>
    </row>
    <row r="687">
      <c r="E687" s="59"/>
      <c r="F687" s="59"/>
      <c r="G687" s="60"/>
      <c r="J687" s="59"/>
      <c r="K687" s="59"/>
      <c r="L687" s="59"/>
      <c r="M687" s="3"/>
      <c r="W687" s="59"/>
      <c r="X687" s="59"/>
      <c r="Y687" s="59"/>
      <c r="Z687" s="59"/>
      <c r="AA687" s="59"/>
      <c r="AB687" s="59"/>
      <c r="AC687" s="59"/>
    </row>
    <row r="688">
      <c r="E688" s="59"/>
      <c r="F688" s="59"/>
      <c r="G688" s="60"/>
      <c r="J688" s="59"/>
      <c r="K688" s="59"/>
      <c r="L688" s="59"/>
      <c r="M688" s="3"/>
      <c r="W688" s="59"/>
      <c r="X688" s="59"/>
      <c r="Y688" s="59"/>
      <c r="Z688" s="59"/>
      <c r="AA688" s="59"/>
      <c r="AB688" s="59"/>
      <c r="AC688" s="59"/>
    </row>
    <row r="689">
      <c r="E689" s="59"/>
      <c r="F689" s="59"/>
      <c r="G689" s="60"/>
      <c r="J689" s="59"/>
      <c r="K689" s="59"/>
      <c r="L689" s="59"/>
      <c r="M689" s="3"/>
      <c r="W689" s="59"/>
      <c r="X689" s="59"/>
      <c r="Y689" s="59"/>
      <c r="Z689" s="59"/>
      <c r="AA689" s="59"/>
      <c r="AB689" s="59"/>
      <c r="AC689" s="59"/>
    </row>
    <row r="690">
      <c r="E690" s="59"/>
      <c r="F690" s="59"/>
      <c r="G690" s="60"/>
      <c r="J690" s="59"/>
      <c r="K690" s="59"/>
      <c r="L690" s="59"/>
      <c r="M690" s="3"/>
      <c r="W690" s="59"/>
      <c r="X690" s="59"/>
      <c r="Y690" s="59"/>
      <c r="Z690" s="59"/>
      <c r="AA690" s="59"/>
      <c r="AB690" s="59"/>
      <c r="AC690" s="59"/>
    </row>
    <row r="691">
      <c r="E691" s="59"/>
      <c r="F691" s="59"/>
      <c r="G691" s="60"/>
      <c r="J691" s="59"/>
      <c r="K691" s="59"/>
      <c r="L691" s="59"/>
      <c r="M691" s="3"/>
      <c r="W691" s="59"/>
      <c r="X691" s="59"/>
      <c r="Y691" s="59"/>
      <c r="Z691" s="59"/>
      <c r="AA691" s="59"/>
      <c r="AB691" s="59"/>
      <c r="AC691" s="59"/>
    </row>
    <row r="692">
      <c r="E692" s="59"/>
      <c r="F692" s="59"/>
      <c r="G692" s="60"/>
      <c r="J692" s="59"/>
      <c r="K692" s="59"/>
      <c r="L692" s="59"/>
      <c r="M692" s="3"/>
      <c r="W692" s="59"/>
      <c r="X692" s="59"/>
      <c r="Y692" s="59"/>
      <c r="Z692" s="59"/>
      <c r="AA692" s="59"/>
      <c r="AB692" s="59"/>
      <c r="AC692" s="59"/>
    </row>
    <row r="693">
      <c r="E693" s="59"/>
      <c r="F693" s="59"/>
      <c r="G693" s="60"/>
      <c r="J693" s="59"/>
      <c r="K693" s="59"/>
      <c r="L693" s="59"/>
      <c r="M693" s="3"/>
      <c r="W693" s="59"/>
      <c r="X693" s="59"/>
      <c r="Y693" s="59"/>
      <c r="Z693" s="59"/>
      <c r="AA693" s="59"/>
      <c r="AB693" s="59"/>
      <c r="AC693" s="59"/>
    </row>
    <row r="694">
      <c r="E694" s="59"/>
      <c r="F694" s="59"/>
      <c r="G694" s="60"/>
      <c r="J694" s="59"/>
      <c r="K694" s="59"/>
      <c r="L694" s="59"/>
      <c r="M694" s="3"/>
      <c r="W694" s="59"/>
      <c r="X694" s="59"/>
      <c r="Y694" s="59"/>
      <c r="Z694" s="59"/>
      <c r="AA694" s="59"/>
      <c r="AB694" s="59"/>
      <c r="AC694" s="59"/>
    </row>
    <row r="695">
      <c r="E695" s="59"/>
      <c r="F695" s="59"/>
      <c r="G695" s="60"/>
      <c r="J695" s="59"/>
      <c r="K695" s="59"/>
      <c r="L695" s="59"/>
      <c r="M695" s="3"/>
      <c r="W695" s="59"/>
      <c r="X695" s="59"/>
      <c r="Y695" s="59"/>
      <c r="Z695" s="59"/>
      <c r="AA695" s="59"/>
      <c r="AB695" s="59"/>
      <c r="AC695" s="59"/>
    </row>
    <row r="696">
      <c r="E696" s="59"/>
      <c r="F696" s="59"/>
      <c r="G696" s="60"/>
      <c r="J696" s="59"/>
      <c r="K696" s="59"/>
      <c r="L696" s="59"/>
      <c r="M696" s="3"/>
      <c r="W696" s="59"/>
      <c r="X696" s="59"/>
      <c r="Y696" s="59"/>
      <c r="Z696" s="59"/>
      <c r="AA696" s="59"/>
      <c r="AB696" s="59"/>
      <c r="AC696" s="59"/>
    </row>
    <row r="697">
      <c r="E697" s="59"/>
      <c r="F697" s="59"/>
      <c r="G697" s="60"/>
      <c r="J697" s="59"/>
      <c r="K697" s="59"/>
      <c r="L697" s="59"/>
      <c r="M697" s="3"/>
      <c r="W697" s="59"/>
      <c r="X697" s="59"/>
      <c r="Y697" s="59"/>
      <c r="Z697" s="59"/>
      <c r="AA697" s="59"/>
      <c r="AB697" s="59"/>
      <c r="AC697" s="59"/>
    </row>
    <row r="698">
      <c r="E698" s="59"/>
      <c r="F698" s="59"/>
      <c r="G698" s="60"/>
      <c r="J698" s="59"/>
      <c r="K698" s="59"/>
      <c r="L698" s="59"/>
      <c r="M698" s="3"/>
      <c r="W698" s="59"/>
      <c r="X698" s="59"/>
      <c r="Y698" s="59"/>
      <c r="Z698" s="59"/>
      <c r="AA698" s="59"/>
      <c r="AB698" s="59"/>
      <c r="AC698" s="59"/>
    </row>
    <row r="699">
      <c r="E699" s="59"/>
      <c r="F699" s="59"/>
      <c r="G699" s="60"/>
      <c r="J699" s="59"/>
      <c r="K699" s="59"/>
      <c r="L699" s="59"/>
      <c r="M699" s="3"/>
      <c r="W699" s="59"/>
      <c r="X699" s="59"/>
      <c r="Y699" s="59"/>
      <c r="Z699" s="59"/>
      <c r="AA699" s="59"/>
      <c r="AB699" s="59"/>
      <c r="AC699" s="59"/>
    </row>
    <row r="700">
      <c r="E700" s="59"/>
      <c r="F700" s="59"/>
      <c r="G700" s="60"/>
      <c r="J700" s="59"/>
      <c r="K700" s="59"/>
      <c r="L700" s="59"/>
      <c r="M700" s="3"/>
      <c r="W700" s="59"/>
      <c r="X700" s="59"/>
      <c r="Y700" s="59"/>
      <c r="Z700" s="59"/>
      <c r="AA700" s="59"/>
      <c r="AB700" s="59"/>
      <c r="AC700" s="59"/>
    </row>
    <row r="701">
      <c r="E701" s="59"/>
      <c r="F701" s="59"/>
      <c r="G701" s="60"/>
      <c r="J701" s="59"/>
      <c r="K701" s="59"/>
      <c r="L701" s="59"/>
      <c r="M701" s="3"/>
      <c r="W701" s="59"/>
      <c r="X701" s="59"/>
      <c r="Y701" s="59"/>
      <c r="Z701" s="59"/>
      <c r="AA701" s="59"/>
      <c r="AB701" s="59"/>
      <c r="AC701" s="59"/>
    </row>
    <row r="702">
      <c r="E702" s="59"/>
      <c r="F702" s="59"/>
      <c r="G702" s="60"/>
      <c r="J702" s="59"/>
      <c r="K702" s="59"/>
      <c r="L702" s="59"/>
      <c r="M702" s="3"/>
      <c r="W702" s="59"/>
      <c r="X702" s="59"/>
      <c r="Y702" s="59"/>
      <c r="Z702" s="59"/>
      <c r="AA702" s="59"/>
      <c r="AB702" s="59"/>
      <c r="AC702" s="59"/>
    </row>
    <row r="703">
      <c r="E703" s="59"/>
      <c r="F703" s="59"/>
      <c r="G703" s="60"/>
      <c r="J703" s="59"/>
      <c r="K703" s="59"/>
      <c r="L703" s="59"/>
      <c r="M703" s="3"/>
      <c r="W703" s="59"/>
      <c r="X703" s="59"/>
      <c r="Y703" s="59"/>
      <c r="Z703" s="59"/>
      <c r="AA703" s="59"/>
      <c r="AB703" s="59"/>
      <c r="AC703" s="59"/>
    </row>
    <row r="704">
      <c r="E704" s="59"/>
      <c r="F704" s="59"/>
      <c r="G704" s="60"/>
      <c r="J704" s="59"/>
      <c r="K704" s="59"/>
      <c r="L704" s="59"/>
      <c r="M704" s="3"/>
      <c r="W704" s="59"/>
      <c r="X704" s="59"/>
      <c r="Y704" s="59"/>
      <c r="Z704" s="59"/>
      <c r="AA704" s="59"/>
      <c r="AB704" s="59"/>
      <c r="AC704" s="59"/>
    </row>
    <row r="705">
      <c r="E705" s="59"/>
      <c r="F705" s="59"/>
      <c r="G705" s="60"/>
      <c r="J705" s="59"/>
      <c r="K705" s="59"/>
      <c r="L705" s="59"/>
      <c r="M705" s="3"/>
      <c r="W705" s="59"/>
      <c r="X705" s="59"/>
      <c r="Y705" s="59"/>
      <c r="Z705" s="59"/>
      <c r="AA705" s="59"/>
      <c r="AB705" s="59"/>
      <c r="AC705" s="59"/>
    </row>
    <row r="706">
      <c r="E706" s="59"/>
      <c r="F706" s="59"/>
      <c r="G706" s="60"/>
      <c r="J706" s="59"/>
      <c r="K706" s="59"/>
      <c r="L706" s="59"/>
      <c r="M706" s="3"/>
      <c r="W706" s="59"/>
      <c r="X706" s="59"/>
      <c r="Y706" s="59"/>
      <c r="Z706" s="59"/>
      <c r="AA706" s="59"/>
      <c r="AB706" s="59"/>
      <c r="AC706" s="59"/>
    </row>
    <row r="707">
      <c r="E707" s="59"/>
      <c r="F707" s="59"/>
      <c r="G707" s="60"/>
      <c r="J707" s="59"/>
      <c r="K707" s="59"/>
      <c r="L707" s="59"/>
      <c r="M707" s="3"/>
      <c r="W707" s="59"/>
      <c r="X707" s="59"/>
      <c r="Y707" s="59"/>
      <c r="Z707" s="59"/>
      <c r="AA707" s="59"/>
      <c r="AB707" s="59"/>
      <c r="AC707" s="59"/>
    </row>
    <row r="708">
      <c r="E708" s="59"/>
      <c r="F708" s="59"/>
      <c r="G708" s="60"/>
      <c r="J708" s="59"/>
      <c r="K708" s="59"/>
      <c r="L708" s="59"/>
      <c r="M708" s="3"/>
      <c r="W708" s="59"/>
      <c r="X708" s="59"/>
      <c r="Y708" s="59"/>
      <c r="Z708" s="59"/>
      <c r="AA708" s="59"/>
      <c r="AB708" s="59"/>
      <c r="AC708" s="59"/>
    </row>
    <row r="709">
      <c r="E709" s="59"/>
      <c r="F709" s="59"/>
      <c r="G709" s="60"/>
      <c r="J709" s="59"/>
      <c r="K709" s="59"/>
      <c r="L709" s="59"/>
      <c r="M709" s="3"/>
      <c r="W709" s="59"/>
      <c r="X709" s="59"/>
      <c r="Y709" s="59"/>
      <c r="Z709" s="59"/>
      <c r="AA709" s="59"/>
      <c r="AB709" s="59"/>
      <c r="AC709" s="59"/>
    </row>
    <row r="710">
      <c r="E710" s="59"/>
      <c r="F710" s="59"/>
      <c r="G710" s="60"/>
      <c r="J710" s="59"/>
      <c r="K710" s="59"/>
      <c r="L710" s="59"/>
      <c r="M710" s="3"/>
      <c r="W710" s="59"/>
      <c r="X710" s="59"/>
      <c r="Y710" s="59"/>
      <c r="Z710" s="59"/>
      <c r="AA710" s="59"/>
      <c r="AB710" s="59"/>
      <c r="AC710" s="59"/>
    </row>
    <row r="711">
      <c r="E711" s="59"/>
      <c r="F711" s="59"/>
      <c r="G711" s="60"/>
      <c r="J711" s="59"/>
      <c r="K711" s="59"/>
      <c r="L711" s="59"/>
      <c r="M711" s="3"/>
      <c r="W711" s="59"/>
      <c r="X711" s="59"/>
      <c r="Y711" s="59"/>
      <c r="Z711" s="59"/>
      <c r="AA711" s="59"/>
      <c r="AB711" s="59"/>
      <c r="AC711" s="59"/>
    </row>
    <row r="712">
      <c r="E712" s="59"/>
      <c r="F712" s="59"/>
      <c r="G712" s="60"/>
      <c r="J712" s="59"/>
      <c r="K712" s="59"/>
      <c r="L712" s="59"/>
      <c r="M712" s="3"/>
      <c r="W712" s="59"/>
      <c r="X712" s="59"/>
      <c r="Y712" s="59"/>
      <c r="Z712" s="59"/>
      <c r="AA712" s="59"/>
      <c r="AB712" s="59"/>
      <c r="AC712" s="59"/>
    </row>
    <row r="713">
      <c r="E713" s="59"/>
      <c r="F713" s="59"/>
      <c r="G713" s="60"/>
      <c r="J713" s="59"/>
      <c r="K713" s="59"/>
      <c r="L713" s="59"/>
      <c r="M713" s="3"/>
      <c r="W713" s="59"/>
      <c r="X713" s="59"/>
      <c r="Y713" s="59"/>
      <c r="Z713" s="59"/>
      <c r="AA713" s="59"/>
      <c r="AB713" s="59"/>
      <c r="AC713" s="59"/>
    </row>
    <row r="714">
      <c r="E714" s="59"/>
      <c r="F714" s="59"/>
      <c r="G714" s="60"/>
      <c r="J714" s="59"/>
      <c r="K714" s="59"/>
      <c r="L714" s="59"/>
      <c r="M714" s="3"/>
      <c r="W714" s="59"/>
      <c r="X714" s="59"/>
      <c r="Y714" s="59"/>
      <c r="Z714" s="59"/>
      <c r="AA714" s="59"/>
      <c r="AB714" s="59"/>
      <c r="AC714" s="59"/>
    </row>
    <row r="715">
      <c r="E715" s="59"/>
      <c r="F715" s="59"/>
      <c r="G715" s="60"/>
      <c r="J715" s="59"/>
      <c r="K715" s="59"/>
      <c r="L715" s="59"/>
      <c r="M715" s="3"/>
      <c r="W715" s="59"/>
      <c r="X715" s="59"/>
      <c r="Y715" s="59"/>
      <c r="Z715" s="59"/>
      <c r="AA715" s="59"/>
      <c r="AB715" s="59"/>
      <c r="AC715" s="59"/>
    </row>
    <row r="716">
      <c r="E716" s="59"/>
      <c r="F716" s="59"/>
      <c r="G716" s="60"/>
      <c r="J716" s="59"/>
      <c r="K716" s="59"/>
      <c r="L716" s="59"/>
      <c r="M716" s="3"/>
      <c r="W716" s="59"/>
      <c r="X716" s="59"/>
      <c r="Y716" s="59"/>
      <c r="Z716" s="59"/>
      <c r="AA716" s="59"/>
      <c r="AB716" s="59"/>
      <c r="AC716" s="59"/>
    </row>
    <row r="717">
      <c r="E717" s="59"/>
      <c r="F717" s="59"/>
      <c r="G717" s="60"/>
      <c r="J717" s="59"/>
      <c r="K717" s="59"/>
      <c r="L717" s="59"/>
      <c r="M717" s="3"/>
      <c r="W717" s="59"/>
      <c r="X717" s="59"/>
      <c r="Y717" s="59"/>
      <c r="Z717" s="59"/>
      <c r="AA717" s="59"/>
      <c r="AB717" s="59"/>
      <c r="AC717" s="59"/>
    </row>
    <row r="718">
      <c r="E718" s="59"/>
      <c r="F718" s="59"/>
      <c r="G718" s="60"/>
      <c r="J718" s="59"/>
      <c r="K718" s="59"/>
      <c r="L718" s="59"/>
      <c r="M718" s="3"/>
      <c r="W718" s="59"/>
      <c r="X718" s="59"/>
      <c r="Y718" s="59"/>
      <c r="Z718" s="59"/>
      <c r="AA718" s="59"/>
      <c r="AB718" s="59"/>
      <c r="AC718" s="59"/>
    </row>
    <row r="719">
      <c r="E719" s="59"/>
      <c r="F719" s="59"/>
      <c r="G719" s="60"/>
      <c r="J719" s="59"/>
      <c r="K719" s="59"/>
      <c r="L719" s="59"/>
      <c r="M719" s="3"/>
      <c r="W719" s="59"/>
      <c r="X719" s="59"/>
      <c r="Y719" s="59"/>
      <c r="Z719" s="59"/>
      <c r="AA719" s="59"/>
      <c r="AB719" s="59"/>
      <c r="AC719" s="59"/>
    </row>
    <row r="720">
      <c r="E720" s="59"/>
      <c r="F720" s="59"/>
      <c r="G720" s="60"/>
      <c r="J720" s="59"/>
      <c r="K720" s="59"/>
      <c r="L720" s="59"/>
      <c r="M720" s="3"/>
      <c r="W720" s="59"/>
      <c r="X720" s="59"/>
      <c r="Y720" s="59"/>
      <c r="Z720" s="59"/>
      <c r="AA720" s="59"/>
      <c r="AB720" s="59"/>
      <c r="AC720" s="59"/>
    </row>
    <row r="721">
      <c r="E721" s="59"/>
      <c r="F721" s="59"/>
      <c r="G721" s="60"/>
      <c r="J721" s="59"/>
      <c r="K721" s="59"/>
      <c r="L721" s="59"/>
      <c r="M721" s="3"/>
      <c r="W721" s="59"/>
      <c r="X721" s="59"/>
      <c r="Y721" s="59"/>
      <c r="Z721" s="59"/>
      <c r="AA721" s="59"/>
      <c r="AB721" s="59"/>
      <c r="AC721" s="59"/>
    </row>
    <row r="722">
      <c r="E722" s="59"/>
      <c r="F722" s="59"/>
      <c r="G722" s="60"/>
      <c r="J722" s="59"/>
      <c r="K722" s="59"/>
      <c r="L722" s="59"/>
      <c r="M722" s="3"/>
      <c r="W722" s="59"/>
      <c r="X722" s="59"/>
      <c r="Y722" s="59"/>
      <c r="Z722" s="59"/>
      <c r="AA722" s="59"/>
      <c r="AB722" s="59"/>
      <c r="AC722" s="59"/>
    </row>
    <row r="723">
      <c r="E723" s="59"/>
      <c r="F723" s="59"/>
      <c r="G723" s="60"/>
      <c r="J723" s="59"/>
      <c r="K723" s="59"/>
      <c r="L723" s="59"/>
      <c r="M723" s="3"/>
      <c r="W723" s="59"/>
      <c r="X723" s="59"/>
      <c r="Y723" s="59"/>
      <c r="Z723" s="59"/>
      <c r="AA723" s="59"/>
      <c r="AB723" s="59"/>
      <c r="AC723" s="59"/>
    </row>
    <row r="724">
      <c r="E724" s="59"/>
      <c r="F724" s="59"/>
      <c r="G724" s="60"/>
      <c r="J724" s="59"/>
      <c r="K724" s="59"/>
      <c r="L724" s="59"/>
      <c r="M724" s="3"/>
      <c r="W724" s="59"/>
      <c r="X724" s="59"/>
      <c r="Y724" s="59"/>
      <c r="Z724" s="59"/>
      <c r="AA724" s="59"/>
      <c r="AB724" s="59"/>
      <c r="AC724" s="59"/>
    </row>
    <row r="725">
      <c r="E725" s="59"/>
      <c r="F725" s="59"/>
      <c r="G725" s="60"/>
      <c r="J725" s="59"/>
      <c r="K725" s="59"/>
      <c r="L725" s="59"/>
      <c r="M725" s="3"/>
      <c r="W725" s="59"/>
      <c r="X725" s="59"/>
      <c r="Y725" s="59"/>
      <c r="Z725" s="59"/>
      <c r="AA725" s="59"/>
      <c r="AB725" s="59"/>
      <c r="AC725" s="59"/>
    </row>
    <row r="726">
      <c r="E726" s="59"/>
      <c r="F726" s="59"/>
      <c r="G726" s="60"/>
      <c r="J726" s="59"/>
      <c r="K726" s="59"/>
      <c r="L726" s="59"/>
      <c r="M726" s="3"/>
      <c r="W726" s="59"/>
      <c r="X726" s="59"/>
      <c r="Y726" s="59"/>
      <c r="Z726" s="59"/>
      <c r="AA726" s="59"/>
      <c r="AB726" s="59"/>
      <c r="AC726" s="59"/>
    </row>
    <row r="727">
      <c r="E727" s="59"/>
      <c r="F727" s="59"/>
      <c r="G727" s="60"/>
      <c r="J727" s="59"/>
      <c r="K727" s="59"/>
      <c r="L727" s="59"/>
      <c r="M727" s="3"/>
      <c r="W727" s="59"/>
      <c r="X727" s="59"/>
      <c r="Y727" s="59"/>
      <c r="Z727" s="59"/>
      <c r="AA727" s="59"/>
      <c r="AB727" s="59"/>
      <c r="AC727" s="59"/>
    </row>
    <row r="728">
      <c r="E728" s="59"/>
      <c r="F728" s="59"/>
      <c r="G728" s="60"/>
      <c r="J728" s="59"/>
      <c r="K728" s="59"/>
      <c r="L728" s="59"/>
      <c r="M728" s="3"/>
      <c r="W728" s="59"/>
      <c r="X728" s="59"/>
      <c r="Y728" s="59"/>
      <c r="Z728" s="59"/>
      <c r="AA728" s="59"/>
      <c r="AB728" s="59"/>
      <c r="AC728" s="59"/>
    </row>
    <row r="729">
      <c r="E729" s="59"/>
      <c r="F729" s="59"/>
      <c r="G729" s="60"/>
      <c r="J729" s="59"/>
      <c r="K729" s="59"/>
      <c r="L729" s="59"/>
      <c r="M729" s="3"/>
      <c r="W729" s="59"/>
      <c r="X729" s="59"/>
      <c r="Y729" s="59"/>
      <c r="Z729" s="59"/>
      <c r="AA729" s="59"/>
      <c r="AB729" s="59"/>
      <c r="AC729" s="59"/>
    </row>
    <row r="730">
      <c r="E730" s="59"/>
      <c r="F730" s="59"/>
      <c r="G730" s="60"/>
      <c r="J730" s="59"/>
      <c r="K730" s="59"/>
      <c r="L730" s="59"/>
      <c r="M730" s="3"/>
      <c r="W730" s="59"/>
      <c r="X730" s="59"/>
      <c r="Y730" s="59"/>
      <c r="Z730" s="59"/>
      <c r="AA730" s="59"/>
      <c r="AB730" s="59"/>
      <c r="AC730" s="59"/>
    </row>
    <row r="731">
      <c r="E731" s="59"/>
      <c r="F731" s="59"/>
      <c r="G731" s="60"/>
      <c r="J731" s="59"/>
      <c r="K731" s="59"/>
      <c r="L731" s="59"/>
      <c r="M731" s="3"/>
      <c r="W731" s="59"/>
      <c r="X731" s="59"/>
      <c r="Y731" s="59"/>
      <c r="Z731" s="59"/>
      <c r="AA731" s="59"/>
      <c r="AB731" s="59"/>
      <c r="AC731" s="59"/>
    </row>
    <row r="732">
      <c r="E732" s="59"/>
      <c r="F732" s="59"/>
      <c r="G732" s="60"/>
      <c r="J732" s="59"/>
      <c r="K732" s="59"/>
      <c r="L732" s="59"/>
      <c r="M732" s="3"/>
      <c r="W732" s="59"/>
      <c r="X732" s="59"/>
      <c r="Y732" s="59"/>
      <c r="Z732" s="59"/>
      <c r="AA732" s="59"/>
      <c r="AB732" s="59"/>
      <c r="AC732" s="59"/>
    </row>
    <row r="733">
      <c r="E733" s="59"/>
      <c r="F733" s="59"/>
      <c r="G733" s="60"/>
      <c r="J733" s="59"/>
      <c r="K733" s="59"/>
      <c r="L733" s="59"/>
      <c r="M733" s="3"/>
      <c r="W733" s="59"/>
      <c r="X733" s="59"/>
      <c r="Y733" s="59"/>
      <c r="Z733" s="59"/>
      <c r="AA733" s="59"/>
      <c r="AB733" s="59"/>
      <c r="AC733" s="59"/>
    </row>
    <row r="734">
      <c r="E734" s="59"/>
      <c r="F734" s="59"/>
      <c r="G734" s="60"/>
      <c r="J734" s="59"/>
      <c r="K734" s="59"/>
      <c r="L734" s="59"/>
      <c r="M734" s="3"/>
      <c r="W734" s="59"/>
      <c r="X734" s="59"/>
      <c r="Y734" s="59"/>
      <c r="Z734" s="59"/>
      <c r="AA734" s="59"/>
      <c r="AB734" s="59"/>
      <c r="AC734" s="59"/>
    </row>
    <row r="735">
      <c r="E735" s="59"/>
      <c r="F735" s="59"/>
      <c r="G735" s="60"/>
      <c r="J735" s="59"/>
      <c r="K735" s="59"/>
      <c r="L735" s="59"/>
      <c r="M735" s="3"/>
      <c r="W735" s="59"/>
      <c r="X735" s="59"/>
      <c r="Y735" s="59"/>
      <c r="Z735" s="59"/>
      <c r="AA735" s="59"/>
      <c r="AB735" s="59"/>
      <c r="AC735" s="59"/>
    </row>
    <row r="736">
      <c r="E736" s="59"/>
      <c r="F736" s="59"/>
      <c r="G736" s="60"/>
      <c r="J736" s="59"/>
      <c r="K736" s="59"/>
      <c r="L736" s="59"/>
      <c r="M736" s="3"/>
      <c r="W736" s="59"/>
      <c r="X736" s="59"/>
      <c r="Y736" s="59"/>
      <c r="Z736" s="59"/>
      <c r="AA736" s="59"/>
      <c r="AB736" s="59"/>
      <c r="AC736" s="59"/>
    </row>
    <row r="737">
      <c r="E737" s="59"/>
      <c r="F737" s="59"/>
      <c r="G737" s="60"/>
      <c r="J737" s="59"/>
      <c r="K737" s="59"/>
      <c r="L737" s="59"/>
      <c r="M737" s="3"/>
      <c r="W737" s="59"/>
      <c r="X737" s="59"/>
      <c r="Y737" s="59"/>
      <c r="Z737" s="59"/>
      <c r="AA737" s="59"/>
      <c r="AB737" s="59"/>
      <c r="AC737" s="59"/>
    </row>
    <row r="738">
      <c r="E738" s="59"/>
      <c r="F738" s="59"/>
      <c r="G738" s="60"/>
      <c r="J738" s="59"/>
      <c r="K738" s="59"/>
      <c r="L738" s="59"/>
      <c r="M738" s="3"/>
      <c r="W738" s="59"/>
      <c r="X738" s="59"/>
      <c r="Y738" s="59"/>
      <c r="Z738" s="59"/>
      <c r="AA738" s="59"/>
      <c r="AB738" s="59"/>
      <c r="AC738" s="59"/>
    </row>
    <row r="739">
      <c r="E739" s="59"/>
      <c r="F739" s="59"/>
      <c r="G739" s="60"/>
      <c r="J739" s="59"/>
      <c r="K739" s="59"/>
      <c r="L739" s="59"/>
      <c r="M739" s="3"/>
      <c r="W739" s="59"/>
      <c r="X739" s="59"/>
      <c r="Y739" s="59"/>
      <c r="Z739" s="59"/>
      <c r="AA739" s="59"/>
      <c r="AB739" s="59"/>
      <c r="AC739" s="59"/>
    </row>
    <row r="740">
      <c r="E740" s="59"/>
      <c r="F740" s="59"/>
      <c r="G740" s="60"/>
      <c r="J740" s="59"/>
      <c r="K740" s="59"/>
      <c r="L740" s="59"/>
      <c r="M740" s="3"/>
      <c r="W740" s="59"/>
      <c r="X740" s="59"/>
      <c r="Y740" s="59"/>
      <c r="Z740" s="59"/>
      <c r="AA740" s="59"/>
      <c r="AB740" s="59"/>
      <c r="AC740" s="59"/>
    </row>
    <row r="741">
      <c r="E741" s="59"/>
      <c r="F741" s="59"/>
      <c r="G741" s="60"/>
      <c r="J741" s="59"/>
      <c r="K741" s="59"/>
      <c r="L741" s="59"/>
      <c r="M741" s="3"/>
      <c r="W741" s="59"/>
      <c r="X741" s="59"/>
      <c r="Y741" s="59"/>
      <c r="Z741" s="59"/>
      <c r="AA741" s="59"/>
      <c r="AB741" s="59"/>
      <c r="AC741" s="59"/>
    </row>
    <row r="742">
      <c r="E742" s="59"/>
      <c r="F742" s="59"/>
      <c r="G742" s="60"/>
      <c r="J742" s="59"/>
      <c r="K742" s="59"/>
      <c r="L742" s="59"/>
      <c r="M742" s="3"/>
      <c r="W742" s="59"/>
      <c r="X742" s="59"/>
      <c r="Y742" s="59"/>
      <c r="Z742" s="59"/>
      <c r="AA742" s="59"/>
      <c r="AB742" s="59"/>
      <c r="AC742" s="59"/>
    </row>
    <row r="743">
      <c r="E743" s="59"/>
      <c r="F743" s="59"/>
      <c r="G743" s="60"/>
      <c r="J743" s="59"/>
      <c r="K743" s="59"/>
      <c r="L743" s="59"/>
      <c r="M743" s="3"/>
      <c r="W743" s="59"/>
      <c r="X743" s="59"/>
      <c r="Y743" s="59"/>
      <c r="Z743" s="59"/>
      <c r="AA743" s="59"/>
      <c r="AB743" s="59"/>
      <c r="AC743" s="59"/>
    </row>
    <row r="744">
      <c r="E744" s="59"/>
      <c r="F744" s="59"/>
      <c r="G744" s="60"/>
      <c r="J744" s="59"/>
      <c r="K744" s="59"/>
      <c r="L744" s="59"/>
      <c r="M744" s="3"/>
      <c r="W744" s="59"/>
      <c r="X744" s="59"/>
      <c r="Y744" s="59"/>
      <c r="Z744" s="59"/>
      <c r="AA744" s="59"/>
      <c r="AB744" s="59"/>
      <c r="AC744" s="59"/>
    </row>
    <row r="745">
      <c r="E745" s="59"/>
      <c r="F745" s="59"/>
      <c r="G745" s="60"/>
      <c r="J745" s="59"/>
      <c r="K745" s="59"/>
      <c r="L745" s="59"/>
      <c r="M745" s="3"/>
      <c r="W745" s="59"/>
      <c r="X745" s="59"/>
      <c r="Y745" s="59"/>
      <c r="Z745" s="59"/>
      <c r="AA745" s="59"/>
      <c r="AB745" s="59"/>
      <c r="AC745" s="59"/>
    </row>
    <row r="746">
      <c r="E746" s="59"/>
      <c r="F746" s="59"/>
      <c r="G746" s="60"/>
      <c r="J746" s="59"/>
      <c r="K746" s="59"/>
      <c r="L746" s="59"/>
      <c r="M746" s="3"/>
      <c r="W746" s="59"/>
      <c r="X746" s="59"/>
      <c r="Y746" s="59"/>
      <c r="Z746" s="59"/>
      <c r="AA746" s="59"/>
      <c r="AB746" s="59"/>
      <c r="AC746" s="59"/>
    </row>
    <row r="747">
      <c r="E747" s="59"/>
      <c r="F747" s="59"/>
      <c r="G747" s="60"/>
      <c r="J747" s="59"/>
      <c r="K747" s="59"/>
      <c r="L747" s="59"/>
      <c r="M747" s="3"/>
      <c r="W747" s="59"/>
      <c r="X747" s="59"/>
      <c r="Y747" s="59"/>
      <c r="Z747" s="59"/>
      <c r="AA747" s="59"/>
      <c r="AB747" s="59"/>
      <c r="AC747" s="59"/>
    </row>
    <row r="748">
      <c r="E748" s="59"/>
      <c r="F748" s="59"/>
      <c r="G748" s="60"/>
      <c r="J748" s="59"/>
      <c r="K748" s="59"/>
      <c r="L748" s="59"/>
      <c r="M748" s="3"/>
      <c r="W748" s="59"/>
      <c r="X748" s="59"/>
      <c r="Y748" s="59"/>
      <c r="Z748" s="59"/>
      <c r="AA748" s="59"/>
      <c r="AB748" s="59"/>
      <c r="AC748" s="59"/>
    </row>
    <row r="749">
      <c r="E749" s="59"/>
      <c r="F749" s="59"/>
      <c r="G749" s="60"/>
      <c r="J749" s="59"/>
      <c r="K749" s="59"/>
      <c r="L749" s="59"/>
      <c r="M749" s="3"/>
      <c r="W749" s="59"/>
      <c r="X749" s="59"/>
      <c r="Y749" s="59"/>
      <c r="Z749" s="59"/>
      <c r="AA749" s="59"/>
      <c r="AB749" s="59"/>
      <c r="AC749" s="59"/>
    </row>
    <row r="750">
      <c r="E750" s="59"/>
      <c r="F750" s="59"/>
      <c r="G750" s="60"/>
      <c r="J750" s="59"/>
      <c r="K750" s="59"/>
      <c r="L750" s="59"/>
      <c r="M750" s="3"/>
      <c r="W750" s="59"/>
      <c r="X750" s="59"/>
      <c r="Y750" s="59"/>
      <c r="Z750" s="59"/>
      <c r="AA750" s="59"/>
      <c r="AB750" s="59"/>
      <c r="AC750" s="59"/>
    </row>
    <row r="751">
      <c r="E751" s="59"/>
      <c r="F751" s="59"/>
      <c r="G751" s="60"/>
      <c r="J751" s="59"/>
      <c r="K751" s="59"/>
      <c r="L751" s="59"/>
      <c r="M751" s="3"/>
      <c r="W751" s="59"/>
      <c r="X751" s="59"/>
      <c r="Y751" s="59"/>
      <c r="Z751" s="59"/>
      <c r="AA751" s="59"/>
      <c r="AB751" s="59"/>
      <c r="AC751" s="59"/>
    </row>
    <row r="752">
      <c r="E752" s="59"/>
      <c r="F752" s="59"/>
      <c r="G752" s="60"/>
      <c r="J752" s="59"/>
      <c r="K752" s="59"/>
      <c r="L752" s="59"/>
      <c r="M752" s="3"/>
      <c r="W752" s="59"/>
      <c r="X752" s="59"/>
      <c r="Y752" s="59"/>
      <c r="Z752" s="59"/>
      <c r="AA752" s="59"/>
      <c r="AB752" s="59"/>
      <c r="AC752" s="59"/>
    </row>
    <row r="753">
      <c r="E753" s="59"/>
      <c r="F753" s="59"/>
      <c r="G753" s="60"/>
      <c r="J753" s="59"/>
      <c r="K753" s="59"/>
      <c r="L753" s="59"/>
      <c r="M753" s="3"/>
      <c r="W753" s="59"/>
      <c r="X753" s="59"/>
      <c r="Y753" s="59"/>
      <c r="Z753" s="59"/>
      <c r="AA753" s="59"/>
      <c r="AB753" s="59"/>
      <c r="AC753" s="59"/>
    </row>
    <row r="754">
      <c r="E754" s="59"/>
      <c r="F754" s="59"/>
      <c r="G754" s="60"/>
      <c r="J754" s="59"/>
      <c r="K754" s="59"/>
      <c r="L754" s="59"/>
      <c r="M754" s="3"/>
      <c r="W754" s="59"/>
      <c r="X754" s="59"/>
      <c r="Y754" s="59"/>
      <c r="Z754" s="59"/>
      <c r="AA754" s="59"/>
      <c r="AB754" s="59"/>
      <c r="AC754" s="59"/>
    </row>
    <row r="755">
      <c r="E755" s="59"/>
      <c r="F755" s="59"/>
      <c r="G755" s="60"/>
      <c r="J755" s="59"/>
      <c r="K755" s="59"/>
      <c r="L755" s="59"/>
      <c r="M755" s="3"/>
      <c r="W755" s="59"/>
      <c r="X755" s="59"/>
      <c r="Y755" s="59"/>
      <c r="Z755" s="59"/>
      <c r="AA755" s="59"/>
      <c r="AB755" s="59"/>
      <c r="AC755" s="59"/>
    </row>
    <row r="756">
      <c r="E756" s="59"/>
      <c r="F756" s="59"/>
      <c r="G756" s="60"/>
      <c r="J756" s="59"/>
      <c r="K756" s="59"/>
      <c r="L756" s="59"/>
      <c r="M756" s="3"/>
      <c r="W756" s="59"/>
      <c r="X756" s="59"/>
      <c r="Y756" s="59"/>
      <c r="Z756" s="59"/>
      <c r="AA756" s="59"/>
      <c r="AB756" s="59"/>
      <c r="AC756" s="59"/>
    </row>
    <row r="757">
      <c r="E757" s="59"/>
      <c r="F757" s="59"/>
      <c r="G757" s="60"/>
      <c r="J757" s="59"/>
      <c r="K757" s="59"/>
      <c r="L757" s="59"/>
      <c r="M757" s="3"/>
      <c r="W757" s="59"/>
      <c r="X757" s="59"/>
      <c r="Y757" s="59"/>
      <c r="Z757" s="59"/>
      <c r="AA757" s="59"/>
      <c r="AB757" s="59"/>
      <c r="AC757" s="59"/>
    </row>
    <row r="758">
      <c r="E758" s="59"/>
      <c r="F758" s="59"/>
      <c r="G758" s="60"/>
      <c r="J758" s="59"/>
      <c r="K758" s="59"/>
      <c r="L758" s="59"/>
      <c r="M758" s="3"/>
      <c r="W758" s="59"/>
      <c r="X758" s="59"/>
      <c r="Y758" s="59"/>
      <c r="Z758" s="59"/>
      <c r="AA758" s="59"/>
      <c r="AB758" s="59"/>
      <c r="AC758" s="59"/>
    </row>
    <row r="759">
      <c r="E759" s="59"/>
      <c r="F759" s="59"/>
      <c r="G759" s="60"/>
      <c r="J759" s="59"/>
      <c r="K759" s="59"/>
      <c r="L759" s="59"/>
      <c r="M759" s="3"/>
      <c r="W759" s="59"/>
      <c r="X759" s="59"/>
      <c r="Y759" s="59"/>
      <c r="Z759" s="59"/>
      <c r="AA759" s="59"/>
      <c r="AB759" s="59"/>
      <c r="AC759" s="59"/>
    </row>
    <row r="760">
      <c r="E760" s="59"/>
      <c r="F760" s="59"/>
      <c r="G760" s="60"/>
      <c r="J760" s="59"/>
      <c r="K760" s="59"/>
      <c r="L760" s="59"/>
      <c r="M760" s="3"/>
      <c r="W760" s="59"/>
      <c r="X760" s="59"/>
      <c r="Y760" s="59"/>
      <c r="Z760" s="59"/>
      <c r="AA760" s="59"/>
      <c r="AB760" s="59"/>
      <c r="AC760" s="59"/>
    </row>
    <row r="761">
      <c r="E761" s="59"/>
      <c r="F761" s="59"/>
      <c r="G761" s="60"/>
      <c r="J761" s="59"/>
      <c r="K761" s="59"/>
      <c r="L761" s="59"/>
      <c r="M761" s="3"/>
      <c r="W761" s="59"/>
      <c r="X761" s="59"/>
      <c r="Y761" s="59"/>
      <c r="Z761" s="59"/>
      <c r="AA761" s="59"/>
      <c r="AB761" s="59"/>
      <c r="AC761" s="59"/>
    </row>
    <row r="762">
      <c r="E762" s="59"/>
      <c r="F762" s="59"/>
      <c r="G762" s="60"/>
      <c r="J762" s="59"/>
      <c r="K762" s="59"/>
      <c r="L762" s="59"/>
      <c r="M762" s="3"/>
      <c r="W762" s="59"/>
      <c r="X762" s="59"/>
      <c r="Y762" s="59"/>
      <c r="Z762" s="59"/>
      <c r="AA762" s="59"/>
      <c r="AB762" s="59"/>
      <c r="AC762" s="59"/>
    </row>
    <row r="763">
      <c r="E763" s="59"/>
      <c r="F763" s="59"/>
      <c r="G763" s="60"/>
      <c r="J763" s="59"/>
      <c r="K763" s="59"/>
      <c r="L763" s="59"/>
      <c r="M763" s="3"/>
      <c r="W763" s="59"/>
      <c r="X763" s="59"/>
      <c r="Y763" s="59"/>
      <c r="Z763" s="59"/>
      <c r="AA763" s="59"/>
      <c r="AB763" s="59"/>
      <c r="AC763" s="59"/>
    </row>
    <row r="764">
      <c r="E764" s="59"/>
      <c r="F764" s="59"/>
      <c r="G764" s="60"/>
      <c r="J764" s="59"/>
      <c r="K764" s="59"/>
      <c r="L764" s="59"/>
      <c r="M764" s="3"/>
      <c r="W764" s="59"/>
      <c r="X764" s="59"/>
      <c r="Y764" s="59"/>
      <c r="Z764" s="59"/>
      <c r="AA764" s="59"/>
      <c r="AB764" s="59"/>
      <c r="AC764" s="59"/>
    </row>
    <row r="765">
      <c r="E765" s="59"/>
      <c r="F765" s="59"/>
      <c r="G765" s="60"/>
      <c r="J765" s="59"/>
      <c r="K765" s="59"/>
      <c r="L765" s="59"/>
      <c r="M765" s="3"/>
      <c r="W765" s="59"/>
      <c r="X765" s="59"/>
      <c r="Y765" s="59"/>
      <c r="Z765" s="59"/>
      <c r="AA765" s="59"/>
      <c r="AB765" s="59"/>
      <c r="AC765" s="59"/>
    </row>
    <row r="766">
      <c r="E766" s="59"/>
      <c r="F766" s="59"/>
      <c r="G766" s="60"/>
      <c r="J766" s="59"/>
      <c r="K766" s="59"/>
      <c r="L766" s="59"/>
      <c r="M766" s="3"/>
      <c r="W766" s="59"/>
      <c r="X766" s="59"/>
      <c r="Y766" s="59"/>
      <c r="Z766" s="59"/>
      <c r="AA766" s="59"/>
      <c r="AB766" s="59"/>
      <c r="AC766" s="59"/>
    </row>
    <row r="767">
      <c r="E767" s="59"/>
      <c r="F767" s="59"/>
      <c r="G767" s="60"/>
      <c r="J767" s="59"/>
      <c r="K767" s="59"/>
      <c r="L767" s="59"/>
      <c r="M767" s="3"/>
      <c r="W767" s="59"/>
      <c r="X767" s="59"/>
      <c r="Y767" s="59"/>
      <c r="Z767" s="59"/>
      <c r="AA767" s="59"/>
      <c r="AB767" s="59"/>
      <c r="AC767" s="59"/>
    </row>
    <row r="768">
      <c r="E768" s="59"/>
      <c r="F768" s="59"/>
      <c r="G768" s="60"/>
      <c r="J768" s="59"/>
      <c r="K768" s="59"/>
      <c r="L768" s="59"/>
      <c r="M768" s="3"/>
      <c r="W768" s="59"/>
      <c r="X768" s="59"/>
      <c r="Y768" s="59"/>
      <c r="Z768" s="59"/>
      <c r="AA768" s="59"/>
      <c r="AB768" s="59"/>
      <c r="AC768" s="59"/>
    </row>
    <row r="769">
      <c r="E769" s="59"/>
      <c r="F769" s="59"/>
      <c r="G769" s="60"/>
      <c r="J769" s="59"/>
      <c r="K769" s="59"/>
      <c r="L769" s="59"/>
      <c r="M769" s="3"/>
      <c r="W769" s="59"/>
      <c r="X769" s="59"/>
      <c r="Y769" s="59"/>
      <c r="Z769" s="59"/>
      <c r="AA769" s="59"/>
      <c r="AB769" s="59"/>
      <c r="AC769" s="59"/>
    </row>
    <row r="770">
      <c r="E770" s="59"/>
      <c r="F770" s="59"/>
      <c r="G770" s="60"/>
      <c r="J770" s="59"/>
      <c r="K770" s="59"/>
      <c r="L770" s="59"/>
      <c r="M770" s="3"/>
      <c r="W770" s="59"/>
      <c r="X770" s="59"/>
      <c r="Y770" s="59"/>
      <c r="Z770" s="59"/>
      <c r="AA770" s="59"/>
      <c r="AB770" s="59"/>
      <c r="AC770" s="59"/>
    </row>
    <row r="771">
      <c r="E771" s="59"/>
      <c r="F771" s="59"/>
      <c r="G771" s="60"/>
      <c r="J771" s="59"/>
      <c r="K771" s="59"/>
      <c r="L771" s="59"/>
      <c r="M771" s="3"/>
      <c r="W771" s="59"/>
      <c r="X771" s="59"/>
      <c r="Y771" s="59"/>
      <c r="Z771" s="59"/>
      <c r="AA771" s="59"/>
      <c r="AB771" s="59"/>
      <c r="AC771" s="59"/>
    </row>
    <row r="772">
      <c r="E772" s="59"/>
      <c r="F772" s="59"/>
      <c r="G772" s="60"/>
      <c r="J772" s="59"/>
      <c r="K772" s="59"/>
      <c r="L772" s="59"/>
      <c r="M772" s="3"/>
      <c r="W772" s="59"/>
      <c r="X772" s="59"/>
      <c r="Y772" s="59"/>
      <c r="Z772" s="59"/>
      <c r="AA772" s="59"/>
      <c r="AB772" s="59"/>
      <c r="AC772" s="59"/>
    </row>
    <row r="773">
      <c r="E773" s="59"/>
      <c r="F773" s="59"/>
      <c r="G773" s="60"/>
      <c r="J773" s="59"/>
      <c r="K773" s="59"/>
      <c r="L773" s="59"/>
      <c r="M773" s="3"/>
      <c r="W773" s="59"/>
      <c r="X773" s="59"/>
      <c r="Y773" s="59"/>
      <c r="Z773" s="59"/>
      <c r="AA773" s="59"/>
      <c r="AB773" s="59"/>
      <c r="AC773" s="59"/>
    </row>
    <row r="774">
      <c r="E774" s="59"/>
      <c r="F774" s="59"/>
      <c r="G774" s="60"/>
      <c r="J774" s="59"/>
      <c r="K774" s="59"/>
      <c r="L774" s="59"/>
      <c r="M774" s="3"/>
      <c r="W774" s="59"/>
      <c r="X774" s="59"/>
      <c r="Y774" s="59"/>
      <c r="Z774" s="59"/>
      <c r="AA774" s="59"/>
      <c r="AB774" s="59"/>
      <c r="AC774" s="59"/>
    </row>
    <row r="775">
      <c r="E775" s="59"/>
      <c r="F775" s="59"/>
      <c r="G775" s="60"/>
      <c r="J775" s="59"/>
      <c r="K775" s="59"/>
      <c r="L775" s="59"/>
      <c r="M775" s="3"/>
      <c r="W775" s="59"/>
      <c r="X775" s="59"/>
      <c r="Y775" s="59"/>
      <c r="Z775" s="59"/>
      <c r="AA775" s="59"/>
      <c r="AB775" s="59"/>
      <c r="AC775" s="59"/>
    </row>
    <row r="776">
      <c r="E776" s="59"/>
      <c r="F776" s="59"/>
      <c r="G776" s="60"/>
      <c r="J776" s="59"/>
      <c r="K776" s="59"/>
      <c r="L776" s="59"/>
      <c r="M776" s="3"/>
      <c r="W776" s="59"/>
      <c r="X776" s="59"/>
      <c r="Y776" s="59"/>
      <c r="Z776" s="59"/>
      <c r="AA776" s="59"/>
      <c r="AB776" s="59"/>
      <c r="AC776" s="59"/>
    </row>
    <row r="777">
      <c r="E777" s="59"/>
      <c r="F777" s="59"/>
      <c r="G777" s="60"/>
      <c r="J777" s="59"/>
      <c r="K777" s="59"/>
      <c r="L777" s="59"/>
      <c r="M777" s="3"/>
      <c r="W777" s="59"/>
      <c r="X777" s="59"/>
      <c r="Y777" s="59"/>
      <c r="Z777" s="59"/>
      <c r="AA777" s="59"/>
      <c r="AB777" s="59"/>
      <c r="AC777" s="59"/>
    </row>
    <row r="778">
      <c r="E778" s="59"/>
      <c r="F778" s="59"/>
      <c r="G778" s="60"/>
      <c r="J778" s="59"/>
      <c r="K778" s="59"/>
      <c r="L778" s="59"/>
      <c r="M778" s="3"/>
      <c r="W778" s="59"/>
      <c r="X778" s="59"/>
      <c r="Y778" s="59"/>
      <c r="Z778" s="59"/>
      <c r="AA778" s="59"/>
      <c r="AB778" s="59"/>
      <c r="AC778" s="59"/>
    </row>
    <row r="779">
      <c r="E779" s="59"/>
      <c r="F779" s="59"/>
      <c r="G779" s="60"/>
      <c r="J779" s="59"/>
      <c r="K779" s="59"/>
      <c r="L779" s="59"/>
      <c r="M779" s="3"/>
      <c r="W779" s="59"/>
      <c r="X779" s="59"/>
      <c r="Y779" s="59"/>
      <c r="Z779" s="59"/>
      <c r="AA779" s="59"/>
      <c r="AB779" s="59"/>
      <c r="AC779" s="59"/>
    </row>
    <row r="780">
      <c r="E780" s="59"/>
      <c r="F780" s="59"/>
      <c r="G780" s="60"/>
      <c r="J780" s="59"/>
      <c r="K780" s="59"/>
      <c r="L780" s="59"/>
      <c r="M780" s="3"/>
      <c r="W780" s="59"/>
      <c r="X780" s="59"/>
      <c r="Y780" s="59"/>
      <c r="Z780" s="59"/>
      <c r="AA780" s="59"/>
      <c r="AB780" s="59"/>
      <c r="AC780" s="59"/>
    </row>
    <row r="781">
      <c r="E781" s="59"/>
      <c r="F781" s="59"/>
      <c r="G781" s="60"/>
      <c r="J781" s="59"/>
      <c r="K781" s="59"/>
      <c r="L781" s="59"/>
      <c r="M781" s="3"/>
      <c r="W781" s="59"/>
      <c r="X781" s="59"/>
      <c r="Y781" s="59"/>
      <c r="Z781" s="59"/>
      <c r="AA781" s="59"/>
      <c r="AB781" s="59"/>
      <c r="AC781" s="59"/>
    </row>
    <row r="782">
      <c r="E782" s="59"/>
      <c r="F782" s="59"/>
      <c r="G782" s="60"/>
      <c r="J782" s="59"/>
      <c r="K782" s="59"/>
      <c r="L782" s="59"/>
      <c r="M782" s="3"/>
      <c r="W782" s="59"/>
      <c r="X782" s="59"/>
      <c r="Y782" s="59"/>
      <c r="Z782" s="59"/>
      <c r="AA782" s="59"/>
      <c r="AB782" s="59"/>
      <c r="AC782" s="59"/>
    </row>
    <row r="783">
      <c r="E783" s="59"/>
      <c r="F783" s="59"/>
      <c r="G783" s="60"/>
      <c r="J783" s="59"/>
      <c r="K783" s="59"/>
      <c r="L783" s="59"/>
      <c r="M783" s="3"/>
      <c r="W783" s="59"/>
      <c r="X783" s="59"/>
      <c r="Y783" s="59"/>
      <c r="Z783" s="59"/>
      <c r="AA783" s="59"/>
      <c r="AB783" s="59"/>
      <c r="AC783" s="59"/>
    </row>
    <row r="784">
      <c r="E784" s="59"/>
      <c r="F784" s="59"/>
      <c r="G784" s="60"/>
      <c r="J784" s="59"/>
      <c r="K784" s="59"/>
      <c r="L784" s="59"/>
      <c r="M784" s="3"/>
      <c r="W784" s="59"/>
      <c r="X784" s="59"/>
      <c r="Y784" s="59"/>
      <c r="Z784" s="59"/>
      <c r="AA784" s="59"/>
      <c r="AB784" s="59"/>
      <c r="AC784" s="59"/>
    </row>
    <row r="785">
      <c r="E785" s="59"/>
      <c r="F785" s="59"/>
      <c r="G785" s="60"/>
      <c r="J785" s="59"/>
      <c r="K785" s="59"/>
      <c r="L785" s="59"/>
      <c r="M785" s="3"/>
      <c r="W785" s="59"/>
      <c r="X785" s="59"/>
      <c r="Y785" s="59"/>
      <c r="Z785" s="59"/>
      <c r="AA785" s="59"/>
      <c r="AB785" s="59"/>
      <c r="AC785" s="59"/>
    </row>
    <row r="786">
      <c r="E786" s="59"/>
      <c r="F786" s="59"/>
      <c r="G786" s="60"/>
      <c r="J786" s="59"/>
      <c r="K786" s="59"/>
      <c r="L786" s="59"/>
      <c r="M786" s="3"/>
      <c r="W786" s="59"/>
      <c r="X786" s="59"/>
      <c r="Y786" s="59"/>
      <c r="Z786" s="59"/>
      <c r="AA786" s="59"/>
      <c r="AB786" s="59"/>
      <c r="AC786" s="59"/>
    </row>
    <row r="787">
      <c r="E787" s="59"/>
      <c r="F787" s="59"/>
      <c r="G787" s="60"/>
      <c r="J787" s="59"/>
      <c r="K787" s="59"/>
      <c r="L787" s="59"/>
      <c r="M787" s="3"/>
      <c r="W787" s="59"/>
      <c r="X787" s="59"/>
      <c r="Y787" s="59"/>
      <c r="Z787" s="59"/>
      <c r="AA787" s="59"/>
      <c r="AB787" s="59"/>
      <c r="AC787" s="59"/>
    </row>
    <row r="788">
      <c r="E788" s="59"/>
      <c r="F788" s="59"/>
      <c r="G788" s="60"/>
      <c r="J788" s="59"/>
      <c r="K788" s="59"/>
      <c r="L788" s="59"/>
      <c r="M788" s="3"/>
      <c r="W788" s="59"/>
      <c r="X788" s="59"/>
      <c r="Y788" s="59"/>
      <c r="Z788" s="59"/>
      <c r="AA788" s="59"/>
      <c r="AB788" s="59"/>
      <c r="AC788" s="59"/>
    </row>
    <row r="789">
      <c r="E789" s="59"/>
      <c r="F789" s="59"/>
      <c r="G789" s="60"/>
      <c r="J789" s="59"/>
      <c r="K789" s="59"/>
      <c r="L789" s="59"/>
      <c r="M789" s="3"/>
      <c r="W789" s="59"/>
      <c r="X789" s="59"/>
      <c r="Y789" s="59"/>
      <c r="Z789" s="59"/>
      <c r="AA789" s="59"/>
      <c r="AB789" s="59"/>
      <c r="AC789" s="59"/>
    </row>
    <row r="790">
      <c r="E790" s="59"/>
      <c r="F790" s="59"/>
      <c r="G790" s="60"/>
      <c r="J790" s="59"/>
      <c r="K790" s="59"/>
      <c r="L790" s="59"/>
      <c r="M790" s="3"/>
      <c r="W790" s="59"/>
      <c r="X790" s="59"/>
      <c r="Y790" s="59"/>
      <c r="Z790" s="59"/>
      <c r="AA790" s="59"/>
      <c r="AB790" s="59"/>
      <c r="AC790" s="59"/>
    </row>
    <row r="791">
      <c r="E791" s="59"/>
      <c r="F791" s="59"/>
      <c r="G791" s="60"/>
      <c r="J791" s="59"/>
      <c r="K791" s="59"/>
      <c r="L791" s="59"/>
      <c r="M791" s="3"/>
      <c r="W791" s="59"/>
      <c r="X791" s="59"/>
      <c r="Y791" s="59"/>
      <c r="Z791" s="59"/>
      <c r="AA791" s="59"/>
      <c r="AB791" s="59"/>
      <c r="AC791" s="59"/>
    </row>
    <row r="792">
      <c r="E792" s="59"/>
      <c r="F792" s="59"/>
      <c r="G792" s="60"/>
      <c r="J792" s="59"/>
      <c r="K792" s="59"/>
      <c r="L792" s="59"/>
      <c r="M792" s="3"/>
      <c r="W792" s="59"/>
      <c r="X792" s="59"/>
      <c r="Y792" s="59"/>
      <c r="Z792" s="59"/>
      <c r="AA792" s="59"/>
      <c r="AB792" s="59"/>
      <c r="AC792" s="59"/>
    </row>
    <row r="793">
      <c r="E793" s="59"/>
      <c r="F793" s="59"/>
      <c r="G793" s="60"/>
      <c r="J793" s="59"/>
      <c r="K793" s="59"/>
      <c r="L793" s="59"/>
      <c r="M793" s="3"/>
      <c r="W793" s="59"/>
      <c r="X793" s="59"/>
      <c r="Y793" s="59"/>
      <c r="Z793" s="59"/>
      <c r="AA793" s="59"/>
      <c r="AB793" s="59"/>
      <c r="AC793" s="59"/>
    </row>
    <row r="794">
      <c r="E794" s="59"/>
      <c r="F794" s="59"/>
      <c r="G794" s="60"/>
      <c r="J794" s="59"/>
      <c r="K794" s="59"/>
      <c r="L794" s="59"/>
      <c r="M794" s="3"/>
      <c r="W794" s="59"/>
      <c r="X794" s="59"/>
      <c r="Y794" s="59"/>
      <c r="Z794" s="59"/>
      <c r="AA794" s="59"/>
      <c r="AB794" s="59"/>
      <c r="AC794" s="59"/>
    </row>
    <row r="795">
      <c r="E795" s="59"/>
      <c r="F795" s="59"/>
      <c r="G795" s="60"/>
      <c r="J795" s="59"/>
      <c r="K795" s="59"/>
      <c r="L795" s="59"/>
      <c r="M795" s="3"/>
      <c r="W795" s="59"/>
      <c r="X795" s="59"/>
      <c r="Y795" s="59"/>
      <c r="Z795" s="59"/>
      <c r="AA795" s="59"/>
      <c r="AB795" s="59"/>
      <c r="AC795" s="59"/>
    </row>
    <row r="796">
      <c r="E796" s="59"/>
      <c r="F796" s="59"/>
      <c r="G796" s="60"/>
      <c r="J796" s="59"/>
      <c r="K796" s="59"/>
      <c r="L796" s="59"/>
      <c r="M796" s="3"/>
      <c r="W796" s="59"/>
      <c r="X796" s="59"/>
      <c r="Y796" s="59"/>
      <c r="Z796" s="59"/>
      <c r="AA796" s="59"/>
      <c r="AB796" s="59"/>
      <c r="AC796" s="59"/>
    </row>
    <row r="797">
      <c r="E797" s="59"/>
      <c r="F797" s="59"/>
      <c r="G797" s="60"/>
      <c r="J797" s="59"/>
      <c r="K797" s="59"/>
      <c r="L797" s="59"/>
      <c r="M797" s="3"/>
      <c r="W797" s="59"/>
      <c r="X797" s="59"/>
      <c r="Y797" s="59"/>
      <c r="Z797" s="59"/>
      <c r="AA797" s="59"/>
      <c r="AB797" s="59"/>
      <c r="AC797" s="59"/>
    </row>
    <row r="798">
      <c r="E798" s="59"/>
      <c r="F798" s="59"/>
      <c r="G798" s="60"/>
      <c r="J798" s="59"/>
      <c r="K798" s="59"/>
      <c r="L798" s="59"/>
      <c r="M798" s="3"/>
      <c r="W798" s="59"/>
      <c r="X798" s="59"/>
      <c r="Y798" s="59"/>
      <c r="Z798" s="59"/>
      <c r="AA798" s="59"/>
      <c r="AB798" s="59"/>
      <c r="AC798" s="59"/>
    </row>
    <row r="799">
      <c r="E799" s="59"/>
      <c r="F799" s="59"/>
      <c r="G799" s="60"/>
      <c r="J799" s="59"/>
      <c r="K799" s="59"/>
      <c r="L799" s="59"/>
      <c r="M799" s="3"/>
      <c r="W799" s="59"/>
      <c r="X799" s="59"/>
      <c r="Y799" s="59"/>
      <c r="Z799" s="59"/>
      <c r="AA799" s="59"/>
      <c r="AB799" s="59"/>
      <c r="AC799" s="59"/>
    </row>
    <row r="800">
      <c r="E800" s="59"/>
      <c r="F800" s="59"/>
      <c r="G800" s="60"/>
      <c r="J800" s="59"/>
      <c r="K800" s="59"/>
      <c r="L800" s="59"/>
      <c r="M800" s="3"/>
      <c r="W800" s="59"/>
      <c r="X800" s="59"/>
      <c r="Y800" s="59"/>
      <c r="Z800" s="59"/>
      <c r="AA800" s="59"/>
      <c r="AB800" s="59"/>
      <c r="AC800" s="59"/>
    </row>
    <row r="801">
      <c r="E801" s="59"/>
      <c r="F801" s="59"/>
      <c r="G801" s="60"/>
      <c r="J801" s="59"/>
      <c r="K801" s="59"/>
      <c r="L801" s="59"/>
      <c r="M801" s="3"/>
      <c r="W801" s="59"/>
      <c r="X801" s="59"/>
      <c r="Y801" s="59"/>
      <c r="Z801" s="59"/>
      <c r="AA801" s="59"/>
      <c r="AB801" s="59"/>
      <c r="AC801" s="59"/>
    </row>
    <row r="802">
      <c r="E802" s="59"/>
      <c r="F802" s="59"/>
      <c r="G802" s="60"/>
      <c r="J802" s="59"/>
      <c r="K802" s="59"/>
      <c r="L802" s="59"/>
      <c r="M802" s="3"/>
      <c r="W802" s="59"/>
      <c r="X802" s="59"/>
      <c r="Y802" s="59"/>
      <c r="Z802" s="59"/>
      <c r="AA802" s="59"/>
      <c r="AB802" s="59"/>
      <c r="AC802" s="59"/>
    </row>
    <row r="803">
      <c r="E803" s="59"/>
      <c r="F803" s="59"/>
      <c r="G803" s="60"/>
      <c r="J803" s="59"/>
      <c r="K803" s="59"/>
      <c r="L803" s="59"/>
      <c r="M803" s="3"/>
      <c r="W803" s="59"/>
      <c r="X803" s="59"/>
      <c r="Y803" s="59"/>
      <c r="Z803" s="59"/>
      <c r="AA803" s="59"/>
      <c r="AB803" s="59"/>
      <c r="AC803" s="59"/>
    </row>
    <row r="804">
      <c r="E804" s="59"/>
      <c r="F804" s="59"/>
      <c r="G804" s="60"/>
      <c r="J804" s="59"/>
      <c r="K804" s="59"/>
      <c r="L804" s="59"/>
      <c r="M804" s="3"/>
      <c r="W804" s="59"/>
      <c r="X804" s="59"/>
      <c r="Y804" s="59"/>
      <c r="Z804" s="59"/>
      <c r="AA804" s="59"/>
      <c r="AB804" s="59"/>
      <c r="AC804" s="59"/>
    </row>
    <row r="805">
      <c r="E805" s="59"/>
      <c r="F805" s="59"/>
      <c r="G805" s="60"/>
      <c r="J805" s="59"/>
      <c r="K805" s="59"/>
      <c r="L805" s="59"/>
      <c r="M805" s="3"/>
      <c r="W805" s="59"/>
      <c r="X805" s="59"/>
      <c r="Y805" s="59"/>
      <c r="Z805" s="59"/>
      <c r="AA805" s="59"/>
      <c r="AB805" s="59"/>
      <c r="AC805" s="59"/>
    </row>
    <row r="806">
      <c r="E806" s="59"/>
      <c r="F806" s="59"/>
      <c r="G806" s="60"/>
      <c r="J806" s="59"/>
      <c r="K806" s="59"/>
      <c r="L806" s="59"/>
      <c r="M806" s="3"/>
      <c r="W806" s="59"/>
      <c r="X806" s="59"/>
      <c r="Y806" s="59"/>
      <c r="Z806" s="59"/>
      <c r="AA806" s="59"/>
      <c r="AB806" s="59"/>
      <c r="AC806" s="59"/>
    </row>
    <row r="807">
      <c r="E807" s="59"/>
      <c r="F807" s="59"/>
      <c r="G807" s="60"/>
      <c r="J807" s="59"/>
      <c r="K807" s="59"/>
      <c r="L807" s="59"/>
      <c r="M807" s="3"/>
      <c r="W807" s="59"/>
      <c r="X807" s="59"/>
      <c r="Y807" s="59"/>
      <c r="Z807" s="59"/>
      <c r="AA807" s="59"/>
      <c r="AB807" s="59"/>
      <c r="AC807" s="59"/>
    </row>
    <row r="808">
      <c r="E808" s="59"/>
      <c r="F808" s="59"/>
      <c r="G808" s="60"/>
      <c r="J808" s="59"/>
      <c r="K808" s="59"/>
      <c r="L808" s="59"/>
      <c r="M808" s="3"/>
      <c r="W808" s="59"/>
      <c r="X808" s="59"/>
      <c r="Y808" s="59"/>
      <c r="Z808" s="59"/>
      <c r="AA808" s="59"/>
      <c r="AB808" s="59"/>
      <c r="AC808" s="59"/>
    </row>
    <row r="809">
      <c r="E809" s="59"/>
      <c r="F809" s="59"/>
      <c r="G809" s="60"/>
      <c r="J809" s="59"/>
      <c r="K809" s="59"/>
      <c r="L809" s="59"/>
      <c r="M809" s="3"/>
      <c r="W809" s="59"/>
      <c r="X809" s="59"/>
      <c r="Y809" s="59"/>
      <c r="Z809" s="59"/>
      <c r="AA809" s="59"/>
      <c r="AB809" s="59"/>
      <c r="AC809" s="59"/>
    </row>
    <row r="810">
      <c r="E810" s="59"/>
      <c r="F810" s="59"/>
      <c r="G810" s="60"/>
      <c r="J810" s="59"/>
      <c r="K810" s="59"/>
      <c r="L810" s="59"/>
      <c r="M810" s="3"/>
      <c r="W810" s="59"/>
      <c r="X810" s="59"/>
      <c r="Y810" s="59"/>
      <c r="Z810" s="59"/>
      <c r="AA810" s="59"/>
      <c r="AB810" s="59"/>
      <c r="AC810" s="59"/>
    </row>
    <row r="811">
      <c r="E811" s="59"/>
      <c r="F811" s="59"/>
      <c r="G811" s="60"/>
      <c r="J811" s="59"/>
      <c r="K811" s="59"/>
      <c r="L811" s="59"/>
      <c r="M811" s="3"/>
      <c r="W811" s="59"/>
      <c r="X811" s="59"/>
      <c r="Y811" s="59"/>
      <c r="Z811" s="59"/>
      <c r="AA811" s="59"/>
      <c r="AB811" s="59"/>
      <c r="AC811" s="59"/>
    </row>
    <row r="812">
      <c r="E812" s="59"/>
      <c r="F812" s="59"/>
      <c r="G812" s="60"/>
      <c r="J812" s="59"/>
      <c r="K812" s="59"/>
      <c r="L812" s="59"/>
      <c r="M812" s="3"/>
      <c r="W812" s="59"/>
      <c r="X812" s="59"/>
      <c r="Y812" s="59"/>
      <c r="Z812" s="59"/>
      <c r="AA812" s="59"/>
      <c r="AB812" s="59"/>
      <c r="AC812" s="59"/>
    </row>
    <row r="813">
      <c r="E813" s="59"/>
      <c r="F813" s="59"/>
      <c r="G813" s="60"/>
      <c r="J813" s="59"/>
      <c r="K813" s="59"/>
      <c r="L813" s="59"/>
      <c r="M813" s="3"/>
      <c r="W813" s="59"/>
      <c r="X813" s="59"/>
      <c r="Y813" s="59"/>
      <c r="Z813" s="59"/>
      <c r="AA813" s="59"/>
      <c r="AB813" s="59"/>
      <c r="AC813" s="59"/>
    </row>
    <row r="814">
      <c r="E814" s="59"/>
      <c r="F814" s="59"/>
      <c r="G814" s="60"/>
      <c r="J814" s="59"/>
      <c r="K814" s="59"/>
      <c r="L814" s="59"/>
      <c r="M814" s="3"/>
      <c r="W814" s="59"/>
      <c r="X814" s="59"/>
      <c r="Y814" s="59"/>
      <c r="Z814" s="59"/>
      <c r="AA814" s="59"/>
      <c r="AB814" s="59"/>
      <c r="AC814" s="59"/>
    </row>
    <row r="815">
      <c r="E815" s="59"/>
      <c r="F815" s="59"/>
      <c r="G815" s="60"/>
      <c r="J815" s="59"/>
      <c r="K815" s="59"/>
      <c r="L815" s="59"/>
      <c r="M815" s="3"/>
      <c r="W815" s="59"/>
      <c r="X815" s="59"/>
      <c r="Y815" s="59"/>
      <c r="Z815" s="59"/>
      <c r="AA815" s="59"/>
      <c r="AB815" s="59"/>
      <c r="AC815" s="59"/>
    </row>
    <row r="816">
      <c r="E816" s="59"/>
      <c r="F816" s="59"/>
      <c r="G816" s="60"/>
      <c r="J816" s="59"/>
      <c r="K816" s="59"/>
      <c r="L816" s="59"/>
      <c r="M816" s="3"/>
      <c r="W816" s="59"/>
      <c r="X816" s="59"/>
      <c r="Y816" s="59"/>
      <c r="Z816" s="59"/>
      <c r="AA816" s="59"/>
      <c r="AB816" s="59"/>
      <c r="AC816" s="59"/>
    </row>
    <row r="817">
      <c r="E817" s="59"/>
      <c r="F817" s="59"/>
      <c r="G817" s="60"/>
      <c r="J817" s="59"/>
      <c r="K817" s="59"/>
      <c r="L817" s="59"/>
      <c r="M817" s="3"/>
      <c r="W817" s="59"/>
      <c r="X817" s="59"/>
      <c r="Y817" s="59"/>
      <c r="Z817" s="59"/>
      <c r="AA817" s="59"/>
      <c r="AB817" s="59"/>
      <c r="AC817" s="59"/>
    </row>
    <row r="818">
      <c r="E818" s="59"/>
      <c r="F818" s="59"/>
      <c r="G818" s="60"/>
      <c r="J818" s="59"/>
      <c r="K818" s="59"/>
      <c r="L818" s="59"/>
      <c r="M818" s="3"/>
      <c r="W818" s="59"/>
      <c r="X818" s="59"/>
      <c r="Y818" s="59"/>
      <c r="Z818" s="59"/>
      <c r="AA818" s="59"/>
      <c r="AB818" s="59"/>
      <c r="AC818" s="59"/>
    </row>
    <row r="819">
      <c r="E819" s="59"/>
      <c r="F819" s="59"/>
      <c r="G819" s="60"/>
      <c r="J819" s="59"/>
      <c r="K819" s="59"/>
      <c r="L819" s="59"/>
      <c r="M819" s="3"/>
      <c r="W819" s="59"/>
      <c r="X819" s="59"/>
      <c r="Y819" s="59"/>
      <c r="Z819" s="59"/>
      <c r="AA819" s="59"/>
      <c r="AB819" s="59"/>
      <c r="AC819" s="59"/>
    </row>
    <row r="820">
      <c r="E820" s="59"/>
      <c r="F820" s="59"/>
      <c r="G820" s="60"/>
      <c r="J820" s="59"/>
      <c r="K820" s="59"/>
      <c r="L820" s="59"/>
      <c r="M820" s="3"/>
      <c r="W820" s="59"/>
      <c r="X820" s="59"/>
      <c r="Y820" s="59"/>
      <c r="Z820" s="59"/>
      <c r="AA820" s="59"/>
      <c r="AB820" s="59"/>
      <c r="AC820" s="59"/>
    </row>
    <row r="821">
      <c r="E821" s="59"/>
      <c r="F821" s="59"/>
      <c r="G821" s="60"/>
      <c r="J821" s="59"/>
      <c r="K821" s="59"/>
      <c r="L821" s="59"/>
      <c r="M821" s="3"/>
      <c r="W821" s="59"/>
      <c r="X821" s="59"/>
      <c r="Y821" s="59"/>
      <c r="Z821" s="59"/>
      <c r="AA821" s="59"/>
      <c r="AB821" s="59"/>
      <c r="AC821" s="59"/>
    </row>
    <row r="822">
      <c r="E822" s="59"/>
      <c r="F822" s="59"/>
      <c r="G822" s="60"/>
      <c r="J822" s="59"/>
      <c r="K822" s="59"/>
      <c r="L822" s="59"/>
      <c r="M822" s="3"/>
      <c r="W822" s="59"/>
      <c r="X822" s="59"/>
      <c r="Y822" s="59"/>
      <c r="Z822" s="59"/>
      <c r="AA822" s="59"/>
      <c r="AB822" s="59"/>
      <c r="AC822" s="59"/>
    </row>
    <row r="823">
      <c r="E823" s="59"/>
      <c r="F823" s="59"/>
      <c r="G823" s="60"/>
      <c r="J823" s="59"/>
      <c r="K823" s="59"/>
      <c r="L823" s="59"/>
      <c r="M823" s="3"/>
      <c r="W823" s="59"/>
      <c r="X823" s="59"/>
      <c r="Y823" s="59"/>
      <c r="Z823" s="59"/>
      <c r="AA823" s="59"/>
      <c r="AB823" s="59"/>
      <c r="AC823" s="59"/>
    </row>
    <row r="824">
      <c r="E824" s="59"/>
      <c r="F824" s="59"/>
      <c r="G824" s="60"/>
      <c r="J824" s="59"/>
      <c r="K824" s="59"/>
      <c r="L824" s="59"/>
      <c r="M824" s="3"/>
      <c r="W824" s="59"/>
      <c r="X824" s="59"/>
      <c r="Y824" s="59"/>
      <c r="Z824" s="59"/>
      <c r="AA824" s="59"/>
      <c r="AB824" s="59"/>
      <c r="AC824" s="59"/>
    </row>
    <row r="825">
      <c r="E825" s="59"/>
      <c r="F825" s="59"/>
      <c r="G825" s="60"/>
      <c r="J825" s="59"/>
      <c r="K825" s="59"/>
      <c r="L825" s="59"/>
      <c r="M825" s="3"/>
      <c r="W825" s="59"/>
      <c r="X825" s="59"/>
      <c r="Y825" s="59"/>
      <c r="Z825" s="59"/>
      <c r="AA825" s="59"/>
      <c r="AB825" s="59"/>
      <c r="AC825" s="59"/>
    </row>
    <row r="826">
      <c r="E826" s="59"/>
      <c r="F826" s="59"/>
      <c r="G826" s="60"/>
      <c r="J826" s="59"/>
      <c r="K826" s="59"/>
      <c r="L826" s="59"/>
      <c r="M826" s="3"/>
      <c r="W826" s="59"/>
      <c r="X826" s="59"/>
      <c r="Y826" s="59"/>
      <c r="Z826" s="59"/>
      <c r="AA826" s="59"/>
      <c r="AB826" s="59"/>
      <c r="AC826" s="59"/>
    </row>
    <row r="827">
      <c r="E827" s="59"/>
      <c r="F827" s="59"/>
      <c r="G827" s="60"/>
      <c r="J827" s="59"/>
      <c r="K827" s="59"/>
      <c r="L827" s="59"/>
      <c r="M827" s="3"/>
      <c r="W827" s="59"/>
      <c r="X827" s="59"/>
      <c r="Y827" s="59"/>
      <c r="Z827" s="59"/>
      <c r="AA827" s="59"/>
      <c r="AB827" s="59"/>
      <c r="AC827" s="59"/>
    </row>
    <row r="828">
      <c r="E828" s="59"/>
      <c r="F828" s="59"/>
      <c r="G828" s="60"/>
      <c r="J828" s="59"/>
      <c r="K828" s="59"/>
      <c r="L828" s="59"/>
      <c r="M828" s="3"/>
      <c r="W828" s="59"/>
      <c r="X828" s="59"/>
      <c r="Y828" s="59"/>
      <c r="Z828" s="59"/>
      <c r="AA828" s="59"/>
      <c r="AB828" s="59"/>
      <c r="AC828" s="59"/>
    </row>
    <row r="829">
      <c r="E829" s="59"/>
      <c r="F829" s="59"/>
      <c r="G829" s="60"/>
      <c r="J829" s="59"/>
      <c r="K829" s="59"/>
      <c r="L829" s="59"/>
      <c r="M829" s="3"/>
      <c r="W829" s="59"/>
      <c r="X829" s="59"/>
      <c r="Y829" s="59"/>
      <c r="Z829" s="59"/>
      <c r="AA829" s="59"/>
      <c r="AB829" s="59"/>
      <c r="AC829" s="59"/>
    </row>
    <row r="830">
      <c r="E830" s="59"/>
      <c r="F830" s="59"/>
      <c r="G830" s="60"/>
      <c r="J830" s="59"/>
      <c r="K830" s="59"/>
      <c r="L830" s="59"/>
      <c r="M830" s="3"/>
      <c r="W830" s="59"/>
      <c r="X830" s="59"/>
      <c r="Y830" s="59"/>
      <c r="Z830" s="59"/>
      <c r="AA830" s="59"/>
      <c r="AB830" s="59"/>
      <c r="AC830" s="59"/>
    </row>
    <row r="831">
      <c r="E831" s="59"/>
      <c r="F831" s="59"/>
      <c r="G831" s="60"/>
      <c r="J831" s="59"/>
      <c r="K831" s="59"/>
      <c r="L831" s="59"/>
      <c r="M831" s="3"/>
      <c r="W831" s="59"/>
      <c r="X831" s="59"/>
      <c r="Y831" s="59"/>
      <c r="Z831" s="59"/>
      <c r="AA831" s="59"/>
      <c r="AB831" s="59"/>
      <c r="AC831" s="59"/>
    </row>
    <row r="832">
      <c r="E832" s="59"/>
      <c r="F832" s="59"/>
      <c r="G832" s="60"/>
      <c r="J832" s="59"/>
      <c r="K832" s="59"/>
      <c r="L832" s="59"/>
      <c r="M832" s="3"/>
      <c r="W832" s="59"/>
      <c r="X832" s="59"/>
      <c r="Y832" s="59"/>
      <c r="Z832" s="59"/>
      <c r="AA832" s="59"/>
      <c r="AB832" s="59"/>
      <c r="AC832" s="59"/>
    </row>
    <row r="833">
      <c r="E833" s="59"/>
      <c r="F833" s="59"/>
      <c r="G833" s="60"/>
      <c r="J833" s="59"/>
      <c r="K833" s="59"/>
      <c r="L833" s="59"/>
      <c r="M833" s="3"/>
      <c r="W833" s="59"/>
      <c r="X833" s="59"/>
      <c r="Y833" s="59"/>
      <c r="Z833" s="59"/>
      <c r="AA833" s="59"/>
      <c r="AB833" s="59"/>
      <c r="AC833" s="59"/>
    </row>
    <row r="834">
      <c r="E834" s="59"/>
      <c r="F834" s="59"/>
      <c r="G834" s="60"/>
      <c r="J834" s="59"/>
      <c r="K834" s="59"/>
      <c r="L834" s="59"/>
      <c r="M834" s="3"/>
      <c r="W834" s="59"/>
      <c r="X834" s="59"/>
      <c r="Y834" s="59"/>
      <c r="Z834" s="59"/>
      <c r="AA834" s="59"/>
      <c r="AB834" s="59"/>
      <c r="AC834" s="59"/>
    </row>
    <row r="835">
      <c r="E835" s="59"/>
      <c r="F835" s="59"/>
      <c r="G835" s="60"/>
      <c r="J835" s="59"/>
      <c r="K835" s="59"/>
      <c r="L835" s="59"/>
      <c r="M835" s="3"/>
      <c r="W835" s="59"/>
      <c r="X835" s="59"/>
      <c r="Y835" s="59"/>
      <c r="Z835" s="59"/>
      <c r="AA835" s="59"/>
      <c r="AB835" s="59"/>
      <c r="AC835" s="59"/>
    </row>
    <row r="836">
      <c r="E836" s="59"/>
      <c r="F836" s="59"/>
      <c r="G836" s="60"/>
      <c r="J836" s="59"/>
      <c r="K836" s="59"/>
      <c r="L836" s="59"/>
      <c r="M836" s="3"/>
      <c r="W836" s="59"/>
      <c r="X836" s="59"/>
      <c r="Y836" s="59"/>
      <c r="Z836" s="59"/>
      <c r="AA836" s="59"/>
      <c r="AB836" s="59"/>
      <c r="AC836" s="59"/>
    </row>
    <row r="837">
      <c r="E837" s="59"/>
      <c r="F837" s="59"/>
      <c r="G837" s="60"/>
      <c r="J837" s="59"/>
      <c r="K837" s="59"/>
      <c r="L837" s="59"/>
      <c r="M837" s="3"/>
      <c r="W837" s="59"/>
      <c r="X837" s="59"/>
      <c r="Y837" s="59"/>
      <c r="Z837" s="59"/>
      <c r="AA837" s="59"/>
      <c r="AB837" s="59"/>
      <c r="AC837" s="59"/>
    </row>
    <row r="838">
      <c r="E838" s="59"/>
      <c r="F838" s="59"/>
      <c r="G838" s="60"/>
      <c r="J838" s="59"/>
      <c r="K838" s="59"/>
      <c r="L838" s="59"/>
      <c r="M838" s="3"/>
      <c r="W838" s="59"/>
      <c r="X838" s="59"/>
      <c r="Y838" s="59"/>
      <c r="Z838" s="59"/>
      <c r="AA838" s="59"/>
      <c r="AB838" s="59"/>
      <c r="AC838" s="59"/>
    </row>
    <row r="839">
      <c r="E839" s="59"/>
      <c r="F839" s="59"/>
      <c r="G839" s="60"/>
      <c r="J839" s="59"/>
      <c r="K839" s="59"/>
      <c r="L839" s="59"/>
      <c r="M839" s="3"/>
      <c r="W839" s="59"/>
      <c r="X839" s="59"/>
      <c r="Y839" s="59"/>
      <c r="Z839" s="59"/>
      <c r="AA839" s="59"/>
      <c r="AB839" s="59"/>
      <c r="AC839" s="59"/>
    </row>
    <row r="840">
      <c r="E840" s="59"/>
      <c r="F840" s="59"/>
      <c r="G840" s="60"/>
      <c r="J840" s="59"/>
      <c r="K840" s="59"/>
      <c r="L840" s="59"/>
      <c r="M840" s="3"/>
      <c r="W840" s="59"/>
      <c r="X840" s="59"/>
      <c r="Y840" s="59"/>
      <c r="Z840" s="59"/>
      <c r="AA840" s="59"/>
      <c r="AB840" s="59"/>
      <c r="AC840" s="59"/>
    </row>
    <row r="841">
      <c r="E841" s="59"/>
      <c r="F841" s="59"/>
      <c r="G841" s="60"/>
      <c r="J841" s="59"/>
      <c r="K841" s="59"/>
      <c r="L841" s="59"/>
      <c r="M841" s="3"/>
      <c r="W841" s="59"/>
      <c r="X841" s="59"/>
      <c r="Y841" s="59"/>
      <c r="Z841" s="59"/>
      <c r="AA841" s="59"/>
      <c r="AB841" s="59"/>
      <c r="AC841" s="59"/>
    </row>
    <row r="842">
      <c r="E842" s="59"/>
      <c r="F842" s="59"/>
      <c r="G842" s="60"/>
      <c r="J842" s="59"/>
      <c r="K842" s="59"/>
      <c r="L842" s="59"/>
      <c r="M842" s="3"/>
      <c r="W842" s="59"/>
      <c r="X842" s="59"/>
      <c r="Y842" s="59"/>
      <c r="Z842" s="59"/>
      <c r="AA842" s="59"/>
      <c r="AB842" s="59"/>
      <c r="AC842" s="59"/>
    </row>
    <row r="843">
      <c r="E843" s="59"/>
      <c r="F843" s="59"/>
      <c r="G843" s="60"/>
      <c r="J843" s="59"/>
      <c r="K843" s="59"/>
      <c r="L843" s="59"/>
      <c r="M843" s="3"/>
      <c r="W843" s="59"/>
      <c r="X843" s="59"/>
      <c r="Y843" s="59"/>
      <c r="Z843" s="59"/>
      <c r="AA843" s="59"/>
      <c r="AB843" s="59"/>
      <c r="AC843" s="59"/>
    </row>
    <row r="844">
      <c r="E844" s="59"/>
      <c r="F844" s="59"/>
      <c r="G844" s="60"/>
      <c r="J844" s="59"/>
      <c r="K844" s="59"/>
      <c r="L844" s="59"/>
      <c r="M844" s="3"/>
      <c r="W844" s="59"/>
      <c r="X844" s="59"/>
      <c r="Y844" s="59"/>
      <c r="Z844" s="59"/>
      <c r="AA844" s="59"/>
      <c r="AB844" s="59"/>
      <c r="AC844" s="59"/>
    </row>
    <row r="845">
      <c r="E845" s="59"/>
      <c r="F845" s="59"/>
      <c r="G845" s="60"/>
      <c r="J845" s="59"/>
      <c r="K845" s="59"/>
      <c r="L845" s="59"/>
      <c r="M845" s="3"/>
      <c r="W845" s="59"/>
      <c r="X845" s="59"/>
      <c r="Y845" s="59"/>
      <c r="Z845" s="59"/>
      <c r="AA845" s="59"/>
      <c r="AB845" s="59"/>
      <c r="AC845" s="59"/>
    </row>
    <row r="846">
      <c r="E846" s="59"/>
      <c r="F846" s="59"/>
      <c r="G846" s="60"/>
      <c r="J846" s="59"/>
      <c r="K846" s="59"/>
      <c r="L846" s="59"/>
      <c r="M846" s="3"/>
      <c r="W846" s="59"/>
      <c r="X846" s="59"/>
      <c r="Y846" s="59"/>
      <c r="Z846" s="59"/>
      <c r="AA846" s="59"/>
      <c r="AB846" s="59"/>
      <c r="AC846" s="59"/>
    </row>
    <row r="847">
      <c r="E847" s="59"/>
      <c r="F847" s="59"/>
      <c r="G847" s="60"/>
      <c r="J847" s="59"/>
      <c r="K847" s="59"/>
      <c r="L847" s="59"/>
      <c r="M847" s="3"/>
      <c r="W847" s="59"/>
      <c r="X847" s="59"/>
      <c r="Y847" s="59"/>
      <c r="Z847" s="59"/>
      <c r="AA847" s="59"/>
      <c r="AB847" s="59"/>
      <c r="AC847" s="59"/>
    </row>
    <row r="848">
      <c r="E848" s="59"/>
      <c r="F848" s="59"/>
      <c r="G848" s="60"/>
      <c r="J848" s="59"/>
      <c r="K848" s="59"/>
      <c r="L848" s="59"/>
      <c r="M848" s="3"/>
      <c r="W848" s="59"/>
      <c r="X848" s="59"/>
      <c r="Y848" s="59"/>
      <c r="Z848" s="59"/>
      <c r="AA848" s="59"/>
      <c r="AB848" s="59"/>
      <c r="AC848" s="59"/>
    </row>
    <row r="849">
      <c r="E849" s="59"/>
      <c r="F849" s="59"/>
      <c r="G849" s="60"/>
      <c r="J849" s="59"/>
      <c r="K849" s="59"/>
      <c r="L849" s="59"/>
      <c r="M849" s="3"/>
      <c r="W849" s="59"/>
      <c r="X849" s="59"/>
      <c r="Y849" s="59"/>
      <c r="Z849" s="59"/>
      <c r="AA849" s="59"/>
      <c r="AB849" s="59"/>
      <c r="AC849" s="59"/>
    </row>
    <row r="850">
      <c r="E850" s="59"/>
      <c r="F850" s="59"/>
      <c r="G850" s="60"/>
      <c r="J850" s="59"/>
      <c r="K850" s="59"/>
      <c r="L850" s="59"/>
      <c r="M850" s="3"/>
      <c r="W850" s="59"/>
      <c r="X850" s="59"/>
      <c r="Y850" s="59"/>
      <c r="Z850" s="59"/>
      <c r="AA850" s="59"/>
      <c r="AB850" s="59"/>
      <c r="AC850" s="59"/>
    </row>
    <row r="851">
      <c r="E851" s="59"/>
      <c r="F851" s="59"/>
      <c r="G851" s="60"/>
      <c r="J851" s="59"/>
      <c r="K851" s="59"/>
      <c r="L851" s="59"/>
      <c r="M851" s="3"/>
      <c r="W851" s="59"/>
      <c r="X851" s="59"/>
      <c r="Y851" s="59"/>
      <c r="Z851" s="59"/>
      <c r="AA851" s="59"/>
      <c r="AB851" s="59"/>
      <c r="AC851" s="59"/>
    </row>
    <row r="852">
      <c r="E852" s="59"/>
      <c r="F852" s="59"/>
      <c r="G852" s="60"/>
      <c r="J852" s="59"/>
      <c r="K852" s="59"/>
      <c r="L852" s="59"/>
      <c r="M852" s="3"/>
      <c r="W852" s="59"/>
      <c r="X852" s="59"/>
      <c r="Y852" s="59"/>
      <c r="Z852" s="59"/>
      <c r="AA852" s="59"/>
      <c r="AB852" s="59"/>
      <c r="AC852" s="59"/>
    </row>
    <row r="853">
      <c r="E853" s="59"/>
      <c r="F853" s="59"/>
      <c r="G853" s="60"/>
      <c r="J853" s="59"/>
      <c r="K853" s="59"/>
      <c r="L853" s="59"/>
      <c r="M853" s="3"/>
      <c r="W853" s="59"/>
      <c r="X853" s="59"/>
      <c r="Y853" s="59"/>
      <c r="Z853" s="59"/>
      <c r="AA853" s="59"/>
      <c r="AB853" s="59"/>
      <c r="AC853" s="59"/>
    </row>
    <row r="854">
      <c r="E854" s="59"/>
      <c r="F854" s="59"/>
      <c r="G854" s="60"/>
      <c r="J854" s="59"/>
      <c r="K854" s="59"/>
      <c r="L854" s="59"/>
      <c r="M854" s="3"/>
      <c r="W854" s="59"/>
      <c r="X854" s="59"/>
      <c r="Y854" s="59"/>
      <c r="Z854" s="59"/>
      <c r="AA854" s="59"/>
      <c r="AB854" s="59"/>
      <c r="AC854" s="59"/>
    </row>
    <row r="855">
      <c r="E855" s="59"/>
      <c r="F855" s="59"/>
      <c r="G855" s="60"/>
      <c r="J855" s="59"/>
      <c r="K855" s="59"/>
      <c r="L855" s="59"/>
      <c r="M855" s="3"/>
      <c r="W855" s="59"/>
      <c r="X855" s="59"/>
      <c r="Y855" s="59"/>
      <c r="Z855" s="59"/>
      <c r="AA855" s="59"/>
      <c r="AB855" s="59"/>
      <c r="AC855" s="59"/>
    </row>
    <row r="856">
      <c r="E856" s="59"/>
      <c r="F856" s="59"/>
      <c r="G856" s="60"/>
      <c r="J856" s="59"/>
      <c r="K856" s="59"/>
      <c r="L856" s="59"/>
      <c r="M856" s="3"/>
      <c r="W856" s="59"/>
      <c r="X856" s="59"/>
      <c r="Y856" s="59"/>
      <c r="Z856" s="59"/>
      <c r="AA856" s="59"/>
      <c r="AB856" s="59"/>
      <c r="AC856" s="59"/>
    </row>
    <row r="857">
      <c r="E857" s="59"/>
      <c r="F857" s="59"/>
      <c r="G857" s="60"/>
      <c r="J857" s="59"/>
      <c r="K857" s="59"/>
      <c r="L857" s="59"/>
      <c r="M857" s="3"/>
      <c r="W857" s="59"/>
      <c r="X857" s="59"/>
      <c r="Y857" s="59"/>
      <c r="Z857" s="59"/>
      <c r="AA857" s="59"/>
      <c r="AB857" s="59"/>
      <c r="AC857" s="59"/>
    </row>
    <row r="858">
      <c r="E858" s="59"/>
      <c r="F858" s="59"/>
      <c r="G858" s="60"/>
      <c r="J858" s="59"/>
      <c r="K858" s="59"/>
      <c r="L858" s="59"/>
      <c r="M858" s="3"/>
      <c r="W858" s="59"/>
      <c r="X858" s="59"/>
      <c r="Y858" s="59"/>
      <c r="Z858" s="59"/>
      <c r="AA858" s="59"/>
      <c r="AB858" s="59"/>
      <c r="AC858" s="59"/>
    </row>
    <row r="859">
      <c r="E859" s="59"/>
      <c r="F859" s="59"/>
      <c r="G859" s="60"/>
      <c r="J859" s="59"/>
      <c r="K859" s="59"/>
      <c r="L859" s="59"/>
      <c r="M859" s="3"/>
      <c r="W859" s="59"/>
      <c r="X859" s="59"/>
      <c r="Y859" s="59"/>
      <c r="Z859" s="59"/>
      <c r="AA859" s="59"/>
      <c r="AB859" s="59"/>
      <c r="AC859" s="59"/>
    </row>
    <row r="860">
      <c r="E860" s="59"/>
      <c r="F860" s="59"/>
      <c r="G860" s="60"/>
      <c r="J860" s="59"/>
      <c r="K860" s="59"/>
      <c r="L860" s="59"/>
      <c r="M860" s="3"/>
      <c r="W860" s="59"/>
      <c r="X860" s="59"/>
      <c r="Y860" s="59"/>
      <c r="Z860" s="59"/>
      <c r="AA860" s="59"/>
      <c r="AB860" s="59"/>
      <c r="AC860" s="59"/>
    </row>
    <row r="861">
      <c r="E861" s="59"/>
      <c r="F861" s="59"/>
      <c r="G861" s="60"/>
      <c r="J861" s="59"/>
      <c r="K861" s="59"/>
      <c r="L861" s="59"/>
      <c r="M861" s="3"/>
      <c r="W861" s="59"/>
      <c r="X861" s="59"/>
      <c r="Y861" s="59"/>
      <c r="Z861" s="59"/>
      <c r="AA861" s="59"/>
      <c r="AB861" s="59"/>
      <c r="AC861" s="59"/>
    </row>
    <row r="862">
      <c r="E862" s="59"/>
      <c r="F862" s="59"/>
      <c r="G862" s="60"/>
      <c r="J862" s="59"/>
      <c r="K862" s="59"/>
      <c r="L862" s="59"/>
      <c r="M862" s="3"/>
      <c r="W862" s="59"/>
      <c r="X862" s="59"/>
      <c r="Y862" s="59"/>
      <c r="Z862" s="59"/>
      <c r="AA862" s="59"/>
      <c r="AB862" s="59"/>
      <c r="AC862" s="59"/>
    </row>
    <row r="863">
      <c r="E863" s="59"/>
      <c r="F863" s="59"/>
      <c r="G863" s="60"/>
      <c r="J863" s="59"/>
      <c r="K863" s="59"/>
      <c r="L863" s="59"/>
      <c r="M863" s="3"/>
      <c r="W863" s="59"/>
      <c r="X863" s="59"/>
      <c r="Y863" s="59"/>
      <c r="Z863" s="59"/>
      <c r="AA863" s="59"/>
      <c r="AB863" s="59"/>
      <c r="AC863" s="59"/>
    </row>
    <row r="864">
      <c r="E864" s="59"/>
      <c r="F864" s="59"/>
      <c r="G864" s="60"/>
      <c r="J864" s="59"/>
      <c r="K864" s="59"/>
      <c r="L864" s="59"/>
      <c r="M864" s="3"/>
      <c r="W864" s="59"/>
      <c r="X864" s="59"/>
      <c r="Y864" s="59"/>
      <c r="Z864" s="59"/>
      <c r="AA864" s="59"/>
      <c r="AB864" s="59"/>
      <c r="AC864" s="59"/>
    </row>
    <row r="865">
      <c r="E865" s="59"/>
      <c r="F865" s="59"/>
      <c r="G865" s="60"/>
      <c r="J865" s="59"/>
      <c r="K865" s="59"/>
      <c r="L865" s="59"/>
      <c r="M865" s="3"/>
      <c r="W865" s="59"/>
      <c r="X865" s="59"/>
      <c r="Y865" s="59"/>
      <c r="Z865" s="59"/>
      <c r="AA865" s="59"/>
      <c r="AB865" s="59"/>
      <c r="AC865" s="59"/>
    </row>
    <row r="866">
      <c r="E866" s="59"/>
      <c r="F866" s="59"/>
      <c r="G866" s="60"/>
      <c r="J866" s="59"/>
      <c r="K866" s="59"/>
      <c r="L866" s="59"/>
      <c r="M866" s="3"/>
      <c r="W866" s="59"/>
      <c r="X866" s="59"/>
      <c r="Y866" s="59"/>
      <c r="Z866" s="59"/>
      <c r="AA866" s="59"/>
      <c r="AB866" s="59"/>
      <c r="AC866" s="59"/>
    </row>
    <row r="867">
      <c r="E867" s="59"/>
      <c r="F867" s="59"/>
      <c r="G867" s="60"/>
      <c r="J867" s="59"/>
      <c r="K867" s="59"/>
      <c r="L867" s="59"/>
      <c r="M867" s="3"/>
      <c r="W867" s="59"/>
      <c r="X867" s="59"/>
      <c r="Y867" s="59"/>
      <c r="Z867" s="59"/>
      <c r="AA867" s="59"/>
      <c r="AB867" s="59"/>
      <c r="AC867" s="59"/>
    </row>
    <row r="868">
      <c r="E868" s="59"/>
      <c r="F868" s="59"/>
      <c r="G868" s="60"/>
      <c r="J868" s="59"/>
      <c r="K868" s="59"/>
      <c r="L868" s="59"/>
      <c r="M868" s="3"/>
      <c r="W868" s="59"/>
      <c r="X868" s="59"/>
      <c r="Y868" s="59"/>
      <c r="Z868" s="59"/>
      <c r="AA868" s="59"/>
      <c r="AB868" s="59"/>
      <c r="AC868" s="59"/>
    </row>
    <row r="869">
      <c r="E869" s="59"/>
      <c r="F869" s="59"/>
      <c r="G869" s="60"/>
      <c r="J869" s="59"/>
      <c r="K869" s="59"/>
      <c r="L869" s="59"/>
      <c r="M869" s="3"/>
      <c r="W869" s="59"/>
      <c r="X869" s="59"/>
      <c r="Y869" s="59"/>
      <c r="Z869" s="59"/>
      <c r="AA869" s="59"/>
      <c r="AB869" s="59"/>
      <c r="AC869" s="59"/>
    </row>
    <row r="870">
      <c r="E870" s="59"/>
      <c r="F870" s="59"/>
      <c r="G870" s="60"/>
      <c r="J870" s="59"/>
      <c r="K870" s="59"/>
      <c r="L870" s="59"/>
      <c r="M870" s="3"/>
      <c r="W870" s="59"/>
      <c r="X870" s="59"/>
      <c r="Y870" s="59"/>
      <c r="Z870" s="59"/>
      <c r="AA870" s="59"/>
      <c r="AB870" s="59"/>
      <c r="AC870" s="59"/>
    </row>
    <row r="871">
      <c r="E871" s="59"/>
      <c r="F871" s="59"/>
      <c r="G871" s="60"/>
      <c r="J871" s="59"/>
      <c r="K871" s="59"/>
      <c r="L871" s="59"/>
      <c r="M871" s="3"/>
      <c r="W871" s="59"/>
      <c r="X871" s="59"/>
      <c r="Y871" s="59"/>
      <c r="Z871" s="59"/>
      <c r="AA871" s="59"/>
      <c r="AB871" s="59"/>
      <c r="AC871" s="59"/>
    </row>
    <row r="872">
      <c r="E872" s="59"/>
      <c r="F872" s="59"/>
      <c r="G872" s="60"/>
      <c r="J872" s="59"/>
      <c r="K872" s="59"/>
      <c r="L872" s="59"/>
      <c r="M872" s="3"/>
      <c r="W872" s="59"/>
      <c r="X872" s="59"/>
      <c r="Y872" s="59"/>
      <c r="Z872" s="59"/>
      <c r="AA872" s="59"/>
      <c r="AB872" s="59"/>
      <c r="AC872" s="59"/>
    </row>
    <row r="873">
      <c r="E873" s="59"/>
      <c r="F873" s="59"/>
      <c r="G873" s="60"/>
      <c r="J873" s="59"/>
      <c r="K873" s="59"/>
      <c r="L873" s="59"/>
      <c r="M873" s="3"/>
      <c r="W873" s="59"/>
      <c r="X873" s="59"/>
      <c r="Y873" s="59"/>
      <c r="Z873" s="59"/>
      <c r="AA873" s="59"/>
      <c r="AB873" s="59"/>
      <c r="AC873" s="59"/>
    </row>
    <row r="874">
      <c r="E874" s="59"/>
      <c r="F874" s="59"/>
      <c r="G874" s="60"/>
      <c r="J874" s="59"/>
      <c r="K874" s="59"/>
      <c r="L874" s="59"/>
      <c r="M874" s="3"/>
      <c r="W874" s="59"/>
      <c r="X874" s="59"/>
      <c r="Y874" s="59"/>
      <c r="Z874" s="59"/>
      <c r="AA874" s="59"/>
      <c r="AB874" s="59"/>
      <c r="AC874" s="59"/>
    </row>
    <row r="875">
      <c r="E875" s="59"/>
      <c r="F875" s="59"/>
      <c r="G875" s="60"/>
      <c r="J875" s="59"/>
      <c r="K875" s="59"/>
      <c r="L875" s="59"/>
      <c r="M875" s="3"/>
      <c r="W875" s="59"/>
      <c r="X875" s="59"/>
      <c r="Y875" s="59"/>
      <c r="Z875" s="59"/>
      <c r="AA875" s="59"/>
      <c r="AB875" s="59"/>
      <c r="AC875" s="59"/>
    </row>
    <row r="876">
      <c r="E876" s="59"/>
      <c r="F876" s="59"/>
      <c r="G876" s="60"/>
      <c r="J876" s="59"/>
      <c r="K876" s="59"/>
      <c r="L876" s="59"/>
      <c r="M876" s="3"/>
      <c r="W876" s="59"/>
      <c r="X876" s="59"/>
      <c r="Y876" s="59"/>
      <c r="Z876" s="59"/>
      <c r="AA876" s="59"/>
      <c r="AB876" s="59"/>
      <c r="AC876" s="59"/>
    </row>
    <row r="877">
      <c r="E877" s="59"/>
      <c r="F877" s="59"/>
      <c r="G877" s="60"/>
      <c r="J877" s="59"/>
      <c r="K877" s="59"/>
      <c r="L877" s="59"/>
      <c r="M877" s="3"/>
      <c r="W877" s="59"/>
      <c r="X877" s="59"/>
      <c r="Y877" s="59"/>
      <c r="Z877" s="59"/>
      <c r="AA877" s="59"/>
      <c r="AB877" s="59"/>
      <c r="AC877" s="59"/>
    </row>
    <row r="878">
      <c r="E878" s="59"/>
      <c r="F878" s="59"/>
      <c r="G878" s="60"/>
      <c r="J878" s="59"/>
      <c r="K878" s="59"/>
      <c r="L878" s="59"/>
      <c r="M878" s="3"/>
      <c r="W878" s="59"/>
      <c r="X878" s="59"/>
      <c r="Y878" s="59"/>
      <c r="Z878" s="59"/>
      <c r="AA878" s="59"/>
      <c r="AB878" s="59"/>
      <c r="AC878" s="59"/>
    </row>
    <row r="879">
      <c r="E879" s="59"/>
      <c r="F879" s="59"/>
      <c r="G879" s="60"/>
      <c r="J879" s="59"/>
      <c r="K879" s="59"/>
      <c r="L879" s="59"/>
      <c r="M879" s="3"/>
      <c r="W879" s="59"/>
      <c r="X879" s="59"/>
      <c r="Y879" s="59"/>
      <c r="Z879" s="59"/>
      <c r="AA879" s="59"/>
      <c r="AB879" s="59"/>
      <c r="AC879" s="59"/>
    </row>
    <row r="880">
      <c r="E880" s="59"/>
      <c r="F880" s="59"/>
      <c r="G880" s="60"/>
      <c r="J880" s="59"/>
      <c r="K880" s="59"/>
      <c r="L880" s="59"/>
      <c r="M880" s="3"/>
      <c r="W880" s="59"/>
      <c r="X880" s="59"/>
      <c r="Y880" s="59"/>
      <c r="Z880" s="59"/>
      <c r="AA880" s="59"/>
      <c r="AB880" s="59"/>
      <c r="AC880" s="59"/>
    </row>
    <row r="881">
      <c r="E881" s="59"/>
      <c r="F881" s="59"/>
      <c r="G881" s="60"/>
      <c r="J881" s="59"/>
      <c r="K881" s="59"/>
      <c r="L881" s="59"/>
      <c r="M881" s="3"/>
      <c r="W881" s="59"/>
      <c r="X881" s="59"/>
      <c r="Y881" s="59"/>
      <c r="Z881" s="59"/>
      <c r="AA881" s="59"/>
      <c r="AB881" s="59"/>
      <c r="AC881" s="59"/>
    </row>
    <row r="882">
      <c r="E882" s="59"/>
      <c r="F882" s="59"/>
      <c r="G882" s="60"/>
      <c r="J882" s="59"/>
      <c r="K882" s="59"/>
      <c r="L882" s="59"/>
      <c r="M882" s="3"/>
      <c r="W882" s="59"/>
      <c r="X882" s="59"/>
      <c r="Y882" s="59"/>
      <c r="Z882" s="59"/>
      <c r="AA882" s="59"/>
      <c r="AB882" s="59"/>
      <c r="AC882" s="59"/>
    </row>
    <row r="883">
      <c r="E883" s="59"/>
      <c r="F883" s="59"/>
      <c r="G883" s="60"/>
      <c r="J883" s="59"/>
      <c r="K883" s="59"/>
      <c r="L883" s="59"/>
      <c r="M883" s="3"/>
      <c r="W883" s="59"/>
      <c r="X883" s="59"/>
      <c r="Y883" s="59"/>
      <c r="Z883" s="59"/>
      <c r="AA883" s="59"/>
      <c r="AB883" s="59"/>
      <c r="AC883" s="59"/>
    </row>
    <row r="884">
      <c r="E884" s="59"/>
      <c r="F884" s="59"/>
      <c r="G884" s="60"/>
      <c r="J884" s="59"/>
      <c r="K884" s="59"/>
      <c r="L884" s="59"/>
      <c r="M884" s="3"/>
      <c r="W884" s="59"/>
      <c r="X884" s="59"/>
      <c r="Y884" s="59"/>
      <c r="Z884" s="59"/>
      <c r="AA884" s="59"/>
      <c r="AB884" s="59"/>
      <c r="AC884" s="59"/>
    </row>
    <row r="885">
      <c r="E885" s="59"/>
      <c r="F885" s="59"/>
      <c r="G885" s="60"/>
      <c r="J885" s="59"/>
      <c r="K885" s="59"/>
      <c r="L885" s="59"/>
      <c r="M885" s="3"/>
      <c r="W885" s="59"/>
      <c r="X885" s="59"/>
      <c r="Y885" s="59"/>
      <c r="Z885" s="59"/>
      <c r="AA885" s="59"/>
      <c r="AB885" s="59"/>
      <c r="AC885" s="59"/>
    </row>
    <row r="886">
      <c r="E886" s="59"/>
      <c r="F886" s="59"/>
      <c r="G886" s="60"/>
      <c r="J886" s="59"/>
      <c r="K886" s="59"/>
      <c r="L886" s="59"/>
      <c r="M886" s="3"/>
      <c r="W886" s="59"/>
      <c r="X886" s="59"/>
      <c r="Y886" s="59"/>
      <c r="Z886" s="59"/>
      <c r="AA886" s="59"/>
      <c r="AB886" s="59"/>
      <c r="AC886" s="59"/>
    </row>
    <row r="887">
      <c r="E887" s="59"/>
      <c r="F887" s="59"/>
      <c r="G887" s="60"/>
      <c r="J887" s="59"/>
      <c r="K887" s="59"/>
      <c r="L887" s="59"/>
      <c r="M887" s="3"/>
      <c r="W887" s="59"/>
      <c r="X887" s="59"/>
      <c r="Y887" s="59"/>
      <c r="Z887" s="59"/>
      <c r="AA887" s="59"/>
      <c r="AB887" s="59"/>
      <c r="AC887" s="59"/>
    </row>
    <row r="888">
      <c r="E888" s="59"/>
      <c r="F888" s="59"/>
      <c r="G888" s="60"/>
      <c r="J888" s="59"/>
      <c r="K888" s="59"/>
      <c r="L888" s="59"/>
      <c r="M888" s="3"/>
      <c r="W888" s="59"/>
      <c r="X888" s="59"/>
      <c r="Y888" s="59"/>
      <c r="Z888" s="59"/>
      <c r="AA888" s="59"/>
      <c r="AB888" s="59"/>
      <c r="AC888" s="59"/>
    </row>
    <row r="889">
      <c r="E889" s="59"/>
      <c r="F889" s="59"/>
      <c r="G889" s="60"/>
      <c r="J889" s="59"/>
      <c r="K889" s="59"/>
      <c r="L889" s="59"/>
      <c r="M889" s="3"/>
      <c r="W889" s="59"/>
      <c r="X889" s="59"/>
      <c r="Y889" s="59"/>
      <c r="Z889" s="59"/>
      <c r="AA889" s="59"/>
      <c r="AB889" s="59"/>
      <c r="AC889" s="59"/>
    </row>
    <row r="890">
      <c r="E890" s="59"/>
      <c r="F890" s="59"/>
      <c r="G890" s="60"/>
      <c r="J890" s="59"/>
      <c r="K890" s="59"/>
      <c r="L890" s="59"/>
      <c r="M890" s="3"/>
      <c r="W890" s="59"/>
      <c r="X890" s="59"/>
      <c r="Y890" s="59"/>
      <c r="Z890" s="59"/>
      <c r="AA890" s="59"/>
      <c r="AB890" s="59"/>
      <c r="AC890" s="59"/>
    </row>
    <row r="891">
      <c r="E891" s="59"/>
      <c r="F891" s="59"/>
      <c r="G891" s="60"/>
      <c r="J891" s="59"/>
      <c r="K891" s="59"/>
      <c r="L891" s="59"/>
      <c r="M891" s="3"/>
      <c r="W891" s="59"/>
      <c r="X891" s="59"/>
      <c r="Y891" s="59"/>
      <c r="Z891" s="59"/>
      <c r="AA891" s="59"/>
      <c r="AB891" s="59"/>
      <c r="AC891" s="59"/>
    </row>
    <row r="892">
      <c r="E892" s="59"/>
      <c r="F892" s="59"/>
      <c r="G892" s="60"/>
      <c r="J892" s="59"/>
      <c r="K892" s="59"/>
      <c r="L892" s="59"/>
      <c r="M892" s="3"/>
      <c r="W892" s="59"/>
      <c r="X892" s="59"/>
      <c r="Y892" s="59"/>
      <c r="Z892" s="59"/>
      <c r="AA892" s="59"/>
      <c r="AB892" s="59"/>
      <c r="AC892" s="59"/>
    </row>
    <row r="893">
      <c r="E893" s="59"/>
      <c r="F893" s="59"/>
      <c r="G893" s="60"/>
      <c r="J893" s="59"/>
      <c r="K893" s="59"/>
      <c r="L893" s="59"/>
      <c r="M893" s="3"/>
      <c r="W893" s="59"/>
      <c r="X893" s="59"/>
      <c r="Y893" s="59"/>
      <c r="Z893" s="59"/>
      <c r="AA893" s="59"/>
      <c r="AB893" s="59"/>
      <c r="AC893" s="59"/>
    </row>
    <row r="894">
      <c r="E894" s="59"/>
      <c r="F894" s="59"/>
      <c r="G894" s="60"/>
      <c r="J894" s="59"/>
      <c r="K894" s="59"/>
      <c r="L894" s="59"/>
      <c r="M894" s="3"/>
      <c r="W894" s="59"/>
      <c r="X894" s="59"/>
      <c r="Y894" s="59"/>
      <c r="Z894" s="59"/>
      <c r="AA894" s="59"/>
      <c r="AB894" s="59"/>
      <c r="AC894" s="59"/>
    </row>
    <row r="895">
      <c r="E895" s="59"/>
      <c r="F895" s="59"/>
      <c r="G895" s="60"/>
      <c r="J895" s="59"/>
      <c r="K895" s="59"/>
      <c r="L895" s="59"/>
      <c r="M895" s="3"/>
      <c r="W895" s="59"/>
      <c r="X895" s="59"/>
      <c r="Y895" s="59"/>
      <c r="Z895" s="59"/>
      <c r="AA895" s="59"/>
      <c r="AB895" s="59"/>
      <c r="AC895" s="59"/>
    </row>
    <row r="896">
      <c r="E896" s="59"/>
      <c r="F896" s="59"/>
      <c r="G896" s="60"/>
      <c r="J896" s="59"/>
      <c r="K896" s="59"/>
      <c r="L896" s="59"/>
      <c r="M896" s="3"/>
      <c r="W896" s="59"/>
      <c r="X896" s="59"/>
      <c r="Y896" s="59"/>
      <c r="Z896" s="59"/>
      <c r="AA896" s="59"/>
      <c r="AB896" s="59"/>
      <c r="AC896" s="59"/>
    </row>
    <row r="897">
      <c r="E897" s="59"/>
      <c r="F897" s="59"/>
      <c r="G897" s="60"/>
      <c r="J897" s="59"/>
      <c r="K897" s="59"/>
      <c r="L897" s="59"/>
      <c r="M897" s="3"/>
      <c r="W897" s="59"/>
      <c r="X897" s="59"/>
      <c r="Y897" s="59"/>
      <c r="Z897" s="59"/>
      <c r="AA897" s="59"/>
      <c r="AB897" s="59"/>
      <c r="AC897" s="59"/>
    </row>
    <row r="898">
      <c r="E898" s="59"/>
      <c r="F898" s="59"/>
      <c r="G898" s="60"/>
      <c r="J898" s="59"/>
      <c r="K898" s="59"/>
      <c r="L898" s="59"/>
      <c r="M898" s="3"/>
      <c r="W898" s="59"/>
      <c r="X898" s="59"/>
      <c r="Y898" s="59"/>
      <c r="Z898" s="59"/>
      <c r="AA898" s="59"/>
      <c r="AB898" s="59"/>
      <c r="AC898" s="59"/>
    </row>
    <row r="899">
      <c r="E899" s="59"/>
      <c r="F899" s="59"/>
      <c r="G899" s="60"/>
      <c r="J899" s="59"/>
      <c r="K899" s="59"/>
      <c r="L899" s="59"/>
      <c r="M899" s="3"/>
      <c r="W899" s="59"/>
      <c r="X899" s="59"/>
      <c r="Y899" s="59"/>
      <c r="Z899" s="59"/>
      <c r="AA899" s="59"/>
      <c r="AB899" s="59"/>
      <c r="AC899" s="59"/>
    </row>
    <row r="900">
      <c r="E900" s="59"/>
      <c r="F900" s="59"/>
      <c r="G900" s="60"/>
      <c r="J900" s="59"/>
      <c r="K900" s="59"/>
      <c r="L900" s="59"/>
      <c r="M900" s="3"/>
      <c r="W900" s="59"/>
      <c r="X900" s="59"/>
      <c r="Y900" s="59"/>
      <c r="Z900" s="59"/>
      <c r="AA900" s="59"/>
      <c r="AB900" s="59"/>
      <c r="AC900" s="59"/>
    </row>
    <row r="901">
      <c r="E901" s="59"/>
      <c r="F901" s="59"/>
      <c r="G901" s="60"/>
      <c r="J901" s="59"/>
      <c r="K901" s="59"/>
      <c r="L901" s="59"/>
      <c r="M901" s="3"/>
      <c r="W901" s="59"/>
      <c r="X901" s="59"/>
      <c r="Y901" s="59"/>
      <c r="Z901" s="59"/>
      <c r="AA901" s="59"/>
      <c r="AB901" s="59"/>
      <c r="AC901" s="59"/>
    </row>
    <row r="902">
      <c r="E902" s="59"/>
      <c r="F902" s="59"/>
      <c r="G902" s="60"/>
      <c r="J902" s="59"/>
      <c r="K902" s="59"/>
      <c r="L902" s="59"/>
      <c r="M902" s="3"/>
      <c r="W902" s="59"/>
      <c r="X902" s="59"/>
      <c r="Y902" s="59"/>
      <c r="Z902" s="59"/>
      <c r="AA902" s="59"/>
      <c r="AB902" s="59"/>
      <c r="AC902" s="59"/>
    </row>
    <row r="903">
      <c r="E903" s="59"/>
      <c r="F903" s="59"/>
      <c r="G903" s="60"/>
      <c r="J903" s="59"/>
      <c r="K903" s="59"/>
      <c r="L903" s="59"/>
      <c r="M903" s="3"/>
      <c r="W903" s="59"/>
      <c r="X903" s="59"/>
      <c r="Y903" s="59"/>
      <c r="Z903" s="59"/>
      <c r="AA903" s="59"/>
      <c r="AB903" s="59"/>
      <c r="AC903" s="59"/>
    </row>
    <row r="904">
      <c r="E904" s="59"/>
      <c r="F904" s="59"/>
      <c r="G904" s="60"/>
      <c r="J904" s="59"/>
      <c r="K904" s="59"/>
      <c r="L904" s="59"/>
      <c r="M904" s="3"/>
      <c r="W904" s="59"/>
      <c r="X904" s="59"/>
      <c r="Y904" s="59"/>
      <c r="Z904" s="59"/>
      <c r="AA904" s="59"/>
      <c r="AB904" s="59"/>
      <c r="AC904" s="59"/>
    </row>
    <row r="905">
      <c r="E905" s="59"/>
      <c r="F905" s="59"/>
      <c r="G905" s="60"/>
      <c r="J905" s="59"/>
      <c r="K905" s="59"/>
      <c r="L905" s="59"/>
      <c r="M905" s="3"/>
      <c r="W905" s="59"/>
      <c r="X905" s="59"/>
      <c r="Y905" s="59"/>
      <c r="Z905" s="59"/>
      <c r="AA905" s="59"/>
      <c r="AB905" s="59"/>
      <c r="AC905" s="59"/>
    </row>
    <row r="906">
      <c r="E906" s="59"/>
      <c r="F906" s="59"/>
      <c r="G906" s="60"/>
      <c r="J906" s="59"/>
      <c r="K906" s="59"/>
      <c r="L906" s="59"/>
      <c r="M906" s="3"/>
      <c r="W906" s="59"/>
      <c r="X906" s="59"/>
      <c r="Y906" s="59"/>
      <c r="Z906" s="59"/>
      <c r="AA906" s="59"/>
      <c r="AB906" s="59"/>
      <c r="AC906" s="59"/>
    </row>
    <row r="907">
      <c r="E907" s="59"/>
      <c r="F907" s="59"/>
      <c r="G907" s="60"/>
      <c r="J907" s="59"/>
      <c r="K907" s="59"/>
      <c r="L907" s="59"/>
      <c r="M907" s="3"/>
      <c r="W907" s="59"/>
      <c r="X907" s="59"/>
      <c r="Y907" s="59"/>
      <c r="Z907" s="59"/>
      <c r="AA907" s="59"/>
      <c r="AB907" s="59"/>
      <c r="AC907" s="59"/>
    </row>
    <row r="908">
      <c r="E908" s="59"/>
      <c r="F908" s="59"/>
      <c r="G908" s="60"/>
      <c r="J908" s="59"/>
      <c r="K908" s="59"/>
      <c r="L908" s="59"/>
      <c r="M908" s="3"/>
      <c r="W908" s="59"/>
      <c r="X908" s="59"/>
      <c r="Y908" s="59"/>
      <c r="Z908" s="59"/>
      <c r="AA908" s="59"/>
      <c r="AB908" s="59"/>
      <c r="AC908" s="59"/>
    </row>
    <row r="909">
      <c r="E909" s="59"/>
      <c r="F909" s="59"/>
      <c r="G909" s="60"/>
      <c r="J909" s="59"/>
      <c r="K909" s="59"/>
      <c r="L909" s="59"/>
      <c r="M909" s="3"/>
      <c r="W909" s="59"/>
      <c r="X909" s="59"/>
      <c r="Y909" s="59"/>
      <c r="Z909" s="59"/>
      <c r="AA909" s="59"/>
      <c r="AB909" s="59"/>
      <c r="AC909" s="59"/>
    </row>
    <row r="910">
      <c r="E910" s="59"/>
      <c r="F910" s="59"/>
      <c r="G910" s="60"/>
      <c r="J910" s="59"/>
      <c r="K910" s="59"/>
      <c r="L910" s="59"/>
      <c r="M910" s="3"/>
      <c r="W910" s="59"/>
      <c r="X910" s="59"/>
      <c r="Y910" s="59"/>
      <c r="Z910" s="59"/>
      <c r="AA910" s="59"/>
      <c r="AB910" s="59"/>
      <c r="AC910" s="59"/>
    </row>
    <row r="911">
      <c r="E911" s="59"/>
      <c r="F911" s="59"/>
      <c r="G911" s="60"/>
      <c r="J911" s="59"/>
      <c r="K911" s="59"/>
      <c r="L911" s="59"/>
      <c r="M911" s="3"/>
      <c r="W911" s="59"/>
      <c r="X911" s="59"/>
      <c r="Y911" s="59"/>
      <c r="Z911" s="59"/>
      <c r="AA911" s="59"/>
      <c r="AB911" s="59"/>
      <c r="AC911" s="59"/>
    </row>
    <row r="912">
      <c r="E912" s="59"/>
      <c r="F912" s="59"/>
      <c r="G912" s="60"/>
      <c r="J912" s="59"/>
      <c r="K912" s="59"/>
      <c r="L912" s="59"/>
      <c r="M912" s="3"/>
      <c r="W912" s="59"/>
      <c r="X912" s="59"/>
      <c r="Y912" s="59"/>
      <c r="Z912" s="59"/>
      <c r="AA912" s="59"/>
      <c r="AB912" s="59"/>
      <c r="AC912" s="59"/>
    </row>
    <row r="913">
      <c r="E913" s="59"/>
      <c r="F913" s="59"/>
      <c r="G913" s="60"/>
      <c r="J913" s="59"/>
      <c r="K913" s="59"/>
      <c r="L913" s="59"/>
      <c r="M913" s="3"/>
      <c r="W913" s="59"/>
      <c r="X913" s="59"/>
      <c r="Y913" s="59"/>
      <c r="Z913" s="59"/>
      <c r="AA913" s="59"/>
      <c r="AB913" s="59"/>
      <c r="AC913" s="59"/>
    </row>
    <row r="914">
      <c r="E914" s="59"/>
      <c r="F914" s="59"/>
      <c r="G914" s="60"/>
      <c r="J914" s="59"/>
      <c r="K914" s="59"/>
      <c r="L914" s="59"/>
      <c r="M914" s="3"/>
      <c r="W914" s="59"/>
      <c r="X914" s="59"/>
      <c r="Y914" s="59"/>
      <c r="Z914" s="59"/>
      <c r="AA914" s="59"/>
      <c r="AB914" s="59"/>
      <c r="AC914" s="59"/>
    </row>
    <row r="915">
      <c r="E915" s="59"/>
      <c r="F915" s="59"/>
      <c r="G915" s="60"/>
      <c r="J915" s="59"/>
      <c r="K915" s="59"/>
      <c r="L915" s="59"/>
      <c r="M915" s="3"/>
      <c r="W915" s="59"/>
      <c r="X915" s="59"/>
      <c r="Y915" s="59"/>
      <c r="Z915" s="59"/>
      <c r="AA915" s="59"/>
      <c r="AB915" s="59"/>
      <c r="AC915" s="59"/>
    </row>
    <row r="916">
      <c r="E916" s="59"/>
      <c r="F916" s="59"/>
      <c r="G916" s="60"/>
      <c r="J916" s="59"/>
      <c r="K916" s="59"/>
      <c r="L916" s="59"/>
      <c r="M916" s="3"/>
      <c r="W916" s="59"/>
      <c r="X916" s="59"/>
      <c r="Y916" s="59"/>
      <c r="Z916" s="59"/>
      <c r="AA916" s="59"/>
      <c r="AB916" s="59"/>
      <c r="AC916" s="59"/>
    </row>
    <row r="917">
      <c r="E917" s="59"/>
      <c r="F917" s="59"/>
      <c r="G917" s="60"/>
      <c r="J917" s="59"/>
      <c r="K917" s="59"/>
      <c r="L917" s="59"/>
      <c r="M917" s="3"/>
      <c r="W917" s="59"/>
      <c r="X917" s="59"/>
      <c r="Y917" s="59"/>
      <c r="Z917" s="59"/>
      <c r="AA917" s="59"/>
      <c r="AB917" s="59"/>
      <c r="AC917" s="59"/>
    </row>
    <row r="918">
      <c r="E918" s="59"/>
      <c r="F918" s="59"/>
      <c r="G918" s="60"/>
      <c r="J918" s="59"/>
      <c r="K918" s="59"/>
      <c r="L918" s="59"/>
      <c r="M918" s="3"/>
      <c r="W918" s="59"/>
      <c r="X918" s="59"/>
      <c r="Y918" s="59"/>
      <c r="Z918" s="59"/>
      <c r="AA918" s="59"/>
      <c r="AB918" s="59"/>
      <c r="AC918" s="59"/>
    </row>
    <row r="919">
      <c r="E919" s="59"/>
      <c r="F919" s="59"/>
      <c r="G919" s="60"/>
      <c r="J919" s="59"/>
      <c r="K919" s="59"/>
      <c r="L919" s="59"/>
      <c r="M919" s="3"/>
      <c r="W919" s="59"/>
      <c r="X919" s="59"/>
      <c r="Y919" s="59"/>
      <c r="Z919" s="59"/>
      <c r="AA919" s="59"/>
      <c r="AB919" s="59"/>
      <c r="AC919" s="59"/>
    </row>
    <row r="920">
      <c r="E920" s="59"/>
      <c r="F920" s="59"/>
      <c r="G920" s="60"/>
      <c r="J920" s="59"/>
      <c r="K920" s="59"/>
      <c r="L920" s="59"/>
      <c r="M920" s="3"/>
      <c r="W920" s="59"/>
      <c r="X920" s="59"/>
      <c r="Y920" s="59"/>
      <c r="Z920" s="59"/>
      <c r="AA920" s="59"/>
      <c r="AB920" s="59"/>
      <c r="AC920" s="59"/>
    </row>
    <row r="921">
      <c r="E921" s="59"/>
      <c r="F921" s="59"/>
      <c r="G921" s="60"/>
      <c r="J921" s="59"/>
      <c r="K921" s="59"/>
      <c r="L921" s="59"/>
      <c r="M921" s="3"/>
      <c r="W921" s="59"/>
      <c r="X921" s="59"/>
      <c r="Y921" s="59"/>
      <c r="Z921" s="59"/>
      <c r="AA921" s="59"/>
      <c r="AB921" s="59"/>
      <c r="AC921" s="59"/>
    </row>
    <row r="922">
      <c r="E922" s="59"/>
      <c r="F922" s="59"/>
      <c r="G922" s="60"/>
      <c r="J922" s="59"/>
      <c r="K922" s="59"/>
      <c r="L922" s="59"/>
      <c r="M922" s="3"/>
      <c r="W922" s="59"/>
      <c r="X922" s="59"/>
      <c r="Y922" s="59"/>
      <c r="Z922" s="59"/>
      <c r="AA922" s="59"/>
      <c r="AB922" s="59"/>
      <c r="AC922" s="59"/>
    </row>
    <row r="923">
      <c r="E923" s="59"/>
      <c r="F923" s="59"/>
      <c r="G923" s="60"/>
      <c r="J923" s="59"/>
      <c r="K923" s="59"/>
      <c r="L923" s="59"/>
      <c r="M923" s="3"/>
      <c r="W923" s="59"/>
      <c r="X923" s="59"/>
      <c r="Y923" s="59"/>
      <c r="Z923" s="59"/>
      <c r="AA923" s="59"/>
      <c r="AB923" s="59"/>
      <c r="AC923" s="59"/>
    </row>
    <row r="924">
      <c r="E924" s="59"/>
      <c r="F924" s="59"/>
      <c r="G924" s="60"/>
      <c r="J924" s="59"/>
      <c r="K924" s="59"/>
      <c r="L924" s="59"/>
      <c r="M924" s="3"/>
      <c r="W924" s="59"/>
      <c r="X924" s="59"/>
      <c r="Y924" s="59"/>
      <c r="Z924" s="59"/>
      <c r="AA924" s="59"/>
      <c r="AB924" s="59"/>
      <c r="AC924" s="59"/>
    </row>
    <row r="925">
      <c r="E925" s="59"/>
      <c r="F925" s="59"/>
      <c r="G925" s="60"/>
      <c r="J925" s="59"/>
      <c r="K925" s="59"/>
      <c r="L925" s="59"/>
      <c r="M925" s="3"/>
      <c r="W925" s="59"/>
      <c r="X925" s="59"/>
      <c r="Y925" s="59"/>
      <c r="Z925" s="59"/>
      <c r="AA925" s="59"/>
      <c r="AB925" s="59"/>
      <c r="AC925" s="59"/>
    </row>
    <row r="926">
      <c r="E926" s="59"/>
      <c r="F926" s="59"/>
      <c r="G926" s="60"/>
      <c r="J926" s="59"/>
      <c r="K926" s="59"/>
      <c r="L926" s="59"/>
      <c r="M926" s="3"/>
      <c r="W926" s="59"/>
      <c r="X926" s="59"/>
      <c r="Y926" s="59"/>
      <c r="Z926" s="59"/>
      <c r="AA926" s="59"/>
      <c r="AB926" s="59"/>
      <c r="AC926" s="59"/>
    </row>
    <row r="927">
      <c r="E927" s="59"/>
      <c r="F927" s="59"/>
      <c r="G927" s="60"/>
      <c r="J927" s="59"/>
      <c r="K927" s="59"/>
      <c r="L927" s="59"/>
      <c r="M927" s="3"/>
      <c r="W927" s="59"/>
      <c r="X927" s="59"/>
      <c r="Y927" s="59"/>
      <c r="Z927" s="59"/>
      <c r="AA927" s="59"/>
      <c r="AB927" s="59"/>
      <c r="AC927" s="59"/>
    </row>
    <row r="928">
      <c r="E928" s="59"/>
      <c r="F928" s="59"/>
      <c r="G928" s="60"/>
      <c r="J928" s="59"/>
      <c r="K928" s="59"/>
      <c r="L928" s="59"/>
      <c r="M928" s="3"/>
      <c r="W928" s="59"/>
      <c r="X928" s="59"/>
      <c r="Y928" s="59"/>
      <c r="Z928" s="59"/>
      <c r="AA928" s="59"/>
      <c r="AB928" s="59"/>
      <c r="AC928" s="59"/>
    </row>
    <row r="929">
      <c r="E929" s="59"/>
      <c r="F929" s="59"/>
      <c r="G929" s="60"/>
      <c r="J929" s="59"/>
      <c r="K929" s="59"/>
      <c r="L929" s="59"/>
      <c r="M929" s="3"/>
      <c r="W929" s="59"/>
      <c r="X929" s="59"/>
      <c r="Y929" s="59"/>
      <c r="Z929" s="59"/>
      <c r="AA929" s="59"/>
      <c r="AB929" s="59"/>
      <c r="AC929" s="59"/>
    </row>
    <row r="930">
      <c r="E930" s="59"/>
      <c r="F930" s="59"/>
      <c r="G930" s="60"/>
      <c r="J930" s="59"/>
      <c r="K930" s="59"/>
      <c r="L930" s="59"/>
      <c r="M930" s="3"/>
      <c r="W930" s="59"/>
      <c r="X930" s="59"/>
      <c r="Y930" s="59"/>
      <c r="Z930" s="59"/>
      <c r="AA930" s="59"/>
      <c r="AB930" s="59"/>
      <c r="AC930" s="59"/>
    </row>
    <row r="931">
      <c r="E931" s="59"/>
      <c r="F931" s="59"/>
      <c r="G931" s="60"/>
      <c r="J931" s="59"/>
      <c r="K931" s="59"/>
      <c r="L931" s="59"/>
      <c r="M931" s="3"/>
      <c r="W931" s="59"/>
      <c r="X931" s="59"/>
      <c r="Y931" s="59"/>
      <c r="Z931" s="59"/>
      <c r="AA931" s="59"/>
      <c r="AB931" s="59"/>
      <c r="AC931" s="59"/>
    </row>
    <row r="932">
      <c r="E932" s="59"/>
      <c r="F932" s="59"/>
      <c r="G932" s="60"/>
      <c r="J932" s="59"/>
      <c r="K932" s="59"/>
      <c r="L932" s="59"/>
      <c r="M932" s="3"/>
      <c r="W932" s="59"/>
      <c r="X932" s="59"/>
      <c r="Y932" s="59"/>
      <c r="Z932" s="59"/>
      <c r="AA932" s="59"/>
      <c r="AB932" s="59"/>
      <c r="AC932" s="59"/>
    </row>
    <row r="933">
      <c r="E933" s="59"/>
      <c r="F933" s="59"/>
      <c r="G933" s="60"/>
      <c r="J933" s="59"/>
      <c r="K933" s="59"/>
      <c r="L933" s="59"/>
      <c r="M933" s="3"/>
      <c r="W933" s="59"/>
      <c r="X933" s="59"/>
      <c r="Y933" s="59"/>
      <c r="Z933" s="59"/>
      <c r="AA933" s="59"/>
      <c r="AB933" s="59"/>
      <c r="AC933" s="59"/>
    </row>
    <row r="934">
      <c r="E934" s="59"/>
      <c r="F934" s="59"/>
      <c r="G934" s="60"/>
      <c r="J934" s="59"/>
      <c r="K934" s="59"/>
      <c r="L934" s="59"/>
      <c r="M934" s="3"/>
      <c r="W934" s="59"/>
      <c r="X934" s="59"/>
      <c r="Y934" s="59"/>
      <c r="Z934" s="59"/>
      <c r="AA934" s="59"/>
      <c r="AB934" s="59"/>
      <c r="AC934" s="59"/>
    </row>
    <row r="935">
      <c r="E935" s="59"/>
      <c r="F935" s="59"/>
      <c r="G935" s="60"/>
      <c r="J935" s="59"/>
      <c r="K935" s="59"/>
      <c r="L935" s="59"/>
      <c r="M935" s="3"/>
      <c r="W935" s="59"/>
      <c r="X935" s="59"/>
      <c r="Y935" s="59"/>
      <c r="Z935" s="59"/>
      <c r="AA935" s="59"/>
      <c r="AB935" s="59"/>
      <c r="AC935" s="59"/>
    </row>
    <row r="936">
      <c r="E936" s="59"/>
      <c r="F936" s="59"/>
      <c r="G936" s="60"/>
      <c r="J936" s="59"/>
      <c r="K936" s="59"/>
      <c r="L936" s="59"/>
      <c r="M936" s="3"/>
      <c r="W936" s="59"/>
      <c r="X936" s="59"/>
      <c r="Y936" s="59"/>
      <c r="Z936" s="59"/>
      <c r="AA936" s="59"/>
      <c r="AB936" s="59"/>
      <c r="AC936" s="59"/>
    </row>
    <row r="937">
      <c r="E937" s="59"/>
      <c r="F937" s="59"/>
      <c r="G937" s="60"/>
      <c r="J937" s="59"/>
      <c r="K937" s="59"/>
      <c r="L937" s="59"/>
      <c r="M937" s="3"/>
      <c r="W937" s="59"/>
      <c r="X937" s="59"/>
      <c r="Y937" s="59"/>
      <c r="Z937" s="59"/>
      <c r="AA937" s="59"/>
      <c r="AB937" s="59"/>
      <c r="AC937" s="59"/>
    </row>
    <row r="938">
      <c r="E938" s="59"/>
      <c r="F938" s="59"/>
      <c r="G938" s="60"/>
      <c r="J938" s="59"/>
      <c r="K938" s="59"/>
      <c r="L938" s="59"/>
      <c r="M938" s="3"/>
      <c r="W938" s="59"/>
      <c r="X938" s="59"/>
      <c r="Y938" s="59"/>
      <c r="Z938" s="59"/>
      <c r="AA938" s="59"/>
      <c r="AB938" s="59"/>
      <c r="AC938" s="59"/>
    </row>
    <row r="939">
      <c r="E939" s="59"/>
      <c r="F939" s="59"/>
      <c r="G939" s="60"/>
      <c r="J939" s="59"/>
      <c r="K939" s="59"/>
      <c r="L939" s="59"/>
      <c r="M939" s="3"/>
      <c r="W939" s="59"/>
      <c r="X939" s="59"/>
      <c r="Y939" s="59"/>
      <c r="Z939" s="59"/>
      <c r="AA939" s="59"/>
      <c r="AB939" s="59"/>
      <c r="AC939" s="59"/>
    </row>
    <row r="940">
      <c r="E940" s="59"/>
      <c r="F940" s="59"/>
      <c r="G940" s="60"/>
      <c r="J940" s="59"/>
      <c r="K940" s="59"/>
      <c r="L940" s="59"/>
      <c r="M940" s="3"/>
      <c r="W940" s="59"/>
      <c r="X940" s="59"/>
      <c r="Y940" s="59"/>
      <c r="Z940" s="59"/>
      <c r="AA940" s="59"/>
      <c r="AB940" s="59"/>
      <c r="AC940" s="59"/>
    </row>
    <row r="941">
      <c r="E941" s="59"/>
      <c r="F941" s="59"/>
      <c r="G941" s="60"/>
      <c r="J941" s="59"/>
      <c r="K941" s="59"/>
      <c r="L941" s="59"/>
      <c r="M941" s="3"/>
      <c r="W941" s="59"/>
      <c r="X941" s="59"/>
      <c r="Y941" s="59"/>
      <c r="Z941" s="59"/>
      <c r="AA941" s="59"/>
      <c r="AB941" s="59"/>
      <c r="AC941" s="59"/>
    </row>
    <row r="942">
      <c r="E942" s="59"/>
      <c r="F942" s="59"/>
      <c r="G942" s="60"/>
      <c r="J942" s="59"/>
      <c r="K942" s="59"/>
      <c r="L942" s="59"/>
      <c r="M942" s="3"/>
      <c r="W942" s="59"/>
      <c r="X942" s="59"/>
      <c r="Y942" s="59"/>
      <c r="Z942" s="59"/>
      <c r="AA942" s="59"/>
      <c r="AB942" s="59"/>
      <c r="AC942" s="59"/>
    </row>
    <row r="943">
      <c r="E943" s="59"/>
      <c r="F943" s="59"/>
      <c r="G943" s="60"/>
      <c r="J943" s="59"/>
      <c r="K943" s="59"/>
      <c r="L943" s="59"/>
      <c r="M943" s="3"/>
      <c r="W943" s="59"/>
      <c r="X943" s="59"/>
      <c r="Y943" s="59"/>
      <c r="Z943" s="59"/>
      <c r="AA943" s="59"/>
      <c r="AB943" s="59"/>
      <c r="AC943" s="59"/>
    </row>
    <row r="944">
      <c r="E944" s="59"/>
      <c r="F944" s="59"/>
      <c r="G944" s="60"/>
      <c r="J944" s="59"/>
      <c r="K944" s="59"/>
      <c r="L944" s="59"/>
      <c r="M944" s="3"/>
      <c r="W944" s="59"/>
      <c r="X944" s="59"/>
      <c r="Y944" s="59"/>
      <c r="Z944" s="59"/>
      <c r="AA944" s="59"/>
      <c r="AB944" s="59"/>
      <c r="AC944" s="59"/>
    </row>
    <row r="945">
      <c r="E945" s="59"/>
      <c r="F945" s="59"/>
      <c r="G945" s="60"/>
      <c r="J945" s="59"/>
      <c r="K945" s="59"/>
      <c r="L945" s="59"/>
      <c r="M945" s="3"/>
      <c r="W945" s="59"/>
      <c r="X945" s="59"/>
      <c r="Y945" s="59"/>
      <c r="Z945" s="59"/>
      <c r="AA945" s="59"/>
      <c r="AB945" s="59"/>
      <c r="AC945" s="59"/>
    </row>
    <row r="946">
      <c r="E946" s="59"/>
      <c r="F946" s="59"/>
      <c r="G946" s="60"/>
      <c r="J946" s="59"/>
      <c r="K946" s="59"/>
      <c r="L946" s="59"/>
      <c r="M946" s="3"/>
      <c r="W946" s="59"/>
      <c r="X946" s="59"/>
      <c r="Y946" s="59"/>
      <c r="Z946" s="59"/>
      <c r="AA946" s="59"/>
      <c r="AB946" s="59"/>
      <c r="AC946" s="59"/>
    </row>
    <row r="947">
      <c r="E947" s="59"/>
      <c r="F947" s="59"/>
      <c r="G947" s="60"/>
      <c r="J947" s="59"/>
      <c r="K947" s="59"/>
      <c r="L947" s="59"/>
      <c r="M947" s="3"/>
      <c r="W947" s="59"/>
      <c r="X947" s="59"/>
      <c r="Y947" s="59"/>
      <c r="Z947" s="59"/>
      <c r="AA947" s="59"/>
      <c r="AB947" s="59"/>
      <c r="AC947" s="59"/>
    </row>
    <row r="948">
      <c r="E948" s="59"/>
      <c r="F948" s="59"/>
      <c r="G948" s="60"/>
      <c r="J948" s="59"/>
      <c r="K948" s="59"/>
      <c r="L948" s="59"/>
      <c r="M948" s="3"/>
      <c r="W948" s="59"/>
      <c r="X948" s="59"/>
      <c r="Y948" s="59"/>
      <c r="Z948" s="59"/>
      <c r="AA948" s="59"/>
      <c r="AB948" s="59"/>
      <c r="AC948" s="59"/>
    </row>
    <row r="949">
      <c r="E949" s="59"/>
      <c r="F949" s="59"/>
      <c r="G949" s="60"/>
      <c r="J949" s="59"/>
      <c r="K949" s="59"/>
      <c r="L949" s="59"/>
      <c r="M949" s="3"/>
      <c r="W949" s="59"/>
      <c r="X949" s="59"/>
      <c r="Y949" s="59"/>
      <c r="Z949" s="59"/>
      <c r="AA949" s="59"/>
      <c r="AB949" s="59"/>
      <c r="AC949" s="59"/>
    </row>
    <row r="950">
      <c r="E950" s="59"/>
      <c r="F950" s="59"/>
      <c r="G950" s="60"/>
      <c r="J950" s="59"/>
      <c r="K950" s="59"/>
      <c r="L950" s="59"/>
      <c r="M950" s="3"/>
      <c r="W950" s="59"/>
      <c r="X950" s="59"/>
      <c r="Y950" s="59"/>
      <c r="Z950" s="59"/>
      <c r="AA950" s="59"/>
      <c r="AB950" s="59"/>
      <c r="AC950" s="59"/>
    </row>
    <row r="951">
      <c r="E951" s="59"/>
      <c r="F951" s="59"/>
      <c r="G951" s="60"/>
      <c r="J951" s="59"/>
      <c r="K951" s="59"/>
      <c r="L951" s="59"/>
      <c r="M951" s="3"/>
      <c r="W951" s="59"/>
      <c r="X951" s="59"/>
      <c r="Y951" s="59"/>
      <c r="Z951" s="59"/>
      <c r="AA951" s="59"/>
      <c r="AB951" s="59"/>
      <c r="AC951" s="59"/>
    </row>
    <row r="952">
      <c r="E952" s="59"/>
      <c r="F952" s="59"/>
      <c r="G952" s="60"/>
      <c r="J952" s="59"/>
      <c r="K952" s="59"/>
      <c r="L952" s="59"/>
      <c r="M952" s="3"/>
      <c r="W952" s="59"/>
      <c r="X952" s="59"/>
      <c r="Y952" s="59"/>
      <c r="Z952" s="59"/>
      <c r="AA952" s="59"/>
      <c r="AB952" s="59"/>
      <c r="AC952" s="59"/>
    </row>
    <row r="953">
      <c r="E953" s="59"/>
      <c r="F953" s="59"/>
      <c r="G953" s="60"/>
      <c r="J953" s="59"/>
      <c r="K953" s="59"/>
      <c r="L953" s="59"/>
      <c r="M953" s="3"/>
      <c r="W953" s="59"/>
      <c r="X953" s="59"/>
      <c r="Y953" s="59"/>
      <c r="Z953" s="59"/>
      <c r="AA953" s="59"/>
      <c r="AB953" s="59"/>
      <c r="AC953" s="59"/>
    </row>
    <row r="954">
      <c r="E954" s="59"/>
      <c r="F954" s="59"/>
      <c r="G954" s="60"/>
      <c r="J954" s="59"/>
      <c r="K954" s="59"/>
      <c r="L954" s="59"/>
      <c r="M954" s="3"/>
      <c r="W954" s="59"/>
      <c r="X954" s="59"/>
      <c r="Y954" s="59"/>
      <c r="Z954" s="59"/>
      <c r="AA954" s="59"/>
      <c r="AB954" s="59"/>
      <c r="AC954" s="59"/>
    </row>
    <row r="955">
      <c r="E955" s="59"/>
      <c r="F955" s="59"/>
      <c r="G955" s="60"/>
      <c r="J955" s="59"/>
      <c r="K955" s="59"/>
      <c r="L955" s="59"/>
      <c r="M955" s="3"/>
      <c r="W955" s="59"/>
      <c r="X955" s="59"/>
      <c r="Y955" s="59"/>
      <c r="Z955" s="59"/>
      <c r="AA955" s="59"/>
      <c r="AB955" s="59"/>
      <c r="AC955" s="59"/>
    </row>
    <row r="956">
      <c r="E956" s="59"/>
      <c r="F956" s="59"/>
      <c r="G956" s="60"/>
      <c r="J956" s="59"/>
      <c r="K956" s="59"/>
      <c r="L956" s="59"/>
      <c r="M956" s="3"/>
      <c r="W956" s="59"/>
      <c r="X956" s="59"/>
      <c r="Y956" s="59"/>
      <c r="Z956" s="59"/>
      <c r="AA956" s="59"/>
      <c r="AB956" s="59"/>
      <c r="AC956" s="59"/>
    </row>
    <row r="957">
      <c r="E957" s="59"/>
      <c r="F957" s="59"/>
      <c r="G957" s="60"/>
      <c r="J957" s="59"/>
      <c r="K957" s="59"/>
      <c r="L957" s="59"/>
      <c r="W957" s="59"/>
      <c r="X957" s="59"/>
      <c r="Y957" s="59"/>
      <c r="Z957" s="59"/>
      <c r="AA957" s="59"/>
      <c r="AB957" s="59"/>
      <c r="AC957" s="59"/>
    </row>
    <row r="958">
      <c r="E958" s="59"/>
      <c r="F958" s="59"/>
      <c r="G958" s="60"/>
      <c r="J958" s="59"/>
      <c r="K958" s="59"/>
      <c r="L958" s="59"/>
      <c r="W958" s="59"/>
      <c r="X958" s="59"/>
      <c r="Y958" s="59"/>
      <c r="Z958" s="59"/>
      <c r="AA958" s="59"/>
      <c r="AB958" s="59"/>
      <c r="AC958" s="59"/>
    </row>
    <row r="959">
      <c r="E959" s="59"/>
      <c r="F959" s="59"/>
      <c r="G959" s="60"/>
      <c r="J959" s="59"/>
      <c r="K959" s="59"/>
      <c r="L959" s="59"/>
      <c r="W959" s="59"/>
      <c r="X959" s="59"/>
      <c r="Y959" s="59"/>
      <c r="Z959" s="59"/>
      <c r="AA959" s="59"/>
      <c r="AB959" s="59"/>
      <c r="AC959" s="59"/>
    </row>
    <row r="960">
      <c r="E960" s="59"/>
      <c r="F960" s="59"/>
      <c r="G960" s="60"/>
      <c r="J960" s="59"/>
      <c r="K960" s="59"/>
      <c r="L960" s="59"/>
      <c r="W960" s="59"/>
      <c r="X960" s="59"/>
      <c r="Y960" s="59"/>
      <c r="Z960" s="59"/>
      <c r="AA960" s="59"/>
      <c r="AB960" s="59"/>
      <c r="AC960" s="59"/>
    </row>
    <row r="961">
      <c r="E961" s="59"/>
      <c r="F961" s="59"/>
      <c r="G961" s="60"/>
      <c r="J961" s="59"/>
      <c r="K961" s="59"/>
      <c r="L961" s="59"/>
      <c r="W961" s="59"/>
      <c r="X961" s="59"/>
      <c r="Y961" s="59"/>
      <c r="Z961" s="59"/>
      <c r="AA961" s="59"/>
      <c r="AB961" s="59"/>
      <c r="AC961" s="59"/>
    </row>
    <row r="962">
      <c r="E962" s="59"/>
      <c r="F962" s="59"/>
      <c r="G962" s="60"/>
      <c r="J962" s="59"/>
      <c r="K962" s="59"/>
      <c r="L962" s="59"/>
      <c r="W962" s="59"/>
      <c r="X962" s="59"/>
      <c r="Y962" s="59"/>
      <c r="Z962" s="59"/>
      <c r="AA962" s="59"/>
      <c r="AB962" s="59"/>
      <c r="AC962" s="59"/>
    </row>
    <row r="963">
      <c r="E963" s="59"/>
      <c r="F963" s="59"/>
      <c r="G963" s="60"/>
      <c r="J963" s="59"/>
      <c r="K963" s="59"/>
      <c r="L963" s="59"/>
      <c r="W963" s="59"/>
      <c r="X963" s="59"/>
      <c r="Y963" s="59"/>
      <c r="Z963" s="59"/>
      <c r="AA963" s="59"/>
      <c r="AB963" s="59"/>
      <c r="AC963" s="59"/>
    </row>
    <row r="964">
      <c r="E964" s="59"/>
      <c r="F964" s="59"/>
      <c r="G964" s="60"/>
      <c r="J964" s="59"/>
      <c r="K964" s="59"/>
      <c r="L964" s="59"/>
      <c r="W964" s="59"/>
      <c r="X964" s="59"/>
      <c r="Y964" s="59"/>
      <c r="Z964" s="59"/>
      <c r="AA964" s="59"/>
      <c r="AB964" s="59"/>
      <c r="AC964" s="59"/>
    </row>
    <row r="965">
      <c r="E965" s="59"/>
      <c r="F965" s="59"/>
      <c r="G965" s="60"/>
      <c r="J965" s="59"/>
      <c r="K965" s="59"/>
      <c r="L965" s="59"/>
      <c r="W965" s="59"/>
      <c r="X965" s="59"/>
      <c r="Y965" s="59"/>
      <c r="Z965" s="59"/>
      <c r="AA965" s="59"/>
      <c r="AB965" s="59"/>
      <c r="AC965" s="59"/>
    </row>
    <row r="966">
      <c r="E966" s="59"/>
      <c r="F966" s="59"/>
      <c r="G966" s="60"/>
      <c r="J966" s="59"/>
      <c r="K966" s="59"/>
      <c r="L966" s="59"/>
      <c r="W966" s="59"/>
      <c r="X966" s="59"/>
      <c r="Y966" s="59"/>
      <c r="Z966" s="59"/>
      <c r="AA966" s="59"/>
      <c r="AB966" s="59"/>
      <c r="AC966" s="59"/>
    </row>
    <row r="967">
      <c r="E967" s="59"/>
      <c r="F967" s="59"/>
      <c r="G967" s="60"/>
      <c r="J967" s="59"/>
      <c r="K967" s="59"/>
      <c r="L967" s="59"/>
      <c r="W967" s="59"/>
      <c r="X967" s="59"/>
      <c r="Y967" s="59"/>
      <c r="Z967" s="59"/>
      <c r="AA967" s="59"/>
      <c r="AB967" s="59"/>
      <c r="AC967" s="59"/>
    </row>
    <row r="968">
      <c r="E968" s="59"/>
      <c r="F968" s="59"/>
      <c r="G968" s="60"/>
      <c r="J968" s="59"/>
      <c r="K968" s="59"/>
      <c r="L968" s="59"/>
      <c r="W968" s="59"/>
      <c r="X968" s="59"/>
      <c r="Y968" s="59"/>
      <c r="Z968" s="59"/>
      <c r="AA968" s="59"/>
      <c r="AB968" s="59"/>
      <c r="AC968" s="59"/>
    </row>
    <row r="969">
      <c r="E969" s="59"/>
      <c r="F969" s="59"/>
      <c r="G969" s="60"/>
      <c r="J969" s="59"/>
      <c r="K969" s="59"/>
      <c r="L969" s="59"/>
      <c r="W969" s="59"/>
      <c r="X969" s="59"/>
      <c r="Y969" s="59"/>
      <c r="Z969" s="59"/>
      <c r="AA969" s="59"/>
      <c r="AB969" s="59"/>
      <c r="AC969" s="59"/>
    </row>
    <row r="970">
      <c r="E970" s="59"/>
      <c r="F970" s="59"/>
      <c r="G970" s="60"/>
      <c r="J970" s="59"/>
      <c r="K970" s="59"/>
      <c r="L970" s="59"/>
      <c r="W970" s="59"/>
      <c r="X970" s="59"/>
      <c r="Y970" s="59"/>
      <c r="Z970" s="59"/>
      <c r="AA970" s="59"/>
      <c r="AB970" s="59"/>
      <c r="AC970" s="59"/>
    </row>
    <row r="971">
      <c r="E971" s="59"/>
      <c r="F971" s="59"/>
      <c r="G971" s="60"/>
      <c r="J971" s="59"/>
      <c r="K971" s="59"/>
      <c r="L971" s="59"/>
      <c r="W971" s="59"/>
      <c r="X971" s="59"/>
      <c r="Y971" s="59"/>
      <c r="Z971" s="59"/>
      <c r="AA971" s="59"/>
      <c r="AB971" s="59"/>
      <c r="AC971" s="59"/>
    </row>
    <row r="972">
      <c r="E972" s="59"/>
      <c r="F972" s="59"/>
      <c r="G972" s="60"/>
      <c r="J972" s="59"/>
      <c r="K972" s="59"/>
      <c r="L972" s="59"/>
      <c r="W972" s="59"/>
      <c r="X972" s="59"/>
      <c r="Y972" s="59"/>
      <c r="Z972" s="59"/>
      <c r="AA972" s="59"/>
      <c r="AB972" s="59"/>
      <c r="AC972" s="59"/>
    </row>
    <row r="973">
      <c r="E973" s="59"/>
      <c r="F973" s="59"/>
      <c r="G973" s="60"/>
      <c r="J973" s="59"/>
      <c r="K973" s="59"/>
      <c r="L973" s="59"/>
      <c r="W973" s="59"/>
      <c r="X973" s="59"/>
      <c r="Y973" s="59"/>
      <c r="Z973" s="59"/>
      <c r="AA973" s="59"/>
      <c r="AB973" s="59"/>
      <c r="AC973" s="59"/>
    </row>
  </sheetData>
  <autoFilter ref="$A$4:$AD$20"/>
  <customSheetViews>
    <customSheetView guid="{2D0BF067-022D-4275-A861-6E86AE8C88C6}" filter="1" showAutoFilter="1">
      <autoFilter ref="$A$4:$AO$50"/>
    </customSheetView>
  </customSheetViews>
  <mergeCells count="5">
    <mergeCell ref="K2:V2"/>
    <mergeCell ref="W2:AC3"/>
    <mergeCell ref="K3:N3"/>
    <mergeCell ref="O3:R3"/>
    <mergeCell ref="S3:V3"/>
  </mergeCells>
  <conditionalFormatting sqref="C1:C973">
    <cfRule type="containsText" dxfId="0" priority="1" operator="containsText" text="Buy">
      <formula>NOT(ISERROR(SEARCH(("Buy"),(C1))))</formula>
    </cfRule>
  </conditionalFormatting>
  <conditionalFormatting sqref="C1:C973">
    <cfRule type="containsText" dxfId="1" priority="2" operator="containsText" text="Sell">
      <formula>NOT(ISERROR(SEARCH(("Sell"),(C1))))</formula>
    </cfRule>
  </conditionalFormatting>
  <conditionalFormatting sqref="B1:B2 B4:B973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20">
    <cfRule type="expression" dxfId="1" priority="5">
      <formula>NOT(ISBLANK($W5))</formula>
    </cfRule>
  </conditionalFormatting>
  <conditionalFormatting sqref="K5:K20 O5:O20 S5:S20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1" t="s">
        <v>30</v>
      </c>
      <c r="C1" s="62" t="s">
        <v>31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1" t="s">
        <v>14</v>
      </c>
      <c r="C2" s="63">
        <f>IFERROR(__xludf.DUMMYFUNCTION("GOOGLEFINANCE($C$1, ""price"")"),53.0)</f>
        <v>53</v>
      </c>
      <c r="D2" s="3"/>
      <c r="E2" s="61" t="s">
        <v>32</v>
      </c>
      <c r="F2" s="64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5" t="s">
        <v>33</v>
      </c>
      <c r="C3" s="63">
        <f>IFERROR(__xludf.DUMMYFUNCTION("GOOGLEFINANCE($C$1, ""high52"")"),124.81)</f>
        <v>124.81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5" t="s">
        <v>34</v>
      </c>
      <c r="C4" s="63">
        <f>IFERROR(__xludf.DUMMYFUNCTION("GOOGLEFINANCE($C$1, ""low52"")"),45.5)</f>
        <v>45.5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6"/>
      <c r="B6" s="67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8" t="s">
        <v>35</v>
      </c>
      <c r="B8" s="69" t="s">
        <v>18</v>
      </c>
      <c r="C8" s="70">
        <f>SUM('Trading History'!$N$4:$N1007)</f>
        <v>100</v>
      </c>
      <c r="D8" s="66"/>
      <c r="E8" s="71" t="s">
        <v>36</v>
      </c>
      <c r="F8" s="70">
        <f>IFERROR(SUM('Trading History'!$R$4:$R1007), 0)</f>
        <v>90</v>
      </c>
      <c r="G8" s="66"/>
      <c r="H8" s="72" t="s">
        <v>37</v>
      </c>
      <c r="I8" s="70">
        <f>SUM('Trading History'!$V$4:$V1007)</f>
        <v>10</v>
      </c>
      <c r="J8" s="66"/>
      <c r="K8" s="73" t="s">
        <v>18</v>
      </c>
      <c r="L8" s="70">
        <f>SUM('Trading History'!$AB$4:$AB1007)</f>
        <v>100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4"/>
      <c r="B9" s="75" t="s">
        <v>38</v>
      </c>
      <c r="C9" s="64">
        <f>IFERROR(Index!C10/(Index!C8*Index!$C$2), 0)</f>
        <v>-0.9521932226</v>
      </c>
      <c r="D9" s="66"/>
      <c r="E9" s="76" t="s">
        <v>39</v>
      </c>
      <c r="F9" s="64">
        <f>IFERROR(Index!F10/(Index!F8*Index!$C$2), 0)</f>
        <v>-0.9025476059</v>
      </c>
      <c r="G9" s="66"/>
      <c r="H9" s="77" t="s">
        <v>40</v>
      </c>
      <c r="I9" s="64">
        <f>IFERROR(Index!I10/(Index!I8*Index!$C$2), 0)</f>
        <v>-1.399003774</v>
      </c>
      <c r="J9" s="66"/>
      <c r="K9" s="78" t="s">
        <v>38</v>
      </c>
      <c r="L9" s="64">
        <f>IFERROR(Index!L10/(Index!L8*Index!$C$2), 0)</f>
        <v>1.032379208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4"/>
      <c r="B10" s="75" t="s">
        <v>16</v>
      </c>
      <c r="C10" s="79">
        <f>SUM('Trading History'!$L$4:$L1007)</f>
        <v>-5046.62408</v>
      </c>
      <c r="D10" s="66"/>
      <c r="E10" s="76" t="s">
        <v>41</v>
      </c>
      <c r="F10" s="79">
        <f>SUM('Trading History'!$P$4:$P1007)</f>
        <v>-4305.15208</v>
      </c>
      <c r="G10" s="66"/>
      <c r="H10" s="77" t="s">
        <v>42</v>
      </c>
      <c r="I10" s="79">
        <f>SUM('Trading History'!$T$4:$T1007)</f>
        <v>-741.472</v>
      </c>
      <c r="J10" s="66"/>
      <c r="K10" s="78" t="s">
        <v>16</v>
      </c>
      <c r="L10" s="79">
        <f>SUM('Trading History'!$Z$4:$Z1007)</f>
        <v>5471.6098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4"/>
      <c r="B11" s="75" t="s">
        <v>43</v>
      </c>
      <c r="C11" s="79">
        <f>Index!C12-Index!C10</f>
        <v>10418.28</v>
      </c>
      <c r="D11" s="66"/>
      <c r="E11" s="76" t="s">
        <v>44</v>
      </c>
      <c r="F11" s="79">
        <f>Index!F12-Index!F10</f>
        <v>9136.28</v>
      </c>
      <c r="G11" s="66"/>
      <c r="H11" s="77" t="s">
        <v>45</v>
      </c>
      <c r="I11" s="79">
        <f>Index!I12-Index!I10</f>
        <v>1282</v>
      </c>
      <c r="J11" s="66"/>
      <c r="K11" s="78" t="s">
        <v>43</v>
      </c>
      <c r="L11" s="79">
        <f>Index!L12-Index!L10</f>
        <v>18003.2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4"/>
      <c r="B12" s="75" t="s">
        <v>17</v>
      </c>
      <c r="C12" s="79">
        <f>SUM('Trading History'!$M$4:$M1007)</f>
        <v>5371.65592</v>
      </c>
      <c r="D12" s="66"/>
      <c r="E12" s="76" t="s">
        <v>46</v>
      </c>
      <c r="F12" s="79">
        <f>SUM('Trading History'!$Q$4:$Q1007)</f>
        <v>4831.12792</v>
      </c>
      <c r="G12" s="66"/>
      <c r="H12" s="77" t="s">
        <v>47</v>
      </c>
      <c r="I12" s="79">
        <f>SUM('Trading History'!$U$4:$U1007)</f>
        <v>540.528</v>
      </c>
      <c r="J12" s="66"/>
      <c r="K12" s="78" t="s">
        <v>17</v>
      </c>
      <c r="L12" s="79">
        <f>SUM('Trading History'!$AA$4:$AA1007)</f>
        <v>23474.8098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4"/>
      <c r="B13" s="3"/>
      <c r="C13" s="80"/>
      <c r="D13" s="3"/>
      <c r="E13" s="2"/>
      <c r="F13" s="80"/>
      <c r="G13" s="3"/>
      <c r="H13" s="2"/>
      <c r="I13" s="80"/>
      <c r="J13" s="3"/>
      <c r="K13" s="78" t="s">
        <v>48</v>
      </c>
      <c r="L13" s="79">
        <f>SUMIF('Trading History'!$B14:$B1007,"DIV",'Trading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4"/>
      <c r="B14" s="3"/>
      <c r="C14" s="80"/>
      <c r="D14" s="3"/>
      <c r="E14" s="2"/>
      <c r="F14" s="80"/>
      <c r="G14" s="3"/>
      <c r="H14" s="2"/>
      <c r="I14" s="80"/>
      <c r="J14" s="3"/>
      <c r="K14" s="2"/>
      <c r="L14" s="80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8">
        <v>0.5</v>
      </c>
      <c r="B15" s="69" t="s">
        <v>18</v>
      </c>
      <c r="C15" s="70">
        <f>SUMIFS('Trading History'!$N$4:$N1007, 'Trading History'!$K$4:$K1007, CONCAT("&gt;", $A15))</f>
        <v>0</v>
      </c>
      <c r="D15" s="66"/>
      <c r="E15" s="71" t="s">
        <v>36</v>
      </c>
      <c r="F15" s="70">
        <f>IFERROR(SUMIFS('Trading History'!$R$4:$R1007, 'Trading History'!$O$4:$O1007, CONCAT("&gt;", $A15)), 0)</f>
        <v>0</v>
      </c>
      <c r="G15" s="66"/>
      <c r="H15" s="72" t="s">
        <v>37</v>
      </c>
      <c r="I15" s="70">
        <f>SUMIFS('Trading History'!$V$4:$V1007, 'Trading History'!$S$4:$S1007, CONCAT("&gt;", $A15))</f>
        <v>0</v>
      </c>
      <c r="J15" s="66"/>
      <c r="K15" s="73" t="s">
        <v>18</v>
      </c>
      <c r="L15" s="70">
        <f>SUMIFS('Trading History'!$AB$4:$AB1007, 'Trading History'!$Y$4:$Y1007, CONCAT("&gt;", $A15))</f>
        <v>10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5" t="s">
        <v>38</v>
      </c>
      <c r="C16" s="64">
        <f>IFERROR(Index!C17/(Index!C15*Index!$C$2), 0)</f>
        <v>0</v>
      </c>
      <c r="D16" s="66"/>
      <c r="E16" s="76" t="s">
        <v>39</v>
      </c>
      <c r="F16" s="64">
        <f>IFERROR(Index!F17/(Index!F15*Index!$C$2), 0)</f>
        <v>0</v>
      </c>
      <c r="G16" s="66"/>
      <c r="H16" s="77" t="s">
        <v>40</v>
      </c>
      <c r="I16" s="64">
        <f>IFERROR(Index!I17/(Index!I15*Index!$C$2), 0)</f>
        <v>0</v>
      </c>
      <c r="J16" s="66"/>
      <c r="K16" s="78" t="s">
        <v>38</v>
      </c>
      <c r="L16" s="64">
        <f>IFERROR(Index!L17/(Index!L15*Index!$C$2), 0)</f>
        <v>1.502440755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5" t="s">
        <v>16</v>
      </c>
      <c r="C17" s="79">
        <f>SUMIFS('Trading History'!$L$4:$L1007, 'Trading History'!$K$4:$K1007, CONCAT("&gt;", $A15))</f>
        <v>0</v>
      </c>
      <c r="D17" s="66"/>
      <c r="E17" s="76" t="s">
        <v>41</v>
      </c>
      <c r="F17" s="79">
        <f>SUMIFS('Trading History'!$P$4:$P1007, 'Trading History'!$O$4:$O1007, CONCAT("&gt;", $A15))</f>
        <v>0</v>
      </c>
      <c r="G17" s="66"/>
      <c r="H17" s="77" t="s">
        <v>42</v>
      </c>
      <c r="I17" s="79">
        <f>SUMIFS('Trading History'!$T$4:$T1007, 'Trading History'!$S$4:$S1007, CONCAT("&gt;", $A15))</f>
        <v>0</v>
      </c>
      <c r="J17" s="66"/>
      <c r="K17" s="78" t="s">
        <v>16</v>
      </c>
      <c r="L17" s="79">
        <f>SUMIFS('Trading History'!$Z$4:$Z1007, 'Trading History'!$Y$4:$Y1007, CONCAT("&gt;", $A15))</f>
        <v>796.2936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5" t="s">
        <v>43</v>
      </c>
      <c r="C18" s="79">
        <f>Index!C19-Index!C17</f>
        <v>0</v>
      </c>
      <c r="D18" s="66"/>
      <c r="E18" s="76" t="s">
        <v>44</v>
      </c>
      <c r="F18" s="79">
        <f>Index!F19-Index!F17</f>
        <v>0</v>
      </c>
      <c r="G18" s="66"/>
      <c r="H18" s="77" t="s">
        <v>45</v>
      </c>
      <c r="I18" s="79">
        <f>Index!I19-Index!I17</f>
        <v>0</v>
      </c>
      <c r="J18" s="66"/>
      <c r="K18" s="78" t="s">
        <v>43</v>
      </c>
      <c r="L18" s="79">
        <f>Index!L19-Index!L17</f>
        <v>1547.9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5" t="s">
        <v>17</v>
      </c>
      <c r="C19" s="79">
        <f>SUMIFS('Trading History'!$M$4:$M1007, 'Trading History'!$K$4:$K1007, CONCAT("&gt;", $A15))</f>
        <v>0</v>
      </c>
      <c r="D19" s="66"/>
      <c r="E19" s="76" t="s">
        <v>46</v>
      </c>
      <c r="F19" s="79">
        <f>SUMIFS('Trading History'!$Q$4:$Q1007, 'Trading History'!$O$4:$O1007, CONCAT("&gt;", $A15))</f>
        <v>0</v>
      </c>
      <c r="G19" s="66"/>
      <c r="H19" s="77" t="s">
        <v>47</v>
      </c>
      <c r="I19" s="79">
        <f>SUMIFS('Trading History'!$U$4:$U1007, 'Trading History'!$S$4:$S1007, CONCAT("&gt;", $A15))</f>
        <v>0</v>
      </c>
      <c r="J19" s="66"/>
      <c r="K19" s="78" t="s">
        <v>17</v>
      </c>
      <c r="L19" s="79">
        <f>SUMIFS('Trading History'!$AA$4:$AA1007, 'Trading History'!$Y$4:$Y1007, CONCAT("&gt;", $A15))</f>
        <v>2344.1936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8">
        <v>0.45</v>
      </c>
      <c r="B22" s="69" t="s">
        <v>18</v>
      </c>
      <c r="C22" s="70">
        <f>SUMIFS('Trading History'!$N$4:$N1007, 'Trading History'!$K$4:$K1007, CONCAT("&gt;", $A22))</f>
        <v>0</v>
      </c>
      <c r="D22" s="66"/>
      <c r="E22" s="71" t="s">
        <v>36</v>
      </c>
      <c r="F22" s="70">
        <f>IFERROR(SUMIFS('Trading History'!$R$4:$R1007, 'Trading History'!$O$4:$O1007, CONCAT("&gt;", $A22)), 0)</f>
        <v>0</v>
      </c>
      <c r="G22" s="66"/>
      <c r="H22" s="72" t="s">
        <v>37</v>
      </c>
      <c r="I22" s="70">
        <f>SUMIFS('Trading History'!$V$4:$V1007, 'Trading History'!$S$4:$S1007, CONCAT("&gt;", $A22))</f>
        <v>0</v>
      </c>
      <c r="J22" s="66"/>
      <c r="K22" s="73" t="s">
        <v>18</v>
      </c>
      <c r="L22" s="70">
        <f>SUMIFS('Trading History'!$AB$4:$AB1007, 'Trading History'!$Y$4:$Y1007, CONCAT("&gt;", $A22))</f>
        <v>40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5" t="s">
        <v>38</v>
      </c>
      <c r="C23" s="64">
        <f>IFERROR(Index!C24/(Index!C22*Index!$C$2), 0)</f>
        <v>0</v>
      </c>
      <c r="D23" s="66"/>
      <c r="E23" s="76" t="s">
        <v>39</v>
      </c>
      <c r="F23" s="64">
        <f>IFERROR(Index!F24/(Index!F22*Index!$C$2), 0)</f>
        <v>0</v>
      </c>
      <c r="G23" s="66"/>
      <c r="H23" s="77" t="s">
        <v>40</v>
      </c>
      <c r="I23" s="64">
        <f>IFERROR(Index!I24/(Index!I22*Index!$C$2), 0)</f>
        <v>0</v>
      </c>
      <c r="J23" s="66"/>
      <c r="K23" s="78" t="s">
        <v>38</v>
      </c>
      <c r="L23" s="64">
        <f>IFERROR(Index!L24/(Index!L22*Index!$C$2), 0)</f>
        <v>1.417235472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5" t="s">
        <v>16</v>
      </c>
      <c r="C24" s="79">
        <f>SUMIFS('Trading History'!$L$4:$L1007, 'Trading History'!$K$4:$K1007, CONCAT("&gt;", $A22))</f>
        <v>0</v>
      </c>
      <c r="D24" s="66"/>
      <c r="E24" s="76" t="s">
        <v>41</v>
      </c>
      <c r="F24" s="79">
        <f>SUMIFS('Trading History'!$P$4:$P1007, 'Trading History'!$O$4:$O1007, CONCAT("&gt;", $A22))</f>
        <v>0</v>
      </c>
      <c r="G24" s="66"/>
      <c r="H24" s="77" t="s">
        <v>42</v>
      </c>
      <c r="I24" s="79">
        <f>SUMIFS('Trading History'!$T$4:$T1007, 'Trading History'!$S$4:$S1007, CONCAT("&gt;", $A22))</f>
        <v>0</v>
      </c>
      <c r="J24" s="66"/>
      <c r="K24" s="78" t="s">
        <v>16</v>
      </c>
      <c r="L24" s="79">
        <f>SUMIFS('Trading History'!$Z$4:$Z1007, 'Trading History'!$Y$4:$Y1007, CONCAT("&gt;", $A22))</f>
        <v>3004.5392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5" t="s">
        <v>43</v>
      </c>
      <c r="C25" s="79">
        <f>Index!C26-Index!C24</f>
        <v>0</v>
      </c>
      <c r="D25" s="66"/>
      <c r="E25" s="76" t="s">
        <v>44</v>
      </c>
      <c r="F25" s="79">
        <f>Index!F26-Index!F24</f>
        <v>0</v>
      </c>
      <c r="G25" s="66"/>
      <c r="H25" s="77" t="s">
        <v>45</v>
      </c>
      <c r="I25" s="79">
        <f>Index!I26-Index!I24</f>
        <v>0</v>
      </c>
      <c r="J25" s="66"/>
      <c r="K25" s="78" t="s">
        <v>43</v>
      </c>
      <c r="L25" s="79">
        <f>Index!L26-Index!L24</f>
        <v>6373.3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5" t="s">
        <v>17</v>
      </c>
      <c r="C26" s="79">
        <f>SUMIFS('Trading History'!$M$4:$M1007, 'Trading History'!$K$4:$K1007, CONCAT("&gt;", $A22))</f>
        <v>0</v>
      </c>
      <c r="D26" s="66"/>
      <c r="E26" s="76" t="s">
        <v>46</v>
      </c>
      <c r="F26" s="79">
        <f>SUMIFS('Trading History'!$Q$4:$Q1007, 'Trading History'!$O$4:$O1007, CONCAT("&gt;", $A22))</f>
        <v>0</v>
      </c>
      <c r="G26" s="66"/>
      <c r="H26" s="77" t="s">
        <v>47</v>
      </c>
      <c r="I26" s="79">
        <f>SUMIFS('Trading History'!$U$4:$U1007, 'Trading History'!$S$4:$S1007, CONCAT("&gt;", $A22))</f>
        <v>0</v>
      </c>
      <c r="J26" s="66"/>
      <c r="K26" s="78" t="s">
        <v>17</v>
      </c>
      <c r="L26" s="79">
        <f>SUMIFS('Trading History'!$AA$4:$AA1007, 'Trading History'!$Y$4:$Y1007, CONCAT("&gt;", $A22))</f>
        <v>9377.8392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8">
        <v>0.4</v>
      </c>
      <c r="B29" s="69" t="s">
        <v>18</v>
      </c>
      <c r="C29" s="70">
        <f>SUMIFS('Trading History'!$N$4:$N1007, 'Trading History'!$K$4:$K1007, CONCAT("&gt;", $A29))</f>
        <v>0</v>
      </c>
      <c r="D29" s="66"/>
      <c r="E29" s="71" t="s">
        <v>36</v>
      </c>
      <c r="F29" s="70">
        <f>IFERROR(SUMIFS('Trading History'!$R$4:$R1007, 'Trading History'!$O$4:$O1007, CONCAT("&gt;", $A29)), 0)</f>
        <v>0</v>
      </c>
      <c r="G29" s="66"/>
      <c r="H29" s="72" t="s">
        <v>37</v>
      </c>
      <c r="I29" s="70">
        <f>SUMIFS('Trading History'!$V$4:$V1007, 'Trading History'!$S$4:$S1007, CONCAT("&gt;", $A29))</f>
        <v>0</v>
      </c>
      <c r="J29" s="66"/>
      <c r="K29" s="73" t="s">
        <v>18</v>
      </c>
      <c r="L29" s="70">
        <f>SUMIFS('Trading History'!$AB$4:$AB1007, 'Trading History'!$Y$4:$Y1007, CONCAT("&gt;", $A29))</f>
        <v>50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5" t="s">
        <v>38</v>
      </c>
      <c r="C30" s="64">
        <f>IFERROR(Index!C31/(Index!C29*Index!$C$2), 0)</f>
        <v>0</v>
      </c>
      <c r="D30" s="66"/>
      <c r="E30" s="76" t="s">
        <v>39</v>
      </c>
      <c r="F30" s="64">
        <f>IFERROR(Index!F31/(Index!F29*Index!$C$2), 0)</f>
        <v>0</v>
      </c>
      <c r="G30" s="66"/>
      <c r="H30" s="77" t="s">
        <v>40</v>
      </c>
      <c r="I30" s="64">
        <f>IFERROR(Index!I31/(Index!I29*Index!$C$2), 0)</f>
        <v>0</v>
      </c>
      <c r="J30" s="66"/>
      <c r="K30" s="78" t="s">
        <v>38</v>
      </c>
      <c r="L30" s="64">
        <f>IFERROR(Index!L31/(Index!L29*Index!$C$2), 0)</f>
        <v>1.392306415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5" t="s">
        <v>16</v>
      </c>
      <c r="C31" s="79">
        <f>SUMIFS('Trading History'!$L$4:$L1007, 'Trading History'!$K$4:$K1007, CONCAT("&gt;", $A29))</f>
        <v>0</v>
      </c>
      <c r="D31" s="66"/>
      <c r="E31" s="76" t="s">
        <v>41</v>
      </c>
      <c r="F31" s="79">
        <f>SUMIFS('Trading History'!$P$4:$P1007, 'Trading History'!$O$4:$O1007, CONCAT("&gt;", $A29))</f>
        <v>0</v>
      </c>
      <c r="G31" s="66"/>
      <c r="H31" s="77" t="s">
        <v>42</v>
      </c>
      <c r="I31" s="79">
        <f>SUMIFS('Trading History'!$T$4:$T1007, 'Trading History'!$S$4:$S1007, CONCAT("&gt;", $A29))</f>
        <v>0</v>
      </c>
      <c r="J31" s="66"/>
      <c r="K31" s="78" t="s">
        <v>16</v>
      </c>
      <c r="L31" s="79">
        <f>SUMIFS('Trading History'!$Z$4:$Z1007, 'Trading History'!$Y$4:$Y1007, CONCAT("&gt;", $A29))</f>
        <v>3689.612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5" t="s">
        <v>43</v>
      </c>
      <c r="C32" s="79">
        <f>Index!C33-Index!C31</f>
        <v>0</v>
      </c>
      <c r="D32" s="66"/>
      <c r="E32" s="76" t="s">
        <v>44</v>
      </c>
      <c r="F32" s="79">
        <f>Index!F33-Index!F31</f>
        <v>0</v>
      </c>
      <c r="G32" s="66"/>
      <c r="H32" s="77" t="s">
        <v>45</v>
      </c>
      <c r="I32" s="79">
        <f>Index!I33-Index!I31</f>
        <v>0</v>
      </c>
      <c r="J32" s="66"/>
      <c r="K32" s="78" t="s">
        <v>43</v>
      </c>
      <c r="L32" s="79">
        <f>Index!L33-Index!L31</f>
        <v>8034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5" t="s">
        <v>17</v>
      </c>
      <c r="C33" s="79">
        <f>SUMIFS('Trading History'!$M$4:$M1007, 'Trading History'!$K$4:$K1007, CONCAT("&gt;", $A29))</f>
        <v>0</v>
      </c>
      <c r="D33" s="66"/>
      <c r="E33" s="76" t="s">
        <v>46</v>
      </c>
      <c r="F33" s="79">
        <f>SUMIFS('Trading History'!$Q$4:$Q1007, 'Trading History'!$O$4:$O1007, CONCAT("&gt;", $A29))</f>
        <v>0</v>
      </c>
      <c r="G33" s="66"/>
      <c r="H33" s="77" t="s">
        <v>47</v>
      </c>
      <c r="I33" s="79">
        <f>SUMIFS('Trading History'!$U$4:$U1007, 'Trading History'!$S$4:$S1007, CONCAT("&gt;", $A29))</f>
        <v>0</v>
      </c>
      <c r="J33" s="66"/>
      <c r="K33" s="78" t="s">
        <v>17</v>
      </c>
      <c r="L33" s="79">
        <f>SUMIFS('Trading History'!$AA$4:$AA1007, 'Trading History'!$Y$4:$Y1007, CONCAT("&gt;", $A29))</f>
        <v>11723.612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8">
        <v>0.35</v>
      </c>
      <c r="B36" s="69" t="s">
        <v>18</v>
      </c>
      <c r="C36" s="70">
        <f>SUMIFS('Trading History'!$N$4:$N1007, 'Trading History'!$K$4:$K1007, CONCAT("&gt;", $A36))</f>
        <v>0</v>
      </c>
      <c r="D36" s="66"/>
      <c r="E36" s="71" t="s">
        <v>36</v>
      </c>
      <c r="F36" s="70">
        <f>IFERROR(SUMIFS('Trading History'!$R$4:$R1007, 'Trading History'!$O$4:$O1007, CONCAT("&gt;", $A36)), 0)</f>
        <v>0</v>
      </c>
      <c r="G36" s="66"/>
      <c r="H36" s="72" t="s">
        <v>37</v>
      </c>
      <c r="I36" s="70">
        <f>SUMIFS('Trading History'!$V$4:$V1007, 'Trading History'!$S$4:$S1007, CONCAT("&gt;", $A36))</f>
        <v>0</v>
      </c>
      <c r="J36" s="66"/>
      <c r="K36" s="73" t="s">
        <v>18</v>
      </c>
      <c r="L36" s="70">
        <f>SUMIFS('Trading History'!$AB$4:$AB1007, 'Trading History'!$Y$4:$Y1007, CONCAT("&gt;", $A36))</f>
        <v>60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5" t="s">
        <v>38</v>
      </c>
      <c r="C37" s="64">
        <f>IFERROR(Index!C38/(Index!C36*Index!$C$2), 0)</f>
        <v>0</v>
      </c>
      <c r="D37" s="66"/>
      <c r="E37" s="76" t="s">
        <v>39</v>
      </c>
      <c r="F37" s="64">
        <f>IFERROR(Index!F38/(Index!F36*Index!$C$2), 0)</f>
        <v>0</v>
      </c>
      <c r="G37" s="66"/>
      <c r="H37" s="77" t="s">
        <v>40</v>
      </c>
      <c r="I37" s="64">
        <f>IFERROR(Index!I38/(Index!I36*Index!$C$2), 0)</f>
        <v>0</v>
      </c>
      <c r="J37" s="66"/>
      <c r="K37" s="78" t="s">
        <v>38</v>
      </c>
      <c r="L37" s="64">
        <f>IFERROR(Index!L38/(Index!L36*Index!$C$2), 0)</f>
        <v>1.360059874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5" t="s">
        <v>16</v>
      </c>
      <c r="C38" s="79">
        <f>SUMIFS('Trading History'!$L$4:$L1007, 'Trading History'!$K$4:$K1007, CONCAT("&gt;", $A36))</f>
        <v>0</v>
      </c>
      <c r="D38" s="66"/>
      <c r="E38" s="76" t="s">
        <v>41</v>
      </c>
      <c r="F38" s="79">
        <f>SUMIFS('Trading History'!$P$4:$P1007, 'Trading History'!$O$4:$O1007, CONCAT("&gt;", $A36))</f>
        <v>0</v>
      </c>
      <c r="G38" s="66"/>
      <c r="H38" s="77" t="s">
        <v>42</v>
      </c>
      <c r="I38" s="79">
        <f>SUMIFS('Trading History'!$T$4:$T1007, 'Trading History'!$S$4:$S1007, CONCAT("&gt;", $A36))</f>
        <v>0</v>
      </c>
      <c r="J38" s="66"/>
      <c r="K38" s="78" t="s">
        <v>16</v>
      </c>
      <c r="L38" s="79">
        <f>SUMIFS('Trading History'!$Z$4:$Z1007, 'Trading History'!$Y$4:$Y1007, CONCAT("&gt;", $A36))</f>
        <v>4324.9904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5" t="s">
        <v>43</v>
      </c>
      <c r="C39" s="79">
        <f>Index!C40-Index!C38</f>
        <v>0</v>
      </c>
      <c r="D39" s="66"/>
      <c r="E39" s="76" t="s">
        <v>44</v>
      </c>
      <c r="F39" s="79">
        <f>Index!F40-Index!F38</f>
        <v>0</v>
      </c>
      <c r="G39" s="66"/>
      <c r="H39" s="77" t="s">
        <v>45</v>
      </c>
      <c r="I39" s="79">
        <f>Index!I40-Index!I38</f>
        <v>0</v>
      </c>
      <c r="J39" s="66"/>
      <c r="K39" s="78" t="s">
        <v>43</v>
      </c>
      <c r="L39" s="79">
        <f>Index!L40-Index!L38</f>
        <v>9745.1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5" t="s">
        <v>17</v>
      </c>
      <c r="C40" s="79">
        <f>SUMIFS('Trading History'!$M$4:$M1007, 'Trading History'!$K$4:$K1007, CONCAT("&gt;", $A36))</f>
        <v>0</v>
      </c>
      <c r="D40" s="66"/>
      <c r="E40" s="76" t="s">
        <v>46</v>
      </c>
      <c r="F40" s="79">
        <f>SUMIFS('Trading History'!$Q$4:$Q1007, 'Trading History'!$O$4:$O1007, CONCAT("&gt;", $A36))</f>
        <v>0</v>
      </c>
      <c r="G40" s="66"/>
      <c r="H40" s="77" t="s">
        <v>47</v>
      </c>
      <c r="I40" s="79">
        <f>SUMIFS('Trading History'!$U$4:$U1007, 'Trading History'!$S$4:$S1007, CONCAT("&gt;", $A36))</f>
        <v>0</v>
      </c>
      <c r="J40" s="66"/>
      <c r="K40" s="78" t="s">
        <v>17</v>
      </c>
      <c r="L40" s="79">
        <f>SUMIFS('Trading History'!$AA$4:$AA1007, 'Trading History'!$Y$4:$Y1007, CONCAT("&gt;", $A36))</f>
        <v>14070.0904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8">
        <v>0.3</v>
      </c>
      <c r="B43" s="69" t="s">
        <v>18</v>
      </c>
      <c r="C43" s="70">
        <f>SUMIFS('Trading History'!$N$4:$N1007, 'Trading History'!$K$4:$K1007, CONCAT("&gt;", $A43))</f>
        <v>0</v>
      </c>
      <c r="D43" s="66"/>
      <c r="E43" s="71" t="s">
        <v>36</v>
      </c>
      <c r="F43" s="70">
        <f>IFERROR(SUMIFS('Trading History'!$R$4:$R1007, 'Trading History'!$O$4:$O1007, CONCAT("&gt;", $A43)), 0)</f>
        <v>0</v>
      </c>
      <c r="G43" s="66"/>
      <c r="H43" s="72" t="s">
        <v>37</v>
      </c>
      <c r="I43" s="70">
        <f>SUMIFS('Trading History'!$V$4:$V1007, 'Trading History'!$S$4:$S1007, CONCAT("&gt;", $A43))</f>
        <v>0</v>
      </c>
      <c r="J43" s="66"/>
      <c r="K43" s="73" t="s">
        <v>18</v>
      </c>
      <c r="L43" s="70">
        <f>SUMIFS('Trading History'!$AB$4:$AB1007, 'Trading History'!$Y$4:$Y1007, CONCAT("&gt;", $A43))</f>
        <v>70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5" t="s">
        <v>38</v>
      </c>
      <c r="C44" s="64">
        <f>IFERROR(Index!C45/(Index!C43*Index!$C$2), 0)</f>
        <v>0</v>
      </c>
      <c r="D44" s="66"/>
      <c r="E44" s="76" t="s">
        <v>39</v>
      </c>
      <c r="F44" s="64">
        <f>IFERROR(Index!F45/(Index!F43*Index!$C$2), 0)</f>
        <v>0</v>
      </c>
      <c r="G44" s="66"/>
      <c r="H44" s="77" t="s">
        <v>40</v>
      </c>
      <c r="I44" s="64">
        <f>IFERROR(Index!I45/(Index!I43*Index!$C$2), 0)</f>
        <v>0</v>
      </c>
      <c r="J44" s="66"/>
      <c r="K44" s="78" t="s">
        <v>38</v>
      </c>
      <c r="L44" s="64">
        <f>IFERROR(Index!L45/(Index!L43*Index!$C$2), 0)</f>
        <v>1.325412561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5" t="s">
        <v>16</v>
      </c>
      <c r="C45" s="79">
        <f>SUMIFS('Trading History'!$L$4:$L1007, 'Trading History'!$K$4:$K1007, CONCAT("&gt;", $A43))</f>
        <v>0</v>
      </c>
      <c r="D45" s="66"/>
      <c r="E45" s="76" t="s">
        <v>41</v>
      </c>
      <c r="F45" s="79">
        <f>SUMIFS('Trading History'!$P$4:$P1007, 'Trading History'!$O$4:$O1007, CONCAT("&gt;", $A43))</f>
        <v>0</v>
      </c>
      <c r="G45" s="66"/>
      <c r="H45" s="77" t="s">
        <v>42</v>
      </c>
      <c r="I45" s="79">
        <f>SUMIFS('Trading History'!$T$4:$T1007, 'Trading History'!$S$4:$S1007, CONCAT("&gt;", $A43))</f>
        <v>0</v>
      </c>
      <c r="J45" s="66"/>
      <c r="K45" s="78" t="s">
        <v>16</v>
      </c>
      <c r="L45" s="79">
        <f>SUMIFS('Trading History'!$Z$4:$Z1007, 'Trading History'!$Y$4:$Y1007, CONCAT("&gt;", $A43))</f>
        <v>4917.2806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5" t="s">
        <v>43</v>
      </c>
      <c r="C46" s="79">
        <f>Index!C47-Index!C45</f>
        <v>0</v>
      </c>
      <c r="D46" s="66"/>
      <c r="E46" s="76" t="s">
        <v>44</v>
      </c>
      <c r="F46" s="79">
        <f>Index!F47-Index!F45</f>
        <v>0</v>
      </c>
      <c r="G46" s="66"/>
      <c r="H46" s="77" t="s">
        <v>45</v>
      </c>
      <c r="I46" s="79">
        <f>Index!I47-Index!I45</f>
        <v>0</v>
      </c>
      <c r="J46" s="66"/>
      <c r="K46" s="78" t="s">
        <v>43</v>
      </c>
      <c r="L46" s="79">
        <f>Index!L47-Index!L45</f>
        <v>11499.9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5" t="s">
        <v>17</v>
      </c>
      <c r="C47" s="79">
        <f>SUMIFS('Trading History'!$M$4:$M1007, 'Trading History'!$K$4:$K1007, CONCAT("&gt;", $A43))</f>
        <v>0</v>
      </c>
      <c r="D47" s="66"/>
      <c r="E47" s="76" t="s">
        <v>46</v>
      </c>
      <c r="F47" s="79">
        <f>SUMIFS('Trading History'!$Q$4:$Q1007, 'Trading History'!$O$4:$O1007, CONCAT("&gt;", $A43))</f>
        <v>0</v>
      </c>
      <c r="G47" s="66"/>
      <c r="H47" s="77" t="s">
        <v>47</v>
      </c>
      <c r="I47" s="79">
        <f>SUMIFS('Trading History'!$U$4:$U1007, 'Trading History'!$S$4:$S1007, CONCAT("&gt;", $A43))</f>
        <v>0</v>
      </c>
      <c r="J47" s="66"/>
      <c r="K47" s="78" t="s">
        <v>17</v>
      </c>
      <c r="L47" s="79">
        <f>SUMIFS('Trading History'!$AA$4:$AA1007, 'Trading History'!$Y$4:$Y1007, CONCAT("&gt;", $A43))</f>
        <v>16417.1806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8">
        <v>0.25</v>
      </c>
      <c r="B50" s="69" t="s">
        <v>18</v>
      </c>
      <c r="C50" s="70">
        <f>SUMIFS('Trading History'!$N$4:$N1007, 'Trading History'!$K$4:$K1007, CONCAT("&gt;", $A50))</f>
        <v>0</v>
      </c>
      <c r="D50" s="66"/>
      <c r="E50" s="71" t="s">
        <v>36</v>
      </c>
      <c r="F50" s="70">
        <f>IFERROR(SUMIFS('Trading History'!$R$4:$R1007, 'Trading History'!$O$4:$O1007, CONCAT("&gt;", $A50)), 0)</f>
        <v>0</v>
      </c>
      <c r="G50" s="66"/>
      <c r="H50" s="72" t="s">
        <v>37</v>
      </c>
      <c r="I50" s="70">
        <f>SUMIFS('Trading History'!$V$4:$V1007, 'Trading History'!$S$4:$S1007, CONCAT("&gt;", $A50))</f>
        <v>0</v>
      </c>
      <c r="J50" s="66"/>
      <c r="K50" s="73" t="s">
        <v>18</v>
      </c>
      <c r="L50" s="70">
        <f>SUMIFS('Trading History'!$AB$4:$AB1007, 'Trading History'!$Y$4:$Y1007, CONCAT("&gt;", $A50))</f>
        <v>80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5" t="s">
        <v>38</v>
      </c>
      <c r="C51" s="64">
        <f>IFERROR(Index!C52/(Index!C50*Index!$C$2), 0)</f>
        <v>0</v>
      </c>
      <c r="D51" s="66"/>
      <c r="E51" s="76" t="s">
        <v>39</v>
      </c>
      <c r="F51" s="64">
        <f>IFERROR(Index!F52/(Index!F50*Index!$C$2), 0)</f>
        <v>0</v>
      </c>
      <c r="G51" s="66"/>
      <c r="H51" s="77" t="s">
        <v>40</v>
      </c>
      <c r="I51" s="64">
        <f>IFERROR(Index!I52/(Index!I50*Index!$C$2), 0)</f>
        <v>0</v>
      </c>
      <c r="J51" s="66"/>
      <c r="K51" s="78" t="s">
        <v>38</v>
      </c>
      <c r="L51" s="64">
        <f>IFERROR(Index!L52/(Index!L50*Index!$C$2), 0)</f>
        <v>1.288148538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5" t="s">
        <v>16</v>
      </c>
      <c r="C52" s="79">
        <f>SUMIFS('Trading History'!$L$4:$L1007, 'Trading History'!$K$4:$K1007, CONCAT("&gt;", $A50))</f>
        <v>0</v>
      </c>
      <c r="D52" s="66"/>
      <c r="E52" s="76" t="s">
        <v>41</v>
      </c>
      <c r="F52" s="79">
        <f>SUMIFS('Trading History'!$P$4:$P1007, 'Trading History'!$O$4:$O1007, CONCAT("&gt;", $A50))</f>
        <v>0</v>
      </c>
      <c r="G52" s="66"/>
      <c r="H52" s="77" t="s">
        <v>42</v>
      </c>
      <c r="I52" s="79">
        <f>SUMIFS('Trading History'!$T$4:$T1007, 'Trading History'!$S$4:$S1007, CONCAT("&gt;", $A50))</f>
        <v>0</v>
      </c>
      <c r="J52" s="66"/>
      <c r="K52" s="78" t="s">
        <v>16</v>
      </c>
      <c r="L52" s="79">
        <f>SUMIFS('Trading History'!$Z$4:$Z1007, 'Trading History'!$Y$4:$Y1007, CONCAT("&gt;", $A50))</f>
        <v>5461.7498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5" t="s">
        <v>43</v>
      </c>
      <c r="C53" s="79">
        <f>Index!C54-Index!C52</f>
        <v>0</v>
      </c>
      <c r="D53" s="66"/>
      <c r="E53" s="76" t="s">
        <v>44</v>
      </c>
      <c r="F53" s="79">
        <f>Index!F54-Index!F52</f>
        <v>0</v>
      </c>
      <c r="G53" s="66"/>
      <c r="H53" s="77" t="s">
        <v>45</v>
      </c>
      <c r="I53" s="79">
        <f>Index!I54-Index!I52</f>
        <v>0</v>
      </c>
      <c r="J53" s="66"/>
      <c r="K53" s="78" t="s">
        <v>43</v>
      </c>
      <c r="L53" s="79">
        <f>Index!L54-Index!L52</f>
        <v>13302.7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5" t="s">
        <v>17</v>
      </c>
      <c r="C54" s="79">
        <f>SUMIFS('Trading History'!$M$4:$M1007, 'Trading History'!$K$4:$K1007, CONCAT("&gt;", $A50))</f>
        <v>0</v>
      </c>
      <c r="D54" s="66"/>
      <c r="E54" s="76" t="s">
        <v>46</v>
      </c>
      <c r="F54" s="79">
        <f>SUMIFS('Trading History'!$Q$4:$Q1007, 'Trading History'!$O$4:$O1007, CONCAT("&gt;", $A50))</f>
        <v>0</v>
      </c>
      <c r="G54" s="66"/>
      <c r="H54" s="77" t="s">
        <v>47</v>
      </c>
      <c r="I54" s="79">
        <f>SUMIFS('Trading History'!$U$4:$U1007, 'Trading History'!$S$4:$S1007, CONCAT("&gt;", $A50))</f>
        <v>0</v>
      </c>
      <c r="J54" s="66"/>
      <c r="K54" s="78" t="s">
        <v>17</v>
      </c>
      <c r="L54" s="79">
        <f>SUMIFS('Trading History'!$AA$4:$AA1007, 'Trading History'!$Y$4:$Y1007, CONCAT("&gt;", $A50))</f>
        <v>18764.4498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8">
        <v>0.2</v>
      </c>
      <c r="B57" s="69" t="s">
        <v>18</v>
      </c>
      <c r="C57" s="70">
        <f>SUMIFS('Trading History'!$N$4:$N1007, 'Trading History'!$K$4:$K1007, CONCAT("&gt;", $A57))</f>
        <v>0</v>
      </c>
      <c r="D57" s="66"/>
      <c r="E57" s="71" t="s">
        <v>36</v>
      </c>
      <c r="F57" s="70">
        <f>IFERROR(SUMIFS('Trading History'!$R$4:$R1007, 'Trading History'!$O$4:$O1007, CONCAT("&gt;", $A57)), 0)</f>
        <v>0</v>
      </c>
      <c r="G57" s="66"/>
      <c r="H57" s="72" t="s">
        <v>37</v>
      </c>
      <c r="I57" s="70">
        <f>SUMIFS('Trading History'!$V$4:$V1007, 'Trading History'!$S$4:$S1007, CONCAT("&gt;", $A57))</f>
        <v>0</v>
      </c>
      <c r="J57" s="66"/>
      <c r="K57" s="73" t="s">
        <v>18</v>
      </c>
      <c r="L57" s="70">
        <f>SUMIFS('Trading History'!$AB$4:$AB1007, 'Trading History'!$Y$4:$Y1007, CONCAT("&gt;", $A57))</f>
        <v>80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5" t="s">
        <v>38</v>
      </c>
      <c r="C58" s="64">
        <f>IFERROR(Index!C59/(Index!C57*Index!$C$2), 0)</f>
        <v>0</v>
      </c>
      <c r="D58" s="66"/>
      <c r="E58" s="76" t="s">
        <v>39</v>
      </c>
      <c r="F58" s="64">
        <f>IFERROR(Index!F59/(Index!F57*Index!$C$2), 0)</f>
        <v>0</v>
      </c>
      <c r="G58" s="66"/>
      <c r="H58" s="77" t="s">
        <v>40</v>
      </c>
      <c r="I58" s="64">
        <f>IFERROR(Index!I59/(Index!I57*Index!$C$2), 0)</f>
        <v>0</v>
      </c>
      <c r="J58" s="66"/>
      <c r="K58" s="78" t="s">
        <v>38</v>
      </c>
      <c r="L58" s="64">
        <f>IFERROR(Index!L59/(Index!L57*Index!$C$2), 0)</f>
        <v>1.288148538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5" t="s">
        <v>16</v>
      </c>
      <c r="C59" s="79">
        <f>SUMIFS('Trading History'!$L$4:$L1007, 'Trading History'!$K$4:$K1007, CONCAT("&gt;", $A57))</f>
        <v>0</v>
      </c>
      <c r="D59" s="66"/>
      <c r="E59" s="76" t="s">
        <v>41</v>
      </c>
      <c r="F59" s="79">
        <f>SUMIFS('Trading History'!$P$4:$P1007, 'Trading History'!$O$4:$O1007, CONCAT("&gt;", $A57))</f>
        <v>0</v>
      </c>
      <c r="G59" s="66"/>
      <c r="H59" s="77" t="s">
        <v>42</v>
      </c>
      <c r="I59" s="79">
        <f>SUMIFS('Trading History'!$T$4:$T1007, 'Trading History'!$S$4:$S1007, CONCAT("&gt;", $A57))</f>
        <v>0</v>
      </c>
      <c r="J59" s="66"/>
      <c r="K59" s="78" t="s">
        <v>16</v>
      </c>
      <c r="L59" s="79">
        <f>SUMIFS('Trading History'!$Z$4:$Z1007, 'Trading History'!$Y$4:$Y1007, CONCAT("&gt;", $A57))</f>
        <v>5461.7498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5" t="s">
        <v>43</v>
      </c>
      <c r="C60" s="79">
        <f>Index!C61-Index!C59</f>
        <v>0</v>
      </c>
      <c r="D60" s="66"/>
      <c r="E60" s="76" t="s">
        <v>44</v>
      </c>
      <c r="F60" s="79">
        <f>Index!F61-Index!F59</f>
        <v>0</v>
      </c>
      <c r="G60" s="66"/>
      <c r="H60" s="77" t="s">
        <v>45</v>
      </c>
      <c r="I60" s="79">
        <f>Index!I61-Index!I59</f>
        <v>0</v>
      </c>
      <c r="J60" s="66"/>
      <c r="K60" s="78" t="s">
        <v>43</v>
      </c>
      <c r="L60" s="79">
        <f>Index!L61-Index!L59</f>
        <v>13302.7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5" t="s">
        <v>17</v>
      </c>
      <c r="C61" s="79">
        <f>SUMIFS('Trading History'!$M$4:$M1007, 'Trading History'!$K$4:$K1007, CONCAT("&gt;", $A57))</f>
        <v>0</v>
      </c>
      <c r="D61" s="66"/>
      <c r="E61" s="76" t="s">
        <v>46</v>
      </c>
      <c r="F61" s="79">
        <f>SUMIFS('Trading History'!$Q$4:$Q1007, 'Trading History'!$O$4:$O1007, CONCAT("&gt;", $A57))</f>
        <v>0</v>
      </c>
      <c r="G61" s="66"/>
      <c r="H61" s="77" t="s">
        <v>47</v>
      </c>
      <c r="I61" s="79">
        <f>SUMIFS('Trading History'!$U$4:$U1007, 'Trading History'!$S$4:$S1007, CONCAT("&gt;", $A57))</f>
        <v>0</v>
      </c>
      <c r="J61" s="66"/>
      <c r="K61" s="78" t="s">
        <v>17</v>
      </c>
      <c r="L61" s="79">
        <f>SUMIFS('Trading History'!$AA$4:$AA1007, 'Trading History'!$Y$4:$Y1007, CONCAT("&gt;", $A57))</f>
        <v>18764.4498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8">
        <v>0.15</v>
      </c>
      <c r="B64" s="69" t="s">
        <v>18</v>
      </c>
      <c r="C64" s="70">
        <f>SUMIFS('Trading History'!$N$4:$N1007, 'Trading History'!$K$4:$K1007, CONCAT("&gt;", $A64))</f>
        <v>0</v>
      </c>
      <c r="D64" s="66"/>
      <c r="E64" s="71" t="s">
        <v>36</v>
      </c>
      <c r="F64" s="70">
        <f>IFERROR(SUMIFS('Trading History'!$R$4:$R1007, 'Trading History'!$O$4:$O1007, CONCAT("&gt;", $A64)), 0)</f>
        <v>0</v>
      </c>
      <c r="G64" s="66"/>
      <c r="H64" s="72" t="s">
        <v>37</v>
      </c>
      <c r="I64" s="70">
        <f>SUMIFS('Trading History'!$V$4:$V1007, 'Trading History'!$S$4:$S1007, CONCAT("&gt;", $A64))</f>
        <v>0</v>
      </c>
      <c r="J64" s="66"/>
      <c r="K64" s="73" t="s">
        <v>18</v>
      </c>
      <c r="L64" s="70">
        <f>SUMIFS('Trading History'!$AB$4:$AB1007, 'Trading History'!$Y$4:$Y1007, CONCAT("&gt;", $A64))</f>
        <v>80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5" t="s">
        <v>38</v>
      </c>
      <c r="C65" s="64">
        <f>IFERROR(Index!C66/(Index!C64*Index!$C$2), 0)</f>
        <v>0</v>
      </c>
      <c r="D65" s="66"/>
      <c r="E65" s="76" t="s">
        <v>39</v>
      </c>
      <c r="F65" s="64">
        <f>IFERROR(Index!F66/(Index!F64*Index!$C$2), 0)</f>
        <v>0</v>
      </c>
      <c r="G65" s="66"/>
      <c r="H65" s="77" t="s">
        <v>40</v>
      </c>
      <c r="I65" s="64">
        <f>IFERROR(Index!I66/(Index!I64*Index!$C$2), 0)</f>
        <v>0</v>
      </c>
      <c r="J65" s="66"/>
      <c r="K65" s="78" t="s">
        <v>38</v>
      </c>
      <c r="L65" s="64">
        <f>IFERROR(Index!L66/(Index!L64*Index!$C$2), 0)</f>
        <v>1.288148538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5" t="s">
        <v>16</v>
      </c>
      <c r="C66" s="79">
        <f>SUMIFS('Trading History'!$L$4:$L1007, 'Trading History'!$K$4:$K1007, CONCAT("&gt;", $A64))</f>
        <v>0</v>
      </c>
      <c r="D66" s="66"/>
      <c r="E66" s="76" t="s">
        <v>41</v>
      </c>
      <c r="F66" s="79">
        <f>SUMIFS('Trading History'!$P$4:$P1007, 'Trading History'!$O$4:$O1007, CONCAT("&gt;", $A64))</f>
        <v>0</v>
      </c>
      <c r="G66" s="66"/>
      <c r="H66" s="77" t="s">
        <v>42</v>
      </c>
      <c r="I66" s="79">
        <f>SUMIFS('Trading History'!$T$4:$T1007, 'Trading History'!$S$4:$S1007, CONCAT("&gt;", $A64))</f>
        <v>0</v>
      </c>
      <c r="J66" s="66"/>
      <c r="K66" s="78" t="s">
        <v>16</v>
      </c>
      <c r="L66" s="79">
        <f>SUMIFS('Trading History'!$Z$4:$Z1007, 'Trading History'!$Y$4:$Y1007, CONCAT("&gt;", $A64))</f>
        <v>5461.7498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5" t="s">
        <v>43</v>
      </c>
      <c r="C67" s="79">
        <f>Index!C68-Index!C66</f>
        <v>0</v>
      </c>
      <c r="D67" s="66"/>
      <c r="E67" s="76" t="s">
        <v>44</v>
      </c>
      <c r="F67" s="79">
        <f>Index!F68-Index!F66</f>
        <v>0</v>
      </c>
      <c r="G67" s="66"/>
      <c r="H67" s="77" t="s">
        <v>45</v>
      </c>
      <c r="I67" s="79">
        <f>Index!I68-Index!I66</f>
        <v>0</v>
      </c>
      <c r="J67" s="66"/>
      <c r="K67" s="78" t="s">
        <v>43</v>
      </c>
      <c r="L67" s="79">
        <f>Index!L68-Index!L66</f>
        <v>13302.7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5" t="s">
        <v>17</v>
      </c>
      <c r="C68" s="79">
        <f>SUMIFS('Trading History'!$M$4:$M1007, 'Trading History'!$K$4:$K1007, CONCAT("&gt;", $A64))</f>
        <v>0</v>
      </c>
      <c r="D68" s="66"/>
      <c r="E68" s="76" t="s">
        <v>46</v>
      </c>
      <c r="F68" s="79">
        <f>SUMIFS('Trading History'!$Q$4:$Q1007, 'Trading History'!$O$4:$O1007, CONCAT("&gt;", $A64))</f>
        <v>0</v>
      </c>
      <c r="G68" s="66"/>
      <c r="H68" s="77" t="s">
        <v>47</v>
      </c>
      <c r="I68" s="79">
        <f>SUMIFS('Trading History'!$U$4:$U1007, 'Trading History'!$S$4:$S1007, CONCAT("&gt;", $A64))</f>
        <v>0</v>
      </c>
      <c r="J68" s="66"/>
      <c r="K68" s="78" t="s">
        <v>17</v>
      </c>
      <c r="L68" s="79">
        <f>SUMIFS('Trading History'!$AA$4:$AA1007, 'Trading History'!$Y$4:$Y1007, CONCAT("&gt;", $A64))</f>
        <v>18764.4498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8">
        <v>0.1</v>
      </c>
      <c r="B71" s="69" t="s">
        <v>18</v>
      </c>
      <c r="C71" s="70">
        <f>SUMIFS('Trading History'!$N$4:$N1007, 'Trading History'!$K$4:$K1007, CONCAT("&gt;", $A71))</f>
        <v>0</v>
      </c>
      <c r="D71" s="66"/>
      <c r="E71" s="71" t="s">
        <v>36</v>
      </c>
      <c r="F71" s="70">
        <f>IFERROR(SUMIFS('Trading History'!$R$4:$R1007, 'Trading History'!$O$4:$O1007, CONCAT("&gt;", $A71)), 0)</f>
        <v>0</v>
      </c>
      <c r="G71" s="66"/>
      <c r="H71" s="72" t="s">
        <v>37</v>
      </c>
      <c r="I71" s="70">
        <f>SUMIFS('Trading History'!$V$4:$V1007, 'Trading History'!$S$4:$S1007, CONCAT("&gt;", $A71))</f>
        <v>0</v>
      </c>
      <c r="J71" s="66"/>
      <c r="K71" s="73" t="s">
        <v>18</v>
      </c>
      <c r="L71" s="70">
        <f>SUMIFS('Trading History'!$AB$4:$AB1007, 'Trading History'!$Y$4:$Y1007, CONCAT("&gt;", $A71))</f>
        <v>90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5" t="s">
        <v>38</v>
      </c>
      <c r="C72" s="64">
        <f>IFERROR(Index!C73/(Index!C71*Index!$C$2), 0)</f>
        <v>0</v>
      </c>
      <c r="D72" s="66"/>
      <c r="E72" s="76" t="s">
        <v>39</v>
      </c>
      <c r="F72" s="64">
        <f>IFERROR(Index!F73/(Index!F71*Index!$C$2), 0)</f>
        <v>0</v>
      </c>
      <c r="G72" s="66"/>
      <c r="H72" s="77" t="s">
        <v>40</v>
      </c>
      <c r="I72" s="64">
        <f>IFERROR(Index!I73/(Index!I71*Index!$C$2), 0)</f>
        <v>0</v>
      </c>
      <c r="J72" s="66"/>
      <c r="K72" s="78" t="s">
        <v>38</v>
      </c>
      <c r="L72" s="64">
        <f>IFERROR(Index!L73/(Index!L71*Index!$C$2), 0)</f>
        <v>1.197276855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5" t="s">
        <v>16</v>
      </c>
      <c r="C73" s="79">
        <f>SUMIFS('Trading History'!$L$4:$L1007, 'Trading History'!$K$4:$K1007, CONCAT("&gt;", $A71))</f>
        <v>0</v>
      </c>
      <c r="D73" s="66"/>
      <c r="E73" s="76" t="s">
        <v>41</v>
      </c>
      <c r="F73" s="79">
        <f>SUMIFS('Trading History'!$P$4:$P1007, 'Trading History'!$O$4:$O1007, CONCAT("&gt;", $A71))</f>
        <v>0</v>
      </c>
      <c r="G73" s="66"/>
      <c r="H73" s="77" t="s">
        <v>42</v>
      </c>
      <c r="I73" s="79">
        <f>SUMIFS('Trading History'!$T$4:$T1007, 'Trading History'!$S$4:$S1007, CONCAT("&gt;", $A71))</f>
        <v>0</v>
      </c>
      <c r="J73" s="66"/>
      <c r="K73" s="78" t="s">
        <v>16</v>
      </c>
      <c r="L73" s="79">
        <f>SUMIFS('Trading History'!$Z$4:$Z1007, 'Trading History'!$Y$4:$Y1007, CONCAT("&gt;", $A71))</f>
        <v>5711.0106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5" t="s">
        <v>43</v>
      </c>
      <c r="C74" s="79">
        <f>Index!C75-Index!C73</f>
        <v>0</v>
      </c>
      <c r="D74" s="66"/>
      <c r="E74" s="76" t="s">
        <v>44</v>
      </c>
      <c r="F74" s="79">
        <f>Index!F75-Index!F73</f>
        <v>0</v>
      </c>
      <c r="G74" s="66"/>
      <c r="H74" s="77" t="s">
        <v>45</v>
      </c>
      <c r="I74" s="79">
        <f>Index!I75-Index!I73</f>
        <v>0</v>
      </c>
      <c r="J74" s="66"/>
      <c r="K74" s="78" t="s">
        <v>43</v>
      </c>
      <c r="L74" s="79">
        <f>Index!L75-Index!L73</f>
        <v>15404.9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5" t="s">
        <v>17</v>
      </c>
      <c r="C75" s="79">
        <f>SUMIFS('Trading History'!$M$4:$M1007, 'Trading History'!$K$4:$K1007, CONCAT("&gt;", $A71))</f>
        <v>0</v>
      </c>
      <c r="D75" s="66"/>
      <c r="E75" s="76" t="s">
        <v>46</v>
      </c>
      <c r="F75" s="79">
        <f>SUMIFS('Trading History'!$Q$4:$Q1007, 'Trading History'!$O$4:$O1007, CONCAT("&gt;", $A71))</f>
        <v>0</v>
      </c>
      <c r="G75" s="66"/>
      <c r="H75" s="77" t="s">
        <v>47</v>
      </c>
      <c r="I75" s="79">
        <f>SUMIFS('Trading History'!$U$4:$U1007, 'Trading History'!$S$4:$S1007, CONCAT("&gt;", $A71))</f>
        <v>0</v>
      </c>
      <c r="J75" s="66"/>
      <c r="K75" s="78" t="s">
        <v>17</v>
      </c>
      <c r="L75" s="79">
        <f>SUMIFS('Trading History'!$AA$4:$AA1007, 'Trading History'!$Y$4:$Y1007, CONCAT("&gt;", $A71))</f>
        <v>21115.9106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8">
        <v>0.05</v>
      </c>
      <c r="B78" s="69" t="s">
        <v>18</v>
      </c>
      <c r="C78" s="70">
        <f>SUMIFS('Trading History'!$N$4:$N1007, 'Trading History'!$K$4:$K1007, CONCAT("&gt;", $A78))</f>
        <v>0</v>
      </c>
      <c r="D78" s="66"/>
      <c r="E78" s="71" t="s">
        <v>36</v>
      </c>
      <c r="F78" s="70">
        <f>IFERROR(SUMIFS('Trading History'!$R$4:$R1007, 'Trading History'!$O$4:$O1007, CONCAT("&gt;", $A78)), 0)</f>
        <v>0</v>
      </c>
      <c r="G78" s="66"/>
      <c r="H78" s="72" t="s">
        <v>37</v>
      </c>
      <c r="I78" s="70">
        <f>SUMIFS('Trading History'!$V$4:$V1007, 'Trading History'!$S$4:$S1007, CONCAT("&gt;", $A78))</f>
        <v>0</v>
      </c>
      <c r="J78" s="66"/>
      <c r="K78" s="73" t="s">
        <v>18</v>
      </c>
      <c r="L78" s="70">
        <f>SUMIFS('Trading History'!$AB$4:$AB1007, 'Trading History'!$Y$4:$Y1007, CONCAT("&gt;", $A78))</f>
        <v>90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5" t="s">
        <v>38</v>
      </c>
      <c r="C79" s="64">
        <f>IFERROR(Index!C80/(Index!C78*Index!$C$2), 0)</f>
        <v>0</v>
      </c>
      <c r="D79" s="66"/>
      <c r="E79" s="76" t="s">
        <v>39</v>
      </c>
      <c r="F79" s="64">
        <f>IFERROR(Index!F80/(Index!F78*Index!$C$2), 0)</f>
        <v>0</v>
      </c>
      <c r="G79" s="66"/>
      <c r="H79" s="77" t="s">
        <v>40</v>
      </c>
      <c r="I79" s="64">
        <f>IFERROR(Index!I80/(Index!I78*Index!$C$2), 0)</f>
        <v>0</v>
      </c>
      <c r="J79" s="66"/>
      <c r="K79" s="78" t="s">
        <v>38</v>
      </c>
      <c r="L79" s="64">
        <f>IFERROR(Index!L80/(Index!L78*Index!$C$2), 0)</f>
        <v>1.197276855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5" t="s">
        <v>16</v>
      </c>
      <c r="C80" s="79">
        <f>SUMIFS('Trading History'!$L$4:$L1007, 'Trading History'!$K$4:$K1007, CONCAT("&gt;", $A78))</f>
        <v>0</v>
      </c>
      <c r="D80" s="66"/>
      <c r="E80" s="76" t="s">
        <v>41</v>
      </c>
      <c r="F80" s="79">
        <f>SUMIFS('Trading History'!$P$4:$P1007, 'Trading History'!$O$4:$O1007, CONCAT("&gt;", $A78))</f>
        <v>0</v>
      </c>
      <c r="G80" s="66"/>
      <c r="H80" s="77" t="s">
        <v>42</v>
      </c>
      <c r="I80" s="79">
        <f>SUMIFS('Trading History'!$T$4:$T1007, 'Trading History'!$S$4:$S1007, CONCAT("&gt;", $A78))</f>
        <v>0</v>
      </c>
      <c r="J80" s="66"/>
      <c r="K80" s="78" t="s">
        <v>16</v>
      </c>
      <c r="L80" s="79">
        <f>SUMIFS('Trading History'!$Z$4:$Z1007, 'Trading History'!$Y$4:$Y1007, CONCAT("&gt;", $A78))</f>
        <v>5711.0106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5" t="s">
        <v>43</v>
      </c>
      <c r="C81" s="79">
        <f>Index!C82-Index!C80</f>
        <v>0</v>
      </c>
      <c r="D81" s="66"/>
      <c r="E81" s="76" t="s">
        <v>44</v>
      </c>
      <c r="F81" s="79">
        <f>Index!F82-Index!F80</f>
        <v>0</v>
      </c>
      <c r="G81" s="66"/>
      <c r="H81" s="77" t="s">
        <v>45</v>
      </c>
      <c r="I81" s="79">
        <f>Index!I82-Index!I80</f>
        <v>0</v>
      </c>
      <c r="J81" s="66"/>
      <c r="K81" s="78" t="s">
        <v>43</v>
      </c>
      <c r="L81" s="79">
        <f>Index!L82-Index!L80</f>
        <v>15404.9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5" t="s">
        <v>17</v>
      </c>
      <c r="C82" s="79">
        <f>SUMIFS('Trading History'!$M$4:$M1007, 'Trading History'!$K$4:$K1007, CONCAT("&gt;", $A78))</f>
        <v>0</v>
      </c>
      <c r="D82" s="66"/>
      <c r="E82" s="76" t="s">
        <v>46</v>
      </c>
      <c r="F82" s="79">
        <f>SUMIFS('Trading History'!$Q$4:$Q1007, 'Trading History'!$O$4:$O1007, CONCAT("&gt;", $A78))</f>
        <v>0</v>
      </c>
      <c r="G82" s="66"/>
      <c r="H82" s="77" t="s">
        <v>47</v>
      </c>
      <c r="I82" s="79">
        <f>SUMIFS('Trading History'!$U$4:$U1007, 'Trading History'!$S$4:$S1007, CONCAT("&gt;", $A78))</f>
        <v>0</v>
      </c>
      <c r="J82" s="66"/>
      <c r="K82" s="78" t="s">
        <v>17</v>
      </c>
      <c r="L82" s="79">
        <f>SUMIFS('Trading History'!$AA$4:$AA1007, 'Trading History'!$Y$4:$Y1007, CONCAT("&gt;", $A78))</f>
        <v>21115.9106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8">
        <v>0.0</v>
      </c>
      <c r="B85" s="69" t="s">
        <v>18</v>
      </c>
      <c r="C85" s="70">
        <f>SUMIFS('Trading History'!$N$4:$N1007, 'Trading History'!$K$4:$K1007, CONCAT("&gt;", $A85))</f>
        <v>0</v>
      </c>
      <c r="D85" s="66"/>
      <c r="E85" s="71" t="s">
        <v>36</v>
      </c>
      <c r="F85" s="70">
        <f>IFERROR(SUMIFS('Trading History'!$R$4:$R1007, 'Trading History'!$O$4:$O1007, CONCAT("&gt;", $A85)), 0)</f>
        <v>0</v>
      </c>
      <c r="G85" s="66"/>
      <c r="H85" s="72" t="s">
        <v>37</v>
      </c>
      <c r="I85" s="70">
        <f>SUMIFS('Trading History'!$V$4:$V1007, 'Trading History'!$S$4:$S1007, CONCAT("&gt;", $A85))</f>
        <v>0</v>
      </c>
      <c r="J85" s="66"/>
      <c r="K85" s="73" t="s">
        <v>18</v>
      </c>
      <c r="L85" s="70">
        <f>SUMIFS('Trading History'!$AB$4:$AB1007, 'Trading History'!$Y$4:$Y1007, CONCAT("&gt;", $A85))</f>
        <v>90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5" t="s">
        <v>38</v>
      </c>
      <c r="C86" s="64">
        <f>IFERROR(Index!C87/(Index!C85*Index!$C$2), 0)</f>
        <v>0</v>
      </c>
      <c r="D86" s="66"/>
      <c r="E86" s="76" t="s">
        <v>39</v>
      </c>
      <c r="F86" s="64">
        <f>IFERROR(Index!F87/(Index!F85*Index!$C$2), 0)</f>
        <v>0</v>
      </c>
      <c r="G86" s="66"/>
      <c r="H86" s="77" t="s">
        <v>40</v>
      </c>
      <c r="I86" s="64">
        <f>IFERROR(Index!I87/(Index!I85*Index!$C$2), 0)</f>
        <v>0</v>
      </c>
      <c r="J86" s="66"/>
      <c r="K86" s="78" t="s">
        <v>38</v>
      </c>
      <c r="L86" s="64">
        <f>IFERROR(Index!L87/(Index!L85*Index!$C$2), 0)</f>
        <v>1.197276855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5" t="s">
        <v>16</v>
      </c>
      <c r="C87" s="79">
        <f>SUMIFS('Trading History'!$L$4:$L1007, 'Trading History'!$K$4:$K1007, CONCAT("&gt;", $A85))</f>
        <v>0</v>
      </c>
      <c r="D87" s="66"/>
      <c r="E87" s="76" t="s">
        <v>41</v>
      </c>
      <c r="F87" s="79">
        <f>SUMIFS('Trading History'!$P$4:$P1007, 'Trading History'!$O$4:$O1007, CONCAT("&gt;", $A85))</f>
        <v>0</v>
      </c>
      <c r="G87" s="66"/>
      <c r="H87" s="77" t="s">
        <v>42</v>
      </c>
      <c r="I87" s="79">
        <f>SUMIFS('Trading History'!$T$4:$T1007, 'Trading History'!$S$4:$S1007, CONCAT("&gt;", $A85))</f>
        <v>0</v>
      </c>
      <c r="J87" s="66"/>
      <c r="K87" s="78" t="s">
        <v>16</v>
      </c>
      <c r="L87" s="79">
        <f>SUMIFS('Trading History'!$Z$4:$Z1007, 'Trading History'!$Y$4:$Y1007, CONCAT("&gt;", $A85))</f>
        <v>5711.0106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5" t="s">
        <v>43</v>
      </c>
      <c r="C88" s="79">
        <f>Index!C89-Index!C87</f>
        <v>0</v>
      </c>
      <c r="D88" s="66"/>
      <c r="E88" s="76" t="s">
        <v>44</v>
      </c>
      <c r="F88" s="79">
        <f>Index!F89-Index!F87</f>
        <v>0</v>
      </c>
      <c r="G88" s="66"/>
      <c r="H88" s="77" t="s">
        <v>45</v>
      </c>
      <c r="I88" s="79">
        <f>Index!I89-Index!I87</f>
        <v>0</v>
      </c>
      <c r="J88" s="66"/>
      <c r="K88" s="78" t="s">
        <v>43</v>
      </c>
      <c r="L88" s="79">
        <f>Index!L89-Index!L87</f>
        <v>15404.9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5" t="s">
        <v>17</v>
      </c>
      <c r="C89" s="79">
        <f>SUMIFS('Trading History'!$M$4:$M1007, 'Trading History'!$K$4:$K1007, CONCAT("&gt;", $A85))</f>
        <v>0</v>
      </c>
      <c r="D89" s="66"/>
      <c r="E89" s="76" t="s">
        <v>46</v>
      </c>
      <c r="F89" s="79">
        <f>SUMIFS('Trading History'!$Q$4:$Q1007, 'Trading History'!$O$4:$O1007, CONCAT("&gt;", $A85))</f>
        <v>0</v>
      </c>
      <c r="G89" s="66"/>
      <c r="H89" s="77" t="s">
        <v>47</v>
      </c>
      <c r="I89" s="79">
        <f>SUMIFS('Trading History'!$U$4:$U1007, 'Trading History'!$S$4:$S1007, CONCAT("&gt;", $A85))</f>
        <v>0</v>
      </c>
      <c r="J89" s="66"/>
      <c r="K89" s="78" t="s">
        <v>17</v>
      </c>
      <c r="L89" s="79">
        <f>SUMIFS('Trading History'!$AA$4:$AA1007, 'Trading History'!$Y$4:$Y1007, CONCAT("&gt;", $A85))</f>
        <v>21115.9106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