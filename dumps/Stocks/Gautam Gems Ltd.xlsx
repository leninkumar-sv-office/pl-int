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EA1E38C8_BBD1_492A_94B5_9258A7776452_.wvu.FilterData" localSheetId="1" hidden="1">'Trading History'!$A$4:$AO$79</definedName>
    <definedName name="_xlnm._FilterDatabase" localSheetId="1" hidden="1">'Trading History'!$A$4:$AO$79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 h:mm:ss"/>
  </numFmts>
  <fonts count="7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/>
    <font>
      <name val="Times New Roman"/>
      <color theme="1"/>
    </font>
    <font>
      <name val="Times New Roman"/>
      <b val="1"/>
      <color theme="1"/>
    </font>
    <font>
      <name val="Times New Roman"/>
      <color theme="1"/>
      <sz val="10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2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3" pivotButton="0" quotePrefix="0" xfId="0"/>
    <xf numFmtId="9" fontId="2" fillId="0" borderId="0" applyAlignment="1" pivotButton="0" quotePrefix="0" xfId="0">
      <alignment horizontal="right" vertical="bottom"/>
    </xf>
    <xf numFmtId="0" fontId="2" fillId="3" borderId="4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2" fillId="4" borderId="4" applyAlignment="1" pivotButton="0" quotePrefix="0" xfId="0">
      <alignment vertical="bottom"/>
    </xf>
    <xf numFmtId="164" fontId="2" fillId="5" borderId="4" applyAlignment="1" pivotButton="0" quotePrefix="0" xfId="0">
      <alignment vertical="bottom"/>
    </xf>
    <xf numFmtId="164" fontId="2" fillId="6" borderId="4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164" fontId="2" fillId="4" borderId="3" applyAlignment="1" pivotButton="0" quotePrefix="0" xfId="0">
      <alignment vertical="bottom"/>
    </xf>
    <xf numFmtId="164" fontId="2" fillId="5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0" fontId="4" fillId="0" borderId="0" applyAlignment="1" pivotButton="0" quotePrefix="0" xfId="0">
      <alignment vertical="bottom"/>
    </xf>
    <xf numFmtId="164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164" fontId="4" fillId="0" borderId="2" applyAlignment="1" pivotButton="0" quotePrefix="0" xfId="0">
      <alignment vertical="bottom"/>
    </xf>
    <xf numFmtId="164" fontId="5" fillId="0" borderId="5" applyAlignment="1" pivotButton="0" quotePrefix="0" xfId="0">
      <alignment horizontal="center" vertical="bottom"/>
    </xf>
    <xf numFmtId="0" fontId="3" fillId="0" borderId="6" pivotButton="0" quotePrefix="0" xfId="0"/>
    <xf numFmtId="0" fontId="3" fillId="0" borderId="7" pivotButton="0" quotePrefix="0" xfId="0"/>
    <xf numFmtId="164" fontId="5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4" fillId="0" borderId="1" applyAlignment="1" pivotButton="0" quotePrefix="0" xfId="0">
      <alignment vertical="bottom"/>
    </xf>
    <xf numFmtId="10" fontId="4" fillId="0" borderId="1" applyAlignment="1" pivotButton="0" quotePrefix="0" xfId="0">
      <alignment vertical="bottom"/>
    </xf>
    <xf numFmtId="164" fontId="5" fillId="3" borderId="5" applyAlignment="1" pivotButton="0" quotePrefix="0" xfId="0">
      <alignment horizontal="center" vertical="bottom"/>
    </xf>
    <xf numFmtId="164" fontId="5" fillId="4" borderId="1" applyAlignment="1" pivotButton="0" quotePrefix="0" xfId="0">
      <alignment horizontal="center" vertical="bottom"/>
    </xf>
    <xf numFmtId="164" fontId="5" fillId="5" borderId="1" applyAlignment="1" pivotButton="0" quotePrefix="0" xfId="0">
      <alignment horizontal="center" vertical="bottom"/>
    </xf>
    <xf numFmtId="0" fontId="5" fillId="7" borderId="4" applyAlignment="1" pivotButton="0" quotePrefix="0" xfId="0">
      <alignment horizontal="center" vertical="top"/>
    </xf>
    <xf numFmtId="0" fontId="5" fillId="7" borderId="7" applyAlignment="1" pivotButton="0" quotePrefix="0" xfId="0">
      <alignment horizontal="center" vertical="top"/>
    </xf>
    <xf numFmtId="164" fontId="5" fillId="7" borderId="7" applyAlignment="1" pivotButton="0" quotePrefix="0" xfId="0">
      <alignment horizontal="center" vertical="top"/>
    </xf>
    <xf numFmtId="0" fontId="5" fillId="7" borderId="3" applyAlignment="1" pivotButton="0" quotePrefix="0" xfId="0">
      <alignment horizontal="center" vertical="top"/>
    </xf>
    <xf numFmtId="164" fontId="5" fillId="2" borderId="7" applyAlignment="1" pivotButton="0" quotePrefix="0" xfId="0">
      <alignment horizontal="center" vertical="bottom"/>
    </xf>
    <xf numFmtId="164" fontId="5" fillId="3" borderId="7" applyAlignment="1" pivotButton="0" quotePrefix="0" xfId="0">
      <alignment horizontal="center" vertical="bottom"/>
    </xf>
    <xf numFmtId="0" fontId="5" fillId="3" borderId="7" applyAlignment="1" pivotButton="0" quotePrefix="0" xfId="0">
      <alignment horizontal="center" vertical="bottom"/>
    </xf>
    <xf numFmtId="164" fontId="5" fillId="4" borderId="7" applyAlignment="1" pivotButton="0" quotePrefix="0" xfId="0">
      <alignment horizontal="center" vertical="bottom"/>
    </xf>
    <xf numFmtId="164" fontId="5" fillId="5" borderId="7" applyAlignment="1" pivotButton="0" quotePrefix="0" xfId="0">
      <alignment horizontal="center" vertical="bottom"/>
    </xf>
    <xf numFmtId="164" fontId="5" fillId="6" borderId="7" applyAlignment="1" pivotButton="0" quotePrefix="0" xfId="0">
      <alignment horizontal="center" vertical="bottom"/>
    </xf>
    <xf numFmtId="0" fontId="5" fillId="6" borderId="7" applyAlignment="1" pivotButton="0" quotePrefix="0" xfId="0">
      <alignment horizontal="center" vertical="bottom"/>
    </xf>
    <xf numFmtId="164" fontId="5" fillId="8" borderId="7" applyAlignment="1" pivotButton="0" quotePrefix="0" xfId="0">
      <alignment horizontal="center" vertical="bottom"/>
    </xf>
    <xf numFmtId="165" fontId="6" fillId="0" borderId="4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4" applyAlignment="1" pivotButton="0" quotePrefix="0" xfId="0">
      <alignment horizontal="right" vertical="top"/>
    </xf>
    <xf numFmtId="164" fontId="6" fillId="0" borderId="4" pivotButton="0" quotePrefix="0" xfId="0"/>
    <xf numFmtId="10" fontId="4" fillId="0" borderId="4" applyAlignment="1" pivotButton="0" quotePrefix="0" xfId="0">
      <alignment horizontal="right" vertical="bottom"/>
    </xf>
    <xf numFmtId="164" fontId="4" fillId="0" borderId="4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/>
    </xf>
    <xf numFmtId="10" fontId="4" fillId="0" borderId="4" applyAlignment="1" pivotButton="0" quotePrefix="0" xfId="0">
      <alignment vertical="bottom"/>
    </xf>
    <xf numFmtId="164" fontId="4" fillId="0" borderId="4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0" fontId="4" fillId="0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3" pivotButton="0" quotePrefix="0" xfId="0"/>
    <xf numFmtId="0" fontId="0" fillId="0" borderId="0" pivotButton="0" quotePrefix="0" xfId="0"/>
    <xf numFmtId="164" fontId="5" fillId="0" borderId="4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  <xf numFmtId="164" fontId="5" fillId="0" borderId="3" applyAlignment="1" pivotButton="0" quotePrefix="0" xfId="0">
      <alignment horizontal="center" vertical="bottom"/>
    </xf>
    <xf numFmtId="0" fontId="0" fillId="0" borderId="2" pivotButton="0" quotePrefix="0" xfId="0"/>
    <xf numFmtId="164" fontId="5" fillId="3" borderId="4" applyAlignment="1" pivotButton="0" quotePrefix="0" xfId="0">
      <alignment horizontal="center" vertical="bottom"/>
    </xf>
    <xf numFmtId="164" fontId="5" fillId="4" borderId="3" applyAlignment="1" pivotButton="0" quotePrefix="0" xfId="0">
      <alignment horizontal="center" vertical="bottom"/>
    </xf>
    <xf numFmtId="164" fontId="5" fillId="5" borderId="3" applyAlignment="1" pivotButton="0" quotePrefix="0" xfId="0">
      <alignment horizontal="center" vertical="bottom"/>
    </xf>
    <xf numFmtId="166" fontId="0" fillId="0" borderId="0" pivotButton="0" quotePrefix="0" xfId="0"/>
    <xf numFmtId="166" fontId="4" fillId="0" borderId="4" applyAlignment="1" pivotButton="0" quotePrefix="0" xfId="0">
      <alignment vertical="bottom"/>
    </xf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3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n"/>
      <c r="B1" s="6" t="inlineStr">
        <is>
          <t>Code</t>
        </is>
      </c>
      <c r="C1" s="3" t="inlineStr">
        <is>
          <t>BOM:540936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3" t="n"/>
      <c r="B2" s="6" t="inlineStr">
        <is>
          <t>Current Price</t>
        </is>
      </c>
      <c r="C2" s="4">
        <f>IFERROR(__xludf.DUMMYFUNCTION("GOOGLEFINANCE($C$1, ""price"")"),3.58)</f>
        <v/>
      </c>
      <c r="D2" s="3" t="n"/>
      <c r="E2" s="6" t="inlineStr">
        <is>
          <t>Commission</t>
        </is>
      </c>
      <c r="F2" s="5" t="n">
        <v>0.007</v>
      </c>
      <c r="G2" s="3" t="n"/>
      <c r="J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3" t="n"/>
      <c r="B3" s="6" t="inlineStr">
        <is>
          <t>52 Week High</t>
        </is>
      </c>
      <c r="C3" s="4">
        <f>IFERROR(__xludf.DUMMYFUNCTION("GOOGLEFINANCE($C$1, ""high52"")"),5.35)</f>
        <v/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>
      <c r="A4" s="3" t="n"/>
      <c r="B4" s="6" t="inlineStr">
        <is>
          <t>52 Week Low</t>
        </is>
      </c>
      <c r="C4" s="4">
        <f>IFERROR(__xludf.DUMMYFUNCTION("GOOGLEFINANCE($C$1, ""low52"")"),3.01)</f>
        <v/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>
      <c r="A5" s="3" t="n"/>
      <c r="B5" s="7" t="n"/>
      <c r="C5" s="7" t="n"/>
      <c r="D5" s="7" t="n"/>
      <c r="E5" s="7" t="n"/>
      <c r="F5" s="7" t="n"/>
      <c r="G5" s="7" t="n"/>
      <c r="H5" s="7" t="n"/>
      <c r="I5" s="7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>
      <c r="A6" s="8" t="n"/>
      <c r="B6" s="69" t="inlineStr">
        <is>
          <t>UnRealised</t>
        </is>
      </c>
      <c r="C6" s="70" t="n"/>
      <c r="D6" s="70" t="n"/>
      <c r="E6" s="70" t="n"/>
      <c r="F6" s="70" t="n"/>
      <c r="G6" s="70" t="n"/>
      <c r="H6" s="70" t="n"/>
      <c r="I6" s="71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3" t="n"/>
      <c r="B7" s="7" t="n"/>
      <c r="C7" s="3" t="n"/>
      <c r="D7" s="3" t="n"/>
      <c r="E7" s="7" t="n"/>
      <c r="F7" s="3" t="n"/>
      <c r="G7" s="3" t="n"/>
      <c r="H7" s="7" t="n"/>
      <c r="I7" s="3" t="n"/>
      <c r="J7" s="3" t="n"/>
      <c r="K7" s="7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12" t="inlineStr">
        <is>
          <t>All</t>
        </is>
      </c>
      <c r="B8" s="13" t="inlineStr">
        <is>
          <t>Units</t>
        </is>
      </c>
      <c r="C8" s="14">
        <f>SUM('Trading History'!$N$4:$N1039)</f>
        <v/>
      </c>
      <c r="D8" s="8" t="n"/>
      <c r="E8" s="15" t="inlineStr">
        <is>
          <t>ST Units</t>
        </is>
      </c>
      <c r="F8" s="14">
        <f>IFERROR(SUM('Trading History'!$R$4:$R1039), 0)</f>
        <v/>
      </c>
      <c r="G8" s="8" t="n"/>
      <c r="H8" s="16" t="inlineStr">
        <is>
          <t>LT Units</t>
        </is>
      </c>
      <c r="I8" s="14">
        <f>SUM('Trading History'!$V$4:$V1039)</f>
        <v/>
      </c>
      <c r="J8" s="8" t="n"/>
      <c r="K8" s="17" t="inlineStr">
        <is>
          <t>Units</t>
        </is>
      </c>
      <c r="L8" s="14">
        <f>SUM('Trading History'!$AB$4:$AB1039)</f>
        <v/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18" t="n"/>
      <c r="B9" s="19" t="inlineStr">
        <is>
          <t>Avg %</t>
        </is>
      </c>
      <c r="C9" s="5">
        <f>IFERROR(Index!C10/(Index!C8*Index!$C$2), 0)</f>
        <v/>
      </c>
      <c r="D9" s="8" t="n"/>
      <c r="E9" s="20" t="inlineStr">
        <is>
          <t>ST Avg %</t>
        </is>
      </c>
      <c r="F9" s="5">
        <f>IFERROR(Index!F10/(Index!F8*Index!$C$2), 0)</f>
        <v/>
      </c>
      <c r="G9" s="8" t="n"/>
      <c r="H9" s="21" t="inlineStr">
        <is>
          <t>LT Avg %</t>
        </is>
      </c>
      <c r="I9" s="5">
        <f>IFERROR(Index!I10/(Index!I8*Index!$C$2), 0)</f>
        <v/>
      </c>
      <c r="J9" s="8" t="n"/>
      <c r="K9" s="22" t="inlineStr">
        <is>
          <t>Avg %</t>
        </is>
      </c>
      <c r="L9" s="5">
        <f>IFERROR(Index!L10/(Index!L8*Index!$C$2), 0)</f>
        <v/>
      </c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18" t="n"/>
      <c r="B10" s="19" t="inlineStr">
        <is>
          <t>Gain</t>
        </is>
      </c>
      <c r="C10" s="23">
        <f>SUM('Trading History'!$L$4:$L1039)</f>
        <v/>
      </c>
      <c r="D10" s="8" t="n"/>
      <c r="E10" s="20" t="inlineStr">
        <is>
          <t>ST Gain</t>
        </is>
      </c>
      <c r="F10" s="23">
        <f>SUM('Trading History'!$P$4:$P1039)</f>
        <v/>
      </c>
      <c r="G10" s="8" t="n"/>
      <c r="H10" s="21" t="inlineStr">
        <is>
          <t>LT Gain</t>
        </is>
      </c>
      <c r="I10" s="23">
        <f>SUM('Trading History'!$T$4:$T1039)</f>
        <v/>
      </c>
      <c r="J10" s="8" t="n"/>
      <c r="K10" s="22" t="inlineStr">
        <is>
          <t>Gain</t>
        </is>
      </c>
      <c r="L10" s="23">
        <f>SUM('Trading History'!$Z$4:$Z1039)</f>
        <v/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18" t="n"/>
      <c r="B11" s="19" t="inlineStr">
        <is>
          <t>Invested</t>
        </is>
      </c>
      <c r="C11" s="23">
        <f>Index!C12-Index!C10</f>
        <v/>
      </c>
      <c r="D11" s="8" t="n"/>
      <c r="E11" s="20" t="inlineStr">
        <is>
          <t>ST Invested</t>
        </is>
      </c>
      <c r="F11" s="23">
        <f>Index!F12-Index!F10</f>
        <v/>
      </c>
      <c r="G11" s="8" t="n"/>
      <c r="H11" s="21" t="inlineStr">
        <is>
          <t>LT Invested</t>
        </is>
      </c>
      <c r="I11" s="23">
        <f>Index!I12-Index!I10</f>
        <v/>
      </c>
      <c r="J11" s="8" t="n"/>
      <c r="K11" s="22" t="inlineStr">
        <is>
          <t>Invested</t>
        </is>
      </c>
      <c r="L11" s="23">
        <f>Index!L12-Index!L10</f>
        <v/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18" t="n"/>
      <c r="B12" s="19" t="inlineStr">
        <is>
          <t>Gross</t>
        </is>
      </c>
      <c r="C12" s="23">
        <f>SUM('Trading History'!$M$4:$M1039)</f>
        <v/>
      </c>
      <c r="D12" s="8" t="n"/>
      <c r="E12" s="20" t="inlineStr">
        <is>
          <t>ST Gross</t>
        </is>
      </c>
      <c r="F12" s="23">
        <f>SUM('Trading History'!$Q$4:$Q1039)</f>
        <v/>
      </c>
      <c r="G12" s="8" t="n"/>
      <c r="H12" s="21" t="inlineStr">
        <is>
          <t>LT Gross</t>
        </is>
      </c>
      <c r="I12" s="23">
        <f>SUM('Trading History'!$U$4:$U1039)</f>
        <v/>
      </c>
      <c r="J12" s="8" t="n"/>
      <c r="K12" s="22" t="inlineStr">
        <is>
          <t>Gross</t>
        </is>
      </c>
      <c r="L12" s="23">
        <f>SUM('Trading History'!$AA$4:$AA1039)</f>
        <v/>
      </c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18" t="n"/>
      <c r="B13" s="3" t="n"/>
      <c r="C13" s="24" t="n"/>
      <c r="D13" s="3" t="n"/>
      <c r="E13" s="25" t="n"/>
      <c r="F13" s="24" t="n"/>
      <c r="G13" s="3" t="n"/>
      <c r="H13" s="25" t="n"/>
      <c r="I13" s="24" t="n"/>
      <c r="J13" s="3" t="n"/>
      <c r="K13" s="22" t="inlineStr">
        <is>
          <t>Dividends</t>
        </is>
      </c>
      <c r="L13" s="23">
        <f>SUMIF('Trading History'!$B12:$B1039,"DIV",'Trading History'!$AC$4:$AC1039)</f>
        <v/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18" t="n"/>
      <c r="B14" s="3" t="n"/>
      <c r="C14" s="24" t="n"/>
      <c r="D14" s="3" t="n"/>
      <c r="E14" s="25" t="n"/>
      <c r="F14" s="24" t="n"/>
      <c r="G14" s="3" t="n"/>
      <c r="H14" s="25" t="n"/>
      <c r="I14" s="24" t="n"/>
      <c r="J14" s="3" t="n"/>
      <c r="K14" s="25" t="n"/>
      <c r="L14" s="24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12" t="n">
        <v>0.5</v>
      </c>
      <c r="B15" s="13" t="inlineStr">
        <is>
          <t>Units</t>
        </is>
      </c>
      <c r="C15" s="14">
        <f>SUMIFS('Trading History'!$N$4:$N1039, 'Trading History'!$K$4:$K1039, CONCAT("&gt;", $A15))</f>
        <v/>
      </c>
      <c r="D15" s="8" t="n"/>
      <c r="E15" s="15" t="inlineStr">
        <is>
          <t>ST Units</t>
        </is>
      </c>
      <c r="F15" s="14">
        <f>IFERROR(SUMIFS('Trading History'!$R$4:$R1039, 'Trading History'!$O$4:$O1039, CONCAT("&gt;", $A15)), 0)</f>
        <v/>
      </c>
      <c r="G15" s="8" t="n"/>
      <c r="H15" s="16" t="inlineStr">
        <is>
          <t>LT Units</t>
        </is>
      </c>
      <c r="I15" s="14">
        <f>SUMIFS('Trading History'!$V$4:$V1039, 'Trading History'!$S$4:$S1039, CONCAT("&gt;", $A15))</f>
        <v/>
      </c>
      <c r="J15" s="8" t="n"/>
      <c r="K15" s="17" t="inlineStr">
        <is>
          <t>Units</t>
        </is>
      </c>
      <c r="L15" s="14">
        <f>SUMIFS('Trading History'!$AB$4:$AB1039, 'Trading History'!$Y$4:$Y1039, CONCAT("&gt;", $A15))</f>
        <v/>
      </c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3" t="n"/>
      <c r="B16" s="19" t="inlineStr">
        <is>
          <t>Avg %</t>
        </is>
      </c>
      <c r="C16" s="5">
        <f>IFERROR(Index!C17/(Index!C15*Index!$C$2), 0)</f>
        <v/>
      </c>
      <c r="D16" s="8" t="n"/>
      <c r="E16" s="20" t="inlineStr">
        <is>
          <t>ST Avg %</t>
        </is>
      </c>
      <c r="F16" s="5">
        <f>IFERROR(Index!F17/(Index!F15*Index!$C$2), 0)</f>
        <v/>
      </c>
      <c r="G16" s="8" t="n"/>
      <c r="H16" s="21" t="inlineStr">
        <is>
          <t>LT Avg %</t>
        </is>
      </c>
      <c r="I16" s="5">
        <f>IFERROR(Index!I17/(Index!I15*Index!$C$2), 0)</f>
        <v/>
      </c>
      <c r="J16" s="8" t="n"/>
      <c r="K16" s="22" t="inlineStr">
        <is>
          <t>Avg %</t>
        </is>
      </c>
      <c r="L16" s="5">
        <f>IFERROR(Index!L17/(Index!L15*Index!$C$2), 0)</f>
        <v/>
      </c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3" t="n"/>
      <c r="B17" s="19" t="inlineStr">
        <is>
          <t>Gain</t>
        </is>
      </c>
      <c r="C17" s="23">
        <f>SUMIFS('Trading History'!$L$4:$L1039, 'Trading History'!$K$4:$K1039, CONCAT("&gt;", $A15))</f>
        <v/>
      </c>
      <c r="D17" s="8" t="n"/>
      <c r="E17" s="20" t="inlineStr">
        <is>
          <t>ST Gain</t>
        </is>
      </c>
      <c r="F17" s="23">
        <f>SUMIFS('Trading History'!$P$4:$P1039, 'Trading History'!$O$4:$O1039, CONCAT("&gt;", $A15))</f>
        <v/>
      </c>
      <c r="G17" s="8" t="n"/>
      <c r="H17" s="21" t="inlineStr">
        <is>
          <t>LT Gain</t>
        </is>
      </c>
      <c r="I17" s="23">
        <f>SUMIFS('Trading History'!$T$4:$T1039, 'Trading History'!$S$4:$S1039, CONCAT("&gt;", $A15))</f>
        <v/>
      </c>
      <c r="J17" s="8" t="n"/>
      <c r="K17" s="22" t="inlineStr">
        <is>
          <t>Gain</t>
        </is>
      </c>
      <c r="L17" s="23">
        <f>SUMIFS('Trading History'!$Z$4:$Z1039, 'Trading History'!$Y$4:$Y1039, CONCAT("&gt;", $A15))</f>
        <v/>
      </c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3" t="n"/>
      <c r="B18" s="19" t="inlineStr">
        <is>
          <t>Invested</t>
        </is>
      </c>
      <c r="C18" s="23">
        <f>Index!C19-Index!C17</f>
        <v/>
      </c>
      <c r="D18" s="8" t="n"/>
      <c r="E18" s="20" t="inlineStr">
        <is>
          <t>ST Invested</t>
        </is>
      </c>
      <c r="F18" s="23">
        <f>Index!F19-Index!F17</f>
        <v/>
      </c>
      <c r="G18" s="8" t="n"/>
      <c r="H18" s="21" t="inlineStr">
        <is>
          <t>LT Invested</t>
        </is>
      </c>
      <c r="I18" s="23">
        <f>Index!I19-Index!I17</f>
        <v/>
      </c>
      <c r="J18" s="8" t="n"/>
      <c r="K18" s="22" t="inlineStr">
        <is>
          <t>Invested</t>
        </is>
      </c>
      <c r="L18" s="23">
        <f>Index!L19-Index!L17</f>
        <v/>
      </c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n"/>
      <c r="B19" s="19" t="inlineStr">
        <is>
          <t>Gross</t>
        </is>
      </c>
      <c r="C19" s="23">
        <f>SUMIFS('Trading History'!$M$4:$M1039, 'Trading History'!$K$4:$K1039, CONCAT("&gt;", $A15))</f>
        <v/>
      </c>
      <c r="D19" s="8" t="n"/>
      <c r="E19" s="20" t="inlineStr">
        <is>
          <t>ST Gross</t>
        </is>
      </c>
      <c r="F19" s="23">
        <f>SUMIFS('Trading History'!$Q$4:$Q1039, 'Trading History'!$O$4:$O1039, CONCAT("&gt;", $A15))</f>
        <v/>
      </c>
      <c r="G19" s="8" t="n"/>
      <c r="H19" s="21" t="inlineStr">
        <is>
          <t>LT Gross</t>
        </is>
      </c>
      <c r="I19" s="23">
        <f>SUMIFS('Trading History'!$U$4:$U1039, 'Trading History'!$S$4:$S1039, CONCAT("&gt;", $A15))</f>
        <v/>
      </c>
      <c r="J19" s="8" t="n"/>
      <c r="K19" s="22" t="inlineStr">
        <is>
          <t>Gross</t>
        </is>
      </c>
      <c r="L19" s="23">
        <f>SUMIFS('Trading History'!$AA$4:$AA1039, 'Trading History'!$Y$4:$Y1039, CONCAT("&gt;", $A15))</f>
        <v/>
      </c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25" t="n"/>
      <c r="L20" s="25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12" t="n">
        <v>0.45</v>
      </c>
      <c r="B22" s="13" t="inlineStr">
        <is>
          <t>Units</t>
        </is>
      </c>
      <c r="C22" s="14">
        <f>SUMIFS('Trading History'!$N$4:$N1039, 'Trading History'!$K$4:$K1039, CONCAT("&gt;", $A22))</f>
        <v/>
      </c>
      <c r="D22" s="8" t="n"/>
      <c r="E22" s="15" t="inlineStr">
        <is>
          <t>ST Units</t>
        </is>
      </c>
      <c r="F22" s="14">
        <f>IFERROR(SUMIFS('Trading History'!$R$4:$R1039, 'Trading History'!$O$4:$O1039, CONCAT("&gt;", $A22)), 0)</f>
        <v/>
      </c>
      <c r="G22" s="8" t="n"/>
      <c r="H22" s="16" t="inlineStr">
        <is>
          <t>LT Units</t>
        </is>
      </c>
      <c r="I22" s="14">
        <f>SUMIFS('Trading History'!$V$4:$V1039, 'Trading History'!$S$4:$S1039, CONCAT("&gt;", $A22))</f>
        <v/>
      </c>
      <c r="J22" s="8" t="n"/>
      <c r="K22" s="17" t="inlineStr">
        <is>
          <t>Units</t>
        </is>
      </c>
      <c r="L22" s="14">
        <f>SUMIFS('Trading History'!$AB$4:$AB1039, 'Trading History'!$Y$4:$Y1039, CONCAT("&gt;", $A22))</f>
        <v/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3" t="n"/>
      <c r="B23" s="19" t="inlineStr">
        <is>
          <t>Avg %</t>
        </is>
      </c>
      <c r="C23" s="5">
        <f>IFERROR(Index!C24/(Index!C22*Index!$C$2), 0)</f>
        <v/>
      </c>
      <c r="D23" s="8" t="n"/>
      <c r="E23" s="20" t="inlineStr">
        <is>
          <t>ST Avg %</t>
        </is>
      </c>
      <c r="F23" s="5">
        <f>IFERROR(Index!F24/(Index!F22*Index!$C$2), 0)</f>
        <v/>
      </c>
      <c r="G23" s="8" t="n"/>
      <c r="H23" s="21" t="inlineStr">
        <is>
          <t>LT Avg %</t>
        </is>
      </c>
      <c r="I23" s="5">
        <f>IFERROR(Index!I24/(Index!I22*Index!$C$2), 0)</f>
        <v/>
      </c>
      <c r="J23" s="8" t="n"/>
      <c r="K23" s="22" t="inlineStr">
        <is>
          <t>Avg %</t>
        </is>
      </c>
      <c r="L23" s="5">
        <f>IFERROR(Index!L24/(Index!L22*Index!$C$2), 0)</f>
        <v/>
      </c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3" t="n"/>
      <c r="B24" s="19" t="inlineStr">
        <is>
          <t>Gain</t>
        </is>
      </c>
      <c r="C24" s="23">
        <f>SUMIFS('Trading History'!$L$4:$L1039, 'Trading History'!$K$4:$K1039, CONCAT("&gt;", $A22))</f>
        <v/>
      </c>
      <c r="D24" s="8" t="n"/>
      <c r="E24" s="20" t="inlineStr">
        <is>
          <t>ST Gain</t>
        </is>
      </c>
      <c r="F24" s="23">
        <f>SUMIFS('Trading History'!$P$4:$P1039, 'Trading History'!$O$4:$O1039, CONCAT("&gt;", $A22))</f>
        <v/>
      </c>
      <c r="G24" s="8" t="n"/>
      <c r="H24" s="21" t="inlineStr">
        <is>
          <t>LT Gain</t>
        </is>
      </c>
      <c r="I24" s="23">
        <f>SUMIFS('Trading History'!$T$4:$T1039, 'Trading History'!$S$4:$S1039, CONCAT("&gt;", $A22))</f>
        <v/>
      </c>
      <c r="J24" s="8" t="n"/>
      <c r="K24" s="22" t="inlineStr">
        <is>
          <t>Gain</t>
        </is>
      </c>
      <c r="L24" s="23">
        <f>SUMIFS('Trading History'!$Z$4:$Z1039, 'Trading History'!$Y$4:$Y1039, CONCAT("&gt;", $A22))</f>
        <v/>
      </c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3" t="n"/>
      <c r="B25" s="19" t="inlineStr">
        <is>
          <t>Invested</t>
        </is>
      </c>
      <c r="C25" s="23">
        <f>Index!C26-Index!C24</f>
        <v/>
      </c>
      <c r="D25" s="8" t="n"/>
      <c r="E25" s="20" t="inlineStr">
        <is>
          <t>ST Invested</t>
        </is>
      </c>
      <c r="F25" s="23">
        <f>Index!F26-Index!F24</f>
        <v/>
      </c>
      <c r="G25" s="8" t="n"/>
      <c r="H25" s="21" t="inlineStr">
        <is>
          <t>LT Invested</t>
        </is>
      </c>
      <c r="I25" s="23">
        <f>Index!I26-Index!I24</f>
        <v/>
      </c>
      <c r="J25" s="8" t="n"/>
      <c r="K25" s="22" t="inlineStr">
        <is>
          <t>Invested</t>
        </is>
      </c>
      <c r="L25" s="23">
        <f>Index!L26-Index!L24</f>
        <v/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3" t="n"/>
      <c r="B26" s="19" t="inlineStr">
        <is>
          <t>Gross</t>
        </is>
      </c>
      <c r="C26" s="23">
        <f>SUMIFS('Trading History'!$M$4:$M1039, 'Trading History'!$K$4:$K1039, CONCAT("&gt;", $A22))</f>
        <v/>
      </c>
      <c r="D26" s="8" t="n"/>
      <c r="E26" s="20" t="inlineStr">
        <is>
          <t>ST Gross</t>
        </is>
      </c>
      <c r="F26" s="23">
        <f>SUMIFS('Trading History'!$Q$4:$Q1039, 'Trading History'!$O$4:$O1039, CONCAT("&gt;", $A22))</f>
        <v/>
      </c>
      <c r="G26" s="8" t="n"/>
      <c r="H26" s="21" t="inlineStr">
        <is>
          <t>LT Gross</t>
        </is>
      </c>
      <c r="I26" s="23">
        <f>SUMIFS('Trading History'!$U$4:$U1039, 'Trading History'!$S$4:$S1039, CONCAT("&gt;", $A22))</f>
        <v/>
      </c>
      <c r="J26" s="8" t="n"/>
      <c r="K26" s="22" t="inlineStr">
        <is>
          <t>Gross</t>
        </is>
      </c>
      <c r="L26" s="23">
        <f>SUMIFS('Trading History'!$AA$4:$AA1039, 'Trading History'!$Y$4:$Y1039, CONCAT("&gt;", $A22))</f>
        <v/>
      </c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12" t="n">
        <v>0.4</v>
      </c>
      <c r="B29" s="13" t="inlineStr">
        <is>
          <t>Units</t>
        </is>
      </c>
      <c r="C29" s="14">
        <f>SUMIFS('Trading History'!$N$4:$N1039, 'Trading History'!$K$4:$K1039, CONCAT("&gt;", $A29))</f>
        <v/>
      </c>
      <c r="D29" s="8" t="n"/>
      <c r="E29" s="15" t="inlineStr">
        <is>
          <t>ST Units</t>
        </is>
      </c>
      <c r="F29" s="14">
        <f>IFERROR(SUMIFS('Trading History'!$R$4:$R1039, 'Trading History'!$O$4:$O1039, CONCAT("&gt;", $A29)), 0)</f>
        <v/>
      </c>
      <c r="G29" s="8" t="n"/>
      <c r="H29" s="16" t="inlineStr">
        <is>
          <t>LT Units</t>
        </is>
      </c>
      <c r="I29" s="14">
        <f>SUMIFS('Trading History'!$V$4:$V1039, 'Trading History'!$S$4:$S1039, CONCAT("&gt;", $A29))</f>
        <v/>
      </c>
      <c r="J29" s="8" t="n"/>
      <c r="K29" s="17" t="inlineStr">
        <is>
          <t>Units</t>
        </is>
      </c>
      <c r="L29" s="14">
        <f>SUMIFS('Trading History'!$AB$4:$AB1039, 'Trading History'!$Y$4:$Y1039, CONCAT("&gt;", $A29))</f>
        <v/>
      </c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3" t="n"/>
      <c r="B30" s="19" t="inlineStr">
        <is>
          <t>Avg %</t>
        </is>
      </c>
      <c r="C30" s="5">
        <f>IFERROR(Index!C31/(Index!C29*Index!$C$2), 0)</f>
        <v/>
      </c>
      <c r="D30" s="8" t="n"/>
      <c r="E30" s="20" t="inlineStr">
        <is>
          <t>ST Avg %</t>
        </is>
      </c>
      <c r="F30" s="5">
        <f>IFERROR(Index!F31/(Index!F29*Index!$C$2), 0)</f>
        <v/>
      </c>
      <c r="G30" s="8" t="n"/>
      <c r="H30" s="21" t="inlineStr">
        <is>
          <t>LT Avg %</t>
        </is>
      </c>
      <c r="I30" s="5">
        <f>IFERROR(Index!I31/(Index!I29*Index!$C$2), 0)</f>
        <v/>
      </c>
      <c r="J30" s="8" t="n"/>
      <c r="K30" s="22" t="inlineStr">
        <is>
          <t>Avg %</t>
        </is>
      </c>
      <c r="L30" s="5">
        <f>IFERROR(Index!L31/(Index!L29*Index!$C$2), 0)</f>
        <v/>
      </c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3" t="n"/>
      <c r="B31" s="19" t="inlineStr">
        <is>
          <t>Gain</t>
        </is>
      </c>
      <c r="C31" s="23">
        <f>SUMIFS('Trading History'!$L$4:$L1039, 'Trading History'!$K$4:$K1039, CONCAT("&gt;", $A29))</f>
        <v/>
      </c>
      <c r="D31" s="8" t="n"/>
      <c r="E31" s="20" t="inlineStr">
        <is>
          <t>ST Gain</t>
        </is>
      </c>
      <c r="F31" s="23">
        <f>SUMIFS('Trading History'!$P$4:$P1039, 'Trading History'!$O$4:$O1039, CONCAT("&gt;", $A29))</f>
        <v/>
      </c>
      <c r="G31" s="8" t="n"/>
      <c r="H31" s="21" t="inlineStr">
        <is>
          <t>LT Gain</t>
        </is>
      </c>
      <c r="I31" s="23">
        <f>SUMIFS('Trading History'!$T$4:$T1039, 'Trading History'!$S$4:$S1039, CONCAT("&gt;", $A29))</f>
        <v/>
      </c>
      <c r="J31" s="8" t="n"/>
      <c r="K31" s="22" t="inlineStr">
        <is>
          <t>Gain</t>
        </is>
      </c>
      <c r="L31" s="23">
        <f>SUMIFS('Trading History'!$Z$4:$Z1039, 'Trading History'!$Y$4:$Y1039, CONCAT("&gt;", $A29))</f>
        <v/>
      </c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3" t="n"/>
      <c r="B32" s="19" t="inlineStr">
        <is>
          <t>Invested</t>
        </is>
      </c>
      <c r="C32" s="23">
        <f>Index!C33-Index!C31</f>
        <v/>
      </c>
      <c r="D32" s="8" t="n"/>
      <c r="E32" s="20" t="inlineStr">
        <is>
          <t>ST Invested</t>
        </is>
      </c>
      <c r="F32" s="23">
        <f>Index!F33-Index!F31</f>
        <v/>
      </c>
      <c r="G32" s="8" t="n"/>
      <c r="H32" s="21" t="inlineStr">
        <is>
          <t>LT Invested</t>
        </is>
      </c>
      <c r="I32" s="23">
        <f>Index!I33-Index!I31</f>
        <v/>
      </c>
      <c r="J32" s="8" t="n"/>
      <c r="K32" s="22" t="inlineStr">
        <is>
          <t>Invested</t>
        </is>
      </c>
      <c r="L32" s="23">
        <f>Index!L33-Index!L31</f>
        <v/>
      </c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3" t="n"/>
      <c r="B33" s="19" t="inlineStr">
        <is>
          <t>Gross</t>
        </is>
      </c>
      <c r="C33" s="23">
        <f>SUMIFS('Trading History'!$M$4:$M1039, 'Trading History'!$K$4:$K1039, CONCAT("&gt;", $A29))</f>
        <v/>
      </c>
      <c r="D33" s="8" t="n"/>
      <c r="E33" s="20" t="inlineStr">
        <is>
          <t>ST Gross</t>
        </is>
      </c>
      <c r="F33" s="23">
        <f>SUMIFS('Trading History'!$Q$4:$Q1039, 'Trading History'!$O$4:$O1039, CONCAT("&gt;", $A29))</f>
        <v/>
      </c>
      <c r="G33" s="8" t="n"/>
      <c r="H33" s="21" t="inlineStr">
        <is>
          <t>LT Gross</t>
        </is>
      </c>
      <c r="I33" s="23">
        <f>SUMIFS('Trading History'!$U$4:$U1039, 'Trading History'!$S$4:$S1039, CONCAT("&gt;", $A29))</f>
        <v/>
      </c>
      <c r="J33" s="8" t="n"/>
      <c r="K33" s="22" t="inlineStr">
        <is>
          <t>Gross</t>
        </is>
      </c>
      <c r="L33" s="23">
        <f>SUMIFS('Trading History'!$AA$4:$AA1039, 'Trading History'!$Y$4:$Y1039, CONCAT("&gt;", $A29))</f>
        <v/>
      </c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12" t="n">
        <v>0.35</v>
      </c>
      <c r="B36" s="13" t="inlineStr">
        <is>
          <t>Units</t>
        </is>
      </c>
      <c r="C36" s="14">
        <f>SUMIFS('Trading History'!$N$4:$N1039, 'Trading History'!$K$4:$K1039, CONCAT("&gt;", $A36))</f>
        <v/>
      </c>
      <c r="D36" s="8" t="n"/>
      <c r="E36" s="15" t="inlineStr">
        <is>
          <t>ST Units</t>
        </is>
      </c>
      <c r="F36" s="14">
        <f>IFERROR(SUMIFS('Trading History'!$R$4:$R1039, 'Trading History'!$O$4:$O1039, CONCAT("&gt;", $A36)), 0)</f>
        <v/>
      </c>
      <c r="G36" s="8" t="n"/>
      <c r="H36" s="16" t="inlineStr">
        <is>
          <t>LT Units</t>
        </is>
      </c>
      <c r="I36" s="14">
        <f>SUMIFS('Trading History'!$V$4:$V1039, 'Trading History'!$S$4:$S1039, CONCAT("&gt;", $A36))</f>
        <v/>
      </c>
      <c r="J36" s="8" t="n"/>
      <c r="K36" s="17" t="inlineStr">
        <is>
          <t>Units</t>
        </is>
      </c>
      <c r="L36" s="14">
        <f>SUMIFS('Trading History'!$AB$4:$AB1039, 'Trading History'!$Y$4:$Y1039, CONCAT("&gt;", $A36))</f>
        <v/>
      </c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3" t="n"/>
      <c r="B37" s="19" t="inlineStr">
        <is>
          <t>Avg %</t>
        </is>
      </c>
      <c r="C37" s="5">
        <f>IFERROR(Index!C38/(Index!C36*Index!$C$2), 0)</f>
        <v/>
      </c>
      <c r="D37" s="8" t="n"/>
      <c r="E37" s="20" t="inlineStr">
        <is>
          <t>ST Avg %</t>
        </is>
      </c>
      <c r="F37" s="5">
        <f>IFERROR(Index!F38/(Index!F36*Index!$C$2), 0)</f>
        <v/>
      </c>
      <c r="G37" s="8" t="n"/>
      <c r="H37" s="21" t="inlineStr">
        <is>
          <t>LT Avg %</t>
        </is>
      </c>
      <c r="I37" s="5">
        <f>IFERROR(Index!I38/(Index!I36*Index!$C$2), 0)</f>
        <v/>
      </c>
      <c r="J37" s="8" t="n"/>
      <c r="K37" s="22" t="inlineStr">
        <is>
          <t>Avg %</t>
        </is>
      </c>
      <c r="L37" s="5">
        <f>IFERROR(Index!L38/(Index!L36*Index!$C$2), 0)</f>
        <v/>
      </c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3" t="n"/>
      <c r="B38" s="19" t="inlineStr">
        <is>
          <t>Gain</t>
        </is>
      </c>
      <c r="C38" s="23">
        <f>SUMIFS('Trading History'!$L$4:$L1039, 'Trading History'!$K$4:$K1039, CONCAT("&gt;", $A36))</f>
        <v/>
      </c>
      <c r="D38" s="8" t="n"/>
      <c r="E38" s="20" t="inlineStr">
        <is>
          <t>ST Gain</t>
        </is>
      </c>
      <c r="F38" s="23">
        <f>SUMIFS('Trading History'!$P$4:$P1039, 'Trading History'!$O$4:$O1039, CONCAT("&gt;", $A36))</f>
        <v/>
      </c>
      <c r="G38" s="8" t="n"/>
      <c r="H38" s="21" t="inlineStr">
        <is>
          <t>LT Gain</t>
        </is>
      </c>
      <c r="I38" s="23">
        <f>SUMIFS('Trading History'!$T$4:$T1039, 'Trading History'!$S$4:$S1039, CONCAT("&gt;", $A36))</f>
        <v/>
      </c>
      <c r="J38" s="8" t="n"/>
      <c r="K38" s="22" t="inlineStr">
        <is>
          <t>Gain</t>
        </is>
      </c>
      <c r="L38" s="23">
        <f>SUMIFS('Trading History'!$Z$4:$Z1039, 'Trading History'!$Y$4:$Y1039, CONCAT("&gt;", $A36))</f>
        <v/>
      </c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3" t="n"/>
      <c r="B39" s="19" t="inlineStr">
        <is>
          <t>Invested</t>
        </is>
      </c>
      <c r="C39" s="23">
        <f>Index!C40-Index!C38</f>
        <v/>
      </c>
      <c r="D39" s="8" t="n"/>
      <c r="E39" s="20" t="inlineStr">
        <is>
          <t>ST Invested</t>
        </is>
      </c>
      <c r="F39" s="23">
        <f>Index!F40-Index!F38</f>
        <v/>
      </c>
      <c r="G39" s="8" t="n"/>
      <c r="H39" s="21" t="inlineStr">
        <is>
          <t>LT Invested</t>
        </is>
      </c>
      <c r="I39" s="23">
        <f>Index!I40-Index!I38</f>
        <v/>
      </c>
      <c r="J39" s="8" t="n"/>
      <c r="K39" s="22" t="inlineStr">
        <is>
          <t>Invested</t>
        </is>
      </c>
      <c r="L39" s="23">
        <f>Index!L40-Index!L38</f>
        <v/>
      </c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3" t="n"/>
      <c r="B40" s="19" t="inlineStr">
        <is>
          <t>Gross</t>
        </is>
      </c>
      <c r="C40" s="23">
        <f>SUMIFS('Trading History'!$M$4:$M1039, 'Trading History'!$K$4:$K1039, CONCAT("&gt;", $A36))</f>
        <v/>
      </c>
      <c r="D40" s="8" t="n"/>
      <c r="E40" s="20" t="inlineStr">
        <is>
          <t>ST Gross</t>
        </is>
      </c>
      <c r="F40" s="23">
        <f>SUMIFS('Trading History'!$Q$4:$Q1039, 'Trading History'!$O$4:$O1039, CONCAT("&gt;", $A36))</f>
        <v/>
      </c>
      <c r="G40" s="8" t="n"/>
      <c r="H40" s="21" t="inlineStr">
        <is>
          <t>LT Gross</t>
        </is>
      </c>
      <c r="I40" s="23">
        <f>SUMIFS('Trading History'!$U$4:$U1039, 'Trading History'!$S$4:$S1039, CONCAT("&gt;", $A36))</f>
        <v/>
      </c>
      <c r="J40" s="8" t="n"/>
      <c r="K40" s="22" t="inlineStr">
        <is>
          <t>Gross</t>
        </is>
      </c>
      <c r="L40" s="23">
        <f>SUMIFS('Trading History'!$AA$4:$AA1039, 'Trading History'!$Y$4:$Y1039, CONCAT("&gt;", $A36))</f>
        <v/>
      </c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12" t="n">
        <v>0.3</v>
      </c>
      <c r="B43" s="13" t="inlineStr">
        <is>
          <t>Units</t>
        </is>
      </c>
      <c r="C43" s="14">
        <f>SUMIFS('Trading History'!$N$4:$N1039, 'Trading History'!$K$4:$K1039, CONCAT("&gt;", $A43))</f>
        <v/>
      </c>
      <c r="D43" s="8" t="n"/>
      <c r="E43" s="15" t="inlineStr">
        <is>
          <t>ST Units</t>
        </is>
      </c>
      <c r="F43" s="14">
        <f>IFERROR(SUMIFS('Trading History'!$R$4:$R1039, 'Trading History'!$O$4:$O1039, CONCAT("&gt;", $A43)), 0)</f>
        <v/>
      </c>
      <c r="G43" s="8" t="n"/>
      <c r="H43" s="16" t="inlineStr">
        <is>
          <t>LT Units</t>
        </is>
      </c>
      <c r="I43" s="14">
        <f>SUMIFS('Trading History'!$V$4:$V1039, 'Trading History'!$S$4:$S1039, CONCAT("&gt;", $A43))</f>
        <v/>
      </c>
      <c r="J43" s="8" t="n"/>
      <c r="K43" s="17" t="inlineStr">
        <is>
          <t>Units</t>
        </is>
      </c>
      <c r="L43" s="14">
        <f>SUMIFS('Trading History'!$AB$4:$AB1039, 'Trading History'!$Y$4:$Y1039, CONCAT("&gt;", $A43))</f>
        <v/>
      </c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3" t="n"/>
      <c r="B44" s="19" t="inlineStr">
        <is>
          <t>Avg %</t>
        </is>
      </c>
      <c r="C44" s="5">
        <f>IFERROR(Index!C45/(Index!C43*Index!$C$2), 0)</f>
        <v/>
      </c>
      <c r="D44" s="8" t="n"/>
      <c r="E44" s="20" t="inlineStr">
        <is>
          <t>ST Avg %</t>
        </is>
      </c>
      <c r="F44" s="5">
        <f>IFERROR(Index!F45/(Index!F43*Index!$C$2), 0)</f>
        <v/>
      </c>
      <c r="G44" s="8" t="n"/>
      <c r="H44" s="21" t="inlineStr">
        <is>
          <t>LT Avg %</t>
        </is>
      </c>
      <c r="I44" s="5">
        <f>IFERROR(Index!I45/(Index!I43*Index!$C$2), 0)</f>
        <v/>
      </c>
      <c r="J44" s="8" t="n"/>
      <c r="K44" s="22" t="inlineStr">
        <is>
          <t>Avg %</t>
        </is>
      </c>
      <c r="L44" s="5">
        <f>IFERROR(Index!L45/(Index!L43*Index!$C$2), 0)</f>
        <v/>
      </c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3" t="n"/>
      <c r="B45" s="19" t="inlineStr">
        <is>
          <t>Gain</t>
        </is>
      </c>
      <c r="C45" s="23">
        <f>SUMIFS('Trading History'!$L$4:$L1039, 'Trading History'!$K$4:$K1039, CONCAT("&gt;", $A43))</f>
        <v/>
      </c>
      <c r="D45" s="8" t="n"/>
      <c r="E45" s="20" t="inlineStr">
        <is>
          <t>ST Gain</t>
        </is>
      </c>
      <c r="F45" s="23">
        <f>SUMIFS('Trading History'!$P$4:$P1039, 'Trading History'!$O$4:$O1039, CONCAT("&gt;", $A43))</f>
        <v/>
      </c>
      <c r="G45" s="8" t="n"/>
      <c r="H45" s="21" t="inlineStr">
        <is>
          <t>LT Gain</t>
        </is>
      </c>
      <c r="I45" s="23">
        <f>SUMIFS('Trading History'!$T$4:$T1039, 'Trading History'!$S$4:$S1039, CONCAT("&gt;", $A43))</f>
        <v/>
      </c>
      <c r="J45" s="8" t="n"/>
      <c r="K45" s="22" t="inlineStr">
        <is>
          <t>Gain</t>
        </is>
      </c>
      <c r="L45" s="23">
        <f>SUMIFS('Trading History'!$Z$4:$Z1039, 'Trading History'!$Y$4:$Y1039, CONCAT("&gt;", $A43))</f>
        <v/>
      </c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3" t="n"/>
      <c r="B46" s="19" t="inlineStr">
        <is>
          <t>Invested</t>
        </is>
      </c>
      <c r="C46" s="23">
        <f>Index!C47-Index!C45</f>
        <v/>
      </c>
      <c r="D46" s="8" t="n"/>
      <c r="E46" s="20" t="inlineStr">
        <is>
          <t>ST Invested</t>
        </is>
      </c>
      <c r="F46" s="23">
        <f>Index!F47-Index!F45</f>
        <v/>
      </c>
      <c r="G46" s="8" t="n"/>
      <c r="H46" s="21" t="inlineStr">
        <is>
          <t>LT Invested</t>
        </is>
      </c>
      <c r="I46" s="23">
        <f>Index!I47-Index!I45</f>
        <v/>
      </c>
      <c r="J46" s="8" t="n"/>
      <c r="K46" s="22" t="inlineStr">
        <is>
          <t>Invested</t>
        </is>
      </c>
      <c r="L46" s="23">
        <f>Index!L47-Index!L45</f>
        <v/>
      </c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3" t="n"/>
      <c r="B47" s="19" t="inlineStr">
        <is>
          <t>Gross</t>
        </is>
      </c>
      <c r="C47" s="23">
        <f>SUMIFS('Trading History'!$M$4:$M1039, 'Trading History'!$K$4:$K1039, CONCAT("&gt;", $A43))</f>
        <v/>
      </c>
      <c r="D47" s="8" t="n"/>
      <c r="E47" s="20" t="inlineStr">
        <is>
          <t>ST Gross</t>
        </is>
      </c>
      <c r="F47" s="23">
        <f>SUMIFS('Trading History'!$Q$4:$Q1039, 'Trading History'!$O$4:$O1039, CONCAT("&gt;", $A43))</f>
        <v/>
      </c>
      <c r="G47" s="8" t="n"/>
      <c r="H47" s="21" t="inlineStr">
        <is>
          <t>LT Gross</t>
        </is>
      </c>
      <c r="I47" s="23">
        <f>SUMIFS('Trading History'!$U$4:$U1039, 'Trading History'!$S$4:$S1039, CONCAT("&gt;", $A43))</f>
        <v/>
      </c>
      <c r="J47" s="8" t="n"/>
      <c r="K47" s="22" t="inlineStr">
        <is>
          <t>Gross</t>
        </is>
      </c>
      <c r="L47" s="23">
        <f>SUMIFS('Trading History'!$AA$4:$AA1039, 'Trading History'!$Y$4:$Y1039, CONCAT("&gt;", $A43))</f>
        <v/>
      </c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12" t="n">
        <v>0.25</v>
      </c>
      <c r="B50" s="13" t="inlineStr">
        <is>
          <t>Units</t>
        </is>
      </c>
      <c r="C50" s="14">
        <f>SUMIFS('Trading History'!$N$4:$N1039, 'Trading History'!$K$4:$K1039, CONCAT("&gt;", $A50))</f>
        <v/>
      </c>
      <c r="D50" s="8" t="n"/>
      <c r="E50" s="15" t="inlineStr">
        <is>
          <t>ST Units</t>
        </is>
      </c>
      <c r="F50" s="14">
        <f>IFERROR(SUMIFS('Trading History'!$R$4:$R1039, 'Trading History'!$O$4:$O1039, CONCAT("&gt;", $A50)), 0)</f>
        <v/>
      </c>
      <c r="G50" s="8" t="n"/>
      <c r="H50" s="16" t="inlineStr">
        <is>
          <t>LT Units</t>
        </is>
      </c>
      <c r="I50" s="14">
        <f>SUMIFS('Trading History'!$V$4:$V1039, 'Trading History'!$S$4:$S1039, CONCAT("&gt;", $A50))</f>
        <v/>
      </c>
      <c r="J50" s="8" t="n"/>
      <c r="K50" s="17" t="inlineStr">
        <is>
          <t>Units</t>
        </is>
      </c>
      <c r="L50" s="14">
        <f>SUMIFS('Trading History'!$AB$4:$AB1039, 'Trading History'!$Y$4:$Y1039, CONCAT("&gt;", $A50))</f>
        <v/>
      </c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3" t="n"/>
      <c r="B51" s="19" t="inlineStr">
        <is>
          <t>Avg %</t>
        </is>
      </c>
      <c r="C51" s="5">
        <f>IFERROR(Index!C52/(Index!C50*Index!$C$2), 0)</f>
        <v/>
      </c>
      <c r="D51" s="8" t="n"/>
      <c r="E51" s="20" t="inlineStr">
        <is>
          <t>ST Avg %</t>
        </is>
      </c>
      <c r="F51" s="5">
        <f>IFERROR(Index!F52/(Index!F50*Index!$C$2), 0)</f>
        <v/>
      </c>
      <c r="G51" s="8" t="n"/>
      <c r="H51" s="21" t="inlineStr">
        <is>
          <t>LT Avg %</t>
        </is>
      </c>
      <c r="I51" s="5">
        <f>IFERROR(Index!I52/(Index!I50*Index!$C$2), 0)</f>
        <v/>
      </c>
      <c r="J51" s="8" t="n"/>
      <c r="K51" s="22" t="inlineStr">
        <is>
          <t>Avg %</t>
        </is>
      </c>
      <c r="L51" s="5">
        <f>IFERROR(Index!L52/(Index!L50*Index!$C$2), 0)</f>
        <v/>
      </c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3" t="n"/>
      <c r="B52" s="19" t="inlineStr">
        <is>
          <t>Gain</t>
        </is>
      </c>
      <c r="C52" s="23">
        <f>SUMIFS('Trading History'!$L$4:$L1039, 'Trading History'!$K$4:$K1039, CONCAT("&gt;", $A50))</f>
        <v/>
      </c>
      <c r="D52" s="8" t="n"/>
      <c r="E52" s="20" t="inlineStr">
        <is>
          <t>ST Gain</t>
        </is>
      </c>
      <c r="F52" s="23">
        <f>SUMIFS('Trading History'!$P$4:$P1039, 'Trading History'!$O$4:$O1039, CONCAT("&gt;", $A50))</f>
        <v/>
      </c>
      <c r="G52" s="8" t="n"/>
      <c r="H52" s="21" t="inlineStr">
        <is>
          <t>LT Gain</t>
        </is>
      </c>
      <c r="I52" s="23">
        <f>SUMIFS('Trading History'!$T$4:$T1039, 'Trading History'!$S$4:$S1039, CONCAT("&gt;", $A50))</f>
        <v/>
      </c>
      <c r="J52" s="8" t="n"/>
      <c r="K52" s="22" t="inlineStr">
        <is>
          <t>Gain</t>
        </is>
      </c>
      <c r="L52" s="23">
        <f>SUMIFS('Trading History'!$Z$4:$Z1039, 'Trading History'!$Y$4:$Y1039, CONCAT("&gt;", $A50))</f>
        <v/>
      </c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3" t="n"/>
      <c r="B53" s="19" t="inlineStr">
        <is>
          <t>Invested</t>
        </is>
      </c>
      <c r="C53" s="23">
        <f>Index!C54-Index!C52</f>
        <v/>
      </c>
      <c r="D53" s="8" t="n"/>
      <c r="E53" s="20" t="inlineStr">
        <is>
          <t>ST Invested</t>
        </is>
      </c>
      <c r="F53" s="23">
        <f>Index!F54-Index!F52</f>
        <v/>
      </c>
      <c r="G53" s="8" t="n"/>
      <c r="H53" s="21" t="inlineStr">
        <is>
          <t>LT Invested</t>
        </is>
      </c>
      <c r="I53" s="23">
        <f>Index!I54-Index!I52</f>
        <v/>
      </c>
      <c r="J53" s="8" t="n"/>
      <c r="K53" s="22" t="inlineStr">
        <is>
          <t>Invested</t>
        </is>
      </c>
      <c r="L53" s="23">
        <f>Index!L54-Index!L52</f>
        <v/>
      </c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3" t="n"/>
      <c r="B54" s="19" t="inlineStr">
        <is>
          <t>Gross</t>
        </is>
      </c>
      <c r="C54" s="23">
        <f>SUMIFS('Trading History'!$M$4:$M1039, 'Trading History'!$K$4:$K1039, CONCAT("&gt;", $A50))</f>
        <v/>
      </c>
      <c r="D54" s="8" t="n"/>
      <c r="E54" s="20" t="inlineStr">
        <is>
          <t>ST Gross</t>
        </is>
      </c>
      <c r="F54" s="23">
        <f>SUMIFS('Trading History'!$Q$4:$Q1039, 'Trading History'!$O$4:$O1039, CONCAT("&gt;", $A50))</f>
        <v/>
      </c>
      <c r="G54" s="8" t="n"/>
      <c r="H54" s="21" t="inlineStr">
        <is>
          <t>LT Gross</t>
        </is>
      </c>
      <c r="I54" s="23">
        <f>SUMIFS('Trading History'!$U$4:$U1039, 'Trading History'!$S$4:$S1039, CONCAT("&gt;", $A50))</f>
        <v/>
      </c>
      <c r="J54" s="8" t="n"/>
      <c r="K54" s="22" t="inlineStr">
        <is>
          <t>Gross</t>
        </is>
      </c>
      <c r="L54" s="23">
        <f>SUMIFS('Trading History'!$AA$4:$AA1039, 'Trading History'!$Y$4:$Y1039, CONCAT("&gt;", $A50))</f>
        <v/>
      </c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25" t="n"/>
      <c r="L55" s="25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12" t="n">
        <v>0.2</v>
      </c>
      <c r="B57" s="13" t="inlineStr">
        <is>
          <t>Units</t>
        </is>
      </c>
      <c r="C57" s="14">
        <f>SUMIFS('Trading History'!$N$4:$N1039, 'Trading History'!$K$4:$K1039, CONCAT("&gt;", $A57))</f>
        <v/>
      </c>
      <c r="D57" s="8" t="n"/>
      <c r="E57" s="15" t="inlineStr">
        <is>
          <t>ST Units</t>
        </is>
      </c>
      <c r="F57" s="14">
        <f>IFERROR(SUMIFS('Trading History'!$R$4:$R1039, 'Trading History'!$O$4:$O1039, CONCAT("&gt;", $A57)), 0)</f>
        <v/>
      </c>
      <c r="G57" s="8" t="n"/>
      <c r="H57" s="16" t="inlineStr">
        <is>
          <t>LT Units</t>
        </is>
      </c>
      <c r="I57" s="14">
        <f>SUMIFS('Trading History'!$V$4:$V1039, 'Trading History'!$S$4:$S1039, CONCAT("&gt;", $A57))</f>
        <v/>
      </c>
      <c r="J57" s="8" t="n"/>
      <c r="K57" s="17" t="inlineStr">
        <is>
          <t>Units</t>
        </is>
      </c>
      <c r="L57" s="14">
        <f>SUMIFS('Trading History'!$AB$4:$AB1039, 'Trading History'!$Y$4:$Y1039, CONCAT("&gt;", $A57))</f>
        <v/>
      </c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3" t="n"/>
      <c r="B58" s="19" t="inlineStr">
        <is>
          <t>Avg %</t>
        </is>
      </c>
      <c r="C58" s="5">
        <f>IFERROR(Index!C59/(Index!C57*Index!$C$2), 0)</f>
        <v/>
      </c>
      <c r="D58" s="8" t="n"/>
      <c r="E58" s="20" t="inlineStr">
        <is>
          <t>ST Avg %</t>
        </is>
      </c>
      <c r="F58" s="5">
        <f>IFERROR(Index!F59/(Index!F57*Index!$C$2), 0)</f>
        <v/>
      </c>
      <c r="G58" s="8" t="n"/>
      <c r="H58" s="21" t="inlineStr">
        <is>
          <t>LT Avg %</t>
        </is>
      </c>
      <c r="I58" s="5">
        <f>IFERROR(Index!I59/(Index!I57*Index!$C$2), 0)</f>
        <v/>
      </c>
      <c r="J58" s="8" t="n"/>
      <c r="K58" s="22" t="inlineStr">
        <is>
          <t>Avg %</t>
        </is>
      </c>
      <c r="L58" s="5">
        <f>IFERROR(Index!L59/(Index!L57*Index!$C$2), 0)</f>
        <v/>
      </c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3" t="n"/>
      <c r="B59" s="19" t="inlineStr">
        <is>
          <t>Gain</t>
        </is>
      </c>
      <c r="C59" s="23">
        <f>SUMIFS('Trading History'!$L$4:$L1039, 'Trading History'!$K$4:$K1039, CONCAT("&gt;", $A57))</f>
        <v/>
      </c>
      <c r="D59" s="8" t="n"/>
      <c r="E59" s="20" t="inlineStr">
        <is>
          <t>ST Gain</t>
        </is>
      </c>
      <c r="F59" s="23">
        <f>SUMIFS('Trading History'!$P$4:$P1039, 'Trading History'!$O$4:$O1039, CONCAT("&gt;", $A57))</f>
        <v/>
      </c>
      <c r="G59" s="8" t="n"/>
      <c r="H59" s="21" t="inlineStr">
        <is>
          <t>LT Gain</t>
        </is>
      </c>
      <c r="I59" s="23">
        <f>SUMIFS('Trading History'!$T$4:$T1039, 'Trading History'!$S$4:$S1039, CONCAT("&gt;", $A57))</f>
        <v/>
      </c>
      <c r="J59" s="8" t="n"/>
      <c r="K59" s="22" t="inlineStr">
        <is>
          <t>Gain</t>
        </is>
      </c>
      <c r="L59" s="23">
        <f>SUMIFS('Trading History'!$Z$4:$Z1039, 'Trading History'!$Y$4:$Y1039, CONCAT("&gt;", $A57))</f>
        <v/>
      </c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3" t="n"/>
      <c r="B60" s="19" t="inlineStr">
        <is>
          <t>Invested</t>
        </is>
      </c>
      <c r="C60" s="23">
        <f>Index!C61-Index!C59</f>
        <v/>
      </c>
      <c r="D60" s="8" t="n"/>
      <c r="E60" s="20" t="inlineStr">
        <is>
          <t>ST Invested</t>
        </is>
      </c>
      <c r="F60" s="23">
        <f>Index!F61-Index!F59</f>
        <v/>
      </c>
      <c r="G60" s="8" t="n"/>
      <c r="H60" s="21" t="inlineStr">
        <is>
          <t>LT Invested</t>
        </is>
      </c>
      <c r="I60" s="23">
        <f>Index!I61-Index!I59</f>
        <v/>
      </c>
      <c r="J60" s="8" t="n"/>
      <c r="K60" s="22" t="inlineStr">
        <is>
          <t>Invested</t>
        </is>
      </c>
      <c r="L60" s="23">
        <f>Index!L61-Index!L59</f>
        <v/>
      </c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3" t="n"/>
      <c r="B61" s="19" t="inlineStr">
        <is>
          <t>Gross</t>
        </is>
      </c>
      <c r="C61" s="23">
        <f>SUMIFS('Trading History'!$M$4:$M1039, 'Trading History'!$K$4:$K1039, CONCAT("&gt;", $A57))</f>
        <v/>
      </c>
      <c r="D61" s="8" t="n"/>
      <c r="E61" s="20" t="inlineStr">
        <is>
          <t>ST Gross</t>
        </is>
      </c>
      <c r="F61" s="23">
        <f>SUMIFS('Trading History'!$Q$4:$Q1039, 'Trading History'!$O$4:$O1039, CONCAT("&gt;", $A57))</f>
        <v/>
      </c>
      <c r="G61" s="8" t="n"/>
      <c r="H61" s="21" t="inlineStr">
        <is>
          <t>LT Gross</t>
        </is>
      </c>
      <c r="I61" s="23">
        <f>SUMIFS('Trading History'!$U$4:$U1039, 'Trading History'!$S$4:$S1039, CONCAT("&gt;", $A57))</f>
        <v/>
      </c>
      <c r="J61" s="8" t="n"/>
      <c r="K61" s="22" t="inlineStr">
        <is>
          <t>Gross</t>
        </is>
      </c>
      <c r="L61" s="23">
        <f>SUMIFS('Trading History'!$AA$4:$AA1039, 'Trading History'!$Y$4:$Y1039, CONCAT("&gt;", $A57))</f>
        <v/>
      </c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12" t="n">
        <v>0.15</v>
      </c>
      <c r="B64" s="13" t="inlineStr">
        <is>
          <t>Units</t>
        </is>
      </c>
      <c r="C64" s="14">
        <f>SUMIFS('Trading History'!$N$4:$N1039, 'Trading History'!$K$4:$K1039, CONCAT("&gt;", $A64))</f>
        <v/>
      </c>
      <c r="D64" s="8" t="n"/>
      <c r="E64" s="15" t="inlineStr">
        <is>
          <t>ST Units</t>
        </is>
      </c>
      <c r="F64" s="14">
        <f>IFERROR(SUMIFS('Trading History'!$R$4:$R1039, 'Trading History'!$O$4:$O1039, CONCAT("&gt;", $A64)), 0)</f>
        <v/>
      </c>
      <c r="G64" s="8" t="n"/>
      <c r="H64" s="16" t="inlineStr">
        <is>
          <t>LT Units</t>
        </is>
      </c>
      <c r="I64" s="14">
        <f>SUMIFS('Trading History'!$V$4:$V1039, 'Trading History'!$S$4:$S1039, CONCAT("&gt;", $A64))</f>
        <v/>
      </c>
      <c r="J64" s="8" t="n"/>
      <c r="K64" s="17" t="inlineStr">
        <is>
          <t>Units</t>
        </is>
      </c>
      <c r="L64" s="14">
        <f>SUMIFS('Trading History'!$AB$4:$AB1039, 'Trading History'!$Y$4:$Y1039, CONCAT("&gt;", $A64))</f>
        <v/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3" t="n"/>
      <c r="B65" s="19" t="inlineStr">
        <is>
          <t>Avg %</t>
        </is>
      </c>
      <c r="C65" s="5">
        <f>IFERROR(Index!C66/(Index!C64*Index!$C$2), 0)</f>
        <v/>
      </c>
      <c r="D65" s="8" t="n"/>
      <c r="E65" s="20" t="inlineStr">
        <is>
          <t>ST Avg %</t>
        </is>
      </c>
      <c r="F65" s="5">
        <f>IFERROR(Index!F66/(Index!F64*Index!$C$2), 0)</f>
        <v/>
      </c>
      <c r="G65" s="8" t="n"/>
      <c r="H65" s="21" t="inlineStr">
        <is>
          <t>LT Avg %</t>
        </is>
      </c>
      <c r="I65" s="5">
        <f>IFERROR(Index!I66/(Index!I64*Index!$C$2), 0)</f>
        <v/>
      </c>
      <c r="J65" s="8" t="n"/>
      <c r="K65" s="22" t="inlineStr">
        <is>
          <t>Avg %</t>
        </is>
      </c>
      <c r="L65" s="5">
        <f>IFERROR(Index!L66/(Index!L64*Index!$C$2), 0)</f>
        <v/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3" t="n"/>
      <c r="B66" s="19" t="inlineStr">
        <is>
          <t>Gain</t>
        </is>
      </c>
      <c r="C66" s="23">
        <f>SUMIFS('Trading History'!$L$4:$L1039, 'Trading History'!$K$4:$K1039, CONCAT("&gt;", $A64))</f>
        <v/>
      </c>
      <c r="D66" s="8" t="n"/>
      <c r="E66" s="20" t="inlineStr">
        <is>
          <t>ST Gain</t>
        </is>
      </c>
      <c r="F66" s="23">
        <f>SUMIFS('Trading History'!$P$4:$P1039, 'Trading History'!$O$4:$O1039, CONCAT("&gt;", $A64))</f>
        <v/>
      </c>
      <c r="G66" s="8" t="n"/>
      <c r="H66" s="21" t="inlineStr">
        <is>
          <t>LT Gain</t>
        </is>
      </c>
      <c r="I66" s="23">
        <f>SUMIFS('Trading History'!$T$4:$T1039, 'Trading History'!$S$4:$S1039, CONCAT("&gt;", $A64))</f>
        <v/>
      </c>
      <c r="J66" s="8" t="n"/>
      <c r="K66" s="22" t="inlineStr">
        <is>
          <t>Gain</t>
        </is>
      </c>
      <c r="L66" s="23">
        <f>SUMIFS('Trading History'!$Z$4:$Z1039, 'Trading History'!$Y$4:$Y1039, CONCAT("&gt;", $A64))</f>
        <v/>
      </c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3" t="n"/>
      <c r="B67" s="19" t="inlineStr">
        <is>
          <t>Invested</t>
        </is>
      </c>
      <c r="C67" s="23">
        <f>Index!C68-Index!C66</f>
        <v/>
      </c>
      <c r="D67" s="8" t="n"/>
      <c r="E67" s="20" t="inlineStr">
        <is>
          <t>ST Invested</t>
        </is>
      </c>
      <c r="F67" s="23">
        <f>Index!F68-Index!F66</f>
        <v/>
      </c>
      <c r="G67" s="8" t="n"/>
      <c r="H67" s="21" t="inlineStr">
        <is>
          <t>LT Invested</t>
        </is>
      </c>
      <c r="I67" s="23">
        <f>Index!I68-Index!I66</f>
        <v/>
      </c>
      <c r="J67" s="8" t="n"/>
      <c r="K67" s="22" t="inlineStr">
        <is>
          <t>Invested</t>
        </is>
      </c>
      <c r="L67" s="23">
        <f>Index!L68-Index!L66</f>
        <v/>
      </c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3" t="n"/>
      <c r="B68" s="19" t="inlineStr">
        <is>
          <t>Gross</t>
        </is>
      </c>
      <c r="C68" s="23">
        <f>SUMIFS('Trading History'!$M$4:$M1039, 'Trading History'!$K$4:$K1039, CONCAT("&gt;", $A64))</f>
        <v/>
      </c>
      <c r="D68" s="8" t="n"/>
      <c r="E68" s="20" t="inlineStr">
        <is>
          <t>ST Gross</t>
        </is>
      </c>
      <c r="F68" s="23">
        <f>SUMIFS('Trading History'!$Q$4:$Q1039, 'Trading History'!$O$4:$O1039, CONCAT("&gt;", $A64))</f>
        <v/>
      </c>
      <c r="G68" s="8" t="n"/>
      <c r="H68" s="21" t="inlineStr">
        <is>
          <t>LT Gross</t>
        </is>
      </c>
      <c r="I68" s="23">
        <f>SUMIFS('Trading History'!$U$4:$U1039, 'Trading History'!$S$4:$S1039, CONCAT("&gt;", $A64))</f>
        <v/>
      </c>
      <c r="J68" s="8" t="n"/>
      <c r="K68" s="22" t="inlineStr">
        <is>
          <t>Gross</t>
        </is>
      </c>
      <c r="L68" s="23">
        <f>SUMIFS('Trading History'!$AA$4:$AA1039, 'Trading History'!$Y$4:$Y1039, CONCAT("&gt;", $A64))</f>
        <v/>
      </c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12" t="n">
        <v>0.1</v>
      </c>
      <c r="B71" s="13" t="inlineStr">
        <is>
          <t>Units</t>
        </is>
      </c>
      <c r="C71" s="14">
        <f>SUMIFS('Trading History'!$N$4:$N1039, 'Trading History'!$K$4:$K1039, CONCAT("&gt;", $A71))</f>
        <v/>
      </c>
      <c r="D71" s="8" t="n"/>
      <c r="E71" s="15" t="inlineStr">
        <is>
          <t>ST Units</t>
        </is>
      </c>
      <c r="F71" s="14">
        <f>IFERROR(SUMIFS('Trading History'!$R$4:$R1039, 'Trading History'!$O$4:$O1039, CONCAT("&gt;", $A71)), 0)</f>
        <v/>
      </c>
      <c r="G71" s="8" t="n"/>
      <c r="H71" s="16" t="inlineStr">
        <is>
          <t>LT Units</t>
        </is>
      </c>
      <c r="I71" s="14">
        <f>SUMIFS('Trading History'!$V$4:$V1039, 'Trading History'!$S$4:$S1039, CONCAT("&gt;", $A71))</f>
        <v/>
      </c>
      <c r="J71" s="8" t="n"/>
      <c r="K71" s="17" t="inlineStr">
        <is>
          <t>Units</t>
        </is>
      </c>
      <c r="L71" s="14">
        <f>SUMIFS('Trading History'!$AB$4:$AB1039, 'Trading History'!$Y$4:$Y1039, CONCAT("&gt;", $A71))</f>
        <v/>
      </c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3" t="n"/>
      <c r="B72" s="19" t="inlineStr">
        <is>
          <t>Avg %</t>
        </is>
      </c>
      <c r="C72" s="5">
        <f>IFERROR(Index!C73/(Index!C71*Index!$C$2), 0)</f>
        <v/>
      </c>
      <c r="D72" s="8" t="n"/>
      <c r="E72" s="20" t="inlineStr">
        <is>
          <t>ST Avg %</t>
        </is>
      </c>
      <c r="F72" s="5">
        <f>IFERROR(Index!F73/(Index!F71*Index!$C$2), 0)</f>
        <v/>
      </c>
      <c r="G72" s="8" t="n"/>
      <c r="H72" s="21" t="inlineStr">
        <is>
          <t>LT Avg %</t>
        </is>
      </c>
      <c r="I72" s="5">
        <f>IFERROR(Index!I73/(Index!I71*Index!$C$2), 0)</f>
        <v/>
      </c>
      <c r="J72" s="8" t="n"/>
      <c r="K72" s="22" t="inlineStr">
        <is>
          <t>Avg %</t>
        </is>
      </c>
      <c r="L72" s="5">
        <f>IFERROR(Index!L73/(Index!L71*Index!$C$2), 0)</f>
        <v/>
      </c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3" t="n"/>
      <c r="B73" s="19" t="inlineStr">
        <is>
          <t>Gain</t>
        </is>
      </c>
      <c r="C73" s="23">
        <f>SUMIFS('Trading History'!$L$4:$L1039, 'Trading History'!$K$4:$K1039, CONCAT("&gt;", $A71))</f>
        <v/>
      </c>
      <c r="D73" s="8" t="n"/>
      <c r="E73" s="20" t="inlineStr">
        <is>
          <t>ST Gain</t>
        </is>
      </c>
      <c r="F73" s="23">
        <f>SUMIFS('Trading History'!$P$4:$P1039, 'Trading History'!$O$4:$O1039, CONCAT("&gt;", $A71))</f>
        <v/>
      </c>
      <c r="G73" s="8" t="n"/>
      <c r="H73" s="21" t="inlineStr">
        <is>
          <t>LT Gain</t>
        </is>
      </c>
      <c r="I73" s="23">
        <f>SUMIFS('Trading History'!$T$4:$T1039, 'Trading History'!$S$4:$S1039, CONCAT("&gt;", $A71))</f>
        <v/>
      </c>
      <c r="J73" s="8" t="n"/>
      <c r="K73" s="22" t="inlineStr">
        <is>
          <t>Gain</t>
        </is>
      </c>
      <c r="L73" s="23">
        <f>SUMIFS('Trading History'!$Z$4:$Z1039, 'Trading History'!$Y$4:$Y1039, CONCAT("&gt;", $A71))</f>
        <v/>
      </c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3" t="n"/>
      <c r="B74" s="19" t="inlineStr">
        <is>
          <t>Invested</t>
        </is>
      </c>
      <c r="C74" s="23">
        <f>Index!C75-Index!C73</f>
        <v/>
      </c>
      <c r="D74" s="8" t="n"/>
      <c r="E74" s="20" t="inlineStr">
        <is>
          <t>ST Invested</t>
        </is>
      </c>
      <c r="F74" s="23">
        <f>Index!F75-Index!F73</f>
        <v/>
      </c>
      <c r="G74" s="8" t="n"/>
      <c r="H74" s="21" t="inlineStr">
        <is>
          <t>LT Invested</t>
        </is>
      </c>
      <c r="I74" s="23">
        <f>Index!I75-Index!I73</f>
        <v/>
      </c>
      <c r="J74" s="8" t="n"/>
      <c r="K74" s="22" t="inlineStr">
        <is>
          <t>Invested</t>
        </is>
      </c>
      <c r="L74" s="23">
        <f>Index!L75-Index!L73</f>
        <v/>
      </c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3" t="n"/>
      <c r="B75" s="19" t="inlineStr">
        <is>
          <t>Gross</t>
        </is>
      </c>
      <c r="C75" s="23">
        <f>SUMIFS('Trading History'!$M$4:$M1039, 'Trading History'!$K$4:$K1039, CONCAT("&gt;", $A71))</f>
        <v/>
      </c>
      <c r="D75" s="8" t="n"/>
      <c r="E75" s="20" t="inlineStr">
        <is>
          <t>ST Gross</t>
        </is>
      </c>
      <c r="F75" s="23">
        <f>SUMIFS('Trading History'!$Q$4:$Q1039, 'Trading History'!$O$4:$O1039, CONCAT("&gt;", $A71))</f>
        <v/>
      </c>
      <c r="G75" s="8" t="n"/>
      <c r="H75" s="21" t="inlineStr">
        <is>
          <t>LT Gross</t>
        </is>
      </c>
      <c r="I75" s="23">
        <f>SUMIFS('Trading History'!$U$4:$U1039, 'Trading History'!$S$4:$S1039, CONCAT("&gt;", $A71))</f>
        <v/>
      </c>
      <c r="J75" s="8" t="n"/>
      <c r="K75" s="22" t="inlineStr">
        <is>
          <t>Gross</t>
        </is>
      </c>
      <c r="L75" s="23">
        <f>SUMIFS('Trading History'!$AA$4:$AA1039, 'Trading History'!$Y$4:$Y1039, CONCAT("&gt;", $A71))</f>
        <v/>
      </c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12" t="n">
        <v>0.05</v>
      </c>
      <c r="B78" s="13" t="inlineStr">
        <is>
          <t>Units</t>
        </is>
      </c>
      <c r="C78" s="14">
        <f>SUMIFS('Trading History'!$N$4:$N1039, 'Trading History'!$K$4:$K1039, CONCAT("&gt;", $A78))</f>
        <v/>
      </c>
      <c r="D78" s="8" t="n"/>
      <c r="E78" s="15" t="inlineStr">
        <is>
          <t>ST Units</t>
        </is>
      </c>
      <c r="F78" s="14">
        <f>IFERROR(SUMIFS('Trading History'!$R$4:$R1039, 'Trading History'!$O$4:$O1039, CONCAT("&gt;", $A78)), 0)</f>
        <v/>
      </c>
      <c r="G78" s="8" t="n"/>
      <c r="H78" s="16" t="inlineStr">
        <is>
          <t>LT Units</t>
        </is>
      </c>
      <c r="I78" s="14">
        <f>SUMIFS('Trading History'!$V$4:$V1039, 'Trading History'!$S$4:$S1039, CONCAT("&gt;", $A78))</f>
        <v/>
      </c>
      <c r="J78" s="8" t="n"/>
      <c r="K78" s="17" t="inlineStr">
        <is>
          <t>Units</t>
        </is>
      </c>
      <c r="L78" s="14">
        <f>SUMIFS('Trading History'!$AB$4:$AB1039, 'Trading History'!$Y$4:$Y1039, CONCAT("&gt;", $A78))</f>
        <v/>
      </c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3" t="n"/>
      <c r="B79" s="19" t="inlineStr">
        <is>
          <t>Avg %</t>
        </is>
      </c>
      <c r="C79" s="5">
        <f>IFERROR(Index!C80/(Index!C78*Index!$C$2), 0)</f>
        <v/>
      </c>
      <c r="D79" s="8" t="n"/>
      <c r="E79" s="20" t="inlineStr">
        <is>
          <t>ST Avg %</t>
        </is>
      </c>
      <c r="F79" s="5">
        <f>IFERROR(Index!F80/(Index!F78*Index!$C$2), 0)</f>
        <v/>
      </c>
      <c r="G79" s="8" t="n"/>
      <c r="H79" s="21" t="inlineStr">
        <is>
          <t>LT Avg %</t>
        </is>
      </c>
      <c r="I79" s="5">
        <f>IFERROR(Index!I80/(Index!I78*Index!$C$2), 0)</f>
        <v/>
      </c>
      <c r="J79" s="8" t="n"/>
      <c r="K79" s="22" t="inlineStr">
        <is>
          <t>Avg %</t>
        </is>
      </c>
      <c r="L79" s="5">
        <f>IFERROR(Index!L80/(Index!L78*Index!$C$2), 0)</f>
        <v/>
      </c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3" t="n"/>
      <c r="B80" s="19" t="inlineStr">
        <is>
          <t>Gain</t>
        </is>
      </c>
      <c r="C80" s="23">
        <f>SUMIFS('Trading History'!$L$4:$L1039, 'Trading History'!$K$4:$K1039, CONCAT("&gt;", $A78))</f>
        <v/>
      </c>
      <c r="D80" s="8" t="n"/>
      <c r="E80" s="20" t="inlineStr">
        <is>
          <t>ST Gain</t>
        </is>
      </c>
      <c r="F80" s="23">
        <f>SUMIFS('Trading History'!$P$4:$P1039, 'Trading History'!$O$4:$O1039, CONCAT("&gt;", $A78))</f>
        <v/>
      </c>
      <c r="G80" s="8" t="n"/>
      <c r="H80" s="21" t="inlineStr">
        <is>
          <t>LT Gain</t>
        </is>
      </c>
      <c r="I80" s="23">
        <f>SUMIFS('Trading History'!$T$4:$T1039, 'Trading History'!$S$4:$S1039, CONCAT("&gt;", $A78))</f>
        <v/>
      </c>
      <c r="J80" s="8" t="n"/>
      <c r="K80" s="22" t="inlineStr">
        <is>
          <t>Gain</t>
        </is>
      </c>
      <c r="L80" s="23">
        <f>SUMIFS('Trading History'!$Z$4:$Z1039, 'Trading History'!$Y$4:$Y1039, CONCAT("&gt;", $A78))</f>
        <v/>
      </c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3" t="n"/>
      <c r="B81" s="19" t="inlineStr">
        <is>
          <t>Invested</t>
        </is>
      </c>
      <c r="C81" s="23">
        <f>Index!C82-Index!C80</f>
        <v/>
      </c>
      <c r="D81" s="8" t="n"/>
      <c r="E81" s="20" t="inlineStr">
        <is>
          <t>ST Invested</t>
        </is>
      </c>
      <c r="F81" s="23">
        <f>Index!F82-Index!F80</f>
        <v/>
      </c>
      <c r="G81" s="8" t="n"/>
      <c r="H81" s="21" t="inlineStr">
        <is>
          <t>LT Invested</t>
        </is>
      </c>
      <c r="I81" s="23">
        <f>Index!I82-Index!I80</f>
        <v/>
      </c>
      <c r="J81" s="8" t="n"/>
      <c r="K81" s="22" t="inlineStr">
        <is>
          <t>Invested</t>
        </is>
      </c>
      <c r="L81" s="23">
        <f>Index!L82-Index!L80</f>
        <v/>
      </c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3" t="n"/>
      <c r="B82" s="19" t="inlineStr">
        <is>
          <t>Gross</t>
        </is>
      </c>
      <c r="C82" s="23">
        <f>SUMIFS('Trading History'!$M$4:$M1039, 'Trading History'!$K$4:$K1039, CONCAT("&gt;", $A78))</f>
        <v/>
      </c>
      <c r="D82" s="8" t="n"/>
      <c r="E82" s="20" t="inlineStr">
        <is>
          <t>ST Gross</t>
        </is>
      </c>
      <c r="F82" s="23">
        <f>SUMIFS('Trading History'!$Q$4:$Q1039, 'Trading History'!$O$4:$O1039, CONCAT("&gt;", $A78))</f>
        <v/>
      </c>
      <c r="G82" s="8" t="n"/>
      <c r="H82" s="21" t="inlineStr">
        <is>
          <t>LT Gross</t>
        </is>
      </c>
      <c r="I82" s="23">
        <f>SUMIFS('Trading History'!$U$4:$U1039, 'Trading History'!$S$4:$S1039, CONCAT("&gt;", $A78))</f>
        <v/>
      </c>
      <c r="J82" s="8" t="n"/>
      <c r="K82" s="22" t="inlineStr">
        <is>
          <t>Gross</t>
        </is>
      </c>
      <c r="L82" s="23">
        <f>SUMIFS('Trading History'!$AA$4:$AA1039, 'Trading History'!$Y$4:$Y1039, CONCAT("&gt;", $A78))</f>
        <v/>
      </c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12" t="n">
        <v>0</v>
      </c>
      <c r="B85" s="13" t="inlineStr">
        <is>
          <t>Units</t>
        </is>
      </c>
      <c r="C85" s="14">
        <f>SUMIFS('Trading History'!$N$4:$N1039, 'Trading History'!$K$4:$K1039, CONCAT("&gt;", $A85))</f>
        <v/>
      </c>
      <c r="D85" s="8" t="n"/>
      <c r="E85" s="15" t="inlineStr">
        <is>
          <t>ST Units</t>
        </is>
      </c>
      <c r="F85" s="14">
        <f>IFERROR(SUMIFS('Trading History'!$R$4:$R1039, 'Trading History'!$O$4:$O1039, CONCAT("&gt;", $A85)), 0)</f>
        <v/>
      </c>
      <c r="G85" s="8" t="n"/>
      <c r="H85" s="16" t="inlineStr">
        <is>
          <t>LT Units</t>
        </is>
      </c>
      <c r="I85" s="14">
        <f>SUMIFS('Trading History'!$V$4:$V1039, 'Trading History'!$S$4:$S1039, CONCAT("&gt;", $A85))</f>
        <v/>
      </c>
      <c r="J85" s="8" t="n"/>
      <c r="K85" s="17" t="inlineStr">
        <is>
          <t>Units</t>
        </is>
      </c>
      <c r="L85" s="14">
        <f>SUMIFS('Trading History'!$AB$4:$AB1039, 'Trading History'!$Y$4:$Y1039, CONCAT("&gt;", $A85))</f>
        <v/>
      </c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3" t="n"/>
      <c r="B86" s="19" t="inlineStr">
        <is>
          <t>Avg %</t>
        </is>
      </c>
      <c r="C86" s="5">
        <f>IFERROR(Index!C87/(Index!C85*Index!$C$2), 0)</f>
        <v/>
      </c>
      <c r="D86" s="8" t="n"/>
      <c r="E86" s="20" t="inlineStr">
        <is>
          <t>ST Avg %</t>
        </is>
      </c>
      <c r="F86" s="5">
        <f>IFERROR(Index!F87/(Index!F85*Index!$C$2), 0)</f>
        <v/>
      </c>
      <c r="G86" s="8" t="n"/>
      <c r="H86" s="21" t="inlineStr">
        <is>
          <t>LT Avg %</t>
        </is>
      </c>
      <c r="I86" s="5">
        <f>IFERROR(Index!I87/(Index!I85*Index!$C$2), 0)</f>
        <v/>
      </c>
      <c r="J86" s="8" t="n"/>
      <c r="K86" s="22" t="inlineStr">
        <is>
          <t>Avg %</t>
        </is>
      </c>
      <c r="L86" s="5">
        <f>IFERROR(Index!L87/(Index!L85*Index!$C$2), 0)</f>
        <v/>
      </c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3" t="n"/>
      <c r="B87" s="19" t="inlineStr">
        <is>
          <t>Gain</t>
        </is>
      </c>
      <c r="C87" s="23">
        <f>SUMIFS('Trading History'!$L$4:$L1039, 'Trading History'!$K$4:$K1039, CONCAT("&gt;", $A85))</f>
        <v/>
      </c>
      <c r="D87" s="8" t="n"/>
      <c r="E87" s="20" t="inlineStr">
        <is>
          <t>ST Gain</t>
        </is>
      </c>
      <c r="F87" s="23">
        <f>SUMIFS('Trading History'!$P$4:$P1039, 'Trading History'!$O$4:$O1039, CONCAT("&gt;", $A85))</f>
        <v/>
      </c>
      <c r="G87" s="8" t="n"/>
      <c r="H87" s="21" t="inlineStr">
        <is>
          <t>LT Gain</t>
        </is>
      </c>
      <c r="I87" s="23">
        <f>SUMIFS('Trading History'!$T$4:$T1039, 'Trading History'!$S$4:$S1039, CONCAT("&gt;", $A85))</f>
        <v/>
      </c>
      <c r="J87" s="8" t="n"/>
      <c r="K87" s="22" t="inlineStr">
        <is>
          <t>Gain</t>
        </is>
      </c>
      <c r="L87" s="23">
        <f>SUMIFS('Trading History'!$Z$4:$Z1039, 'Trading History'!$Y$4:$Y1039, CONCAT("&gt;", $A85))</f>
        <v/>
      </c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3" t="n"/>
      <c r="B88" s="19" t="inlineStr">
        <is>
          <t>Invested</t>
        </is>
      </c>
      <c r="C88" s="23">
        <f>Index!C89-Index!C87</f>
        <v/>
      </c>
      <c r="D88" s="8" t="n"/>
      <c r="E88" s="20" t="inlineStr">
        <is>
          <t>ST Invested</t>
        </is>
      </c>
      <c r="F88" s="23">
        <f>Index!F89-Index!F87</f>
        <v/>
      </c>
      <c r="G88" s="8" t="n"/>
      <c r="H88" s="21" t="inlineStr">
        <is>
          <t>LT Invested</t>
        </is>
      </c>
      <c r="I88" s="23">
        <f>Index!I89-Index!I87</f>
        <v/>
      </c>
      <c r="J88" s="8" t="n"/>
      <c r="K88" s="22" t="inlineStr">
        <is>
          <t>Invested</t>
        </is>
      </c>
      <c r="L88" s="23">
        <f>Index!L89-Index!L87</f>
        <v/>
      </c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3" t="n"/>
      <c r="B89" s="19" t="inlineStr">
        <is>
          <t>Gross</t>
        </is>
      </c>
      <c r="C89" s="23">
        <f>SUMIFS('Trading History'!$M$4:$M1039, 'Trading History'!$K$4:$K1039, CONCAT("&gt;", $A85))</f>
        <v/>
      </c>
      <c r="D89" s="8" t="n"/>
      <c r="E89" s="20" t="inlineStr">
        <is>
          <t>ST Gross</t>
        </is>
      </c>
      <c r="F89" s="23">
        <f>SUMIFS('Trading History'!$Q$4:$Q1039, 'Trading History'!$O$4:$O1039, CONCAT("&gt;", $A85))</f>
        <v/>
      </c>
      <c r="G89" s="8" t="n"/>
      <c r="H89" s="21" t="inlineStr">
        <is>
          <t>LT Gross</t>
        </is>
      </c>
      <c r="I89" s="23">
        <f>SUMIFS('Trading History'!$U$4:$U1039, 'Trading History'!$S$4:$S1039, CONCAT("&gt;", $A85))</f>
        <v/>
      </c>
      <c r="J89" s="8" t="n"/>
      <c r="K89" s="22" t="inlineStr">
        <is>
          <t>Gross</t>
        </is>
      </c>
      <c r="L89" s="23">
        <f>SUMIFS('Trading History'!$AA$4:$AA1039, 'Trading History'!$Y$4:$Y1039, CONCAT("&gt;", $A85))</f>
        <v/>
      </c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25" t="n"/>
      <c r="L90" s="25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</row>
    <row r="1007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</row>
    <row r="1008">
      <c r="A1008" s="3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</row>
    <row r="1009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/>
      <c r="X1009" s="3" t="n"/>
      <c r="Y1009" s="3" t="n"/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</row>
    <row r="1011">
      <c r="A1011" s="3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</row>
    <row r="1012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</row>
    <row r="1013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</row>
    <row r="1014">
      <c r="A1014" s="3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</row>
    <row r="1015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</row>
    <row r="1016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</row>
    <row r="1017">
      <c r="A1017" s="3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</row>
    <row r="1018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</row>
    <row r="1019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</row>
    <row r="1020">
      <c r="A1020" s="3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</row>
    <row r="1021">
      <c r="A1021" s="3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</row>
    <row r="1022">
      <c r="A1022" s="3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/>
      <c r="X1022" s="3" t="n"/>
      <c r="Y1022" s="3" t="n"/>
    </row>
    <row r="1023">
      <c r="A1023" s="3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  <c r="X1023" s="3" t="n"/>
      <c r="Y1023" s="3" t="n"/>
    </row>
    <row r="1024">
      <c r="A1024" s="3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/>
      <c r="X1024" s="3" t="n"/>
      <c r="Y1024" s="3" t="n"/>
    </row>
    <row r="1025">
      <c r="A1025" s="3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  <c r="X1025" s="3" t="n"/>
      <c r="Y1025" s="3" t="n"/>
    </row>
    <row r="1026">
      <c r="A1026" s="3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</row>
    <row r="1027">
      <c r="A1027" s="3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</row>
    <row r="1028">
      <c r="A1028" s="3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</row>
    <row r="1029">
      <c r="A1029" s="3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n"/>
      <c r="Y1029" s="3" t="n"/>
    </row>
    <row r="1030">
      <c r="A1030" s="3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  <c r="Y1030" s="3" t="n"/>
    </row>
    <row r="1031">
      <c r="A1031" s="3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  <c r="T1031" s="3" t="n"/>
      <c r="U1031" s="3" t="n"/>
      <c r="V1031" s="3" t="n"/>
      <c r="W1031" s="3" t="n"/>
      <c r="X1031" s="3" t="n"/>
      <c r="Y1031" s="3" t="n"/>
    </row>
    <row r="1032">
      <c r="A1032" s="3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  <c r="Y1032" s="3" t="n"/>
    </row>
    <row r="1033">
      <c r="A1033" s="3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  <c r="T1033" s="3" t="n"/>
      <c r="U1033" s="3" t="n"/>
      <c r="V1033" s="3" t="n"/>
      <c r="W1033" s="3" t="n"/>
      <c r="X1033" s="3" t="n"/>
      <c r="Y1033" s="3" t="n"/>
    </row>
    <row r="1034">
      <c r="A1034" s="3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</row>
    <row r="1035">
      <c r="A1035" s="3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</row>
    <row r="1036">
      <c r="A1036" s="3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</row>
    <row r="1037">
      <c r="A1037" s="3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n"/>
      <c r="Y1037" s="3" t="n"/>
    </row>
    <row r="1038">
      <c r="A1038" s="3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</row>
    <row r="1039">
      <c r="A1039" s="3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  <c r="Y1039" s="3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P100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38" customWidth="1" style="72" min="1" max="1"/>
    <col width="8.130000000000001" customWidth="1" style="72" min="2" max="2"/>
    <col width="9.880000000000001" customWidth="1" style="72" min="3" max="3"/>
    <col width="6.88" customWidth="1" style="72" min="4" max="4"/>
    <col width="8.630000000000001" customWidth="1" style="72" min="5" max="5"/>
    <col width="8.380000000000001" customWidth="1" style="72" min="6" max="6"/>
    <col width="2.63" customWidth="1" style="72" min="7" max="7"/>
    <col width="2.5" customWidth="1" style="72" min="8" max="8"/>
    <col width="3.13" customWidth="1" style="72" min="9" max="9"/>
    <col width="14" customWidth="1" style="72" min="10" max="10"/>
    <col width="10.13" customWidth="1" style="72" min="11" max="12"/>
    <col width="8.380000000000001" customWidth="1" style="72" min="13" max="13"/>
    <col width="7.63" customWidth="1" style="72" min="14" max="14"/>
    <col width="9.75" customWidth="1" style="72" min="15" max="16"/>
    <col width="8.75" customWidth="1" style="72" min="17" max="17"/>
    <col width="8.130000000000001" customWidth="1" style="72" min="18" max="18"/>
    <col width="9.5" customWidth="1" style="72" min="19" max="20"/>
    <col width="8.380000000000001" customWidth="1" style="72" min="21" max="21"/>
    <col width="7.63" customWidth="1" style="72" min="22" max="22"/>
    <col width="7.88" customWidth="1" style="72" min="23" max="23"/>
    <col width="7.13" customWidth="1" style="72" min="24" max="24"/>
    <col width="8.5" customWidth="1" style="72" min="25" max="25"/>
    <col width="7.25" customWidth="1" style="72" min="26" max="26"/>
    <col width="8.380000000000001" customWidth="1" style="72" min="27" max="27"/>
    <col width="7.38" customWidth="1" style="72" min="28" max="28"/>
    <col width="6.25" customWidth="1" style="72" min="29" max="29"/>
    <col width="16.38" customWidth="1" style="72" min="30" max="30"/>
  </cols>
  <sheetData>
    <row r="1">
      <c r="A1" s="28" t="n"/>
      <c r="B1" s="27" t="n"/>
      <c r="C1" s="28" t="n"/>
      <c r="D1" s="29" t="n"/>
      <c r="E1" s="27" t="n"/>
      <c r="F1" s="27" t="n"/>
      <c r="G1" s="27" t="n"/>
      <c r="H1" s="27" t="n"/>
      <c r="I1" s="27" t="n"/>
      <c r="J1" s="27" t="n"/>
      <c r="K1" s="27" t="n"/>
      <c r="L1" s="30" t="n"/>
      <c r="M1" s="38" t="n"/>
      <c r="N1" s="38" t="n"/>
      <c r="O1" s="30" t="n"/>
      <c r="P1" s="30" t="n"/>
      <c r="Q1" s="38" t="n"/>
      <c r="R1" s="38" t="n"/>
      <c r="S1" s="30" t="n"/>
      <c r="T1" s="30" t="n"/>
      <c r="U1" s="38" t="n"/>
      <c r="V1" s="38" t="n"/>
      <c r="W1" s="30" t="n"/>
      <c r="X1" s="30" t="n"/>
      <c r="Y1" s="30" t="n"/>
      <c r="Z1" s="30" t="n"/>
      <c r="AA1" s="30" t="n"/>
      <c r="AB1" s="30" t="n"/>
      <c r="AC1" s="30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  <c r="AP1" s="28" t="n"/>
    </row>
    <row r="2">
      <c r="A2" s="28" t="n"/>
      <c r="B2" s="27" t="n"/>
      <c r="C2" s="28" t="n"/>
      <c r="D2" s="29" t="n"/>
      <c r="E2" s="27" t="n"/>
      <c r="F2" s="27" t="n"/>
      <c r="G2" s="27" t="n"/>
      <c r="H2" s="27" t="n"/>
      <c r="I2" s="32" t="n"/>
      <c r="J2" s="29" t="n"/>
      <c r="K2" s="73" t="inlineStr">
        <is>
          <t>UnRealised</t>
        </is>
      </c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5" t="n"/>
      <c r="W2" s="76" t="inlineStr">
        <is>
          <t>Realised</t>
        </is>
      </c>
      <c r="AC2" s="77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</row>
    <row r="3">
      <c r="A3" s="38" t="n"/>
      <c r="B3" s="38" t="n"/>
      <c r="C3" s="38" t="n"/>
      <c r="D3" s="39" t="n"/>
      <c r="E3" s="30" t="n"/>
      <c r="F3" s="30" t="n"/>
      <c r="G3" s="30" t="n"/>
      <c r="H3" s="30" t="n"/>
      <c r="I3" s="32" t="n"/>
      <c r="J3" s="29" t="n"/>
      <c r="K3" s="78" t="inlineStr">
        <is>
          <t>Total</t>
        </is>
      </c>
      <c r="L3" s="74" t="n"/>
      <c r="M3" s="74" t="n"/>
      <c r="N3" s="75" t="n"/>
      <c r="O3" s="79" t="inlineStr">
        <is>
          <t>Short Term</t>
        </is>
      </c>
      <c r="P3" s="70" t="n"/>
      <c r="Q3" s="70" t="n"/>
      <c r="R3" s="71" t="n"/>
      <c r="S3" s="80" t="inlineStr">
        <is>
          <t>Long Term</t>
        </is>
      </c>
      <c r="T3" s="70" t="n"/>
      <c r="U3" s="70" t="n"/>
      <c r="V3" s="71" t="n"/>
      <c r="W3" s="70" t="n"/>
      <c r="X3" s="70" t="n"/>
      <c r="Y3" s="70" t="n"/>
      <c r="Z3" s="70" t="n"/>
      <c r="AA3" s="70" t="n"/>
      <c r="AB3" s="70" t="n"/>
      <c r="AC3" s="71" t="n"/>
      <c r="AD3" s="38" t="n"/>
      <c r="AE3" s="28" t="n"/>
      <c r="AF3" s="28" t="n"/>
      <c r="AG3" s="28" t="n"/>
      <c r="AH3" s="28" t="n"/>
      <c r="AI3" s="28" t="n"/>
      <c r="AJ3" s="28" t="n"/>
      <c r="AK3" s="28" t="n"/>
      <c r="AL3" s="28" t="n"/>
      <c r="AM3" s="28" t="n"/>
      <c r="AN3" s="28" t="n"/>
      <c r="AO3" s="28" t="n"/>
      <c r="AP3" s="28" t="n"/>
    </row>
    <row r="4">
      <c r="A4" s="43" t="inlineStr">
        <is>
          <t>DATE</t>
        </is>
      </c>
      <c r="B4" s="44" t="inlineStr">
        <is>
          <t>EXCH</t>
        </is>
      </c>
      <c r="C4" s="44" t="inlineStr">
        <is>
          <t>ACTION</t>
        </is>
      </c>
      <c r="D4" s="44" t="inlineStr">
        <is>
          <t>QTY</t>
        </is>
      </c>
      <c r="E4" s="45" t="inlineStr">
        <is>
          <t>PRICE</t>
        </is>
      </c>
      <c r="F4" s="45" t="inlineStr">
        <is>
          <t>COST</t>
        </is>
      </c>
      <c r="G4" s="44" t="inlineStr">
        <is>
          <t>REMARKS</t>
        </is>
      </c>
      <c r="H4" s="45" t="inlineStr">
        <is>
          <t>STT</t>
        </is>
      </c>
      <c r="I4" s="46" t="inlineStr">
        <is>
          <t>ADD CHRG</t>
        </is>
      </c>
      <c r="J4" s="47" t="inlineStr">
        <is>
          <t>Current Price</t>
        </is>
      </c>
      <c r="K4" s="48" t="inlineStr">
        <is>
          <t>Gain %</t>
        </is>
      </c>
      <c r="L4" s="48" t="inlineStr">
        <is>
          <t>Gain</t>
        </is>
      </c>
      <c r="M4" s="48" t="inlineStr">
        <is>
          <t>Gross</t>
        </is>
      </c>
      <c r="N4" s="49" t="inlineStr">
        <is>
          <t>Units</t>
        </is>
      </c>
      <c r="O4" s="50" t="inlineStr">
        <is>
          <t>Gain %</t>
        </is>
      </c>
      <c r="P4" s="50" t="inlineStr">
        <is>
          <t xml:space="preserve"> Gain</t>
        </is>
      </c>
      <c r="Q4" s="50" t="inlineStr">
        <is>
          <t xml:space="preserve"> Gross</t>
        </is>
      </c>
      <c r="R4" s="50" t="inlineStr">
        <is>
          <t xml:space="preserve"> Units</t>
        </is>
      </c>
      <c r="S4" s="51" t="inlineStr">
        <is>
          <t>Gain %</t>
        </is>
      </c>
      <c r="T4" s="51" t="inlineStr">
        <is>
          <t>Gain</t>
        </is>
      </c>
      <c r="U4" s="51" t="inlineStr">
        <is>
          <t>Gross</t>
        </is>
      </c>
      <c r="V4" s="51" t="inlineStr">
        <is>
          <t>Units</t>
        </is>
      </c>
      <c r="W4" s="52" t="inlineStr">
        <is>
          <t>Price</t>
        </is>
      </c>
      <c r="X4" s="52" t="inlineStr">
        <is>
          <t>Date</t>
        </is>
      </c>
      <c r="Y4" s="52" t="inlineStr">
        <is>
          <t>Gain %</t>
        </is>
      </c>
      <c r="Z4" s="52" t="inlineStr">
        <is>
          <t>Gain</t>
        </is>
      </c>
      <c r="AA4" s="52" t="inlineStr">
        <is>
          <t>Gross</t>
        </is>
      </c>
      <c r="AB4" s="53" t="inlineStr">
        <is>
          <t>Units</t>
        </is>
      </c>
      <c r="AC4" s="54" t="inlineStr">
        <is>
          <t>DIV</t>
        </is>
      </c>
      <c r="AD4" s="45" t="inlineStr">
        <is>
          <t>Broker</t>
        </is>
      </c>
      <c r="AE4" s="28" t="n"/>
      <c r="AF4" s="28" t="n"/>
      <c r="AG4" s="28" t="n"/>
      <c r="AH4" s="28" t="n"/>
      <c r="AI4" s="28" t="n"/>
      <c r="AJ4" s="28" t="n"/>
      <c r="AK4" s="28" t="n"/>
      <c r="AL4" s="28" t="n"/>
      <c r="AM4" s="28" t="n"/>
      <c r="AN4" s="28" t="n"/>
      <c r="AO4" s="28" t="n"/>
      <c r="AP4" s="28" t="n"/>
    </row>
    <row r="5">
      <c r="A5" s="81" t="n">
        <v>46065</v>
      </c>
      <c r="B5" t="inlineStr">
        <is>
          <t>BSE</t>
        </is>
      </c>
      <c r="C5" t="inlineStr">
        <is>
          <t>Sell</t>
        </is>
      </c>
      <c r="D5" t="n">
        <v>100</v>
      </c>
      <c r="E5" t="n">
        <v>3.57</v>
      </c>
      <c r="F5" t="n">
        <v>357</v>
      </c>
      <c r="G5" t="inlineStr">
        <is>
          <t>~</t>
        </is>
      </c>
    </row>
    <row r="6">
      <c r="A6" s="55" t="n">
        <v>44950</v>
      </c>
      <c r="B6" s="56" t="inlineStr">
        <is>
          <t>BSE</t>
        </is>
      </c>
      <c r="C6" s="56" t="inlineStr">
        <is>
          <t>Buy</t>
        </is>
      </c>
      <c r="D6" s="57" t="n">
        <v>100</v>
      </c>
      <c r="E6" s="58" t="n">
        <v>20.0482</v>
      </c>
      <c r="F6" s="58" t="n">
        <v>2019.18</v>
      </c>
      <c r="G6" s="57" t="inlineStr">
        <is>
          <t>~</t>
        </is>
      </c>
      <c r="H6" s="57" t="n">
        <v>2</v>
      </c>
      <c r="I6" s="57" t="n">
        <v>12.18</v>
      </c>
      <c r="J6" s="58">
        <f>Index!$C$2</f>
        <v/>
      </c>
      <c r="K6" s="59">
        <f>IF(AND( C5="Buy", ISBLANK(W5), B5&lt;&gt;"DIV"), L5/sum(F5:I5), "")</f>
        <v/>
      </c>
      <c r="L6" s="60">
        <f>IF(AND( C5="Buy", ISBLANK(W5), B5&lt;&gt;"DIV"), (1-Index!$F$2*2)*((J5*D5)-(E5*D5)), "")</f>
        <v/>
      </c>
      <c r="M6" s="60">
        <f>IF(AND( C5="Buy", ISBLANK(W5), B5&lt;&gt;"DIV"), ((E5*D5)+L5), "")</f>
        <v/>
      </c>
      <c r="N6" s="61">
        <f>IF(AND( C5="Buy", ISBLANK(W5), B5&lt;&gt;"DIV"), D5, "")</f>
        <v/>
      </c>
      <c r="O6" s="59">
        <f>IF(AND( C5="Buy", ISBLANK(W5), B5&lt;&gt;"DIV", NOW()-A5 &lt; 365), P5/sum(F5:I5), "")</f>
        <v/>
      </c>
      <c r="P6" s="60">
        <f>IF(AND( C5="Buy", ISBLANK(W5), B5&lt;&gt;"DIV", NOW()-A5 &lt; 365), (1-Index!$F$2*2)*((J5*D5)-(E5*D5)), "")</f>
        <v/>
      </c>
      <c r="Q6" s="60">
        <f>IF(AND( C5="Buy", ISBLANK(W5), B5&lt;&gt;"DIV", NOW()-A5 &lt; 365), ((E5*D5)+P5), "")</f>
        <v/>
      </c>
      <c r="R6" s="60">
        <f>IF(AND( C5="Buy", ISBLANK(W5), B5&lt;&gt;"DIV", NOW()-A5 &lt; 365), D5, "")</f>
        <v/>
      </c>
      <c r="S6" s="62">
        <f>IF(AND( C5="Buy", ISBLANK(W5), B5&lt;&gt;"DIV", NOW()-A5 &gt; 365), T5/sum(F5:I5), "")</f>
        <v/>
      </c>
      <c r="T6" s="63">
        <f>IF(AND( C5="Buy", ISBLANK(W5), B5&lt;&gt;"DIV", NOW()-A5 &gt; 365), (1-Index!$F$2*2)*((J5*D5)-(E5*D5)), "")</f>
        <v/>
      </c>
      <c r="U6" s="63">
        <f>IF(AND( C5="Buy", ISBLANK(W5), B5&lt;&gt;"DIV", NOW()-A5 &gt; 365), ((E5*D5)+T5), "")</f>
        <v/>
      </c>
      <c r="V6" s="63">
        <f>IF(AND( C5="Buy", ISBLANK(W5), B5&lt;&gt;"DIV", NOW()-A5 &gt; 365), D5, "")</f>
        <v/>
      </c>
      <c r="W6" s="63" t="n">
        <v>3.57</v>
      </c>
      <c r="X6" s="82" t="n">
        <v>46065</v>
      </c>
      <c r="Y6" s="62" t="n">
        <v>-0.799047</v>
      </c>
      <c r="Z6" s="63" t="n">
        <v>-1624.75</v>
      </c>
      <c r="AA6" s="63" t="n">
        <v>380.07</v>
      </c>
      <c r="AB6" s="64" t="n">
        <v>100</v>
      </c>
      <c r="AC6" s="60">
        <f>if(B5="DIV", F5,"")</f>
        <v/>
      </c>
      <c r="AD6" s="65" t="inlineStr">
        <is>
          <t>SBI Securities</t>
        </is>
      </c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</row>
    <row r="7">
      <c r="A7" s="66" t="n"/>
      <c r="B7" s="66" t="n"/>
      <c r="C7" s="66" t="n"/>
      <c r="D7" s="66" t="n"/>
      <c r="E7" s="67" t="n"/>
      <c r="F7" s="67" t="n"/>
      <c r="G7" s="68" t="n"/>
      <c r="H7" s="66" t="n"/>
      <c r="I7" s="66" t="n"/>
      <c r="J7" s="67" t="n"/>
      <c r="K7" s="67" t="n"/>
      <c r="L7" s="67" t="n"/>
      <c r="M7" s="28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7" t="n"/>
      <c r="X7" s="67" t="n"/>
      <c r="Y7" s="67" t="n"/>
      <c r="Z7" s="67" t="n"/>
      <c r="AA7" s="67" t="n"/>
      <c r="AB7" s="67" t="n"/>
      <c r="AC7" s="67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</row>
    <row r="8">
      <c r="A8" s="66" t="n"/>
      <c r="B8" s="66" t="n"/>
      <c r="C8" s="66" t="n"/>
      <c r="D8" s="66" t="n"/>
      <c r="E8" s="67" t="n"/>
      <c r="F8" s="67" t="n"/>
      <c r="G8" s="68" t="n"/>
      <c r="H8" s="66" t="n"/>
      <c r="I8" s="66" t="n"/>
      <c r="J8" s="67" t="n"/>
      <c r="K8" s="67" t="n"/>
      <c r="L8" s="67" t="n"/>
      <c r="M8" s="28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7" t="n"/>
      <c r="X8" s="67" t="n"/>
      <c r="Y8" s="67" t="n"/>
      <c r="Z8" s="67" t="n"/>
      <c r="AA8" s="67" t="n"/>
      <c r="AB8" s="67" t="n"/>
      <c r="AC8" s="67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</row>
    <row r="9">
      <c r="A9" s="66" t="n"/>
      <c r="B9" s="66" t="n"/>
      <c r="C9" s="66" t="n"/>
      <c r="D9" s="66" t="n"/>
      <c r="E9" s="67" t="n"/>
      <c r="F9" s="67" t="n"/>
      <c r="G9" s="68" t="n"/>
      <c r="H9" s="66" t="n"/>
      <c r="I9" s="66" t="n"/>
      <c r="J9" s="67" t="n"/>
      <c r="K9" s="67" t="n"/>
      <c r="L9" s="67" t="n"/>
      <c r="M9" s="28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7" t="n"/>
      <c r="X9" s="67" t="n"/>
      <c r="Y9" s="67" t="n"/>
      <c r="Z9" s="67" t="n"/>
      <c r="AA9" s="67" t="n"/>
      <c r="AB9" s="67" t="n"/>
      <c r="AC9" s="67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</row>
    <row r="10">
      <c r="A10" s="66" t="n"/>
      <c r="B10" s="66" t="n"/>
      <c r="C10" s="66" t="n"/>
      <c r="D10" s="66" t="n"/>
      <c r="E10" s="67" t="n"/>
      <c r="F10" s="67" t="n"/>
      <c r="G10" s="68" t="n"/>
      <c r="H10" s="66" t="n"/>
      <c r="I10" s="66" t="n"/>
      <c r="J10" s="67" t="n"/>
      <c r="K10" s="67" t="n"/>
      <c r="L10" s="67" t="n"/>
      <c r="M10" s="28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7" t="n"/>
      <c r="X10" s="67" t="n"/>
      <c r="Y10" s="67" t="n"/>
      <c r="Z10" s="67" t="n"/>
      <c r="AA10" s="67" t="n"/>
      <c r="AB10" s="67" t="n"/>
      <c r="AC10" s="67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</row>
    <row r="11">
      <c r="A11" s="66" t="n"/>
      <c r="B11" s="66" t="n"/>
      <c r="C11" s="66" t="n"/>
      <c r="D11" s="66" t="n"/>
      <c r="E11" s="67" t="n"/>
      <c r="F11" s="67" t="n"/>
      <c r="G11" s="68" t="n"/>
      <c r="H11" s="66" t="n"/>
      <c r="I11" s="66" t="n"/>
      <c r="J11" s="67" t="n"/>
      <c r="K11" s="67" t="n"/>
      <c r="L11" s="67" t="n"/>
      <c r="M11" s="28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7" t="n"/>
      <c r="X11" s="67" t="n"/>
      <c r="Y11" s="67" t="n"/>
      <c r="Z11" s="67" t="n"/>
      <c r="AA11" s="67" t="n"/>
      <c r="AB11" s="67" t="n"/>
      <c r="AC11" s="67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</row>
    <row r="12">
      <c r="A12" s="66" t="n"/>
      <c r="B12" s="66" t="n"/>
      <c r="C12" s="66" t="n"/>
      <c r="D12" s="66" t="n"/>
      <c r="E12" s="67" t="n"/>
      <c r="F12" s="67" t="n"/>
      <c r="G12" s="68" t="n"/>
      <c r="H12" s="66" t="n"/>
      <c r="I12" s="66" t="n"/>
      <c r="J12" s="67" t="n"/>
      <c r="K12" s="67" t="n"/>
      <c r="L12" s="67" t="n"/>
      <c r="M12" s="28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7" t="n"/>
      <c r="X12" s="67" t="n"/>
      <c r="Y12" s="67" t="n"/>
      <c r="Z12" s="67" t="n"/>
      <c r="AA12" s="67" t="n"/>
      <c r="AB12" s="67" t="n"/>
      <c r="AC12" s="67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</row>
    <row r="13">
      <c r="A13" s="66" t="n"/>
      <c r="B13" s="66" t="n"/>
      <c r="C13" s="66" t="n"/>
      <c r="D13" s="66" t="n"/>
      <c r="E13" s="67" t="n"/>
      <c r="F13" s="67" t="n"/>
      <c r="G13" s="68" t="n"/>
      <c r="H13" s="66" t="n"/>
      <c r="I13" s="66" t="n"/>
      <c r="J13" s="67" t="n"/>
      <c r="K13" s="67" t="n"/>
      <c r="L13" s="67" t="n"/>
      <c r="M13" s="28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7" t="n"/>
      <c r="X13" s="67" t="n"/>
      <c r="Y13" s="67" t="n"/>
      <c r="Z13" s="67" t="n"/>
      <c r="AA13" s="67" t="n"/>
      <c r="AB13" s="67" t="n"/>
      <c r="AC13" s="67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</row>
    <row r="14">
      <c r="A14" s="66" t="n"/>
      <c r="B14" s="66" t="n"/>
      <c r="C14" s="66" t="n"/>
      <c r="D14" s="66" t="n"/>
      <c r="E14" s="67" t="n"/>
      <c r="F14" s="67" t="n"/>
      <c r="G14" s="68" t="n"/>
      <c r="H14" s="66" t="n"/>
      <c r="I14" s="66" t="n"/>
      <c r="J14" s="67" t="n"/>
      <c r="K14" s="67" t="n"/>
      <c r="L14" s="67" t="n"/>
      <c r="M14" s="28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7" t="n"/>
      <c r="X14" s="67" t="n"/>
      <c r="Y14" s="67" t="n"/>
      <c r="Z14" s="67" t="n"/>
      <c r="AA14" s="67" t="n"/>
      <c r="AB14" s="67" t="n"/>
      <c r="AC14" s="67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</row>
    <row r="15">
      <c r="A15" s="66" t="n"/>
      <c r="B15" s="66" t="n"/>
      <c r="C15" s="66" t="n"/>
      <c r="D15" s="66" t="n"/>
      <c r="E15" s="67" t="n"/>
      <c r="F15" s="67" t="n"/>
      <c r="G15" s="68" t="n"/>
      <c r="H15" s="66" t="n"/>
      <c r="I15" s="66" t="n"/>
      <c r="J15" s="67" t="n"/>
      <c r="K15" s="67" t="n"/>
      <c r="L15" s="67" t="n"/>
      <c r="M15" s="28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7" t="n"/>
      <c r="X15" s="67" t="n"/>
      <c r="Y15" s="67" t="n"/>
      <c r="Z15" s="67" t="n"/>
      <c r="AA15" s="67" t="n"/>
      <c r="AB15" s="67" t="n"/>
      <c r="AC15" s="67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</row>
    <row r="16">
      <c r="A16" s="66" t="n"/>
      <c r="B16" s="66" t="n"/>
      <c r="C16" s="66" t="n"/>
      <c r="D16" s="66" t="n"/>
      <c r="E16" s="67" t="n"/>
      <c r="F16" s="67" t="n"/>
      <c r="G16" s="68" t="n"/>
      <c r="H16" s="66" t="n"/>
      <c r="I16" s="66" t="n"/>
      <c r="J16" s="67" t="n"/>
      <c r="K16" s="67" t="n"/>
      <c r="L16" s="67" t="n"/>
      <c r="M16" s="28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7" t="n"/>
      <c r="X16" s="67" t="n"/>
      <c r="Y16" s="67" t="n"/>
      <c r="Z16" s="67" t="n"/>
      <c r="AA16" s="67" t="n"/>
      <c r="AB16" s="67" t="n"/>
      <c r="AC16" s="67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</row>
    <row r="17">
      <c r="A17" s="66" t="n"/>
      <c r="B17" s="66" t="n"/>
      <c r="C17" s="66" t="n"/>
      <c r="D17" s="66" t="n"/>
      <c r="E17" s="67" t="n"/>
      <c r="F17" s="67" t="n"/>
      <c r="G17" s="68" t="n"/>
      <c r="H17" s="66" t="n"/>
      <c r="I17" s="66" t="n"/>
      <c r="J17" s="67" t="n"/>
      <c r="K17" s="67" t="n"/>
      <c r="L17" s="67" t="n"/>
      <c r="M17" s="28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7" t="n"/>
      <c r="X17" s="67" t="n"/>
      <c r="Y17" s="67" t="n"/>
      <c r="Z17" s="67" t="n"/>
      <c r="AA17" s="67" t="n"/>
      <c r="AB17" s="67" t="n"/>
      <c r="AC17" s="67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</row>
    <row r="18">
      <c r="A18" s="66" t="n"/>
      <c r="B18" s="66" t="n"/>
      <c r="C18" s="66" t="n"/>
      <c r="D18" s="66" t="n"/>
      <c r="E18" s="67" t="n"/>
      <c r="F18" s="67" t="n"/>
      <c r="G18" s="68" t="n"/>
      <c r="H18" s="66" t="n"/>
      <c r="I18" s="66" t="n"/>
      <c r="J18" s="67" t="n"/>
      <c r="K18" s="67" t="n"/>
      <c r="L18" s="67" t="n"/>
      <c r="M18" s="28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7" t="n"/>
      <c r="X18" s="67" t="n"/>
      <c r="Y18" s="67" t="n"/>
      <c r="Z18" s="67" t="n"/>
      <c r="AA18" s="67" t="n"/>
      <c r="AB18" s="67" t="n"/>
      <c r="AC18" s="67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</row>
    <row r="19">
      <c r="A19" s="66" t="n"/>
      <c r="B19" s="66" t="n"/>
      <c r="C19" s="66" t="n"/>
      <c r="D19" s="66" t="n"/>
      <c r="E19" s="67" t="n"/>
      <c r="F19" s="67" t="n"/>
      <c r="G19" s="68" t="n"/>
      <c r="H19" s="66" t="n"/>
      <c r="I19" s="66" t="n"/>
      <c r="J19" s="67" t="n"/>
      <c r="K19" s="67" t="n"/>
      <c r="L19" s="67" t="n"/>
      <c r="M19" s="28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7" t="n"/>
      <c r="X19" s="67" t="n"/>
      <c r="Y19" s="67" t="n"/>
      <c r="Z19" s="67" t="n"/>
      <c r="AA19" s="67" t="n"/>
      <c r="AB19" s="67" t="n"/>
      <c r="AC19" s="67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</row>
    <row r="20">
      <c r="A20" s="66" t="n"/>
      <c r="B20" s="66" t="n"/>
      <c r="C20" s="66" t="n"/>
      <c r="D20" s="66" t="n"/>
      <c r="E20" s="67" t="n"/>
      <c r="F20" s="67" t="n"/>
      <c r="G20" s="68" t="n"/>
      <c r="H20" s="66" t="n"/>
      <c r="I20" s="66" t="n"/>
      <c r="J20" s="67" t="n"/>
      <c r="K20" s="67" t="n"/>
      <c r="L20" s="67" t="n"/>
      <c r="M20" s="28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7" t="n"/>
      <c r="X20" s="67" t="n"/>
      <c r="Y20" s="67" t="n"/>
      <c r="Z20" s="67" t="n"/>
      <c r="AA20" s="67" t="n"/>
      <c r="AB20" s="67" t="n"/>
      <c r="AC20" s="67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</row>
    <row r="21">
      <c r="A21" s="66" t="n"/>
      <c r="B21" s="66" t="n"/>
      <c r="C21" s="66" t="n"/>
      <c r="D21" s="66" t="n"/>
      <c r="E21" s="67" t="n"/>
      <c r="F21" s="67" t="n"/>
      <c r="G21" s="68" t="n"/>
      <c r="H21" s="66" t="n"/>
      <c r="I21" s="66" t="n"/>
      <c r="J21" s="67" t="n"/>
      <c r="K21" s="67" t="n"/>
      <c r="L21" s="67" t="n"/>
      <c r="M21" s="28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7" t="n"/>
      <c r="X21" s="67" t="n"/>
      <c r="Y21" s="67" t="n"/>
      <c r="Z21" s="67" t="n"/>
      <c r="AA21" s="67" t="n"/>
      <c r="AB21" s="67" t="n"/>
      <c r="AC21" s="67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</row>
    <row r="22">
      <c r="A22" s="66" t="n"/>
      <c r="B22" s="66" t="n"/>
      <c r="C22" s="66" t="n"/>
      <c r="D22" s="66" t="n"/>
      <c r="E22" s="67" t="n"/>
      <c r="F22" s="67" t="n"/>
      <c r="G22" s="68" t="n"/>
      <c r="H22" s="66" t="n"/>
      <c r="I22" s="66" t="n"/>
      <c r="J22" s="67" t="n"/>
      <c r="K22" s="67" t="n"/>
      <c r="L22" s="67" t="n"/>
      <c r="M22" s="28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7" t="n"/>
      <c r="X22" s="67" t="n"/>
      <c r="Y22" s="67" t="n"/>
      <c r="Z22" s="67" t="n"/>
      <c r="AA22" s="67" t="n"/>
      <c r="AB22" s="67" t="n"/>
      <c r="AC22" s="67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</row>
    <row r="23">
      <c r="A23" s="66" t="n"/>
      <c r="B23" s="66" t="n"/>
      <c r="C23" s="66" t="n"/>
      <c r="D23" s="66" t="n"/>
      <c r="E23" s="67" t="n"/>
      <c r="F23" s="67" t="n"/>
      <c r="G23" s="68" t="n"/>
      <c r="H23" s="66" t="n"/>
      <c r="I23" s="66" t="n"/>
      <c r="J23" s="67" t="n"/>
      <c r="K23" s="67" t="n"/>
      <c r="L23" s="67" t="n"/>
      <c r="M23" s="28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7" t="n"/>
      <c r="X23" s="67" t="n"/>
      <c r="Y23" s="67" t="n"/>
      <c r="Z23" s="67" t="n"/>
      <c r="AA23" s="67" t="n"/>
      <c r="AB23" s="67" t="n"/>
      <c r="AC23" s="67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</row>
    <row r="24">
      <c r="A24" s="66" t="n"/>
      <c r="B24" s="66" t="n"/>
      <c r="C24" s="66" t="n"/>
      <c r="D24" s="66" t="n"/>
      <c r="E24" s="67" t="n"/>
      <c r="F24" s="67" t="n"/>
      <c r="G24" s="68" t="n"/>
      <c r="H24" s="66" t="n"/>
      <c r="I24" s="66" t="n"/>
      <c r="J24" s="67" t="n"/>
      <c r="K24" s="67" t="n"/>
      <c r="L24" s="67" t="n"/>
      <c r="M24" s="28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7" t="n"/>
      <c r="X24" s="67" t="n"/>
      <c r="Y24" s="67" t="n"/>
      <c r="Z24" s="67" t="n"/>
      <c r="AA24" s="67" t="n"/>
      <c r="AB24" s="67" t="n"/>
      <c r="AC24" s="67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</row>
    <row r="25">
      <c r="A25" s="66" t="n"/>
      <c r="B25" s="66" t="n"/>
      <c r="C25" s="66" t="n"/>
      <c r="D25" s="66" t="n"/>
      <c r="E25" s="67" t="n"/>
      <c r="F25" s="67" t="n"/>
      <c r="G25" s="68" t="n"/>
      <c r="H25" s="66" t="n"/>
      <c r="I25" s="66" t="n"/>
      <c r="J25" s="67" t="n"/>
      <c r="K25" s="67" t="n"/>
      <c r="L25" s="67" t="n"/>
      <c r="M25" s="28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7" t="n"/>
      <c r="X25" s="67" t="n"/>
      <c r="Y25" s="67" t="n"/>
      <c r="Z25" s="67" t="n"/>
      <c r="AA25" s="67" t="n"/>
      <c r="AB25" s="67" t="n"/>
      <c r="AC25" s="67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</row>
    <row r="26">
      <c r="A26" s="66" t="n"/>
      <c r="B26" s="66" t="n"/>
      <c r="C26" s="66" t="n"/>
      <c r="D26" s="66" t="n"/>
      <c r="E26" s="67" t="n"/>
      <c r="F26" s="67" t="n"/>
      <c r="G26" s="68" t="n"/>
      <c r="H26" s="66" t="n"/>
      <c r="I26" s="66" t="n"/>
      <c r="J26" s="67" t="n"/>
      <c r="K26" s="67" t="n"/>
      <c r="L26" s="67" t="n"/>
      <c r="M26" s="28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7" t="n"/>
      <c r="X26" s="67" t="n"/>
      <c r="Y26" s="67" t="n"/>
      <c r="Z26" s="67" t="n"/>
      <c r="AA26" s="67" t="n"/>
      <c r="AB26" s="67" t="n"/>
      <c r="AC26" s="67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</row>
    <row r="27">
      <c r="A27" s="66" t="n"/>
      <c r="B27" s="66" t="n"/>
      <c r="C27" s="66" t="n"/>
      <c r="D27" s="66" t="n"/>
      <c r="E27" s="67" t="n"/>
      <c r="F27" s="67" t="n"/>
      <c r="G27" s="68" t="n"/>
      <c r="H27" s="66" t="n"/>
      <c r="I27" s="66" t="n"/>
      <c r="J27" s="67" t="n"/>
      <c r="K27" s="67" t="n"/>
      <c r="L27" s="67" t="n"/>
      <c r="M27" s="28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7" t="n"/>
      <c r="X27" s="67" t="n"/>
      <c r="Y27" s="67" t="n"/>
      <c r="Z27" s="67" t="n"/>
      <c r="AA27" s="67" t="n"/>
      <c r="AB27" s="67" t="n"/>
      <c r="AC27" s="67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</row>
    <row r="28">
      <c r="A28" s="66" t="n"/>
      <c r="B28" s="66" t="n"/>
      <c r="C28" s="66" t="n"/>
      <c r="D28" s="66" t="n"/>
      <c r="E28" s="67" t="n"/>
      <c r="F28" s="67" t="n"/>
      <c r="G28" s="68" t="n"/>
      <c r="H28" s="66" t="n"/>
      <c r="I28" s="66" t="n"/>
      <c r="J28" s="67" t="n"/>
      <c r="K28" s="67" t="n"/>
      <c r="L28" s="67" t="n"/>
      <c r="M28" s="28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7" t="n"/>
      <c r="X28" s="67" t="n"/>
      <c r="Y28" s="67" t="n"/>
      <c r="Z28" s="67" t="n"/>
      <c r="AA28" s="67" t="n"/>
      <c r="AB28" s="67" t="n"/>
      <c r="AC28" s="67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</row>
    <row r="29">
      <c r="A29" s="66" t="n"/>
      <c r="B29" s="66" t="n"/>
      <c r="C29" s="66" t="n"/>
      <c r="D29" s="66" t="n"/>
      <c r="E29" s="67" t="n"/>
      <c r="F29" s="67" t="n"/>
      <c r="G29" s="68" t="n"/>
      <c r="H29" s="66" t="n"/>
      <c r="I29" s="66" t="n"/>
      <c r="J29" s="67" t="n"/>
      <c r="K29" s="67" t="n"/>
      <c r="L29" s="67" t="n"/>
      <c r="M29" s="28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7" t="n"/>
      <c r="X29" s="67" t="n"/>
      <c r="Y29" s="67" t="n"/>
      <c r="Z29" s="67" t="n"/>
      <c r="AA29" s="67" t="n"/>
      <c r="AB29" s="67" t="n"/>
      <c r="AC29" s="67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</row>
    <row r="30">
      <c r="A30" s="66" t="n"/>
      <c r="B30" s="66" t="n"/>
      <c r="C30" s="66" t="n"/>
      <c r="D30" s="66" t="n"/>
      <c r="E30" s="67" t="n"/>
      <c r="F30" s="67" t="n"/>
      <c r="G30" s="68" t="n"/>
      <c r="H30" s="66" t="n"/>
      <c r="I30" s="66" t="n"/>
      <c r="J30" s="67" t="n"/>
      <c r="K30" s="67" t="n"/>
      <c r="L30" s="67" t="n"/>
      <c r="M30" s="28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7" t="n"/>
      <c r="X30" s="67" t="n"/>
      <c r="Y30" s="67" t="n"/>
      <c r="Z30" s="67" t="n"/>
      <c r="AA30" s="67" t="n"/>
      <c r="AB30" s="67" t="n"/>
      <c r="AC30" s="67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</row>
    <row r="31">
      <c r="A31" s="66" t="n"/>
      <c r="B31" s="66" t="n"/>
      <c r="C31" s="66" t="n"/>
      <c r="D31" s="66" t="n"/>
      <c r="E31" s="67" t="n"/>
      <c r="F31" s="67" t="n"/>
      <c r="G31" s="68" t="n"/>
      <c r="H31" s="66" t="n"/>
      <c r="I31" s="66" t="n"/>
      <c r="J31" s="67" t="n"/>
      <c r="K31" s="67" t="n"/>
      <c r="L31" s="67" t="n"/>
      <c r="M31" s="28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7" t="n"/>
      <c r="X31" s="67" t="n"/>
      <c r="Y31" s="67" t="n"/>
      <c r="Z31" s="67" t="n"/>
      <c r="AA31" s="67" t="n"/>
      <c r="AB31" s="67" t="n"/>
      <c r="AC31" s="67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</row>
    <row r="32">
      <c r="A32" s="66" t="n"/>
      <c r="B32" s="66" t="n"/>
      <c r="C32" s="66" t="n"/>
      <c r="D32" s="66" t="n"/>
      <c r="E32" s="67" t="n"/>
      <c r="F32" s="67" t="n"/>
      <c r="G32" s="68" t="n"/>
      <c r="H32" s="66" t="n"/>
      <c r="I32" s="66" t="n"/>
      <c r="J32" s="67" t="n"/>
      <c r="K32" s="67" t="n"/>
      <c r="L32" s="67" t="n"/>
      <c r="M32" s="28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7" t="n"/>
      <c r="X32" s="67" t="n"/>
      <c r="Y32" s="67" t="n"/>
      <c r="Z32" s="67" t="n"/>
      <c r="AA32" s="67" t="n"/>
      <c r="AB32" s="67" t="n"/>
      <c r="AC32" s="67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</row>
    <row r="33">
      <c r="A33" s="66" t="n"/>
      <c r="B33" s="66" t="n"/>
      <c r="C33" s="66" t="n"/>
      <c r="D33" s="66" t="n"/>
      <c r="E33" s="67" t="n"/>
      <c r="F33" s="67" t="n"/>
      <c r="G33" s="68" t="n"/>
      <c r="H33" s="66" t="n"/>
      <c r="I33" s="66" t="n"/>
      <c r="J33" s="67" t="n"/>
      <c r="K33" s="67" t="n"/>
      <c r="L33" s="67" t="n"/>
      <c r="M33" s="28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7" t="n"/>
      <c r="X33" s="67" t="n"/>
      <c r="Y33" s="67" t="n"/>
      <c r="Z33" s="67" t="n"/>
      <c r="AA33" s="67" t="n"/>
      <c r="AB33" s="67" t="n"/>
      <c r="AC33" s="67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</row>
    <row r="34">
      <c r="A34" s="66" t="n"/>
      <c r="B34" s="66" t="n"/>
      <c r="C34" s="66" t="n"/>
      <c r="D34" s="66" t="n"/>
      <c r="E34" s="67" t="n"/>
      <c r="F34" s="67" t="n"/>
      <c r="G34" s="68" t="n"/>
      <c r="H34" s="66" t="n"/>
      <c r="I34" s="66" t="n"/>
      <c r="J34" s="67" t="n"/>
      <c r="K34" s="67" t="n"/>
      <c r="L34" s="67" t="n"/>
      <c r="M34" s="28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7" t="n"/>
      <c r="X34" s="67" t="n"/>
      <c r="Y34" s="67" t="n"/>
      <c r="Z34" s="67" t="n"/>
      <c r="AA34" s="67" t="n"/>
      <c r="AB34" s="67" t="n"/>
      <c r="AC34" s="67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</row>
    <row r="35">
      <c r="A35" s="66" t="n"/>
      <c r="B35" s="66" t="n"/>
      <c r="C35" s="66" t="n"/>
      <c r="D35" s="66" t="n"/>
      <c r="E35" s="67" t="n"/>
      <c r="F35" s="67" t="n"/>
      <c r="G35" s="68" t="n"/>
      <c r="H35" s="66" t="n"/>
      <c r="I35" s="66" t="n"/>
      <c r="J35" s="67" t="n"/>
      <c r="K35" s="67" t="n"/>
      <c r="L35" s="67" t="n"/>
      <c r="M35" s="28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7" t="n"/>
      <c r="X35" s="67" t="n"/>
      <c r="Y35" s="67" t="n"/>
      <c r="Z35" s="67" t="n"/>
      <c r="AA35" s="67" t="n"/>
      <c r="AB35" s="67" t="n"/>
      <c r="AC35" s="67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</row>
    <row r="36">
      <c r="A36" s="66" t="n"/>
      <c r="B36" s="66" t="n"/>
      <c r="C36" s="66" t="n"/>
      <c r="D36" s="66" t="n"/>
      <c r="E36" s="67" t="n"/>
      <c r="F36" s="67" t="n"/>
      <c r="G36" s="68" t="n"/>
      <c r="H36" s="66" t="n"/>
      <c r="I36" s="66" t="n"/>
      <c r="J36" s="67" t="n"/>
      <c r="K36" s="67" t="n"/>
      <c r="L36" s="67" t="n"/>
      <c r="M36" s="28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7" t="n"/>
      <c r="X36" s="67" t="n"/>
      <c r="Y36" s="67" t="n"/>
      <c r="Z36" s="67" t="n"/>
      <c r="AA36" s="67" t="n"/>
      <c r="AB36" s="67" t="n"/>
      <c r="AC36" s="67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</row>
    <row r="37">
      <c r="A37" s="66" t="n"/>
      <c r="B37" s="66" t="n"/>
      <c r="C37" s="66" t="n"/>
      <c r="D37" s="66" t="n"/>
      <c r="E37" s="67" t="n"/>
      <c r="F37" s="67" t="n"/>
      <c r="G37" s="68" t="n"/>
      <c r="H37" s="66" t="n"/>
      <c r="I37" s="66" t="n"/>
      <c r="J37" s="67" t="n"/>
      <c r="K37" s="67" t="n"/>
      <c r="L37" s="67" t="n"/>
      <c r="M37" s="28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7" t="n"/>
      <c r="X37" s="67" t="n"/>
      <c r="Y37" s="67" t="n"/>
      <c r="Z37" s="67" t="n"/>
      <c r="AA37" s="67" t="n"/>
      <c r="AB37" s="67" t="n"/>
      <c r="AC37" s="67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</row>
    <row r="38">
      <c r="A38" s="66" t="n"/>
      <c r="B38" s="66" t="n"/>
      <c r="C38" s="66" t="n"/>
      <c r="D38" s="66" t="n"/>
      <c r="E38" s="67" t="n"/>
      <c r="F38" s="67" t="n"/>
      <c r="G38" s="68" t="n"/>
      <c r="H38" s="66" t="n"/>
      <c r="I38" s="66" t="n"/>
      <c r="J38" s="67" t="n"/>
      <c r="K38" s="67" t="n"/>
      <c r="L38" s="67" t="n"/>
      <c r="M38" s="28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7" t="n"/>
      <c r="X38" s="67" t="n"/>
      <c r="Y38" s="67" t="n"/>
      <c r="Z38" s="67" t="n"/>
      <c r="AA38" s="67" t="n"/>
      <c r="AB38" s="67" t="n"/>
      <c r="AC38" s="67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</row>
    <row r="39">
      <c r="A39" s="66" t="n"/>
      <c r="B39" s="66" t="n"/>
      <c r="C39" s="66" t="n"/>
      <c r="D39" s="66" t="n"/>
      <c r="E39" s="67" t="n"/>
      <c r="F39" s="67" t="n"/>
      <c r="G39" s="68" t="n"/>
      <c r="H39" s="66" t="n"/>
      <c r="I39" s="66" t="n"/>
      <c r="J39" s="67" t="n"/>
      <c r="K39" s="67" t="n"/>
      <c r="L39" s="67" t="n"/>
      <c r="M39" s="28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7" t="n"/>
      <c r="X39" s="67" t="n"/>
      <c r="Y39" s="67" t="n"/>
      <c r="Z39" s="67" t="n"/>
      <c r="AA39" s="67" t="n"/>
      <c r="AB39" s="67" t="n"/>
      <c r="AC39" s="67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</row>
    <row r="40">
      <c r="A40" s="66" t="n"/>
      <c r="B40" s="66" t="n"/>
      <c r="C40" s="66" t="n"/>
      <c r="D40" s="66" t="n"/>
      <c r="E40" s="67" t="n"/>
      <c r="F40" s="67" t="n"/>
      <c r="G40" s="68" t="n"/>
      <c r="H40" s="66" t="n"/>
      <c r="I40" s="66" t="n"/>
      <c r="J40" s="67" t="n"/>
      <c r="K40" s="67" t="n"/>
      <c r="L40" s="67" t="n"/>
      <c r="M40" s="28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7" t="n"/>
      <c r="X40" s="67" t="n"/>
      <c r="Y40" s="67" t="n"/>
      <c r="Z40" s="67" t="n"/>
      <c r="AA40" s="67" t="n"/>
      <c r="AB40" s="67" t="n"/>
      <c r="AC40" s="67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</row>
    <row r="41">
      <c r="A41" s="66" t="n"/>
      <c r="B41" s="66" t="n"/>
      <c r="C41" s="66" t="n"/>
      <c r="D41" s="66" t="n"/>
      <c r="E41" s="67" t="n"/>
      <c r="F41" s="67" t="n"/>
      <c r="G41" s="68" t="n"/>
      <c r="H41" s="66" t="n"/>
      <c r="I41" s="66" t="n"/>
      <c r="J41" s="67" t="n"/>
      <c r="K41" s="67" t="n"/>
      <c r="L41" s="67" t="n"/>
      <c r="M41" s="28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7" t="n"/>
      <c r="X41" s="67" t="n"/>
      <c r="Y41" s="67" t="n"/>
      <c r="Z41" s="67" t="n"/>
      <c r="AA41" s="67" t="n"/>
      <c r="AB41" s="67" t="n"/>
      <c r="AC41" s="67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</row>
    <row r="42">
      <c r="A42" s="66" t="n"/>
      <c r="B42" s="66" t="n"/>
      <c r="C42" s="66" t="n"/>
      <c r="D42" s="66" t="n"/>
      <c r="E42" s="67" t="n"/>
      <c r="F42" s="67" t="n"/>
      <c r="G42" s="68" t="n"/>
      <c r="H42" s="66" t="n"/>
      <c r="I42" s="66" t="n"/>
      <c r="J42" s="67" t="n"/>
      <c r="K42" s="67" t="n"/>
      <c r="L42" s="67" t="n"/>
      <c r="M42" s="28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7" t="n"/>
      <c r="X42" s="67" t="n"/>
      <c r="Y42" s="67" t="n"/>
      <c r="Z42" s="67" t="n"/>
      <c r="AA42" s="67" t="n"/>
      <c r="AB42" s="67" t="n"/>
      <c r="AC42" s="67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</row>
    <row r="43">
      <c r="A43" s="66" t="n"/>
      <c r="B43" s="66" t="n"/>
      <c r="C43" s="66" t="n"/>
      <c r="D43" s="66" t="n"/>
      <c r="E43" s="67" t="n"/>
      <c r="F43" s="67" t="n"/>
      <c r="G43" s="68" t="n"/>
      <c r="H43" s="66" t="n"/>
      <c r="I43" s="66" t="n"/>
      <c r="J43" s="67" t="n"/>
      <c r="K43" s="67" t="n"/>
      <c r="L43" s="67" t="n"/>
      <c r="M43" s="28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7" t="n"/>
      <c r="X43" s="67" t="n"/>
      <c r="Y43" s="67" t="n"/>
      <c r="Z43" s="67" t="n"/>
      <c r="AA43" s="67" t="n"/>
      <c r="AB43" s="67" t="n"/>
      <c r="AC43" s="67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</row>
    <row r="44">
      <c r="A44" s="66" t="n"/>
      <c r="B44" s="66" t="n"/>
      <c r="C44" s="66" t="n"/>
      <c r="D44" s="66" t="n"/>
      <c r="E44" s="67" t="n"/>
      <c r="F44" s="67" t="n"/>
      <c r="G44" s="68" t="n"/>
      <c r="H44" s="66" t="n"/>
      <c r="I44" s="66" t="n"/>
      <c r="J44" s="67" t="n"/>
      <c r="K44" s="67" t="n"/>
      <c r="L44" s="67" t="n"/>
      <c r="M44" s="28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7" t="n"/>
      <c r="X44" s="67" t="n"/>
      <c r="Y44" s="67" t="n"/>
      <c r="Z44" s="67" t="n"/>
      <c r="AA44" s="67" t="n"/>
      <c r="AB44" s="67" t="n"/>
      <c r="AC44" s="67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</row>
    <row r="45">
      <c r="A45" s="66" t="n"/>
      <c r="B45" s="66" t="n"/>
      <c r="C45" s="66" t="n"/>
      <c r="D45" s="66" t="n"/>
      <c r="E45" s="67" t="n"/>
      <c r="F45" s="67" t="n"/>
      <c r="G45" s="68" t="n"/>
      <c r="H45" s="66" t="n"/>
      <c r="I45" s="66" t="n"/>
      <c r="J45" s="67" t="n"/>
      <c r="K45" s="67" t="n"/>
      <c r="L45" s="67" t="n"/>
      <c r="M45" s="28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7" t="n"/>
      <c r="X45" s="67" t="n"/>
      <c r="Y45" s="67" t="n"/>
      <c r="Z45" s="67" t="n"/>
      <c r="AA45" s="67" t="n"/>
      <c r="AB45" s="67" t="n"/>
      <c r="AC45" s="67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</row>
    <row r="46">
      <c r="A46" s="66" t="n"/>
      <c r="B46" s="66" t="n"/>
      <c r="C46" s="66" t="n"/>
      <c r="D46" s="66" t="n"/>
      <c r="E46" s="67" t="n"/>
      <c r="F46" s="67" t="n"/>
      <c r="G46" s="68" t="n"/>
      <c r="H46" s="66" t="n"/>
      <c r="I46" s="66" t="n"/>
      <c r="J46" s="67" t="n"/>
      <c r="K46" s="67" t="n"/>
      <c r="L46" s="67" t="n"/>
      <c r="M46" s="28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7" t="n"/>
      <c r="X46" s="67" t="n"/>
      <c r="Y46" s="67" t="n"/>
      <c r="Z46" s="67" t="n"/>
      <c r="AA46" s="67" t="n"/>
      <c r="AB46" s="67" t="n"/>
      <c r="AC46" s="67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</row>
    <row r="47">
      <c r="A47" s="66" t="n"/>
      <c r="B47" s="66" t="n"/>
      <c r="C47" s="66" t="n"/>
      <c r="D47" s="66" t="n"/>
      <c r="E47" s="67" t="n"/>
      <c r="F47" s="67" t="n"/>
      <c r="G47" s="68" t="n"/>
      <c r="H47" s="66" t="n"/>
      <c r="I47" s="66" t="n"/>
      <c r="J47" s="67" t="n"/>
      <c r="K47" s="67" t="n"/>
      <c r="L47" s="67" t="n"/>
      <c r="M47" s="28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7" t="n"/>
      <c r="X47" s="67" t="n"/>
      <c r="Y47" s="67" t="n"/>
      <c r="Z47" s="67" t="n"/>
      <c r="AA47" s="67" t="n"/>
      <c r="AB47" s="67" t="n"/>
      <c r="AC47" s="67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</row>
    <row r="48">
      <c r="A48" s="66" t="n"/>
      <c r="B48" s="66" t="n"/>
      <c r="C48" s="66" t="n"/>
      <c r="D48" s="66" t="n"/>
      <c r="E48" s="67" t="n"/>
      <c r="F48" s="67" t="n"/>
      <c r="G48" s="68" t="n"/>
      <c r="H48" s="66" t="n"/>
      <c r="I48" s="66" t="n"/>
      <c r="J48" s="67" t="n"/>
      <c r="K48" s="67" t="n"/>
      <c r="L48" s="67" t="n"/>
      <c r="M48" s="28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7" t="n"/>
      <c r="X48" s="67" t="n"/>
      <c r="Y48" s="67" t="n"/>
      <c r="Z48" s="67" t="n"/>
      <c r="AA48" s="67" t="n"/>
      <c r="AB48" s="67" t="n"/>
      <c r="AC48" s="67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</row>
    <row r="49">
      <c r="A49" s="66" t="n"/>
      <c r="B49" s="66" t="n"/>
      <c r="C49" s="66" t="n"/>
      <c r="D49" s="66" t="n"/>
      <c r="E49" s="67" t="n"/>
      <c r="F49" s="67" t="n"/>
      <c r="G49" s="68" t="n"/>
      <c r="H49" s="66" t="n"/>
      <c r="I49" s="66" t="n"/>
      <c r="J49" s="67" t="n"/>
      <c r="K49" s="67" t="n"/>
      <c r="L49" s="67" t="n"/>
      <c r="M49" s="28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7" t="n"/>
      <c r="X49" s="67" t="n"/>
      <c r="Y49" s="67" t="n"/>
      <c r="Z49" s="67" t="n"/>
      <c r="AA49" s="67" t="n"/>
      <c r="AB49" s="67" t="n"/>
      <c r="AC49" s="67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</row>
    <row r="50">
      <c r="A50" s="66" t="n"/>
      <c r="B50" s="66" t="n"/>
      <c r="C50" s="66" t="n"/>
      <c r="D50" s="66" t="n"/>
      <c r="E50" s="67" t="n"/>
      <c r="F50" s="67" t="n"/>
      <c r="G50" s="68" t="n"/>
      <c r="H50" s="66" t="n"/>
      <c r="I50" s="66" t="n"/>
      <c r="J50" s="67" t="n"/>
      <c r="K50" s="67" t="n"/>
      <c r="L50" s="67" t="n"/>
      <c r="M50" s="28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7" t="n"/>
      <c r="X50" s="67" t="n"/>
      <c r="Y50" s="67" t="n"/>
      <c r="Z50" s="67" t="n"/>
      <c r="AA50" s="67" t="n"/>
      <c r="AB50" s="67" t="n"/>
      <c r="AC50" s="67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</row>
    <row r="51">
      <c r="A51" s="66" t="n"/>
      <c r="B51" s="66" t="n"/>
      <c r="C51" s="66" t="n"/>
      <c r="D51" s="66" t="n"/>
      <c r="E51" s="67" t="n"/>
      <c r="F51" s="67" t="n"/>
      <c r="G51" s="68" t="n"/>
      <c r="H51" s="66" t="n"/>
      <c r="I51" s="66" t="n"/>
      <c r="J51" s="67" t="n"/>
      <c r="K51" s="67" t="n"/>
      <c r="L51" s="67" t="n"/>
      <c r="M51" s="28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7" t="n"/>
      <c r="X51" s="67" t="n"/>
      <c r="Y51" s="67" t="n"/>
      <c r="Z51" s="67" t="n"/>
      <c r="AA51" s="67" t="n"/>
      <c r="AB51" s="67" t="n"/>
      <c r="AC51" s="67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</row>
    <row r="52">
      <c r="A52" s="66" t="n"/>
      <c r="B52" s="66" t="n"/>
      <c r="C52" s="66" t="n"/>
      <c r="D52" s="66" t="n"/>
      <c r="E52" s="67" t="n"/>
      <c r="F52" s="67" t="n"/>
      <c r="G52" s="68" t="n"/>
      <c r="H52" s="66" t="n"/>
      <c r="I52" s="66" t="n"/>
      <c r="J52" s="67" t="n"/>
      <c r="K52" s="67" t="n"/>
      <c r="L52" s="67" t="n"/>
      <c r="M52" s="28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7" t="n"/>
      <c r="X52" s="67" t="n"/>
      <c r="Y52" s="67" t="n"/>
      <c r="Z52" s="67" t="n"/>
      <c r="AA52" s="67" t="n"/>
      <c r="AB52" s="67" t="n"/>
      <c r="AC52" s="67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</row>
    <row r="53">
      <c r="A53" s="66" t="n"/>
      <c r="B53" s="66" t="n"/>
      <c r="C53" s="66" t="n"/>
      <c r="D53" s="66" t="n"/>
      <c r="E53" s="67" t="n"/>
      <c r="F53" s="67" t="n"/>
      <c r="G53" s="68" t="n"/>
      <c r="H53" s="66" t="n"/>
      <c r="I53" s="66" t="n"/>
      <c r="J53" s="67" t="n"/>
      <c r="K53" s="67" t="n"/>
      <c r="L53" s="67" t="n"/>
      <c r="M53" s="28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7" t="n"/>
      <c r="X53" s="67" t="n"/>
      <c r="Y53" s="67" t="n"/>
      <c r="Z53" s="67" t="n"/>
      <c r="AA53" s="67" t="n"/>
      <c r="AB53" s="67" t="n"/>
      <c r="AC53" s="67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</row>
    <row r="54">
      <c r="A54" s="66" t="n"/>
      <c r="B54" s="66" t="n"/>
      <c r="C54" s="66" t="n"/>
      <c r="D54" s="66" t="n"/>
      <c r="E54" s="67" t="n"/>
      <c r="F54" s="67" t="n"/>
      <c r="G54" s="68" t="n"/>
      <c r="H54" s="66" t="n"/>
      <c r="I54" s="66" t="n"/>
      <c r="J54" s="67" t="n"/>
      <c r="K54" s="67" t="n"/>
      <c r="L54" s="67" t="n"/>
      <c r="M54" s="28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7" t="n"/>
      <c r="X54" s="67" t="n"/>
      <c r="Y54" s="67" t="n"/>
      <c r="Z54" s="67" t="n"/>
      <c r="AA54" s="67" t="n"/>
      <c r="AB54" s="67" t="n"/>
      <c r="AC54" s="67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</row>
    <row r="55">
      <c r="A55" s="66" t="n"/>
      <c r="B55" s="66" t="n"/>
      <c r="C55" s="66" t="n"/>
      <c r="D55" s="66" t="n"/>
      <c r="E55" s="67" t="n"/>
      <c r="F55" s="67" t="n"/>
      <c r="G55" s="68" t="n"/>
      <c r="H55" s="66" t="n"/>
      <c r="I55" s="66" t="n"/>
      <c r="J55" s="67" t="n"/>
      <c r="K55" s="67" t="n"/>
      <c r="L55" s="67" t="n"/>
      <c r="M55" s="28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7" t="n"/>
      <c r="X55" s="67" t="n"/>
      <c r="Y55" s="67" t="n"/>
      <c r="Z55" s="67" t="n"/>
      <c r="AA55" s="67" t="n"/>
      <c r="AB55" s="67" t="n"/>
      <c r="AC55" s="67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</row>
    <row r="56">
      <c r="A56" s="66" t="n"/>
      <c r="B56" s="66" t="n"/>
      <c r="C56" s="66" t="n"/>
      <c r="D56" s="66" t="n"/>
      <c r="E56" s="67" t="n"/>
      <c r="F56" s="67" t="n"/>
      <c r="G56" s="68" t="n"/>
      <c r="H56" s="66" t="n"/>
      <c r="I56" s="66" t="n"/>
      <c r="J56" s="67" t="n"/>
      <c r="K56" s="67" t="n"/>
      <c r="L56" s="67" t="n"/>
      <c r="M56" s="28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7" t="n"/>
      <c r="X56" s="67" t="n"/>
      <c r="Y56" s="67" t="n"/>
      <c r="Z56" s="67" t="n"/>
      <c r="AA56" s="67" t="n"/>
      <c r="AB56" s="67" t="n"/>
      <c r="AC56" s="67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</row>
    <row r="57">
      <c r="A57" s="66" t="n"/>
      <c r="B57" s="66" t="n"/>
      <c r="C57" s="66" t="n"/>
      <c r="D57" s="66" t="n"/>
      <c r="E57" s="67" t="n"/>
      <c r="F57" s="67" t="n"/>
      <c r="G57" s="68" t="n"/>
      <c r="H57" s="66" t="n"/>
      <c r="I57" s="66" t="n"/>
      <c r="J57" s="67" t="n"/>
      <c r="K57" s="67" t="n"/>
      <c r="L57" s="67" t="n"/>
      <c r="M57" s="28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7" t="n"/>
      <c r="X57" s="67" t="n"/>
      <c r="Y57" s="67" t="n"/>
      <c r="Z57" s="67" t="n"/>
      <c r="AA57" s="67" t="n"/>
      <c r="AB57" s="67" t="n"/>
      <c r="AC57" s="67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</row>
    <row r="58">
      <c r="A58" s="66" t="n"/>
      <c r="B58" s="66" t="n"/>
      <c r="C58" s="66" t="n"/>
      <c r="D58" s="66" t="n"/>
      <c r="E58" s="67" t="n"/>
      <c r="F58" s="67" t="n"/>
      <c r="G58" s="68" t="n"/>
      <c r="H58" s="66" t="n"/>
      <c r="I58" s="66" t="n"/>
      <c r="J58" s="67" t="n"/>
      <c r="K58" s="67" t="n"/>
      <c r="L58" s="67" t="n"/>
      <c r="M58" s="28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7" t="n"/>
      <c r="X58" s="67" t="n"/>
      <c r="Y58" s="67" t="n"/>
      <c r="Z58" s="67" t="n"/>
      <c r="AA58" s="67" t="n"/>
      <c r="AB58" s="67" t="n"/>
      <c r="AC58" s="67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</row>
    <row r="59">
      <c r="A59" s="66" t="n"/>
      <c r="B59" s="66" t="n"/>
      <c r="C59" s="66" t="n"/>
      <c r="D59" s="66" t="n"/>
      <c r="E59" s="67" t="n"/>
      <c r="F59" s="67" t="n"/>
      <c r="G59" s="68" t="n"/>
      <c r="H59" s="66" t="n"/>
      <c r="I59" s="66" t="n"/>
      <c r="J59" s="67" t="n"/>
      <c r="K59" s="67" t="n"/>
      <c r="L59" s="67" t="n"/>
      <c r="M59" s="28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7" t="n"/>
      <c r="X59" s="67" t="n"/>
      <c r="Y59" s="67" t="n"/>
      <c r="Z59" s="67" t="n"/>
      <c r="AA59" s="67" t="n"/>
      <c r="AB59" s="67" t="n"/>
      <c r="AC59" s="67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</row>
    <row r="60">
      <c r="A60" s="66" t="n"/>
      <c r="B60" s="66" t="n"/>
      <c r="C60" s="66" t="n"/>
      <c r="D60" s="66" t="n"/>
      <c r="E60" s="67" t="n"/>
      <c r="F60" s="67" t="n"/>
      <c r="G60" s="68" t="n"/>
      <c r="H60" s="66" t="n"/>
      <c r="I60" s="66" t="n"/>
      <c r="J60" s="67" t="n"/>
      <c r="K60" s="67" t="n"/>
      <c r="L60" s="67" t="n"/>
      <c r="M60" s="28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7" t="n"/>
      <c r="X60" s="67" t="n"/>
      <c r="Y60" s="67" t="n"/>
      <c r="Z60" s="67" t="n"/>
      <c r="AA60" s="67" t="n"/>
      <c r="AB60" s="67" t="n"/>
      <c r="AC60" s="67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</row>
    <row r="61">
      <c r="A61" s="66" t="n"/>
      <c r="B61" s="66" t="n"/>
      <c r="C61" s="66" t="n"/>
      <c r="D61" s="66" t="n"/>
      <c r="E61" s="67" t="n"/>
      <c r="F61" s="67" t="n"/>
      <c r="G61" s="68" t="n"/>
      <c r="H61" s="66" t="n"/>
      <c r="I61" s="66" t="n"/>
      <c r="J61" s="67" t="n"/>
      <c r="K61" s="67" t="n"/>
      <c r="L61" s="67" t="n"/>
      <c r="M61" s="28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7" t="n"/>
      <c r="X61" s="67" t="n"/>
      <c r="Y61" s="67" t="n"/>
      <c r="Z61" s="67" t="n"/>
      <c r="AA61" s="67" t="n"/>
      <c r="AB61" s="67" t="n"/>
      <c r="AC61" s="67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</row>
    <row r="62">
      <c r="A62" s="66" t="n"/>
      <c r="B62" s="66" t="n"/>
      <c r="C62" s="66" t="n"/>
      <c r="D62" s="66" t="n"/>
      <c r="E62" s="67" t="n"/>
      <c r="F62" s="67" t="n"/>
      <c r="G62" s="68" t="n"/>
      <c r="H62" s="66" t="n"/>
      <c r="I62" s="66" t="n"/>
      <c r="J62" s="67" t="n"/>
      <c r="K62" s="67" t="n"/>
      <c r="L62" s="67" t="n"/>
      <c r="M62" s="28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7" t="n"/>
      <c r="X62" s="67" t="n"/>
      <c r="Y62" s="67" t="n"/>
      <c r="Z62" s="67" t="n"/>
      <c r="AA62" s="67" t="n"/>
      <c r="AB62" s="67" t="n"/>
      <c r="AC62" s="67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</row>
    <row r="63">
      <c r="A63" s="66" t="n"/>
      <c r="B63" s="66" t="n"/>
      <c r="C63" s="66" t="n"/>
      <c r="D63" s="66" t="n"/>
      <c r="E63" s="67" t="n"/>
      <c r="F63" s="67" t="n"/>
      <c r="G63" s="68" t="n"/>
      <c r="H63" s="66" t="n"/>
      <c r="I63" s="66" t="n"/>
      <c r="J63" s="67" t="n"/>
      <c r="K63" s="67" t="n"/>
      <c r="L63" s="67" t="n"/>
      <c r="M63" s="28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7" t="n"/>
      <c r="X63" s="67" t="n"/>
      <c r="Y63" s="67" t="n"/>
      <c r="Z63" s="67" t="n"/>
      <c r="AA63" s="67" t="n"/>
      <c r="AB63" s="67" t="n"/>
      <c r="AC63" s="67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</row>
    <row r="64">
      <c r="A64" s="66" t="n"/>
      <c r="B64" s="66" t="n"/>
      <c r="C64" s="66" t="n"/>
      <c r="D64" s="66" t="n"/>
      <c r="E64" s="67" t="n"/>
      <c r="F64" s="67" t="n"/>
      <c r="G64" s="68" t="n"/>
      <c r="H64" s="66" t="n"/>
      <c r="I64" s="66" t="n"/>
      <c r="J64" s="67" t="n"/>
      <c r="K64" s="67" t="n"/>
      <c r="L64" s="67" t="n"/>
      <c r="M64" s="28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7" t="n"/>
      <c r="X64" s="67" t="n"/>
      <c r="Y64" s="67" t="n"/>
      <c r="Z64" s="67" t="n"/>
      <c r="AA64" s="67" t="n"/>
      <c r="AB64" s="67" t="n"/>
      <c r="AC64" s="67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</row>
    <row r="65">
      <c r="A65" s="66" t="n"/>
      <c r="B65" s="66" t="n"/>
      <c r="C65" s="66" t="n"/>
      <c r="D65" s="66" t="n"/>
      <c r="E65" s="67" t="n"/>
      <c r="F65" s="67" t="n"/>
      <c r="G65" s="68" t="n"/>
      <c r="H65" s="66" t="n"/>
      <c r="I65" s="66" t="n"/>
      <c r="J65" s="67" t="n"/>
      <c r="K65" s="67" t="n"/>
      <c r="L65" s="67" t="n"/>
      <c r="M65" s="28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7" t="n"/>
      <c r="X65" s="67" t="n"/>
      <c r="Y65" s="67" t="n"/>
      <c r="Z65" s="67" t="n"/>
      <c r="AA65" s="67" t="n"/>
      <c r="AB65" s="67" t="n"/>
      <c r="AC65" s="67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</row>
    <row r="66">
      <c r="A66" s="66" t="n"/>
      <c r="B66" s="66" t="n"/>
      <c r="C66" s="66" t="n"/>
      <c r="D66" s="66" t="n"/>
      <c r="E66" s="67" t="n"/>
      <c r="F66" s="67" t="n"/>
      <c r="G66" s="68" t="n"/>
      <c r="H66" s="66" t="n"/>
      <c r="I66" s="66" t="n"/>
      <c r="J66" s="67" t="n"/>
      <c r="K66" s="67" t="n"/>
      <c r="L66" s="67" t="n"/>
      <c r="M66" s="28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7" t="n"/>
      <c r="X66" s="67" t="n"/>
      <c r="Y66" s="67" t="n"/>
      <c r="Z66" s="67" t="n"/>
      <c r="AA66" s="67" t="n"/>
      <c r="AB66" s="67" t="n"/>
      <c r="AC66" s="67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</row>
    <row r="67">
      <c r="A67" s="66" t="n"/>
      <c r="B67" s="66" t="n"/>
      <c r="C67" s="66" t="n"/>
      <c r="D67" s="66" t="n"/>
      <c r="E67" s="67" t="n"/>
      <c r="F67" s="67" t="n"/>
      <c r="G67" s="68" t="n"/>
      <c r="H67" s="66" t="n"/>
      <c r="I67" s="66" t="n"/>
      <c r="J67" s="67" t="n"/>
      <c r="K67" s="67" t="n"/>
      <c r="L67" s="67" t="n"/>
      <c r="M67" s="28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7" t="n"/>
      <c r="X67" s="67" t="n"/>
      <c r="Y67" s="67" t="n"/>
      <c r="Z67" s="67" t="n"/>
      <c r="AA67" s="67" t="n"/>
      <c r="AB67" s="67" t="n"/>
      <c r="AC67" s="67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</row>
    <row r="68">
      <c r="A68" s="66" t="n"/>
      <c r="B68" s="66" t="n"/>
      <c r="C68" s="66" t="n"/>
      <c r="D68" s="66" t="n"/>
      <c r="E68" s="67" t="n"/>
      <c r="F68" s="67" t="n"/>
      <c r="G68" s="68" t="n"/>
      <c r="H68" s="66" t="n"/>
      <c r="I68" s="66" t="n"/>
      <c r="J68" s="67" t="n"/>
      <c r="K68" s="67" t="n"/>
      <c r="L68" s="67" t="n"/>
      <c r="M68" s="28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7" t="n"/>
      <c r="X68" s="67" t="n"/>
      <c r="Y68" s="67" t="n"/>
      <c r="Z68" s="67" t="n"/>
      <c r="AA68" s="67" t="n"/>
      <c r="AB68" s="67" t="n"/>
      <c r="AC68" s="67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</row>
    <row r="69">
      <c r="A69" s="66" t="n"/>
      <c r="B69" s="66" t="n"/>
      <c r="C69" s="66" t="n"/>
      <c r="D69" s="66" t="n"/>
      <c r="E69" s="67" t="n"/>
      <c r="F69" s="67" t="n"/>
      <c r="G69" s="68" t="n"/>
      <c r="H69" s="66" t="n"/>
      <c r="I69" s="66" t="n"/>
      <c r="J69" s="67" t="n"/>
      <c r="K69" s="67" t="n"/>
      <c r="L69" s="67" t="n"/>
      <c r="M69" s="28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7" t="n"/>
      <c r="X69" s="67" t="n"/>
      <c r="Y69" s="67" t="n"/>
      <c r="Z69" s="67" t="n"/>
      <c r="AA69" s="67" t="n"/>
      <c r="AB69" s="67" t="n"/>
      <c r="AC69" s="67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</row>
    <row r="70">
      <c r="A70" s="66" t="n"/>
      <c r="B70" s="66" t="n"/>
      <c r="C70" s="66" t="n"/>
      <c r="D70" s="66" t="n"/>
      <c r="E70" s="67" t="n"/>
      <c r="F70" s="67" t="n"/>
      <c r="G70" s="68" t="n"/>
      <c r="H70" s="66" t="n"/>
      <c r="I70" s="66" t="n"/>
      <c r="J70" s="67" t="n"/>
      <c r="K70" s="67" t="n"/>
      <c r="L70" s="67" t="n"/>
      <c r="M70" s="28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7" t="n"/>
      <c r="X70" s="67" t="n"/>
      <c r="Y70" s="67" t="n"/>
      <c r="Z70" s="67" t="n"/>
      <c r="AA70" s="67" t="n"/>
      <c r="AB70" s="67" t="n"/>
      <c r="AC70" s="67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</row>
    <row r="71">
      <c r="A71" s="66" t="n"/>
      <c r="B71" s="66" t="n"/>
      <c r="C71" s="66" t="n"/>
      <c r="D71" s="66" t="n"/>
      <c r="E71" s="67" t="n"/>
      <c r="F71" s="67" t="n"/>
      <c r="G71" s="68" t="n"/>
      <c r="H71" s="66" t="n"/>
      <c r="I71" s="66" t="n"/>
      <c r="J71" s="67" t="n"/>
      <c r="K71" s="67" t="n"/>
      <c r="L71" s="67" t="n"/>
      <c r="M71" s="28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7" t="n"/>
      <c r="X71" s="67" t="n"/>
      <c r="Y71" s="67" t="n"/>
      <c r="Z71" s="67" t="n"/>
      <c r="AA71" s="67" t="n"/>
      <c r="AB71" s="67" t="n"/>
      <c r="AC71" s="67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</row>
    <row r="72">
      <c r="A72" s="66" t="n"/>
      <c r="B72" s="66" t="n"/>
      <c r="C72" s="66" t="n"/>
      <c r="D72" s="66" t="n"/>
      <c r="E72" s="67" t="n"/>
      <c r="F72" s="67" t="n"/>
      <c r="G72" s="68" t="n"/>
      <c r="H72" s="66" t="n"/>
      <c r="I72" s="66" t="n"/>
      <c r="J72" s="67" t="n"/>
      <c r="K72" s="67" t="n"/>
      <c r="L72" s="67" t="n"/>
      <c r="M72" s="28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7" t="n"/>
      <c r="X72" s="67" t="n"/>
      <c r="Y72" s="67" t="n"/>
      <c r="Z72" s="67" t="n"/>
      <c r="AA72" s="67" t="n"/>
      <c r="AB72" s="67" t="n"/>
      <c r="AC72" s="67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</row>
    <row r="73">
      <c r="A73" s="66" t="n"/>
      <c r="B73" s="66" t="n"/>
      <c r="C73" s="66" t="n"/>
      <c r="D73" s="66" t="n"/>
      <c r="E73" s="67" t="n"/>
      <c r="F73" s="67" t="n"/>
      <c r="G73" s="68" t="n"/>
      <c r="H73" s="66" t="n"/>
      <c r="I73" s="66" t="n"/>
      <c r="J73" s="67" t="n"/>
      <c r="K73" s="67" t="n"/>
      <c r="L73" s="67" t="n"/>
      <c r="M73" s="28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7" t="n"/>
      <c r="X73" s="67" t="n"/>
      <c r="Y73" s="67" t="n"/>
      <c r="Z73" s="67" t="n"/>
      <c r="AA73" s="67" t="n"/>
      <c r="AB73" s="67" t="n"/>
      <c r="AC73" s="67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</row>
    <row r="74">
      <c r="A74" s="66" t="n"/>
      <c r="B74" s="66" t="n"/>
      <c r="C74" s="66" t="n"/>
      <c r="D74" s="66" t="n"/>
      <c r="E74" s="67" t="n"/>
      <c r="F74" s="67" t="n"/>
      <c r="G74" s="68" t="n"/>
      <c r="H74" s="66" t="n"/>
      <c r="I74" s="66" t="n"/>
      <c r="J74" s="67" t="n"/>
      <c r="K74" s="67" t="n"/>
      <c r="L74" s="67" t="n"/>
      <c r="M74" s="28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7" t="n"/>
      <c r="X74" s="67" t="n"/>
      <c r="Y74" s="67" t="n"/>
      <c r="Z74" s="67" t="n"/>
      <c r="AA74" s="67" t="n"/>
      <c r="AB74" s="67" t="n"/>
      <c r="AC74" s="67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</row>
    <row r="75">
      <c r="A75" s="66" t="n"/>
      <c r="B75" s="66" t="n"/>
      <c r="C75" s="66" t="n"/>
      <c r="D75" s="66" t="n"/>
      <c r="E75" s="67" t="n"/>
      <c r="F75" s="67" t="n"/>
      <c r="G75" s="68" t="n"/>
      <c r="H75" s="66" t="n"/>
      <c r="I75" s="66" t="n"/>
      <c r="J75" s="67" t="n"/>
      <c r="K75" s="67" t="n"/>
      <c r="L75" s="67" t="n"/>
      <c r="M75" s="28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7" t="n"/>
      <c r="X75" s="67" t="n"/>
      <c r="Y75" s="67" t="n"/>
      <c r="Z75" s="67" t="n"/>
      <c r="AA75" s="67" t="n"/>
      <c r="AB75" s="67" t="n"/>
      <c r="AC75" s="67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</row>
    <row r="76">
      <c r="A76" s="66" t="n"/>
      <c r="B76" s="66" t="n"/>
      <c r="C76" s="66" t="n"/>
      <c r="D76" s="66" t="n"/>
      <c r="E76" s="67" t="n"/>
      <c r="F76" s="67" t="n"/>
      <c r="G76" s="68" t="n"/>
      <c r="H76" s="66" t="n"/>
      <c r="I76" s="66" t="n"/>
      <c r="J76" s="67" t="n"/>
      <c r="K76" s="67" t="n"/>
      <c r="L76" s="67" t="n"/>
      <c r="M76" s="28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7" t="n"/>
      <c r="X76" s="67" t="n"/>
      <c r="Y76" s="67" t="n"/>
      <c r="Z76" s="67" t="n"/>
      <c r="AA76" s="67" t="n"/>
      <c r="AB76" s="67" t="n"/>
      <c r="AC76" s="67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</row>
    <row r="77">
      <c r="A77" s="66" t="n"/>
      <c r="B77" s="66" t="n"/>
      <c r="C77" s="66" t="n"/>
      <c r="D77" s="66" t="n"/>
      <c r="E77" s="67" t="n"/>
      <c r="F77" s="67" t="n"/>
      <c r="G77" s="68" t="n"/>
      <c r="H77" s="66" t="n"/>
      <c r="I77" s="66" t="n"/>
      <c r="J77" s="67" t="n"/>
      <c r="K77" s="67" t="n"/>
      <c r="L77" s="67" t="n"/>
      <c r="M77" s="28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7" t="n"/>
      <c r="X77" s="67" t="n"/>
      <c r="Y77" s="67" t="n"/>
      <c r="Z77" s="67" t="n"/>
      <c r="AA77" s="67" t="n"/>
      <c r="AB77" s="67" t="n"/>
      <c r="AC77" s="67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</row>
    <row r="78">
      <c r="A78" s="66" t="n"/>
      <c r="B78" s="66" t="n"/>
      <c r="C78" s="66" t="n"/>
      <c r="D78" s="66" t="n"/>
      <c r="E78" s="67" t="n"/>
      <c r="F78" s="67" t="n"/>
      <c r="G78" s="68" t="n"/>
      <c r="H78" s="66" t="n"/>
      <c r="I78" s="66" t="n"/>
      <c r="J78" s="67" t="n"/>
      <c r="K78" s="67" t="n"/>
      <c r="L78" s="67" t="n"/>
      <c r="M78" s="28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7" t="n"/>
      <c r="X78" s="67" t="n"/>
      <c r="Y78" s="67" t="n"/>
      <c r="Z78" s="67" t="n"/>
      <c r="AA78" s="67" t="n"/>
      <c r="AB78" s="67" t="n"/>
      <c r="AC78" s="67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</row>
    <row r="79">
      <c r="A79" s="66" t="n"/>
      <c r="B79" s="66" t="n"/>
      <c r="C79" s="66" t="n"/>
      <c r="D79" s="66" t="n"/>
      <c r="E79" s="67" t="n"/>
      <c r="F79" s="67" t="n"/>
      <c r="G79" s="68" t="n"/>
      <c r="H79" s="66" t="n"/>
      <c r="I79" s="66" t="n"/>
      <c r="J79" s="67" t="n"/>
      <c r="K79" s="67" t="n"/>
      <c r="L79" s="67" t="n"/>
      <c r="M79" s="28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7" t="n"/>
      <c r="X79" s="67" t="n"/>
      <c r="Y79" s="67" t="n"/>
      <c r="Z79" s="67" t="n"/>
      <c r="AA79" s="67" t="n"/>
      <c r="AB79" s="67" t="n"/>
      <c r="AC79" s="67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</row>
    <row r="80">
      <c r="A80" s="66" t="n"/>
      <c r="B80" s="66" t="n"/>
      <c r="C80" s="66" t="n"/>
      <c r="D80" s="66" t="n"/>
      <c r="E80" s="67" t="n"/>
      <c r="F80" s="67" t="n"/>
      <c r="G80" s="68" t="n"/>
      <c r="H80" s="66" t="n"/>
      <c r="I80" s="66" t="n"/>
      <c r="J80" s="67" t="n"/>
      <c r="K80" s="67" t="n"/>
      <c r="L80" s="67" t="n"/>
      <c r="M80" s="28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7" t="n"/>
      <c r="X80" s="67" t="n"/>
      <c r="Y80" s="67" t="n"/>
      <c r="Z80" s="67" t="n"/>
      <c r="AA80" s="67" t="n"/>
      <c r="AB80" s="67" t="n"/>
      <c r="AC80" s="67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</row>
    <row r="81">
      <c r="A81" s="66" t="n"/>
      <c r="B81" s="66" t="n"/>
      <c r="C81" s="66" t="n"/>
      <c r="D81" s="66" t="n"/>
      <c r="E81" s="67" t="n"/>
      <c r="F81" s="67" t="n"/>
      <c r="G81" s="68" t="n"/>
      <c r="H81" s="66" t="n"/>
      <c r="I81" s="66" t="n"/>
      <c r="J81" s="67" t="n"/>
      <c r="K81" s="67" t="n"/>
      <c r="L81" s="67" t="n"/>
      <c r="M81" s="28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7" t="n"/>
      <c r="X81" s="67" t="n"/>
      <c r="Y81" s="67" t="n"/>
      <c r="Z81" s="67" t="n"/>
      <c r="AA81" s="67" t="n"/>
      <c r="AB81" s="67" t="n"/>
      <c r="AC81" s="67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</row>
    <row r="82">
      <c r="A82" s="66" t="n"/>
      <c r="B82" s="66" t="n"/>
      <c r="C82" s="66" t="n"/>
      <c r="D82" s="66" t="n"/>
      <c r="E82" s="67" t="n"/>
      <c r="F82" s="67" t="n"/>
      <c r="G82" s="68" t="n"/>
      <c r="H82" s="66" t="n"/>
      <c r="I82" s="66" t="n"/>
      <c r="J82" s="67" t="n"/>
      <c r="K82" s="67" t="n"/>
      <c r="L82" s="67" t="n"/>
      <c r="M82" s="28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7" t="n"/>
      <c r="X82" s="67" t="n"/>
      <c r="Y82" s="67" t="n"/>
      <c r="Z82" s="67" t="n"/>
      <c r="AA82" s="67" t="n"/>
      <c r="AB82" s="67" t="n"/>
      <c r="AC82" s="67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</row>
    <row r="83">
      <c r="A83" s="66" t="n"/>
      <c r="B83" s="66" t="n"/>
      <c r="C83" s="66" t="n"/>
      <c r="D83" s="66" t="n"/>
      <c r="E83" s="67" t="n"/>
      <c r="F83" s="67" t="n"/>
      <c r="G83" s="68" t="n"/>
      <c r="H83" s="66" t="n"/>
      <c r="I83" s="66" t="n"/>
      <c r="J83" s="67" t="n"/>
      <c r="K83" s="67" t="n"/>
      <c r="L83" s="67" t="n"/>
      <c r="M83" s="28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7" t="n"/>
      <c r="X83" s="67" t="n"/>
      <c r="Y83" s="67" t="n"/>
      <c r="Z83" s="67" t="n"/>
      <c r="AA83" s="67" t="n"/>
      <c r="AB83" s="67" t="n"/>
      <c r="AC83" s="67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</row>
    <row r="84">
      <c r="A84" s="66" t="n"/>
      <c r="B84" s="66" t="n"/>
      <c r="C84" s="66" t="n"/>
      <c r="D84" s="66" t="n"/>
      <c r="E84" s="67" t="n"/>
      <c r="F84" s="67" t="n"/>
      <c r="G84" s="68" t="n"/>
      <c r="H84" s="66" t="n"/>
      <c r="I84" s="66" t="n"/>
      <c r="J84" s="67" t="n"/>
      <c r="K84" s="67" t="n"/>
      <c r="L84" s="67" t="n"/>
      <c r="M84" s="28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7" t="n"/>
      <c r="X84" s="67" t="n"/>
      <c r="Y84" s="67" t="n"/>
      <c r="Z84" s="67" t="n"/>
      <c r="AA84" s="67" t="n"/>
      <c r="AB84" s="67" t="n"/>
      <c r="AC84" s="67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</row>
    <row r="85">
      <c r="A85" s="66" t="n"/>
      <c r="B85" s="66" t="n"/>
      <c r="C85" s="66" t="n"/>
      <c r="D85" s="66" t="n"/>
      <c r="E85" s="67" t="n"/>
      <c r="F85" s="67" t="n"/>
      <c r="G85" s="68" t="n"/>
      <c r="H85" s="66" t="n"/>
      <c r="I85" s="66" t="n"/>
      <c r="J85" s="67" t="n"/>
      <c r="K85" s="67" t="n"/>
      <c r="L85" s="67" t="n"/>
      <c r="M85" s="28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7" t="n"/>
      <c r="X85" s="67" t="n"/>
      <c r="Y85" s="67" t="n"/>
      <c r="Z85" s="67" t="n"/>
      <c r="AA85" s="67" t="n"/>
      <c r="AB85" s="67" t="n"/>
      <c r="AC85" s="67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</row>
    <row r="86">
      <c r="A86" s="66" t="n"/>
      <c r="B86" s="66" t="n"/>
      <c r="C86" s="66" t="n"/>
      <c r="D86" s="66" t="n"/>
      <c r="E86" s="67" t="n"/>
      <c r="F86" s="67" t="n"/>
      <c r="G86" s="68" t="n"/>
      <c r="H86" s="66" t="n"/>
      <c r="I86" s="66" t="n"/>
      <c r="J86" s="67" t="n"/>
      <c r="K86" s="67" t="n"/>
      <c r="L86" s="67" t="n"/>
      <c r="M86" s="28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7" t="n"/>
      <c r="X86" s="67" t="n"/>
      <c r="Y86" s="67" t="n"/>
      <c r="Z86" s="67" t="n"/>
      <c r="AA86" s="67" t="n"/>
      <c r="AB86" s="67" t="n"/>
      <c r="AC86" s="67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</row>
    <row r="87">
      <c r="A87" s="66" t="n"/>
      <c r="B87" s="66" t="n"/>
      <c r="C87" s="66" t="n"/>
      <c r="D87" s="66" t="n"/>
      <c r="E87" s="67" t="n"/>
      <c r="F87" s="67" t="n"/>
      <c r="G87" s="68" t="n"/>
      <c r="H87" s="66" t="n"/>
      <c r="I87" s="66" t="n"/>
      <c r="J87" s="67" t="n"/>
      <c r="K87" s="67" t="n"/>
      <c r="L87" s="67" t="n"/>
      <c r="M87" s="28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7" t="n"/>
      <c r="X87" s="67" t="n"/>
      <c r="Y87" s="67" t="n"/>
      <c r="Z87" s="67" t="n"/>
      <c r="AA87" s="67" t="n"/>
      <c r="AB87" s="67" t="n"/>
      <c r="AC87" s="67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</row>
    <row r="88">
      <c r="A88" s="66" t="n"/>
      <c r="B88" s="66" t="n"/>
      <c r="C88" s="66" t="n"/>
      <c r="D88" s="66" t="n"/>
      <c r="E88" s="67" t="n"/>
      <c r="F88" s="67" t="n"/>
      <c r="G88" s="68" t="n"/>
      <c r="H88" s="66" t="n"/>
      <c r="I88" s="66" t="n"/>
      <c r="J88" s="67" t="n"/>
      <c r="K88" s="67" t="n"/>
      <c r="L88" s="67" t="n"/>
      <c r="M88" s="28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7" t="n"/>
      <c r="X88" s="67" t="n"/>
      <c r="Y88" s="67" t="n"/>
      <c r="Z88" s="67" t="n"/>
      <c r="AA88" s="67" t="n"/>
      <c r="AB88" s="67" t="n"/>
      <c r="AC88" s="67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</row>
    <row r="89">
      <c r="A89" s="66" t="n"/>
      <c r="B89" s="66" t="n"/>
      <c r="C89" s="66" t="n"/>
      <c r="D89" s="66" t="n"/>
      <c r="E89" s="67" t="n"/>
      <c r="F89" s="67" t="n"/>
      <c r="G89" s="68" t="n"/>
      <c r="H89" s="66" t="n"/>
      <c r="I89" s="66" t="n"/>
      <c r="J89" s="67" t="n"/>
      <c r="K89" s="67" t="n"/>
      <c r="L89" s="67" t="n"/>
      <c r="M89" s="28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7" t="n"/>
      <c r="X89" s="67" t="n"/>
      <c r="Y89" s="67" t="n"/>
      <c r="Z89" s="67" t="n"/>
      <c r="AA89" s="67" t="n"/>
      <c r="AB89" s="67" t="n"/>
      <c r="AC89" s="67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</row>
    <row r="90">
      <c r="A90" s="66" t="n"/>
      <c r="B90" s="66" t="n"/>
      <c r="C90" s="66" t="n"/>
      <c r="D90" s="66" t="n"/>
      <c r="E90" s="67" t="n"/>
      <c r="F90" s="67" t="n"/>
      <c r="G90" s="68" t="n"/>
      <c r="H90" s="66" t="n"/>
      <c r="I90" s="66" t="n"/>
      <c r="J90" s="67" t="n"/>
      <c r="K90" s="67" t="n"/>
      <c r="L90" s="67" t="n"/>
      <c r="M90" s="28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7" t="n"/>
      <c r="X90" s="67" t="n"/>
      <c r="Y90" s="67" t="n"/>
      <c r="Z90" s="67" t="n"/>
      <c r="AA90" s="67" t="n"/>
      <c r="AB90" s="67" t="n"/>
      <c r="AC90" s="67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</row>
    <row r="91">
      <c r="A91" s="66" t="n"/>
      <c r="B91" s="66" t="n"/>
      <c r="C91" s="66" t="n"/>
      <c r="D91" s="66" t="n"/>
      <c r="E91" s="67" t="n"/>
      <c r="F91" s="67" t="n"/>
      <c r="G91" s="68" t="n"/>
      <c r="H91" s="66" t="n"/>
      <c r="I91" s="66" t="n"/>
      <c r="J91" s="67" t="n"/>
      <c r="K91" s="67" t="n"/>
      <c r="L91" s="67" t="n"/>
      <c r="M91" s="28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7" t="n"/>
      <c r="X91" s="67" t="n"/>
      <c r="Y91" s="67" t="n"/>
      <c r="Z91" s="67" t="n"/>
      <c r="AA91" s="67" t="n"/>
      <c r="AB91" s="67" t="n"/>
      <c r="AC91" s="67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</row>
    <row r="92">
      <c r="A92" s="66" t="n"/>
      <c r="B92" s="66" t="n"/>
      <c r="C92" s="66" t="n"/>
      <c r="D92" s="66" t="n"/>
      <c r="E92" s="67" t="n"/>
      <c r="F92" s="67" t="n"/>
      <c r="G92" s="68" t="n"/>
      <c r="H92" s="66" t="n"/>
      <c r="I92" s="66" t="n"/>
      <c r="J92" s="67" t="n"/>
      <c r="K92" s="67" t="n"/>
      <c r="L92" s="67" t="n"/>
      <c r="M92" s="28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7" t="n"/>
      <c r="X92" s="67" t="n"/>
      <c r="Y92" s="67" t="n"/>
      <c r="Z92" s="67" t="n"/>
      <c r="AA92" s="67" t="n"/>
      <c r="AB92" s="67" t="n"/>
      <c r="AC92" s="67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</row>
    <row r="93">
      <c r="A93" s="66" t="n"/>
      <c r="B93" s="66" t="n"/>
      <c r="C93" s="66" t="n"/>
      <c r="D93" s="66" t="n"/>
      <c r="E93" s="67" t="n"/>
      <c r="F93" s="67" t="n"/>
      <c r="G93" s="68" t="n"/>
      <c r="H93" s="66" t="n"/>
      <c r="I93" s="66" t="n"/>
      <c r="J93" s="67" t="n"/>
      <c r="K93" s="67" t="n"/>
      <c r="L93" s="67" t="n"/>
      <c r="M93" s="28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7" t="n"/>
      <c r="X93" s="67" t="n"/>
      <c r="Y93" s="67" t="n"/>
      <c r="Z93" s="67" t="n"/>
      <c r="AA93" s="67" t="n"/>
      <c r="AB93" s="67" t="n"/>
      <c r="AC93" s="67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</row>
    <row r="94">
      <c r="A94" s="66" t="n"/>
      <c r="B94" s="66" t="n"/>
      <c r="C94" s="66" t="n"/>
      <c r="D94" s="66" t="n"/>
      <c r="E94" s="67" t="n"/>
      <c r="F94" s="67" t="n"/>
      <c r="G94" s="68" t="n"/>
      <c r="H94" s="66" t="n"/>
      <c r="I94" s="66" t="n"/>
      <c r="J94" s="67" t="n"/>
      <c r="K94" s="67" t="n"/>
      <c r="L94" s="67" t="n"/>
      <c r="M94" s="28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7" t="n"/>
      <c r="X94" s="67" t="n"/>
      <c r="Y94" s="67" t="n"/>
      <c r="Z94" s="67" t="n"/>
      <c r="AA94" s="67" t="n"/>
      <c r="AB94" s="67" t="n"/>
      <c r="AC94" s="67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</row>
    <row r="95">
      <c r="A95" s="66" t="n"/>
      <c r="B95" s="66" t="n"/>
      <c r="C95" s="66" t="n"/>
      <c r="D95" s="66" t="n"/>
      <c r="E95" s="67" t="n"/>
      <c r="F95" s="67" t="n"/>
      <c r="G95" s="68" t="n"/>
      <c r="H95" s="66" t="n"/>
      <c r="I95" s="66" t="n"/>
      <c r="J95" s="67" t="n"/>
      <c r="K95" s="67" t="n"/>
      <c r="L95" s="67" t="n"/>
      <c r="M95" s="28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7" t="n"/>
      <c r="X95" s="67" t="n"/>
      <c r="Y95" s="67" t="n"/>
      <c r="Z95" s="67" t="n"/>
      <c r="AA95" s="67" t="n"/>
      <c r="AB95" s="67" t="n"/>
      <c r="AC95" s="67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</row>
    <row r="96">
      <c r="A96" s="66" t="n"/>
      <c r="B96" s="66" t="n"/>
      <c r="C96" s="66" t="n"/>
      <c r="D96" s="66" t="n"/>
      <c r="E96" s="67" t="n"/>
      <c r="F96" s="67" t="n"/>
      <c r="G96" s="68" t="n"/>
      <c r="H96" s="66" t="n"/>
      <c r="I96" s="66" t="n"/>
      <c r="J96" s="67" t="n"/>
      <c r="K96" s="67" t="n"/>
      <c r="L96" s="67" t="n"/>
      <c r="M96" s="28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7" t="n"/>
      <c r="X96" s="67" t="n"/>
      <c r="Y96" s="67" t="n"/>
      <c r="Z96" s="67" t="n"/>
      <c r="AA96" s="67" t="n"/>
      <c r="AB96" s="67" t="n"/>
      <c r="AC96" s="67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</row>
    <row r="97">
      <c r="A97" s="66" t="n"/>
      <c r="B97" s="66" t="n"/>
      <c r="C97" s="66" t="n"/>
      <c r="D97" s="66" t="n"/>
      <c r="E97" s="67" t="n"/>
      <c r="F97" s="67" t="n"/>
      <c r="G97" s="68" t="n"/>
      <c r="H97" s="66" t="n"/>
      <c r="I97" s="66" t="n"/>
      <c r="J97" s="67" t="n"/>
      <c r="K97" s="67" t="n"/>
      <c r="L97" s="67" t="n"/>
      <c r="M97" s="28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7" t="n"/>
      <c r="X97" s="67" t="n"/>
      <c r="Y97" s="67" t="n"/>
      <c r="Z97" s="67" t="n"/>
      <c r="AA97" s="67" t="n"/>
      <c r="AB97" s="67" t="n"/>
      <c r="AC97" s="67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</row>
    <row r="98">
      <c r="A98" s="66" t="n"/>
      <c r="B98" s="66" t="n"/>
      <c r="C98" s="66" t="n"/>
      <c r="D98" s="66" t="n"/>
      <c r="E98" s="67" t="n"/>
      <c r="F98" s="67" t="n"/>
      <c r="G98" s="68" t="n"/>
      <c r="H98" s="66" t="n"/>
      <c r="I98" s="66" t="n"/>
      <c r="J98" s="67" t="n"/>
      <c r="K98" s="67" t="n"/>
      <c r="L98" s="67" t="n"/>
      <c r="M98" s="28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7" t="n"/>
      <c r="X98" s="67" t="n"/>
      <c r="Y98" s="67" t="n"/>
      <c r="Z98" s="67" t="n"/>
      <c r="AA98" s="67" t="n"/>
      <c r="AB98" s="67" t="n"/>
      <c r="AC98" s="67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</row>
    <row r="99">
      <c r="A99" s="66" t="n"/>
      <c r="B99" s="66" t="n"/>
      <c r="C99" s="66" t="n"/>
      <c r="D99" s="66" t="n"/>
      <c r="E99" s="67" t="n"/>
      <c r="F99" s="67" t="n"/>
      <c r="G99" s="68" t="n"/>
      <c r="H99" s="66" t="n"/>
      <c r="I99" s="66" t="n"/>
      <c r="J99" s="67" t="n"/>
      <c r="K99" s="67" t="n"/>
      <c r="L99" s="67" t="n"/>
      <c r="M99" s="28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7" t="n"/>
      <c r="X99" s="67" t="n"/>
      <c r="Y99" s="67" t="n"/>
      <c r="Z99" s="67" t="n"/>
      <c r="AA99" s="67" t="n"/>
      <c r="AB99" s="67" t="n"/>
      <c r="AC99" s="67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</row>
    <row r="100">
      <c r="A100" s="66" t="n"/>
      <c r="B100" s="66" t="n"/>
      <c r="C100" s="66" t="n"/>
      <c r="D100" s="66" t="n"/>
      <c r="E100" s="67" t="n"/>
      <c r="F100" s="67" t="n"/>
      <c r="G100" s="68" t="n"/>
      <c r="H100" s="66" t="n"/>
      <c r="I100" s="66" t="n"/>
      <c r="J100" s="67" t="n"/>
      <c r="K100" s="67" t="n"/>
      <c r="L100" s="67" t="n"/>
      <c r="M100" s="28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7" t="n"/>
      <c r="X100" s="67" t="n"/>
      <c r="Y100" s="67" t="n"/>
      <c r="Z100" s="67" t="n"/>
      <c r="AA100" s="67" t="n"/>
      <c r="AB100" s="67" t="n"/>
      <c r="AC100" s="67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</row>
    <row r="101">
      <c r="A101" s="66" t="n"/>
      <c r="B101" s="66" t="n"/>
      <c r="C101" s="66" t="n"/>
      <c r="D101" s="66" t="n"/>
      <c r="E101" s="67" t="n"/>
      <c r="F101" s="67" t="n"/>
      <c r="G101" s="68" t="n"/>
      <c r="H101" s="66" t="n"/>
      <c r="I101" s="66" t="n"/>
      <c r="J101" s="67" t="n"/>
      <c r="K101" s="67" t="n"/>
      <c r="L101" s="67" t="n"/>
      <c r="M101" s="28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7" t="n"/>
      <c r="X101" s="67" t="n"/>
      <c r="Y101" s="67" t="n"/>
      <c r="Z101" s="67" t="n"/>
      <c r="AA101" s="67" t="n"/>
      <c r="AB101" s="67" t="n"/>
      <c r="AC101" s="67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</row>
    <row r="102">
      <c r="A102" s="66" t="n"/>
      <c r="B102" s="66" t="n"/>
      <c r="C102" s="66" t="n"/>
      <c r="D102" s="66" t="n"/>
      <c r="E102" s="67" t="n"/>
      <c r="F102" s="67" t="n"/>
      <c r="G102" s="68" t="n"/>
      <c r="H102" s="66" t="n"/>
      <c r="I102" s="66" t="n"/>
      <c r="J102" s="67" t="n"/>
      <c r="K102" s="67" t="n"/>
      <c r="L102" s="67" t="n"/>
      <c r="M102" s="28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7" t="n"/>
      <c r="X102" s="67" t="n"/>
      <c r="Y102" s="67" t="n"/>
      <c r="Z102" s="67" t="n"/>
      <c r="AA102" s="67" t="n"/>
      <c r="AB102" s="67" t="n"/>
      <c r="AC102" s="67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</row>
    <row r="103">
      <c r="A103" s="66" t="n"/>
      <c r="B103" s="66" t="n"/>
      <c r="C103" s="66" t="n"/>
      <c r="D103" s="66" t="n"/>
      <c r="E103" s="67" t="n"/>
      <c r="F103" s="67" t="n"/>
      <c r="G103" s="68" t="n"/>
      <c r="H103" s="66" t="n"/>
      <c r="I103" s="66" t="n"/>
      <c r="J103" s="67" t="n"/>
      <c r="K103" s="67" t="n"/>
      <c r="L103" s="67" t="n"/>
      <c r="M103" s="28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7" t="n"/>
      <c r="X103" s="67" t="n"/>
      <c r="Y103" s="67" t="n"/>
      <c r="Z103" s="67" t="n"/>
      <c r="AA103" s="67" t="n"/>
      <c r="AB103" s="67" t="n"/>
      <c r="AC103" s="67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</row>
    <row r="104">
      <c r="A104" s="66" t="n"/>
      <c r="B104" s="66" t="n"/>
      <c r="C104" s="66" t="n"/>
      <c r="D104" s="66" t="n"/>
      <c r="E104" s="67" t="n"/>
      <c r="F104" s="67" t="n"/>
      <c r="G104" s="68" t="n"/>
      <c r="H104" s="66" t="n"/>
      <c r="I104" s="66" t="n"/>
      <c r="J104" s="67" t="n"/>
      <c r="K104" s="67" t="n"/>
      <c r="L104" s="67" t="n"/>
      <c r="M104" s="28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7" t="n"/>
      <c r="X104" s="67" t="n"/>
      <c r="Y104" s="67" t="n"/>
      <c r="Z104" s="67" t="n"/>
      <c r="AA104" s="67" t="n"/>
      <c r="AB104" s="67" t="n"/>
      <c r="AC104" s="67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</row>
    <row r="105">
      <c r="A105" s="66" t="n"/>
      <c r="B105" s="66" t="n"/>
      <c r="C105" s="66" t="n"/>
      <c r="D105" s="66" t="n"/>
      <c r="E105" s="67" t="n"/>
      <c r="F105" s="67" t="n"/>
      <c r="G105" s="68" t="n"/>
      <c r="H105" s="66" t="n"/>
      <c r="I105" s="66" t="n"/>
      <c r="J105" s="67" t="n"/>
      <c r="K105" s="67" t="n"/>
      <c r="L105" s="67" t="n"/>
      <c r="M105" s="28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7" t="n"/>
      <c r="X105" s="67" t="n"/>
      <c r="Y105" s="67" t="n"/>
      <c r="Z105" s="67" t="n"/>
      <c r="AA105" s="67" t="n"/>
      <c r="AB105" s="67" t="n"/>
      <c r="AC105" s="67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</row>
    <row r="106">
      <c r="A106" s="66" t="n"/>
      <c r="B106" s="66" t="n"/>
      <c r="C106" s="66" t="n"/>
      <c r="D106" s="66" t="n"/>
      <c r="E106" s="67" t="n"/>
      <c r="F106" s="67" t="n"/>
      <c r="G106" s="68" t="n"/>
      <c r="H106" s="66" t="n"/>
      <c r="I106" s="66" t="n"/>
      <c r="J106" s="67" t="n"/>
      <c r="K106" s="67" t="n"/>
      <c r="L106" s="67" t="n"/>
      <c r="M106" s="28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7" t="n"/>
      <c r="X106" s="67" t="n"/>
      <c r="Y106" s="67" t="n"/>
      <c r="Z106" s="67" t="n"/>
      <c r="AA106" s="67" t="n"/>
      <c r="AB106" s="67" t="n"/>
      <c r="AC106" s="67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</row>
    <row r="107">
      <c r="A107" s="66" t="n"/>
      <c r="B107" s="66" t="n"/>
      <c r="C107" s="66" t="n"/>
      <c r="D107" s="66" t="n"/>
      <c r="E107" s="67" t="n"/>
      <c r="F107" s="67" t="n"/>
      <c r="G107" s="68" t="n"/>
      <c r="H107" s="66" t="n"/>
      <c r="I107" s="66" t="n"/>
      <c r="J107" s="67" t="n"/>
      <c r="K107" s="67" t="n"/>
      <c r="L107" s="67" t="n"/>
      <c r="M107" s="28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7" t="n"/>
      <c r="X107" s="67" t="n"/>
      <c r="Y107" s="67" t="n"/>
      <c r="Z107" s="67" t="n"/>
      <c r="AA107" s="67" t="n"/>
      <c r="AB107" s="67" t="n"/>
      <c r="AC107" s="67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</row>
    <row r="108">
      <c r="A108" s="66" t="n"/>
      <c r="B108" s="66" t="n"/>
      <c r="C108" s="66" t="n"/>
      <c r="D108" s="66" t="n"/>
      <c r="E108" s="67" t="n"/>
      <c r="F108" s="67" t="n"/>
      <c r="G108" s="68" t="n"/>
      <c r="H108" s="66" t="n"/>
      <c r="I108" s="66" t="n"/>
      <c r="J108" s="67" t="n"/>
      <c r="K108" s="67" t="n"/>
      <c r="L108" s="67" t="n"/>
      <c r="M108" s="28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7" t="n"/>
      <c r="X108" s="67" t="n"/>
      <c r="Y108" s="67" t="n"/>
      <c r="Z108" s="67" t="n"/>
      <c r="AA108" s="67" t="n"/>
      <c r="AB108" s="67" t="n"/>
      <c r="AC108" s="67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</row>
    <row r="109">
      <c r="A109" s="66" t="n"/>
      <c r="B109" s="66" t="n"/>
      <c r="C109" s="66" t="n"/>
      <c r="D109" s="66" t="n"/>
      <c r="E109" s="67" t="n"/>
      <c r="F109" s="67" t="n"/>
      <c r="G109" s="68" t="n"/>
      <c r="H109" s="66" t="n"/>
      <c r="I109" s="66" t="n"/>
      <c r="J109" s="67" t="n"/>
      <c r="K109" s="67" t="n"/>
      <c r="L109" s="67" t="n"/>
      <c r="M109" s="28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7" t="n"/>
      <c r="X109" s="67" t="n"/>
      <c r="Y109" s="67" t="n"/>
      <c r="Z109" s="67" t="n"/>
      <c r="AA109" s="67" t="n"/>
      <c r="AB109" s="67" t="n"/>
      <c r="AC109" s="67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</row>
    <row r="110">
      <c r="A110" s="66" t="n"/>
      <c r="B110" s="66" t="n"/>
      <c r="C110" s="66" t="n"/>
      <c r="D110" s="66" t="n"/>
      <c r="E110" s="67" t="n"/>
      <c r="F110" s="67" t="n"/>
      <c r="G110" s="68" t="n"/>
      <c r="H110" s="66" t="n"/>
      <c r="I110" s="66" t="n"/>
      <c r="J110" s="67" t="n"/>
      <c r="K110" s="67" t="n"/>
      <c r="L110" s="67" t="n"/>
      <c r="M110" s="28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7" t="n"/>
      <c r="X110" s="67" t="n"/>
      <c r="Y110" s="67" t="n"/>
      <c r="Z110" s="67" t="n"/>
      <c r="AA110" s="67" t="n"/>
      <c r="AB110" s="67" t="n"/>
      <c r="AC110" s="67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</row>
    <row r="111">
      <c r="A111" s="66" t="n"/>
      <c r="B111" s="66" t="n"/>
      <c r="C111" s="66" t="n"/>
      <c r="D111" s="66" t="n"/>
      <c r="E111" s="67" t="n"/>
      <c r="F111" s="67" t="n"/>
      <c r="G111" s="68" t="n"/>
      <c r="H111" s="66" t="n"/>
      <c r="I111" s="66" t="n"/>
      <c r="J111" s="67" t="n"/>
      <c r="K111" s="67" t="n"/>
      <c r="L111" s="67" t="n"/>
      <c r="M111" s="28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7" t="n"/>
      <c r="X111" s="67" t="n"/>
      <c r="Y111" s="67" t="n"/>
      <c r="Z111" s="67" t="n"/>
      <c r="AA111" s="67" t="n"/>
      <c r="AB111" s="67" t="n"/>
      <c r="AC111" s="67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</row>
    <row r="112">
      <c r="A112" s="66" t="n"/>
      <c r="B112" s="66" t="n"/>
      <c r="C112" s="66" t="n"/>
      <c r="D112" s="66" t="n"/>
      <c r="E112" s="67" t="n"/>
      <c r="F112" s="67" t="n"/>
      <c r="G112" s="68" t="n"/>
      <c r="H112" s="66" t="n"/>
      <c r="I112" s="66" t="n"/>
      <c r="J112" s="67" t="n"/>
      <c r="K112" s="67" t="n"/>
      <c r="L112" s="67" t="n"/>
      <c r="M112" s="28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7" t="n"/>
      <c r="X112" s="67" t="n"/>
      <c r="Y112" s="67" t="n"/>
      <c r="Z112" s="67" t="n"/>
      <c r="AA112" s="67" t="n"/>
      <c r="AB112" s="67" t="n"/>
      <c r="AC112" s="67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</row>
    <row r="113">
      <c r="A113" s="66" t="n"/>
      <c r="B113" s="66" t="n"/>
      <c r="C113" s="66" t="n"/>
      <c r="D113" s="66" t="n"/>
      <c r="E113" s="67" t="n"/>
      <c r="F113" s="67" t="n"/>
      <c r="G113" s="68" t="n"/>
      <c r="H113" s="66" t="n"/>
      <c r="I113" s="66" t="n"/>
      <c r="J113" s="67" t="n"/>
      <c r="K113" s="67" t="n"/>
      <c r="L113" s="67" t="n"/>
      <c r="M113" s="28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7" t="n"/>
      <c r="X113" s="67" t="n"/>
      <c r="Y113" s="67" t="n"/>
      <c r="Z113" s="67" t="n"/>
      <c r="AA113" s="67" t="n"/>
      <c r="AB113" s="67" t="n"/>
      <c r="AC113" s="67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</row>
    <row r="114">
      <c r="A114" s="66" t="n"/>
      <c r="B114" s="66" t="n"/>
      <c r="C114" s="66" t="n"/>
      <c r="D114" s="66" t="n"/>
      <c r="E114" s="67" t="n"/>
      <c r="F114" s="67" t="n"/>
      <c r="G114" s="68" t="n"/>
      <c r="H114" s="66" t="n"/>
      <c r="I114" s="66" t="n"/>
      <c r="J114" s="67" t="n"/>
      <c r="K114" s="67" t="n"/>
      <c r="L114" s="67" t="n"/>
      <c r="M114" s="28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7" t="n"/>
      <c r="X114" s="67" t="n"/>
      <c r="Y114" s="67" t="n"/>
      <c r="Z114" s="67" t="n"/>
      <c r="AA114" s="67" t="n"/>
      <c r="AB114" s="67" t="n"/>
      <c r="AC114" s="67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</row>
    <row r="115">
      <c r="A115" s="66" t="n"/>
      <c r="B115" s="66" t="n"/>
      <c r="C115" s="66" t="n"/>
      <c r="D115" s="66" t="n"/>
      <c r="E115" s="67" t="n"/>
      <c r="F115" s="67" t="n"/>
      <c r="G115" s="68" t="n"/>
      <c r="H115" s="66" t="n"/>
      <c r="I115" s="66" t="n"/>
      <c r="J115" s="67" t="n"/>
      <c r="K115" s="67" t="n"/>
      <c r="L115" s="67" t="n"/>
      <c r="M115" s="28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7" t="n"/>
      <c r="X115" s="67" t="n"/>
      <c r="Y115" s="67" t="n"/>
      <c r="Z115" s="67" t="n"/>
      <c r="AA115" s="67" t="n"/>
      <c r="AB115" s="67" t="n"/>
      <c r="AC115" s="67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</row>
    <row r="116">
      <c r="A116" s="66" t="n"/>
      <c r="B116" s="66" t="n"/>
      <c r="C116" s="66" t="n"/>
      <c r="D116" s="66" t="n"/>
      <c r="E116" s="67" t="n"/>
      <c r="F116" s="67" t="n"/>
      <c r="G116" s="68" t="n"/>
      <c r="H116" s="66" t="n"/>
      <c r="I116" s="66" t="n"/>
      <c r="J116" s="67" t="n"/>
      <c r="K116" s="67" t="n"/>
      <c r="L116" s="67" t="n"/>
      <c r="M116" s="28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7" t="n"/>
      <c r="X116" s="67" t="n"/>
      <c r="Y116" s="67" t="n"/>
      <c r="Z116" s="67" t="n"/>
      <c r="AA116" s="67" t="n"/>
      <c r="AB116" s="67" t="n"/>
      <c r="AC116" s="67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</row>
    <row r="117">
      <c r="A117" s="66" t="n"/>
      <c r="B117" s="66" t="n"/>
      <c r="C117" s="66" t="n"/>
      <c r="D117" s="66" t="n"/>
      <c r="E117" s="67" t="n"/>
      <c r="F117" s="67" t="n"/>
      <c r="G117" s="68" t="n"/>
      <c r="H117" s="66" t="n"/>
      <c r="I117" s="66" t="n"/>
      <c r="J117" s="67" t="n"/>
      <c r="K117" s="67" t="n"/>
      <c r="L117" s="67" t="n"/>
      <c r="M117" s="28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7" t="n"/>
      <c r="X117" s="67" t="n"/>
      <c r="Y117" s="67" t="n"/>
      <c r="Z117" s="67" t="n"/>
      <c r="AA117" s="67" t="n"/>
      <c r="AB117" s="67" t="n"/>
      <c r="AC117" s="67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</row>
    <row r="118">
      <c r="A118" s="66" t="n"/>
      <c r="B118" s="66" t="n"/>
      <c r="C118" s="66" t="n"/>
      <c r="D118" s="66" t="n"/>
      <c r="E118" s="67" t="n"/>
      <c r="F118" s="67" t="n"/>
      <c r="G118" s="68" t="n"/>
      <c r="H118" s="66" t="n"/>
      <c r="I118" s="66" t="n"/>
      <c r="J118" s="67" t="n"/>
      <c r="K118" s="67" t="n"/>
      <c r="L118" s="67" t="n"/>
      <c r="M118" s="28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7" t="n"/>
      <c r="X118" s="67" t="n"/>
      <c r="Y118" s="67" t="n"/>
      <c r="Z118" s="67" t="n"/>
      <c r="AA118" s="67" t="n"/>
      <c r="AB118" s="67" t="n"/>
      <c r="AC118" s="67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</row>
    <row r="119">
      <c r="A119" s="66" t="n"/>
      <c r="B119" s="66" t="n"/>
      <c r="C119" s="66" t="n"/>
      <c r="D119" s="66" t="n"/>
      <c r="E119" s="67" t="n"/>
      <c r="F119" s="67" t="n"/>
      <c r="G119" s="68" t="n"/>
      <c r="H119" s="66" t="n"/>
      <c r="I119" s="66" t="n"/>
      <c r="J119" s="67" t="n"/>
      <c r="K119" s="67" t="n"/>
      <c r="L119" s="67" t="n"/>
      <c r="M119" s="28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7" t="n"/>
      <c r="X119" s="67" t="n"/>
      <c r="Y119" s="67" t="n"/>
      <c r="Z119" s="67" t="n"/>
      <c r="AA119" s="67" t="n"/>
      <c r="AB119" s="67" t="n"/>
      <c r="AC119" s="67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</row>
    <row r="120">
      <c r="A120" s="66" t="n"/>
      <c r="B120" s="66" t="n"/>
      <c r="C120" s="66" t="n"/>
      <c r="D120" s="66" t="n"/>
      <c r="E120" s="67" t="n"/>
      <c r="F120" s="67" t="n"/>
      <c r="G120" s="68" t="n"/>
      <c r="H120" s="66" t="n"/>
      <c r="I120" s="66" t="n"/>
      <c r="J120" s="67" t="n"/>
      <c r="K120" s="67" t="n"/>
      <c r="L120" s="67" t="n"/>
      <c r="M120" s="28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7" t="n"/>
      <c r="X120" s="67" t="n"/>
      <c r="Y120" s="67" t="n"/>
      <c r="Z120" s="67" t="n"/>
      <c r="AA120" s="67" t="n"/>
      <c r="AB120" s="67" t="n"/>
      <c r="AC120" s="67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</row>
    <row r="121">
      <c r="A121" s="66" t="n"/>
      <c r="B121" s="66" t="n"/>
      <c r="C121" s="66" t="n"/>
      <c r="D121" s="66" t="n"/>
      <c r="E121" s="67" t="n"/>
      <c r="F121" s="67" t="n"/>
      <c r="G121" s="68" t="n"/>
      <c r="H121" s="66" t="n"/>
      <c r="I121" s="66" t="n"/>
      <c r="J121" s="67" t="n"/>
      <c r="K121" s="67" t="n"/>
      <c r="L121" s="67" t="n"/>
      <c r="M121" s="28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7" t="n"/>
      <c r="X121" s="67" t="n"/>
      <c r="Y121" s="67" t="n"/>
      <c r="Z121" s="67" t="n"/>
      <c r="AA121" s="67" t="n"/>
      <c r="AB121" s="67" t="n"/>
      <c r="AC121" s="67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</row>
    <row r="122">
      <c r="A122" s="66" t="n"/>
      <c r="B122" s="66" t="n"/>
      <c r="C122" s="66" t="n"/>
      <c r="D122" s="66" t="n"/>
      <c r="E122" s="67" t="n"/>
      <c r="F122" s="67" t="n"/>
      <c r="G122" s="68" t="n"/>
      <c r="H122" s="66" t="n"/>
      <c r="I122" s="66" t="n"/>
      <c r="J122" s="67" t="n"/>
      <c r="K122" s="67" t="n"/>
      <c r="L122" s="67" t="n"/>
      <c r="M122" s="28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7" t="n"/>
      <c r="X122" s="67" t="n"/>
      <c r="Y122" s="67" t="n"/>
      <c r="Z122" s="67" t="n"/>
      <c r="AA122" s="67" t="n"/>
      <c r="AB122" s="67" t="n"/>
      <c r="AC122" s="67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</row>
    <row r="123">
      <c r="A123" s="66" t="n"/>
      <c r="B123" s="66" t="n"/>
      <c r="C123" s="66" t="n"/>
      <c r="D123" s="66" t="n"/>
      <c r="E123" s="67" t="n"/>
      <c r="F123" s="67" t="n"/>
      <c r="G123" s="68" t="n"/>
      <c r="H123" s="66" t="n"/>
      <c r="I123" s="66" t="n"/>
      <c r="J123" s="67" t="n"/>
      <c r="K123" s="67" t="n"/>
      <c r="L123" s="67" t="n"/>
      <c r="M123" s="28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7" t="n"/>
      <c r="X123" s="67" t="n"/>
      <c r="Y123" s="67" t="n"/>
      <c r="Z123" s="67" t="n"/>
      <c r="AA123" s="67" t="n"/>
      <c r="AB123" s="67" t="n"/>
      <c r="AC123" s="67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</row>
    <row r="124">
      <c r="A124" s="66" t="n"/>
      <c r="B124" s="66" t="n"/>
      <c r="C124" s="66" t="n"/>
      <c r="D124" s="66" t="n"/>
      <c r="E124" s="67" t="n"/>
      <c r="F124" s="67" t="n"/>
      <c r="G124" s="68" t="n"/>
      <c r="H124" s="66" t="n"/>
      <c r="I124" s="66" t="n"/>
      <c r="J124" s="67" t="n"/>
      <c r="K124" s="67" t="n"/>
      <c r="L124" s="67" t="n"/>
      <c r="M124" s="28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7" t="n"/>
      <c r="X124" s="67" t="n"/>
      <c r="Y124" s="67" t="n"/>
      <c r="Z124" s="67" t="n"/>
      <c r="AA124" s="67" t="n"/>
      <c r="AB124" s="67" t="n"/>
      <c r="AC124" s="67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</row>
    <row r="125">
      <c r="A125" s="66" t="n"/>
      <c r="B125" s="66" t="n"/>
      <c r="C125" s="66" t="n"/>
      <c r="D125" s="66" t="n"/>
      <c r="E125" s="67" t="n"/>
      <c r="F125" s="67" t="n"/>
      <c r="G125" s="68" t="n"/>
      <c r="H125" s="66" t="n"/>
      <c r="I125" s="66" t="n"/>
      <c r="J125" s="67" t="n"/>
      <c r="K125" s="67" t="n"/>
      <c r="L125" s="67" t="n"/>
      <c r="M125" s="28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7" t="n"/>
      <c r="X125" s="67" t="n"/>
      <c r="Y125" s="67" t="n"/>
      <c r="Z125" s="67" t="n"/>
      <c r="AA125" s="67" t="n"/>
      <c r="AB125" s="67" t="n"/>
      <c r="AC125" s="67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</row>
    <row r="126">
      <c r="A126" s="66" t="n"/>
      <c r="B126" s="66" t="n"/>
      <c r="C126" s="66" t="n"/>
      <c r="D126" s="66" t="n"/>
      <c r="E126" s="67" t="n"/>
      <c r="F126" s="67" t="n"/>
      <c r="G126" s="68" t="n"/>
      <c r="H126" s="66" t="n"/>
      <c r="I126" s="66" t="n"/>
      <c r="J126" s="67" t="n"/>
      <c r="K126" s="67" t="n"/>
      <c r="L126" s="67" t="n"/>
      <c r="M126" s="28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7" t="n"/>
      <c r="X126" s="67" t="n"/>
      <c r="Y126" s="67" t="n"/>
      <c r="Z126" s="67" t="n"/>
      <c r="AA126" s="67" t="n"/>
      <c r="AB126" s="67" t="n"/>
      <c r="AC126" s="67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</row>
    <row r="127">
      <c r="A127" s="66" t="n"/>
      <c r="B127" s="66" t="n"/>
      <c r="C127" s="66" t="n"/>
      <c r="D127" s="66" t="n"/>
      <c r="E127" s="67" t="n"/>
      <c r="F127" s="67" t="n"/>
      <c r="G127" s="68" t="n"/>
      <c r="H127" s="66" t="n"/>
      <c r="I127" s="66" t="n"/>
      <c r="J127" s="67" t="n"/>
      <c r="K127" s="67" t="n"/>
      <c r="L127" s="67" t="n"/>
      <c r="M127" s="28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7" t="n"/>
      <c r="X127" s="67" t="n"/>
      <c r="Y127" s="67" t="n"/>
      <c r="Z127" s="67" t="n"/>
      <c r="AA127" s="67" t="n"/>
      <c r="AB127" s="67" t="n"/>
      <c r="AC127" s="67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</row>
    <row r="128">
      <c r="A128" s="66" t="n"/>
      <c r="B128" s="66" t="n"/>
      <c r="C128" s="66" t="n"/>
      <c r="D128" s="66" t="n"/>
      <c r="E128" s="67" t="n"/>
      <c r="F128" s="67" t="n"/>
      <c r="G128" s="68" t="n"/>
      <c r="H128" s="66" t="n"/>
      <c r="I128" s="66" t="n"/>
      <c r="J128" s="67" t="n"/>
      <c r="K128" s="67" t="n"/>
      <c r="L128" s="67" t="n"/>
      <c r="M128" s="28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7" t="n"/>
      <c r="X128" s="67" t="n"/>
      <c r="Y128" s="67" t="n"/>
      <c r="Z128" s="67" t="n"/>
      <c r="AA128" s="67" t="n"/>
      <c r="AB128" s="67" t="n"/>
      <c r="AC128" s="67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</row>
    <row r="129">
      <c r="A129" s="66" t="n"/>
      <c r="B129" s="66" t="n"/>
      <c r="C129" s="66" t="n"/>
      <c r="D129" s="66" t="n"/>
      <c r="E129" s="67" t="n"/>
      <c r="F129" s="67" t="n"/>
      <c r="G129" s="68" t="n"/>
      <c r="H129" s="66" t="n"/>
      <c r="I129" s="66" t="n"/>
      <c r="J129" s="67" t="n"/>
      <c r="K129" s="67" t="n"/>
      <c r="L129" s="67" t="n"/>
      <c r="M129" s="28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7" t="n"/>
      <c r="X129" s="67" t="n"/>
      <c r="Y129" s="67" t="n"/>
      <c r="Z129" s="67" t="n"/>
      <c r="AA129" s="67" t="n"/>
      <c r="AB129" s="67" t="n"/>
      <c r="AC129" s="67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</row>
    <row r="130">
      <c r="A130" s="66" t="n"/>
      <c r="B130" s="66" t="n"/>
      <c r="C130" s="66" t="n"/>
      <c r="D130" s="66" t="n"/>
      <c r="E130" s="67" t="n"/>
      <c r="F130" s="67" t="n"/>
      <c r="G130" s="68" t="n"/>
      <c r="H130" s="66" t="n"/>
      <c r="I130" s="66" t="n"/>
      <c r="J130" s="67" t="n"/>
      <c r="K130" s="67" t="n"/>
      <c r="L130" s="67" t="n"/>
      <c r="M130" s="28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7" t="n"/>
      <c r="X130" s="67" t="n"/>
      <c r="Y130" s="67" t="n"/>
      <c r="Z130" s="67" t="n"/>
      <c r="AA130" s="67" t="n"/>
      <c r="AB130" s="67" t="n"/>
      <c r="AC130" s="67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</row>
    <row r="131">
      <c r="A131" s="66" t="n"/>
      <c r="B131" s="66" t="n"/>
      <c r="C131" s="66" t="n"/>
      <c r="D131" s="66" t="n"/>
      <c r="E131" s="67" t="n"/>
      <c r="F131" s="67" t="n"/>
      <c r="G131" s="68" t="n"/>
      <c r="H131" s="66" t="n"/>
      <c r="I131" s="66" t="n"/>
      <c r="J131" s="67" t="n"/>
      <c r="K131" s="67" t="n"/>
      <c r="L131" s="67" t="n"/>
      <c r="M131" s="28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7" t="n"/>
      <c r="X131" s="67" t="n"/>
      <c r="Y131" s="67" t="n"/>
      <c r="Z131" s="67" t="n"/>
      <c r="AA131" s="67" t="n"/>
      <c r="AB131" s="67" t="n"/>
      <c r="AC131" s="67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</row>
    <row r="132">
      <c r="A132" s="66" t="n"/>
      <c r="B132" s="66" t="n"/>
      <c r="C132" s="66" t="n"/>
      <c r="D132" s="66" t="n"/>
      <c r="E132" s="67" t="n"/>
      <c r="F132" s="67" t="n"/>
      <c r="G132" s="68" t="n"/>
      <c r="H132" s="66" t="n"/>
      <c r="I132" s="66" t="n"/>
      <c r="J132" s="67" t="n"/>
      <c r="K132" s="67" t="n"/>
      <c r="L132" s="67" t="n"/>
      <c r="M132" s="28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7" t="n"/>
      <c r="X132" s="67" t="n"/>
      <c r="Y132" s="67" t="n"/>
      <c r="Z132" s="67" t="n"/>
      <c r="AA132" s="67" t="n"/>
      <c r="AB132" s="67" t="n"/>
      <c r="AC132" s="67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</row>
    <row r="133">
      <c r="A133" s="66" t="n"/>
      <c r="B133" s="66" t="n"/>
      <c r="C133" s="66" t="n"/>
      <c r="D133" s="66" t="n"/>
      <c r="E133" s="67" t="n"/>
      <c r="F133" s="67" t="n"/>
      <c r="G133" s="68" t="n"/>
      <c r="H133" s="66" t="n"/>
      <c r="I133" s="66" t="n"/>
      <c r="J133" s="67" t="n"/>
      <c r="K133" s="67" t="n"/>
      <c r="L133" s="67" t="n"/>
      <c r="M133" s="28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7" t="n"/>
      <c r="X133" s="67" t="n"/>
      <c r="Y133" s="67" t="n"/>
      <c r="Z133" s="67" t="n"/>
      <c r="AA133" s="67" t="n"/>
      <c r="AB133" s="67" t="n"/>
      <c r="AC133" s="67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</row>
    <row r="134">
      <c r="A134" s="66" t="n"/>
      <c r="B134" s="66" t="n"/>
      <c r="C134" s="66" t="n"/>
      <c r="D134" s="66" t="n"/>
      <c r="E134" s="67" t="n"/>
      <c r="F134" s="67" t="n"/>
      <c r="G134" s="68" t="n"/>
      <c r="H134" s="66" t="n"/>
      <c r="I134" s="66" t="n"/>
      <c r="J134" s="67" t="n"/>
      <c r="K134" s="67" t="n"/>
      <c r="L134" s="67" t="n"/>
      <c r="M134" s="28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7" t="n"/>
      <c r="X134" s="67" t="n"/>
      <c r="Y134" s="67" t="n"/>
      <c r="Z134" s="67" t="n"/>
      <c r="AA134" s="67" t="n"/>
      <c r="AB134" s="67" t="n"/>
      <c r="AC134" s="67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</row>
    <row r="135">
      <c r="A135" s="66" t="n"/>
      <c r="B135" s="66" t="n"/>
      <c r="C135" s="66" t="n"/>
      <c r="D135" s="66" t="n"/>
      <c r="E135" s="67" t="n"/>
      <c r="F135" s="67" t="n"/>
      <c r="G135" s="68" t="n"/>
      <c r="H135" s="66" t="n"/>
      <c r="I135" s="66" t="n"/>
      <c r="J135" s="67" t="n"/>
      <c r="K135" s="67" t="n"/>
      <c r="L135" s="67" t="n"/>
      <c r="M135" s="28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7" t="n"/>
      <c r="X135" s="67" t="n"/>
      <c r="Y135" s="67" t="n"/>
      <c r="Z135" s="67" t="n"/>
      <c r="AA135" s="67" t="n"/>
      <c r="AB135" s="67" t="n"/>
      <c r="AC135" s="67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</row>
    <row r="136">
      <c r="A136" s="66" t="n"/>
      <c r="B136" s="66" t="n"/>
      <c r="C136" s="66" t="n"/>
      <c r="D136" s="66" t="n"/>
      <c r="E136" s="67" t="n"/>
      <c r="F136" s="67" t="n"/>
      <c r="G136" s="68" t="n"/>
      <c r="H136" s="66" t="n"/>
      <c r="I136" s="66" t="n"/>
      <c r="J136" s="67" t="n"/>
      <c r="K136" s="67" t="n"/>
      <c r="L136" s="67" t="n"/>
      <c r="M136" s="28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7" t="n"/>
      <c r="X136" s="67" t="n"/>
      <c r="Y136" s="67" t="n"/>
      <c r="Z136" s="67" t="n"/>
      <c r="AA136" s="67" t="n"/>
      <c r="AB136" s="67" t="n"/>
      <c r="AC136" s="67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</row>
    <row r="137">
      <c r="A137" s="66" t="n"/>
      <c r="B137" s="66" t="n"/>
      <c r="C137" s="66" t="n"/>
      <c r="D137" s="66" t="n"/>
      <c r="E137" s="67" t="n"/>
      <c r="F137" s="67" t="n"/>
      <c r="G137" s="68" t="n"/>
      <c r="H137" s="66" t="n"/>
      <c r="I137" s="66" t="n"/>
      <c r="J137" s="67" t="n"/>
      <c r="K137" s="67" t="n"/>
      <c r="L137" s="67" t="n"/>
      <c r="M137" s="28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7" t="n"/>
      <c r="X137" s="67" t="n"/>
      <c r="Y137" s="67" t="n"/>
      <c r="Z137" s="67" t="n"/>
      <c r="AA137" s="67" t="n"/>
      <c r="AB137" s="67" t="n"/>
      <c r="AC137" s="67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</row>
    <row r="138">
      <c r="A138" s="66" t="n"/>
      <c r="B138" s="66" t="n"/>
      <c r="C138" s="66" t="n"/>
      <c r="D138" s="66" t="n"/>
      <c r="E138" s="67" t="n"/>
      <c r="F138" s="67" t="n"/>
      <c r="G138" s="68" t="n"/>
      <c r="H138" s="66" t="n"/>
      <c r="I138" s="66" t="n"/>
      <c r="J138" s="67" t="n"/>
      <c r="K138" s="67" t="n"/>
      <c r="L138" s="67" t="n"/>
      <c r="M138" s="28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7" t="n"/>
      <c r="X138" s="67" t="n"/>
      <c r="Y138" s="67" t="n"/>
      <c r="Z138" s="67" t="n"/>
      <c r="AA138" s="67" t="n"/>
      <c r="AB138" s="67" t="n"/>
      <c r="AC138" s="67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</row>
    <row r="139">
      <c r="A139" s="66" t="n"/>
      <c r="B139" s="66" t="n"/>
      <c r="C139" s="66" t="n"/>
      <c r="D139" s="66" t="n"/>
      <c r="E139" s="67" t="n"/>
      <c r="F139" s="67" t="n"/>
      <c r="G139" s="68" t="n"/>
      <c r="H139" s="66" t="n"/>
      <c r="I139" s="66" t="n"/>
      <c r="J139" s="67" t="n"/>
      <c r="K139" s="67" t="n"/>
      <c r="L139" s="67" t="n"/>
      <c r="M139" s="28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7" t="n"/>
      <c r="X139" s="67" t="n"/>
      <c r="Y139" s="67" t="n"/>
      <c r="Z139" s="67" t="n"/>
      <c r="AA139" s="67" t="n"/>
      <c r="AB139" s="67" t="n"/>
      <c r="AC139" s="67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</row>
    <row r="140">
      <c r="A140" s="66" t="n"/>
      <c r="B140" s="66" t="n"/>
      <c r="C140" s="66" t="n"/>
      <c r="D140" s="66" t="n"/>
      <c r="E140" s="67" t="n"/>
      <c r="F140" s="67" t="n"/>
      <c r="G140" s="68" t="n"/>
      <c r="H140" s="66" t="n"/>
      <c r="I140" s="66" t="n"/>
      <c r="J140" s="67" t="n"/>
      <c r="K140" s="67" t="n"/>
      <c r="L140" s="67" t="n"/>
      <c r="M140" s="28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7" t="n"/>
      <c r="X140" s="67" t="n"/>
      <c r="Y140" s="67" t="n"/>
      <c r="Z140" s="67" t="n"/>
      <c r="AA140" s="67" t="n"/>
      <c r="AB140" s="67" t="n"/>
      <c r="AC140" s="67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</row>
    <row r="141">
      <c r="A141" s="66" t="n"/>
      <c r="B141" s="66" t="n"/>
      <c r="C141" s="66" t="n"/>
      <c r="D141" s="66" t="n"/>
      <c r="E141" s="67" t="n"/>
      <c r="F141" s="67" t="n"/>
      <c r="G141" s="68" t="n"/>
      <c r="H141" s="66" t="n"/>
      <c r="I141" s="66" t="n"/>
      <c r="J141" s="67" t="n"/>
      <c r="K141" s="67" t="n"/>
      <c r="L141" s="67" t="n"/>
      <c r="M141" s="28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7" t="n"/>
      <c r="X141" s="67" t="n"/>
      <c r="Y141" s="67" t="n"/>
      <c r="Z141" s="67" t="n"/>
      <c r="AA141" s="67" t="n"/>
      <c r="AB141" s="67" t="n"/>
      <c r="AC141" s="67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</row>
    <row r="142">
      <c r="A142" s="66" t="n"/>
      <c r="B142" s="66" t="n"/>
      <c r="C142" s="66" t="n"/>
      <c r="D142" s="66" t="n"/>
      <c r="E142" s="67" t="n"/>
      <c r="F142" s="67" t="n"/>
      <c r="G142" s="68" t="n"/>
      <c r="H142" s="66" t="n"/>
      <c r="I142" s="66" t="n"/>
      <c r="J142" s="67" t="n"/>
      <c r="K142" s="67" t="n"/>
      <c r="L142" s="67" t="n"/>
      <c r="M142" s="28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7" t="n"/>
      <c r="X142" s="67" t="n"/>
      <c r="Y142" s="67" t="n"/>
      <c r="Z142" s="67" t="n"/>
      <c r="AA142" s="67" t="n"/>
      <c r="AB142" s="67" t="n"/>
      <c r="AC142" s="67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</row>
    <row r="143">
      <c r="A143" s="66" t="n"/>
      <c r="B143" s="66" t="n"/>
      <c r="C143" s="66" t="n"/>
      <c r="D143" s="66" t="n"/>
      <c r="E143" s="67" t="n"/>
      <c r="F143" s="67" t="n"/>
      <c r="G143" s="68" t="n"/>
      <c r="H143" s="66" t="n"/>
      <c r="I143" s="66" t="n"/>
      <c r="J143" s="67" t="n"/>
      <c r="K143" s="67" t="n"/>
      <c r="L143" s="67" t="n"/>
      <c r="M143" s="28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7" t="n"/>
      <c r="X143" s="67" t="n"/>
      <c r="Y143" s="67" t="n"/>
      <c r="Z143" s="67" t="n"/>
      <c r="AA143" s="67" t="n"/>
      <c r="AB143" s="67" t="n"/>
      <c r="AC143" s="67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</row>
    <row r="144">
      <c r="A144" s="66" t="n"/>
      <c r="B144" s="66" t="n"/>
      <c r="C144" s="66" t="n"/>
      <c r="D144" s="66" t="n"/>
      <c r="E144" s="67" t="n"/>
      <c r="F144" s="67" t="n"/>
      <c r="G144" s="68" t="n"/>
      <c r="H144" s="66" t="n"/>
      <c r="I144" s="66" t="n"/>
      <c r="J144" s="67" t="n"/>
      <c r="K144" s="67" t="n"/>
      <c r="L144" s="67" t="n"/>
      <c r="M144" s="28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7" t="n"/>
      <c r="X144" s="67" t="n"/>
      <c r="Y144" s="67" t="n"/>
      <c r="Z144" s="67" t="n"/>
      <c r="AA144" s="67" t="n"/>
      <c r="AB144" s="67" t="n"/>
      <c r="AC144" s="67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</row>
    <row r="145">
      <c r="A145" s="66" t="n"/>
      <c r="B145" s="66" t="n"/>
      <c r="C145" s="66" t="n"/>
      <c r="D145" s="66" t="n"/>
      <c r="E145" s="67" t="n"/>
      <c r="F145" s="67" t="n"/>
      <c r="G145" s="68" t="n"/>
      <c r="H145" s="66" t="n"/>
      <c r="I145" s="66" t="n"/>
      <c r="J145" s="67" t="n"/>
      <c r="K145" s="67" t="n"/>
      <c r="L145" s="67" t="n"/>
      <c r="M145" s="28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7" t="n"/>
      <c r="X145" s="67" t="n"/>
      <c r="Y145" s="67" t="n"/>
      <c r="Z145" s="67" t="n"/>
      <c r="AA145" s="67" t="n"/>
      <c r="AB145" s="67" t="n"/>
      <c r="AC145" s="67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</row>
    <row r="146">
      <c r="A146" s="66" t="n"/>
      <c r="B146" s="66" t="n"/>
      <c r="C146" s="66" t="n"/>
      <c r="D146" s="66" t="n"/>
      <c r="E146" s="67" t="n"/>
      <c r="F146" s="67" t="n"/>
      <c r="G146" s="68" t="n"/>
      <c r="H146" s="66" t="n"/>
      <c r="I146" s="66" t="n"/>
      <c r="J146" s="67" t="n"/>
      <c r="K146" s="67" t="n"/>
      <c r="L146" s="67" t="n"/>
      <c r="M146" s="28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7" t="n"/>
      <c r="X146" s="67" t="n"/>
      <c r="Y146" s="67" t="n"/>
      <c r="Z146" s="67" t="n"/>
      <c r="AA146" s="67" t="n"/>
      <c r="AB146" s="67" t="n"/>
      <c r="AC146" s="67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</row>
    <row r="147">
      <c r="A147" s="66" t="n"/>
      <c r="B147" s="66" t="n"/>
      <c r="C147" s="66" t="n"/>
      <c r="D147" s="66" t="n"/>
      <c r="E147" s="67" t="n"/>
      <c r="F147" s="67" t="n"/>
      <c r="G147" s="68" t="n"/>
      <c r="H147" s="66" t="n"/>
      <c r="I147" s="66" t="n"/>
      <c r="J147" s="67" t="n"/>
      <c r="K147" s="67" t="n"/>
      <c r="L147" s="67" t="n"/>
      <c r="M147" s="28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7" t="n"/>
      <c r="X147" s="67" t="n"/>
      <c r="Y147" s="67" t="n"/>
      <c r="Z147" s="67" t="n"/>
      <c r="AA147" s="67" t="n"/>
      <c r="AB147" s="67" t="n"/>
      <c r="AC147" s="67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</row>
    <row r="148">
      <c r="A148" s="66" t="n"/>
      <c r="B148" s="66" t="n"/>
      <c r="C148" s="66" t="n"/>
      <c r="D148" s="66" t="n"/>
      <c r="E148" s="67" t="n"/>
      <c r="F148" s="67" t="n"/>
      <c r="G148" s="68" t="n"/>
      <c r="H148" s="66" t="n"/>
      <c r="I148" s="66" t="n"/>
      <c r="J148" s="67" t="n"/>
      <c r="K148" s="67" t="n"/>
      <c r="L148" s="67" t="n"/>
      <c r="M148" s="28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7" t="n"/>
      <c r="X148" s="67" t="n"/>
      <c r="Y148" s="67" t="n"/>
      <c r="Z148" s="67" t="n"/>
      <c r="AA148" s="67" t="n"/>
      <c r="AB148" s="67" t="n"/>
      <c r="AC148" s="67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</row>
    <row r="149">
      <c r="A149" s="66" t="n"/>
      <c r="B149" s="66" t="n"/>
      <c r="C149" s="66" t="n"/>
      <c r="D149" s="66" t="n"/>
      <c r="E149" s="67" t="n"/>
      <c r="F149" s="67" t="n"/>
      <c r="G149" s="68" t="n"/>
      <c r="H149" s="66" t="n"/>
      <c r="I149" s="66" t="n"/>
      <c r="J149" s="67" t="n"/>
      <c r="K149" s="67" t="n"/>
      <c r="L149" s="67" t="n"/>
      <c r="M149" s="28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7" t="n"/>
      <c r="X149" s="67" t="n"/>
      <c r="Y149" s="67" t="n"/>
      <c r="Z149" s="67" t="n"/>
      <c r="AA149" s="67" t="n"/>
      <c r="AB149" s="67" t="n"/>
      <c r="AC149" s="67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</row>
    <row r="150">
      <c r="A150" s="66" t="n"/>
      <c r="B150" s="66" t="n"/>
      <c r="C150" s="66" t="n"/>
      <c r="D150" s="66" t="n"/>
      <c r="E150" s="67" t="n"/>
      <c r="F150" s="67" t="n"/>
      <c r="G150" s="68" t="n"/>
      <c r="H150" s="66" t="n"/>
      <c r="I150" s="66" t="n"/>
      <c r="J150" s="67" t="n"/>
      <c r="K150" s="67" t="n"/>
      <c r="L150" s="67" t="n"/>
      <c r="M150" s="28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7" t="n"/>
      <c r="X150" s="67" t="n"/>
      <c r="Y150" s="67" t="n"/>
      <c r="Z150" s="67" t="n"/>
      <c r="AA150" s="67" t="n"/>
      <c r="AB150" s="67" t="n"/>
      <c r="AC150" s="67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</row>
    <row r="151">
      <c r="A151" s="66" t="n"/>
      <c r="B151" s="66" t="n"/>
      <c r="C151" s="66" t="n"/>
      <c r="D151" s="66" t="n"/>
      <c r="E151" s="67" t="n"/>
      <c r="F151" s="67" t="n"/>
      <c r="G151" s="68" t="n"/>
      <c r="H151" s="66" t="n"/>
      <c r="I151" s="66" t="n"/>
      <c r="J151" s="67" t="n"/>
      <c r="K151" s="67" t="n"/>
      <c r="L151" s="67" t="n"/>
      <c r="M151" s="28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7" t="n"/>
      <c r="X151" s="67" t="n"/>
      <c r="Y151" s="67" t="n"/>
      <c r="Z151" s="67" t="n"/>
      <c r="AA151" s="67" t="n"/>
      <c r="AB151" s="67" t="n"/>
      <c r="AC151" s="67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</row>
    <row r="152">
      <c r="A152" s="66" t="n"/>
      <c r="B152" s="66" t="n"/>
      <c r="C152" s="66" t="n"/>
      <c r="D152" s="66" t="n"/>
      <c r="E152" s="67" t="n"/>
      <c r="F152" s="67" t="n"/>
      <c r="G152" s="68" t="n"/>
      <c r="H152" s="66" t="n"/>
      <c r="I152" s="66" t="n"/>
      <c r="J152" s="67" t="n"/>
      <c r="K152" s="67" t="n"/>
      <c r="L152" s="67" t="n"/>
      <c r="M152" s="28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7" t="n"/>
      <c r="X152" s="67" t="n"/>
      <c r="Y152" s="67" t="n"/>
      <c r="Z152" s="67" t="n"/>
      <c r="AA152" s="67" t="n"/>
      <c r="AB152" s="67" t="n"/>
      <c r="AC152" s="67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</row>
    <row r="153">
      <c r="A153" s="66" t="n"/>
      <c r="B153" s="66" t="n"/>
      <c r="C153" s="66" t="n"/>
      <c r="D153" s="66" t="n"/>
      <c r="E153" s="67" t="n"/>
      <c r="F153" s="67" t="n"/>
      <c r="G153" s="68" t="n"/>
      <c r="H153" s="66" t="n"/>
      <c r="I153" s="66" t="n"/>
      <c r="J153" s="67" t="n"/>
      <c r="K153" s="67" t="n"/>
      <c r="L153" s="67" t="n"/>
      <c r="M153" s="28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7" t="n"/>
      <c r="X153" s="67" t="n"/>
      <c r="Y153" s="67" t="n"/>
      <c r="Z153" s="67" t="n"/>
      <c r="AA153" s="67" t="n"/>
      <c r="AB153" s="67" t="n"/>
      <c r="AC153" s="67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</row>
    <row r="154">
      <c r="A154" s="66" t="n"/>
      <c r="B154" s="66" t="n"/>
      <c r="C154" s="66" t="n"/>
      <c r="D154" s="66" t="n"/>
      <c r="E154" s="67" t="n"/>
      <c r="F154" s="67" t="n"/>
      <c r="G154" s="68" t="n"/>
      <c r="H154" s="66" t="n"/>
      <c r="I154" s="66" t="n"/>
      <c r="J154" s="67" t="n"/>
      <c r="K154" s="67" t="n"/>
      <c r="L154" s="67" t="n"/>
      <c r="M154" s="28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7" t="n"/>
      <c r="X154" s="67" t="n"/>
      <c r="Y154" s="67" t="n"/>
      <c r="Z154" s="67" t="n"/>
      <c r="AA154" s="67" t="n"/>
      <c r="AB154" s="67" t="n"/>
      <c r="AC154" s="67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</row>
    <row r="155">
      <c r="A155" s="66" t="n"/>
      <c r="B155" s="66" t="n"/>
      <c r="C155" s="66" t="n"/>
      <c r="D155" s="66" t="n"/>
      <c r="E155" s="67" t="n"/>
      <c r="F155" s="67" t="n"/>
      <c r="G155" s="68" t="n"/>
      <c r="H155" s="66" t="n"/>
      <c r="I155" s="66" t="n"/>
      <c r="J155" s="67" t="n"/>
      <c r="K155" s="67" t="n"/>
      <c r="L155" s="67" t="n"/>
      <c r="M155" s="28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7" t="n"/>
      <c r="X155" s="67" t="n"/>
      <c r="Y155" s="67" t="n"/>
      <c r="Z155" s="67" t="n"/>
      <c r="AA155" s="67" t="n"/>
      <c r="AB155" s="67" t="n"/>
      <c r="AC155" s="67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</row>
    <row r="156">
      <c r="A156" s="66" t="n"/>
      <c r="B156" s="66" t="n"/>
      <c r="C156" s="66" t="n"/>
      <c r="D156" s="66" t="n"/>
      <c r="E156" s="67" t="n"/>
      <c r="F156" s="67" t="n"/>
      <c r="G156" s="68" t="n"/>
      <c r="H156" s="66" t="n"/>
      <c r="I156" s="66" t="n"/>
      <c r="J156" s="67" t="n"/>
      <c r="K156" s="67" t="n"/>
      <c r="L156" s="67" t="n"/>
      <c r="M156" s="28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7" t="n"/>
      <c r="X156" s="67" t="n"/>
      <c r="Y156" s="67" t="n"/>
      <c r="Z156" s="67" t="n"/>
      <c r="AA156" s="67" t="n"/>
      <c r="AB156" s="67" t="n"/>
      <c r="AC156" s="67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</row>
    <row r="157">
      <c r="A157" s="66" t="n"/>
      <c r="B157" s="66" t="n"/>
      <c r="C157" s="66" t="n"/>
      <c r="D157" s="66" t="n"/>
      <c r="E157" s="67" t="n"/>
      <c r="F157" s="67" t="n"/>
      <c r="G157" s="68" t="n"/>
      <c r="H157" s="66" t="n"/>
      <c r="I157" s="66" t="n"/>
      <c r="J157" s="67" t="n"/>
      <c r="K157" s="67" t="n"/>
      <c r="L157" s="67" t="n"/>
      <c r="M157" s="28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7" t="n"/>
      <c r="X157" s="67" t="n"/>
      <c r="Y157" s="67" t="n"/>
      <c r="Z157" s="67" t="n"/>
      <c r="AA157" s="67" t="n"/>
      <c r="AB157" s="67" t="n"/>
      <c r="AC157" s="67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</row>
    <row r="158">
      <c r="A158" s="66" t="n"/>
      <c r="B158" s="66" t="n"/>
      <c r="C158" s="66" t="n"/>
      <c r="D158" s="66" t="n"/>
      <c r="E158" s="67" t="n"/>
      <c r="F158" s="67" t="n"/>
      <c r="G158" s="68" t="n"/>
      <c r="H158" s="66" t="n"/>
      <c r="I158" s="66" t="n"/>
      <c r="J158" s="67" t="n"/>
      <c r="K158" s="67" t="n"/>
      <c r="L158" s="67" t="n"/>
      <c r="M158" s="28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7" t="n"/>
      <c r="X158" s="67" t="n"/>
      <c r="Y158" s="67" t="n"/>
      <c r="Z158" s="67" t="n"/>
      <c r="AA158" s="67" t="n"/>
      <c r="AB158" s="67" t="n"/>
      <c r="AC158" s="67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</row>
    <row r="159">
      <c r="A159" s="66" t="n"/>
      <c r="B159" s="66" t="n"/>
      <c r="C159" s="66" t="n"/>
      <c r="D159" s="66" t="n"/>
      <c r="E159" s="67" t="n"/>
      <c r="F159" s="67" t="n"/>
      <c r="G159" s="68" t="n"/>
      <c r="H159" s="66" t="n"/>
      <c r="I159" s="66" t="n"/>
      <c r="J159" s="67" t="n"/>
      <c r="K159" s="67" t="n"/>
      <c r="L159" s="67" t="n"/>
      <c r="M159" s="28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7" t="n"/>
      <c r="X159" s="67" t="n"/>
      <c r="Y159" s="67" t="n"/>
      <c r="Z159" s="67" t="n"/>
      <c r="AA159" s="67" t="n"/>
      <c r="AB159" s="67" t="n"/>
      <c r="AC159" s="67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</row>
    <row r="160">
      <c r="A160" s="66" t="n"/>
      <c r="B160" s="66" t="n"/>
      <c r="C160" s="66" t="n"/>
      <c r="D160" s="66" t="n"/>
      <c r="E160" s="67" t="n"/>
      <c r="F160" s="67" t="n"/>
      <c r="G160" s="68" t="n"/>
      <c r="H160" s="66" t="n"/>
      <c r="I160" s="66" t="n"/>
      <c r="J160" s="67" t="n"/>
      <c r="K160" s="67" t="n"/>
      <c r="L160" s="67" t="n"/>
      <c r="M160" s="28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7" t="n"/>
      <c r="X160" s="67" t="n"/>
      <c r="Y160" s="67" t="n"/>
      <c r="Z160" s="67" t="n"/>
      <c r="AA160" s="67" t="n"/>
      <c r="AB160" s="67" t="n"/>
      <c r="AC160" s="67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</row>
    <row r="161">
      <c r="A161" s="66" t="n"/>
      <c r="B161" s="66" t="n"/>
      <c r="C161" s="66" t="n"/>
      <c r="D161" s="66" t="n"/>
      <c r="E161" s="67" t="n"/>
      <c r="F161" s="67" t="n"/>
      <c r="G161" s="68" t="n"/>
      <c r="H161" s="66" t="n"/>
      <c r="I161" s="66" t="n"/>
      <c r="J161" s="67" t="n"/>
      <c r="K161" s="67" t="n"/>
      <c r="L161" s="67" t="n"/>
      <c r="M161" s="28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7" t="n"/>
      <c r="X161" s="67" t="n"/>
      <c r="Y161" s="67" t="n"/>
      <c r="Z161" s="67" t="n"/>
      <c r="AA161" s="67" t="n"/>
      <c r="AB161" s="67" t="n"/>
      <c r="AC161" s="67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</row>
    <row r="162">
      <c r="A162" s="66" t="n"/>
      <c r="B162" s="66" t="n"/>
      <c r="C162" s="66" t="n"/>
      <c r="D162" s="66" t="n"/>
      <c r="E162" s="67" t="n"/>
      <c r="F162" s="67" t="n"/>
      <c r="G162" s="68" t="n"/>
      <c r="H162" s="66" t="n"/>
      <c r="I162" s="66" t="n"/>
      <c r="J162" s="67" t="n"/>
      <c r="K162" s="67" t="n"/>
      <c r="L162" s="67" t="n"/>
      <c r="M162" s="28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7" t="n"/>
      <c r="X162" s="67" t="n"/>
      <c r="Y162" s="67" t="n"/>
      <c r="Z162" s="67" t="n"/>
      <c r="AA162" s="67" t="n"/>
      <c r="AB162" s="67" t="n"/>
      <c r="AC162" s="67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</row>
    <row r="163">
      <c r="A163" s="66" t="n"/>
      <c r="B163" s="66" t="n"/>
      <c r="C163" s="66" t="n"/>
      <c r="D163" s="66" t="n"/>
      <c r="E163" s="67" t="n"/>
      <c r="F163" s="67" t="n"/>
      <c r="G163" s="68" t="n"/>
      <c r="H163" s="66" t="n"/>
      <c r="I163" s="66" t="n"/>
      <c r="J163" s="67" t="n"/>
      <c r="K163" s="67" t="n"/>
      <c r="L163" s="67" t="n"/>
      <c r="M163" s="28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7" t="n"/>
      <c r="X163" s="67" t="n"/>
      <c r="Y163" s="67" t="n"/>
      <c r="Z163" s="67" t="n"/>
      <c r="AA163" s="67" t="n"/>
      <c r="AB163" s="67" t="n"/>
      <c r="AC163" s="67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</row>
    <row r="164">
      <c r="A164" s="66" t="n"/>
      <c r="B164" s="66" t="n"/>
      <c r="C164" s="66" t="n"/>
      <c r="D164" s="66" t="n"/>
      <c r="E164" s="67" t="n"/>
      <c r="F164" s="67" t="n"/>
      <c r="G164" s="68" t="n"/>
      <c r="H164" s="66" t="n"/>
      <c r="I164" s="66" t="n"/>
      <c r="J164" s="67" t="n"/>
      <c r="K164" s="67" t="n"/>
      <c r="L164" s="67" t="n"/>
      <c r="M164" s="28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7" t="n"/>
      <c r="X164" s="67" t="n"/>
      <c r="Y164" s="67" t="n"/>
      <c r="Z164" s="67" t="n"/>
      <c r="AA164" s="67" t="n"/>
      <c r="AB164" s="67" t="n"/>
      <c r="AC164" s="67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</row>
    <row r="165">
      <c r="A165" s="66" t="n"/>
      <c r="B165" s="66" t="n"/>
      <c r="C165" s="66" t="n"/>
      <c r="D165" s="66" t="n"/>
      <c r="E165" s="67" t="n"/>
      <c r="F165" s="67" t="n"/>
      <c r="G165" s="68" t="n"/>
      <c r="H165" s="66" t="n"/>
      <c r="I165" s="66" t="n"/>
      <c r="J165" s="67" t="n"/>
      <c r="K165" s="67" t="n"/>
      <c r="L165" s="67" t="n"/>
      <c r="M165" s="28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7" t="n"/>
      <c r="X165" s="67" t="n"/>
      <c r="Y165" s="67" t="n"/>
      <c r="Z165" s="67" t="n"/>
      <c r="AA165" s="67" t="n"/>
      <c r="AB165" s="67" t="n"/>
      <c r="AC165" s="67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</row>
    <row r="166">
      <c r="A166" s="66" t="n"/>
      <c r="B166" s="66" t="n"/>
      <c r="C166" s="66" t="n"/>
      <c r="D166" s="66" t="n"/>
      <c r="E166" s="67" t="n"/>
      <c r="F166" s="67" t="n"/>
      <c r="G166" s="68" t="n"/>
      <c r="H166" s="66" t="n"/>
      <c r="I166" s="66" t="n"/>
      <c r="J166" s="67" t="n"/>
      <c r="K166" s="67" t="n"/>
      <c r="L166" s="67" t="n"/>
      <c r="M166" s="28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7" t="n"/>
      <c r="X166" s="67" t="n"/>
      <c r="Y166" s="67" t="n"/>
      <c r="Z166" s="67" t="n"/>
      <c r="AA166" s="67" t="n"/>
      <c r="AB166" s="67" t="n"/>
      <c r="AC166" s="67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</row>
    <row r="167">
      <c r="A167" s="66" t="n"/>
      <c r="B167" s="66" t="n"/>
      <c r="C167" s="66" t="n"/>
      <c r="D167" s="66" t="n"/>
      <c r="E167" s="67" t="n"/>
      <c r="F167" s="67" t="n"/>
      <c r="G167" s="68" t="n"/>
      <c r="H167" s="66" t="n"/>
      <c r="I167" s="66" t="n"/>
      <c r="J167" s="67" t="n"/>
      <c r="K167" s="67" t="n"/>
      <c r="L167" s="67" t="n"/>
      <c r="M167" s="28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7" t="n"/>
      <c r="X167" s="67" t="n"/>
      <c r="Y167" s="67" t="n"/>
      <c r="Z167" s="67" t="n"/>
      <c r="AA167" s="67" t="n"/>
      <c r="AB167" s="67" t="n"/>
      <c r="AC167" s="67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</row>
    <row r="168">
      <c r="A168" s="66" t="n"/>
      <c r="B168" s="66" t="n"/>
      <c r="C168" s="66" t="n"/>
      <c r="D168" s="66" t="n"/>
      <c r="E168" s="67" t="n"/>
      <c r="F168" s="67" t="n"/>
      <c r="G168" s="68" t="n"/>
      <c r="H168" s="66" t="n"/>
      <c r="I168" s="66" t="n"/>
      <c r="J168" s="67" t="n"/>
      <c r="K168" s="67" t="n"/>
      <c r="L168" s="67" t="n"/>
      <c r="M168" s="28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7" t="n"/>
      <c r="X168" s="67" t="n"/>
      <c r="Y168" s="67" t="n"/>
      <c r="Z168" s="67" t="n"/>
      <c r="AA168" s="67" t="n"/>
      <c r="AB168" s="67" t="n"/>
      <c r="AC168" s="67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</row>
    <row r="169">
      <c r="A169" s="66" t="n"/>
      <c r="B169" s="66" t="n"/>
      <c r="C169" s="66" t="n"/>
      <c r="D169" s="66" t="n"/>
      <c r="E169" s="67" t="n"/>
      <c r="F169" s="67" t="n"/>
      <c r="G169" s="68" t="n"/>
      <c r="H169" s="66" t="n"/>
      <c r="I169" s="66" t="n"/>
      <c r="J169" s="67" t="n"/>
      <c r="K169" s="67" t="n"/>
      <c r="L169" s="67" t="n"/>
      <c r="M169" s="28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7" t="n"/>
      <c r="X169" s="67" t="n"/>
      <c r="Y169" s="67" t="n"/>
      <c r="Z169" s="67" t="n"/>
      <c r="AA169" s="67" t="n"/>
      <c r="AB169" s="67" t="n"/>
      <c r="AC169" s="67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</row>
    <row r="170">
      <c r="A170" s="66" t="n"/>
      <c r="B170" s="66" t="n"/>
      <c r="C170" s="66" t="n"/>
      <c r="D170" s="66" t="n"/>
      <c r="E170" s="67" t="n"/>
      <c r="F170" s="67" t="n"/>
      <c r="G170" s="68" t="n"/>
      <c r="H170" s="66" t="n"/>
      <c r="I170" s="66" t="n"/>
      <c r="J170" s="67" t="n"/>
      <c r="K170" s="67" t="n"/>
      <c r="L170" s="67" t="n"/>
      <c r="M170" s="28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7" t="n"/>
      <c r="X170" s="67" t="n"/>
      <c r="Y170" s="67" t="n"/>
      <c r="Z170" s="67" t="n"/>
      <c r="AA170" s="67" t="n"/>
      <c r="AB170" s="67" t="n"/>
      <c r="AC170" s="67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</row>
    <row r="171">
      <c r="A171" s="66" t="n"/>
      <c r="B171" s="66" t="n"/>
      <c r="C171" s="66" t="n"/>
      <c r="D171" s="66" t="n"/>
      <c r="E171" s="67" t="n"/>
      <c r="F171" s="67" t="n"/>
      <c r="G171" s="68" t="n"/>
      <c r="H171" s="66" t="n"/>
      <c r="I171" s="66" t="n"/>
      <c r="J171" s="67" t="n"/>
      <c r="K171" s="67" t="n"/>
      <c r="L171" s="67" t="n"/>
      <c r="M171" s="28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7" t="n"/>
      <c r="X171" s="67" t="n"/>
      <c r="Y171" s="67" t="n"/>
      <c r="Z171" s="67" t="n"/>
      <c r="AA171" s="67" t="n"/>
      <c r="AB171" s="67" t="n"/>
      <c r="AC171" s="67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</row>
    <row r="172">
      <c r="A172" s="66" t="n"/>
      <c r="B172" s="66" t="n"/>
      <c r="C172" s="66" t="n"/>
      <c r="D172" s="66" t="n"/>
      <c r="E172" s="67" t="n"/>
      <c r="F172" s="67" t="n"/>
      <c r="G172" s="68" t="n"/>
      <c r="H172" s="66" t="n"/>
      <c r="I172" s="66" t="n"/>
      <c r="J172" s="67" t="n"/>
      <c r="K172" s="67" t="n"/>
      <c r="L172" s="67" t="n"/>
      <c r="M172" s="28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7" t="n"/>
      <c r="X172" s="67" t="n"/>
      <c r="Y172" s="67" t="n"/>
      <c r="Z172" s="67" t="n"/>
      <c r="AA172" s="67" t="n"/>
      <c r="AB172" s="67" t="n"/>
      <c r="AC172" s="67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</row>
    <row r="173">
      <c r="A173" s="66" t="n"/>
      <c r="B173" s="66" t="n"/>
      <c r="C173" s="66" t="n"/>
      <c r="D173" s="66" t="n"/>
      <c r="E173" s="67" t="n"/>
      <c r="F173" s="67" t="n"/>
      <c r="G173" s="68" t="n"/>
      <c r="H173" s="66" t="n"/>
      <c r="I173" s="66" t="n"/>
      <c r="J173" s="67" t="n"/>
      <c r="K173" s="67" t="n"/>
      <c r="L173" s="67" t="n"/>
      <c r="M173" s="28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7" t="n"/>
      <c r="X173" s="67" t="n"/>
      <c r="Y173" s="67" t="n"/>
      <c r="Z173" s="67" t="n"/>
      <c r="AA173" s="67" t="n"/>
      <c r="AB173" s="67" t="n"/>
      <c r="AC173" s="67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</row>
    <row r="174">
      <c r="A174" s="66" t="n"/>
      <c r="B174" s="66" t="n"/>
      <c r="C174" s="66" t="n"/>
      <c r="D174" s="66" t="n"/>
      <c r="E174" s="67" t="n"/>
      <c r="F174" s="67" t="n"/>
      <c r="G174" s="68" t="n"/>
      <c r="H174" s="66" t="n"/>
      <c r="I174" s="66" t="n"/>
      <c r="J174" s="67" t="n"/>
      <c r="K174" s="67" t="n"/>
      <c r="L174" s="67" t="n"/>
      <c r="M174" s="28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7" t="n"/>
      <c r="X174" s="67" t="n"/>
      <c r="Y174" s="67" t="n"/>
      <c r="Z174" s="67" t="n"/>
      <c r="AA174" s="67" t="n"/>
      <c r="AB174" s="67" t="n"/>
      <c r="AC174" s="67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</row>
    <row r="175">
      <c r="A175" s="66" t="n"/>
      <c r="B175" s="66" t="n"/>
      <c r="C175" s="66" t="n"/>
      <c r="D175" s="66" t="n"/>
      <c r="E175" s="67" t="n"/>
      <c r="F175" s="67" t="n"/>
      <c r="G175" s="68" t="n"/>
      <c r="H175" s="66" t="n"/>
      <c r="I175" s="66" t="n"/>
      <c r="J175" s="67" t="n"/>
      <c r="K175" s="67" t="n"/>
      <c r="L175" s="67" t="n"/>
      <c r="M175" s="28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7" t="n"/>
      <c r="X175" s="67" t="n"/>
      <c r="Y175" s="67" t="n"/>
      <c r="Z175" s="67" t="n"/>
      <c r="AA175" s="67" t="n"/>
      <c r="AB175" s="67" t="n"/>
      <c r="AC175" s="67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</row>
    <row r="176">
      <c r="A176" s="66" t="n"/>
      <c r="B176" s="66" t="n"/>
      <c r="C176" s="66" t="n"/>
      <c r="D176" s="66" t="n"/>
      <c r="E176" s="67" t="n"/>
      <c r="F176" s="67" t="n"/>
      <c r="G176" s="68" t="n"/>
      <c r="H176" s="66" t="n"/>
      <c r="I176" s="66" t="n"/>
      <c r="J176" s="67" t="n"/>
      <c r="K176" s="67" t="n"/>
      <c r="L176" s="67" t="n"/>
      <c r="M176" s="28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7" t="n"/>
      <c r="X176" s="67" t="n"/>
      <c r="Y176" s="67" t="n"/>
      <c r="Z176" s="67" t="n"/>
      <c r="AA176" s="67" t="n"/>
      <c r="AB176" s="67" t="n"/>
      <c r="AC176" s="67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</row>
    <row r="177">
      <c r="A177" s="66" t="n"/>
      <c r="B177" s="66" t="n"/>
      <c r="C177" s="66" t="n"/>
      <c r="D177" s="66" t="n"/>
      <c r="E177" s="67" t="n"/>
      <c r="F177" s="67" t="n"/>
      <c r="G177" s="68" t="n"/>
      <c r="H177" s="66" t="n"/>
      <c r="I177" s="66" t="n"/>
      <c r="J177" s="67" t="n"/>
      <c r="K177" s="67" t="n"/>
      <c r="L177" s="67" t="n"/>
      <c r="M177" s="28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7" t="n"/>
      <c r="X177" s="67" t="n"/>
      <c r="Y177" s="67" t="n"/>
      <c r="Z177" s="67" t="n"/>
      <c r="AA177" s="67" t="n"/>
      <c r="AB177" s="67" t="n"/>
      <c r="AC177" s="67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</row>
    <row r="178">
      <c r="A178" s="66" t="n"/>
      <c r="B178" s="66" t="n"/>
      <c r="C178" s="66" t="n"/>
      <c r="D178" s="66" t="n"/>
      <c r="E178" s="67" t="n"/>
      <c r="F178" s="67" t="n"/>
      <c r="G178" s="68" t="n"/>
      <c r="H178" s="66" t="n"/>
      <c r="I178" s="66" t="n"/>
      <c r="J178" s="67" t="n"/>
      <c r="K178" s="67" t="n"/>
      <c r="L178" s="67" t="n"/>
      <c r="M178" s="28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7" t="n"/>
      <c r="X178" s="67" t="n"/>
      <c r="Y178" s="67" t="n"/>
      <c r="Z178" s="67" t="n"/>
      <c r="AA178" s="67" t="n"/>
      <c r="AB178" s="67" t="n"/>
      <c r="AC178" s="67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</row>
    <row r="179">
      <c r="A179" s="66" t="n"/>
      <c r="B179" s="66" t="n"/>
      <c r="C179" s="66" t="n"/>
      <c r="D179" s="66" t="n"/>
      <c r="E179" s="67" t="n"/>
      <c r="F179" s="67" t="n"/>
      <c r="G179" s="68" t="n"/>
      <c r="H179" s="66" t="n"/>
      <c r="I179" s="66" t="n"/>
      <c r="J179" s="67" t="n"/>
      <c r="K179" s="67" t="n"/>
      <c r="L179" s="67" t="n"/>
      <c r="M179" s="28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7" t="n"/>
      <c r="X179" s="67" t="n"/>
      <c r="Y179" s="67" t="n"/>
      <c r="Z179" s="67" t="n"/>
      <c r="AA179" s="67" t="n"/>
      <c r="AB179" s="67" t="n"/>
      <c r="AC179" s="67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</row>
    <row r="180">
      <c r="A180" s="66" t="n"/>
      <c r="B180" s="66" t="n"/>
      <c r="C180" s="66" t="n"/>
      <c r="D180" s="66" t="n"/>
      <c r="E180" s="67" t="n"/>
      <c r="F180" s="67" t="n"/>
      <c r="G180" s="68" t="n"/>
      <c r="H180" s="66" t="n"/>
      <c r="I180" s="66" t="n"/>
      <c r="J180" s="67" t="n"/>
      <c r="K180" s="67" t="n"/>
      <c r="L180" s="67" t="n"/>
      <c r="M180" s="28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7" t="n"/>
      <c r="X180" s="67" t="n"/>
      <c r="Y180" s="67" t="n"/>
      <c r="Z180" s="67" t="n"/>
      <c r="AA180" s="67" t="n"/>
      <c r="AB180" s="67" t="n"/>
      <c r="AC180" s="67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</row>
    <row r="181">
      <c r="A181" s="66" t="n"/>
      <c r="B181" s="66" t="n"/>
      <c r="C181" s="66" t="n"/>
      <c r="D181" s="66" t="n"/>
      <c r="E181" s="67" t="n"/>
      <c r="F181" s="67" t="n"/>
      <c r="G181" s="68" t="n"/>
      <c r="H181" s="66" t="n"/>
      <c r="I181" s="66" t="n"/>
      <c r="J181" s="67" t="n"/>
      <c r="K181" s="67" t="n"/>
      <c r="L181" s="67" t="n"/>
      <c r="M181" s="28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7" t="n"/>
      <c r="X181" s="67" t="n"/>
      <c r="Y181" s="67" t="n"/>
      <c r="Z181" s="67" t="n"/>
      <c r="AA181" s="67" t="n"/>
      <c r="AB181" s="67" t="n"/>
      <c r="AC181" s="67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</row>
    <row r="182">
      <c r="A182" s="66" t="n"/>
      <c r="B182" s="66" t="n"/>
      <c r="C182" s="66" t="n"/>
      <c r="D182" s="66" t="n"/>
      <c r="E182" s="67" t="n"/>
      <c r="F182" s="67" t="n"/>
      <c r="G182" s="68" t="n"/>
      <c r="H182" s="66" t="n"/>
      <c r="I182" s="66" t="n"/>
      <c r="J182" s="67" t="n"/>
      <c r="K182" s="67" t="n"/>
      <c r="L182" s="67" t="n"/>
      <c r="M182" s="28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7" t="n"/>
      <c r="X182" s="67" t="n"/>
      <c r="Y182" s="67" t="n"/>
      <c r="Z182" s="67" t="n"/>
      <c r="AA182" s="67" t="n"/>
      <c r="AB182" s="67" t="n"/>
      <c r="AC182" s="67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</row>
    <row r="183">
      <c r="A183" s="66" t="n"/>
      <c r="B183" s="66" t="n"/>
      <c r="C183" s="66" t="n"/>
      <c r="D183" s="66" t="n"/>
      <c r="E183" s="67" t="n"/>
      <c r="F183" s="67" t="n"/>
      <c r="G183" s="68" t="n"/>
      <c r="H183" s="66" t="n"/>
      <c r="I183" s="66" t="n"/>
      <c r="J183" s="67" t="n"/>
      <c r="K183" s="67" t="n"/>
      <c r="L183" s="67" t="n"/>
      <c r="M183" s="28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7" t="n"/>
      <c r="X183" s="67" t="n"/>
      <c r="Y183" s="67" t="n"/>
      <c r="Z183" s="67" t="n"/>
      <c r="AA183" s="67" t="n"/>
      <c r="AB183" s="67" t="n"/>
      <c r="AC183" s="67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</row>
    <row r="184">
      <c r="A184" s="66" t="n"/>
      <c r="B184" s="66" t="n"/>
      <c r="C184" s="66" t="n"/>
      <c r="D184" s="66" t="n"/>
      <c r="E184" s="67" t="n"/>
      <c r="F184" s="67" t="n"/>
      <c r="G184" s="68" t="n"/>
      <c r="H184" s="66" t="n"/>
      <c r="I184" s="66" t="n"/>
      <c r="J184" s="67" t="n"/>
      <c r="K184" s="67" t="n"/>
      <c r="L184" s="67" t="n"/>
      <c r="M184" s="28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7" t="n"/>
      <c r="X184" s="67" t="n"/>
      <c r="Y184" s="67" t="n"/>
      <c r="Z184" s="67" t="n"/>
      <c r="AA184" s="67" t="n"/>
      <c r="AB184" s="67" t="n"/>
      <c r="AC184" s="67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</row>
    <row r="185">
      <c r="A185" s="66" t="n"/>
      <c r="B185" s="66" t="n"/>
      <c r="C185" s="66" t="n"/>
      <c r="D185" s="66" t="n"/>
      <c r="E185" s="67" t="n"/>
      <c r="F185" s="67" t="n"/>
      <c r="G185" s="68" t="n"/>
      <c r="H185" s="66" t="n"/>
      <c r="I185" s="66" t="n"/>
      <c r="J185" s="67" t="n"/>
      <c r="K185" s="67" t="n"/>
      <c r="L185" s="67" t="n"/>
      <c r="M185" s="28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7" t="n"/>
      <c r="X185" s="67" t="n"/>
      <c r="Y185" s="67" t="n"/>
      <c r="Z185" s="67" t="n"/>
      <c r="AA185" s="67" t="n"/>
      <c r="AB185" s="67" t="n"/>
      <c r="AC185" s="67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</row>
    <row r="186">
      <c r="A186" s="66" t="n"/>
      <c r="B186" s="66" t="n"/>
      <c r="C186" s="66" t="n"/>
      <c r="D186" s="66" t="n"/>
      <c r="E186" s="67" t="n"/>
      <c r="F186" s="67" t="n"/>
      <c r="G186" s="68" t="n"/>
      <c r="H186" s="66" t="n"/>
      <c r="I186" s="66" t="n"/>
      <c r="J186" s="67" t="n"/>
      <c r="K186" s="67" t="n"/>
      <c r="L186" s="67" t="n"/>
      <c r="M186" s="28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7" t="n"/>
      <c r="X186" s="67" t="n"/>
      <c r="Y186" s="67" t="n"/>
      <c r="Z186" s="67" t="n"/>
      <c r="AA186" s="67" t="n"/>
      <c r="AB186" s="67" t="n"/>
      <c r="AC186" s="67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</row>
    <row r="187">
      <c r="A187" s="66" t="n"/>
      <c r="B187" s="66" t="n"/>
      <c r="C187" s="66" t="n"/>
      <c r="D187" s="66" t="n"/>
      <c r="E187" s="67" t="n"/>
      <c r="F187" s="67" t="n"/>
      <c r="G187" s="68" t="n"/>
      <c r="H187" s="66" t="n"/>
      <c r="I187" s="66" t="n"/>
      <c r="J187" s="67" t="n"/>
      <c r="K187" s="67" t="n"/>
      <c r="L187" s="67" t="n"/>
      <c r="M187" s="28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7" t="n"/>
      <c r="X187" s="67" t="n"/>
      <c r="Y187" s="67" t="n"/>
      <c r="Z187" s="67" t="n"/>
      <c r="AA187" s="67" t="n"/>
      <c r="AB187" s="67" t="n"/>
      <c r="AC187" s="67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</row>
    <row r="188">
      <c r="A188" s="66" t="n"/>
      <c r="B188" s="66" t="n"/>
      <c r="C188" s="66" t="n"/>
      <c r="D188" s="66" t="n"/>
      <c r="E188" s="67" t="n"/>
      <c r="F188" s="67" t="n"/>
      <c r="G188" s="68" t="n"/>
      <c r="H188" s="66" t="n"/>
      <c r="I188" s="66" t="n"/>
      <c r="J188" s="67" t="n"/>
      <c r="K188" s="67" t="n"/>
      <c r="L188" s="67" t="n"/>
      <c r="M188" s="28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7" t="n"/>
      <c r="X188" s="67" t="n"/>
      <c r="Y188" s="67" t="n"/>
      <c r="Z188" s="67" t="n"/>
      <c r="AA188" s="67" t="n"/>
      <c r="AB188" s="67" t="n"/>
      <c r="AC188" s="67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</row>
    <row r="189">
      <c r="A189" s="66" t="n"/>
      <c r="B189" s="66" t="n"/>
      <c r="C189" s="66" t="n"/>
      <c r="D189" s="66" t="n"/>
      <c r="E189" s="67" t="n"/>
      <c r="F189" s="67" t="n"/>
      <c r="G189" s="68" t="n"/>
      <c r="H189" s="66" t="n"/>
      <c r="I189" s="66" t="n"/>
      <c r="J189" s="67" t="n"/>
      <c r="K189" s="67" t="n"/>
      <c r="L189" s="67" t="n"/>
      <c r="M189" s="28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7" t="n"/>
      <c r="X189" s="67" t="n"/>
      <c r="Y189" s="67" t="n"/>
      <c r="Z189" s="67" t="n"/>
      <c r="AA189" s="67" t="n"/>
      <c r="AB189" s="67" t="n"/>
      <c r="AC189" s="67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</row>
    <row r="190">
      <c r="A190" s="66" t="n"/>
      <c r="B190" s="66" t="n"/>
      <c r="C190" s="66" t="n"/>
      <c r="D190" s="66" t="n"/>
      <c r="E190" s="67" t="n"/>
      <c r="F190" s="67" t="n"/>
      <c r="G190" s="68" t="n"/>
      <c r="H190" s="66" t="n"/>
      <c r="I190" s="66" t="n"/>
      <c r="J190" s="67" t="n"/>
      <c r="K190" s="67" t="n"/>
      <c r="L190" s="67" t="n"/>
      <c r="M190" s="28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7" t="n"/>
      <c r="X190" s="67" t="n"/>
      <c r="Y190" s="67" t="n"/>
      <c r="Z190" s="67" t="n"/>
      <c r="AA190" s="67" t="n"/>
      <c r="AB190" s="67" t="n"/>
      <c r="AC190" s="67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</row>
    <row r="191">
      <c r="A191" s="66" t="n"/>
      <c r="B191" s="66" t="n"/>
      <c r="C191" s="66" t="n"/>
      <c r="D191" s="66" t="n"/>
      <c r="E191" s="67" t="n"/>
      <c r="F191" s="67" t="n"/>
      <c r="G191" s="68" t="n"/>
      <c r="H191" s="66" t="n"/>
      <c r="I191" s="66" t="n"/>
      <c r="J191" s="67" t="n"/>
      <c r="K191" s="67" t="n"/>
      <c r="L191" s="67" t="n"/>
      <c r="M191" s="28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7" t="n"/>
      <c r="X191" s="67" t="n"/>
      <c r="Y191" s="67" t="n"/>
      <c r="Z191" s="67" t="n"/>
      <c r="AA191" s="67" t="n"/>
      <c r="AB191" s="67" t="n"/>
      <c r="AC191" s="67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</row>
    <row r="192">
      <c r="A192" s="66" t="n"/>
      <c r="B192" s="66" t="n"/>
      <c r="C192" s="66" t="n"/>
      <c r="D192" s="66" t="n"/>
      <c r="E192" s="67" t="n"/>
      <c r="F192" s="67" t="n"/>
      <c r="G192" s="68" t="n"/>
      <c r="H192" s="66" t="n"/>
      <c r="I192" s="66" t="n"/>
      <c r="J192" s="67" t="n"/>
      <c r="K192" s="67" t="n"/>
      <c r="L192" s="67" t="n"/>
      <c r="M192" s="28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7" t="n"/>
      <c r="X192" s="67" t="n"/>
      <c r="Y192" s="67" t="n"/>
      <c r="Z192" s="67" t="n"/>
      <c r="AA192" s="67" t="n"/>
      <c r="AB192" s="67" t="n"/>
      <c r="AC192" s="67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</row>
    <row r="193">
      <c r="A193" s="66" t="n"/>
      <c r="B193" s="66" t="n"/>
      <c r="C193" s="66" t="n"/>
      <c r="D193" s="66" t="n"/>
      <c r="E193" s="67" t="n"/>
      <c r="F193" s="67" t="n"/>
      <c r="G193" s="68" t="n"/>
      <c r="H193" s="66" t="n"/>
      <c r="I193" s="66" t="n"/>
      <c r="J193" s="67" t="n"/>
      <c r="K193" s="67" t="n"/>
      <c r="L193" s="67" t="n"/>
      <c r="M193" s="28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7" t="n"/>
      <c r="X193" s="67" t="n"/>
      <c r="Y193" s="67" t="n"/>
      <c r="Z193" s="67" t="n"/>
      <c r="AA193" s="67" t="n"/>
      <c r="AB193" s="67" t="n"/>
      <c r="AC193" s="67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</row>
    <row r="194">
      <c r="A194" s="66" t="n"/>
      <c r="B194" s="66" t="n"/>
      <c r="C194" s="66" t="n"/>
      <c r="D194" s="66" t="n"/>
      <c r="E194" s="67" t="n"/>
      <c r="F194" s="67" t="n"/>
      <c r="G194" s="68" t="n"/>
      <c r="H194" s="66" t="n"/>
      <c r="I194" s="66" t="n"/>
      <c r="J194" s="67" t="n"/>
      <c r="K194" s="67" t="n"/>
      <c r="L194" s="67" t="n"/>
      <c r="M194" s="28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7" t="n"/>
      <c r="X194" s="67" t="n"/>
      <c r="Y194" s="67" t="n"/>
      <c r="Z194" s="67" t="n"/>
      <c r="AA194" s="67" t="n"/>
      <c r="AB194" s="67" t="n"/>
      <c r="AC194" s="67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</row>
    <row r="195">
      <c r="A195" s="66" t="n"/>
      <c r="B195" s="66" t="n"/>
      <c r="C195" s="66" t="n"/>
      <c r="D195" s="66" t="n"/>
      <c r="E195" s="67" t="n"/>
      <c r="F195" s="67" t="n"/>
      <c r="G195" s="68" t="n"/>
      <c r="H195" s="66" t="n"/>
      <c r="I195" s="66" t="n"/>
      <c r="J195" s="67" t="n"/>
      <c r="K195" s="67" t="n"/>
      <c r="L195" s="67" t="n"/>
      <c r="M195" s="28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7" t="n"/>
      <c r="X195" s="67" t="n"/>
      <c r="Y195" s="67" t="n"/>
      <c r="Z195" s="67" t="n"/>
      <c r="AA195" s="67" t="n"/>
      <c r="AB195" s="67" t="n"/>
      <c r="AC195" s="67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</row>
    <row r="196">
      <c r="A196" s="66" t="n"/>
      <c r="B196" s="66" t="n"/>
      <c r="C196" s="66" t="n"/>
      <c r="D196" s="66" t="n"/>
      <c r="E196" s="67" t="n"/>
      <c r="F196" s="67" t="n"/>
      <c r="G196" s="68" t="n"/>
      <c r="H196" s="66" t="n"/>
      <c r="I196" s="66" t="n"/>
      <c r="J196" s="67" t="n"/>
      <c r="K196" s="67" t="n"/>
      <c r="L196" s="67" t="n"/>
      <c r="M196" s="28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7" t="n"/>
      <c r="X196" s="67" t="n"/>
      <c r="Y196" s="67" t="n"/>
      <c r="Z196" s="67" t="n"/>
      <c r="AA196" s="67" t="n"/>
      <c r="AB196" s="67" t="n"/>
      <c r="AC196" s="67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</row>
    <row r="197">
      <c r="A197" s="66" t="n"/>
      <c r="B197" s="66" t="n"/>
      <c r="C197" s="66" t="n"/>
      <c r="D197" s="66" t="n"/>
      <c r="E197" s="67" t="n"/>
      <c r="F197" s="67" t="n"/>
      <c r="G197" s="68" t="n"/>
      <c r="H197" s="66" t="n"/>
      <c r="I197" s="66" t="n"/>
      <c r="J197" s="67" t="n"/>
      <c r="K197" s="67" t="n"/>
      <c r="L197" s="67" t="n"/>
      <c r="M197" s="28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7" t="n"/>
      <c r="X197" s="67" t="n"/>
      <c r="Y197" s="67" t="n"/>
      <c r="Z197" s="67" t="n"/>
      <c r="AA197" s="67" t="n"/>
      <c r="AB197" s="67" t="n"/>
      <c r="AC197" s="67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</row>
    <row r="198">
      <c r="A198" s="66" t="n"/>
      <c r="B198" s="66" t="n"/>
      <c r="C198" s="66" t="n"/>
      <c r="D198" s="66" t="n"/>
      <c r="E198" s="67" t="n"/>
      <c r="F198" s="67" t="n"/>
      <c r="G198" s="68" t="n"/>
      <c r="H198" s="66" t="n"/>
      <c r="I198" s="66" t="n"/>
      <c r="J198" s="67" t="n"/>
      <c r="K198" s="67" t="n"/>
      <c r="L198" s="67" t="n"/>
      <c r="M198" s="28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7" t="n"/>
      <c r="X198" s="67" t="n"/>
      <c r="Y198" s="67" t="n"/>
      <c r="Z198" s="67" t="n"/>
      <c r="AA198" s="67" t="n"/>
      <c r="AB198" s="67" t="n"/>
      <c r="AC198" s="67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</row>
    <row r="199">
      <c r="A199" s="66" t="n"/>
      <c r="B199" s="66" t="n"/>
      <c r="C199" s="66" t="n"/>
      <c r="D199" s="66" t="n"/>
      <c r="E199" s="67" t="n"/>
      <c r="F199" s="67" t="n"/>
      <c r="G199" s="68" t="n"/>
      <c r="H199" s="66" t="n"/>
      <c r="I199" s="66" t="n"/>
      <c r="J199" s="67" t="n"/>
      <c r="K199" s="67" t="n"/>
      <c r="L199" s="67" t="n"/>
      <c r="M199" s="28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7" t="n"/>
      <c r="X199" s="67" t="n"/>
      <c r="Y199" s="67" t="n"/>
      <c r="Z199" s="67" t="n"/>
      <c r="AA199" s="67" t="n"/>
      <c r="AB199" s="67" t="n"/>
      <c r="AC199" s="67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</row>
    <row r="200">
      <c r="A200" s="66" t="n"/>
      <c r="B200" s="66" t="n"/>
      <c r="C200" s="66" t="n"/>
      <c r="D200" s="66" t="n"/>
      <c r="E200" s="67" t="n"/>
      <c r="F200" s="67" t="n"/>
      <c r="G200" s="68" t="n"/>
      <c r="H200" s="66" t="n"/>
      <c r="I200" s="66" t="n"/>
      <c r="J200" s="67" t="n"/>
      <c r="K200" s="67" t="n"/>
      <c r="L200" s="67" t="n"/>
      <c r="M200" s="28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7" t="n"/>
      <c r="X200" s="67" t="n"/>
      <c r="Y200" s="67" t="n"/>
      <c r="Z200" s="67" t="n"/>
      <c r="AA200" s="67" t="n"/>
      <c r="AB200" s="67" t="n"/>
      <c r="AC200" s="67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</row>
    <row r="201">
      <c r="A201" s="66" t="n"/>
      <c r="B201" s="66" t="n"/>
      <c r="C201" s="66" t="n"/>
      <c r="D201" s="66" t="n"/>
      <c r="E201" s="67" t="n"/>
      <c r="F201" s="67" t="n"/>
      <c r="G201" s="68" t="n"/>
      <c r="H201" s="66" t="n"/>
      <c r="I201" s="66" t="n"/>
      <c r="J201" s="67" t="n"/>
      <c r="K201" s="67" t="n"/>
      <c r="L201" s="67" t="n"/>
      <c r="M201" s="28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7" t="n"/>
      <c r="X201" s="67" t="n"/>
      <c r="Y201" s="67" t="n"/>
      <c r="Z201" s="67" t="n"/>
      <c r="AA201" s="67" t="n"/>
      <c r="AB201" s="67" t="n"/>
      <c r="AC201" s="67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</row>
    <row r="202">
      <c r="A202" s="66" t="n"/>
      <c r="B202" s="66" t="n"/>
      <c r="C202" s="66" t="n"/>
      <c r="D202" s="66" t="n"/>
      <c r="E202" s="67" t="n"/>
      <c r="F202" s="67" t="n"/>
      <c r="G202" s="68" t="n"/>
      <c r="H202" s="66" t="n"/>
      <c r="I202" s="66" t="n"/>
      <c r="J202" s="67" t="n"/>
      <c r="K202" s="67" t="n"/>
      <c r="L202" s="67" t="n"/>
      <c r="M202" s="28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7" t="n"/>
      <c r="X202" s="67" t="n"/>
      <c r="Y202" s="67" t="n"/>
      <c r="Z202" s="67" t="n"/>
      <c r="AA202" s="67" t="n"/>
      <c r="AB202" s="67" t="n"/>
      <c r="AC202" s="67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</row>
    <row r="203">
      <c r="A203" s="66" t="n"/>
      <c r="B203" s="66" t="n"/>
      <c r="C203" s="66" t="n"/>
      <c r="D203" s="66" t="n"/>
      <c r="E203" s="67" t="n"/>
      <c r="F203" s="67" t="n"/>
      <c r="G203" s="68" t="n"/>
      <c r="H203" s="66" t="n"/>
      <c r="I203" s="66" t="n"/>
      <c r="J203" s="67" t="n"/>
      <c r="K203" s="67" t="n"/>
      <c r="L203" s="67" t="n"/>
      <c r="M203" s="28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7" t="n"/>
      <c r="X203" s="67" t="n"/>
      <c r="Y203" s="67" t="n"/>
      <c r="Z203" s="67" t="n"/>
      <c r="AA203" s="67" t="n"/>
      <c r="AB203" s="67" t="n"/>
      <c r="AC203" s="67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</row>
    <row r="204">
      <c r="A204" s="66" t="n"/>
      <c r="B204" s="66" t="n"/>
      <c r="C204" s="66" t="n"/>
      <c r="D204" s="66" t="n"/>
      <c r="E204" s="67" t="n"/>
      <c r="F204" s="67" t="n"/>
      <c r="G204" s="68" t="n"/>
      <c r="H204" s="66" t="n"/>
      <c r="I204" s="66" t="n"/>
      <c r="J204" s="67" t="n"/>
      <c r="K204" s="67" t="n"/>
      <c r="L204" s="67" t="n"/>
      <c r="M204" s="28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7" t="n"/>
      <c r="X204" s="67" t="n"/>
      <c r="Y204" s="67" t="n"/>
      <c r="Z204" s="67" t="n"/>
      <c r="AA204" s="67" t="n"/>
      <c r="AB204" s="67" t="n"/>
      <c r="AC204" s="67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</row>
    <row r="205">
      <c r="A205" s="66" t="n"/>
      <c r="B205" s="66" t="n"/>
      <c r="C205" s="66" t="n"/>
      <c r="D205" s="66" t="n"/>
      <c r="E205" s="67" t="n"/>
      <c r="F205" s="67" t="n"/>
      <c r="G205" s="68" t="n"/>
      <c r="H205" s="66" t="n"/>
      <c r="I205" s="66" t="n"/>
      <c r="J205" s="67" t="n"/>
      <c r="K205" s="67" t="n"/>
      <c r="L205" s="67" t="n"/>
      <c r="M205" s="28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7" t="n"/>
      <c r="X205" s="67" t="n"/>
      <c r="Y205" s="67" t="n"/>
      <c r="Z205" s="67" t="n"/>
      <c r="AA205" s="67" t="n"/>
      <c r="AB205" s="67" t="n"/>
      <c r="AC205" s="67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</row>
    <row r="206">
      <c r="A206" s="66" t="n"/>
      <c r="B206" s="66" t="n"/>
      <c r="C206" s="66" t="n"/>
      <c r="D206" s="66" t="n"/>
      <c r="E206" s="67" t="n"/>
      <c r="F206" s="67" t="n"/>
      <c r="G206" s="68" t="n"/>
      <c r="H206" s="66" t="n"/>
      <c r="I206" s="66" t="n"/>
      <c r="J206" s="67" t="n"/>
      <c r="K206" s="67" t="n"/>
      <c r="L206" s="67" t="n"/>
      <c r="M206" s="28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7" t="n"/>
      <c r="X206" s="67" t="n"/>
      <c r="Y206" s="67" t="n"/>
      <c r="Z206" s="67" t="n"/>
      <c r="AA206" s="67" t="n"/>
      <c r="AB206" s="67" t="n"/>
      <c r="AC206" s="67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</row>
    <row r="207">
      <c r="A207" s="66" t="n"/>
      <c r="B207" s="66" t="n"/>
      <c r="C207" s="66" t="n"/>
      <c r="D207" s="66" t="n"/>
      <c r="E207" s="67" t="n"/>
      <c r="F207" s="67" t="n"/>
      <c r="G207" s="68" t="n"/>
      <c r="H207" s="66" t="n"/>
      <c r="I207" s="66" t="n"/>
      <c r="J207" s="67" t="n"/>
      <c r="K207" s="67" t="n"/>
      <c r="L207" s="67" t="n"/>
      <c r="M207" s="28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7" t="n"/>
      <c r="X207" s="67" t="n"/>
      <c r="Y207" s="67" t="n"/>
      <c r="Z207" s="67" t="n"/>
      <c r="AA207" s="67" t="n"/>
      <c r="AB207" s="67" t="n"/>
      <c r="AC207" s="67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</row>
    <row r="208">
      <c r="A208" s="66" t="n"/>
      <c r="B208" s="66" t="n"/>
      <c r="C208" s="66" t="n"/>
      <c r="D208" s="66" t="n"/>
      <c r="E208" s="67" t="n"/>
      <c r="F208" s="67" t="n"/>
      <c r="G208" s="68" t="n"/>
      <c r="H208" s="66" t="n"/>
      <c r="I208" s="66" t="n"/>
      <c r="J208" s="67" t="n"/>
      <c r="K208" s="67" t="n"/>
      <c r="L208" s="67" t="n"/>
      <c r="M208" s="28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7" t="n"/>
      <c r="X208" s="67" t="n"/>
      <c r="Y208" s="67" t="n"/>
      <c r="Z208" s="67" t="n"/>
      <c r="AA208" s="67" t="n"/>
      <c r="AB208" s="67" t="n"/>
      <c r="AC208" s="67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</row>
    <row r="209">
      <c r="A209" s="66" t="n"/>
      <c r="B209" s="66" t="n"/>
      <c r="C209" s="66" t="n"/>
      <c r="D209" s="66" t="n"/>
      <c r="E209" s="67" t="n"/>
      <c r="F209" s="67" t="n"/>
      <c r="G209" s="68" t="n"/>
      <c r="H209" s="66" t="n"/>
      <c r="I209" s="66" t="n"/>
      <c r="J209" s="67" t="n"/>
      <c r="K209" s="67" t="n"/>
      <c r="L209" s="67" t="n"/>
      <c r="M209" s="28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7" t="n"/>
      <c r="X209" s="67" t="n"/>
      <c r="Y209" s="67" t="n"/>
      <c r="Z209" s="67" t="n"/>
      <c r="AA209" s="67" t="n"/>
      <c r="AB209" s="67" t="n"/>
      <c r="AC209" s="67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</row>
    <row r="210">
      <c r="A210" s="66" t="n"/>
      <c r="B210" s="66" t="n"/>
      <c r="C210" s="66" t="n"/>
      <c r="D210" s="66" t="n"/>
      <c r="E210" s="67" t="n"/>
      <c r="F210" s="67" t="n"/>
      <c r="G210" s="68" t="n"/>
      <c r="H210" s="66" t="n"/>
      <c r="I210" s="66" t="n"/>
      <c r="J210" s="67" t="n"/>
      <c r="K210" s="67" t="n"/>
      <c r="L210" s="67" t="n"/>
      <c r="M210" s="28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7" t="n"/>
      <c r="X210" s="67" t="n"/>
      <c r="Y210" s="67" t="n"/>
      <c r="Z210" s="67" t="n"/>
      <c r="AA210" s="67" t="n"/>
      <c r="AB210" s="67" t="n"/>
      <c r="AC210" s="67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</row>
    <row r="211">
      <c r="A211" s="66" t="n"/>
      <c r="B211" s="66" t="n"/>
      <c r="C211" s="66" t="n"/>
      <c r="D211" s="66" t="n"/>
      <c r="E211" s="67" t="n"/>
      <c r="F211" s="67" t="n"/>
      <c r="G211" s="68" t="n"/>
      <c r="H211" s="66" t="n"/>
      <c r="I211" s="66" t="n"/>
      <c r="J211" s="67" t="n"/>
      <c r="K211" s="67" t="n"/>
      <c r="L211" s="67" t="n"/>
      <c r="M211" s="28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7" t="n"/>
      <c r="X211" s="67" t="n"/>
      <c r="Y211" s="67" t="n"/>
      <c r="Z211" s="67" t="n"/>
      <c r="AA211" s="67" t="n"/>
      <c r="AB211" s="67" t="n"/>
      <c r="AC211" s="67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</row>
    <row r="212">
      <c r="A212" s="66" t="n"/>
      <c r="B212" s="66" t="n"/>
      <c r="C212" s="66" t="n"/>
      <c r="D212" s="66" t="n"/>
      <c r="E212" s="67" t="n"/>
      <c r="F212" s="67" t="n"/>
      <c r="G212" s="68" t="n"/>
      <c r="H212" s="66" t="n"/>
      <c r="I212" s="66" t="n"/>
      <c r="J212" s="67" t="n"/>
      <c r="K212" s="67" t="n"/>
      <c r="L212" s="67" t="n"/>
      <c r="M212" s="28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7" t="n"/>
      <c r="X212" s="67" t="n"/>
      <c r="Y212" s="67" t="n"/>
      <c r="Z212" s="67" t="n"/>
      <c r="AA212" s="67" t="n"/>
      <c r="AB212" s="67" t="n"/>
      <c r="AC212" s="67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</row>
    <row r="213">
      <c r="A213" s="66" t="n"/>
      <c r="B213" s="66" t="n"/>
      <c r="C213" s="66" t="n"/>
      <c r="D213" s="66" t="n"/>
      <c r="E213" s="67" t="n"/>
      <c r="F213" s="67" t="n"/>
      <c r="G213" s="68" t="n"/>
      <c r="H213" s="66" t="n"/>
      <c r="I213" s="66" t="n"/>
      <c r="J213" s="67" t="n"/>
      <c r="K213" s="67" t="n"/>
      <c r="L213" s="67" t="n"/>
      <c r="M213" s="28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7" t="n"/>
      <c r="X213" s="67" t="n"/>
      <c r="Y213" s="67" t="n"/>
      <c r="Z213" s="67" t="n"/>
      <c r="AA213" s="67" t="n"/>
      <c r="AB213" s="67" t="n"/>
      <c r="AC213" s="67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</row>
    <row r="214">
      <c r="A214" s="66" t="n"/>
      <c r="B214" s="66" t="n"/>
      <c r="C214" s="66" t="n"/>
      <c r="D214" s="66" t="n"/>
      <c r="E214" s="67" t="n"/>
      <c r="F214" s="67" t="n"/>
      <c r="G214" s="68" t="n"/>
      <c r="H214" s="66" t="n"/>
      <c r="I214" s="66" t="n"/>
      <c r="J214" s="67" t="n"/>
      <c r="K214" s="67" t="n"/>
      <c r="L214" s="67" t="n"/>
      <c r="M214" s="28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7" t="n"/>
      <c r="X214" s="67" t="n"/>
      <c r="Y214" s="67" t="n"/>
      <c r="Z214" s="67" t="n"/>
      <c r="AA214" s="67" t="n"/>
      <c r="AB214" s="67" t="n"/>
      <c r="AC214" s="67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</row>
    <row r="215">
      <c r="A215" s="66" t="n"/>
      <c r="B215" s="66" t="n"/>
      <c r="C215" s="66" t="n"/>
      <c r="D215" s="66" t="n"/>
      <c r="E215" s="67" t="n"/>
      <c r="F215" s="67" t="n"/>
      <c r="G215" s="68" t="n"/>
      <c r="H215" s="66" t="n"/>
      <c r="I215" s="66" t="n"/>
      <c r="J215" s="67" t="n"/>
      <c r="K215" s="67" t="n"/>
      <c r="L215" s="67" t="n"/>
      <c r="M215" s="28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7" t="n"/>
      <c r="X215" s="67" t="n"/>
      <c r="Y215" s="67" t="n"/>
      <c r="Z215" s="67" t="n"/>
      <c r="AA215" s="67" t="n"/>
      <c r="AB215" s="67" t="n"/>
      <c r="AC215" s="67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</row>
    <row r="216">
      <c r="A216" s="66" t="n"/>
      <c r="B216" s="66" t="n"/>
      <c r="C216" s="66" t="n"/>
      <c r="D216" s="66" t="n"/>
      <c r="E216" s="67" t="n"/>
      <c r="F216" s="67" t="n"/>
      <c r="G216" s="68" t="n"/>
      <c r="H216" s="66" t="n"/>
      <c r="I216" s="66" t="n"/>
      <c r="J216" s="67" t="n"/>
      <c r="K216" s="67" t="n"/>
      <c r="L216" s="67" t="n"/>
      <c r="M216" s="28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7" t="n"/>
      <c r="X216" s="67" t="n"/>
      <c r="Y216" s="67" t="n"/>
      <c r="Z216" s="67" t="n"/>
      <c r="AA216" s="67" t="n"/>
      <c r="AB216" s="67" t="n"/>
      <c r="AC216" s="67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</row>
    <row r="217">
      <c r="A217" s="66" t="n"/>
      <c r="B217" s="66" t="n"/>
      <c r="C217" s="66" t="n"/>
      <c r="D217" s="66" t="n"/>
      <c r="E217" s="67" t="n"/>
      <c r="F217" s="67" t="n"/>
      <c r="G217" s="68" t="n"/>
      <c r="H217" s="66" t="n"/>
      <c r="I217" s="66" t="n"/>
      <c r="J217" s="67" t="n"/>
      <c r="K217" s="67" t="n"/>
      <c r="L217" s="67" t="n"/>
      <c r="M217" s="28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7" t="n"/>
      <c r="X217" s="67" t="n"/>
      <c r="Y217" s="67" t="n"/>
      <c r="Z217" s="67" t="n"/>
      <c r="AA217" s="67" t="n"/>
      <c r="AB217" s="67" t="n"/>
      <c r="AC217" s="67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</row>
    <row r="218">
      <c r="A218" s="66" t="n"/>
      <c r="B218" s="66" t="n"/>
      <c r="C218" s="66" t="n"/>
      <c r="D218" s="66" t="n"/>
      <c r="E218" s="67" t="n"/>
      <c r="F218" s="67" t="n"/>
      <c r="G218" s="68" t="n"/>
      <c r="H218" s="66" t="n"/>
      <c r="I218" s="66" t="n"/>
      <c r="J218" s="67" t="n"/>
      <c r="K218" s="67" t="n"/>
      <c r="L218" s="67" t="n"/>
      <c r="M218" s="28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7" t="n"/>
      <c r="X218" s="67" t="n"/>
      <c r="Y218" s="67" t="n"/>
      <c r="Z218" s="67" t="n"/>
      <c r="AA218" s="67" t="n"/>
      <c r="AB218" s="67" t="n"/>
      <c r="AC218" s="67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</row>
    <row r="219">
      <c r="A219" s="66" t="n"/>
      <c r="B219" s="66" t="n"/>
      <c r="C219" s="66" t="n"/>
      <c r="D219" s="66" t="n"/>
      <c r="E219" s="67" t="n"/>
      <c r="F219" s="67" t="n"/>
      <c r="G219" s="68" t="n"/>
      <c r="H219" s="66" t="n"/>
      <c r="I219" s="66" t="n"/>
      <c r="J219" s="67" t="n"/>
      <c r="K219" s="67" t="n"/>
      <c r="L219" s="67" t="n"/>
      <c r="M219" s="28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7" t="n"/>
      <c r="X219" s="67" t="n"/>
      <c r="Y219" s="67" t="n"/>
      <c r="Z219" s="67" t="n"/>
      <c r="AA219" s="67" t="n"/>
      <c r="AB219" s="67" t="n"/>
      <c r="AC219" s="67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</row>
    <row r="220">
      <c r="A220" s="66" t="n"/>
      <c r="B220" s="66" t="n"/>
      <c r="C220" s="66" t="n"/>
      <c r="D220" s="66" t="n"/>
      <c r="E220" s="67" t="n"/>
      <c r="F220" s="67" t="n"/>
      <c r="G220" s="68" t="n"/>
      <c r="H220" s="66" t="n"/>
      <c r="I220" s="66" t="n"/>
      <c r="J220" s="67" t="n"/>
      <c r="K220" s="67" t="n"/>
      <c r="L220" s="67" t="n"/>
      <c r="M220" s="28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7" t="n"/>
      <c r="X220" s="67" t="n"/>
      <c r="Y220" s="67" t="n"/>
      <c r="Z220" s="67" t="n"/>
      <c r="AA220" s="67" t="n"/>
      <c r="AB220" s="67" t="n"/>
      <c r="AC220" s="67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</row>
    <row r="221">
      <c r="A221" s="66" t="n"/>
      <c r="B221" s="66" t="n"/>
      <c r="C221" s="66" t="n"/>
      <c r="D221" s="66" t="n"/>
      <c r="E221" s="67" t="n"/>
      <c r="F221" s="67" t="n"/>
      <c r="G221" s="68" t="n"/>
      <c r="H221" s="66" t="n"/>
      <c r="I221" s="66" t="n"/>
      <c r="J221" s="67" t="n"/>
      <c r="K221" s="67" t="n"/>
      <c r="L221" s="67" t="n"/>
      <c r="M221" s="28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7" t="n"/>
      <c r="X221" s="67" t="n"/>
      <c r="Y221" s="67" t="n"/>
      <c r="Z221" s="67" t="n"/>
      <c r="AA221" s="67" t="n"/>
      <c r="AB221" s="67" t="n"/>
      <c r="AC221" s="67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</row>
    <row r="222">
      <c r="A222" s="66" t="n"/>
      <c r="B222" s="66" t="n"/>
      <c r="C222" s="66" t="n"/>
      <c r="D222" s="66" t="n"/>
      <c r="E222" s="67" t="n"/>
      <c r="F222" s="67" t="n"/>
      <c r="G222" s="68" t="n"/>
      <c r="H222" s="66" t="n"/>
      <c r="I222" s="66" t="n"/>
      <c r="J222" s="67" t="n"/>
      <c r="K222" s="67" t="n"/>
      <c r="L222" s="67" t="n"/>
      <c r="M222" s="28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7" t="n"/>
      <c r="X222" s="67" t="n"/>
      <c r="Y222" s="67" t="n"/>
      <c r="Z222" s="67" t="n"/>
      <c r="AA222" s="67" t="n"/>
      <c r="AB222" s="67" t="n"/>
      <c r="AC222" s="67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</row>
    <row r="223">
      <c r="A223" s="66" t="n"/>
      <c r="B223" s="66" t="n"/>
      <c r="C223" s="66" t="n"/>
      <c r="D223" s="66" t="n"/>
      <c r="E223" s="67" t="n"/>
      <c r="F223" s="67" t="n"/>
      <c r="G223" s="68" t="n"/>
      <c r="H223" s="66" t="n"/>
      <c r="I223" s="66" t="n"/>
      <c r="J223" s="67" t="n"/>
      <c r="K223" s="67" t="n"/>
      <c r="L223" s="67" t="n"/>
      <c r="M223" s="28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7" t="n"/>
      <c r="X223" s="67" t="n"/>
      <c r="Y223" s="67" t="n"/>
      <c r="Z223" s="67" t="n"/>
      <c r="AA223" s="67" t="n"/>
      <c r="AB223" s="67" t="n"/>
      <c r="AC223" s="67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</row>
    <row r="224">
      <c r="A224" s="66" t="n"/>
      <c r="B224" s="66" t="n"/>
      <c r="C224" s="66" t="n"/>
      <c r="D224" s="66" t="n"/>
      <c r="E224" s="67" t="n"/>
      <c r="F224" s="67" t="n"/>
      <c r="G224" s="68" t="n"/>
      <c r="H224" s="66" t="n"/>
      <c r="I224" s="66" t="n"/>
      <c r="J224" s="67" t="n"/>
      <c r="K224" s="67" t="n"/>
      <c r="L224" s="67" t="n"/>
      <c r="M224" s="28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7" t="n"/>
      <c r="X224" s="67" t="n"/>
      <c r="Y224" s="67" t="n"/>
      <c r="Z224" s="67" t="n"/>
      <c r="AA224" s="67" t="n"/>
      <c r="AB224" s="67" t="n"/>
      <c r="AC224" s="67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</row>
    <row r="225">
      <c r="A225" s="66" t="n"/>
      <c r="B225" s="66" t="n"/>
      <c r="C225" s="66" t="n"/>
      <c r="D225" s="66" t="n"/>
      <c r="E225" s="67" t="n"/>
      <c r="F225" s="67" t="n"/>
      <c r="G225" s="68" t="n"/>
      <c r="H225" s="66" t="n"/>
      <c r="I225" s="66" t="n"/>
      <c r="J225" s="67" t="n"/>
      <c r="K225" s="67" t="n"/>
      <c r="L225" s="67" t="n"/>
      <c r="M225" s="28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7" t="n"/>
      <c r="X225" s="67" t="n"/>
      <c r="Y225" s="67" t="n"/>
      <c r="Z225" s="67" t="n"/>
      <c r="AA225" s="67" t="n"/>
      <c r="AB225" s="67" t="n"/>
      <c r="AC225" s="67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</row>
    <row r="226">
      <c r="A226" s="66" t="n"/>
      <c r="B226" s="66" t="n"/>
      <c r="C226" s="66" t="n"/>
      <c r="D226" s="66" t="n"/>
      <c r="E226" s="67" t="n"/>
      <c r="F226" s="67" t="n"/>
      <c r="G226" s="68" t="n"/>
      <c r="H226" s="66" t="n"/>
      <c r="I226" s="66" t="n"/>
      <c r="J226" s="67" t="n"/>
      <c r="K226" s="67" t="n"/>
      <c r="L226" s="67" t="n"/>
      <c r="M226" s="28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7" t="n"/>
      <c r="X226" s="67" t="n"/>
      <c r="Y226" s="67" t="n"/>
      <c r="Z226" s="67" t="n"/>
      <c r="AA226" s="67" t="n"/>
      <c r="AB226" s="67" t="n"/>
      <c r="AC226" s="67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</row>
    <row r="227">
      <c r="A227" s="66" t="n"/>
      <c r="B227" s="66" t="n"/>
      <c r="C227" s="66" t="n"/>
      <c r="D227" s="66" t="n"/>
      <c r="E227" s="67" t="n"/>
      <c r="F227" s="67" t="n"/>
      <c r="G227" s="68" t="n"/>
      <c r="H227" s="66" t="n"/>
      <c r="I227" s="66" t="n"/>
      <c r="J227" s="67" t="n"/>
      <c r="K227" s="67" t="n"/>
      <c r="L227" s="67" t="n"/>
      <c r="M227" s="28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7" t="n"/>
      <c r="X227" s="67" t="n"/>
      <c r="Y227" s="67" t="n"/>
      <c r="Z227" s="67" t="n"/>
      <c r="AA227" s="67" t="n"/>
      <c r="AB227" s="67" t="n"/>
      <c r="AC227" s="67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</row>
    <row r="228">
      <c r="A228" s="66" t="n"/>
      <c r="B228" s="66" t="n"/>
      <c r="C228" s="66" t="n"/>
      <c r="D228" s="66" t="n"/>
      <c r="E228" s="67" t="n"/>
      <c r="F228" s="67" t="n"/>
      <c r="G228" s="68" t="n"/>
      <c r="H228" s="66" t="n"/>
      <c r="I228" s="66" t="n"/>
      <c r="J228" s="67" t="n"/>
      <c r="K228" s="67" t="n"/>
      <c r="L228" s="67" t="n"/>
      <c r="M228" s="28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7" t="n"/>
      <c r="X228" s="67" t="n"/>
      <c r="Y228" s="67" t="n"/>
      <c r="Z228" s="67" t="n"/>
      <c r="AA228" s="67" t="n"/>
      <c r="AB228" s="67" t="n"/>
      <c r="AC228" s="67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</row>
    <row r="229">
      <c r="A229" s="66" t="n"/>
      <c r="B229" s="66" t="n"/>
      <c r="C229" s="66" t="n"/>
      <c r="D229" s="66" t="n"/>
      <c r="E229" s="67" t="n"/>
      <c r="F229" s="67" t="n"/>
      <c r="G229" s="68" t="n"/>
      <c r="H229" s="66" t="n"/>
      <c r="I229" s="66" t="n"/>
      <c r="J229" s="67" t="n"/>
      <c r="K229" s="67" t="n"/>
      <c r="L229" s="67" t="n"/>
      <c r="M229" s="28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7" t="n"/>
      <c r="X229" s="67" t="n"/>
      <c r="Y229" s="67" t="n"/>
      <c r="Z229" s="67" t="n"/>
      <c r="AA229" s="67" t="n"/>
      <c r="AB229" s="67" t="n"/>
      <c r="AC229" s="67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</row>
    <row r="230">
      <c r="A230" s="66" t="n"/>
      <c r="B230" s="66" t="n"/>
      <c r="C230" s="66" t="n"/>
      <c r="D230" s="66" t="n"/>
      <c r="E230" s="67" t="n"/>
      <c r="F230" s="67" t="n"/>
      <c r="G230" s="68" t="n"/>
      <c r="H230" s="66" t="n"/>
      <c r="I230" s="66" t="n"/>
      <c r="J230" s="67" t="n"/>
      <c r="K230" s="67" t="n"/>
      <c r="L230" s="67" t="n"/>
      <c r="M230" s="28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7" t="n"/>
      <c r="X230" s="67" t="n"/>
      <c r="Y230" s="67" t="n"/>
      <c r="Z230" s="67" t="n"/>
      <c r="AA230" s="67" t="n"/>
      <c r="AB230" s="67" t="n"/>
      <c r="AC230" s="67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</row>
    <row r="231">
      <c r="A231" s="66" t="n"/>
      <c r="B231" s="66" t="n"/>
      <c r="C231" s="66" t="n"/>
      <c r="D231" s="66" t="n"/>
      <c r="E231" s="67" t="n"/>
      <c r="F231" s="67" t="n"/>
      <c r="G231" s="68" t="n"/>
      <c r="H231" s="66" t="n"/>
      <c r="I231" s="66" t="n"/>
      <c r="J231" s="67" t="n"/>
      <c r="K231" s="67" t="n"/>
      <c r="L231" s="67" t="n"/>
      <c r="M231" s="28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7" t="n"/>
      <c r="X231" s="67" t="n"/>
      <c r="Y231" s="67" t="n"/>
      <c r="Z231" s="67" t="n"/>
      <c r="AA231" s="67" t="n"/>
      <c r="AB231" s="67" t="n"/>
      <c r="AC231" s="67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</row>
    <row r="232">
      <c r="A232" s="66" t="n"/>
      <c r="B232" s="66" t="n"/>
      <c r="C232" s="66" t="n"/>
      <c r="D232" s="66" t="n"/>
      <c r="E232" s="67" t="n"/>
      <c r="F232" s="67" t="n"/>
      <c r="G232" s="68" t="n"/>
      <c r="H232" s="66" t="n"/>
      <c r="I232" s="66" t="n"/>
      <c r="J232" s="67" t="n"/>
      <c r="K232" s="67" t="n"/>
      <c r="L232" s="67" t="n"/>
      <c r="M232" s="28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7" t="n"/>
      <c r="X232" s="67" t="n"/>
      <c r="Y232" s="67" t="n"/>
      <c r="Z232" s="67" t="n"/>
      <c r="AA232" s="67" t="n"/>
      <c r="AB232" s="67" t="n"/>
      <c r="AC232" s="67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</row>
    <row r="233">
      <c r="A233" s="66" t="n"/>
      <c r="B233" s="66" t="n"/>
      <c r="C233" s="66" t="n"/>
      <c r="D233" s="66" t="n"/>
      <c r="E233" s="67" t="n"/>
      <c r="F233" s="67" t="n"/>
      <c r="G233" s="68" t="n"/>
      <c r="H233" s="66" t="n"/>
      <c r="I233" s="66" t="n"/>
      <c r="J233" s="67" t="n"/>
      <c r="K233" s="67" t="n"/>
      <c r="L233" s="67" t="n"/>
      <c r="M233" s="28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7" t="n"/>
      <c r="X233" s="67" t="n"/>
      <c r="Y233" s="67" t="n"/>
      <c r="Z233" s="67" t="n"/>
      <c r="AA233" s="67" t="n"/>
      <c r="AB233" s="67" t="n"/>
      <c r="AC233" s="67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</row>
    <row r="234">
      <c r="A234" s="66" t="n"/>
      <c r="B234" s="66" t="n"/>
      <c r="C234" s="66" t="n"/>
      <c r="D234" s="66" t="n"/>
      <c r="E234" s="67" t="n"/>
      <c r="F234" s="67" t="n"/>
      <c r="G234" s="68" t="n"/>
      <c r="H234" s="66" t="n"/>
      <c r="I234" s="66" t="n"/>
      <c r="J234" s="67" t="n"/>
      <c r="K234" s="67" t="n"/>
      <c r="L234" s="67" t="n"/>
      <c r="M234" s="28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7" t="n"/>
      <c r="X234" s="67" t="n"/>
      <c r="Y234" s="67" t="n"/>
      <c r="Z234" s="67" t="n"/>
      <c r="AA234" s="67" t="n"/>
      <c r="AB234" s="67" t="n"/>
      <c r="AC234" s="67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</row>
    <row r="235">
      <c r="A235" s="66" t="n"/>
      <c r="B235" s="66" t="n"/>
      <c r="C235" s="66" t="n"/>
      <c r="D235" s="66" t="n"/>
      <c r="E235" s="67" t="n"/>
      <c r="F235" s="67" t="n"/>
      <c r="G235" s="68" t="n"/>
      <c r="H235" s="66" t="n"/>
      <c r="I235" s="66" t="n"/>
      <c r="J235" s="67" t="n"/>
      <c r="K235" s="67" t="n"/>
      <c r="L235" s="67" t="n"/>
      <c r="M235" s="28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7" t="n"/>
      <c r="X235" s="67" t="n"/>
      <c r="Y235" s="67" t="n"/>
      <c r="Z235" s="67" t="n"/>
      <c r="AA235" s="67" t="n"/>
      <c r="AB235" s="67" t="n"/>
      <c r="AC235" s="67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</row>
    <row r="236">
      <c r="A236" s="66" t="n"/>
      <c r="B236" s="66" t="n"/>
      <c r="C236" s="66" t="n"/>
      <c r="D236" s="66" t="n"/>
      <c r="E236" s="67" t="n"/>
      <c r="F236" s="67" t="n"/>
      <c r="G236" s="68" t="n"/>
      <c r="H236" s="66" t="n"/>
      <c r="I236" s="66" t="n"/>
      <c r="J236" s="67" t="n"/>
      <c r="K236" s="67" t="n"/>
      <c r="L236" s="67" t="n"/>
      <c r="M236" s="28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7" t="n"/>
      <c r="X236" s="67" t="n"/>
      <c r="Y236" s="67" t="n"/>
      <c r="Z236" s="67" t="n"/>
      <c r="AA236" s="67" t="n"/>
      <c r="AB236" s="67" t="n"/>
      <c r="AC236" s="67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</row>
    <row r="237">
      <c r="A237" s="66" t="n"/>
      <c r="B237" s="66" t="n"/>
      <c r="C237" s="66" t="n"/>
      <c r="D237" s="66" t="n"/>
      <c r="E237" s="67" t="n"/>
      <c r="F237" s="67" t="n"/>
      <c r="G237" s="68" t="n"/>
      <c r="H237" s="66" t="n"/>
      <c r="I237" s="66" t="n"/>
      <c r="J237" s="67" t="n"/>
      <c r="K237" s="67" t="n"/>
      <c r="L237" s="67" t="n"/>
      <c r="M237" s="28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7" t="n"/>
      <c r="X237" s="67" t="n"/>
      <c r="Y237" s="67" t="n"/>
      <c r="Z237" s="67" t="n"/>
      <c r="AA237" s="67" t="n"/>
      <c r="AB237" s="67" t="n"/>
      <c r="AC237" s="67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</row>
    <row r="238">
      <c r="A238" s="66" t="n"/>
      <c r="B238" s="66" t="n"/>
      <c r="C238" s="66" t="n"/>
      <c r="D238" s="66" t="n"/>
      <c r="E238" s="67" t="n"/>
      <c r="F238" s="67" t="n"/>
      <c r="G238" s="68" t="n"/>
      <c r="H238" s="66" t="n"/>
      <c r="I238" s="66" t="n"/>
      <c r="J238" s="67" t="n"/>
      <c r="K238" s="67" t="n"/>
      <c r="L238" s="67" t="n"/>
      <c r="M238" s="28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7" t="n"/>
      <c r="X238" s="67" t="n"/>
      <c r="Y238" s="67" t="n"/>
      <c r="Z238" s="67" t="n"/>
      <c r="AA238" s="67" t="n"/>
      <c r="AB238" s="67" t="n"/>
      <c r="AC238" s="67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</row>
    <row r="239">
      <c r="A239" s="66" t="n"/>
      <c r="B239" s="66" t="n"/>
      <c r="C239" s="66" t="n"/>
      <c r="D239" s="66" t="n"/>
      <c r="E239" s="67" t="n"/>
      <c r="F239" s="67" t="n"/>
      <c r="G239" s="68" t="n"/>
      <c r="H239" s="66" t="n"/>
      <c r="I239" s="66" t="n"/>
      <c r="J239" s="67" t="n"/>
      <c r="K239" s="67" t="n"/>
      <c r="L239" s="67" t="n"/>
      <c r="M239" s="28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7" t="n"/>
      <c r="X239" s="67" t="n"/>
      <c r="Y239" s="67" t="n"/>
      <c r="Z239" s="67" t="n"/>
      <c r="AA239" s="67" t="n"/>
      <c r="AB239" s="67" t="n"/>
      <c r="AC239" s="67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</row>
    <row r="240">
      <c r="A240" s="66" t="n"/>
      <c r="B240" s="66" t="n"/>
      <c r="C240" s="66" t="n"/>
      <c r="D240" s="66" t="n"/>
      <c r="E240" s="67" t="n"/>
      <c r="F240" s="67" t="n"/>
      <c r="G240" s="68" t="n"/>
      <c r="H240" s="66" t="n"/>
      <c r="I240" s="66" t="n"/>
      <c r="J240" s="67" t="n"/>
      <c r="K240" s="67" t="n"/>
      <c r="L240" s="67" t="n"/>
      <c r="M240" s="28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7" t="n"/>
      <c r="X240" s="67" t="n"/>
      <c r="Y240" s="67" t="n"/>
      <c r="Z240" s="67" t="n"/>
      <c r="AA240" s="67" t="n"/>
      <c r="AB240" s="67" t="n"/>
      <c r="AC240" s="67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</row>
    <row r="241">
      <c r="A241" s="66" t="n"/>
      <c r="B241" s="66" t="n"/>
      <c r="C241" s="66" t="n"/>
      <c r="D241" s="66" t="n"/>
      <c r="E241" s="67" t="n"/>
      <c r="F241" s="67" t="n"/>
      <c r="G241" s="68" t="n"/>
      <c r="H241" s="66" t="n"/>
      <c r="I241" s="66" t="n"/>
      <c r="J241" s="67" t="n"/>
      <c r="K241" s="67" t="n"/>
      <c r="L241" s="67" t="n"/>
      <c r="M241" s="28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7" t="n"/>
      <c r="X241" s="67" t="n"/>
      <c r="Y241" s="67" t="n"/>
      <c r="Z241" s="67" t="n"/>
      <c r="AA241" s="67" t="n"/>
      <c r="AB241" s="67" t="n"/>
      <c r="AC241" s="67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</row>
    <row r="242">
      <c r="A242" s="66" t="n"/>
      <c r="B242" s="66" t="n"/>
      <c r="C242" s="66" t="n"/>
      <c r="D242" s="66" t="n"/>
      <c r="E242" s="67" t="n"/>
      <c r="F242" s="67" t="n"/>
      <c r="G242" s="68" t="n"/>
      <c r="H242" s="66" t="n"/>
      <c r="I242" s="66" t="n"/>
      <c r="J242" s="67" t="n"/>
      <c r="K242" s="67" t="n"/>
      <c r="L242" s="67" t="n"/>
      <c r="M242" s="28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7" t="n"/>
      <c r="X242" s="67" t="n"/>
      <c r="Y242" s="67" t="n"/>
      <c r="Z242" s="67" t="n"/>
      <c r="AA242" s="67" t="n"/>
      <c r="AB242" s="67" t="n"/>
      <c r="AC242" s="67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</row>
    <row r="243">
      <c r="A243" s="66" t="n"/>
      <c r="B243" s="66" t="n"/>
      <c r="C243" s="66" t="n"/>
      <c r="D243" s="66" t="n"/>
      <c r="E243" s="67" t="n"/>
      <c r="F243" s="67" t="n"/>
      <c r="G243" s="68" t="n"/>
      <c r="H243" s="66" t="n"/>
      <c r="I243" s="66" t="n"/>
      <c r="J243" s="67" t="n"/>
      <c r="K243" s="67" t="n"/>
      <c r="L243" s="67" t="n"/>
      <c r="M243" s="28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7" t="n"/>
      <c r="X243" s="67" t="n"/>
      <c r="Y243" s="67" t="n"/>
      <c r="Z243" s="67" t="n"/>
      <c r="AA243" s="67" t="n"/>
      <c r="AB243" s="67" t="n"/>
      <c r="AC243" s="67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</row>
    <row r="244">
      <c r="A244" s="66" t="n"/>
      <c r="B244" s="66" t="n"/>
      <c r="C244" s="66" t="n"/>
      <c r="D244" s="66" t="n"/>
      <c r="E244" s="67" t="n"/>
      <c r="F244" s="67" t="n"/>
      <c r="G244" s="68" t="n"/>
      <c r="H244" s="66" t="n"/>
      <c r="I244" s="66" t="n"/>
      <c r="J244" s="67" t="n"/>
      <c r="K244" s="67" t="n"/>
      <c r="L244" s="67" t="n"/>
      <c r="M244" s="28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7" t="n"/>
      <c r="X244" s="67" t="n"/>
      <c r="Y244" s="67" t="n"/>
      <c r="Z244" s="67" t="n"/>
      <c r="AA244" s="67" t="n"/>
      <c r="AB244" s="67" t="n"/>
      <c r="AC244" s="67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</row>
    <row r="245">
      <c r="A245" s="66" t="n"/>
      <c r="B245" s="66" t="n"/>
      <c r="C245" s="66" t="n"/>
      <c r="D245" s="66" t="n"/>
      <c r="E245" s="67" t="n"/>
      <c r="F245" s="67" t="n"/>
      <c r="G245" s="68" t="n"/>
      <c r="H245" s="66" t="n"/>
      <c r="I245" s="66" t="n"/>
      <c r="J245" s="67" t="n"/>
      <c r="K245" s="67" t="n"/>
      <c r="L245" s="67" t="n"/>
      <c r="M245" s="28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7" t="n"/>
      <c r="X245" s="67" t="n"/>
      <c r="Y245" s="67" t="n"/>
      <c r="Z245" s="67" t="n"/>
      <c r="AA245" s="67" t="n"/>
      <c r="AB245" s="67" t="n"/>
      <c r="AC245" s="67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</row>
    <row r="246">
      <c r="A246" s="66" t="n"/>
      <c r="B246" s="66" t="n"/>
      <c r="C246" s="66" t="n"/>
      <c r="D246" s="66" t="n"/>
      <c r="E246" s="67" t="n"/>
      <c r="F246" s="67" t="n"/>
      <c r="G246" s="68" t="n"/>
      <c r="H246" s="66" t="n"/>
      <c r="I246" s="66" t="n"/>
      <c r="J246" s="67" t="n"/>
      <c r="K246" s="67" t="n"/>
      <c r="L246" s="67" t="n"/>
      <c r="M246" s="28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7" t="n"/>
      <c r="X246" s="67" t="n"/>
      <c r="Y246" s="67" t="n"/>
      <c r="Z246" s="67" t="n"/>
      <c r="AA246" s="67" t="n"/>
      <c r="AB246" s="67" t="n"/>
      <c r="AC246" s="67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</row>
    <row r="247">
      <c r="A247" s="66" t="n"/>
      <c r="B247" s="66" t="n"/>
      <c r="C247" s="66" t="n"/>
      <c r="D247" s="66" t="n"/>
      <c r="E247" s="67" t="n"/>
      <c r="F247" s="67" t="n"/>
      <c r="G247" s="68" t="n"/>
      <c r="H247" s="66" t="n"/>
      <c r="I247" s="66" t="n"/>
      <c r="J247" s="67" t="n"/>
      <c r="K247" s="67" t="n"/>
      <c r="L247" s="67" t="n"/>
      <c r="M247" s="28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7" t="n"/>
      <c r="X247" s="67" t="n"/>
      <c r="Y247" s="67" t="n"/>
      <c r="Z247" s="67" t="n"/>
      <c r="AA247" s="67" t="n"/>
      <c r="AB247" s="67" t="n"/>
      <c r="AC247" s="67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</row>
    <row r="248">
      <c r="A248" s="66" t="n"/>
      <c r="B248" s="66" t="n"/>
      <c r="C248" s="66" t="n"/>
      <c r="D248" s="66" t="n"/>
      <c r="E248" s="67" t="n"/>
      <c r="F248" s="67" t="n"/>
      <c r="G248" s="68" t="n"/>
      <c r="H248" s="66" t="n"/>
      <c r="I248" s="66" t="n"/>
      <c r="J248" s="67" t="n"/>
      <c r="K248" s="67" t="n"/>
      <c r="L248" s="67" t="n"/>
      <c r="M248" s="28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7" t="n"/>
      <c r="X248" s="67" t="n"/>
      <c r="Y248" s="67" t="n"/>
      <c r="Z248" s="67" t="n"/>
      <c r="AA248" s="67" t="n"/>
      <c r="AB248" s="67" t="n"/>
      <c r="AC248" s="67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</row>
    <row r="249">
      <c r="A249" s="66" t="n"/>
      <c r="B249" s="66" t="n"/>
      <c r="C249" s="66" t="n"/>
      <c r="D249" s="66" t="n"/>
      <c r="E249" s="67" t="n"/>
      <c r="F249" s="67" t="n"/>
      <c r="G249" s="68" t="n"/>
      <c r="H249" s="66" t="n"/>
      <c r="I249" s="66" t="n"/>
      <c r="J249" s="67" t="n"/>
      <c r="K249" s="67" t="n"/>
      <c r="L249" s="67" t="n"/>
      <c r="M249" s="28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7" t="n"/>
      <c r="X249" s="67" t="n"/>
      <c r="Y249" s="67" t="n"/>
      <c r="Z249" s="67" t="n"/>
      <c r="AA249" s="67" t="n"/>
      <c r="AB249" s="67" t="n"/>
      <c r="AC249" s="67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</row>
    <row r="250">
      <c r="A250" s="66" t="n"/>
      <c r="B250" s="66" t="n"/>
      <c r="C250" s="66" t="n"/>
      <c r="D250" s="66" t="n"/>
      <c r="E250" s="67" t="n"/>
      <c r="F250" s="67" t="n"/>
      <c r="G250" s="68" t="n"/>
      <c r="H250" s="66" t="n"/>
      <c r="I250" s="66" t="n"/>
      <c r="J250" s="67" t="n"/>
      <c r="K250" s="67" t="n"/>
      <c r="L250" s="67" t="n"/>
      <c r="M250" s="28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7" t="n"/>
      <c r="X250" s="67" t="n"/>
      <c r="Y250" s="67" t="n"/>
      <c r="Z250" s="67" t="n"/>
      <c r="AA250" s="67" t="n"/>
      <c r="AB250" s="67" t="n"/>
      <c r="AC250" s="67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</row>
    <row r="251">
      <c r="A251" s="66" t="n"/>
      <c r="B251" s="66" t="n"/>
      <c r="C251" s="66" t="n"/>
      <c r="D251" s="66" t="n"/>
      <c r="E251" s="67" t="n"/>
      <c r="F251" s="67" t="n"/>
      <c r="G251" s="68" t="n"/>
      <c r="H251" s="66" t="n"/>
      <c r="I251" s="66" t="n"/>
      <c r="J251" s="67" t="n"/>
      <c r="K251" s="67" t="n"/>
      <c r="L251" s="67" t="n"/>
      <c r="M251" s="28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7" t="n"/>
      <c r="X251" s="67" t="n"/>
      <c r="Y251" s="67" t="n"/>
      <c r="Z251" s="67" t="n"/>
      <c r="AA251" s="67" t="n"/>
      <c r="AB251" s="67" t="n"/>
      <c r="AC251" s="67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</row>
    <row r="252">
      <c r="A252" s="66" t="n"/>
      <c r="B252" s="66" t="n"/>
      <c r="C252" s="66" t="n"/>
      <c r="D252" s="66" t="n"/>
      <c r="E252" s="67" t="n"/>
      <c r="F252" s="67" t="n"/>
      <c r="G252" s="68" t="n"/>
      <c r="H252" s="66" t="n"/>
      <c r="I252" s="66" t="n"/>
      <c r="J252" s="67" t="n"/>
      <c r="K252" s="67" t="n"/>
      <c r="L252" s="67" t="n"/>
      <c r="M252" s="28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7" t="n"/>
      <c r="X252" s="67" t="n"/>
      <c r="Y252" s="67" t="n"/>
      <c r="Z252" s="67" t="n"/>
      <c r="AA252" s="67" t="n"/>
      <c r="AB252" s="67" t="n"/>
      <c r="AC252" s="67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</row>
    <row r="253">
      <c r="A253" s="66" t="n"/>
      <c r="B253" s="66" t="n"/>
      <c r="C253" s="66" t="n"/>
      <c r="D253" s="66" t="n"/>
      <c r="E253" s="67" t="n"/>
      <c r="F253" s="67" t="n"/>
      <c r="G253" s="68" t="n"/>
      <c r="H253" s="66" t="n"/>
      <c r="I253" s="66" t="n"/>
      <c r="J253" s="67" t="n"/>
      <c r="K253" s="67" t="n"/>
      <c r="L253" s="67" t="n"/>
      <c r="M253" s="28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7" t="n"/>
      <c r="X253" s="67" t="n"/>
      <c r="Y253" s="67" t="n"/>
      <c r="Z253" s="67" t="n"/>
      <c r="AA253" s="67" t="n"/>
      <c r="AB253" s="67" t="n"/>
      <c r="AC253" s="67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</row>
    <row r="254">
      <c r="A254" s="66" t="n"/>
      <c r="B254" s="66" t="n"/>
      <c r="C254" s="66" t="n"/>
      <c r="D254" s="66" t="n"/>
      <c r="E254" s="67" t="n"/>
      <c r="F254" s="67" t="n"/>
      <c r="G254" s="68" t="n"/>
      <c r="H254" s="66" t="n"/>
      <c r="I254" s="66" t="n"/>
      <c r="J254" s="67" t="n"/>
      <c r="K254" s="67" t="n"/>
      <c r="L254" s="67" t="n"/>
      <c r="M254" s="28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7" t="n"/>
      <c r="X254" s="67" t="n"/>
      <c r="Y254" s="67" t="n"/>
      <c r="Z254" s="67" t="n"/>
      <c r="AA254" s="67" t="n"/>
      <c r="AB254" s="67" t="n"/>
      <c r="AC254" s="67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</row>
    <row r="255">
      <c r="A255" s="66" t="n"/>
      <c r="B255" s="66" t="n"/>
      <c r="C255" s="66" t="n"/>
      <c r="D255" s="66" t="n"/>
      <c r="E255" s="67" t="n"/>
      <c r="F255" s="67" t="n"/>
      <c r="G255" s="68" t="n"/>
      <c r="H255" s="66" t="n"/>
      <c r="I255" s="66" t="n"/>
      <c r="J255" s="67" t="n"/>
      <c r="K255" s="67" t="n"/>
      <c r="L255" s="67" t="n"/>
      <c r="M255" s="28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7" t="n"/>
      <c r="X255" s="67" t="n"/>
      <c r="Y255" s="67" t="n"/>
      <c r="Z255" s="67" t="n"/>
      <c r="AA255" s="67" t="n"/>
      <c r="AB255" s="67" t="n"/>
      <c r="AC255" s="67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</row>
    <row r="256">
      <c r="A256" s="66" t="n"/>
      <c r="B256" s="66" t="n"/>
      <c r="C256" s="66" t="n"/>
      <c r="D256" s="66" t="n"/>
      <c r="E256" s="67" t="n"/>
      <c r="F256" s="67" t="n"/>
      <c r="G256" s="68" t="n"/>
      <c r="H256" s="66" t="n"/>
      <c r="I256" s="66" t="n"/>
      <c r="J256" s="67" t="n"/>
      <c r="K256" s="67" t="n"/>
      <c r="L256" s="67" t="n"/>
      <c r="M256" s="28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7" t="n"/>
      <c r="X256" s="67" t="n"/>
      <c r="Y256" s="67" t="n"/>
      <c r="Z256" s="67" t="n"/>
      <c r="AA256" s="67" t="n"/>
      <c r="AB256" s="67" t="n"/>
      <c r="AC256" s="67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</row>
    <row r="257">
      <c r="A257" s="66" t="n"/>
      <c r="B257" s="66" t="n"/>
      <c r="C257" s="66" t="n"/>
      <c r="D257" s="66" t="n"/>
      <c r="E257" s="67" t="n"/>
      <c r="F257" s="67" t="n"/>
      <c r="G257" s="68" t="n"/>
      <c r="H257" s="66" t="n"/>
      <c r="I257" s="66" t="n"/>
      <c r="J257" s="67" t="n"/>
      <c r="K257" s="67" t="n"/>
      <c r="L257" s="67" t="n"/>
      <c r="M257" s="28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7" t="n"/>
      <c r="X257" s="67" t="n"/>
      <c r="Y257" s="67" t="n"/>
      <c r="Z257" s="67" t="n"/>
      <c r="AA257" s="67" t="n"/>
      <c r="AB257" s="67" t="n"/>
      <c r="AC257" s="67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</row>
    <row r="258">
      <c r="A258" s="66" t="n"/>
      <c r="B258" s="66" t="n"/>
      <c r="C258" s="66" t="n"/>
      <c r="D258" s="66" t="n"/>
      <c r="E258" s="67" t="n"/>
      <c r="F258" s="67" t="n"/>
      <c r="G258" s="68" t="n"/>
      <c r="H258" s="66" t="n"/>
      <c r="I258" s="66" t="n"/>
      <c r="J258" s="67" t="n"/>
      <c r="K258" s="67" t="n"/>
      <c r="L258" s="67" t="n"/>
      <c r="M258" s="28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7" t="n"/>
      <c r="X258" s="67" t="n"/>
      <c r="Y258" s="67" t="n"/>
      <c r="Z258" s="67" t="n"/>
      <c r="AA258" s="67" t="n"/>
      <c r="AB258" s="67" t="n"/>
      <c r="AC258" s="67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</row>
    <row r="259">
      <c r="A259" s="66" t="n"/>
      <c r="B259" s="66" t="n"/>
      <c r="C259" s="66" t="n"/>
      <c r="D259" s="66" t="n"/>
      <c r="E259" s="67" t="n"/>
      <c r="F259" s="67" t="n"/>
      <c r="G259" s="68" t="n"/>
      <c r="H259" s="66" t="n"/>
      <c r="I259" s="66" t="n"/>
      <c r="J259" s="67" t="n"/>
      <c r="K259" s="67" t="n"/>
      <c r="L259" s="67" t="n"/>
      <c r="M259" s="28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7" t="n"/>
      <c r="X259" s="67" t="n"/>
      <c r="Y259" s="67" t="n"/>
      <c r="Z259" s="67" t="n"/>
      <c r="AA259" s="67" t="n"/>
      <c r="AB259" s="67" t="n"/>
      <c r="AC259" s="67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</row>
    <row r="260">
      <c r="A260" s="66" t="n"/>
      <c r="B260" s="66" t="n"/>
      <c r="C260" s="66" t="n"/>
      <c r="D260" s="66" t="n"/>
      <c r="E260" s="67" t="n"/>
      <c r="F260" s="67" t="n"/>
      <c r="G260" s="68" t="n"/>
      <c r="H260" s="66" t="n"/>
      <c r="I260" s="66" t="n"/>
      <c r="J260" s="67" t="n"/>
      <c r="K260" s="67" t="n"/>
      <c r="L260" s="67" t="n"/>
      <c r="M260" s="28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7" t="n"/>
      <c r="X260" s="67" t="n"/>
      <c r="Y260" s="67" t="n"/>
      <c r="Z260" s="67" t="n"/>
      <c r="AA260" s="67" t="n"/>
      <c r="AB260" s="67" t="n"/>
      <c r="AC260" s="67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</row>
    <row r="261">
      <c r="A261" s="66" t="n"/>
      <c r="B261" s="66" t="n"/>
      <c r="C261" s="66" t="n"/>
      <c r="D261" s="66" t="n"/>
      <c r="E261" s="67" t="n"/>
      <c r="F261" s="67" t="n"/>
      <c r="G261" s="68" t="n"/>
      <c r="H261" s="66" t="n"/>
      <c r="I261" s="66" t="n"/>
      <c r="J261" s="67" t="n"/>
      <c r="K261" s="67" t="n"/>
      <c r="L261" s="67" t="n"/>
      <c r="M261" s="28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7" t="n"/>
      <c r="X261" s="67" t="n"/>
      <c r="Y261" s="67" t="n"/>
      <c r="Z261" s="67" t="n"/>
      <c r="AA261" s="67" t="n"/>
      <c r="AB261" s="67" t="n"/>
      <c r="AC261" s="67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</row>
    <row r="262">
      <c r="A262" s="66" t="n"/>
      <c r="B262" s="66" t="n"/>
      <c r="C262" s="66" t="n"/>
      <c r="D262" s="66" t="n"/>
      <c r="E262" s="67" t="n"/>
      <c r="F262" s="67" t="n"/>
      <c r="G262" s="68" t="n"/>
      <c r="H262" s="66" t="n"/>
      <c r="I262" s="66" t="n"/>
      <c r="J262" s="67" t="n"/>
      <c r="K262" s="67" t="n"/>
      <c r="L262" s="67" t="n"/>
      <c r="M262" s="28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7" t="n"/>
      <c r="X262" s="67" t="n"/>
      <c r="Y262" s="67" t="n"/>
      <c r="Z262" s="67" t="n"/>
      <c r="AA262" s="67" t="n"/>
      <c r="AB262" s="67" t="n"/>
      <c r="AC262" s="67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</row>
    <row r="263">
      <c r="A263" s="66" t="n"/>
      <c r="B263" s="66" t="n"/>
      <c r="C263" s="66" t="n"/>
      <c r="D263" s="66" t="n"/>
      <c r="E263" s="67" t="n"/>
      <c r="F263" s="67" t="n"/>
      <c r="G263" s="68" t="n"/>
      <c r="H263" s="66" t="n"/>
      <c r="I263" s="66" t="n"/>
      <c r="J263" s="67" t="n"/>
      <c r="K263" s="67" t="n"/>
      <c r="L263" s="67" t="n"/>
      <c r="M263" s="28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7" t="n"/>
      <c r="X263" s="67" t="n"/>
      <c r="Y263" s="67" t="n"/>
      <c r="Z263" s="67" t="n"/>
      <c r="AA263" s="67" t="n"/>
      <c r="AB263" s="67" t="n"/>
      <c r="AC263" s="67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</row>
    <row r="264">
      <c r="A264" s="66" t="n"/>
      <c r="B264" s="66" t="n"/>
      <c r="C264" s="66" t="n"/>
      <c r="D264" s="66" t="n"/>
      <c r="E264" s="67" t="n"/>
      <c r="F264" s="67" t="n"/>
      <c r="G264" s="68" t="n"/>
      <c r="H264" s="66" t="n"/>
      <c r="I264" s="66" t="n"/>
      <c r="J264" s="67" t="n"/>
      <c r="K264" s="67" t="n"/>
      <c r="L264" s="67" t="n"/>
      <c r="M264" s="28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7" t="n"/>
      <c r="X264" s="67" t="n"/>
      <c r="Y264" s="67" t="n"/>
      <c r="Z264" s="67" t="n"/>
      <c r="AA264" s="67" t="n"/>
      <c r="AB264" s="67" t="n"/>
      <c r="AC264" s="67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</row>
    <row r="265">
      <c r="A265" s="66" t="n"/>
      <c r="B265" s="66" t="n"/>
      <c r="C265" s="66" t="n"/>
      <c r="D265" s="66" t="n"/>
      <c r="E265" s="67" t="n"/>
      <c r="F265" s="67" t="n"/>
      <c r="G265" s="68" t="n"/>
      <c r="H265" s="66" t="n"/>
      <c r="I265" s="66" t="n"/>
      <c r="J265" s="67" t="n"/>
      <c r="K265" s="67" t="n"/>
      <c r="L265" s="67" t="n"/>
      <c r="M265" s="28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7" t="n"/>
      <c r="X265" s="67" t="n"/>
      <c r="Y265" s="67" t="n"/>
      <c r="Z265" s="67" t="n"/>
      <c r="AA265" s="67" t="n"/>
      <c r="AB265" s="67" t="n"/>
      <c r="AC265" s="67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</row>
    <row r="266">
      <c r="A266" s="66" t="n"/>
      <c r="B266" s="66" t="n"/>
      <c r="C266" s="66" t="n"/>
      <c r="D266" s="66" t="n"/>
      <c r="E266" s="67" t="n"/>
      <c r="F266" s="67" t="n"/>
      <c r="G266" s="68" t="n"/>
      <c r="H266" s="66" t="n"/>
      <c r="I266" s="66" t="n"/>
      <c r="J266" s="67" t="n"/>
      <c r="K266" s="67" t="n"/>
      <c r="L266" s="67" t="n"/>
      <c r="M266" s="28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7" t="n"/>
      <c r="X266" s="67" t="n"/>
      <c r="Y266" s="67" t="n"/>
      <c r="Z266" s="67" t="n"/>
      <c r="AA266" s="67" t="n"/>
      <c r="AB266" s="67" t="n"/>
      <c r="AC266" s="67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</row>
    <row r="267">
      <c r="A267" s="66" t="n"/>
      <c r="B267" s="66" t="n"/>
      <c r="C267" s="66" t="n"/>
      <c r="D267" s="66" t="n"/>
      <c r="E267" s="67" t="n"/>
      <c r="F267" s="67" t="n"/>
      <c r="G267" s="68" t="n"/>
      <c r="H267" s="66" t="n"/>
      <c r="I267" s="66" t="n"/>
      <c r="J267" s="67" t="n"/>
      <c r="K267" s="67" t="n"/>
      <c r="L267" s="67" t="n"/>
      <c r="M267" s="28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7" t="n"/>
      <c r="X267" s="67" t="n"/>
      <c r="Y267" s="67" t="n"/>
      <c r="Z267" s="67" t="n"/>
      <c r="AA267" s="67" t="n"/>
      <c r="AB267" s="67" t="n"/>
      <c r="AC267" s="67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</row>
    <row r="268">
      <c r="A268" s="66" t="n"/>
      <c r="B268" s="66" t="n"/>
      <c r="C268" s="66" t="n"/>
      <c r="D268" s="66" t="n"/>
      <c r="E268" s="67" t="n"/>
      <c r="F268" s="67" t="n"/>
      <c r="G268" s="68" t="n"/>
      <c r="H268" s="66" t="n"/>
      <c r="I268" s="66" t="n"/>
      <c r="J268" s="67" t="n"/>
      <c r="K268" s="67" t="n"/>
      <c r="L268" s="67" t="n"/>
      <c r="M268" s="28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7" t="n"/>
      <c r="X268" s="67" t="n"/>
      <c r="Y268" s="67" t="n"/>
      <c r="Z268" s="67" t="n"/>
      <c r="AA268" s="67" t="n"/>
      <c r="AB268" s="67" t="n"/>
      <c r="AC268" s="67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</row>
    <row r="269">
      <c r="A269" s="66" t="n"/>
      <c r="B269" s="66" t="n"/>
      <c r="C269" s="66" t="n"/>
      <c r="D269" s="66" t="n"/>
      <c r="E269" s="67" t="n"/>
      <c r="F269" s="67" t="n"/>
      <c r="G269" s="68" t="n"/>
      <c r="H269" s="66" t="n"/>
      <c r="I269" s="66" t="n"/>
      <c r="J269" s="67" t="n"/>
      <c r="K269" s="67" t="n"/>
      <c r="L269" s="67" t="n"/>
      <c r="M269" s="28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7" t="n"/>
      <c r="X269" s="67" t="n"/>
      <c r="Y269" s="67" t="n"/>
      <c r="Z269" s="67" t="n"/>
      <c r="AA269" s="67" t="n"/>
      <c r="AB269" s="67" t="n"/>
      <c r="AC269" s="67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</row>
    <row r="270">
      <c r="A270" s="66" t="n"/>
      <c r="B270" s="66" t="n"/>
      <c r="C270" s="66" t="n"/>
      <c r="D270" s="66" t="n"/>
      <c r="E270" s="67" t="n"/>
      <c r="F270" s="67" t="n"/>
      <c r="G270" s="68" t="n"/>
      <c r="H270" s="66" t="n"/>
      <c r="I270" s="66" t="n"/>
      <c r="J270" s="67" t="n"/>
      <c r="K270" s="67" t="n"/>
      <c r="L270" s="67" t="n"/>
      <c r="M270" s="28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7" t="n"/>
      <c r="X270" s="67" t="n"/>
      <c r="Y270" s="67" t="n"/>
      <c r="Z270" s="67" t="n"/>
      <c r="AA270" s="67" t="n"/>
      <c r="AB270" s="67" t="n"/>
      <c r="AC270" s="67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</row>
    <row r="271">
      <c r="A271" s="66" t="n"/>
      <c r="B271" s="66" t="n"/>
      <c r="C271" s="66" t="n"/>
      <c r="D271" s="66" t="n"/>
      <c r="E271" s="67" t="n"/>
      <c r="F271" s="67" t="n"/>
      <c r="G271" s="68" t="n"/>
      <c r="H271" s="66" t="n"/>
      <c r="I271" s="66" t="n"/>
      <c r="J271" s="67" t="n"/>
      <c r="K271" s="67" t="n"/>
      <c r="L271" s="67" t="n"/>
      <c r="M271" s="28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7" t="n"/>
      <c r="X271" s="67" t="n"/>
      <c r="Y271" s="67" t="n"/>
      <c r="Z271" s="67" t="n"/>
      <c r="AA271" s="67" t="n"/>
      <c r="AB271" s="67" t="n"/>
      <c r="AC271" s="67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</row>
    <row r="272">
      <c r="A272" s="66" t="n"/>
      <c r="B272" s="66" t="n"/>
      <c r="C272" s="66" t="n"/>
      <c r="D272" s="66" t="n"/>
      <c r="E272" s="67" t="n"/>
      <c r="F272" s="67" t="n"/>
      <c r="G272" s="68" t="n"/>
      <c r="H272" s="66" t="n"/>
      <c r="I272" s="66" t="n"/>
      <c r="J272" s="67" t="n"/>
      <c r="K272" s="67" t="n"/>
      <c r="L272" s="67" t="n"/>
      <c r="M272" s="28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7" t="n"/>
      <c r="X272" s="67" t="n"/>
      <c r="Y272" s="67" t="n"/>
      <c r="Z272" s="67" t="n"/>
      <c r="AA272" s="67" t="n"/>
      <c r="AB272" s="67" t="n"/>
      <c r="AC272" s="67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</row>
    <row r="273">
      <c r="A273" s="66" t="n"/>
      <c r="B273" s="66" t="n"/>
      <c r="C273" s="66" t="n"/>
      <c r="D273" s="66" t="n"/>
      <c r="E273" s="67" t="n"/>
      <c r="F273" s="67" t="n"/>
      <c r="G273" s="68" t="n"/>
      <c r="H273" s="66" t="n"/>
      <c r="I273" s="66" t="n"/>
      <c r="J273" s="67" t="n"/>
      <c r="K273" s="67" t="n"/>
      <c r="L273" s="67" t="n"/>
      <c r="M273" s="28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7" t="n"/>
      <c r="X273" s="67" t="n"/>
      <c r="Y273" s="67" t="n"/>
      <c r="Z273" s="67" t="n"/>
      <c r="AA273" s="67" t="n"/>
      <c r="AB273" s="67" t="n"/>
      <c r="AC273" s="67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</row>
    <row r="274">
      <c r="A274" s="66" t="n"/>
      <c r="B274" s="66" t="n"/>
      <c r="C274" s="66" t="n"/>
      <c r="D274" s="66" t="n"/>
      <c r="E274" s="67" t="n"/>
      <c r="F274" s="67" t="n"/>
      <c r="G274" s="68" t="n"/>
      <c r="H274" s="66" t="n"/>
      <c r="I274" s="66" t="n"/>
      <c r="J274" s="67" t="n"/>
      <c r="K274" s="67" t="n"/>
      <c r="L274" s="67" t="n"/>
      <c r="M274" s="28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7" t="n"/>
      <c r="X274" s="67" t="n"/>
      <c r="Y274" s="67" t="n"/>
      <c r="Z274" s="67" t="n"/>
      <c r="AA274" s="67" t="n"/>
      <c r="AB274" s="67" t="n"/>
      <c r="AC274" s="67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</row>
    <row r="275">
      <c r="A275" s="66" t="n"/>
      <c r="B275" s="66" t="n"/>
      <c r="C275" s="66" t="n"/>
      <c r="D275" s="66" t="n"/>
      <c r="E275" s="67" t="n"/>
      <c r="F275" s="67" t="n"/>
      <c r="G275" s="68" t="n"/>
      <c r="H275" s="66" t="n"/>
      <c r="I275" s="66" t="n"/>
      <c r="J275" s="67" t="n"/>
      <c r="K275" s="67" t="n"/>
      <c r="L275" s="67" t="n"/>
      <c r="M275" s="28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7" t="n"/>
      <c r="X275" s="67" t="n"/>
      <c r="Y275" s="67" t="n"/>
      <c r="Z275" s="67" t="n"/>
      <c r="AA275" s="67" t="n"/>
      <c r="AB275" s="67" t="n"/>
      <c r="AC275" s="67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</row>
    <row r="276">
      <c r="A276" s="66" t="n"/>
      <c r="B276" s="66" t="n"/>
      <c r="C276" s="66" t="n"/>
      <c r="D276" s="66" t="n"/>
      <c r="E276" s="67" t="n"/>
      <c r="F276" s="67" t="n"/>
      <c r="G276" s="68" t="n"/>
      <c r="H276" s="66" t="n"/>
      <c r="I276" s="66" t="n"/>
      <c r="J276" s="67" t="n"/>
      <c r="K276" s="67" t="n"/>
      <c r="L276" s="67" t="n"/>
      <c r="M276" s="28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7" t="n"/>
      <c r="X276" s="67" t="n"/>
      <c r="Y276" s="67" t="n"/>
      <c r="Z276" s="67" t="n"/>
      <c r="AA276" s="67" t="n"/>
      <c r="AB276" s="67" t="n"/>
      <c r="AC276" s="67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</row>
    <row r="277">
      <c r="A277" s="66" t="n"/>
      <c r="B277" s="66" t="n"/>
      <c r="C277" s="66" t="n"/>
      <c r="D277" s="66" t="n"/>
      <c r="E277" s="67" t="n"/>
      <c r="F277" s="67" t="n"/>
      <c r="G277" s="68" t="n"/>
      <c r="H277" s="66" t="n"/>
      <c r="I277" s="66" t="n"/>
      <c r="J277" s="67" t="n"/>
      <c r="K277" s="67" t="n"/>
      <c r="L277" s="67" t="n"/>
      <c r="M277" s="28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7" t="n"/>
      <c r="X277" s="67" t="n"/>
      <c r="Y277" s="67" t="n"/>
      <c r="Z277" s="67" t="n"/>
      <c r="AA277" s="67" t="n"/>
      <c r="AB277" s="67" t="n"/>
      <c r="AC277" s="67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</row>
    <row r="278">
      <c r="A278" s="66" t="n"/>
      <c r="B278" s="66" t="n"/>
      <c r="C278" s="66" t="n"/>
      <c r="D278" s="66" t="n"/>
      <c r="E278" s="67" t="n"/>
      <c r="F278" s="67" t="n"/>
      <c r="G278" s="68" t="n"/>
      <c r="H278" s="66" t="n"/>
      <c r="I278" s="66" t="n"/>
      <c r="J278" s="67" t="n"/>
      <c r="K278" s="67" t="n"/>
      <c r="L278" s="67" t="n"/>
      <c r="M278" s="28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7" t="n"/>
      <c r="X278" s="67" t="n"/>
      <c r="Y278" s="67" t="n"/>
      <c r="Z278" s="67" t="n"/>
      <c r="AA278" s="67" t="n"/>
      <c r="AB278" s="67" t="n"/>
      <c r="AC278" s="67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</row>
    <row r="279">
      <c r="A279" s="66" t="n"/>
      <c r="B279" s="66" t="n"/>
      <c r="C279" s="66" t="n"/>
      <c r="D279" s="66" t="n"/>
      <c r="E279" s="67" t="n"/>
      <c r="F279" s="67" t="n"/>
      <c r="G279" s="68" t="n"/>
      <c r="H279" s="66" t="n"/>
      <c r="I279" s="66" t="n"/>
      <c r="J279" s="67" t="n"/>
      <c r="K279" s="67" t="n"/>
      <c r="L279" s="67" t="n"/>
      <c r="M279" s="28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7" t="n"/>
      <c r="X279" s="67" t="n"/>
      <c r="Y279" s="67" t="n"/>
      <c r="Z279" s="67" t="n"/>
      <c r="AA279" s="67" t="n"/>
      <c r="AB279" s="67" t="n"/>
      <c r="AC279" s="67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</row>
    <row r="280">
      <c r="A280" s="66" t="n"/>
      <c r="B280" s="66" t="n"/>
      <c r="C280" s="66" t="n"/>
      <c r="D280" s="66" t="n"/>
      <c r="E280" s="67" t="n"/>
      <c r="F280" s="67" t="n"/>
      <c r="G280" s="68" t="n"/>
      <c r="H280" s="66" t="n"/>
      <c r="I280" s="66" t="n"/>
      <c r="J280" s="67" t="n"/>
      <c r="K280" s="67" t="n"/>
      <c r="L280" s="67" t="n"/>
      <c r="M280" s="28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7" t="n"/>
      <c r="X280" s="67" t="n"/>
      <c r="Y280" s="67" t="n"/>
      <c r="Z280" s="67" t="n"/>
      <c r="AA280" s="67" t="n"/>
      <c r="AB280" s="67" t="n"/>
      <c r="AC280" s="67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</row>
    <row r="281">
      <c r="A281" s="66" t="n"/>
      <c r="B281" s="66" t="n"/>
      <c r="C281" s="66" t="n"/>
      <c r="D281" s="66" t="n"/>
      <c r="E281" s="67" t="n"/>
      <c r="F281" s="67" t="n"/>
      <c r="G281" s="68" t="n"/>
      <c r="H281" s="66" t="n"/>
      <c r="I281" s="66" t="n"/>
      <c r="J281" s="67" t="n"/>
      <c r="K281" s="67" t="n"/>
      <c r="L281" s="67" t="n"/>
      <c r="M281" s="28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7" t="n"/>
      <c r="X281" s="67" t="n"/>
      <c r="Y281" s="67" t="n"/>
      <c r="Z281" s="67" t="n"/>
      <c r="AA281" s="67" t="n"/>
      <c r="AB281" s="67" t="n"/>
      <c r="AC281" s="67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</row>
    <row r="282">
      <c r="A282" s="66" t="n"/>
      <c r="B282" s="66" t="n"/>
      <c r="C282" s="66" t="n"/>
      <c r="D282" s="66" t="n"/>
      <c r="E282" s="67" t="n"/>
      <c r="F282" s="67" t="n"/>
      <c r="G282" s="68" t="n"/>
      <c r="H282" s="66" t="n"/>
      <c r="I282" s="66" t="n"/>
      <c r="J282" s="67" t="n"/>
      <c r="K282" s="67" t="n"/>
      <c r="L282" s="67" t="n"/>
      <c r="M282" s="28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7" t="n"/>
      <c r="X282" s="67" t="n"/>
      <c r="Y282" s="67" t="n"/>
      <c r="Z282" s="67" t="n"/>
      <c r="AA282" s="67" t="n"/>
      <c r="AB282" s="67" t="n"/>
      <c r="AC282" s="67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</row>
    <row r="283">
      <c r="A283" s="66" t="n"/>
      <c r="B283" s="66" t="n"/>
      <c r="C283" s="66" t="n"/>
      <c r="D283" s="66" t="n"/>
      <c r="E283" s="67" t="n"/>
      <c r="F283" s="67" t="n"/>
      <c r="G283" s="68" t="n"/>
      <c r="H283" s="66" t="n"/>
      <c r="I283" s="66" t="n"/>
      <c r="J283" s="67" t="n"/>
      <c r="K283" s="67" t="n"/>
      <c r="L283" s="67" t="n"/>
      <c r="M283" s="28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7" t="n"/>
      <c r="X283" s="67" t="n"/>
      <c r="Y283" s="67" t="n"/>
      <c r="Z283" s="67" t="n"/>
      <c r="AA283" s="67" t="n"/>
      <c r="AB283" s="67" t="n"/>
      <c r="AC283" s="67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</row>
    <row r="284">
      <c r="A284" s="66" t="n"/>
      <c r="B284" s="66" t="n"/>
      <c r="C284" s="66" t="n"/>
      <c r="D284" s="66" t="n"/>
      <c r="E284" s="67" t="n"/>
      <c r="F284" s="67" t="n"/>
      <c r="G284" s="68" t="n"/>
      <c r="H284" s="66" t="n"/>
      <c r="I284" s="66" t="n"/>
      <c r="J284" s="67" t="n"/>
      <c r="K284" s="67" t="n"/>
      <c r="L284" s="67" t="n"/>
      <c r="M284" s="28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7" t="n"/>
      <c r="X284" s="67" t="n"/>
      <c r="Y284" s="67" t="n"/>
      <c r="Z284" s="67" t="n"/>
      <c r="AA284" s="67" t="n"/>
      <c r="AB284" s="67" t="n"/>
      <c r="AC284" s="67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</row>
    <row r="285">
      <c r="A285" s="66" t="n"/>
      <c r="B285" s="66" t="n"/>
      <c r="C285" s="66" t="n"/>
      <c r="D285" s="66" t="n"/>
      <c r="E285" s="67" t="n"/>
      <c r="F285" s="67" t="n"/>
      <c r="G285" s="68" t="n"/>
      <c r="H285" s="66" t="n"/>
      <c r="I285" s="66" t="n"/>
      <c r="J285" s="67" t="n"/>
      <c r="K285" s="67" t="n"/>
      <c r="L285" s="67" t="n"/>
      <c r="M285" s="28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7" t="n"/>
      <c r="X285" s="67" t="n"/>
      <c r="Y285" s="67" t="n"/>
      <c r="Z285" s="67" t="n"/>
      <c r="AA285" s="67" t="n"/>
      <c r="AB285" s="67" t="n"/>
      <c r="AC285" s="67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</row>
    <row r="286">
      <c r="A286" s="66" t="n"/>
      <c r="B286" s="66" t="n"/>
      <c r="C286" s="66" t="n"/>
      <c r="D286" s="66" t="n"/>
      <c r="E286" s="67" t="n"/>
      <c r="F286" s="67" t="n"/>
      <c r="G286" s="68" t="n"/>
      <c r="H286" s="66" t="n"/>
      <c r="I286" s="66" t="n"/>
      <c r="J286" s="67" t="n"/>
      <c r="K286" s="67" t="n"/>
      <c r="L286" s="67" t="n"/>
      <c r="M286" s="28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7" t="n"/>
      <c r="X286" s="67" t="n"/>
      <c r="Y286" s="67" t="n"/>
      <c r="Z286" s="67" t="n"/>
      <c r="AA286" s="67" t="n"/>
      <c r="AB286" s="67" t="n"/>
      <c r="AC286" s="67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</row>
    <row r="287">
      <c r="A287" s="66" t="n"/>
      <c r="B287" s="66" t="n"/>
      <c r="C287" s="66" t="n"/>
      <c r="D287" s="66" t="n"/>
      <c r="E287" s="67" t="n"/>
      <c r="F287" s="67" t="n"/>
      <c r="G287" s="68" t="n"/>
      <c r="H287" s="66" t="n"/>
      <c r="I287" s="66" t="n"/>
      <c r="J287" s="67" t="n"/>
      <c r="K287" s="67" t="n"/>
      <c r="L287" s="67" t="n"/>
      <c r="M287" s="28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7" t="n"/>
      <c r="X287" s="67" t="n"/>
      <c r="Y287" s="67" t="n"/>
      <c r="Z287" s="67" t="n"/>
      <c r="AA287" s="67" t="n"/>
      <c r="AB287" s="67" t="n"/>
      <c r="AC287" s="67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</row>
    <row r="288">
      <c r="A288" s="66" t="n"/>
      <c r="B288" s="66" t="n"/>
      <c r="C288" s="66" t="n"/>
      <c r="D288" s="66" t="n"/>
      <c r="E288" s="67" t="n"/>
      <c r="F288" s="67" t="n"/>
      <c r="G288" s="68" t="n"/>
      <c r="H288" s="66" t="n"/>
      <c r="I288" s="66" t="n"/>
      <c r="J288" s="67" t="n"/>
      <c r="K288" s="67" t="n"/>
      <c r="L288" s="67" t="n"/>
      <c r="M288" s="28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7" t="n"/>
      <c r="X288" s="67" t="n"/>
      <c r="Y288" s="67" t="n"/>
      <c r="Z288" s="67" t="n"/>
      <c r="AA288" s="67" t="n"/>
      <c r="AB288" s="67" t="n"/>
      <c r="AC288" s="67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</row>
    <row r="289">
      <c r="A289" s="66" t="n"/>
      <c r="B289" s="66" t="n"/>
      <c r="C289" s="66" t="n"/>
      <c r="D289" s="66" t="n"/>
      <c r="E289" s="67" t="n"/>
      <c r="F289" s="67" t="n"/>
      <c r="G289" s="68" t="n"/>
      <c r="H289" s="66" t="n"/>
      <c r="I289" s="66" t="n"/>
      <c r="J289" s="67" t="n"/>
      <c r="K289" s="67" t="n"/>
      <c r="L289" s="67" t="n"/>
      <c r="M289" s="28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7" t="n"/>
      <c r="X289" s="67" t="n"/>
      <c r="Y289" s="67" t="n"/>
      <c r="Z289" s="67" t="n"/>
      <c r="AA289" s="67" t="n"/>
      <c r="AB289" s="67" t="n"/>
      <c r="AC289" s="67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</row>
    <row r="290">
      <c r="A290" s="66" t="n"/>
      <c r="B290" s="66" t="n"/>
      <c r="C290" s="66" t="n"/>
      <c r="D290" s="66" t="n"/>
      <c r="E290" s="67" t="n"/>
      <c r="F290" s="67" t="n"/>
      <c r="G290" s="68" t="n"/>
      <c r="H290" s="66" t="n"/>
      <c r="I290" s="66" t="n"/>
      <c r="J290" s="67" t="n"/>
      <c r="K290" s="67" t="n"/>
      <c r="L290" s="67" t="n"/>
      <c r="M290" s="28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7" t="n"/>
      <c r="X290" s="67" t="n"/>
      <c r="Y290" s="67" t="n"/>
      <c r="Z290" s="67" t="n"/>
      <c r="AA290" s="67" t="n"/>
      <c r="AB290" s="67" t="n"/>
      <c r="AC290" s="67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</row>
    <row r="291">
      <c r="A291" s="66" t="n"/>
      <c r="B291" s="66" t="n"/>
      <c r="C291" s="66" t="n"/>
      <c r="D291" s="66" t="n"/>
      <c r="E291" s="67" t="n"/>
      <c r="F291" s="67" t="n"/>
      <c r="G291" s="68" t="n"/>
      <c r="H291" s="66" t="n"/>
      <c r="I291" s="66" t="n"/>
      <c r="J291" s="67" t="n"/>
      <c r="K291" s="67" t="n"/>
      <c r="L291" s="67" t="n"/>
      <c r="M291" s="28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7" t="n"/>
      <c r="X291" s="67" t="n"/>
      <c r="Y291" s="67" t="n"/>
      <c r="Z291" s="67" t="n"/>
      <c r="AA291" s="67" t="n"/>
      <c r="AB291" s="67" t="n"/>
      <c r="AC291" s="67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</row>
    <row r="292">
      <c r="A292" s="66" t="n"/>
      <c r="B292" s="66" t="n"/>
      <c r="C292" s="66" t="n"/>
      <c r="D292" s="66" t="n"/>
      <c r="E292" s="67" t="n"/>
      <c r="F292" s="67" t="n"/>
      <c r="G292" s="68" t="n"/>
      <c r="H292" s="66" t="n"/>
      <c r="I292" s="66" t="n"/>
      <c r="J292" s="67" t="n"/>
      <c r="K292" s="67" t="n"/>
      <c r="L292" s="67" t="n"/>
      <c r="M292" s="28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7" t="n"/>
      <c r="X292" s="67" t="n"/>
      <c r="Y292" s="67" t="n"/>
      <c r="Z292" s="67" t="n"/>
      <c r="AA292" s="67" t="n"/>
      <c r="AB292" s="67" t="n"/>
      <c r="AC292" s="67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</row>
    <row r="293">
      <c r="A293" s="66" t="n"/>
      <c r="B293" s="66" t="n"/>
      <c r="C293" s="66" t="n"/>
      <c r="D293" s="66" t="n"/>
      <c r="E293" s="67" t="n"/>
      <c r="F293" s="67" t="n"/>
      <c r="G293" s="68" t="n"/>
      <c r="H293" s="66" t="n"/>
      <c r="I293" s="66" t="n"/>
      <c r="J293" s="67" t="n"/>
      <c r="K293" s="67" t="n"/>
      <c r="L293" s="67" t="n"/>
      <c r="M293" s="28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7" t="n"/>
      <c r="X293" s="67" t="n"/>
      <c r="Y293" s="67" t="n"/>
      <c r="Z293" s="67" t="n"/>
      <c r="AA293" s="67" t="n"/>
      <c r="AB293" s="67" t="n"/>
      <c r="AC293" s="67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</row>
    <row r="294">
      <c r="A294" s="66" t="n"/>
      <c r="B294" s="66" t="n"/>
      <c r="C294" s="66" t="n"/>
      <c r="D294" s="66" t="n"/>
      <c r="E294" s="67" t="n"/>
      <c r="F294" s="67" t="n"/>
      <c r="G294" s="68" t="n"/>
      <c r="H294" s="66" t="n"/>
      <c r="I294" s="66" t="n"/>
      <c r="J294" s="67" t="n"/>
      <c r="K294" s="67" t="n"/>
      <c r="L294" s="67" t="n"/>
      <c r="M294" s="28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7" t="n"/>
      <c r="X294" s="67" t="n"/>
      <c r="Y294" s="67" t="n"/>
      <c r="Z294" s="67" t="n"/>
      <c r="AA294" s="67" t="n"/>
      <c r="AB294" s="67" t="n"/>
      <c r="AC294" s="67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</row>
    <row r="295">
      <c r="A295" s="66" t="n"/>
      <c r="B295" s="66" t="n"/>
      <c r="C295" s="66" t="n"/>
      <c r="D295" s="66" t="n"/>
      <c r="E295" s="67" t="n"/>
      <c r="F295" s="67" t="n"/>
      <c r="G295" s="68" t="n"/>
      <c r="H295" s="66" t="n"/>
      <c r="I295" s="66" t="n"/>
      <c r="J295" s="67" t="n"/>
      <c r="K295" s="67" t="n"/>
      <c r="L295" s="67" t="n"/>
      <c r="M295" s="28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7" t="n"/>
      <c r="X295" s="67" t="n"/>
      <c r="Y295" s="67" t="n"/>
      <c r="Z295" s="67" t="n"/>
      <c r="AA295" s="67" t="n"/>
      <c r="AB295" s="67" t="n"/>
      <c r="AC295" s="67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</row>
    <row r="296">
      <c r="A296" s="66" t="n"/>
      <c r="B296" s="66" t="n"/>
      <c r="C296" s="66" t="n"/>
      <c r="D296" s="66" t="n"/>
      <c r="E296" s="67" t="n"/>
      <c r="F296" s="67" t="n"/>
      <c r="G296" s="68" t="n"/>
      <c r="H296" s="66" t="n"/>
      <c r="I296" s="66" t="n"/>
      <c r="J296" s="67" t="n"/>
      <c r="K296" s="67" t="n"/>
      <c r="L296" s="67" t="n"/>
      <c r="M296" s="28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7" t="n"/>
      <c r="X296" s="67" t="n"/>
      <c r="Y296" s="67" t="n"/>
      <c r="Z296" s="67" t="n"/>
      <c r="AA296" s="67" t="n"/>
      <c r="AB296" s="67" t="n"/>
      <c r="AC296" s="67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</row>
    <row r="297">
      <c r="A297" s="66" t="n"/>
      <c r="B297" s="66" t="n"/>
      <c r="C297" s="66" t="n"/>
      <c r="D297" s="66" t="n"/>
      <c r="E297" s="67" t="n"/>
      <c r="F297" s="67" t="n"/>
      <c r="G297" s="68" t="n"/>
      <c r="H297" s="66" t="n"/>
      <c r="I297" s="66" t="n"/>
      <c r="J297" s="67" t="n"/>
      <c r="K297" s="67" t="n"/>
      <c r="L297" s="67" t="n"/>
      <c r="M297" s="28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7" t="n"/>
      <c r="X297" s="67" t="n"/>
      <c r="Y297" s="67" t="n"/>
      <c r="Z297" s="67" t="n"/>
      <c r="AA297" s="67" t="n"/>
      <c r="AB297" s="67" t="n"/>
      <c r="AC297" s="67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</row>
    <row r="298">
      <c r="A298" s="66" t="n"/>
      <c r="B298" s="66" t="n"/>
      <c r="C298" s="66" t="n"/>
      <c r="D298" s="66" t="n"/>
      <c r="E298" s="67" t="n"/>
      <c r="F298" s="67" t="n"/>
      <c r="G298" s="68" t="n"/>
      <c r="H298" s="66" t="n"/>
      <c r="I298" s="66" t="n"/>
      <c r="J298" s="67" t="n"/>
      <c r="K298" s="67" t="n"/>
      <c r="L298" s="67" t="n"/>
      <c r="M298" s="28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7" t="n"/>
      <c r="X298" s="67" t="n"/>
      <c r="Y298" s="67" t="n"/>
      <c r="Z298" s="67" t="n"/>
      <c r="AA298" s="67" t="n"/>
      <c r="AB298" s="67" t="n"/>
      <c r="AC298" s="67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</row>
    <row r="299">
      <c r="A299" s="66" t="n"/>
      <c r="B299" s="66" t="n"/>
      <c r="C299" s="66" t="n"/>
      <c r="D299" s="66" t="n"/>
      <c r="E299" s="67" t="n"/>
      <c r="F299" s="67" t="n"/>
      <c r="G299" s="68" t="n"/>
      <c r="H299" s="66" t="n"/>
      <c r="I299" s="66" t="n"/>
      <c r="J299" s="67" t="n"/>
      <c r="K299" s="67" t="n"/>
      <c r="L299" s="67" t="n"/>
      <c r="M299" s="28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7" t="n"/>
      <c r="X299" s="67" t="n"/>
      <c r="Y299" s="67" t="n"/>
      <c r="Z299" s="67" t="n"/>
      <c r="AA299" s="67" t="n"/>
      <c r="AB299" s="67" t="n"/>
      <c r="AC299" s="67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</row>
    <row r="300">
      <c r="A300" s="66" t="n"/>
      <c r="B300" s="66" t="n"/>
      <c r="C300" s="66" t="n"/>
      <c r="D300" s="66" t="n"/>
      <c r="E300" s="67" t="n"/>
      <c r="F300" s="67" t="n"/>
      <c r="G300" s="68" t="n"/>
      <c r="H300" s="66" t="n"/>
      <c r="I300" s="66" t="n"/>
      <c r="J300" s="67" t="n"/>
      <c r="K300" s="67" t="n"/>
      <c r="L300" s="67" t="n"/>
      <c r="M300" s="28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7" t="n"/>
      <c r="X300" s="67" t="n"/>
      <c r="Y300" s="67" t="n"/>
      <c r="Z300" s="67" t="n"/>
      <c r="AA300" s="67" t="n"/>
      <c r="AB300" s="67" t="n"/>
      <c r="AC300" s="67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</row>
    <row r="301">
      <c r="A301" s="66" t="n"/>
      <c r="B301" s="66" t="n"/>
      <c r="C301" s="66" t="n"/>
      <c r="D301" s="66" t="n"/>
      <c r="E301" s="67" t="n"/>
      <c r="F301" s="67" t="n"/>
      <c r="G301" s="68" t="n"/>
      <c r="H301" s="66" t="n"/>
      <c r="I301" s="66" t="n"/>
      <c r="J301" s="67" t="n"/>
      <c r="K301" s="67" t="n"/>
      <c r="L301" s="67" t="n"/>
      <c r="M301" s="28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7" t="n"/>
      <c r="X301" s="67" t="n"/>
      <c r="Y301" s="67" t="n"/>
      <c r="Z301" s="67" t="n"/>
      <c r="AA301" s="67" t="n"/>
      <c r="AB301" s="67" t="n"/>
      <c r="AC301" s="67" t="n"/>
      <c r="AD301" s="66" t="n"/>
      <c r="AE301" s="66" t="n"/>
      <c r="AF301" s="66" t="n"/>
      <c r="AG301" s="66" t="n"/>
      <c r="AH301" s="66" t="n"/>
      <c r="AI301" s="66" t="n"/>
      <c r="AJ301" s="66" t="n"/>
      <c r="AK301" s="66" t="n"/>
      <c r="AL301" s="66" t="n"/>
      <c r="AM301" s="66" t="n"/>
      <c r="AN301" s="66" t="n"/>
      <c r="AO301" s="66" t="n"/>
      <c r="AP301" s="66" t="n"/>
    </row>
    <row r="302">
      <c r="A302" s="66" t="n"/>
      <c r="B302" s="66" t="n"/>
      <c r="C302" s="66" t="n"/>
      <c r="D302" s="66" t="n"/>
      <c r="E302" s="67" t="n"/>
      <c r="F302" s="67" t="n"/>
      <c r="G302" s="68" t="n"/>
      <c r="H302" s="66" t="n"/>
      <c r="I302" s="66" t="n"/>
      <c r="J302" s="67" t="n"/>
      <c r="K302" s="67" t="n"/>
      <c r="L302" s="67" t="n"/>
      <c r="M302" s="28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7" t="n"/>
      <c r="X302" s="67" t="n"/>
      <c r="Y302" s="67" t="n"/>
      <c r="Z302" s="67" t="n"/>
      <c r="AA302" s="67" t="n"/>
      <c r="AB302" s="67" t="n"/>
      <c r="AC302" s="67" t="n"/>
      <c r="AD302" s="66" t="n"/>
      <c r="AE302" s="66" t="n"/>
      <c r="AF302" s="66" t="n"/>
      <c r="AG302" s="66" t="n"/>
      <c r="AH302" s="66" t="n"/>
      <c r="AI302" s="66" t="n"/>
      <c r="AJ302" s="66" t="n"/>
      <c r="AK302" s="66" t="n"/>
      <c r="AL302" s="66" t="n"/>
      <c r="AM302" s="66" t="n"/>
      <c r="AN302" s="66" t="n"/>
      <c r="AO302" s="66" t="n"/>
      <c r="AP302" s="66" t="n"/>
    </row>
    <row r="303">
      <c r="A303" s="66" t="n"/>
      <c r="B303" s="66" t="n"/>
      <c r="C303" s="66" t="n"/>
      <c r="D303" s="66" t="n"/>
      <c r="E303" s="67" t="n"/>
      <c r="F303" s="67" t="n"/>
      <c r="G303" s="68" t="n"/>
      <c r="H303" s="66" t="n"/>
      <c r="I303" s="66" t="n"/>
      <c r="J303" s="67" t="n"/>
      <c r="K303" s="67" t="n"/>
      <c r="L303" s="67" t="n"/>
      <c r="M303" s="28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7" t="n"/>
      <c r="X303" s="67" t="n"/>
      <c r="Y303" s="67" t="n"/>
      <c r="Z303" s="67" t="n"/>
      <c r="AA303" s="67" t="n"/>
      <c r="AB303" s="67" t="n"/>
      <c r="AC303" s="67" t="n"/>
      <c r="AD303" s="66" t="n"/>
      <c r="AE303" s="66" t="n"/>
      <c r="AF303" s="66" t="n"/>
      <c r="AG303" s="66" t="n"/>
      <c r="AH303" s="66" t="n"/>
      <c r="AI303" s="66" t="n"/>
      <c r="AJ303" s="66" t="n"/>
      <c r="AK303" s="66" t="n"/>
      <c r="AL303" s="66" t="n"/>
      <c r="AM303" s="66" t="n"/>
      <c r="AN303" s="66" t="n"/>
      <c r="AO303" s="66" t="n"/>
      <c r="AP303" s="66" t="n"/>
    </row>
    <row r="304">
      <c r="A304" s="66" t="n"/>
      <c r="B304" s="66" t="n"/>
      <c r="C304" s="66" t="n"/>
      <c r="D304" s="66" t="n"/>
      <c r="E304" s="67" t="n"/>
      <c r="F304" s="67" t="n"/>
      <c r="G304" s="68" t="n"/>
      <c r="H304" s="66" t="n"/>
      <c r="I304" s="66" t="n"/>
      <c r="J304" s="67" t="n"/>
      <c r="K304" s="67" t="n"/>
      <c r="L304" s="67" t="n"/>
      <c r="M304" s="28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7" t="n"/>
      <c r="X304" s="67" t="n"/>
      <c r="Y304" s="67" t="n"/>
      <c r="Z304" s="67" t="n"/>
      <c r="AA304" s="67" t="n"/>
      <c r="AB304" s="67" t="n"/>
      <c r="AC304" s="67" t="n"/>
      <c r="AD304" s="66" t="n"/>
      <c r="AE304" s="66" t="n"/>
      <c r="AF304" s="66" t="n"/>
      <c r="AG304" s="66" t="n"/>
      <c r="AH304" s="66" t="n"/>
      <c r="AI304" s="66" t="n"/>
      <c r="AJ304" s="66" t="n"/>
      <c r="AK304" s="66" t="n"/>
      <c r="AL304" s="66" t="n"/>
      <c r="AM304" s="66" t="n"/>
      <c r="AN304" s="66" t="n"/>
      <c r="AO304" s="66" t="n"/>
      <c r="AP304" s="66" t="n"/>
    </row>
    <row r="305">
      <c r="A305" s="66" t="n"/>
      <c r="B305" s="66" t="n"/>
      <c r="C305" s="66" t="n"/>
      <c r="D305" s="66" t="n"/>
      <c r="E305" s="67" t="n"/>
      <c r="F305" s="67" t="n"/>
      <c r="G305" s="68" t="n"/>
      <c r="H305" s="66" t="n"/>
      <c r="I305" s="66" t="n"/>
      <c r="J305" s="67" t="n"/>
      <c r="K305" s="67" t="n"/>
      <c r="L305" s="67" t="n"/>
      <c r="M305" s="28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7" t="n"/>
      <c r="X305" s="67" t="n"/>
      <c r="Y305" s="67" t="n"/>
      <c r="Z305" s="67" t="n"/>
      <c r="AA305" s="67" t="n"/>
      <c r="AB305" s="67" t="n"/>
      <c r="AC305" s="67" t="n"/>
      <c r="AD305" s="66" t="n"/>
      <c r="AE305" s="66" t="n"/>
      <c r="AF305" s="66" t="n"/>
      <c r="AG305" s="66" t="n"/>
      <c r="AH305" s="66" t="n"/>
      <c r="AI305" s="66" t="n"/>
      <c r="AJ305" s="66" t="n"/>
      <c r="AK305" s="66" t="n"/>
      <c r="AL305" s="66" t="n"/>
      <c r="AM305" s="66" t="n"/>
      <c r="AN305" s="66" t="n"/>
      <c r="AO305" s="66" t="n"/>
      <c r="AP305" s="66" t="n"/>
    </row>
    <row r="306">
      <c r="A306" s="66" t="n"/>
      <c r="B306" s="66" t="n"/>
      <c r="C306" s="66" t="n"/>
      <c r="D306" s="66" t="n"/>
      <c r="E306" s="67" t="n"/>
      <c r="F306" s="67" t="n"/>
      <c r="G306" s="68" t="n"/>
      <c r="H306" s="66" t="n"/>
      <c r="I306" s="66" t="n"/>
      <c r="J306" s="67" t="n"/>
      <c r="K306" s="67" t="n"/>
      <c r="L306" s="67" t="n"/>
      <c r="M306" s="28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7" t="n"/>
      <c r="X306" s="67" t="n"/>
      <c r="Y306" s="67" t="n"/>
      <c r="Z306" s="67" t="n"/>
      <c r="AA306" s="67" t="n"/>
      <c r="AB306" s="67" t="n"/>
      <c r="AC306" s="67" t="n"/>
      <c r="AD306" s="66" t="n"/>
      <c r="AE306" s="66" t="n"/>
      <c r="AF306" s="66" t="n"/>
      <c r="AG306" s="66" t="n"/>
      <c r="AH306" s="66" t="n"/>
      <c r="AI306" s="66" t="n"/>
      <c r="AJ306" s="66" t="n"/>
      <c r="AK306" s="66" t="n"/>
      <c r="AL306" s="66" t="n"/>
      <c r="AM306" s="66" t="n"/>
      <c r="AN306" s="66" t="n"/>
      <c r="AO306" s="66" t="n"/>
      <c r="AP306" s="66" t="n"/>
    </row>
    <row r="307">
      <c r="A307" s="66" t="n"/>
      <c r="B307" s="66" t="n"/>
      <c r="C307" s="66" t="n"/>
      <c r="D307" s="66" t="n"/>
      <c r="E307" s="67" t="n"/>
      <c r="F307" s="67" t="n"/>
      <c r="G307" s="68" t="n"/>
      <c r="H307" s="66" t="n"/>
      <c r="I307" s="66" t="n"/>
      <c r="J307" s="67" t="n"/>
      <c r="K307" s="67" t="n"/>
      <c r="L307" s="67" t="n"/>
      <c r="M307" s="28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7" t="n"/>
      <c r="X307" s="67" t="n"/>
      <c r="Y307" s="67" t="n"/>
      <c r="Z307" s="67" t="n"/>
      <c r="AA307" s="67" t="n"/>
      <c r="AB307" s="67" t="n"/>
      <c r="AC307" s="67" t="n"/>
      <c r="AD307" s="66" t="n"/>
      <c r="AE307" s="66" t="n"/>
      <c r="AF307" s="66" t="n"/>
      <c r="AG307" s="66" t="n"/>
      <c r="AH307" s="66" t="n"/>
      <c r="AI307" s="66" t="n"/>
      <c r="AJ307" s="66" t="n"/>
      <c r="AK307" s="66" t="n"/>
      <c r="AL307" s="66" t="n"/>
      <c r="AM307" s="66" t="n"/>
      <c r="AN307" s="66" t="n"/>
      <c r="AO307" s="66" t="n"/>
      <c r="AP307" s="66" t="n"/>
    </row>
    <row r="308">
      <c r="A308" s="66" t="n"/>
      <c r="B308" s="66" t="n"/>
      <c r="C308" s="66" t="n"/>
      <c r="D308" s="66" t="n"/>
      <c r="E308" s="67" t="n"/>
      <c r="F308" s="67" t="n"/>
      <c r="G308" s="68" t="n"/>
      <c r="H308" s="66" t="n"/>
      <c r="I308" s="66" t="n"/>
      <c r="J308" s="67" t="n"/>
      <c r="K308" s="67" t="n"/>
      <c r="L308" s="67" t="n"/>
      <c r="M308" s="28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7" t="n"/>
      <c r="X308" s="67" t="n"/>
      <c r="Y308" s="67" t="n"/>
      <c r="Z308" s="67" t="n"/>
      <c r="AA308" s="67" t="n"/>
      <c r="AB308" s="67" t="n"/>
      <c r="AC308" s="67" t="n"/>
      <c r="AD308" s="66" t="n"/>
      <c r="AE308" s="66" t="n"/>
      <c r="AF308" s="66" t="n"/>
      <c r="AG308" s="66" t="n"/>
      <c r="AH308" s="66" t="n"/>
      <c r="AI308" s="66" t="n"/>
      <c r="AJ308" s="66" t="n"/>
      <c r="AK308" s="66" t="n"/>
      <c r="AL308" s="66" t="n"/>
      <c r="AM308" s="66" t="n"/>
      <c r="AN308" s="66" t="n"/>
      <c r="AO308" s="66" t="n"/>
      <c r="AP308" s="66" t="n"/>
    </row>
    <row r="309">
      <c r="A309" s="66" t="n"/>
      <c r="B309" s="66" t="n"/>
      <c r="C309" s="66" t="n"/>
      <c r="D309" s="66" t="n"/>
      <c r="E309" s="67" t="n"/>
      <c r="F309" s="67" t="n"/>
      <c r="G309" s="68" t="n"/>
      <c r="H309" s="66" t="n"/>
      <c r="I309" s="66" t="n"/>
      <c r="J309" s="67" t="n"/>
      <c r="K309" s="67" t="n"/>
      <c r="L309" s="67" t="n"/>
      <c r="M309" s="28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7" t="n"/>
      <c r="X309" s="67" t="n"/>
      <c r="Y309" s="67" t="n"/>
      <c r="Z309" s="67" t="n"/>
      <c r="AA309" s="67" t="n"/>
      <c r="AB309" s="67" t="n"/>
      <c r="AC309" s="67" t="n"/>
      <c r="AD309" s="66" t="n"/>
      <c r="AE309" s="66" t="n"/>
      <c r="AF309" s="66" t="n"/>
      <c r="AG309" s="66" t="n"/>
      <c r="AH309" s="66" t="n"/>
      <c r="AI309" s="66" t="n"/>
      <c r="AJ309" s="66" t="n"/>
      <c r="AK309" s="66" t="n"/>
      <c r="AL309" s="66" t="n"/>
      <c r="AM309" s="66" t="n"/>
      <c r="AN309" s="66" t="n"/>
      <c r="AO309" s="66" t="n"/>
      <c r="AP309" s="66" t="n"/>
    </row>
    <row r="310">
      <c r="A310" s="66" t="n"/>
      <c r="B310" s="66" t="n"/>
      <c r="C310" s="66" t="n"/>
      <c r="D310" s="66" t="n"/>
      <c r="E310" s="67" t="n"/>
      <c r="F310" s="67" t="n"/>
      <c r="G310" s="68" t="n"/>
      <c r="H310" s="66" t="n"/>
      <c r="I310" s="66" t="n"/>
      <c r="J310" s="67" t="n"/>
      <c r="K310" s="67" t="n"/>
      <c r="L310" s="67" t="n"/>
      <c r="M310" s="28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7" t="n"/>
      <c r="X310" s="67" t="n"/>
      <c r="Y310" s="67" t="n"/>
      <c r="Z310" s="67" t="n"/>
      <c r="AA310" s="67" t="n"/>
      <c r="AB310" s="67" t="n"/>
      <c r="AC310" s="67" t="n"/>
      <c r="AD310" s="66" t="n"/>
      <c r="AE310" s="66" t="n"/>
      <c r="AF310" s="66" t="n"/>
      <c r="AG310" s="66" t="n"/>
      <c r="AH310" s="66" t="n"/>
      <c r="AI310" s="66" t="n"/>
      <c r="AJ310" s="66" t="n"/>
      <c r="AK310" s="66" t="n"/>
      <c r="AL310" s="66" t="n"/>
      <c r="AM310" s="66" t="n"/>
      <c r="AN310" s="66" t="n"/>
      <c r="AO310" s="66" t="n"/>
      <c r="AP310" s="66" t="n"/>
    </row>
    <row r="311">
      <c r="A311" s="66" t="n"/>
      <c r="B311" s="66" t="n"/>
      <c r="C311" s="66" t="n"/>
      <c r="D311" s="66" t="n"/>
      <c r="E311" s="67" t="n"/>
      <c r="F311" s="67" t="n"/>
      <c r="G311" s="68" t="n"/>
      <c r="H311" s="66" t="n"/>
      <c r="I311" s="66" t="n"/>
      <c r="J311" s="67" t="n"/>
      <c r="K311" s="67" t="n"/>
      <c r="L311" s="67" t="n"/>
      <c r="M311" s="28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7" t="n"/>
      <c r="X311" s="67" t="n"/>
      <c r="Y311" s="67" t="n"/>
      <c r="Z311" s="67" t="n"/>
      <c r="AA311" s="67" t="n"/>
      <c r="AB311" s="67" t="n"/>
      <c r="AC311" s="67" t="n"/>
      <c r="AD311" s="66" t="n"/>
      <c r="AE311" s="66" t="n"/>
      <c r="AF311" s="66" t="n"/>
      <c r="AG311" s="66" t="n"/>
      <c r="AH311" s="66" t="n"/>
      <c r="AI311" s="66" t="n"/>
      <c r="AJ311" s="66" t="n"/>
      <c r="AK311" s="66" t="n"/>
      <c r="AL311" s="66" t="n"/>
      <c r="AM311" s="66" t="n"/>
      <c r="AN311" s="66" t="n"/>
      <c r="AO311" s="66" t="n"/>
      <c r="AP311" s="66" t="n"/>
    </row>
    <row r="312">
      <c r="A312" s="66" t="n"/>
      <c r="B312" s="66" t="n"/>
      <c r="C312" s="66" t="n"/>
      <c r="D312" s="66" t="n"/>
      <c r="E312" s="67" t="n"/>
      <c r="F312" s="67" t="n"/>
      <c r="G312" s="68" t="n"/>
      <c r="H312" s="66" t="n"/>
      <c r="I312" s="66" t="n"/>
      <c r="J312" s="67" t="n"/>
      <c r="K312" s="67" t="n"/>
      <c r="L312" s="67" t="n"/>
      <c r="M312" s="28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7" t="n"/>
      <c r="X312" s="67" t="n"/>
      <c r="Y312" s="67" t="n"/>
      <c r="Z312" s="67" t="n"/>
      <c r="AA312" s="67" t="n"/>
      <c r="AB312" s="67" t="n"/>
      <c r="AC312" s="67" t="n"/>
      <c r="AD312" s="66" t="n"/>
      <c r="AE312" s="66" t="n"/>
      <c r="AF312" s="66" t="n"/>
      <c r="AG312" s="66" t="n"/>
      <c r="AH312" s="66" t="n"/>
      <c r="AI312" s="66" t="n"/>
      <c r="AJ312" s="66" t="n"/>
      <c r="AK312" s="66" t="n"/>
      <c r="AL312" s="66" t="n"/>
      <c r="AM312" s="66" t="n"/>
      <c r="AN312" s="66" t="n"/>
      <c r="AO312" s="66" t="n"/>
      <c r="AP312" s="66" t="n"/>
    </row>
    <row r="313">
      <c r="A313" s="66" t="n"/>
      <c r="B313" s="66" t="n"/>
      <c r="C313" s="66" t="n"/>
      <c r="D313" s="66" t="n"/>
      <c r="E313" s="67" t="n"/>
      <c r="F313" s="67" t="n"/>
      <c r="G313" s="68" t="n"/>
      <c r="H313" s="66" t="n"/>
      <c r="I313" s="66" t="n"/>
      <c r="J313" s="67" t="n"/>
      <c r="K313" s="67" t="n"/>
      <c r="L313" s="67" t="n"/>
      <c r="M313" s="28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7" t="n"/>
      <c r="X313" s="67" t="n"/>
      <c r="Y313" s="67" t="n"/>
      <c r="Z313" s="67" t="n"/>
      <c r="AA313" s="67" t="n"/>
      <c r="AB313" s="67" t="n"/>
      <c r="AC313" s="67" t="n"/>
      <c r="AD313" s="66" t="n"/>
      <c r="AE313" s="66" t="n"/>
      <c r="AF313" s="66" t="n"/>
      <c r="AG313" s="66" t="n"/>
      <c r="AH313" s="66" t="n"/>
      <c r="AI313" s="66" t="n"/>
      <c r="AJ313" s="66" t="n"/>
      <c r="AK313" s="66" t="n"/>
      <c r="AL313" s="66" t="n"/>
      <c r="AM313" s="66" t="n"/>
      <c r="AN313" s="66" t="n"/>
      <c r="AO313" s="66" t="n"/>
      <c r="AP313" s="66" t="n"/>
    </row>
    <row r="314">
      <c r="A314" s="66" t="n"/>
      <c r="B314" s="66" t="n"/>
      <c r="C314" s="66" t="n"/>
      <c r="D314" s="66" t="n"/>
      <c r="E314" s="67" t="n"/>
      <c r="F314" s="67" t="n"/>
      <c r="G314" s="68" t="n"/>
      <c r="H314" s="66" t="n"/>
      <c r="I314" s="66" t="n"/>
      <c r="J314" s="67" t="n"/>
      <c r="K314" s="67" t="n"/>
      <c r="L314" s="67" t="n"/>
      <c r="M314" s="28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7" t="n"/>
      <c r="X314" s="67" t="n"/>
      <c r="Y314" s="67" t="n"/>
      <c r="Z314" s="67" t="n"/>
      <c r="AA314" s="67" t="n"/>
      <c r="AB314" s="67" t="n"/>
      <c r="AC314" s="67" t="n"/>
      <c r="AD314" s="66" t="n"/>
      <c r="AE314" s="66" t="n"/>
      <c r="AF314" s="66" t="n"/>
      <c r="AG314" s="66" t="n"/>
      <c r="AH314" s="66" t="n"/>
      <c r="AI314" s="66" t="n"/>
      <c r="AJ314" s="66" t="n"/>
      <c r="AK314" s="66" t="n"/>
      <c r="AL314" s="66" t="n"/>
      <c r="AM314" s="66" t="n"/>
      <c r="AN314" s="66" t="n"/>
      <c r="AO314" s="66" t="n"/>
      <c r="AP314" s="66" t="n"/>
    </row>
    <row r="315">
      <c r="A315" s="66" t="n"/>
      <c r="B315" s="66" t="n"/>
      <c r="C315" s="66" t="n"/>
      <c r="D315" s="66" t="n"/>
      <c r="E315" s="67" t="n"/>
      <c r="F315" s="67" t="n"/>
      <c r="G315" s="68" t="n"/>
      <c r="H315" s="66" t="n"/>
      <c r="I315" s="66" t="n"/>
      <c r="J315" s="67" t="n"/>
      <c r="K315" s="67" t="n"/>
      <c r="L315" s="67" t="n"/>
      <c r="M315" s="28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7" t="n"/>
      <c r="X315" s="67" t="n"/>
      <c r="Y315" s="67" t="n"/>
      <c r="Z315" s="67" t="n"/>
      <c r="AA315" s="67" t="n"/>
      <c r="AB315" s="67" t="n"/>
      <c r="AC315" s="67" t="n"/>
      <c r="AD315" s="66" t="n"/>
      <c r="AE315" s="66" t="n"/>
      <c r="AF315" s="66" t="n"/>
      <c r="AG315" s="66" t="n"/>
      <c r="AH315" s="66" t="n"/>
      <c r="AI315" s="66" t="n"/>
      <c r="AJ315" s="66" t="n"/>
      <c r="AK315" s="66" t="n"/>
      <c r="AL315" s="66" t="n"/>
      <c r="AM315" s="66" t="n"/>
      <c r="AN315" s="66" t="n"/>
      <c r="AO315" s="66" t="n"/>
      <c r="AP315" s="66" t="n"/>
    </row>
    <row r="316">
      <c r="A316" s="66" t="n"/>
      <c r="B316" s="66" t="n"/>
      <c r="C316" s="66" t="n"/>
      <c r="D316" s="66" t="n"/>
      <c r="E316" s="67" t="n"/>
      <c r="F316" s="67" t="n"/>
      <c r="G316" s="68" t="n"/>
      <c r="H316" s="66" t="n"/>
      <c r="I316" s="66" t="n"/>
      <c r="J316" s="67" t="n"/>
      <c r="K316" s="67" t="n"/>
      <c r="L316" s="67" t="n"/>
      <c r="M316" s="28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7" t="n"/>
      <c r="X316" s="67" t="n"/>
      <c r="Y316" s="67" t="n"/>
      <c r="Z316" s="67" t="n"/>
      <c r="AA316" s="67" t="n"/>
      <c r="AB316" s="67" t="n"/>
      <c r="AC316" s="67" t="n"/>
      <c r="AD316" s="66" t="n"/>
      <c r="AE316" s="66" t="n"/>
      <c r="AF316" s="66" t="n"/>
      <c r="AG316" s="66" t="n"/>
      <c r="AH316" s="66" t="n"/>
      <c r="AI316" s="66" t="n"/>
      <c r="AJ316" s="66" t="n"/>
      <c r="AK316" s="66" t="n"/>
      <c r="AL316" s="66" t="n"/>
      <c r="AM316" s="66" t="n"/>
      <c r="AN316" s="66" t="n"/>
      <c r="AO316" s="66" t="n"/>
      <c r="AP316" s="66" t="n"/>
    </row>
    <row r="317">
      <c r="A317" s="66" t="n"/>
      <c r="B317" s="66" t="n"/>
      <c r="C317" s="66" t="n"/>
      <c r="D317" s="66" t="n"/>
      <c r="E317" s="67" t="n"/>
      <c r="F317" s="67" t="n"/>
      <c r="G317" s="68" t="n"/>
      <c r="H317" s="66" t="n"/>
      <c r="I317" s="66" t="n"/>
      <c r="J317" s="67" t="n"/>
      <c r="K317" s="67" t="n"/>
      <c r="L317" s="67" t="n"/>
      <c r="M317" s="28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7" t="n"/>
      <c r="X317" s="67" t="n"/>
      <c r="Y317" s="67" t="n"/>
      <c r="Z317" s="67" t="n"/>
      <c r="AA317" s="67" t="n"/>
      <c r="AB317" s="67" t="n"/>
      <c r="AC317" s="67" t="n"/>
      <c r="AD317" s="66" t="n"/>
      <c r="AE317" s="66" t="n"/>
      <c r="AF317" s="66" t="n"/>
      <c r="AG317" s="66" t="n"/>
      <c r="AH317" s="66" t="n"/>
      <c r="AI317" s="66" t="n"/>
      <c r="AJ317" s="66" t="n"/>
      <c r="AK317" s="66" t="n"/>
      <c r="AL317" s="66" t="n"/>
      <c r="AM317" s="66" t="n"/>
      <c r="AN317" s="66" t="n"/>
      <c r="AO317" s="66" t="n"/>
      <c r="AP317" s="66" t="n"/>
    </row>
    <row r="318">
      <c r="A318" s="66" t="n"/>
      <c r="B318" s="66" t="n"/>
      <c r="C318" s="66" t="n"/>
      <c r="D318" s="66" t="n"/>
      <c r="E318" s="67" t="n"/>
      <c r="F318" s="67" t="n"/>
      <c r="G318" s="68" t="n"/>
      <c r="H318" s="66" t="n"/>
      <c r="I318" s="66" t="n"/>
      <c r="J318" s="67" t="n"/>
      <c r="K318" s="67" t="n"/>
      <c r="L318" s="67" t="n"/>
      <c r="M318" s="28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7" t="n"/>
      <c r="X318" s="67" t="n"/>
      <c r="Y318" s="67" t="n"/>
      <c r="Z318" s="67" t="n"/>
      <c r="AA318" s="67" t="n"/>
      <c r="AB318" s="67" t="n"/>
      <c r="AC318" s="67" t="n"/>
      <c r="AD318" s="66" t="n"/>
      <c r="AE318" s="66" t="n"/>
      <c r="AF318" s="66" t="n"/>
      <c r="AG318" s="66" t="n"/>
      <c r="AH318" s="66" t="n"/>
      <c r="AI318" s="66" t="n"/>
      <c r="AJ318" s="66" t="n"/>
      <c r="AK318" s="66" t="n"/>
      <c r="AL318" s="66" t="n"/>
      <c r="AM318" s="66" t="n"/>
      <c r="AN318" s="66" t="n"/>
      <c r="AO318" s="66" t="n"/>
      <c r="AP318" s="66" t="n"/>
    </row>
    <row r="319">
      <c r="A319" s="66" t="n"/>
      <c r="B319" s="66" t="n"/>
      <c r="C319" s="66" t="n"/>
      <c r="D319" s="66" t="n"/>
      <c r="E319" s="67" t="n"/>
      <c r="F319" s="67" t="n"/>
      <c r="G319" s="68" t="n"/>
      <c r="H319" s="66" t="n"/>
      <c r="I319" s="66" t="n"/>
      <c r="J319" s="67" t="n"/>
      <c r="K319" s="67" t="n"/>
      <c r="L319" s="67" t="n"/>
      <c r="M319" s="28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7" t="n"/>
      <c r="X319" s="67" t="n"/>
      <c r="Y319" s="67" t="n"/>
      <c r="Z319" s="67" t="n"/>
      <c r="AA319" s="67" t="n"/>
      <c r="AB319" s="67" t="n"/>
      <c r="AC319" s="67" t="n"/>
      <c r="AD319" s="66" t="n"/>
      <c r="AE319" s="66" t="n"/>
      <c r="AF319" s="66" t="n"/>
      <c r="AG319" s="66" t="n"/>
      <c r="AH319" s="66" t="n"/>
      <c r="AI319" s="66" t="n"/>
      <c r="AJ319" s="66" t="n"/>
      <c r="AK319" s="66" t="n"/>
      <c r="AL319" s="66" t="n"/>
      <c r="AM319" s="66" t="n"/>
      <c r="AN319" s="66" t="n"/>
      <c r="AO319" s="66" t="n"/>
      <c r="AP319" s="66" t="n"/>
    </row>
    <row r="320">
      <c r="A320" s="66" t="n"/>
      <c r="B320" s="66" t="n"/>
      <c r="C320" s="66" t="n"/>
      <c r="D320" s="66" t="n"/>
      <c r="E320" s="67" t="n"/>
      <c r="F320" s="67" t="n"/>
      <c r="G320" s="68" t="n"/>
      <c r="H320" s="66" t="n"/>
      <c r="I320" s="66" t="n"/>
      <c r="J320" s="67" t="n"/>
      <c r="K320" s="67" t="n"/>
      <c r="L320" s="67" t="n"/>
      <c r="M320" s="28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7" t="n"/>
      <c r="X320" s="67" t="n"/>
      <c r="Y320" s="67" t="n"/>
      <c r="Z320" s="67" t="n"/>
      <c r="AA320" s="67" t="n"/>
      <c r="AB320" s="67" t="n"/>
      <c r="AC320" s="67" t="n"/>
      <c r="AD320" s="66" t="n"/>
      <c r="AE320" s="66" t="n"/>
      <c r="AF320" s="66" t="n"/>
      <c r="AG320" s="66" t="n"/>
      <c r="AH320" s="66" t="n"/>
      <c r="AI320" s="66" t="n"/>
      <c r="AJ320" s="66" t="n"/>
      <c r="AK320" s="66" t="n"/>
      <c r="AL320" s="66" t="n"/>
      <c r="AM320" s="66" t="n"/>
      <c r="AN320" s="66" t="n"/>
      <c r="AO320" s="66" t="n"/>
      <c r="AP320" s="66" t="n"/>
    </row>
    <row r="321">
      <c r="A321" s="66" t="n"/>
      <c r="B321" s="66" t="n"/>
      <c r="C321" s="66" t="n"/>
      <c r="D321" s="66" t="n"/>
      <c r="E321" s="67" t="n"/>
      <c r="F321" s="67" t="n"/>
      <c r="G321" s="68" t="n"/>
      <c r="H321" s="66" t="n"/>
      <c r="I321" s="66" t="n"/>
      <c r="J321" s="67" t="n"/>
      <c r="K321" s="67" t="n"/>
      <c r="L321" s="67" t="n"/>
      <c r="M321" s="28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7" t="n"/>
      <c r="X321" s="67" t="n"/>
      <c r="Y321" s="67" t="n"/>
      <c r="Z321" s="67" t="n"/>
      <c r="AA321" s="67" t="n"/>
      <c r="AB321" s="67" t="n"/>
      <c r="AC321" s="67" t="n"/>
      <c r="AD321" s="66" t="n"/>
      <c r="AE321" s="66" t="n"/>
      <c r="AF321" s="66" t="n"/>
      <c r="AG321" s="66" t="n"/>
      <c r="AH321" s="66" t="n"/>
      <c r="AI321" s="66" t="n"/>
      <c r="AJ321" s="66" t="n"/>
      <c r="AK321" s="66" t="n"/>
      <c r="AL321" s="66" t="n"/>
      <c r="AM321" s="66" t="n"/>
      <c r="AN321" s="66" t="n"/>
      <c r="AO321" s="66" t="n"/>
      <c r="AP321" s="66" t="n"/>
    </row>
    <row r="322">
      <c r="A322" s="66" t="n"/>
      <c r="B322" s="66" t="n"/>
      <c r="C322" s="66" t="n"/>
      <c r="D322" s="66" t="n"/>
      <c r="E322" s="67" t="n"/>
      <c r="F322" s="67" t="n"/>
      <c r="G322" s="68" t="n"/>
      <c r="H322" s="66" t="n"/>
      <c r="I322" s="66" t="n"/>
      <c r="J322" s="67" t="n"/>
      <c r="K322" s="67" t="n"/>
      <c r="L322" s="67" t="n"/>
      <c r="M322" s="28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7" t="n"/>
      <c r="X322" s="67" t="n"/>
      <c r="Y322" s="67" t="n"/>
      <c r="Z322" s="67" t="n"/>
      <c r="AA322" s="67" t="n"/>
      <c r="AB322" s="67" t="n"/>
      <c r="AC322" s="67" t="n"/>
      <c r="AD322" s="66" t="n"/>
      <c r="AE322" s="66" t="n"/>
      <c r="AF322" s="66" t="n"/>
      <c r="AG322" s="66" t="n"/>
      <c r="AH322" s="66" t="n"/>
      <c r="AI322" s="66" t="n"/>
      <c r="AJ322" s="66" t="n"/>
      <c r="AK322" s="66" t="n"/>
      <c r="AL322" s="66" t="n"/>
      <c r="AM322" s="66" t="n"/>
      <c r="AN322" s="66" t="n"/>
      <c r="AO322" s="66" t="n"/>
      <c r="AP322" s="66" t="n"/>
    </row>
    <row r="323">
      <c r="A323" s="66" t="n"/>
      <c r="B323" s="66" t="n"/>
      <c r="C323" s="66" t="n"/>
      <c r="D323" s="66" t="n"/>
      <c r="E323" s="67" t="n"/>
      <c r="F323" s="67" t="n"/>
      <c r="G323" s="68" t="n"/>
      <c r="H323" s="66" t="n"/>
      <c r="I323" s="66" t="n"/>
      <c r="J323" s="67" t="n"/>
      <c r="K323" s="67" t="n"/>
      <c r="L323" s="67" t="n"/>
      <c r="M323" s="28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7" t="n"/>
      <c r="X323" s="67" t="n"/>
      <c r="Y323" s="67" t="n"/>
      <c r="Z323" s="67" t="n"/>
      <c r="AA323" s="67" t="n"/>
      <c r="AB323" s="67" t="n"/>
      <c r="AC323" s="67" t="n"/>
      <c r="AD323" s="66" t="n"/>
      <c r="AE323" s="66" t="n"/>
      <c r="AF323" s="66" t="n"/>
      <c r="AG323" s="66" t="n"/>
      <c r="AH323" s="66" t="n"/>
      <c r="AI323" s="66" t="n"/>
      <c r="AJ323" s="66" t="n"/>
      <c r="AK323" s="66" t="n"/>
      <c r="AL323" s="66" t="n"/>
      <c r="AM323" s="66" t="n"/>
      <c r="AN323" s="66" t="n"/>
      <c r="AO323" s="66" t="n"/>
      <c r="AP323" s="66" t="n"/>
    </row>
    <row r="324">
      <c r="A324" s="66" t="n"/>
      <c r="B324" s="66" t="n"/>
      <c r="C324" s="66" t="n"/>
      <c r="D324" s="66" t="n"/>
      <c r="E324" s="67" t="n"/>
      <c r="F324" s="67" t="n"/>
      <c r="G324" s="68" t="n"/>
      <c r="H324" s="66" t="n"/>
      <c r="I324" s="66" t="n"/>
      <c r="J324" s="67" t="n"/>
      <c r="K324" s="67" t="n"/>
      <c r="L324" s="67" t="n"/>
      <c r="M324" s="28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7" t="n"/>
      <c r="X324" s="67" t="n"/>
      <c r="Y324" s="67" t="n"/>
      <c r="Z324" s="67" t="n"/>
      <c r="AA324" s="67" t="n"/>
      <c r="AB324" s="67" t="n"/>
      <c r="AC324" s="67" t="n"/>
      <c r="AD324" s="66" t="n"/>
      <c r="AE324" s="66" t="n"/>
      <c r="AF324" s="66" t="n"/>
      <c r="AG324" s="66" t="n"/>
      <c r="AH324" s="66" t="n"/>
      <c r="AI324" s="66" t="n"/>
      <c r="AJ324" s="66" t="n"/>
      <c r="AK324" s="66" t="n"/>
      <c r="AL324" s="66" t="n"/>
      <c r="AM324" s="66" t="n"/>
      <c r="AN324" s="66" t="n"/>
      <c r="AO324" s="66" t="n"/>
      <c r="AP324" s="66" t="n"/>
    </row>
    <row r="325">
      <c r="A325" s="66" t="n"/>
      <c r="B325" s="66" t="n"/>
      <c r="C325" s="66" t="n"/>
      <c r="D325" s="66" t="n"/>
      <c r="E325" s="67" t="n"/>
      <c r="F325" s="67" t="n"/>
      <c r="G325" s="68" t="n"/>
      <c r="H325" s="66" t="n"/>
      <c r="I325" s="66" t="n"/>
      <c r="J325" s="67" t="n"/>
      <c r="K325" s="67" t="n"/>
      <c r="L325" s="67" t="n"/>
      <c r="M325" s="28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7" t="n"/>
      <c r="X325" s="67" t="n"/>
      <c r="Y325" s="67" t="n"/>
      <c r="Z325" s="67" t="n"/>
      <c r="AA325" s="67" t="n"/>
      <c r="AB325" s="67" t="n"/>
      <c r="AC325" s="67" t="n"/>
      <c r="AD325" s="66" t="n"/>
      <c r="AE325" s="66" t="n"/>
      <c r="AF325" s="66" t="n"/>
      <c r="AG325" s="66" t="n"/>
      <c r="AH325" s="66" t="n"/>
      <c r="AI325" s="66" t="n"/>
      <c r="AJ325" s="66" t="n"/>
      <c r="AK325" s="66" t="n"/>
      <c r="AL325" s="66" t="n"/>
      <c r="AM325" s="66" t="n"/>
      <c r="AN325" s="66" t="n"/>
      <c r="AO325" s="66" t="n"/>
      <c r="AP325" s="66" t="n"/>
    </row>
    <row r="326">
      <c r="A326" s="66" t="n"/>
      <c r="B326" s="66" t="n"/>
      <c r="C326" s="66" t="n"/>
      <c r="D326" s="66" t="n"/>
      <c r="E326" s="67" t="n"/>
      <c r="F326" s="67" t="n"/>
      <c r="G326" s="68" t="n"/>
      <c r="H326" s="66" t="n"/>
      <c r="I326" s="66" t="n"/>
      <c r="J326" s="67" t="n"/>
      <c r="K326" s="67" t="n"/>
      <c r="L326" s="67" t="n"/>
      <c r="M326" s="28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7" t="n"/>
      <c r="X326" s="67" t="n"/>
      <c r="Y326" s="67" t="n"/>
      <c r="Z326" s="67" t="n"/>
      <c r="AA326" s="67" t="n"/>
      <c r="AB326" s="67" t="n"/>
      <c r="AC326" s="67" t="n"/>
      <c r="AD326" s="66" t="n"/>
      <c r="AE326" s="66" t="n"/>
      <c r="AF326" s="66" t="n"/>
      <c r="AG326" s="66" t="n"/>
      <c r="AH326" s="66" t="n"/>
      <c r="AI326" s="66" t="n"/>
      <c r="AJ326" s="66" t="n"/>
      <c r="AK326" s="66" t="n"/>
      <c r="AL326" s="66" t="n"/>
      <c r="AM326" s="66" t="n"/>
      <c r="AN326" s="66" t="n"/>
      <c r="AO326" s="66" t="n"/>
      <c r="AP326" s="66" t="n"/>
    </row>
    <row r="327">
      <c r="A327" s="66" t="n"/>
      <c r="B327" s="66" t="n"/>
      <c r="C327" s="66" t="n"/>
      <c r="D327" s="66" t="n"/>
      <c r="E327" s="67" t="n"/>
      <c r="F327" s="67" t="n"/>
      <c r="G327" s="68" t="n"/>
      <c r="H327" s="66" t="n"/>
      <c r="I327" s="66" t="n"/>
      <c r="J327" s="67" t="n"/>
      <c r="K327" s="67" t="n"/>
      <c r="L327" s="67" t="n"/>
      <c r="M327" s="28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7" t="n"/>
      <c r="X327" s="67" t="n"/>
      <c r="Y327" s="67" t="n"/>
      <c r="Z327" s="67" t="n"/>
      <c r="AA327" s="67" t="n"/>
      <c r="AB327" s="67" t="n"/>
      <c r="AC327" s="67" t="n"/>
      <c r="AD327" s="66" t="n"/>
      <c r="AE327" s="66" t="n"/>
      <c r="AF327" s="66" t="n"/>
      <c r="AG327" s="66" t="n"/>
      <c r="AH327" s="66" t="n"/>
      <c r="AI327" s="66" t="n"/>
      <c r="AJ327" s="66" t="n"/>
      <c r="AK327" s="66" t="n"/>
      <c r="AL327" s="66" t="n"/>
      <c r="AM327" s="66" t="n"/>
      <c r="AN327" s="66" t="n"/>
      <c r="AO327" s="66" t="n"/>
      <c r="AP327" s="66" t="n"/>
    </row>
    <row r="328">
      <c r="A328" s="66" t="n"/>
      <c r="B328" s="66" t="n"/>
      <c r="C328" s="66" t="n"/>
      <c r="D328" s="66" t="n"/>
      <c r="E328" s="67" t="n"/>
      <c r="F328" s="67" t="n"/>
      <c r="G328" s="68" t="n"/>
      <c r="H328" s="66" t="n"/>
      <c r="I328" s="66" t="n"/>
      <c r="J328" s="67" t="n"/>
      <c r="K328" s="67" t="n"/>
      <c r="L328" s="67" t="n"/>
      <c r="M328" s="28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7" t="n"/>
      <c r="X328" s="67" t="n"/>
      <c r="Y328" s="67" t="n"/>
      <c r="Z328" s="67" t="n"/>
      <c r="AA328" s="67" t="n"/>
      <c r="AB328" s="67" t="n"/>
      <c r="AC328" s="67" t="n"/>
      <c r="AD328" s="66" t="n"/>
      <c r="AE328" s="66" t="n"/>
      <c r="AF328" s="66" t="n"/>
      <c r="AG328" s="66" t="n"/>
      <c r="AH328" s="66" t="n"/>
      <c r="AI328" s="66" t="n"/>
      <c r="AJ328" s="66" t="n"/>
      <c r="AK328" s="66" t="n"/>
      <c r="AL328" s="66" t="n"/>
      <c r="AM328" s="66" t="n"/>
      <c r="AN328" s="66" t="n"/>
      <c r="AO328" s="66" t="n"/>
      <c r="AP328" s="66" t="n"/>
    </row>
    <row r="329">
      <c r="A329" s="66" t="n"/>
      <c r="B329" s="66" t="n"/>
      <c r="C329" s="66" t="n"/>
      <c r="D329" s="66" t="n"/>
      <c r="E329" s="67" t="n"/>
      <c r="F329" s="67" t="n"/>
      <c r="G329" s="68" t="n"/>
      <c r="H329" s="66" t="n"/>
      <c r="I329" s="66" t="n"/>
      <c r="J329" s="67" t="n"/>
      <c r="K329" s="67" t="n"/>
      <c r="L329" s="67" t="n"/>
      <c r="M329" s="28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7" t="n"/>
      <c r="X329" s="67" t="n"/>
      <c r="Y329" s="67" t="n"/>
      <c r="Z329" s="67" t="n"/>
      <c r="AA329" s="67" t="n"/>
      <c r="AB329" s="67" t="n"/>
      <c r="AC329" s="67" t="n"/>
      <c r="AD329" s="66" t="n"/>
      <c r="AE329" s="66" t="n"/>
      <c r="AF329" s="66" t="n"/>
      <c r="AG329" s="66" t="n"/>
      <c r="AH329" s="66" t="n"/>
      <c r="AI329" s="66" t="n"/>
      <c r="AJ329" s="66" t="n"/>
      <c r="AK329" s="66" t="n"/>
      <c r="AL329" s="66" t="n"/>
      <c r="AM329" s="66" t="n"/>
      <c r="AN329" s="66" t="n"/>
      <c r="AO329" s="66" t="n"/>
      <c r="AP329" s="66" t="n"/>
    </row>
    <row r="330">
      <c r="A330" s="66" t="n"/>
      <c r="B330" s="66" t="n"/>
      <c r="C330" s="66" t="n"/>
      <c r="D330" s="66" t="n"/>
      <c r="E330" s="67" t="n"/>
      <c r="F330" s="67" t="n"/>
      <c r="G330" s="68" t="n"/>
      <c r="H330" s="66" t="n"/>
      <c r="I330" s="66" t="n"/>
      <c r="J330" s="67" t="n"/>
      <c r="K330" s="67" t="n"/>
      <c r="L330" s="67" t="n"/>
      <c r="M330" s="28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7" t="n"/>
      <c r="X330" s="67" t="n"/>
      <c r="Y330" s="67" t="n"/>
      <c r="Z330" s="67" t="n"/>
      <c r="AA330" s="67" t="n"/>
      <c r="AB330" s="67" t="n"/>
      <c r="AC330" s="67" t="n"/>
      <c r="AD330" s="66" t="n"/>
      <c r="AE330" s="66" t="n"/>
      <c r="AF330" s="66" t="n"/>
      <c r="AG330" s="66" t="n"/>
      <c r="AH330" s="66" t="n"/>
      <c r="AI330" s="66" t="n"/>
      <c r="AJ330" s="66" t="n"/>
      <c r="AK330" s="66" t="n"/>
      <c r="AL330" s="66" t="n"/>
      <c r="AM330" s="66" t="n"/>
      <c r="AN330" s="66" t="n"/>
      <c r="AO330" s="66" t="n"/>
      <c r="AP330" s="66" t="n"/>
    </row>
    <row r="331">
      <c r="A331" s="66" t="n"/>
      <c r="B331" s="66" t="n"/>
      <c r="C331" s="66" t="n"/>
      <c r="D331" s="66" t="n"/>
      <c r="E331" s="67" t="n"/>
      <c r="F331" s="67" t="n"/>
      <c r="G331" s="68" t="n"/>
      <c r="H331" s="66" t="n"/>
      <c r="I331" s="66" t="n"/>
      <c r="J331" s="67" t="n"/>
      <c r="K331" s="67" t="n"/>
      <c r="L331" s="67" t="n"/>
      <c r="M331" s="28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7" t="n"/>
      <c r="X331" s="67" t="n"/>
      <c r="Y331" s="67" t="n"/>
      <c r="Z331" s="67" t="n"/>
      <c r="AA331" s="67" t="n"/>
      <c r="AB331" s="67" t="n"/>
      <c r="AC331" s="67" t="n"/>
      <c r="AD331" s="66" t="n"/>
      <c r="AE331" s="66" t="n"/>
      <c r="AF331" s="66" t="n"/>
      <c r="AG331" s="66" t="n"/>
      <c r="AH331" s="66" t="n"/>
      <c r="AI331" s="66" t="n"/>
      <c r="AJ331" s="66" t="n"/>
      <c r="AK331" s="66" t="n"/>
      <c r="AL331" s="66" t="n"/>
      <c r="AM331" s="66" t="n"/>
      <c r="AN331" s="66" t="n"/>
      <c r="AO331" s="66" t="n"/>
      <c r="AP331" s="66" t="n"/>
    </row>
    <row r="332">
      <c r="A332" s="66" t="n"/>
      <c r="B332" s="66" t="n"/>
      <c r="C332" s="66" t="n"/>
      <c r="D332" s="66" t="n"/>
      <c r="E332" s="67" t="n"/>
      <c r="F332" s="67" t="n"/>
      <c r="G332" s="68" t="n"/>
      <c r="H332" s="66" t="n"/>
      <c r="I332" s="66" t="n"/>
      <c r="J332" s="67" t="n"/>
      <c r="K332" s="67" t="n"/>
      <c r="L332" s="67" t="n"/>
      <c r="M332" s="28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7" t="n"/>
      <c r="X332" s="67" t="n"/>
      <c r="Y332" s="67" t="n"/>
      <c r="Z332" s="67" t="n"/>
      <c r="AA332" s="67" t="n"/>
      <c r="AB332" s="67" t="n"/>
      <c r="AC332" s="67" t="n"/>
      <c r="AD332" s="66" t="n"/>
      <c r="AE332" s="66" t="n"/>
      <c r="AF332" s="66" t="n"/>
      <c r="AG332" s="66" t="n"/>
      <c r="AH332" s="66" t="n"/>
      <c r="AI332" s="66" t="n"/>
      <c r="AJ332" s="66" t="n"/>
      <c r="AK332" s="66" t="n"/>
      <c r="AL332" s="66" t="n"/>
      <c r="AM332" s="66" t="n"/>
      <c r="AN332" s="66" t="n"/>
      <c r="AO332" s="66" t="n"/>
      <c r="AP332" s="66" t="n"/>
    </row>
    <row r="333">
      <c r="A333" s="66" t="n"/>
      <c r="B333" s="66" t="n"/>
      <c r="C333" s="66" t="n"/>
      <c r="D333" s="66" t="n"/>
      <c r="E333" s="67" t="n"/>
      <c r="F333" s="67" t="n"/>
      <c r="G333" s="68" t="n"/>
      <c r="H333" s="66" t="n"/>
      <c r="I333" s="66" t="n"/>
      <c r="J333" s="67" t="n"/>
      <c r="K333" s="67" t="n"/>
      <c r="L333" s="67" t="n"/>
      <c r="M333" s="28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7" t="n"/>
      <c r="X333" s="67" t="n"/>
      <c r="Y333" s="67" t="n"/>
      <c r="Z333" s="67" t="n"/>
      <c r="AA333" s="67" t="n"/>
      <c r="AB333" s="67" t="n"/>
      <c r="AC333" s="67" t="n"/>
      <c r="AD333" s="66" t="n"/>
      <c r="AE333" s="66" t="n"/>
      <c r="AF333" s="66" t="n"/>
      <c r="AG333" s="66" t="n"/>
      <c r="AH333" s="66" t="n"/>
      <c r="AI333" s="66" t="n"/>
      <c r="AJ333" s="66" t="n"/>
      <c r="AK333" s="66" t="n"/>
      <c r="AL333" s="66" t="n"/>
      <c r="AM333" s="66" t="n"/>
      <c r="AN333" s="66" t="n"/>
      <c r="AO333" s="66" t="n"/>
      <c r="AP333" s="66" t="n"/>
    </row>
    <row r="334">
      <c r="A334" s="66" t="n"/>
      <c r="B334" s="66" t="n"/>
      <c r="C334" s="66" t="n"/>
      <c r="D334" s="66" t="n"/>
      <c r="E334" s="67" t="n"/>
      <c r="F334" s="67" t="n"/>
      <c r="G334" s="68" t="n"/>
      <c r="H334" s="66" t="n"/>
      <c r="I334" s="66" t="n"/>
      <c r="J334" s="67" t="n"/>
      <c r="K334" s="67" t="n"/>
      <c r="L334" s="67" t="n"/>
      <c r="M334" s="28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7" t="n"/>
      <c r="X334" s="67" t="n"/>
      <c r="Y334" s="67" t="n"/>
      <c r="Z334" s="67" t="n"/>
      <c r="AA334" s="67" t="n"/>
      <c r="AB334" s="67" t="n"/>
      <c r="AC334" s="67" t="n"/>
      <c r="AD334" s="66" t="n"/>
      <c r="AE334" s="66" t="n"/>
      <c r="AF334" s="66" t="n"/>
      <c r="AG334" s="66" t="n"/>
      <c r="AH334" s="66" t="n"/>
      <c r="AI334" s="66" t="n"/>
      <c r="AJ334" s="66" t="n"/>
      <c r="AK334" s="66" t="n"/>
      <c r="AL334" s="66" t="n"/>
      <c r="AM334" s="66" t="n"/>
      <c r="AN334" s="66" t="n"/>
      <c r="AO334" s="66" t="n"/>
      <c r="AP334" s="66" t="n"/>
    </row>
    <row r="335">
      <c r="A335" s="66" t="n"/>
      <c r="B335" s="66" t="n"/>
      <c r="C335" s="66" t="n"/>
      <c r="D335" s="66" t="n"/>
      <c r="E335" s="67" t="n"/>
      <c r="F335" s="67" t="n"/>
      <c r="G335" s="68" t="n"/>
      <c r="H335" s="66" t="n"/>
      <c r="I335" s="66" t="n"/>
      <c r="J335" s="67" t="n"/>
      <c r="K335" s="67" t="n"/>
      <c r="L335" s="67" t="n"/>
      <c r="M335" s="28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7" t="n"/>
      <c r="X335" s="67" t="n"/>
      <c r="Y335" s="67" t="n"/>
      <c r="Z335" s="67" t="n"/>
      <c r="AA335" s="67" t="n"/>
      <c r="AB335" s="67" t="n"/>
      <c r="AC335" s="67" t="n"/>
      <c r="AD335" s="66" t="n"/>
      <c r="AE335" s="66" t="n"/>
      <c r="AF335" s="66" t="n"/>
      <c r="AG335" s="66" t="n"/>
      <c r="AH335" s="66" t="n"/>
      <c r="AI335" s="66" t="n"/>
      <c r="AJ335" s="66" t="n"/>
      <c r="AK335" s="66" t="n"/>
      <c r="AL335" s="66" t="n"/>
      <c r="AM335" s="66" t="n"/>
      <c r="AN335" s="66" t="n"/>
      <c r="AO335" s="66" t="n"/>
      <c r="AP335" s="66" t="n"/>
    </row>
    <row r="336">
      <c r="A336" s="66" t="n"/>
      <c r="B336" s="66" t="n"/>
      <c r="C336" s="66" t="n"/>
      <c r="D336" s="66" t="n"/>
      <c r="E336" s="67" t="n"/>
      <c r="F336" s="67" t="n"/>
      <c r="G336" s="68" t="n"/>
      <c r="H336" s="66" t="n"/>
      <c r="I336" s="66" t="n"/>
      <c r="J336" s="67" t="n"/>
      <c r="K336" s="67" t="n"/>
      <c r="L336" s="67" t="n"/>
      <c r="M336" s="28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7" t="n"/>
      <c r="X336" s="67" t="n"/>
      <c r="Y336" s="67" t="n"/>
      <c r="Z336" s="67" t="n"/>
      <c r="AA336" s="67" t="n"/>
      <c r="AB336" s="67" t="n"/>
      <c r="AC336" s="67" t="n"/>
      <c r="AD336" s="66" t="n"/>
      <c r="AE336" s="66" t="n"/>
      <c r="AF336" s="66" t="n"/>
      <c r="AG336" s="66" t="n"/>
      <c r="AH336" s="66" t="n"/>
      <c r="AI336" s="66" t="n"/>
      <c r="AJ336" s="66" t="n"/>
      <c r="AK336" s="66" t="n"/>
      <c r="AL336" s="66" t="n"/>
      <c r="AM336" s="66" t="n"/>
      <c r="AN336" s="66" t="n"/>
      <c r="AO336" s="66" t="n"/>
      <c r="AP336" s="66" t="n"/>
    </row>
    <row r="337">
      <c r="A337" s="66" t="n"/>
      <c r="B337" s="66" t="n"/>
      <c r="C337" s="66" t="n"/>
      <c r="D337" s="66" t="n"/>
      <c r="E337" s="67" t="n"/>
      <c r="F337" s="67" t="n"/>
      <c r="G337" s="68" t="n"/>
      <c r="H337" s="66" t="n"/>
      <c r="I337" s="66" t="n"/>
      <c r="J337" s="67" t="n"/>
      <c r="K337" s="67" t="n"/>
      <c r="L337" s="67" t="n"/>
      <c r="M337" s="28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7" t="n"/>
      <c r="X337" s="67" t="n"/>
      <c r="Y337" s="67" t="n"/>
      <c r="Z337" s="67" t="n"/>
      <c r="AA337" s="67" t="n"/>
      <c r="AB337" s="67" t="n"/>
      <c r="AC337" s="67" t="n"/>
      <c r="AD337" s="66" t="n"/>
      <c r="AE337" s="66" t="n"/>
      <c r="AF337" s="66" t="n"/>
      <c r="AG337" s="66" t="n"/>
      <c r="AH337" s="66" t="n"/>
      <c r="AI337" s="66" t="n"/>
      <c r="AJ337" s="66" t="n"/>
      <c r="AK337" s="66" t="n"/>
      <c r="AL337" s="66" t="n"/>
      <c r="AM337" s="66" t="n"/>
      <c r="AN337" s="66" t="n"/>
      <c r="AO337" s="66" t="n"/>
      <c r="AP337" s="66" t="n"/>
    </row>
    <row r="338">
      <c r="A338" s="66" t="n"/>
      <c r="B338" s="66" t="n"/>
      <c r="C338" s="66" t="n"/>
      <c r="D338" s="66" t="n"/>
      <c r="E338" s="67" t="n"/>
      <c r="F338" s="67" t="n"/>
      <c r="G338" s="68" t="n"/>
      <c r="H338" s="66" t="n"/>
      <c r="I338" s="66" t="n"/>
      <c r="J338" s="67" t="n"/>
      <c r="K338" s="67" t="n"/>
      <c r="L338" s="67" t="n"/>
      <c r="M338" s="28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7" t="n"/>
      <c r="X338" s="67" t="n"/>
      <c r="Y338" s="67" t="n"/>
      <c r="Z338" s="67" t="n"/>
      <c r="AA338" s="67" t="n"/>
      <c r="AB338" s="67" t="n"/>
      <c r="AC338" s="67" t="n"/>
      <c r="AD338" s="66" t="n"/>
      <c r="AE338" s="66" t="n"/>
      <c r="AF338" s="66" t="n"/>
      <c r="AG338" s="66" t="n"/>
      <c r="AH338" s="66" t="n"/>
      <c r="AI338" s="66" t="n"/>
      <c r="AJ338" s="66" t="n"/>
      <c r="AK338" s="66" t="n"/>
      <c r="AL338" s="66" t="n"/>
      <c r="AM338" s="66" t="n"/>
      <c r="AN338" s="66" t="n"/>
      <c r="AO338" s="66" t="n"/>
      <c r="AP338" s="66" t="n"/>
    </row>
    <row r="339">
      <c r="A339" s="66" t="n"/>
      <c r="B339" s="66" t="n"/>
      <c r="C339" s="66" t="n"/>
      <c r="D339" s="66" t="n"/>
      <c r="E339" s="67" t="n"/>
      <c r="F339" s="67" t="n"/>
      <c r="G339" s="68" t="n"/>
      <c r="H339" s="66" t="n"/>
      <c r="I339" s="66" t="n"/>
      <c r="J339" s="67" t="n"/>
      <c r="K339" s="67" t="n"/>
      <c r="L339" s="67" t="n"/>
      <c r="M339" s="28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7" t="n"/>
      <c r="X339" s="67" t="n"/>
      <c r="Y339" s="67" t="n"/>
      <c r="Z339" s="67" t="n"/>
      <c r="AA339" s="67" t="n"/>
      <c r="AB339" s="67" t="n"/>
      <c r="AC339" s="67" t="n"/>
      <c r="AD339" s="66" t="n"/>
      <c r="AE339" s="66" t="n"/>
      <c r="AF339" s="66" t="n"/>
      <c r="AG339" s="66" t="n"/>
      <c r="AH339" s="66" t="n"/>
      <c r="AI339" s="66" t="n"/>
      <c r="AJ339" s="66" t="n"/>
      <c r="AK339" s="66" t="n"/>
      <c r="AL339" s="66" t="n"/>
      <c r="AM339" s="66" t="n"/>
      <c r="AN339" s="66" t="n"/>
      <c r="AO339" s="66" t="n"/>
      <c r="AP339" s="66" t="n"/>
    </row>
    <row r="340">
      <c r="A340" s="66" t="n"/>
      <c r="B340" s="66" t="n"/>
      <c r="C340" s="66" t="n"/>
      <c r="D340" s="66" t="n"/>
      <c r="E340" s="67" t="n"/>
      <c r="F340" s="67" t="n"/>
      <c r="G340" s="68" t="n"/>
      <c r="H340" s="66" t="n"/>
      <c r="I340" s="66" t="n"/>
      <c r="J340" s="67" t="n"/>
      <c r="K340" s="67" t="n"/>
      <c r="L340" s="67" t="n"/>
      <c r="M340" s="28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7" t="n"/>
      <c r="X340" s="67" t="n"/>
      <c r="Y340" s="67" t="n"/>
      <c r="Z340" s="67" t="n"/>
      <c r="AA340" s="67" t="n"/>
      <c r="AB340" s="67" t="n"/>
      <c r="AC340" s="67" t="n"/>
      <c r="AD340" s="66" t="n"/>
      <c r="AE340" s="66" t="n"/>
      <c r="AF340" s="66" t="n"/>
      <c r="AG340" s="66" t="n"/>
      <c r="AH340" s="66" t="n"/>
      <c r="AI340" s="66" t="n"/>
      <c r="AJ340" s="66" t="n"/>
      <c r="AK340" s="66" t="n"/>
      <c r="AL340" s="66" t="n"/>
      <c r="AM340" s="66" t="n"/>
      <c r="AN340" s="66" t="n"/>
      <c r="AO340" s="66" t="n"/>
      <c r="AP340" s="66" t="n"/>
    </row>
    <row r="341">
      <c r="A341" s="66" t="n"/>
      <c r="B341" s="66" t="n"/>
      <c r="C341" s="66" t="n"/>
      <c r="D341" s="66" t="n"/>
      <c r="E341" s="67" t="n"/>
      <c r="F341" s="67" t="n"/>
      <c r="G341" s="68" t="n"/>
      <c r="H341" s="66" t="n"/>
      <c r="I341" s="66" t="n"/>
      <c r="J341" s="67" t="n"/>
      <c r="K341" s="67" t="n"/>
      <c r="L341" s="67" t="n"/>
      <c r="M341" s="28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7" t="n"/>
      <c r="X341" s="67" t="n"/>
      <c r="Y341" s="67" t="n"/>
      <c r="Z341" s="67" t="n"/>
      <c r="AA341" s="67" t="n"/>
      <c r="AB341" s="67" t="n"/>
      <c r="AC341" s="67" t="n"/>
      <c r="AD341" s="66" t="n"/>
      <c r="AE341" s="66" t="n"/>
      <c r="AF341" s="66" t="n"/>
      <c r="AG341" s="66" t="n"/>
      <c r="AH341" s="66" t="n"/>
      <c r="AI341" s="66" t="n"/>
      <c r="AJ341" s="66" t="n"/>
      <c r="AK341" s="66" t="n"/>
      <c r="AL341" s="66" t="n"/>
      <c r="AM341" s="66" t="n"/>
      <c r="AN341" s="66" t="n"/>
      <c r="AO341" s="66" t="n"/>
      <c r="AP341" s="66" t="n"/>
    </row>
    <row r="342">
      <c r="A342" s="66" t="n"/>
      <c r="B342" s="66" t="n"/>
      <c r="C342" s="66" t="n"/>
      <c r="D342" s="66" t="n"/>
      <c r="E342" s="67" t="n"/>
      <c r="F342" s="67" t="n"/>
      <c r="G342" s="68" t="n"/>
      <c r="H342" s="66" t="n"/>
      <c r="I342" s="66" t="n"/>
      <c r="J342" s="67" t="n"/>
      <c r="K342" s="67" t="n"/>
      <c r="L342" s="67" t="n"/>
      <c r="M342" s="28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7" t="n"/>
      <c r="X342" s="67" t="n"/>
      <c r="Y342" s="67" t="n"/>
      <c r="Z342" s="67" t="n"/>
      <c r="AA342" s="67" t="n"/>
      <c r="AB342" s="67" t="n"/>
      <c r="AC342" s="67" t="n"/>
      <c r="AD342" s="66" t="n"/>
      <c r="AE342" s="66" t="n"/>
      <c r="AF342" s="66" t="n"/>
      <c r="AG342" s="66" t="n"/>
      <c r="AH342" s="66" t="n"/>
      <c r="AI342" s="66" t="n"/>
      <c r="AJ342" s="66" t="n"/>
      <c r="AK342" s="66" t="n"/>
      <c r="AL342" s="66" t="n"/>
      <c r="AM342" s="66" t="n"/>
      <c r="AN342" s="66" t="n"/>
      <c r="AO342" s="66" t="n"/>
      <c r="AP342" s="66" t="n"/>
    </row>
    <row r="343">
      <c r="A343" s="66" t="n"/>
      <c r="B343" s="66" t="n"/>
      <c r="C343" s="66" t="n"/>
      <c r="D343" s="66" t="n"/>
      <c r="E343" s="67" t="n"/>
      <c r="F343" s="67" t="n"/>
      <c r="G343" s="68" t="n"/>
      <c r="H343" s="66" t="n"/>
      <c r="I343" s="66" t="n"/>
      <c r="J343" s="67" t="n"/>
      <c r="K343" s="67" t="n"/>
      <c r="L343" s="67" t="n"/>
      <c r="M343" s="28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7" t="n"/>
      <c r="X343" s="67" t="n"/>
      <c r="Y343" s="67" t="n"/>
      <c r="Z343" s="67" t="n"/>
      <c r="AA343" s="67" t="n"/>
      <c r="AB343" s="67" t="n"/>
      <c r="AC343" s="67" t="n"/>
      <c r="AD343" s="66" t="n"/>
      <c r="AE343" s="66" t="n"/>
      <c r="AF343" s="66" t="n"/>
      <c r="AG343" s="66" t="n"/>
      <c r="AH343" s="66" t="n"/>
      <c r="AI343" s="66" t="n"/>
      <c r="AJ343" s="66" t="n"/>
      <c r="AK343" s="66" t="n"/>
      <c r="AL343" s="66" t="n"/>
      <c r="AM343" s="66" t="n"/>
      <c r="AN343" s="66" t="n"/>
      <c r="AO343" s="66" t="n"/>
      <c r="AP343" s="66" t="n"/>
    </row>
    <row r="344">
      <c r="A344" s="66" t="n"/>
      <c r="B344" s="66" t="n"/>
      <c r="C344" s="66" t="n"/>
      <c r="D344" s="66" t="n"/>
      <c r="E344" s="67" t="n"/>
      <c r="F344" s="67" t="n"/>
      <c r="G344" s="68" t="n"/>
      <c r="H344" s="66" t="n"/>
      <c r="I344" s="66" t="n"/>
      <c r="J344" s="67" t="n"/>
      <c r="K344" s="67" t="n"/>
      <c r="L344" s="67" t="n"/>
      <c r="M344" s="28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7" t="n"/>
      <c r="X344" s="67" t="n"/>
      <c r="Y344" s="67" t="n"/>
      <c r="Z344" s="67" t="n"/>
      <c r="AA344" s="67" t="n"/>
      <c r="AB344" s="67" t="n"/>
      <c r="AC344" s="67" t="n"/>
      <c r="AD344" s="66" t="n"/>
      <c r="AE344" s="66" t="n"/>
      <c r="AF344" s="66" t="n"/>
      <c r="AG344" s="66" t="n"/>
      <c r="AH344" s="66" t="n"/>
      <c r="AI344" s="66" t="n"/>
      <c r="AJ344" s="66" t="n"/>
      <c r="AK344" s="66" t="n"/>
      <c r="AL344" s="66" t="n"/>
      <c r="AM344" s="66" t="n"/>
      <c r="AN344" s="66" t="n"/>
      <c r="AO344" s="66" t="n"/>
      <c r="AP344" s="66" t="n"/>
    </row>
    <row r="345">
      <c r="A345" s="66" t="n"/>
      <c r="B345" s="66" t="n"/>
      <c r="C345" s="66" t="n"/>
      <c r="D345" s="66" t="n"/>
      <c r="E345" s="67" t="n"/>
      <c r="F345" s="67" t="n"/>
      <c r="G345" s="68" t="n"/>
      <c r="H345" s="66" t="n"/>
      <c r="I345" s="66" t="n"/>
      <c r="J345" s="67" t="n"/>
      <c r="K345" s="67" t="n"/>
      <c r="L345" s="67" t="n"/>
      <c r="M345" s="28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7" t="n"/>
      <c r="X345" s="67" t="n"/>
      <c r="Y345" s="67" t="n"/>
      <c r="Z345" s="67" t="n"/>
      <c r="AA345" s="67" t="n"/>
      <c r="AB345" s="67" t="n"/>
      <c r="AC345" s="67" t="n"/>
      <c r="AD345" s="66" t="n"/>
      <c r="AE345" s="66" t="n"/>
      <c r="AF345" s="66" t="n"/>
      <c r="AG345" s="66" t="n"/>
      <c r="AH345" s="66" t="n"/>
      <c r="AI345" s="66" t="n"/>
      <c r="AJ345" s="66" t="n"/>
      <c r="AK345" s="66" t="n"/>
      <c r="AL345" s="66" t="n"/>
      <c r="AM345" s="66" t="n"/>
      <c r="AN345" s="66" t="n"/>
      <c r="AO345" s="66" t="n"/>
      <c r="AP345" s="66" t="n"/>
    </row>
    <row r="346">
      <c r="A346" s="66" t="n"/>
      <c r="B346" s="66" t="n"/>
      <c r="C346" s="66" t="n"/>
      <c r="D346" s="66" t="n"/>
      <c r="E346" s="67" t="n"/>
      <c r="F346" s="67" t="n"/>
      <c r="G346" s="68" t="n"/>
      <c r="H346" s="66" t="n"/>
      <c r="I346" s="66" t="n"/>
      <c r="J346" s="67" t="n"/>
      <c r="K346" s="67" t="n"/>
      <c r="L346" s="67" t="n"/>
      <c r="M346" s="28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7" t="n"/>
      <c r="X346" s="67" t="n"/>
      <c r="Y346" s="67" t="n"/>
      <c r="Z346" s="67" t="n"/>
      <c r="AA346" s="67" t="n"/>
      <c r="AB346" s="67" t="n"/>
      <c r="AC346" s="67" t="n"/>
      <c r="AD346" s="66" t="n"/>
      <c r="AE346" s="66" t="n"/>
      <c r="AF346" s="66" t="n"/>
      <c r="AG346" s="66" t="n"/>
      <c r="AH346" s="66" t="n"/>
      <c r="AI346" s="66" t="n"/>
      <c r="AJ346" s="66" t="n"/>
      <c r="AK346" s="66" t="n"/>
      <c r="AL346" s="66" t="n"/>
      <c r="AM346" s="66" t="n"/>
      <c r="AN346" s="66" t="n"/>
      <c r="AO346" s="66" t="n"/>
      <c r="AP346" s="66" t="n"/>
    </row>
    <row r="347">
      <c r="A347" s="66" t="n"/>
      <c r="B347" s="66" t="n"/>
      <c r="C347" s="66" t="n"/>
      <c r="D347" s="66" t="n"/>
      <c r="E347" s="67" t="n"/>
      <c r="F347" s="67" t="n"/>
      <c r="G347" s="68" t="n"/>
      <c r="H347" s="66" t="n"/>
      <c r="I347" s="66" t="n"/>
      <c r="J347" s="67" t="n"/>
      <c r="K347" s="67" t="n"/>
      <c r="L347" s="67" t="n"/>
      <c r="M347" s="28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7" t="n"/>
      <c r="X347" s="67" t="n"/>
      <c r="Y347" s="67" t="n"/>
      <c r="Z347" s="67" t="n"/>
      <c r="AA347" s="67" t="n"/>
      <c r="AB347" s="67" t="n"/>
      <c r="AC347" s="67" t="n"/>
      <c r="AD347" s="66" t="n"/>
      <c r="AE347" s="66" t="n"/>
      <c r="AF347" s="66" t="n"/>
      <c r="AG347" s="66" t="n"/>
      <c r="AH347" s="66" t="n"/>
      <c r="AI347" s="66" t="n"/>
      <c r="AJ347" s="66" t="n"/>
      <c r="AK347" s="66" t="n"/>
      <c r="AL347" s="66" t="n"/>
      <c r="AM347" s="66" t="n"/>
      <c r="AN347" s="66" t="n"/>
      <c r="AO347" s="66" t="n"/>
      <c r="AP347" s="66" t="n"/>
    </row>
    <row r="348">
      <c r="A348" s="66" t="n"/>
      <c r="B348" s="66" t="n"/>
      <c r="C348" s="66" t="n"/>
      <c r="D348" s="66" t="n"/>
      <c r="E348" s="67" t="n"/>
      <c r="F348" s="67" t="n"/>
      <c r="G348" s="68" t="n"/>
      <c r="H348" s="66" t="n"/>
      <c r="I348" s="66" t="n"/>
      <c r="J348" s="67" t="n"/>
      <c r="K348" s="67" t="n"/>
      <c r="L348" s="67" t="n"/>
      <c r="M348" s="28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7" t="n"/>
      <c r="X348" s="67" t="n"/>
      <c r="Y348" s="67" t="n"/>
      <c r="Z348" s="67" t="n"/>
      <c r="AA348" s="67" t="n"/>
      <c r="AB348" s="67" t="n"/>
      <c r="AC348" s="67" t="n"/>
      <c r="AD348" s="66" t="n"/>
      <c r="AE348" s="66" t="n"/>
      <c r="AF348" s="66" t="n"/>
      <c r="AG348" s="66" t="n"/>
      <c r="AH348" s="66" t="n"/>
      <c r="AI348" s="66" t="n"/>
      <c r="AJ348" s="66" t="n"/>
      <c r="AK348" s="66" t="n"/>
      <c r="AL348" s="66" t="n"/>
      <c r="AM348" s="66" t="n"/>
      <c r="AN348" s="66" t="n"/>
      <c r="AO348" s="66" t="n"/>
      <c r="AP348" s="66" t="n"/>
    </row>
    <row r="349">
      <c r="A349" s="66" t="n"/>
      <c r="B349" s="66" t="n"/>
      <c r="C349" s="66" t="n"/>
      <c r="D349" s="66" t="n"/>
      <c r="E349" s="67" t="n"/>
      <c r="F349" s="67" t="n"/>
      <c r="G349" s="68" t="n"/>
      <c r="H349" s="66" t="n"/>
      <c r="I349" s="66" t="n"/>
      <c r="J349" s="67" t="n"/>
      <c r="K349" s="67" t="n"/>
      <c r="L349" s="67" t="n"/>
      <c r="M349" s="28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7" t="n"/>
      <c r="X349" s="67" t="n"/>
      <c r="Y349" s="67" t="n"/>
      <c r="Z349" s="67" t="n"/>
      <c r="AA349" s="67" t="n"/>
      <c r="AB349" s="67" t="n"/>
      <c r="AC349" s="67" t="n"/>
      <c r="AD349" s="66" t="n"/>
      <c r="AE349" s="66" t="n"/>
      <c r="AF349" s="66" t="n"/>
      <c r="AG349" s="66" t="n"/>
      <c r="AH349" s="66" t="n"/>
      <c r="AI349" s="66" t="n"/>
      <c r="AJ349" s="66" t="n"/>
      <c r="AK349" s="66" t="n"/>
      <c r="AL349" s="66" t="n"/>
      <c r="AM349" s="66" t="n"/>
      <c r="AN349" s="66" t="n"/>
      <c r="AO349" s="66" t="n"/>
      <c r="AP349" s="66" t="n"/>
    </row>
    <row r="350">
      <c r="A350" s="66" t="n"/>
      <c r="B350" s="66" t="n"/>
      <c r="C350" s="66" t="n"/>
      <c r="D350" s="66" t="n"/>
      <c r="E350" s="67" t="n"/>
      <c r="F350" s="67" t="n"/>
      <c r="G350" s="68" t="n"/>
      <c r="H350" s="66" t="n"/>
      <c r="I350" s="66" t="n"/>
      <c r="J350" s="67" t="n"/>
      <c r="K350" s="67" t="n"/>
      <c r="L350" s="67" t="n"/>
      <c r="M350" s="28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7" t="n"/>
      <c r="X350" s="67" t="n"/>
      <c r="Y350" s="67" t="n"/>
      <c r="Z350" s="67" t="n"/>
      <c r="AA350" s="67" t="n"/>
      <c r="AB350" s="67" t="n"/>
      <c r="AC350" s="67" t="n"/>
      <c r="AD350" s="66" t="n"/>
      <c r="AE350" s="66" t="n"/>
      <c r="AF350" s="66" t="n"/>
      <c r="AG350" s="66" t="n"/>
      <c r="AH350" s="66" t="n"/>
      <c r="AI350" s="66" t="n"/>
      <c r="AJ350" s="66" t="n"/>
      <c r="AK350" s="66" t="n"/>
      <c r="AL350" s="66" t="n"/>
      <c r="AM350" s="66" t="n"/>
      <c r="AN350" s="66" t="n"/>
      <c r="AO350" s="66" t="n"/>
      <c r="AP350" s="66" t="n"/>
    </row>
    <row r="351">
      <c r="A351" s="66" t="n"/>
      <c r="B351" s="66" t="n"/>
      <c r="C351" s="66" t="n"/>
      <c r="D351" s="66" t="n"/>
      <c r="E351" s="67" t="n"/>
      <c r="F351" s="67" t="n"/>
      <c r="G351" s="68" t="n"/>
      <c r="H351" s="66" t="n"/>
      <c r="I351" s="66" t="n"/>
      <c r="J351" s="67" t="n"/>
      <c r="K351" s="67" t="n"/>
      <c r="L351" s="67" t="n"/>
      <c r="M351" s="28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7" t="n"/>
      <c r="X351" s="67" t="n"/>
      <c r="Y351" s="67" t="n"/>
      <c r="Z351" s="67" t="n"/>
      <c r="AA351" s="67" t="n"/>
      <c r="AB351" s="67" t="n"/>
      <c r="AC351" s="67" t="n"/>
      <c r="AD351" s="66" t="n"/>
      <c r="AE351" s="66" t="n"/>
      <c r="AF351" s="66" t="n"/>
      <c r="AG351" s="66" t="n"/>
      <c r="AH351" s="66" t="n"/>
      <c r="AI351" s="66" t="n"/>
      <c r="AJ351" s="66" t="n"/>
      <c r="AK351" s="66" t="n"/>
      <c r="AL351" s="66" t="n"/>
      <c r="AM351" s="66" t="n"/>
      <c r="AN351" s="66" t="n"/>
      <c r="AO351" s="66" t="n"/>
      <c r="AP351" s="66" t="n"/>
    </row>
    <row r="352">
      <c r="A352" s="66" t="n"/>
      <c r="B352" s="66" t="n"/>
      <c r="C352" s="66" t="n"/>
      <c r="D352" s="66" t="n"/>
      <c r="E352" s="67" t="n"/>
      <c r="F352" s="67" t="n"/>
      <c r="G352" s="68" t="n"/>
      <c r="H352" s="66" t="n"/>
      <c r="I352" s="66" t="n"/>
      <c r="J352" s="67" t="n"/>
      <c r="K352" s="67" t="n"/>
      <c r="L352" s="67" t="n"/>
      <c r="M352" s="28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7" t="n"/>
      <c r="X352" s="67" t="n"/>
      <c r="Y352" s="67" t="n"/>
      <c r="Z352" s="67" t="n"/>
      <c r="AA352" s="67" t="n"/>
      <c r="AB352" s="67" t="n"/>
      <c r="AC352" s="67" t="n"/>
      <c r="AD352" s="66" t="n"/>
      <c r="AE352" s="66" t="n"/>
      <c r="AF352" s="66" t="n"/>
      <c r="AG352" s="66" t="n"/>
      <c r="AH352" s="66" t="n"/>
      <c r="AI352" s="66" t="n"/>
      <c r="AJ352" s="66" t="n"/>
      <c r="AK352" s="66" t="n"/>
      <c r="AL352" s="66" t="n"/>
      <c r="AM352" s="66" t="n"/>
      <c r="AN352" s="66" t="n"/>
      <c r="AO352" s="66" t="n"/>
      <c r="AP352" s="66" t="n"/>
    </row>
    <row r="353">
      <c r="A353" s="66" t="n"/>
      <c r="B353" s="66" t="n"/>
      <c r="C353" s="66" t="n"/>
      <c r="D353" s="66" t="n"/>
      <c r="E353" s="67" t="n"/>
      <c r="F353" s="67" t="n"/>
      <c r="G353" s="68" t="n"/>
      <c r="H353" s="66" t="n"/>
      <c r="I353" s="66" t="n"/>
      <c r="J353" s="67" t="n"/>
      <c r="K353" s="67" t="n"/>
      <c r="L353" s="67" t="n"/>
      <c r="M353" s="28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7" t="n"/>
      <c r="X353" s="67" t="n"/>
      <c r="Y353" s="67" t="n"/>
      <c r="Z353" s="67" t="n"/>
      <c r="AA353" s="67" t="n"/>
      <c r="AB353" s="67" t="n"/>
      <c r="AC353" s="67" t="n"/>
      <c r="AD353" s="66" t="n"/>
      <c r="AE353" s="66" t="n"/>
      <c r="AF353" s="66" t="n"/>
      <c r="AG353" s="66" t="n"/>
      <c r="AH353" s="66" t="n"/>
      <c r="AI353" s="66" t="n"/>
      <c r="AJ353" s="66" t="n"/>
      <c r="AK353" s="66" t="n"/>
      <c r="AL353" s="66" t="n"/>
      <c r="AM353" s="66" t="n"/>
      <c r="AN353" s="66" t="n"/>
      <c r="AO353" s="66" t="n"/>
      <c r="AP353" s="66" t="n"/>
    </row>
    <row r="354">
      <c r="A354" s="66" t="n"/>
      <c r="B354" s="66" t="n"/>
      <c r="C354" s="66" t="n"/>
      <c r="D354" s="66" t="n"/>
      <c r="E354" s="67" t="n"/>
      <c r="F354" s="67" t="n"/>
      <c r="G354" s="68" t="n"/>
      <c r="H354" s="66" t="n"/>
      <c r="I354" s="66" t="n"/>
      <c r="J354" s="67" t="n"/>
      <c r="K354" s="67" t="n"/>
      <c r="L354" s="67" t="n"/>
      <c r="M354" s="28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7" t="n"/>
      <c r="X354" s="67" t="n"/>
      <c r="Y354" s="67" t="n"/>
      <c r="Z354" s="67" t="n"/>
      <c r="AA354" s="67" t="n"/>
      <c r="AB354" s="67" t="n"/>
      <c r="AC354" s="67" t="n"/>
      <c r="AD354" s="66" t="n"/>
      <c r="AE354" s="66" t="n"/>
      <c r="AF354" s="66" t="n"/>
      <c r="AG354" s="66" t="n"/>
      <c r="AH354" s="66" t="n"/>
      <c r="AI354" s="66" t="n"/>
      <c r="AJ354" s="66" t="n"/>
      <c r="AK354" s="66" t="n"/>
      <c r="AL354" s="66" t="n"/>
      <c r="AM354" s="66" t="n"/>
      <c r="AN354" s="66" t="n"/>
      <c r="AO354" s="66" t="n"/>
      <c r="AP354" s="66" t="n"/>
    </row>
    <row r="355">
      <c r="A355" s="66" t="n"/>
      <c r="B355" s="66" t="n"/>
      <c r="C355" s="66" t="n"/>
      <c r="D355" s="66" t="n"/>
      <c r="E355" s="67" t="n"/>
      <c r="F355" s="67" t="n"/>
      <c r="G355" s="68" t="n"/>
      <c r="H355" s="66" t="n"/>
      <c r="I355" s="66" t="n"/>
      <c r="J355" s="67" t="n"/>
      <c r="K355" s="67" t="n"/>
      <c r="L355" s="67" t="n"/>
      <c r="M355" s="28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7" t="n"/>
      <c r="X355" s="67" t="n"/>
      <c r="Y355" s="67" t="n"/>
      <c r="Z355" s="67" t="n"/>
      <c r="AA355" s="67" t="n"/>
      <c r="AB355" s="67" t="n"/>
      <c r="AC355" s="67" t="n"/>
      <c r="AD355" s="66" t="n"/>
      <c r="AE355" s="66" t="n"/>
      <c r="AF355" s="66" t="n"/>
      <c r="AG355" s="66" t="n"/>
      <c r="AH355" s="66" t="n"/>
      <c r="AI355" s="66" t="n"/>
      <c r="AJ355" s="66" t="n"/>
      <c r="AK355" s="66" t="n"/>
      <c r="AL355" s="66" t="n"/>
      <c r="AM355" s="66" t="n"/>
      <c r="AN355" s="66" t="n"/>
      <c r="AO355" s="66" t="n"/>
      <c r="AP355" s="66" t="n"/>
    </row>
    <row r="356">
      <c r="A356" s="66" t="n"/>
      <c r="B356" s="66" t="n"/>
      <c r="C356" s="66" t="n"/>
      <c r="D356" s="66" t="n"/>
      <c r="E356" s="67" t="n"/>
      <c r="F356" s="67" t="n"/>
      <c r="G356" s="68" t="n"/>
      <c r="H356" s="66" t="n"/>
      <c r="I356" s="66" t="n"/>
      <c r="J356" s="67" t="n"/>
      <c r="K356" s="67" t="n"/>
      <c r="L356" s="67" t="n"/>
      <c r="M356" s="28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7" t="n"/>
      <c r="X356" s="67" t="n"/>
      <c r="Y356" s="67" t="n"/>
      <c r="Z356" s="67" t="n"/>
      <c r="AA356" s="67" t="n"/>
      <c r="AB356" s="67" t="n"/>
      <c r="AC356" s="67" t="n"/>
      <c r="AD356" s="66" t="n"/>
      <c r="AE356" s="66" t="n"/>
      <c r="AF356" s="66" t="n"/>
      <c r="AG356" s="66" t="n"/>
      <c r="AH356" s="66" t="n"/>
      <c r="AI356" s="66" t="n"/>
      <c r="AJ356" s="66" t="n"/>
      <c r="AK356" s="66" t="n"/>
      <c r="AL356" s="66" t="n"/>
      <c r="AM356" s="66" t="n"/>
      <c r="AN356" s="66" t="n"/>
      <c r="AO356" s="66" t="n"/>
      <c r="AP356" s="66" t="n"/>
    </row>
    <row r="357">
      <c r="A357" s="66" t="n"/>
      <c r="B357" s="66" t="n"/>
      <c r="C357" s="66" t="n"/>
      <c r="D357" s="66" t="n"/>
      <c r="E357" s="67" t="n"/>
      <c r="F357" s="67" t="n"/>
      <c r="G357" s="68" t="n"/>
      <c r="H357" s="66" t="n"/>
      <c r="I357" s="66" t="n"/>
      <c r="J357" s="67" t="n"/>
      <c r="K357" s="67" t="n"/>
      <c r="L357" s="67" t="n"/>
      <c r="M357" s="28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7" t="n"/>
      <c r="X357" s="67" t="n"/>
      <c r="Y357" s="67" t="n"/>
      <c r="Z357" s="67" t="n"/>
      <c r="AA357" s="67" t="n"/>
      <c r="AB357" s="67" t="n"/>
      <c r="AC357" s="67" t="n"/>
      <c r="AD357" s="66" t="n"/>
      <c r="AE357" s="66" t="n"/>
      <c r="AF357" s="66" t="n"/>
      <c r="AG357" s="66" t="n"/>
      <c r="AH357" s="66" t="n"/>
      <c r="AI357" s="66" t="n"/>
      <c r="AJ357" s="66" t="n"/>
      <c r="AK357" s="66" t="n"/>
      <c r="AL357" s="66" t="n"/>
      <c r="AM357" s="66" t="n"/>
      <c r="AN357" s="66" t="n"/>
      <c r="AO357" s="66" t="n"/>
      <c r="AP357" s="66" t="n"/>
    </row>
    <row r="358">
      <c r="A358" s="66" t="n"/>
      <c r="B358" s="66" t="n"/>
      <c r="C358" s="66" t="n"/>
      <c r="D358" s="66" t="n"/>
      <c r="E358" s="67" t="n"/>
      <c r="F358" s="67" t="n"/>
      <c r="G358" s="68" t="n"/>
      <c r="H358" s="66" t="n"/>
      <c r="I358" s="66" t="n"/>
      <c r="J358" s="67" t="n"/>
      <c r="K358" s="67" t="n"/>
      <c r="L358" s="67" t="n"/>
      <c r="M358" s="28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7" t="n"/>
      <c r="X358" s="67" t="n"/>
      <c r="Y358" s="67" t="n"/>
      <c r="Z358" s="67" t="n"/>
      <c r="AA358" s="67" t="n"/>
      <c r="AB358" s="67" t="n"/>
      <c r="AC358" s="67" t="n"/>
      <c r="AD358" s="66" t="n"/>
      <c r="AE358" s="66" t="n"/>
      <c r="AF358" s="66" t="n"/>
      <c r="AG358" s="66" t="n"/>
      <c r="AH358" s="66" t="n"/>
      <c r="AI358" s="66" t="n"/>
      <c r="AJ358" s="66" t="n"/>
      <c r="AK358" s="66" t="n"/>
      <c r="AL358" s="66" t="n"/>
      <c r="AM358" s="66" t="n"/>
      <c r="AN358" s="66" t="n"/>
      <c r="AO358" s="66" t="n"/>
      <c r="AP358" s="66" t="n"/>
    </row>
    <row r="359">
      <c r="A359" s="66" t="n"/>
      <c r="B359" s="66" t="n"/>
      <c r="C359" s="66" t="n"/>
      <c r="D359" s="66" t="n"/>
      <c r="E359" s="67" t="n"/>
      <c r="F359" s="67" t="n"/>
      <c r="G359" s="68" t="n"/>
      <c r="H359" s="66" t="n"/>
      <c r="I359" s="66" t="n"/>
      <c r="J359" s="67" t="n"/>
      <c r="K359" s="67" t="n"/>
      <c r="L359" s="67" t="n"/>
      <c r="M359" s="28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7" t="n"/>
      <c r="X359" s="67" t="n"/>
      <c r="Y359" s="67" t="n"/>
      <c r="Z359" s="67" t="n"/>
      <c r="AA359" s="67" t="n"/>
      <c r="AB359" s="67" t="n"/>
      <c r="AC359" s="67" t="n"/>
      <c r="AD359" s="66" t="n"/>
      <c r="AE359" s="66" t="n"/>
      <c r="AF359" s="66" t="n"/>
      <c r="AG359" s="66" t="n"/>
      <c r="AH359" s="66" t="n"/>
      <c r="AI359" s="66" t="n"/>
      <c r="AJ359" s="66" t="n"/>
      <c r="AK359" s="66" t="n"/>
      <c r="AL359" s="66" t="n"/>
      <c r="AM359" s="66" t="n"/>
      <c r="AN359" s="66" t="n"/>
      <c r="AO359" s="66" t="n"/>
      <c r="AP359" s="66" t="n"/>
    </row>
    <row r="360">
      <c r="A360" s="66" t="n"/>
      <c r="B360" s="66" t="n"/>
      <c r="C360" s="66" t="n"/>
      <c r="D360" s="66" t="n"/>
      <c r="E360" s="67" t="n"/>
      <c r="F360" s="67" t="n"/>
      <c r="G360" s="68" t="n"/>
      <c r="H360" s="66" t="n"/>
      <c r="I360" s="66" t="n"/>
      <c r="J360" s="67" t="n"/>
      <c r="K360" s="67" t="n"/>
      <c r="L360" s="67" t="n"/>
      <c r="M360" s="28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7" t="n"/>
      <c r="X360" s="67" t="n"/>
      <c r="Y360" s="67" t="n"/>
      <c r="Z360" s="67" t="n"/>
      <c r="AA360" s="67" t="n"/>
      <c r="AB360" s="67" t="n"/>
      <c r="AC360" s="67" t="n"/>
      <c r="AD360" s="66" t="n"/>
      <c r="AE360" s="66" t="n"/>
      <c r="AF360" s="66" t="n"/>
      <c r="AG360" s="66" t="n"/>
      <c r="AH360" s="66" t="n"/>
      <c r="AI360" s="66" t="n"/>
      <c r="AJ360" s="66" t="n"/>
      <c r="AK360" s="66" t="n"/>
      <c r="AL360" s="66" t="n"/>
      <c r="AM360" s="66" t="n"/>
      <c r="AN360" s="66" t="n"/>
      <c r="AO360" s="66" t="n"/>
      <c r="AP360" s="66" t="n"/>
    </row>
    <row r="361">
      <c r="A361" s="66" t="n"/>
      <c r="B361" s="66" t="n"/>
      <c r="C361" s="66" t="n"/>
      <c r="D361" s="66" t="n"/>
      <c r="E361" s="67" t="n"/>
      <c r="F361" s="67" t="n"/>
      <c r="G361" s="68" t="n"/>
      <c r="H361" s="66" t="n"/>
      <c r="I361" s="66" t="n"/>
      <c r="J361" s="67" t="n"/>
      <c r="K361" s="67" t="n"/>
      <c r="L361" s="67" t="n"/>
      <c r="M361" s="28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7" t="n"/>
      <c r="X361" s="67" t="n"/>
      <c r="Y361" s="67" t="n"/>
      <c r="Z361" s="67" t="n"/>
      <c r="AA361" s="67" t="n"/>
      <c r="AB361" s="67" t="n"/>
      <c r="AC361" s="67" t="n"/>
      <c r="AD361" s="66" t="n"/>
      <c r="AE361" s="66" t="n"/>
      <c r="AF361" s="66" t="n"/>
      <c r="AG361" s="66" t="n"/>
      <c r="AH361" s="66" t="n"/>
      <c r="AI361" s="66" t="n"/>
      <c r="AJ361" s="66" t="n"/>
      <c r="AK361" s="66" t="n"/>
      <c r="AL361" s="66" t="n"/>
      <c r="AM361" s="66" t="n"/>
      <c r="AN361" s="66" t="n"/>
      <c r="AO361" s="66" t="n"/>
      <c r="AP361" s="66" t="n"/>
    </row>
    <row r="362">
      <c r="A362" s="66" t="n"/>
      <c r="B362" s="66" t="n"/>
      <c r="C362" s="66" t="n"/>
      <c r="D362" s="66" t="n"/>
      <c r="E362" s="67" t="n"/>
      <c r="F362" s="67" t="n"/>
      <c r="G362" s="68" t="n"/>
      <c r="H362" s="66" t="n"/>
      <c r="I362" s="66" t="n"/>
      <c r="J362" s="67" t="n"/>
      <c r="K362" s="67" t="n"/>
      <c r="L362" s="67" t="n"/>
      <c r="M362" s="28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7" t="n"/>
      <c r="X362" s="67" t="n"/>
      <c r="Y362" s="67" t="n"/>
      <c r="Z362" s="67" t="n"/>
      <c r="AA362" s="67" t="n"/>
      <c r="AB362" s="67" t="n"/>
      <c r="AC362" s="67" t="n"/>
      <c r="AD362" s="66" t="n"/>
      <c r="AE362" s="66" t="n"/>
      <c r="AF362" s="66" t="n"/>
      <c r="AG362" s="66" t="n"/>
      <c r="AH362" s="66" t="n"/>
      <c r="AI362" s="66" t="n"/>
      <c r="AJ362" s="66" t="n"/>
      <c r="AK362" s="66" t="n"/>
      <c r="AL362" s="66" t="n"/>
      <c r="AM362" s="66" t="n"/>
      <c r="AN362" s="66" t="n"/>
      <c r="AO362" s="66" t="n"/>
      <c r="AP362" s="66" t="n"/>
    </row>
    <row r="363">
      <c r="A363" s="66" t="n"/>
      <c r="B363" s="66" t="n"/>
      <c r="C363" s="66" t="n"/>
      <c r="D363" s="66" t="n"/>
      <c r="E363" s="67" t="n"/>
      <c r="F363" s="67" t="n"/>
      <c r="G363" s="68" t="n"/>
      <c r="H363" s="66" t="n"/>
      <c r="I363" s="66" t="n"/>
      <c r="J363" s="67" t="n"/>
      <c r="K363" s="67" t="n"/>
      <c r="L363" s="67" t="n"/>
      <c r="M363" s="28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7" t="n"/>
      <c r="X363" s="67" t="n"/>
      <c r="Y363" s="67" t="n"/>
      <c r="Z363" s="67" t="n"/>
      <c r="AA363" s="67" t="n"/>
      <c r="AB363" s="67" t="n"/>
      <c r="AC363" s="67" t="n"/>
      <c r="AD363" s="66" t="n"/>
      <c r="AE363" s="66" t="n"/>
      <c r="AF363" s="66" t="n"/>
      <c r="AG363" s="66" t="n"/>
      <c r="AH363" s="66" t="n"/>
      <c r="AI363" s="66" t="n"/>
      <c r="AJ363" s="66" t="n"/>
      <c r="AK363" s="66" t="n"/>
      <c r="AL363" s="66" t="n"/>
      <c r="AM363" s="66" t="n"/>
      <c r="AN363" s="66" t="n"/>
      <c r="AO363" s="66" t="n"/>
      <c r="AP363" s="66" t="n"/>
    </row>
    <row r="364">
      <c r="A364" s="66" t="n"/>
      <c r="B364" s="66" t="n"/>
      <c r="C364" s="66" t="n"/>
      <c r="D364" s="66" t="n"/>
      <c r="E364" s="67" t="n"/>
      <c r="F364" s="67" t="n"/>
      <c r="G364" s="68" t="n"/>
      <c r="H364" s="66" t="n"/>
      <c r="I364" s="66" t="n"/>
      <c r="J364" s="67" t="n"/>
      <c r="K364" s="67" t="n"/>
      <c r="L364" s="67" t="n"/>
      <c r="M364" s="28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7" t="n"/>
      <c r="X364" s="67" t="n"/>
      <c r="Y364" s="67" t="n"/>
      <c r="Z364" s="67" t="n"/>
      <c r="AA364" s="67" t="n"/>
      <c r="AB364" s="67" t="n"/>
      <c r="AC364" s="67" t="n"/>
      <c r="AD364" s="66" t="n"/>
      <c r="AE364" s="66" t="n"/>
      <c r="AF364" s="66" t="n"/>
      <c r="AG364" s="66" t="n"/>
      <c r="AH364" s="66" t="n"/>
      <c r="AI364" s="66" t="n"/>
      <c r="AJ364" s="66" t="n"/>
      <c r="AK364" s="66" t="n"/>
      <c r="AL364" s="66" t="n"/>
      <c r="AM364" s="66" t="n"/>
      <c r="AN364" s="66" t="n"/>
      <c r="AO364" s="66" t="n"/>
      <c r="AP364" s="66" t="n"/>
    </row>
    <row r="365">
      <c r="A365" s="66" t="n"/>
      <c r="B365" s="66" t="n"/>
      <c r="C365" s="66" t="n"/>
      <c r="D365" s="66" t="n"/>
      <c r="E365" s="67" t="n"/>
      <c r="F365" s="67" t="n"/>
      <c r="G365" s="68" t="n"/>
      <c r="H365" s="66" t="n"/>
      <c r="I365" s="66" t="n"/>
      <c r="J365" s="67" t="n"/>
      <c r="K365" s="67" t="n"/>
      <c r="L365" s="67" t="n"/>
      <c r="M365" s="28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7" t="n"/>
      <c r="X365" s="67" t="n"/>
      <c r="Y365" s="67" t="n"/>
      <c r="Z365" s="67" t="n"/>
      <c r="AA365" s="67" t="n"/>
      <c r="AB365" s="67" t="n"/>
      <c r="AC365" s="67" t="n"/>
      <c r="AD365" s="66" t="n"/>
      <c r="AE365" s="66" t="n"/>
      <c r="AF365" s="66" t="n"/>
      <c r="AG365" s="66" t="n"/>
      <c r="AH365" s="66" t="n"/>
      <c r="AI365" s="66" t="n"/>
      <c r="AJ365" s="66" t="n"/>
      <c r="AK365" s="66" t="n"/>
      <c r="AL365" s="66" t="n"/>
      <c r="AM365" s="66" t="n"/>
      <c r="AN365" s="66" t="n"/>
      <c r="AO365" s="66" t="n"/>
      <c r="AP365" s="66" t="n"/>
    </row>
    <row r="366">
      <c r="A366" s="66" t="n"/>
      <c r="B366" s="66" t="n"/>
      <c r="C366" s="66" t="n"/>
      <c r="D366" s="66" t="n"/>
      <c r="E366" s="67" t="n"/>
      <c r="F366" s="67" t="n"/>
      <c r="G366" s="68" t="n"/>
      <c r="H366" s="66" t="n"/>
      <c r="I366" s="66" t="n"/>
      <c r="J366" s="67" t="n"/>
      <c r="K366" s="67" t="n"/>
      <c r="L366" s="67" t="n"/>
      <c r="M366" s="28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7" t="n"/>
      <c r="X366" s="67" t="n"/>
      <c r="Y366" s="67" t="n"/>
      <c r="Z366" s="67" t="n"/>
      <c r="AA366" s="67" t="n"/>
      <c r="AB366" s="67" t="n"/>
      <c r="AC366" s="67" t="n"/>
      <c r="AD366" s="66" t="n"/>
      <c r="AE366" s="66" t="n"/>
      <c r="AF366" s="66" t="n"/>
      <c r="AG366" s="66" t="n"/>
      <c r="AH366" s="66" t="n"/>
      <c r="AI366" s="66" t="n"/>
      <c r="AJ366" s="66" t="n"/>
      <c r="AK366" s="66" t="n"/>
      <c r="AL366" s="66" t="n"/>
      <c r="AM366" s="66" t="n"/>
      <c r="AN366" s="66" t="n"/>
      <c r="AO366" s="66" t="n"/>
      <c r="AP366" s="66" t="n"/>
    </row>
    <row r="367">
      <c r="A367" s="66" t="n"/>
      <c r="B367" s="66" t="n"/>
      <c r="C367" s="66" t="n"/>
      <c r="D367" s="66" t="n"/>
      <c r="E367" s="67" t="n"/>
      <c r="F367" s="67" t="n"/>
      <c r="G367" s="68" t="n"/>
      <c r="H367" s="66" t="n"/>
      <c r="I367" s="66" t="n"/>
      <c r="J367" s="67" t="n"/>
      <c r="K367" s="67" t="n"/>
      <c r="L367" s="67" t="n"/>
      <c r="M367" s="28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7" t="n"/>
      <c r="X367" s="67" t="n"/>
      <c r="Y367" s="67" t="n"/>
      <c r="Z367" s="67" t="n"/>
      <c r="AA367" s="67" t="n"/>
      <c r="AB367" s="67" t="n"/>
      <c r="AC367" s="67" t="n"/>
      <c r="AD367" s="66" t="n"/>
      <c r="AE367" s="66" t="n"/>
      <c r="AF367" s="66" t="n"/>
      <c r="AG367" s="66" t="n"/>
      <c r="AH367" s="66" t="n"/>
      <c r="AI367" s="66" t="n"/>
      <c r="AJ367" s="66" t="n"/>
      <c r="AK367" s="66" t="n"/>
      <c r="AL367" s="66" t="n"/>
      <c r="AM367" s="66" t="n"/>
      <c r="AN367" s="66" t="n"/>
      <c r="AO367" s="66" t="n"/>
      <c r="AP367" s="66" t="n"/>
    </row>
    <row r="368">
      <c r="A368" s="66" t="n"/>
      <c r="B368" s="66" t="n"/>
      <c r="C368" s="66" t="n"/>
      <c r="D368" s="66" t="n"/>
      <c r="E368" s="67" t="n"/>
      <c r="F368" s="67" t="n"/>
      <c r="G368" s="68" t="n"/>
      <c r="H368" s="66" t="n"/>
      <c r="I368" s="66" t="n"/>
      <c r="J368" s="67" t="n"/>
      <c r="K368" s="67" t="n"/>
      <c r="L368" s="67" t="n"/>
      <c r="M368" s="28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7" t="n"/>
      <c r="X368" s="67" t="n"/>
      <c r="Y368" s="67" t="n"/>
      <c r="Z368" s="67" t="n"/>
      <c r="AA368" s="67" t="n"/>
      <c r="AB368" s="67" t="n"/>
      <c r="AC368" s="67" t="n"/>
      <c r="AD368" s="66" t="n"/>
      <c r="AE368" s="66" t="n"/>
      <c r="AF368" s="66" t="n"/>
      <c r="AG368" s="66" t="n"/>
      <c r="AH368" s="66" t="n"/>
      <c r="AI368" s="66" t="n"/>
      <c r="AJ368" s="66" t="n"/>
      <c r="AK368" s="66" t="n"/>
      <c r="AL368" s="66" t="n"/>
      <c r="AM368" s="66" t="n"/>
      <c r="AN368" s="66" t="n"/>
      <c r="AO368" s="66" t="n"/>
      <c r="AP368" s="66" t="n"/>
    </row>
    <row r="369">
      <c r="A369" s="66" t="n"/>
      <c r="B369" s="66" t="n"/>
      <c r="C369" s="66" t="n"/>
      <c r="D369" s="66" t="n"/>
      <c r="E369" s="67" t="n"/>
      <c r="F369" s="67" t="n"/>
      <c r="G369" s="68" t="n"/>
      <c r="H369" s="66" t="n"/>
      <c r="I369" s="66" t="n"/>
      <c r="J369" s="67" t="n"/>
      <c r="K369" s="67" t="n"/>
      <c r="L369" s="67" t="n"/>
      <c r="M369" s="28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7" t="n"/>
      <c r="X369" s="67" t="n"/>
      <c r="Y369" s="67" t="n"/>
      <c r="Z369" s="67" t="n"/>
      <c r="AA369" s="67" t="n"/>
      <c r="AB369" s="67" t="n"/>
      <c r="AC369" s="67" t="n"/>
      <c r="AD369" s="66" t="n"/>
      <c r="AE369" s="66" t="n"/>
      <c r="AF369" s="66" t="n"/>
      <c r="AG369" s="66" t="n"/>
      <c r="AH369" s="66" t="n"/>
      <c r="AI369" s="66" t="n"/>
      <c r="AJ369" s="66" t="n"/>
      <c r="AK369" s="66" t="n"/>
      <c r="AL369" s="66" t="n"/>
      <c r="AM369" s="66" t="n"/>
      <c r="AN369" s="66" t="n"/>
      <c r="AO369" s="66" t="n"/>
      <c r="AP369" s="66" t="n"/>
    </row>
    <row r="370">
      <c r="A370" s="66" t="n"/>
      <c r="B370" s="66" t="n"/>
      <c r="C370" s="66" t="n"/>
      <c r="D370" s="66" t="n"/>
      <c r="E370" s="67" t="n"/>
      <c r="F370" s="67" t="n"/>
      <c r="G370" s="68" t="n"/>
      <c r="H370" s="66" t="n"/>
      <c r="I370" s="66" t="n"/>
      <c r="J370" s="67" t="n"/>
      <c r="K370" s="67" t="n"/>
      <c r="L370" s="67" t="n"/>
      <c r="M370" s="28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7" t="n"/>
      <c r="X370" s="67" t="n"/>
      <c r="Y370" s="67" t="n"/>
      <c r="Z370" s="67" t="n"/>
      <c r="AA370" s="67" t="n"/>
      <c r="AB370" s="67" t="n"/>
      <c r="AC370" s="67" t="n"/>
      <c r="AD370" s="66" t="n"/>
      <c r="AE370" s="66" t="n"/>
      <c r="AF370" s="66" t="n"/>
      <c r="AG370" s="66" t="n"/>
      <c r="AH370" s="66" t="n"/>
      <c r="AI370" s="66" t="n"/>
      <c r="AJ370" s="66" t="n"/>
      <c r="AK370" s="66" t="n"/>
      <c r="AL370" s="66" t="n"/>
      <c r="AM370" s="66" t="n"/>
      <c r="AN370" s="66" t="n"/>
      <c r="AO370" s="66" t="n"/>
      <c r="AP370" s="66" t="n"/>
    </row>
    <row r="371">
      <c r="A371" s="66" t="n"/>
      <c r="B371" s="66" t="n"/>
      <c r="C371" s="66" t="n"/>
      <c r="D371" s="66" t="n"/>
      <c r="E371" s="67" t="n"/>
      <c r="F371" s="67" t="n"/>
      <c r="G371" s="68" t="n"/>
      <c r="H371" s="66" t="n"/>
      <c r="I371" s="66" t="n"/>
      <c r="J371" s="67" t="n"/>
      <c r="K371" s="67" t="n"/>
      <c r="L371" s="67" t="n"/>
      <c r="M371" s="28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7" t="n"/>
      <c r="X371" s="67" t="n"/>
      <c r="Y371" s="67" t="n"/>
      <c r="Z371" s="67" t="n"/>
      <c r="AA371" s="67" t="n"/>
      <c r="AB371" s="67" t="n"/>
      <c r="AC371" s="67" t="n"/>
      <c r="AD371" s="66" t="n"/>
      <c r="AE371" s="66" t="n"/>
      <c r="AF371" s="66" t="n"/>
      <c r="AG371" s="66" t="n"/>
      <c r="AH371" s="66" t="n"/>
      <c r="AI371" s="66" t="n"/>
      <c r="AJ371" s="66" t="n"/>
      <c r="AK371" s="66" t="n"/>
      <c r="AL371" s="66" t="n"/>
      <c r="AM371" s="66" t="n"/>
      <c r="AN371" s="66" t="n"/>
      <c r="AO371" s="66" t="n"/>
      <c r="AP371" s="66" t="n"/>
    </row>
    <row r="372">
      <c r="A372" s="66" t="n"/>
      <c r="B372" s="66" t="n"/>
      <c r="C372" s="66" t="n"/>
      <c r="D372" s="66" t="n"/>
      <c r="E372" s="67" t="n"/>
      <c r="F372" s="67" t="n"/>
      <c r="G372" s="68" t="n"/>
      <c r="H372" s="66" t="n"/>
      <c r="I372" s="66" t="n"/>
      <c r="J372" s="67" t="n"/>
      <c r="K372" s="67" t="n"/>
      <c r="L372" s="67" t="n"/>
      <c r="M372" s="28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7" t="n"/>
      <c r="X372" s="67" t="n"/>
      <c r="Y372" s="67" t="n"/>
      <c r="Z372" s="67" t="n"/>
      <c r="AA372" s="67" t="n"/>
      <c r="AB372" s="67" t="n"/>
      <c r="AC372" s="67" t="n"/>
      <c r="AD372" s="66" t="n"/>
      <c r="AE372" s="66" t="n"/>
      <c r="AF372" s="66" t="n"/>
      <c r="AG372" s="66" t="n"/>
      <c r="AH372" s="66" t="n"/>
      <c r="AI372" s="66" t="n"/>
      <c r="AJ372" s="66" t="n"/>
      <c r="AK372" s="66" t="n"/>
      <c r="AL372" s="66" t="n"/>
      <c r="AM372" s="66" t="n"/>
      <c r="AN372" s="66" t="n"/>
      <c r="AO372" s="66" t="n"/>
      <c r="AP372" s="66" t="n"/>
    </row>
    <row r="373">
      <c r="A373" s="66" t="n"/>
      <c r="B373" s="66" t="n"/>
      <c r="C373" s="66" t="n"/>
      <c r="D373" s="66" t="n"/>
      <c r="E373" s="67" t="n"/>
      <c r="F373" s="67" t="n"/>
      <c r="G373" s="68" t="n"/>
      <c r="H373" s="66" t="n"/>
      <c r="I373" s="66" t="n"/>
      <c r="J373" s="67" t="n"/>
      <c r="K373" s="67" t="n"/>
      <c r="L373" s="67" t="n"/>
      <c r="M373" s="28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7" t="n"/>
      <c r="X373" s="67" t="n"/>
      <c r="Y373" s="67" t="n"/>
      <c r="Z373" s="67" t="n"/>
      <c r="AA373" s="67" t="n"/>
      <c r="AB373" s="67" t="n"/>
      <c r="AC373" s="67" t="n"/>
      <c r="AD373" s="66" t="n"/>
      <c r="AE373" s="66" t="n"/>
      <c r="AF373" s="66" t="n"/>
      <c r="AG373" s="66" t="n"/>
      <c r="AH373" s="66" t="n"/>
      <c r="AI373" s="66" t="n"/>
      <c r="AJ373" s="66" t="n"/>
      <c r="AK373" s="66" t="n"/>
      <c r="AL373" s="66" t="n"/>
      <c r="AM373" s="66" t="n"/>
      <c r="AN373" s="66" t="n"/>
      <c r="AO373" s="66" t="n"/>
      <c r="AP373" s="66" t="n"/>
    </row>
    <row r="374">
      <c r="A374" s="66" t="n"/>
      <c r="B374" s="66" t="n"/>
      <c r="C374" s="66" t="n"/>
      <c r="D374" s="66" t="n"/>
      <c r="E374" s="67" t="n"/>
      <c r="F374" s="67" t="n"/>
      <c r="G374" s="68" t="n"/>
      <c r="H374" s="66" t="n"/>
      <c r="I374" s="66" t="n"/>
      <c r="J374" s="67" t="n"/>
      <c r="K374" s="67" t="n"/>
      <c r="L374" s="67" t="n"/>
      <c r="M374" s="28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7" t="n"/>
      <c r="X374" s="67" t="n"/>
      <c r="Y374" s="67" t="n"/>
      <c r="Z374" s="67" t="n"/>
      <c r="AA374" s="67" t="n"/>
      <c r="AB374" s="67" t="n"/>
      <c r="AC374" s="67" t="n"/>
      <c r="AD374" s="66" t="n"/>
      <c r="AE374" s="66" t="n"/>
      <c r="AF374" s="66" t="n"/>
      <c r="AG374" s="66" t="n"/>
      <c r="AH374" s="66" t="n"/>
      <c r="AI374" s="66" t="n"/>
      <c r="AJ374" s="66" t="n"/>
      <c r="AK374" s="66" t="n"/>
      <c r="AL374" s="66" t="n"/>
      <c r="AM374" s="66" t="n"/>
      <c r="AN374" s="66" t="n"/>
      <c r="AO374" s="66" t="n"/>
      <c r="AP374" s="66" t="n"/>
    </row>
    <row r="375">
      <c r="A375" s="66" t="n"/>
      <c r="B375" s="66" t="n"/>
      <c r="C375" s="66" t="n"/>
      <c r="D375" s="66" t="n"/>
      <c r="E375" s="67" t="n"/>
      <c r="F375" s="67" t="n"/>
      <c r="G375" s="68" t="n"/>
      <c r="H375" s="66" t="n"/>
      <c r="I375" s="66" t="n"/>
      <c r="J375" s="67" t="n"/>
      <c r="K375" s="67" t="n"/>
      <c r="L375" s="67" t="n"/>
      <c r="M375" s="28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7" t="n"/>
      <c r="X375" s="67" t="n"/>
      <c r="Y375" s="67" t="n"/>
      <c r="Z375" s="67" t="n"/>
      <c r="AA375" s="67" t="n"/>
      <c r="AB375" s="67" t="n"/>
      <c r="AC375" s="67" t="n"/>
      <c r="AD375" s="66" t="n"/>
      <c r="AE375" s="66" t="n"/>
      <c r="AF375" s="66" t="n"/>
      <c r="AG375" s="66" t="n"/>
      <c r="AH375" s="66" t="n"/>
      <c r="AI375" s="66" t="n"/>
      <c r="AJ375" s="66" t="n"/>
      <c r="AK375" s="66" t="n"/>
      <c r="AL375" s="66" t="n"/>
      <c r="AM375" s="66" t="n"/>
      <c r="AN375" s="66" t="n"/>
      <c r="AO375" s="66" t="n"/>
      <c r="AP375" s="66" t="n"/>
    </row>
    <row r="376">
      <c r="A376" s="66" t="n"/>
      <c r="B376" s="66" t="n"/>
      <c r="C376" s="66" t="n"/>
      <c r="D376" s="66" t="n"/>
      <c r="E376" s="67" t="n"/>
      <c r="F376" s="67" t="n"/>
      <c r="G376" s="68" t="n"/>
      <c r="H376" s="66" t="n"/>
      <c r="I376" s="66" t="n"/>
      <c r="J376" s="67" t="n"/>
      <c r="K376" s="67" t="n"/>
      <c r="L376" s="67" t="n"/>
      <c r="M376" s="28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7" t="n"/>
      <c r="X376" s="67" t="n"/>
      <c r="Y376" s="67" t="n"/>
      <c r="Z376" s="67" t="n"/>
      <c r="AA376" s="67" t="n"/>
      <c r="AB376" s="67" t="n"/>
      <c r="AC376" s="67" t="n"/>
      <c r="AD376" s="66" t="n"/>
      <c r="AE376" s="66" t="n"/>
      <c r="AF376" s="66" t="n"/>
      <c r="AG376" s="66" t="n"/>
      <c r="AH376" s="66" t="n"/>
      <c r="AI376" s="66" t="n"/>
      <c r="AJ376" s="66" t="n"/>
      <c r="AK376" s="66" t="n"/>
      <c r="AL376" s="66" t="n"/>
      <c r="AM376" s="66" t="n"/>
      <c r="AN376" s="66" t="n"/>
      <c r="AO376" s="66" t="n"/>
      <c r="AP376" s="66" t="n"/>
    </row>
    <row r="377">
      <c r="A377" s="66" t="n"/>
      <c r="B377" s="66" t="n"/>
      <c r="C377" s="66" t="n"/>
      <c r="D377" s="66" t="n"/>
      <c r="E377" s="67" t="n"/>
      <c r="F377" s="67" t="n"/>
      <c r="G377" s="68" t="n"/>
      <c r="H377" s="66" t="n"/>
      <c r="I377" s="66" t="n"/>
      <c r="J377" s="67" t="n"/>
      <c r="K377" s="67" t="n"/>
      <c r="L377" s="67" t="n"/>
      <c r="M377" s="28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7" t="n"/>
      <c r="X377" s="67" t="n"/>
      <c r="Y377" s="67" t="n"/>
      <c r="Z377" s="67" t="n"/>
      <c r="AA377" s="67" t="n"/>
      <c r="AB377" s="67" t="n"/>
      <c r="AC377" s="67" t="n"/>
      <c r="AD377" s="66" t="n"/>
      <c r="AE377" s="66" t="n"/>
      <c r="AF377" s="66" t="n"/>
      <c r="AG377" s="66" t="n"/>
      <c r="AH377" s="66" t="n"/>
      <c r="AI377" s="66" t="n"/>
      <c r="AJ377" s="66" t="n"/>
      <c r="AK377" s="66" t="n"/>
      <c r="AL377" s="66" t="n"/>
      <c r="AM377" s="66" t="n"/>
      <c r="AN377" s="66" t="n"/>
      <c r="AO377" s="66" t="n"/>
      <c r="AP377" s="66" t="n"/>
    </row>
    <row r="378">
      <c r="A378" s="66" t="n"/>
      <c r="B378" s="66" t="n"/>
      <c r="C378" s="66" t="n"/>
      <c r="D378" s="66" t="n"/>
      <c r="E378" s="67" t="n"/>
      <c r="F378" s="67" t="n"/>
      <c r="G378" s="68" t="n"/>
      <c r="H378" s="66" t="n"/>
      <c r="I378" s="66" t="n"/>
      <c r="J378" s="67" t="n"/>
      <c r="K378" s="67" t="n"/>
      <c r="L378" s="67" t="n"/>
      <c r="M378" s="28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7" t="n"/>
      <c r="X378" s="67" t="n"/>
      <c r="Y378" s="67" t="n"/>
      <c r="Z378" s="67" t="n"/>
      <c r="AA378" s="67" t="n"/>
      <c r="AB378" s="67" t="n"/>
      <c r="AC378" s="67" t="n"/>
      <c r="AD378" s="66" t="n"/>
      <c r="AE378" s="66" t="n"/>
      <c r="AF378" s="66" t="n"/>
      <c r="AG378" s="66" t="n"/>
      <c r="AH378" s="66" t="n"/>
      <c r="AI378" s="66" t="n"/>
      <c r="AJ378" s="66" t="n"/>
      <c r="AK378" s="66" t="n"/>
      <c r="AL378" s="66" t="n"/>
      <c r="AM378" s="66" t="n"/>
      <c r="AN378" s="66" t="n"/>
      <c r="AO378" s="66" t="n"/>
      <c r="AP378" s="66" t="n"/>
    </row>
    <row r="379">
      <c r="A379" s="66" t="n"/>
      <c r="B379" s="66" t="n"/>
      <c r="C379" s="66" t="n"/>
      <c r="D379" s="66" t="n"/>
      <c r="E379" s="67" t="n"/>
      <c r="F379" s="67" t="n"/>
      <c r="G379" s="68" t="n"/>
      <c r="H379" s="66" t="n"/>
      <c r="I379" s="66" t="n"/>
      <c r="J379" s="67" t="n"/>
      <c r="K379" s="67" t="n"/>
      <c r="L379" s="67" t="n"/>
      <c r="M379" s="28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7" t="n"/>
      <c r="X379" s="67" t="n"/>
      <c r="Y379" s="67" t="n"/>
      <c r="Z379" s="67" t="n"/>
      <c r="AA379" s="67" t="n"/>
      <c r="AB379" s="67" t="n"/>
      <c r="AC379" s="67" t="n"/>
      <c r="AD379" s="66" t="n"/>
      <c r="AE379" s="66" t="n"/>
      <c r="AF379" s="66" t="n"/>
      <c r="AG379" s="66" t="n"/>
      <c r="AH379" s="66" t="n"/>
      <c r="AI379" s="66" t="n"/>
      <c r="AJ379" s="66" t="n"/>
      <c r="AK379" s="66" t="n"/>
      <c r="AL379" s="66" t="n"/>
      <c r="AM379" s="66" t="n"/>
      <c r="AN379" s="66" t="n"/>
      <c r="AO379" s="66" t="n"/>
      <c r="AP379" s="66" t="n"/>
    </row>
    <row r="380">
      <c r="A380" s="66" t="n"/>
      <c r="B380" s="66" t="n"/>
      <c r="C380" s="66" t="n"/>
      <c r="D380" s="66" t="n"/>
      <c r="E380" s="67" t="n"/>
      <c r="F380" s="67" t="n"/>
      <c r="G380" s="68" t="n"/>
      <c r="H380" s="66" t="n"/>
      <c r="I380" s="66" t="n"/>
      <c r="J380" s="67" t="n"/>
      <c r="K380" s="67" t="n"/>
      <c r="L380" s="67" t="n"/>
      <c r="M380" s="28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7" t="n"/>
      <c r="X380" s="67" t="n"/>
      <c r="Y380" s="67" t="n"/>
      <c r="Z380" s="67" t="n"/>
      <c r="AA380" s="67" t="n"/>
      <c r="AB380" s="67" t="n"/>
      <c r="AC380" s="67" t="n"/>
      <c r="AD380" s="66" t="n"/>
      <c r="AE380" s="66" t="n"/>
      <c r="AF380" s="66" t="n"/>
      <c r="AG380" s="66" t="n"/>
      <c r="AH380" s="66" t="n"/>
      <c r="AI380" s="66" t="n"/>
      <c r="AJ380" s="66" t="n"/>
      <c r="AK380" s="66" t="n"/>
      <c r="AL380" s="66" t="n"/>
      <c r="AM380" s="66" t="n"/>
      <c r="AN380" s="66" t="n"/>
      <c r="AO380" s="66" t="n"/>
      <c r="AP380" s="66" t="n"/>
    </row>
    <row r="381">
      <c r="A381" s="66" t="n"/>
      <c r="B381" s="66" t="n"/>
      <c r="C381" s="66" t="n"/>
      <c r="D381" s="66" t="n"/>
      <c r="E381" s="67" t="n"/>
      <c r="F381" s="67" t="n"/>
      <c r="G381" s="68" t="n"/>
      <c r="H381" s="66" t="n"/>
      <c r="I381" s="66" t="n"/>
      <c r="J381" s="67" t="n"/>
      <c r="K381" s="67" t="n"/>
      <c r="L381" s="67" t="n"/>
      <c r="M381" s="28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7" t="n"/>
      <c r="X381" s="67" t="n"/>
      <c r="Y381" s="67" t="n"/>
      <c r="Z381" s="67" t="n"/>
      <c r="AA381" s="67" t="n"/>
      <c r="AB381" s="67" t="n"/>
      <c r="AC381" s="67" t="n"/>
      <c r="AD381" s="66" t="n"/>
      <c r="AE381" s="66" t="n"/>
      <c r="AF381" s="66" t="n"/>
      <c r="AG381" s="66" t="n"/>
      <c r="AH381" s="66" t="n"/>
      <c r="AI381" s="66" t="n"/>
      <c r="AJ381" s="66" t="n"/>
      <c r="AK381" s="66" t="n"/>
      <c r="AL381" s="66" t="n"/>
      <c r="AM381" s="66" t="n"/>
      <c r="AN381" s="66" t="n"/>
      <c r="AO381" s="66" t="n"/>
      <c r="AP381" s="66" t="n"/>
    </row>
    <row r="382">
      <c r="A382" s="66" t="n"/>
      <c r="B382" s="66" t="n"/>
      <c r="C382" s="66" t="n"/>
      <c r="D382" s="66" t="n"/>
      <c r="E382" s="67" t="n"/>
      <c r="F382" s="67" t="n"/>
      <c r="G382" s="68" t="n"/>
      <c r="H382" s="66" t="n"/>
      <c r="I382" s="66" t="n"/>
      <c r="J382" s="67" t="n"/>
      <c r="K382" s="67" t="n"/>
      <c r="L382" s="67" t="n"/>
      <c r="M382" s="28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7" t="n"/>
      <c r="X382" s="67" t="n"/>
      <c r="Y382" s="67" t="n"/>
      <c r="Z382" s="67" t="n"/>
      <c r="AA382" s="67" t="n"/>
      <c r="AB382" s="67" t="n"/>
      <c r="AC382" s="67" t="n"/>
      <c r="AD382" s="66" t="n"/>
      <c r="AE382" s="66" t="n"/>
      <c r="AF382" s="66" t="n"/>
      <c r="AG382" s="66" t="n"/>
      <c r="AH382" s="66" t="n"/>
      <c r="AI382" s="66" t="n"/>
      <c r="AJ382" s="66" t="n"/>
      <c r="AK382" s="66" t="n"/>
      <c r="AL382" s="66" t="n"/>
      <c r="AM382" s="66" t="n"/>
      <c r="AN382" s="66" t="n"/>
      <c r="AO382" s="66" t="n"/>
      <c r="AP382" s="66" t="n"/>
    </row>
    <row r="383">
      <c r="A383" s="66" t="n"/>
      <c r="B383" s="66" t="n"/>
      <c r="C383" s="66" t="n"/>
      <c r="D383" s="66" t="n"/>
      <c r="E383" s="67" t="n"/>
      <c r="F383" s="67" t="n"/>
      <c r="G383" s="68" t="n"/>
      <c r="H383" s="66" t="n"/>
      <c r="I383" s="66" t="n"/>
      <c r="J383" s="67" t="n"/>
      <c r="K383" s="67" t="n"/>
      <c r="L383" s="67" t="n"/>
      <c r="M383" s="28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7" t="n"/>
      <c r="X383" s="67" t="n"/>
      <c r="Y383" s="67" t="n"/>
      <c r="Z383" s="67" t="n"/>
      <c r="AA383" s="67" t="n"/>
      <c r="AB383" s="67" t="n"/>
      <c r="AC383" s="67" t="n"/>
      <c r="AD383" s="66" t="n"/>
      <c r="AE383" s="66" t="n"/>
      <c r="AF383" s="66" t="n"/>
      <c r="AG383" s="66" t="n"/>
      <c r="AH383" s="66" t="n"/>
      <c r="AI383" s="66" t="n"/>
      <c r="AJ383" s="66" t="n"/>
      <c r="AK383" s="66" t="n"/>
      <c r="AL383" s="66" t="n"/>
      <c r="AM383" s="66" t="n"/>
      <c r="AN383" s="66" t="n"/>
      <c r="AO383" s="66" t="n"/>
      <c r="AP383" s="66" t="n"/>
    </row>
    <row r="384">
      <c r="A384" s="66" t="n"/>
      <c r="B384" s="66" t="n"/>
      <c r="C384" s="66" t="n"/>
      <c r="D384" s="66" t="n"/>
      <c r="E384" s="67" t="n"/>
      <c r="F384" s="67" t="n"/>
      <c r="G384" s="68" t="n"/>
      <c r="H384" s="66" t="n"/>
      <c r="I384" s="66" t="n"/>
      <c r="J384" s="67" t="n"/>
      <c r="K384" s="67" t="n"/>
      <c r="L384" s="67" t="n"/>
      <c r="M384" s="28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7" t="n"/>
      <c r="X384" s="67" t="n"/>
      <c r="Y384" s="67" t="n"/>
      <c r="Z384" s="67" t="n"/>
      <c r="AA384" s="67" t="n"/>
      <c r="AB384" s="67" t="n"/>
      <c r="AC384" s="67" t="n"/>
      <c r="AD384" s="66" t="n"/>
      <c r="AE384" s="66" t="n"/>
      <c r="AF384" s="66" t="n"/>
      <c r="AG384" s="66" t="n"/>
      <c r="AH384" s="66" t="n"/>
      <c r="AI384" s="66" t="n"/>
      <c r="AJ384" s="66" t="n"/>
      <c r="AK384" s="66" t="n"/>
      <c r="AL384" s="66" t="n"/>
      <c r="AM384" s="66" t="n"/>
      <c r="AN384" s="66" t="n"/>
      <c r="AO384" s="66" t="n"/>
      <c r="AP384" s="66" t="n"/>
    </row>
    <row r="385">
      <c r="A385" s="66" t="n"/>
      <c r="B385" s="66" t="n"/>
      <c r="C385" s="66" t="n"/>
      <c r="D385" s="66" t="n"/>
      <c r="E385" s="67" t="n"/>
      <c r="F385" s="67" t="n"/>
      <c r="G385" s="68" t="n"/>
      <c r="H385" s="66" t="n"/>
      <c r="I385" s="66" t="n"/>
      <c r="J385" s="67" t="n"/>
      <c r="K385" s="67" t="n"/>
      <c r="L385" s="67" t="n"/>
      <c r="M385" s="28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7" t="n"/>
      <c r="X385" s="67" t="n"/>
      <c r="Y385" s="67" t="n"/>
      <c r="Z385" s="67" t="n"/>
      <c r="AA385" s="67" t="n"/>
      <c r="AB385" s="67" t="n"/>
      <c r="AC385" s="67" t="n"/>
      <c r="AD385" s="66" t="n"/>
      <c r="AE385" s="66" t="n"/>
      <c r="AF385" s="66" t="n"/>
      <c r="AG385" s="66" t="n"/>
      <c r="AH385" s="66" t="n"/>
      <c r="AI385" s="66" t="n"/>
      <c r="AJ385" s="66" t="n"/>
      <c r="AK385" s="66" t="n"/>
      <c r="AL385" s="66" t="n"/>
      <c r="AM385" s="66" t="n"/>
      <c r="AN385" s="66" t="n"/>
      <c r="AO385" s="66" t="n"/>
      <c r="AP385" s="66" t="n"/>
    </row>
    <row r="386">
      <c r="A386" s="66" t="n"/>
      <c r="B386" s="66" t="n"/>
      <c r="C386" s="66" t="n"/>
      <c r="D386" s="66" t="n"/>
      <c r="E386" s="67" t="n"/>
      <c r="F386" s="67" t="n"/>
      <c r="G386" s="68" t="n"/>
      <c r="H386" s="66" t="n"/>
      <c r="I386" s="66" t="n"/>
      <c r="J386" s="67" t="n"/>
      <c r="K386" s="67" t="n"/>
      <c r="L386" s="67" t="n"/>
      <c r="M386" s="28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7" t="n"/>
      <c r="X386" s="67" t="n"/>
      <c r="Y386" s="67" t="n"/>
      <c r="Z386" s="67" t="n"/>
      <c r="AA386" s="67" t="n"/>
      <c r="AB386" s="67" t="n"/>
      <c r="AC386" s="67" t="n"/>
      <c r="AD386" s="66" t="n"/>
      <c r="AE386" s="66" t="n"/>
      <c r="AF386" s="66" t="n"/>
      <c r="AG386" s="66" t="n"/>
      <c r="AH386" s="66" t="n"/>
      <c r="AI386" s="66" t="n"/>
      <c r="AJ386" s="66" t="n"/>
      <c r="AK386" s="66" t="n"/>
      <c r="AL386" s="66" t="n"/>
      <c r="AM386" s="66" t="n"/>
      <c r="AN386" s="66" t="n"/>
      <c r="AO386" s="66" t="n"/>
      <c r="AP386" s="66" t="n"/>
    </row>
    <row r="387">
      <c r="A387" s="66" t="n"/>
      <c r="B387" s="66" t="n"/>
      <c r="C387" s="66" t="n"/>
      <c r="D387" s="66" t="n"/>
      <c r="E387" s="67" t="n"/>
      <c r="F387" s="67" t="n"/>
      <c r="G387" s="68" t="n"/>
      <c r="H387" s="66" t="n"/>
      <c r="I387" s="66" t="n"/>
      <c r="J387" s="67" t="n"/>
      <c r="K387" s="67" t="n"/>
      <c r="L387" s="67" t="n"/>
      <c r="M387" s="28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7" t="n"/>
      <c r="X387" s="67" t="n"/>
      <c r="Y387" s="67" t="n"/>
      <c r="Z387" s="67" t="n"/>
      <c r="AA387" s="67" t="n"/>
      <c r="AB387" s="67" t="n"/>
      <c r="AC387" s="67" t="n"/>
      <c r="AD387" s="66" t="n"/>
      <c r="AE387" s="66" t="n"/>
      <c r="AF387" s="66" t="n"/>
      <c r="AG387" s="66" t="n"/>
      <c r="AH387" s="66" t="n"/>
      <c r="AI387" s="66" t="n"/>
      <c r="AJ387" s="66" t="n"/>
      <c r="AK387" s="66" t="n"/>
      <c r="AL387" s="66" t="n"/>
      <c r="AM387" s="66" t="n"/>
      <c r="AN387" s="66" t="n"/>
      <c r="AO387" s="66" t="n"/>
      <c r="AP387" s="66" t="n"/>
    </row>
    <row r="388">
      <c r="A388" s="66" t="n"/>
      <c r="B388" s="66" t="n"/>
      <c r="C388" s="66" t="n"/>
      <c r="D388" s="66" t="n"/>
      <c r="E388" s="67" t="n"/>
      <c r="F388" s="67" t="n"/>
      <c r="G388" s="68" t="n"/>
      <c r="H388" s="66" t="n"/>
      <c r="I388" s="66" t="n"/>
      <c r="J388" s="67" t="n"/>
      <c r="K388" s="67" t="n"/>
      <c r="L388" s="67" t="n"/>
      <c r="M388" s="28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7" t="n"/>
      <c r="X388" s="67" t="n"/>
      <c r="Y388" s="67" t="n"/>
      <c r="Z388" s="67" t="n"/>
      <c r="AA388" s="67" t="n"/>
      <c r="AB388" s="67" t="n"/>
      <c r="AC388" s="67" t="n"/>
      <c r="AD388" s="66" t="n"/>
      <c r="AE388" s="66" t="n"/>
      <c r="AF388" s="66" t="n"/>
      <c r="AG388" s="66" t="n"/>
      <c r="AH388" s="66" t="n"/>
      <c r="AI388" s="66" t="n"/>
      <c r="AJ388" s="66" t="n"/>
      <c r="AK388" s="66" t="n"/>
      <c r="AL388" s="66" t="n"/>
      <c r="AM388" s="66" t="n"/>
      <c r="AN388" s="66" t="n"/>
      <c r="AO388" s="66" t="n"/>
      <c r="AP388" s="66" t="n"/>
    </row>
    <row r="389">
      <c r="A389" s="66" t="n"/>
      <c r="B389" s="66" t="n"/>
      <c r="C389" s="66" t="n"/>
      <c r="D389" s="66" t="n"/>
      <c r="E389" s="67" t="n"/>
      <c r="F389" s="67" t="n"/>
      <c r="G389" s="68" t="n"/>
      <c r="H389" s="66" t="n"/>
      <c r="I389" s="66" t="n"/>
      <c r="J389" s="67" t="n"/>
      <c r="K389" s="67" t="n"/>
      <c r="L389" s="67" t="n"/>
      <c r="M389" s="28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7" t="n"/>
      <c r="X389" s="67" t="n"/>
      <c r="Y389" s="67" t="n"/>
      <c r="Z389" s="67" t="n"/>
      <c r="AA389" s="67" t="n"/>
      <c r="AB389" s="67" t="n"/>
      <c r="AC389" s="67" t="n"/>
      <c r="AD389" s="66" t="n"/>
      <c r="AE389" s="66" t="n"/>
      <c r="AF389" s="66" t="n"/>
      <c r="AG389" s="66" t="n"/>
      <c r="AH389" s="66" t="n"/>
      <c r="AI389" s="66" t="n"/>
      <c r="AJ389" s="66" t="n"/>
      <c r="AK389" s="66" t="n"/>
      <c r="AL389" s="66" t="n"/>
      <c r="AM389" s="66" t="n"/>
      <c r="AN389" s="66" t="n"/>
      <c r="AO389" s="66" t="n"/>
      <c r="AP389" s="66" t="n"/>
    </row>
    <row r="390">
      <c r="A390" s="66" t="n"/>
      <c r="B390" s="66" t="n"/>
      <c r="C390" s="66" t="n"/>
      <c r="D390" s="66" t="n"/>
      <c r="E390" s="67" t="n"/>
      <c r="F390" s="67" t="n"/>
      <c r="G390" s="68" t="n"/>
      <c r="H390" s="66" t="n"/>
      <c r="I390" s="66" t="n"/>
      <c r="J390" s="67" t="n"/>
      <c r="K390" s="67" t="n"/>
      <c r="L390" s="67" t="n"/>
      <c r="M390" s="28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7" t="n"/>
      <c r="X390" s="67" t="n"/>
      <c r="Y390" s="67" t="n"/>
      <c r="Z390" s="67" t="n"/>
      <c r="AA390" s="67" t="n"/>
      <c r="AB390" s="67" t="n"/>
      <c r="AC390" s="67" t="n"/>
      <c r="AD390" s="66" t="n"/>
      <c r="AE390" s="66" t="n"/>
      <c r="AF390" s="66" t="n"/>
      <c r="AG390" s="66" t="n"/>
      <c r="AH390" s="66" t="n"/>
      <c r="AI390" s="66" t="n"/>
      <c r="AJ390" s="66" t="n"/>
      <c r="AK390" s="66" t="n"/>
      <c r="AL390" s="66" t="n"/>
      <c r="AM390" s="66" t="n"/>
      <c r="AN390" s="66" t="n"/>
      <c r="AO390" s="66" t="n"/>
      <c r="AP390" s="66" t="n"/>
    </row>
    <row r="391">
      <c r="A391" s="66" t="n"/>
      <c r="B391" s="66" t="n"/>
      <c r="C391" s="66" t="n"/>
      <c r="D391" s="66" t="n"/>
      <c r="E391" s="67" t="n"/>
      <c r="F391" s="67" t="n"/>
      <c r="G391" s="68" t="n"/>
      <c r="H391" s="66" t="n"/>
      <c r="I391" s="66" t="n"/>
      <c r="J391" s="67" t="n"/>
      <c r="K391" s="67" t="n"/>
      <c r="L391" s="67" t="n"/>
      <c r="M391" s="28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7" t="n"/>
      <c r="X391" s="67" t="n"/>
      <c r="Y391" s="67" t="n"/>
      <c r="Z391" s="67" t="n"/>
      <c r="AA391" s="67" t="n"/>
      <c r="AB391" s="67" t="n"/>
      <c r="AC391" s="67" t="n"/>
      <c r="AD391" s="66" t="n"/>
      <c r="AE391" s="66" t="n"/>
      <c r="AF391" s="66" t="n"/>
      <c r="AG391" s="66" t="n"/>
      <c r="AH391" s="66" t="n"/>
      <c r="AI391" s="66" t="n"/>
      <c r="AJ391" s="66" t="n"/>
      <c r="AK391" s="66" t="n"/>
      <c r="AL391" s="66" t="n"/>
      <c r="AM391" s="66" t="n"/>
      <c r="AN391" s="66" t="n"/>
      <c r="AO391" s="66" t="n"/>
      <c r="AP391" s="66" t="n"/>
    </row>
    <row r="392">
      <c r="A392" s="66" t="n"/>
      <c r="B392" s="66" t="n"/>
      <c r="C392" s="66" t="n"/>
      <c r="D392" s="66" t="n"/>
      <c r="E392" s="67" t="n"/>
      <c r="F392" s="67" t="n"/>
      <c r="G392" s="68" t="n"/>
      <c r="H392" s="66" t="n"/>
      <c r="I392" s="66" t="n"/>
      <c r="J392" s="67" t="n"/>
      <c r="K392" s="67" t="n"/>
      <c r="L392" s="67" t="n"/>
      <c r="M392" s="28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7" t="n"/>
      <c r="X392" s="67" t="n"/>
      <c r="Y392" s="67" t="n"/>
      <c r="Z392" s="67" t="n"/>
      <c r="AA392" s="67" t="n"/>
      <c r="AB392" s="67" t="n"/>
      <c r="AC392" s="67" t="n"/>
      <c r="AD392" s="66" t="n"/>
      <c r="AE392" s="66" t="n"/>
      <c r="AF392" s="66" t="n"/>
      <c r="AG392" s="66" t="n"/>
      <c r="AH392" s="66" t="n"/>
      <c r="AI392" s="66" t="n"/>
      <c r="AJ392" s="66" t="n"/>
      <c r="AK392" s="66" t="n"/>
      <c r="AL392" s="66" t="n"/>
      <c r="AM392" s="66" t="n"/>
      <c r="AN392" s="66" t="n"/>
      <c r="AO392" s="66" t="n"/>
      <c r="AP392" s="66" t="n"/>
    </row>
    <row r="393">
      <c r="A393" s="66" t="n"/>
      <c r="B393" s="66" t="n"/>
      <c r="C393" s="66" t="n"/>
      <c r="D393" s="66" t="n"/>
      <c r="E393" s="67" t="n"/>
      <c r="F393" s="67" t="n"/>
      <c r="G393" s="68" t="n"/>
      <c r="H393" s="66" t="n"/>
      <c r="I393" s="66" t="n"/>
      <c r="J393" s="67" t="n"/>
      <c r="K393" s="67" t="n"/>
      <c r="L393" s="67" t="n"/>
      <c r="M393" s="28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7" t="n"/>
      <c r="X393" s="67" t="n"/>
      <c r="Y393" s="67" t="n"/>
      <c r="Z393" s="67" t="n"/>
      <c r="AA393" s="67" t="n"/>
      <c r="AB393" s="67" t="n"/>
      <c r="AC393" s="67" t="n"/>
      <c r="AD393" s="66" t="n"/>
      <c r="AE393" s="66" t="n"/>
      <c r="AF393" s="66" t="n"/>
      <c r="AG393" s="66" t="n"/>
      <c r="AH393" s="66" t="n"/>
      <c r="AI393" s="66" t="n"/>
      <c r="AJ393" s="66" t="n"/>
      <c r="AK393" s="66" t="n"/>
      <c r="AL393" s="66" t="n"/>
      <c r="AM393" s="66" t="n"/>
      <c r="AN393" s="66" t="n"/>
      <c r="AO393" s="66" t="n"/>
      <c r="AP393" s="66" t="n"/>
    </row>
    <row r="394">
      <c r="A394" s="66" t="n"/>
      <c r="B394" s="66" t="n"/>
      <c r="C394" s="66" t="n"/>
      <c r="D394" s="66" t="n"/>
      <c r="E394" s="67" t="n"/>
      <c r="F394" s="67" t="n"/>
      <c r="G394" s="68" t="n"/>
      <c r="H394" s="66" t="n"/>
      <c r="I394" s="66" t="n"/>
      <c r="J394" s="67" t="n"/>
      <c r="K394" s="67" t="n"/>
      <c r="L394" s="67" t="n"/>
      <c r="M394" s="28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7" t="n"/>
      <c r="X394" s="67" t="n"/>
      <c r="Y394" s="67" t="n"/>
      <c r="Z394" s="67" t="n"/>
      <c r="AA394" s="67" t="n"/>
      <c r="AB394" s="67" t="n"/>
      <c r="AC394" s="67" t="n"/>
      <c r="AD394" s="66" t="n"/>
      <c r="AE394" s="66" t="n"/>
      <c r="AF394" s="66" t="n"/>
      <c r="AG394" s="66" t="n"/>
      <c r="AH394" s="66" t="n"/>
      <c r="AI394" s="66" t="n"/>
      <c r="AJ394" s="66" t="n"/>
      <c r="AK394" s="66" t="n"/>
      <c r="AL394" s="66" t="n"/>
      <c r="AM394" s="66" t="n"/>
      <c r="AN394" s="66" t="n"/>
      <c r="AO394" s="66" t="n"/>
      <c r="AP394" s="66" t="n"/>
    </row>
    <row r="395">
      <c r="A395" s="66" t="n"/>
      <c r="B395" s="66" t="n"/>
      <c r="C395" s="66" t="n"/>
      <c r="D395" s="66" t="n"/>
      <c r="E395" s="67" t="n"/>
      <c r="F395" s="67" t="n"/>
      <c r="G395" s="68" t="n"/>
      <c r="H395" s="66" t="n"/>
      <c r="I395" s="66" t="n"/>
      <c r="J395" s="67" t="n"/>
      <c r="K395" s="67" t="n"/>
      <c r="L395" s="67" t="n"/>
      <c r="M395" s="28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7" t="n"/>
      <c r="X395" s="67" t="n"/>
      <c r="Y395" s="67" t="n"/>
      <c r="Z395" s="67" t="n"/>
      <c r="AA395" s="67" t="n"/>
      <c r="AB395" s="67" t="n"/>
      <c r="AC395" s="67" t="n"/>
      <c r="AD395" s="66" t="n"/>
      <c r="AE395" s="66" t="n"/>
      <c r="AF395" s="66" t="n"/>
      <c r="AG395" s="66" t="n"/>
      <c r="AH395" s="66" t="n"/>
      <c r="AI395" s="66" t="n"/>
      <c r="AJ395" s="66" t="n"/>
      <c r="AK395" s="66" t="n"/>
      <c r="AL395" s="66" t="n"/>
      <c r="AM395" s="66" t="n"/>
      <c r="AN395" s="66" t="n"/>
      <c r="AO395" s="66" t="n"/>
      <c r="AP395" s="66" t="n"/>
    </row>
    <row r="396">
      <c r="A396" s="66" t="n"/>
      <c r="B396" s="66" t="n"/>
      <c r="C396" s="66" t="n"/>
      <c r="D396" s="66" t="n"/>
      <c r="E396" s="67" t="n"/>
      <c r="F396" s="67" t="n"/>
      <c r="G396" s="68" t="n"/>
      <c r="H396" s="66" t="n"/>
      <c r="I396" s="66" t="n"/>
      <c r="J396" s="67" t="n"/>
      <c r="K396" s="67" t="n"/>
      <c r="L396" s="67" t="n"/>
      <c r="M396" s="28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7" t="n"/>
      <c r="X396" s="67" t="n"/>
      <c r="Y396" s="67" t="n"/>
      <c r="Z396" s="67" t="n"/>
      <c r="AA396" s="67" t="n"/>
      <c r="AB396" s="67" t="n"/>
      <c r="AC396" s="67" t="n"/>
      <c r="AD396" s="66" t="n"/>
      <c r="AE396" s="66" t="n"/>
      <c r="AF396" s="66" t="n"/>
      <c r="AG396" s="66" t="n"/>
      <c r="AH396" s="66" t="n"/>
      <c r="AI396" s="66" t="n"/>
      <c r="AJ396" s="66" t="n"/>
      <c r="AK396" s="66" t="n"/>
      <c r="AL396" s="66" t="n"/>
      <c r="AM396" s="66" t="n"/>
      <c r="AN396" s="66" t="n"/>
      <c r="AO396" s="66" t="n"/>
      <c r="AP396" s="66" t="n"/>
    </row>
    <row r="397">
      <c r="A397" s="66" t="n"/>
      <c r="B397" s="66" t="n"/>
      <c r="C397" s="66" t="n"/>
      <c r="D397" s="66" t="n"/>
      <c r="E397" s="67" t="n"/>
      <c r="F397" s="67" t="n"/>
      <c r="G397" s="68" t="n"/>
      <c r="H397" s="66" t="n"/>
      <c r="I397" s="66" t="n"/>
      <c r="J397" s="67" t="n"/>
      <c r="K397" s="67" t="n"/>
      <c r="L397" s="67" t="n"/>
      <c r="M397" s="28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7" t="n"/>
      <c r="X397" s="67" t="n"/>
      <c r="Y397" s="67" t="n"/>
      <c r="Z397" s="67" t="n"/>
      <c r="AA397" s="67" t="n"/>
      <c r="AB397" s="67" t="n"/>
      <c r="AC397" s="67" t="n"/>
      <c r="AD397" s="66" t="n"/>
      <c r="AE397" s="66" t="n"/>
      <c r="AF397" s="66" t="n"/>
      <c r="AG397" s="66" t="n"/>
      <c r="AH397" s="66" t="n"/>
      <c r="AI397" s="66" t="n"/>
      <c r="AJ397" s="66" t="n"/>
      <c r="AK397" s="66" t="n"/>
      <c r="AL397" s="66" t="n"/>
      <c r="AM397" s="66" t="n"/>
      <c r="AN397" s="66" t="n"/>
      <c r="AO397" s="66" t="n"/>
      <c r="AP397" s="66" t="n"/>
    </row>
    <row r="398">
      <c r="A398" s="66" t="n"/>
      <c r="B398" s="66" t="n"/>
      <c r="C398" s="66" t="n"/>
      <c r="D398" s="66" t="n"/>
      <c r="E398" s="67" t="n"/>
      <c r="F398" s="67" t="n"/>
      <c r="G398" s="68" t="n"/>
      <c r="H398" s="66" t="n"/>
      <c r="I398" s="66" t="n"/>
      <c r="J398" s="67" t="n"/>
      <c r="K398" s="67" t="n"/>
      <c r="L398" s="67" t="n"/>
      <c r="M398" s="28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7" t="n"/>
      <c r="X398" s="67" t="n"/>
      <c r="Y398" s="67" t="n"/>
      <c r="Z398" s="67" t="n"/>
      <c r="AA398" s="67" t="n"/>
      <c r="AB398" s="67" t="n"/>
      <c r="AC398" s="67" t="n"/>
      <c r="AD398" s="66" t="n"/>
      <c r="AE398" s="66" t="n"/>
      <c r="AF398" s="66" t="n"/>
      <c r="AG398" s="66" t="n"/>
      <c r="AH398" s="66" t="n"/>
      <c r="AI398" s="66" t="n"/>
      <c r="AJ398" s="66" t="n"/>
      <c r="AK398" s="66" t="n"/>
      <c r="AL398" s="66" t="n"/>
      <c r="AM398" s="66" t="n"/>
      <c r="AN398" s="66" t="n"/>
      <c r="AO398" s="66" t="n"/>
      <c r="AP398" s="66" t="n"/>
    </row>
    <row r="399">
      <c r="A399" s="66" t="n"/>
      <c r="B399" s="66" t="n"/>
      <c r="C399" s="66" t="n"/>
      <c r="D399" s="66" t="n"/>
      <c r="E399" s="67" t="n"/>
      <c r="F399" s="67" t="n"/>
      <c r="G399" s="68" t="n"/>
      <c r="H399" s="66" t="n"/>
      <c r="I399" s="66" t="n"/>
      <c r="J399" s="67" t="n"/>
      <c r="K399" s="67" t="n"/>
      <c r="L399" s="67" t="n"/>
      <c r="M399" s="28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7" t="n"/>
      <c r="X399" s="67" t="n"/>
      <c r="Y399" s="67" t="n"/>
      <c r="Z399" s="67" t="n"/>
      <c r="AA399" s="67" t="n"/>
      <c r="AB399" s="67" t="n"/>
      <c r="AC399" s="67" t="n"/>
      <c r="AD399" s="66" t="n"/>
      <c r="AE399" s="66" t="n"/>
      <c r="AF399" s="66" t="n"/>
      <c r="AG399" s="66" t="n"/>
      <c r="AH399" s="66" t="n"/>
      <c r="AI399" s="66" t="n"/>
      <c r="AJ399" s="66" t="n"/>
      <c r="AK399" s="66" t="n"/>
      <c r="AL399" s="66" t="n"/>
      <c r="AM399" s="66" t="n"/>
      <c r="AN399" s="66" t="n"/>
      <c r="AO399" s="66" t="n"/>
      <c r="AP399" s="66" t="n"/>
    </row>
    <row r="400">
      <c r="A400" s="66" t="n"/>
      <c r="B400" s="66" t="n"/>
      <c r="C400" s="66" t="n"/>
      <c r="D400" s="66" t="n"/>
      <c r="E400" s="67" t="n"/>
      <c r="F400" s="67" t="n"/>
      <c r="G400" s="68" t="n"/>
      <c r="H400" s="66" t="n"/>
      <c r="I400" s="66" t="n"/>
      <c r="J400" s="67" t="n"/>
      <c r="K400" s="67" t="n"/>
      <c r="L400" s="67" t="n"/>
      <c r="M400" s="28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7" t="n"/>
      <c r="X400" s="67" t="n"/>
      <c r="Y400" s="67" t="n"/>
      <c r="Z400" s="67" t="n"/>
      <c r="AA400" s="67" t="n"/>
      <c r="AB400" s="67" t="n"/>
      <c r="AC400" s="67" t="n"/>
      <c r="AD400" s="66" t="n"/>
      <c r="AE400" s="66" t="n"/>
      <c r="AF400" s="66" t="n"/>
      <c r="AG400" s="66" t="n"/>
      <c r="AH400" s="66" t="n"/>
      <c r="AI400" s="66" t="n"/>
      <c r="AJ400" s="66" t="n"/>
      <c r="AK400" s="66" t="n"/>
      <c r="AL400" s="66" t="n"/>
      <c r="AM400" s="66" t="n"/>
      <c r="AN400" s="66" t="n"/>
      <c r="AO400" s="66" t="n"/>
      <c r="AP400" s="66" t="n"/>
    </row>
    <row r="401">
      <c r="A401" s="66" t="n"/>
      <c r="B401" s="66" t="n"/>
      <c r="C401" s="66" t="n"/>
      <c r="D401" s="66" t="n"/>
      <c r="E401" s="67" t="n"/>
      <c r="F401" s="67" t="n"/>
      <c r="G401" s="68" t="n"/>
      <c r="H401" s="66" t="n"/>
      <c r="I401" s="66" t="n"/>
      <c r="J401" s="67" t="n"/>
      <c r="K401" s="67" t="n"/>
      <c r="L401" s="67" t="n"/>
      <c r="M401" s="28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7" t="n"/>
      <c r="X401" s="67" t="n"/>
      <c r="Y401" s="67" t="n"/>
      <c r="Z401" s="67" t="n"/>
      <c r="AA401" s="67" t="n"/>
      <c r="AB401" s="67" t="n"/>
      <c r="AC401" s="67" t="n"/>
      <c r="AD401" s="66" t="n"/>
      <c r="AE401" s="66" t="n"/>
      <c r="AF401" s="66" t="n"/>
      <c r="AG401" s="66" t="n"/>
      <c r="AH401" s="66" t="n"/>
      <c r="AI401" s="66" t="n"/>
      <c r="AJ401" s="66" t="n"/>
      <c r="AK401" s="66" t="n"/>
      <c r="AL401" s="66" t="n"/>
      <c r="AM401" s="66" t="n"/>
      <c r="AN401" s="66" t="n"/>
      <c r="AO401" s="66" t="n"/>
      <c r="AP401" s="66" t="n"/>
    </row>
    <row r="402">
      <c r="A402" s="66" t="n"/>
      <c r="B402" s="66" t="n"/>
      <c r="C402" s="66" t="n"/>
      <c r="D402" s="66" t="n"/>
      <c r="E402" s="67" t="n"/>
      <c r="F402" s="67" t="n"/>
      <c r="G402" s="68" t="n"/>
      <c r="H402" s="66" t="n"/>
      <c r="I402" s="66" t="n"/>
      <c r="J402" s="67" t="n"/>
      <c r="K402" s="67" t="n"/>
      <c r="L402" s="67" t="n"/>
      <c r="M402" s="28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7" t="n"/>
      <c r="X402" s="67" t="n"/>
      <c r="Y402" s="67" t="n"/>
      <c r="Z402" s="67" t="n"/>
      <c r="AA402" s="67" t="n"/>
      <c r="AB402" s="67" t="n"/>
      <c r="AC402" s="67" t="n"/>
      <c r="AD402" s="66" t="n"/>
      <c r="AE402" s="66" t="n"/>
      <c r="AF402" s="66" t="n"/>
      <c r="AG402" s="66" t="n"/>
      <c r="AH402" s="66" t="n"/>
      <c r="AI402" s="66" t="n"/>
      <c r="AJ402" s="66" t="n"/>
      <c r="AK402" s="66" t="n"/>
      <c r="AL402" s="66" t="n"/>
      <c r="AM402" s="66" t="n"/>
      <c r="AN402" s="66" t="n"/>
      <c r="AO402" s="66" t="n"/>
      <c r="AP402" s="66" t="n"/>
    </row>
    <row r="403">
      <c r="A403" s="66" t="n"/>
      <c r="B403" s="66" t="n"/>
      <c r="C403" s="66" t="n"/>
      <c r="D403" s="66" t="n"/>
      <c r="E403" s="67" t="n"/>
      <c r="F403" s="67" t="n"/>
      <c r="G403" s="68" t="n"/>
      <c r="H403" s="66" t="n"/>
      <c r="I403" s="66" t="n"/>
      <c r="J403" s="67" t="n"/>
      <c r="K403" s="67" t="n"/>
      <c r="L403" s="67" t="n"/>
      <c r="M403" s="28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7" t="n"/>
      <c r="X403" s="67" t="n"/>
      <c r="Y403" s="67" t="n"/>
      <c r="Z403" s="67" t="n"/>
      <c r="AA403" s="67" t="n"/>
      <c r="AB403" s="67" t="n"/>
      <c r="AC403" s="67" t="n"/>
      <c r="AD403" s="66" t="n"/>
      <c r="AE403" s="66" t="n"/>
      <c r="AF403" s="66" t="n"/>
      <c r="AG403" s="66" t="n"/>
      <c r="AH403" s="66" t="n"/>
      <c r="AI403" s="66" t="n"/>
      <c r="AJ403" s="66" t="n"/>
      <c r="AK403" s="66" t="n"/>
      <c r="AL403" s="66" t="n"/>
      <c r="AM403" s="66" t="n"/>
      <c r="AN403" s="66" t="n"/>
      <c r="AO403" s="66" t="n"/>
      <c r="AP403" s="66" t="n"/>
    </row>
    <row r="404">
      <c r="A404" s="66" t="n"/>
      <c r="B404" s="66" t="n"/>
      <c r="C404" s="66" t="n"/>
      <c r="D404" s="66" t="n"/>
      <c r="E404" s="67" t="n"/>
      <c r="F404" s="67" t="n"/>
      <c r="G404" s="68" t="n"/>
      <c r="H404" s="66" t="n"/>
      <c r="I404" s="66" t="n"/>
      <c r="J404" s="67" t="n"/>
      <c r="K404" s="67" t="n"/>
      <c r="L404" s="67" t="n"/>
      <c r="M404" s="28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7" t="n"/>
      <c r="X404" s="67" t="n"/>
      <c r="Y404" s="67" t="n"/>
      <c r="Z404" s="67" t="n"/>
      <c r="AA404" s="67" t="n"/>
      <c r="AB404" s="67" t="n"/>
      <c r="AC404" s="67" t="n"/>
      <c r="AD404" s="66" t="n"/>
      <c r="AE404" s="66" t="n"/>
      <c r="AF404" s="66" t="n"/>
      <c r="AG404" s="66" t="n"/>
      <c r="AH404" s="66" t="n"/>
      <c r="AI404" s="66" t="n"/>
      <c r="AJ404" s="66" t="n"/>
      <c r="AK404" s="66" t="n"/>
      <c r="AL404" s="66" t="n"/>
      <c r="AM404" s="66" t="n"/>
      <c r="AN404" s="66" t="n"/>
      <c r="AO404" s="66" t="n"/>
      <c r="AP404" s="66" t="n"/>
    </row>
    <row r="405">
      <c r="A405" s="66" t="n"/>
      <c r="B405" s="66" t="n"/>
      <c r="C405" s="66" t="n"/>
      <c r="D405" s="66" t="n"/>
      <c r="E405" s="67" t="n"/>
      <c r="F405" s="67" t="n"/>
      <c r="G405" s="68" t="n"/>
      <c r="H405" s="66" t="n"/>
      <c r="I405" s="66" t="n"/>
      <c r="J405" s="67" t="n"/>
      <c r="K405" s="67" t="n"/>
      <c r="L405" s="67" t="n"/>
      <c r="M405" s="28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7" t="n"/>
      <c r="X405" s="67" t="n"/>
      <c r="Y405" s="67" t="n"/>
      <c r="Z405" s="67" t="n"/>
      <c r="AA405" s="67" t="n"/>
      <c r="AB405" s="67" t="n"/>
      <c r="AC405" s="67" t="n"/>
      <c r="AD405" s="66" t="n"/>
      <c r="AE405" s="66" t="n"/>
      <c r="AF405" s="66" t="n"/>
      <c r="AG405" s="66" t="n"/>
      <c r="AH405" s="66" t="n"/>
      <c r="AI405" s="66" t="n"/>
      <c r="AJ405" s="66" t="n"/>
      <c r="AK405" s="66" t="n"/>
      <c r="AL405" s="66" t="n"/>
      <c r="AM405" s="66" t="n"/>
      <c r="AN405" s="66" t="n"/>
      <c r="AO405" s="66" t="n"/>
      <c r="AP405" s="66" t="n"/>
    </row>
    <row r="406">
      <c r="A406" s="66" t="n"/>
      <c r="B406" s="66" t="n"/>
      <c r="C406" s="66" t="n"/>
      <c r="D406" s="66" t="n"/>
      <c r="E406" s="67" t="n"/>
      <c r="F406" s="67" t="n"/>
      <c r="G406" s="68" t="n"/>
      <c r="H406" s="66" t="n"/>
      <c r="I406" s="66" t="n"/>
      <c r="J406" s="67" t="n"/>
      <c r="K406" s="67" t="n"/>
      <c r="L406" s="67" t="n"/>
      <c r="M406" s="28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7" t="n"/>
      <c r="X406" s="67" t="n"/>
      <c r="Y406" s="67" t="n"/>
      <c r="Z406" s="67" t="n"/>
      <c r="AA406" s="67" t="n"/>
      <c r="AB406" s="67" t="n"/>
      <c r="AC406" s="67" t="n"/>
      <c r="AD406" s="66" t="n"/>
      <c r="AE406" s="66" t="n"/>
      <c r="AF406" s="66" t="n"/>
      <c r="AG406" s="66" t="n"/>
      <c r="AH406" s="66" t="n"/>
      <c r="AI406" s="66" t="n"/>
      <c r="AJ406" s="66" t="n"/>
      <c r="AK406" s="66" t="n"/>
      <c r="AL406" s="66" t="n"/>
      <c r="AM406" s="66" t="n"/>
      <c r="AN406" s="66" t="n"/>
      <c r="AO406" s="66" t="n"/>
      <c r="AP406" s="66" t="n"/>
    </row>
    <row r="407">
      <c r="A407" s="66" t="n"/>
      <c r="B407" s="66" t="n"/>
      <c r="C407" s="66" t="n"/>
      <c r="D407" s="66" t="n"/>
      <c r="E407" s="67" t="n"/>
      <c r="F407" s="67" t="n"/>
      <c r="G407" s="68" t="n"/>
      <c r="H407" s="66" t="n"/>
      <c r="I407" s="66" t="n"/>
      <c r="J407" s="67" t="n"/>
      <c r="K407" s="67" t="n"/>
      <c r="L407" s="67" t="n"/>
      <c r="M407" s="28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7" t="n"/>
      <c r="X407" s="67" t="n"/>
      <c r="Y407" s="67" t="n"/>
      <c r="Z407" s="67" t="n"/>
      <c r="AA407" s="67" t="n"/>
      <c r="AB407" s="67" t="n"/>
      <c r="AC407" s="67" t="n"/>
      <c r="AD407" s="66" t="n"/>
      <c r="AE407" s="66" t="n"/>
      <c r="AF407" s="66" t="n"/>
      <c r="AG407" s="66" t="n"/>
      <c r="AH407" s="66" t="n"/>
      <c r="AI407" s="66" t="n"/>
      <c r="AJ407" s="66" t="n"/>
      <c r="AK407" s="66" t="n"/>
      <c r="AL407" s="66" t="n"/>
      <c r="AM407" s="66" t="n"/>
      <c r="AN407" s="66" t="n"/>
      <c r="AO407" s="66" t="n"/>
      <c r="AP407" s="66" t="n"/>
    </row>
    <row r="408">
      <c r="A408" s="66" t="n"/>
      <c r="B408" s="66" t="n"/>
      <c r="C408" s="66" t="n"/>
      <c r="D408" s="66" t="n"/>
      <c r="E408" s="67" t="n"/>
      <c r="F408" s="67" t="n"/>
      <c r="G408" s="68" t="n"/>
      <c r="H408" s="66" t="n"/>
      <c r="I408" s="66" t="n"/>
      <c r="J408" s="67" t="n"/>
      <c r="K408" s="67" t="n"/>
      <c r="L408" s="67" t="n"/>
      <c r="M408" s="28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7" t="n"/>
      <c r="X408" s="67" t="n"/>
      <c r="Y408" s="67" t="n"/>
      <c r="Z408" s="67" t="n"/>
      <c r="AA408" s="67" t="n"/>
      <c r="AB408" s="67" t="n"/>
      <c r="AC408" s="67" t="n"/>
      <c r="AD408" s="66" t="n"/>
      <c r="AE408" s="66" t="n"/>
      <c r="AF408" s="66" t="n"/>
      <c r="AG408" s="66" t="n"/>
      <c r="AH408" s="66" t="n"/>
      <c r="AI408" s="66" t="n"/>
      <c r="AJ408" s="66" t="n"/>
      <c r="AK408" s="66" t="n"/>
      <c r="AL408" s="66" t="n"/>
      <c r="AM408" s="66" t="n"/>
      <c r="AN408" s="66" t="n"/>
      <c r="AO408" s="66" t="n"/>
      <c r="AP408" s="66" t="n"/>
    </row>
    <row r="409">
      <c r="A409" s="66" t="n"/>
      <c r="B409" s="66" t="n"/>
      <c r="C409" s="66" t="n"/>
      <c r="D409" s="66" t="n"/>
      <c r="E409" s="67" t="n"/>
      <c r="F409" s="67" t="n"/>
      <c r="G409" s="68" t="n"/>
      <c r="H409" s="66" t="n"/>
      <c r="I409" s="66" t="n"/>
      <c r="J409" s="67" t="n"/>
      <c r="K409" s="67" t="n"/>
      <c r="L409" s="67" t="n"/>
      <c r="M409" s="28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7" t="n"/>
      <c r="X409" s="67" t="n"/>
      <c r="Y409" s="67" t="n"/>
      <c r="Z409" s="67" t="n"/>
      <c r="AA409" s="67" t="n"/>
      <c r="AB409" s="67" t="n"/>
      <c r="AC409" s="67" t="n"/>
      <c r="AD409" s="66" t="n"/>
      <c r="AE409" s="66" t="n"/>
      <c r="AF409" s="66" t="n"/>
      <c r="AG409" s="66" t="n"/>
      <c r="AH409" s="66" t="n"/>
      <c r="AI409" s="66" t="n"/>
      <c r="AJ409" s="66" t="n"/>
      <c r="AK409" s="66" t="n"/>
      <c r="AL409" s="66" t="n"/>
      <c r="AM409" s="66" t="n"/>
      <c r="AN409" s="66" t="n"/>
      <c r="AO409" s="66" t="n"/>
      <c r="AP409" s="66" t="n"/>
    </row>
    <row r="410">
      <c r="A410" s="66" t="n"/>
      <c r="B410" s="66" t="n"/>
      <c r="C410" s="66" t="n"/>
      <c r="D410" s="66" t="n"/>
      <c r="E410" s="67" t="n"/>
      <c r="F410" s="67" t="n"/>
      <c r="G410" s="68" t="n"/>
      <c r="H410" s="66" t="n"/>
      <c r="I410" s="66" t="n"/>
      <c r="J410" s="67" t="n"/>
      <c r="K410" s="67" t="n"/>
      <c r="L410" s="67" t="n"/>
      <c r="M410" s="28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7" t="n"/>
      <c r="X410" s="67" t="n"/>
      <c r="Y410" s="67" t="n"/>
      <c r="Z410" s="67" t="n"/>
      <c r="AA410" s="67" t="n"/>
      <c r="AB410" s="67" t="n"/>
      <c r="AC410" s="67" t="n"/>
      <c r="AD410" s="66" t="n"/>
      <c r="AE410" s="66" t="n"/>
      <c r="AF410" s="66" t="n"/>
      <c r="AG410" s="66" t="n"/>
      <c r="AH410" s="66" t="n"/>
      <c r="AI410" s="66" t="n"/>
      <c r="AJ410" s="66" t="n"/>
      <c r="AK410" s="66" t="n"/>
      <c r="AL410" s="66" t="n"/>
      <c r="AM410" s="66" t="n"/>
      <c r="AN410" s="66" t="n"/>
      <c r="AO410" s="66" t="n"/>
      <c r="AP410" s="66" t="n"/>
    </row>
    <row r="411">
      <c r="A411" s="66" t="n"/>
      <c r="B411" s="66" t="n"/>
      <c r="C411" s="66" t="n"/>
      <c r="D411" s="66" t="n"/>
      <c r="E411" s="67" t="n"/>
      <c r="F411" s="67" t="n"/>
      <c r="G411" s="68" t="n"/>
      <c r="H411" s="66" t="n"/>
      <c r="I411" s="66" t="n"/>
      <c r="J411" s="67" t="n"/>
      <c r="K411" s="67" t="n"/>
      <c r="L411" s="67" t="n"/>
      <c r="M411" s="28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7" t="n"/>
      <c r="X411" s="67" t="n"/>
      <c r="Y411" s="67" t="n"/>
      <c r="Z411" s="67" t="n"/>
      <c r="AA411" s="67" t="n"/>
      <c r="AB411" s="67" t="n"/>
      <c r="AC411" s="67" t="n"/>
      <c r="AD411" s="66" t="n"/>
      <c r="AE411" s="66" t="n"/>
      <c r="AF411" s="66" t="n"/>
      <c r="AG411" s="66" t="n"/>
      <c r="AH411" s="66" t="n"/>
      <c r="AI411" s="66" t="n"/>
      <c r="AJ411" s="66" t="n"/>
      <c r="AK411" s="66" t="n"/>
      <c r="AL411" s="66" t="n"/>
      <c r="AM411" s="66" t="n"/>
      <c r="AN411" s="66" t="n"/>
      <c r="AO411" s="66" t="n"/>
      <c r="AP411" s="66" t="n"/>
    </row>
    <row r="412">
      <c r="A412" s="66" t="n"/>
      <c r="B412" s="66" t="n"/>
      <c r="C412" s="66" t="n"/>
      <c r="D412" s="66" t="n"/>
      <c r="E412" s="67" t="n"/>
      <c r="F412" s="67" t="n"/>
      <c r="G412" s="68" t="n"/>
      <c r="H412" s="66" t="n"/>
      <c r="I412" s="66" t="n"/>
      <c r="J412" s="67" t="n"/>
      <c r="K412" s="67" t="n"/>
      <c r="L412" s="67" t="n"/>
      <c r="M412" s="28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7" t="n"/>
      <c r="X412" s="67" t="n"/>
      <c r="Y412" s="67" t="n"/>
      <c r="Z412" s="67" t="n"/>
      <c r="AA412" s="67" t="n"/>
      <c r="AB412" s="67" t="n"/>
      <c r="AC412" s="67" t="n"/>
      <c r="AD412" s="66" t="n"/>
      <c r="AE412" s="66" t="n"/>
      <c r="AF412" s="66" t="n"/>
      <c r="AG412" s="66" t="n"/>
      <c r="AH412" s="66" t="n"/>
      <c r="AI412" s="66" t="n"/>
      <c r="AJ412" s="66" t="n"/>
      <c r="AK412" s="66" t="n"/>
      <c r="AL412" s="66" t="n"/>
      <c r="AM412" s="66" t="n"/>
      <c r="AN412" s="66" t="n"/>
      <c r="AO412" s="66" t="n"/>
      <c r="AP412" s="66" t="n"/>
    </row>
    <row r="413">
      <c r="A413" s="66" t="n"/>
      <c r="B413" s="66" t="n"/>
      <c r="C413" s="66" t="n"/>
      <c r="D413" s="66" t="n"/>
      <c r="E413" s="67" t="n"/>
      <c r="F413" s="67" t="n"/>
      <c r="G413" s="68" t="n"/>
      <c r="H413" s="66" t="n"/>
      <c r="I413" s="66" t="n"/>
      <c r="J413" s="67" t="n"/>
      <c r="K413" s="67" t="n"/>
      <c r="L413" s="67" t="n"/>
      <c r="M413" s="28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7" t="n"/>
      <c r="X413" s="67" t="n"/>
      <c r="Y413" s="67" t="n"/>
      <c r="Z413" s="67" t="n"/>
      <c r="AA413" s="67" t="n"/>
      <c r="AB413" s="67" t="n"/>
      <c r="AC413" s="67" t="n"/>
      <c r="AD413" s="66" t="n"/>
      <c r="AE413" s="66" t="n"/>
      <c r="AF413" s="66" t="n"/>
      <c r="AG413" s="66" t="n"/>
      <c r="AH413" s="66" t="n"/>
      <c r="AI413" s="66" t="n"/>
      <c r="AJ413" s="66" t="n"/>
      <c r="AK413" s="66" t="n"/>
      <c r="AL413" s="66" t="n"/>
      <c r="AM413" s="66" t="n"/>
      <c r="AN413" s="66" t="n"/>
      <c r="AO413" s="66" t="n"/>
      <c r="AP413" s="66" t="n"/>
    </row>
    <row r="414">
      <c r="A414" s="66" t="n"/>
      <c r="B414" s="66" t="n"/>
      <c r="C414" s="66" t="n"/>
      <c r="D414" s="66" t="n"/>
      <c r="E414" s="67" t="n"/>
      <c r="F414" s="67" t="n"/>
      <c r="G414" s="68" t="n"/>
      <c r="H414" s="66" t="n"/>
      <c r="I414" s="66" t="n"/>
      <c r="J414" s="67" t="n"/>
      <c r="K414" s="67" t="n"/>
      <c r="L414" s="67" t="n"/>
      <c r="M414" s="28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7" t="n"/>
      <c r="X414" s="67" t="n"/>
      <c r="Y414" s="67" t="n"/>
      <c r="Z414" s="67" t="n"/>
      <c r="AA414" s="67" t="n"/>
      <c r="AB414" s="67" t="n"/>
      <c r="AC414" s="67" t="n"/>
      <c r="AD414" s="66" t="n"/>
      <c r="AE414" s="66" t="n"/>
      <c r="AF414" s="66" t="n"/>
      <c r="AG414" s="66" t="n"/>
      <c r="AH414" s="66" t="n"/>
      <c r="AI414" s="66" t="n"/>
      <c r="AJ414" s="66" t="n"/>
      <c r="AK414" s="66" t="n"/>
      <c r="AL414" s="66" t="n"/>
      <c r="AM414" s="66" t="n"/>
      <c r="AN414" s="66" t="n"/>
      <c r="AO414" s="66" t="n"/>
      <c r="AP414" s="66" t="n"/>
    </row>
    <row r="415">
      <c r="A415" s="66" t="n"/>
      <c r="B415" s="66" t="n"/>
      <c r="C415" s="66" t="n"/>
      <c r="D415" s="66" t="n"/>
      <c r="E415" s="67" t="n"/>
      <c r="F415" s="67" t="n"/>
      <c r="G415" s="68" t="n"/>
      <c r="H415" s="66" t="n"/>
      <c r="I415" s="66" t="n"/>
      <c r="J415" s="67" t="n"/>
      <c r="K415" s="67" t="n"/>
      <c r="L415" s="67" t="n"/>
      <c r="M415" s="28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7" t="n"/>
      <c r="X415" s="67" t="n"/>
      <c r="Y415" s="67" t="n"/>
      <c r="Z415" s="67" t="n"/>
      <c r="AA415" s="67" t="n"/>
      <c r="AB415" s="67" t="n"/>
      <c r="AC415" s="67" t="n"/>
      <c r="AD415" s="66" t="n"/>
      <c r="AE415" s="66" t="n"/>
      <c r="AF415" s="66" t="n"/>
      <c r="AG415" s="66" t="n"/>
      <c r="AH415" s="66" t="n"/>
      <c r="AI415" s="66" t="n"/>
      <c r="AJ415" s="66" t="n"/>
      <c r="AK415" s="66" t="n"/>
      <c r="AL415" s="66" t="n"/>
      <c r="AM415" s="66" t="n"/>
      <c r="AN415" s="66" t="n"/>
      <c r="AO415" s="66" t="n"/>
      <c r="AP415" s="66" t="n"/>
    </row>
    <row r="416">
      <c r="A416" s="66" t="n"/>
      <c r="B416" s="66" t="n"/>
      <c r="C416" s="66" t="n"/>
      <c r="D416" s="66" t="n"/>
      <c r="E416" s="67" t="n"/>
      <c r="F416" s="67" t="n"/>
      <c r="G416" s="68" t="n"/>
      <c r="H416" s="66" t="n"/>
      <c r="I416" s="66" t="n"/>
      <c r="J416" s="67" t="n"/>
      <c r="K416" s="67" t="n"/>
      <c r="L416" s="67" t="n"/>
      <c r="M416" s="28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7" t="n"/>
      <c r="X416" s="67" t="n"/>
      <c r="Y416" s="67" t="n"/>
      <c r="Z416" s="67" t="n"/>
      <c r="AA416" s="67" t="n"/>
      <c r="AB416" s="67" t="n"/>
      <c r="AC416" s="67" t="n"/>
      <c r="AD416" s="66" t="n"/>
      <c r="AE416" s="66" t="n"/>
      <c r="AF416" s="66" t="n"/>
      <c r="AG416" s="66" t="n"/>
      <c r="AH416" s="66" t="n"/>
      <c r="AI416" s="66" t="n"/>
      <c r="AJ416" s="66" t="n"/>
      <c r="AK416" s="66" t="n"/>
      <c r="AL416" s="66" t="n"/>
      <c r="AM416" s="66" t="n"/>
      <c r="AN416" s="66" t="n"/>
      <c r="AO416" s="66" t="n"/>
      <c r="AP416" s="66" t="n"/>
    </row>
    <row r="417">
      <c r="A417" s="66" t="n"/>
      <c r="B417" s="66" t="n"/>
      <c r="C417" s="66" t="n"/>
      <c r="D417" s="66" t="n"/>
      <c r="E417" s="67" t="n"/>
      <c r="F417" s="67" t="n"/>
      <c r="G417" s="68" t="n"/>
      <c r="H417" s="66" t="n"/>
      <c r="I417" s="66" t="n"/>
      <c r="J417" s="67" t="n"/>
      <c r="K417" s="67" t="n"/>
      <c r="L417" s="67" t="n"/>
      <c r="M417" s="28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7" t="n"/>
      <c r="X417" s="67" t="n"/>
      <c r="Y417" s="67" t="n"/>
      <c r="Z417" s="67" t="n"/>
      <c r="AA417" s="67" t="n"/>
      <c r="AB417" s="67" t="n"/>
      <c r="AC417" s="67" t="n"/>
      <c r="AD417" s="66" t="n"/>
      <c r="AE417" s="66" t="n"/>
      <c r="AF417" s="66" t="n"/>
      <c r="AG417" s="66" t="n"/>
      <c r="AH417" s="66" t="n"/>
      <c r="AI417" s="66" t="n"/>
      <c r="AJ417" s="66" t="n"/>
      <c r="AK417" s="66" t="n"/>
      <c r="AL417" s="66" t="n"/>
      <c r="AM417" s="66" t="n"/>
      <c r="AN417" s="66" t="n"/>
      <c r="AO417" s="66" t="n"/>
      <c r="AP417" s="66" t="n"/>
    </row>
    <row r="418">
      <c r="A418" s="66" t="n"/>
      <c r="B418" s="66" t="n"/>
      <c r="C418" s="66" t="n"/>
      <c r="D418" s="66" t="n"/>
      <c r="E418" s="67" t="n"/>
      <c r="F418" s="67" t="n"/>
      <c r="G418" s="68" t="n"/>
      <c r="H418" s="66" t="n"/>
      <c r="I418" s="66" t="n"/>
      <c r="J418" s="67" t="n"/>
      <c r="K418" s="67" t="n"/>
      <c r="L418" s="67" t="n"/>
      <c r="M418" s="28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7" t="n"/>
      <c r="X418" s="67" t="n"/>
      <c r="Y418" s="67" t="n"/>
      <c r="Z418" s="67" t="n"/>
      <c r="AA418" s="67" t="n"/>
      <c r="AB418" s="67" t="n"/>
      <c r="AC418" s="67" t="n"/>
      <c r="AD418" s="66" t="n"/>
      <c r="AE418" s="66" t="n"/>
      <c r="AF418" s="66" t="n"/>
      <c r="AG418" s="66" t="n"/>
      <c r="AH418" s="66" t="n"/>
      <c r="AI418" s="66" t="n"/>
      <c r="AJ418" s="66" t="n"/>
      <c r="AK418" s="66" t="n"/>
      <c r="AL418" s="66" t="n"/>
      <c r="AM418" s="66" t="n"/>
      <c r="AN418" s="66" t="n"/>
      <c r="AO418" s="66" t="n"/>
      <c r="AP418" s="66" t="n"/>
    </row>
    <row r="419">
      <c r="A419" s="66" t="n"/>
      <c r="B419" s="66" t="n"/>
      <c r="C419" s="66" t="n"/>
      <c r="D419" s="66" t="n"/>
      <c r="E419" s="67" t="n"/>
      <c r="F419" s="67" t="n"/>
      <c r="G419" s="68" t="n"/>
      <c r="H419" s="66" t="n"/>
      <c r="I419" s="66" t="n"/>
      <c r="J419" s="67" t="n"/>
      <c r="K419" s="67" t="n"/>
      <c r="L419" s="67" t="n"/>
      <c r="M419" s="28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7" t="n"/>
      <c r="X419" s="67" t="n"/>
      <c r="Y419" s="67" t="n"/>
      <c r="Z419" s="67" t="n"/>
      <c r="AA419" s="67" t="n"/>
      <c r="AB419" s="67" t="n"/>
      <c r="AC419" s="67" t="n"/>
      <c r="AD419" s="66" t="n"/>
      <c r="AE419" s="66" t="n"/>
      <c r="AF419" s="66" t="n"/>
      <c r="AG419" s="66" t="n"/>
      <c r="AH419" s="66" t="n"/>
      <c r="AI419" s="66" t="n"/>
      <c r="AJ419" s="66" t="n"/>
      <c r="AK419" s="66" t="n"/>
      <c r="AL419" s="66" t="n"/>
      <c r="AM419" s="66" t="n"/>
      <c r="AN419" s="66" t="n"/>
      <c r="AO419" s="66" t="n"/>
      <c r="AP419" s="66" t="n"/>
    </row>
    <row r="420">
      <c r="A420" s="66" t="n"/>
      <c r="B420" s="66" t="n"/>
      <c r="C420" s="66" t="n"/>
      <c r="D420" s="66" t="n"/>
      <c r="E420" s="67" t="n"/>
      <c r="F420" s="67" t="n"/>
      <c r="G420" s="68" t="n"/>
      <c r="H420" s="66" t="n"/>
      <c r="I420" s="66" t="n"/>
      <c r="J420" s="67" t="n"/>
      <c r="K420" s="67" t="n"/>
      <c r="L420" s="67" t="n"/>
      <c r="M420" s="28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7" t="n"/>
      <c r="X420" s="67" t="n"/>
      <c r="Y420" s="67" t="n"/>
      <c r="Z420" s="67" t="n"/>
      <c r="AA420" s="67" t="n"/>
      <c r="AB420" s="67" t="n"/>
      <c r="AC420" s="67" t="n"/>
      <c r="AD420" s="66" t="n"/>
      <c r="AE420" s="66" t="n"/>
      <c r="AF420" s="66" t="n"/>
      <c r="AG420" s="66" t="n"/>
      <c r="AH420" s="66" t="n"/>
      <c r="AI420" s="66" t="n"/>
      <c r="AJ420" s="66" t="n"/>
      <c r="AK420" s="66" t="n"/>
      <c r="AL420" s="66" t="n"/>
      <c r="AM420" s="66" t="n"/>
      <c r="AN420" s="66" t="n"/>
      <c r="AO420" s="66" t="n"/>
      <c r="AP420" s="66" t="n"/>
    </row>
    <row r="421">
      <c r="A421" s="66" t="n"/>
      <c r="B421" s="66" t="n"/>
      <c r="C421" s="66" t="n"/>
      <c r="D421" s="66" t="n"/>
      <c r="E421" s="67" t="n"/>
      <c r="F421" s="67" t="n"/>
      <c r="G421" s="68" t="n"/>
      <c r="H421" s="66" t="n"/>
      <c r="I421" s="66" t="n"/>
      <c r="J421" s="67" t="n"/>
      <c r="K421" s="67" t="n"/>
      <c r="L421" s="67" t="n"/>
      <c r="M421" s="28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7" t="n"/>
      <c r="X421" s="67" t="n"/>
      <c r="Y421" s="67" t="n"/>
      <c r="Z421" s="67" t="n"/>
      <c r="AA421" s="67" t="n"/>
      <c r="AB421" s="67" t="n"/>
      <c r="AC421" s="67" t="n"/>
      <c r="AD421" s="66" t="n"/>
      <c r="AE421" s="66" t="n"/>
      <c r="AF421" s="66" t="n"/>
      <c r="AG421" s="66" t="n"/>
      <c r="AH421" s="66" t="n"/>
      <c r="AI421" s="66" t="n"/>
      <c r="AJ421" s="66" t="n"/>
      <c r="AK421" s="66" t="n"/>
      <c r="AL421" s="66" t="n"/>
      <c r="AM421" s="66" t="n"/>
      <c r="AN421" s="66" t="n"/>
      <c r="AO421" s="66" t="n"/>
      <c r="AP421" s="66" t="n"/>
    </row>
    <row r="422">
      <c r="A422" s="66" t="n"/>
      <c r="B422" s="66" t="n"/>
      <c r="C422" s="66" t="n"/>
      <c r="D422" s="66" t="n"/>
      <c r="E422" s="67" t="n"/>
      <c r="F422" s="67" t="n"/>
      <c r="G422" s="68" t="n"/>
      <c r="H422" s="66" t="n"/>
      <c r="I422" s="66" t="n"/>
      <c r="J422" s="67" t="n"/>
      <c r="K422" s="67" t="n"/>
      <c r="L422" s="67" t="n"/>
      <c r="M422" s="28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7" t="n"/>
      <c r="X422" s="67" t="n"/>
      <c r="Y422" s="67" t="n"/>
      <c r="Z422" s="67" t="n"/>
      <c r="AA422" s="67" t="n"/>
      <c r="AB422" s="67" t="n"/>
      <c r="AC422" s="67" t="n"/>
      <c r="AD422" s="66" t="n"/>
      <c r="AE422" s="66" t="n"/>
      <c r="AF422" s="66" t="n"/>
      <c r="AG422" s="66" t="n"/>
      <c r="AH422" s="66" t="n"/>
      <c r="AI422" s="66" t="n"/>
      <c r="AJ422" s="66" t="n"/>
      <c r="AK422" s="66" t="n"/>
      <c r="AL422" s="66" t="n"/>
      <c r="AM422" s="66" t="n"/>
      <c r="AN422" s="66" t="n"/>
      <c r="AO422" s="66" t="n"/>
      <c r="AP422" s="66" t="n"/>
    </row>
    <row r="423">
      <c r="A423" s="66" t="n"/>
      <c r="B423" s="66" t="n"/>
      <c r="C423" s="66" t="n"/>
      <c r="D423" s="66" t="n"/>
      <c r="E423" s="67" t="n"/>
      <c r="F423" s="67" t="n"/>
      <c r="G423" s="68" t="n"/>
      <c r="H423" s="66" t="n"/>
      <c r="I423" s="66" t="n"/>
      <c r="J423" s="67" t="n"/>
      <c r="K423" s="67" t="n"/>
      <c r="L423" s="67" t="n"/>
      <c r="M423" s="28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7" t="n"/>
      <c r="X423" s="67" t="n"/>
      <c r="Y423" s="67" t="n"/>
      <c r="Z423" s="67" t="n"/>
      <c r="AA423" s="67" t="n"/>
      <c r="AB423" s="67" t="n"/>
      <c r="AC423" s="67" t="n"/>
      <c r="AD423" s="66" t="n"/>
      <c r="AE423" s="66" t="n"/>
      <c r="AF423" s="66" t="n"/>
      <c r="AG423" s="66" t="n"/>
      <c r="AH423" s="66" t="n"/>
      <c r="AI423" s="66" t="n"/>
      <c r="AJ423" s="66" t="n"/>
      <c r="AK423" s="66" t="n"/>
      <c r="AL423" s="66" t="n"/>
      <c r="AM423" s="66" t="n"/>
      <c r="AN423" s="66" t="n"/>
      <c r="AO423" s="66" t="n"/>
      <c r="AP423" s="66" t="n"/>
    </row>
    <row r="424">
      <c r="A424" s="66" t="n"/>
      <c r="B424" s="66" t="n"/>
      <c r="C424" s="66" t="n"/>
      <c r="D424" s="66" t="n"/>
      <c r="E424" s="67" t="n"/>
      <c r="F424" s="67" t="n"/>
      <c r="G424" s="68" t="n"/>
      <c r="H424" s="66" t="n"/>
      <c r="I424" s="66" t="n"/>
      <c r="J424" s="67" t="n"/>
      <c r="K424" s="67" t="n"/>
      <c r="L424" s="67" t="n"/>
      <c r="M424" s="28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7" t="n"/>
      <c r="X424" s="67" t="n"/>
      <c r="Y424" s="67" t="n"/>
      <c r="Z424" s="67" t="n"/>
      <c r="AA424" s="67" t="n"/>
      <c r="AB424" s="67" t="n"/>
      <c r="AC424" s="67" t="n"/>
      <c r="AD424" s="66" t="n"/>
      <c r="AE424" s="66" t="n"/>
      <c r="AF424" s="66" t="n"/>
      <c r="AG424" s="66" t="n"/>
      <c r="AH424" s="66" t="n"/>
      <c r="AI424" s="66" t="n"/>
      <c r="AJ424" s="66" t="n"/>
      <c r="AK424" s="66" t="n"/>
      <c r="AL424" s="66" t="n"/>
      <c r="AM424" s="66" t="n"/>
      <c r="AN424" s="66" t="n"/>
      <c r="AO424" s="66" t="n"/>
      <c r="AP424" s="66" t="n"/>
    </row>
    <row r="425">
      <c r="A425" s="66" t="n"/>
      <c r="B425" s="66" t="n"/>
      <c r="C425" s="66" t="n"/>
      <c r="D425" s="66" t="n"/>
      <c r="E425" s="67" t="n"/>
      <c r="F425" s="67" t="n"/>
      <c r="G425" s="68" t="n"/>
      <c r="H425" s="66" t="n"/>
      <c r="I425" s="66" t="n"/>
      <c r="J425" s="67" t="n"/>
      <c r="K425" s="67" t="n"/>
      <c r="L425" s="67" t="n"/>
      <c r="M425" s="28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7" t="n"/>
      <c r="X425" s="67" t="n"/>
      <c r="Y425" s="67" t="n"/>
      <c r="Z425" s="67" t="n"/>
      <c r="AA425" s="67" t="n"/>
      <c r="AB425" s="67" t="n"/>
      <c r="AC425" s="67" t="n"/>
      <c r="AD425" s="66" t="n"/>
      <c r="AE425" s="66" t="n"/>
      <c r="AF425" s="66" t="n"/>
      <c r="AG425" s="66" t="n"/>
      <c r="AH425" s="66" t="n"/>
      <c r="AI425" s="66" t="n"/>
      <c r="AJ425" s="66" t="n"/>
      <c r="AK425" s="66" t="n"/>
      <c r="AL425" s="66" t="n"/>
      <c r="AM425" s="66" t="n"/>
      <c r="AN425" s="66" t="n"/>
      <c r="AO425" s="66" t="n"/>
      <c r="AP425" s="66" t="n"/>
    </row>
    <row r="426">
      <c r="A426" s="66" t="n"/>
      <c r="B426" s="66" t="n"/>
      <c r="C426" s="66" t="n"/>
      <c r="D426" s="66" t="n"/>
      <c r="E426" s="67" t="n"/>
      <c r="F426" s="67" t="n"/>
      <c r="G426" s="68" t="n"/>
      <c r="H426" s="66" t="n"/>
      <c r="I426" s="66" t="n"/>
      <c r="J426" s="67" t="n"/>
      <c r="K426" s="67" t="n"/>
      <c r="L426" s="67" t="n"/>
      <c r="M426" s="28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7" t="n"/>
      <c r="X426" s="67" t="n"/>
      <c r="Y426" s="67" t="n"/>
      <c r="Z426" s="67" t="n"/>
      <c r="AA426" s="67" t="n"/>
      <c r="AB426" s="67" t="n"/>
      <c r="AC426" s="67" t="n"/>
      <c r="AD426" s="66" t="n"/>
      <c r="AE426" s="66" t="n"/>
      <c r="AF426" s="66" t="n"/>
      <c r="AG426" s="66" t="n"/>
      <c r="AH426" s="66" t="n"/>
      <c r="AI426" s="66" t="n"/>
      <c r="AJ426" s="66" t="n"/>
      <c r="AK426" s="66" t="n"/>
      <c r="AL426" s="66" t="n"/>
      <c r="AM426" s="66" t="n"/>
      <c r="AN426" s="66" t="n"/>
      <c r="AO426" s="66" t="n"/>
      <c r="AP426" s="66" t="n"/>
    </row>
    <row r="427">
      <c r="A427" s="66" t="n"/>
      <c r="B427" s="66" t="n"/>
      <c r="C427" s="66" t="n"/>
      <c r="D427" s="66" t="n"/>
      <c r="E427" s="67" t="n"/>
      <c r="F427" s="67" t="n"/>
      <c r="G427" s="68" t="n"/>
      <c r="H427" s="66" t="n"/>
      <c r="I427" s="66" t="n"/>
      <c r="J427" s="67" t="n"/>
      <c r="K427" s="67" t="n"/>
      <c r="L427" s="67" t="n"/>
      <c r="M427" s="28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7" t="n"/>
      <c r="X427" s="67" t="n"/>
      <c r="Y427" s="67" t="n"/>
      <c r="Z427" s="67" t="n"/>
      <c r="AA427" s="67" t="n"/>
      <c r="AB427" s="67" t="n"/>
      <c r="AC427" s="67" t="n"/>
      <c r="AD427" s="66" t="n"/>
      <c r="AE427" s="66" t="n"/>
      <c r="AF427" s="66" t="n"/>
      <c r="AG427" s="66" t="n"/>
      <c r="AH427" s="66" t="n"/>
      <c r="AI427" s="66" t="n"/>
      <c r="AJ427" s="66" t="n"/>
      <c r="AK427" s="66" t="n"/>
      <c r="AL427" s="66" t="n"/>
      <c r="AM427" s="66" t="n"/>
      <c r="AN427" s="66" t="n"/>
      <c r="AO427" s="66" t="n"/>
      <c r="AP427" s="66" t="n"/>
    </row>
    <row r="428">
      <c r="A428" s="66" t="n"/>
      <c r="B428" s="66" t="n"/>
      <c r="C428" s="66" t="n"/>
      <c r="D428" s="66" t="n"/>
      <c r="E428" s="67" t="n"/>
      <c r="F428" s="67" t="n"/>
      <c r="G428" s="68" t="n"/>
      <c r="H428" s="66" t="n"/>
      <c r="I428" s="66" t="n"/>
      <c r="J428" s="67" t="n"/>
      <c r="K428" s="67" t="n"/>
      <c r="L428" s="67" t="n"/>
      <c r="M428" s="28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7" t="n"/>
      <c r="X428" s="67" t="n"/>
      <c r="Y428" s="67" t="n"/>
      <c r="Z428" s="67" t="n"/>
      <c r="AA428" s="67" t="n"/>
      <c r="AB428" s="67" t="n"/>
      <c r="AC428" s="67" t="n"/>
      <c r="AD428" s="66" t="n"/>
      <c r="AE428" s="66" t="n"/>
      <c r="AF428" s="66" t="n"/>
      <c r="AG428" s="66" t="n"/>
      <c r="AH428" s="66" t="n"/>
      <c r="AI428" s="66" t="n"/>
      <c r="AJ428" s="66" t="n"/>
      <c r="AK428" s="66" t="n"/>
      <c r="AL428" s="66" t="n"/>
      <c r="AM428" s="66" t="n"/>
      <c r="AN428" s="66" t="n"/>
      <c r="AO428" s="66" t="n"/>
      <c r="AP428" s="66" t="n"/>
    </row>
    <row r="429">
      <c r="A429" s="66" t="n"/>
      <c r="B429" s="66" t="n"/>
      <c r="C429" s="66" t="n"/>
      <c r="D429" s="66" t="n"/>
      <c r="E429" s="67" t="n"/>
      <c r="F429" s="67" t="n"/>
      <c r="G429" s="68" t="n"/>
      <c r="H429" s="66" t="n"/>
      <c r="I429" s="66" t="n"/>
      <c r="J429" s="67" t="n"/>
      <c r="K429" s="67" t="n"/>
      <c r="L429" s="67" t="n"/>
      <c r="M429" s="28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7" t="n"/>
      <c r="X429" s="67" t="n"/>
      <c r="Y429" s="67" t="n"/>
      <c r="Z429" s="67" t="n"/>
      <c r="AA429" s="67" t="n"/>
      <c r="AB429" s="67" t="n"/>
      <c r="AC429" s="67" t="n"/>
      <c r="AD429" s="66" t="n"/>
      <c r="AE429" s="66" t="n"/>
      <c r="AF429" s="66" t="n"/>
      <c r="AG429" s="66" t="n"/>
      <c r="AH429" s="66" t="n"/>
      <c r="AI429" s="66" t="n"/>
      <c r="AJ429" s="66" t="n"/>
      <c r="AK429" s="66" t="n"/>
      <c r="AL429" s="66" t="n"/>
      <c r="AM429" s="66" t="n"/>
      <c r="AN429" s="66" t="n"/>
      <c r="AO429" s="66" t="n"/>
      <c r="AP429" s="66" t="n"/>
    </row>
    <row r="430">
      <c r="A430" s="66" t="n"/>
      <c r="B430" s="66" t="n"/>
      <c r="C430" s="66" t="n"/>
      <c r="D430" s="66" t="n"/>
      <c r="E430" s="67" t="n"/>
      <c r="F430" s="67" t="n"/>
      <c r="G430" s="68" t="n"/>
      <c r="H430" s="66" t="n"/>
      <c r="I430" s="66" t="n"/>
      <c r="J430" s="67" t="n"/>
      <c r="K430" s="67" t="n"/>
      <c r="L430" s="67" t="n"/>
      <c r="M430" s="28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7" t="n"/>
      <c r="X430" s="67" t="n"/>
      <c r="Y430" s="67" t="n"/>
      <c r="Z430" s="67" t="n"/>
      <c r="AA430" s="67" t="n"/>
      <c r="AB430" s="67" t="n"/>
      <c r="AC430" s="67" t="n"/>
      <c r="AD430" s="66" t="n"/>
      <c r="AE430" s="66" t="n"/>
      <c r="AF430" s="66" t="n"/>
      <c r="AG430" s="66" t="n"/>
      <c r="AH430" s="66" t="n"/>
      <c r="AI430" s="66" t="n"/>
      <c r="AJ430" s="66" t="n"/>
      <c r="AK430" s="66" t="n"/>
      <c r="AL430" s="66" t="n"/>
      <c r="AM430" s="66" t="n"/>
      <c r="AN430" s="66" t="n"/>
      <c r="AO430" s="66" t="n"/>
      <c r="AP430" s="66" t="n"/>
    </row>
    <row r="431">
      <c r="A431" s="66" t="n"/>
      <c r="B431" s="66" t="n"/>
      <c r="C431" s="66" t="n"/>
      <c r="D431" s="66" t="n"/>
      <c r="E431" s="67" t="n"/>
      <c r="F431" s="67" t="n"/>
      <c r="G431" s="68" t="n"/>
      <c r="H431" s="66" t="n"/>
      <c r="I431" s="66" t="n"/>
      <c r="J431" s="67" t="n"/>
      <c r="K431" s="67" t="n"/>
      <c r="L431" s="67" t="n"/>
      <c r="M431" s="28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7" t="n"/>
      <c r="X431" s="67" t="n"/>
      <c r="Y431" s="67" t="n"/>
      <c r="Z431" s="67" t="n"/>
      <c r="AA431" s="67" t="n"/>
      <c r="AB431" s="67" t="n"/>
      <c r="AC431" s="67" t="n"/>
      <c r="AD431" s="66" t="n"/>
      <c r="AE431" s="66" t="n"/>
      <c r="AF431" s="66" t="n"/>
      <c r="AG431" s="66" t="n"/>
      <c r="AH431" s="66" t="n"/>
      <c r="AI431" s="66" t="n"/>
      <c r="AJ431" s="66" t="n"/>
      <c r="AK431" s="66" t="n"/>
      <c r="AL431" s="66" t="n"/>
      <c r="AM431" s="66" t="n"/>
      <c r="AN431" s="66" t="n"/>
      <c r="AO431" s="66" t="n"/>
      <c r="AP431" s="66" t="n"/>
    </row>
    <row r="432">
      <c r="A432" s="66" t="n"/>
      <c r="B432" s="66" t="n"/>
      <c r="C432" s="66" t="n"/>
      <c r="D432" s="66" t="n"/>
      <c r="E432" s="67" t="n"/>
      <c r="F432" s="67" t="n"/>
      <c r="G432" s="68" t="n"/>
      <c r="H432" s="66" t="n"/>
      <c r="I432" s="66" t="n"/>
      <c r="J432" s="67" t="n"/>
      <c r="K432" s="67" t="n"/>
      <c r="L432" s="67" t="n"/>
      <c r="M432" s="28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7" t="n"/>
      <c r="X432" s="67" t="n"/>
      <c r="Y432" s="67" t="n"/>
      <c r="Z432" s="67" t="n"/>
      <c r="AA432" s="67" t="n"/>
      <c r="AB432" s="67" t="n"/>
      <c r="AC432" s="67" t="n"/>
      <c r="AD432" s="66" t="n"/>
      <c r="AE432" s="66" t="n"/>
      <c r="AF432" s="66" t="n"/>
      <c r="AG432" s="66" t="n"/>
      <c r="AH432" s="66" t="n"/>
      <c r="AI432" s="66" t="n"/>
      <c r="AJ432" s="66" t="n"/>
      <c r="AK432" s="66" t="n"/>
      <c r="AL432" s="66" t="n"/>
      <c r="AM432" s="66" t="n"/>
      <c r="AN432" s="66" t="n"/>
      <c r="AO432" s="66" t="n"/>
      <c r="AP432" s="66" t="n"/>
    </row>
    <row r="433">
      <c r="A433" s="66" t="n"/>
      <c r="B433" s="66" t="n"/>
      <c r="C433" s="66" t="n"/>
      <c r="D433" s="66" t="n"/>
      <c r="E433" s="67" t="n"/>
      <c r="F433" s="67" t="n"/>
      <c r="G433" s="68" t="n"/>
      <c r="H433" s="66" t="n"/>
      <c r="I433" s="66" t="n"/>
      <c r="J433" s="67" t="n"/>
      <c r="K433" s="67" t="n"/>
      <c r="L433" s="67" t="n"/>
      <c r="M433" s="28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7" t="n"/>
      <c r="X433" s="67" t="n"/>
      <c r="Y433" s="67" t="n"/>
      <c r="Z433" s="67" t="n"/>
      <c r="AA433" s="67" t="n"/>
      <c r="AB433" s="67" t="n"/>
      <c r="AC433" s="67" t="n"/>
      <c r="AD433" s="66" t="n"/>
      <c r="AE433" s="66" t="n"/>
      <c r="AF433" s="66" t="n"/>
      <c r="AG433" s="66" t="n"/>
      <c r="AH433" s="66" t="n"/>
      <c r="AI433" s="66" t="n"/>
      <c r="AJ433" s="66" t="n"/>
      <c r="AK433" s="66" t="n"/>
      <c r="AL433" s="66" t="n"/>
      <c r="AM433" s="66" t="n"/>
      <c r="AN433" s="66" t="n"/>
      <c r="AO433" s="66" t="n"/>
      <c r="AP433" s="66" t="n"/>
    </row>
    <row r="434">
      <c r="A434" s="66" t="n"/>
      <c r="B434" s="66" t="n"/>
      <c r="C434" s="66" t="n"/>
      <c r="D434" s="66" t="n"/>
      <c r="E434" s="67" t="n"/>
      <c r="F434" s="67" t="n"/>
      <c r="G434" s="68" t="n"/>
      <c r="H434" s="66" t="n"/>
      <c r="I434" s="66" t="n"/>
      <c r="J434" s="67" t="n"/>
      <c r="K434" s="67" t="n"/>
      <c r="L434" s="67" t="n"/>
      <c r="M434" s="28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7" t="n"/>
      <c r="X434" s="67" t="n"/>
      <c r="Y434" s="67" t="n"/>
      <c r="Z434" s="67" t="n"/>
      <c r="AA434" s="67" t="n"/>
      <c r="AB434" s="67" t="n"/>
      <c r="AC434" s="67" t="n"/>
      <c r="AD434" s="66" t="n"/>
      <c r="AE434" s="66" t="n"/>
      <c r="AF434" s="66" t="n"/>
      <c r="AG434" s="66" t="n"/>
      <c r="AH434" s="66" t="n"/>
      <c r="AI434" s="66" t="n"/>
      <c r="AJ434" s="66" t="n"/>
      <c r="AK434" s="66" t="n"/>
      <c r="AL434" s="66" t="n"/>
      <c r="AM434" s="66" t="n"/>
      <c r="AN434" s="66" t="n"/>
      <c r="AO434" s="66" t="n"/>
      <c r="AP434" s="66" t="n"/>
    </row>
    <row r="435">
      <c r="A435" s="66" t="n"/>
      <c r="B435" s="66" t="n"/>
      <c r="C435" s="66" t="n"/>
      <c r="D435" s="66" t="n"/>
      <c r="E435" s="67" t="n"/>
      <c r="F435" s="67" t="n"/>
      <c r="G435" s="68" t="n"/>
      <c r="H435" s="66" t="n"/>
      <c r="I435" s="66" t="n"/>
      <c r="J435" s="67" t="n"/>
      <c r="K435" s="67" t="n"/>
      <c r="L435" s="67" t="n"/>
      <c r="M435" s="28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7" t="n"/>
      <c r="X435" s="67" t="n"/>
      <c r="Y435" s="67" t="n"/>
      <c r="Z435" s="67" t="n"/>
      <c r="AA435" s="67" t="n"/>
      <c r="AB435" s="67" t="n"/>
      <c r="AC435" s="67" t="n"/>
      <c r="AD435" s="66" t="n"/>
      <c r="AE435" s="66" t="n"/>
      <c r="AF435" s="66" t="n"/>
      <c r="AG435" s="66" t="n"/>
      <c r="AH435" s="66" t="n"/>
      <c r="AI435" s="66" t="n"/>
      <c r="AJ435" s="66" t="n"/>
      <c r="AK435" s="66" t="n"/>
      <c r="AL435" s="66" t="n"/>
      <c r="AM435" s="66" t="n"/>
      <c r="AN435" s="66" t="n"/>
      <c r="AO435" s="66" t="n"/>
      <c r="AP435" s="66" t="n"/>
    </row>
    <row r="436">
      <c r="A436" s="66" t="n"/>
      <c r="B436" s="66" t="n"/>
      <c r="C436" s="66" t="n"/>
      <c r="D436" s="66" t="n"/>
      <c r="E436" s="67" t="n"/>
      <c r="F436" s="67" t="n"/>
      <c r="G436" s="68" t="n"/>
      <c r="H436" s="66" t="n"/>
      <c r="I436" s="66" t="n"/>
      <c r="J436" s="67" t="n"/>
      <c r="K436" s="67" t="n"/>
      <c r="L436" s="67" t="n"/>
      <c r="M436" s="28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7" t="n"/>
      <c r="X436" s="67" t="n"/>
      <c r="Y436" s="67" t="n"/>
      <c r="Z436" s="67" t="n"/>
      <c r="AA436" s="67" t="n"/>
      <c r="AB436" s="67" t="n"/>
      <c r="AC436" s="67" t="n"/>
      <c r="AD436" s="66" t="n"/>
      <c r="AE436" s="66" t="n"/>
      <c r="AF436" s="66" t="n"/>
      <c r="AG436" s="66" t="n"/>
      <c r="AH436" s="66" t="n"/>
      <c r="AI436" s="66" t="n"/>
      <c r="AJ436" s="66" t="n"/>
      <c r="AK436" s="66" t="n"/>
      <c r="AL436" s="66" t="n"/>
      <c r="AM436" s="66" t="n"/>
      <c r="AN436" s="66" t="n"/>
      <c r="AO436" s="66" t="n"/>
      <c r="AP436" s="66" t="n"/>
    </row>
    <row r="437">
      <c r="A437" s="66" t="n"/>
      <c r="B437" s="66" t="n"/>
      <c r="C437" s="66" t="n"/>
      <c r="D437" s="66" t="n"/>
      <c r="E437" s="67" t="n"/>
      <c r="F437" s="67" t="n"/>
      <c r="G437" s="68" t="n"/>
      <c r="H437" s="66" t="n"/>
      <c r="I437" s="66" t="n"/>
      <c r="J437" s="67" t="n"/>
      <c r="K437" s="67" t="n"/>
      <c r="L437" s="67" t="n"/>
      <c r="M437" s="28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7" t="n"/>
      <c r="X437" s="67" t="n"/>
      <c r="Y437" s="67" t="n"/>
      <c r="Z437" s="67" t="n"/>
      <c r="AA437" s="67" t="n"/>
      <c r="AB437" s="67" t="n"/>
      <c r="AC437" s="67" t="n"/>
      <c r="AD437" s="66" t="n"/>
      <c r="AE437" s="66" t="n"/>
      <c r="AF437" s="66" t="n"/>
      <c r="AG437" s="66" t="n"/>
      <c r="AH437" s="66" t="n"/>
      <c r="AI437" s="66" t="n"/>
      <c r="AJ437" s="66" t="n"/>
      <c r="AK437" s="66" t="n"/>
      <c r="AL437" s="66" t="n"/>
      <c r="AM437" s="66" t="n"/>
      <c r="AN437" s="66" t="n"/>
      <c r="AO437" s="66" t="n"/>
      <c r="AP437" s="66" t="n"/>
    </row>
    <row r="438">
      <c r="A438" s="66" t="n"/>
      <c r="B438" s="66" t="n"/>
      <c r="C438" s="66" t="n"/>
      <c r="D438" s="66" t="n"/>
      <c r="E438" s="67" t="n"/>
      <c r="F438" s="67" t="n"/>
      <c r="G438" s="68" t="n"/>
      <c r="H438" s="66" t="n"/>
      <c r="I438" s="66" t="n"/>
      <c r="J438" s="67" t="n"/>
      <c r="K438" s="67" t="n"/>
      <c r="L438" s="67" t="n"/>
      <c r="M438" s="28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7" t="n"/>
      <c r="X438" s="67" t="n"/>
      <c r="Y438" s="67" t="n"/>
      <c r="Z438" s="67" t="n"/>
      <c r="AA438" s="67" t="n"/>
      <c r="AB438" s="67" t="n"/>
      <c r="AC438" s="67" t="n"/>
      <c r="AD438" s="66" t="n"/>
      <c r="AE438" s="66" t="n"/>
      <c r="AF438" s="66" t="n"/>
      <c r="AG438" s="66" t="n"/>
      <c r="AH438" s="66" t="n"/>
      <c r="AI438" s="66" t="n"/>
      <c r="AJ438" s="66" t="n"/>
      <c r="AK438" s="66" t="n"/>
      <c r="AL438" s="66" t="n"/>
      <c r="AM438" s="66" t="n"/>
      <c r="AN438" s="66" t="n"/>
      <c r="AO438" s="66" t="n"/>
      <c r="AP438" s="66" t="n"/>
    </row>
    <row r="439">
      <c r="A439" s="66" t="n"/>
      <c r="B439" s="66" t="n"/>
      <c r="C439" s="66" t="n"/>
      <c r="D439" s="66" t="n"/>
      <c r="E439" s="67" t="n"/>
      <c r="F439" s="67" t="n"/>
      <c r="G439" s="68" t="n"/>
      <c r="H439" s="66" t="n"/>
      <c r="I439" s="66" t="n"/>
      <c r="J439" s="67" t="n"/>
      <c r="K439" s="67" t="n"/>
      <c r="L439" s="67" t="n"/>
      <c r="M439" s="28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7" t="n"/>
      <c r="X439" s="67" t="n"/>
      <c r="Y439" s="67" t="n"/>
      <c r="Z439" s="67" t="n"/>
      <c r="AA439" s="67" t="n"/>
      <c r="AB439" s="67" t="n"/>
      <c r="AC439" s="67" t="n"/>
      <c r="AD439" s="66" t="n"/>
      <c r="AE439" s="66" t="n"/>
      <c r="AF439" s="66" t="n"/>
      <c r="AG439" s="66" t="n"/>
      <c r="AH439" s="66" t="n"/>
      <c r="AI439" s="66" t="n"/>
      <c r="AJ439" s="66" t="n"/>
      <c r="AK439" s="66" t="n"/>
      <c r="AL439" s="66" t="n"/>
      <c r="AM439" s="66" t="n"/>
      <c r="AN439" s="66" t="n"/>
      <c r="AO439" s="66" t="n"/>
      <c r="AP439" s="66" t="n"/>
    </row>
    <row r="440">
      <c r="A440" s="66" t="n"/>
      <c r="B440" s="66" t="n"/>
      <c r="C440" s="66" t="n"/>
      <c r="D440" s="66" t="n"/>
      <c r="E440" s="67" t="n"/>
      <c r="F440" s="67" t="n"/>
      <c r="G440" s="68" t="n"/>
      <c r="H440" s="66" t="n"/>
      <c r="I440" s="66" t="n"/>
      <c r="J440" s="67" t="n"/>
      <c r="K440" s="67" t="n"/>
      <c r="L440" s="67" t="n"/>
      <c r="M440" s="28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7" t="n"/>
      <c r="X440" s="67" t="n"/>
      <c r="Y440" s="67" t="n"/>
      <c r="Z440" s="67" t="n"/>
      <c r="AA440" s="67" t="n"/>
      <c r="AB440" s="67" t="n"/>
      <c r="AC440" s="67" t="n"/>
      <c r="AD440" s="66" t="n"/>
      <c r="AE440" s="66" t="n"/>
      <c r="AF440" s="66" t="n"/>
      <c r="AG440" s="66" t="n"/>
      <c r="AH440" s="66" t="n"/>
      <c r="AI440" s="66" t="n"/>
      <c r="AJ440" s="66" t="n"/>
      <c r="AK440" s="66" t="n"/>
      <c r="AL440" s="66" t="n"/>
      <c r="AM440" s="66" t="n"/>
      <c r="AN440" s="66" t="n"/>
      <c r="AO440" s="66" t="n"/>
      <c r="AP440" s="66" t="n"/>
    </row>
    <row r="441">
      <c r="A441" s="66" t="n"/>
      <c r="B441" s="66" t="n"/>
      <c r="C441" s="66" t="n"/>
      <c r="D441" s="66" t="n"/>
      <c r="E441" s="67" t="n"/>
      <c r="F441" s="67" t="n"/>
      <c r="G441" s="68" t="n"/>
      <c r="H441" s="66" t="n"/>
      <c r="I441" s="66" t="n"/>
      <c r="J441" s="67" t="n"/>
      <c r="K441" s="67" t="n"/>
      <c r="L441" s="67" t="n"/>
      <c r="M441" s="28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7" t="n"/>
      <c r="X441" s="67" t="n"/>
      <c r="Y441" s="67" t="n"/>
      <c r="Z441" s="67" t="n"/>
      <c r="AA441" s="67" t="n"/>
      <c r="AB441" s="67" t="n"/>
      <c r="AC441" s="67" t="n"/>
      <c r="AD441" s="66" t="n"/>
      <c r="AE441" s="66" t="n"/>
      <c r="AF441" s="66" t="n"/>
      <c r="AG441" s="66" t="n"/>
      <c r="AH441" s="66" t="n"/>
      <c r="AI441" s="66" t="n"/>
      <c r="AJ441" s="66" t="n"/>
      <c r="AK441" s="66" t="n"/>
      <c r="AL441" s="66" t="n"/>
      <c r="AM441" s="66" t="n"/>
      <c r="AN441" s="66" t="n"/>
      <c r="AO441" s="66" t="n"/>
      <c r="AP441" s="66" t="n"/>
    </row>
    <row r="442">
      <c r="A442" s="66" t="n"/>
      <c r="B442" s="66" t="n"/>
      <c r="C442" s="66" t="n"/>
      <c r="D442" s="66" t="n"/>
      <c r="E442" s="67" t="n"/>
      <c r="F442" s="67" t="n"/>
      <c r="G442" s="68" t="n"/>
      <c r="H442" s="66" t="n"/>
      <c r="I442" s="66" t="n"/>
      <c r="J442" s="67" t="n"/>
      <c r="K442" s="67" t="n"/>
      <c r="L442" s="67" t="n"/>
      <c r="M442" s="28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7" t="n"/>
      <c r="X442" s="67" t="n"/>
      <c r="Y442" s="67" t="n"/>
      <c r="Z442" s="67" t="n"/>
      <c r="AA442" s="67" t="n"/>
      <c r="AB442" s="67" t="n"/>
      <c r="AC442" s="67" t="n"/>
      <c r="AD442" s="66" t="n"/>
      <c r="AE442" s="66" t="n"/>
      <c r="AF442" s="66" t="n"/>
      <c r="AG442" s="66" t="n"/>
      <c r="AH442" s="66" t="n"/>
      <c r="AI442" s="66" t="n"/>
      <c r="AJ442" s="66" t="n"/>
      <c r="AK442" s="66" t="n"/>
      <c r="AL442" s="66" t="n"/>
      <c r="AM442" s="66" t="n"/>
      <c r="AN442" s="66" t="n"/>
      <c r="AO442" s="66" t="n"/>
      <c r="AP442" s="66" t="n"/>
    </row>
    <row r="443">
      <c r="A443" s="66" t="n"/>
      <c r="B443" s="66" t="n"/>
      <c r="C443" s="66" t="n"/>
      <c r="D443" s="66" t="n"/>
      <c r="E443" s="67" t="n"/>
      <c r="F443" s="67" t="n"/>
      <c r="G443" s="68" t="n"/>
      <c r="H443" s="66" t="n"/>
      <c r="I443" s="66" t="n"/>
      <c r="J443" s="67" t="n"/>
      <c r="K443" s="67" t="n"/>
      <c r="L443" s="67" t="n"/>
      <c r="M443" s="28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7" t="n"/>
      <c r="X443" s="67" t="n"/>
      <c r="Y443" s="67" t="n"/>
      <c r="Z443" s="67" t="n"/>
      <c r="AA443" s="67" t="n"/>
      <c r="AB443" s="67" t="n"/>
      <c r="AC443" s="67" t="n"/>
      <c r="AD443" s="66" t="n"/>
      <c r="AE443" s="66" t="n"/>
      <c r="AF443" s="66" t="n"/>
      <c r="AG443" s="66" t="n"/>
      <c r="AH443" s="66" t="n"/>
      <c r="AI443" s="66" t="n"/>
      <c r="AJ443" s="66" t="n"/>
      <c r="AK443" s="66" t="n"/>
      <c r="AL443" s="66" t="n"/>
      <c r="AM443" s="66" t="n"/>
      <c r="AN443" s="66" t="n"/>
      <c r="AO443" s="66" t="n"/>
      <c r="AP443" s="66" t="n"/>
    </row>
    <row r="444">
      <c r="A444" s="66" t="n"/>
      <c r="B444" s="66" t="n"/>
      <c r="C444" s="66" t="n"/>
      <c r="D444" s="66" t="n"/>
      <c r="E444" s="67" t="n"/>
      <c r="F444" s="67" t="n"/>
      <c r="G444" s="68" t="n"/>
      <c r="H444" s="66" t="n"/>
      <c r="I444" s="66" t="n"/>
      <c r="J444" s="67" t="n"/>
      <c r="K444" s="67" t="n"/>
      <c r="L444" s="67" t="n"/>
      <c r="M444" s="28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7" t="n"/>
      <c r="X444" s="67" t="n"/>
      <c r="Y444" s="67" t="n"/>
      <c r="Z444" s="67" t="n"/>
      <c r="AA444" s="67" t="n"/>
      <c r="AB444" s="67" t="n"/>
      <c r="AC444" s="67" t="n"/>
      <c r="AD444" s="66" t="n"/>
      <c r="AE444" s="66" t="n"/>
      <c r="AF444" s="66" t="n"/>
      <c r="AG444" s="66" t="n"/>
      <c r="AH444" s="66" t="n"/>
      <c r="AI444" s="66" t="n"/>
      <c r="AJ444" s="66" t="n"/>
      <c r="AK444" s="66" t="n"/>
      <c r="AL444" s="66" t="n"/>
      <c r="AM444" s="66" t="n"/>
      <c r="AN444" s="66" t="n"/>
      <c r="AO444" s="66" t="n"/>
      <c r="AP444" s="66" t="n"/>
    </row>
    <row r="445">
      <c r="A445" s="66" t="n"/>
      <c r="B445" s="66" t="n"/>
      <c r="C445" s="66" t="n"/>
      <c r="D445" s="66" t="n"/>
      <c r="E445" s="67" t="n"/>
      <c r="F445" s="67" t="n"/>
      <c r="G445" s="68" t="n"/>
      <c r="H445" s="66" t="n"/>
      <c r="I445" s="66" t="n"/>
      <c r="J445" s="67" t="n"/>
      <c r="K445" s="67" t="n"/>
      <c r="L445" s="67" t="n"/>
      <c r="M445" s="28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7" t="n"/>
      <c r="X445" s="67" t="n"/>
      <c r="Y445" s="67" t="n"/>
      <c r="Z445" s="67" t="n"/>
      <c r="AA445" s="67" t="n"/>
      <c r="AB445" s="67" t="n"/>
      <c r="AC445" s="67" t="n"/>
      <c r="AD445" s="66" t="n"/>
      <c r="AE445" s="66" t="n"/>
      <c r="AF445" s="66" t="n"/>
      <c r="AG445" s="66" t="n"/>
      <c r="AH445" s="66" t="n"/>
      <c r="AI445" s="66" t="n"/>
      <c r="AJ445" s="66" t="n"/>
      <c r="AK445" s="66" t="n"/>
      <c r="AL445" s="66" t="n"/>
      <c r="AM445" s="66" t="n"/>
      <c r="AN445" s="66" t="n"/>
      <c r="AO445" s="66" t="n"/>
      <c r="AP445" s="66" t="n"/>
    </row>
    <row r="446">
      <c r="A446" s="66" t="n"/>
      <c r="B446" s="66" t="n"/>
      <c r="C446" s="66" t="n"/>
      <c r="D446" s="66" t="n"/>
      <c r="E446" s="67" t="n"/>
      <c r="F446" s="67" t="n"/>
      <c r="G446" s="68" t="n"/>
      <c r="H446" s="66" t="n"/>
      <c r="I446" s="66" t="n"/>
      <c r="J446" s="67" t="n"/>
      <c r="K446" s="67" t="n"/>
      <c r="L446" s="67" t="n"/>
      <c r="M446" s="28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7" t="n"/>
      <c r="X446" s="67" t="n"/>
      <c r="Y446" s="67" t="n"/>
      <c r="Z446" s="67" t="n"/>
      <c r="AA446" s="67" t="n"/>
      <c r="AB446" s="67" t="n"/>
      <c r="AC446" s="67" t="n"/>
      <c r="AD446" s="66" t="n"/>
      <c r="AE446" s="66" t="n"/>
      <c r="AF446" s="66" t="n"/>
      <c r="AG446" s="66" t="n"/>
      <c r="AH446" s="66" t="n"/>
      <c r="AI446" s="66" t="n"/>
      <c r="AJ446" s="66" t="n"/>
      <c r="AK446" s="66" t="n"/>
      <c r="AL446" s="66" t="n"/>
      <c r="AM446" s="66" t="n"/>
      <c r="AN446" s="66" t="n"/>
      <c r="AO446" s="66" t="n"/>
      <c r="AP446" s="66" t="n"/>
    </row>
    <row r="447">
      <c r="A447" s="66" t="n"/>
      <c r="B447" s="66" t="n"/>
      <c r="C447" s="66" t="n"/>
      <c r="D447" s="66" t="n"/>
      <c r="E447" s="67" t="n"/>
      <c r="F447" s="67" t="n"/>
      <c r="G447" s="68" t="n"/>
      <c r="H447" s="66" t="n"/>
      <c r="I447" s="66" t="n"/>
      <c r="J447" s="67" t="n"/>
      <c r="K447" s="67" t="n"/>
      <c r="L447" s="67" t="n"/>
      <c r="M447" s="28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7" t="n"/>
      <c r="X447" s="67" t="n"/>
      <c r="Y447" s="67" t="n"/>
      <c r="Z447" s="67" t="n"/>
      <c r="AA447" s="67" t="n"/>
      <c r="AB447" s="67" t="n"/>
      <c r="AC447" s="67" t="n"/>
      <c r="AD447" s="66" t="n"/>
      <c r="AE447" s="66" t="n"/>
      <c r="AF447" s="66" t="n"/>
      <c r="AG447" s="66" t="n"/>
      <c r="AH447" s="66" t="n"/>
      <c r="AI447" s="66" t="n"/>
      <c r="AJ447" s="66" t="n"/>
      <c r="AK447" s="66" t="n"/>
      <c r="AL447" s="66" t="n"/>
      <c r="AM447" s="66" t="n"/>
      <c r="AN447" s="66" t="n"/>
      <c r="AO447" s="66" t="n"/>
      <c r="AP447" s="66" t="n"/>
    </row>
    <row r="448">
      <c r="A448" s="66" t="n"/>
      <c r="B448" s="66" t="n"/>
      <c r="C448" s="66" t="n"/>
      <c r="D448" s="66" t="n"/>
      <c r="E448" s="67" t="n"/>
      <c r="F448" s="67" t="n"/>
      <c r="G448" s="68" t="n"/>
      <c r="H448" s="66" t="n"/>
      <c r="I448" s="66" t="n"/>
      <c r="J448" s="67" t="n"/>
      <c r="K448" s="67" t="n"/>
      <c r="L448" s="67" t="n"/>
      <c r="M448" s="28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7" t="n"/>
      <c r="X448" s="67" t="n"/>
      <c r="Y448" s="67" t="n"/>
      <c r="Z448" s="67" t="n"/>
      <c r="AA448" s="67" t="n"/>
      <c r="AB448" s="67" t="n"/>
      <c r="AC448" s="67" t="n"/>
      <c r="AD448" s="66" t="n"/>
      <c r="AE448" s="66" t="n"/>
      <c r="AF448" s="66" t="n"/>
      <c r="AG448" s="66" t="n"/>
      <c r="AH448" s="66" t="n"/>
      <c r="AI448" s="66" t="n"/>
      <c r="AJ448" s="66" t="n"/>
      <c r="AK448" s="66" t="n"/>
      <c r="AL448" s="66" t="n"/>
      <c r="AM448" s="66" t="n"/>
      <c r="AN448" s="66" t="n"/>
      <c r="AO448" s="66" t="n"/>
      <c r="AP448" s="66" t="n"/>
    </row>
    <row r="449">
      <c r="A449" s="66" t="n"/>
      <c r="B449" s="66" t="n"/>
      <c r="C449" s="66" t="n"/>
      <c r="D449" s="66" t="n"/>
      <c r="E449" s="67" t="n"/>
      <c r="F449" s="67" t="n"/>
      <c r="G449" s="68" t="n"/>
      <c r="H449" s="66" t="n"/>
      <c r="I449" s="66" t="n"/>
      <c r="J449" s="67" t="n"/>
      <c r="K449" s="67" t="n"/>
      <c r="L449" s="67" t="n"/>
      <c r="M449" s="28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7" t="n"/>
      <c r="X449" s="67" t="n"/>
      <c r="Y449" s="67" t="n"/>
      <c r="Z449" s="67" t="n"/>
      <c r="AA449" s="67" t="n"/>
      <c r="AB449" s="67" t="n"/>
      <c r="AC449" s="67" t="n"/>
      <c r="AD449" s="66" t="n"/>
      <c r="AE449" s="66" t="n"/>
      <c r="AF449" s="66" t="n"/>
      <c r="AG449" s="66" t="n"/>
      <c r="AH449" s="66" t="n"/>
      <c r="AI449" s="66" t="n"/>
      <c r="AJ449" s="66" t="n"/>
      <c r="AK449" s="66" t="n"/>
      <c r="AL449" s="66" t="n"/>
      <c r="AM449" s="66" t="n"/>
      <c r="AN449" s="66" t="n"/>
      <c r="AO449" s="66" t="n"/>
      <c r="AP449" s="66" t="n"/>
    </row>
    <row r="450">
      <c r="A450" s="66" t="n"/>
      <c r="B450" s="66" t="n"/>
      <c r="C450" s="66" t="n"/>
      <c r="D450" s="66" t="n"/>
      <c r="E450" s="67" t="n"/>
      <c r="F450" s="67" t="n"/>
      <c r="G450" s="68" t="n"/>
      <c r="H450" s="66" t="n"/>
      <c r="I450" s="66" t="n"/>
      <c r="J450" s="67" t="n"/>
      <c r="K450" s="67" t="n"/>
      <c r="L450" s="67" t="n"/>
      <c r="M450" s="28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7" t="n"/>
      <c r="X450" s="67" t="n"/>
      <c r="Y450" s="67" t="n"/>
      <c r="Z450" s="67" t="n"/>
      <c r="AA450" s="67" t="n"/>
      <c r="AB450" s="67" t="n"/>
      <c r="AC450" s="67" t="n"/>
      <c r="AD450" s="66" t="n"/>
      <c r="AE450" s="66" t="n"/>
      <c r="AF450" s="66" t="n"/>
      <c r="AG450" s="66" t="n"/>
      <c r="AH450" s="66" t="n"/>
      <c r="AI450" s="66" t="n"/>
      <c r="AJ450" s="66" t="n"/>
      <c r="AK450" s="66" t="n"/>
      <c r="AL450" s="66" t="n"/>
      <c r="AM450" s="66" t="n"/>
      <c r="AN450" s="66" t="n"/>
      <c r="AO450" s="66" t="n"/>
      <c r="AP450" s="66" t="n"/>
    </row>
    <row r="451">
      <c r="A451" s="66" t="n"/>
      <c r="B451" s="66" t="n"/>
      <c r="C451" s="66" t="n"/>
      <c r="D451" s="66" t="n"/>
      <c r="E451" s="67" t="n"/>
      <c r="F451" s="67" t="n"/>
      <c r="G451" s="68" t="n"/>
      <c r="H451" s="66" t="n"/>
      <c r="I451" s="66" t="n"/>
      <c r="J451" s="67" t="n"/>
      <c r="K451" s="67" t="n"/>
      <c r="L451" s="67" t="n"/>
      <c r="M451" s="28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7" t="n"/>
      <c r="X451" s="67" t="n"/>
      <c r="Y451" s="67" t="n"/>
      <c r="Z451" s="67" t="n"/>
      <c r="AA451" s="67" t="n"/>
      <c r="AB451" s="67" t="n"/>
      <c r="AC451" s="67" t="n"/>
      <c r="AD451" s="66" t="n"/>
      <c r="AE451" s="66" t="n"/>
      <c r="AF451" s="66" t="n"/>
      <c r="AG451" s="66" t="n"/>
      <c r="AH451" s="66" t="n"/>
      <c r="AI451" s="66" t="n"/>
      <c r="AJ451" s="66" t="n"/>
      <c r="AK451" s="66" t="n"/>
      <c r="AL451" s="66" t="n"/>
      <c r="AM451" s="66" t="n"/>
      <c r="AN451" s="66" t="n"/>
      <c r="AO451" s="66" t="n"/>
      <c r="AP451" s="66" t="n"/>
    </row>
    <row r="452">
      <c r="A452" s="66" t="n"/>
      <c r="B452" s="66" t="n"/>
      <c r="C452" s="66" t="n"/>
      <c r="D452" s="66" t="n"/>
      <c r="E452" s="67" t="n"/>
      <c r="F452" s="67" t="n"/>
      <c r="G452" s="68" t="n"/>
      <c r="H452" s="66" t="n"/>
      <c r="I452" s="66" t="n"/>
      <c r="J452" s="67" t="n"/>
      <c r="K452" s="67" t="n"/>
      <c r="L452" s="67" t="n"/>
      <c r="M452" s="28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7" t="n"/>
      <c r="X452" s="67" t="n"/>
      <c r="Y452" s="67" t="n"/>
      <c r="Z452" s="67" t="n"/>
      <c r="AA452" s="67" t="n"/>
      <c r="AB452" s="67" t="n"/>
      <c r="AC452" s="67" t="n"/>
      <c r="AD452" s="66" t="n"/>
      <c r="AE452" s="66" t="n"/>
      <c r="AF452" s="66" t="n"/>
      <c r="AG452" s="66" t="n"/>
      <c r="AH452" s="66" t="n"/>
      <c r="AI452" s="66" t="n"/>
      <c r="AJ452" s="66" t="n"/>
      <c r="AK452" s="66" t="n"/>
      <c r="AL452" s="66" t="n"/>
      <c r="AM452" s="66" t="n"/>
      <c r="AN452" s="66" t="n"/>
      <c r="AO452" s="66" t="n"/>
      <c r="AP452" s="66" t="n"/>
    </row>
    <row r="453">
      <c r="A453" s="66" t="n"/>
      <c r="B453" s="66" t="n"/>
      <c r="C453" s="66" t="n"/>
      <c r="D453" s="66" t="n"/>
      <c r="E453" s="67" t="n"/>
      <c r="F453" s="67" t="n"/>
      <c r="G453" s="68" t="n"/>
      <c r="H453" s="66" t="n"/>
      <c r="I453" s="66" t="n"/>
      <c r="J453" s="67" t="n"/>
      <c r="K453" s="67" t="n"/>
      <c r="L453" s="67" t="n"/>
      <c r="M453" s="28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7" t="n"/>
      <c r="X453" s="67" t="n"/>
      <c r="Y453" s="67" t="n"/>
      <c r="Z453" s="67" t="n"/>
      <c r="AA453" s="67" t="n"/>
      <c r="AB453" s="67" t="n"/>
      <c r="AC453" s="67" t="n"/>
      <c r="AD453" s="66" t="n"/>
      <c r="AE453" s="66" t="n"/>
      <c r="AF453" s="66" t="n"/>
      <c r="AG453" s="66" t="n"/>
      <c r="AH453" s="66" t="n"/>
      <c r="AI453" s="66" t="n"/>
      <c r="AJ453" s="66" t="n"/>
      <c r="AK453" s="66" t="n"/>
      <c r="AL453" s="66" t="n"/>
      <c r="AM453" s="66" t="n"/>
      <c r="AN453" s="66" t="n"/>
      <c r="AO453" s="66" t="n"/>
      <c r="AP453" s="66" t="n"/>
    </row>
    <row r="454">
      <c r="A454" s="66" t="n"/>
      <c r="B454" s="66" t="n"/>
      <c r="C454" s="66" t="n"/>
      <c r="D454" s="66" t="n"/>
      <c r="E454" s="67" t="n"/>
      <c r="F454" s="67" t="n"/>
      <c r="G454" s="68" t="n"/>
      <c r="H454" s="66" t="n"/>
      <c r="I454" s="66" t="n"/>
      <c r="J454" s="67" t="n"/>
      <c r="K454" s="67" t="n"/>
      <c r="L454" s="67" t="n"/>
      <c r="M454" s="28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7" t="n"/>
      <c r="X454" s="67" t="n"/>
      <c r="Y454" s="67" t="n"/>
      <c r="Z454" s="67" t="n"/>
      <c r="AA454" s="67" t="n"/>
      <c r="AB454" s="67" t="n"/>
      <c r="AC454" s="67" t="n"/>
      <c r="AD454" s="66" t="n"/>
      <c r="AE454" s="66" t="n"/>
      <c r="AF454" s="66" t="n"/>
      <c r="AG454" s="66" t="n"/>
      <c r="AH454" s="66" t="n"/>
      <c r="AI454" s="66" t="n"/>
      <c r="AJ454" s="66" t="n"/>
      <c r="AK454" s="66" t="n"/>
      <c r="AL454" s="66" t="n"/>
      <c r="AM454" s="66" t="n"/>
      <c r="AN454" s="66" t="n"/>
      <c r="AO454" s="66" t="n"/>
      <c r="AP454" s="66" t="n"/>
    </row>
    <row r="455">
      <c r="A455" s="66" t="n"/>
      <c r="B455" s="66" t="n"/>
      <c r="C455" s="66" t="n"/>
      <c r="D455" s="66" t="n"/>
      <c r="E455" s="67" t="n"/>
      <c r="F455" s="67" t="n"/>
      <c r="G455" s="68" t="n"/>
      <c r="H455" s="66" t="n"/>
      <c r="I455" s="66" t="n"/>
      <c r="J455" s="67" t="n"/>
      <c r="K455" s="67" t="n"/>
      <c r="L455" s="67" t="n"/>
      <c r="M455" s="28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7" t="n"/>
      <c r="X455" s="67" t="n"/>
      <c r="Y455" s="67" t="n"/>
      <c r="Z455" s="67" t="n"/>
      <c r="AA455" s="67" t="n"/>
      <c r="AB455" s="67" t="n"/>
      <c r="AC455" s="67" t="n"/>
      <c r="AD455" s="66" t="n"/>
      <c r="AE455" s="66" t="n"/>
      <c r="AF455" s="66" t="n"/>
      <c r="AG455" s="66" t="n"/>
      <c r="AH455" s="66" t="n"/>
      <c r="AI455" s="66" t="n"/>
      <c r="AJ455" s="66" t="n"/>
      <c r="AK455" s="66" t="n"/>
      <c r="AL455" s="66" t="n"/>
      <c r="AM455" s="66" t="n"/>
      <c r="AN455" s="66" t="n"/>
      <c r="AO455" s="66" t="n"/>
      <c r="AP455" s="66" t="n"/>
    </row>
    <row r="456">
      <c r="A456" s="66" t="n"/>
      <c r="B456" s="66" t="n"/>
      <c r="C456" s="66" t="n"/>
      <c r="D456" s="66" t="n"/>
      <c r="E456" s="67" t="n"/>
      <c r="F456" s="67" t="n"/>
      <c r="G456" s="68" t="n"/>
      <c r="H456" s="66" t="n"/>
      <c r="I456" s="66" t="n"/>
      <c r="J456" s="67" t="n"/>
      <c r="K456" s="67" t="n"/>
      <c r="L456" s="67" t="n"/>
      <c r="M456" s="28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7" t="n"/>
      <c r="X456" s="67" t="n"/>
      <c r="Y456" s="67" t="n"/>
      <c r="Z456" s="67" t="n"/>
      <c r="AA456" s="67" t="n"/>
      <c r="AB456" s="67" t="n"/>
      <c r="AC456" s="67" t="n"/>
      <c r="AD456" s="66" t="n"/>
      <c r="AE456" s="66" t="n"/>
      <c r="AF456" s="66" t="n"/>
      <c r="AG456" s="66" t="n"/>
      <c r="AH456" s="66" t="n"/>
      <c r="AI456" s="66" t="n"/>
      <c r="AJ456" s="66" t="n"/>
      <c r="AK456" s="66" t="n"/>
      <c r="AL456" s="66" t="n"/>
      <c r="AM456" s="66" t="n"/>
      <c r="AN456" s="66" t="n"/>
      <c r="AO456" s="66" t="n"/>
      <c r="AP456" s="66" t="n"/>
    </row>
    <row r="457">
      <c r="A457" s="66" t="n"/>
      <c r="B457" s="66" t="n"/>
      <c r="C457" s="66" t="n"/>
      <c r="D457" s="66" t="n"/>
      <c r="E457" s="67" t="n"/>
      <c r="F457" s="67" t="n"/>
      <c r="G457" s="68" t="n"/>
      <c r="H457" s="66" t="n"/>
      <c r="I457" s="66" t="n"/>
      <c r="J457" s="67" t="n"/>
      <c r="K457" s="67" t="n"/>
      <c r="L457" s="67" t="n"/>
      <c r="M457" s="28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7" t="n"/>
      <c r="X457" s="67" t="n"/>
      <c r="Y457" s="67" t="n"/>
      <c r="Z457" s="67" t="n"/>
      <c r="AA457" s="67" t="n"/>
      <c r="AB457" s="67" t="n"/>
      <c r="AC457" s="67" t="n"/>
      <c r="AD457" s="66" t="n"/>
      <c r="AE457" s="66" t="n"/>
      <c r="AF457" s="66" t="n"/>
      <c r="AG457" s="66" t="n"/>
      <c r="AH457" s="66" t="n"/>
      <c r="AI457" s="66" t="n"/>
      <c r="AJ457" s="66" t="n"/>
      <c r="AK457" s="66" t="n"/>
      <c r="AL457" s="66" t="n"/>
      <c r="AM457" s="66" t="n"/>
      <c r="AN457" s="66" t="n"/>
      <c r="AO457" s="66" t="n"/>
      <c r="AP457" s="66" t="n"/>
    </row>
    <row r="458">
      <c r="A458" s="66" t="n"/>
      <c r="B458" s="66" t="n"/>
      <c r="C458" s="66" t="n"/>
      <c r="D458" s="66" t="n"/>
      <c r="E458" s="67" t="n"/>
      <c r="F458" s="67" t="n"/>
      <c r="G458" s="68" t="n"/>
      <c r="H458" s="66" t="n"/>
      <c r="I458" s="66" t="n"/>
      <c r="J458" s="67" t="n"/>
      <c r="K458" s="67" t="n"/>
      <c r="L458" s="67" t="n"/>
      <c r="M458" s="28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7" t="n"/>
      <c r="X458" s="67" t="n"/>
      <c r="Y458" s="67" t="n"/>
      <c r="Z458" s="67" t="n"/>
      <c r="AA458" s="67" t="n"/>
      <c r="AB458" s="67" t="n"/>
      <c r="AC458" s="67" t="n"/>
      <c r="AD458" s="66" t="n"/>
      <c r="AE458" s="66" t="n"/>
      <c r="AF458" s="66" t="n"/>
      <c r="AG458" s="66" t="n"/>
      <c r="AH458" s="66" t="n"/>
      <c r="AI458" s="66" t="n"/>
      <c r="AJ458" s="66" t="n"/>
      <c r="AK458" s="66" t="n"/>
      <c r="AL458" s="66" t="n"/>
      <c r="AM458" s="66" t="n"/>
      <c r="AN458" s="66" t="n"/>
      <c r="AO458" s="66" t="n"/>
      <c r="AP458" s="66" t="n"/>
    </row>
    <row r="459">
      <c r="A459" s="66" t="n"/>
      <c r="B459" s="66" t="n"/>
      <c r="C459" s="66" t="n"/>
      <c r="D459" s="66" t="n"/>
      <c r="E459" s="67" t="n"/>
      <c r="F459" s="67" t="n"/>
      <c r="G459" s="68" t="n"/>
      <c r="H459" s="66" t="n"/>
      <c r="I459" s="66" t="n"/>
      <c r="J459" s="67" t="n"/>
      <c r="K459" s="67" t="n"/>
      <c r="L459" s="67" t="n"/>
      <c r="M459" s="28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7" t="n"/>
      <c r="X459" s="67" t="n"/>
      <c r="Y459" s="67" t="n"/>
      <c r="Z459" s="67" t="n"/>
      <c r="AA459" s="67" t="n"/>
      <c r="AB459" s="67" t="n"/>
      <c r="AC459" s="67" t="n"/>
      <c r="AD459" s="66" t="n"/>
      <c r="AE459" s="66" t="n"/>
      <c r="AF459" s="66" t="n"/>
      <c r="AG459" s="66" t="n"/>
      <c r="AH459" s="66" t="n"/>
      <c r="AI459" s="66" t="n"/>
      <c r="AJ459" s="66" t="n"/>
      <c r="AK459" s="66" t="n"/>
      <c r="AL459" s="66" t="n"/>
      <c r="AM459" s="66" t="n"/>
      <c r="AN459" s="66" t="n"/>
      <c r="AO459" s="66" t="n"/>
      <c r="AP459" s="66" t="n"/>
    </row>
    <row r="460">
      <c r="A460" s="66" t="n"/>
      <c r="B460" s="66" t="n"/>
      <c r="C460" s="66" t="n"/>
      <c r="D460" s="66" t="n"/>
      <c r="E460" s="67" t="n"/>
      <c r="F460" s="67" t="n"/>
      <c r="G460" s="68" t="n"/>
      <c r="H460" s="66" t="n"/>
      <c r="I460" s="66" t="n"/>
      <c r="J460" s="67" t="n"/>
      <c r="K460" s="67" t="n"/>
      <c r="L460" s="67" t="n"/>
      <c r="M460" s="28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7" t="n"/>
      <c r="X460" s="67" t="n"/>
      <c r="Y460" s="67" t="n"/>
      <c r="Z460" s="67" t="n"/>
      <c r="AA460" s="67" t="n"/>
      <c r="AB460" s="67" t="n"/>
      <c r="AC460" s="67" t="n"/>
      <c r="AD460" s="66" t="n"/>
      <c r="AE460" s="66" t="n"/>
      <c r="AF460" s="66" t="n"/>
      <c r="AG460" s="66" t="n"/>
      <c r="AH460" s="66" t="n"/>
      <c r="AI460" s="66" t="n"/>
      <c r="AJ460" s="66" t="n"/>
      <c r="AK460" s="66" t="n"/>
      <c r="AL460" s="66" t="n"/>
      <c r="AM460" s="66" t="n"/>
      <c r="AN460" s="66" t="n"/>
      <c r="AO460" s="66" t="n"/>
      <c r="AP460" s="66" t="n"/>
    </row>
    <row r="461">
      <c r="A461" s="66" t="n"/>
      <c r="B461" s="66" t="n"/>
      <c r="C461" s="66" t="n"/>
      <c r="D461" s="66" t="n"/>
      <c r="E461" s="67" t="n"/>
      <c r="F461" s="67" t="n"/>
      <c r="G461" s="68" t="n"/>
      <c r="H461" s="66" t="n"/>
      <c r="I461" s="66" t="n"/>
      <c r="J461" s="67" t="n"/>
      <c r="K461" s="67" t="n"/>
      <c r="L461" s="67" t="n"/>
      <c r="M461" s="28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7" t="n"/>
      <c r="X461" s="67" t="n"/>
      <c r="Y461" s="67" t="n"/>
      <c r="Z461" s="67" t="n"/>
      <c r="AA461" s="67" t="n"/>
      <c r="AB461" s="67" t="n"/>
      <c r="AC461" s="67" t="n"/>
      <c r="AD461" s="66" t="n"/>
      <c r="AE461" s="66" t="n"/>
      <c r="AF461" s="66" t="n"/>
      <c r="AG461" s="66" t="n"/>
      <c r="AH461" s="66" t="n"/>
      <c r="AI461" s="66" t="n"/>
      <c r="AJ461" s="66" t="n"/>
      <c r="AK461" s="66" t="n"/>
      <c r="AL461" s="66" t="n"/>
      <c r="AM461" s="66" t="n"/>
      <c r="AN461" s="66" t="n"/>
      <c r="AO461" s="66" t="n"/>
      <c r="AP461" s="66" t="n"/>
    </row>
    <row r="462">
      <c r="A462" s="66" t="n"/>
      <c r="B462" s="66" t="n"/>
      <c r="C462" s="66" t="n"/>
      <c r="D462" s="66" t="n"/>
      <c r="E462" s="67" t="n"/>
      <c r="F462" s="67" t="n"/>
      <c r="G462" s="68" t="n"/>
      <c r="H462" s="66" t="n"/>
      <c r="I462" s="66" t="n"/>
      <c r="J462" s="67" t="n"/>
      <c r="K462" s="67" t="n"/>
      <c r="L462" s="67" t="n"/>
      <c r="M462" s="28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7" t="n"/>
      <c r="X462" s="67" t="n"/>
      <c r="Y462" s="67" t="n"/>
      <c r="Z462" s="67" t="n"/>
      <c r="AA462" s="67" t="n"/>
      <c r="AB462" s="67" t="n"/>
      <c r="AC462" s="67" t="n"/>
      <c r="AD462" s="66" t="n"/>
      <c r="AE462" s="66" t="n"/>
      <c r="AF462" s="66" t="n"/>
      <c r="AG462" s="66" t="n"/>
      <c r="AH462" s="66" t="n"/>
      <c r="AI462" s="66" t="n"/>
      <c r="AJ462" s="66" t="n"/>
      <c r="AK462" s="66" t="n"/>
      <c r="AL462" s="66" t="n"/>
      <c r="AM462" s="66" t="n"/>
      <c r="AN462" s="66" t="n"/>
      <c r="AO462" s="66" t="n"/>
      <c r="AP462" s="66" t="n"/>
    </row>
    <row r="463">
      <c r="A463" s="66" t="n"/>
      <c r="B463" s="66" t="n"/>
      <c r="C463" s="66" t="n"/>
      <c r="D463" s="66" t="n"/>
      <c r="E463" s="67" t="n"/>
      <c r="F463" s="67" t="n"/>
      <c r="G463" s="68" t="n"/>
      <c r="H463" s="66" t="n"/>
      <c r="I463" s="66" t="n"/>
      <c r="J463" s="67" t="n"/>
      <c r="K463" s="67" t="n"/>
      <c r="L463" s="67" t="n"/>
      <c r="M463" s="28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7" t="n"/>
      <c r="X463" s="67" t="n"/>
      <c r="Y463" s="67" t="n"/>
      <c r="Z463" s="67" t="n"/>
      <c r="AA463" s="67" t="n"/>
      <c r="AB463" s="67" t="n"/>
      <c r="AC463" s="67" t="n"/>
      <c r="AD463" s="66" t="n"/>
      <c r="AE463" s="66" t="n"/>
      <c r="AF463" s="66" t="n"/>
      <c r="AG463" s="66" t="n"/>
      <c r="AH463" s="66" t="n"/>
      <c r="AI463" s="66" t="n"/>
      <c r="AJ463" s="66" t="n"/>
      <c r="AK463" s="66" t="n"/>
      <c r="AL463" s="66" t="n"/>
      <c r="AM463" s="66" t="n"/>
      <c r="AN463" s="66" t="n"/>
      <c r="AO463" s="66" t="n"/>
      <c r="AP463" s="66" t="n"/>
    </row>
    <row r="464">
      <c r="A464" s="66" t="n"/>
      <c r="B464" s="66" t="n"/>
      <c r="C464" s="66" t="n"/>
      <c r="D464" s="66" t="n"/>
      <c r="E464" s="67" t="n"/>
      <c r="F464" s="67" t="n"/>
      <c r="G464" s="68" t="n"/>
      <c r="H464" s="66" t="n"/>
      <c r="I464" s="66" t="n"/>
      <c r="J464" s="67" t="n"/>
      <c r="K464" s="67" t="n"/>
      <c r="L464" s="67" t="n"/>
      <c r="M464" s="28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7" t="n"/>
      <c r="X464" s="67" t="n"/>
      <c r="Y464" s="67" t="n"/>
      <c r="Z464" s="67" t="n"/>
      <c r="AA464" s="67" t="n"/>
      <c r="AB464" s="67" t="n"/>
      <c r="AC464" s="67" t="n"/>
      <c r="AD464" s="66" t="n"/>
      <c r="AE464" s="66" t="n"/>
      <c r="AF464" s="66" t="n"/>
      <c r="AG464" s="66" t="n"/>
      <c r="AH464" s="66" t="n"/>
      <c r="AI464" s="66" t="n"/>
      <c r="AJ464" s="66" t="n"/>
      <c r="AK464" s="66" t="n"/>
      <c r="AL464" s="66" t="n"/>
      <c r="AM464" s="66" t="n"/>
      <c r="AN464" s="66" t="n"/>
      <c r="AO464" s="66" t="n"/>
      <c r="AP464" s="66" t="n"/>
    </row>
    <row r="465">
      <c r="A465" s="66" t="n"/>
      <c r="B465" s="66" t="n"/>
      <c r="C465" s="66" t="n"/>
      <c r="D465" s="66" t="n"/>
      <c r="E465" s="67" t="n"/>
      <c r="F465" s="67" t="n"/>
      <c r="G465" s="68" t="n"/>
      <c r="H465" s="66" t="n"/>
      <c r="I465" s="66" t="n"/>
      <c r="J465" s="67" t="n"/>
      <c r="K465" s="67" t="n"/>
      <c r="L465" s="67" t="n"/>
      <c r="M465" s="28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7" t="n"/>
      <c r="X465" s="67" t="n"/>
      <c r="Y465" s="67" t="n"/>
      <c r="Z465" s="67" t="n"/>
      <c r="AA465" s="67" t="n"/>
      <c r="AB465" s="67" t="n"/>
      <c r="AC465" s="67" t="n"/>
      <c r="AD465" s="66" t="n"/>
      <c r="AE465" s="66" t="n"/>
      <c r="AF465" s="66" t="n"/>
      <c r="AG465" s="66" t="n"/>
      <c r="AH465" s="66" t="n"/>
      <c r="AI465" s="66" t="n"/>
      <c r="AJ465" s="66" t="n"/>
      <c r="AK465" s="66" t="n"/>
      <c r="AL465" s="66" t="n"/>
      <c r="AM465" s="66" t="n"/>
      <c r="AN465" s="66" t="n"/>
      <c r="AO465" s="66" t="n"/>
      <c r="AP465" s="66" t="n"/>
    </row>
    <row r="466">
      <c r="A466" s="66" t="n"/>
      <c r="B466" s="66" t="n"/>
      <c r="C466" s="66" t="n"/>
      <c r="D466" s="66" t="n"/>
      <c r="E466" s="67" t="n"/>
      <c r="F466" s="67" t="n"/>
      <c r="G466" s="68" t="n"/>
      <c r="H466" s="66" t="n"/>
      <c r="I466" s="66" t="n"/>
      <c r="J466" s="67" t="n"/>
      <c r="K466" s="67" t="n"/>
      <c r="L466" s="67" t="n"/>
      <c r="M466" s="28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7" t="n"/>
      <c r="X466" s="67" t="n"/>
      <c r="Y466" s="67" t="n"/>
      <c r="Z466" s="67" t="n"/>
      <c r="AA466" s="67" t="n"/>
      <c r="AB466" s="67" t="n"/>
      <c r="AC466" s="67" t="n"/>
      <c r="AD466" s="66" t="n"/>
      <c r="AE466" s="66" t="n"/>
      <c r="AF466" s="66" t="n"/>
      <c r="AG466" s="66" t="n"/>
      <c r="AH466" s="66" t="n"/>
      <c r="AI466" s="66" t="n"/>
      <c r="AJ466" s="66" t="n"/>
      <c r="AK466" s="66" t="n"/>
      <c r="AL466" s="66" t="n"/>
      <c r="AM466" s="66" t="n"/>
      <c r="AN466" s="66" t="n"/>
      <c r="AO466" s="66" t="n"/>
      <c r="AP466" s="66" t="n"/>
    </row>
    <row r="467">
      <c r="A467" s="66" t="n"/>
      <c r="B467" s="66" t="n"/>
      <c r="C467" s="66" t="n"/>
      <c r="D467" s="66" t="n"/>
      <c r="E467" s="67" t="n"/>
      <c r="F467" s="67" t="n"/>
      <c r="G467" s="68" t="n"/>
      <c r="H467" s="66" t="n"/>
      <c r="I467" s="66" t="n"/>
      <c r="J467" s="67" t="n"/>
      <c r="K467" s="67" t="n"/>
      <c r="L467" s="67" t="n"/>
      <c r="M467" s="28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7" t="n"/>
      <c r="X467" s="67" t="n"/>
      <c r="Y467" s="67" t="n"/>
      <c r="Z467" s="67" t="n"/>
      <c r="AA467" s="67" t="n"/>
      <c r="AB467" s="67" t="n"/>
      <c r="AC467" s="67" t="n"/>
      <c r="AD467" s="66" t="n"/>
      <c r="AE467" s="66" t="n"/>
      <c r="AF467" s="66" t="n"/>
      <c r="AG467" s="66" t="n"/>
      <c r="AH467" s="66" t="n"/>
      <c r="AI467" s="66" t="n"/>
      <c r="AJ467" s="66" t="n"/>
      <c r="AK467" s="66" t="n"/>
      <c r="AL467" s="66" t="n"/>
      <c r="AM467" s="66" t="n"/>
      <c r="AN467" s="66" t="n"/>
      <c r="AO467" s="66" t="n"/>
      <c r="AP467" s="66" t="n"/>
    </row>
    <row r="468">
      <c r="A468" s="66" t="n"/>
      <c r="B468" s="66" t="n"/>
      <c r="C468" s="66" t="n"/>
      <c r="D468" s="66" t="n"/>
      <c r="E468" s="67" t="n"/>
      <c r="F468" s="67" t="n"/>
      <c r="G468" s="68" t="n"/>
      <c r="H468" s="66" t="n"/>
      <c r="I468" s="66" t="n"/>
      <c r="J468" s="67" t="n"/>
      <c r="K468" s="67" t="n"/>
      <c r="L468" s="67" t="n"/>
      <c r="M468" s="28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7" t="n"/>
      <c r="X468" s="67" t="n"/>
      <c r="Y468" s="67" t="n"/>
      <c r="Z468" s="67" t="n"/>
      <c r="AA468" s="67" t="n"/>
      <c r="AB468" s="67" t="n"/>
      <c r="AC468" s="67" t="n"/>
      <c r="AD468" s="66" t="n"/>
      <c r="AE468" s="66" t="n"/>
      <c r="AF468" s="66" t="n"/>
      <c r="AG468" s="66" t="n"/>
      <c r="AH468" s="66" t="n"/>
      <c r="AI468" s="66" t="n"/>
      <c r="AJ468" s="66" t="n"/>
      <c r="AK468" s="66" t="n"/>
      <c r="AL468" s="66" t="n"/>
      <c r="AM468" s="66" t="n"/>
      <c r="AN468" s="66" t="n"/>
      <c r="AO468" s="66" t="n"/>
      <c r="AP468" s="66" t="n"/>
    </row>
    <row r="469">
      <c r="A469" s="66" t="n"/>
      <c r="B469" s="66" t="n"/>
      <c r="C469" s="66" t="n"/>
      <c r="D469" s="66" t="n"/>
      <c r="E469" s="67" t="n"/>
      <c r="F469" s="67" t="n"/>
      <c r="G469" s="68" t="n"/>
      <c r="H469" s="66" t="n"/>
      <c r="I469" s="66" t="n"/>
      <c r="J469" s="67" t="n"/>
      <c r="K469" s="67" t="n"/>
      <c r="L469" s="67" t="n"/>
      <c r="M469" s="28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7" t="n"/>
      <c r="X469" s="67" t="n"/>
      <c r="Y469" s="67" t="n"/>
      <c r="Z469" s="67" t="n"/>
      <c r="AA469" s="67" t="n"/>
      <c r="AB469" s="67" t="n"/>
      <c r="AC469" s="67" t="n"/>
      <c r="AD469" s="66" t="n"/>
      <c r="AE469" s="66" t="n"/>
      <c r="AF469" s="66" t="n"/>
      <c r="AG469" s="66" t="n"/>
      <c r="AH469" s="66" t="n"/>
      <c r="AI469" s="66" t="n"/>
      <c r="AJ469" s="66" t="n"/>
      <c r="AK469" s="66" t="n"/>
      <c r="AL469" s="66" t="n"/>
      <c r="AM469" s="66" t="n"/>
      <c r="AN469" s="66" t="n"/>
      <c r="AO469" s="66" t="n"/>
      <c r="AP469" s="66" t="n"/>
    </row>
    <row r="470">
      <c r="A470" s="66" t="n"/>
      <c r="B470" s="66" t="n"/>
      <c r="C470" s="66" t="n"/>
      <c r="D470" s="66" t="n"/>
      <c r="E470" s="67" t="n"/>
      <c r="F470" s="67" t="n"/>
      <c r="G470" s="68" t="n"/>
      <c r="H470" s="66" t="n"/>
      <c r="I470" s="66" t="n"/>
      <c r="J470" s="67" t="n"/>
      <c r="K470" s="67" t="n"/>
      <c r="L470" s="67" t="n"/>
      <c r="M470" s="28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7" t="n"/>
      <c r="X470" s="67" t="n"/>
      <c r="Y470" s="67" t="n"/>
      <c r="Z470" s="67" t="n"/>
      <c r="AA470" s="67" t="n"/>
      <c r="AB470" s="67" t="n"/>
      <c r="AC470" s="67" t="n"/>
      <c r="AD470" s="66" t="n"/>
      <c r="AE470" s="66" t="n"/>
      <c r="AF470" s="66" t="n"/>
      <c r="AG470" s="66" t="n"/>
      <c r="AH470" s="66" t="n"/>
      <c r="AI470" s="66" t="n"/>
      <c r="AJ470" s="66" t="n"/>
      <c r="AK470" s="66" t="n"/>
      <c r="AL470" s="66" t="n"/>
      <c r="AM470" s="66" t="n"/>
      <c r="AN470" s="66" t="n"/>
      <c r="AO470" s="66" t="n"/>
      <c r="AP470" s="66" t="n"/>
    </row>
    <row r="471">
      <c r="A471" s="66" t="n"/>
      <c r="B471" s="66" t="n"/>
      <c r="C471" s="66" t="n"/>
      <c r="D471" s="66" t="n"/>
      <c r="E471" s="67" t="n"/>
      <c r="F471" s="67" t="n"/>
      <c r="G471" s="68" t="n"/>
      <c r="H471" s="66" t="n"/>
      <c r="I471" s="66" t="n"/>
      <c r="J471" s="67" t="n"/>
      <c r="K471" s="67" t="n"/>
      <c r="L471" s="67" t="n"/>
      <c r="M471" s="28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7" t="n"/>
      <c r="X471" s="67" t="n"/>
      <c r="Y471" s="67" t="n"/>
      <c r="Z471" s="67" t="n"/>
      <c r="AA471" s="67" t="n"/>
      <c r="AB471" s="67" t="n"/>
      <c r="AC471" s="67" t="n"/>
      <c r="AD471" s="66" t="n"/>
      <c r="AE471" s="66" t="n"/>
      <c r="AF471" s="66" t="n"/>
      <c r="AG471" s="66" t="n"/>
      <c r="AH471" s="66" t="n"/>
      <c r="AI471" s="66" t="n"/>
      <c r="AJ471" s="66" t="n"/>
      <c r="AK471" s="66" t="n"/>
      <c r="AL471" s="66" t="n"/>
      <c r="AM471" s="66" t="n"/>
      <c r="AN471" s="66" t="n"/>
      <c r="AO471" s="66" t="n"/>
      <c r="AP471" s="66" t="n"/>
    </row>
    <row r="472">
      <c r="A472" s="66" t="n"/>
      <c r="B472" s="66" t="n"/>
      <c r="C472" s="66" t="n"/>
      <c r="D472" s="66" t="n"/>
      <c r="E472" s="67" t="n"/>
      <c r="F472" s="67" t="n"/>
      <c r="G472" s="68" t="n"/>
      <c r="H472" s="66" t="n"/>
      <c r="I472" s="66" t="n"/>
      <c r="J472" s="67" t="n"/>
      <c r="K472" s="67" t="n"/>
      <c r="L472" s="67" t="n"/>
      <c r="M472" s="28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7" t="n"/>
      <c r="X472" s="67" t="n"/>
      <c r="Y472" s="67" t="n"/>
      <c r="Z472" s="67" t="n"/>
      <c r="AA472" s="67" t="n"/>
      <c r="AB472" s="67" t="n"/>
      <c r="AC472" s="67" t="n"/>
      <c r="AD472" s="66" t="n"/>
      <c r="AE472" s="66" t="n"/>
      <c r="AF472" s="66" t="n"/>
      <c r="AG472" s="66" t="n"/>
      <c r="AH472" s="66" t="n"/>
      <c r="AI472" s="66" t="n"/>
      <c r="AJ472" s="66" t="n"/>
      <c r="AK472" s="66" t="n"/>
      <c r="AL472" s="66" t="n"/>
      <c r="AM472" s="66" t="n"/>
      <c r="AN472" s="66" t="n"/>
      <c r="AO472" s="66" t="n"/>
      <c r="AP472" s="66" t="n"/>
    </row>
    <row r="473">
      <c r="A473" s="66" t="n"/>
      <c r="B473" s="66" t="n"/>
      <c r="C473" s="66" t="n"/>
      <c r="D473" s="66" t="n"/>
      <c r="E473" s="67" t="n"/>
      <c r="F473" s="67" t="n"/>
      <c r="G473" s="68" t="n"/>
      <c r="H473" s="66" t="n"/>
      <c r="I473" s="66" t="n"/>
      <c r="J473" s="67" t="n"/>
      <c r="K473" s="67" t="n"/>
      <c r="L473" s="67" t="n"/>
      <c r="M473" s="28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7" t="n"/>
      <c r="X473" s="67" t="n"/>
      <c r="Y473" s="67" t="n"/>
      <c r="Z473" s="67" t="n"/>
      <c r="AA473" s="67" t="n"/>
      <c r="AB473" s="67" t="n"/>
      <c r="AC473" s="67" t="n"/>
      <c r="AD473" s="66" t="n"/>
      <c r="AE473" s="66" t="n"/>
      <c r="AF473" s="66" t="n"/>
      <c r="AG473" s="66" t="n"/>
      <c r="AH473" s="66" t="n"/>
      <c r="AI473" s="66" t="n"/>
      <c r="AJ473" s="66" t="n"/>
      <c r="AK473" s="66" t="n"/>
      <c r="AL473" s="66" t="n"/>
      <c r="AM473" s="66" t="n"/>
      <c r="AN473" s="66" t="n"/>
      <c r="AO473" s="66" t="n"/>
      <c r="AP473" s="66" t="n"/>
    </row>
    <row r="474">
      <c r="A474" s="66" t="n"/>
      <c r="B474" s="66" t="n"/>
      <c r="C474" s="66" t="n"/>
      <c r="D474" s="66" t="n"/>
      <c r="E474" s="67" t="n"/>
      <c r="F474" s="67" t="n"/>
      <c r="G474" s="68" t="n"/>
      <c r="H474" s="66" t="n"/>
      <c r="I474" s="66" t="n"/>
      <c r="J474" s="67" t="n"/>
      <c r="K474" s="67" t="n"/>
      <c r="L474" s="67" t="n"/>
      <c r="M474" s="28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7" t="n"/>
      <c r="X474" s="67" t="n"/>
      <c r="Y474" s="67" t="n"/>
      <c r="Z474" s="67" t="n"/>
      <c r="AA474" s="67" t="n"/>
      <c r="AB474" s="67" t="n"/>
      <c r="AC474" s="67" t="n"/>
      <c r="AD474" s="66" t="n"/>
      <c r="AE474" s="66" t="n"/>
      <c r="AF474" s="66" t="n"/>
      <c r="AG474" s="66" t="n"/>
      <c r="AH474" s="66" t="n"/>
      <c r="AI474" s="66" t="n"/>
      <c r="AJ474" s="66" t="n"/>
      <c r="AK474" s="66" t="n"/>
      <c r="AL474" s="66" t="n"/>
      <c r="AM474" s="66" t="n"/>
      <c r="AN474" s="66" t="n"/>
      <c r="AO474" s="66" t="n"/>
      <c r="AP474" s="66" t="n"/>
    </row>
    <row r="475">
      <c r="A475" s="66" t="n"/>
      <c r="B475" s="66" t="n"/>
      <c r="C475" s="66" t="n"/>
      <c r="D475" s="66" t="n"/>
      <c r="E475" s="67" t="n"/>
      <c r="F475" s="67" t="n"/>
      <c r="G475" s="68" t="n"/>
      <c r="H475" s="66" t="n"/>
      <c r="I475" s="66" t="n"/>
      <c r="J475" s="67" t="n"/>
      <c r="K475" s="67" t="n"/>
      <c r="L475" s="67" t="n"/>
      <c r="M475" s="28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7" t="n"/>
      <c r="X475" s="67" t="n"/>
      <c r="Y475" s="67" t="n"/>
      <c r="Z475" s="67" t="n"/>
      <c r="AA475" s="67" t="n"/>
      <c r="AB475" s="67" t="n"/>
      <c r="AC475" s="67" t="n"/>
      <c r="AD475" s="66" t="n"/>
      <c r="AE475" s="66" t="n"/>
      <c r="AF475" s="66" t="n"/>
      <c r="AG475" s="66" t="n"/>
      <c r="AH475" s="66" t="n"/>
      <c r="AI475" s="66" t="n"/>
      <c r="AJ475" s="66" t="n"/>
      <c r="AK475" s="66" t="n"/>
      <c r="AL475" s="66" t="n"/>
      <c r="AM475" s="66" t="n"/>
      <c r="AN475" s="66" t="n"/>
      <c r="AO475" s="66" t="n"/>
      <c r="AP475" s="66" t="n"/>
    </row>
    <row r="476">
      <c r="A476" s="66" t="n"/>
      <c r="B476" s="66" t="n"/>
      <c r="C476" s="66" t="n"/>
      <c r="D476" s="66" t="n"/>
      <c r="E476" s="67" t="n"/>
      <c r="F476" s="67" t="n"/>
      <c r="G476" s="68" t="n"/>
      <c r="H476" s="66" t="n"/>
      <c r="I476" s="66" t="n"/>
      <c r="J476" s="67" t="n"/>
      <c r="K476" s="67" t="n"/>
      <c r="L476" s="67" t="n"/>
      <c r="M476" s="28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7" t="n"/>
      <c r="X476" s="67" t="n"/>
      <c r="Y476" s="67" t="n"/>
      <c r="Z476" s="67" t="n"/>
      <c r="AA476" s="67" t="n"/>
      <c r="AB476" s="67" t="n"/>
      <c r="AC476" s="67" t="n"/>
      <c r="AD476" s="66" t="n"/>
      <c r="AE476" s="66" t="n"/>
      <c r="AF476" s="66" t="n"/>
      <c r="AG476" s="66" t="n"/>
      <c r="AH476" s="66" t="n"/>
      <c r="AI476" s="66" t="n"/>
      <c r="AJ476" s="66" t="n"/>
      <c r="AK476" s="66" t="n"/>
      <c r="AL476" s="66" t="n"/>
      <c r="AM476" s="66" t="n"/>
      <c r="AN476" s="66" t="n"/>
      <c r="AO476" s="66" t="n"/>
      <c r="AP476" s="66" t="n"/>
    </row>
    <row r="477">
      <c r="A477" s="66" t="n"/>
      <c r="B477" s="66" t="n"/>
      <c r="C477" s="66" t="n"/>
      <c r="D477" s="66" t="n"/>
      <c r="E477" s="67" t="n"/>
      <c r="F477" s="67" t="n"/>
      <c r="G477" s="68" t="n"/>
      <c r="H477" s="66" t="n"/>
      <c r="I477" s="66" t="n"/>
      <c r="J477" s="67" t="n"/>
      <c r="K477" s="67" t="n"/>
      <c r="L477" s="67" t="n"/>
      <c r="M477" s="28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7" t="n"/>
      <c r="X477" s="67" t="n"/>
      <c r="Y477" s="67" t="n"/>
      <c r="Z477" s="67" t="n"/>
      <c r="AA477" s="67" t="n"/>
      <c r="AB477" s="67" t="n"/>
      <c r="AC477" s="67" t="n"/>
      <c r="AD477" s="66" t="n"/>
      <c r="AE477" s="66" t="n"/>
      <c r="AF477" s="66" t="n"/>
      <c r="AG477" s="66" t="n"/>
      <c r="AH477" s="66" t="n"/>
      <c r="AI477" s="66" t="n"/>
      <c r="AJ477" s="66" t="n"/>
      <c r="AK477" s="66" t="n"/>
      <c r="AL477" s="66" t="n"/>
      <c r="AM477" s="66" t="n"/>
      <c r="AN477" s="66" t="n"/>
      <c r="AO477" s="66" t="n"/>
      <c r="AP477" s="66" t="n"/>
    </row>
    <row r="478">
      <c r="A478" s="66" t="n"/>
      <c r="B478" s="66" t="n"/>
      <c r="C478" s="66" t="n"/>
      <c r="D478" s="66" t="n"/>
      <c r="E478" s="67" t="n"/>
      <c r="F478" s="67" t="n"/>
      <c r="G478" s="68" t="n"/>
      <c r="H478" s="66" t="n"/>
      <c r="I478" s="66" t="n"/>
      <c r="J478" s="67" t="n"/>
      <c r="K478" s="67" t="n"/>
      <c r="L478" s="67" t="n"/>
      <c r="M478" s="28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7" t="n"/>
      <c r="X478" s="67" t="n"/>
      <c r="Y478" s="67" t="n"/>
      <c r="Z478" s="67" t="n"/>
      <c r="AA478" s="67" t="n"/>
      <c r="AB478" s="67" t="n"/>
      <c r="AC478" s="67" t="n"/>
      <c r="AD478" s="66" t="n"/>
      <c r="AE478" s="66" t="n"/>
      <c r="AF478" s="66" t="n"/>
      <c r="AG478" s="66" t="n"/>
      <c r="AH478" s="66" t="n"/>
      <c r="AI478" s="66" t="n"/>
      <c r="AJ478" s="66" t="n"/>
      <c r="AK478" s="66" t="n"/>
      <c r="AL478" s="66" t="n"/>
      <c r="AM478" s="66" t="n"/>
      <c r="AN478" s="66" t="n"/>
      <c r="AO478" s="66" t="n"/>
      <c r="AP478" s="66" t="n"/>
    </row>
    <row r="479">
      <c r="A479" s="66" t="n"/>
      <c r="B479" s="66" t="n"/>
      <c r="C479" s="66" t="n"/>
      <c r="D479" s="66" t="n"/>
      <c r="E479" s="67" t="n"/>
      <c r="F479" s="67" t="n"/>
      <c r="G479" s="68" t="n"/>
      <c r="H479" s="66" t="n"/>
      <c r="I479" s="66" t="n"/>
      <c r="J479" s="67" t="n"/>
      <c r="K479" s="67" t="n"/>
      <c r="L479" s="67" t="n"/>
      <c r="M479" s="28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7" t="n"/>
      <c r="X479" s="67" t="n"/>
      <c r="Y479" s="67" t="n"/>
      <c r="Z479" s="67" t="n"/>
      <c r="AA479" s="67" t="n"/>
      <c r="AB479" s="67" t="n"/>
      <c r="AC479" s="67" t="n"/>
      <c r="AD479" s="66" t="n"/>
      <c r="AE479" s="66" t="n"/>
      <c r="AF479" s="66" t="n"/>
      <c r="AG479" s="66" t="n"/>
      <c r="AH479" s="66" t="n"/>
      <c r="AI479" s="66" t="n"/>
      <c r="AJ479" s="66" t="n"/>
      <c r="AK479" s="66" t="n"/>
      <c r="AL479" s="66" t="n"/>
      <c r="AM479" s="66" t="n"/>
      <c r="AN479" s="66" t="n"/>
      <c r="AO479" s="66" t="n"/>
      <c r="AP479" s="66" t="n"/>
    </row>
    <row r="480">
      <c r="A480" s="66" t="n"/>
      <c r="B480" s="66" t="n"/>
      <c r="C480" s="66" t="n"/>
      <c r="D480" s="66" t="n"/>
      <c r="E480" s="67" t="n"/>
      <c r="F480" s="67" t="n"/>
      <c r="G480" s="68" t="n"/>
      <c r="H480" s="66" t="n"/>
      <c r="I480" s="66" t="n"/>
      <c r="J480" s="67" t="n"/>
      <c r="K480" s="67" t="n"/>
      <c r="L480" s="67" t="n"/>
      <c r="M480" s="28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7" t="n"/>
      <c r="X480" s="67" t="n"/>
      <c r="Y480" s="67" t="n"/>
      <c r="Z480" s="67" t="n"/>
      <c r="AA480" s="67" t="n"/>
      <c r="AB480" s="67" t="n"/>
      <c r="AC480" s="67" t="n"/>
      <c r="AD480" s="66" t="n"/>
      <c r="AE480" s="66" t="n"/>
      <c r="AF480" s="66" t="n"/>
      <c r="AG480" s="66" t="n"/>
      <c r="AH480" s="66" t="n"/>
      <c r="AI480" s="66" t="n"/>
      <c r="AJ480" s="66" t="n"/>
      <c r="AK480" s="66" t="n"/>
      <c r="AL480" s="66" t="n"/>
      <c r="AM480" s="66" t="n"/>
      <c r="AN480" s="66" t="n"/>
      <c r="AO480" s="66" t="n"/>
      <c r="AP480" s="66" t="n"/>
    </row>
    <row r="481">
      <c r="A481" s="66" t="n"/>
      <c r="B481" s="66" t="n"/>
      <c r="C481" s="66" t="n"/>
      <c r="D481" s="66" t="n"/>
      <c r="E481" s="67" t="n"/>
      <c r="F481" s="67" t="n"/>
      <c r="G481" s="68" t="n"/>
      <c r="H481" s="66" t="n"/>
      <c r="I481" s="66" t="n"/>
      <c r="J481" s="67" t="n"/>
      <c r="K481" s="67" t="n"/>
      <c r="L481" s="67" t="n"/>
      <c r="M481" s="28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7" t="n"/>
      <c r="X481" s="67" t="n"/>
      <c r="Y481" s="67" t="n"/>
      <c r="Z481" s="67" t="n"/>
      <c r="AA481" s="67" t="n"/>
      <c r="AB481" s="67" t="n"/>
      <c r="AC481" s="67" t="n"/>
      <c r="AD481" s="66" t="n"/>
      <c r="AE481" s="66" t="n"/>
      <c r="AF481" s="66" t="n"/>
      <c r="AG481" s="66" t="n"/>
      <c r="AH481" s="66" t="n"/>
      <c r="AI481" s="66" t="n"/>
      <c r="AJ481" s="66" t="n"/>
      <c r="AK481" s="66" t="n"/>
      <c r="AL481" s="66" t="n"/>
      <c r="AM481" s="66" t="n"/>
      <c r="AN481" s="66" t="n"/>
      <c r="AO481" s="66" t="n"/>
      <c r="AP481" s="66" t="n"/>
    </row>
    <row r="482">
      <c r="A482" s="66" t="n"/>
      <c r="B482" s="66" t="n"/>
      <c r="C482" s="66" t="n"/>
      <c r="D482" s="66" t="n"/>
      <c r="E482" s="67" t="n"/>
      <c r="F482" s="67" t="n"/>
      <c r="G482" s="68" t="n"/>
      <c r="H482" s="66" t="n"/>
      <c r="I482" s="66" t="n"/>
      <c r="J482" s="67" t="n"/>
      <c r="K482" s="67" t="n"/>
      <c r="L482" s="67" t="n"/>
      <c r="M482" s="28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7" t="n"/>
      <c r="X482" s="67" t="n"/>
      <c r="Y482" s="67" t="n"/>
      <c r="Z482" s="67" t="n"/>
      <c r="AA482" s="67" t="n"/>
      <c r="AB482" s="67" t="n"/>
      <c r="AC482" s="67" t="n"/>
      <c r="AD482" s="66" t="n"/>
      <c r="AE482" s="66" t="n"/>
      <c r="AF482" s="66" t="n"/>
      <c r="AG482" s="66" t="n"/>
      <c r="AH482" s="66" t="n"/>
      <c r="AI482" s="66" t="n"/>
      <c r="AJ482" s="66" t="n"/>
      <c r="AK482" s="66" t="n"/>
      <c r="AL482" s="66" t="n"/>
      <c r="AM482" s="66" t="n"/>
      <c r="AN482" s="66" t="n"/>
      <c r="AO482" s="66" t="n"/>
      <c r="AP482" s="66" t="n"/>
    </row>
    <row r="483">
      <c r="A483" s="66" t="n"/>
      <c r="B483" s="66" t="n"/>
      <c r="C483" s="66" t="n"/>
      <c r="D483" s="66" t="n"/>
      <c r="E483" s="67" t="n"/>
      <c r="F483" s="67" t="n"/>
      <c r="G483" s="68" t="n"/>
      <c r="H483" s="66" t="n"/>
      <c r="I483" s="66" t="n"/>
      <c r="J483" s="67" t="n"/>
      <c r="K483" s="67" t="n"/>
      <c r="L483" s="67" t="n"/>
      <c r="M483" s="28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7" t="n"/>
      <c r="X483" s="67" t="n"/>
      <c r="Y483" s="67" t="n"/>
      <c r="Z483" s="67" t="n"/>
      <c r="AA483" s="67" t="n"/>
      <c r="AB483" s="67" t="n"/>
      <c r="AC483" s="67" t="n"/>
      <c r="AD483" s="66" t="n"/>
      <c r="AE483" s="66" t="n"/>
      <c r="AF483" s="66" t="n"/>
      <c r="AG483" s="66" t="n"/>
      <c r="AH483" s="66" t="n"/>
      <c r="AI483" s="66" t="n"/>
      <c r="AJ483" s="66" t="n"/>
      <c r="AK483" s="66" t="n"/>
      <c r="AL483" s="66" t="n"/>
      <c r="AM483" s="66" t="n"/>
      <c r="AN483" s="66" t="n"/>
      <c r="AO483" s="66" t="n"/>
      <c r="AP483" s="66" t="n"/>
    </row>
    <row r="484">
      <c r="A484" s="66" t="n"/>
      <c r="B484" s="66" t="n"/>
      <c r="C484" s="66" t="n"/>
      <c r="D484" s="66" t="n"/>
      <c r="E484" s="67" t="n"/>
      <c r="F484" s="67" t="n"/>
      <c r="G484" s="68" t="n"/>
      <c r="H484" s="66" t="n"/>
      <c r="I484" s="66" t="n"/>
      <c r="J484" s="67" t="n"/>
      <c r="K484" s="67" t="n"/>
      <c r="L484" s="67" t="n"/>
      <c r="M484" s="28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7" t="n"/>
      <c r="X484" s="67" t="n"/>
      <c r="Y484" s="67" t="n"/>
      <c r="Z484" s="67" t="n"/>
      <c r="AA484" s="67" t="n"/>
      <c r="AB484" s="67" t="n"/>
      <c r="AC484" s="67" t="n"/>
      <c r="AD484" s="66" t="n"/>
      <c r="AE484" s="66" t="n"/>
      <c r="AF484" s="66" t="n"/>
      <c r="AG484" s="66" t="n"/>
      <c r="AH484" s="66" t="n"/>
      <c r="AI484" s="66" t="n"/>
      <c r="AJ484" s="66" t="n"/>
      <c r="AK484" s="66" t="n"/>
      <c r="AL484" s="66" t="n"/>
      <c r="AM484" s="66" t="n"/>
      <c r="AN484" s="66" t="n"/>
      <c r="AO484" s="66" t="n"/>
      <c r="AP484" s="66" t="n"/>
    </row>
    <row r="485">
      <c r="A485" s="66" t="n"/>
      <c r="B485" s="66" t="n"/>
      <c r="C485" s="66" t="n"/>
      <c r="D485" s="66" t="n"/>
      <c r="E485" s="67" t="n"/>
      <c r="F485" s="67" t="n"/>
      <c r="G485" s="68" t="n"/>
      <c r="H485" s="66" t="n"/>
      <c r="I485" s="66" t="n"/>
      <c r="J485" s="67" t="n"/>
      <c r="K485" s="67" t="n"/>
      <c r="L485" s="67" t="n"/>
      <c r="M485" s="28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7" t="n"/>
      <c r="X485" s="67" t="n"/>
      <c r="Y485" s="67" t="n"/>
      <c r="Z485" s="67" t="n"/>
      <c r="AA485" s="67" t="n"/>
      <c r="AB485" s="67" t="n"/>
      <c r="AC485" s="67" t="n"/>
      <c r="AD485" s="66" t="n"/>
      <c r="AE485" s="66" t="n"/>
      <c r="AF485" s="66" t="n"/>
      <c r="AG485" s="66" t="n"/>
      <c r="AH485" s="66" t="n"/>
      <c r="AI485" s="66" t="n"/>
      <c r="AJ485" s="66" t="n"/>
      <c r="AK485" s="66" t="n"/>
      <c r="AL485" s="66" t="n"/>
      <c r="AM485" s="66" t="n"/>
      <c r="AN485" s="66" t="n"/>
      <c r="AO485" s="66" t="n"/>
      <c r="AP485" s="66" t="n"/>
    </row>
    <row r="486">
      <c r="A486" s="66" t="n"/>
      <c r="B486" s="66" t="n"/>
      <c r="C486" s="66" t="n"/>
      <c r="D486" s="66" t="n"/>
      <c r="E486" s="67" t="n"/>
      <c r="F486" s="67" t="n"/>
      <c r="G486" s="68" t="n"/>
      <c r="H486" s="66" t="n"/>
      <c r="I486" s="66" t="n"/>
      <c r="J486" s="67" t="n"/>
      <c r="K486" s="67" t="n"/>
      <c r="L486" s="67" t="n"/>
      <c r="M486" s="28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7" t="n"/>
      <c r="X486" s="67" t="n"/>
      <c r="Y486" s="67" t="n"/>
      <c r="Z486" s="67" t="n"/>
      <c r="AA486" s="67" t="n"/>
      <c r="AB486" s="67" t="n"/>
      <c r="AC486" s="67" t="n"/>
      <c r="AD486" s="66" t="n"/>
      <c r="AE486" s="66" t="n"/>
      <c r="AF486" s="66" t="n"/>
      <c r="AG486" s="66" t="n"/>
      <c r="AH486" s="66" t="n"/>
      <c r="AI486" s="66" t="n"/>
      <c r="AJ486" s="66" t="n"/>
      <c r="AK486" s="66" t="n"/>
      <c r="AL486" s="66" t="n"/>
      <c r="AM486" s="66" t="n"/>
      <c r="AN486" s="66" t="n"/>
      <c r="AO486" s="66" t="n"/>
      <c r="AP486" s="66" t="n"/>
    </row>
    <row r="487">
      <c r="A487" s="66" t="n"/>
      <c r="B487" s="66" t="n"/>
      <c r="C487" s="66" t="n"/>
      <c r="D487" s="66" t="n"/>
      <c r="E487" s="67" t="n"/>
      <c r="F487" s="67" t="n"/>
      <c r="G487" s="68" t="n"/>
      <c r="H487" s="66" t="n"/>
      <c r="I487" s="66" t="n"/>
      <c r="J487" s="67" t="n"/>
      <c r="K487" s="67" t="n"/>
      <c r="L487" s="67" t="n"/>
      <c r="M487" s="28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7" t="n"/>
      <c r="X487" s="67" t="n"/>
      <c r="Y487" s="67" t="n"/>
      <c r="Z487" s="67" t="n"/>
      <c r="AA487" s="67" t="n"/>
      <c r="AB487" s="67" t="n"/>
      <c r="AC487" s="67" t="n"/>
      <c r="AD487" s="66" t="n"/>
      <c r="AE487" s="66" t="n"/>
      <c r="AF487" s="66" t="n"/>
      <c r="AG487" s="66" t="n"/>
      <c r="AH487" s="66" t="n"/>
      <c r="AI487" s="66" t="n"/>
      <c r="AJ487" s="66" t="n"/>
      <c r="AK487" s="66" t="n"/>
      <c r="AL487" s="66" t="n"/>
      <c r="AM487" s="66" t="n"/>
      <c r="AN487" s="66" t="n"/>
      <c r="AO487" s="66" t="n"/>
      <c r="AP487" s="66" t="n"/>
    </row>
    <row r="488">
      <c r="A488" s="66" t="n"/>
      <c r="B488" s="66" t="n"/>
      <c r="C488" s="66" t="n"/>
      <c r="D488" s="66" t="n"/>
      <c r="E488" s="67" t="n"/>
      <c r="F488" s="67" t="n"/>
      <c r="G488" s="68" t="n"/>
      <c r="H488" s="66" t="n"/>
      <c r="I488" s="66" t="n"/>
      <c r="J488" s="67" t="n"/>
      <c r="K488" s="67" t="n"/>
      <c r="L488" s="67" t="n"/>
      <c r="M488" s="28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7" t="n"/>
      <c r="X488" s="67" t="n"/>
      <c r="Y488" s="67" t="n"/>
      <c r="Z488" s="67" t="n"/>
      <c r="AA488" s="67" t="n"/>
      <c r="AB488" s="67" t="n"/>
      <c r="AC488" s="67" t="n"/>
      <c r="AD488" s="66" t="n"/>
      <c r="AE488" s="66" t="n"/>
      <c r="AF488" s="66" t="n"/>
      <c r="AG488" s="66" t="n"/>
      <c r="AH488" s="66" t="n"/>
      <c r="AI488" s="66" t="n"/>
      <c r="AJ488" s="66" t="n"/>
      <c r="AK488" s="66" t="n"/>
      <c r="AL488" s="66" t="n"/>
      <c r="AM488" s="66" t="n"/>
      <c r="AN488" s="66" t="n"/>
      <c r="AO488" s="66" t="n"/>
      <c r="AP488" s="66" t="n"/>
    </row>
    <row r="489">
      <c r="A489" s="66" t="n"/>
      <c r="B489" s="66" t="n"/>
      <c r="C489" s="66" t="n"/>
      <c r="D489" s="66" t="n"/>
      <c r="E489" s="67" t="n"/>
      <c r="F489" s="67" t="n"/>
      <c r="G489" s="68" t="n"/>
      <c r="H489" s="66" t="n"/>
      <c r="I489" s="66" t="n"/>
      <c r="J489" s="67" t="n"/>
      <c r="K489" s="67" t="n"/>
      <c r="L489" s="67" t="n"/>
      <c r="M489" s="28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7" t="n"/>
      <c r="X489" s="67" t="n"/>
      <c r="Y489" s="67" t="n"/>
      <c r="Z489" s="67" t="n"/>
      <c r="AA489" s="67" t="n"/>
      <c r="AB489" s="67" t="n"/>
      <c r="AC489" s="67" t="n"/>
      <c r="AD489" s="66" t="n"/>
      <c r="AE489" s="66" t="n"/>
      <c r="AF489" s="66" t="n"/>
      <c r="AG489" s="66" t="n"/>
      <c r="AH489" s="66" t="n"/>
      <c r="AI489" s="66" t="n"/>
      <c r="AJ489" s="66" t="n"/>
      <c r="AK489" s="66" t="n"/>
      <c r="AL489" s="66" t="n"/>
      <c r="AM489" s="66" t="n"/>
      <c r="AN489" s="66" t="n"/>
      <c r="AO489" s="66" t="n"/>
      <c r="AP489" s="66" t="n"/>
    </row>
    <row r="490">
      <c r="A490" s="66" t="n"/>
      <c r="B490" s="66" t="n"/>
      <c r="C490" s="66" t="n"/>
      <c r="D490" s="66" t="n"/>
      <c r="E490" s="67" t="n"/>
      <c r="F490" s="67" t="n"/>
      <c r="G490" s="68" t="n"/>
      <c r="H490" s="66" t="n"/>
      <c r="I490" s="66" t="n"/>
      <c r="J490" s="67" t="n"/>
      <c r="K490" s="67" t="n"/>
      <c r="L490" s="67" t="n"/>
      <c r="M490" s="28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7" t="n"/>
      <c r="X490" s="67" t="n"/>
      <c r="Y490" s="67" t="n"/>
      <c r="Z490" s="67" t="n"/>
      <c r="AA490" s="67" t="n"/>
      <c r="AB490" s="67" t="n"/>
      <c r="AC490" s="67" t="n"/>
      <c r="AD490" s="66" t="n"/>
      <c r="AE490" s="66" t="n"/>
      <c r="AF490" s="66" t="n"/>
      <c r="AG490" s="66" t="n"/>
      <c r="AH490" s="66" t="n"/>
      <c r="AI490" s="66" t="n"/>
      <c r="AJ490" s="66" t="n"/>
      <c r="AK490" s="66" t="n"/>
      <c r="AL490" s="66" t="n"/>
      <c r="AM490" s="66" t="n"/>
      <c r="AN490" s="66" t="n"/>
      <c r="AO490" s="66" t="n"/>
      <c r="AP490" s="66" t="n"/>
    </row>
    <row r="491">
      <c r="A491" s="66" t="n"/>
      <c r="B491" s="66" t="n"/>
      <c r="C491" s="66" t="n"/>
      <c r="D491" s="66" t="n"/>
      <c r="E491" s="67" t="n"/>
      <c r="F491" s="67" t="n"/>
      <c r="G491" s="68" t="n"/>
      <c r="H491" s="66" t="n"/>
      <c r="I491" s="66" t="n"/>
      <c r="J491" s="67" t="n"/>
      <c r="K491" s="67" t="n"/>
      <c r="L491" s="67" t="n"/>
      <c r="M491" s="28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7" t="n"/>
      <c r="X491" s="67" t="n"/>
      <c r="Y491" s="67" t="n"/>
      <c r="Z491" s="67" t="n"/>
      <c r="AA491" s="67" t="n"/>
      <c r="AB491" s="67" t="n"/>
      <c r="AC491" s="67" t="n"/>
      <c r="AD491" s="66" t="n"/>
      <c r="AE491" s="66" t="n"/>
      <c r="AF491" s="66" t="n"/>
      <c r="AG491" s="66" t="n"/>
      <c r="AH491" s="66" t="n"/>
      <c r="AI491" s="66" t="n"/>
      <c r="AJ491" s="66" t="n"/>
      <c r="AK491" s="66" t="n"/>
      <c r="AL491" s="66" t="n"/>
      <c r="AM491" s="66" t="n"/>
      <c r="AN491" s="66" t="n"/>
      <c r="AO491" s="66" t="n"/>
      <c r="AP491" s="66" t="n"/>
    </row>
    <row r="492">
      <c r="A492" s="66" t="n"/>
      <c r="B492" s="66" t="n"/>
      <c r="C492" s="66" t="n"/>
      <c r="D492" s="66" t="n"/>
      <c r="E492" s="67" t="n"/>
      <c r="F492" s="67" t="n"/>
      <c r="G492" s="68" t="n"/>
      <c r="H492" s="66" t="n"/>
      <c r="I492" s="66" t="n"/>
      <c r="J492" s="67" t="n"/>
      <c r="K492" s="67" t="n"/>
      <c r="L492" s="67" t="n"/>
      <c r="M492" s="28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7" t="n"/>
      <c r="X492" s="67" t="n"/>
      <c r="Y492" s="67" t="n"/>
      <c r="Z492" s="67" t="n"/>
      <c r="AA492" s="67" t="n"/>
      <c r="AB492" s="67" t="n"/>
      <c r="AC492" s="67" t="n"/>
      <c r="AD492" s="66" t="n"/>
      <c r="AE492" s="66" t="n"/>
      <c r="AF492" s="66" t="n"/>
      <c r="AG492" s="66" t="n"/>
      <c r="AH492" s="66" t="n"/>
      <c r="AI492" s="66" t="n"/>
      <c r="AJ492" s="66" t="n"/>
      <c r="AK492" s="66" t="n"/>
      <c r="AL492" s="66" t="n"/>
      <c r="AM492" s="66" t="n"/>
      <c r="AN492" s="66" t="n"/>
      <c r="AO492" s="66" t="n"/>
      <c r="AP492" s="66" t="n"/>
    </row>
    <row r="493">
      <c r="A493" s="66" t="n"/>
      <c r="B493" s="66" t="n"/>
      <c r="C493" s="66" t="n"/>
      <c r="D493" s="66" t="n"/>
      <c r="E493" s="67" t="n"/>
      <c r="F493" s="67" t="n"/>
      <c r="G493" s="68" t="n"/>
      <c r="H493" s="66" t="n"/>
      <c r="I493" s="66" t="n"/>
      <c r="J493" s="67" t="n"/>
      <c r="K493" s="67" t="n"/>
      <c r="L493" s="67" t="n"/>
      <c r="M493" s="28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7" t="n"/>
      <c r="X493" s="67" t="n"/>
      <c r="Y493" s="67" t="n"/>
      <c r="Z493" s="67" t="n"/>
      <c r="AA493" s="67" t="n"/>
      <c r="AB493" s="67" t="n"/>
      <c r="AC493" s="67" t="n"/>
      <c r="AD493" s="66" t="n"/>
      <c r="AE493" s="66" t="n"/>
      <c r="AF493" s="66" t="n"/>
      <c r="AG493" s="66" t="n"/>
      <c r="AH493" s="66" t="n"/>
      <c r="AI493" s="66" t="n"/>
      <c r="AJ493" s="66" t="n"/>
      <c r="AK493" s="66" t="n"/>
      <c r="AL493" s="66" t="n"/>
      <c r="AM493" s="66" t="n"/>
      <c r="AN493" s="66" t="n"/>
      <c r="AO493" s="66" t="n"/>
      <c r="AP493" s="66" t="n"/>
    </row>
    <row r="494">
      <c r="A494" s="66" t="n"/>
      <c r="B494" s="66" t="n"/>
      <c r="C494" s="66" t="n"/>
      <c r="D494" s="66" t="n"/>
      <c r="E494" s="67" t="n"/>
      <c r="F494" s="67" t="n"/>
      <c r="G494" s="68" t="n"/>
      <c r="H494" s="66" t="n"/>
      <c r="I494" s="66" t="n"/>
      <c r="J494" s="67" t="n"/>
      <c r="K494" s="67" t="n"/>
      <c r="L494" s="67" t="n"/>
      <c r="M494" s="28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7" t="n"/>
      <c r="X494" s="67" t="n"/>
      <c r="Y494" s="67" t="n"/>
      <c r="Z494" s="67" t="n"/>
      <c r="AA494" s="67" t="n"/>
      <c r="AB494" s="67" t="n"/>
      <c r="AC494" s="67" t="n"/>
      <c r="AD494" s="66" t="n"/>
      <c r="AE494" s="66" t="n"/>
      <c r="AF494" s="66" t="n"/>
      <c r="AG494" s="66" t="n"/>
      <c r="AH494" s="66" t="n"/>
      <c r="AI494" s="66" t="n"/>
      <c r="AJ494" s="66" t="n"/>
      <c r="AK494" s="66" t="n"/>
      <c r="AL494" s="66" t="n"/>
      <c r="AM494" s="66" t="n"/>
      <c r="AN494" s="66" t="n"/>
      <c r="AO494" s="66" t="n"/>
      <c r="AP494" s="66" t="n"/>
    </row>
    <row r="495">
      <c r="A495" s="66" t="n"/>
      <c r="B495" s="66" t="n"/>
      <c r="C495" s="66" t="n"/>
      <c r="D495" s="66" t="n"/>
      <c r="E495" s="67" t="n"/>
      <c r="F495" s="67" t="n"/>
      <c r="G495" s="68" t="n"/>
      <c r="H495" s="66" t="n"/>
      <c r="I495" s="66" t="n"/>
      <c r="J495" s="67" t="n"/>
      <c r="K495" s="67" t="n"/>
      <c r="L495" s="67" t="n"/>
      <c r="M495" s="28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7" t="n"/>
      <c r="X495" s="67" t="n"/>
      <c r="Y495" s="67" t="n"/>
      <c r="Z495" s="67" t="n"/>
      <c r="AA495" s="67" t="n"/>
      <c r="AB495" s="67" t="n"/>
      <c r="AC495" s="67" t="n"/>
      <c r="AD495" s="66" t="n"/>
      <c r="AE495" s="66" t="n"/>
      <c r="AF495" s="66" t="n"/>
      <c r="AG495" s="66" t="n"/>
      <c r="AH495" s="66" t="n"/>
      <c r="AI495" s="66" t="n"/>
      <c r="AJ495" s="66" t="n"/>
      <c r="AK495" s="66" t="n"/>
      <c r="AL495" s="66" t="n"/>
      <c r="AM495" s="66" t="n"/>
      <c r="AN495" s="66" t="n"/>
      <c r="AO495" s="66" t="n"/>
      <c r="AP495" s="66" t="n"/>
    </row>
    <row r="496">
      <c r="A496" s="66" t="n"/>
      <c r="B496" s="66" t="n"/>
      <c r="C496" s="66" t="n"/>
      <c r="D496" s="66" t="n"/>
      <c r="E496" s="67" t="n"/>
      <c r="F496" s="67" t="n"/>
      <c r="G496" s="68" t="n"/>
      <c r="H496" s="66" t="n"/>
      <c r="I496" s="66" t="n"/>
      <c r="J496" s="67" t="n"/>
      <c r="K496" s="67" t="n"/>
      <c r="L496" s="67" t="n"/>
      <c r="M496" s="28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7" t="n"/>
      <c r="X496" s="67" t="n"/>
      <c r="Y496" s="67" t="n"/>
      <c r="Z496" s="67" t="n"/>
      <c r="AA496" s="67" t="n"/>
      <c r="AB496" s="67" t="n"/>
      <c r="AC496" s="67" t="n"/>
      <c r="AD496" s="66" t="n"/>
      <c r="AE496" s="66" t="n"/>
      <c r="AF496" s="66" t="n"/>
      <c r="AG496" s="66" t="n"/>
      <c r="AH496" s="66" t="n"/>
      <c r="AI496" s="66" t="n"/>
      <c r="AJ496" s="66" t="n"/>
      <c r="AK496" s="66" t="n"/>
      <c r="AL496" s="66" t="n"/>
      <c r="AM496" s="66" t="n"/>
      <c r="AN496" s="66" t="n"/>
      <c r="AO496" s="66" t="n"/>
      <c r="AP496" s="66" t="n"/>
    </row>
    <row r="497">
      <c r="A497" s="66" t="n"/>
      <c r="B497" s="66" t="n"/>
      <c r="C497" s="66" t="n"/>
      <c r="D497" s="66" t="n"/>
      <c r="E497" s="67" t="n"/>
      <c r="F497" s="67" t="n"/>
      <c r="G497" s="68" t="n"/>
      <c r="H497" s="66" t="n"/>
      <c r="I497" s="66" t="n"/>
      <c r="J497" s="67" t="n"/>
      <c r="K497" s="67" t="n"/>
      <c r="L497" s="67" t="n"/>
      <c r="M497" s="28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7" t="n"/>
      <c r="X497" s="67" t="n"/>
      <c r="Y497" s="67" t="n"/>
      <c r="Z497" s="67" t="n"/>
      <c r="AA497" s="67" t="n"/>
      <c r="AB497" s="67" t="n"/>
      <c r="AC497" s="67" t="n"/>
      <c r="AD497" s="66" t="n"/>
      <c r="AE497" s="66" t="n"/>
      <c r="AF497" s="66" t="n"/>
      <c r="AG497" s="66" t="n"/>
      <c r="AH497" s="66" t="n"/>
      <c r="AI497" s="66" t="n"/>
      <c r="AJ497" s="66" t="n"/>
      <c r="AK497" s="66" t="n"/>
      <c r="AL497" s="66" t="n"/>
      <c r="AM497" s="66" t="n"/>
      <c r="AN497" s="66" t="n"/>
      <c r="AO497" s="66" t="n"/>
      <c r="AP497" s="66" t="n"/>
    </row>
    <row r="498">
      <c r="A498" s="66" t="n"/>
      <c r="B498" s="66" t="n"/>
      <c r="C498" s="66" t="n"/>
      <c r="D498" s="66" t="n"/>
      <c r="E498" s="67" t="n"/>
      <c r="F498" s="67" t="n"/>
      <c r="G498" s="68" t="n"/>
      <c r="H498" s="66" t="n"/>
      <c r="I498" s="66" t="n"/>
      <c r="J498" s="67" t="n"/>
      <c r="K498" s="67" t="n"/>
      <c r="L498" s="67" t="n"/>
      <c r="M498" s="28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7" t="n"/>
      <c r="X498" s="67" t="n"/>
      <c r="Y498" s="67" t="n"/>
      <c r="Z498" s="67" t="n"/>
      <c r="AA498" s="67" t="n"/>
      <c r="AB498" s="67" t="n"/>
      <c r="AC498" s="67" t="n"/>
      <c r="AD498" s="66" t="n"/>
      <c r="AE498" s="66" t="n"/>
      <c r="AF498" s="66" t="n"/>
      <c r="AG498" s="66" t="n"/>
      <c r="AH498" s="66" t="n"/>
      <c r="AI498" s="66" t="n"/>
      <c r="AJ498" s="66" t="n"/>
      <c r="AK498" s="66" t="n"/>
      <c r="AL498" s="66" t="n"/>
      <c r="AM498" s="66" t="n"/>
      <c r="AN498" s="66" t="n"/>
      <c r="AO498" s="66" t="n"/>
      <c r="AP498" s="66" t="n"/>
    </row>
    <row r="499">
      <c r="A499" s="66" t="n"/>
      <c r="B499" s="66" t="n"/>
      <c r="C499" s="66" t="n"/>
      <c r="D499" s="66" t="n"/>
      <c r="E499" s="67" t="n"/>
      <c r="F499" s="67" t="n"/>
      <c r="G499" s="68" t="n"/>
      <c r="H499" s="66" t="n"/>
      <c r="I499" s="66" t="n"/>
      <c r="J499" s="67" t="n"/>
      <c r="K499" s="67" t="n"/>
      <c r="L499" s="67" t="n"/>
      <c r="M499" s="28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7" t="n"/>
      <c r="X499" s="67" t="n"/>
      <c r="Y499" s="67" t="n"/>
      <c r="Z499" s="67" t="n"/>
      <c r="AA499" s="67" t="n"/>
      <c r="AB499" s="67" t="n"/>
      <c r="AC499" s="67" t="n"/>
      <c r="AD499" s="66" t="n"/>
      <c r="AE499" s="66" t="n"/>
      <c r="AF499" s="66" t="n"/>
      <c r="AG499" s="66" t="n"/>
      <c r="AH499" s="66" t="n"/>
      <c r="AI499" s="66" t="n"/>
      <c r="AJ499" s="66" t="n"/>
      <c r="AK499" s="66" t="n"/>
      <c r="AL499" s="66" t="n"/>
      <c r="AM499" s="66" t="n"/>
      <c r="AN499" s="66" t="n"/>
      <c r="AO499" s="66" t="n"/>
      <c r="AP499" s="66" t="n"/>
    </row>
    <row r="500">
      <c r="A500" s="66" t="n"/>
      <c r="B500" s="66" t="n"/>
      <c r="C500" s="66" t="n"/>
      <c r="D500" s="66" t="n"/>
      <c r="E500" s="67" t="n"/>
      <c r="F500" s="67" t="n"/>
      <c r="G500" s="68" t="n"/>
      <c r="H500" s="66" t="n"/>
      <c r="I500" s="66" t="n"/>
      <c r="J500" s="67" t="n"/>
      <c r="K500" s="67" t="n"/>
      <c r="L500" s="67" t="n"/>
      <c r="M500" s="28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7" t="n"/>
      <c r="X500" s="67" t="n"/>
      <c r="Y500" s="67" t="n"/>
      <c r="Z500" s="67" t="n"/>
      <c r="AA500" s="67" t="n"/>
      <c r="AB500" s="67" t="n"/>
      <c r="AC500" s="67" t="n"/>
      <c r="AD500" s="66" t="n"/>
      <c r="AE500" s="66" t="n"/>
      <c r="AF500" s="66" t="n"/>
      <c r="AG500" s="66" t="n"/>
      <c r="AH500" s="66" t="n"/>
      <c r="AI500" s="66" t="n"/>
      <c r="AJ500" s="66" t="n"/>
      <c r="AK500" s="66" t="n"/>
      <c r="AL500" s="66" t="n"/>
      <c r="AM500" s="66" t="n"/>
      <c r="AN500" s="66" t="n"/>
      <c r="AO500" s="66" t="n"/>
      <c r="AP500" s="66" t="n"/>
    </row>
    <row r="501">
      <c r="A501" s="66" t="n"/>
      <c r="B501" s="66" t="n"/>
      <c r="C501" s="66" t="n"/>
      <c r="D501" s="66" t="n"/>
      <c r="E501" s="67" t="n"/>
      <c r="F501" s="67" t="n"/>
      <c r="G501" s="68" t="n"/>
      <c r="H501" s="66" t="n"/>
      <c r="I501" s="66" t="n"/>
      <c r="J501" s="67" t="n"/>
      <c r="K501" s="67" t="n"/>
      <c r="L501" s="67" t="n"/>
      <c r="M501" s="28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7" t="n"/>
      <c r="X501" s="67" t="n"/>
      <c r="Y501" s="67" t="n"/>
      <c r="Z501" s="67" t="n"/>
      <c r="AA501" s="67" t="n"/>
      <c r="AB501" s="67" t="n"/>
      <c r="AC501" s="67" t="n"/>
      <c r="AD501" s="66" t="n"/>
      <c r="AE501" s="66" t="n"/>
      <c r="AF501" s="66" t="n"/>
      <c r="AG501" s="66" t="n"/>
      <c r="AH501" s="66" t="n"/>
      <c r="AI501" s="66" t="n"/>
      <c r="AJ501" s="66" t="n"/>
      <c r="AK501" s="66" t="n"/>
      <c r="AL501" s="66" t="n"/>
      <c r="AM501" s="66" t="n"/>
      <c r="AN501" s="66" t="n"/>
      <c r="AO501" s="66" t="n"/>
      <c r="AP501" s="66" t="n"/>
    </row>
    <row r="502">
      <c r="A502" s="66" t="n"/>
      <c r="B502" s="66" t="n"/>
      <c r="C502" s="66" t="n"/>
      <c r="D502" s="66" t="n"/>
      <c r="E502" s="67" t="n"/>
      <c r="F502" s="67" t="n"/>
      <c r="G502" s="68" t="n"/>
      <c r="H502" s="66" t="n"/>
      <c r="I502" s="66" t="n"/>
      <c r="J502" s="67" t="n"/>
      <c r="K502" s="67" t="n"/>
      <c r="L502" s="67" t="n"/>
      <c r="M502" s="28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7" t="n"/>
      <c r="X502" s="67" t="n"/>
      <c r="Y502" s="67" t="n"/>
      <c r="Z502" s="67" t="n"/>
      <c r="AA502" s="67" t="n"/>
      <c r="AB502" s="67" t="n"/>
      <c r="AC502" s="67" t="n"/>
      <c r="AD502" s="66" t="n"/>
      <c r="AE502" s="66" t="n"/>
      <c r="AF502" s="66" t="n"/>
      <c r="AG502" s="66" t="n"/>
      <c r="AH502" s="66" t="n"/>
      <c r="AI502" s="66" t="n"/>
      <c r="AJ502" s="66" t="n"/>
      <c r="AK502" s="66" t="n"/>
      <c r="AL502" s="66" t="n"/>
      <c r="AM502" s="66" t="n"/>
      <c r="AN502" s="66" t="n"/>
      <c r="AO502" s="66" t="n"/>
      <c r="AP502" s="66" t="n"/>
    </row>
    <row r="503">
      <c r="A503" s="66" t="n"/>
      <c r="B503" s="66" t="n"/>
      <c r="C503" s="66" t="n"/>
      <c r="D503" s="66" t="n"/>
      <c r="E503" s="67" t="n"/>
      <c r="F503" s="67" t="n"/>
      <c r="G503" s="68" t="n"/>
      <c r="H503" s="66" t="n"/>
      <c r="I503" s="66" t="n"/>
      <c r="J503" s="67" t="n"/>
      <c r="K503" s="67" t="n"/>
      <c r="L503" s="67" t="n"/>
      <c r="M503" s="28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7" t="n"/>
      <c r="X503" s="67" t="n"/>
      <c r="Y503" s="67" t="n"/>
      <c r="Z503" s="67" t="n"/>
      <c r="AA503" s="67" t="n"/>
      <c r="AB503" s="67" t="n"/>
      <c r="AC503" s="67" t="n"/>
      <c r="AD503" s="66" t="n"/>
      <c r="AE503" s="66" t="n"/>
      <c r="AF503" s="66" t="n"/>
      <c r="AG503" s="66" t="n"/>
      <c r="AH503" s="66" t="n"/>
      <c r="AI503" s="66" t="n"/>
      <c r="AJ503" s="66" t="n"/>
      <c r="AK503" s="66" t="n"/>
      <c r="AL503" s="66" t="n"/>
      <c r="AM503" s="66" t="n"/>
      <c r="AN503" s="66" t="n"/>
      <c r="AO503" s="66" t="n"/>
      <c r="AP503" s="66" t="n"/>
    </row>
    <row r="504">
      <c r="A504" s="66" t="n"/>
      <c r="B504" s="66" t="n"/>
      <c r="C504" s="66" t="n"/>
      <c r="D504" s="66" t="n"/>
      <c r="E504" s="67" t="n"/>
      <c r="F504" s="67" t="n"/>
      <c r="G504" s="68" t="n"/>
      <c r="H504" s="66" t="n"/>
      <c r="I504" s="66" t="n"/>
      <c r="J504" s="67" t="n"/>
      <c r="K504" s="67" t="n"/>
      <c r="L504" s="67" t="n"/>
      <c r="M504" s="28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7" t="n"/>
      <c r="X504" s="67" t="n"/>
      <c r="Y504" s="67" t="n"/>
      <c r="Z504" s="67" t="n"/>
      <c r="AA504" s="67" t="n"/>
      <c r="AB504" s="67" t="n"/>
      <c r="AC504" s="67" t="n"/>
      <c r="AD504" s="66" t="n"/>
      <c r="AE504" s="66" t="n"/>
      <c r="AF504" s="66" t="n"/>
      <c r="AG504" s="66" t="n"/>
      <c r="AH504" s="66" t="n"/>
      <c r="AI504" s="66" t="n"/>
      <c r="AJ504" s="66" t="n"/>
      <c r="AK504" s="66" t="n"/>
      <c r="AL504" s="66" t="n"/>
      <c r="AM504" s="66" t="n"/>
      <c r="AN504" s="66" t="n"/>
      <c r="AO504" s="66" t="n"/>
      <c r="AP504" s="66" t="n"/>
    </row>
    <row r="505">
      <c r="A505" s="66" t="n"/>
      <c r="B505" s="66" t="n"/>
      <c r="C505" s="66" t="n"/>
      <c r="D505" s="66" t="n"/>
      <c r="E505" s="67" t="n"/>
      <c r="F505" s="67" t="n"/>
      <c r="G505" s="68" t="n"/>
      <c r="H505" s="66" t="n"/>
      <c r="I505" s="66" t="n"/>
      <c r="J505" s="67" t="n"/>
      <c r="K505" s="67" t="n"/>
      <c r="L505" s="67" t="n"/>
      <c r="M505" s="28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7" t="n"/>
      <c r="X505" s="67" t="n"/>
      <c r="Y505" s="67" t="n"/>
      <c r="Z505" s="67" t="n"/>
      <c r="AA505" s="67" t="n"/>
      <c r="AB505" s="67" t="n"/>
      <c r="AC505" s="67" t="n"/>
      <c r="AD505" s="66" t="n"/>
      <c r="AE505" s="66" t="n"/>
      <c r="AF505" s="66" t="n"/>
      <c r="AG505" s="66" t="n"/>
      <c r="AH505" s="66" t="n"/>
      <c r="AI505" s="66" t="n"/>
      <c r="AJ505" s="66" t="n"/>
      <c r="AK505" s="66" t="n"/>
      <c r="AL505" s="66" t="n"/>
      <c r="AM505" s="66" t="n"/>
      <c r="AN505" s="66" t="n"/>
      <c r="AO505" s="66" t="n"/>
      <c r="AP505" s="66" t="n"/>
    </row>
    <row r="506">
      <c r="A506" s="66" t="n"/>
      <c r="B506" s="66" t="n"/>
      <c r="C506" s="66" t="n"/>
      <c r="D506" s="66" t="n"/>
      <c r="E506" s="67" t="n"/>
      <c r="F506" s="67" t="n"/>
      <c r="G506" s="68" t="n"/>
      <c r="H506" s="66" t="n"/>
      <c r="I506" s="66" t="n"/>
      <c r="J506" s="67" t="n"/>
      <c r="K506" s="67" t="n"/>
      <c r="L506" s="67" t="n"/>
      <c r="M506" s="28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7" t="n"/>
      <c r="X506" s="67" t="n"/>
      <c r="Y506" s="67" t="n"/>
      <c r="Z506" s="67" t="n"/>
      <c r="AA506" s="67" t="n"/>
      <c r="AB506" s="67" t="n"/>
      <c r="AC506" s="67" t="n"/>
      <c r="AD506" s="66" t="n"/>
      <c r="AE506" s="66" t="n"/>
      <c r="AF506" s="66" t="n"/>
      <c r="AG506" s="66" t="n"/>
      <c r="AH506" s="66" t="n"/>
      <c r="AI506" s="66" t="n"/>
      <c r="AJ506" s="66" t="n"/>
      <c r="AK506" s="66" t="n"/>
      <c r="AL506" s="66" t="n"/>
      <c r="AM506" s="66" t="n"/>
      <c r="AN506" s="66" t="n"/>
      <c r="AO506" s="66" t="n"/>
      <c r="AP506" s="66" t="n"/>
    </row>
    <row r="507">
      <c r="A507" s="66" t="n"/>
      <c r="B507" s="66" t="n"/>
      <c r="C507" s="66" t="n"/>
      <c r="D507" s="66" t="n"/>
      <c r="E507" s="67" t="n"/>
      <c r="F507" s="67" t="n"/>
      <c r="G507" s="68" t="n"/>
      <c r="H507" s="66" t="n"/>
      <c r="I507" s="66" t="n"/>
      <c r="J507" s="67" t="n"/>
      <c r="K507" s="67" t="n"/>
      <c r="L507" s="67" t="n"/>
      <c r="M507" s="28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7" t="n"/>
      <c r="X507" s="67" t="n"/>
      <c r="Y507" s="67" t="n"/>
      <c r="Z507" s="67" t="n"/>
      <c r="AA507" s="67" t="n"/>
      <c r="AB507" s="67" t="n"/>
      <c r="AC507" s="67" t="n"/>
      <c r="AD507" s="66" t="n"/>
      <c r="AE507" s="66" t="n"/>
      <c r="AF507" s="66" t="n"/>
      <c r="AG507" s="66" t="n"/>
      <c r="AH507" s="66" t="n"/>
      <c r="AI507" s="66" t="n"/>
      <c r="AJ507" s="66" t="n"/>
      <c r="AK507" s="66" t="n"/>
      <c r="AL507" s="66" t="n"/>
      <c r="AM507" s="66" t="n"/>
      <c r="AN507" s="66" t="n"/>
      <c r="AO507" s="66" t="n"/>
      <c r="AP507" s="66" t="n"/>
    </row>
    <row r="508">
      <c r="A508" s="66" t="n"/>
      <c r="B508" s="66" t="n"/>
      <c r="C508" s="66" t="n"/>
      <c r="D508" s="66" t="n"/>
      <c r="E508" s="67" t="n"/>
      <c r="F508" s="67" t="n"/>
      <c r="G508" s="68" t="n"/>
      <c r="H508" s="66" t="n"/>
      <c r="I508" s="66" t="n"/>
      <c r="J508" s="67" t="n"/>
      <c r="K508" s="67" t="n"/>
      <c r="L508" s="67" t="n"/>
      <c r="M508" s="28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7" t="n"/>
      <c r="X508" s="67" t="n"/>
      <c r="Y508" s="67" t="n"/>
      <c r="Z508" s="67" t="n"/>
      <c r="AA508" s="67" t="n"/>
      <c r="AB508" s="67" t="n"/>
      <c r="AC508" s="67" t="n"/>
      <c r="AD508" s="66" t="n"/>
      <c r="AE508" s="66" t="n"/>
      <c r="AF508" s="66" t="n"/>
      <c r="AG508" s="66" t="n"/>
      <c r="AH508" s="66" t="n"/>
      <c r="AI508" s="66" t="n"/>
      <c r="AJ508" s="66" t="n"/>
      <c r="AK508" s="66" t="n"/>
      <c r="AL508" s="66" t="n"/>
      <c r="AM508" s="66" t="n"/>
      <c r="AN508" s="66" t="n"/>
      <c r="AO508" s="66" t="n"/>
      <c r="AP508" s="66" t="n"/>
    </row>
    <row r="509">
      <c r="A509" s="66" t="n"/>
      <c r="B509" s="66" t="n"/>
      <c r="C509" s="66" t="n"/>
      <c r="D509" s="66" t="n"/>
      <c r="E509" s="67" t="n"/>
      <c r="F509" s="67" t="n"/>
      <c r="G509" s="68" t="n"/>
      <c r="H509" s="66" t="n"/>
      <c r="I509" s="66" t="n"/>
      <c r="J509" s="67" t="n"/>
      <c r="K509" s="67" t="n"/>
      <c r="L509" s="67" t="n"/>
      <c r="M509" s="28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7" t="n"/>
      <c r="X509" s="67" t="n"/>
      <c r="Y509" s="67" t="n"/>
      <c r="Z509" s="67" t="n"/>
      <c r="AA509" s="67" t="n"/>
      <c r="AB509" s="67" t="n"/>
      <c r="AC509" s="67" t="n"/>
      <c r="AD509" s="66" t="n"/>
      <c r="AE509" s="66" t="n"/>
      <c r="AF509" s="66" t="n"/>
      <c r="AG509" s="66" t="n"/>
      <c r="AH509" s="66" t="n"/>
      <c r="AI509" s="66" t="n"/>
      <c r="AJ509" s="66" t="n"/>
      <c r="AK509" s="66" t="n"/>
      <c r="AL509" s="66" t="n"/>
      <c r="AM509" s="66" t="n"/>
      <c r="AN509" s="66" t="n"/>
      <c r="AO509" s="66" t="n"/>
      <c r="AP509" s="66" t="n"/>
    </row>
    <row r="510">
      <c r="A510" s="66" t="n"/>
      <c r="B510" s="66" t="n"/>
      <c r="C510" s="66" t="n"/>
      <c r="D510" s="66" t="n"/>
      <c r="E510" s="67" t="n"/>
      <c r="F510" s="67" t="n"/>
      <c r="G510" s="68" t="n"/>
      <c r="H510" s="66" t="n"/>
      <c r="I510" s="66" t="n"/>
      <c r="J510" s="67" t="n"/>
      <c r="K510" s="67" t="n"/>
      <c r="L510" s="67" t="n"/>
      <c r="M510" s="28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7" t="n"/>
      <c r="X510" s="67" t="n"/>
      <c r="Y510" s="67" t="n"/>
      <c r="Z510" s="67" t="n"/>
      <c r="AA510" s="67" t="n"/>
      <c r="AB510" s="67" t="n"/>
      <c r="AC510" s="67" t="n"/>
      <c r="AD510" s="66" t="n"/>
      <c r="AE510" s="66" t="n"/>
      <c r="AF510" s="66" t="n"/>
      <c r="AG510" s="66" t="n"/>
      <c r="AH510" s="66" t="n"/>
      <c r="AI510" s="66" t="n"/>
      <c r="AJ510" s="66" t="n"/>
      <c r="AK510" s="66" t="n"/>
      <c r="AL510" s="66" t="n"/>
      <c r="AM510" s="66" t="n"/>
      <c r="AN510" s="66" t="n"/>
      <c r="AO510" s="66" t="n"/>
      <c r="AP510" s="66" t="n"/>
    </row>
    <row r="511">
      <c r="A511" s="66" t="n"/>
      <c r="B511" s="66" t="n"/>
      <c r="C511" s="66" t="n"/>
      <c r="D511" s="66" t="n"/>
      <c r="E511" s="67" t="n"/>
      <c r="F511" s="67" t="n"/>
      <c r="G511" s="68" t="n"/>
      <c r="H511" s="66" t="n"/>
      <c r="I511" s="66" t="n"/>
      <c r="J511" s="67" t="n"/>
      <c r="K511" s="67" t="n"/>
      <c r="L511" s="67" t="n"/>
      <c r="M511" s="28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7" t="n"/>
      <c r="X511" s="67" t="n"/>
      <c r="Y511" s="67" t="n"/>
      <c r="Z511" s="67" t="n"/>
      <c r="AA511" s="67" t="n"/>
      <c r="AB511" s="67" t="n"/>
      <c r="AC511" s="67" t="n"/>
      <c r="AD511" s="66" t="n"/>
      <c r="AE511" s="66" t="n"/>
      <c r="AF511" s="66" t="n"/>
      <c r="AG511" s="66" t="n"/>
      <c r="AH511" s="66" t="n"/>
      <c r="AI511" s="66" t="n"/>
      <c r="AJ511" s="66" t="n"/>
      <c r="AK511" s="66" t="n"/>
      <c r="AL511" s="66" t="n"/>
      <c r="AM511" s="66" t="n"/>
      <c r="AN511" s="66" t="n"/>
      <c r="AO511" s="66" t="n"/>
      <c r="AP511" s="66" t="n"/>
    </row>
    <row r="512">
      <c r="A512" s="66" t="n"/>
      <c r="B512" s="66" t="n"/>
      <c r="C512" s="66" t="n"/>
      <c r="D512" s="66" t="n"/>
      <c r="E512" s="67" t="n"/>
      <c r="F512" s="67" t="n"/>
      <c r="G512" s="68" t="n"/>
      <c r="H512" s="66" t="n"/>
      <c r="I512" s="66" t="n"/>
      <c r="J512" s="67" t="n"/>
      <c r="K512" s="67" t="n"/>
      <c r="L512" s="67" t="n"/>
      <c r="M512" s="28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7" t="n"/>
      <c r="X512" s="67" t="n"/>
      <c r="Y512" s="67" t="n"/>
      <c r="Z512" s="67" t="n"/>
      <c r="AA512" s="67" t="n"/>
      <c r="AB512" s="67" t="n"/>
      <c r="AC512" s="67" t="n"/>
      <c r="AD512" s="66" t="n"/>
      <c r="AE512" s="66" t="n"/>
      <c r="AF512" s="66" t="n"/>
      <c r="AG512" s="66" t="n"/>
      <c r="AH512" s="66" t="n"/>
      <c r="AI512" s="66" t="n"/>
      <c r="AJ512" s="66" t="n"/>
      <c r="AK512" s="66" t="n"/>
      <c r="AL512" s="66" t="n"/>
      <c r="AM512" s="66" t="n"/>
      <c r="AN512" s="66" t="n"/>
      <c r="AO512" s="66" t="n"/>
      <c r="AP512" s="66" t="n"/>
    </row>
    <row r="513">
      <c r="A513" s="66" t="n"/>
      <c r="B513" s="66" t="n"/>
      <c r="C513" s="66" t="n"/>
      <c r="D513" s="66" t="n"/>
      <c r="E513" s="67" t="n"/>
      <c r="F513" s="67" t="n"/>
      <c r="G513" s="68" t="n"/>
      <c r="H513" s="66" t="n"/>
      <c r="I513" s="66" t="n"/>
      <c r="J513" s="67" t="n"/>
      <c r="K513" s="67" t="n"/>
      <c r="L513" s="67" t="n"/>
      <c r="M513" s="28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7" t="n"/>
      <c r="X513" s="67" t="n"/>
      <c r="Y513" s="67" t="n"/>
      <c r="Z513" s="67" t="n"/>
      <c r="AA513" s="67" t="n"/>
      <c r="AB513" s="67" t="n"/>
      <c r="AC513" s="67" t="n"/>
      <c r="AD513" s="66" t="n"/>
      <c r="AE513" s="66" t="n"/>
      <c r="AF513" s="66" t="n"/>
      <c r="AG513" s="66" t="n"/>
      <c r="AH513" s="66" t="n"/>
      <c r="AI513" s="66" t="n"/>
      <c r="AJ513" s="66" t="n"/>
      <c r="AK513" s="66" t="n"/>
      <c r="AL513" s="66" t="n"/>
      <c r="AM513" s="66" t="n"/>
      <c r="AN513" s="66" t="n"/>
      <c r="AO513" s="66" t="n"/>
      <c r="AP513" s="66" t="n"/>
    </row>
    <row r="514">
      <c r="A514" s="66" t="n"/>
      <c r="B514" s="66" t="n"/>
      <c r="C514" s="66" t="n"/>
      <c r="D514" s="66" t="n"/>
      <c r="E514" s="67" t="n"/>
      <c r="F514" s="67" t="n"/>
      <c r="G514" s="68" t="n"/>
      <c r="H514" s="66" t="n"/>
      <c r="I514" s="66" t="n"/>
      <c r="J514" s="67" t="n"/>
      <c r="K514" s="67" t="n"/>
      <c r="L514" s="67" t="n"/>
      <c r="M514" s="28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7" t="n"/>
      <c r="X514" s="67" t="n"/>
      <c r="Y514" s="67" t="n"/>
      <c r="Z514" s="67" t="n"/>
      <c r="AA514" s="67" t="n"/>
      <c r="AB514" s="67" t="n"/>
      <c r="AC514" s="67" t="n"/>
      <c r="AD514" s="66" t="n"/>
      <c r="AE514" s="66" t="n"/>
      <c r="AF514" s="66" t="n"/>
      <c r="AG514" s="66" t="n"/>
      <c r="AH514" s="66" t="n"/>
      <c r="AI514" s="66" t="n"/>
      <c r="AJ514" s="66" t="n"/>
      <c r="AK514" s="66" t="n"/>
      <c r="AL514" s="66" t="n"/>
      <c r="AM514" s="66" t="n"/>
      <c r="AN514" s="66" t="n"/>
      <c r="AO514" s="66" t="n"/>
      <c r="AP514" s="66" t="n"/>
    </row>
    <row r="515">
      <c r="A515" s="66" t="n"/>
      <c r="B515" s="66" t="n"/>
      <c r="C515" s="66" t="n"/>
      <c r="D515" s="66" t="n"/>
      <c r="E515" s="67" t="n"/>
      <c r="F515" s="67" t="n"/>
      <c r="G515" s="68" t="n"/>
      <c r="H515" s="66" t="n"/>
      <c r="I515" s="66" t="n"/>
      <c r="J515" s="67" t="n"/>
      <c r="K515" s="67" t="n"/>
      <c r="L515" s="67" t="n"/>
      <c r="M515" s="28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7" t="n"/>
      <c r="X515" s="67" t="n"/>
      <c r="Y515" s="67" t="n"/>
      <c r="Z515" s="67" t="n"/>
      <c r="AA515" s="67" t="n"/>
      <c r="AB515" s="67" t="n"/>
      <c r="AC515" s="67" t="n"/>
      <c r="AD515" s="66" t="n"/>
      <c r="AE515" s="66" t="n"/>
      <c r="AF515" s="66" t="n"/>
      <c r="AG515" s="66" t="n"/>
      <c r="AH515" s="66" t="n"/>
      <c r="AI515" s="66" t="n"/>
      <c r="AJ515" s="66" t="n"/>
      <c r="AK515" s="66" t="n"/>
      <c r="AL515" s="66" t="n"/>
      <c r="AM515" s="66" t="n"/>
      <c r="AN515" s="66" t="n"/>
      <c r="AO515" s="66" t="n"/>
      <c r="AP515" s="66" t="n"/>
    </row>
    <row r="516">
      <c r="A516" s="66" t="n"/>
      <c r="B516" s="66" t="n"/>
      <c r="C516" s="66" t="n"/>
      <c r="D516" s="66" t="n"/>
      <c r="E516" s="67" t="n"/>
      <c r="F516" s="67" t="n"/>
      <c r="G516" s="68" t="n"/>
      <c r="H516" s="66" t="n"/>
      <c r="I516" s="66" t="n"/>
      <c r="J516" s="67" t="n"/>
      <c r="K516" s="67" t="n"/>
      <c r="L516" s="67" t="n"/>
      <c r="M516" s="28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7" t="n"/>
      <c r="X516" s="67" t="n"/>
      <c r="Y516" s="67" t="n"/>
      <c r="Z516" s="67" t="n"/>
      <c r="AA516" s="67" t="n"/>
      <c r="AB516" s="67" t="n"/>
      <c r="AC516" s="67" t="n"/>
      <c r="AD516" s="66" t="n"/>
      <c r="AE516" s="66" t="n"/>
      <c r="AF516" s="66" t="n"/>
      <c r="AG516" s="66" t="n"/>
      <c r="AH516" s="66" t="n"/>
      <c r="AI516" s="66" t="n"/>
      <c r="AJ516" s="66" t="n"/>
      <c r="AK516" s="66" t="n"/>
      <c r="AL516" s="66" t="n"/>
      <c r="AM516" s="66" t="n"/>
      <c r="AN516" s="66" t="n"/>
      <c r="AO516" s="66" t="n"/>
      <c r="AP516" s="66" t="n"/>
    </row>
    <row r="517">
      <c r="A517" s="66" t="n"/>
      <c r="B517" s="66" t="n"/>
      <c r="C517" s="66" t="n"/>
      <c r="D517" s="66" t="n"/>
      <c r="E517" s="67" t="n"/>
      <c r="F517" s="67" t="n"/>
      <c r="G517" s="68" t="n"/>
      <c r="H517" s="66" t="n"/>
      <c r="I517" s="66" t="n"/>
      <c r="J517" s="67" t="n"/>
      <c r="K517" s="67" t="n"/>
      <c r="L517" s="67" t="n"/>
      <c r="M517" s="28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7" t="n"/>
      <c r="X517" s="67" t="n"/>
      <c r="Y517" s="67" t="n"/>
      <c r="Z517" s="67" t="n"/>
      <c r="AA517" s="67" t="n"/>
      <c r="AB517" s="67" t="n"/>
      <c r="AC517" s="67" t="n"/>
      <c r="AD517" s="66" t="n"/>
      <c r="AE517" s="66" t="n"/>
      <c r="AF517" s="66" t="n"/>
      <c r="AG517" s="66" t="n"/>
      <c r="AH517" s="66" t="n"/>
      <c r="AI517" s="66" t="n"/>
      <c r="AJ517" s="66" t="n"/>
      <c r="AK517" s="66" t="n"/>
      <c r="AL517" s="66" t="n"/>
      <c r="AM517" s="66" t="n"/>
      <c r="AN517" s="66" t="n"/>
      <c r="AO517" s="66" t="n"/>
      <c r="AP517" s="66" t="n"/>
    </row>
    <row r="518">
      <c r="A518" s="66" t="n"/>
      <c r="B518" s="66" t="n"/>
      <c r="C518" s="66" t="n"/>
      <c r="D518" s="66" t="n"/>
      <c r="E518" s="67" t="n"/>
      <c r="F518" s="67" t="n"/>
      <c r="G518" s="68" t="n"/>
      <c r="H518" s="66" t="n"/>
      <c r="I518" s="66" t="n"/>
      <c r="J518" s="67" t="n"/>
      <c r="K518" s="67" t="n"/>
      <c r="L518" s="67" t="n"/>
      <c r="M518" s="28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7" t="n"/>
      <c r="X518" s="67" t="n"/>
      <c r="Y518" s="67" t="n"/>
      <c r="Z518" s="67" t="n"/>
      <c r="AA518" s="67" t="n"/>
      <c r="AB518" s="67" t="n"/>
      <c r="AC518" s="67" t="n"/>
      <c r="AD518" s="66" t="n"/>
      <c r="AE518" s="66" t="n"/>
      <c r="AF518" s="66" t="n"/>
      <c r="AG518" s="66" t="n"/>
      <c r="AH518" s="66" t="n"/>
      <c r="AI518" s="66" t="n"/>
      <c r="AJ518" s="66" t="n"/>
      <c r="AK518" s="66" t="n"/>
      <c r="AL518" s="66" t="n"/>
      <c r="AM518" s="66" t="n"/>
      <c r="AN518" s="66" t="n"/>
      <c r="AO518" s="66" t="n"/>
      <c r="AP518" s="66" t="n"/>
    </row>
    <row r="519">
      <c r="A519" s="66" t="n"/>
      <c r="B519" s="66" t="n"/>
      <c r="C519" s="66" t="n"/>
      <c r="D519" s="66" t="n"/>
      <c r="E519" s="67" t="n"/>
      <c r="F519" s="67" t="n"/>
      <c r="G519" s="68" t="n"/>
      <c r="H519" s="66" t="n"/>
      <c r="I519" s="66" t="n"/>
      <c r="J519" s="67" t="n"/>
      <c r="K519" s="67" t="n"/>
      <c r="L519" s="67" t="n"/>
      <c r="M519" s="28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7" t="n"/>
      <c r="X519" s="67" t="n"/>
      <c r="Y519" s="67" t="n"/>
      <c r="Z519" s="67" t="n"/>
      <c r="AA519" s="67" t="n"/>
      <c r="AB519" s="67" t="n"/>
      <c r="AC519" s="67" t="n"/>
      <c r="AD519" s="66" t="n"/>
      <c r="AE519" s="66" t="n"/>
      <c r="AF519" s="66" t="n"/>
      <c r="AG519" s="66" t="n"/>
      <c r="AH519" s="66" t="n"/>
      <c r="AI519" s="66" t="n"/>
      <c r="AJ519" s="66" t="n"/>
      <c r="AK519" s="66" t="n"/>
      <c r="AL519" s="66" t="n"/>
      <c r="AM519" s="66" t="n"/>
      <c r="AN519" s="66" t="n"/>
      <c r="AO519" s="66" t="n"/>
      <c r="AP519" s="66" t="n"/>
    </row>
    <row r="520">
      <c r="A520" s="66" t="n"/>
      <c r="B520" s="66" t="n"/>
      <c r="C520" s="66" t="n"/>
      <c r="D520" s="66" t="n"/>
      <c r="E520" s="67" t="n"/>
      <c r="F520" s="67" t="n"/>
      <c r="G520" s="68" t="n"/>
      <c r="H520" s="66" t="n"/>
      <c r="I520" s="66" t="n"/>
      <c r="J520" s="67" t="n"/>
      <c r="K520" s="67" t="n"/>
      <c r="L520" s="67" t="n"/>
      <c r="M520" s="28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7" t="n"/>
      <c r="X520" s="67" t="n"/>
      <c r="Y520" s="67" t="n"/>
      <c r="Z520" s="67" t="n"/>
      <c r="AA520" s="67" t="n"/>
      <c r="AB520" s="67" t="n"/>
      <c r="AC520" s="67" t="n"/>
      <c r="AD520" s="66" t="n"/>
      <c r="AE520" s="66" t="n"/>
      <c r="AF520" s="66" t="n"/>
      <c r="AG520" s="66" t="n"/>
      <c r="AH520" s="66" t="n"/>
      <c r="AI520" s="66" t="n"/>
      <c r="AJ520" s="66" t="n"/>
      <c r="AK520" s="66" t="n"/>
      <c r="AL520" s="66" t="n"/>
      <c r="AM520" s="66" t="n"/>
      <c r="AN520" s="66" t="n"/>
      <c r="AO520" s="66" t="n"/>
      <c r="AP520" s="66" t="n"/>
    </row>
    <row r="521">
      <c r="A521" s="66" t="n"/>
      <c r="B521" s="66" t="n"/>
      <c r="C521" s="66" t="n"/>
      <c r="D521" s="66" t="n"/>
      <c r="E521" s="67" t="n"/>
      <c r="F521" s="67" t="n"/>
      <c r="G521" s="68" t="n"/>
      <c r="H521" s="66" t="n"/>
      <c r="I521" s="66" t="n"/>
      <c r="J521" s="67" t="n"/>
      <c r="K521" s="67" t="n"/>
      <c r="L521" s="67" t="n"/>
      <c r="M521" s="28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7" t="n"/>
      <c r="X521" s="67" t="n"/>
      <c r="Y521" s="67" t="n"/>
      <c r="Z521" s="67" t="n"/>
      <c r="AA521" s="67" t="n"/>
      <c r="AB521" s="67" t="n"/>
      <c r="AC521" s="67" t="n"/>
      <c r="AD521" s="66" t="n"/>
      <c r="AE521" s="66" t="n"/>
      <c r="AF521" s="66" t="n"/>
      <c r="AG521" s="66" t="n"/>
      <c r="AH521" s="66" t="n"/>
      <c r="AI521" s="66" t="n"/>
      <c r="AJ521" s="66" t="n"/>
      <c r="AK521" s="66" t="n"/>
      <c r="AL521" s="66" t="n"/>
      <c r="AM521" s="66" t="n"/>
      <c r="AN521" s="66" t="n"/>
      <c r="AO521" s="66" t="n"/>
      <c r="AP521" s="66" t="n"/>
    </row>
    <row r="522">
      <c r="A522" s="66" t="n"/>
      <c r="B522" s="66" t="n"/>
      <c r="C522" s="66" t="n"/>
      <c r="D522" s="66" t="n"/>
      <c r="E522" s="67" t="n"/>
      <c r="F522" s="67" t="n"/>
      <c r="G522" s="68" t="n"/>
      <c r="H522" s="66" t="n"/>
      <c r="I522" s="66" t="n"/>
      <c r="J522" s="67" t="n"/>
      <c r="K522" s="67" t="n"/>
      <c r="L522" s="67" t="n"/>
      <c r="M522" s="28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7" t="n"/>
      <c r="X522" s="67" t="n"/>
      <c r="Y522" s="67" t="n"/>
      <c r="Z522" s="67" t="n"/>
      <c r="AA522" s="67" t="n"/>
      <c r="AB522" s="67" t="n"/>
      <c r="AC522" s="67" t="n"/>
      <c r="AD522" s="66" t="n"/>
      <c r="AE522" s="66" t="n"/>
      <c r="AF522" s="66" t="n"/>
      <c r="AG522" s="66" t="n"/>
      <c r="AH522" s="66" t="n"/>
      <c r="AI522" s="66" t="n"/>
      <c r="AJ522" s="66" t="n"/>
      <c r="AK522" s="66" t="n"/>
      <c r="AL522" s="66" t="n"/>
      <c r="AM522" s="66" t="n"/>
      <c r="AN522" s="66" t="n"/>
      <c r="AO522" s="66" t="n"/>
      <c r="AP522" s="66" t="n"/>
    </row>
    <row r="523">
      <c r="A523" s="66" t="n"/>
      <c r="B523" s="66" t="n"/>
      <c r="C523" s="66" t="n"/>
      <c r="D523" s="66" t="n"/>
      <c r="E523" s="67" t="n"/>
      <c r="F523" s="67" t="n"/>
      <c r="G523" s="68" t="n"/>
      <c r="H523" s="66" t="n"/>
      <c r="I523" s="66" t="n"/>
      <c r="J523" s="67" t="n"/>
      <c r="K523" s="67" t="n"/>
      <c r="L523" s="67" t="n"/>
      <c r="M523" s="28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7" t="n"/>
      <c r="X523" s="67" t="n"/>
      <c r="Y523" s="67" t="n"/>
      <c r="Z523" s="67" t="n"/>
      <c r="AA523" s="67" t="n"/>
      <c r="AB523" s="67" t="n"/>
      <c r="AC523" s="67" t="n"/>
      <c r="AD523" s="66" t="n"/>
      <c r="AE523" s="66" t="n"/>
      <c r="AF523" s="66" t="n"/>
      <c r="AG523" s="66" t="n"/>
      <c r="AH523" s="66" t="n"/>
      <c r="AI523" s="66" t="n"/>
      <c r="AJ523" s="66" t="n"/>
      <c r="AK523" s="66" t="n"/>
      <c r="AL523" s="66" t="n"/>
      <c r="AM523" s="66" t="n"/>
      <c r="AN523" s="66" t="n"/>
      <c r="AO523" s="66" t="n"/>
      <c r="AP523" s="66" t="n"/>
    </row>
    <row r="524">
      <c r="A524" s="66" t="n"/>
      <c r="B524" s="66" t="n"/>
      <c r="C524" s="66" t="n"/>
      <c r="D524" s="66" t="n"/>
      <c r="E524" s="67" t="n"/>
      <c r="F524" s="67" t="n"/>
      <c r="G524" s="68" t="n"/>
      <c r="H524" s="66" t="n"/>
      <c r="I524" s="66" t="n"/>
      <c r="J524" s="67" t="n"/>
      <c r="K524" s="67" t="n"/>
      <c r="L524" s="67" t="n"/>
      <c r="M524" s="28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7" t="n"/>
      <c r="X524" s="67" t="n"/>
      <c r="Y524" s="67" t="n"/>
      <c r="Z524" s="67" t="n"/>
      <c r="AA524" s="67" t="n"/>
      <c r="AB524" s="67" t="n"/>
      <c r="AC524" s="67" t="n"/>
      <c r="AD524" s="66" t="n"/>
      <c r="AE524" s="66" t="n"/>
      <c r="AF524" s="66" t="n"/>
      <c r="AG524" s="66" t="n"/>
      <c r="AH524" s="66" t="n"/>
      <c r="AI524" s="66" t="n"/>
      <c r="AJ524" s="66" t="n"/>
      <c r="AK524" s="66" t="n"/>
      <c r="AL524" s="66" t="n"/>
      <c r="AM524" s="66" t="n"/>
      <c r="AN524" s="66" t="n"/>
      <c r="AO524" s="66" t="n"/>
      <c r="AP524" s="66" t="n"/>
    </row>
    <row r="525">
      <c r="A525" s="66" t="n"/>
      <c r="B525" s="66" t="n"/>
      <c r="C525" s="66" t="n"/>
      <c r="D525" s="66" t="n"/>
      <c r="E525" s="67" t="n"/>
      <c r="F525" s="67" t="n"/>
      <c r="G525" s="68" t="n"/>
      <c r="H525" s="66" t="n"/>
      <c r="I525" s="66" t="n"/>
      <c r="J525" s="67" t="n"/>
      <c r="K525" s="67" t="n"/>
      <c r="L525" s="67" t="n"/>
      <c r="M525" s="28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7" t="n"/>
      <c r="X525" s="67" t="n"/>
      <c r="Y525" s="67" t="n"/>
      <c r="Z525" s="67" t="n"/>
      <c r="AA525" s="67" t="n"/>
      <c r="AB525" s="67" t="n"/>
      <c r="AC525" s="67" t="n"/>
      <c r="AD525" s="66" t="n"/>
      <c r="AE525" s="66" t="n"/>
      <c r="AF525" s="66" t="n"/>
      <c r="AG525" s="66" t="n"/>
      <c r="AH525" s="66" t="n"/>
      <c r="AI525" s="66" t="n"/>
      <c r="AJ525" s="66" t="n"/>
      <c r="AK525" s="66" t="n"/>
      <c r="AL525" s="66" t="n"/>
      <c r="AM525" s="66" t="n"/>
      <c r="AN525" s="66" t="n"/>
      <c r="AO525" s="66" t="n"/>
      <c r="AP525" s="66" t="n"/>
    </row>
    <row r="526">
      <c r="A526" s="66" t="n"/>
      <c r="B526" s="66" t="n"/>
      <c r="C526" s="66" t="n"/>
      <c r="D526" s="66" t="n"/>
      <c r="E526" s="67" t="n"/>
      <c r="F526" s="67" t="n"/>
      <c r="G526" s="68" t="n"/>
      <c r="H526" s="66" t="n"/>
      <c r="I526" s="66" t="n"/>
      <c r="J526" s="67" t="n"/>
      <c r="K526" s="67" t="n"/>
      <c r="L526" s="67" t="n"/>
      <c r="M526" s="28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7" t="n"/>
      <c r="X526" s="67" t="n"/>
      <c r="Y526" s="67" t="n"/>
      <c r="Z526" s="67" t="n"/>
      <c r="AA526" s="67" t="n"/>
      <c r="AB526" s="67" t="n"/>
      <c r="AC526" s="67" t="n"/>
      <c r="AD526" s="66" t="n"/>
      <c r="AE526" s="66" t="n"/>
      <c r="AF526" s="66" t="n"/>
      <c r="AG526" s="66" t="n"/>
      <c r="AH526" s="66" t="n"/>
      <c r="AI526" s="66" t="n"/>
      <c r="AJ526" s="66" t="n"/>
      <c r="AK526" s="66" t="n"/>
      <c r="AL526" s="66" t="n"/>
      <c r="AM526" s="66" t="n"/>
      <c r="AN526" s="66" t="n"/>
      <c r="AO526" s="66" t="n"/>
      <c r="AP526" s="66" t="n"/>
    </row>
    <row r="527">
      <c r="A527" s="66" t="n"/>
      <c r="B527" s="66" t="n"/>
      <c r="C527" s="66" t="n"/>
      <c r="D527" s="66" t="n"/>
      <c r="E527" s="67" t="n"/>
      <c r="F527" s="67" t="n"/>
      <c r="G527" s="68" t="n"/>
      <c r="H527" s="66" t="n"/>
      <c r="I527" s="66" t="n"/>
      <c r="J527" s="67" t="n"/>
      <c r="K527" s="67" t="n"/>
      <c r="L527" s="67" t="n"/>
      <c r="M527" s="28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7" t="n"/>
      <c r="X527" s="67" t="n"/>
      <c r="Y527" s="67" t="n"/>
      <c r="Z527" s="67" t="n"/>
      <c r="AA527" s="67" t="n"/>
      <c r="AB527" s="67" t="n"/>
      <c r="AC527" s="67" t="n"/>
      <c r="AD527" s="66" t="n"/>
      <c r="AE527" s="66" t="n"/>
      <c r="AF527" s="66" t="n"/>
      <c r="AG527" s="66" t="n"/>
      <c r="AH527" s="66" t="n"/>
      <c r="AI527" s="66" t="n"/>
      <c r="AJ527" s="66" t="n"/>
      <c r="AK527" s="66" t="n"/>
      <c r="AL527" s="66" t="n"/>
      <c r="AM527" s="66" t="n"/>
      <c r="AN527" s="66" t="n"/>
      <c r="AO527" s="66" t="n"/>
      <c r="AP527" s="66" t="n"/>
    </row>
    <row r="528">
      <c r="A528" s="66" t="n"/>
      <c r="B528" s="66" t="n"/>
      <c r="C528" s="66" t="n"/>
      <c r="D528" s="66" t="n"/>
      <c r="E528" s="67" t="n"/>
      <c r="F528" s="67" t="n"/>
      <c r="G528" s="68" t="n"/>
      <c r="H528" s="66" t="n"/>
      <c r="I528" s="66" t="n"/>
      <c r="J528" s="67" t="n"/>
      <c r="K528" s="67" t="n"/>
      <c r="L528" s="67" t="n"/>
      <c r="M528" s="28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7" t="n"/>
      <c r="X528" s="67" t="n"/>
      <c r="Y528" s="67" t="n"/>
      <c r="Z528" s="67" t="n"/>
      <c r="AA528" s="67" t="n"/>
      <c r="AB528" s="67" t="n"/>
      <c r="AC528" s="67" t="n"/>
      <c r="AD528" s="66" t="n"/>
      <c r="AE528" s="66" t="n"/>
      <c r="AF528" s="66" t="n"/>
      <c r="AG528" s="66" t="n"/>
      <c r="AH528" s="66" t="n"/>
      <c r="AI528" s="66" t="n"/>
      <c r="AJ528" s="66" t="n"/>
      <c r="AK528" s="66" t="n"/>
      <c r="AL528" s="66" t="n"/>
      <c r="AM528" s="66" t="n"/>
      <c r="AN528" s="66" t="n"/>
      <c r="AO528" s="66" t="n"/>
      <c r="AP528" s="66" t="n"/>
    </row>
    <row r="529">
      <c r="A529" s="66" t="n"/>
      <c r="B529" s="66" t="n"/>
      <c r="C529" s="66" t="n"/>
      <c r="D529" s="66" t="n"/>
      <c r="E529" s="67" t="n"/>
      <c r="F529" s="67" t="n"/>
      <c r="G529" s="68" t="n"/>
      <c r="H529" s="66" t="n"/>
      <c r="I529" s="66" t="n"/>
      <c r="J529" s="67" t="n"/>
      <c r="K529" s="67" t="n"/>
      <c r="L529" s="67" t="n"/>
      <c r="M529" s="28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7" t="n"/>
      <c r="X529" s="67" t="n"/>
      <c r="Y529" s="67" t="n"/>
      <c r="Z529" s="67" t="n"/>
      <c r="AA529" s="67" t="n"/>
      <c r="AB529" s="67" t="n"/>
      <c r="AC529" s="67" t="n"/>
      <c r="AD529" s="66" t="n"/>
      <c r="AE529" s="66" t="n"/>
      <c r="AF529" s="66" t="n"/>
      <c r="AG529" s="66" t="n"/>
      <c r="AH529" s="66" t="n"/>
      <c r="AI529" s="66" t="n"/>
      <c r="AJ529" s="66" t="n"/>
      <c r="AK529" s="66" t="n"/>
      <c r="AL529" s="66" t="n"/>
      <c r="AM529" s="66" t="n"/>
      <c r="AN529" s="66" t="n"/>
      <c r="AO529" s="66" t="n"/>
      <c r="AP529" s="66" t="n"/>
    </row>
    <row r="530">
      <c r="A530" s="66" t="n"/>
      <c r="B530" s="66" t="n"/>
      <c r="C530" s="66" t="n"/>
      <c r="D530" s="66" t="n"/>
      <c r="E530" s="67" t="n"/>
      <c r="F530" s="67" t="n"/>
      <c r="G530" s="68" t="n"/>
      <c r="H530" s="66" t="n"/>
      <c r="I530" s="66" t="n"/>
      <c r="J530" s="67" t="n"/>
      <c r="K530" s="67" t="n"/>
      <c r="L530" s="67" t="n"/>
      <c r="M530" s="28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7" t="n"/>
      <c r="X530" s="67" t="n"/>
      <c r="Y530" s="67" t="n"/>
      <c r="Z530" s="67" t="n"/>
      <c r="AA530" s="67" t="n"/>
      <c r="AB530" s="67" t="n"/>
      <c r="AC530" s="67" t="n"/>
      <c r="AD530" s="66" t="n"/>
      <c r="AE530" s="66" t="n"/>
      <c r="AF530" s="66" t="n"/>
      <c r="AG530" s="66" t="n"/>
      <c r="AH530" s="66" t="n"/>
      <c r="AI530" s="66" t="n"/>
      <c r="AJ530" s="66" t="n"/>
      <c r="AK530" s="66" t="n"/>
      <c r="AL530" s="66" t="n"/>
      <c r="AM530" s="66" t="n"/>
      <c r="AN530" s="66" t="n"/>
      <c r="AO530" s="66" t="n"/>
      <c r="AP530" s="66" t="n"/>
    </row>
    <row r="531">
      <c r="A531" s="66" t="n"/>
      <c r="B531" s="66" t="n"/>
      <c r="C531" s="66" t="n"/>
      <c r="D531" s="66" t="n"/>
      <c r="E531" s="67" t="n"/>
      <c r="F531" s="67" t="n"/>
      <c r="G531" s="68" t="n"/>
      <c r="H531" s="66" t="n"/>
      <c r="I531" s="66" t="n"/>
      <c r="J531" s="67" t="n"/>
      <c r="K531" s="67" t="n"/>
      <c r="L531" s="67" t="n"/>
      <c r="M531" s="28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7" t="n"/>
      <c r="X531" s="67" t="n"/>
      <c r="Y531" s="67" t="n"/>
      <c r="Z531" s="67" t="n"/>
      <c r="AA531" s="67" t="n"/>
      <c r="AB531" s="67" t="n"/>
      <c r="AC531" s="67" t="n"/>
      <c r="AD531" s="66" t="n"/>
      <c r="AE531" s="66" t="n"/>
      <c r="AF531" s="66" t="n"/>
      <c r="AG531" s="66" t="n"/>
      <c r="AH531" s="66" t="n"/>
      <c r="AI531" s="66" t="n"/>
      <c r="AJ531" s="66" t="n"/>
      <c r="AK531" s="66" t="n"/>
      <c r="AL531" s="66" t="n"/>
      <c r="AM531" s="66" t="n"/>
      <c r="AN531" s="66" t="n"/>
      <c r="AO531" s="66" t="n"/>
      <c r="AP531" s="66" t="n"/>
    </row>
    <row r="532">
      <c r="A532" s="66" t="n"/>
      <c r="B532" s="66" t="n"/>
      <c r="C532" s="66" t="n"/>
      <c r="D532" s="66" t="n"/>
      <c r="E532" s="67" t="n"/>
      <c r="F532" s="67" t="n"/>
      <c r="G532" s="68" t="n"/>
      <c r="H532" s="66" t="n"/>
      <c r="I532" s="66" t="n"/>
      <c r="J532" s="67" t="n"/>
      <c r="K532" s="67" t="n"/>
      <c r="L532" s="67" t="n"/>
      <c r="M532" s="28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7" t="n"/>
      <c r="X532" s="67" t="n"/>
      <c r="Y532" s="67" t="n"/>
      <c r="Z532" s="67" t="n"/>
      <c r="AA532" s="67" t="n"/>
      <c r="AB532" s="67" t="n"/>
      <c r="AC532" s="67" t="n"/>
      <c r="AD532" s="66" t="n"/>
      <c r="AE532" s="66" t="n"/>
      <c r="AF532" s="66" t="n"/>
      <c r="AG532" s="66" t="n"/>
      <c r="AH532" s="66" t="n"/>
      <c r="AI532" s="66" t="n"/>
      <c r="AJ532" s="66" t="n"/>
      <c r="AK532" s="66" t="n"/>
      <c r="AL532" s="66" t="n"/>
      <c r="AM532" s="66" t="n"/>
      <c r="AN532" s="66" t="n"/>
      <c r="AO532" s="66" t="n"/>
      <c r="AP532" s="66" t="n"/>
    </row>
    <row r="533">
      <c r="A533" s="66" t="n"/>
      <c r="B533" s="66" t="n"/>
      <c r="C533" s="66" t="n"/>
      <c r="D533" s="66" t="n"/>
      <c r="E533" s="67" t="n"/>
      <c r="F533" s="67" t="n"/>
      <c r="G533" s="68" t="n"/>
      <c r="H533" s="66" t="n"/>
      <c r="I533" s="66" t="n"/>
      <c r="J533" s="67" t="n"/>
      <c r="K533" s="67" t="n"/>
      <c r="L533" s="67" t="n"/>
      <c r="M533" s="28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7" t="n"/>
      <c r="X533" s="67" t="n"/>
      <c r="Y533" s="67" t="n"/>
      <c r="Z533" s="67" t="n"/>
      <c r="AA533" s="67" t="n"/>
      <c r="AB533" s="67" t="n"/>
      <c r="AC533" s="67" t="n"/>
      <c r="AD533" s="66" t="n"/>
      <c r="AE533" s="66" t="n"/>
      <c r="AF533" s="66" t="n"/>
      <c r="AG533" s="66" t="n"/>
      <c r="AH533" s="66" t="n"/>
      <c r="AI533" s="66" t="n"/>
      <c r="AJ533" s="66" t="n"/>
      <c r="AK533" s="66" t="n"/>
      <c r="AL533" s="66" t="n"/>
      <c r="AM533" s="66" t="n"/>
      <c r="AN533" s="66" t="n"/>
      <c r="AO533" s="66" t="n"/>
      <c r="AP533" s="66" t="n"/>
    </row>
    <row r="534">
      <c r="A534" s="66" t="n"/>
      <c r="B534" s="66" t="n"/>
      <c r="C534" s="66" t="n"/>
      <c r="D534" s="66" t="n"/>
      <c r="E534" s="67" t="n"/>
      <c r="F534" s="67" t="n"/>
      <c r="G534" s="68" t="n"/>
      <c r="H534" s="66" t="n"/>
      <c r="I534" s="66" t="n"/>
      <c r="J534" s="67" t="n"/>
      <c r="K534" s="67" t="n"/>
      <c r="L534" s="67" t="n"/>
      <c r="M534" s="28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7" t="n"/>
      <c r="X534" s="67" t="n"/>
      <c r="Y534" s="67" t="n"/>
      <c r="Z534" s="67" t="n"/>
      <c r="AA534" s="67" t="n"/>
      <c r="AB534" s="67" t="n"/>
      <c r="AC534" s="67" t="n"/>
      <c r="AD534" s="66" t="n"/>
      <c r="AE534" s="66" t="n"/>
      <c r="AF534" s="66" t="n"/>
      <c r="AG534" s="66" t="n"/>
      <c r="AH534" s="66" t="n"/>
      <c r="AI534" s="66" t="n"/>
      <c r="AJ534" s="66" t="n"/>
      <c r="AK534" s="66" t="n"/>
      <c r="AL534" s="66" t="n"/>
      <c r="AM534" s="66" t="n"/>
      <c r="AN534" s="66" t="n"/>
      <c r="AO534" s="66" t="n"/>
      <c r="AP534" s="66" t="n"/>
    </row>
    <row r="535">
      <c r="A535" s="66" t="n"/>
      <c r="B535" s="66" t="n"/>
      <c r="C535" s="66" t="n"/>
      <c r="D535" s="66" t="n"/>
      <c r="E535" s="67" t="n"/>
      <c r="F535" s="67" t="n"/>
      <c r="G535" s="68" t="n"/>
      <c r="H535" s="66" t="n"/>
      <c r="I535" s="66" t="n"/>
      <c r="J535" s="67" t="n"/>
      <c r="K535" s="67" t="n"/>
      <c r="L535" s="67" t="n"/>
      <c r="M535" s="28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7" t="n"/>
      <c r="X535" s="67" t="n"/>
      <c r="Y535" s="67" t="n"/>
      <c r="Z535" s="67" t="n"/>
      <c r="AA535" s="67" t="n"/>
      <c r="AB535" s="67" t="n"/>
      <c r="AC535" s="67" t="n"/>
      <c r="AD535" s="66" t="n"/>
      <c r="AE535" s="66" t="n"/>
      <c r="AF535" s="66" t="n"/>
      <c r="AG535" s="66" t="n"/>
      <c r="AH535" s="66" t="n"/>
      <c r="AI535" s="66" t="n"/>
      <c r="AJ535" s="66" t="n"/>
      <c r="AK535" s="66" t="n"/>
      <c r="AL535" s="66" t="n"/>
      <c r="AM535" s="66" t="n"/>
      <c r="AN535" s="66" t="n"/>
      <c r="AO535" s="66" t="n"/>
      <c r="AP535" s="66" t="n"/>
    </row>
    <row r="536">
      <c r="A536" s="66" t="n"/>
      <c r="B536" s="66" t="n"/>
      <c r="C536" s="66" t="n"/>
      <c r="D536" s="66" t="n"/>
      <c r="E536" s="67" t="n"/>
      <c r="F536" s="67" t="n"/>
      <c r="G536" s="68" t="n"/>
      <c r="H536" s="66" t="n"/>
      <c r="I536" s="66" t="n"/>
      <c r="J536" s="67" t="n"/>
      <c r="K536" s="67" t="n"/>
      <c r="L536" s="67" t="n"/>
      <c r="M536" s="28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7" t="n"/>
      <c r="X536" s="67" t="n"/>
      <c r="Y536" s="67" t="n"/>
      <c r="Z536" s="67" t="n"/>
      <c r="AA536" s="67" t="n"/>
      <c r="AB536" s="67" t="n"/>
      <c r="AC536" s="67" t="n"/>
      <c r="AD536" s="66" t="n"/>
      <c r="AE536" s="66" t="n"/>
      <c r="AF536" s="66" t="n"/>
      <c r="AG536" s="66" t="n"/>
      <c r="AH536" s="66" t="n"/>
      <c r="AI536" s="66" t="n"/>
      <c r="AJ536" s="66" t="n"/>
      <c r="AK536" s="66" t="n"/>
      <c r="AL536" s="66" t="n"/>
      <c r="AM536" s="66" t="n"/>
      <c r="AN536" s="66" t="n"/>
      <c r="AO536" s="66" t="n"/>
      <c r="AP536" s="66" t="n"/>
    </row>
    <row r="537">
      <c r="A537" s="66" t="n"/>
      <c r="B537" s="66" t="n"/>
      <c r="C537" s="66" t="n"/>
      <c r="D537" s="66" t="n"/>
      <c r="E537" s="67" t="n"/>
      <c r="F537" s="67" t="n"/>
      <c r="G537" s="68" t="n"/>
      <c r="H537" s="66" t="n"/>
      <c r="I537" s="66" t="n"/>
      <c r="J537" s="67" t="n"/>
      <c r="K537" s="67" t="n"/>
      <c r="L537" s="67" t="n"/>
      <c r="M537" s="28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7" t="n"/>
      <c r="X537" s="67" t="n"/>
      <c r="Y537" s="67" t="n"/>
      <c r="Z537" s="67" t="n"/>
      <c r="AA537" s="67" t="n"/>
      <c r="AB537" s="67" t="n"/>
      <c r="AC537" s="67" t="n"/>
      <c r="AD537" s="66" t="n"/>
      <c r="AE537" s="66" t="n"/>
      <c r="AF537" s="66" t="n"/>
      <c r="AG537" s="66" t="n"/>
      <c r="AH537" s="66" t="n"/>
      <c r="AI537" s="66" t="n"/>
      <c r="AJ537" s="66" t="n"/>
      <c r="AK537" s="66" t="n"/>
      <c r="AL537" s="66" t="n"/>
      <c r="AM537" s="66" t="n"/>
      <c r="AN537" s="66" t="n"/>
      <c r="AO537" s="66" t="n"/>
      <c r="AP537" s="66" t="n"/>
    </row>
    <row r="538">
      <c r="A538" s="66" t="n"/>
      <c r="B538" s="66" t="n"/>
      <c r="C538" s="66" t="n"/>
      <c r="D538" s="66" t="n"/>
      <c r="E538" s="67" t="n"/>
      <c r="F538" s="67" t="n"/>
      <c r="G538" s="68" t="n"/>
      <c r="H538" s="66" t="n"/>
      <c r="I538" s="66" t="n"/>
      <c r="J538" s="67" t="n"/>
      <c r="K538" s="67" t="n"/>
      <c r="L538" s="67" t="n"/>
      <c r="M538" s="28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7" t="n"/>
      <c r="X538" s="67" t="n"/>
      <c r="Y538" s="67" t="n"/>
      <c r="Z538" s="67" t="n"/>
      <c r="AA538" s="67" t="n"/>
      <c r="AB538" s="67" t="n"/>
      <c r="AC538" s="67" t="n"/>
      <c r="AD538" s="66" t="n"/>
      <c r="AE538" s="66" t="n"/>
      <c r="AF538" s="66" t="n"/>
      <c r="AG538" s="66" t="n"/>
      <c r="AH538" s="66" t="n"/>
      <c r="AI538" s="66" t="n"/>
      <c r="AJ538" s="66" t="n"/>
      <c r="AK538" s="66" t="n"/>
      <c r="AL538" s="66" t="n"/>
      <c r="AM538" s="66" t="n"/>
      <c r="AN538" s="66" t="n"/>
      <c r="AO538" s="66" t="n"/>
      <c r="AP538" s="66" t="n"/>
    </row>
    <row r="539">
      <c r="A539" s="66" t="n"/>
      <c r="B539" s="66" t="n"/>
      <c r="C539" s="66" t="n"/>
      <c r="D539" s="66" t="n"/>
      <c r="E539" s="67" t="n"/>
      <c r="F539" s="67" t="n"/>
      <c r="G539" s="68" t="n"/>
      <c r="H539" s="66" t="n"/>
      <c r="I539" s="66" t="n"/>
      <c r="J539" s="67" t="n"/>
      <c r="K539" s="67" t="n"/>
      <c r="L539" s="67" t="n"/>
      <c r="M539" s="28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7" t="n"/>
      <c r="X539" s="67" t="n"/>
      <c r="Y539" s="67" t="n"/>
      <c r="Z539" s="67" t="n"/>
      <c r="AA539" s="67" t="n"/>
      <c r="AB539" s="67" t="n"/>
      <c r="AC539" s="67" t="n"/>
      <c r="AD539" s="66" t="n"/>
      <c r="AE539" s="66" t="n"/>
      <c r="AF539" s="66" t="n"/>
      <c r="AG539" s="66" t="n"/>
      <c r="AH539" s="66" t="n"/>
      <c r="AI539" s="66" t="n"/>
      <c r="AJ539" s="66" t="n"/>
      <c r="AK539" s="66" t="n"/>
      <c r="AL539" s="66" t="n"/>
      <c r="AM539" s="66" t="n"/>
      <c r="AN539" s="66" t="n"/>
      <c r="AO539" s="66" t="n"/>
      <c r="AP539" s="66" t="n"/>
    </row>
    <row r="540">
      <c r="A540" s="66" t="n"/>
      <c r="B540" s="66" t="n"/>
      <c r="C540" s="66" t="n"/>
      <c r="D540" s="66" t="n"/>
      <c r="E540" s="67" t="n"/>
      <c r="F540" s="67" t="n"/>
      <c r="G540" s="68" t="n"/>
      <c r="H540" s="66" t="n"/>
      <c r="I540" s="66" t="n"/>
      <c r="J540" s="67" t="n"/>
      <c r="K540" s="67" t="n"/>
      <c r="L540" s="67" t="n"/>
      <c r="M540" s="28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7" t="n"/>
      <c r="X540" s="67" t="n"/>
      <c r="Y540" s="67" t="n"/>
      <c r="Z540" s="67" t="n"/>
      <c r="AA540" s="67" t="n"/>
      <c r="AB540" s="67" t="n"/>
      <c r="AC540" s="67" t="n"/>
      <c r="AD540" s="66" t="n"/>
      <c r="AE540" s="66" t="n"/>
      <c r="AF540" s="66" t="n"/>
      <c r="AG540" s="66" t="n"/>
      <c r="AH540" s="66" t="n"/>
      <c r="AI540" s="66" t="n"/>
      <c r="AJ540" s="66" t="n"/>
      <c r="AK540" s="66" t="n"/>
      <c r="AL540" s="66" t="n"/>
      <c r="AM540" s="66" t="n"/>
      <c r="AN540" s="66" t="n"/>
      <c r="AO540" s="66" t="n"/>
      <c r="AP540" s="66" t="n"/>
    </row>
    <row r="541">
      <c r="A541" s="66" t="n"/>
      <c r="B541" s="66" t="n"/>
      <c r="C541" s="66" t="n"/>
      <c r="D541" s="66" t="n"/>
      <c r="E541" s="67" t="n"/>
      <c r="F541" s="67" t="n"/>
      <c r="G541" s="68" t="n"/>
      <c r="H541" s="66" t="n"/>
      <c r="I541" s="66" t="n"/>
      <c r="J541" s="67" t="n"/>
      <c r="K541" s="67" t="n"/>
      <c r="L541" s="67" t="n"/>
      <c r="M541" s="28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7" t="n"/>
      <c r="X541" s="67" t="n"/>
      <c r="Y541" s="67" t="n"/>
      <c r="Z541" s="67" t="n"/>
      <c r="AA541" s="67" t="n"/>
      <c r="AB541" s="67" t="n"/>
      <c r="AC541" s="67" t="n"/>
      <c r="AD541" s="66" t="n"/>
      <c r="AE541" s="66" t="n"/>
      <c r="AF541" s="66" t="n"/>
      <c r="AG541" s="66" t="n"/>
      <c r="AH541" s="66" t="n"/>
      <c r="AI541" s="66" t="n"/>
      <c r="AJ541" s="66" t="n"/>
      <c r="AK541" s="66" t="n"/>
      <c r="AL541" s="66" t="n"/>
      <c r="AM541" s="66" t="n"/>
      <c r="AN541" s="66" t="n"/>
      <c r="AO541" s="66" t="n"/>
      <c r="AP541" s="66" t="n"/>
    </row>
    <row r="542">
      <c r="A542" s="66" t="n"/>
      <c r="B542" s="66" t="n"/>
      <c r="C542" s="66" t="n"/>
      <c r="D542" s="66" t="n"/>
      <c r="E542" s="67" t="n"/>
      <c r="F542" s="67" t="n"/>
      <c r="G542" s="68" t="n"/>
      <c r="H542" s="66" t="n"/>
      <c r="I542" s="66" t="n"/>
      <c r="J542" s="67" t="n"/>
      <c r="K542" s="67" t="n"/>
      <c r="L542" s="67" t="n"/>
      <c r="M542" s="28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7" t="n"/>
      <c r="X542" s="67" t="n"/>
      <c r="Y542" s="67" t="n"/>
      <c r="Z542" s="67" t="n"/>
      <c r="AA542" s="67" t="n"/>
      <c r="AB542" s="67" t="n"/>
      <c r="AC542" s="67" t="n"/>
      <c r="AD542" s="66" t="n"/>
      <c r="AE542" s="66" t="n"/>
      <c r="AF542" s="66" t="n"/>
      <c r="AG542" s="66" t="n"/>
      <c r="AH542" s="66" t="n"/>
      <c r="AI542" s="66" t="n"/>
      <c r="AJ542" s="66" t="n"/>
      <c r="AK542" s="66" t="n"/>
      <c r="AL542" s="66" t="n"/>
      <c r="AM542" s="66" t="n"/>
      <c r="AN542" s="66" t="n"/>
      <c r="AO542" s="66" t="n"/>
      <c r="AP542" s="66" t="n"/>
    </row>
    <row r="543">
      <c r="A543" s="66" t="n"/>
      <c r="B543" s="66" t="n"/>
      <c r="C543" s="66" t="n"/>
      <c r="D543" s="66" t="n"/>
      <c r="E543" s="67" t="n"/>
      <c r="F543" s="67" t="n"/>
      <c r="G543" s="68" t="n"/>
      <c r="H543" s="66" t="n"/>
      <c r="I543" s="66" t="n"/>
      <c r="J543" s="67" t="n"/>
      <c r="K543" s="67" t="n"/>
      <c r="L543" s="67" t="n"/>
      <c r="M543" s="28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7" t="n"/>
      <c r="X543" s="67" t="n"/>
      <c r="Y543" s="67" t="n"/>
      <c r="Z543" s="67" t="n"/>
      <c r="AA543" s="67" t="n"/>
      <c r="AB543" s="67" t="n"/>
      <c r="AC543" s="67" t="n"/>
      <c r="AD543" s="66" t="n"/>
      <c r="AE543" s="66" t="n"/>
      <c r="AF543" s="66" t="n"/>
      <c r="AG543" s="66" t="n"/>
      <c r="AH543" s="66" t="n"/>
      <c r="AI543" s="66" t="n"/>
      <c r="AJ543" s="66" t="n"/>
      <c r="AK543" s="66" t="n"/>
      <c r="AL543" s="66" t="n"/>
      <c r="AM543" s="66" t="n"/>
      <c r="AN543" s="66" t="n"/>
      <c r="AO543" s="66" t="n"/>
      <c r="AP543" s="66" t="n"/>
    </row>
    <row r="544">
      <c r="A544" s="66" t="n"/>
      <c r="B544" s="66" t="n"/>
      <c r="C544" s="66" t="n"/>
      <c r="D544" s="66" t="n"/>
      <c r="E544" s="67" t="n"/>
      <c r="F544" s="67" t="n"/>
      <c r="G544" s="68" t="n"/>
      <c r="H544" s="66" t="n"/>
      <c r="I544" s="66" t="n"/>
      <c r="J544" s="67" t="n"/>
      <c r="K544" s="67" t="n"/>
      <c r="L544" s="67" t="n"/>
      <c r="M544" s="28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7" t="n"/>
      <c r="X544" s="67" t="n"/>
      <c r="Y544" s="67" t="n"/>
      <c r="Z544" s="67" t="n"/>
      <c r="AA544" s="67" t="n"/>
      <c r="AB544" s="67" t="n"/>
      <c r="AC544" s="67" t="n"/>
      <c r="AD544" s="66" t="n"/>
      <c r="AE544" s="66" t="n"/>
      <c r="AF544" s="66" t="n"/>
      <c r="AG544" s="66" t="n"/>
      <c r="AH544" s="66" t="n"/>
      <c r="AI544" s="66" t="n"/>
      <c r="AJ544" s="66" t="n"/>
      <c r="AK544" s="66" t="n"/>
      <c r="AL544" s="66" t="n"/>
      <c r="AM544" s="66" t="n"/>
      <c r="AN544" s="66" t="n"/>
      <c r="AO544" s="66" t="n"/>
      <c r="AP544" s="66" t="n"/>
    </row>
    <row r="545">
      <c r="A545" s="66" t="n"/>
      <c r="B545" s="66" t="n"/>
      <c r="C545" s="66" t="n"/>
      <c r="D545" s="66" t="n"/>
      <c r="E545" s="67" t="n"/>
      <c r="F545" s="67" t="n"/>
      <c r="G545" s="68" t="n"/>
      <c r="H545" s="66" t="n"/>
      <c r="I545" s="66" t="n"/>
      <c r="J545" s="67" t="n"/>
      <c r="K545" s="67" t="n"/>
      <c r="L545" s="67" t="n"/>
      <c r="M545" s="28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7" t="n"/>
      <c r="X545" s="67" t="n"/>
      <c r="Y545" s="67" t="n"/>
      <c r="Z545" s="67" t="n"/>
      <c r="AA545" s="67" t="n"/>
      <c r="AB545" s="67" t="n"/>
      <c r="AC545" s="67" t="n"/>
      <c r="AD545" s="66" t="n"/>
      <c r="AE545" s="66" t="n"/>
      <c r="AF545" s="66" t="n"/>
      <c r="AG545" s="66" t="n"/>
      <c r="AH545" s="66" t="n"/>
      <c r="AI545" s="66" t="n"/>
      <c r="AJ545" s="66" t="n"/>
      <c r="AK545" s="66" t="n"/>
      <c r="AL545" s="66" t="n"/>
      <c r="AM545" s="66" t="n"/>
      <c r="AN545" s="66" t="n"/>
      <c r="AO545" s="66" t="n"/>
      <c r="AP545" s="66" t="n"/>
    </row>
    <row r="546">
      <c r="A546" s="66" t="n"/>
      <c r="B546" s="66" t="n"/>
      <c r="C546" s="66" t="n"/>
      <c r="D546" s="66" t="n"/>
      <c r="E546" s="67" t="n"/>
      <c r="F546" s="67" t="n"/>
      <c r="G546" s="68" t="n"/>
      <c r="H546" s="66" t="n"/>
      <c r="I546" s="66" t="n"/>
      <c r="J546" s="67" t="n"/>
      <c r="K546" s="67" t="n"/>
      <c r="L546" s="67" t="n"/>
      <c r="M546" s="28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7" t="n"/>
      <c r="X546" s="67" t="n"/>
      <c r="Y546" s="67" t="n"/>
      <c r="Z546" s="67" t="n"/>
      <c r="AA546" s="67" t="n"/>
      <c r="AB546" s="67" t="n"/>
      <c r="AC546" s="67" t="n"/>
      <c r="AD546" s="66" t="n"/>
      <c r="AE546" s="66" t="n"/>
      <c r="AF546" s="66" t="n"/>
      <c r="AG546" s="66" t="n"/>
      <c r="AH546" s="66" t="n"/>
      <c r="AI546" s="66" t="n"/>
      <c r="AJ546" s="66" t="n"/>
      <c r="AK546" s="66" t="n"/>
      <c r="AL546" s="66" t="n"/>
      <c r="AM546" s="66" t="n"/>
      <c r="AN546" s="66" t="n"/>
      <c r="AO546" s="66" t="n"/>
      <c r="AP546" s="66" t="n"/>
    </row>
    <row r="547">
      <c r="A547" s="66" t="n"/>
      <c r="B547" s="66" t="n"/>
      <c r="C547" s="66" t="n"/>
      <c r="D547" s="66" t="n"/>
      <c r="E547" s="67" t="n"/>
      <c r="F547" s="67" t="n"/>
      <c r="G547" s="68" t="n"/>
      <c r="H547" s="66" t="n"/>
      <c r="I547" s="66" t="n"/>
      <c r="J547" s="67" t="n"/>
      <c r="K547" s="67" t="n"/>
      <c r="L547" s="67" t="n"/>
      <c r="M547" s="28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7" t="n"/>
      <c r="X547" s="67" t="n"/>
      <c r="Y547" s="67" t="n"/>
      <c r="Z547" s="67" t="n"/>
      <c r="AA547" s="67" t="n"/>
      <c r="AB547" s="67" t="n"/>
      <c r="AC547" s="67" t="n"/>
      <c r="AD547" s="66" t="n"/>
      <c r="AE547" s="66" t="n"/>
      <c r="AF547" s="66" t="n"/>
      <c r="AG547" s="66" t="n"/>
      <c r="AH547" s="66" t="n"/>
      <c r="AI547" s="66" t="n"/>
      <c r="AJ547" s="66" t="n"/>
      <c r="AK547" s="66" t="n"/>
      <c r="AL547" s="66" t="n"/>
      <c r="AM547" s="66" t="n"/>
      <c r="AN547" s="66" t="n"/>
      <c r="AO547" s="66" t="n"/>
      <c r="AP547" s="66" t="n"/>
    </row>
    <row r="548">
      <c r="A548" s="66" t="n"/>
      <c r="B548" s="66" t="n"/>
      <c r="C548" s="66" t="n"/>
      <c r="D548" s="66" t="n"/>
      <c r="E548" s="67" t="n"/>
      <c r="F548" s="67" t="n"/>
      <c r="G548" s="68" t="n"/>
      <c r="H548" s="66" t="n"/>
      <c r="I548" s="66" t="n"/>
      <c r="J548" s="67" t="n"/>
      <c r="K548" s="67" t="n"/>
      <c r="L548" s="67" t="n"/>
      <c r="M548" s="28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7" t="n"/>
      <c r="X548" s="67" t="n"/>
      <c r="Y548" s="67" t="n"/>
      <c r="Z548" s="67" t="n"/>
      <c r="AA548" s="67" t="n"/>
      <c r="AB548" s="67" t="n"/>
      <c r="AC548" s="67" t="n"/>
      <c r="AD548" s="66" t="n"/>
      <c r="AE548" s="66" t="n"/>
      <c r="AF548" s="66" t="n"/>
      <c r="AG548" s="66" t="n"/>
      <c r="AH548" s="66" t="n"/>
      <c r="AI548" s="66" t="n"/>
      <c r="AJ548" s="66" t="n"/>
      <c r="AK548" s="66" t="n"/>
      <c r="AL548" s="66" t="n"/>
      <c r="AM548" s="66" t="n"/>
      <c r="AN548" s="66" t="n"/>
      <c r="AO548" s="66" t="n"/>
      <c r="AP548" s="66" t="n"/>
    </row>
    <row r="549">
      <c r="A549" s="66" t="n"/>
      <c r="B549" s="66" t="n"/>
      <c r="C549" s="66" t="n"/>
      <c r="D549" s="66" t="n"/>
      <c r="E549" s="67" t="n"/>
      <c r="F549" s="67" t="n"/>
      <c r="G549" s="68" t="n"/>
      <c r="H549" s="66" t="n"/>
      <c r="I549" s="66" t="n"/>
      <c r="J549" s="67" t="n"/>
      <c r="K549" s="67" t="n"/>
      <c r="L549" s="67" t="n"/>
      <c r="M549" s="28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7" t="n"/>
      <c r="X549" s="67" t="n"/>
      <c r="Y549" s="67" t="n"/>
      <c r="Z549" s="67" t="n"/>
      <c r="AA549" s="67" t="n"/>
      <c r="AB549" s="67" t="n"/>
      <c r="AC549" s="67" t="n"/>
      <c r="AD549" s="66" t="n"/>
      <c r="AE549" s="66" t="n"/>
      <c r="AF549" s="66" t="n"/>
      <c r="AG549" s="66" t="n"/>
      <c r="AH549" s="66" t="n"/>
      <c r="AI549" s="66" t="n"/>
      <c r="AJ549" s="66" t="n"/>
      <c r="AK549" s="66" t="n"/>
      <c r="AL549" s="66" t="n"/>
      <c r="AM549" s="66" t="n"/>
      <c r="AN549" s="66" t="n"/>
      <c r="AO549" s="66" t="n"/>
      <c r="AP549" s="66" t="n"/>
    </row>
    <row r="550">
      <c r="A550" s="66" t="n"/>
      <c r="B550" s="66" t="n"/>
      <c r="C550" s="66" t="n"/>
      <c r="D550" s="66" t="n"/>
      <c r="E550" s="67" t="n"/>
      <c r="F550" s="67" t="n"/>
      <c r="G550" s="68" t="n"/>
      <c r="H550" s="66" t="n"/>
      <c r="I550" s="66" t="n"/>
      <c r="J550" s="67" t="n"/>
      <c r="K550" s="67" t="n"/>
      <c r="L550" s="67" t="n"/>
      <c r="M550" s="28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7" t="n"/>
      <c r="X550" s="67" t="n"/>
      <c r="Y550" s="67" t="n"/>
      <c r="Z550" s="67" t="n"/>
      <c r="AA550" s="67" t="n"/>
      <c r="AB550" s="67" t="n"/>
      <c r="AC550" s="67" t="n"/>
      <c r="AD550" s="66" t="n"/>
      <c r="AE550" s="66" t="n"/>
      <c r="AF550" s="66" t="n"/>
      <c r="AG550" s="66" t="n"/>
      <c r="AH550" s="66" t="n"/>
      <c r="AI550" s="66" t="n"/>
      <c r="AJ550" s="66" t="n"/>
      <c r="AK550" s="66" t="n"/>
      <c r="AL550" s="66" t="n"/>
      <c r="AM550" s="66" t="n"/>
      <c r="AN550" s="66" t="n"/>
      <c r="AO550" s="66" t="n"/>
      <c r="AP550" s="66" t="n"/>
    </row>
    <row r="551">
      <c r="A551" s="66" t="n"/>
      <c r="B551" s="66" t="n"/>
      <c r="C551" s="66" t="n"/>
      <c r="D551" s="66" t="n"/>
      <c r="E551" s="67" t="n"/>
      <c r="F551" s="67" t="n"/>
      <c r="G551" s="68" t="n"/>
      <c r="H551" s="66" t="n"/>
      <c r="I551" s="66" t="n"/>
      <c r="J551" s="67" t="n"/>
      <c r="K551" s="67" t="n"/>
      <c r="L551" s="67" t="n"/>
      <c r="M551" s="28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7" t="n"/>
      <c r="X551" s="67" t="n"/>
      <c r="Y551" s="67" t="n"/>
      <c r="Z551" s="67" t="n"/>
      <c r="AA551" s="67" t="n"/>
      <c r="AB551" s="67" t="n"/>
      <c r="AC551" s="67" t="n"/>
      <c r="AD551" s="66" t="n"/>
      <c r="AE551" s="66" t="n"/>
      <c r="AF551" s="66" t="n"/>
      <c r="AG551" s="66" t="n"/>
      <c r="AH551" s="66" t="n"/>
      <c r="AI551" s="66" t="n"/>
      <c r="AJ551" s="66" t="n"/>
      <c r="AK551" s="66" t="n"/>
      <c r="AL551" s="66" t="n"/>
      <c r="AM551" s="66" t="n"/>
      <c r="AN551" s="66" t="n"/>
      <c r="AO551" s="66" t="n"/>
      <c r="AP551" s="66" t="n"/>
    </row>
    <row r="552">
      <c r="A552" s="66" t="n"/>
      <c r="B552" s="66" t="n"/>
      <c r="C552" s="66" t="n"/>
      <c r="D552" s="66" t="n"/>
      <c r="E552" s="67" t="n"/>
      <c r="F552" s="67" t="n"/>
      <c r="G552" s="68" t="n"/>
      <c r="H552" s="66" t="n"/>
      <c r="I552" s="66" t="n"/>
      <c r="J552" s="67" t="n"/>
      <c r="K552" s="67" t="n"/>
      <c r="L552" s="67" t="n"/>
      <c r="M552" s="28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7" t="n"/>
      <c r="X552" s="67" t="n"/>
      <c r="Y552" s="67" t="n"/>
      <c r="Z552" s="67" t="n"/>
      <c r="AA552" s="67" t="n"/>
      <c r="AB552" s="67" t="n"/>
      <c r="AC552" s="67" t="n"/>
      <c r="AD552" s="66" t="n"/>
      <c r="AE552" s="66" t="n"/>
      <c r="AF552" s="66" t="n"/>
      <c r="AG552" s="66" t="n"/>
      <c r="AH552" s="66" t="n"/>
      <c r="AI552" s="66" t="n"/>
      <c r="AJ552" s="66" t="n"/>
      <c r="AK552" s="66" t="n"/>
      <c r="AL552" s="66" t="n"/>
      <c r="AM552" s="66" t="n"/>
      <c r="AN552" s="66" t="n"/>
      <c r="AO552" s="66" t="n"/>
      <c r="AP552" s="66" t="n"/>
    </row>
    <row r="553">
      <c r="A553" s="66" t="n"/>
      <c r="B553" s="66" t="n"/>
      <c r="C553" s="66" t="n"/>
      <c r="D553" s="66" t="n"/>
      <c r="E553" s="67" t="n"/>
      <c r="F553" s="67" t="n"/>
      <c r="G553" s="68" t="n"/>
      <c r="H553" s="66" t="n"/>
      <c r="I553" s="66" t="n"/>
      <c r="J553" s="67" t="n"/>
      <c r="K553" s="67" t="n"/>
      <c r="L553" s="67" t="n"/>
      <c r="M553" s="28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7" t="n"/>
      <c r="X553" s="67" t="n"/>
      <c r="Y553" s="67" t="n"/>
      <c r="Z553" s="67" t="n"/>
      <c r="AA553" s="67" t="n"/>
      <c r="AB553" s="67" t="n"/>
      <c r="AC553" s="67" t="n"/>
      <c r="AD553" s="66" t="n"/>
      <c r="AE553" s="66" t="n"/>
      <c r="AF553" s="66" t="n"/>
      <c r="AG553" s="66" t="n"/>
      <c r="AH553" s="66" t="n"/>
      <c r="AI553" s="66" t="n"/>
      <c r="AJ553" s="66" t="n"/>
      <c r="AK553" s="66" t="n"/>
      <c r="AL553" s="66" t="n"/>
      <c r="AM553" s="66" t="n"/>
      <c r="AN553" s="66" t="n"/>
      <c r="AO553" s="66" t="n"/>
      <c r="AP553" s="66" t="n"/>
    </row>
    <row r="554">
      <c r="A554" s="66" t="n"/>
      <c r="B554" s="66" t="n"/>
      <c r="C554" s="66" t="n"/>
      <c r="D554" s="66" t="n"/>
      <c r="E554" s="67" t="n"/>
      <c r="F554" s="67" t="n"/>
      <c r="G554" s="68" t="n"/>
      <c r="H554" s="66" t="n"/>
      <c r="I554" s="66" t="n"/>
      <c r="J554" s="67" t="n"/>
      <c r="K554" s="67" t="n"/>
      <c r="L554" s="67" t="n"/>
      <c r="M554" s="28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7" t="n"/>
      <c r="X554" s="67" t="n"/>
      <c r="Y554" s="67" t="n"/>
      <c r="Z554" s="67" t="n"/>
      <c r="AA554" s="67" t="n"/>
      <c r="AB554" s="67" t="n"/>
      <c r="AC554" s="67" t="n"/>
      <c r="AD554" s="66" t="n"/>
      <c r="AE554" s="66" t="n"/>
      <c r="AF554" s="66" t="n"/>
      <c r="AG554" s="66" t="n"/>
      <c r="AH554" s="66" t="n"/>
      <c r="AI554" s="66" t="n"/>
      <c r="AJ554" s="66" t="n"/>
      <c r="AK554" s="66" t="n"/>
      <c r="AL554" s="66" t="n"/>
      <c r="AM554" s="66" t="n"/>
      <c r="AN554" s="66" t="n"/>
      <c r="AO554" s="66" t="n"/>
      <c r="AP554" s="66" t="n"/>
    </row>
    <row r="555">
      <c r="A555" s="66" t="n"/>
      <c r="B555" s="66" t="n"/>
      <c r="C555" s="66" t="n"/>
      <c r="D555" s="66" t="n"/>
      <c r="E555" s="67" t="n"/>
      <c r="F555" s="67" t="n"/>
      <c r="G555" s="68" t="n"/>
      <c r="H555" s="66" t="n"/>
      <c r="I555" s="66" t="n"/>
      <c r="J555" s="67" t="n"/>
      <c r="K555" s="67" t="n"/>
      <c r="L555" s="67" t="n"/>
      <c r="M555" s="28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7" t="n"/>
      <c r="X555" s="67" t="n"/>
      <c r="Y555" s="67" t="n"/>
      <c r="Z555" s="67" t="n"/>
      <c r="AA555" s="67" t="n"/>
      <c r="AB555" s="67" t="n"/>
      <c r="AC555" s="67" t="n"/>
      <c r="AD555" s="66" t="n"/>
      <c r="AE555" s="66" t="n"/>
      <c r="AF555" s="66" t="n"/>
      <c r="AG555" s="66" t="n"/>
      <c r="AH555" s="66" t="n"/>
      <c r="AI555" s="66" t="n"/>
      <c r="AJ555" s="66" t="n"/>
      <c r="AK555" s="66" t="n"/>
      <c r="AL555" s="66" t="n"/>
      <c r="AM555" s="66" t="n"/>
      <c r="AN555" s="66" t="n"/>
      <c r="AO555" s="66" t="n"/>
      <c r="AP555" s="66" t="n"/>
    </row>
    <row r="556">
      <c r="A556" s="66" t="n"/>
      <c r="B556" s="66" t="n"/>
      <c r="C556" s="66" t="n"/>
      <c r="D556" s="66" t="n"/>
      <c r="E556" s="67" t="n"/>
      <c r="F556" s="67" t="n"/>
      <c r="G556" s="68" t="n"/>
      <c r="H556" s="66" t="n"/>
      <c r="I556" s="66" t="n"/>
      <c r="J556" s="67" t="n"/>
      <c r="K556" s="67" t="n"/>
      <c r="L556" s="67" t="n"/>
      <c r="M556" s="28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7" t="n"/>
      <c r="X556" s="67" t="n"/>
      <c r="Y556" s="67" t="n"/>
      <c r="Z556" s="67" t="n"/>
      <c r="AA556" s="67" t="n"/>
      <c r="AB556" s="67" t="n"/>
      <c r="AC556" s="67" t="n"/>
      <c r="AD556" s="66" t="n"/>
      <c r="AE556" s="66" t="n"/>
      <c r="AF556" s="66" t="n"/>
      <c r="AG556" s="66" t="n"/>
      <c r="AH556" s="66" t="n"/>
      <c r="AI556" s="66" t="n"/>
      <c r="AJ556" s="66" t="n"/>
      <c r="AK556" s="66" t="n"/>
      <c r="AL556" s="66" t="n"/>
      <c r="AM556" s="66" t="n"/>
      <c r="AN556" s="66" t="n"/>
      <c r="AO556" s="66" t="n"/>
      <c r="AP556" s="66" t="n"/>
    </row>
    <row r="557">
      <c r="A557" s="66" t="n"/>
      <c r="B557" s="66" t="n"/>
      <c r="C557" s="66" t="n"/>
      <c r="D557" s="66" t="n"/>
      <c r="E557" s="67" t="n"/>
      <c r="F557" s="67" t="n"/>
      <c r="G557" s="68" t="n"/>
      <c r="H557" s="66" t="n"/>
      <c r="I557" s="66" t="n"/>
      <c r="J557" s="67" t="n"/>
      <c r="K557" s="67" t="n"/>
      <c r="L557" s="67" t="n"/>
      <c r="M557" s="28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7" t="n"/>
      <c r="X557" s="67" t="n"/>
      <c r="Y557" s="67" t="n"/>
      <c r="Z557" s="67" t="n"/>
      <c r="AA557" s="67" t="n"/>
      <c r="AB557" s="67" t="n"/>
      <c r="AC557" s="67" t="n"/>
      <c r="AD557" s="66" t="n"/>
      <c r="AE557" s="66" t="n"/>
      <c r="AF557" s="66" t="n"/>
      <c r="AG557" s="66" t="n"/>
      <c r="AH557" s="66" t="n"/>
      <c r="AI557" s="66" t="n"/>
      <c r="AJ557" s="66" t="n"/>
      <c r="AK557" s="66" t="n"/>
      <c r="AL557" s="66" t="n"/>
      <c r="AM557" s="66" t="n"/>
      <c r="AN557" s="66" t="n"/>
      <c r="AO557" s="66" t="n"/>
      <c r="AP557" s="66" t="n"/>
    </row>
    <row r="558">
      <c r="A558" s="66" t="n"/>
      <c r="B558" s="66" t="n"/>
      <c r="C558" s="66" t="n"/>
      <c r="D558" s="66" t="n"/>
      <c r="E558" s="67" t="n"/>
      <c r="F558" s="67" t="n"/>
      <c r="G558" s="68" t="n"/>
      <c r="H558" s="66" t="n"/>
      <c r="I558" s="66" t="n"/>
      <c r="J558" s="67" t="n"/>
      <c r="K558" s="67" t="n"/>
      <c r="L558" s="67" t="n"/>
      <c r="M558" s="28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7" t="n"/>
      <c r="X558" s="67" t="n"/>
      <c r="Y558" s="67" t="n"/>
      <c r="Z558" s="67" t="n"/>
      <c r="AA558" s="67" t="n"/>
      <c r="AB558" s="67" t="n"/>
      <c r="AC558" s="67" t="n"/>
      <c r="AD558" s="66" t="n"/>
      <c r="AE558" s="66" t="n"/>
      <c r="AF558" s="66" t="n"/>
      <c r="AG558" s="66" t="n"/>
      <c r="AH558" s="66" t="n"/>
      <c r="AI558" s="66" t="n"/>
      <c r="AJ558" s="66" t="n"/>
      <c r="AK558" s="66" t="n"/>
      <c r="AL558" s="66" t="n"/>
      <c r="AM558" s="66" t="n"/>
      <c r="AN558" s="66" t="n"/>
      <c r="AO558" s="66" t="n"/>
      <c r="AP558" s="66" t="n"/>
    </row>
    <row r="559">
      <c r="A559" s="66" t="n"/>
      <c r="B559" s="66" t="n"/>
      <c r="C559" s="66" t="n"/>
      <c r="D559" s="66" t="n"/>
      <c r="E559" s="67" t="n"/>
      <c r="F559" s="67" t="n"/>
      <c r="G559" s="68" t="n"/>
      <c r="H559" s="66" t="n"/>
      <c r="I559" s="66" t="n"/>
      <c r="J559" s="67" t="n"/>
      <c r="K559" s="67" t="n"/>
      <c r="L559" s="67" t="n"/>
      <c r="M559" s="28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7" t="n"/>
      <c r="X559" s="67" t="n"/>
      <c r="Y559" s="67" t="n"/>
      <c r="Z559" s="67" t="n"/>
      <c r="AA559" s="67" t="n"/>
      <c r="AB559" s="67" t="n"/>
      <c r="AC559" s="67" t="n"/>
      <c r="AD559" s="66" t="n"/>
      <c r="AE559" s="66" t="n"/>
      <c r="AF559" s="66" t="n"/>
      <c r="AG559" s="66" t="n"/>
      <c r="AH559" s="66" t="n"/>
      <c r="AI559" s="66" t="n"/>
      <c r="AJ559" s="66" t="n"/>
      <c r="AK559" s="66" t="n"/>
      <c r="AL559" s="66" t="n"/>
      <c r="AM559" s="66" t="n"/>
      <c r="AN559" s="66" t="n"/>
      <c r="AO559" s="66" t="n"/>
      <c r="AP559" s="66" t="n"/>
    </row>
    <row r="560">
      <c r="A560" s="66" t="n"/>
      <c r="B560" s="66" t="n"/>
      <c r="C560" s="66" t="n"/>
      <c r="D560" s="66" t="n"/>
      <c r="E560" s="67" t="n"/>
      <c r="F560" s="67" t="n"/>
      <c r="G560" s="68" t="n"/>
      <c r="H560" s="66" t="n"/>
      <c r="I560" s="66" t="n"/>
      <c r="J560" s="67" t="n"/>
      <c r="K560" s="67" t="n"/>
      <c r="L560" s="67" t="n"/>
      <c r="M560" s="28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7" t="n"/>
      <c r="X560" s="67" t="n"/>
      <c r="Y560" s="67" t="n"/>
      <c r="Z560" s="67" t="n"/>
      <c r="AA560" s="67" t="n"/>
      <c r="AB560" s="67" t="n"/>
      <c r="AC560" s="67" t="n"/>
      <c r="AD560" s="66" t="n"/>
      <c r="AE560" s="66" t="n"/>
      <c r="AF560" s="66" t="n"/>
      <c r="AG560" s="66" t="n"/>
      <c r="AH560" s="66" t="n"/>
      <c r="AI560" s="66" t="n"/>
      <c r="AJ560" s="66" t="n"/>
      <c r="AK560" s="66" t="n"/>
      <c r="AL560" s="66" t="n"/>
      <c r="AM560" s="66" t="n"/>
      <c r="AN560" s="66" t="n"/>
      <c r="AO560" s="66" t="n"/>
      <c r="AP560" s="66" t="n"/>
    </row>
    <row r="561">
      <c r="A561" s="66" t="n"/>
      <c r="B561" s="66" t="n"/>
      <c r="C561" s="66" t="n"/>
      <c r="D561" s="66" t="n"/>
      <c r="E561" s="67" t="n"/>
      <c r="F561" s="67" t="n"/>
      <c r="G561" s="68" t="n"/>
      <c r="H561" s="66" t="n"/>
      <c r="I561" s="66" t="n"/>
      <c r="J561" s="67" t="n"/>
      <c r="K561" s="67" t="n"/>
      <c r="L561" s="67" t="n"/>
      <c r="M561" s="28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7" t="n"/>
      <c r="X561" s="67" t="n"/>
      <c r="Y561" s="67" t="n"/>
      <c r="Z561" s="67" t="n"/>
      <c r="AA561" s="67" t="n"/>
      <c r="AB561" s="67" t="n"/>
      <c r="AC561" s="67" t="n"/>
      <c r="AD561" s="66" t="n"/>
      <c r="AE561" s="66" t="n"/>
      <c r="AF561" s="66" t="n"/>
      <c r="AG561" s="66" t="n"/>
      <c r="AH561" s="66" t="n"/>
      <c r="AI561" s="66" t="n"/>
      <c r="AJ561" s="66" t="n"/>
      <c r="AK561" s="66" t="n"/>
      <c r="AL561" s="66" t="n"/>
      <c r="AM561" s="66" t="n"/>
      <c r="AN561" s="66" t="n"/>
      <c r="AO561" s="66" t="n"/>
      <c r="AP561" s="66" t="n"/>
    </row>
    <row r="562">
      <c r="A562" s="66" t="n"/>
      <c r="B562" s="66" t="n"/>
      <c r="C562" s="66" t="n"/>
      <c r="D562" s="66" t="n"/>
      <c r="E562" s="67" t="n"/>
      <c r="F562" s="67" t="n"/>
      <c r="G562" s="68" t="n"/>
      <c r="H562" s="66" t="n"/>
      <c r="I562" s="66" t="n"/>
      <c r="J562" s="67" t="n"/>
      <c r="K562" s="67" t="n"/>
      <c r="L562" s="67" t="n"/>
      <c r="M562" s="28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7" t="n"/>
      <c r="X562" s="67" t="n"/>
      <c r="Y562" s="67" t="n"/>
      <c r="Z562" s="67" t="n"/>
      <c r="AA562" s="67" t="n"/>
      <c r="AB562" s="67" t="n"/>
      <c r="AC562" s="67" t="n"/>
      <c r="AD562" s="66" t="n"/>
      <c r="AE562" s="66" t="n"/>
      <c r="AF562" s="66" t="n"/>
      <c r="AG562" s="66" t="n"/>
      <c r="AH562" s="66" t="n"/>
      <c r="AI562" s="66" t="n"/>
      <c r="AJ562" s="66" t="n"/>
      <c r="AK562" s="66" t="n"/>
      <c r="AL562" s="66" t="n"/>
      <c r="AM562" s="66" t="n"/>
      <c r="AN562" s="66" t="n"/>
      <c r="AO562" s="66" t="n"/>
      <c r="AP562" s="66" t="n"/>
    </row>
    <row r="563">
      <c r="A563" s="66" t="n"/>
      <c r="B563" s="66" t="n"/>
      <c r="C563" s="66" t="n"/>
      <c r="D563" s="66" t="n"/>
      <c r="E563" s="67" t="n"/>
      <c r="F563" s="67" t="n"/>
      <c r="G563" s="68" t="n"/>
      <c r="H563" s="66" t="n"/>
      <c r="I563" s="66" t="n"/>
      <c r="J563" s="67" t="n"/>
      <c r="K563" s="67" t="n"/>
      <c r="L563" s="67" t="n"/>
      <c r="M563" s="28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7" t="n"/>
      <c r="X563" s="67" t="n"/>
      <c r="Y563" s="67" t="n"/>
      <c r="Z563" s="67" t="n"/>
      <c r="AA563" s="67" t="n"/>
      <c r="AB563" s="67" t="n"/>
      <c r="AC563" s="67" t="n"/>
      <c r="AD563" s="66" t="n"/>
      <c r="AE563" s="66" t="n"/>
      <c r="AF563" s="66" t="n"/>
      <c r="AG563" s="66" t="n"/>
      <c r="AH563" s="66" t="n"/>
      <c r="AI563" s="66" t="n"/>
      <c r="AJ563" s="66" t="n"/>
      <c r="AK563" s="66" t="n"/>
      <c r="AL563" s="66" t="n"/>
      <c r="AM563" s="66" t="n"/>
      <c r="AN563" s="66" t="n"/>
      <c r="AO563" s="66" t="n"/>
      <c r="AP563" s="66" t="n"/>
    </row>
    <row r="564">
      <c r="A564" s="66" t="n"/>
      <c r="B564" s="66" t="n"/>
      <c r="C564" s="66" t="n"/>
      <c r="D564" s="66" t="n"/>
      <c r="E564" s="67" t="n"/>
      <c r="F564" s="67" t="n"/>
      <c r="G564" s="68" t="n"/>
      <c r="H564" s="66" t="n"/>
      <c r="I564" s="66" t="n"/>
      <c r="J564" s="67" t="n"/>
      <c r="K564" s="67" t="n"/>
      <c r="L564" s="67" t="n"/>
      <c r="M564" s="28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7" t="n"/>
      <c r="X564" s="67" t="n"/>
      <c r="Y564" s="67" t="n"/>
      <c r="Z564" s="67" t="n"/>
      <c r="AA564" s="67" t="n"/>
      <c r="AB564" s="67" t="n"/>
      <c r="AC564" s="67" t="n"/>
      <c r="AD564" s="66" t="n"/>
      <c r="AE564" s="66" t="n"/>
      <c r="AF564" s="66" t="n"/>
      <c r="AG564" s="66" t="n"/>
      <c r="AH564" s="66" t="n"/>
      <c r="AI564" s="66" t="n"/>
      <c r="AJ564" s="66" t="n"/>
      <c r="AK564" s="66" t="n"/>
      <c r="AL564" s="66" t="n"/>
      <c r="AM564" s="66" t="n"/>
      <c r="AN564" s="66" t="n"/>
      <c r="AO564" s="66" t="n"/>
      <c r="AP564" s="66" t="n"/>
    </row>
    <row r="565">
      <c r="A565" s="66" t="n"/>
      <c r="B565" s="66" t="n"/>
      <c r="C565" s="66" t="n"/>
      <c r="D565" s="66" t="n"/>
      <c r="E565" s="67" t="n"/>
      <c r="F565" s="67" t="n"/>
      <c r="G565" s="68" t="n"/>
      <c r="H565" s="66" t="n"/>
      <c r="I565" s="66" t="n"/>
      <c r="J565" s="67" t="n"/>
      <c r="K565" s="67" t="n"/>
      <c r="L565" s="67" t="n"/>
      <c r="M565" s="28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7" t="n"/>
      <c r="X565" s="67" t="n"/>
      <c r="Y565" s="67" t="n"/>
      <c r="Z565" s="67" t="n"/>
      <c r="AA565" s="67" t="n"/>
      <c r="AB565" s="67" t="n"/>
      <c r="AC565" s="67" t="n"/>
      <c r="AD565" s="66" t="n"/>
      <c r="AE565" s="66" t="n"/>
      <c r="AF565" s="66" t="n"/>
      <c r="AG565" s="66" t="n"/>
      <c r="AH565" s="66" t="n"/>
      <c r="AI565" s="66" t="n"/>
      <c r="AJ565" s="66" t="n"/>
      <c r="AK565" s="66" t="n"/>
      <c r="AL565" s="66" t="n"/>
      <c r="AM565" s="66" t="n"/>
      <c r="AN565" s="66" t="n"/>
      <c r="AO565" s="66" t="n"/>
      <c r="AP565" s="66" t="n"/>
    </row>
    <row r="566">
      <c r="A566" s="66" t="n"/>
      <c r="B566" s="66" t="n"/>
      <c r="C566" s="66" t="n"/>
      <c r="D566" s="66" t="n"/>
      <c r="E566" s="67" t="n"/>
      <c r="F566" s="67" t="n"/>
      <c r="G566" s="68" t="n"/>
      <c r="H566" s="66" t="n"/>
      <c r="I566" s="66" t="n"/>
      <c r="J566" s="67" t="n"/>
      <c r="K566" s="67" t="n"/>
      <c r="L566" s="67" t="n"/>
      <c r="M566" s="28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7" t="n"/>
      <c r="X566" s="67" t="n"/>
      <c r="Y566" s="67" t="n"/>
      <c r="Z566" s="67" t="n"/>
      <c r="AA566" s="67" t="n"/>
      <c r="AB566" s="67" t="n"/>
      <c r="AC566" s="67" t="n"/>
      <c r="AD566" s="66" t="n"/>
      <c r="AE566" s="66" t="n"/>
      <c r="AF566" s="66" t="n"/>
      <c r="AG566" s="66" t="n"/>
      <c r="AH566" s="66" t="n"/>
      <c r="AI566" s="66" t="n"/>
      <c r="AJ566" s="66" t="n"/>
      <c r="AK566" s="66" t="n"/>
      <c r="AL566" s="66" t="n"/>
      <c r="AM566" s="66" t="n"/>
      <c r="AN566" s="66" t="n"/>
      <c r="AO566" s="66" t="n"/>
      <c r="AP566" s="66" t="n"/>
    </row>
    <row r="567">
      <c r="A567" s="66" t="n"/>
      <c r="B567" s="66" t="n"/>
      <c r="C567" s="66" t="n"/>
      <c r="D567" s="66" t="n"/>
      <c r="E567" s="67" t="n"/>
      <c r="F567" s="67" t="n"/>
      <c r="G567" s="68" t="n"/>
      <c r="H567" s="66" t="n"/>
      <c r="I567" s="66" t="n"/>
      <c r="J567" s="67" t="n"/>
      <c r="K567" s="67" t="n"/>
      <c r="L567" s="67" t="n"/>
      <c r="M567" s="28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7" t="n"/>
      <c r="X567" s="67" t="n"/>
      <c r="Y567" s="67" t="n"/>
      <c r="Z567" s="67" t="n"/>
      <c r="AA567" s="67" t="n"/>
      <c r="AB567" s="67" t="n"/>
      <c r="AC567" s="67" t="n"/>
      <c r="AD567" s="66" t="n"/>
      <c r="AE567" s="66" t="n"/>
      <c r="AF567" s="66" t="n"/>
      <c r="AG567" s="66" t="n"/>
      <c r="AH567" s="66" t="n"/>
      <c r="AI567" s="66" t="n"/>
      <c r="AJ567" s="66" t="n"/>
      <c r="AK567" s="66" t="n"/>
      <c r="AL567" s="66" t="n"/>
      <c r="AM567" s="66" t="n"/>
      <c r="AN567" s="66" t="n"/>
      <c r="AO567" s="66" t="n"/>
      <c r="AP567" s="66" t="n"/>
    </row>
    <row r="568">
      <c r="A568" s="66" t="n"/>
      <c r="B568" s="66" t="n"/>
      <c r="C568" s="66" t="n"/>
      <c r="D568" s="66" t="n"/>
      <c r="E568" s="67" t="n"/>
      <c r="F568" s="67" t="n"/>
      <c r="G568" s="68" t="n"/>
      <c r="H568" s="66" t="n"/>
      <c r="I568" s="66" t="n"/>
      <c r="J568" s="67" t="n"/>
      <c r="K568" s="67" t="n"/>
      <c r="L568" s="67" t="n"/>
      <c r="M568" s="28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7" t="n"/>
      <c r="X568" s="67" t="n"/>
      <c r="Y568" s="67" t="n"/>
      <c r="Z568" s="67" t="n"/>
      <c r="AA568" s="67" t="n"/>
      <c r="AB568" s="67" t="n"/>
      <c r="AC568" s="67" t="n"/>
      <c r="AD568" s="66" t="n"/>
      <c r="AE568" s="66" t="n"/>
      <c r="AF568" s="66" t="n"/>
      <c r="AG568" s="66" t="n"/>
      <c r="AH568" s="66" t="n"/>
      <c r="AI568" s="66" t="n"/>
      <c r="AJ568" s="66" t="n"/>
      <c r="AK568" s="66" t="n"/>
      <c r="AL568" s="66" t="n"/>
      <c r="AM568" s="66" t="n"/>
      <c r="AN568" s="66" t="n"/>
      <c r="AO568" s="66" t="n"/>
      <c r="AP568" s="66" t="n"/>
    </row>
    <row r="569">
      <c r="A569" s="66" t="n"/>
      <c r="B569" s="66" t="n"/>
      <c r="C569" s="66" t="n"/>
      <c r="D569" s="66" t="n"/>
      <c r="E569" s="67" t="n"/>
      <c r="F569" s="67" t="n"/>
      <c r="G569" s="68" t="n"/>
      <c r="H569" s="66" t="n"/>
      <c r="I569" s="66" t="n"/>
      <c r="J569" s="67" t="n"/>
      <c r="K569" s="67" t="n"/>
      <c r="L569" s="67" t="n"/>
      <c r="M569" s="28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7" t="n"/>
      <c r="X569" s="67" t="n"/>
      <c r="Y569" s="67" t="n"/>
      <c r="Z569" s="67" t="n"/>
      <c r="AA569" s="67" t="n"/>
      <c r="AB569" s="67" t="n"/>
      <c r="AC569" s="67" t="n"/>
      <c r="AD569" s="66" t="n"/>
      <c r="AE569" s="66" t="n"/>
      <c r="AF569" s="66" t="n"/>
      <c r="AG569" s="66" t="n"/>
      <c r="AH569" s="66" t="n"/>
      <c r="AI569" s="66" t="n"/>
      <c r="AJ569" s="66" t="n"/>
      <c r="AK569" s="66" t="n"/>
      <c r="AL569" s="66" t="n"/>
      <c r="AM569" s="66" t="n"/>
      <c r="AN569" s="66" t="n"/>
      <c r="AO569" s="66" t="n"/>
      <c r="AP569" s="66" t="n"/>
    </row>
    <row r="570">
      <c r="A570" s="66" t="n"/>
      <c r="B570" s="66" t="n"/>
      <c r="C570" s="66" t="n"/>
      <c r="D570" s="66" t="n"/>
      <c r="E570" s="67" t="n"/>
      <c r="F570" s="67" t="n"/>
      <c r="G570" s="68" t="n"/>
      <c r="H570" s="66" t="n"/>
      <c r="I570" s="66" t="n"/>
      <c r="J570" s="67" t="n"/>
      <c r="K570" s="67" t="n"/>
      <c r="L570" s="67" t="n"/>
      <c r="M570" s="28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7" t="n"/>
      <c r="X570" s="67" t="n"/>
      <c r="Y570" s="67" t="n"/>
      <c r="Z570" s="67" t="n"/>
      <c r="AA570" s="67" t="n"/>
      <c r="AB570" s="67" t="n"/>
      <c r="AC570" s="67" t="n"/>
      <c r="AD570" s="66" t="n"/>
      <c r="AE570" s="66" t="n"/>
      <c r="AF570" s="66" t="n"/>
      <c r="AG570" s="66" t="n"/>
      <c r="AH570" s="66" t="n"/>
      <c r="AI570" s="66" t="n"/>
      <c r="AJ570" s="66" t="n"/>
      <c r="AK570" s="66" t="n"/>
      <c r="AL570" s="66" t="n"/>
      <c r="AM570" s="66" t="n"/>
      <c r="AN570" s="66" t="n"/>
      <c r="AO570" s="66" t="n"/>
      <c r="AP570" s="66" t="n"/>
    </row>
    <row r="571">
      <c r="A571" s="66" t="n"/>
      <c r="B571" s="66" t="n"/>
      <c r="C571" s="66" t="n"/>
      <c r="D571" s="66" t="n"/>
      <c r="E571" s="67" t="n"/>
      <c r="F571" s="67" t="n"/>
      <c r="G571" s="68" t="n"/>
      <c r="H571" s="66" t="n"/>
      <c r="I571" s="66" t="n"/>
      <c r="J571" s="67" t="n"/>
      <c r="K571" s="67" t="n"/>
      <c r="L571" s="67" t="n"/>
      <c r="M571" s="28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7" t="n"/>
      <c r="X571" s="67" t="n"/>
      <c r="Y571" s="67" t="n"/>
      <c r="Z571" s="67" t="n"/>
      <c r="AA571" s="67" t="n"/>
      <c r="AB571" s="67" t="n"/>
      <c r="AC571" s="67" t="n"/>
      <c r="AD571" s="66" t="n"/>
      <c r="AE571" s="66" t="n"/>
      <c r="AF571" s="66" t="n"/>
      <c r="AG571" s="66" t="n"/>
      <c r="AH571" s="66" t="n"/>
      <c r="AI571" s="66" t="n"/>
      <c r="AJ571" s="66" t="n"/>
      <c r="AK571" s="66" t="n"/>
      <c r="AL571" s="66" t="n"/>
      <c r="AM571" s="66" t="n"/>
      <c r="AN571" s="66" t="n"/>
      <c r="AO571" s="66" t="n"/>
      <c r="AP571" s="66" t="n"/>
    </row>
    <row r="572">
      <c r="A572" s="66" t="n"/>
      <c r="B572" s="66" t="n"/>
      <c r="C572" s="66" t="n"/>
      <c r="D572" s="66" t="n"/>
      <c r="E572" s="67" t="n"/>
      <c r="F572" s="67" t="n"/>
      <c r="G572" s="68" t="n"/>
      <c r="H572" s="66" t="n"/>
      <c r="I572" s="66" t="n"/>
      <c r="J572" s="67" t="n"/>
      <c r="K572" s="67" t="n"/>
      <c r="L572" s="67" t="n"/>
      <c r="M572" s="28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7" t="n"/>
      <c r="X572" s="67" t="n"/>
      <c r="Y572" s="67" t="n"/>
      <c r="Z572" s="67" t="n"/>
      <c r="AA572" s="67" t="n"/>
      <c r="AB572" s="67" t="n"/>
      <c r="AC572" s="67" t="n"/>
      <c r="AD572" s="66" t="n"/>
      <c r="AE572" s="66" t="n"/>
      <c r="AF572" s="66" t="n"/>
      <c r="AG572" s="66" t="n"/>
      <c r="AH572" s="66" t="n"/>
      <c r="AI572" s="66" t="n"/>
      <c r="AJ572" s="66" t="n"/>
      <c r="AK572" s="66" t="n"/>
      <c r="AL572" s="66" t="n"/>
      <c r="AM572" s="66" t="n"/>
      <c r="AN572" s="66" t="n"/>
      <c r="AO572" s="66" t="n"/>
      <c r="AP572" s="66" t="n"/>
    </row>
    <row r="573">
      <c r="A573" s="66" t="n"/>
      <c r="B573" s="66" t="n"/>
      <c r="C573" s="66" t="n"/>
      <c r="D573" s="66" t="n"/>
      <c r="E573" s="67" t="n"/>
      <c r="F573" s="67" t="n"/>
      <c r="G573" s="68" t="n"/>
      <c r="H573" s="66" t="n"/>
      <c r="I573" s="66" t="n"/>
      <c r="J573" s="67" t="n"/>
      <c r="K573" s="67" t="n"/>
      <c r="L573" s="67" t="n"/>
      <c r="M573" s="28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7" t="n"/>
      <c r="X573" s="67" t="n"/>
      <c r="Y573" s="67" t="n"/>
      <c r="Z573" s="67" t="n"/>
      <c r="AA573" s="67" t="n"/>
      <c r="AB573" s="67" t="n"/>
      <c r="AC573" s="67" t="n"/>
      <c r="AD573" s="66" t="n"/>
      <c r="AE573" s="66" t="n"/>
      <c r="AF573" s="66" t="n"/>
      <c r="AG573" s="66" t="n"/>
      <c r="AH573" s="66" t="n"/>
      <c r="AI573" s="66" t="n"/>
      <c r="AJ573" s="66" t="n"/>
      <c r="AK573" s="66" t="n"/>
      <c r="AL573" s="66" t="n"/>
      <c r="AM573" s="66" t="n"/>
      <c r="AN573" s="66" t="n"/>
      <c r="AO573" s="66" t="n"/>
      <c r="AP573" s="66" t="n"/>
    </row>
    <row r="574">
      <c r="A574" s="66" t="n"/>
      <c r="B574" s="66" t="n"/>
      <c r="C574" s="66" t="n"/>
      <c r="D574" s="66" t="n"/>
      <c r="E574" s="67" t="n"/>
      <c r="F574" s="67" t="n"/>
      <c r="G574" s="68" t="n"/>
      <c r="H574" s="66" t="n"/>
      <c r="I574" s="66" t="n"/>
      <c r="J574" s="67" t="n"/>
      <c r="K574" s="67" t="n"/>
      <c r="L574" s="67" t="n"/>
      <c r="M574" s="28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7" t="n"/>
      <c r="X574" s="67" t="n"/>
      <c r="Y574" s="67" t="n"/>
      <c r="Z574" s="67" t="n"/>
      <c r="AA574" s="67" t="n"/>
      <c r="AB574" s="67" t="n"/>
      <c r="AC574" s="67" t="n"/>
      <c r="AD574" s="66" t="n"/>
      <c r="AE574" s="66" t="n"/>
      <c r="AF574" s="66" t="n"/>
      <c r="AG574" s="66" t="n"/>
      <c r="AH574" s="66" t="n"/>
      <c r="AI574" s="66" t="n"/>
      <c r="AJ574" s="66" t="n"/>
      <c r="AK574" s="66" t="n"/>
      <c r="AL574" s="66" t="n"/>
      <c r="AM574" s="66" t="n"/>
      <c r="AN574" s="66" t="n"/>
      <c r="AO574" s="66" t="n"/>
      <c r="AP574" s="66" t="n"/>
    </row>
    <row r="575">
      <c r="A575" s="66" t="n"/>
      <c r="B575" s="66" t="n"/>
      <c r="C575" s="66" t="n"/>
      <c r="D575" s="66" t="n"/>
      <c r="E575" s="67" t="n"/>
      <c r="F575" s="67" t="n"/>
      <c r="G575" s="68" t="n"/>
      <c r="H575" s="66" t="n"/>
      <c r="I575" s="66" t="n"/>
      <c r="J575" s="67" t="n"/>
      <c r="K575" s="67" t="n"/>
      <c r="L575" s="67" t="n"/>
      <c r="M575" s="28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7" t="n"/>
      <c r="X575" s="67" t="n"/>
      <c r="Y575" s="67" t="n"/>
      <c r="Z575" s="67" t="n"/>
      <c r="AA575" s="67" t="n"/>
      <c r="AB575" s="67" t="n"/>
      <c r="AC575" s="67" t="n"/>
      <c r="AD575" s="66" t="n"/>
      <c r="AE575" s="66" t="n"/>
      <c r="AF575" s="66" t="n"/>
      <c r="AG575" s="66" t="n"/>
      <c r="AH575" s="66" t="n"/>
      <c r="AI575" s="66" t="n"/>
      <c r="AJ575" s="66" t="n"/>
      <c r="AK575" s="66" t="n"/>
      <c r="AL575" s="66" t="n"/>
      <c r="AM575" s="66" t="n"/>
      <c r="AN575" s="66" t="n"/>
      <c r="AO575" s="66" t="n"/>
      <c r="AP575" s="66" t="n"/>
    </row>
    <row r="576">
      <c r="A576" s="66" t="n"/>
      <c r="B576" s="66" t="n"/>
      <c r="C576" s="66" t="n"/>
      <c r="D576" s="66" t="n"/>
      <c r="E576" s="67" t="n"/>
      <c r="F576" s="67" t="n"/>
      <c r="G576" s="68" t="n"/>
      <c r="H576" s="66" t="n"/>
      <c r="I576" s="66" t="n"/>
      <c r="J576" s="67" t="n"/>
      <c r="K576" s="67" t="n"/>
      <c r="L576" s="67" t="n"/>
      <c r="M576" s="28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7" t="n"/>
      <c r="X576" s="67" t="n"/>
      <c r="Y576" s="67" t="n"/>
      <c r="Z576" s="67" t="n"/>
      <c r="AA576" s="67" t="n"/>
      <c r="AB576" s="67" t="n"/>
      <c r="AC576" s="67" t="n"/>
      <c r="AD576" s="66" t="n"/>
      <c r="AE576" s="66" t="n"/>
      <c r="AF576" s="66" t="n"/>
      <c r="AG576" s="66" t="n"/>
      <c r="AH576" s="66" t="n"/>
      <c r="AI576" s="66" t="n"/>
      <c r="AJ576" s="66" t="n"/>
      <c r="AK576" s="66" t="n"/>
      <c r="AL576" s="66" t="n"/>
      <c r="AM576" s="66" t="n"/>
      <c r="AN576" s="66" t="n"/>
      <c r="AO576" s="66" t="n"/>
      <c r="AP576" s="66" t="n"/>
    </row>
    <row r="577">
      <c r="A577" s="66" t="n"/>
      <c r="B577" s="66" t="n"/>
      <c r="C577" s="66" t="n"/>
      <c r="D577" s="66" t="n"/>
      <c r="E577" s="67" t="n"/>
      <c r="F577" s="67" t="n"/>
      <c r="G577" s="68" t="n"/>
      <c r="H577" s="66" t="n"/>
      <c r="I577" s="66" t="n"/>
      <c r="J577" s="67" t="n"/>
      <c r="K577" s="67" t="n"/>
      <c r="L577" s="67" t="n"/>
      <c r="M577" s="28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7" t="n"/>
      <c r="X577" s="67" t="n"/>
      <c r="Y577" s="67" t="n"/>
      <c r="Z577" s="67" t="n"/>
      <c r="AA577" s="67" t="n"/>
      <c r="AB577" s="67" t="n"/>
      <c r="AC577" s="67" t="n"/>
      <c r="AD577" s="66" t="n"/>
      <c r="AE577" s="66" t="n"/>
      <c r="AF577" s="66" t="n"/>
      <c r="AG577" s="66" t="n"/>
      <c r="AH577" s="66" t="n"/>
      <c r="AI577" s="66" t="n"/>
      <c r="AJ577" s="66" t="n"/>
      <c r="AK577" s="66" t="n"/>
      <c r="AL577" s="66" t="n"/>
      <c r="AM577" s="66" t="n"/>
      <c r="AN577" s="66" t="n"/>
      <c r="AO577" s="66" t="n"/>
      <c r="AP577" s="66" t="n"/>
    </row>
    <row r="578">
      <c r="A578" s="66" t="n"/>
      <c r="B578" s="66" t="n"/>
      <c r="C578" s="66" t="n"/>
      <c r="D578" s="66" t="n"/>
      <c r="E578" s="67" t="n"/>
      <c r="F578" s="67" t="n"/>
      <c r="G578" s="68" t="n"/>
      <c r="H578" s="66" t="n"/>
      <c r="I578" s="66" t="n"/>
      <c r="J578" s="67" t="n"/>
      <c r="K578" s="67" t="n"/>
      <c r="L578" s="67" t="n"/>
      <c r="M578" s="28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7" t="n"/>
      <c r="X578" s="67" t="n"/>
      <c r="Y578" s="67" t="n"/>
      <c r="Z578" s="67" t="n"/>
      <c r="AA578" s="67" t="n"/>
      <c r="AB578" s="67" t="n"/>
      <c r="AC578" s="67" t="n"/>
      <c r="AD578" s="66" t="n"/>
      <c r="AE578" s="66" t="n"/>
      <c r="AF578" s="66" t="n"/>
      <c r="AG578" s="66" t="n"/>
      <c r="AH578" s="66" t="n"/>
      <c r="AI578" s="66" t="n"/>
      <c r="AJ578" s="66" t="n"/>
      <c r="AK578" s="66" t="n"/>
      <c r="AL578" s="66" t="n"/>
      <c r="AM578" s="66" t="n"/>
      <c r="AN578" s="66" t="n"/>
      <c r="AO578" s="66" t="n"/>
      <c r="AP578" s="66" t="n"/>
    </row>
    <row r="579">
      <c r="A579" s="66" t="n"/>
      <c r="B579" s="66" t="n"/>
      <c r="C579" s="66" t="n"/>
      <c r="D579" s="66" t="n"/>
      <c r="E579" s="67" t="n"/>
      <c r="F579" s="67" t="n"/>
      <c r="G579" s="68" t="n"/>
      <c r="H579" s="66" t="n"/>
      <c r="I579" s="66" t="n"/>
      <c r="J579" s="67" t="n"/>
      <c r="K579" s="67" t="n"/>
      <c r="L579" s="67" t="n"/>
      <c r="M579" s="28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7" t="n"/>
      <c r="X579" s="67" t="n"/>
      <c r="Y579" s="67" t="n"/>
      <c r="Z579" s="67" t="n"/>
      <c r="AA579" s="67" t="n"/>
      <c r="AB579" s="67" t="n"/>
      <c r="AC579" s="67" t="n"/>
      <c r="AD579" s="66" t="n"/>
      <c r="AE579" s="66" t="n"/>
      <c r="AF579" s="66" t="n"/>
      <c r="AG579" s="66" t="n"/>
      <c r="AH579" s="66" t="n"/>
      <c r="AI579" s="66" t="n"/>
      <c r="AJ579" s="66" t="n"/>
      <c r="AK579" s="66" t="n"/>
      <c r="AL579" s="66" t="n"/>
      <c r="AM579" s="66" t="n"/>
      <c r="AN579" s="66" t="n"/>
      <c r="AO579" s="66" t="n"/>
      <c r="AP579" s="66" t="n"/>
    </row>
    <row r="580">
      <c r="A580" s="66" t="n"/>
      <c r="B580" s="66" t="n"/>
      <c r="C580" s="66" t="n"/>
      <c r="D580" s="66" t="n"/>
      <c r="E580" s="67" t="n"/>
      <c r="F580" s="67" t="n"/>
      <c r="G580" s="68" t="n"/>
      <c r="H580" s="66" t="n"/>
      <c r="I580" s="66" t="n"/>
      <c r="J580" s="67" t="n"/>
      <c r="K580" s="67" t="n"/>
      <c r="L580" s="67" t="n"/>
      <c r="M580" s="28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7" t="n"/>
      <c r="X580" s="67" t="n"/>
      <c r="Y580" s="67" t="n"/>
      <c r="Z580" s="67" t="n"/>
      <c r="AA580" s="67" t="n"/>
      <c r="AB580" s="67" t="n"/>
      <c r="AC580" s="67" t="n"/>
      <c r="AD580" s="66" t="n"/>
      <c r="AE580" s="66" t="n"/>
      <c r="AF580" s="66" t="n"/>
      <c r="AG580" s="66" t="n"/>
      <c r="AH580" s="66" t="n"/>
      <c r="AI580" s="66" t="n"/>
      <c r="AJ580" s="66" t="n"/>
      <c r="AK580" s="66" t="n"/>
      <c r="AL580" s="66" t="n"/>
      <c r="AM580" s="66" t="n"/>
      <c r="AN580" s="66" t="n"/>
      <c r="AO580" s="66" t="n"/>
      <c r="AP580" s="66" t="n"/>
    </row>
    <row r="581">
      <c r="A581" s="66" t="n"/>
      <c r="B581" s="66" t="n"/>
      <c r="C581" s="66" t="n"/>
      <c r="D581" s="66" t="n"/>
      <c r="E581" s="67" t="n"/>
      <c r="F581" s="67" t="n"/>
      <c r="G581" s="68" t="n"/>
      <c r="H581" s="66" t="n"/>
      <c r="I581" s="66" t="n"/>
      <c r="J581" s="67" t="n"/>
      <c r="K581" s="67" t="n"/>
      <c r="L581" s="67" t="n"/>
      <c r="M581" s="28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7" t="n"/>
      <c r="X581" s="67" t="n"/>
      <c r="Y581" s="67" t="n"/>
      <c r="Z581" s="67" t="n"/>
      <c r="AA581" s="67" t="n"/>
      <c r="AB581" s="67" t="n"/>
      <c r="AC581" s="67" t="n"/>
      <c r="AD581" s="66" t="n"/>
      <c r="AE581" s="66" t="n"/>
      <c r="AF581" s="66" t="n"/>
      <c r="AG581" s="66" t="n"/>
      <c r="AH581" s="66" t="n"/>
      <c r="AI581" s="66" t="n"/>
      <c r="AJ581" s="66" t="n"/>
      <c r="AK581" s="66" t="n"/>
      <c r="AL581" s="66" t="n"/>
      <c r="AM581" s="66" t="n"/>
      <c r="AN581" s="66" t="n"/>
      <c r="AO581" s="66" t="n"/>
      <c r="AP581" s="66" t="n"/>
    </row>
    <row r="582">
      <c r="A582" s="66" t="n"/>
      <c r="B582" s="66" t="n"/>
      <c r="C582" s="66" t="n"/>
      <c r="D582" s="66" t="n"/>
      <c r="E582" s="67" t="n"/>
      <c r="F582" s="67" t="n"/>
      <c r="G582" s="68" t="n"/>
      <c r="H582" s="66" t="n"/>
      <c r="I582" s="66" t="n"/>
      <c r="J582" s="67" t="n"/>
      <c r="K582" s="67" t="n"/>
      <c r="L582" s="67" t="n"/>
      <c r="M582" s="28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7" t="n"/>
      <c r="X582" s="67" t="n"/>
      <c r="Y582" s="67" t="n"/>
      <c r="Z582" s="67" t="n"/>
      <c r="AA582" s="67" t="n"/>
      <c r="AB582" s="67" t="n"/>
      <c r="AC582" s="67" t="n"/>
      <c r="AD582" s="66" t="n"/>
      <c r="AE582" s="66" t="n"/>
      <c r="AF582" s="66" t="n"/>
      <c r="AG582" s="66" t="n"/>
      <c r="AH582" s="66" t="n"/>
      <c r="AI582" s="66" t="n"/>
      <c r="AJ582" s="66" t="n"/>
      <c r="AK582" s="66" t="n"/>
      <c r="AL582" s="66" t="n"/>
      <c r="AM582" s="66" t="n"/>
      <c r="AN582" s="66" t="n"/>
      <c r="AO582" s="66" t="n"/>
      <c r="AP582" s="66" t="n"/>
    </row>
    <row r="583">
      <c r="A583" s="66" t="n"/>
      <c r="B583" s="66" t="n"/>
      <c r="C583" s="66" t="n"/>
      <c r="D583" s="66" t="n"/>
      <c r="E583" s="67" t="n"/>
      <c r="F583" s="67" t="n"/>
      <c r="G583" s="68" t="n"/>
      <c r="H583" s="66" t="n"/>
      <c r="I583" s="66" t="n"/>
      <c r="J583" s="67" t="n"/>
      <c r="K583" s="67" t="n"/>
      <c r="L583" s="67" t="n"/>
      <c r="M583" s="28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7" t="n"/>
      <c r="X583" s="67" t="n"/>
      <c r="Y583" s="67" t="n"/>
      <c r="Z583" s="67" t="n"/>
      <c r="AA583" s="67" t="n"/>
      <c r="AB583" s="67" t="n"/>
      <c r="AC583" s="67" t="n"/>
      <c r="AD583" s="66" t="n"/>
      <c r="AE583" s="66" t="n"/>
      <c r="AF583" s="66" t="n"/>
      <c r="AG583" s="66" t="n"/>
      <c r="AH583" s="66" t="n"/>
      <c r="AI583" s="66" t="n"/>
      <c r="AJ583" s="66" t="n"/>
      <c r="AK583" s="66" t="n"/>
      <c r="AL583" s="66" t="n"/>
      <c r="AM583" s="66" t="n"/>
      <c r="AN583" s="66" t="n"/>
      <c r="AO583" s="66" t="n"/>
      <c r="AP583" s="66" t="n"/>
    </row>
    <row r="584">
      <c r="A584" s="66" t="n"/>
      <c r="B584" s="66" t="n"/>
      <c r="C584" s="66" t="n"/>
      <c r="D584" s="66" t="n"/>
      <c r="E584" s="67" t="n"/>
      <c r="F584" s="67" t="n"/>
      <c r="G584" s="68" t="n"/>
      <c r="H584" s="66" t="n"/>
      <c r="I584" s="66" t="n"/>
      <c r="J584" s="67" t="n"/>
      <c r="K584" s="67" t="n"/>
      <c r="L584" s="67" t="n"/>
      <c r="M584" s="28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7" t="n"/>
      <c r="X584" s="67" t="n"/>
      <c r="Y584" s="67" t="n"/>
      <c r="Z584" s="67" t="n"/>
      <c r="AA584" s="67" t="n"/>
      <c r="AB584" s="67" t="n"/>
      <c r="AC584" s="67" t="n"/>
      <c r="AD584" s="66" t="n"/>
      <c r="AE584" s="66" t="n"/>
      <c r="AF584" s="66" t="n"/>
      <c r="AG584" s="66" t="n"/>
      <c r="AH584" s="66" t="n"/>
      <c r="AI584" s="66" t="n"/>
      <c r="AJ584" s="66" t="n"/>
      <c r="AK584" s="66" t="n"/>
      <c r="AL584" s="66" t="n"/>
      <c r="AM584" s="66" t="n"/>
      <c r="AN584" s="66" t="n"/>
      <c r="AO584" s="66" t="n"/>
      <c r="AP584" s="66" t="n"/>
    </row>
    <row r="585">
      <c r="A585" s="66" t="n"/>
      <c r="B585" s="66" t="n"/>
      <c r="C585" s="66" t="n"/>
      <c r="D585" s="66" t="n"/>
      <c r="E585" s="67" t="n"/>
      <c r="F585" s="67" t="n"/>
      <c r="G585" s="68" t="n"/>
      <c r="H585" s="66" t="n"/>
      <c r="I585" s="66" t="n"/>
      <c r="J585" s="67" t="n"/>
      <c r="K585" s="67" t="n"/>
      <c r="L585" s="67" t="n"/>
      <c r="M585" s="28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7" t="n"/>
      <c r="X585" s="67" t="n"/>
      <c r="Y585" s="67" t="n"/>
      <c r="Z585" s="67" t="n"/>
      <c r="AA585" s="67" t="n"/>
      <c r="AB585" s="67" t="n"/>
      <c r="AC585" s="67" t="n"/>
      <c r="AD585" s="66" t="n"/>
      <c r="AE585" s="66" t="n"/>
      <c r="AF585" s="66" t="n"/>
      <c r="AG585" s="66" t="n"/>
      <c r="AH585" s="66" t="n"/>
      <c r="AI585" s="66" t="n"/>
      <c r="AJ585" s="66" t="n"/>
      <c r="AK585" s="66" t="n"/>
      <c r="AL585" s="66" t="n"/>
      <c r="AM585" s="66" t="n"/>
      <c r="AN585" s="66" t="n"/>
      <c r="AO585" s="66" t="n"/>
      <c r="AP585" s="66" t="n"/>
    </row>
    <row r="586">
      <c r="A586" s="66" t="n"/>
      <c r="B586" s="66" t="n"/>
      <c r="C586" s="66" t="n"/>
      <c r="D586" s="66" t="n"/>
      <c r="E586" s="67" t="n"/>
      <c r="F586" s="67" t="n"/>
      <c r="G586" s="68" t="n"/>
      <c r="H586" s="66" t="n"/>
      <c r="I586" s="66" t="n"/>
      <c r="J586" s="67" t="n"/>
      <c r="K586" s="67" t="n"/>
      <c r="L586" s="67" t="n"/>
      <c r="M586" s="28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7" t="n"/>
      <c r="X586" s="67" t="n"/>
      <c r="Y586" s="67" t="n"/>
      <c r="Z586" s="67" t="n"/>
      <c r="AA586" s="67" t="n"/>
      <c r="AB586" s="67" t="n"/>
      <c r="AC586" s="67" t="n"/>
      <c r="AD586" s="66" t="n"/>
      <c r="AE586" s="66" t="n"/>
      <c r="AF586" s="66" t="n"/>
      <c r="AG586" s="66" t="n"/>
      <c r="AH586" s="66" t="n"/>
      <c r="AI586" s="66" t="n"/>
      <c r="AJ586" s="66" t="n"/>
      <c r="AK586" s="66" t="n"/>
      <c r="AL586" s="66" t="n"/>
      <c r="AM586" s="66" t="n"/>
      <c r="AN586" s="66" t="n"/>
      <c r="AO586" s="66" t="n"/>
      <c r="AP586" s="66" t="n"/>
    </row>
    <row r="587">
      <c r="A587" s="66" t="n"/>
      <c r="B587" s="66" t="n"/>
      <c r="C587" s="66" t="n"/>
      <c r="D587" s="66" t="n"/>
      <c r="E587" s="67" t="n"/>
      <c r="F587" s="67" t="n"/>
      <c r="G587" s="68" t="n"/>
      <c r="H587" s="66" t="n"/>
      <c r="I587" s="66" t="n"/>
      <c r="J587" s="67" t="n"/>
      <c r="K587" s="67" t="n"/>
      <c r="L587" s="67" t="n"/>
      <c r="M587" s="28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7" t="n"/>
      <c r="X587" s="67" t="n"/>
      <c r="Y587" s="67" t="n"/>
      <c r="Z587" s="67" t="n"/>
      <c r="AA587" s="67" t="n"/>
      <c r="AB587" s="67" t="n"/>
      <c r="AC587" s="67" t="n"/>
      <c r="AD587" s="66" t="n"/>
      <c r="AE587" s="66" t="n"/>
      <c r="AF587" s="66" t="n"/>
      <c r="AG587" s="66" t="n"/>
      <c r="AH587" s="66" t="n"/>
      <c r="AI587" s="66" t="n"/>
      <c r="AJ587" s="66" t="n"/>
      <c r="AK587" s="66" t="n"/>
      <c r="AL587" s="66" t="n"/>
      <c r="AM587" s="66" t="n"/>
      <c r="AN587" s="66" t="n"/>
      <c r="AO587" s="66" t="n"/>
      <c r="AP587" s="66" t="n"/>
    </row>
    <row r="588">
      <c r="A588" s="66" t="n"/>
      <c r="B588" s="66" t="n"/>
      <c r="C588" s="66" t="n"/>
      <c r="D588" s="66" t="n"/>
      <c r="E588" s="67" t="n"/>
      <c r="F588" s="67" t="n"/>
      <c r="G588" s="68" t="n"/>
      <c r="H588" s="66" t="n"/>
      <c r="I588" s="66" t="n"/>
      <c r="J588" s="67" t="n"/>
      <c r="K588" s="67" t="n"/>
      <c r="L588" s="67" t="n"/>
      <c r="M588" s="28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7" t="n"/>
      <c r="X588" s="67" t="n"/>
      <c r="Y588" s="67" t="n"/>
      <c r="Z588" s="67" t="n"/>
      <c r="AA588" s="67" t="n"/>
      <c r="AB588" s="67" t="n"/>
      <c r="AC588" s="67" t="n"/>
      <c r="AD588" s="66" t="n"/>
      <c r="AE588" s="66" t="n"/>
      <c r="AF588" s="66" t="n"/>
      <c r="AG588" s="66" t="n"/>
      <c r="AH588" s="66" t="n"/>
      <c r="AI588" s="66" t="n"/>
      <c r="AJ588" s="66" t="n"/>
      <c r="AK588" s="66" t="n"/>
      <c r="AL588" s="66" t="n"/>
      <c r="AM588" s="66" t="n"/>
      <c r="AN588" s="66" t="n"/>
      <c r="AO588" s="66" t="n"/>
      <c r="AP588" s="66" t="n"/>
    </row>
    <row r="589">
      <c r="A589" s="66" t="n"/>
      <c r="B589" s="66" t="n"/>
      <c r="C589" s="66" t="n"/>
      <c r="D589" s="66" t="n"/>
      <c r="E589" s="67" t="n"/>
      <c r="F589" s="67" t="n"/>
      <c r="G589" s="68" t="n"/>
      <c r="H589" s="66" t="n"/>
      <c r="I589" s="66" t="n"/>
      <c r="J589" s="67" t="n"/>
      <c r="K589" s="67" t="n"/>
      <c r="L589" s="67" t="n"/>
      <c r="M589" s="28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7" t="n"/>
      <c r="X589" s="67" t="n"/>
      <c r="Y589" s="67" t="n"/>
      <c r="Z589" s="67" t="n"/>
      <c r="AA589" s="67" t="n"/>
      <c r="AB589" s="67" t="n"/>
      <c r="AC589" s="67" t="n"/>
      <c r="AD589" s="66" t="n"/>
      <c r="AE589" s="66" t="n"/>
      <c r="AF589" s="66" t="n"/>
      <c r="AG589" s="66" t="n"/>
      <c r="AH589" s="66" t="n"/>
      <c r="AI589" s="66" t="n"/>
      <c r="AJ589" s="66" t="n"/>
      <c r="AK589" s="66" t="n"/>
      <c r="AL589" s="66" t="n"/>
      <c r="AM589" s="66" t="n"/>
      <c r="AN589" s="66" t="n"/>
      <c r="AO589" s="66" t="n"/>
      <c r="AP589" s="66" t="n"/>
    </row>
    <row r="590">
      <c r="A590" s="66" t="n"/>
      <c r="B590" s="66" t="n"/>
      <c r="C590" s="66" t="n"/>
      <c r="D590" s="66" t="n"/>
      <c r="E590" s="67" t="n"/>
      <c r="F590" s="67" t="n"/>
      <c r="G590" s="68" t="n"/>
      <c r="H590" s="66" t="n"/>
      <c r="I590" s="66" t="n"/>
      <c r="J590" s="67" t="n"/>
      <c r="K590" s="67" t="n"/>
      <c r="L590" s="67" t="n"/>
      <c r="M590" s="28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7" t="n"/>
      <c r="X590" s="67" t="n"/>
      <c r="Y590" s="67" t="n"/>
      <c r="Z590" s="67" t="n"/>
      <c r="AA590" s="67" t="n"/>
      <c r="AB590" s="67" t="n"/>
      <c r="AC590" s="67" t="n"/>
      <c r="AD590" s="66" t="n"/>
      <c r="AE590" s="66" t="n"/>
      <c r="AF590" s="66" t="n"/>
      <c r="AG590" s="66" t="n"/>
      <c r="AH590" s="66" t="n"/>
      <c r="AI590" s="66" t="n"/>
      <c r="AJ590" s="66" t="n"/>
      <c r="AK590" s="66" t="n"/>
      <c r="AL590" s="66" t="n"/>
      <c r="AM590" s="66" t="n"/>
      <c r="AN590" s="66" t="n"/>
      <c r="AO590" s="66" t="n"/>
      <c r="AP590" s="66" t="n"/>
    </row>
    <row r="591">
      <c r="A591" s="66" t="n"/>
      <c r="B591" s="66" t="n"/>
      <c r="C591" s="66" t="n"/>
      <c r="D591" s="66" t="n"/>
      <c r="E591" s="67" t="n"/>
      <c r="F591" s="67" t="n"/>
      <c r="G591" s="68" t="n"/>
      <c r="H591" s="66" t="n"/>
      <c r="I591" s="66" t="n"/>
      <c r="J591" s="67" t="n"/>
      <c r="K591" s="67" t="n"/>
      <c r="L591" s="67" t="n"/>
      <c r="M591" s="28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7" t="n"/>
      <c r="X591" s="67" t="n"/>
      <c r="Y591" s="67" t="n"/>
      <c r="Z591" s="67" t="n"/>
      <c r="AA591" s="67" t="n"/>
      <c r="AB591" s="67" t="n"/>
      <c r="AC591" s="67" t="n"/>
      <c r="AD591" s="66" t="n"/>
      <c r="AE591" s="66" t="n"/>
      <c r="AF591" s="66" t="n"/>
      <c r="AG591" s="66" t="n"/>
      <c r="AH591" s="66" t="n"/>
      <c r="AI591" s="66" t="n"/>
      <c r="AJ591" s="66" t="n"/>
      <c r="AK591" s="66" t="n"/>
      <c r="AL591" s="66" t="n"/>
      <c r="AM591" s="66" t="n"/>
      <c r="AN591" s="66" t="n"/>
      <c r="AO591" s="66" t="n"/>
      <c r="AP591" s="66" t="n"/>
    </row>
    <row r="592">
      <c r="A592" s="66" t="n"/>
      <c r="B592" s="66" t="n"/>
      <c r="C592" s="66" t="n"/>
      <c r="D592" s="66" t="n"/>
      <c r="E592" s="67" t="n"/>
      <c r="F592" s="67" t="n"/>
      <c r="G592" s="68" t="n"/>
      <c r="H592" s="66" t="n"/>
      <c r="I592" s="66" t="n"/>
      <c r="J592" s="67" t="n"/>
      <c r="K592" s="67" t="n"/>
      <c r="L592" s="67" t="n"/>
      <c r="M592" s="28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7" t="n"/>
      <c r="X592" s="67" t="n"/>
      <c r="Y592" s="67" t="n"/>
      <c r="Z592" s="67" t="n"/>
      <c r="AA592" s="67" t="n"/>
      <c r="AB592" s="67" t="n"/>
      <c r="AC592" s="67" t="n"/>
      <c r="AD592" s="66" t="n"/>
      <c r="AE592" s="66" t="n"/>
      <c r="AF592" s="66" t="n"/>
      <c r="AG592" s="66" t="n"/>
      <c r="AH592" s="66" t="n"/>
      <c r="AI592" s="66" t="n"/>
      <c r="AJ592" s="66" t="n"/>
      <c r="AK592" s="66" t="n"/>
      <c r="AL592" s="66" t="n"/>
      <c r="AM592" s="66" t="n"/>
      <c r="AN592" s="66" t="n"/>
      <c r="AO592" s="66" t="n"/>
      <c r="AP592" s="66" t="n"/>
    </row>
    <row r="593">
      <c r="A593" s="66" t="n"/>
      <c r="B593" s="66" t="n"/>
      <c r="C593" s="66" t="n"/>
      <c r="D593" s="66" t="n"/>
      <c r="E593" s="67" t="n"/>
      <c r="F593" s="67" t="n"/>
      <c r="G593" s="68" t="n"/>
      <c r="H593" s="66" t="n"/>
      <c r="I593" s="66" t="n"/>
      <c r="J593" s="67" t="n"/>
      <c r="K593" s="67" t="n"/>
      <c r="L593" s="67" t="n"/>
      <c r="M593" s="28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7" t="n"/>
      <c r="X593" s="67" t="n"/>
      <c r="Y593" s="67" t="n"/>
      <c r="Z593" s="67" t="n"/>
      <c r="AA593" s="67" t="n"/>
      <c r="AB593" s="67" t="n"/>
      <c r="AC593" s="67" t="n"/>
      <c r="AD593" s="66" t="n"/>
      <c r="AE593" s="66" t="n"/>
      <c r="AF593" s="66" t="n"/>
      <c r="AG593" s="66" t="n"/>
      <c r="AH593" s="66" t="n"/>
      <c r="AI593" s="66" t="n"/>
      <c r="AJ593" s="66" t="n"/>
      <c r="AK593" s="66" t="n"/>
      <c r="AL593" s="66" t="n"/>
      <c r="AM593" s="66" t="n"/>
      <c r="AN593" s="66" t="n"/>
      <c r="AO593" s="66" t="n"/>
      <c r="AP593" s="66" t="n"/>
    </row>
    <row r="594">
      <c r="A594" s="66" t="n"/>
      <c r="B594" s="66" t="n"/>
      <c r="C594" s="66" t="n"/>
      <c r="D594" s="66" t="n"/>
      <c r="E594" s="67" t="n"/>
      <c r="F594" s="67" t="n"/>
      <c r="G594" s="68" t="n"/>
      <c r="H594" s="66" t="n"/>
      <c r="I594" s="66" t="n"/>
      <c r="J594" s="67" t="n"/>
      <c r="K594" s="67" t="n"/>
      <c r="L594" s="67" t="n"/>
      <c r="M594" s="28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7" t="n"/>
      <c r="X594" s="67" t="n"/>
      <c r="Y594" s="67" t="n"/>
      <c r="Z594" s="67" t="n"/>
      <c r="AA594" s="67" t="n"/>
      <c r="AB594" s="67" t="n"/>
      <c r="AC594" s="67" t="n"/>
      <c r="AD594" s="66" t="n"/>
      <c r="AE594" s="66" t="n"/>
      <c r="AF594" s="66" t="n"/>
      <c r="AG594" s="66" t="n"/>
      <c r="AH594" s="66" t="n"/>
      <c r="AI594" s="66" t="n"/>
      <c r="AJ594" s="66" t="n"/>
      <c r="AK594" s="66" t="n"/>
      <c r="AL594" s="66" t="n"/>
      <c r="AM594" s="66" t="n"/>
      <c r="AN594" s="66" t="n"/>
      <c r="AO594" s="66" t="n"/>
      <c r="AP594" s="66" t="n"/>
    </row>
    <row r="595">
      <c r="A595" s="66" t="n"/>
      <c r="B595" s="66" t="n"/>
      <c r="C595" s="66" t="n"/>
      <c r="D595" s="66" t="n"/>
      <c r="E595" s="67" t="n"/>
      <c r="F595" s="67" t="n"/>
      <c r="G595" s="68" t="n"/>
      <c r="H595" s="66" t="n"/>
      <c r="I595" s="66" t="n"/>
      <c r="J595" s="67" t="n"/>
      <c r="K595" s="67" t="n"/>
      <c r="L595" s="67" t="n"/>
      <c r="M595" s="28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7" t="n"/>
      <c r="X595" s="67" t="n"/>
      <c r="Y595" s="67" t="n"/>
      <c r="Z595" s="67" t="n"/>
      <c r="AA595" s="67" t="n"/>
      <c r="AB595" s="67" t="n"/>
      <c r="AC595" s="67" t="n"/>
      <c r="AD595" s="66" t="n"/>
      <c r="AE595" s="66" t="n"/>
      <c r="AF595" s="66" t="n"/>
      <c r="AG595" s="66" t="n"/>
      <c r="AH595" s="66" t="n"/>
      <c r="AI595" s="66" t="n"/>
      <c r="AJ595" s="66" t="n"/>
      <c r="AK595" s="66" t="n"/>
      <c r="AL595" s="66" t="n"/>
      <c r="AM595" s="66" t="n"/>
      <c r="AN595" s="66" t="n"/>
      <c r="AO595" s="66" t="n"/>
      <c r="AP595" s="66" t="n"/>
    </row>
    <row r="596">
      <c r="A596" s="66" t="n"/>
      <c r="B596" s="66" t="n"/>
      <c r="C596" s="66" t="n"/>
      <c r="D596" s="66" t="n"/>
      <c r="E596" s="67" t="n"/>
      <c r="F596" s="67" t="n"/>
      <c r="G596" s="68" t="n"/>
      <c r="H596" s="66" t="n"/>
      <c r="I596" s="66" t="n"/>
      <c r="J596" s="67" t="n"/>
      <c r="K596" s="67" t="n"/>
      <c r="L596" s="67" t="n"/>
      <c r="M596" s="28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7" t="n"/>
      <c r="X596" s="67" t="n"/>
      <c r="Y596" s="67" t="n"/>
      <c r="Z596" s="67" t="n"/>
      <c r="AA596" s="67" t="n"/>
      <c r="AB596" s="67" t="n"/>
      <c r="AC596" s="67" t="n"/>
      <c r="AD596" s="66" t="n"/>
      <c r="AE596" s="66" t="n"/>
      <c r="AF596" s="66" t="n"/>
      <c r="AG596" s="66" t="n"/>
      <c r="AH596" s="66" t="n"/>
      <c r="AI596" s="66" t="n"/>
      <c r="AJ596" s="66" t="n"/>
      <c r="AK596" s="66" t="n"/>
      <c r="AL596" s="66" t="n"/>
      <c r="AM596" s="66" t="n"/>
      <c r="AN596" s="66" t="n"/>
      <c r="AO596" s="66" t="n"/>
      <c r="AP596" s="66" t="n"/>
    </row>
    <row r="597">
      <c r="A597" s="66" t="n"/>
      <c r="B597" s="66" t="n"/>
      <c r="C597" s="66" t="n"/>
      <c r="D597" s="66" t="n"/>
      <c r="E597" s="67" t="n"/>
      <c r="F597" s="67" t="n"/>
      <c r="G597" s="68" t="n"/>
      <c r="H597" s="66" t="n"/>
      <c r="I597" s="66" t="n"/>
      <c r="J597" s="67" t="n"/>
      <c r="K597" s="67" t="n"/>
      <c r="L597" s="67" t="n"/>
      <c r="M597" s="28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7" t="n"/>
      <c r="X597" s="67" t="n"/>
      <c r="Y597" s="67" t="n"/>
      <c r="Z597" s="67" t="n"/>
      <c r="AA597" s="67" t="n"/>
      <c r="AB597" s="67" t="n"/>
      <c r="AC597" s="67" t="n"/>
      <c r="AD597" s="66" t="n"/>
      <c r="AE597" s="66" t="n"/>
      <c r="AF597" s="66" t="n"/>
      <c r="AG597" s="66" t="n"/>
      <c r="AH597" s="66" t="n"/>
      <c r="AI597" s="66" t="n"/>
      <c r="AJ597" s="66" t="n"/>
      <c r="AK597" s="66" t="n"/>
      <c r="AL597" s="66" t="n"/>
      <c r="AM597" s="66" t="n"/>
      <c r="AN597" s="66" t="n"/>
      <c r="AO597" s="66" t="n"/>
      <c r="AP597" s="66" t="n"/>
    </row>
    <row r="598">
      <c r="A598" s="66" t="n"/>
      <c r="B598" s="66" t="n"/>
      <c r="C598" s="66" t="n"/>
      <c r="D598" s="66" t="n"/>
      <c r="E598" s="67" t="n"/>
      <c r="F598" s="67" t="n"/>
      <c r="G598" s="68" t="n"/>
      <c r="H598" s="66" t="n"/>
      <c r="I598" s="66" t="n"/>
      <c r="J598" s="67" t="n"/>
      <c r="K598" s="67" t="n"/>
      <c r="L598" s="67" t="n"/>
      <c r="M598" s="28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7" t="n"/>
      <c r="X598" s="67" t="n"/>
      <c r="Y598" s="67" t="n"/>
      <c r="Z598" s="67" t="n"/>
      <c r="AA598" s="67" t="n"/>
      <c r="AB598" s="67" t="n"/>
      <c r="AC598" s="67" t="n"/>
      <c r="AD598" s="66" t="n"/>
      <c r="AE598" s="66" t="n"/>
      <c r="AF598" s="66" t="n"/>
      <c r="AG598" s="66" t="n"/>
      <c r="AH598" s="66" t="n"/>
      <c r="AI598" s="66" t="n"/>
      <c r="AJ598" s="66" t="n"/>
      <c r="AK598" s="66" t="n"/>
      <c r="AL598" s="66" t="n"/>
      <c r="AM598" s="66" t="n"/>
      <c r="AN598" s="66" t="n"/>
      <c r="AO598" s="66" t="n"/>
      <c r="AP598" s="66" t="n"/>
    </row>
    <row r="599">
      <c r="A599" s="66" t="n"/>
      <c r="B599" s="66" t="n"/>
      <c r="C599" s="66" t="n"/>
      <c r="D599" s="66" t="n"/>
      <c r="E599" s="67" t="n"/>
      <c r="F599" s="67" t="n"/>
      <c r="G599" s="68" t="n"/>
      <c r="H599" s="66" t="n"/>
      <c r="I599" s="66" t="n"/>
      <c r="J599" s="67" t="n"/>
      <c r="K599" s="67" t="n"/>
      <c r="L599" s="67" t="n"/>
      <c r="M599" s="28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7" t="n"/>
      <c r="X599" s="67" t="n"/>
      <c r="Y599" s="67" t="n"/>
      <c r="Z599" s="67" t="n"/>
      <c r="AA599" s="67" t="n"/>
      <c r="AB599" s="67" t="n"/>
      <c r="AC599" s="67" t="n"/>
      <c r="AD599" s="66" t="n"/>
      <c r="AE599" s="66" t="n"/>
      <c r="AF599" s="66" t="n"/>
      <c r="AG599" s="66" t="n"/>
      <c r="AH599" s="66" t="n"/>
      <c r="AI599" s="66" t="n"/>
      <c r="AJ599" s="66" t="n"/>
      <c r="AK599" s="66" t="n"/>
      <c r="AL599" s="66" t="n"/>
      <c r="AM599" s="66" t="n"/>
      <c r="AN599" s="66" t="n"/>
      <c r="AO599" s="66" t="n"/>
      <c r="AP599" s="66" t="n"/>
    </row>
    <row r="600">
      <c r="A600" s="66" t="n"/>
      <c r="B600" s="66" t="n"/>
      <c r="C600" s="66" t="n"/>
      <c r="D600" s="66" t="n"/>
      <c r="E600" s="67" t="n"/>
      <c r="F600" s="67" t="n"/>
      <c r="G600" s="68" t="n"/>
      <c r="H600" s="66" t="n"/>
      <c r="I600" s="66" t="n"/>
      <c r="J600" s="67" t="n"/>
      <c r="K600" s="67" t="n"/>
      <c r="L600" s="67" t="n"/>
      <c r="M600" s="28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7" t="n"/>
      <c r="X600" s="67" t="n"/>
      <c r="Y600" s="67" t="n"/>
      <c r="Z600" s="67" t="n"/>
      <c r="AA600" s="67" t="n"/>
      <c r="AB600" s="67" t="n"/>
      <c r="AC600" s="67" t="n"/>
      <c r="AD600" s="66" t="n"/>
      <c r="AE600" s="66" t="n"/>
      <c r="AF600" s="66" t="n"/>
      <c r="AG600" s="66" t="n"/>
      <c r="AH600" s="66" t="n"/>
      <c r="AI600" s="66" t="n"/>
      <c r="AJ600" s="66" t="n"/>
      <c r="AK600" s="66" t="n"/>
      <c r="AL600" s="66" t="n"/>
      <c r="AM600" s="66" t="n"/>
      <c r="AN600" s="66" t="n"/>
      <c r="AO600" s="66" t="n"/>
      <c r="AP600" s="66" t="n"/>
    </row>
    <row r="601">
      <c r="A601" s="66" t="n"/>
      <c r="B601" s="66" t="n"/>
      <c r="C601" s="66" t="n"/>
      <c r="D601" s="66" t="n"/>
      <c r="E601" s="67" t="n"/>
      <c r="F601" s="67" t="n"/>
      <c r="G601" s="68" t="n"/>
      <c r="H601" s="66" t="n"/>
      <c r="I601" s="66" t="n"/>
      <c r="J601" s="67" t="n"/>
      <c r="K601" s="67" t="n"/>
      <c r="L601" s="67" t="n"/>
      <c r="M601" s="28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7" t="n"/>
      <c r="X601" s="67" t="n"/>
      <c r="Y601" s="67" t="n"/>
      <c r="Z601" s="67" t="n"/>
      <c r="AA601" s="67" t="n"/>
      <c r="AB601" s="67" t="n"/>
      <c r="AC601" s="67" t="n"/>
      <c r="AD601" s="66" t="n"/>
      <c r="AE601" s="66" t="n"/>
      <c r="AF601" s="66" t="n"/>
      <c r="AG601" s="66" t="n"/>
      <c r="AH601" s="66" t="n"/>
      <c r="AI601" s="66" t="n"/>
      <c r="AJ601" s="66" t="n"/>
      <c r="AK601" s="66" t="n"/>
      <c r="AL601" s="66" t="n"/>
      <c r="AM601" s="66" t="n"/>
      <c r="AN601" s="66" t="n"/>
      <c r="AO601" s="66" t="n"/>
      <c r="AP601" s="66" t="n"/>
    </row>
    <row r="602">
      <c r="A602" s="66" t="n"/>
      <c r="B602" s="66" t="n"/>
      <c r="C602" s="66" t="n"/>
      <c r="D602" s="66" t="n"/>
      <c r="E602" s="67" t="n"/>
      <c r="F602" s="67" t="n"/>
      <c r="G602" s="68" t="n"/>
      <c r="H602" s="66" t="n"/>
      <c r="I602" s="66" t="n"/>
      <c r="J602" s="67" t="n"/>
      <c r="K602" s="67" t="n"/>
      <c r="L602" s="67" t="n"/>
      <c r="M602" s="28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7" t="n"/>
      <c r="X602" s="67" t="n"/>
      <c r="Y602" s="67" t="n"/>
      <c r="Z602" s="67" t="n"/>
      <c r="AA602" s="67" t="n"/>
      <c r="AB602" s="67" t="n"/>
      <c r="AC602" s="67" t="n"/>
      <c r="AD602" s="66" t="n"/>
      <c r="AE602" s="66" t="n"/>
      <c r="AF602" s="66" t="n"/>
      <c r="AG602" s="66" t="n"/>
      <c r="AH602" s="66" t="n"/>
      <c r="AI602" s="66" t="n"/>
      <c r="AJ602" s="66" t="n"/>
      <c r="AK602" s="66" t="n"/>
      <c r="AL602" s="66" t="n"/>
      <c r="AM602" s="66" t="n"/>
      <c r="AN602" s="66" t="n"/>
      <c r="AO602" s="66" t="n"/>
      <c r="AP602" s="66" t="n"/>
    </row>
    <row r="603">
      <c r="A603" s="66" t="n"/>
      <c r="B603" s="66" t="n"/>
      <c r="C603" s="66" t="n"/>
      <c r="D603" s="66" t="n"/>
      <c r="E603" s="67" t="n"/>
      <c r="F603" s="67" t="n"/>
      <c r="G603" s="68" t="n"/>
      <c r="H603" s="66" t="n"/>
      <c r="I603" s="66" t="n"/>
      <c r="J603" s="67" t="n"/>
      <c r="K603" s="67" t="n"/>
      <c r="L603" s="67" t="n"/>
      <c r="M603" s="28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7" t="n"/>
      <c r="X603" s="67" t="n"/>
      <c r="Y603" s="67" t="n"/>
      <c r="Z603" s="67" t="n"/>
      <c r="AA603" s="67" t="n"/>
      <c r="AB603" s="67" t="n"/>
      <c r="AC603" s="67" t="n"/>
      <c r="AD603" s="66" t="n"/>
      <c r="AE603" s="66" t="n"/>
      <c r="AF603" s="66" t="n"/>
      <c r="AG603" s="66" t="n"/>
      <c r="AH603" s="66" t="n"/>
      <c r="AI603" s="66" t="n"/>
      <c r="AJ603" s="66" t="n"/>
      <c r="AK603" s="66" t="n"/>
      <c r="AL603" s="66" t="n"/>
      <c r="AM603" s="66" t="n"/>
      <c r="AN603" s="66" t="n"/>
      <c r="AO603" s="66" t="n"/>
      <c r="AP603" s="66" t="n"/>
    </row>
    <row r="604">
      <c r="A604" s="66" t="n"/>
      <c r="B604" s="66" t="n"/>
      <c r="C604" s="66" t="n"/>
      <c r="D604" s="66" t="n"/>
      <c r="E604" s="67" t="n"/>
      <c r="F604" s="67" t="n"/>
      <c r="G604" s="68" t="n"/>
      <c r="H604" s="66" t="n"/>
      <c r="I604" s="66" t="n"/>
      <c r="J604" s="67" t="n"/>
      <c r="K604" s="67" t="n"/>
      <c r="L604" s="67" t="n"/>
      <c r="M604" s="28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7" t="n"/>
      <c r="X604" s="67" t="n"/>
      <c r="Y604" s="67" t="n"/>
      <c r="Z604" s="67" t="n"/>
      <c r="AA604" s="67" t="n"/>
      <c r="AB604" s="67" t="n"/>
      <c r="AC604" s="67" t="n"/>
      <c r="AD604" s="66" t="n"/>
      <c r="AE604" s="66" t="n"/>
      <c r="AF604" s="66" t="n"/>
      <c r="AG604" s="66" t="n"/>
      <c r="AH604" s="66" t="n"/>
      <c r="AI604" s="66" t="n"/>
      <c r="AJ604" s="66" t="n"/>
      <c r="AK604" s="66" t="n"/>
      <c r="AL604" s="66" t="n"/>
      <c r="AM604" s="66" t="n"/>
      <c r="AN604" s="66" t="n"/>
      <c r="AO604" s="66" t="n"/>
      <c r="AP604" s="66" t="n"/>
    </row>
    <row r="605">
      <c r="A605" s="66" t="n"/>
      <c r="B605" s="66" t="n"/>
      <c r="C605" s="66" t="n"/>
      <c r="D605" s="66" t="n"/>
      <c r="E605" s="67" t="n"/>
      <c r="F605" s="67" t="n"/>
      <c r="G605" s="68" t="n"/>
      <c r="H605" s="66" t="n"/>
      <c r="I605" s="66" t="n"/>
      <c r="J605" s="67" t="n"/>
      <c r="K605" s="67" t="n"/>
      <c r="L605" s="67" t="n"/>
      <c r="M605" s="28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7" t="n"/>
      <c r="X605" s="67" t="n"/>
      <c r="Y605" s="67" t="n"/>
      <c r="Z605" s="67" t="n"/>
      <c r="AA605" s="67" t="n"/>
      <c r="AB605" s="67" t="n"/>
      <c r="AC605" s="67" t="n"/>
      <c r="AD605" s="66" t="n"/>
      <c r="AE605" s="66" t="n"/>
      <c r="AF605" s="66" t="n"/>
      <c r="AG605" s="66" t="n"/>
      <c r="AH605" s="66" t="n"/>
      <c r="AI605" s="66" t="n"/>
      <c r="AJ605" s="66" t="n"/>
      <c r="AK605" s="66" t="n"/>
      <c r="AL605" s="66" t="n"/>
      <c r="AM605" s="66" t="n"/>
      <c r="AN605" s="66" t="n"/>
      <c r="AO605" s="66" t="n"/>
      <c r="AP605" s="66" t="n"/>
    </row>
    <row r="606">
      <c r="A606" s="66" t="n"/>
      <c r="B606" s="66" t="n"/>
      <c r="C606" s="66" t="n"/>
      <c r="D606" s="66" t="n"/>
      <c r="E606" s="67" t="n"/>
      <c r="F606" s="67" t="n"/>
      <c r="G606" s="68" t="n"/>
      <c r="H606" s="66" t="n"/>
      <c r="I606" s="66" t="n"/>
      <c r="J606" s="67" t="n"/>
      <c r="K606" s="67" t="n"/>
      <c r="L606" s="67" t="n"/>
      <c r="M606" s="28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7" t="n"/>
      <c r="X606" s="67" t="n"/>
      <c r="Y606" s="67" t="n"/>
      <c r="Z606" s="67" t="n"/>
      <c r="AA606" s="67" t="n"/>
      <c r="AB606" s="67" t="n"/>
      <c r="AC606" s="67" t="n"/>
      <c r="AD606" s="66" t="n"/>
      <c r="AE606" s="66" t="n"/>
      <c r="AF606" s="66" t="n"/>
      <c r="AG606" s="66" t="n"/>
      <c r="AH606" s="66" t="n"/>
      <c r="AI606" s="66" t="n"/>
      <c r="AJ606" s="66" t="n"/>
      <c r="AK606" s="66" t="n"/>
      <c r="AL606" s="66" t="n"/>
      <c r="AM606" s="66" t="n"/>
      <c r="AN606" s="66" t="n"/>
      <c r="AO606" s="66" t="n"/>
      <c r="AP606" s="66" t="n"/>
    </row>
    <row r="607">
      <c r="A607" s="66" t="n"/>
      <c r="B607" s="66" t="n"/>
      <c r="C607" s="66" t="n"/>
      <c r="D607" s="66" t="n"/>
      <c r="E607" s="67" t="n"/>
      <c r="F607" s="67" t="n"/>
      <c r="G607" s="68" t="n"/>
      <c r="H607" s="66" t="n"/>
      <c r="I607" s="66" t="n"/>
      <c r="J607" s="67" t="n"/>
      <c r="K607" s="67" t="n"/>
      <c r="L607" s="67" t="n"/>
      <c r="M607" s="28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7" t="n"/>
      <c r="X607" s="67" t="n"/>
      <c r="Y607" s="67" t="n"/>
      <c r="Z607" s="67" t="n"/>
      <c r="AA607" s="67" t="n"/>
      <c r="AB607" s="67" t="n"/>
      <c r="AC607" s="67" t="n"/>
      <c r="AD607" s="66" t="n"/>
      <c r="AE607" s="66" t="n"/>
      <c r="AF607" s="66" t="n"/>
      <c r="AG607" s="66" t="n"/>
      <c r="AH607" s="66" t="n"/>
      <c r="AI607" s="66" t="n"/>
      <c r="AJ607" s="66" t="n"/>
      <c r="AK607" s="66" t="n"/>
      <c r="AL607" s="66" t="n"/>
      <c r="AM607" s="66" t="n"/>
      <c r="AN607" s="66" t="n"/>
      <c r="AO607" s="66" t="n"/>
      <c r="AP607" s="66" t="n"/>
    </row>
    <row r="608">
      <c r="A608" s="66" t="n"/>
      <c r="B608" s="66" t="n"/>
      <c r="C608" s="66" t="n"/>
      <c r="D608" s="66" t="n"/>
      <c r="E608" s="67" t="n"/>
      <c r="F608" s="67" t="n"/>
      <c r="G608" s="68" t="n"/>
      <c r="H608" s="66" t="n"/>
      <c r="I608" s="66" t="n"/>
      <c r="J608" s="67" t="n"/>
      <c r="K608" s="67" t="n"/>
      <c r="L608" s="67" t="n"/>
      <c r="M608" s="28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7" t="n"/>
      <c r="X608" s="67" t="n"/>
      <c r="Y608" s="67" t="n"/>
      <c r="Z608" s="67" t="n"/>
      <c r="AA608" s="67" t="n"/>
      <c r="AB608" s="67" t="n"/>
      <c r="AC608" s="67" t="n"/>
      <c r="AD608" s="66" t="n"/>
      <c r="AE608" s="66" t="n"/>
      <c r="AF608" s="66" t="n"/>
      <c r="AG608" s="66" t="n"/>
      <c r="AH608" s="66" t="n"/>
      <c r="AI608" s="66" t="n"/>
      <c r="AJ608" s="66" t="n"/>
      <c r="AK608" s="66" t="n"/>
      <c r="AL608" s="66" t="n"/>
      <c r="AM608" s="66" t="n"/>
      <c r="AN608" s="66" t="n"/>
      <c r="AO608" s="66" t="n"/>
      <c r="AP608" s="66" t="n"/>
    </row>
    <row r="609">
      <c r="A609" s="66" t="n"/>
      <c r="B609" s="66" t="n"/>
      <c r="C609" s="66" t="n"/>
      <c r="D609" s="66" t="n"/>
      <c r="E609" s="67" t="n"/>
      <c r="F609" s="67" t="n"/>
      <c r="G609" s="68" t="n"/>
      <c r="H609" s="66" t="n"/>
      <c r="I609" s="66" t="n"/>
      <c r="J609" s="67" t="n"/>
      <c r="K609" s="67" t="n"/>
      <c r="L609" s="67" t="n"/>
      <c r="M609" s="28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7" t="n"/>
      <c r="X609" s="67" t="n"/>
      <c r="Y609" s="67" t="n"/>
      <c r="Z609" s="67" t="n"/>
      <c r="AA609" s="67" t="n"/>
      <c r="AB609" s="67" t="n"/>
      <c r="AC609" s="67" t="n"/>
      <c r="AD609" s="66" t="n"/>
      <c r="AE609" s="66" t="n"/>
      <c r="AF609" s="66" t="n"/>
      <c r="AG609" s="66" t="n"/>
      <c r="AH609" s="66" t="n"/>
      <c r="AI609" s="66" t="n"/>
      <c r="AJ609" s="66" t="n"/>
      <c r="AK609" s="66" t="n"/>
      <c r="AL609" s="66" t="n"/>
      <c r="AM609" s="66" t="n"/>
      <c r="AN609" s="66" t="n"/>
      <c r="AO609" s="66" t="n"/>
      <c r="AP609" s="66" t="n"/>
    </row>
    <row r="610">
      <c r="A610" s="66" t="n"/>
      <c r="B610" s="66" t="n"/>
      <c r="C610" s="66" t="n"/>
      <c r="D610" s="66" t="n"/>
      <c r="E610" s="67" t="n"/>
      <c r="F610" s="67" t="n"/>
      <c r="G610" s="68" t="n"/>
      <c r="H610" s="66" t="n"/>
      <c r="I610" s="66" t="n"/>
      <c r="J610" s="67" t="n"/>
      <c r="K610" s="67" t="n"/>
      <c r="L610" s="67" t="n"/>
      <c r="M610" s="28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7" t="n"/>
      <c r="X610" s="67" t="n"/>
      <c r="Y610" s="67" t="n"/>
      <c r="Z610" s="67" t="n"/>
      <c r="AA610" s="67" t="n"/>
      <c r="AB610" s="67" t="n"/>
      <c r="AC610" s="67" t="n"/>
      <c r="AD610" s="66" t="n"/>
      <c r="AE610" s="66" t="n"/>
      <c r="AF610" s="66" t="n"/>
      <c r="AG610" s="66" t="n"/>
      <c r="AH610" s="66" t="n"/>
      <c r="AI610" s="66" t="n"/>
      <c r="AJ610" s="66" t="n"/>
      <c r="AK610" s="66" t="n"/>
      <c r="AL610" s="66" t="n"/>
      <c r="AM610" s="66" t="n"/>
      <c r="AN610" s="66" t="n"/>
      <c r="AO610" s="66" t="n"/>
      <c r="AP610" s="66" t="n"/>
    </row>
    <row r="611">
      <c r="A611" s="66" t="n"/>
      <c r="B611" s="66" t="n"/>
      <c r="C611" s="66" t="n"/>
      <c r="D611" s="66" t="n"/>
      <c r="E611" s="67" t="n"/>
      <c r="F611" s="67" t="n"/>
      <c r="G611" s="68" t="n"/>
      <c r="H611" s="66" t="n"/>
      <c r="I611" s="66" t="n"/>
      <c r="J611" s="67" t="n"/>
      <c r="K611" s="67" t="n"/>
      <c r="L611" s="67" t="n"/>
      <c r="M611" s="28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7" t="n"/>
      <c r="X611" s="67" t="n"/>
      <c r="Y611" s="67" t="n"/>
      <c r="Z611" s="67" t="n"/>
      <c r="AA611" s="67" t="n"/>
      <c r="AB611" s="67" t="n"/>
      <c r="AC611" s="67" t="n"/>
      <c r="AD611" s="66" t="n"/>
      <c r="AE611" s="66" t="n"/>
      <c r="AF611" s="66" t="n"/>
      <c r="AG611" s="66" t="n"/>
      <c r="AH611" s="66" t="n"/>
      <c r="AI611" s="66" t="n"/>
      <c r="AJ611" s="66" t="n"/>
      <c r="AK611" s="66" t="n"/>
      <c r="AL611" s="66" t="n"/>
      <c r="AM611" s="66" t="n"/>
      <c r="AN611" s="66" t="n"/>
      <c r="AO611" s="66" t="n"/>
      <c r="AP611" s="66" t="n"/>
    </row>
    <row r="612">
      <c r="A612" s="66" t="n"/>
      <c r="B612" s="66" t="n"/>
      <c r="C612" s="66" t="n"/>
      <c r="D612" s="66" t="n"/>
      <c r="E612" s="67" t="n"/>
      <c r="F612" s="67" t="n"/>
      <c r="G612" s="68" t="n"/>
      <c r="H612" s="66" t="n"/>
      <c r="I612" s="66" t="n"/>
      <c r="J612" s="67" t="n"/>
      <c r="K612" s="67" t="n"/>
      <c r="L612" s="67" t="n"/>
      <c r="M612" s="28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7" t="n"/>
      <c r="X612" s="67" t="n"/>
      <c r="Y612" s="67" t="n"/>
      <c r="Z612" s="67" t="n"/>
      <c r="AA612" s="67" t="n"/>
      <c r="AB612" s="67" t="n"/>
      <c r="AC612" s="67" t="n"/>
      <c r="AD612" s="66" t="n"/>
      <c r="AE612" s="66" t="n"/>
      <c r="AF612" s="66" t="n"/>
      <c r="AG612" s="66" t="n"/>
      <c r="AH612" s="66" t="n"/>
      <c r="AI612" s="66" t="n"/>
      <c r="AJ612" s="66" t="n"/>
      <c r="AK612" s="66" t="n"/>
      <c r="AL612" s="66" t="n"/>
      <c r="AM612" s="66" t="n"/>
      <c r="AN612" s="66" t="n"/>
      <c r="AO612" s="66" t="n"/>
      <c r="AP612" s="66" t="n"/>
    </row>
    <row r="613">
      <c r="A613" s="66" t="n"/>
      <c r="B613" s="66" t="n"/>
      <c r="C613" s="66" t="n"/>
      <c r="D613" s="66" t="n"/>
      <c r="E613" s="67" t="n"/>
      <c r="F613" s="67" t="n"/>
      <c r="G613" s="68" t="n"/>
      <c r="H613" s="66" t="n"/>
      <c r="I613" s="66" t="n"/>
      <c r="J613" s="67" t="n"/>
      <c r="K613" s="67" t="n"/>
      <c r="L613" s="67" t="n"/>
      <c r="M613" s="28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7" t="n"/>
      <c r="X613" s="67" t="n"/>
      <c r="Y613" s="67" t="n"/>
      <c r="Z613" s="67" t="n"/>
      <c r="AA613" s="67" t="n"/>
      <c r="AB613" s="67" t="n"/>
      <c r="AC613" s="67" t="n"/>
      <c r="AD613" s="66" t="n"/>
      <c r="AE613" s="66" t="n"/>
      <c r="AF613" s="66" t="n"/>
      <c r="AG613" s="66" t="n"/>
      <c r="AH613" s="66" t="n"/>
      <c r="AI613" s="66" t="n"/>
      <c r="AJ613" s="66" t="n"/>
      <c r="AK613" s="66" t="n"/>
      <c r="AL613" s="66" t="n"/>
      <c r="AM613" s="66" t="n"/>
      <c r="AN613" s="66" t="n"/>
      <c r="AO613" s="66" t="n"/>
      <c r="AP613" s="66" t="n"/>
    </row>
    <row r="614">
      <c r="A614" s="66" t="n"/>
      <c r="B614" s="66" t="n"/>
      <c r="C614" s="66" t="n"/>
      <c r="D614" s="66" t="n"/>
      <c r="E614" s="67" t="n"/>
      <c r="F614" s="67" t="n"/>
      <c r="G614" s="68" t="n"/>
      <c r="H614" s="66" t="n"/>
      <c r="I614" s="66" t="n"/>
      <c r="J614" s="67" t="n"/>
      <c r="K614" s="67" t="n"/>
      <c r="L614" s="67" t="n"/>
      <c r="M614" s="28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7" t="n"/>
      <c r="X614" s="67" t="n"/>
      <c r="Y614" s="67" t="n"/>
      <c r="Z614" s="67" t="n"/>
      <c r="AA614" s="67" t="n"/>
      <c r="AB614" s="67" t="n"/>
      <c r="AC614" s="67" t="n"/>
      <c r="AD614" s="66" t="n"/>
      <c r="AE614" s="66" t="n"/>
      <c r="AF614" s="66" t="n"/>
      <c r="AG614" s="66" t="n"/>
      <c r="AH614" s="66" t="n"/>
      <c r="AI614" s="66" t="n"/>
      <c r="AJ614" s="66" t="n"/>
      <c r="AK614" s="66" t="n"/>
      <c r="AL614" s="66" t="n"/>
      <c r="AM614" s="66" t="n"/>
      <c r="AN614" s="66" t="n"/>
      <c r="AO614" s="66" t="n"/>
      <c r="AP614" s="66" t="n"/>
    </row>
    <row r="615">
      <c r="A615" s="66" t="n"/>
      <c r="B615" s="66" t="n"/>
      <c r="C615" s="66" t="n"/>
      <c r="D615" s="66" t="n"/>
      <c r="E615" s="67" t="n"/>
      <c r="F615" s="67" t="n"/>
      <c r="G615" s="68" t="n"/>
      <c r="H615" s="66" t="n"/>
      <c r="I615" s="66" t="n"/>
      <c r="J615" s="67" t="n"/>
      <c r="K615" s="67" t="n"/>
      <c r="L615" s="67" t="n"/>
      <c r="M615" s="28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7" t="n"/>
      <c r="X615" s="67" t="n"/>
      <c r="Y615" s="67" t="n"/>
      <c r="Z615" s="67" t="n"/>
      <c r="AA615" s="67" t="n"/>
      <c r="AB615" s="67" t="n"/>
      <c r="AC615" s="67" t="n"/>
      <c r="AD615" s="66" t="n"/>
      <c r="AE615" s="66" t="n"/>
      <c r="AF615" s="66" t="n"/>
      <c r="AG615" s="66" t="n"/>
      <c r="AH615" s="66" t="n"/>
      <c r="AI615" s="66" t="n"/>
      <c r="AJ615" s="66" t="n"/>
      <c r="AK615" s="66" t="n"/>
      <c r="AL615" s="66" t="n"/>
      <c r="AM615" s="66" t="n"/>
      <c r="AN615" s="66" t="n"/>
      <c r="AO615" s="66" t="n"/>
      <c r="AP615" s="66" t="n"/>
    </row>
    <row r="616">
      <c r="A616" s="66" t="n"/>
      <c r="B616" s="66" t="n"/>
      <c r="C616" s="66" t="n"/>
      <c r="D616" s="66" t="n"/>
      <c r="E616" s="67" t="n"/>
      <c r="F616" s="67" t="n"/>
      <c r="G616" s="68" t="n"/>
      <c r="H616" s="66" t="n"/>
      <c r="I616" s="66" t="n"/>
      <c r="J616" s="67" t="n"/>
      <c r="K616" s="67" t="n"/>
      <c r="L616" s="67" t="n"/>
      <c r="M616" s="28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7" t="n"/>
      <c r="X616" s="67" t="n"/>
      <c r="Y616" s="67" t="n"/>
      <c r="Z616" s="67" t="n"/>
      <c r="AA616" s="67" t="n"/>
      <c r="AB616" s="67" t="n"/>
      <c r="AC616" s="67" t="n"/>
      <c r="AD616" s="66" t="n"/>
      <c r="AE616" s="66" t="n"/>
      <c r="AF616" s="66" t="n"/>
      <c r="AG616" s="66" t="n"/>
      <c r="AH616" s="66" t="n"/>
      <c r="AI616" s="66" t="n"/>
      <c r="AJ616" s="66" t="n"/>
      <c r="AK616" s="66" t="n"/>
      <c r="AL616" s="66" t="n"/>
      <c r="AM616" s="66" t="n"/>
      <c r="AN616" s="66" t="n"/>
      <c r="AO616" s="66" t="n"/>
      <c r="AP616" s="66" t="n"/>
    </row>
    <row r="617">
      <c r="A617" s="66" t="n"/>
      <c r="B617" s="66" t="n"/>
      <c r="C617" s="66" t="n"/>
      <c r="D617" s="66" t="n"/>
      <c r="E617" s="67" t="n"/>
      <c r="F617" s="67" t="n"/>
      <c r="G617" s="68" t="n"/>
      <c r="H617" s="66" t="n"/>
      <c r="I617" s="66" t="n"/>
      <c r="J617" s="67" t="n"/>
      <c r="K617" s="67" t="n"/>
      <c r="L617" s="67" t="n"/>
      <c r="M617" s="28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7" t="n"/>
      <c r="X617" s="67" t="n"/>
      <c r="Y617" s="67" t="n"/>
      <c r="Z617" s="67" t="n"/>
      <c r="AA617" s="67" t="n"/>
      <c r="AB617" s="67" t="n"/>
      <c r="AC617" s="67" t="n"/>
      <c r="AD617" s="66" t="n"/>
      <c r="AE617" s="66" t="n"/>
      <c r="AF617" s="66" t="n"/>
      <c r="AG617" s="66" t="n"/>
      <c r="AH617" s="66" t="n"/>
      <c r="AI617" s="66" t="n"/>
      <c r="AJ617" s="66" t="n"/>
      <c r="AK617" s="66" t="n"/>
      <c r="AL617" s="66" t="n"/>
      <c r="AM617" s="66" t="n"/>
      <c r="AN617" s="66" t="n"/>
      <c r="AO617" s="66" t="n"/>
      <c r="AP617" s="66" t="n"/>
    </row>
    <row r="618">
      <c r="A618" s="66" t="n"/>
      <c r="B618" s="66" t="n"/>
      <c r="C618" s="66" t="n"/>
      <c r="D618" s="66" t="n"/>
      <c r="E618" s="67" t="n"/>
      <c r="F618" s="67" t="n"/>
      <c r="G618" s="68" t="n"/>
      <c r="H618" s="66" t="n"/>
      <c r="I618" s="66" t="n"/>
      <c r="J618" s="67" t="n"/>
      <c r="K618" s="67" t="n"/>
      <c r="L618" s="67" t="n"/>
      <c r="M618" s="28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7" t="n"/>
      <c r="X618" s="67" t="n"/>
      <c r="Y618" s="67" t="n"/>
      <c r="Z618" s="67" t="n"/>
      <c r="AA618" s="67" t="n"/>
      <c r="AB618" s="67" t="n"/>
      <c r="AC618" s="67" t="n"/>
      <c r="AD618" s="66" t="n"/>
      <c r="AE618" s="66" t="n"/>
      <c r="AF618" s="66" t="n"/>
      <c r="AG618" s="66" t="n"/>
      <c r="AH618" s="66" t="n"/>
      <c r="AI618" s="66" t="n"/>
      <c r="AJ618" s="66" t="n"/>
      <c r="AK618" s="66" t="n"/>
      <c r="AL618" s="66" t="n"/>
      <c r="AM618" s="66" t="n"/>
      <c r="AN618" s="66" t="n"/>
      <c r="AO618" s="66" t="n"/>
      <c r="AP618" s="66" t="n"/>
    </row>
    <row r="619">
      <c r="A619" s="66" t="n"/>
      <c r="B619" s="66" t="n"/>
      <c r="C619" s="66" t="n"/>
      <c r="D619" s="66" t="n"/>
      <c r="E619" s="67" t="n"/>
      <c r="F619" s="67" t="n"/>
      <c r="G619" s="68" t="n"/>
      <c r="H619" s="66" t="n"/>
      <c r="I619" s="66" t="n"/>
      <c r="J619" s="67" t="n"/>
      <c r="K619" s="67" t="n"/>
      <c r="L619" s="67" t="n"/>
      <c r="M619" s="28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7" t="n"/>
      <c r="X619" s="67" t="n"/>
      <c r="Y619" s="67" t="n"/>
      <c r="Z619" s="67" t="n"/>
      <c r="AA619" s="67" t="n"/>
      <c r="AB619" s="67" t="n"/>
      <c r="AC619" s="67" t="n"/>
      <c r="AD619" s="66" t="n"/>
      <c r="AE619" s="66" t="n"/>
      <c r="AF619" s="66" t="n"/>
      <c r="AG619" s="66" t="n"/>
      <c r="AH619" s="66" t="n"/>
      <c r="AI619" s="66" t="n"/>
      <c r="AJ619" s="66" t="n"/>
      <c r="AK619" s="66" t="n"/>
      <c r="AL619" s="66" t="n"/>
      <c r="AM619" s="66" t="n"/>
      <c r="AN619" s="66" t="n"/>
      <c r="AO619" s="66" t="n"/>
      <c r="AP619" s="66" t="n"/>
    </row>
    <row r="620">
      <c r="A620" s="66" t="n"/>
      <c r="B620" s="66" t="n"/>
      <c r="C620" s="66" t="n"/>
      <c r="D620" s="66" t="n"/>
      <c r="E620" s="67" t="n"/>
      <c r="F620" s="67" t="n"/>
      <c r="G620" s="68" t="n"/>
      <c r="H620" s="66" t="n"/>
      <c r="I620" s="66" t="n"/>
      <c r="J620" s="67" t="n"/>
      <c r="K620" s="67" t="n"/>
      <c r="L620" s="67" t="n"/>
      <c r="M620" s="28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7" t="n"/>
      <c r="X620" s="67" t="n"/>
      <c r="Y620" s="67" t="n"/>
      <c r="Z620" s="67" t="n"/>
      <c r="AA620" s="67" t="n"/>
      <c r="AB620" s="67" t="n"/>
      <c r="AC620" s="67" t="n"/>
      <c r="AD620" s="66" t="n"/>
      <c r="AE620" s="66" t="n"/>
      <c r="AF620" s="66" t="n"/>
      <c r="AG620" s="66" t="n"/>
      <c r="AH620" s="66" t="n"/>
      <c r="AI620" s="66" t="n"/>
      <c r="AJ620" s="66" t="n"/>
      <c r="AK620" s="66" t="n"/>
      <c r="AL620" s="66" t="n"/>
      <c r="AM620" s="66" t="n"/>
      <c r="AN620" s="66" t="n"/>
      <c r="AO620" s="66" t="n"/>
      <c r="AP620" s="66" t="n"/>
    </row>
    <row r="621">
      <c r="A621" s="66" t="n"/>
      <c r="B621" s="66" t="n"/>
      <c r="C621" s="66" t="n"/>
      <c r="D621" s="66" t="n"/>
      <c r="E621" s="67" t="n"/>
      <c r="F621" s="67" t="n"/>
      <c r="G621" s="68" t="n"/>
      <c r="H621" s="66" t="n"/>
      <c r="I621" s="66" t="n"/>
      <c r="J621" s="67" t="n"/>
      <c r="K621" s="67" t="n"/>
      <c r="L621" s="67" t="n"/>
      <c r="M621" s="28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7" t="n"/>
      <c r="X621" s="67" t="n"/>
      <c r="Y621" s="67" t="n"/>
      <c r="Z621" s="67" t="n"/>
      <c r="AA621" s="67" t="n"/>
      <c r="AB621" s="67" t="n"/>
      <c r="AC621" s="67" t="n"/>
      <c r="AD621" s="66" t="n"/>
      <c r="AE621" s="66" t="n"/>
      <c r="AF621" s="66" t="n"/>
      <c r="AG621" s="66" t="n"/>
      <c r="AH621" s="66" t="n"/>
      <c r="AI621" s="66" t="n"/>
      <c r="AJ621" s="66" t="n"/>
      <c r="AK621" s="66" t="n"/>
      <c r="AL621" s="66" t="n"/>
      <c r="AM621" s="66" t="n"/>
      <c r="AN621" s="66" t="n"/>
      <c r="AO621" s="66" t="n"/>
      <c r="AP621" s="66" t="n"/>
    </row>
    <row r="622">
      <c r="A622" s="66" t="n"/>
      <c r="B622" s="66" t="n"/>
      <c r="C622" s="66" t="n"/>
      <c r="D622" s="66" t="n"/>
      <c r="E622" s="67" t="n"/>
      <c r="F622" s="67" t="n"/>
      <c r="G622" s="68" t="n"/>
      <c r="H622" s="66" t="n"/>
      <c r="I622" s="66" t="n"/>
      <c r="J622" s="67" t="n"/>
      <c r="K622" s="67" t="n"/>
      <c r="L622" s="67" t="n"/>
      <c r="M622" s="28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7" t="n"/>
      <c r="X622" s="67" t="n"/>
      <c r="Y622" s="67" t="n"/>
      <c r="Z622" s="67" t="n"/>
      <c r="AA622" s="67" t="n"/>
      <c r="AB622" s="67" t="n"/>
      <c r="AC622" s="67" t="n"/>
      <c r="AD622" s="66" t="n"/>
      <c r="AE622" s="66" t="n"/>
      <c r="AF622" s="66" t="n"/>
      <c r="AG622" s="66" t="n"/>
      <c r="AH622" s="66" t="n"/>
      <c r="AI622" s="66" t="n"/>
      <c r="AJ622" s="66" t="n"/>
      <c r="AK622" s="66" t="n"/>
      <c r="AL622" s="66" t="n"/>
      <c r="AM622" s="66" t="n"/>
      <c r="AN622" s="66" t="n"/>
      <c r="AO622" s="66" t="n"/>
      <c r="AP622" s="66" t="n"/>
    </row>
    <row r="623">
      <c r="A623" s="66" t="n"/>
      <c r="B623" s="66" t="n"/>
      <c r="C623" s="66" t="n"/>
      <c r="D623" s="66" t="n"/>
      <c r="E623" s="67" t="n"/>
      <c r="F623" s="67" t="n"/>
      <c r="G623" s="68" t="n"/>
      <c r="H623" s="66" t="n"/>
      <c r="I623" s="66" t="n"/>
      <c r="J623" s="67" t="n"/>
      <c r="K623" s="67" t="n"/>
      <c r="L623" s="67" t="n"/>
      <c r="M623" s="28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7" t="n"/>
      <c r="X623" s="67" t="n"/>
      <c r="Y623" s="67" t="n"/>
      <c r="Z623" s="67" t="n"/>
      <c r="AA623" s="67" t="n"/>
      <c r="AB623" s="67" t="n"/>
      <c r="AC623" s="67" t="n"/>
      <c r="AD623" s="66" t="n"/>
      <c r="AE623" s="66" t="n"/>
      <c r="AF623" s="66" t="n"/>
      <c r="AG623" s="66" t="n"/>
      <c r="AH623" s="66" t="n"/>
      <c r="AI623" s="66" t="n"/>
      <c r="AJ623" s="66" t="n"/>
      <c r="AK623" s="66" t="n"/>
      <c r="AL623" s="66" t="n"/>
      <c r="AM623" s="66" t="n"/>
      <c r="AN623" s="66" t="n"/>
      <c r="AO623" s="66" t="n"/>
      <c r="AP623" s="66" t="n"/>
    </row>
    <row r="624">
      <c r="A624" s="66" t="n"/>
      <c r="B624" s="66" t="n"/>
      <c r="C624" s="66" t="n"/>
      <c r="D624" s="66" t="n"/>
      <c r="E624" s="67" t="n"/>
      <c r="F624" s="67" t="n"/>
      <c r="G624" s="68" t="n"/>
      <c r="H624" s="66" t="n"/>
      <c r="I624" s="66" t="n"/>
      <c r="J624" s="67" t="n"/>
      <c r="K624" s="67" t="n"/>
      <c r="L624" s="67" t="n"/>
      <c r="M624" s="28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7" t="n"/>
      <c r="X624" s="67" t="n"/>
      <c r="Y624" s="67" t="n"/>
      <c r="Z624" s="67" t="n"/>
      <c r="AA624" s="67" t="n"/>
      <c r="AB624" s="67" t="n"/>
      <c r="AC624" s="67" t="n"/>
      <c r="AD624" s="66" t="n"/>
      <c r="AE624" s="66" t="n"/>
      <c r="AF624" s="66" t="n"/>
      <c r="AG624" s="66" t="n"/>
      <c r="AH624" s="66" t="n"/>
      <c r="AI624" s="66" t="n"/>
      <c r="AJ624" s="66" t="n"/>
      <c r="AK624" s="66" t="n"/>
      <c r="AL624" s="66" t="n"/>
      <c r="AM624" s="66" t="n"/>
      <c r="AN624" s="66" t="n"/>
      <c r="AO624" s="66" t="n"/>
      <c r="AP624" s="66" t="n"/>
    </row>
    <row r="625">
      <c r="A625" s="66" t="n"/>
      <c r="B625" s="66" t="n"/>
      <c r="C625" s="66" t="n"/>
      <c r="D625" s="66" t="n"/>
      <c r="E625" s="67" t="n"/>
      <c r="F625" s="67" t="n"/>
      <c r="G625" s="68" t="n"/>
      <c r="H625" s="66" t="n"/>
      <c r="I625" s="66" t="n"/>
      <c r="J625" s="67" t="n"/>
      <c r="K625" s="67" t="n"/>
      <c r="L625" s="67" t="n"/>
      <c r="M625" s="28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7" t="n"/>
      <c r="X625" s="67" t="n"/>
      <c r="Y625" s="67" t="n"/>
      <c r="Z625" s="67" t="n"/>
      <c r="AA625" s="67" t="n"/>
      <c r="AB625" s="67" t="n"/>
      <c r="AC625" s="67" t="n"/>
      <c r="AD625" s="66" t="n"/>
      <c r="AE625" s="66" t="n"/>
      <c r="AF625" s="66" t="n"/>
      <c r="AG625" s="66" t="n"/>
      <c r="AH625" s="66" t="n"/>
      <c r="AI625" s="66" t="n"/>
      <c r="AJ625" s="66" t="n"/>
      <c r="AK625" s="66" t="n"/>
      <c r="AL625" s="66" t="n"/>
      <c r="AM625" s="66" t="n"/>
      <c r="AN625" s="66" t="n"/>
      <c r="AO625" s="66" t="n"/>
      <c r="AP625" s="66" t="n"/>
    </row>
    <row r="626">
      <c r="A626" s="66" t="n"/>
      <c r="B626" s="66" t="n"/>
      <c r="C626" s="66" t="n"/>
      <c r="D626" s="66" t="n"/>
      <c r="E626" s="67" t="n"/>
      <c r="F626" s="67" t="n"/>
      <c r="G626" s="68" t="n"/>
      <c r="H626" s="66" t="n"/>
      <c r="I626" s="66" t="n"/>
      <c r="J626" s="67" t="n"/>
      <c r="K626" s="67" t="n"/>
      <c r="L626" s="67" t="n"/>
      <c r="M626" s="28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7" t="n"/>
      <c r="X626" s="67" t="n"/>
      <c r="Y626" s="67" t="n"/>
      <c r="Z626" s="67" t="n"/>
      <c r="AA626" s="67" t="n"/>
      <c r="AB626" s="67" t="n"/>
      <c r="AC626" s="67" t="n"/>
      <c r="AD626" s="66" t="n"/>
      <c r="AE626" s="66" t="n"/>
      <c r="AF626" s="66" t="n"/>
      <c r="AG626" s="66" t="n"/>
      <c r="AH626" s="66" t="n"/>
      <c r="AI626" s="66" t="n"/>
      <c r="AJ626" s="66" t="n"/>
      <c r="AK626" s="66" t="n"/>
      <c r="AL626" s="66" t="n"/>
      <c r="AM626" s="66" t="n"/>
      <c r="AN626" s="66" t="n"/>
      <c r="AO626" s="66" t="n"/>
      <c r="AP626" s="66" t="n"/>
    </row>
    <row r="627">
      <c r="A627" s="66" t="n"/>
      <c r="B627" s="66" t="n"/>
      <c r="C627" s="66" t="n"/>
      <c r="D627" s="66" t="n"/>
      <c r="E627" s="67" t="n"/>
      <c r="F627" s="67" t="n"/>
      <c r="G627" s="68" t="n"/>
      <c r="H627" s="66" t="n"/>
      <c r="I627" s="66" t="n"/>
      <c r="J627" s="67" t="n"/>
      <c r="K627" s="67" t="n"/>
      <c r="L627" s="67" t="n"/>
      <c r="M627" s="28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7" t="n"/>
      <c r="X627" s="67" t="n"/>
      <c r="Y627" s="67" t="n"/>
      <c r="Z627" s="67" t="n"/>
      <c r="AA627" s="67" t="n"/>
      <c r="AB627" s="67" t="n"/>
      <c r="AC627" s="67" t="n"/>
      <c r="AD627" s="66" t="n"/>
      <c r="AE627" s="66" t="n"/>
      <c r="AF627" s="66" t="n"/>
      <c r="AG627" s="66" t="n"/>
      <c r="AH627" s="66" t="n"/>
      <c r="AI627" s="66" t="n"/>
      <c r="AJ627" s="66" t="n"/>
      <c r="AK627" s="66" t="n"/>
      <c r="AL627" s="66" t="n"/>
      <c r="AM627" s="66" t="n"/>
      <c r="AN627" s="66" t="n"/>
      <c r="AO627" s="66" t="n"/>
      <c r="AP627" s="66" t="n"/>
    </row>
    <row r="628">
      <c r="A628" s="66" t="n"/>
      <c r="B628" s="66" t="n"/>
      <c r="C628" s="66" t="n"/>
      <c r="D628" s="66" t="n"/>
      <c r="E628" s="67" t="n"/>
      <c r="F628" s="67" t="n"/>
      <c r="G628" s="68" t="n"/>
      <c r="H628" s="66" t="n"/>
      <c r="I628" s="66" t="n"/>
      <c r="J628" s="67" t="n"/>
      <c r="K628" s="67" t="n"/>
      <c r="L628" s="67" t="n"/>
      <c r="M628" s="28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7" t="n"/>
      <c r="X628" s="67" t="n"/>
      <c r="Y628" s="67" t="n"/>
      <c r="Z628" s="67" t="n"/>
      <c r="AA628" s="67" t="n"/>
      <c r="AB628" s="67" t="n"/>
      <c r="AC628" s="67" t="n"/>
      <c r="AD628" s="66" t="n"/>
      <c r="AE628" s="66" t="n"/>
      <c r="AF628" s="66" t="n"/>
      <c r="AG628" s="66" t="n"/>
      <c r="AH628" s="66" t="n"/>
      <c r="AI628" s="66" t="n"/>
      <c r="AJ628" s="66" t="n"/>
      <c r="AK628" s="66" t="n"/>
      <c r="AL628" s="66" t="n"/>
      <c r="AM628" s="66" t="n"/>
      <c r="AN628" s="66" t="n"/>
      <c r="AO628" s="66" t="n"/>
      <c r="AP628" s="66" t="n"/>
    </row>
    <row r="629">
      <c r="A629" s="66" t="n"/>
      <c r="B629" s="66" t="n"/>
      <c r="C629" s="66" t="n"/>
      <c r="D629" s="66" t="n"/>
      <c r="E629" s="67" t="n"/>
      <c r="F629" s="67" t="n"/>
      <c r="G629" s="68" t="n"/>
      <c r="H629" s="66" t="n"/>
      <c r="I629" s="66" t="n"/>
      <c r="J629" s="67" t="n"/>
      <c r="K629" s="67" t="n"/>
      <c r="L629" s="67" t="n"/>
      <c r="M629" s="28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7" t="n"/>
      <c r="X629" s="67" t="n"/>
      <c r="Y629" s="67" t="n"/>
      <c r="Z629" s="67" t="n"/>
      <c r="AA629" s="67" t="n"/>
      <c r="AB629" s="67" t="n"/>
      <c r="AC629" s="67" t="n"/>
      <c r="AD629" s="66" t="n"/>
      <c r="AE629" s="66" t="n"/>
      <c r="AF629" s="66" t="n"/>
      <c r="AG629" s="66" t="n"/>
      <c r="AH629" s="66" t="n"/>
      <c r="AI629" s="66" t="n"/>
      <c r="AJ629" s="66" t="n"/>
      <c r="AK629" s="66" t="n"/>
      <c r="AL629" s="66" t="n"/>
      <c r="AM629" s="66" t="n"/>
      <c r="AN629" s="66" t="n"/>
      <c r="AO629" s="66" t="n"/>
      <c r="AP629" s="66" t="n"/>
    </row>
    <row r="630">
      <c r="A630" s="66" t="n"/>
      <c r="B630" s="66" t="n"/>
      <c r="C630" s="66" t="n"/>
      <c r="D630" s="66" t="n"/>
      <c r="E630" s="67" t="n"/>
      <c r="F630" s="67" t="n"/>
      <c r="G630" s="68" t="n"/>
      <c r="H630" s="66" t="n"/>
      <c r="I630" s="66" t="n"/>
      <c r="J630" s="67" t="n"/>
      <c r="K630" s="67" t="n"/>
      <c r="L630" s="67" t="n"/>
      <c r="M630" s="28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7" t="n"/>
      <c r="X630" s="67" t="n"/>
      <c r="Y630" s="67" t="n"/>
      <c r="Z630" s="67" t="n"/>
      <c r="AA630" s="67" t="n"/>
      <c r="AB630" s="67" t="n"/>
      <c r="AC630" s="67" t="n"/>
      <c r="AD630" s="66" t="n"/>
      <c r="AE630" s="66" t="n"/>
      <c r="AF630" s="66" t="n"/>
      <c r="AG630" s="66" t="n"/>
      <c r="AH630" s="66" t="n"/>
      <c r="AI630" s="66" t="n"/>
      <c r="AJ630" s="66" t="n"/>
      <c r="AK630" s="66" t="n"/>
      <c r="AL630" s="66" t="n"/>
      <c r="AM630" s="66" t="n"/>
      <c r="AN630" s="66" t="n"/>
      <c r="AO630" s="66" t="n"/>
      <c r="AP630" s="66" t="n"/>
    </row>
    <row r="631">
      <c r="A631" s="66" t="n"/>
      <c r="B631" s="66" t="n"/>
      <c r="C631" s="66" t="n"/>
      <c r="D631" s="66" t="n"/>
      <c r="E631" s="67" t="n"/>
      <c r="F631" s="67" t="n"/>
      <c r="G631" s="68" t="n"/>
      <c r="H631" s="66" t="n"/>
      <c r="I631" s="66" t="n"/>
      <c r="J631" s="67" t="n"/>
      <c r="K631" s="67" t="n"/>
      <c r="L631" s="67" t="n"/>
      <c r="M631" s="28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7" t="n"/>
      <c r="X631" s="67" t="n"/>
      <c r="Y631" s="67" t="n"/>
      <c r="Z631" s="67" t="n"/>
      <c r="AA631" s="67" t="n"/>
      <c r="AB631" s="67" t="n"/>
      <c r="AC631" s="67" t="n"/>
      <c r="AD631" s="66" t="n"/>
      <c r="AE631" s="66" t="n"/>
      <c r="AF631" s="66" t="n"/>
      <c r="AG631" s="66" t="n"/>
      <c r="AH631" s="66" t="n"/>
      <c r="AI631" s="66" t="n"/>
      <c r="AJ631" s="66" t="n"/>
      <c r="AK631" s="66" t="n"/>
      <c r="AL631" s="66" t="n"/>
      <c r="AM631" s="66" t="n"/>
      <c r="AN631" s="66" t="n"/>
      <c r="AO631" s="66" t="n"/>
      <c r="AP631" s="66" t="n"/>
    </row>
    <row r="632">
      <c r="A632" s="66" t="n"/>
      <c r="B632" s="66" t="n"/>
      <c r="C632" s="66" t="n"/>
      <c r="D632" s="66" t="n"/>
      <c r="E632" s="67" t="n"/>
      <c r="F632" s="67" t="n"/>
      <c r="G632" s="68" t="n"/>
      <c r="H632" s="66" t="n"/>
      <c r="I632" s="66" t="n"/>
      <c r="J632" s="67" t="n"/>
      <c r="K632" s="67" t="n"/>
      <c r="L632" s="67" t="n"/>
      <c r="M632" s="28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7" t="n"/>
      <c r="X632" s="67" t="n"/>
      <c r="Y632" s="67" t="n"/>
      <c r="Z632" s="67" t="n"/>
      <c r="AA632" s="67" t="n"/>
      <c r="AB632" s="67" t="n"/>
      <c r="AC632" s="67" t="n"/>
      <c r="AD632" s="66" t="n"/>
      <c r="AE632" s="66" t="n"/>
      <c r="AF632" s="66" t="n"/>
      <c r="AG632" s="66" t="n"/>
      <c r="AH632" s="66" t="n"/>
      <c r="AI632" s="66" t="n"/>
      <c r="AJ632" s="66" t="n"/>
      <c r="AK632" s="66" t="n"/>
      <c r="AL632" s="66" t="n"/>
      <c r="AM632" s="66" t="n"/>
      <c r="AN632" s="66" t="n"/>
      <c r="AO632" s="66" t="n"/>
      <c r="AP632" s="66" t="n"/>
    </row>
    <row r="633">
      <c r="A633" s="66" t="n"/>
      <c r="B633" s="66" t="n"/>
      <c r="C633" s="66" t="n"/>
      <c r="D633" s="66" t="n"/>
      <c r="E633" s="67" t="n"/>
      <c r="F633" s="67" t="n"/>
      <c r="G633" s="68" t="n"/>
      <c r="H633" s="66" t="n"/>
      <c r="I633" s="66" t="n"/>
      <c r="J633" s="67" t="n"/>
      <c r="K633" s="67" t="n"/>
      <c r="L633" s="67" t="n"/>
      <c r="M633" s="28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7" t="n"/>
      <c r="X633" s="67" t="n"/>
      <c r="Y633" s="67" t="n"/>
      <c r="Z633" s="67" t="n"/>
      <c r="AA633" s="67" t="n"/>
      <c r="AB633" s="67" t="n"/>
      <c r="AC633" s="67" t="n"/>
      <c r="AD633" s="66" t="n"/>
      <c r="AE633" s="66" t="n"/>
      <c r="AF633" s="66" t="n"/>
      <c r="AG633" s="66" t="n"/>
      <c r="AH633" s="66" t="n"/>
      <c r="AI633" s="66" t="n"/>
      <c r="AJ633" s="66" t="n"/>
      <c r="AK633" s="66" t="n"/>
      <c r="AL633" s="66" t="n"/>
      <c r="AM633" s="66" t="n"/>
      <c r="AN633" s="66" t="n"/>
      <c r="AO633" s="66" t="n"/>
      <c r="AP633" s="66" t="n"/>
    </row>
    <row r="634">
      <c r="A634" s="66" t="n"/>
      <c r="B634" s="66" t="n"/>
      <c r="C634" s="66" t="n"/>
      <c r="D634" s="66" t="n"/>
      <c r="E634" s="67" t="n"/>
      <c r="F634" s="67" t="n"/>
      <c r="G634" s="68" t="n"/>
      <c r="H634" s="66" t="n"/>
      <c r="I634" s="66" t="n"/>
      <c r="J634" s="67" t="n"/>
      <c r="K634" s="67" t="n"/>
      <c r="L634" s="67" t="n"/>
      <c r="M634" s="28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7" t="n"/>
      <c r="X634" s="67" t="n"/>
      <c r="Y634" s="67" t="n"/>
      <c r="Z634" s="67" t="n"/>
      <c r="AA634" s="67" t="n"/>
      <c r="AB634" s="67" t="n"/>
      <c r="AC634" s="67" t="n"/>
      <c r="AD634" s="66" t="n"/>
      <c r="AE634" s="66" t="n"/>
      <c r="AF634" s="66" t="n"/>
      <c r="AG634" s="66" t="n"/>
      <c r="AH634" s="66" t="n"/>
      <c r="AI634" s="66" t="n"/>
      <c r="AJ634" s="66" t="n"/>
      <c r="AK634" s="66" t="n"/>
      <c r="AL634" s="66" t="n"/>
      <c r="AM634" s="66" t="n"/>
      <c r="AN634" s="66" t="n"/>
      <c r="AO634" s="66" t="n"/>
      <c r="AP634" s="66" t="n"/>
    </row>
    <row r="635">
      <c r="A635" s="66" t="n"/>
      <c r="B635" s="66" t="n"/>
      <c r="C635" s="66" t="n"/>
      <c r="D635" s="66" t="n"/>
      <c r="E635" s="67" t="n"/>
      <c r="F635" s="67" t="n"/>
      <c r="G635" s="68" t="n"/>
      <c r="H635" s="66" t="n"/>
      <c r="I635" s="66" t="n"/>
      <c r="J635" s="67" t="n"/>
      <c r="K635" s="67" t="n"/>
      <c r="L635" s="67" t="n"/>
      <c r="M635" s="28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7" t="n"/>
      <c r="X635" s="67" t="n"/>
      <c r="Y635" s="67" t="n"/>
      <c r="Z635" s="67" t="n"/>
      <c r="AA635" s="67" t="n"/>
      <c r="AB635" s="67" t="n"/>
      <c r="AC635" s="67" t="n"/>
      <c r="AD635" s="66" t="n"/>
      <c r="AE635" s="66" t="n"/>
      <c r="AF635" s="66" t="n"/>
      <c r="AG635" s="66" t="n"/>
      <c r="AH635" s="66" t="n"/>
      <c r="AI635" s="66" t="n"/>
      <c r="AJ635" s="66" t="n"/>
      <c r="AK635" s="66" t="n"/>
      <c r="AL635" s="66" t="n"/>
      <c r="AM635" s="66" t="n"/>
      <c r="AN635" s="66" t="n"/>
      <c r="AO635" s="66" t="n"/>
      <c r="AP635" s="66" t="n"/>
    </row>
    <row r="636">
      <c r="A636" s="66" t="n"/>
      <c r="B636" s="66" t="n"/>
      <c r="C636" s="66" t="n"/>
      <c r="D636" s="66" t="n"/>
      <c r="E636" s="67" t="n"/>
      <c r="F636" s="67" t="n"/>
      <c r="G636" s="68" t="n"/>
      <c r="H636" s="66" t="n"/>
      <c r="I636" s="66" t="n"/>
      <c r="J636" s="67" t="n"/>
      <c r="K636" s="67" t="n"/>
      <c r="L636" s="67" t="n"/>
      <c r="M636" s="28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7" t="n"/>
      <c r="X636" s="67" t="n"/>
      <c r="Y636" s="67" t="n"/>
      <c r="Z636" s="67" t="n"/>
      <c r="AA636" s="67" t="n"/>
      <c r="AB636" s="67" t="n"/>
      <c r="AC636" s="67" t="n"/>
      <c r="AD636" s="66" t="n"/>
      <c r="AE636" s="66" t="n"/>
      <c r="AF636" s="66" t="n"/>
      <c r="AG636" s="66" t="n"/>
      <c r="AH636" s="66" t="n"/>
      <c r="AI636" s="66" t="n"/>
      <c r="AJ636" s="66" t="n"/>
      <c r="AK636" s="66" t="n"/>
      <c r="AL636" s="66" t="n"/>
      <c r="AM636" s="66" t="n"/>
      <c r="AN636" s="66" t="n"/>
      <c r="AO636" s="66" t="n"/>
      <c r="AP636" s="66" t="n"/>
    </row>
    <row r="637">
      <c r="A637" s="66" t="n"/>
      <c r="B637" s="66" t="n"/>
      <c r="C637" s="66" t="n"/>
      <c r="D637" s="66" t="n"/>
      <c r="E637" s="67" t="n"/>
      <c r="F637" s="67" t="n"/>
      <c r="G637" s="68" t="n"/>
      <c r="H637" s="66" t="n"/>
      <c r="I637" s="66" t="n"/>
      <c r="J637" s="67" t="n"/>
      <c r="K637" s="67" t="n"/>
      <c r="L637" s="67" t="n"/>
      <c r="M637" s="28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7" t="n"/>
      <c r="X637" s="67" t="n"/>
      <c r="Y637" s="67" t="n"/>
      <c r="Z637" s="67" t="n"/>
      <c r="AA637" s="67" t="n"/>
      <c r="AB637" s="67" t="n"/>
      <c r="AC637" s="67" t="n"/>
      <c r="AD637" s="66" t="n"/>
      <c r="AE637" s="66" t="n"/>
      <c r="AF637" s="66" t="n"/>
      <c r="AG637" s="66" t="n"/>
      <c r="AH637" s="66" t="n"/>
      <c r="AI637" s="66" t="n"/>
      <c r="AJ637" s="66" t="n"/>
      <c r="AK637" s="66" t="n"/>
      <c r="AL637" s="66" t="n"/>
      <c r="AM637" s="66" t="n"/>
      <c r="AN637" s="66" t="n"/>
      <c r="AO637" s="66" t="n"/>
      <c r="AP637" s="66" t="n"/>
    </row>
    <row r="638">
      <c r="A638" s="66" t="n"/>
      <c r="B638" s="66" t="n"/>
      <c r="C638" s="66" t="n"/>
      <c r="D638" s="66" t="n"/>
      <c r="E638" s="67" t="n"/>
      <c r="F638" s="67" t="n"/>
      <c r="G638" s="68" t="n"/>
      <c r="H638" s="66" t="n"/>
      <c r="I638" s="66" t="n"/>
      <c r="J638" s="67" t="n"/>
      <c r="K638" s="67" t="n"/>
      <c r="L638" s="67" t="n"/>
      <c r="M638" s="28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7" t="n"/>
      <c r="X638" s="67" t="n"/>
      <c r="Y638" s="67" t="n"/>
      <c r="Z638" s="67" t="n"/>
      <c r="AA638" s="67" t="n"/>
      <c r="AB638" s="67" t="n"/>
      <c r="AC638" s="67" t="n"/>
      <c r="AD638" s="66" t="n"/>
      <c r="AE638" s="66" t="n"/>
      <c r="AF638" s="66" t="n"/>
      <c r="AG638" s="66" t="n"/>
      <c r="AH638" s="66" t="n"/>
      <c r="AI638" s="66" t="n"/>
      <c r="AJ638" s="66" t="n"/>
      <c r="AK638" s="66" t="n"/>
      <c r="AL638" s="66" t="n"/>
      <c r="AM638" s="66" t="n"/>
      <c r="AN638" s="66" t="n"/>
      <c r="AO638" s="66" t="n"/>
      <c r="AP638" s="66" t="n"/>
    </row>
    <row r="639">
      <c r="A639" s="66" t="n"/>
      <c r="B639" s="66" t="n"/>
      <c r="C639" s="66" t="n"/>
      <c r="D639" s="66" t="n"/>
      <c r="E639" s="67" t="n"/>
      <c r="F639" s="67" t="n"/>
      <c r="G639" s="68" t="n"/>
      <c r="H639" s="66" t="n"/>
      <c r="I639" s="66" t="n"/>
      <c r="J639" s="67" t="n"/>
      <c r="K639" s="67" t="n"/>
      <c r="L639" s="67" t="n"/>
      <c r="M639" s="28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7" t="n"/>
      <c r="X639" s="67" t="n"/>
      <c r="Y639" s="67" t="n"/>
      <c r="Z639" s="67" t="n"/>
      <c r="AA639" s="67" t="n"/>
      <c r="AB639" s="67" t="n"/>
      <c r="AC639" s="67" t="n"/>
      <c r="AD639" s="66" t="n"/>
      <c r="AE639" s="66" t="n"/>
      <c r="AF639" s="66" t="n"/>
      <c r="AG639" s="66" t="n"/>
      <c r="AH639" s="66" t="n"/>
      <c r="AI639" s="66" t="n"/>
      <c r="AJ639" s="66" t="n"/>
      <c r="AK639" s="66" t="n"/>
      <c r="AL639" s="66" t="n"/>
      <c r="AM639" s="66" t="n"/>
      <c r="AN639" s="66" t="n"/>
      <c r="AO639" s="66" t="n"/>
      <c r="AP639" s="66" t="n"/>
    </row>
    <row r="640">
      <c r="A640" s="66" t="n"/>
      <c r="B640" s="66" t="n"/>
      <c r="C640" s="66" t="n"/>
      <c r="D640" s="66" t="n"/>
      <c r="E640" s="67" t="n"/>
      <c r="F640" s="67" t="n"/>
      <c r="G640" s="68" t="n"/>
      <c r="H640" s="66" t="n"/>
      <c r="I640" s="66" t="n"/>
      <c r="J640" s="67" t="n"/>
      <c r="K640" s="67" t="n"/>
      <c r="L640" s="67" t="n"/>
      <c r="M640" s="28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7" t="n"/>
      <c r="X640" s="67" t="n"/>
      <c r="Y640" s="67" t="n"/>
      <c r="Z640" s="67" t="n"/>
      <c r="AA640" s="67" t="n"/>
      <c r="AB640" s="67" t="n"/>
      <c r="AC640" s="67" t="n"/>
      <c r="AD640" s="66" t="n"/>
      <c r="AE640" s="66" t="n"/>
      <c r="AF640" s="66" t="n"/>
      <c r="AG640" s="66" t="n"/>
      <c r="AH640" s="66" t="n"/>
      <c r="AI640" s="66" t="n"/>
      <c r="AJ640" s="66" t="n"/>
      <c r="AK640" s="66" t="n"/>
      <c r="AL640" s="66" t="n"/>
      <c r="AM640" s="66" t="n"/>
      <c r="AN640" s="66" t="n"/>
      <c r="AO640" s="66" t="n"/>
      <c r="AP640" s="66" t="n"/>
    </row>
    <row r="641">
      <c r="A641" s="66" t="n"/>
      <c r="B641" s="66" t="n"/>
      <c r="C641" s="66" t="n"/>
      <c r="D641" s="66" t="n"/>
      <c r="E641" s="67" t="n"/>
      <c r="F641" s="67" t="n"/>
      <c r="G641" s="68" t="n"/>
      <c r="H641" s="66" t="n"/>
      <c r="I641" s="66" t="n"/>
      <c r="J641" s="67" t="n"/>
      <c r="K641" s="67" t="n"/>
      <c r="L641" s="67" t="n"/>
      <c r="M641" s="28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7" t="n"/>
      <c r="X641" s="67" t="n"/>
      <c r="Y641" s="67" t="n"/>
      <c r="Z641" s="67" t="n"/>
      <c r="AA641" s="67" t="n"/>
      <c r="AB641" s="67" t="n"/>
      <c r="AC641" s="67" t="n"/>
      <c r="AD641" s="66" t="n"/>
      <c r="AE641" s="66" t="n"/>
      <c r="AF641" s="66" t="n"/>
      <c r="AG641" s="66" t="n"/>
      <c r="AH641" s="66" t="n"/>
      <c r="AI641" s="66" t="n"/>
      <c r="AJ641" s="66" t="n"/>
      <c r="AK641" s="66" t="n"/>
      <c r="AL641" s="66" t="n"/>
      <c r="AM641" s="66" t="n"/>
      <c r="AN641" s="66" t="n"/>
      <c r="AO641" s="66" t="n"/>
      <c r="AP641" s="66" t="n"/>
    </row>
    <row r="642">
      <c r="A642" s="66" t="n"/>
      <c r="B642" s="66" t="n"/>
      <c r="C642" s="66" t="n"/>
      <c r="D642" s="66" t="n"/>
      <c r="E642" s="67" t="n"/>
      <c r="F642" s="67" t="n"/>
      <c r="G642" s="68" t="n"/>
      <c r="H642" s="66" t="n"/>
      <c r="I642" s="66" t="n"/>
      <c r="J642" s="67" t="n"/>
      <c r="K642" s="67" t="n"/>
      <c r="L642" s="67" t="n"/>
      <c r="M642" s="28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7" t="n"/>
      <c r="X642" s="67" t="n"/>
      <c r="Y642" s="67" t="n"/>
      <c r="Z642" s="67" t="n"/>
      <c r="AA642" s="67" t="n"/>
      <c r="AB642" s="67" t="n"/>
      <c r="AC642" s="67" t="n"/>
      <c r="AD642" s="66" t="n"/>
      <c r="AE642" s="66" t="n"/>
      <c r="AF642" s="66" t="n"/>
      <c r="AG642" s="66" t="n"/>
      <c r="AH642" s="66" t="n"/>
      <c r="AI642" s="66" t="n"/>
      <c r="AJ642" s="66" t="n"/>
      <c r="AK642" s="66" t="n"/>
      <c r="AL642" s="66" t="n"/>
      <c r="AM642" s="66" t="n"/>
      <c r="AN642" s="66" t="n"/>
      <c r="AO642" s="66" t="n"/>
      <c r="AP642" s="66" t="n"/>
    </row>
    <row r="643">
      <c r="A643" s="66" t="n"/>
      <c r="B643" s="66" t="n"/>
      <c r="C643" s="66" t="n"/>
      <c r="D643" s="66" t="n"/>
      <c r="E643" s="67" t="n"/>
      <c r="F643" s="67" t="n"/>
      <c r="G643" s="68" t="n"/>
      <c r="H643" s="66" t="n"/>
      <c r="I643" s="66" t="n"/>
      <c r="J643" s="67" t="n"/>
      <c r="K643" s="67" t="n"/>
      <c r="L643" s="67" t="n"/>
      <c r="M643" s="28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7" t="n"/>
      <c r="X643" s="67" t="n"/>
      <c r="Y643" s="67" t="n"/>
      <c r="Z643" s="67" t="n"/>
      <c r="AA643" s="67" t="n"/>
      <c r="AB643" s="67" t="n"/>
      <c r="AC643" s="67" t="n"/>
      <c r="AD643" s="66" t="n"/>
      <c r="AE643" s="66" t="n"/>
      <c r="AF643" s="66" t="n"/>
      <c r="AG643" s="66" t="n"/>
      <c r="AH643" s="66" t="n"/>
      <c r="AI643" s="66" t="n"/>
      <c r="AJ643" s="66" t="n"/>
      <c r="AK643" s="66" t="n"/>
      <c r="AL643" s="66" t="n"/>
      <c r="AM643" s="66" t="n"/>
      <c r="AN643" s="66" t="n"/>
      <c r="AO643" s="66" t="n"/>
      <c r="AP643" s="66" t="n"/>
    </row>
    <row r="644">
      <c r="A644" s="66" t="n"/>
      <c r="B644" s="66" t="n"/>
      <c r="C644" s="66" t="n"/>
      <c r="D644" s="66" t="n"/>
      <c r="E644" s="67" t="n"/>
      <c r="F644" s="67" t="n"/>
      <c r="G644" s="68" t="n"/>
      <c r="H644" s="66" t="n"/>
      <c r="I644" s="66" t="n"/>
      <c r="J644" s="67" t="n"/>
      <c r="K644" s="67" t="n"/>
      <c r="L644" s="67" t="n"/>
      <c r="M644" s="28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7" t="n"/>
      <c r="X644" s="67" t="n"/>
      <c r="Y644" s="67" t="n"/>
      <c r="Z644" s="67" t="n"/>
      <c r="AA644" s="67" t="n"/>
      <c r="AB644" s="67" t="n"/>
      <c r="AC644" s="67" t="n"/>
      <c r="AD644" s="66" t="n"/>
      <c r="AE644" s="66" t="n"/>
      <c r="AF644" s="66" t="n"/>
      <c r="AG644" s="66" t="n"/>
      <c r="AH644" s="66" t="n"/>
      <c r="AI644" s="66" t="n"/>
      <c r="AJ644" s="66" t="n"/>
      <c r="AK644" s="66" t="n"/>
      <c r="AL644" s="66" t="n"/>
      <c r="AM644" s="66" t="n"/>
      <c r="AN644" s="66" t="n"/>
      <c r="AO644" s="66" t="n"/>
      <c r="AP644" s="66" t="n"/>
    </row>
    <row r="645">
      <c r="A645" s="66" t="n"/>
      <c r="B645" s="66" t="n"/>
      <c r="C645" s="66" t="n"/>
      <c r="D645" s="66" t="n"/>
      <c r="E645" s="67" t="n"/>
      <c r="F645" s="67" t="n"/>
      <c r="G645" s="68" t="n"/>
      <c r="H645" s="66" t="n"/>
      <c r="I645" s="66" t="n"/>
      <c r="J645" s="67" t="n"/>
      <c r="K645" s="67" t="n"/>
      <c r="L645" s="67" t="n"/>
      <c r="M645" s="28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7" t="n"/>
      <c r="X645" s="67" t="n"/>
      <c r="Y645" s="67" t="n"/>
      <c r="Z645" s="67" t="n"/>
      <c r="AA645" s="67" t="n"/>
      <c r="AB645" s="67" t="n"/>
      <c r="AC645" s="67" t="n"/>
      <c r="AD645" s="66" t="n"/>
      <c r="AE645" s="66" t="n"/>
      <c r="AF645" s="66" t="n"/>
      <c r="AG645" s="66" t="n"/>
      <c r="AH645" s="66" t="n"/>
      <c r="AI645" s="66" t="n"/>
      <c r="AJ645" s="66" t="n"/>
      <c r="AK645" s="66" t="n"/>
      <c r="AL645" s="66" t="n"/>
      <c r="AM645" s="66" t="n"/>
      <c r="AN645" s="66" t="n"/>
      <c r="AO645" s="66" t="n"/>
      <c r="AP645" s="66" t="n"/>
    </row>
    <row r="646">
      <c r="A646" s="66" t="n"/>
      <c r="B646" s="66" t="n"/>
      <c r="C646" s="66" t="n"/>
      <c r="D646" s="66" t="n"/>
      <c r="E646" s="67" t="n"/>
      <c r="F646" s="67" t="n"/>
      <c r="G646" s="68" t="n"/>
      <c r="H646" s="66" t="n"/>
      <c r="I646" s="66" t="n"/>
      <c r="J646" s="67" t="n"/>
      <c r="K646" s="67" t="n"/>
      <c r="L646" s="67" t="n"/>
      <c r="M646" s="28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7" t="n"/>
      <c r="X646" s="67" t="n"/>
      <c r="Y646" s="67" t="n"/>
      <c r="Z646" s="67" t="n"/>
      <c r="AA646" s="67" t="n"/>
      <c r="AB646" s="67" t="n"/>
      <c r="AC646" s="67" t="n"/>
      <c r="AD646" s="66" t="n"/>
      <c r="AE646" s="66" t="n"/>
      <c r="AF646" s="66" t="n"/>
      <c r="AG646" s="66" t="n"/>
      <c r="AH646" s="66" t="n"/>
      <c r="AI646" s="66" t="n"/>
      <c r="AJ646" s="66" t="n"/>
      <c r="AK646" s="66" t="n"/>
      <c r="AL646" s="66" t="n"/>
      <c r="AM646" s="66" t="n"/>
      <c r="AN646" s="66" t="n"/>
      <c r="AO646" s="66" t="n"/>
      <c r="AP646" s="66" t="n"/>
    </row>
    <row r="647">
      <c r="A647" s="66" t="n"/>
      <c r="B647" s="66" t="n"/>
      <c r="C647" s="66" t="n"/>
      <c r="D647" s="66" t="n"/>
      <c r="E647" s="67" t="n"/>
      <c r="F647" s="67" t="n"/>
      <c r="G647" s="68" t="n"/>
      <c r="H647" s="66" t="n"/>
      <c r="I647" s="66" t="n"/>
      <c r="J647" s="67" t="n"/>
      <c r="K647" s="67" t="n"/>
      <c r="L647" s="67" t="n"/>
      <c r="M647" s="28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7" t="n"/>
      <c r="X647" s="67" t="n"/>
      <c r="Y647" s="67" t="n"/>
      <c r="Z647" s="67" t="n"/>
      <c r="AA647" s="67" t="n"/>
      <c r="AB647" s="67" t="n"/>
      <c r="AC647" s="67" t="n"/>
      <c r="AD647" s="66" t="n"/>
      <c r="AE647" s="66" t="n"/>
      <c r="AF647" s="66" t="n"/>
      <c r="AG647" s="66" t="n"/>
      <c r="AH647" s="66" t="n"/>
      <c r="AI647" s="66" t="n"/>
      <c r="AJ647" s="66" t="n"/>
      <c r="AK647" s="66" t="n"/>
      <c r="AL647" s="66" t="n"/>
      <c r="AM647" s="66" t="n"/>
      <c r="AN647" s="66" t="n"/>
      <c r="AO647" s="66" t="n"/>
      <c r="AP647" s="66" t="n"/>
    </row>
    <row r="648">
      <c r="A648" s="66" t="n"/>
      <c r="B648" s="66" t="n"/>
      <c r="C648" s="66" t="n"/>
      <c r="D648" s="66" t="n"/>
      <c r="E648" s="67" t="n"/>
      <c r="F648" s="67" t="n"/>
      <c r="G648" s="68" t="n"/>
      <c r="H648" s="66" t="n"/>
      <c r="I648" s="66" t="n"/>
      <c r="J648" s="67" t="n"/>
      <c r="K648" s="67" t="n"/>
      <c r="L648" s="67" t="n"/>
      <c r="M648" s="28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7" t="n"/>
      <c r="X648" s="67" t="n"/>
      <c r="Y648" s="67" t="n"/>
      <c r="Z648" s="67" t="n"/>
      <c r="AA648" s="67" t="n"/>
      <c r="AB648" s="67" t="n"/>
      <c r="AC648" s="67" t="n"/>
      <c r="AD648" s="66" t="n"/>
      <c r="AE648" s="66" t="n"/>
      <c r="AF648" s="66" t="n"/>
      <c r="AG648" s="66" t="n"/>
      <c r="AH648" s="66" t="n"/>
      <c r="AI648" s="66" t="n"/>
      <c r="AJ648" s="66" t="n"/>
      <c r="AK648" s="66" t="n"/>
      <c r="AL648" s="66" t="n"/>
      <c r="AM648" s="66" t="n"/>
      <c r="AN648" s="66" t="n"/>
      <c r="AO648" s="66" t="n"/>
      <c r="AP648" s="66" t="n"/>
    </row>
    <row r="649">
      <c r="A649" s="66" t="n"/>
      <c r="B649" s="66" t="n"/>
      <c r="C649" s="66" t="n"/>
      <c r="D649" s="66" t="n"/>
      <c r="E649" s="67" t="n"/>
      <c r="F649" s="67" t="n"/>
      <c r="G649" s="68" t="n"/>
      <c r="H649" s="66" t="n"/>
      <c r="I649" s="66" t="n"/>
      <c r="J649" s="67" t="n"/>
      <c r="K649" s="67" t="n"/>
      <c r="L649" s="67" t="n"/>
      <c r="M649" s="28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7" t="n"/>
      <c r="X649" s="67" t="n"/>
      <c r="Y649" s="67" t="n"/>
      <c r="Z649" s="67" t="n"/>
      <c r="AA649" s="67" t="n"/>
      <c r="AB649" s="67" t="n"/>
      <c r="AC649" s="67" t="n"/>
      <c r="AD649" s="66" t="n"/>
      <c r="AE649" s="66" t="n"/>
      <c r="AF649" s="66" t="n"/>
      <c r="AG649" s="66" t="n"/>
      <c r="AH649" s="66" t="n"/>
      <c r="AI649" s="66" t="n"/>
      <c r="AJ649" s="66" t="n"/>
      <c r="AK649" s="66" t="n"/>
      <c r="AL649" s="66" t="n"/>
      <c r="AM649" s="66" t="n"/>
      <c r="AN649" s="66" t="n"/>
      <c r="AO649" s="66" t="n"/>
      <c r="AP649" s="66" t="n"/>
    </row>
    <row r="650">
      <c r="A650" s="66" t="n"/>
      <c r="B650" s="66" t="n"/>
      <c r="C650" s="66" t="n"/>
      <c r="D650" s="66" t="n"/>
      <c r="E650" s="67" t="n"/>
      <c r="F650" s="67" t="n"/>
      <c r="G650" s="68" t="n"/>
      <c r="H650" s="66" t="n"/>
      <c r="I650" s="66" t="n"/>
      <c r="J650" s="67" t="n"/>
      <c r="K650" s="67" t="n"/>
      <c r="L650" s="67" t="n"/>
      <c r="M650" s="28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7" t="n"/>
      <c r="X650" s="67" t="n"/>
      <c r="Y650" s="67" t="n"/>
      <c r="Z650" s="67" t="n"/>
      <c r="AA650" s="67" t="n"/>
      <c r="AB650" s="67" t="n"/>
      <c r="AC650" s="67" t="n"/>
      <c r="AD650" s="66" t="n"/>
      <c r="AE650" s="66" t="n"/>
      <c r="AF650" s="66" t="n"/>
      <c r="AG650" s="66" t="n"/>
      <c r="AH650" s="66" t="n"/>
      <c r="AI650" s="66" t="n"/>
      <c r="AJ650" s="66" t="n"/>
      <c r="AK650" s="66" t="n"/>
      <c r="AL650" s="66" t="n"/>
      <c r="AM650" s="66" t="n"/>
      <c r="AN650" s="66" t="n"/>
      <c r="AO650" s="66" t="n"/>
      <c r="AP650" s="66" t="n"/>
    </row>
    <row r="651">
      <c r="A651" s="66" t="n"/>
      <c r="B651" s="66" t="n"/>
      <c r="C651" s="66" t="n"/>
      <c r="D651" s="66" t="n"/>
      <c r="E651" s="67" t="n"/>
      <c r="F651" s="67" t="n"/>
      <c r="G651" s="68" t="n"/>
      <c r="H651" s="66" t="n"/>
      <c r="I651" s="66" t="n"/>
      <c r="J651" s="67" t="n"/>
      <c r="K651" s="67" t="n"/>
      <c r="L651" s="67" t="n"/>
      <c r="M651" s="28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7" t="n"/>
      <c r="X651" s="67" t="n"/>
      <c r="Y651" s="67" t="n"/>
      <c r="Z651" s="67" t="n"/>
      <c r="AA651" s="67" t="n"/>
      <c r="AB651" s="67" t="n"/>
      <c r="AC651" s="67" t="n"/>
      <c r="AD651" s="66" t="n"/>
      <c r="AE651" s="66" t="n"/>
      <c r="AF651" s="66" t="n"/>
      <c r="AG651" s="66" t="n"/>
      <c r="AH651" s="66" t="n"/>
      <c r="AI651" s="66" t="n"/>
      <c r="AJ651" s="66" t="n"/>
      <c r="AK651" s="66" t="n"/>
      <c r="AL651" s="66" t="n"/>
      <c r="AM651" s="66" t="n"/>
      <c r="AN651" s="66" t="n"/>
      <c r="AO651" s="66" t="n"/>
      <c r="AP651" s="66" t="n"/>
    </row>
    <row r="652">
      <c r="A652" s="66" t="n"/>
      <c r="B652" s="66" t="n"/>
      <c r="C652" s="66" t="n"/>
      <c r="D652" s="66" t="n"/>
      <c r="E652" s="67" t="n"/>
      <c r="F652" s="67" t="n"/>
      <c r="G652" s="68" t="n"/>
      <c r="H652" s="66" t="n"/>
      <c r="I652" s="66" t="n"/>
      <c r="J652" s="67" t="n"/>
      <c r="K652" s="67" t="n"/>
      <c r="L652" s="67" t="n"/>
      <c r="M652" s="28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7" t="n"/>
      <c r="X652" s="67" t="n"/>
      <c r="Y652" s="67" t="n"/>
      <c r="Z652" s="67" t="n"/>
      <c r="AA652" s="67" t="n"/>
      <c r="AB652" s="67" t="n"/>
      <c r="AC652" s="67" t="n"/>
      <c r="AD652" s="66" t="n"/>
      <c r="AE652" s="66" t="n"/>
      <c r="AF652" s="66" t="n"/>
      <c r="AG652" s="66" t="n"/>
      <c r="AH652" s="66" t="n"/>
      <c r="AI652" s="66" t="n"/>
      <c r="AJ652" s="66" t="n"/>
      <c r="AK652" s="66" t="n"/>
      <c r="AL652" s="66" t="n"/>
      <c r="AM652" s="66" t="n"/>
      <c r="AN652" s="66" t="n"/>
      <c r="AO652" s="66" t="n"/>
      <c r="AP652" s="66" t="n"/>
    </row>
    <row r="653">
      <c r="A653" s="66" t="n"/>
      <c r="B653" s="66" t="n"/>
      <c r="C653" s="66" t="n"/>
      <c r="D653" s="66" t="n"/>
      <c r="E653" s="67" t="n"/>
      <c r="F653" s="67" t="n"/>
      <c r="G653" s="68" t="n"/>
      <c r="H653" s="66" t="n"/>
      <c r="I653" s="66" t="n"/>
      <c r="J653" s="67" t="n"/>
      <c r="K653" s="67" t="n"/>
      <c r="L653" s="67" t="n"/>
      <c r="M653" s="28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7" t="n"/>
      <c r="X653" s="67" t="n"/>
      <c r="Y653" s="67" t="n"/>
      <c r="Z653" s="67" t="n"/>
      <c r="AA653" s="67" t="n"/>
      <c r="AB653" s="67" t="n"/>
      <c r="AC653" s="67" t="n"/>
      <c r="AD653" s="66" t="n"/>
      <c r="AE653" s="66" t="n"/>
      <c r="AF653" s="66" t="n"/>
      <c r="AG653" s="66" t="n"/>
      <c r="AH653" s="66" t="n"/>
      <c r="AI653" s="66" t="n"/>
      <c r="AJ653" s="66" t="n"/>
      <c r="AK653" s="66" t="n"/>
      <c r="AL653" s="66" t="n"/>
      <c r="AM653" s="66" t="n"/>
      <c r="AN653" s="66" t="n"/>
      <c r="AO653" s="66" t="n"/>
      <c r="AP653" s="66" t="n"/>
    </row>
    <row r="654">
      <c r="A654" s="66" t="n"/>
      <c r="B654" s="66" t="n"/>
      <c r="C654" s="66" t="n"/>
      <c r="D654" s="66" t="n"/>
      <c r="E654" s="67" t="n"/>
      <c r="F654" s="67" t="n"/>
      <c r="G654" s="68" t="n"/>
      <c r="H654" s="66" t="n"/>
      <c r="I654" s="66" t="n"/>
      <c r="J654" s="67" t="n"/>
      <c r="K654" s="67" t="n"/>
      <c r="L654" s="67" t="n"/>
      <c r="M654" s="28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7" t="n"/>
      <c r="X654" s="67" t="n"/>
      <c r="Y654" s="67" t="n"/>
      <c r="Z654" s="67" t="n"/>
      <c r="AA654" s="67" t="n"/>
      <c r="AB654" s="67" t="n"/>
      <c r="AC654" s="67" t="n"/>
      <c r="AD654" s="66" t="n"/>
      <c r="AE654" s="66" t="n"/>
      <c r="AF654" s="66" t="n"/>
      <c r="AG654" s="66" t="n"/>
      <c r="AH654" s="66" t="n"/>
      <c r="AI654" s="66" t="n"/>
      <c r="AJ654" s="66" t="n"/>
      <c r="AK654" s="66" t="n"/>
      <c r="AL654" s="66" t="n"/>
      <c r="AM654" s="66" t="n"/>
      <c r="AN654" s="66" t="n"/>
      <c r="AO654" s="66" t="n"/>
      <c r="AP654" s="66" t="n"/>
    </row>
    <row r="655">
      <c r="A655" s="66" t="n"/>
      <c r="B655" s="66" t="n"/>
      <c r="C655" s="66" t="n"/>
      <c r="D655" s="66" t="n"/>
      <c r="E655" s="67" t="n"/>
      <c r="F655" s="67" t="n"/>
      <c r="G655" s="68" t="n"/>
      <c r="H655" s="66" t="n"/>
      <c r="I655" s="66" t="n"/>
      <c r="J655" s="67" t="n"/>
      <c r="K655" s="67" t="n"/>
      <c r="L655" s="67" t="n"/>
      <c r="M655" s="28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7" t="n"/>
      <c r="X655" s="67" t="n"/>
      <c r="Y655" s="67" t="n"/>
      <c r="Z655" s="67" t="n"/>
      <c r="AA655" s="67" t="n"/>
      <c r="AB655" s="67" t="n"/>
      <c r="AC655" s="67" t="n"/>
      <c r="AD655" s="66" t="n"/>
      <c r="AE655" s="66" t="n"/>
      <c r="AF655" s="66" t="n"/>
      <c r="AG655" s="66" t="n"/>
      <c r="AH655" s="66" t="n"/>
      <c r="AI655" s="66" t="n"/>
      <c r="AJ655" s="66" t="n"/>
      <c r="AK655" s="66" t="n"/>
      <c r="AL655" s="66" t="n"/>
      <c r="AM655" s="66" t="n"/>
      <c r="AN655" s="66" t="n"/>
      <c r="AO655" s="66" t="n"/>
      <c r="AP655" s="66" t="n"/>
    </row>
    <row r="656">
      <c r="A656" s="66" t="n"/>
      <c r="B656" s="66" t="n"/>
      <c r="C656" s="66" t="n"/>
      <c r="D656" s="66" t="n"/>
      <c r="E656" s="67" t="n"/>
      <c r="F656" s="67" t="n"/>
      <c r="G656" s="68" t="n"/>
      <c r="H656" s="66" t="n"/>
      <c r="I656" s="66" t="n"/>
      <c r="J656" s="67" t="n"/>
      <c r="K656" s="67" t="n"/>
      <c r="L656" s="67" t="n"/>
      <c r="M656" s="28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7" t="n"/>
      <c r="X656" s="67" t="n"/>
      <c r="Y656" s="67" t="n"/>
      <c r="Z656" s="67" t="n"/>
      <c r="AA656" s="67" t="n"/>
      <c r="AB656" s="67" t="n"/>
      <c r="AC656" s="67" t="n"/>
      <c r="AD656" s="66" t="n"/>
      <c r="AE656" s="66" t="n"/>
      <c r="AF656" s="66" t="n"/>
      <c r="AG656" s="66" t="n"/>
      <c r="AH656" s="66" t="n"/>
      <c r="AI656" s="66" t="n"/>
      <c r="AJ656" s="66" t="n"/>
      <c r="AK656" s="66" t="n"/>
      <c r="AL656" s="66" t="n"/>
      <c r="AM656" s="66" t="n"/>
      <c r="AN656" s="66" t="n"/>
      <c r="AO656" s="66" t="n"/>
      <c r="AP656" s="66" t="n"/>
    </row>
    <row r="657">
      <c r="A657" s="66" t="n"/>
      <c r="B657" s="66" t="n"/>
      <c r="C657" s="66" t="n"/>
      <c r="D657" s="66" t="n"/>
      <c r="E657" s="67" t="n"/>
      <c r="F657" s="67" t="n"/>
      <c r="G657" s="68" t="n"/>
      <c r="H657" s="66" t="n"/>
      <c r="I657" s="66" t="n"/>
      <c r="J657" s="67" t="n"/>
      <c r="K657" s="67" t="n"/>
      <c r="L657" s="67" t="n"/>
      <c r="M657" s="28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7" t="n"/>
      <c r="X657" s="67" t="n"/>
      <c r="Y657" s="67" t="n"/>
      <c r="Z657" s="67" t="n"/>
      <c r="AA657" s="67" t="n"/>
      <c r="AB657" s="67" t="n"/>
      <c r="AC657" s="67" t="n"/>
      <c r="AD657" s="66" t="n"/>
      <c r="AE657" s="66" t="n"/>
      <c r="AF657" s="66" t="n"/>
      <c r="AG657" s="66" t="n"/>
      <c r="AH657" s="66" t="n"/>
      <c r="AI657" s="66" t="n"/>
      <c r="AJ657" s="66" t="n"/>
      <c r="AK657" s="66" t="n"/>
      <c r="AL657" s="66" t="n"/>
      <c r="AM657" s="66" t="n"/>
      <c r="AN657" s="66" t="n"/>
      <c r="AO657" s="66" t="n"/>
      <c r="AP657" s="66" t="n"/>
    </row>
    <row r="658">
      <c r="A658" s="66" t="n"/>
      <c r="B658" s="66" t="n"/>
      <c r="C658" s="66" t="n"/>
      <c r="D658" s="66" t="n"/>
      <c r="E658" s="67" t="n"/>
      <c r="F658" s="67" t="n"/>
      <c r="G658" s="68" t="n"/>
      <c r="H658" s="66" t="n"/>
      <c r="I658" s="66" t="n"/>
      <c r="J658" s="67" t="n"/>
      <c r="K658" s="67" t="n"/>
      <c r="L658" s="67" t="n"/>
      <c r="M658" s="28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7" t="n"/>
      <c r="X658" s="67" t="n"/>
      <c r="Y658" s="67" t="n"/>
      <c r="Z658" s="67" t="n"/>
      <c r="AA658" s="67" t="n"/>
      <c r="AB658" s="67" t="n"/>
      <c r="AC658" s="67" t="n"/>
      <c r="AD658" s="66" t="n"/>
      <c r="AE658" s="66" t="n"/>
      <c r="AF658" s="66" t="n"/>
      <c r="AG658" s="66" t="n"/>
      <c r="AH658" s="66" t="n"/>
      <c r="AI658" s="66" t="n"/>
      <c r="AJ658" s="66" t="n"/>
      <c r="AK658" s="66" t="n"/>
      <c r="AL658" s="66" t="n"/>
      <c r="AM658" s="66" t="n"/>
      <c r="AN658" s="66" t="n"/>
      <c r="AO658" s="66" t="n"/>
      <c r="AP658" s="66" t="n"/>
    </row>
    <row r="659">
      <c r="A659" s="66" t="n"/>
      <c r="B659" s="66" t="n"/>
      <c r="C659" s="66" t="n"/>
      <c r="D659" s="66" t="n"/>
      <c r="E659" s="67" t="n"/>
      <c r="F659" s="67" t="n"/>
      <c r="G659" s="68" t="n"/>
      <c r="H659" s="66" t="n"/>
      <c r="I659" s="66" t="n"/>
      <c r="J659" s="67" t="n"/>
      <c r="K659" s="67" t="n"/>
      <c r="L659" s="67" t="n"/>
      <c r="M659" s="28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7" t="n"/>
      <c r="X659" s="67" t="n"/>
      <c r="Y659" s="67" t="n"/>
      <c r="Z659" s="67" t="n"/>
      <c r="AA659" s="67" t="n"/>
      <c r="AB659" s="67" t="n"/>
      <c r="AC659" s="67" t="n"/>
      <c r="AD659" s="66" t="n"/>
      <c r="AE659" s="66" t="n"/>
      <c r="AF659" s="66" t="n"/>
      <c r="AG659" s="66" t="n"/>
      <c r="AH659" s="66" t="n"/>
      <c r="AI659" s="66" t="n"/>
      <c r="AJ659" s="66" t="n"/>
      <c r="AK659" s="66" t="n"/>
      <c r="AL659" s="66" t="n"/>
      <c r="AM659" s="66" t="n"/>
      <c r="AN659" s="66" t="n"/>
      <c r="AO659" s="66" t="n"/>
      <c r="AP659" s="66" t="n"/>
    </row>
    <row r="660">
      <c r="A660" s="66" t="n"/>
      <c r="B660" s="66" t="n"/>
      <c r="C660" s="66" t="n"/>
      <c r="D660" s="66" t="n"/>
      <c r="E660" s="67" t="n"/>
      <c r="F660" s="67" t="n"/>
      <c r="G660" s="68" t="n"/>
      <c r="H660" s="66" t="n"/>
      <c r="I660" s="66" t="n"/>
      <c r="J660" s="67" t="n"/>
      <c r="K660" s="67" t="n"/>
      <c r="L660" s="67" t="n"/>
      <c r="M660" s="28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7" t="n"/>
      <c r="X660" s="67" t="n"/>
      <c r="Y660" s="67" t="n"/>
      <c r="Z660" s="67" t="n"/>
      <c r="AA660" s="67" t="n"/>
      <c r="AB660" s="67" t="n"/>
      <c r="AC660" s="67" t="n"/>
      <c r="AD660" s="66" t="n"/>
      <c r="AE660" s="66" t="n"/>
      <c r="AF660" s="66" t="n"/>
      <c r="AG660" s="66" t="n"/>
      <c r="AH660" s="66" t="n"/>
      <c r="AI660" s="66" t="n"/>
      <c r="AJ660" s="66" t="n"/>
      <c r="AK660" s="66" t="n"/>
      <c r="AL660" s="66" t="n"/>
      <c r="AM660" s="66" t="n"/>
      <c r="AN660" s="66" t="n"/>
      <c r="AO660" s="66" t="n"/>
      <c r="AP660" s="66" t="n"/>
    </row>
    <row r="661">
      <c r="A661" s="66" t="n"/>
      <c r="B661" s="66" t="n"/>
      <c r="C661" s="66" t="n"/>
      <c r="D661" s="66" t="n"/>
      <c r="E661" s="67" t="n"/>
      <c r="F661" s="67" t="n"/>
      <c r="G661" s="68" t="n"/>
      <c r="H661" s="66" t="n"/>
      <c r="I661" s="66" t="n"/>
      <c r="J661" s="67" t="n"/>
      <c r="K661" s="67" t="n"/>
      <c r="L661" s="67" t="n"/>
      <c r="M661" s="28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7" t="n"/>
      <c r="X661" s="67" t="n"/>
      <c r="Y661" s="67" t="n"/>
      <c r="Z661" s="67" t="n"/>
      <c r="AA661" s="67" t="n"/>
      <c r="AB661" s="67" t="n"/>
      <c r="AC661" s="67" t="n"/>
      <c r="AD661" s="66" t="n"/>
      <c r="AE661" s="66" t="n"/>
      <c r="AF661" s="66" t="n"/>
      <c r="AG661" s="66" t="n"/>
      <c r="AH661" s="66" t="n"/>
      <c r="AI661" s="66" t="n"/>
      <c r="AJ661" s="66" t="n"/>
      <c r="AK661" s="66" t="n"/>
      <c r="AL661" s="66" t="n"/>
      <c r="AM661" s="66" t="n"/>
      <c r="AN661" s="66" t="n"/>
      <c r="AO661" s="66" t="n"/>
      <c r="AP661" s="66" t="n"/>
    </row>
    <row r="662">
      <c r="A662" s="66" t="n"/>
      <c r="B662" s="66" t="n"/>
      <c r="C662" s="66" t="n"/>
      <c r="D662" s="66" t="n"/>
      <c r="E662" s="67" t="n"/>
      <c r="F662" s="67" t="n"/>
      <c r="G662" s="68" t="n"/>
      <c r="H662" s="66" t="n"/>
      <c r="I662" s="66" t="n"/>
      <c r="J662" s="67" t="n"/>
      <c r="K662" s="67" t="n"/>
      <c r="L662" s="67" t="n"/>
      <c r="M662" s="28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7" t="n"/>
      <c r="X662" s="67" t="n"/>
      <c r="Y662" s="67" t="n"/>
      <c r="Z662" s="67" t="n"/>
      <c r="AA662" s="67" t="n"/>
      <c r="AB662" s="67" t="n"/>
      <c r="AC662" s="67" t="n"/>
      <c r="AD662" s="66" t="n"/>
      <c r="AE662" s="66" t="n"/>
      <c r="AF662" s="66" t="n"/>
      <c r="AG662" s="66" t="n"/>
      <c r="AH662" s="66" t="n"/>
      <c r="AI662" s="66" t="n"/>
      <c r="AJ662" s="66" t="n"/>
      <c r="AK662" s="66" t="n"/>
      <c r="AL662" s="66" t="n"/>
      <c r="AM662" s="66" t="n"/>
      <c r="AN662" s="66" t="n"/>
      <c r="AO662" s="66" t="n"/>
      <c r="AP662" s="66" t="n"/>
    </row>
    <row r="663">
      <c r="A663" s="66" t="n"/>
      <c r="B663" s="66" t="n"/>
      <c r="C663" s="66" t="n"/>
      <c r="D663" s="66" t="n"/>
      <c r="E663" s="67" t="n"/>
      <c r="F663" s="67" t="n"/>
      <c r="G663" s="68" t="n"/>
      <c r="H663" s="66" t="n"/>
      <c r="I663" s="66" t="n"/>
      <c r="J663" s="67" t="n"/>
      <c r="K663" s="67" t="n"/>
      <c r="L663" s="67" t="n"/>
      <c r="M663" s="28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7" t="n"/>
      <c r="X663" s="67" t="n"/>
      <c r="Y663" s="67" t="n"/>
      <c r="Z663" s="67" t="n"/>
      <c r="AA663" s="67" t="n"/>
      <c r="AB663" s="67" t="n"/>
      <c r="AC663" s="67" t="n"/>
      <c r="AD663" s="66" t="n"/>
      <c r="AE663" s="66" t="n"/>
      <c r="AF663" s="66" t="n"/>
      <c r="AG663" s="66" t="n"/>
      <c r="AH663" s="66" t="n"/>
      <c r="AI663" s="66" t="n"/>
      <c r="AJ663" s="66" t="n"/>
      <c r="AK663" s="66" t="n"/>
      <c r="AL663" s="66" t="n"/>
      <c r="AM663" s="66" t="n"/>
      <c r="AN663" s="66" t="n"/>
      <c r="AO663" s="66" t="n"/>
      <c r="AP663" s="66" t="n"/>
    </row>
    <row r="664">
      <c r="A664" s="66" t="n"/>
      <c r="B664" s="66" t="n"/>
      <c r="C664" s="66" t="n"/>
      <c r="D664" s="66" t="n"/>
      <c r="E664" s="67" t="n"/>
      <c r="F664" s="67" t="n"/>
      <c r="G664" s="68" t="n"/>
      <c r="H664" s="66" t="n"/>
      <c r="I664" s="66" t="n"/>
      <c r="J664" s="67" t="n"/>
      <c r="K664" s="67" t="n"/>
      <c r="L664" s="67" t="n"/>
      <c r="M664" s="28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7" t="n"/>
      <c r="X664" s="67" t="n"/>
      <c r="Y664" s="67" t="n"/>
      <c r="Z664" s="67" t="n"/>
      <c r="AA664" s="67" t="n"/>
      <c r="AB664" s="67" t="n"/>
      <c r="AC664" s="67" t="n"/>
      <c r="AD664" s="66" t="n"/>
      <c r="AE664" s="66" t="n"/>
      <c r="AF664" s="66" t="n"/>
      <c r="AG664" s="66" t="n"/>
      <c r="AH664" s="66" t="n"/>
      <c r="AI664" s="66" t="n"/>
      <c r="AJ664" s="66" t="n"/>
      <c r="AK664" s="66" t="n"/>
      <c r="AL664" s="66" t="n"/>
      <c r="AM664" s="66" t="n"/>
      <c r="AN664" s="66" t="n"/>
      <c r="AO664" s="66" t="n"/>
      <c r="AP664" s="66" t="n"/>
    </row>
    <row r="665">
      <c r="A665" s="66" t="n"/>
      <c r="B665" s="66" t="n"/>
      <c r="C665" s="66" t="n"/>
      <c r="D665" s="66" t="n"/>
      <c r="E665" s="67" t="n"/>
      <c r="F665" s="67" t="n"/>
      <c r="G665" s="68" t="n"/>
      <c r="H665" s="66" t="n"/>
      <c r="I665" s="66" t="n"/>
      <c r="J665" s="67" t="n"/>
      <c r="K665" s="67" t="n"/>
      <c r="L665" s="67" t="n"/>
      <c r="M665" s="28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7" t="n"/>
      <c r="X665" s="67" t="n"/>
      <c r="Y665" s="67" t="n"/>
      <c r="Z665" s="67" t="n"/>
      <c r="AA665" s="67" t="n"/>
      <c r="AB665" s="67" t="n"/>
      <c r="AC665" s="67" t="n"/>
      <c r="AD665" s="66" t="n"/>
      <c r="AE665" s="66" t="n"/>
      <c r="AF665" s="66" t="n"/>
      <c r="AG665" s="66" t="n"/>
      <c r="AH665" s="66" t="n"/>
      <c r="AI665" s="66" t="n"/>
      <c r="AJ665" s="66" t="n"/>
      <c r="AK665" s="66" t="n"/>
      <c r="AL665" s="66" t="n"/>
      <c r="AM665" s="66" t="n"/>
      <c r="AN665" s="66" t="n"/>
      <c r="AO665" s="66" t="n"/>
      <c r="AP665" s="66" t="n"/>
    </row>
    <row r="666">
      <c r="A666" s="66" t="n"/>
      <c r="B666" s="66" t="n"/>
      <c r="C666" s="66" t="n"/>
      <c r="D666" s="66" t="n"/>
      <c r="E666" s="67" t="n"/>
      <c r="F666" s="67" t="n"/>
      <c r="G666" s="68" t="n"/>
      <c r="H666" s="66" t="n"/>
      <c r="I666" s="66" t="n"/>
      <c r="J666" s="67" t="n"/>
      <c r="K666" s="67" t="n"/>
      <c r="L666" s="67" t="n"/>
      <c r="M666" s="28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7" t="n"/>
      <c r="X666" s="67" t="n"/>
      <c r="Y666" s="67" t="n"/>
      <c r="Z666" s="67" t="n"/>
      <c r="AA666" s="67" t="n"/>
      <c r="AB666" s="67" t="n"/>
      <c r="AC666" s="67" t="n"/>
      <c r="AD666" s="66" t="n"/>
      <c r="AE666" s="66" t="n"/>
      <c r="AF666" s="66" t="n"/>
      <c r="AG666" s="66" t="n"/>
      <c r="AH666" s="66" t="n"/>
      <c r="AI666" s="66" t="n"/>
      <c r="AJ666" s="66" t="n"/>
      <c r="AK666" s="66" t="n"/>
      <c r="AL666" s="66" t="n"/>
      <c r="AM666" s="66" t="n"/>
      <c r="AN666" s="66" t="n"/>
      <c r="AO666" s="66" t="n"/>
      <c r="AP666" s="66" t="n"/>
    </row>
    <row r="667">
      <c r="A667" s="66" t="n"/>
      <c r="B667" s="66" t="n"/>
      <c r="C667" s="66" t="n"/>
      <c r="D667" s="66" t="n"/>
      <c r="E667" s="67" t="n"/>
      <c r="F667" s="67" t="n"/>
      <c r="G667" s="68" t="n"/>
      <c r="H667" s="66" t="n"/>
      <c r="I667" s="66" t="n"/>
      <c r="J667" s="67" t="n"/>
      <c r="K667" s="67" t="n"/>
      <c r="L667" s="67" t="n"/>
      <c r="M667" s="28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7" t="n"/>
      <c r="X667" s="67" t="n"/>
      <c r="Y667" s="67" t="n"/>
      <c r="Z667" s="67" t="n"/>
      <c r="AA667" s="67" t="n"/>
      <c r="AB667" s="67" t="n"/>
      <c r="AC667" s="67" t="n"/>
      <c r="AD667" s="66" t="n"/>
      <c r="AE667" s="66" t="n"/>
      <c r="AF667" s="66" t="n"/>
      <c r="AG667" s="66" t="n"/>
      <c r="AH667" s="66" t="n"/>
      <c r="AI667" s="66" t="n"/>
      <c r="AJ667" s="66" t="n"/>
      <c r="AK667" s="66" t="n"/>
      <c r="AL667" s="66" t="n"/>
      <c r="AM667" s="66" t="n"/>
      <c r="AN667" s="66" t="n"/>
      <c r="AO667" s="66" t="n"/>
      <c r="AP667" s="66" t="n"/>
    </row>
    <row r="668">
      <c r="A668" s="66" t="n"/>
      <c r="B668" s="66" t="n"/>
      <c r="C668" s="66" t="n"/>
      <c r="D668" s="66" t="n"/>
      <c r="E668" s="67" t="n"/>
      <c r="F668" s="67" t="n"/>
      <c r="G668" s="68" t="n"/>
      <c r="H668" s="66" t="n"/>
      <c r="I668" s="66" t="n"/>
      <c r="J668" s="67" t="n"/>
      <c r="K668" s="67" t="n"/>
      <c r="L668" s="67" t="n"/>
      <c r="M668" s="28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7" t="n"/>
      <c r="X668" s="67" t="n"/>
      <c r="Y668" s="67" t="n"/>
      <c r="Z668" s="67" t="n"/>
      <c r="AA668" s="67" t="n"/>
      <c r="AB668" s="67" t="n"/>
      <c r="AC668" s="67" t="n"/>
      <c r="AD668" s="66" t="n"/>
      <c r="AE668" s="66" t="n"/>
      <c r="AF668" s="66" t="n"/>
      <c r="AG668" s="66" t="n"/>
      <c r="AH668" s="66" t="n"/>
      <c r="AI668" s="66" t="n"/>
      <c r="AJ668" s="66" t="n"/>
      <c r="AK668" s="66" t="n"/>
      <c r="AL668" s="66" t="n"/>
      <c r="AM668" s="66" t="n"/>
      <c r="AN668" s="66" t="n"/>
      <c r="AO668" s="66" t="n"/>
      <c r="AP668" s="66" t="n"/>
    </row>
    <row r="669">
      <c r="A669" s="66" t="n"/>
      <c r="B669" s="66" t="n"/>
      <c r="C669" s="66" t="n"/>
      <c r="D669" s="66" t="n"/>
      <c r="E669" s="67" t="n"/>
      <c r="F669" s="67" t="n"/>
      <c r="G669" s="68" t="n"/>
      <c r="H669" s="66" t="n"/>
      <c r="I669" s="66" t="n"/>
      <c r="J669" s="67" t="n"/>
      <c r="K669" s="67" t="n"/>
      <c r="L669" s="67" t="n"/>
      <c r="M669" s="28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7" t="n"/>
      <c r="X669" s="67" t="n"/>
      <c r="Y669" s="67" t="n"/>
      <c r="Z669" s="67" t="n"/>
      <c r="AA669" s="67" t="n"/>
      <c r="AB669" s="67" t="n"/>
      <c r="AC669" s="67" t="n"/>
      <c r="AD669" s="66" t="n"/>
      <c r="AE669" s="66" t="n"/>
      <c r="AF669" s="66" t="n"/>
      <c r="AG669" s="66" t="n"/>
      <c r="AH669" s="66" t="n"/>
      <c r="AI669" s="66" t="n"/>
      <c r="AJ669" s="66" t="n"/>
      <c r="AK669" s="66" t="n"/>
      <c r="AL669" s="66" t="n"/>
      <c r="AM669" s="66" t="n"/>
      <c r="AN669" s="66" t="n"/>
      <c r="AO669" s="66" t="n"/>
      <c r="AP669" s="66" t="n"/>
    </row>
    <row r="670">
      <c r="A670" s="66" t="n"/>
      <c r="B670" s="66" t="n"/>
      <c r="C670" s="66" t="n"/>
      <c r="D670" s="66" t="n"/>
      <c r="E670" s="67" t="n"/>
      <c r="F670" s="67" t="n"/>
      <c r="G670" s="68" t="n"/>
      <c r="H670" s="66" t="n"/>
      <c r="I670" s="66" t="n"/>
      <c r="J670" s="67" t="n"/>
      <c r="K670" s="67" t="n"/>
      <c r="L670" s="67" t="n"/>
      <c r="M670" s="28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7" t="n"/>
      <c r="X670" s="67" t="n"/>
      <c r="Y670" s="67" t="n"/>
      <c r="Z670" s="67" t="n"/>
      <c r="AA670" s="67" t="n"/>
      <c r="AB670" s="67" t="n"/>
      <c r="AC670" s="67" t="n"/>
      <c r="AD670" s="66" t="n"/>
      <c r="AE670" s="66" t="n"/>
      <c r="AF670" s="66" t="n"/>
      <c r="AG670" s="66" t="n"/>
      <c r="AH670" s="66" t="n"/>
      <c r="AI670" s="66" t="n"/>
      <c r="AJ670" s="66" t="n"/>
      <c r="AK670" s="66" t="n"/>
      <c r="AL670" s="66" t="n"/>
      <c r="AM670" s="66" t="n"/>
      <c r="AN670" s="66" t="n"/>
      <c r="AO670" s="66" t="n"/>
      <c r="AP670" s="66" t="n"/>
    </row>
    <row r="671">
      <c r="A671" s="66" t="n"/>
      <c r="B671" s="66" t="n"/>
      <c r="C671" s="66" t="n"/>
      <c r="D671" s="66" t="n"/>
      <c r="E671" s="67" t="n"/>
      <c r="F671" s="67" t="n"/>
      <c r="G671" s="68" t="n"/>
      <c r="H671" s="66" t="n"/>
      <c r="I671" s="66" t="n"/>
      <c r="J671" s="67" t="n"/>
      <c r="K671" s="67" t="n"/>
      <c r="L671" s="67" t="n"/>
      <c r="M671" s="28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7" t="n"/>
      <c r="X671" s="67" t="n"/>
      <c r="Y671" s="67" t="n"/>
      <c r="Z671" s="67" t="n"/>
      <c r="AA671" s="67" t="n"/>
      <c r="AB671" s="67" t="n"/>
      <c r="AC671" s="67" t="n"/>
      <c r="AD671" s="66" t="n"/>
      <c r="AE671" s="66" t="n"/>
      <c r="AF671" s="66" t="n"/>
      <c r="AG671" s="66" t="n"/>
      <c r="AH671" s="66" t="n"/>
      <c r="AI671" s="66" t="n"/>
      <c r="AJ671" s="66" t="n"/>
      <c r="AK671" s="66" t="n"/>
      <c r="AL671" s="66" t="n"/>
      <c r="AM671" s="66" t="n"/>
      <c r="AN671" s="66" t="n"/>
      <c r="AO671" s="66" t="n"/>
      <c r="AP671" s="66" t="n"/>
    </row>
    <row r="672">
      <c r="A672" s="66" t="n"/>
      <c r="B672" s="66" t="n"/>
      <c r="C672" s="66" t="n"/>
      <c r="D672" s="66" t="n"/>
      <c r="E672" s="67" t="n"/>
      <c r="F672" s="67" t="n"/>
      <c r="G672" s="68" t="n"/>
      <c r="H672" s="66" t="n"/>
      <c r="I672" s="66" t="n"/>
      <c r="J672" s="67" t="n"/>
      <c r="K672" s="67" t="n"/>
      <c r="L672" s="67" t="n"/>
      <c r="M672" s="28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7" t="n"/>
      <c r="X672" s="67" t="n"/>
      <c r="Y672" s="67" t="n"/>
      <c r="Z672" s="67" t="n"/>
      <c r="AA672" s="67" t="n"/>
      <c r="AB672" s="67" t="n"/>
      <c r="AC672" s="67" t="n"/>
      <c r="AD672" s="66" t="n"/>
      <c r="AE672" s="66" t="n"/>
      <c r="AF672" s="66" t="n"/>
      <c r="AG672" s="66" t="n"/>
      <c r="AH672" s="66" t="n"/>
      <c r="AI672" s="66" t="n"/>
      <c r="AJ672" s="66" t="n"/>
      <c r="AK672" s="66" t="n"/>
      <c r="AL672" s="66" t="n"/>
      <c r="AM672" s="66" t="n"/>
      <c r="AN672" s="66" t="n"/>
      <c r="AO672" s="66" t="n"/>
      <c r="AP672" s="66" t="n"/>
    </row>
    <row r="673">
      <c r="A673" s="66" t="n"/>
      <c r="B673" s="66" t="n"/>
      <c r="C673" s="66" t="n"/>
      <c r="D673" s="66" t="n"/>
      <c r="E673" s="67" t="n"/>
      <c r="F673" s="67" t="n"/>
      <c r="G673" s="68" t="n"/>
      <c r="H673" s="66" t="n"/>
      <c r="I673" s="66" t="n"/>
      <c r="J673" s="67" t="n"/>
      <c r="K673" s="67" t="n"/>
      <c r="L673" s="67" t="n"/>
      <c r="M673" s="28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7" t="n"/>
      <c r="X673" s="67" t="n"/>
      <c r="Y673" s="67" t="n"/>
      <c r="Z673" s="67" t="n"/>
      <c r="AA673" s="67" t="n"/>
      <c r="AB673" s="67" t="n"/>
      <c r="AC673" s="67" t="n"/>
      <c r="AD673" s="66" t="n"/>
      <c r="AE673" s="66" t="n"/>
      <c r="AF673" s="66" t="n"/>
      <c r="AG673" s="66" t="n"/>
      <c r="AH673" s="66" t="n"/>
      <c r="AI673" s="66" t="n"/>
      <c r="AJ673" s="66" t="n"/>
      <c r="AK673" s="66" t="n"/>
      <c r="AL673" s="66" t="n"/>
      <c r="AM673" s="66" t="n"/>
      <c r="AN673" s="66" t="n"/>
      <c r="AO673" s="66" t="n"/>
      <c r="AP673" s="66" t="n"/>
    </row>
    <row r="674">
      <c r="A674" s="66" t="n"/>
      <c r="B674" s="66" t="n"/>
      <c r="C674" s="66" t="n"/>
      <c r="D674" s="66" t="n"/>
      <c r="E674" s="67" t="n"/>
      <c r="F674" s="67" t="n"/>
      <c r="G674" s="68" t="n"/>
      <c r="H674" s="66" t="n"/>
      <c r="I674" s="66" t="n"/>
      <c r="J674" s="67" t="n"/>
      <c r="K674" s="67" t="n"/>
      <c r="L674" s="67" t="n"/>
      <c r="M674" s="28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7" t="n"/>
      <c r="X674" s="67" t="n"/>
      <c r="Y674" s="67" t="n"/>
      <c r="Z674" s="67" t="n"/>
      <c r="AA674" s="67" t="n"/>
      <c r="AB674" s="67" t="n"/>
      <c r="AC674" s="67" t="n"/>
      <c r="AD674" s="66" t="n"/>
      <c r="AE674" s="66" t="n"/>
      <c r="AF674" s="66" t="n"/>
      <c r="AG674" s="66" t="n"/>
      <c r="AH674" s="66" t="n"/>
      <c r="AI674" s="66" t="n"/>
      <c r="AJ674" s="66" t="n"/>
      <c r="AK674" s="66" t="n"/>
      <c r="AL674" s="66" t="n"/>
      <c r="AM674" s="66" t="n"/>
      <c r="AN674" s="66" t="n"/>
      <c r="AO674" s="66" t="n"/>
      <c r="AP674" s="66" t="n"/>
    </row>
    <row r="675">
      <c r="A675" s="66" t="n"/>
      <c r="B675" s="66" t="n"/>
      <c r="C675" s="66" t="n"/>
      <c r="D675" s="66" t="n"/>
      <c r="E675" s="67" t="n"/>
      <c r="F675" s="67" t="n"/>
      <c r="G675" s="68" t="n"/>
      <c r="H675" s="66" t="n"/>
      <c r="I675" s="66" t="n"/>
      <c r="J675" s="67" t="n"/>
      <c r="K675" s="67" t="n"/>
      <c r="L675" s="67" t="n"/>
      <c r="M675" s="28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7" t="n"/>
      <c r="X675" s="67" t="n"/>
      <c r="Y675" s="67" t="n"/>
      <c r="Z675" s="67" t="n"/>
      <c r="AA675" s="67" t="n"/>
      <c r="AB675" s="67" t="n"/>
      <c r="AC675" s="67" t="n"/>
      <c r="AD675" s="66" t="n"/>
      <c r="AE675" s="66" t="n"/>
      <c r="AF675" s="66" t="n"/>
      <c r="AG675" s="66" t="n"/>
      <c r="AH675" s="66" t="n"/>
      <c r="AI675" s="66" t="n"/>
      <c r="AJ675" s="66" t="n"/>
      <c r="AK675" s="66" t="n"/>
      <c r="AL675" s="66" t="n"/>
      <c r="AM675" s="66" t="n"/>
      <c r="AN675" s="66" t="n"/>
      <c r="AO675" s="66" t="n"/>
      <c r="AP675" s="66" t="n"/>
    </row>
    <row r="676">
      <c r="A676" s="66" t="n"/>
      <c r="B676" s="66" t="n"/>
      <c r="C676" s="66" t="n"/>
      <c r="D676" s="66" t="n"/>
      <c r="E676" s="67" t="n"/>
      <c r="F676" s="67" t="n"/>
      <c r="G676" s="68" t="n"/>
      <c r="H676" s="66" t="n"/>
      <c r="I676" s="66" t="n"/>
      <c r="J676" s="67" t="n"/>
      <c r="K676" s="67" t="n"/>
      <c r="L676" s="67" t="n"/>
      <c r="M676" s="28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7" t="n"/>
      <c r="X676" s="67" t="n"/>
      <c r="Y676" s="67" t="n"/>
      <c r="Z676" s="67" t="n"/>
      <c r="AA676" s="67" t="n"/>
      <c r="AB676" s="67" t="n"/>
      <c r="AC676" s="67" t="n"/>
      <c r="AD676" s="66" t="n"/>
      <c r="AE676" s="66" t="n"/>
      <c r="AF676" s="66" t="n"/>
      <c r="AG676" s="66" t="n"/>
      <c r="AH676" s="66" t="n"/>
      <c r="AI676" s="66" t="n"/>
      <c r="AJ676" s="66" t="n"/>
      <c r="AK676" s="66" t="n"/>
      <c r="AL676" s="66" t="n"/>
      <c r="AM676" s="66" t="n"/>
      <c r="AN676" s="66" t="n"/>
      <c r="AO676" s="66" t="n"/>
      <c r="AP676" s="66" t="n"/>
    </row>
    <row r="677">
      <c r="A677" s="66" t="n"/>
      <c r="B677" s="66" t="n"/>
      <c r="C677" s="66" t="n"/>
      <c r="D677" s="66" t="n"/>
      <c r="E677" s="67" t="n"/>
      <c r="F677" s="67" t="n"/>
      <c r="G677" s="68" t="n"/>
      <c r="H677" s="66" t="n"/>
      <c r="I677" s="66" t="n"/>
      <c r="J677" s="67" t="n"/>
      <c r="K677" s="67" t="n"/>
      <c r="L677" s="67" t="n"/>
      <c r="M677" s="28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7" t="n"/>
      <c r="X677" s="67" t="n"/>
      <c r="Y677" s="67" t="n"/>
      <c r="Z677" s="67" t="n"/>
      <c r="AA677" s="67" t="n"/>
      <c r="AB677" s="67" t="n"/>
      <c r="AC677" s="67" t="n"/>
      <c r="AD677" s="66" t="n"/>
      <c r="AE677" s="66" t="n"/>
      <c r="AF677" s="66" t="n"/>
      <c r="AG677" s="66" t="n"/>
      <c r="AH677" s="66" t="n"/>
      <c r="AI677" s="66" t="n"/>
      <c r="AJ677" s="66" t="n"/>
      <c r="AK677" s="66" t="n"/>
      <c r="AL677" s="66" t="n"/>
      <c r="AM677" s="66" t="n"/>
      <c r="AN677" s="66" t="n"/>
      <c r="AO677" s="66" t="n"/>
      <c r="AP677" s="66" t="n"/>
    </row>
    <row r="678">
      <c r="A678" s="66" t="n"/>
      <c r="B678" s="66" t="n"/>
      <c r="C678" s="66" t="n"/>
      <c r="D678" s="66" t="n"/>
      <c r="E678" s="67" t="n"/>
      <c r="F678" s="67" t="n"/>
      <c r="G678" s="68" t="n"/>
      <c r="H678" s="66" t="n"/>
      <c r="I678" s="66" t="n"/>
      <c r="J678" s="67" t="n"/>
      <c r="K678" s="67" t="n"/>
      <c r="L678" s="67" t="n"/>
      <c r="M678" s="28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7" t="n"/>
      <c r="X678" s="67" t="n"/>
      <c r="Y678" s="67" t="n"/>
      <c r="Z678" s="67" t="n"/>
      <c r="AA678" s="67" t="n"/>
      <c r="AB678" s="67" t="n"/>
      <c r="AC678" s="67" t="n"/>
      <c r="AD678" s="66" t="n"/>
      <c r="AE678" s="66" t="n"/>
      <c r="AF678" s="66" t="n"/>
      <c r="AG678" s="66" t="n"/>
      <c r="AH678" s="66" t="n"/>
      <c r="AI678" s="66" t="n"/>
      <c r="AJ678" s="66" t="n"/>
      <c r="AK678" s="66" t="n"/>
      <c r="AL678" s="66" t="n"/>
      <c r="AM678" s="66" t="n"/>
      <c r="AN678" s="66" t="n"/>
      <c r="AO678" s="66" t="n"/>
      <c r="AP678" s="66" t="n"/>
    </row>
    <row r="679">
      <c r="A679" s="66" t="n"/>
      <c r="B679" s="66" t="n"/>
      <c r="C679" s="66" t="n"/>
      <c r="D679" s="66" t="n"/>
      <c r="E679" s="67" t="n"/>
      <c r="F679" s="67" t="n"/>
      <c r="G679" s="68" t="n"/>
      <c r="H679" s="66" t="n"/>
      <c r="I679" s="66" t="n"/>
      <c r="J679" s="67" t="n"/>
      <c r="K679" s="67" t="n"/>
      <c r="L679" s="67" t="n"/>
      <c r="M679" s="28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7" t="n"/>
      <c r="X679" s="67" t="n"/>
      <c r="Y679" s="67" t="n"/>
      <c r="Z679" s="67" t="n"/>
      <c r="AA679" s="67" t="n"/>
      <c r="AB679" s="67" t="n"/>
      <c r="AC679" s="67" t="n"/>
      <c r="AD679" s="66" t="n"/>
      <c r="AE679" s="66" t="n"/>
      <c r="AF679" s="66" t="n"/>
      <c r="AG679" s="66" t="n"/>
      <c r="AH679" s="66" t="n"/>
      <c r="AI679" s="66" t="n"/>
      <c r="AJ679" s="66" t="n"/>
      <c r="AK679" s="66" t="n"/>
      <c r="AL679" s="66" t="n"/>
      <c r="AM679" s="66" t="n"/>
      <c r="AN679" s="66" t="n"/>
      <c r="AO679" s="66" t="n"/>
      <c r="AP679" s="66" t="n"/>
    </row>
    <row r="680">
      <c r="A680" s="66" t="n"/>
      <c r="B680" s="66" t="n"/>
      <c r="C680" s="66" t="n"/>
      <c r="D680" s="66" t="n"/>
      <c r="E680" s="67" t="n"/>
      <c r="F680" s="67" t="n"/>
      <c r="G680" s="68" t="n"/>
      <c r="H680" s="66" t="n"/>
      <c r="I680" s="66" t="n"/>
      <c r="J680" s="67" t="n"/>
      <c r="K680" s="67" t="n"/>
      <c r="L680" s="67" t="n"/>
      <c r="M680" s="28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7" t="n"/>
      <c r="X680" s="67" t="n"/>
      <c r="Y680" s="67" t="n"/>
      <c r="Z680" s="67" t="n"/>
      <c r="AA680" s="67" t="n"/>
      <c r="AB680" s="67" t="n"/>
      <c r="AC680" s="67" t="n"/>
      <c r="AD680" s="66" t="n"/>
      <c r="AE680" s="66" t="n"/>
      <c r="AF680" s="66" t="n"/>
      <c r="AG680" s="66" t="n"/>
      <c r="AH680" s="66" t="n"/>
      <c r="AI680" s="66" t="n"/>
      <c r="AJ680" s="66" t="n"/>
      <c r="AK680" s="66" t="n"/>
      <c r="AL680" s="66" t="n"/>
      <c r="AM680" s="66" t="n"/>
      <c r="AN680" s="66" t="n"/>
      <c r="AO680" s="66" t="n"/>
      <c r="AP680" s="66" t="n"/>
    </row>
    <row r="681">
      <c r="A681" s="66" t="n"/>
      <c r="B681" s="66" t="n"/>
      <c r="C681" s="66" t="n"/>
      <c r="D681" s="66" t="n"/>
      <c r="E681" s="67" t="n"/>
      <c r="F681" s="67" t="n"/>
      <c r="G681" s="68" t="n"/>
      <c r="H681" s="66" t="n"/>
      <c r="I681" s="66" t="n"/>
      <c r="J681" s="67" t="n"/>
      <c r="K681" s="67" t="n"/>
      <c r="L681" s="67" t="n"/>
      <c r="M681" s="28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7" t="n"/>
      <c r="X681" s="67" t="n"/>
      <c r="Y681" s="67" t="n"/>
      <c r="Z681" s="67" t="n"/>
      <c r="AA681" s="67" t="n"/>
      <c r="AB681" s="67" t="n"/>
      <c r="AC681" s="67" t="n"/>
      <c r="AD681" s="66" t="n"/>
      <c r="AE681" s="66" t="n"/>
      <c r="AF681" s="66" t="n"/>
      <c r="AG681" s="66" t="n"/>
      <c r="AH681" s="66" t="n"/>
      <c r="AI681" s="66" t="n"/>
      <c r="AJ681" s="66" t="n"/>
      <c r="AK681" s="66" t="n"/>
      <c r="AL681" s="66" t="n"/>
      <c r="AM681" s="66" t="n"/>
      <c r="AN681" s="66" t="n"/>
      <c r="AO681" s="66" t="n"/>
      <c r="AP681" s="66" t="n"/>
    </row>
    <row r="682">
      <c r="A682" s="66" t="n"/>
      <c r="B682" s="66" t="n"/>
      <c r="C682" s="66" t="n"/>
      <c r="D682" s="66" t="n"/>
      <c r="E682" s="67" t="n"/>
      <c r="F682" s="67" t="n"/>
      <c r="G682" s="68" t="n"/>
      <c r="H682" s="66" t="n"/>
      <c r="I682" s="66" t="n"/>
      <c r="J682" s="67" t="n"/>
      <c r="K682" s="67" t="n"/>
      <c r="L682" s="67" t="n"/>
      <c r="M682" s="28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7" t="n"/>
      <c r="X682" s="67" t="n"/>
      <c r="Y682" s="67" t="n"/>
      <c r="Z682" s="67" t="n"/>
      <c r="AA682" s="67" t="n"/>
      <c r="AB682" s="67" t="n"/>
      <c r="AC682" s="67" t="n"/>
      <c r="AD682" s="66" t="n"/>
      <c r="AE682" s="66" t="n"/>
      <c r="AF682" s="66" t="n"/>
      <c r="AG682" s="66" t="n"/>
      <c r="AH682" s="66" t="n"/>
      <c r="AI682" s="66" t="n"/>
      <c r="AJ682" s="66" t="n"/>
      <c r="AK682" s="66" t="n"/>
      <c r="AL682" s="66" t="n"/>
      <c r="AM682" s="66" t="n"/>
      <c r="AN682" s="66" t="n"/>
      <c r="AO682" s="66" t="n"/>
      <c r="AP682" s="66" t="n"/>
    </row>
    <row r="683">
      <c r="A683" s="66" t="n"/>
      <c r="B683" s="66" t="n"/>
      <c r="C683" s="66" t="n"/>
      <c r="D683" s="66" t="n"/>
      <c r="E683" s="67" t="n"/>
      <c r="F683" s="67" t="n"/>
      <c r="G683" s="68" t="n"/>
      <c r="H683" s="66" t="n"/>
      <c r="I683" s="66" t="n"/>
      <c r="J683" s="67" t="n"/>
      <c r="K683" s="67" t="n"/>
      <c r="L683" s="67" t="n"/>
      <c r="M683" s="28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7" t="n"/>
      <c r="X683" s="67" t="n"/>
      <c r="Y683" s="67" t="n"/>
      <c r="Z683" s="67" t="n"/>
      <c r="AA683" s="67" t="n"/>
      <c r="AB683" s="67" t="n"/>
      <c r="AC683" s="67" t="n"/>
      <c r="AD683" s="66" t="n"/>
      <c r="AE683" s="66" t="n"/>
      <c r="AF683" s="66" t="n"/>
      <c r="AG683" s="66" t="n"/>
      <c r="AH683" s="66" t="n"/>
      <c r="AI683" s="66" t="n"/>
      <c r="AJ683" s="66" t="n"/>
      <c r="AK683" s="66" t="n"/>
      <c r="AL683" s="66" t="n"/>
      <c r="AM683" s="66" t="n"/>
      <c r="AN683" s="66" t="n"/>
      <c r="AO683" s="66" t="n"/>
      <c r="AP683" s="66" t="n"/>
    </row>
    <row r="684">
      <c r="A684" s="66" t="n"/>
      <c r="B684" s="66" t="n"/>
      <c r="C684" s="66" t="n"/>
      <c r="D684" s="66" t="n"/>
      <c r="E684" s="67" t="n"/>
      <c r="F684" s="67" t="n"/>
      <c r="G684" s="68" t="n"/>
      <c r="H684" s="66" t="n"/>
      <c r="I684" s="66" t="n"/>
      <c r="J684" s="67" t="n"/>
      <c r="K684" s="67" t="n"/>
      <c r="L684" s="67" t="n"/>
      <c r="M684" s="28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7" t="n"/>
      <c r="X684" s="67" t="n"/>
      <c r="Y684" s="67" t="n"/>
      <c r="Z684" s="67" t="n"/>
      <c r="AA684" s="67" t="n"/>
      <c r="AB684" s="67" t="n"/>
      <c r="AC684" s="67" t="n"/>
      <c r="AD684" s="66" t="n"/>
      <c r="AE684" s="66" t="n"/>
      <c r="AF684" s="66" t="n"/>
      <c r="AG684" s="66" t="n"/>
      <c r="AH684" s="66" t="n"/>
      <c r="AI684" s="66" t="n"/>
      <c r="AJ684" s="66" t="n"/>
      <c r="AK684" s="66" t="n"/>
      <c r="AL684" s="66" t="n"/>
      <c r="AM684" s="66" t="n"/>
      <c r="AN684" s="66" t="n"/>
      <c r="AO684" s="66" t="n"/>
      <c r="AP684" s="66" t="n"/>
    </row>
    <row r="685">
      <c r="A685" s="66" t="n"/>
      <c r="B685" s="66" t="n"/>
      <c r="C685" s="66" t="n"/>
      <c r="D685" s="66" t="n"/>
      <c r="E685" s="67" t="n"/>
      <c r="F685" s="67" t="n"/>
      <c r="G685" s="68" t="n"/>
      <c r="H685" s="66" t="n"/>
      <c r="I685" s="66" t="n"/>
      <c r="J685" s="67" t="n"/>
      <c r="K685" s="67" t="n"/>
      <c r="L685" s="67" t="n"/>
      <c r="M685" s="28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7" t="n"/>
      <c r="X685" s="67" t="n"/>
      <c r="Y685" s="67" t="n"/>
      <c r="Z685" s="67" t="n"/>
      <c r="AA685" s="67" t="n"/>
      <c r="AB685" s="67" t="n"/>
      <c r="AC685" s="67" t="n"/>
      <c r="AD685" s="66" t="n"/>
      <c r="AE685" s="66" t="n"/>
      <c r="AF685" s="66" t="n"/>
      <c r="AG685" s="66" t="n"/>
      <c r="AH685" s="66" t="n"/>
      <c r="AI685" s="66" t="n"/>
      <c r="AJ685" s="66" t="n"/>
      <c r="AK685" s="66" t="n"/>
      <c r="AL685" s="66" t="n"/>
      <c r="AM685" s="66" t="n"/>
      <c r="AN685" s="66" t="n"/>
      <c r="AO685" s="66" t="n"/>
      <c r="AP685" s="66" t="n"/>
    </row>
    <row r="686">
      <c r="A686" s="66" t="n"/>
      <c r="B686" s="66" t="n"/>
      <c r="C686" s="66" t="n"/>
      <c r="D686" s="66" t="n"/>
      <c r="E686" s="67" t="n"/>
      <c r="F686" s="67" t="n"/>
      <c r="G686" s="68" t="n"/>
      <c r="H686" s="66" t="n"/>
      <c r="I686" s="66" t="n"/>
      <c r="J686" s="67" t="n"/>
      <c r="K686" s="67" t="n"/>
      <c r="L686" s="67" t="n"/>
      <c r="M686" s="28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7" t="n"/>
      <c r="X686" s="67" t="n"/>
      <c r="Y686" s="67" t="n"/>
      <c r="Z686" s="67" t="n"/>
      <c r="AA686" s="67" t="n"/>
      <c r="AB686" s="67" t="n"/>
      <c r="AC686" s="67" t="n"/>
      <c r="AD686" s="66" t="n"/>
      <c r="AE686" s="66" t="n"/>
      <c r="AF686" s="66" t="n"/>
      <c r="AG686" s="66" t="n"/>
      <c r="AH686" s="66" t="n"/>
      <c r="AI686" s="66" t="n"/>
      <c r="AJ686" s="66" t="n"/>
      <c r="AK686" s="66" t="n"/>
      <c r="AL686" s="66" t="n"/>
      <c r="AM686" s="66" t="n"/>
      <c r="AN686" s="66" t="n"/>
      <c r="AO686" s="66" t="n"/>
      <c r="AP686" s="66" t="n"/>
    </row>
    <row r="687">
      <c r="A687" s="66" t="n"/>
      <c r="B687" s="66" t="n"/>
      <c r="C687" s="66" t="n"/>
      <c r="D687" s="66" t="n"/>
      <c r="E687" s="67" t="n"/>
      <c r="F687" s="67" t="n"/>
      <c r="G687" s="68" t="n"/>
      <c r="H687" s="66" t="n"/>
      <c r="I687" s="66" t="n"/>
      <c r="J687" s="67" t="n"/>
      <c r="K687" s="67" t="n"/>
      <c r="L687" s="67" t="n"/>
      <c r="M687" s="28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7" t="n"/>
      <c r="X687" s="67" t="n"/>
      <c r="Y687" s="67" t="n"/>
      <c r="Z687" s="67" t="n"/>
      <c r="AA687" s="67" t="n"/>
      <c r="AB687" s="67" t="n"/>
      <c r="AC687" s="67" t="n"/>
      <c r="AD687" s="66" t="n"/>
      <c r="AE687" s="66" t="n"/>
      <c r="AF687" s="66" t="n"/>
      <c r="AG687" s="66" t="n"/>
      <c r="AH687" s="66" t="n"/>
      <c r="AI687" s="66" t="n"/>
      <c r="AJ687" s="66" t="n"/>
      <c r="AK687" s="66" t="n"/>
      <c r="AL687" s="66" t="n"/>
      <c r="AM687" s="66" t="n"/>
      <c r="AN687" s="66" t="n"/>
      <c r="AO687" s="66" t="n"/>
      <c r="AP687" s="66" t="n"/>
    </row>
    <row r="688">
      <c r="A688" s="66" t="n"/>
      <c r="B688" s="66" t="n"/>
      <c r="C688" s="66" t="n"/>
      <c r="D688" s="66" t="n"/>
      <c r="E688" s="67" t="n"/>
      <c r="F688" s="67" t="n"/>
      <c r="G688" s="68" t="n"/>
      <c r="H688" s="66" t="n"/>
      <c r="I688" s="66" t="n"/>
      <c r="J688" s="67" t="n"/>
      <c r="K688" s="67" t="n"/>
      <c r="L688" s="67" t="n"/>
      <c r="M688" s="28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7" t="n"/>
      <c r="X688" s="67" t="n"/>
      <c r="Y688" s="67" t="n"/>
      <c r="Z688" s="67" t="n"/>
      <c r="AA688" s="67" t="n"/>
      <c r="AB688" s="67" t="n"/>
      <c r="AC688" s="67" t="n"/>
      <c r="AD688" s="66" t="n"/>
      <c r="AE688" s="66" t="n"/>
      <c r="AF688" s="66" t="n"/>
      <c r="AG688" s="66" t="n"/>
      <c r="AH688" s="66" t="n"/>
      <c r="AI688" s="66" t="n"/>
      <c r="AJ688" s="66" t="n"/>
      <c r="AK688" s="66" t="n"/>
      <c r="AL688" s="66" t="n"/>
      <c r="AM688" s="66" t="n"/>
      <c r="AN688" s="66" t="n"/>
      <c r="AO688" s="66" t="n"/>
      <c r="AP688" s="66" t="n"/>
    </row>
    <row r="689">
      <c r="A689" s="66" t="n"/>
      <c r="B689" s="66" t="n"/>
      <c r="C689" s="66" t="n"/>
      <c r="D689" s="66" t="n"/>
      <c r="E689" s="67" t="n"/>
      <c r="F689" s="67" t="n"/>
      <c r="G689" s="68" t="n"/>
      <c r="H689" s="66" t="n"/>
      <c r="I689" s="66" t="n"/>
      <c r="J689" s="67" t="n"/>
      <c r="K689" s="67" t="n"/>
      <c r="L689" s="67" t="n"/>
      <c r="M689" s="28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7" t="n"/>
      <c r="X689" s="67" t="n"/>
      <c r="Y689" s="67" t="n"/>
      <c r="Z689" s="67" t="n"/>
      <c r="AA689" s="67" t="n"/>
      <c r="AB689" s="67" t="n"/>
      <c r="AC689" s="67" t="n"/>
      <c r="AD689" s="66" t="n"/>
      <c r="AE689" s="66" t="n"/>
      <c r="AF689" s="66" t="n"/>
      <c r="AG689" s="66" t="n"/>
      <c r="AH689" s="66" t="n"/>
      <c r="AI689" s="66" t="n"/>
      <c r="AJ689" s="66" t="n"/>
      <c r="AK689" s="66" t="n"/>
      <c r="AL689" s="66" t="n"/>
      <c r="AM689" s="66" t="n"/>
      <c r="AN689" s="66" t="n"/>
      <c r="AO689" s="66" t="n"/>
      <c r="AP689" s="66" t="n"/>
    </row>
    <row r="690">
      <c r="A690" s="66" t="n"/>
      <c r="B690" s="66" t="n"/>
      <c r="C690" s="66" t="n"/>
      <c r="D690" s="66" t="n"/>
      <c r="E690" s="67" t="n"/>
      <c r="F690" s="67" t="n"/>
      <c r="G690" s="68" t="n"/>
      <c r="H690" s="66" t="n"/>
      <c r="I690" s="66" t="n"/>
      <c r="J690" s="67" t="n"/>
      <c r="K690" s="67" t="n"/>
      <c r="L690" s="67" t="n"/>
      <c r="M690" s="28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7" t="n"/>
      <c r="X690" s="67" t="n"/>
      <c r="Y690" s="67" t="n"/>
      <c r="Z690" s="67" t="n"/>
      <c r="AA690" s="67" t="n"/>
      <c r="AB690" s="67" t="n"/>
      <c r="AC690" s="67" t="n"/>
      <c r="AD690" s="66" t="n"/>
      <c r="AE690" s="66" t="n"/>
      <c r="AF690" s="66" t="n"/>
      <c r="AG690" s="66" t="n"/>
      <c r="AH690" s="66" t="n"/>
      <c r="AI690" s="66" t="n"/>
      <c r="AJ690" s="66" t="n"/>
      <c r="AK690" s="66" t="n"/>
      <c r="AL690" s="66" t="n"/>
      <c r="AM690" s="66" t="n"/>
      <c r="AN690" s="66" t="n"/>
      <c r="AO690" s="66" t="n"/>
      <c r="AP690" s="66" t="n"/>
    </row>
    <row r="691">
      <c r="A691" s="66" t="n"/>
      <c r="B691" s="66" t="n"/>
      <c r="C691" s="66" t="n"/>
      <c r="D691" s="66" t="n"/>
      <c r="E691" s="67" t="n"/>
      <c r="F691" s="67" t="n"/>
      <c r="G691" s="68" t="n"/>
      <c r="H691" s="66" t="n"/>
      <c r="I691" s="66" t="n"/>
      <c r="J691" s="67" t="n"/>
      <c r="K691" s="67" t="n"/>
      <c r="L691" s="67" t="n"/>
      <c r="M691" s="28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7" t="n"/>
      <c r="X691" s="67" t="n"/>
      <c r="Y691" s="67" t="n"/>
      <c r="Z691" s="67" t="n"/>
      <c r="AA691" s="67" t="n"/>
      <c r="AB691" s="67" t="n"/>
      <c r="AC691" s="67" t="n"/>
      <c r="AD691" s="66" t="n"/>
      <c r="AE691" s="66" t="n"/>
      <c r="AF691" s="66" t="n"/>
      <c r="AG691" s="66" t="n"/>
      <c r="AH691" s="66" t="n"/>
      <c r="AI691" s="66" t="n"/>
      <c r="AJ691" s="66" t="n"/>
      <c r="AK691" s="66" t="n"/>
      <c r="AL691" s="66" t="n"/>
      <c r="AM691" s="66" t="n"/>
      <c r="AN691" s="66" t="n"/>
      <c r="AO691" s="66" t="n"/>
      <c r="AP691" s="66" t="n"/>
    </row>
    <row r="692">
      <c r="A692" s="66" t="n"/>
      <c r="B692" s="66" t="n"/>
      <c r="C692" s="66" t="n"/>
      <c r="D692" s="66" t="n"/>
      <c r="E692" s="67" t="n"/>
      <c r="F692" s="67" t="n"/>
      <c r="G692" s="68" t="n"/>
      <c r="H692" s="66" t="n"/>
      <c r="I692" s="66" t="n"/>
      <c r="J692" s="67" t="n"/>
      <c r="K692" s="67" t="n"/>
      <c r="L692" s="67" t="n"/>
      <c r="M692" s="28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7" t="n"/>
      <c r="X692" s="67" t="n"/>
      <c r="Y692" s="67" t="n"/>
      <c r="Z692" s="67" t="n"/>
      <c r="AA692" s="67" t="n"/>
      <c r="AB692" s="67" t="n"/>
      <c r="AC692" s="67" t="n"/>
      <c r="AD692" s="66" t="n"/>
      <c r="AE692" s="66" t="n"/>
      <c r="AF692" s="66" t="n"/>
      <c r="AG692" s="66" t="n"/>
      <c r="AH692" s="66" t="n"/>
      <c r="AI692" s="66" t="n"/>
      <c r="AJ692" s="66" t="n"/>
      <c r="AK692" s="66" t="n"/>
      <c r="AL692" s="66" t="n"/>
      <c r="AM692" s="66" t="n"/>
      <c r="AN692" s="66" t="n"/>
      <c r="AO692" s="66" t="n"/>
      <c r="AP692" s="66" t="n"/>
    </row>
    <row r="693">
      <c r="A693" s="66" t="n"/>
      <c r="B693" s="66" t="n"/>
      <c r="C693" s="66" t="n"/>
      <c r="D693" s="66" t="n"/>
      <c r="E693" s="67" t="n"/>
      <c r="F693" s="67" t="n"/>
      <c r="G693" s="68" t="n"/>
      <c r="H693" s="66" t="n"/>
      <c r="I693" s="66" t="n"/>
      <c r="J693" s="67" t="n"/>
      <c r="K693" s="67" t="n"/>
      <c r="L693" s="67" t="n"/>
      <c r="M693" s="28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7" t="n"/>
      <c r="X693" s="67" t="n"/>
      <c r="Y693" s="67" t="n"/>
      <c r="Z693" s="67" t="n"/>
      <c r="AA693" s="67" t="n"/>
      <c r="AB693" s="67" t="n"/>
      <c r="AC693" s="67" t="n"/>
      <c r="AD693" s="66" t="n"/>
      <c r="AE693" s="66" t="n"/>
      <c r="AF693" s="66" t="n"/>
      <c r="AG693" s="66" t="n"/>
      <c r="AH693" s="66" t="n"/>
      <c r="AI693" s="66" t="n"/>
      <c r="AJ693" s="66" t="n"/>
      <c r="AK693" s="66" t="n"/>
      <c r="AL693" s="66" t="n"/>
      <c r="AM693" s="66" t="n"/>
      <c r="AN693" s="66" t="n"/>
      <c r="AO693" s="66" t="n"/>
      <c r="AP693" s="66" t="n"/>
    </row>
    <row r="694">
      <c r="A694" s="66" t="n"/>
      <c r="B694" s="66" t="n"/>
      <c r="C694" s="66" t="n"/>
      <c r="D694" s="66" t="n"/>
      <c r="E694" s="67" t="n"/>
      <c r="F694" s="67" t="n"/>
      <c r="G694" s="68" t="n"/>
      <c r="H694" s="66" t="n"/>
      <c r="I694" s="66" t="n"/>
      <c r="J694" s="67" t="n"/>
      <c r="K694" s="67" t="n"/>
      <c r="L694" s="67" t="n"/>
      <c r="M694" s="28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7" t="n"/>
      <c r="X694" s="67" t="n"/>
      <c r="Y694" s="67" t="n"/>
      <c r="Z694" s="67" t="n"/>
      <c r="AA694" s="67" t="n"/>
      <c r="AB694" s="67" t="n"/>
      <c r="AC694" s="67" t="n"/>
      <c r="AD694" s="66" t="n"/>
      <c r="AE694" s="66" t="n"/>
      <c r="AF694" s="66" t="n"/>
      <c r="AG694" s="66" t="n"/>
      <c r="AH694" s="66" t="n"/>
      <c r="AI694" s="66" t="n"/>
      <c r="AJ694" s="66" t="n"/>
      <c r="AK694" s="66" t="n"/>
      <c r="AL694" s="66" t="n"/>
      <c r="AM694" s="66" t="n"/>
      <c r="AN694" s="66" t="n"/>
      <c r="AO694" s="66" t="n"/>
      <c r="AP694" s="66" t="n"/>
    </row>
    <row r="695">
      <c r="A695" s="66" t="n"/>
      <c r="B695" s="66" t="n"/>
      <c r="C695" s="66" t="n"/>
      <c r="D695" s="66" t="n"/>
      <c r="E695" s="67" t="n"/>
      <c r="F695" s="67" t="n"/>
      <c r="G695" s="68" t="n"/>
      <c r="H695" s="66" t="n"/>
      <c r="I695" s="66" t="n"/>
      <c r="J695" s="67" t="n"/>
      <c r="K695" s="67" t="n"/>
      <c r="L695" s="67" t="n"/>
      <c r="M695" s="28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7" t="n"/>
      <c r="X695" s="67" t="n"/>
      <c r="Y695" s="67" t="n"/>
      <c r="Z695" s="67" t="n"/>
      <c r="AA695" s="67" t="n"/>
      <c r="AB695" s="67" t="n"/>
      <c r="AC695" s="67" t="n"/>
      <c r="AD695" s="66" t="n"/>
      <c r="AE695" s="66" t="n"/>
      <c r="AF695" s="66" t="n"/>
      <c r="AG695" s="66" t="n"/>
      <c r="AH695" s="66" t="n"/>
      <c r="AI695" s="66" t="n"/>
      <c r="AJ695" s="66" t="n"/>
      <c r="AK695" s="66" t="n"/>
      <c r="AL695" s="66" t="n"/>
      <c r="AM695" s="66" t="n"/>
      <c r="AN695" s="66" t="n"/>
      <c r="AO695" s="66" t="n"/>
      <c r="AP695" s="66" t="n"/>
    </row>
    <row r="696">
      <c r="A696" s="66" t="n"/>
      <c r="B696" s="66" t="n"/>
      <c r="C696" s="66" t="n"/>
      <c r="D696" s="66" t="n"/>
      <c r="E696" s="67" t="n"/>
      <c r="F696" s="67" t="n"/>
      <c r="G696" s="68" t="n"/>
      <c r="H696" s="66" t="n"/>
      <c r="I696" s="66" t="n"/>
      <c r="J696" s="67" t="n"/>
      <c r="K696" s="67" t="n"/>
      <c r="L696" s="67" t="n"/>
      <c r="M696" s="28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7" t="n"/>
      <c r="X696" s="67" t="n"/>
      <c r="Y696" s="67" t="n"/>
      <c r="Z696" s="67" t="n"/>
      <c r="AA696" s="67" t="n"/>
      <c r="AB696" s="67" t="n"/>
      <c r="AC696" s="67" t="n"/>
      <c r="AD696" s="66" t="n"/>
      <c r="AE696" s="66" t="n"/>
      <c r="AF696" s="66" t="n"/>
      <c r="AG696" s="66" t="n"/>
      <c r="AH696" s="66" t="n"/>
      <c r="AI696" s="66" t="n"/>
      <c r="AJ696" s="66" t="n"/>
      <c r="AK696" s="66" t="n"/>
      <c r="AL696" s="66" t="n"/>
      <c r="AM696" s="66" t="n"/>
      <c r="AN696" s="66" t="n"/>
      <c r="AO696" s="66" t="n"/>
      <c r="AP696" s="66" t="n"/>
    </row>
    <row r="697">
      <c r="A697" s="66" t="n"/>
      <c r="B697" s="66" t="n"/>
      <c r="C697" s="66" t="n"/>
      <c r="D697" s="66" t="n"/>
      <c r="E697" s="67" t="n"/>
      <c r="F697" s="67" t="n"/>
      <c r="G697" s="68" t="n"/>
      <c r="H697" s="66" t="n"/>
      <c r="I697" s="66" t="n"/>
      <c r="J697" s="67" t="n"/>
      <c r="K697" s="67" t="n"/>
      <c r="L697" s="67" t="n"/>
      <c r="M697" s="28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7" t="n"/>
      <c r="X697" s="67" t="n"/>
      <c r="Y697" s="67" t="n"/>
      <c r="Z697" s="67" t="n"/>
      <c r="AA697" s="67" t="n"/>
      <c r="AB697" s="67" t="n"/>
      <c r="AC697" s="67" t="n"/>
      <c r="AD697" s="66" t="n"/>
      <c r="AE697" s="66" t="n"/>
      <c r="AF697" s="66" t="n"/>
      <c r="AG697" s="66" t="n"/>
      <c r="AH697" s="66" t="n"/>
      <c r="AI697" s="66" t="n"/>
      <c r="AJ697" s="66" t="n"/>
      <c r="AK697" s="66" t="n"/>
      <c r="AL697" s="66" t="n"/>
      <c r="AM697" s="66" t="n"/>
      <c r="AN697" s="66" t="n"/>
      <c r="AO697" s="66" t="n"/>
      <c r="AP697" s="66" t="n"/>
    </row>
    <row r="698">
      <c r="A698" s="66" t="n"/>
      <c r="B698" s="66" t="n"/>
      <c r="C698" s="66" t="n"/>
      <c r="D698" s="66" t="n"/>
      <c r="E698" s="67" t="n"/>
      <c r="F698" s="67" t="n"/>
      <c r="G698" s="68" t="n"/>
      <c r="H698" s="66" t="n"/>
      <c r="I698" s="66" t="n"/>
      <c r="J698" s="67" t="n"/>
      <c r="K698" s="67" t="n"/>
      <c r="L698" s="67" t="n"/>
      <c r="M698" s="28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7" t="n"/>
      <c r="X698" s="67" t="n"/>
      <c r="Y698" s="67" t="n"/>
      <c r="Z698" s="67" t="n"/>
      <c r="AA698" s="67" t="n"/>
      <c r="AB698" s="67" t="n"/>
      <c r="AC698" s="67" t="n"/>
      <c r="AD698" s="66" t="n"/>
      <c r="AE698" s="66" t="n"/>
      <c r="AF698" s="66" t="n"/>
      <c r="AG698" s="66" t="n"/>
      <c r="AH698" s="66" t="n"/>
      <c r="AI698" s="66" t="n"/>
      <c r="AJ698" s="66" t="n"/>
      <c r="AK698" s="66" t="n"/>
      <c r="AL698" s="66" t="n"/>
      <c r="AM698" s="66" t="n"/>
      <c r="AN698" s="66" t="n"/>
      <c r="AO698" s="66" t="n"/>
      <c r="AP698" s="66" t="n"/>
    </row>
    <row r="699">
      <c r="A699" s="66" t="n"/>
      <c r="B699" s="66" t="n"/>
      <c r="C699" s="66" t="n"/>
      <c r="D699" s="66" t="n"/>
      <c r="E699" s="67" t="n"/>
      <c r="F699" s="67" t="n"/>
      <c r="G699" s="68" t="n"/>
      <c r="H699" s="66" t="n"/>
      <c r="I699" s="66" t="n"/>
      <c r="J699" s="67" t="n"/>
      <c r="K699" s="67" t="n"/>
      <c r="L699" s="67" t="n"/>
      <c r="M699" s="28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7" t="n"/>
      <c r="X699" s="67" t="n"/>
      <c r="Y699" s="67" t="n"/>
      <c r="Z699" s="67" t="n"/>
      <c r="AA699" s="67" t="n"/>
      <c r="AB699" s="67" t="n"/>
      <c r="AC699" s="67" t="n"/>
      <c r="AD699" s="66" t="n"/>
      <c r="AE699" s="66" t="n"/>
      <c r="AF699" s="66" t="n"/>
      <c r="AG699" s="66" t="n"/>
      <c r="AH699" s="66" t="n"/>
      <c r="AI699" s="66" t="n"/>
      <c r="AJ699" s="66" t="n"/>
      <c r="AK699" s="66" t="n"/>
      <c r="AL699" s="66" t="n"/>
      <c r="AM699" s="66" t="n"/>
      <c r="AN699" s="66" t="n"/>
      <c r="AO699" s="66" t="n"/>
      <c r="AP699" s="66" t="n"/>
    </row>
    <row r="700">
      <c r="A700" s="66" t="n"/>
      <c r="B700" s="66" t="n"/>
      <c r="C700" s="66" t="n"/>
      <c r="D700" s="66" t="n"/>
      <c r="E700" s="67" t="n"/>
      <c r="F700" s="67" t="n"/>
      <c r="G700" s="68" t="n"/>
      <c r="H700" s="66" t="n"/>
      <c r="I700" s="66" t="n"/>
      <c r="J700" s="67" t="n"/>
      <c r="K700" s="67" t="n"/>
      <c r="L700" s="67" t="n"/>
      <c r="M700" s="28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7" t="n"/>
      <c r="X700" s="67" t="n"/>
      <c r="Y700" s="67" t="n"/>
      <c r="Z700" s="67" t="n"/>
      <c r="AA700" s="67" t="n"/>
      <c r="AB700" s="67" t="n"/>
      <c r="AC700" s="67" t="n"/>
      <c r="AD700" s="66" t="n"/>
      <c r="AE700" s="66" t="n"/>
      <c r="AF700" s="66" t="n"/>
      <c r="AG700" s="66" t="n"/>
      <c r="AH700" s="66" t="n"/>
      <c r="AI700" s="66" t="n"/>
      <c r="AJ700" s="66" t="n"/>
      <c r="AK700" s="66" t="n"/>
      <c r="AL700" s="66" t="n"/>
      <c r="AM700" s="66" t="n"/>
      <c r="AN700" s="66" t="n"/>
      <c r="AO700" s="66" t="n"/>
      <c r="AP700" s="66" t="n"/>
    </row>
    <row r="701">
      <c r="A701" s="66" t="n"/>
      <c r="B701" s="66" t="n"/>
      <c r="C701" s="66" t="n"/>
      <c r="D701" s="66" t="n"/>
      <c r="E701" s="67" t="n"/>
      <c r="F701" s="67" t="n"/>
      <c r="G701" s="68" t="n"/>
      <c r="H701" s="66" t="n"/>
      <c r="I701" s="66" t="n"/>
      <c r="J701" s="67" t="n"/>
      <c r="K701" s="67" t="n"/>
      <c r="L701" s="67" t="n"/>
      <c r="M701" s="28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7" t="n"/>
      <c r="X701" s="67" t="n"/>
      <c r="Y701" s="67" t="n"/>
      <c r="Z701" s="67" t="n"/>
      <c r="AA701" s="67" t="n"/>
      <c r="AB701" s="67" t="n"/>
      <c r="AC701" s="67" t="n"/>
      <c r="AD701" s="66" t="n"/>
      <c r="AE701" s="66" t="n"/>
      <c r="AF701" s="66" t="n"/>
      <c r="AG701" s="66" t="n"/>
      <c r="AH701" s="66" t="n"/>
      <c r="AI701" s="66" t="n"/>
      <c r="AJ701" s="66" t="n"/>
      <c r="AK701" s="66" t="n"/>
      <c r="AL701" s="66" t="n"/>
      <c r="AM701" s="66" t="n"/>
      <c r="AN701" s="66" t="n"/>
      <c r="AO701" s="66" t="n"/>
      <c r="AP701" s="66" t="n"/>
    </row>
    <row r="702">
      <c r="A702" s="66" t="n"/>
      <c r="B702" s="66" t="n"/>
      <c r="C702" s="66" t="n"/>
      <c r="D702" s="66" t="n"/>
      <c r="E702" s="67" t="n"/>
      <c r="F702" s="67" t="n"/>
      <c r="G702" s="68" t="n"/>
      <c r="H702" s="66" t="n"/>
      <c r="I702" s="66" t="n"/>
      <c r="J702" s="67" t="n"/>
      <c r="K702" s="67" t="n"/>
      <c r="L702" s="67" t="n"/>
      <c r="M702" s="28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7" t="n"/>
      <c r="X702" s="67" t="n"/>
      <c r="Y702" s="67" t="n"/>
      <c r="Z702" s="67" t="n"/>
      <c r="AA702" s="67" t="n"/>
      <c r="AB702" s="67" t="n"/>
      <c r="AC702" s="67" t="n"/>
      <c r="AD702" s="66" t="n"/>
      <c r="AE702" s="66" t="n"/>
      <c r="AF702" s="66" t="n"/>
      <c r="AG702" s="66" t="n"/>
      <c r="AH702" s="66" t="n"/>
      <c r="AI702" s="66" t="n"/>
      <c r="AJ702" s="66" t="n"/>
      <c r="AK702" s="66" t="n"/>
      <c r="AL702" s="66" t="n"/>
      <c r="AM702" s="66" t="n"/>
      <c r="AN702" s="66" t="n"/>
      <c r="AO702" s="66" t="n"/>
      <c r="AP702" s="66" t="n"/>
    </row>
    <row r="703">
      <c r="A703" s="66" t="n"/>
      <c r="B703" s="66" t="n"/>
      <c r="C703" s="66" t="n"/>
      <c r="D703" s="66" t="n"/>
      <c r="E703" s="67" t="n"/>
      <c r="F703" s="67" t="n"/>
      <c r="G703" s="68" t="n"/>
      <c r="H703" s="66" t="n"/>
      <c r="I703" s="66" t="n"/>
      <c r="J703" s="67" t="n"/>
      <c r="K703" s="67" t="n"/>
      <c r="L703" s="67" t="n"/>
      <c r="M703" s="28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7" t="n"/>
      <c r="X703" s="67" t="n"/>
      <c r="Y703" s="67" t="n"/>
      <c r="Z703" s="67" t="n"/>
      <c r="AA703" s="67" t="n"/>
      <c r="AB703" s="67" t="n"/>
      <c r="AC703" s="67" t="n"/>
      <c r="AD703" s="66" t="n"/>
      <c r="AE703" s="66" t="n"/>
      <c r="AF703" s="66" t="n"/>
      <c r="AG703" s="66" t="n"/>
      <c r="AH703" s="66" t="n"/>
      <c r="AI703" s="66" t="n"/>
      <c r="AJ703" s="66" t="n"/>
      <c r="AK703" s="66" t="n"/>
      <c r="AL703" s="66" t="n"/>
      <c r="AM703" s="66" t="n"/>
      <c r="AN703" s="66" t="n"/>
      <c r="AO703" s="66" t="n"/>
      <c r="AP703" s="66" t="n"/>
    </row>
    <row r="704">
      <c r="A704" s="66" t="n"/>
      <c r="B704" s="66" t="n"/>
      <c r="C704" s="66" t="n"/>
      <c r="D704" s="66" t="n"/>
      <c r="E704" s="67" t="n"/>
      <c r="F704" s="67" t="n"/>
      <c r="G704" s="68" t="n"/>
      <c r="H704" s="66" t="n"/>
      <c r="I704" s="66" t="n"/>
      <c r="J704" s="67" t="n"/>
      <c r="K704" s="67" t="n"/>
      <c r="L704" s="67" t="n"/>
      <c r="M704" s="28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7" t="n"/>
      <c r="X704" s="67" t="n"/>
      <c r="Y704" s="67" t="n"/>
      <c r="Z704" s="67" t="n"/>
      <c r="AA704" s="67" t="n"/>
      <c r="AB704" s="67" t="n"/>
      <c r="AC704" s="67" t="n"/>
      <c r="AD704" s="66" t="n"/>
      <c r="AE704" s="66" t="n"/>
      <c r="AF704" s="66" t="n"/>
      <c r="AG704" s="66" t="n"/>
      <c r="AH704" s="66" t="n"/>
      <c r="AI704" s="66" t="n"/>
      <c r="AJ704" s="66" t="n"/>
      <c r="AK704" s="66" t="n"/>
      <c r="AL704" s="66" t="n"/>
      <c r="AM704" s="66" t="n"/>
      <c r="AN704" s="66" t="n"/>
      <c r="AO704" s="66" t="n"/>
      <c r="AP704" s="66" t="n"/>
    </row>
    <row r="705">
      <c r="A705" s="66" t="n"/>
      <c r="B705" s="66" t="n"/>
      <c r="C705" s="66" t="n"/>
      <c r="D705" s="66" t="n"/>
      <c r="E705" s="67" t="n"/>
      <c r="F705" s="67" t="n"/>
      <c r="G705" s="68" t="n"/>
      <c r="H705" s="66" t="n"/>
      <c r="I705" s="66" t="n"/>
      <c r="J705" s="67" t="n"/>
      <c r="K705" s="67" t="n"/>
      <c r="L705" s="67" t="n"/>
      <c r="M705" s="28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7" t="n"/>
      <c r="X705" s="67" t="n"/>
      <c r="Y705" s="67" t="n"/>
      <c r="Z705" s="67" t="n"/>
      <c r="AA705" s="67" t="n"/>
      <c r="AB705" s="67" t="n"/>
      <c r="AC705" s="67" t="n"/>
      <c r="AD705" s="66" t="n"/>
      <c r="AE705" s="66" t="n"/>
      <c r="AF705" s="66" t="n"/>
      <c r="AG705" s="66" t="n"/>
      <c r="AH705" s="66" t="n"/>
      <c r="AI705" s="66" t="n"/>
      <c r="AJ705" s="66" t="n"/>
      <c r="AK705" s="66" t="n"/>
      <c r="AL705" s="66" t="n"/>
      <c r="AM705" s="66" t="n"/>
      <c r="AN705" s="66" t="n"/>
      <c r="AO705" s="66" t="n"/>
      <c r="AP705" s="66" t="n"/>
    </row>
    <row r="706">
      <c r="A706" s="66" t="n"/>
      <c r="B706" s="66" t="n"/>
      <c r="C706" s="66" t="n"/>
      <c r="D706" s="66" t="n"/>
      <c r="E706" s="67" t="n"/>
      <c r="F706" s="67" t="n"/>
      <c r="G706" s="68" t="n"/>
      <c r="H706" s="66" t="n"/>
      <c r="I706" s="66" t="n"/>
      <c r="J706" s="67" t="n"/>
      <c r="K706" s="67" t="n"/>
      <c r="L706" s="67" t="n"/>
      <c r="M706" s="28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7" t="n"/>
      <c r="X706" s="67" t="n"/>
      <c r="Y706" s="67" t="n"/>
      <c r="Z706" s="67" t="n"/>
      <c r="AA706" s="67" t="n"/>
      <c r="AB706" s="67" t="n"/>
      <c r="AC706" s="67" t="n"/>
      <c r="AD706" s="66" t="n"/>
      <c r="AE706" s="66" t="n"/>
      <c r="AF706" s="66" t="n"/>
      <c r="AG706" s="66" t="n"/>
      <c r="AH706" s="66" t="n"/>
      <c r="AI706" s="66" t="n"/>
      <c r="AJ706" s="66" t="n"/>
      <c r="AK706" s="66" t="n"/>
      <c r="AL706" s="66" t="n"/>
      <c r="AM706" s="66" t="n"/>
      <c r="AN706" s="66" t="n"/>
      <c r="AO706" s="66" t="n"/>
      <c r="AP706" s="66" t="n"/>
    </row>
    <row r="707">
      <c r="A707" s="66" t="n"/>
      <c r="B707" s="66" t="n"/>
      <c r="C707" s="66" t="n"/>
      <c r="D707" s="66" t="n"/>
      <c r="E707" s="67" t="n"/>
      <c r="F707" s="67" t="n"/>
      <c r="G707" s="68" t="n"/>
      <c r="H707" s="66" t="n"/>
      <c r="I707" s="66" t="n"/>
      <c r="J707" s="67" t="n"/>
      <c r="K707" s="67" t="n"/>
      <c r="L707" s="67" t="n"/>
      <c r="M707" s="28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7" t="n"/>
      <c r="X707" s="67" t="n"/>
      <c r="Y707" s="67" t="n"/>
      <c r="Z707" s="67" t="n"/>
      <c r="AA707" s="67" t="n"/>
      <c r="AB707" s="67" t="n"/>
      <c r="AC707" s="67" t="n"/>
      <c r="AD707" s="66" t="n"/>
      <c r="AE707" s="66" t="n"/>
      <c r="AF707" s="66" t="n"/>
      <c r="AG707" s="66" t="n"/>
      <c r="AH707" s="66" t="n"/>
      <c r="AI707" s="66" t="n"/>
      <c r="AJ707" s="66" t="n"/>
      <c r="AK707" s="66" t="n"/>
      <c r="AL707" s="66" t="n"/>
      <c r="AM707" s="66" t="n"/>
      <c r="AN707" s="66" t="n"/>
      <c r="AO707" s="66" t="n"/>
      <c r="AP707" s="66" t="n"/>
    </row>
    <row r="708">
      <c r="A708" s="66" t="n"/>
      <c r="B708" s="66" t="n"/>
      <c r="C708" s="66" t="n"/>
      <c r="D708" s="66" t="n"/>
      <c r="E708" s="67" t="n"/>
      <c r="F708" s="67" t="n"/>
      <c r="G708" s="68" t="n"/>
      <c r="H708" s="66" t="n"/>
      <c r="I708" s="66" t="n"/>
      <c r="J708" s="67" t="n"/>
      <c r="K708" s="67" t="n"/>
      <c r="L708" s="67" t="n"/>
      <c r="M708" s="28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7" t="n"/>
      <c r="X708" s="67" t="n"/>
      <c r="Y708" s="67" t="n"/>
      <c r="Z708" s="67" t="n"/>
      <c r="AA708" s="67" t="n"/>
      <c r="AB708" s="67" t="n"/>
      <c r="AC708" s="67" t="n"/>
      <c r="AD708" s="66" t="n"/>
      <c r="AE708" s="66" t="n"/>
      <c r="AF708" s="66" t="n"/>
      <c r="AG708" s="66" t="n"/>
      <c r="AH708" s="66" t="n"/>
      <c r="AI708" s="66" t="n"/>
      <c r="AJ708" s="66" t="n"/>
      <c r="AK708" s="66" t="n"/>
      <c r="AL708" s="66" t="n"/>
      <c r="AM708" s="66" t="n"/>
      <c r="AN708" s="66" t="n"/>
      <c r="AO708" s="66" t="n"/>
      <c r="AP708" s="66" t="n"/>
    </row>
    <row r="709">
      <c r="A709" s="66" t="n"/>
      <c r="B709" s="66" t="n"/>
      <c r="C709" s="66" t="n"/>
      <c r="D709" s="66" t="n"/>
      <c r="E709" s="67" t="n"/>
      <c r="F709" s="67" t="n"/>
      <c r="G709" s="68" t="n"/>
      <c r="H709" s="66" t="n"/>
      <c r="I709" s="66" t="n"/>
      <c r="J709" s="67" t="n"/>
      <c r="K709" s="67" t="n"/>
      <c r="L709" s="67" t="n"/>
      <c r="M709" s="28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7" t="n"/>
      <c r="X709" s="67" t="n"/>
      <c r="Y709" s="67" t="n"/>
      <c r="Z709" s="67" t="n"/>
      <c r="AA709" s="67" t="n"/>
      <c r="AB709" s="67" t="n"/>
      <c r="AC709" s="67" t="n"/>
      <c r="AD709" s="66" t="n"/>
      <c r="AE709" s="66" t="n"/>
      <c r="AF709" s="66" t="n"/>
      <c r="AG709" s="66" t="n"/>
      <c r="AH709" s="66" t="n"/>
      <c r="AI709" s="66" t="n"/>
      <c r="AJ709" s="66" t="n"/>
      <c r="AK709" s="66" t="n"/>
      <c r="AL709" s="66" t="n"/>
      <c r="AM709" s="66" t="n"/>
      <c r="AN709" s="66" t="n"/>
      <c r="AO709" s="66" t="n"/>
      <c r="AP709" s="66" t="n"/>
    </row>
    <row r="710">
      <c r="A710" s="66" t="n"/>
      <c r="B710" s="66" t="n"/>
      <c r="C710" s="66" t="n"/>
      <c r="D710" s="66" t="n"/>
      <c r="E710" s="67" t="n"/>
      <c r="F710" s="67" t="n"/>
      <c r="G710" s="68" t="n"/>
      <c r="H710" s="66" t="n"/>
      <c r="I710" s="66" t="n"/>
      <c r="J710" s="67" t="n"/>
      <c r="K710" s="67" t="n"/>
      <c r="L710" s="67" t="n"/>
      <c r="M710" s="28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7" t="n"/>
      <c r="X710" s="67" t="n"/>
      <c r="Y710" s="67" t="n"/>
      <c r="Z710" s="67" t="n"/>
      <c r="AA710" s="67" t="n"/>
      <c r="AB710" s="67" t="n"/>
      <c r="AC710" s="67" t="n"/>
      <c r="AD710" s="66" t="n"/>
      <c r="AE710" s="66" t="n"/>
      <c r="AF710" s="66" t="n"/>
      <c r="AG710" s="66" t="n"/>
      <c r="AH710" s="66" t="n"/>
      <c r="AI710" s="66" t="n"/>
      <c r="AJ710" s="66" t="n"/>
      <c r="AK710" s="66" t="n"/>
      <c r="AL710" s="66" t="n"/>
      <c r="AM710" s="66" t="n"/>
      <c r="AN710" s="66" t="n"/>
      <c r="AO710" s="66" t="n"/>
      <c r="AP710" s="66" t="n"/>
    </row>
    <row r="711">
      <c r="A711" s="66" t="n"/>
      <c r="B711" s="66" t="n"/>
      <c r="C711" s="66" t="n"/>
      <c r="D711" s="66" t="n"/>
      <c r="E711" s="67" t="n"/>
      <c r="F711" s="67" t="n"/>
      <c r="G711" s="68" t="n"/>
      <c r="H711" s="66" t="n"/>
      <c r="I711" s="66" t="n"/>
      <c r="J711" s="67" t="n"/>
      <c r="K711" s="67" t="n"/>
      <c r="L711" s="67" t="n"/>
      <c r="M711" s="28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7" t="n"/>
      <c r="X711" s="67" t="n"/>
      <c r="Y711" s="67" t="n"/>
      <c r="Z711" s="67" t="n"/>
      <c r="AA711" s="67" t="n"/>
      <c r="AB711" s="67" t="n"/>
      <c r="AC711" s="67" t="n"/>
      <c r="AD711" s="66" t="n"/>
      <c r="AE711" s="66" t="n"/>
      <c r="AF711" s="66" t="n"/>
      <c r="AG711" s="66" t="n"/>
      <c r="AH711" s="66" t="n"/>
      <c r="AI711" s="66" t="n"/>
      <c r="AJ711" s="66" t="n"/>
      <c r="AK711" s="66" t="n"/>
      <c r="AL711" s="66" t="n"/>
      <c r="AM711" s="66" t="n"/>
      <c r="AN711" s="66" t="n"/>
      <c r="AO711" s="66" t="n"/>
      <c r="AP711" s="66" t="n"/>
    </row>
    <row r="712">
      <c r="A712" s="66" t="n"/>
      <c r="B712" s="66" t="n"/>
      <c r="C712" s="66" t="n"/>
      <c r="D712" s="66" t="n"/>
      <c r="E712" s="67" t="n"/>
      <c r="F712" s="67" t="n"/>
      <c r="G712" s="68" t="n"/>
      <c r="H712" s="66" t="n"/>
      <c r="I712" s="66" t="n"/>
      <c r="J712" s="67" t="n"/>
      <c r="K712" s="67" t="n"/>
      <c r="L712" s="67" t="n"/>
      <c r="M712" s="28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7" t="n"/>
      <c r="X712" s="67" t="n"/>
      <c r="Y712" s="67" t="n"/>
      <c r="Z712" s="67" t="n"/>
      <c r="AA712" s="67" t="n"/>
      <c r="AB712" s="67" t="n"/>
      <c r="AC712" s="67" t="n"/>
      <c r="AD712" s="66" t="n"/>
      <c r="AE712" s="66" t="n"/>
      <c r="AF712" s="66" t="n"/>
      <c r="AG712" s="66" t="n"/>
      <c r="AH712" s="66" t="n"/>
      <c r="AI712" s="66" t="n"/>
      <c r="AJ712" s="66" t="n"/>
      <c r="AK712" s="66" t="n"/>
      <c r="AL712" s="66" t="n"/>
      <c r="AM712" s="66" t="n"/>
      <c r="AN712" s="66" t="n"/>
      <c r="AO712" s="66" t="n"/>
      <c r="AP712" s="66" t="n"/>
    </row>
    <row r="713">
      <c r="A713" s="66" t="n"/>
      <c r="B713" s="66" t="n"/>
      <c r="C713" s="66" t="n"/>
      <c r="D713" s="66" t="n"/>
      <c r="E713" s="67" t="n"/>
      <c r="F713" s="67" t="n"/>
      <c r="G713" s="68" t="n"/>
      <c r="H713" s="66" t="n"/>
      <c r="I713" s="66" t="n"/>
      <c r="J713" s="67" t="n"/>
      <c r="K713" s="67" t="n"/>
      <c r="L713" s="67" t="n"/>
      <c r="M713" s="28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7" t="n"/>
      <c r="X713" s="67" t="n"/>
      <c r="Y713" s="67" t="n"/>
      <c r="Z713" s="67" t="n"/>
      <c r="AA713" s="67" t="n"/>
      <c r="AB713" s="67" t="n"/>
      <c r="AC713" s="67" t="n"/>
      <c r="AD713" s="66" t="n"/>
      <c r="AE713" s="66" t="n"/>
      <c r="AF713" s="66" t="n"/>
      <c r="AG713" s="66" t="n"/>
      <c r="AH713" s="66" t="n"/>
      <c r="AI713" s="66" t="n"/>
      <c r="AJ713" s="66" t="n"/>
      <c r="AK713" s="66" t="n"/>
      <c r="AL713" s="66" t="n"/>
      <c r="AM713" s="66" t="n"/>
      <c r="AN713" s="66" t="n"/>
      <c r="AO713" s="66" t="n"/>
      <c r="AP713" s="66" t="n"/>
    </row>
    <row r="714">
      <c r="A714" s="66" t="n"/>
      <c r="B714" s="66" t="n"/>
      <c r="C714" s="66" t="n"/>
      <c r="D714" s="66" t="n"/>
      <c r="E714" s="67" t="n"/>
      <c r="F714" s="67" t="n"/>
      <c r="G714" s="68" t="n"/>
      <c r="H714" s="66" t="n"/>
      <c r="I714" s="66" t="n"/>
      <c r="J714" s="67" t="n"/>
      <c r="K714" s="67" t="n"/>
      <c r="L714" s="67" t="n"/>
      <c r="M714" s="28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7" t="n"/>
      <c r="X714" s="67" t="n"/>
      <c r="Y714" s="67" t="n"/>
      <c r="Z714" s="67" t="n"/>
      <c r="AA714" s="67" t="n"/>
      <c r="AB714" s="67" t="n"/>
      <c r="AC714" s="67" t="n"/>
      <c r="AD714" s="66" t="n"/>
      <c r="AE714" s="66" t="n"/>
      <c r="AF714" s="66" t="n"/>
      <c r="AG714" s="66" t="n"/>
      <c r="AH714" s="66" t="n"/>
      <c r="AI714" s="66" t="n"/>
      <c r="AJ714" s="66" t="n"/>
      <c r="AK714" s="66" t="n"/>
      <c r="AL714" s="66" t="n"/>
      <c r="AM714" s="66" t="n"/>
      <c r="AN714" s="66" t="n"/>
      <c r="AO714" s="66" t="n"/>
      <c r="AP714" s="66" t="n"/>
    </row>
    <row r="715">
      <c r="A715" s="66" t="n"/>
      <c r="B715" s="66" t="n"/>
      <c r="C715" s="66" t="n"/>
      <c r="D715" s="66" t="n"/>
      <c r="E715" s="67" t="n"/>
      <c r="F715" s="67" t="n"/>
      <c r="G715" s="68" t="n"/>
      <c r="H715" s="66" t="n"/>
      <c r="I715" s="66" t="n"/>
      <c r="J715" s="67" t="n"/>
      <c r="K715" s="67" t="n"/>
      <c r="L715" s="67" t="n"/>
      <c r="M715" s="28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7" t="n"/>
      <c r="X715" s="67" t="n"/>
      <c r="Y715" s="67" t="n"/>
      <c r="Z715" s="67" t="n"/>
      <c r="AA715" s="67" t="n"/>
      <c r="AB715" s="67" t="n"/>
      <c r="AC715" s="67" t="n"/>
      <c r="AD715" s="66" t="n"/>
      <c r="AE715" s="66" t="n"/>
      <c r="AF715" s="66" t="n"/>
      <c r="AG715" s="66" t="n"/>
      <c r="AH715" s="66" t="n"/>
      <c r="AI715" s="66" t="n"/>
      <c r="AJ715" s="66" t="n"/>
      <c r="AK715" s="66" t="n"/>
      <c r="AL715" s="66" t="n"/>
      <c r="AM715" s="66" t="n"/>
      <c r="AN715" s="66" t="n"/>
      <c r="AO715" s="66" t="n"/>
      <c r="AP715" s="66" t="n"/>
    </row>
    <row r="716">
      <c r="A716" s="66" t="n"/>
      <c r="B716" s="66" t="n"/>
      <c r="C716" s="66" t="n"/>
      <c r="D716" s="66" t="n"/>
      <c r="E716" s="67" t="n"/>
      <c r="F716" s="67" t="n"/>
      <c r="G716" s="68" t="n"/>
      <c r="H716" s="66" t="n"/>
      <c r="I716" s="66" t="n"/>
      <c r="J716" s="67" t="n"/>
      <c r="K716" s="67" t="n"/>
      <c r="L716" s="67" t="n"/>
      <c r="M716" s="28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7" t="n"/>
      <c r="X716" s="67" t="n"/>
      <c r="Y716" s="67" t="n"/>
      <c r="Z716" s="67" t="n"/>
      <c r="AA716" s="67" t="n"/>
      <c r="AB716" s="67" t="n"/>
      <c r="AC716" s="67" t="n"/>
      <c r="AD716" s="66" t="n"/>
      <c r="AE716" s="66" t="n"/>
      <c r="AF716" s="66" t="n"/>
      <c r="AG716" s="66" t="n"/>
      <c r="AH716" s="66" t="n"/>
      <c r="AI716" s="66" t="n"/>
      <c r="AJ716" s="66" t="n"/>
      <c r="AK716" s="66" t="n"/>
      <c r="AL716" s="66" t="n"/>
      <c r="AM716" s="66" t="n"/>
      <c r="AN716" s="66" t="n"/>
      <c r="AO716" s="66" t="n"/>
      <c r="AP716" s="66" t="n"/>
    </row>
    <row r="717">
      <c r="A717" s="66" t="n"/>
      <c r="B717" s="66" t="n"/>
      <c r="C717" s="66" t="n"/>
      <c r="D717" s="66" t="n"/>
      <c r="E717" s="67" t="n"/>
      <c r="F717" s="67" t="n"/>
      <c r="G717" s="68" t="n"/>
      <c r="H717" s="66" t="n"/>
      <c r="I717" s="66" t="n"/>
      <c r="J717" s="67" t="n"/>
      <c r="K717" s="67" t="n"/>
      <c r="L717" s="67" t="n"/>
      <c r="M717" s="28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7" t="n"/>
      <c r="X717" s="67" t="n"/>
      <c r="Y717" s="67" t="n"/>
      <c r="Z717" s="67" t="n"/>
      <c r="AA717" s="67" t="n"/>
      <c r="AB717" s="67" t="n"/>
      <c r="AC717" s="67" t="n"/>
      <c r="AD717" s="66" t="n"/>
      <c r="AE717" s="66" t="n"/>
      <c r="AF717" s="66" t="n"/>
      <c r="AG717" s="66" t="n"/>
      <c r="AH717" s="66" t="n"/>
      <c r="AI717" s="66" t="n"/>
      <c r="AJ717" s="66" t="n"/>
      <c r="AK717" s="66" t="n"/>
      <c r="AL717" s="66" t="n"/>
      <c r="AM717" s="66" t="n"/>
      <c r="AN717" s="66" t="n"/>
      <c r="AO717" s="66" t="n"/>
      <c r="AP717" s="66" t="n"/>
    </row>
    <row r="718">
      <c r="A718" s="66" t="n"/>
      <c r="B718" s="66" t="n"/>
      <c r="C718" s="66" t="n"/>
      <c r="D718" s="66" t="n"/>
      <c r="E718" s="67" t="n"/>
      <c r="F718" s="67" t="n"/>
      <c r="G718" s="68" t="n"/>
      <c r="H718" s="66" t="n"/>
      <c r="I718" s="66" t="n"/>
      <c r="J718" s="67" t="n"/>
      <c r="K718" s="67" t="n"/>
      <c r="L718" s="67" t="n"/>
      <c r="M718" s="28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7" t="n"/>
      <c r="X718" s="67" t="n"/>
      <c r="Y718" s="67" t="n"/>
      <c r="Z718" s="67" t="n"/>
      <c r="AA718" s="67" t="n"/>
      <c r="AB718" s="67" t="n"/>
      <c r="AC718" s="67" t="n"/>
      <c r="AD718" s="66" t="n"/>
      <c r="AE718" s="66" t="n"/>
      <c r="AF718" s="66" t="n"/>
      <c r="AG718" s="66" t="n"/>
      <c r="AH718" s="66" t="n"/>
      <c r="AI718" s="66" t="n"/>
      <c r="AJ718" s="66" t="n"/>
      <c r="AK718" s="66" t="n"/>
      <c r="AL718" s="66" t="n"/>
      <c r="AM718" s="66" t="n"/>
      <c r="AN718" s="66" t="n"/>
      <c r="AO718" s="66" t="n"/>
      <c r="AP718" s="66" t="n"/>
    </row>
    <row r="719">
      <c r="A719" s="66" t="n"/>
      <c r="B719" s="66" t="n"/>
      <c r="C719" s="66" t="n"/>
      <c r="D719" s="66" t="n"/>
      <c r="E719" s="67" t="n"/>
      <c r="F719" s="67" t="n"/>
      <c r="G719" s="68" t="n"/>
      <c r="H719" s="66" t="n"/>
      <c r="I719" s="66" t="n"/>
      <c r="J719" s="67" t="n"/>
      <c r="K719" s="67" t="n"/>
      <c r="L719" s="67" t="n"/>
      <c r="M719" s="28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7" t="n"/>
      <c r="X719" s="67" t="n"/>
      <c r="Y719" s="67" t="n"/>
      <c r="Z719" s="67" t="n"/>
      <c r="AA719" s="67" t="n"/>
      <c r="AB719" s="67" t="n"/>
      <c r="AC719" s="67" t="n"/>
      <c r="AD719" s="66" t="n"/>
      <c r="AE719" s="66" t="n"/>
      <c r="AF719" s="66" t="n"/>
      <c r="AG719" s="66" t="n"/>
      <c r="AH719" s="66" t="n"/>
      <c r="AI719" s="66" t="n"/>
      <c r="AJ719" s="66" t="n"/>
      <c r="AK719" s="66" t="n"/>
      <c r="AL719" s="66" t="n"/>
      <c r="AM719" s="66" t="n"/>
      <c r="AN719" s="66" t="n"/>
      <c r="AO719" s="66" t="n"/>
      <c r="AP719" s="66" t="n"/>
    </row>
    <row r="720">
      <c r="A720" s="66" t="n"/>
      <c r="B720" s="66" t="n"/>
      <c r="C720" s="66" t="n"/>
      <c r="D720" s="66" t="n"/>
      <c r="E720" s="67" t="n"/>
      <c r="F720" s="67" t="n"/>
      <c r="G720" s="68" t="n"/>
      <c r="H720" s="66" t="n"/>
      <c r="I720" s="66" t="n"/>
      <c r="J720" s="67" t="n"/>
      <c r="K720" s="67" t="n"/>
      <c r="L720" s="67" t="n"/>
      <c r="M720" s="28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7" t="n"/>
      <c r="X720" s="67" t="n"/>
      <c r="Y720" s="67" t="n"/>
      <c r="Z720" s="67" t="n"/>
      <c r="AA720" s="67" t="n"/>
      <c r="AB720" s="67" t="n"/>
      <c r="AC720" s="67" t="n"/>
      <c r="AD720" s="66" t="n"/>
      <c r="AE720" s="66" t="n"/>
      <c r="AF720" s="66" t="n"/>
      <c r="AG720" s="66" t="n"/>
      <c r="AH720" s="66" t="n"/>
      <c r="AI720" s="66" t="n"/>
      <c r="AJ720" s="66" t="n"/>
      <c r="AK720" s="66" t="n"/>
      <c r="AL720" s="66" t="n"/>
      <c r="AM720" s="66" t="n"/>
      <c r="AN720" s="66" t="n"/>
      <c r="AO720" s="66" t="n"/>
      <c r="AP720" s="66" t="n"/>
    </row>
    <row r="721">
      <c r="A721" s="66" t="n"/>
      <c r="B721" s="66" t="n"/>
      <c r="C721" s="66" t="n"/>
      <c r="D721" s="66" t="n"/>
      <c r="E721" s="67" t="n"/>
      <c r="F721" s="67" t="n"/>
      <c r="G721" s="68" t="n"/>
      <c r="H721" s="66" t="n"/>
      <c r="I721" s="66" t="n"/>
      <c r="J721" s="67" t="n"/>
      <c r="K721" s="67" t="n"/>
      <c r="L721" s="67" t="n"/>
      <c r="M721" s="28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7" t="n"/>
      <c r="X721" s="67" t="n"/>
      <c r="Y721" s="67" t="n"/>
      <c r="Z721" s="67" t="n"/>
      <c r="AA721" s="67" t="n"/>
      <c r="AB721" s="67" t="n"/>
      <c r="AC721" s="67" t="n"/>
      <c r="AD721" s="66" t="n"/>
      <c r="AE721" s="66" t="n"/>
      <c r="AF721" s="66" t="n"/>
      <c r="AG721" s="66" t="n"/>
      <c r="AH721" s="66" t="n"/>
      <c r="AI721" s="66" t="n"/>
      <c r="AJ721" s="66" t="n"/>
      <c r="AK721" s="66" t="n"/>
      <c r="AL721" s="66" t="n"/>
      <c r="AM721" s="66" t="n"/>
      <c r="AN721" s="66" t="n"/>
      <c r="AO721" s="66" t="n"/>
      <c r="AP721" s="66" t="n"/>
    </row>
    <row r="722">
      <c r="A722" s="66" t="n"/>
      <c r="B722" s="66" t="n"/>
      <c r="C722" s="66" t="n"/>
      <c r="D722" s="66" t="n"/>
      <c r="E722" s="67" t="n"/>
      <c r="F722" s="67" t="n"/>
      <c r="G722" s="68" t="n"/>
      <c r="H722" s="66" t="n"/>
      <c r="I722" s="66" t="n"/>
      <c r="J722" s="67" t="n"/>
      <c r="K722" s="67" t="n"/>
      <c r="L722" s="67" t="n"/>
      <c r="M722" s="28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7" t="n"/>
      <c r="X722" s="67" t="n"/>
      <c r="Y722" s="67" t="n"/>
      <c r="Z722" s="67" t="n"/>
      <c r="AA722" s="67" t="n"/>
      <c r="AB722" s="67" t="n"/>
      <c r="AC722" s="67" t="n"/>
      <c r="AD722" s="66" t="n"/>
      <c r="AE722" s="66" t="n"/>
      <c r="AF722" s="66" t="n"/>
      <c r="AG722" s="66" t="n"/>
      <c r="AH722" s="66" t="n"/>
      <c r="AI722" s="66" t="n"/>
      <c r="AJ722" s="66" t="n"/>
      <c r="AK722" s="66" t="n"/>
      <c r="AL722" s="66" t="n"/>
      <c r="AM722" s="66" t="n"/>
      <c r="AN722" s="66" t="n"/>
      <c r="AO722" s="66" t="n"/>
      <c r="AP722" s="66" t="n"/>
    </row>
    <row r="723">
      <c r="A723" s="66" t="n"/>
      <c r="B723" s="66" t="n"/>
      <c r="C723" s="66" t="n"/>
      <c r="D723" s="66" t="n"/>
      <c r="E723" s="67" t="n"/>
      <c r="F723" s="67" t="n"/>
      <c r="G723" s="68" t="n"/>
      <c r="H723" s="66" t="n"/>
      <c r="I723" s="66" t="n"/>
      <c r="J723" s="67" t="n"/>
      <c r="K723" s="67" t="n"/>
      <c r="L723" s="67" t="n"/>
      <c r="M723" s="28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7" t="n"/>
      <c r="X723" s="67" t="n"/>
      <c r="Y723" s="67" t="n"/>
      <c r="Z723" s="67" t="n"/>
      <c r="AA723" s="67" t="n"/>
      <c r="AB723" s="67" t="n"/>
      <c r="AC723" s="67" t="n"/>
      <c r="AD723" s="66" t="n"/>
      <c r="AE723" s="66" t="n"/>
      <c r="AF723" s="66" t="n"/>
      <c r="AG723" s="66" t="n"/>
      <c r="AH723" s="66" t="n"/>
      <c r="AI723" s="66" t="n"/>
      <c r="AJ723" s="66" t="n"/>
      <c r="AK723" s="66" t="n"/>
      <c r="AL723" s="66" t="n"/>
      <c r="AM723" s="66" t="n"/>
      <c r="AN723" s="66" t="n"/>
      <c r="AO723" s="66" t="n"/>
      <c r="AP723" s="66" t="n"/>
    </row>
    <row r="724">
      <c r="A724" s="66" t="n"/>
      <c r="B724" s="66" t="n"/>
      <c r="C724" s="66" t="n"/>
      <c r="D724" s="66" t="n"/>
      <c r="E724" s="67" t="n"/>
      <c r="F724" s="67" t="n"/>
      <c r="G724" s="68" t="n"/>
      <c r="H724" s="66" t="n"/>
      <c r="I724" s="66" t="n"/>
      <c r="J724" s="67" t="n"/>
      <c r="K724" s="67" t="n"/>
      <c r="L724" s="67" t="n"/>
      <c r="M724" s="28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7" t="n"/>
      <c r="X724" s="67" t="n"/>
      <c r="Y724" s="67" t="n"/>
      <c r="Z724" s="67" t="n"/>
      <c r="AA724" s="67" t="n"/>
      <c r="AB724" s="67" t="n"/>
      <c r="AC724" s="67" t="n"/>
      <c r="AD724" s="66" t="n"/>
      <c r="AE724" s="66" t="n"/>
      <c r="AF724" s="66" t="n"/>
      <c r="AG724" s="66" t="n"/>
      <c r="AH724" s="66" t="n"/>
      <c r="AI724" s="66" t="n"/>
      <c r="AJ724" s="66" t="n"/>
      <c r="AK724" s="66" t="n"/>
      <c r="AL724" s="66" t="n"/>
      <c r="AM724" s="66" t="n"/>
      <c r="AN724" s="66" t="n"/>
      <c r="AO724" s="66" t="n"/>
      <c r="AP724" s="66" t="n"/>
    </row>
    <row r="725">
      <c r="A725" s="66" t="n"/>
      <c r="B725" s="66" t="n"/>
      <c r="C725" s="66" t="n"/>
      <c r="D725" s="66" t="n"/>
      <c r="E725" s="67" t="n"/>
      <c r="F725" s="67" t="n"/>
      <c r="G725" s="68" t="n"/>
      <c r="H725" s="66" t="n"/>
      <c r="I725" s="66" t="n"/>
      <c r="J725" s="67" t="n"/>
      <c r="K725" s="67" t="n"/>
      <c r="L725" s="67" t="n"/>
      <c r="M725" s="28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7" t="n"/>
      <c r="X725" s="67" t="n"/>
      <c r="Y725" s="67" t="n"/>
      <c r="Z725" s="67" t="n"/>
      <c r="AA725" s="67" t="n"/>
      <c r="AB725" s="67" t="n"/>
      <c r="AC725" s="67" t="n"/>
      <c r="AD725" s="66" t="n"/>
      <c r="AE725" s="66" t="n"/>
      <c r="AF725" s="66" t="n"/>
      <c r="AG725" s="66" t="n"/>
      <c r="AH725" s="66" t="n"/>
      <c r="AI725" s="66" t="n"/>
      <c r="AJ725" s="66" t="n"/>
      <c r="AK725" s="66" t="n"/>
      <c r="AL725" s="66" t="n"/>
      <c r="AM725" s="66" t="n"/>
      <c r="AN725" s="66" t="n"/>
      <c r="AO725" s="66" t="n"/>
      <c r="AP725" s="66" t="n"/>
    </row>
    <row r="726">
      <c r="A726" s="66" t="n"/>
      <c r="B726" s="66" t="n"/>
      <c r="C726" s="66" t="n"/>
      <c r="D726" s="66" t="n"/>
      <c r="E726" s="67" t="n"/>
      <c r="F726" s="67" t="n"/>
      <c r="G726" s="68" t="n"/>
      <c r="H726" s="66" t="n"/>
      <c r="I726" s="66" t="n"/>
      <c r="J726" s="67" t="n"/>
      <c r="K726" s="67" t="n"/>
      <c r="L726" s="67" t="n"/>
      <c r="M726" s="28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7" t="n"/>
      <c r="X726" s="67" t="n"/>
      <c r="Y726" s="67" t="n"/>
      <c r="Z726" s="67" t="n"/>
      <c r="AA726" s="67" t="n"/>
      <c r="AB726" s="67" t="n"/>
      <c r="AC726" s="67" t="n"/>
      <c r="AD726" s="66" t="n"/>
      <c r="AE726" s="66" t="n"/>
      <c r="AF726" s="66" t="n"/>
      <c r="AG726" s="66" t="n"/>
      <c r="AH726" s="66" t="n"/>
      <c r="AI726" s="66" t="n"/>
      <c r="AJ726" s="66" t="n"/>
      <c r="AK726" s="66" t="n"/>
      <c r="AL726" s="66" t="n"/>
      <c r="AM726" s="66" t="n"/>
      <c r="AN726" s="66" t="n"/>
      <c r="AO726" s="66" t="n"/>
      <c r="AP726" s="66" t="n"/>
    </row>
    <row r="727">
      <c r="A727" s="66" t="n"/>
      <c r="B727" s="66" t="n"/>
      <c r="C727" s="66" t="n"/>
      <c r="D727" s="66" t="n"/>
      <c r="E727" s="67" t="n"/>
      <c r="F727" s="67" t="n"/>
      <c r="G727" s="68" t="n"/>
      <c r="H727" s="66" t="n"/>
      <c r="I727" s="66" t="n"/>
      <c r="J727" s="67" t="n"/>
      <c r="K727" s="67" t="n"/>
      <c r="L727" s="67" t="n"/>
      <c r="M727" s="28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7" t="n"/>
      <c r="X727" s="67" t="n"/>
      <c r="Y727" s="67" t="n"/>
      <c r="Z727" s="67" t="n"/>
      <c r="AA727" s="67" t="n"/>
      <c r="AB727" s="67" t="n"/>
      <c r="AC727" s="67" t="n"/>
      <c r="AD727" s="66" t="n"/>
      <c r="AE727" s="66" t="n"/>
      <c r="AF727" s="66" t="n"/>
      <c r="AG727" s="66" t="n"/>
      <c r="AH727" s="66" t="n"/>
      <c r="AI727" s="66" t="n"/>
      <c r="AJ727" s="66" t="n"/>
      <c r="AK727" s="66" t="n"/>
      <c r="AL727" s="66" t="n"/>
      <c r="AM727" s="66" t="n"/>
      <c r="AN727" s="66" t="n"/>
      <c r="AO727" s="66" t="n"/>
      <c r="AP727" s="66" t="n"/>
    </row>
    <row r="728">
      <c r="A728" s="66" t="n"/>
      <c r="B728" s="66" t="n"/>
      <c r="C728" s="66" t="n"/>
      <c r="D728" s="66" t="n"/>
      <c r="E728" s="67" t="n"/>
      <c r="F728" s="67" t="n"/>
      <c r="G728" s="68" t="n"/>
      <c r="H728" s="66" t="n"/>
      <c r="I728" s="66" t="n"/>
      <c r="J728" s="67" t="n"/>
      <c r="K728" s="67" t="n"/>
      <c r="L728" s="67" t="n"/>
      <c r="M728" s="28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7" t="n"/>
      <c r="X728" s="67" t="n"/>
      <c r="Y728" s="67" t="n"/>
      <c r="Z728" s="67" t="n"/>
      <c r="AA728" s="67" t="n"/>
      <c r="AB728" s="67" t="n"/>
      <c r="AC728" s="67" t="n"/>
      <c r="AD728" s="66" t="n"/>
      <c r="AE728" s="66" t="n"/>
      <c r="AF728" s="66" t="n"/>
      <c r="AG728" s="66" t="n"/>
      <c r="AH728" s="66" t="n"/>
      <c r="AI728" s="66" t="n"/>
      <c r="AJ728" s="66" t="n"/>
      <c r="AK728" s="66" t="n"/>
      <c r="AL728" s="66" t="n"/>
      <c r="AM728" s="66" t="n"/>
      <c r="AN728" s="66" t="n"/>
      <c r="AO728" s="66" t="n"/>
      <c r="AP728" s="66" t="n"/>
    </row>
    <row r="729">
      <c r="A729" s="66" t="n"/>
      <c r="B729" s="66" t="n"/>
      <c r="C729" s="66" t="n"/>
      <c r="D729" s="66" t="n"/>
      <c r="E729" s="67" t="n"/>
      <c r="F729" s="67" t="n"/>
      <c r="G729" s="68" t="n"/>
      <c r="H729" s="66" t="n"/>
      <c r="I729" s="66" t="n"/>
      <c r="J729" s="67" t="n"/>
      <c r="K729" s="67" t="n"/>
      <c r="L729" s="67" t="n"/>
      <c r="M729" s="28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7" t="n"/>
      <c r="X729" s="67" t="n"/>
      <c r="Y729" s="67" t="n"/>
      <c r="Z729" s="67" t="n"/>
      <c r="AA729" s="67" t="n"/>
      <c r="AB729" s="67" t="n"/>
      <c r="AC729" s="67" t="n"/>
      <c r="AD729" s="66" t="n"/>
      <c r="AE729" s="66" t="n"/>
      <c r="AF729" s="66" t="n"/>
      <c r="AG729" s="66" t="n"/>
      <c r="AH729" s="66" t="n"/>
      <c r="AI729" s="66" t="n"/>
      <c r="AJ729" s="66" t="n"/>
      <c r="AK729" s="66" t="n"/>
      <c r="AL729" s="66" t="n"/>
      <c r="AM729" s="66" t="n"/>
      <c r="AN729" s="66" t="n"/>
      <c r="AO729" s="66" t="n"/>
      <c r="AP729" s="66" t="n"/>
    </row>
    <row r="730">
      <c r="A730" s="66" t="n"/>
      <c r="B730" s="66" t="n"/>
      <c r="C730" s="66" t="n"/>
      <c r="D730" s="66" t="n"/>
      <c r="E730" s="67" t="n"/>
      <c r="F730" s="67" t="n"/>
      <c r="G730" s="68" t="n"/>
      <c r="H730" s="66" t="n"/>
      <c r="I730" s="66" t="n"/>
      <c r="J730" s="67" t="n"/>
      <c r="K730" s="67" t="n"/>
      <c r="L730" s="67" t="n"/>
      <c r="M730" s="28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7" t="n"/>
      <c r="X730" s="67" t="n"/>
      <c r="Y730" s="67" t="n"/>
      <c r="Z730" s="67" t="n"/>
      <c r="AA730" s="67" t="n"/>
      <c r="AB730" s="67" t="n"/>
      <c r="AC730" s="67" t="n"/>
      <c r="AD730" s="66" t="n"/>
      <c r="AE730" s="66" t="n"/>
      <c r="AF730" s="66" t="n"/>
      <c r="AG730" s="66" t="n"/>
      <c r="AH730" s="66" t="n"/>
      <c r="AI730" s="66" t="n"/>
      <c r="AJ730" s="66" t="n"/>
      <c r="AK730" s="66" t="n"/>
      <c r="AL730" s="66" t="n"/>
      <c r="AM730" s="66" t="n"/>
      <c r="AN730" s="66" t="n"/>
      <c r="AO730" s="66" t="n"/>
      <c r="AP730" s="66" t="n"/>
    </row>
    <row r="731">
      <c r="A731" s="66" t="n"/>
      <c r="B731" s="66" t="n"/>
      <c r="C731" s="66" t="n"/>
      <c r="D731" s="66" t="n"/>
      <c r="E731" s="67" t="n"/>
      <c r="F731" s="67" t="n"/>
      <c r="G731" s="68" t="n"/>
      <c r="H731" s="66" t="n"/>
      <c r="I731" s="66" t="n"/>
      <c r="J731" s="67" t="n"/>
      <c r="K731" s="67" t="n"/>
      <c r="L731" s="67" t="n"/>
      <c r="M731" s="28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7" t="n"/>
      <c r="X731" s="67" t="n"/>
      <c r="Y731" s="67" t="n"/>
      <c r="Z731" s="67" t="n"/>
      <c r="AA731" s="67" t="n"/>
      <c r="AB731" s="67" t="n"/>
      <c r="AC731" s="67" t="n"/>
      <c r="AD731" s="66" t="n"/>
      <c r="AE731" s="66" t="n"/>
      <c r="AF731" s="66" t="n"/>
      <c r="AG731" s="66" t="n"/>
      <c r="AH731" s="66" t="n"/>
      <c r="AI731" s="66" t="n"/>
      <c r="AJ731" s="66" t="n"/>
      <c r="AK731" s="66" t="n"/>
      <c r="AL731" s="66" t="n"/>
      <c r="AM731" s="66" t="n"/>
      <c r="AN731" s="66" t="n"/>
      <c r="AO731" s="66" t="n"/>
      <c r="AP731" s="66" t="n"/>
    </row>
    <row r="732">
      <c r="A732" s="66" t="n"/>
      <c r="B732" s="66" t="n"/>
      <c r="C732" s="66" t="n"/>
      <c r="D732" s="66" t="n"/>
      <c r="E732" s="67" t="n"/>
      <c r="F732" s="67" t="n"/>
      <c r="G732" s="68" t="n"/>
      <c r="H732" s="66" t="n"/>
      <c r="I732" s="66" t="n"/>
      <c r="J732" s="67" t="n"/>
      <c r="K732" s="67" t="n"/>
      <c r="L732" s="67" t="n"/>
      <c r="M732" s="28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7" t="n"/>
      <c r="X732" s="67" t="n"/>
      <c r="Y732" s="67" t="n"/>
      <c r="Z732" s="67" t="n"/>
      <c r="AA732" s="67" t="n"/>
      <c r="AB732" s="67" t="n"/>
      <c r="AC732" s="67" t="n"/>
      <c r="AD732" s="66" t="n"/>
      <c r="AE732" s="66" t="n"/>
      <c r="AF732" s="66" t="n"/>
      <c r="AG732" s="66" t="n"/>
      <c r="AH732" s="66" t="n"/>
      <c r="AI732" s="66" t="n"/>
      <c r="AJ732" s="66" t="n"/>
      <c r="AK732" s="66" t="n"/>
      <c r="AL732" s="66" t="n"/>
      <c r="AM732" s="66" t="n"/>
      <c r="AN732" s="66" t="n"/>
      <c r="AO732" s="66" t="n"/>
      <c r="AP732" s="66" t="n"/>
    </row>
    <row r="733">
      <c r="A733" s="66" t="n"/>
      <c r="B733" s="66" t="n"/>
      <c r="C733" s="66" t="n"/>
      <c r="D733" s="66" t="n"/>
      <c r="E733" s="67" t="n"/>
      <c r="F733" s="67" t="n"/>
      <c r="G733" s="68" t="n"/>
      <c r="H733" s="66" t="n"/>
      <c r="I733" s="66" t="n"/>
      <c r="J733" s="67" t="n"/>
      <c r="K733" s="67" t="n"/>
      <c r="L733" s="67" t="n"/>
      <c r="M733" s="28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7" t="n"/>
      <c r="X733" s="67" t="n"/>
      <c r="Y733" s="67" t="n"/>
      <c r="Z733" s="67" t="n"/>
      <c r="AA733" s="67" t="n"/>
      <c r="AB733" s="67" t="n"/>
      <c r="AC733" s="67" t="n"/>
      <c r="AD733" s="66" t="n"/>
      <c r="AE733" s="66" t="n"/>
      <c r="AF733" s="66" t="n"/>
      <c r="AG733" s="66" t="n"/>
      <c r="AH733" s="66" t="n"/>
      <c r="AI733" s="66" t="n"/>
      <c r="AJ733" s="66" t="n"/>
      <c r="AK733" s="66" t="n"/>
      <c r="AL733" s="66" t="n"/>
      <c r="AM733" s="66" t="n"/>
      <c r="AN733" s="66" t="n"/>
      <c r="AO733" s="66" t="n"/>
      <c r="AP733" s="66" t="n"/>
    </row>
    <row r="734">
      <c r="A734" s="66" t="n"/>
      <c r="B734" s="66" t="n"/>
      <c r="C734" s="66" t="n"/>
      <c r="D734" s="66" t="n"/>
      <c r="E734" s="67" t="n"/>
      <c r="F734" s="67" t="n"/>
      <c r="G734" s="68" t="n"/>
      <c r="H734" s="66" t="n"/>
      <c r="I734" s="66" t="n"/>
      <c r="J734" s="67" t="n"/>
      <c r="K734" s="67" t="n"/>
      <c r="L734" s="67" t="n"/>
      <c r="M734" s="28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7" t="n"/>
      <c r="X734" s="67" t="n"/>
      <c r="Y734" s="67" t="n"/>
      <c r="Z734" s="67" t="n"/>
      <c r="AA734" s="67" t="n"/>
      <c r="AB734" s="67" t="n"/>
      <c r="AC734" s="67" t="n"/>
      <c r="AD734" s="66" t="n"/>
      <c r="AE734" s="66" t="n"/>
      <c r="AF734" s="66" t="n"/>
      <c r="AG734" s="66" t="n"/>
      <c r="AH734" s="66" t="n"/>
      <c r="AI734" s="66" t="n"/>
      <c r="AJ734" s="66" t="n"/>
      <c r="AK734" s="66" t="n"/>
      <c r="AL734" s="66" t="n"/>
      <c r="AM734" s="66" t="n"/>
      <c r="AN734" s="66" t="n"/>
      <c r="AO734" s="66" t="n"/>
      <c r="AP734" s="66" t="n"/>
    </row>
    <row r="735">
      <c r="A735" s="66" t="n"/>
      <c r="B735" s="66" t="n"/>
      <c r="C735" s="66" t="n"/>
      <c r="D735" s="66" t="n"/>
      <c r="E735" s="67" t="n"/>
      <c r="F735" s="67" t="n"/>
      <c r="G735" s="68" t="n"/>
      <c r="H735" s="66" t="n"/>
      <c r="I735" s="66" t="n"/>
      <c r="J735" s="67" t="n"/>
      <c r="K735" s="67" t="n"/>
      <c r="L735" s="67" t="n"/>
      <c r="M735" s="28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7" t="n"/>
      <c r="X735" s="67" t="n"/>
      <c r="Y735" s="67" t="n"/>
      <c r="Z735" s="67" t="n"/>
      <c r="AA735" s="67" t="n"/>
      <c r="AB735" s="67" t="n"/>
      <c r="AC735" s="67" t="n"/>
      <c r="AD735" s="66" t="n"/>
      <c r="AE735" s="66" t="n"/>
      <c r="AF735" s="66" t="n"/>
      <c r="AG735" s="66" t="n"/>
      <c r="AH735" s="66" t="n"/>
      <c r="AI735" s="66" t="n"/>
      <c r="AJ735" s="66" t="n"/>
      <c r="AK735" s="66" t="n"/>
      <c r="AL735" s="66" t="n"/>
      <c r="AM735" s="66" t="n"/>
      <c r="AN735" s="66" t="n"/>
      <c r="AO735" s="66" t="n"/>
      <c r="AP735" s="66" t="n"/>
    </row>
    <row r="736">
      <c r="A736" s="66" t="n"/>
      <c r="B736" s="66" t="n"/>
      <c r="C736" s="66" t="n"/>
      <c r="D736" s="66" t="n"/>
      <c r="E736" s="67" t="n"/>
      <c r="F736" s="67" t="n"/>
      <c r="G736" s="68" t="n"/>
      <c r="H736" s="66" t="n"/>
      <c r="I736" s="66" t="n"/>
      <c r="J736" s="67" t="n"/>
      <c r="K736" s="67" t="n"/>
      <c r="L736" s="67" t="n"/>
      <c r="M736" s="28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7" t="n"/>
      <c r="X736" s="67" t="n"/>
      <c r="Y736" s="67" t="n"/>
      <c r="Z736" s="67" t="n"/>
      <c r="AA736" s="67" t="n"/>
      <c r="AB736" s="67" t="n"/>
      <c r="AC736" s="67" t="n"/>
      <c r="AD736" s="66" t="n"/>
      <c r="AE736" s="66" t="n"/>
      <c r="AF736" s="66" t="n"/>
      <c r="AG736" s="66" t="n"/>
      <c r="AH736" s="66" t="n"/>
      <c r="AI736" s="66" t="n"/>
      <c r="AJ736" s="66" t="n"/>
      <c r="AK736" s="66" t="n"/>
      <c r="AL736" s="66" t="n"/>
      <c r="AM736" s="66" t="n"/>
      <c r="AN736" s="66" t="n"/>
      <c r="AO736" s="66" t="n"/>
      <c r="AP736" s="66" t="n"/>
    </row>
    <row r="737">
      <c r="A737" s="66" t="n"/>
      <c r="B737" s="66" t="n"/>
      <c r="C737" s="66" t="n"/>
      <c r="D737" s="66" t="n"/>
      <c r="E737" s="67" t="n"/>
      <c r="F737" s="67" t="n"/>
      <c r="G737" s="68" t="n"/>
      <c r="H737" s="66" t="n"/>
      <c r="I737" s="66" t="n"/>
      <c r="J737" s="67" t="n"/>
      <c r="K737" s="67" t="n"/>
      <c r="L737" s="67" t="n"/>
      <c r="M737" s="28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7" t="n"/>
      <c r="X737" s="67" t="n"/>
      <c r="Y737" s="67" t="n"/>
      <c r="Z737" s="67" t="n"/>
      <c r="AA737" s="67" t="n"/>
      <c r="AB737" s="67" t="n"/>
      <c r="AC737" s="67" t="n"/>
      <c r="AD737" s="66" t="n"/>
      <c r="AE737" s="66" t="n"/>
      <c r="AF737" s="66" t="n"/>
      <c r="AG737" s="66" t="n"/>
      <c r="AH737" s="66" t="n"/>
      <c r="AI737" s="66" t="n"/>
      <c r="AJ737" s="66" t="n"/>
      <c r="AK737" s="66" t="n"/>
      <c r="AL737" s="66" t="n"/>
      <c r="AM737" s="66" t="n"/>
      <c r="AN737" s="66" t="n"/>
      <c r="AO737" s="66" t="n"/>
      <c r="AP737" s="66" t="n"/>
    </row>
    <row r="738">
      <c r="A738" s="66" t="n"/>
      <c r="B738" s="66" t="n"/>
      <c r="C738" s="66" t="n"/>
      <c r="D738" s="66" t="n"/>
      <c r="E738" s="67" t="n"/>
      <c r="F738" s="67" t="n"/>
      <c r="G738" s="68" t="n"/>
      <c r="H738" s="66" t="n"/>
      <c r="I738" s="66" t="n"/>
      <c r="J738" s="67" t="n"/>
      <c r="K738" s="67" t="n"/>
      <c r="L738" s="67" t="n"/>
      <c r="M738" s="28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7" t="n"/>
      <c r="X738" s="67" t="n"/>
      <c r="Y738" s="67" t="n"/>
      <c r="Z738" s="67" t="n"/>
      <c r="AA738" s="67" t="n"/>
      <c r="AB738" s="67" t="n"/>
      <c r="AC738" s="67" t="n"/>
      <c r="AD738" s="66" t="n"/>
      <c r="AE738" s="66" t="n"/>
      <c r="AF738" s="66" t="n"/>
      <c r="AG738" s="66" t="n"/>
      <c r="AH738" s="66" t="n"/>
      <c r="AI738" s="66" t="n"/>
      <c r="AJ738" s="66" t="n"/>
      <c r="AK738" s="66" t="n"/>
      <c r="AL738" s="66" t="n"/>
      <c r="AM738" s="66" t="n"/>
      <c r="AN738" s="66" t="n"/>
      <c r="AO738" s="66" t="n"/>
      <c r="AP738" s="66" t="n"/>
    </row>
    <row r="739">
      <c r="A739" s="66" t="n"/>
      <c r="B739" s="66" t="n"/>
      <c r="C739" s="66" t="n"/>
      <c r="D739" s="66" t="n"/>
      <c r="E739" s="67" t="n"/>
      <c r="F739" s="67" t="n"/>
      <c r="G739" s="68" t="n"/>
      <c r="H739" s="66" t="n"/>
      <c r="I739" s="66" t="n"/>
      <c r="J739" s="67" t="n"/>
      <c r="K739" s="67" t="n"/>
      <c r="L739" s="67" t="n"/>
      <c r="M739" s="28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7" t="n"/>
      <c r="X739" s="67" t="n"/>
      <c r="Y739" s="67" t="n"/>
      <c r="Z739" s="67" t="n"/>
      <c r="AA739" s="67" t="n"/>
      <c r="AB739" s="67" t="n"/>
      <c r="AC739" s="67" t="n"/>
      <c r="AD739" s="66" t="n"/>
      <c r="AE739" s="66" t="n"/>
      <c r="AF739" s="66" t="n"/>
      <c r="AG739" s="66" t="n"/>
      <c r="AH739" s="66" t="n"/>
      <c r="AI739" s="66" t="n"/>
      <c r="AJ739" s="66" t="n"/>
      <c r="AK739" s="66" t="n"/>
      <c r="AL739" s="66" t="n"/>
      <c r="AM739" s="66" t="n"/>
      <c r="AN739" s="66" t="n"/>
      <c r="AO739" s="66" t="n"/>
      <c r="AP739" s="66" t="n"/>
    </row>
    <row r="740">
      <c r="A740" s="66" t="n"/>
      <c r="B740" s="66" t="n"/>
      <c r="C740" s="66" t="n"/>
      <c r="D740" s="66" t="n"/>
      <c r="E740" s="67" t="n"/>
      <c r="F740" s="67" t="n"/>
      <c r="G740" s="68" t="n"/>
      <c r="H740" s="66" t="n"/>
      <c r="I740" s="66" t="n"/>
      <c r="J740" s="67" t="n"/>
      <c r="K740" s="67" t="n"/>
      <c r="L740" s="67" t="n"/>
      <c r="M740" s="28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7" t="n"/>
      <c r="X740" s="67" t="n"/>
      <c r="Y740" s="67" t="n"/>
      <c r="Z740" s="67" t="n"/>
      <c r="AA740" s="67" t="n"/>
      <c r="AB740" s="67" t="n"/>
      <c r="AC740" s="67" t="n"/>
      <c r="AD740" s="66" t="n"/>
      <c r="AE740" s="66" t="n"/>
      <c r="AF740" s="66" t="n"/>
      <c r="AG740" s="66" t="n"/>
      <c r="AH740" s="66" t="n"/>
      <c r="AI740" s="66" t="n"/>
      <c r="AJ740" s="66" t="n"/>
      <c r="AK740" s="66" t="n"/>
      <c r="AL740" s="66" t="n"/>
      <c r="AM740" s="66" t="n"/>
      <c r="AN740" s="66" t="n"/>
      <c r="AO740" s="66" t="n"/>
      <c r="AP740" s="66" t="n"/>
    </row>
    <row r="741">
      <c r="A741" s="66" t="n"/>
      <c r="B741" s="66" t="n"/>
      <c r="C741" s="66" t="n"/>
      <c r="D741" s="66" t="n"/>
      <c r="E741" s="67" t="n"/>
      <c r="F741" s="67" t="n"/>
      <c r="G741" s="68" t="n"/>
      <c r="H741" s="66" t="n"/>
      <c r="I741" s="66" t="n"/>
      <c r="J741" s="67" t="n"/>
      <c r="K741" s="67" t="n"/>
      <c r="L741" s="67" t="n"/>
      <c r="M741" s="28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7" t="n"/>
      <c r="X741" s="67" t="n"/>
      <c r="Y741" s="67" t="n"/>
      <c r="Z741" s="67" t="n"/>
      <c r="AA741" s="67" t="n"/>
      <c r="AB741" s="67" t="n"/>
      <c r="AC741" s="67" t="n"/>
      <c r="AD741" s="66" t="n"/>
      <c r="AE741" s="66" t="n"/>
      <c r="AF741" s="66" t="n"/>
      <c r="AG741" s="66" t="n"/>
      <c r="AH741" s="66" t="n"/>
      <c r="AI741" s="66" t="n"/>
      <c r="AJ741" s="66" t="n"/>
      <c r="AK741" s="66" t="n"/>
      <c r="AL741" s="66" t="n"/>
      <c r="AM741" s="66" t="n"/>
      <c r="AN741" s="66" t="n"/>
      <c r="AO741" s="66" t="n"/>
      <c r="AP741" s="66" t="n"/>
    </row>
    <row r="742">
      <c r="A742" s="66" t="n"/>
      <c r="B742" s="66" t="n"/>
      <c r="C742" s="66" t="n"/>
      <c r="D742" s="66" t="n"/>
      <c r="E742" s="67" t="n"/>
      <c r="F742" s="67" t="n"/>
      <c r="G742" s="68" t="n"/>
      <c r="H742" s="66" t="n"/>
      <c r="I742" s="66" t="n"/>
      <c r="J742" s="67" t="n"/>
      <c r="K742" s="67" t="n"/>
      <c r="L742" s="67" t="n"/>
      <c r="M742" s="28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7" t="n"/>
      <c r="X742" s="67" t="n"/>
      <c r="Y742" s="67" t="n"/>
      <c r="Z742" s="67" t="n"/>
      <c r="AA742" s="67" t="n"/>
      <c r="AB742" s="67" t="n"/>
      <c r="AC742" s="67" t="n"/>
      <c r="AD742" s="66" t="n"/>
      <c r="AE742" s="66" t="n"/>
      <c r="AF742" s="66" t="n"/>
      <c r="AG742" s="66" t="n"/>
      <c r="AH742" s="66" t="n"/>
      <c r="AI742" s="66" t="n"/>
      <c r="AJ742" s="66" t="n"/>
      <c r="AK742" s="66" t="n"/>
      <c r="AL742" s="66" t="n"/>
      <c r="AM742" s="66" t="n"/>
      <c r="AN742" s="66" t="n"/>
      <c r="AO742" s="66" t="n"/>
      <c r="AP742" s="66" t="n"/>
    </row>
    <row r="743">
      <c r="A743" s="66" t="n"/>
      <c r="B743" s="66" t="n"/>
      <c r="C743" s="66" t="n"/>
      <c r="D743" s="66" t="n"/>
      <c r="E743" s="67" t="n"/>
      <c r="F743" s="67" t="n"/>
      <c r="G743" s="68" t="n"/>
      <c r="H743" s="66" t="n"/>
      <c r="I743" s="66" t="n"/>
      <c r="J743" s="67" t="n"/>
      <c r="K743" s="67" t="n"/>
      <c r="L743" s="67" t="n"/>
      <c r="M743" s="28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7" t="n"/>
      <c r="X743" s="67" t="n"/>
      <c r="Y743" s="67" t="n"/>
      <c r="Z743" s="67" t="n"/>
      <c r="AA743" s="67" t="n"/>
      <c r="AB743" s="67" t="n"/>
      <c r="AC743" s="67" t="n"/>
      <c r="AD743" s="66" t="n"/>
      <c r="AE743" s="66" t="n"/>
      <c r="AF743" s="66" t="n"/>
      <c r="AG743" s="66" t="n"/>
      <c r="AH743" s="66" t="n"/>
      <c r="AI743" s="66" t="n"/>
      <c r="AJ743" s="66" t="n"/>
      <c r="AK743" s="66" t="n"/>
      <c r="AL743" s="66" t="n"/>
      <c r="AM743" s="66" t="n"/>
      <c r="AN743" s="66" t="n"/>
      <c r="AO743" s="66" t="n"/>
      <c r="AP743" s="66" t="n"/>
    </row>
    <row r="744">
      <c r="A744" s="66" t="n"/>
      <c r="B744" s="66" t="n"/>
      <c r="C744" s="66" t="n"/>
      <c r="D744" s="66" t="n"/>
      <c r="E744" s="67" t="n"/>
      <c r="F744" s="67" t="n"/>
      <c r="G744" s="68" t="n"/>
      <c r="H744" s="66" t="n"/>
      <c r="I744" s="66" t="n"/>
      <c r="J744" s="67" t="n"/>
      <c r="K744" s="67" t="n"/>
      <c r="L744" s="67" t="n"/>
      <c r="M744" s="28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7" t="n"/>
      <c r="X744" s="67" t="n"/>
      <c r="Y744" s="67" t="n"/>
      <c r="Z744" s="67" t="n"/>
      <c r="AA744" s="67" t="n"/>
      <c r="AB744" s="67" t="n"/>
      <c r="AC744" s="67" t="n"/>
      <c r="AD744" s="66" t="n"/>
      <c r="AE744" s="66" t="n"/>
      <c r="AF744" s="66" t="n"/>
      <c r="AG744" s="66" t="n"/>
      <c r="AH744" s="66" t="n"/>
      <c r="AI744" s="66" t="n"/>
      <c r="AJ744" s="66" t="n"/>
      <c r="AK744" s="66" t="n"/>
      <c r="AL744" s="66" t="n"/>
      <c r="AM744" s="66" t="n"/>
      <c r="AN744" s="66" t="n"/>
      <c r="AO744" s="66" t="n"/>
      <c r="AP744" s="66" t="n"/>
    </row>
    <row r="745">
      <c r="A745" s="66" t="n"/>
      <c r="B745" s="66" t="n"/>
      <c r="C745" s="66" t="n"/>
      <c r="D745" s="66" t="n"/>
      <c r="E745" s="67" t="n"/>
      <c r="F745" s="67" t="n"/>
      <c r="G745" s="68" t="n"/>
      <c r="H745" s="66" t="n"/>
      <c r="I745" s="66" t="n"/>
      <c r="J745" s="67" t="n"/>
      <c r="K745" s="67" t="n"/>
      <c r="L745" s="67" t="n"/>
      <c r="M745" s="28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7" t="n"/>
      <c r="X745" s="67" t="n"/>
      <c r="Y745" s="67" t="n"/>
      <c r="Z745" s="67" t="n"/>
      <c r="AA745" s="67" t="n"/>
      <c r="AB745" s="67" t="n"/>
      <c r="AC745" s="67" t="n"/>
      <c r="AD745" s="66" t="n"/>
      <c r="AE745" s="66" t="n"/>
      <c r="AF745" s="66" t="n"/>
      <c r="AG745" s="66" t="n"/>
      <c r="AH745" s="66" t="n"/>
      <c r="AI745" s="66" t="n"/>
      <c r="AJ745" s="66" t="n"/>
      <c r="AK745" s="66" t="n"/>
      <c r="AL745" s="66" t="n"/>
      <c r="AM745" s="66" t="n"/>
      <c r="AN745" s="66" t="n"/>
      <c r="AO745" s="66" t="n"/>
      <c r="AP745" s="66" t="n"/>
    </row>
    <row r="746">
      <c r="A746" s="66" t="n"/>
      <c r="B746" s="66" t="n"/>
      <c r="C746" s="66" t="n"/>
      <c r="D746" s="66" t="n"/>
      <c r="E746" s="67" t="n"/>
      <c r="F746" s="67" t="n"/>
      <c r="G746" s="68" t="n"/>
      <c r="H746" s="66" t="n"/>
      <c r="I746" s="66" t="n"/>
      <c r="J746" s="67" t="n"/>
      <c r="K746" s="67" t="n"/>
      <c r="L746" s="67" t="n"/>
      <c r="M746" s="28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7" t="n"/>
      <c r="X746" s="67" t="n"/>
      <c r="Y746" s="67" t="n"/>
      <c r="Z746" s="67" t="n"/>
      <c r="AA746" s="67" t="n"/>
      <c r="AB746" s="67" t="n"/>
      <c r="AC746" s="67" t="n"/>
      <c r="AD746" s="66" t="n"/>
      <c r="AE746" s="66" t="n"/>
      <c r="AF746" s="66" t="n"/>
      <c r="AG746" s="66" t="n"/>
      <c r="AH746" s="66" t="n"/>
      <c r="AI746" s="66" t="n"/>
      <c r="AJ746" s="66" t="n"/>
      <c r="AK746" s="66" t="n"/>
      <c r="AL746" s="66" t="n"/>
      <c r="AM746" s="66" t="n"/>
      <c r="AN746" s="66" t="n"/>
      <c r="AO746" s="66" t="n"/>
      <c r="AP746" s="66" t="n"/>
    </row>
    <row r="747">
      <c r="A747" s="66" t="n"/>
      <c r="B747" s="66" t="n"/>
      <c r="C747" s="66" t="n"/>
      <c r="D747" s="66" t="n"/>
      <c r="E747" s="67" t="n"/>
      <c r="F747" s="67" t="n"/>
      <c r="G747" s="68" t="n"/>
      <c r="H747" s="66" t="n"/>
      <c r="I747" s="66" t="n"/>
      <c r="J747" s="67" t="n"/>
      <c r="K747" s="67" t="n"/>
      <c r="L747" s="67" t="n"/>
      <c r="M747" s="28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7" t="n"/>
      <c r="X747" s="67" t="n"/>
      <c r="Y747" s="67" t="n"/>
      <c r="Z747" s="67" t="n"/>
      <c r="AA747" s="67" t="n"/>
      <c r="AB747" s="67" t="n"/>
      <c r="AC747" s="67" t="n"/>
      <c r="AD747" s="66" t="n"/>
      <c r="AE747" s="66" t="n"/>
      <c r="AF747" s="66" t="n"/>
      <c r="AG747" s="66" t="n"/>
      <c r="AH747" s="66" t="n"/>
      <c r="AI747" s="66" t="n"/>
      <c r="AJ747" s="66" t="n"/>
      <c r="AK747" s="66" t="n"/>
      <c r="AL747" s="66" t="n"/>
      <c r="AM747" s="66" t="n"/>
      <c r="AN747" s="66" t="n"/>
      <c r="AO747" s="66" t="n"/>
      <c r="AP747" s="66" t="n"/>
    </row>
    <row r="748">
      <c r="A748" s="66" t="n"/>
      <c r="B748" s="66" t="n"/>
      <c r="C748" s="66" t="n"/>
      <c r="D748" s="66" t="n"/>
      <c r="E748" s="67" t="n"/>
      <c r="F748" s="67" t="n"/>
      <c r="G748" s="68" t="n"/>
      <c r="H748" s="66" t="n"/>
      <c r="I748" s="66" t="n"/>
      <c r="J748" s="67" t="n"/>
      <c r="K748" s="67" t="n"/>
      <c r="L748" s="67" t="n"/>
      <c r="M748" s="28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7" t="n"/>
      <c r="X748" s="67" t="n"/>
      <c r="Y748" s="67" t="n"/>
      <c r="Z748" s="67" t="n"/>
      <c r="AA748" s="67" t="n"/>
      <c r="AB748" s="67" t="n"/>
      <c r="AC748" s="67" t="n"/>
      <c r="AD748" s="66" t="n"/>
      <c r="AE748" s="66" t="n"/>
      <c r="AF748" s="66" t="n"/>
      <c r="AG748" s="66" t="n"/>
      <c r="AH748" s="66" t="n"/>
      <c r="AI748" s="66" t="n"/>
      <c r="AJ748" s="66" t="n"/>
      <c r="AK748" s="66" t="n"/>
      <c r="AL748" s="66" t="n"/>
      <c r="AM748" s="66" t="n"/>
      <c r="AN748" s="66" t="n"/>
      <c r="AO748" s="66" t="n"/>
      <c r="AP748" s="66" t="n"/>
    </row>
    <row r="749">
      <c r="A749" s="66" t="n"/>
      <c r="B749" s="66" t="n"/>
      <c r="C749" s="66" t="n"/>
      <c r="D749" s="66" t="n"/>
      <c r="E749" s="67" t="n"/>
      <c r="F749" s="67" t="n"/>
      <c r="G749" s="68" t="n"/>
      <c r="H749" s="66" t="n"/>
      <c r="I749" s="66" t="n"/>
      <c r="J749" s="67" t="n"/>
      <c r="K749" s="67" t="n"/>
      <c r="L749" s="67" t="n"/>
      <c r="M749" s="28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7" t="n"/>
      <c r="X749" s="67" t="n"/>
      <c r="Y749" s="67" t="n"/>
      <c r="Z749" s="67" t="n"/>
      <c r="AA749" s="67" t="n"/>
      <c r="AB749" s="67" t="n"/>
      <c r="AC749" s="67" t="n"/>
      <c r="AD749" s="66" t="n"/>
      <c r="AE749" s="66" t="n"/>
      <c r="AF749" s="66" t="n"/>
      <c r="AG749" s="66" t="n"/>
      <c r="AH749" s="66" t="n"/>
      <c r="AI749" s="66" t="n"/>
      <c r="AJ749" s="66" t="n"/>
      <c r="AK749" s="66" t="n"/>
      <c r="AL749" s="66" t="n"/>
      <c r="AM749" s="66" t="n"/>
      <c r="AN749" s="66" t="n"/>
      <c r="AO749" s="66" t="n"/>
      <c r="AP749" s="66" t="n"/>
    </row>
    <row r="750">
      <c r="A750" s="66" t="n"/>
      <c r="B750" s="66" t="n"/>
      <c r="C750" s="66" t="n"/>
      <c r="D750" s="66" t="n"/>
      <c r="E750" s="67" t="n"/>
      <c r="F750" s="67" t="n"/>
      <c r="G750" s="68" t="n"/>
      <c r="H750" s="66" t="n"/>
      <c r="I750" s="66" t="n"/>
      <c r="J750" s="67" t="n"/>
      <c r="K750" s="67" t="n"/>
      <c r="L750" s="67" t="n"/>
      <c r="M750" s="28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7" t="n"/>
      <c r="X750" s="67" t="n"/>
      <c r="Y750" s="67" t="n"/>
      <c r="Z750" s="67" t="n"/>
      <c r="AA750" s="67" t="n"/>
      <c r="AB750" s="67" t="n"/>
      <c r="AC750" s="67" t="n"/>
      <c r="AD750" s="66" t="n"/>
      <c r="AE750" s="66" t="n"/>
      <c r="AF750" s="66" t="n"/>
      <c r="AG750" s="66" t="n"/>
      <c r="AH750" s="66" t="n"/>
      <c r="AI750" s="66" t="n"/>
      <c r="AJ750" s="66" t="n"/>
      <c r="AK750" s="66" t="n"/>
      <c r="AL750" s="66" t="n"/>
      <c r="AM750" s="66" t="n"/>
      <c r="AN750" s="66" t="n"/>
      <c r="AO750" s="66" t="n"/>
      <c r="AP750" s="66" t="n"/>
    </row>
    <row r="751">
      <c r="A751" s="66" t="n"/>
      <c r="B751" s="66" t="n"/>
      <c r="C751" s="66" t="n"/>
      <c r="D751" s="66" t="n"/>
      <c r="E751" s="67" t="n"/>
      <c r="F751" s="67" t="n"/>
      <c r="G751" s="68" t="n"/>
      <c r="H751" s="66" t="n"/>
      <c r="I751" s="66" t="n"/>
      <c r="J751" s="67" t="n"/>
      <c r="K751" s="67" t="n"/>
      <c r="L751" s="67" t="n"/>
      <c r="M751" s="28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7" t="n"/>
      <c r="X751" s="67" t="n"/>
      <c r="Y751" s="67" t="n"/>
      <c r="Z751" s="67" t="n"/>
      <c r="AA751" s="67" t="n"/>
      <c r="AB751" s="67" t="n"/>
      <c r="AC751" s="67" t="n"/>
      <c r="AD751" s="66" t="n"/>
      <c r="AE751" s="66" t="n"/>
      <c r="AF751" s="66" t="n"/>
      <c r="AG751" s="66" t="n"/>
      <c r="AH751" s="66" t="n"/>
      <c r="AI751" s="66" t="n"/>
      <c r="AJ751" s="66" t="n"/>
      <c r="AK751" s="66" t="n"/>
      <c r="AL751" s="66" t="n"/>
      <c r="AM751" s="66" t="n"/>
      <c r="AN751" s="66" t="n"/>
      <c r="AO751" s="66" t="n"/>
      <c r="AP751" s="66" t="n"/>
    </row>
    <row r="752">
      <c r="A752" s="66" t="n"/>
      <c r="B752" s="66" t="n"/>
      <c r="C752" s="66" t="n"/>
      <c r="D752" s="66" t="n"/>
      <c r="E752" s="67" t="n"/>
      <c r="F752" s="67" t="n"/>
      <c r="G752" s="68" t="n"/>
      <c r="H752" s="66" t="n"/>
      <c r="I752" s="66" t="n"/>
      <c r="J752" s="67" t="n"/>
      <c r="K752" s="67" t="n"/>
      <c r="L752" s="67" t="n"/>
      <c r="M752" s="28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7" t="n"/>
      <c r="X752" s="67" t="n"/>
      <c r="Y752" s="67" t="n"/>
      <c r="Z752" s="67" t="n"/>
      <c r="AA752" s="67" t="n"/>
      <c r="AB752" s="67" t="n"/>
      <c r="AC752" s="67" t="n"/>
      <c r="AD752" s="66" t="n"/>
      <c r="AE752" s="66" t="n"/>
      <c r="AF752" s="66" t="n"/>
      <c r="AG752" s="66" t="n"/>
      <c r="AH752" s="66" t="n"/>
      <c r="AI752" s="66" t="n"/>
      <c r="AJ752" s="66" t="n"/>
      <c r="AK752" s="66" t="n"/>
      <c r="AL752" s="66" t="n"/>
      <c r="AM752" s="66" t="n"/>
      <c r="AN752" s="66" t="n"/>
      <c r="AO752" s="66" t="n"/>
      <c r="AP752" s="66" t="n"/>
    </row>
    <row r="753">
      <c r="A753" s="66" t="n"/>
      <c r="B753" s="66" t="n"/>
      <c r="C753" s="66" t="n"/>
      <c r="D753" s="66" t="n"/>
      <c r="E753" s="67" t="n"/>
      <c r="F753" s="67" t="n"/>
      <c r="G753" s="68" t="n"/>
      <c r="H753" s="66" t="n"/>
      <c r="I753" s="66" t="n"/>
      <c r="J753" s="67" t="n"/>
      <c r="K753" s="67" t="n"/>
      <c r="L753" s="67" t="n"/>
      <c r="M753" s="28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7" t="n"/>
      <c r="X753" s="67" t="n"/>
      <c r="Y753" s="67" t="n"/>
      <c r="Z753" s="67" t="n"/>
      <c r="AA753" s="67" t="n"/>
      <c r="AB753" s="67" t="n"/>
      <c r="AC753" s="67" t="n"/>
      <c r="AD753" s="66" t="n"/>
      <c r="AE753" s="66" t="n"/>
      <c r="AF753" s="66" t="n"/>
      <c r="AG753" s="66" t="n"/>
      <c r="AH753" s="66" t="n"/>
      <c r="AI753" s="66" t="n"/>
      <c r="AJ753" s="66" t="n"/>
      <c r="AK753" s="66" t="n"/>
      <c r="AL753" s="66" t="n"/>
      <c r="AM753" s="66" t="n"/>
      <c r="AN753" s="66" t="n"/>
      <c r="AO753" s="66" t="n"/>
      <c r="AP753" s="66" t="n"/>
    </row>
    <row r="754">
      <c r="A754" s="66" t="n"/>
      <c r="B754" s="66" t="n"/>
      <c r="C754" s="66" t="n"/>
      <c r="D754" s="66" t="n"/>
      <c r="E754" s="67" t="n"/>
      <c r="F754" s="67" t="n"/>
      <c r="G754" s="68" t="n"/>
      <c r="H754" s="66" t="n"/>
      <c r="I754" s="66" t="n"/>
      <c r="J754" s="67" t="n"/>
      <c r="K754" s="67" t="n"/>
      <c r="L754" s="67" t="n"/>
      <c r="M754" s="28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7" t="n"/>
      <c r="X754" s="67" t="n"/>
      <c r="Y754" s="67" t="n"/>
      <c r="Z754" s="67" t="n"/>
      <c r="AA754" s="67" t="n"/>
      <c r="AB754" s="67" t="n"/>
      <c r="AC754" s="67" t="n"/>
      <c r="AD754" s="66" t="n"/>
      <c r="AE754" s="66" t="n"/>
      <c r="AF754" s="66" t="n"/>
      <c r="AG754" s="66" t="n"/>
      <c r="AH754" s="66" t="n"/>
      <c r="AI754" s="66" t="n"/>
      <c r="AJ754" s="66" t="n"/>
      <c r="AK754" s="66" t="n"/>
      <c r="AL754" s="66" t="n"/>
      <c r="AM754" s="66" t="n"/>
      <c r="AN754" s="66" t="n"/>
      <c r="AO754" s="66" t="n"/>
      <c r="AP754" s="66" t="n"/>
    </row>
    <row r="755">
      <c r="A755" s="66" t="n"/>
      <c r="B755" s="66" t="n"/>
      <c r="C755" s="66" t="n"/>
      <c r="D755" s="66" t="n"/>
      <c r="E755" s="67" t="n"/>
      <c r="F755" s="67" t="n"/>
      <c r="G755" s="68" t="n"/>
      <c r="H755" s="66" t="n"/>
      <c r="I755" s="66" t="n"/>
      <c r="J755" s="67" t="n"/>
      <c r="K755" s="67" t="n"/>
      <c r="L755" s="67" t="n"/>
      <c r="M755" s="28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7" t="n"/>
      <c r="X755" s="67" t="n"/>
      <c r="Y755" s="67" t="n"/>
      <c r="Z755" s="67" t="n"/>
      <c r="AA755" s="67" t="n"/>
      <c r="AB755" s="67" t="n"/>
      <c r="AC755" s="67" t="n"/>
      <c r="AD755" s="66" t="n"/>
      <c r="AE755" s="66" t="n"/>
      <c r="AF755" s="66" t="n"/>
      <c r="AG755" s="66" t="n"/>
      <c r="AH755" s="66" t="n"/>
      <c r="AI755" s="66" t="n"/>
      <c r="AJ755" s="66" t="n"/>
      <c r="AK755" s="66" t="n"/>
      <c r="AL755" s="66" t="n"/>
      <c r="AM755" s="66" t="n"/>
      <c r="AN755" s="66" t="n"/>
      <c r="AO755" s="66" t="n"/>
      <c r="AP755" s="66" t="n"/>
    </row>
    <row r="756">
      <c r="A756" s="66" t="n"/>
      <c r="B756" s="66" t="n"/>
      <c r="C756" s="66" t="n"/>
      <c r="D756" s="66" t="n"/>
      <c r="E756" s="67" t="n"/>
      <c r="F756" s="67" t="n"/>
      <c r="G756" s="68" t="n"/>
      <c r="H756" s="66" t="n"/>
      <c r="I756" s="66" t="n"/>
      <c r="J756" s="67" t="n"/>
      <c r="K756" s="67" t="n"/>
      <c r="L756" s="67" t="n"/>
      <c r="M756" s="28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7" t="n"/>
      <c r="X756" s="67" t="n"/>
      <c r="Y756" s="67" t="n"/>
      <c r="Z756" s="67" t="n"/>
      <c r="AA756" s="67" t="n"/>
      <c r="AB756" s="67" t="n"/>
      <c r="AC756" s="67" t="n"/>
      <c r="AD756" s="66" t="n"/>
      <c r="AE756" s="66" t="n"/>
      <c r="AF756" s="66" t="n"/>
      <c r="AG756" s="66" t="n"/>
      <c r="AH756" s="66" t="n"/>
      <c r="AI756" s="66" t="n"/>
      <c r="AJ756" s="66" t="n"/>
      <c r="AK756" s="66" t="n"/>
      <c r="AL756" s="66" t="n"/>
      <c r="AM756" s="66" t="n"/>
      <c r="AN756" s="66" t="n"/>
      <c r="AO756" s="66" t="n"/>
      <c r="AP756" s="66" t="n"/>
    </row>
    <row r="757">
      <c r="A757" s="66" t="n"/>
      <c r="B757" s="66" t="n"/>
      <c r="C757" s="66" t="n"/>
      <c r="D757" s="66" t="n"/>
      <c r="E757" s="67" t="n"/>
      <c r="F757" s="67" t="n"/>
      <c r="G757" s="68" t="n"/>
      <c r="H757" s="66" t="n"/>
      <c r="I757" s="66" t="n"/>
      <c r="J757" s="67" t="n"/>
      <c r="K757" s="67" t="n"/>
      <c r="L757" s="67" t="n"/>
      <c r="M757" s="28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7" t="n"/>
      <c r="X757" s="67" t="n"/>
      <c r="Y757" s="67" t="n"/>
      <c r="Z757" s="67" t="n"/>
      <c r="AA757" s="67" t="n"/>
      <c r="AB757" s="67" t="n"/>
      <c r="AC757" s="67" t="n"/>
      <c r="AD757" s="66" t="n"/>
      <c r="AE757" s="66" t="n"/>
      <c r="AF757" s="66" t="n"/>
      <c r="AG757" s="66" t="n"/>
      <c r="AH757" s="66" t="n"/>
      <c r="AI757" s="66" t="n"/>
      <c r="AJ757" s="66" t="n"/>
      <c r="AK757" s="66" t="n"/>
      <c r="AL757" s="66" t="n"/>
      <c r="AM757" s="66" t="n"/>
      <c r="AN757" s="66" t="n"/>
      <c r="AO757" s="66" t="n"/>
      <c r="AP757" s="66" t="n"/>
    </row>
    <row r="758">
      <c r="A758" s="66" t="n"/>
      <c r="B758" s="66" t="n"/>
      <c r="C758" s="66" t="n"/>
      <c r="D758" s="66" t="n"/>
      <c r="E758" s="67" t="n"/>
      <c r="F758" s="67" t="n"/>
      <c r="G758" s="68" t="n"/>
      <c r="H758" s="66" t="n"/>
      <c r="I758" s="66" t="n"/>
      <c r="J758" s="67" t="n"/>
      <c r="K758" s="67" t="n"/>
      <c r="L758" s="67" t="n"/>
      <c r="M758" s="28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7" t="n"/>
      <c r="X758" s="67" t="n"/>
      <c r="Y758" s="67" t="n"/>
      <c r="Z758" s="67" t="n"/>
      <c r="AA758" s="67" t="n"/>
      <c r="AB758" s="67" t="n"/>
      <c r="AC758" s="67" t="n"/>
      <c r="AD758" s="66" t="n"/>
      <c r="AE758" s="66" t="n"/>
      <c r="AF758" s="66" t="n"/>
      <c r="AG758" s="66" t="n"/>
      <c r="AH758" s="66" t="n"/>
      <c r="AI758" s="66" t="n"/>
      <c r="AJ758" s="66" t="n"/>
      <c r="AK758" s="66" t="n"/>
      <c r="AL758" s="66" t="n"/>
      <c r="AM758" s="66" t="n"/>
      <c r="AN758" s="66" t="n"/>
      <c r="AO758" s="66" t="n"/>
      <c r="AP758" s="66" t="n"/>
    </row>
    <row r="759">
      <c r="A759" s="66" t="n"/>
      <c r="B759" s="66" t="n"/>
      <c r="C759" s="66" t="n"/>
      <c r="D759" s="66" t="n"/>
      <c r="E759" s="67" t="n"/>
      <c r="F759" s="67" t="n"/>
      <c r="G759" s="68" t="n"/>
      <c r="H759" s="66" t="n"/>
      <c r="I759" s="66" t="n"/>
      <c r="J759" s="67" t="n"/>
      <c r="K759" s="67" t="n"/>
      <c r="L759" s="67" t="n"/>
      <c r="M759" s="28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7" t="n"/>
      <c r="X759" s="67" t="n"/>
      <c r="Y759" s="67" t="n"/>
      <c r="Z759" s="67" t="n"/>
      <c r="AA759" s="67" t="n"/>
      <c r="AB759" s="67" t="n"/>
      <c r="AC759" s="67" t="n"/>
      <c r="AD759" s="66" t="n"/>
      <c r="AE759" s="66" t="n"/>
      <c r="AF759" s="66" t="n"/>
      <c r="AG759" s="66" t="n"/>
      <c r="AH759" s="66" t="n"/>
      <c r="AI759" s="66" t="n"/>
      <c r="AJ759" s="66" t="n"/>
      <c r="AK759" s="66" t="n"/>
      <c r="AL759" s="66" t="n"/>
      <c r="AM759" s="66" t="n"/>
      <c r="AN759" s="66" t="n"/>
      <c r="AO759" s="66" t="n"/>
      <c r="AP759" s="66" t="n"/>
    </row>
    <row r="760">
      <c r="A760" s="66" t="n"/>
      <c r="B760" s="66" t="n"/>
      <c r="C760" s="66" t="n"/>
      <c r="D760" s="66" t="n"/>
      <c r="E760" s="67" t="n"/>
      <c r="F760" s="67" t="n"/>
      <c r="G760" s="68" t="n"/>
      <c r="H760" s="66" t="n"/>
      <c r="I760" s="66" t="n"/>
      <c r="J760" s="67" t="n"/>
      <c r="K760" s="67" t="n"/>
      <c r="L760" s="67" t="n"/>
      <c r="M760" s="28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7" t="n"/>
      <c r="X760" s="67" t="n"/>
      <c r="Y760" s="67" t="n"/>
      <c r="Z760" s="67" t="n"/>
      <c r="AA760" s="67" t="n"/>
      <c r="AB760" s="67" t="n"/>
      <c r="AC760" s="67" t="n"/>
      <c r="AD760" s="66" t="n"/>
      <c r="AE760" s="66" t="n"/>
      <c r="AF760" s="66" t="n"/>
      <c r="AG760" s="66" t="n"/>
      <c r="AH760" s="66" t="n"/>
      <c r="AI760" s="66" t="n"/>
      <c r="AJ760" s="66" t="n"/>
      <c r="AK760" s="66" t="n"/>
      <c r="AL760" s="66" t="n"/>
      <c r="AM760" s="66" t="n"/>
      <c r="AN760" s="66" t="n"/>
      <c r="AO760" s="66" t="n"/>
      <c r="AP760" s="66" t="n"/>
    </row>
    <row r="761">
      <c r="A761" s="66" t="n"/>
      <c r="B761" s="66" t="n"/>
      <c r="C761" s="66" t="n"/>
      <c r="D761" s="66" t="n"/>
      <c r="E761" s="67" t="n"/>
      <c r="F761" s="67" t="n"/>
      <c r="G761" s="68" t="n"/>
      <c r="H761" s="66" t="n"/>
      <c r="I761" s="66" t="n"/>
      <c r="J761" s="67" t="n"/>
      <c r="K761" s="67" t="n"/>
      <c r="L761" s="67" t="n"/>
      <c r="M761" s="28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7" t="n"/>
      <c r="X761" s="67" t="n"/>
      <c r="Y761" s="67" t="n"/>
      <c r="Z761" s="67" t="n"/>
      <c r="AA761" s="67" t="n"/>
      <c r="AB761" s="67" t="n"/>
      <c r="AC761" s="67" t="n"/>
      <c r="AD761" s="66" t="n"/>
      <c r="AE761" s="66" t="n"/>
      <c r="AF761" s="66" t="n"/>
      <c r="AG761" s="66" t="n"/>
      <c r="AH761" s="66" t="n"/>
      <c r="AI761" s="66" t="n"/>
      <c r="AJ761" s="66" t="n"/>
      <c r="AK761" s="66" t="n"/>
      <c r="AL761" s="66" t="n"/>
      <c r="AM761" s="66" t="n"/>
      <c r="AN761" s="66" t="n"/>
      <c r="AO761" s="66" t="n"/>
      <c r="AP761" s="66" t="n"/>
    </row>
    <row r="762">
      <c r="A762" s="66" t="n"/>
      <c r="B762" s="66" t="n"/>
      <c r="C762" s="66" t="n"/>
      <c r="D762" s="66" t="n"/>
      <c r="E762" s="67" t="n"/>
      <c r="F762" s="67" t="n"/>
      <c r="G762" s="68" t="n"/>
      <c r="H762" s="66" t="n"/>
      <c r="I762" s="66" t="n"/>
      <c r="J762" s="67" t="n"/>
      <c r="K762" s="67" t="n"/>
      <c r="L762" s="67" t="n"/>
      <c r="M762" s="28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7" t="n"/>
      <c r="X762" s="67" t="n"/>
      <c r="Y762" s="67" t="n"/>
      <c r="Z762" s="67" t="n"/>
      <c r="AA762" s="67" t="n"/>
      <c r="AB762" s="67" t="n"/>
      <c r="AC762" s="67" t="n"/>
      <c r="AD762" s="66" t="n"/>
      <c r="AE762" s="66" t="n"/>
      <c r="AF762" s="66" t="n"/>
      <c r="AG762" s="66" t="n"/>
      <c r="AH762" s="66" t="n"/>
      <c r="AI762" s="66" t="n"/>
      <c r="AJ762" s="66" t="n"/>
      <c r="AK762" s="66" t="n"/>
      <c r="AL762" s="66" t="n"/>
      <c r="AM762" s="66" t="n"/>
      <c r="AN762" s="66" t="n"/>
      <c r="AO762" s="66" t="n"/>
      <c r="AP762" s="66" t="n"/>
    </row>
    <row r="763">
      <c r="A763" s="66" t="n"/>
      <c r="B763" s="66" t="n"/>
      <c r="C763" s="66" t="n"/>
      <c r="D763" s="66" t="n"/>
      <c r="E763" s="67" t="n"/>
      <c r="F763" s="67" t="n"/>
      <c r="G763" s="68" t="n"/>
      <c r="H763" s="66" t="n"/>
      <c r="I763" s="66" t="n"/>
      <c r="J763" s="67" t="n"/>
      <c r="K763" s="67" t="n"/>
      <c r="L763" s="67" t="n"/>
      <c r="M763" s="28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7" t="n"/>
      <c r="X763" s="67" t="n"/>
      <c r="Y763" s="67" t="n"/>
      <c r="Z763" s="67" t="n"/>
      <c r="AA763" s="67" t="n"/>
      <c r="AB763" s="67" t="n"/>
      <c r="AC763" s="67" t="n"/>
      <c r="AD763" s="66" t="n"/>
      <c r="AE763" s="66" t="n"/>
      <c r="AF763" s="66" t="n"/>
      <c r="AG763" s="66" t="n"/>
      <c r="AH763" s="66" t="n"/>
      <c r="AI763" s="66" t="n"/>
      <c r="AJ763" s="66" t="n"/>
      <c r="AK763" s="66" t="n"/>
      <c r="AL763" s="66" t="n"/>
      <c r="AM763" s="66" t="n"/>
      <c r="AN763" s="66" t="n"/>
      <c r="AO763" s="66" t="n"/>
      <c r="AP763" s="66" t="n"/>
    </row>
    <row r="764">
      <c r="A764" s="66" t="n"/>
      <c r="B764" s="66" t="n"/>
      <c r="C764" s="66" t="n"/>
      <c r="D764" s="66" t="n"/>
      <c r="E764" s="67" t="n"/>
      <c r="F764" s="67" t="n"/>
      <c r="G764" s="68" t="n"/>
      <c r="H764" s="66" t="n"/>
      <c r="I764" s="66" t="n"/>
      <c r="J764" s="67" t="n"/>
      <c r="K764" s="67" t="n"/>
      <c r="L764" s="67" t="n"/>
      <c r="M764" s="28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7" t="n"/>
      <c r="X764" s="67" t="n"/>
      <c r="Y764" s="67" t="n"/>
      <c r="Z764" s="67" t="n"/>
      <c r="AA764" s="67" t="n"/>
      <c r="AB764" s="67" t="n"/>
      <c r="AC764" s="67" t="n"/>
      <c r="AD764" s="66" t="n"/>
      <c r="AE764" s="66" t="n"/>
      <c r="AF764" s="66" t="n"/>
      <c r="AG764" s="66" t="n"/>
      <c r="AH764" s="66" t="n"/>
      <c r="AI764" s="66" t="n"/>
      <c r="AJ764" s="66" t="n"/>
      <c r="AK764" s="66" t="n"/>
      <c r="AL764" s="66" t="n"/>
      <c r="AM764" s="66" t="n"/>
      <c r="AN764" s="66" t="n"/>
      <c r="AO764" s="66" t="n"/>
      <c r="AP764" s="66" t="n"/>
    </row>
    <row r="765">
      <c r="A765" s="66" t="n"/>
      <c r="B765" s="66" t="n"/>
      <c r="C765" s="66" t="n"/>
      <c r="D765" s="66" t="n"/>
      <c r="E765" s="67" t="n"/>
      <c r="F765" s="67" t="n"/>
      <c r="G765" s="68" t="n"/>
      <c r="H765" s="66" t="n"/>
      <c r="I765" s="66" t="n"/>
      <c r="J765" s="67" t="n"/>
      <c r="K765" s="67" t="n"/>
      <c r="L765" s="67" t="n"/>
      <c r="M765" s="28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7" t="n"/>
      <c r="X765" s="67" t="n"/>
      <c r="Y765" s="67" t="n"/>
      <c r="Z765" s="67" t="n"/>
      <c r="AA765" s="67" t="n"/>
      <c r="AB765" s="67" t="n"/>
      <c r="AC765" s="67" t="n"/>
      <c r="AD765" s="66" t="n"/>
      <c r="AE765" s="66" t="n"/>
      <c r="AF765" s="66" t="n"/>
      <c r="AG765" s="66" t="n"/>
      <c r="AH765" s="66" t="n"/>
      <c r="AI765" s="66" t="n"/>
      <c r="AJ765" s="66" t="n"/>
      <c r="AK765" s="66" t="n"/>
      <c r="AL765" s="66" t="n"/>
      <c r="AM765" s="66" t="n"/>
      <c r="AN765" s="66" t="n"/>
      <c r="AO765" s="66" t="n"/>
      <c r="AP765" s="66" t="n"/>
    </row>
    <row r="766">
      <c r="A766" s="66" t="n"/>
      <c r="B766" s="66" t="n"/>
      <c r="C766" s="66" t="n"/>
      <c r="D766" s="66" t="n"/>
      <c r="E766" s="67" t="n"/>
      <c r="F766" s="67" t="n"/>
      <c r="G766" s="68" t="n"/>
      <c r="H766" s="66" t="n"/>
      <c r="I766" s="66" t="n"/>
      <c r="J766" s="67" t="n"/>
      <c r="K766" s="67" t="n"/>
      <c r="L766" s="67" t="n"/>
      <c r="M766" s="28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7" t="n"/>
      <c r="X766" s="67" t="n"/>
      <c r="Y766" s="67" t="n"/>
      <c r="Z766" s="67" t="n"/>
      <c r="AA766" s="67" t="n"/>
      <c r="AB766" s="67" t="n"/>
      <c r="AC766" s="67" t="n"/>
      <c r="AD766" s="66" t="n"/>
      <c r="AE766" s="66" t="n"/>
      <c r="AF766" s="66" t="n"/>
      <c r="AG766" s="66" t="n"/>
      <c r="AH766" s="66" t="n"/>
      <c r="AI766" s="66" t="n"/>
      <c r="AJ766" s="66" t="n"/>
      <c r="AK766" s="66" t="n"/>
      <c r="AL766" s="66" t="n"/>
      <c r="AM766" s="66" t="n"/>
      <c r="AN766" s="66" t="n"/>
      <c r="AO766" s="66" t="n"/>
      <c r="AP766" s="66" t="n"/>
    </row>
    <row r="767">
      <c r="A767" s="66" t="n"/>
      <c r="B767" s="66" t="n"/>
      <c r="C767" s="66" t="n"/>
      <c r="D767" s="66" t="n"/>
      <c r="E767" s="67" t="n"/>
      <c r="F767" s="67" t="n"/>
      <c r="G767" s="68" t="n"/>
      <c r="H767" s="66" t="n"/>
      <c r="I767" s="66" t="n"/>
      <c r="J767" s="67" t="n"/>
      <c r="K767" s="67" t="n"/>
      <c r="L767" s="67" t="n"/>
      <c r="M767" s="28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7" t="n"/>
      <c r="X767" s="67" t="n"/>
      <c r="Y767" s="67" t="n"/>
      <c r="Z767" s="67" t="n"/>
      <c r="AA767" s="67" t="n"/>
      <c r="AB767" s="67" t="n"/>
      <c r="AC767" s="67" t="n"/>
      <c r="AD767" s="66" t="n"/>
      <c r="AE767" s="66" t="n"/>
      <c r="AF767" s="66" t="n"/>
      <c r="AG767" s="66" t="n"/>
      <c r="AH767" s="66" t="n"/>
      <c r="AI767" s="66" t="n"/>
      <c r="AJ767" s="66" t="n"/>
      <c r="AK767" s="66" t="n"/>
      <c r="AL767" s="66" t="n"/>
      <c r="AM767" s="66" t="n"/>
      <c r="AN767" s="66" t="n"/>
      <c r="AO767" s="66" t="n"/>
      <c r="AP767" s="66" t="n"/>
    </row>
    <row r="768">
      <c r="A768" s="66" t="n"/>
      <c r="B768" s="66" t="n"/>
      <c r="C768" s="66" t="n"/>
      <c r="D768" s="66" t="n"/>
      <c r="E768" s="67" t="n"/>
      <c r="F768" s="67" t="n"/>
      <c r="G768" s="68" t="n"/>
      <c r="H768" s="66" t="n"/>
      <c r="I768" s="66" t="n"/>
      <c r="J768" s="67" t="n"/>
      <c r="K768" s="67" t="n"/>
      <c r="L768" s="67" t="n"/>
      <c r="M768" s="28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7" t="n"/>
      <c r="X768" s="67" t="n"/>
      <c r="Y768" s="67" t="n"/>
      <c r="Z768" s="67" t="n"/>
      <c r="AA768" s="67" t="n"/>
      <c r="AB768" s="67" t="n"/>
      <c r="AC768" s="67" t="n"/>
      <c r="AD768" s="66" t="n"/>
      <c r="AE768" s="66" t="n"/>
      <c r="AF768" s="66" t="n"/>
      <c r="AG768" s="66" t="n"/>
      <c r="AH768" s="66" t="n"/>
      <c r="AI768" s="66" t="n"/>
      <c r="AJ768" s="66" t="n"/>
      <c r="AK768" s="66" t="n"/>
      <c r="AL768" s="66" t="n"/>
      <c r="AM768" s="66" t="n"/>
      <c r="AN768" s="66" t="n"/>
      <c r="AO768" s="66" t="n"/>
      <c r="AP768" s="66" t="n"/>
    </row>
    <row r="769">
      <c r="A769" s="66" t="n"/>
      <c r="B769" s="66" t="n"/>
      <c r="C769" s="66" t="n"/>
      <c r="D769" s="66" t="n"/>
      <c r="E769" s="67" t="n"/>
      <c r="F769" s="67" t="n"/>
      <c r="G769" s="68" t="n"/>
      <c r="H769" s="66" t="n"/>
      <c r="I769" s="66" t="n"/>
      <c r="J769" s="67" t="n"/>
      <c r="K769" s="67" t="n"/>
      <c r="L769" s="67" t="n"/>
      <c r="M769" s="28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7" t="n"/>
      <c r="X769" s="67" t="n"/>
      <c r="Y769" s="67" t="n"/>
      <c r="Z769" s="67" t="n"/>
      <c r="AA769" s="67" t="n"/>
      <c r="AB769" s="67" t="n"/>
      <c r="AC769" s="67" t="n"/>
      <c r="AD769" s="66" t="n"/>
      <c r="AE769" s="66" t="n"/>
      <c r="AF769" s="66" t="n"/>
      <c r="AG769" s="66" t="n"/>
      <c r="AH769" s="66" t="n"/>
      <c r="AI769" s="66" t="n"/>
      <c r="AJ769" s="66" t="n"/>
      <c r="AK769" s="66" t="n"/>
      <c r="AL769" s="66" t="n"/>
      <c r="AM769" s="66" t="n"/>
      <c r="AN769" s="66" t="n"/>
      <c r="AO769" s="66" t="n"/>
      <c r="AP769" s="66" t="n"/>
    </row>
    <row r="770">
      <c r="A770" s="66" t="n"/>
      <c r="B770" s="66" t="n"/>
      <c r="C770" s="66" t="n"/>
      <c r="D770" s="66" t="n"/>
      <c r="E770" s="67" t="n"/>
      <c r="F770" s="67" t="n"/>
      <c r="G770" s="68" t="n"/>
      <c r="H770" s="66" t="n"/>
      <c r="I770" s="66" t="n"/>
      <c r="J770" s="67" t="n"/>
      <c r="K770" s="67" t="n"/>
      <c r="L770" s="67" t="n"/>
      <c r="M770" s="28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7" t="n"/>
      <c r="X770" s="67" t="n"/>
      <c r="Y770" s="67" t="n"/>
      <c r="Z770" s="67" t="n"/>
      <c r="AA770" s="67" t="n"/>
      <c r="AB770" s="67" t="n"/>
      <c r="AC770" s="67" t="n"/>
      <c r="AD770" s="66" t="n"/>
      <c r="AE770" s="66" t="n"/>
      <c r="AF770" s="66" t="n"/>
      <c r="AG770" s="66" t="n"/>
      <c r="AH770" s="66" t="n"/>
      <c r="AI770" s="66" t="n"/>
      <c r="AJ770" s="66" t="n"/>
      <c r="AK770" s="66" t="n"/>
      <c r="AL770" s="66" t="n"/>
      <c r="AM770" s="66" t="n"/>
      <c r="AN770" s="66" t="n"/>
      <c r="AO770" s="66" t="n"/>
      <c r="AP770" s="66" t="n"/>
    </row>
    <row r="771">
      <c r="A771" s="66" t="n"/>
      <c r="B771" s="66" t="n"/>
      <c r="C771" s="66" t="n"/>
      <c r="D771" s="66" t="n"/>
      <c r="E771" s="67" t="n"/>
      <c r="F771" s="67" t="n"/>
      <c r="G771" s="68" t="n"/>
      <c r="H771" s="66" t="n"/>
      <c r="I771" s="66" t="n"/>
      <c r="J771" s="67" t="n"/>
      <c r="K771" s="67" t="n"/>
      <c r="L771" s="67" t="n"/>
      <c r="M771" s="28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7" t="n"/>
      <c r="X771" s="67" t="n"/>
      <c r="Y771" s="67" t="n"/>
      <c r="Z771" s="67" t="n"/>
      <c r="AA771" s="67" t="n"/>
      <c r="AB771" s="67" t="n"/>
      <c r="AC771" s="67" t="n"/>
      <c r="AD771" s="66" t="n"/>
      <c r="AE771" s="66" t="n"/>
      <c r="AF771" s="66" t="n"/>
      <c r="AG771" s="66" t="n"/>
      <c r="AH771" s="66" t="n"/>
      <c r="AI771" s="66" t="n"/>
      <c r="AJ771" s="66" t="n"/>
      <c r="AK771" s="66" t="n"/>
      <c r="AL771" s="66" t="n"/>
      <c r="AM771" s="66" t="n"/>
      <c r="AN771" s="66" t="n"/>
      <c r="AO771" s="66" t="n"/>
      <c r="AP771" s="66" t="n"/>
    </row>
    <row r="772">
      <c r="A772" s="66" t="n"/>
      <c r="B772" s="66" t="n"/>
      <c r="C772" s="66" t="n"/>
      <c r="D772" s="66" t="n"/>
      <c r="E772" s="67" t="n"/>
      <c r="F772" s="67" t="n"/>
      <c r="G772" s="68" t="n"/>
      <c r="H772" s="66" t="n"/>
      <c r="I772" s="66" t="n"/>
      <c r="J772" s="67" t="n"/>
      <c r="K772" s="67" t="n"/>
      <c r="L772" s="67" t="n"/>
      <c r="M772" s="28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7" t="n"/>
      <c r="X772" s="67" t="n"/>
      <c r="Y772" s="67" t="n"/>
      <c r="Z772" s="67" t="n"/>
      <c r="AA772" s="67" t="n"/>
      <c r="AB772" s="67" t="n"/>
      <c r="AC772" s="67" t="n"/>
      <c r="AD772" s="66" t="n"/>
      <c r="AE772" s="66" t="n"/>
      <c r="AF772" s="66" t="n"/>
      <c r="AG772" s="66" t="n"/>
      <c r="AH772" s="66" t="n"/>
      <c r="AI772" s="66" t="n"/>
      <c r="AJ772" s="66" t="n"/>
      <c r="AK772" s="66" t="n"/>
      <c r="AL772" s="66" t="n"/>
      <c r="AM772" s="66" t="n"/>
      <c r="AN772" s="66" t="n"/>
      <c r="AO772" s="66" t="n"/>
      <c r="AP772" s="66" t="n"/>
    </row>
    <row r="773">
      <c r="A773" s="66" t="n"/>
      <c r="B773" s="66" t="n"/>
      <c r="C773" s="66" t="n"/>
      <c r="D773" s="66" t="n"/>
      <c r="E773" s="67" t="n"/>
      <c r="F773" s="67" t="n"/>
      <c r="G773" s="68" t="n"/>
      <c r="H773" s="66" t="n"/>
      <c r="I773" s="66" t="n"/>
      <c r="J773" s="67" t="n"/>
      <c r="K773" s="67" t="n"/>
      <c r="L773" s="67" t="n"/>
      <c r="M773" s="28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7" t="n"/>
      <c r="X773" s="67" t="n"/>
      <c r="Y773" s="67" t="n"/>
      <c r="Z773" s="67" t="n"/>
      <c r="AA773" s="67" t="n"/>
      <c r="AB773" s="67" t="n"/>
      <c r="AC773" s="67" t="n"/>
      <c r="AD773" s="66" t="n"/>
      <c r="AE773" s="66" t="n"/>
      <c r="AF773" s="66" t="n"/>
      <c r="AG773" s="66" t="n"/>
      <c r="AH773" s="66" t="n"/>
      <c r="AI773" s="66" t="n"/>
      <c r="AJ773" s="66" t="n"/>
      <c r="AK773" s="66" t="n"/>
      <c r="AL773" s="66" t="n"/>
      <c r="AM773" s="66" t="n"/>
      <c r="AN773" s="66" t="n"/>
      <c r="AO773" s="66" t="n"/>
      <c r="AP773" s="66" t="n"/>
    </row>
    <row r="774">
      <c r="A774" s="66" t="n"/>
      <c r="B774" s="66" t="n"/>
      <c r="C774" s="66" t="n"/>
      <c r="D774" s="66" t="n"/>
      <c r="E774" s="67" t="n"/>
      <c r="F774" s="67" t="n"/>
      <c r="G774" s="68" t="n"/>
      <c r="H774" s="66" t="n"/>
      <c r="I774" s="66" t="n"/>
      <c r="J774" s="67" t="n"/>
      <c r="K774" s="67" t="n"/>
      <c r="L774" s="67" t="n"/>
      <c r="M774" s="28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7" t="n"/>
      <c r="X774" s="67" t="n"/>
      <c r="Y774" s="67" t="n"/>
      <c r="Z774" s="67" t="n"/>
      <c r="AA774" s="67" t="n"/>
      <c r="AB774" s="67" t="n"/>
      <c r="AC774" s="67" t="n"/>
      <c r="AD774" s="66" t="n"/>
      <c r="AE774" s="66" t="n"/>
      <c r="AF774" s="66" t="n"/>
      <c r="AG774" s="66" t="n"/>
      <c r="AH774" s="66" t="n"/>
      <c r="AI774" s="66" t="n"/>
      <c r="AJ774" s="66" t="n"/>
      <c r="AK774" s="66" t="n"/>
      <c r="AL774" s="66" t="n"/>
      <c r="AM774" s="66" t="n"/>
      <c r="AN774" s="66" t="n"/>
      <c r="AO774" s="66" t="n"/>
      <c r="AP774" s="66" t="n"/>
    </row>
    <row r="775">
      <c r="A775" s="66" t="n"/>
      <c r="B775" s="66" t="n"/>
      <c r="C775" s="66" t="n"/>
      <c r="D775" s="66" t="n"/>
      <c r="E775" s="67" t="n"/>
      <c r="F775" s="67" t="n"/>
      <c r="G775" s="68" t="n"/>
      <c r="H775" s="66" t="n"/>
      <c r="I775" s="66" t="n"/>
      <c r="J775" s="67" t="n"/>
      <c r="K775" s="67" t="n"/>
      <c r="L775" s="67" t="n"/>
      <c r="M775" s="28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7" t="n"/>
      <c r="X775" s="67" t="n"/>
      <c r="Y775" s="67" t="n"/>
      <c r="Z775" s="67" t="n"/>
      <c r="AA775" s="67" t="n"/>
      <c r="AB775" s="67" t="n"/>
      <c r="AC775" s="67" t="n"/>
      <c r="AD775" s="66" t="n"/>
      <c r="AE775" s="66" t="n"/>
      <c r="AF775" s="66" t="n"/>
      <c r="AG775" s="66" t="n"/>
      <c r="AH775" s="66" t="n"/>
      <c r="AI775" s="66" t="n"/>
      <c r="AJ775" s="66" t="n"/>
      <c r="AK775" s="66" t="n"/>
      <c r="AL775" s="66" t="n"/>
      <c r="AM775" s="66" t="n"/>
      <c r="AN775" s="66" t="n"/>
      <c r="AO775" s="66" t="n"/>
      <c r="AP775" s="66" t="n"/>
    </row>
    <row r="776">
      <c r="A776" s="66" t="n"/>
      <c r="B776" s="66" t="n"/>
      <c r="C776" s="66" t="n"/>
      <c r="D776" s="66" t="n"/>
      <c r="E776" s="67" t="n"/>
      <c r="F776" s="67" t="n"/>
      <c r="G776" s="68" t="n"/>
      <c r="H776" s="66" t="n"/>
      <c r="I776" s="66" t="n"/>
      <c r="J776" s="67" t="n"/>
      <c r="K776" s="67" t="n"/>
      <c r="L776" s="67" t="n"/>
      <c r="M776" s="28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7" t="n"/>
      <c r="X776" s="67" t="n"/>
      <c r="Y776" s="67" t="n"/>
      <c r="Z776" s="67" t="n"/>
      <c r="AA776" s="67" t="n"/>
      <c r="AB776" s="67" t="n"/>
      <c r="AC776" s="67" t="n"/>
      <c r="AD776" s="66" t="n"/>
      <c r="AE776" s="66" t="n"/>
      <c r="AF776" s="66" t="n"/>
      <c r="AG776" s="66" t="n"/>
      <c r="AH776" s="66" t="n"/>
      <c r="AI776" s="66" t="n"/>
      <c r="AJ776" s="66" t="n"/>
      <c r="AK776" s="66" t="n"/>
      <c r="AL776" s="66" t="n"/>
      <c r="AM776" s="66" t="n"/>
      <c r="AN776" s="66" t="n"/>
      <c r="AO776" s="66" t="n"/>
      <c r="AP776" s="66" t="n"/>
    </row>
    <row r="777">
      <c r="A777" s="66" t="n"/>
      <c r="B777" s="66" t="n"/>
      <c r="C777" s="66" t="n"/>
      <c r="D777" s="66" t="n"/>
      <c r="E777" s="67" t="n"/>
      <c r="F777" s="67" t="n"/>
      <c r="G777" s="68" t="n"/>
      <c r="H777" s="66" t="n"/>
      <c r="I777" s="66" t="n"/>
      <c r="J777" s="67" t="n"/>
      <c r="K777" s="67" t="n"/>
      <c r="L777" s="67" t="n"/>
      <c r="M777" s="28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7" t="n"/>
      <c r="X777" s="67" t="n"/>
      <c r="Y777" s="67" t="n"/>
      <c r="Z777" s="67" t="n"/>
      <c r="AA777" s="67" t="n"/>
      <c r="AB777" s="67" t="n"/>
      <c r="AC777" s="67" t="n"/>
      <c r="AD777" s="66" t="n"/>
      <c r="AE777" s="66" t="n"/>
      <c r="AF777" s="66" t="n"/>
      <c r="AG777" s="66" t="n"/>
      <c r="AH777" s="66" t="n"/>
      <c r="AI777" s="66" t="n"/>
      <c r="AJ777" s="66" t="n"/>
      <c r="AK777" s="66" t="n"/>
      <c r="AL777" s="66" t="n"/>
      <c r="AM777" s="66" t="n"/>
      <c r="AN777" s="66" t="n"/>
      <c r="AO777" s="66" t="n"/>
      <c r="AP777" s="66" t="n"/>
    </row>
    <row r="778">
      <c r="A778" s="66" t="n"/>
      <c r="B778" s="66" t="n"/>
      <c r="C778" s="66" t="n"/>
      <c r="D778" s="66" t="n"/>
      <c r="E778" s="67" t="n"/>
      <c r="F778" s="67" t="n"/>
      <c r="G778" s="68" t="n"/>
      <c r="H778" s="66" t="n"/>
      <c r="I778" s="66" t="n"/>
      <c r="J778" s="67" t="n"/>
      <c r="K778" s="67" t="n"/>
      <c r="L778" s="67" t="n"/>
      <c r="M778" s="28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7" t="n"/>
      <c r="X778" s="67" t="n"/>
      <c r="Y778" s="67" t="n"/>
      <c r="Z778" s="67" t="n"/>
      <c r="AA778" s="67" t="n"/>
      <c r="AB778" s="67" t="n"/>
      <c r="AC778" s="67" t="n"/>
      <c r="AD778" s="66" t="n"/>
      <c r="AE778" s="66" t="n"/>
      <c r="AF778" s="66" t="n"/>
      <c r="AG778" s="66" t="n"/>
      <c r="AH778" s="66" t="n"/>
      <c r="AI778" s="66" t="n"/>
      <c r="AJ778" s="66" t="n"/>
      <c r="AK778" s="66" t="n"/>
      <c r="AL778" s="66" t="n"/>
      <c r="AM778" s="66" t="n"/>
      <c r="AN778" s="66" t="n"/>
      <c r="AO778" s="66" t="n"/>
      <c r="AP778" s="66" t="n"/>
    </row>
    <row r="779">
      <c r="A779" s="66" t="n"/>
      <c r="B779" s="66" t="n"/>
      <c r="C779" s="66" t="n"/>
      <c r="D779" s="66" t="n"/>
      <c r="E779" s="67" t="n"/>
      <c r="F779" s="67" t="n"/>
      <c r="G779" s="68" t="n"/>
      <c r="H779" s="66" t="n"/>
      <c r="I779" s="66" t="n"/>
      <c r="J779" s="67" t="n"/>
      <c r="K779" s="67" t="n"/>
      <c r="L779" s="67" t="n"/>
      <c r="M779" s="28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7" t="n"/>
      <c r="X779" s="67" t="n"/>
      <c r="Y779" s="67" t="n"/>
      <c r="Z779" s="67" t="n"/>
      <c r="AA779" s="67" t="n"/>
      <c r="AB779" s="67" t="n"/>
      <c r="AC779" s="67" t="n"/>
      <c r="AD779" s="66" t="n"/>
      <c r="AE779" s="66" t="n"/>
      <c r="AF779" s="66" t="n"/>
      <c r="AG779" s="66" t="n"/>
      <c r="AH779" s="66" t="n"/>
      <c r="AI779" s="66" t="n"/>
      <c r="AJ779" s="66" t="n"/>
      <c r="AK779" s="66" t="n"/>
      <c r="AL779" s="66" t="n"/>
      <c r="AM779" s="66" t="n"/>
      <c r="AN779" s="66" t="n"/>
      <c r="AO779" s="66" t="n"/>
      <c r="AP779" s="66" t="n"/>
    </row>
    <row r="780">
      <c r="A780" s="66" t="n"/>
      <c r="B780" s="66" t="n"/>
      <c r="C780" s="66" t="n"/>
      <c r="D780" s="66" t="n"/>
      <c r="E780" s="67" t="n"/>
      <c r="F780" s="67" t="n"/>
      <c r="G780" s="68" t="n"/>
      <c r="H780" s="66" t="n"/>
      <c r="I780" s="66" t="n"/>
      <c r="J780" s="67" t="n"/>
      <c r="K780" s="67" t="n"/>
      <c r="L780" s="67" t="n"/>
      <c r="M780" s="28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7" t="n"/>
      <c r="X780" s="67" t="n"/>
      <c r="Y780" s="67" t="n"/>
      <c r="Z780" s="67" t="n"/>
      <c r="AA780" s="67" t="n"/>
      <c r="AB780" s="67" t="n"/>
      <c r="AC780" s="67" t="n"/>
      <c r="AD780" s="66" t="n"/>
      <c r="AE780" s="66" t="n"/>
      <c r="AF780" s="66" t="n"/>
      <c r="AG780" s="66" t="n"/>
      <c r="AH780" s="66" t="n"/>
      <c r="AI780" s="66" t="n"/>
      <c r="AJ780" s="66" t="n"/>
      <c r="AK780" s="66" t="n"/>
      <c r="AL780" s="66" t="n"/>
      <c r="AM780" s="66" t="n"/>
      <c r="AN780" s="66" t="n"/>
      <c r="AO780" s="66" t="n"/>
      <c r="AP780" s="66" t="n"/>
    </row>
    <row r="781">
      <c r="A781" s="66" t="n"/>
      <c r="B781" s="66" t="n"/>
      <c r="C781" s="66" t="n"/>
      <c r="D781" s="66" t="n"/>
      <c r="E781" s="67" t="n"/>
      <c r="F781" s="67" t="n"/>
      <c r="G781" s="68" t="n"/>
      <c r="H781" s="66" t="n"/>
      <c r="I781" s="66" t="n"/>
      <c r="J781" s="67" t="n"/>
      <c r="K781" s="67" t="n"/>
      <c r="L781" s="67" t="n"/>
      <c r="M781" s="28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7" t="n"/>
      <c r="X781" s="67" t="n"/>
      <c r="Y781" s="67" t="n"/>
      <c r="Z781" s="67" t="n"/>
      <c r="AA781" s="67" t="n"/>
      <c r="AB781" s="67" t="n"/>
      <c r="AC781" s="67" t="n"/>
      <c r="AD781" s="66" t="n"/>
      <c r="AE781" s="66" t="n"/>
      <c r="AF781" s="66" t="n"/>
      <c r="AG781" s="66" t="n"/>
      <c r="AH781" s="66" t="n"/>
      <c r="AI781" s="66" t="n"/>
      <c r="AJ781" s="66" t="n"/>
      <c r="AK781" s="66" t="n"/>
      <c r="AL781" s="66" t="n"/>
      <c r="AM781" s="66" t="n"/>
      <c r="AN781" s="66" t="n"/>
      <c r="AO781" s="66" t="n"/>
      <c r="AP781" s="66" t="n"/>
    </row>
    <row r="782">
      <c r="A782" s="66" t="n"/>
      <c r="B782" s="66" t="n"/>
      <c r="C782" s="66" t="n"/>
      <c r="D782" s="66" t="n"/>
      <c r="E782" s="67" t="n"/>
      <c r="F782" s="67" t="n"/>
      <c r="G782" s="68" t="n"/>
      <c r="H782" s="66" t="n"/>
      <c r="I782" s="66" t="n"/>
      <c r="J782" s="67" t="n"/>
      <c r="K782" s="67" t="n"/>
      <c r="L782" s="67" t="n"/>
      <c r="M782" s="28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7" t="n"/>
      <c r="X782" s="67" t="n"/>
      <c r="Y782" s="67" t="n"/>
      <c r="Z782" s="67" t="n"/>
      <c r="AA782" s="67" t="n"/>
      <c r="AB782" s="67" t="n"/>
      <c r="AC782" s="67" t="n"/>
      <c r="AD782" s="66" t="n"/>
      <c r="AE782" s="66" t="n"/>
      <c r="AF782" s="66" t="n"/>
      <c r="AG782" s="66" t="n"/>
      <c r="AH782" s="66" t="n"/>
      <c r="AI782" s="66" t="n"/>
      <c r="AJ782" s="66" t="n"/>
      <c r="AK782" s="66" t="n"/>
      <c r="AL782" s="66" t="n"/>
      <c r="AM782" s="66" t="n"/>
      <c r="AN782" s="66" t="n"/>
      <c r="AO782" s="66" t="n"/>
      <c r="AP782" s="66" t="n"/>
    </row>
    <row r="783">
      <c r="A783" s="66" t="n"/>
      <c r="B783" s="66" t="n"/>
      <c r="C783" s="66" t="n"/>
      <c r="D783" s="66" t="n"/>
      <c r="E783" s="67" t="n"/>
      <c r="F783" s="67" t="n"/>
      <c r="G783" s="68" t="n"/>
      <c r="H783" s="66" t="n"/>
      <c r="I783" s="66" t="n"/>
      <c r="J783" s="67" t="n"/>
      <c r="K783" s="67" t="n"/>
      <c r="L783" s="67" t="n"/>
      <c r="M783" s="28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7" t="n"/>
      <c r="X783" s="67" t="n"/>
      <c r="Y783" s="67" t="n"/>
      <c r="Z783" s="67" t="n"/>
      <c r="AA783" s="67" t="n"/>
      <c r="AB783" s="67" t="n"/>
      <c r="AC783" s="67" t="n"/>
      <c r="AD783" s="66" t="n"/>
      <c r="AE783" s="66" t="n"/>
      <c r="AF783" s="66" t="n"/>
      <c r="AG783" s="66" t="n"/>
      <c r="AH783" s="66" t="n"/>
      <c r="AI783" s="66" t="n"/>
      <c r="AJ783" s="66" t="n"/>
      <c r="AK783" s="66" t="n"/>
      <c r="AL783" s="66" t="n"/>
      <c r="AM783" s="66" t="n"/>
      <c r="AN783" s="66" t="n"/>
      <c r="AO783" s="66" t="n"/>
      <c r="AP783" s="66" t="n"/>
    </row>
    <row r="784">
      <c r="A784" s="66" t="n"/>
      <c r="B784" s="66" t="n"/>
      <c r="C784" s="66" t="n"/>
      <c r="D784" s="66" t="n"/>
      <c r="E784" s="67" t="n"/>
      <c r="F784" s="67" t="n"/>
      <c r="G784" s="68" t="n"/>
      <c r="H784" s="66" t="n"/>
      <c r="I784" s="66" t="n"/>
      <c r="J784" s="67" t="n"/>
      <c r="K784" s="67" t="n"/>
      <c r="L784" s="67" t="n"/>
      <c r="M784" s="28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7" t="n"/>
      <c r="X784" s="67" t="n"/>
      <c r="Y784" s="67" t="n"/>
      <c r="Z784" s="67" t="n"/>
      <c r="AA784" s="67" t="n"/>
      <c r="AB784" s="67" t="n"/>
      <c r="AC784" s="67" t="n"/>
      <c r="AD784" s="66" t="n"/>
      <c r="AE784" s="66" t="n"/>
      <c r="AF784" s="66" t="n"/>
      <c r="AG784" s="66" t="n"/>
      <c r="AH784" s="66" t="n"/>
      <c r="AI784" s="66" t="n"/>
      <c r="AJ784" s="66" t="n"/>
      <c r="AK784" s="66" t="n"/>
      <c r="AL784" s="66" t="n"/>
      <c r="AM784" s="66" t="n"/>
      <c r="AN784" s="66" t="n"/>
      <c r="AO784" s="66" t="n"/>
      <c r="AP784" s="66" t="n"/>
    </row>
    <row r="785">
      <c r="A785" s="66" t="n"/>
      <c r="B785" s="66" t="n"/>
      <c r="C785" s="66" t="n"/>
      <c r="D785" s="66" t="n"/>
      <c r="E785" s="67" t="n"/>
      <c r="F785" s="67" t="n"/>
      <c r="G785" s="68" t="n"/>
      <c r="H785" s="66" t="n"/>
      <c r="I785" s="66" t="n"/>
      <c r="J785" s="67" t="n"/>
      <c r="K785" s="67" t="n"/>
      <c r="L785" s="67" t="n"/>
      <c r="M785" s="28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7" t="n"/>
      <c r="X785" s="67" t="n"/>
      <c r="Y785" s="67" t="n"/>
      <c r="Z785" s="67" t="n"/>
      <c r="AA785" s="67" t="n"/>
      <c r="AB785" s="67" t="n"/>
      <c r="AC785" s="67" t="n"/>
      <c r="AD785" s="66" t="n"/>
      <c r="AE785" s="66" t="n"/>
      <c r="AF785" s="66" t="n"/>
      <c r="AG785" s="66" t="n"/>
      <c r="AH785" s="66" t="n"/>
      <c r="AI785" s="66" t="n"/>
      <c r="AJ785" s="66" t="n"/>
      <c r="AK785" s="66" t="n"/>
      <c r="AL785" s="66" t="n"/>
      <c r="AM785" s="66" t="n"/>
      <c r="AN785" s="66" t="n"/>
      <c r="AO785" s="66" t="n"/>
      <c r="AP785" s="66" t="n"/>
    </row>
    <row r="786">
      <c r="A786" s="66" t="n"/>
      <c r="B786" s="66" t="n"/>
      <c r="C786" s="66" t="n"/>
      <c r="D786" s="66" t="n"/>
      <c r="E786" s="67" t="n"/>
      <c r="F786" s="67" t="n"/>
      <c r="G786" s="68" t="n"/>
      <c r="H786" s="66" t="n"/>
      <c r="I786" s="66" t="n"/>
      <c r="J786" s="67" t="n"/>
      <c r="K786" s="67" t="n"/>
      <c r="L786" s="67" t="n"/>
      <c r="M786" s="28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7" t="n"/>
      <c r="X786" s="67" t="n"/>
      <c r="Y786" s="67" t="n"/>
      <c r="Z786" s="67" t="n"/>
      <c r="AA786" s="67" t="n"/>
      <c r="AB786" s="67" t="n"/>
      <c r="AC786" s="67" t="n"/>
      <c r="AD786" s="66" t="n"/>
      <c r="AE786" s="66" t="n"/>
      <c r="AF786" s="66" t="n"/>
      <c r="AG786" s="66" t="n"/>
      <c r="AH786" s="66" t="n"/>
      <c r="AI786" s="66" t="n"/>
      <c r="AJ786" s="66" t="n"/>
      <c r="AK786" s="66" t="n"/>
      <c r="AL786" s="66" t="n"/>
      <c r="AM786" s="66" t="n"/>
      <c r="AN786" s="66" t="n"/>
      <c r="AO786" s="66" t="n"/>
      <c r="AP786" s="66" t="n"/>
    </row>
    <row r="787">
      <c r="A787" s="66" t="n"/>
      <c r="B787" s="66" t="n"/>
      <c r="C787" s="66" t="n"/>
      <c r="D787" s="66" t="n"/>
      <c r="E787" s="67" t="n"/>
      <c r="F787" s="67" t="n"/>
      <c r="G787" s="68" t="n"/>
      <c r="H787" s="66" t="n"/>
      <c r="I787" s="66" t="n"/>
      <c r="J787" s="67" t="n"/>
      <c r="K787" s="67" t="n"/>
      <c r="L787" s="67" t="n"/>
      <c r="M787" s="28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7" t="n"/>
      <c r="X787" s="67" t="n"/>
      <c r="Y787" s="67" t="n"/>
      <c r="Z787" s="67" t="n"/>
      <c r="AA787" s="67" t="n"/>
      <c r="AB787" s="67" t="n"/>
      <c r="AC787" s="67" t="n"/>
      <c r="AD787" s="66" t="n"/>
      <c r="AE787" s="66" t="n"/>
      <c r="AF787" s="66" t="n"/>
      <c r="AG787" s="66" t="n"/>
      <c r="AH787" s="66" t="n"/>
      <c r="AI787" s="66" t="n"/>
      <c r="AJ787" s="66" t="n"/>
      <c r="AK787" s="66" t="n"/>
      <c r="AL787" s="66" t="n"/>
      <c r="AM787" s="66" t="n"/>
      <c r="AN787" s="66" t="n"/>
      <c r="AO787" s="66" t="n"/>
      <c r="AP787" s="66" t="n"/>
    </row>
    <row r="788">
      <c r="A788" s="66" t="n"/>
      <c r="B788" s="66" t="n"/>
      <c r="C788" s="66" t="n"/>
      <c r="D788" s="66" t="n"/>
      <c r="E788" s="67" t="n"/>
      <c r="F788" s="67" t="n"/>
      <c r="G788" s="68" t="n"/>
      <c r="H788" s="66" t="n"/>
      <c r="I788" s="66" t="n"/>
      <c r="J788" s="67" t="n"/>
      <c r="K788" s="67" t="n"/>
      <c r="L788" s="67" t="n"/>
      <c r="M788" s="28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7" t="n"/>
      <c r="X788" s="67" t="n"/>
      <c r="Y788" s="67" t="n"/>
      <c r="Z788" s="67" t="n"/>
      <c r="AA788" s="67" t="n"/>
      <c r="AB788" s="67" t="n"/>
      <c r="AC788" s="67" t="n"/>
      <c r="AD788" s="66" t="n"/>
      <c r="AE788" s="66" t="n"/>
      <c r="AF788" s="66" t="n"/>
      <c r="AG788" s="66" t="n"/>
      <c r="AH788" s="66" t="n"/>
      <c r="AI788" s="66" t="n"/>
      <c r="AJ788" s="66" t="n"/>
      <c r="AK788" s="66" t="n"/>
      <c r="AL788" s="66" t="n"/>
      <c r="AM788" s="66" t="n"/>
      <c r="AN788" s="66" t="n"/>
      <c r="AO788" s="66" t="n"/>
      <c r="AP788" s="66" t="n"/>
    </row>
    <row r="789">
      <c r="A789" s="66" t="n"/>
      <c r="B789" s="66" t="n"/>
      <c r="C789" s="66" t="n"/>
      <c r="D789" s="66" t="n"/>
      <c r="E789" s="67" t="n"/>
      <c r="F789" s="67" t="n"/>
      <c r="G789" s="68" t="n"/>
      <c r="H789" s="66" t="n"/>
      <c r="I789" s="66" t="n"/>
      <c r="J789" s="67" t="n"/>
      <c r="K789" s="67" t="n"/>
      <c r="L789" s="67" t="n"/>
      <c r="M789" s="28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7" t="n"/>
      <c r="X789" s="67" t="n"/>
      <c r="Y789" s="67" t="n"/>
      <c r="Z789" s="67" t="n"/>
      <c r="AA789" s="67" t="n"/>
      <c r="AB789" s="67" t="n"/>
      <c r="AC789" s="67" t="n"/>
      <c r="AD789" s="66" t="n"/>
      <c r="AE789" s="66" t="n"/>
      <c r="AF789" s="66" t="n"/>
      <c r="AG789" s="66" t="n"/>
      <c r="AH789" s="66" t="n"/>
      <c r="AI789" s="66" t="n"/>
      <c r="AJ789" s="66" t="n"/>
      <c r="AK789" s="66" t="n"/>
      <c r="AL789" s="66" t="n"/>
      <c r="AM789" s="66" t="n"/>
      <c r="AN789" s="66" t="n"/>
      <c r="AO789" s="66" t="n"/>
      <c r="AP789" s="66" t="n"/>
    </row>
    <row r="790">
      <c r="A790" s="66" t="n"/>
      <c r="B790" s="66" t="n"/>
      <c r="C790" s="66" t="n"/>
      <c r="D790" s="66" t="n"/>
      <c r="E790" s="67" t="n"/>
      <c r="F790" s="67" t="n"/>
      <c r="G790" s="68" t="n"/>
      <c r="H790" s="66" t="n"/>
      <c r="I790" s="66" t="n"/>
      <c r="J790" s="67" t="n"/>
      <c r="K790" s="67" t="n"/>
      <c r="L790" s="67" t="n"/>
      <c r="M790" s="28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7" t="n"/>
      <c r="X790" s="67" t="n"/>
      <c r="Y790" s="67" t="n"/>
      <c r="Z790" s="67" t="n"/>
      <c r="AA790" s="67" t="n"/>
      <c r="AB790" s="67" t="n"/>
      <c r="AC790" s="67" t="n"/>
      <c r="AD790" s="66" t="n"/>
      <c r="AE790" s="66" t="n"/>
      <c r="AF790" s="66" t="n"/>
      <c r="AG790" s="66" t="n"/>
      <c r="AH790" s="66" t="n"/>
      <c r="AI790" s="66" t="n"/>
      <c r="AJ790" s="66" t="n"/>
      <c r="AK790" s="66" t="n"/>
      <c r="AL790" s="66" t="n"/>
      <c r="AM790" s="66" t="n"/>
      <c r="AN790" s="66" t="n"/>
      <c r="AO790" s="66" t="n"/>
      <c r="AP790" s="66" t="n"/>
    </row>
    <row r="791">
      <c r="A791" s="66" t="n"/>
      <c r="B791" s="66" t="n"/>
      <c r="C791" s="66" t="n"/>
      <c r="D791" s="66" t="n"/>
      <c r="E791" s="67" t="n"/>
      <c r="F791" s="67" t="n"/>
      <c r="G791" s="68" t="n"/>
      <c r="H791" s="66" t="n"/>
      <c r="I791" s="66" t="n"/>
      <c r="J791" s="67" t="n"/>
      <c r="K791" s="67" t="n"/>
      <c r="L791" s="67" t="n"/>
      <c r="M791" s="28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7" t="n"/>
      <c r="X791" s="67" t="n"/>
      <c r="Y791" s="67" t="n"/>
      <c r="Z791" s="67" t="n"/>
      <c r="AA791" s="67" t="n"/>
      <c r="AB791" s="67" t="n"/>
      <c r="AC791" s="67" t="n"/>
      <c r="AD791" s="66" t="n"/>
      <c r="AE791" s="66" t="n"/>
      <c r="AF791" s="66" t="n"/>
      <c r="AG791" s="66" t="n"/>
      <c r="AH791" s="66" t="n"/>
      <c r="AI791" s="66" t="n"/>
      <c r="AJ791" s="66" t="n"/>
      <c r="AK791" s="66" t="n"/>
      <c r="AL791" s="66" t="n"/>
      <c r="AM791" s="66" t="n"/>
      <c r="AN791" s="66" t="n"/>
      <c r="AO791" s="66" t="n"/>
      <c r="AP791" s="66" t="n"/>
    </row>
    <row r="792">
      <c r="A792" s="66" t="n"/>
      <c r="B792" s="66" t="n"/>
      <c r="C792" s="66" t="n"/>
      <c r="D792" s="66" t="n"/>
      <c r="E792" s="67" t="n"/>
      <c r="F792" s="67" t="n"/>
      <c r="G792" s="68" t="n"/>
      <c r="H792" s="66" t="n"/>
      <c r="I792" s="66" t="n"/>
      <c r="J792" s="67" t="n"/>
      <c r="K792" s="67" t="n"/>
      <c r="L792" s="67" t="n"/>
      <c r="M792" s="28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7" t="n"/>
      <c r="X792" s="67" t="n"/>
      <c r="Y792" s="67" t="n"/>
      <c r="Z792" s="67" t="n"/>
      <c r="AA792" s="67" t="n"/>
      <c r="AB792" s="67" t="n"/>
      <c r="AC792" s="67" t="n"/>
      <c r="AD792" s="66" t="n"/>
      <c r="AE792" s="66" t="n"/>
      <c r="AF792" s="66" t="n"/>
      <c r="AG792" s="66" t="n"/>
      <c r="AH792" s="66" t="n"/>
      <c r="AI792" s="66" t="n"/>
      <c r="AJ792" s="66" t="n"/>
      <c r="AK792" s="66" t="n"/>
      <c r="AL792" s="66" t="n"/>
      <c r="AM792" s="66" t="n"/>
      <c r="AN792" s="66" t="n"/>
      <c r="AO792" s="66" t="n"/>
      <c r="AP792" s="66" t="n"/>
    </row>
    <row r="793">
      <c r="A793" s="66" t="n"/>
      <c r="B793" s="66" t="n"/>
      <c r="C793" s="66" t="n"/>
      <c r="D793" s="66" t="n"/>
      <c r="E793" s="67" t="n"/>
      <c r="F793" s="67" t="n"/>
      <c r="G793" s="68" t="n"/>
      <c r="H793" s="66" t="n"/>
      <c r="I793" s="66" t="n"/>
      <c r="J793" s="67" t="n"/>
      <c r="K793" s="67" t="n"/>
      <c r="L793" s="67" t="n"/>
      <c r="M793" s="28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7" t="n"/>
      <c r="X793" s="67" t="n"/>
      <c r="Y793" s="67" t="n"/>
      <c r="Z793" s="67" t="n"/>
      <c r="AA793" s="67" t="n"/>
      <c r="AB793" s="67" t="n"/>
      <c r="AC793" s="67" t="n"/>
      <c r="AD793" s="66" t="n"/>
      <c r="AE793" s="66" t="n"/>
      <c r="AF793" s="66" t="n"/>
      <c r="AG793" s="66" t="n"/>
      <c r="AH793" s="66" t="n"/>
      <c r="AI793" s="66" t="n"/>
      <c r="AJ793" s="66" t="n"/>
      <c r="AK793" s="66" t="n"/>
      <c r="AL793" s="66" t="n"/>
      <c r="AM793" s="66" t="n"/>
      <c r="AN793" s="66" t="n"/>
      <c r="AO793" s="66" t="n"/>
      <c r="AP793" s="66" t="n"/>
    </row>
    <row r="794">
      <c r="A794" s="66" t="n"/>
      <c r="B794" s="66" t="n"/>
      <c r="C794" s="66" t="n"/>
      <c r="D794" s="66" t="n"/>
      <c r="E794" s="67" t="n"/>
      <c r="F794" s="67" t="n"/>
      <c r="G794" s="68" t="n"/>
      <c r="H794" s="66" t="n"/>
      <c r="I794" s="66" t="n"/>
      <c r="J794" s="67" t="n"/>
      <c r="K794" s="67" t="n"/>
      <c r="L794" s="67" t="n"/>
      <c r="M794" s="28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7" t="n"/>
      <c r="X794" s="67" t="n"/>
      <c r="Y794" s="67" t="n"/>
      <c r="Z794" s="67" t="n"/>
      <c r="AA794" s="67" t="n"/>
      <c r="AB794" s="67" t="n"/>
      <c r="AC794" s="67" t="n"/>
      <c r="AD794" s="66" t="n"/>
      <c r="AE794" s="66" t="n"/>
      <c r="AF794" s="66" t="n"/>
      <c r="AG794" s="66" t="n"/>
      <c r="AH794" s="66" t="n"/>
      <c r="AI794" s="66" t="n"/>
      <c r="AJ794" s="66" t="n"/>
      <c r="AK794" s="66" t="n"/>
      <c r="AL794" s="66" t="n"/>
      <c r="AM794" s="66" t="n"/>
      <c r="AN794" s="66" t="n"/>
      <c r="AO794" s="66" t="n"/>
      <c r="AP794" s="66" t="n"/>
    </row>
    <row r="795">
      <c r="A795" s="66" t="n"/>
      <c r="B795" s="66" t="n"/>
      <c r="C795" s="66" t="n"/>
      <c r="D795" s="66" t="n"/>
      <c r="E795" s="67" t="n"/>
      <c r="F795" s="67" t="n"/>
      <c r="G795" s="68" t="n"/>
      <c r="H795" s="66" t="n"/>
      <c r="I795" s="66" t="n"/>
      <c r="J795" s="67" t="n"/>
      <c r="K795" s="67" t="n"/>
      <c r="L795" s="67" t="n"/>
      <c r="M795" s="28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7" t="n"/>
      <c r="X795" s="67" t="n"/>
      <c r="Y795" s="67" t="n"/>
      <c r="Z795" s="67" t="n"/>
      <c r="AA795" s="67" t="n"/>
      <c r="AB795" s="67" t="n"/>
      <c r="AC795" s="67" t="n"/>
      <c r="AD795" s="66" t="n"/>
      <c r="AE795" s="66" t="n"/>
      <c r="AF795" s="66" t="n"/>
      <c r="AG795" s="66" t="n"/>
      <c r="AH795" s="66" t="n"/>
      <c r="AI795" s="66" t="n"/>
      <c r="AJ795" s="66" t="n"/>
      <c r="AK795" s="66" t="n"/>
      <c r="AL795" s="66" t="n"/>
      <c r="AM795" s="66" t="n"/>
      <c r="AN795" s="66" t="n"/>
      <c r="AO795" s="66" t="n"/>
      <c r="AP795" s="66" t="n"/>
    </row>
    <row r="796">
      <c r="A796" s="66" t="n"/>
      <c r="B796" s="66" t="n"/>
      <c r="C796" s="66" t="n"/>
      <c r="D796" s="66" t="n"/>
      <c r="E796" s="67" t="n"/>
      <c r="F796" s="67" t="n"/>
      <c r="G796" s="68" t="n"/>
      <c r="H796" s="66" t="n"/>
      <c r="I796" s="66" t="n"/>
      <c r="J796" s="67" t="n"/>
      <c r="K796" s="67" t="n"/>
      <c r="L796" s="67" t="n"/>
      <c r="M796" s="28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7" t="n"/>
      <c r="X796" s="67" t="n"/>
      <c r="Y796" s="67" t="n"/>
      <c r="Z796" s="67" t="n"/>
      <c r="AA796" s="67" t="n"/>
      <c r="AB796" s="67" t="n"/>
      <c r="AC796" s="67" t="n"/>
      <c r="AD796" s="66" t="n"/>
      <c r="AE796" s="66" t="n"/>
      <c r="AF796" s="66" t="n"/>
      <c r="AG796" s="66" t="n"/>
      <c r="AH796" s="66" t="n"/>
      <c r="AI796" s="66" t="n"/>
      <c r="AJ796" s="66" t="n"/>
      <c r="AK796" s="66" t="n"/>
      <c r="AL796" s="66" t="n"/>
      <c r="AM796" s="66" t="n"/>
      <c r="AN796" s="66" t="n"/>
      <c r="AO796" s="66" t="n"/>
      <c r="AP796" s="66" t="n"/>
    </row>
    <row r="797">
      <c r="A797" s="66" t="n"/>
      <c r="B797" s="66" t="n"/>
      <c r="C797" s="66" t="n"/>
      <c r="D797" s="66" t="n"/>
      <c r="E797" s="67" t="n"/>
      <c r="F797" s="67" t="n"/>
      <c r="G797" s="68" t="n"/>
      <c r="H797" s="66" t="n"/>
      <c r="I797" s="66" t="n"/>
      <c r="J797" s="67" t="n"/>
      <c r="K797" s="67" t="n"/>
      <c r="L797" s="67" t="n"/>
      <c r="M797" s="28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7" t="n"/>
      <c r="X797" s="67" t="n"/>
      <c r="Y797" s="67" t="n"/>
      <c r="Z797" s="67" t="n"/>
      <c r="AA797" s="67" t="n"/>
      <c r="AB797" s="67" t="n"/>
      <c r="AC797" s="67" t="n"/>
      <c r="AD797" s="66" t="n"/>
      <c r="AE797" s="66" t="n"/>
      <c r="AF797" s="66" t="n"/>
      <c r="AG797" s="66" t="n"/>
      <c r="AH797" s="66" t="n"/>
      <c r="AI797" s="66" t="n"/>
      <c r="AJ797" s="66" t="n"/>
      <c r="AK797" s="66" t="n"/>
      <c r="AL797" s="66" t="n"/>
      <c r="AM797" s="66" t="n"/>
      <c r="AN797" s="66" t="n"/>
      <c r="AO797" s="66" t="n"/>
      <c r="AP797" s="66" t="n"/>
    </row>
    <row r="798">
      <c r="A798" s="66" t="n"/>
      <c r="B798" s="66" t="n"/>
      <c r="C798" s="66" t="n"/>
      <c r="D798" s="66" t="n"/>
      <c r="E798" s="67" t="n"/>
      <c r="F798" s="67" t="n"/>
      <c r="G798" s="68" t="n"/>
      <c r="H798" s="66" t="n"/>
      <c r="I798" s="66" t="n"/>
      <c r="J798" s="67" t="n"/>
      <c r="K798" s="67" t="n"/>
      <c r="L798" s="67" t="n"/>
      <c r="M798" s="28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7" t="n"/>
      <c r="X798" s="67" t="n"/>
      <c r="Y798" s="67" t="n"/>
      <c r="Z798" s="67" t="n"/>
      <c r="AA798" s="67" t="n"/>
      <c r="AB798" s="67" t="n"/>
      <c r="AC798" s="67" t="n"/>
      <c r="AD798" s="66" t="n"/>
      <c r="AE798" s="66" t="n"/>
      <c r="AF798" s="66" t="n"/>
      <c r="AG798" s="66" t="n"/>
      <c r="AH798" s="66" t="n"/>
      <c r="AI798" s="66" t="n"/>
      <c r="AJ798" s="66" t="n"/>
      <c r="AK798" s="66" t="n"/>
      <c r="AL798" s="66" t="n"/>
      <c r="AM798" s="66" t="n"/>
      <c r="AN798" s="66" t="n"/>
      <c r="AO798" s="66" t="n"/>
      <c r="AP798" s="66" t="n"/>
    </row>
    <row r="799">
      <c r="A799" s="66" t="n"/>
      <c r="B799" s="66" t="n"/>
      <c r="C799" s="66" t="n"/>
      <c r="D799" s="66" t="n"/>
      <c r="E799" s="67" t="n"/>
      <c r="F799" s="67" t="n"/>
      <c r="G799" s="68" t="n"/>
      <c r="H799" s="66" t="n"/>
      <c r="I799" s="66" t="n"/>
      <c r="J799" s="67" t="n"/>
      <c r="K799" s="67" t="n"/>
      <c r="L799" s="67" t="n"/>
      <c r="M799" s="28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7" t="n"/>
      <c r="X799" s="67" t="n"/>
      <c r="Y799" s="67" t="n"/>
      <c r="Z799" s="67" t="n"/>
      <c r="AA799" s="67" t="n"/>
      <c r="AB799" s="67" t="n"/>
      <c r="AC799" s="67" t="n"/>
      <c r="AD799" s="66" t="n"/>
      <c r="AE799" s="66" t="n"/>
      <c r="AF799" s="66" t="n"/>
      <c r="AG799" s="66" t="n"/>
      <c r="AH799" s="66" t="n"/>
      <c r="AI799" s="66" t="n"/>
      <c r="AJ799" s="66" t="n"/>
      <c r="AK799" s="66" t="n"/>
      <c r="AL799" s="66" t="n"/>
      <c r="AM799" s="66" t="n"/>
      <c r="AN799" s="66" t="n"/>
      <c r="AO799" s="66" t="n"/>
      <c r="AP799" s="66" t="n"/>
    </row>
    <row r="800">
      <c r="A800" s="66" t="n"/>
      <c r="B800" s="66" t="n"/>
      <c r="C800" s="66" t="n"/>
      <c r="D800" s="66" t="n"/>
      <c r="E800" s="67" t="n"/>
      <c r="F800" s="67" t="n"/>
      <c r="G800" s="68" t="n"/>
      <c r="H800" s="66" t="n"/>
      <c r="I800" s="66" t="n"/>
      <c r="J800" s="67" t="n"/>
      <c r="K800" s="67" t="n"/>
      <c r="L800" s="67" t="n"/>
      <c r="M800" s="28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7" t="n"/>
      <c r="X800" s="67" t="n"/>
      <c r="Y800" s="67" t="n"/>
      <c r="Z800" s="67" t="n"/>
      <c r="AA800" s="67" t="n"/>
      <c r="AB800" s="67" t="n"/>
      <c r="AC800" s="67" t="n"/>
      <c r="AD800" s="66" t="n"/>
      <c r="AE800" s="66" t="n"/>
      <c r="AF800" s="66" t="n"/>
      <c r="AG800" s="66" t="n"/>
      <c r="AH800" s="66" t="n"/>
      <c r="AI800" s="66" t="n"/>
      <c r="AJ800" s="66" t="n"/>
      <c r="AK800" s="66" t="n"/>
      <c r="AL800" s="66" t="n"/>
      <c r="AM800" s="66" t="n"/>
      <c r="AN800" s="66" t="n"/>
      <c r="AO800" s="66" t="n"/>
      <c r="AP800" s="66" t="n"/>
    </row>
    <row r="801">
      <c r="A801" s="66" t="n"/>
      <c r="B801" s="66" t="n"/>
      <c r="C801" s="66" t="n"/>
      <c r="D801" s="66" t="n"/>
      <c r="E801" s="67" t="n"/>
      <c r="F801" s="67" t="n"/>
      <c r="G801" s="68" t="n"/>
      <c r="H801" s="66" t="n"/>
      <c r="I801" s="66" t="n"/>
      <c r="J801" s="67" t="n"/>
      <c r="K801" s="67" t="n"/>
      <c r="L801" s="67" t="n"/>
      <c r="M801" s="28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7" t="n"/>
      <c r="X801" s="67" t="n"/>
      <c r="Y801" s="67" t="n"/>
      <c r="Z801" s="67" t="n"/>
      <c r="AA801" s="67" t="n"/>
      <c r="AB801" s="67" t="n"/>
      <c r="AC801" s="67" t="n"/>
      <c r="AD801" s="66" t="n"/>
      <c r="AE801" s="66" t="n"/>
      <c r="AF801" s="66" t="n"/>
      <c r="AG801" s="66" t="n"/>
      <c r="AH801" s="66" t="n"/>
      <c r="AI801" s="66" t="n"/>
      <c r="AJ801" s="66" t="n"/>
      <c r="AK801" s="66" t="n"/>
      <c r="AL801" s="66" t="n"/>
      <c r="AM801" s="66" t="n"/>
      <c r="AN801" s="66" t="n"/>
      <c r="AO801" s="66" t="n"/>
      <c r="AP801" s="66" t="n"/>
    </row>
    <row r="802">
      <c r="A802" s="66" t="n"/>
      <c r="B802" s="66" t="n"/>
      <c r="C802" s="66" t="n"/>
      <c r="D802" s="66" t="n"/>
      <c r="E802" s="67" t="n"/>
      <c r="F802" s="67" t="n"/>
      <c r="G802" s="68" t="n"/>
      <c r="H802" s="66" t="n"/>
      <c r="I802" s="66" t="n"/>
      <c r="J802" s="67" t="n"/>
      <c r="K802" s="67" t="n"/>
      <c r="L802" s="67" t="n"/>
      <c r="M802" s="28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7" t="n"/>
      <c r="X802" s="67" t="n"/>
      <c r="Y802" s="67" t="n"/>
      <c r="Z802" s="67" t="n"/>
      <c r="AA802" s="67" t="n"/>
      <c r="AB802" s="67" t="n"/>
      <c r="AC802" s="67" t="n"/>
      <c r="AD802" s="66" t="n"/>
      <c r="AE802" s="66" t="n"/>
      <c r="AF802" s="66" t="n"/>
      <c r="AG802" s="66" t="n"/>
      <c r="AH802" s="66" t="n"/>
      <c r="AI802" s="66" t="n"/>
      <c r="AJ802" s="66" t="n"/>
      <c r="AK802" s="66" t="n"/>
      <c r="AL802" s="66" t="n"/>
      <c r="AM802" s="66" t="n"/>
      <c r="AN802" s="66" t="n"/>
      <c r="AO802" s="66" t="n"/>
      <c r="AP802" s="66" t="n"/>
    </row>
    <row r="803">
      <c r="A803" s="66" t="n"/>
      <c r="B803" s="66" t="n"/>
      <c r="C803" s="66" t="n"/>
      <c r="D803" s="66" t="n"/>
      <c r="E803" s="67" t="n"/>
      <c r="F803" s="67" t="n"/>
      <c r="G803" s="68" t="n"/>
      <c r="H803" s="66" t="n"/>
      <c r="I803" s="66" t="n"/>
      <c r="J803" s="67" t="n"/>
      <c r="K803" s="67" t="n"/>
      <c r="L803" s="67" t="n"/>
      <c r="M803" s="28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7" t="n"/>
      <c r="X803" s="67" t="n"/>
      <c r="Y803" s="67" t="n"/>
      <c r="Z803" s="67" t="n"/>
      <c r="AA803" s="67" t="n"/>
      <c r="AB803" s="67" t="n"/>
      <c r="AC803" s="67" t="n"/>
      <c r="AD803" s="66" t="n"/>
      <c r="AE803" s="66" t="n"/>
      <c r="AF803" s="66" t="n"/>
      <c r="AG803" s="66" t="n"/>
      <c r="AH803" s="66" t="n"/>
      <c r="AI803" s="66" t="n"/>
      <c r="AJ803" s="66" t="n"/>
      <c r="AK803" s="66" t="n"/>
      <c r="AL803" s="66" t="n"/>
      <c r="AM803" s="66" t="n"/>
      <c r="AN803" s="66" t="n"/>
      <c r="AO803" s="66" t="n"/>
      <c r="AP803" s="66" t="n"/>
    </row>
    <row r="804">
      <c r="A804" s="66" t="n"/>
      <c r="B804" s="66" t="n"/>
      <c r="C804" s="66" t="n"/>
      <c r="D804" s="66" t="n"/>
      <c r="E804" s="67" t="n"/>
      <c r="F804" s="67" t="n"/>
      <c r="G804" s="68" t="n"/>
      <c r="H804" s="66" t="n"/>
      <c r="I804" s="66" t="n"/>
      <c r="J804" s="67" t="n"/>
      <c r="K804" s="67" t="n"/>
      <c r="L804" s="67" t="n"/>
      <c r="M804" s="28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7" t="n"/>
      <c r="X804" s="67" t="n"/>
      <c r="Y804" s="67" t="n"/>
      <c r="Z804" s="67" t="n"/>
      <c r="AA804" s="67" t="n"/>
      <c r="AB804" s="67" t="n"/>
      <c r="AC804" s="67" t="n"/>
      <c r="AD804" s="66" t="n"/>
      <c r="AE804" s="66" t="n"/>
      <c r="AF804" s="66" t="n"/>
      <c r="AG804" s="66" t="n"/>
      <c r="AH804" s="66" t="n"/>
      <c r="AI804" s="66" t="n"/>
      <c r="AJ804" s="66" t="n"/>
      <c r="AK804" s="66" t="n"/>
      <c r="AL804" s="66" t="n"/>
      <c r="AM804" s="66" t="n"/>
      <c r="AN804" s="66" t="n"/>
      <c r="AO804" s="66" t="n"/>
      <c r="AP804" s="66" t="n"/>
    </row>
    <row r="805">
      <c r="A805" s="66" t="n"/>
      <c r="B805" s="66" t="n"/>
      <c r="C805" s="66" t="n"/>
      <c r="D805" s="66" t="n"/>
      <c r="E805" s="67" t="n"/>
      <c r="F805" s="67" t="n"/>
      <c r="G805" s="68" t="n"/>
      <c r="H805" s="66" t="n"/>
      <c r="I805" s="66" t="n"/>
      <c r="J805" s="67" t="n"/>
      <c r="K805" s="67" t="n"/>
      <c r="L805" s="67" t="n"/>
      <c r="M805" s="28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7" t="n"/>
      <c r="X805" s="67" t="n"/>
      <c r="Y805" s="67" t="n"/>
      <c r="Z805" s="67" t="n"/>
      <c r="AA805" s="67" t="n"/>
      <c r="AB805" s="67" t="n"/>
      <c r="AC805" s="67" t="n"/>
      <c r="AD805" s="66" t="n"/>
      <c r="AE805" s="66" t="n"/>
      <c r="AF805" s="66" t="n"/>
      <c r="AG805" s="66" t="n"/>
      <c r="AH805" s="66" t="n"/>
      <c r="AI805" s="66" t="n"/>
      <c r="AJ805" s="66" t="n"/>
      <c r="AK805" s="66" t="n"/>
      <c r="AL805" s="66" t="n"/>
      <c r="AM805" s="66" t="n"/>
      <c r="AN805" s="66" t="n"/>
      <c r="AO805" s="66" t="n"/>
      <c r="AP805" s="66" t="n"/>
    </row>
    <row r="806">
      <c r="A806" s="66" t="n"/>
      <c r="B806" s="66" t="n"/>
      <c r="C806" s="66" t="n"/>
      <c r="D806" s="66" t="n"/>
      <c r="E806" s="67" t="n"/>
      <c r="F806" s="67" t="n"/>
      <c r="G806" s="68" t="n"/>
      <c r="H806" s="66" t="n"/>
      <c r="I806" s="66" t="n"/>
      <c r="J806" s="67" t="n"/>
      <c r="K806" s="67" t="n"/>
      <c r="L806" s="67" t="n"/>
      <c r="M806" s="28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7" t="n"/>
      <c r="X806" s="67" t="n"/>
      <c r="Y806" s="67" t="n"/>
      <c r="Z806" s="67" t="n"/>
      <c r="AA806" s="67" t="n"/>
      <c r="AB806" s="67" t="n"/>
      <c r="AC806" s="67" t="n"/>
      <c r="AD806" s="66" t="n"/>
      <c r="AE806" s="66" t="n"/>
      <c r="AF806" s="66" t="n"/>
      <c r="AG806" s="66" t="n"/>
      <c r="AH806" s="66" t="n"/>
      <c r="AI806" s="66" t="n"/>
      <c r="AJ806" s="66" t="n"/>
      <c r="AK806" s="66" t="n"/>
      <c r="AL806" s="66" t="n"/>
      <c r="AM806" s="66" t="n"/>
      <c r="AN806" s="66" t="n"/>
      <c r="AO806" s="66" t="n"/>
      <c r="AP806" s="66" t="n"/>
    </row>
    <row r="807">
      <c r="A807" s="66" t="n"/>
      <c r="B807" s="66" t="n"/>
      <c r="C807" s="66" t="n"/>
      <c r="D807" s="66" t="n"/>
      <c r="E807" s="67" t="n"/>
      <c r="F807" s="67" t="n"/>
      <c r="G807" s="68" t="n"/>
      <c r="H807" s="66" t="n"/>
      <c r="I807" s="66" t="n"/>
      <c r="J807" s="67" t="n"/>
      <c r="K807" s="67" t="n"/>
      <c r="L807" s="67" t="n"/>
      <c r="M807" s="28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7" t="n"/>
      <c r="X807" s="67" t="n"/>
      <c r="Y807" s="67" t="n"/>
      <c r="Z807" s="67" t="n"/>
      <c r="AA807" s="67" t="n"/>
      <c r="AB807" s="67" t="n"/>
      <c r="AC807" s="67" t="n"/>
      <c r="AD807" s="66" t="n"/>
      <c r="AE807" s="66" t="n"/>
      <c r="AF807" s="66" t="n"/>
      <c r="AG807" s="66" t="n"/>
      <c r="AH807" s="66" t="n"/>
      <c r="AI807" s="66" t="n"/>
      <c r="AJ807" s="66" t="n"/>
      <c r="AK807" s="66" t="n"/>
      <c r="AL807" s="66" t="n"/>
      <c r="AM807" s="66" t="n"/>
      <c r="AN807" s="66" t="n"/>
      <c r="AO807" s="66" t="n"/>
      <c r="AP807" s="66" t="n"/>
    </row>
    <row r="808">
      <c r="A808" s="66" t="n"/>
      <c r="B808" s="66" t="n"/>
      <c r="C808" s="66" t="n"/>
      <c r="D808" s="66" t="n"/>
      <c r="E808" s="67" t="n"/>
      <c r="F808" s="67" t="n"/>
      <c r="G808" s="68" t="n"/>
      <c r="H808" s="66" t="n"/>
      <c r="I808" s="66" t="n"/>
      <c r="J808" s="67" t="n"/>
      <c r="K808" s="67" t="n"/>
      <c r="L808" s="67" t="n"/>
      <c r="M808" s="28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7" t="n"/>
      <c r="X808" s="67" t="n"/>
      <c r="Y808" s="67" t="n"/>
      <c r="Z808" s="67" t="n"/>
      <c r="AA808" s="67" t="n"/>
      <c r="AB808" s="67" t="n"/>
      <c r="AC808" s="67" t="n"/>
      <c r="AD808" s="66" t="n"/>
      <c r="AE808" s="66" t="n"/>
      <c r="AF808" s="66" t="n"/>
      <c r="AG808" s="66" t="n"/>
      <c r="AH808" s="66" t="n"/>
      <c r="AI808" s="66" t="n"/>
      <c r="AJ808" s="66" t="n"/>
      <c r="AK808" s="66" t="n"/>
      <c r="AL808" s="66" t="n"/>
      <c r="AM808" s="66" t="n"/>
      <c r="AN808" s="66" t="n"/>
      <c r="AO808" s="66" t="n"/>
      <c r="AP808" s="66" t="n"/>
    </row>
    <row r="809">
      <c r="A809" s="66" t="n"/>
      <c r="B809" s="66" t="n"/>
      <c r="C809" s="66" t="n"/>
      <c r="D809" s="66" t="n"/>
      <c r="E809" s="67" t="n"/>
      <c r="F809" s="67" t="n"/>
      <c r="G809" s="68" t="n"/>
      <c r="H809" s="66" t="n"/>
      <c r="I809" s="66" t="n"/>
      <c r="J809" s="67" t="n"/>
      <c r="K809" s="67" t="n"/>
      <c r="L809" s="67" t="n"/>
      <c r="M809" s="28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7" t="n"/>
      <c r="X809" s="67" t="n"/>
      <c r="Y809" s="67" t="n"/>
      <c r="Z809" s="67" t="n"/>
      <c r="AA809" s="67" t="n"/>
      <c r="AB809" s="67" t="n"/>
      <c r="AC809" s="67" t="n"/>
      <c r="AD809" s="66" t="n"/>
      <c r="AE809" s="66" t="n"/>
      <c r="AF809" s="66" t="n"/>
      <c r="AG809" s="66" t="n"/>
      <c r="AH809" s="66" t="n"/>
      <c r="AI809" s="66" t="n"/>
      <c r="AJ809" s="66" t="n"/>
      <c r="AK809" s="66" t="n"/>
      <c r="AL809" s="66" t="n"/>
      <c r="AM809" s="66" t="n"/>
      <c r="AN809" s="66" t="n"/>
      <c r="AO809" s="66" t="n"/>
      <c r="AP809" s="66" t="n"/>
    </row>
    <row r="810">
      <c r="A810" s="66" t="n"/>
      <c r="B810" s="66" t="n"/>
      <c r="C810" s="66" t="n"/>
      <c r="D810" s="66" t="n"/>
      <c r="E810" s="67" t="n"/>
      <c r="F810" s="67" t="n"/>
      <c r="G810" s="68" t="n"/>
      <c r="H810" s="66" t="n"/>
      <c r="I810" s="66" t="n"/>
      <c r="J810" s="67" t="n"/>
      <c r="K810" s="67" t="n"/>
      <c r="L810" s="67" t="n"/>
      <c r="M810" s="28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7" t="n"/>
      <c r="X810" s="67" t="n"/>
      <c r="Y810" s="67" t="n"/>
      <c r="Z810" s="67" t="n"/>
      <c r="AA810" s="67" t="n"/>
      <c r="AB810" s="67" t="n"/>
      <c r="AC810" s="67" t="n"/>
      <c r="AD810" s="66" t="n"/>
      <c r="AE810" s="66" t="n"/>
      <c r="AF810" s="66" t="n"/>
      <c r="AG810" s="66" t="n"/>
      <c r="AH810" s="66" t="n"/>
      <c r="AI810" s="66" t="n"/>
      <c r="AJ810" s="66" t="n"/>
      <c r="AK810" s="66" t="n"/>
      <c r="AL810" s="66" t="n"/>
      <c r="AM810" s="66" t="n"/>
      <c r="AN810" s="66" t="n"/>
      <c r="AO810" s="66" t="n"/>
      <c r="AP810" s="66" t="n"/>
    </row>
    <row r="811">
      <c r="A811" s="66" t="n"/>
      <c r="B811" s="66" t="n"/>
      <c r="C811" s="66" t="n"/>
      <c r="D811" s="66" t="n"/>
      <c r="E811" s="67" t="n"/>
      <c r="F811" s="67" t="n"/>
      <c r="G811" s="68" t="n"/>
      <c r="H811" s="66" t="n"/>
      <c r="I811" s="66" t="n"/>
      <c r="J811" s="67" t="n"/>
      <c r="K811" s="67" t="n"/>
      <c r="L811" s="67" t="n"/>
      <c r="M811" s="28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7" t="n"/>
      <c r="X811" s="67" t="n"/>
      <c r="Y811" s="67" t="n"/>
      <c r="Z811" s="67" t="n"/>
      <c r="AA811" s="67" t="n"/>
      <c r="AB811" s="67" t="n"/>
      <c r="AC811" s="67" t="n"/>
      <c r="AD811" s="66" t="n"/>
      <c r="AE811" s="66" t="n"/>
      <c r="AF811" s="66" t="n"/>
      <c r="AG811" s="66" t="n"/>
      <c r="AH811" s="66" t="n"/>
      <c r="AI811" s="66" t="n"/>
      <c r="AJ811" s="66" t="n"/>
      <c r="AK811" s="66" t="n"/>
      <c r="AL811" s="66" t="n"/>
      <c r="AM811" s="66" t="n"/>
      <c r="AN811" s="66" t="n"/>
      <c r="AO811" s="66" t="n"/>
      <c r="AP811" s="66" t="n"/>
    </row>
    <row r="812">
      <c r="A812" s="66" t="n"/>
      <c r="B812" s="66" t="n"/>
      <c r="C812" s="66" t="n"/>
      <c r="D812" s="66" t="n"/>
      <c r="E812" s="67" t="n"/>
      <c r="F812" s="67" t="n"/>
      <c r="G812" s="68" t="n"/>
      <c r="H812" s="66" t="n"/>
      <c r="I812" s="66" t="n"/>
      <c r="J812" s="67" t="n"/>
      <c r="K812" s="67" t="n"/>
      <c r="L812" s="67" t="n"/>
      <c r="M812" s="28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7" t="n"/>
      <c r="X812" s="67" t="n"/>
      <c r="Y812" s="67" t="n"/>
      <c r="Z812" s="67" t="n"/>
      <c r="AA812" s="67" t="n"/>
      <c r="AB812" s="67" t="n"/>
      <c r="AC812" s="67" t="n"/>
      <c r="AD812" s="66" t="n"/>
      <c r="AE812" s="66" t="n"/>
      <c r="AF812" s="66" t="n"/>
      <c r="AG812" s="66" t="n"/>
      <c r="AH812" s="66" t="n"/>
      <c r="AI812" s="66" t="n"/>
      <c r="AJ812" s="66" t="n"/>
      <c r="AK812" s="66" t="n"/>
      <c r="AL812" s="66" t="n"/>
      <c r="AM812" s="66" t="n"/>
      <c r="AN812" s="66" t="n"/>
      <c r="AO812" s="66" t="n"/>
      <c r="AP812" s="66" t="n"/>
    </row>
    <row r="813">
      <c r="A813" s="66" t="n"/>
      <c r="B813" s="66" t="n"/>
      <c r="C813" s="66" t="n"/>
      <c r="D813" s="66" t="n"/>
      <c r="E813" s="67" t="n"/>
      <c r="F813" s="67" t="n"/>
      <c r="G813" s="68" t="n"/>
      <c r="H813" s="66" t="n"/>
      <c r="I813" s="66" t="n"/>
      <c r="J813" s="67" t="n"/>
      <c r="K813" s="67" t="n"/>
      <c r="L813" s="67" t="n"/>
      <c r="M813" s="28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7" t="n"/>
      <c r="X813" s="67" t="n"/>
      <c r="Y813" s="67" t="n"/>
      <c r="Z813" s="67" t="n"/>
      <c r="AA813" s="67" t="n"/>
      <c r="AB813" s="67" t="n"/>
      <c r="AC813" s="67" t="n"/>
      <c r="AD813" s="66" t="n"/>
      <c r="AE813" s="66" t="n"/>
      <c r="AF813" s="66" t="n"/>
      <c r="AG813" s="66" t="n"/>
      <c r="AH813" s="66" t="n"/>
      <c r="AI813" s="66" t="n"/>
      <c r="AJ813" s="66" t="n"/>
      <c r="AK813" s="66" t="n"/>
      <c r="AL813" s="66" t="n"/>
      <c r="AM813" s="66" t="n"/>
      <c r="AN813" s="66" t="n"/>
      <c r="AO813" s="66" t="n"/>
      <c r="AP813" s="66" t="n"/>
    </row>
    <row r="814">
      <c r="A814" s="66" t="n"/>
      <c r="B814" s="66" t="n"/>
      <c r="C814" s="66" t="n"/>
      <c r="D814" s="66" t="n"/>
      <c r="E814" s="67" t="n"/>
      <c r="F814" s="67" t="n"/>
      <c r="G814" s="68" t="n"/>
      <c r="H814" s="66" t="n"/>
      <c r="I814" s="66" t="n"/>
      <c r="J814" s="67" t="n"/>
      <c r="K814" s="67" t="n"/>
      <c r="L814" s="67" t="n"/>
      <c r="M814" s="28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7" t="n"/>
      <c r="X814" s="67" t="n"/>
      <c r="Y814" s="67" t="n"/>
      <c r="Z814" s="67" t="n"/>
      <c r="AA814" s="67" t="n"/>
      <c r="AB814" s="67" t="n"/>
      <c r="AC814" s="67" t="n"/>
      <c r="AD814" s="66" t="n"/>
      <c r="AE814" s="66" t="n"/>
      <c r="AF814" s="66" t="n"/>
      <c r="AG814" s="66" t="n"/>
      <c r="AH814" s="66" t="n"/>
      <c r="AI814" s="66" t="n"/>
      <c r="AJ814" s="66" t="n"/>
      <c r="AK814" s="66" t="n"/>
      <c r="AL814" s="66" t="n"/>
      <c r="AM814" s="66" t="n"/>
      <c r="AN814" s="66" t="n"/>
      <c r="AO814" s="66" t="n"/>
      <c r="AP814" s="66" t="n"/>
    </row>
    <row r="815">
      <c r="A815" s="66" t="n"/>
      <c r="B815" s="66" t="n"/>
      <c r="C815" s="66" t="n"/>
      <c r="D815" s="66" t="n"/>
      <c r="E815" s="67" t="n"/>
      <c r="F815" s="67" t="n"/>
      <c r="G815" s="68" t="n"/>
      <c r="H815" s="66" t="n"/>
      <c r="I815" s="66" t="n"/>
      <c r="J815" s="67" t="n"/>
      <c r="K815" s="67" t="n"/>
      <c r="L815" s="67" t="n"/>
      <c r="M815" s="28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7" t="n"/>
      <c r="X815" s="67" t="n"/>
      <c r="Y815" s="67" t="n"/>
      <c r="Z815" s="67" t="n"/>
      <c r="AA815" s="67" t="n"/>
      <c r="AB815" s="67" t="n"/>
      <c r="AC815" s="67" t="n"/>
      <c r="AD815" s="66" t="n"/>
      <c r="AE815" s="66" t="n"/>
      <c r="AF815" s="66" t="n"/>
      <c r="AG815" s="66" t="n"/>
      <c r="AH815" s="66" t="n"/>
      <c r="AI815" s="66" t="n"/>
      <c r="AJ815" s="66" t="n"/>
      <c r="AK815" s="66" t="n"/>
      <c r="AL815" s="66" t="n"/>
      <c r="AM815" s="66" t="n"/>
      <c r="AN815" s="66" t="n"/>
      <c r="AO815" s="66" t="n"/>
      <c r="AP815" s="66" t="n"/>
    </row>
    <row r="816">
      <c r="A816" s="66" t="n"/>
      <c r="B816" s="66" t="n"/>
      <c r="C816" s="66" t="n"/>
      <c r="D816" s="66" t="n"/>
      <c r="E816" s="67" t="n"/>
      <c r="F816" s="67" t="n"/>
      <c r="G816" s="68" t="n"/>
      <c r="H816" s="66" t="n"/>
      <c r="I816" s="66" t="n"/>
      <c r="J816" s="67" t="n"/>
      <c r="K816" s="67" t="n"/>
      <c r="L816" s="67" t="n"/>
      <c r="M816" s="28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7" t="n"/>
      <c r="X816" s="67" t="n"/>
      <c r="Y816" s="67" t="n"/>
      <c r="Z816" s="67" t="n"/>
      <c r="AA816" s="67" t="n"/>
      <c r="AB816" s="67" t="n"/>
      <c r="AC816" s="67" t="n"/>
      <c r="AD816" s="66" t="n"/>
      <c r="AE816" s="66" t="n"/>
      <c r="AF816" s="66" t="n"/>
      <c r="AG816" s="66" t="n"/>
      <c r="AH816" s="66" t="n"/>
      <c r="AI816" s="66" t="n"/>
      <c r="AJ816" s="66" t="n"/>
      <c r="AK816" s="66" t="n"/>
      <c r="AL816" s="66" t="n"/>
      <c r="AM816" s="66" t="n"/>
      <c r="AN816" s="66" t="n"/>
      <c r="AO816" s="66" t="n"/>
      <c r="AP816" s="66" t="n"/>
    </row>
    <row r="817">
      <c r="A817" s="66" t="n"/>
      <c r="B817" s="66" t="n"/>
      <c r="C817" s="66" t="n"/>
      <c r="D817" s="66" t="n"/>
      <c r="E817" s="67" t="n"/>
      <c r="F817" s="67" t="n"/>
      <c r="G817" s="68" t="n"/>
      <c r="H817" s="66" t="n"/>
      <c r="I817" s="66" t="n"/>
      <c r="J817" s="67" t="n"/>
      <c r="K817" s="67" t="n"/>
      <c r="L817" s="67" t="n"/>
      <c r="M817" s="28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7" t="n"/>
      <c r="X817" s="67" t="n"/>
      <c r="Y817" s="67" t="n"/>
      <c r="Z817" s="67" t="n"/>
      <c r="AA817" s="67" t="n"/>
      <c r="AB817" s="67" t="n"/>
      <c r="AC817" s="67" t="n"/>
      <c r="AD817" s="66" t="n"/>
      <c r="AE817" s="66" t="n"/>
      <c r="AF817" s="66" t="n"/>
      <c r="AG817" s="66" t="n"/>
      <c r="AH817" s="66" t="n"/>
      <c r="AI817" s="66" t="n"/>
      <c r="AJ817" s="66" t="n"/>
      <c r="AK817" s="66" t="n"/>
      <c r="AL817" s="66" t="n"/>
      <c r="AM817" s="66" t="n"/>
      <c r="AN817" s="66" t="n"/>
      <c r="AO817" s="66" t="n"/>
      <c r="AP817" s="66" t="n"/>
    </row>
    <row r="818">
      <c r="A818" s="66" t="n"/>
      <c r="B818" s="66" t="n"/>
      <c r="C818" s="66" t="n"/>
      <c r="D818" s="66" t="n"/>
      <c r="E818" s="67" t="n"/>
      <c r="F818" s="67" t="n"/>
      <c r="G818" s="68" t="n"/>
      <c r="H818" s="66" t="n"/>
      <c r="I818" s="66" t="n"/>
      <c r="J818" s="67" t="n"/>
      <c r="K818" s="67" t="n"/>
      <c r="L818" s="67" t="n"/>
      <c r="M818" s="28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7" t="n"/>
      <c r="X818" s="67" t="n"/>
      <c r="Y818" s="67" t="n"/>
      <c r="Z818" s="67" t="n"/>
      <c r="AA818" s="67" t="n"/>
      <c r="AB818" s="67" t="n"/>
      <c r="AC818" s="67" t="n"/>
      <c r="AD818" s="66" t="n"/>
      <c r="AE818" s="66" t="n"/>
      <c r="AF818" s="66" t="n"/>
      <c r="AG818" s="66" t="n"/>
      <c r="AH818" s="66" t="n"/>
      <c r="AI818" s="66" t="n"/>
      <c r="AJ818" s="66" t="n"/>
      <c r="AK818" s="66" t="n"/>
      <c r="AL818" s="66" t="n"/>
      <c r="AM818" s="66" t="n"/>
      <c r="AN818" s="66" t="n"/>
      <c r="AO818" s="66" t="n"/>
      <c r="AP818" s="66" t="n"/>
    </row>
    <row r="819">
      <c r="A819" s="66" t="n"/>
      <c r="B819" s="66" t="n"/>
      <c r="C819" s="66" t="n"/>
      <c r="D819" s="66" t="n"/>
      <c r="E819" s="67" t="n"/>
      <c r="F819" s="67" t="n"/>
      <c r="G819" s="68" t="n"/>
      <c r="H819" s="66" t="n"/>
      <c r="I819" s="66" t="n"/>
      <c r="J819" s="67" t="n"/>
      <c r="K819" s="67" t="n"/>
      <c r="L819" s="67" t="n"/>
      <c r="M819" s="28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7" t="n"/>
      <c r="X819" s="67" t="n"/>
      <c r="Y819" s="67" t="n"/>
      <c r="Z819" s="67" t="n"/>
      <c r="AA819" s="67" t="n"/>
      <c r="AB819" s="67" t="n"/>
      <c r="AC819" s="67" t="n"/>
      <c r="AD819" s="66" t="n"/>
      <c r="AE819" s="66" t="n"/>
      <c r="AF819" s="66" t="n"/>
      <c r="AG819" s="66" t="n"/>
      <c r="AH819" s="66" t="n"/>
      <c r="AI819" s="66" t="n"/>
      <c r="AJ819" s="66" t="n"/>
      <c r="AK819" s="66" t="n"/>
      <c r="AL819" s="66" t="n"/>
      <c r="AM819" s="66" t="n"/>
      <c r="AN819" s="66" t="n"/>
      <c r="AO819" s="66" t="n"/>
      <c r="AP819" s="66" t="n"/>
    </row>
    <row r="820">
      <c r="A820" s="66" t="n"/>
      <c r="B820" s="66" t="n"/>
      <c r="C820" s="66" t="n"/>
      <c r="D820" s="66" t="n"/>
      <c r="E820" s="67" t="n"/>
      <c r="F820" s="67" t="n"/>
      <c r="G820" s="68" t="n"/>
      <c r="H820" s="66" t="n"/>
      <c r="I820" s="66" t="n"/>
      <c r="J820" s="67" t="n"/>
      <c r="K820" s="67" t="n"/>
      <c r="L820" s="67" t="n"/>
      <c r="M820" s="28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7" t="n"/>
      <c r="X820" s="67" t="n"/>
      <c r="Y820" s="67" t="n"/>
      <c r="Z820" s="67" t="n"/>
      <c r="AA820" s="67" t="n"/>
      <c r="AB820" s="67" t="n"/>
      <c r="AC820" s="67" t="n"/>
      <c r="AD820" s="66" t="n"/>
      <c r="AE820" s="66" t="n"/>
      <c r="AF820" s="66" t="n"/>
      <c r="AG820" s="66" t="n"/>
      <c r="AH820" s="66" t="n"/>
      <c r="AI820" s="66" t="n"/>
      <c r="AJ820" s="66" t="n"/>
      <c r="AK820" s="66" t="n"/>
      <c r="AL820" s="66" t="n"/>
      <c r="AM820" s="66" t="n"/>
      <c r="AN820" s="66" t="n"/>
      <c r="AO820" s="66" t="n"/>
      <c r="AP820" s="66" t="n"/>
    </row>
    <row r="821">
      <c r="A821" s="66" t="n"/>
      <c r="B821" s="66" t="n"/>
      <c r="C821" s="66" t="n"/>
      <c r="D821" s="66" t="n"/>
      <c r="E821" s="67" t="n"/>
      <c r="F821" s="67" t="n"/>
      <c r="G821" s="68" t="n"/>
      <c r="H821" s="66" t="n"/>
      <c r="I821" s="66" t="n"/>
      <c r="J821" s="67" t="n"/>
      <c r="K821" s="67" t="n"/>
      <c r="L821" s="67" t="n"/>
      <c r="M821" s="28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7" t="n"/>
      <c r="X821" s="67" t="n"/>
      <c r="Y821" s="67" t="n"/>
      <c r="Z821" s="67" t="n"/>
      <c r="AA821" s="67" t="n"/>
      <c r="AB821" s="67" t="n"/>
      <c r="AC821" s="67" t="n"/>
      <c r="AD821" s="66" t="n"/>
      <c r="AE821" s="66" t="n"/>
      <c r="AF821" s="66" t="n"/>
      <c r="AG821" s="66" t="n"/>
      <c r="AH821" s="66" t="n"/>
      <c r="AI821" s="66" t="n"/>
      <c r="AJ821" s="66" t="n"/>
      <c r="AK821" s="66" t="n"/>
      <c r="AL821" s="66" t="n"/>
      <c r="AM821" s="66" t="n"/>
      <c r="AN821" s="66" t="n"/>
      <c r="AO821" s="66" t="n"/>
      <c r="AP821" s="66" t="n"/>
    </row>
    <row r="822">
      <c r="A822" s="66" t="n"/>
      <c r="B822" s="66" t="n"/>
      <c r="C822" s="66" t="n"/>
      <c r="D822" s="66" t="n"/>
      <c r="E822" s="67" t="n"/>
      <c r="F822" s="67" t="n"/>
      <c r="G822" s="68" t="n"/>
      <c r="H822" s="66" t="n"/>
      <c r="I822" s="66" t="n"/>
      <c r="J822" s="67" t="n"/>
      <c r="K822" s="67" t="n"/>
      <c r="L822" s="67" t="n"/>
      <c r="M822" s="28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7" t="n"/>
      <c r="X822" s="67" t="n"/>
      <c r="Y822" s="67" t="n"/>
      <c r="Z822" s="67" t="n"/>
      <c r="AA822" s="67" t="n"/>
      <c r="AB822" s="67" t="n"/>
      <c r="AC822" s="67" t="n"/>
      <c r="AD822" s="66" t="n"/>
      <c r="AE822" s="66" t="n"/>
      <c r="AF822" s="66" t="n"/>
      <c r="AG822" s="66" t="n"/>
      <c r="AH822" s="66" t="n"/>
      <c r="AI822" s="66" t="n"/>
      <c r="AJ822" s="66" t="n"/>
      <c r="AK822" s="66" t="n"/>
      <c r="AL822" s="66" t="n"/>
      <c r="AM822" s="66" t="n"/>
      <c r="AN822" s="66" t="n"/>
      <c r="AO822" s="66" t="n"/>
      <c r="AP822" s="66" t="n"/>
    </row>
    <row r="823">
      <c r="A823" s="66" t="n"/>
      <c r="B823" s="66" t="n"/>
      <c r="C823" s="66" t="n"/>
      <c r="D823" s="66" t="n"/>
      <c r="E823" s="67" t="n"/>
      <c r="F823" s="67" t="n"/>
      <c r="G823" s="68" t="n"/>
      <c r="H823" s="66" t="n"/>
      <c r="I823" s="66" t="n"/>
      <c r="J823" s="67" t="n"/>
      <c r="K823" s="67" t="n"/>
      <c r="L823" s="67" t="n"/>
      <c r="M823" s="28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7" t="n"/>
      <c r="X823" s="67" t="n"/>
      <c r="Y823" s="67" t="n"/>
      <c r="Z823" s="67" t="n"/>
      <c r="AA823" s="67" t="n"/>
      <c r="AB823" s="67" t="n"/>
      <c r="AC823" s="67" t="n"/>
      <c r="AD823" s="66" t="n"/>
      <c r="AE823" s="66" t="n"/>
      <c r="AF823" s="66" t="n"/>
      <c r="AG823" s="66" t="n"/>
      <c r="AH823" s="66" t="n"/>
      <c r="AI823" s="66" t="n"/>
      <c r="AJ823" s="66" t="n"/>
      <c r="AK823" s="66" t="n"/>
      <c r="AL823" s="66" t="n"/>
      <c r="AM823" s="66" t="n"/>
      <c r="AN823" s="66" t="n"/>
      <c r="AO823" s="66" t="n"/>
      <c r="AP823" s="66" t="n"/>
    </row>
    <row r="824">
      <c r="A824" s="66" t="n"/>
      <c r="B824" s="66" t="n"/>
      <c r="C824" s="66" t="n"/>
      <c r="D824" s="66" t="n"/>
      <c r="E824" s="67" t="n"/>
      <c r="F824" s="67" t="n"/>
      <c r="G824" s="68" t="n"/>
      <c r="H824" s="66" t="n"/>
      <c r="I824" s="66" t="n"/>
      <c r="J824" s="67" t="n"/>
      <c r="K824" s="67" t="n"/>
      <c r="L824" s="67" t="n"/>
      <c r="M824" s="28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7" t="n"/>
      <c r="X824" s="67" t="n"/>
      <c r="Y824" s="67" t="n"/>
      <c r="Z824" s="67" t="n"/>
      <c r="AA824" s="67" t="n"/>
      <c r="AB824" s="67" t="n"/>
      <c r="AC824" s="67" t="n"/>
      <c r="AD824" s="66" t="n"/>
      <c r="AE824" s="66" t="n"/>
      <c r="AF824" s="66" t="n"/>
      <c r="AG824" s="66" t="n"/>
      <c r="AH824" s="66" t="n"/>
      <c r="AI824" s="66" t="n"/>
      <c r="AJ824" s="66" t="n"/>
      <c r="AK824" s="66" t="n"/>
      <c r="AL824" s="66" t="n"/>
      <c r="AM824" s="66" t="n"/>
      <c r="AN824" s="66" t="n"/>
      <c r="AO824" s="66" t="n"/>
      <c r="AP824" s="66" t="n"/>
    </row>
    <row r="825">
      <c r="A825" s="66" t="n"/>
      <c r="B825" s="66" t="n"/>
      <c r="C825" s="66" t="n"/>
      <c r="D825" s="66" t="n"/>
      <c r="E825" s="67" t="n"/>
      <c r="F825" s="67" t="n"/>
      <c r="G825" s="68" t="n"/>
      <c r="H825" s="66" t="n"/>
      <c r="I825" s="66" t="n"/>
      <c r="J825" s="67" t="n"/>
      <c r="K825" s="67" t="n"/>
      <c r="L825" s="67" t="n"/>
      <c r="M825" s="28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7" t="n"/>
      <c r="X825" s="67" t="n"/>
      <c r="Y825" s="67" t="n"/>
      <c r="Z825" s="67" t="n"/>
      <c r="AA825" s="67" t="n"/>
      <c r="AB825" s="67" t="n"/>
      <c r="AC825" s="67" t="n"/>
      <c r="AD825" s="66" t="n"/>
      <c r="AE825" s="66" t="n"/>
      <c r="AF825" s="66" t="n"/>
      <c r="AG825" s="66" t="n"/>
      <c r="AH825" s="66" t="n"/>
      <c r="AI825" s="66" t="n"/>
      <c r="AJ825" s="66" t="n"/>
      <c r="AK825" s="66" t="n"/>
      <c r="AL825" s="66" t="n"/>
      <c r="AM825" s="66" t="n"/>
      <c r="AN825" s="66" t="n"/>
      <c r="AO825" s="66" t="n"/>
      <c r="AP825" s="66" t="n"/>
    </row>
    <row r="826">
      <c r="A826" s="66" t="n"/>
      <c r="B826" s="66" t="n"/>
      <c r="C826" s="66" t="n"/>
      <c r="D826" s="66" t="n"/>
      <c r="E826" s="67" t="n"/>
      <c r="F826" s="67" t="n"/>
      <c r="G826" s="68" t="n"/>
      <c r="H826" s="66" t="n"/>
      <c r="I826" s="66" t="n"/>
      <c r="J826" s="67" t="n"/>
      <c r="K826" s="67" t="n"/>
      <c r="L826" s="67" t="n"/>
      <c r="M826" s="28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7" t="n"/>
      <c r="X826" s="67" t="n"/>
      <c r="Y826" s="67" t="n"/>
      <c r="Z826" s="67" t="n"/>
      <c r="AA826" s="67" t="n"/>
      <c r="AB826" s="67" t="n"/>
      <c r="AC826" s="67" t="n"/>
      <c r="AD826" s="66" t="n"/>
      <c r="AE826" s="66" t="n"/>
      <c r="AF826" s="66" t="n"/>
      <c r="AG826" s="66" t="n"/>
      <c r="AH826" s="66" t="n"/>
      <c r="AI826" s="66" t="n"/>
      <c r="AJ826" s="66" t="n"/>
      <c r="AK826" s="66" t="n"/>
      <c r="AL826" s="66" t="n"/>
      <c r="AM826" s="66" t="n"/>
      <c r="AN826" s="66" t="n"/>
      <c r="AO826" s="66" t="n"/>
      <c r="AP826" s="66" t="n"/>
    </row>
    <row r="827">
      <c r="A827" s="66" t="n"/>
      <c r="B827" s="66" t="n"/>
      <c r="C827" s="66" t="n"/>
      <c r="D827" s="66" t="n"/>
      <c r="E827" s="67" t="n"/>
      <c r="F827" s="67" t="n"/>
      <c r="G827" s="68" t="n"/>
      <c r="H827" s="66" t="n"/>
      <c r="I827" s="66" t="n"/>
      <c r="J827" s="67" t="n"/>
      <c r="K827" s="67" t="n"/>
      <c r="L827" s="67" t="n"/>
      <c r="M827" s="28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7" t="n"/>
      <c r="X827" s="67" t="n"/>
      <c r="Y827" s="67" t="n"/>
      <c r="Z827" s="67" t="n"/>
      <c r="AA827" s="67" t="n"/>
      <c r="AB827" s="67" t="n"/>
      <c r="AC827" s="67" t="n"/>
      <c r="AD827" s="66" t="n"/>
      <c r="AE827" s="66" t="n"/>
      <c r="AF827" s="66" t="n"/>
      <c r="AG827" s="66" t="n"/>
      <c r="AH827" s="66" t="n"/>
      <c r="AI827" s="66" t="n"/>
      <c r="AJ827" s="66" t="n"/>
      <c r="AK827" s="66" t="n"/>
      <c r="AL827" s="66" t="n"/>
      <c r="AM827" s="66" t="n"/>
      <c r="AN827" s="66" t="n"/>
      <c r="AO827" s="66" t="n"/>
      <c r="AP827" s="66" t="n"/>
    </row>
    <row r="828">
      <c r="A828" s="66" t="n"/>
      <c r="B828" s="66" t="n"/>
      <c r="C828" s="66" t="n"/>
      <c r="D828" s="66" t="n"/>
      <c r="E828" s="67" t="n"/>
      <c r="F828" s="67" t="n"/>
      <c r="G828" s="68" t="n"/>
      <c r="H828" s="66" t="n"/>
      <c r="I828" s="66" t="n"/>
      <c r="J828" s="67" t="n"/>
      <c r="K828" s="67" t="n"/>
      <c r="L828" s="67" t="n"/>
      <c r="M828" s="28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7" t="n"/>
      <c r="X828" s="67" t="n"/>
      <c r="Y828" s="67" t="n"/>
      <c r="Z828" s="67" t="n"/>
      <c r="AA828" s="67" t="n"/>
      <c r="AB828" s="67" t="n"/>
      <c r="AC828" s="67" t="n"/>
      <c r="AD828" s="66" t="n"/>
      <c r="AE828" s="66" t="n"/>
      <c r="AF828" s="66" t="n"/>
      <c r="AG828" s="66" t="n"/>
      <c r="AH828" s="66" t="n"/>
      <c r="AI828" s="66" t="n"/>
      <c r="AJ828" s="66" t="n"/>
      <c r="AK828" s="66" t="n"/>
      <c r="AL828" s="66" t="n"/>
      <c r="AM828" s="66" t="n"/>
      <c r="AN828" s="66" t="n"/>
      <c r="AO828" s="66" t="n"/>
      <c r="AP828" s="66" t="n"/>
    </row>
    <row r="829">
      <c r="A829" s="66" t="n"/>
      <c r="B829" s="66" t="n"/>
      <c r="C829" s="66" t="n"/>
      <c r="D829" s="66" t="n"/>
      <c r="E829" s="67" t="n"/>
      <c r="F829" s="67" t="n"/>
      <c r="G829" s="68" t="n"/>
      <c r="H829" s="66" t="n"/>
      <c r="I829" s="66" t="n"/>
      <c r="J829" s="67" t="n"/>
      <c r="K829" s="67" t="n"/>
      <c r="L829" s="67" t="n"/>
      <c r="M829" s="28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7" t="n"/>
      <c r="X829" s="67" t="n"/>
      <c r="Y829" s="67" t="n"/>
      <c r="Z829" s="67" t="n"/>
      <c r="AA829" s="67" t="n"/>
      <c r="AB829" s="67" t="n"/>
      <c r="AC829" s="67" t="n"/>
      <c r="AD829" s="66" t="n"/>
      <c r="AE829" s="66" t="n"/>
      <c r="AF829" s="66" t="n"/>
      <c r="AG829" s="66" t="n"/>
      <c r="AH829" s="66" t="n"/>
      <c r="AI829" s="66" t="n"/>
      <c r="AJ829" s="66" t="n"/>
      <c r="AK829" s="66" t="n"/>
      <c r="AL829" s="66" t="n"/>
      <c r="AM829" s="66" t="n"/>
      <c r="AN829" s="66" t="n"/>
      <c r="AO829" s="66" t="n"/>
      <c r="AP829" s="66" t="n"/>
    </row>
    <row r="830">
      <c r="A830" s="66" t="n"/>
      <c r="B830" s="66" t="n"/>
      <c r="C830" s="66" t="n"/>
      <c r="D830" s="66" t="n"/>
      <c r="E830" s="67" t="n"/>
      <c r="F830" s="67" t="n"/>
      <c r="G830" s="68" t="n"/>
      <c r="H830" s="66" t="n"/>
      <c r="I830" s="66" t="n"/>
      <c r="J830" s="67" t="n"/>
      <c r="K830" s="67" t="n"/>
      <c r="L830" s="67" t="n"/>
      <c r="M830" s="28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7" t="n"/>
      <c r="X830" s="67" t="n"/>
      <c r="Y830" s="67" t="n"/>
      <c r="Z830" s="67" t="n"/>
      <c r="AA830" s="67" t="n"/>
      <c r="AB830" s="67" t="n"/>
      <c r="AC830" s="67" t="n"/>
      <c r="AD830" s="66" t="n"/>
      <c r="AE830" s="66" t="n"/>
      <c r="AF830" s="66" t="n"/>
      <c r="AG830" s="66" t="n"/>
      <c r="AH830" s="66" t="n"/>
      <c r="AI830" s="66" t="n"/>
      <c r="AJ830" s="66" t="n"/>
      <c r="AK830" s="66" t="n"/>
      <c r="AL830" s="66" t="n"/>
      <c r="AM830" s="66" t="n"/>
      <c r="AN830" s="66" t="n"/>
      <c r="AO830" s="66" t="n"/>
      <c r="AP830" s="66" t="n"/>
    </row>
    <row r="831">
      <c r="A831" s="66" t="n"/>
      <c r="B831" s="66" t="n"/>
      <c r="C831" s="66" t="n"/>
      <c r="D831" s="66" t="n"/>
      <c r="E831" s="67" t="n"/>
      <c r="F831" s="67" t="n"/>
      <c r="G831" s="68" t="n"/>
      <c r="H831" s="66" t="n"/>
      <c r="I831" s="66" t="n"/>
      <c r="J831" s="67" t="n"/>
      <c r="K831" s="67" t="n"/>
      <c r="L831" s="67" t="n"/>
      <c r="M831" s="28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7" t="n"/>
      <c r="X831" s="67" t="n"/>
      <c r="Y831" s="67" t="n"/>
      <c r="Z831" s="67" t="n"/>
      <c r="AA831" s="67" t="n"/>
      <c r="AB831" s="67" t="n"/>
      <c r="AC831" s="67" t="n"/>
      <c r="AD831" s="66" t="n"/>
      <c r="AE831" s="66" t="n"/>
      <c r="AF831" s="66" t="n"/>
      <c r="AG831" s="66" t="n"/>
      <c r="AH831" s="66" t="n"/>
      <c r="AI831" s="66" t="n"/>
      <c r="AJ831" s="66" t="n"/>
      <c r="AK831" s="66" t="n"/>
      <c r="AL831" s="66" t="n"/>
      <c r="AM831" s="66" t="n"/>
      <c r="AN831" s="66" t="n"/>
      <c r="AO831" s="66" t="n"/>
      <c r="AP831" s="66" t="n"/>
    </row>
    <row r="832">
      <c r="A832" s="66" t="n"/>
      <c r="B832" s="66" t="n"/>
      <c r="C832" s="66" t="n"/>
      <c r="D832" s="66" t="n"/>
      <c r="E832" s="67" t="n"/>
      <c r="F832" s="67" t="n"/>
      <c r="G832" s="68" t="n"/>
      <c r="H832" s="66" t="n"/>
      <c r="I832" s="66" t="n"/>
      <c r="J832" s="67" t="n"/>
      <c r="K832" s="67" t="n"/>
      <c r="L832" s="67" t="n"/>
      <c r="M832" s="28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7" t="n"/>
      <c r="X832" s="67" t="n"/>
      <c r="Y832" s="67" t="n"/>
      <c r="Z832" s="67" t="n"/>
      <c r="AA832" s="67" t="n"/>
      <c r="AB832" s="67" t="n"/>
      <c r="AC832" s="67" t="n"/>
      <c r="AD832" s="66" t="n"/>
      <c r="AE832" s="66" t="n"/>
      <c r="AF832" s="66" t="n"/>
      <c r="AG832" s="66" t="n"/>
      <c r="AH832" s="66" t="n"/>
      <c r="AI832" s="66" t="n"/>
      <c r="AJ832" s="66" t="n"/>
      <c r="AK832" s="66" t="n"/>
      <c r="AL832" s="66" t="n"/>
      <c r="AM832" s="66" t="n"/>
      <c r="AN832" s="66" t="n"/>
      <c r="AO832" s="66" t="n"/>
      <c r="AP832" s="66" t="n"/>
    </row>
    <row r="833">
      <c r="A833" s="66" t="n"/>
      <c r="B833" s="66" t="n"/>
      <c r="C833" s="66" t="n"/>
      <c r="D833" s="66" t="n"/>
      <c r="E833" s="67" t="n"/>
      <c r="F833" s="67" t="n"/>
      <c r="G833" s="68" t="n"/>
      <c r="H833" s="66" t="n"/>
      <c r="I833" s="66" t="n"/>
      <c r="J833" s="67" t="n"/>
      <c r="K833" s="67" t="n"/>
      <c r="L833" s="67" t="n"/>
      <c r="M833" s="28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7" t="n"/>
      <c r="X833" s="67" t="n"/>
      <c r="Y833" s="67" t="n"/>
      <c r="Z833" s="67" t="n"/>
      <c r="AA833" s="67" t="n"/>
      <c r="AB833" s="67" t="n"/>
      <c r="AC833" s="67" t="n"/>
      <c r="AD833" s="66" t="n"/>
      <c r="AE833" s="66" t="n"/>
      <c r="AF833" s="66" t="n"/>
      <c r="AG833" s="66" t="n"/>
      <c r="AH833" s="66" t="n"/>
      <c r="AI833" s="66" t="n"/>
      <c r="AJ833" s="66" t="n"/>
      <c r="AK833" s="66" t="n"/>
      <c r="AL833" s="66" t="n"/>
      <c r="AM833" s="66" t="n"/>
      <c r="AN833" s="66" t="n"/>
      <c r="AO833" s="66" t="n"/>
      <c r="AP833" s="66" t="n"/>
    </row>
    <row r="834">
      <c r="A834" s="66" t="n"/>
      <c r="B834" s="66" t="n"/>
      <c r="C834" s="66" t="n"/>
      <c r="D834" s="66" t="n"/>
      <c r="E834" s="67" t="n"/>
      <c r="F834" s="67" t="n"/>
      <c r="G834" s="68" t="n"/>
      <c r="H834" s="66" t="n"/>
      <c r="I834" s="66" t="n"/>
      <c r="J834" s="67" t="n"/>
      <c r="K834" s="67" t="n"/>
      <c r="L834" s="67" t="n"/>
      <c r="M834" s="28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7" t="n"/>
      <c r="X834" s="67" t="n"/>
      <c r="Y834" s="67" t="n"/>
      <c r="Z834" s="67" t="n"/>
      <c r="AA834" s="67" t="n"/>
      <c r="AB834" s="67" t="n"/>
      <c r="AC834" s="67" t="n"/>
      <c r="AD834" s="66" t="n"/>
      <c r="AE834" s="66" t="n"/>
      <c r="AF834" s="66" t="n"/>
      <c r="AG834" s="66" t="n"/>
      <c r="AH834" s="66" t="n"/>
      <c r="AI834" s="66" t="n"/>
      <c r="AJ834" s="66" t="n"/>
      <c r="AK834" s="66" t="n"/>
      <c r="AL834" s="66" t="n"/>
      <c r="AM834" s="66" t="n"/>
      <c r="AN834" s="66" t="n"/>
      <c r="AO834" s="66" t="n"/>
      <c r="AP834" s="66" t="n"/>
    </row>
    <row r="835">
      <c r="A835" s="66" t="n"/>
      <c r="B835" s="66" t="n"/>
      <c r="C835" s="66" t="n"/>
      <c r="D835" s="66" t="n"/>
      <c r="E835" s="67" t="n"/>
      <c r="F835" s="67" t="n"/>
      <c r="G835" s="68" t="n"/>
      <c r="H835" s="66" t="n"/>
      <c r="I835" s="66" t="n"/>
      <c r="J835" s="67" t="n"/>
      <c r="K835" s="67" t="n"/>
      <c r="L835" s="67" t="n"/>
      <c r="M835" s="28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7" t="n"/>
      <c r="X835" s="67" t="n"/>
      <c r="Y835" s="67" t="n"/>
      <c r="Z835" s="67" t="n"/>
      <c r="AA835" s="67" t="n"/>
      <c r="AB835" s="67" t="n"/>
      <c r="AC835" s="67" t="n"/>
      <c r="AD835" s="66" t="n"/>
      <c r="AE835" s="66" t="n"/>
      <c r="AF835" s="66" t="n"/>
      <c r="AG835" s="66" t="n"/>
      <c r="AH835" s="66" t="n"/>
      <c r="AI835" s="66" t="n"/>
      <c r="AJ835" s="66" t="n"/>
      <c r="AK835" s="66" t="n"/>
      <c r="AL835" s="66" t="n"/>
      <c r="AM835" s="66" t="n"/>
      <c r="AN835" s="66" t="n"/>
      <c r="AO835" s="66" t="n"/>
      <c r="AP835" s="66" t="n"/>
    </row>
    <row r="836">
      <c r="A836" s="66" t="n"/>
      <c r="B836" s="66" t="n"/>
      <c r="C836" s="66" t="n"/>
      <c r="D836" s="66" t="n"/>
      <c r="E836" s="67" t="n"/>
      <c r="F836" s="67" t="n"/>
      <c r="G836" s="68" t="n"/>
      <c r="H836" s="66" t="n"/>
      <c r="I836" s="66" t="n"/>
      <c r="J836" s="67" t="n"/>
      <c r="K836" s="67" t="n"/>
      <c r="L836" s="67" t="n"/>
      <c r="M836" s="28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7" t="n"/>
      <c r="X836" s="67" t="n"/>
      <c r="Y836" s="67" t="n"/>
      <c r="Z836" s="67" t="n"/>
      <c r="AA836" s="67" t="n"/>
      <c r="AB836" s="67" t="n"/>
      <c r="AC836" s="67" t="n"/>
      <c r="AD836" s="66" t="n"/>
      <c r="AE836" s="66" t="n"/>
      <c r="AF836" s="66" t="n"/>
      <c r="AG836" s="66" t="n"/>
      <c r="AH836" s="66" t="n"/>
      <c r="AI836" s="66" t="n"/>
      <c r="AJ836" s="66" t="n"/>
      <c r="AK836" s="66" t="n"/>
      <c r="AL836" s="66" t="n"/>
      <c r="AM836" s="66" t="n"/>
      <c r="AN836" s="66" t="n"/>
      <c r="AO836" s="66" t="n"/>
      <c r="AP836" s="66" t="n"/>
    </row>
    <row r="837">
      <c r="A837" s="66" t="n"/>
      <c r="B837" s="66" t="n"/>
      <c r="C837" s="66" t="n"/>
      <c r="D837" s="66" t="n"/>
      <c r="E837" s="67" t="n"/>
      <c r="F837" s="67" t="n"/>
      <c r="G837" s="68" t="n"/>
      <c r="H837" s="66" t="n"/>
      <c r="I837" s="66" t="n"/>
      <c r="J837" s="67" t="n"/>
      <c r="K837" s="67" t="n"/>
      <c r="L837" s="67" t="n"/>
      <c r="M837" s="28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7" t="n"/>
      <c r="X837" s="67" t="n"/>
      <c r="Y837" s="67" t="n"/>
      <c r="Z837" s="67" t="n"/>
      <c r="AA837" s="67" t="n"/>
      <c r="AB837" s="67" t="n"/>
      <c r="AC837" s="67" t="n"/>
      <c r="AD837" s="66" t="n"/>
      <c r="AE837" s="66" t="n"/>
      <c r="AF837" s="66" t="n"/>
      <c r="AG837" s="66" t="n"/>
      <c r="AH837" s="66" t="n"/>
      <c r="AI837" s="66" t="n"/>
      <c r="AJ837" s="66" t="n"/>
      <c r="AK837" s="66" t="n"/>
      <c r="AL837" s="66" t="n"/>
      <c r="AM837" s="66" t="n"/>
      <c r="AN837" s="66" t="n"/>
      <c r="AO837" s="66" t="n"/>
      <c r="AP837" s="66" t="n"/>
    </row>
    <row r="838">
      <c r="A838" s="66" t="n"/>
      <c r="B838" s="66" t="n"/>
      <c r="C838" s="66" t="n"/>
      <c r="D838" s="66" t="n"/>
      <c r="E838" s="67" t="n"/>
      <c r="F838" s="67" t="n"/>
      <c r="G838" s="68" t="n"/>
      <c r="H838" s="66" t="n"/>
      <c r="I838" s="66" t="n"/>
      <c r="J838" s="67" t="n"/>
      <c r="K838" s="67" t="n"/>
      <c r="L838" s="67" t="n"/>
      <c r="M838" s="28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7" t="n"/>
      <c r="X838" s="67" t="n"/>
      <c r="Y838" s="67" t="n"/>
      <c r="Z838" s="67" t="n"/>
      <c r="AA838" s="67" t="n"/>
      <c r="AB838" s="67" t="n"/>
      <c r="AC838" s="67" t="n"/>
      <c r="AD838" s="66" t="n"/>
      <c r="AE838" s="66" t="n"/>
      <c r="AF838" s="66" t="n"/>
      <c r="AG838" s="66" t="n"/>
      <c r="AH838" s="66" t="n"/>
      <c r="AI838" s="66" t="n"/>
      <c r="AJ838" s="66" t="n"/>
      <c r="AK838" s="66" t="n"/>
      <c r="AL838" s="66" t="n"/>
      <c r="AM838" s="66" t="n"/>
      <c r="AN838" s="66" t="n"/>
      <c r="AO838" s="66" t="n"/>
      <c r="AP838" s="66" t="n"/>
    </row>
    <row r="839">
      <c r="A839" s="66" t="n"/>
      <c r="B839" s="66" t="n"/>
      <c r="C839" s="66" t="n"/>
      <c r="D839" s="66" t="n"/>
      <c r="E839" s="67" t="n"/>
      <c r="F839" s="67" t="n"/>
      <c r="G839" s="68" t="n"/>
      <c r="H839" s="66" t="n"/>
      <c r="I839" s="66" t="n"/>
      <c r="J839" s="67" t="n"/>
      <c r="K839" s="67" t="n"/>
      <c r="L839" s="67" t="n"/>
      <c r="M839" s="28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7" t="n"/>
      <c r="X839" s="67" t="n"/>
      <c r="Y839" s="67" t="n"/>
      <c r="Z839" s="67" t="n"/>
      <c r="AA839" s="67" t="n"/>
      <c r="AB839" s="67" t="n"/>
      <c r="AC839" s="67" t="n"/>
      <c r="AD839" s="66" t="n"/>
      <c r="AE839" s="66" t="n"/>
      <c r="AF839" s="66" t="n"/>
      <c r="AG839" s="66" t="n"/>
      <c r="AH839" s="66" t="n"/>
      <c r="AI839" s="66" t="n"/>
      <c r="AJ839" s="66" t="n"/>
      <c r="AK839" s="66" t="n"/>
      <c r="AL839" s="66" t="n"/>
      <c r="AM839" s="66" t="n"/>
      <c r="AN839" s="66" t="n"/>
      <c r="AO839" s="66" t="n"/>
      <c r="AP839" s="66" t="n"/>
    </row>
    <row r="840">
      <c r="A840" s="66" t="n"/>
      <c r="B840" s="66" t="n"/>
      <c r="C840" s="66" t="n"/>
      <c r="D840" s="66" t="n"/>
      <c r="E840" s="67" t="n"/>
      <c r="F840" s="67" t="n"/>
      <c r="G840" s="68" t="n"/>
      <c r="H840" s="66" t="n"/>
      <c r="I840" s="66" t="n"/>
      <c r="J840" s="67" t="n"/>
      <c r="K840" s="67" t="n"/>
      <c r="L840" s="67" t="n"/>
      <c r="M840" s="28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7" t="n"/>
      <c r="X840" s="67" t="n"/>
      <c r="Y840" s="67" t="n"/>
      <c r="Z840" s="67" t="n"/>
      <c r="AA840" s="67" t="n"/>
      <c r="AB840" s="67" t="n"/>
      <c r="AC840" s="67" t="n"/>
      <c r="AD840" s="66" t="n"/>
      <c r="AE840" s="66" t="n"/>
      <c r="AF840" s="66" t="n"/>
      <c r="AG840" s="66" t="n"/>
      <c r="AH840" s="66" t="n"/>
      <c r="AI840" s="66" t="n"/>
      <c r="AJ840" s="66" t="n"/>
      <c r="AK840" s="66" t="n"/>
      <c r="AL840" s="66" t="n"/>
      <c r="AM840" s="66" t="n"/>
      <c r="AN840" s="66" t="n"/>
      <c r="AO840" s="66" t="n"/>
      <c r="AP840" s="66" t="n"/>
    </row>
    <row r="841">
      <c r="A841" s="66" t="n"/>
      <c r="B841" s="66" t="n"/>
      <c r="C841" s="66" t="n"/>
      <c r="D841" s="66" t="n"/>
      <c r="E841" s="67" t="n"/>
      <c r="F841" s="67" t="n"/>
      <c r="G841" s="68" t="n"/>
      <c r="H841" s="66" t="n"/>
      <c r="I841" s="66" t="n"/>
      <c r="J841" s="67" t="n"/>
      <c r="K841" s="67" t="n"/>
      <c r="L841" s="67" t="n"/>
      <c r="M841" s="28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7" t="n"/>
      <c r="X841" s="67" t="n"/>
      <c r="Y841" s="67" t="n"/>
      <c r="Z841" s="67" t="n"/>
      <c r="AA841" s="67" t="n"/>
      <c r="AB841" s="67" t="n"/>
      <c r="AC841" s="67" t="n"/>
      <c r="AD841" s="66" t="n"/>
      <c r="AE841" s="66" t="n"/>
      <c r="AF841" s="66" t="n"/>
      <c r="AG841" s="66" t="n"/>
      <c r="AH841" s="66" t="n"/>
      <c r="AI841" s="66" t="n"/>
      <c r="AJ841" s="66" t="n"/>
      <c r="AK841" s="66" t="n"/>
      <c r="AL841" s="66" t="n"/>
      <c r="AM841" s="66" t="n"/>
      <c r="AN841" s="66" t="n"/>
      <c r="AO841" s="66" t="n"/>
      <c r="AP841" s="66" t="n"/>
    </row>
    <row r="842">
      <c r="A842" s="66" t="n"/>
      <c r="B842" s="66" t="n"/>
      <c r="C842" s="66" t="n"/>
      <c r="D842" s="66" t="n"/>
      <c r="E842" s="67" t="n"/>
      <c r="F842" s="67" t="n"/>
      <c r="G842" s="68" t="n"/>
      <c r="H842" s="66" t="n"/>
      <c r="I842" s="66" t="n"/>
      <c r="J842" s="67" t="n"/>
      <c r="K842" s="67" t="n"/>
      <c r="L842" s="67" t="n"/>
      <c r="M842" s="28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7" t="n"/>
      <c r="X842" s="67" t="n"/>
      <c r="Y842" s="67" t="n"/>
      <c r="Z842" s="67" t="n"/>
      <c r="AA842" s="67" t="n"/>
      <c r="AB842" s="67" t="n"/>
      <c r="AC842" s="67" t="n"/>
      <c r="AD842" s="66" t="n"/>
      <c r="AE842" s="66" t="n"/>
      <c r="AF842" s="66" t="n"/>
      <c r="AG842" s="66" t="n"/>
      <c r="AH842" s="66" t="n"/>
      <c r="AI842" s="66" t="n"/>
      <c r="AJ842" s="66" t="n"/>
      <c r="AK842" s="66" t="n"/>
      <c r="AL842" s="66" t="n"/>
      <c r="AM842" s="66" t="n"/>
      <c r="AN842" s="66" t="n"/>
      <c r="AO842" s="66" t="n"/>
      <c r="AP842" s="66" t="n"/>
    </row>
    <row r="843">
      <c r="A843" s="66" t="n"/>
      <c r="B843" s="66" t="n"/>
      <c r="C843" s="66" t="n"/>
      <c r="D843" s="66" t="n"/>
      <c r="E843" s="67" t="n"/>
      <c r="F843" s="67" t="n"/>
      <c r="G843" s="68" t="n"/>
      <c r="H843" s="66" t="n"/>
      <c r="I843" s="66" t="n"/>
      <c r="J843" s="67" t="n"/>
      <c r="K843" s="67" t="n"/>
      <c r="L843" s="67" t="n"/>
      <c r="M843" s="28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7" t="n"/>
      <c r="X843" s="67" t="n"/>
      <c r="Y843" s="67" t="n"/>
      <c r="Z843" s="67" t="n"/>
      <c r="AA843" s="67" t="n"/>
      <c r="AB843" s="67" t="n"/>
      <c r="AC843" s="67" t="n"/>
      <c r="AD843" s="66" t="n"/>
      <c r="AE843" s="66" t="n"/>
      <c r="AF843" s="66" t="n"/>
      <c r="AG843" s="66" t="n"/>
      <c r="AH843" s="66" t="n"/>
      <c r="AI843" s="66" t="n"/>
      <c r="AJ843" s="66" t="n"/>
      <c r="AK843" s="66" t="n"/>
      <c r="AL843" s="66" t="n"/>
      <c r="AM843" s="66" t="n"/>
      <c r="AN843" s="66" t="n"/>
      <c r="AO843" s="66" t="n"/>
      <c r="AP843" s="66" t="n"/>
    </row>
    <row r="844">
      <c r="A844" s="66" t="n"/>
      <c r="B844" s="66" t="n"/>
      <c r="C844" s="66" t="n"/>
      <c r="D844" s="66" t="n"/>
      <c r="E844" s="67" t="n"/>
      <c r="F844" s="67" t="n"/>
      <c r="G844" s="68" t="n"/>
      <c r="H844" s="66" t="n"/>
      <c r="I844" s="66" t="n"/>
      <c r="J844" s="67" t="n"/>
      <c r="K844" s="67" t="n"/>
      <c r="L844" s="67" t="n"/>
      <c r="M844" s="28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7" t="n"/>
      <c r="X844" s="67" t="n"/>
      <c r="Y844" s="67" t="n"/>
      <c r="Z844" s="67" t="n"/>
      <c r="AA844" s="67" t="n"/>
      <c r="AB844" s="67" t="n"/>
      <c r="AC844" s="67" t="n"/>
      <c r="AD844" s="66" t="n"/>
      <c r="AE844" s="66" t="n"/>
      <c r="AF844" s="66" t="n"/>
      <c r="AG844" s="66" t="n"/>
      <c r="AH844" s="66" t="n"/>
      <c r="AI844" s="66" t="n"/>
      <c r="AJ844" s="66" t="n"/>
      <c r="AK844" s="66" t="n"/>
      <c r="AL844" s="66" t="n"/>
      <c r="AM844" s="66" t="n"/>
      <c r="AN844" s="66" t="n"/>
      <c r="AO844" s="66" t="n"/>
      <c r="AP844" s="66" t="n"/>
    </row>
    <row r="845">
      <c r="A845" s="66" t="n"/>
      <c r="B845" s="66" t="n"/>
      <c r="C845" s="66" t="n"/>
      <c r="D845" s="66" t="n"/>
      <c r="E845" s="67" t="n"/>
      <c r="F845" s="67" t="n"/>
      <c r="G845" s="68" t="n"/>
      <c r="H845" s="66" t="n"/>
      <c r="I845" s="66" t="n"/>
      <c r="J845" s="67" t="n"/>
      <c r="K845" s="67" t="n"/>
      <c r="L845" s="67" t="n"/>
      <c r="M845" s="28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7" t="n"/>
      <c r="X845" s="67" t="n"/>
      <c r="Y845" s="67" t="n"/>
      <c r="Z845" s="67" t="n"/>
      <c r="AA845" s="67" t="n"/>
      <c r="AB845" s="67" t="n"/>
      <c r="AC845" s="67" t="n"/>
      <c r="AD845" s="66" t="n"/>
      <c r="AE845" s="66" t="n"/>
      <c r="AF845" s="66" t="n"/>
      <c r="AG845" s="66" t="n"/>
      <c r="AH845" s="66" t="n"/>
      <c r="AI845" s="66" t="n"/>
      <c r="AJ845" s="66" t="n"/>
      <c r="AK845" s="66" t="n"/>
      <c r="AL845" s="66" t="n"/>
      <c r="AM845" s="66" t="n"/>
      <c r="AN845" s="66" t="n"/>
      <c r="AO845" s="66" t="n"/>
      <c r="AP845" s="66" t="n"/>
    </row>
    <row r="846">
      <c r="A846" s="66" t="n"/>
      <c r="B846" s="66" t="n"/>
      <c r="C846" s="66" t="n"/>
      <c r="D846" s="66" t="n"/>
      <c r="E846" s="67" t="n"/>
      <c r="F846" s="67" t="n"/>
      <c r="G846" s="68" t="n"/>
      <c r="H846" s="66" t="n"/>
      <c r="I846" s="66" t="n"/>
      <c r="J846" s="67" t="n"/>
      <c r="K846" s="67" t="n"/>
      <c r="L846" s="67" t="n"/>
      <c r="M846" s="28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7" t="n"/>
      <c r="X846" s="67" t="n"/>
      <c r="Y846" s="67" t="n"/>
      <c r="Z846" s="67" t="n"/>
      <c r="AA846" s="67" t="n"/>
      <c r="AB846" s="67" t="n"/>
      <c r="AC846" s="67" t="n"/>
      <c r="AD846" s="66" t="n"/>
      <c r="AE846" s="66" t="n"/>
      <c r="AF846" s="66" t="n"/>
      <c r="AG846" s="66" t="n"/>
      <c r="AH846" s="66" t="n"/>
      <c r="AI846" s="66" t="n"/>
      <c r="AJ846" s="66" t="n"/>
      <c r="AK846" s="66" t="n"/>
      <c r="AL846" s="66" t="n"/>
      <c r="AM846" s="66" t="n"/>
      <c r="AN846" s="66" t="n"/>
      <c r="AO846" s="66" t="n"/>
      <c r="AP846" s="66" t="n"/>
    </row>
    <row r="847">
      <c r="A847" s="66" t="n"/>
      <c r="B847" s="66" t="n"/>
      <c r="C847" s="66" t="n"/>
      <c r="D847" s="66" t="n"/>
      <c r="E847" s="67" t="n"/>
      <c r="F847" s="67" t="n"/>
      <c r="G847" s="68" t="n"/>
      <c r="H847" s="66" t="n"/>
      <c r="I847" s="66" t="n"/>
      <c r="J847" s="67" t="n"/>
      <c r="K847" s="67" t="n"/>
      <c r="L847" s="67" t="n"/>
      <c r="M847" s="28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7" t="n"/>
      <c r="X847" s="67" t="n"/>
      <c r="Y847" s="67" t="n"/>
      <c r="Z847" s="67" t="n"/>
      <c r="AA847" s="67" t="n"/>
      <c r="AB847" s="67" t="n"/>
      <c r="AC847" s="67" t="n"/>
      <c r="AD847" s="66" t="n"/>
      <c r="AE847" s="66" t="n"/>
      <c r="AF847" s="66" t="n"/>
      <c r="AG847" s="66" t="n"/>
      <c r="AH847" s="66" t="n"/>
      <c r="AI847" s="66" t="n"/>
      <c r="AJ847" s="66" t="n"/>
      <c r="AK847" s="66" t="n"/>
      <c r="AL847" s="66" t="n"/>
      <c r="AM847" s="66" t="n"/>
      <c r="AN847" s="66" t="n"/>
      <c r="AO847" s="66" t="n"/>
      <c r="AP847" s="66" t="n"/>
    </row>
    <row r="848">
      <c r="A848" s="66" t="n"/>
      <c r="B848" s="66" t="n"/>
      <c r="C848" s="66" t="n"/>
      <c r="D848" s="66" t="n"/>
      <c r="E848" s="67" t="n"/>
      <c r="F848" s="67" t="n"/>
      <c r="G848" s="68" t="n"/>
      <c r="H848" s="66" t="n"/>
      <c r="I848" s="66" t="n"/>
      <c r="J848" s="67" t="n"/>
      <c r="K848" s="67" t="n"/>
      <c r="L848" s="67" t="n"/>
      <c r="M848" s="28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7" t="n"/>
      <c r="X848" s="67" t="n"/>
      <c r="Y848" s="67" t="n"/>
      <c r="Z848" s="67" t="n"/>
      <c r="AA848" s="67" t="n"/>
      <c r="AB848" s="67" t="n"/>
      <c r="AC848" s="67" t="n"/>
      <c r="AD848" s="66" t="n"/>
      <c r="AE848" s="66" t="n"/>
      <c r="AF848" s="66" t="n"/>
      <c r="AG848" s="66" t="n"/>
      <c r="AH848" s="66" t="n"/>
      <c r="AI848" s="66" t="n"/>
      <c r="AJ848" s="66" t="n"/>
      <c r="AK848" s="66" t="n"/>
      <c r="AL848" s="66" t="n"/>
      <c r="AM848" s="66" t="n"/>
      <c r="AN848" s="66" t="n"/>
      <c r="AO848" s="66" t="n"/>
      <c r="AP848" s="66" t="n"/>
    </row>
    <row r="849">
      <c r="A849" s="66" t="n"/>
      <c r="B849" s="66" t="n"/>
      <c r="C849" s="66" t="n"/>
      <c r="D849" s="66" t="n"/>
      <c r="E849" s="67" t="n"/>
      <c r="F849" s="67" t="n"/>
      <c r="G849" s="68" t="n"/>
      <c r="H849" s="66" t="n"/>
      <c r="I849" s="66" t="n"/>
      <c r="J849" s="67" t="n"/>
      <c r="K849" s="67" t="n"/>
      <c r="L849" s="67" t="n"/>
      <c r="M849" s="28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7" t="n"/>
      <c r="X849" s="67" t="n"/>
      <c r="Y849" s="67" t="n"/>
      <c r="Z849" s="67" t="n"/>
      <c r="AA849" s="67" t="n"/>
      <c r="AB849" s="67" t="n"/>
      <c r="AC849" s="67" t="n"/>
      <c r="AD849" s="66" t="n"/>
      <c r="AE849" s="66" t="n"/>
      <c r="AF849" s="66" t="n"/>
      <c r="AG849" s="66" t="n"/>
      <c r="AH849" s="66" t="n"/>
      <c r="AI849" s="66" t="n"/>
      <c r="AJ849" s="66" t="n"/>
      <c r="AK849" s="66" t="n"/>
      <c r="AL849" s="66" t="n"/>
      <c r="AM849" s="66" t="n"/>
      <c r="AN849" s="66" t="n"/>
      <c r="AO849" s="66" t="n"/>
      <c r="AP849" s="66" t="n"/>
    </row>
    <row r="850">
      <c r="A850" s="66" t="n"/>
      <c r="B850" s="66" t="n"/>
      <c r="C850" s="66" t="n"/>
      <c r="D850" s="66" t="n"/>
      <c r="E850" s="67" t="n"/>
      <c r="F850" s="67" t="n"/>
      <c r="G850" s="68" t="n"/>
      <c r="H850" s="66" t="n"/>
      <c r="I850" s="66" t="n"/>
      <c r="J850" s="67" t="n"/>
      <c r="K850" s="67" t="n"/>
      <c r="L850" s="67" t="n"/>
      <c r="M850" s="28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7" t="n"/>
      <c r="X850" s="67" t="n"/>
      <c r="Y850" s="67" t="n"/>
      <c r="Z850" s="67" t="n"/>
      <c r="AA850" s="67" t="n"/>
      <c r="AB850" s="67" t="n"/>
      <c r="AC850" s="67" t="n"/>
      <c r="AD850" s="66" t="n"/>
      <c r="AE850" s="66" t="n"/>
      <c r="AF850" s="66" t="n"/>
      <c r="AG850" s="66" t="n"/>
      <c r="AH850" s="66" t="n"/>
      <c r="AI850" s="66" t="n"/>
      <c r="AJ850" s="66" t="n"/>
      <c r="AK850" s="66" t="n"/>
      <c r="AL850" s="66" t="n"/>
      <c r="AM850" s="66" t="n"/>
      <c r="AN850" s="66" t="n"/>
      <c r="AO850" s="66" t="n"/>
      <c r="AP850" s="66" t="n"/>
    </row>
    <row r="851">
      <c r="A851" s="66" t="n"/>
      <c r="B851" s="66" t="n"/>
      <c r="C851" s="66" t="n"/>
      <c r="D851" s="66" t="n"/>
      <c r="E851" s="67" t="n"/>
      <c r="F851" s="67" t="n"/>
      <c r="G851" s="68" t="n"/>
      <c r="H851" s="66" t="n"/>
      <c r="I851" s="66" t="n"/>
      <c r="J851" s="67" t="n"/>
      <c r="K851" s="67" t="n"/>
      <c r="L851" s="67" t="n"/>
      <c r="M851" s="28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7" t="n"/>
      <c r="X851" s="67" t="n"/>
      <c r="Y851" s="67" t="n"/>
      <c r="Z851" s="67" t="n"/>
      <c r="AA851" s="67" t="n"/>
      <c r="AB851" s="67" t="n"/>
      <c r="AC851" s="67" t="n"/>
      <c r="AD851" s="66" t="n"/>
      <c r="AE851" s="66" t="n"/>
      <c r="AF851" s="66" t="n"/>
      <c r="AG851" s="66" t="n"/>
      <c r="AH851" s="66" t="n"/>
      <c r="AI851" s="66" t="n"/>
      <c r="AJ851" s="66" t="n"/>
      <c r="AK851" s="66" t="n"/>
      <c r="AL851" s="66" t="n"/>
      <c r="AM851" s="66" t="n"/>
      <c r="AN851" s="66" t="n"/>
      <c r="AO851" s="66" t="n"/>
      <c r="AP851" s="66" t="n"/>
    </row>
    <row r="852">
      <c r="A852" s="66" t="n"/>
      <c r="B852" s="66" t="n"/>
      <c r="C852" s="66" t="n"/>
      <c r="D852" s="66" t="n"/>
      <c r="E852" s="67" t="n"/>
      <c r="F852" s="67" t="n"/>
      <c r="G852" s="68" t="n"/>
      <c r="H852" s="66" t="n"/>
      <c r="I852" s="66" t="n"/>
      <c r="J852" s="67" t="n"/>
      <c r="K852" s="67" t="n"/>
      <c r="L852" s="67" t="n"/>
      <c r="M852" s="28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7" t="n"/>
      <c r="X852" s="67" t="n"/>
      <c r="Y852" s="67" t="n"/>
      <c r="Z852" s="67" t="n"/>
      <c r="AA852" s="67" t="n"/>
      <c r="AB852" s="67" t="n"/>
      <c r="AC852" s="67" t="n"/>
      <c r="AD852" s="66" t="n"/>
      <c r="AE852" s="66" t="n"/>
      <c r="AF852" s="66" t="n"/>
      <c r="AG852" s="66" t="n"/>
      <c r="AH852" s="66" t="n"/>
      <c r="AI852" s="66" t="n"/>
      <c r="AJ852" s="66" t="n"/>
      <c r="AK852" s="66" t="n"/>
      <c r="AL852" s="66" t="n"/>
      <c r="AM852" s="66" t="n"/>
      <c r="AN852" s="66" t="n"/>
      <c r="AO852" s="66" t="n"/>
      <c r="AP852" s="66" t="n"/>
    </row>
    <row r="853">
      <c r="A853" s="66" t="n"/>
      <c r="B853" s="66" t="n"/>
      <c r="C853" s="66" t="n"/>
      <c r="D853" s="66" t="n"/>
      <c r="E853" s="67" t="n"/>
      <c r="F853" s="67" t="n"/>
      <c r="G853" s="68" t="n"/>
      <c r="H853" s="66" t="n"/>
      <c r="I853" s="66" t="n"/>
      <c r="J853" s="67" t="n"/>
      <c r="K853" s="67" t="n"/>
      <c r="L853" s="67" t="n"/>
      <c r="M853" s="28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7" t="n"/>
      <c r="X853" s="67" t="n"/>
      <c r="Y853" s="67" t="n"/>
      <c r="Z853" s="67" t="n"/>
      <c r="AA853" s="67" t="n"/>
      <c r="AB853" s="67" t="n"/>
      <c r="AC853" s="67" t="n"/>
      <c r="AD853" s="66" t="n"/>
      <c r="AE853" s="66" t="n"/>
      <c r="AF853" s="66" t="n"/>
      <c r="AG853" s="66" t="n"/>
      <c r="AH853" s="66" t="n"/>
      <c r="AI853" s="66" t="n"/>
      <c r="AJ853" s="66" t="n"/>
      <c r="AK853" s="66" t="n"/>
      <c r="AL853" s="66" t="n"/>
      <c r="AM853" s="66" t="n"/>
      <c r="AN853" s="66" t="n"/>
      <c r="AO853" s="66" t="n"/>
      <c r="AP853" s="66" t="n"/>
    </row>
    <row r="854">
      <c r="A854" s="66" t="n"/>
      <c r="B854" s="66" t="n"/>
      <c r="C854" s="66" t="n"/>
      <c r="D854" s="66" t="n"/>
      <c r="E854" s="67" t="n"/>
      <c r="F854" s="67" t="n"/>
      <c r="G854" s="68" t="n"/>
      <c r="H854" s="66" t="n"/>
      <c r="I854" s="66" t="n"/>
      <c r="J854" s="67" t="n"/>
      <c r="K854" s="67" t="n"/>
      <c r="L854" s="67" t="n"/>
      <c r="M854" s="28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7" t="n"/>
      <c r="X854" s="67" t="n"/>
      <c r="Y854" s="67" t="n"/>
      <c r="Z854" s="67" t="n"/>
      <c r="AA854" s="67" t="n"/>
      <c r="AB854" s="67" t="n"/>
      <c r="AC854" s="67" t="n"/>
      <c r="AD854" s="66" t="n"/>
      <c r="AE854" s="66" t="n"/>
      <c r="AF854" s="66" t="n"/>
      <c r="AG854" s="66" t="n"/>
      <c r="AH854" s="66" t="n"/>
      <c r="AI854" s="66" t="n"/>
      <c r="AJ854" s="66" t="n"/>
      <c r="AK854" s="66" t="n"/>
      <c r="AL854" s="66" t="n"/>
      <c r="AM854" s="66" t="n"/>
      <c r="AN854" s="66" t="n"/>
      <c r="AO854" s="66" t="n"/>
      <c r="AP854" s="66" t="n"/>
    </row>
    <row r="855">
      <c r="A855" s="66" t="n"/>
      <c r="B855" s="66" t="n"/>
      <c r="C855" s="66" t="n"/>
      <c r="D855" s="66" t="n"/>
      <c r="E855" s="67" t="n"/>
      <c r="F855" s="67" t="n"/>
      <c r="G855" s="68" t="n"/>
      <c r="H855" s="66" t="n"/>
      <c r="I855" s="66" t="n"/>
      <c r="J855" s="67" t="n"/>
      <c r="K855" s="67" t="n"/>
      <c r="L855" s="67" t="n"/>
      <c r="M855" s="28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7" t="n"/>
      <c r="X855" s="67" t="n"/>
      <c r="Y855" s="67" t="n"/>
      <c r="Z855" s="67" t="n"/>
      <c r="AA855" s="67" t="n"/>
      <c r="AB855" s="67" t="n"/>
      <c r="AC855" s="67" t="n"/>
      <c r="AD855" s="66" t="n"/>
      <c r="AE855" s="66" t="n"/>
      <c r="AF855" s="66" t="n"/>
      <c r="AG855" s="66" t="n"/>
      <c r="AH855" s="66" t="n"/>
      <c r="AI855" s="66" t="n"/>
      <c r="AJ855" s="66" t="n"/>
      <c r="AK855" s="66" t="n"/>
      <c r="AL855" s="66" t="n"/>
      <c r="AM855" s="66" t="n"/>
      <c r="AN855" s="66" t="n"/>
      <c r="AO855" s="66" t="n"/>
      <c r="AP855" s="66" t="n"/>
    </row>
    <row r="856">
      <c r="A856" s="66" t="n"/>
      <c r="B856" s="66" t="n"/>
      <c r="C856" s="66" t="n"/>
      <c r="D856" s="66" t="n"/>
      <c r="E856" s="67" t="n"/>
      <c r="F856" s="67" t="n"/>
      <c r="G856" s="68" t="n"/>
      <c r="H856" s="66" t="n"/>
      <c r="I856" s="66" t="n"/>
      <c r="J856" s="67" t="n"/>
      <c r="K856" s="67" t="n"/>
      <c r="L856" s="67" t="n"/>
      <c r="M856" s="28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7" t="n"/>
      <c r="X856" s="67" t="n"/>
      <c r="Y856" s="67" t="n"/>
      <c r="Z856" s="67" t="n"/>
      <c r="AA856" s="67" t="n"/>
      <c r="AB856" s="67" t="n"/>
      <c r="AC856" s="67" t="n"/>
      <c r="AD856" s="66" t="n"/>
      <c r="AE856" s="66" t="n"/>
      <c r="AF856" s="66" t="n"/>
      <c r="AG856" s="66" t="n"/>
      <c r="AH856" s="66" t="n"/>
      <c r="AI856" s="66" t="n"/>
      <c r="AJ856" s="66" t="n"/>
      <c r="AK856" s="66" t="n"/>
      <c r="AL856" s="66" t="n"/>
      <c r="AM856" s="66" t="n"/>
      <c r="AN856" s="66" t="n"/>
      <c r="AO856" s="66" t="n"/>
      <c r="AP856" s="66" t="n"/>
    </row>
    <row r="857">
      <c r="A857" s="66" t="n"/>
      <c r="B857" s="66" t="n"/>
      <c r="C857" s="66" t="n"/>
      <c r="D857" s="66" t="n"/>
      <c r="E857" s="67" t="n"/>
      <c r="F857" s="67" t="n"/>
      <c r="G857" s="68" t="n"/>
      <c r="H857" s="66" t="n"/>
      <c r="I857" s="66" t="n"/>
      <c r="J857" s="67" t="n"/>
      <c r="K857" s="67" t="n"/>
      <c r="L857" s="67" t="n"/>
      <c r="M857" s="28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7" t="n"/>
      <c r="X857" s="67" t="n"/>
      <c r="Y857" s="67" t="n"/>
      <c r="Z857" s="67" t="n"/>
      <c r="AA857" s="67" t="n"/>
      <c r="AB857" s="67" t="n"/>
      <c r="AC857" s="67" t="n"/>
      <c r="AD857" s="66" t="n"/>
      <c r="AE857" s="66" t="n"/>
      <c r="AF857" s="66" t="n"/>
      <c r="AG857" s="66" t="n"/>
      <c r="AH857" s="66" t="n"/>
      <c r="AI857" s="66" t="n"/>
      <c r="AJ857" s="66" t="n"/>
      <c r="AK857" s="66" t="n"/>
      <c r="AL857" s="66" t="n"/>
      <c r="AM857" s="66" t="n"/>
      <c r="AN857" s="66" t="n"/>
      <c r="AO857" s="66" t="n"/>
      <c r="AP857" s="66" t="n"/>
    </row>
    <row r="858">
      <c r="A858" s="66" t="n"/>
      <c r="B858" s="66" t="n"/>
      <c r="C858" s="66" t="n"/>
      <c r="D858" s="66" t="n"/>
      <c r="E858" s="67" t="n"/>
      <c r="F858" s="67" t="n"/>
      <c r="G858" s="68" t="n"/>
      <c r="H858" s="66" t="n"/>
      <c r="I858" s="66" t="n"/>
      <c r="J858" s="67" t="n"/>
      <c r="K858" s="67" t="n"/>
      <c r="L858" s="67" t="n"/>
      <c r="M858" s="28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7" t="n"/>
      <c r="X858" s="67" t="n"/>
      <c r="Y858" s="67" t="n"/>
      <c r="Z858" s="67" t="n"/>
      <c r="AA858" s="67" t="n"/>
      <c r="AB858" s="67" t="n"/>
      <c r="AC858" s="67" t="n"/>
      <c r="AD858" s="66" t="n"/>
      <c r="AE858" s="66" t="n"/>
      <c r="AF858" s="66" t="n"/>
      <c r="AG858" s="66" t="n"/>
      <c r="AH858" s="66" t="n"/>
      <c r="AI858" s="66" t="n"/>
      <c r="AJ858" s="66" t="n"/>
      <c r="AK858" s="66" t="n"/>
      <c r="AL858" s="66" t="n"/>
      <c r="AM858" s="66" t="n"/>
      <c r="AN858" s="66" t="n"/>
      <c r="AO858" s="66" t="n"/>
      <c r="AP858" s="66" t="n"/>
    </row>
    <row r="859">
      <c r="A859" s="66" t="n"/>
      <c r="B859" s="66" t="n"/>
      <c r="C859" s="66" t="n"/>
      <c r="D859" s="66" t="n"/>
      <c r="E859" s="67" t="n"/>
      <c r="F859" s="67" t="n"/>
      <c r="G859" s="68" t="n"/>
      <c r="H859" s="66" t="n"/>
      <c r="I859" s="66" t="n"/>
      <c r="J859" s="67" t="n"/>
      <c r="K859" s="67" t="n"/>
      <c r="L859" s="67" t="n"/>
      <c r="M859" s="28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7" t="n"/>
      <c r="X859" s="67" t="n"/>
      <c r="Y859" s="67" t="n"/>
      <c r="Z859" s="67" t="n"/>
      <c r="AA859" s="67" t="n"/>
      <c r="AB859" s="67" t="n"/>
      <c r="AC859" s="67" t="n"/>
      <c r="AD859" s="66" t="n"/>
      <c r="AE859" s="66" t="n"/>
      <c r="AF859" s="66" t="n"/>
      <c r="AG859" s="66" t="n"/>
      <c r="AH859" s="66" t="n"/>
      <c r="AI859" s="66" t="n"/>
      <c r="AJ859" s="66" t="n"/>
      <c r="AK859" s="66" t="n"/>
      <c r="AL859" s="66" t="n"/>
      <c r="AM859" s="66" t="n"/>
      <c r="AN859" s="66" t="n"/>
      <c r="AO859" s="66" t="n"/>
      <c r="AP859" s="66" t="n"/>
    </row>
    <row r="860">
      <c r="A860" s="66" t="n"/>
      <c r="B860" s="66" t="n"/>
      <c r="C860" s="66" t="n"/>
      <c r="D860" s="66" t="n"/>
      <c r="E860" s="67" t="n"/>
      <c r="F860" s="67" t="n"/>
      <c r="G860" s="68" t="n"/>
      <c r="H860" s="66" t="n"/>
      <c r="I860" s="66" t="n"/>
      <c r="J860" s="67" t="n"/>
      <c r="K860" s="67" t="n"/>
      <c r="L860" s="67" t="n"/>
      <c r="M860" s="28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7" t="n"/>
      <c r="X860" s="67" t="n"/>
      <c r="Y860" s="67" t="n"/>
      <c r="Z860" s="67" t="n"/>
      <c r="AA860" s="67" t="n"/>
      <c r="AB860" s="67" t="n"/>
      <c r="AC860" s="67" t="n"/>
      <c r="AD860" s="66" t="n"/>
      <c r="AE860" s="66" t="n"/>
      <c r="AF860" s="66" t="n"/>
      <c r="AG860" s="66" t="n"/>
      <c r="AH860" s="66" t="n"/>
      <c r="AI860" s="66" t="n"/>
      <c r="AJ860" s="66" t="n"/>
      <c r="AK860" s="66" t="n"/>
      <c r="AL860" s="66" t="n"/>
      <c r="AM860" s="66" t="n"/>
      <c r="AN860" s="66" t="n"/>
      <c r="AO860" s="66" t="n"/>
      <c r="AP860" s="66" t="n"/>
    </row>
    <row r="861">
      <c r="A861" s="66" t="n"/>
      <c r="B861" s="66" t="n"/>
      <c r="C861" s="66" t="n"/>
      <c r="D861" s="66" t="n"/>
      <c r="E861" s="67" t="n"/>
      <c r="F861" s="67" t="n"/>
      <c r="G861" s="68" t="n"/>
      <c r="H861" s="66" t="n"/>
      <c r="I861" s="66" t="n"/>
      <c r="J861" s="67" t="n"/>
      <c r="K861" s="67" t="n"/>
      <c r="L861" s="67" t="n"/>
      <c r="M861" s="28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7" t="n"/>
      <c r="X861" s="67" t="n"/>
      <c r="Y861" s="67" t="n"/>
      <c r="Z861" s="67" t="n"/>
      <c r="AA861" s="67" t="n"/>
      <c r="AB861" s="67" t="n"/>
      <c r="AC861" s="67" t="n"/>
      <c r="AD861" s="66" t="n"/>
      <c r="AE861" s="66" t="n"/>
      <c r="AF861" s="66" t="n"/>
      <c r="AG861" s="66" t="n"/>
      <c r="AH861" s="66" t="n"/>
      <c r="AI861" s="66" t="n"/>
      <c r="AJ861" s="66" t="n"/>
      <c r="AK861" s="66" t="n"/>
      <c r="AL861" s="66" t="n"/>
      <c r="AM861" s="66" t="n"/>
      <c r="AN861" s="66" t="n"/>
      <c r="AO861" s="66" t="n"/>
      <c r="AP861" s="66" t="n"/>
    </row>
    <row r="862">
      <c r="A862" s="66" t="n"/>
      <c r="B862" s="66" t="n"/>
      <c r="C862" s="66" t="n"/>
      <c r="D862" s="66" t="n"/>
      <c r="E862" s="67" t="n"/>
      <c r="F862" s="67" t="n"/>
      <c r="G862" s="68" t="n"/>
      <c r="H862" s="66" t="n"/>
      <c r="I862" s="66" t="n"/>
      <c r="J862" s="67" t="n"/>
      <c r="K862" s="67" t="n"/>
      <c r="L862" s="67" t="n"/>
      <c r="M862" s="28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7" t="n"/>
      <c r="X862" s="67" t="n"/>
      <c r="Y862" s="67" t="n"/>
      <c r="Z862" s="67" t="n"/>
      <c r="AA862" s="67" t="n"/>
      <c r="AB862" s="67" t="n"/>
      <c r="AC862" s="67" t="n"/>
      <c r="AD862" s="66" t="n"/>
      <c r="AE862" s="66" t="n"/>
      <c r="AF862" s="66" t="n"/>
      <c r="AG862" s="66" t="n"/>
      <c r="AH862" s="66" t="n"/>
      <c r="AI862" s="66" t="n"/>
      <c r="AJ862" s="66" t="n"/>
      <c r="AK862" s="66" t="n"/>
      <c r="AL862" s="66" t="n"/>
      <c r="AM862" s="66" t="n"/>
      <c r="AN862" s="66" t="n"/>
      <c r="AO862" s="66" t="n"/>
      <c r="AP862" s="66" t="n"/>
    </row>
    <row r="863">
      <c r="A863" s="66" t="n"/>
      <c r="B863" s="66" t="n"/>
      <c r="C863" s="66" t="n"/>
      <c r="D863" s="66" t="n"/>
      <c r="E863" s="67" t="n"/>
      <c r="F863" s="67" t="n"/>
      <c r="G863" s="68" t="n"/>
      <c r="H863" s="66" t="n"/>
      <c r="I863" s="66" t="n"/>
      <c r="J863" s="67" t="n"/>
      <c r="K863" s="67" t="n"/>
      <c r="L863" s="67" t="n"/>
      <c r="M863" s="28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7" t="n"/>
      <c r="X863" s="67" t="n"/>
      <c r="Y863" s="67" t="n"/>
      <c r="Z863" s="67" t="n"/>
      <c r="AA863" s="67" t="n"/>
      <c r="AB863" s="67" t="n"/>
      <c r="AC863" s="67" t="n"/>
      <c r="AD863" s="66" t="n"/>
      <c r="AE863" s="66" t="n"/>
      <c r="AF863" s="66" t="n"/>
      <c r="AG863" s="66" t="n"/>
      <c r="AH863" s="66" t="n"/>
      <c r="AI863" s="66" t="n"/>
      <c r="AJ863" s="66" t="n"/>
      <c r="AK863" s="66" t="n"/>
      <c r="AL863" s="66" t="n"/>
      <c r="AM863" s="66" t="n"/>
      <c r="AN863" s="66" t="n"/>
      <c r="AO863" s="66" t="n"/>
      <c r="AP863" s="66" t="n"/>
    </row>
    <row r="864">
      <c r="A864" s="66" t="n"/>
      <c r="B864" s="66" t="n"/>
      <c r="C864" s="66" t="n"/>
      <c r="D864" s="66" t="n"/>
      <c r="E864" s="67" t="n"/>
      <c r="F864" s="67" t="n"/>
      <c r="G864" s="68" t="n"/>
      <c r="H864" s="66" t="n"/>
      <c r="I864" s="66" t="n"/>
      <c r="J864" s="67" t="n"/>
      <c r="K864" s="67" t="n"/>
      <c r="L864" s="67" t="n"/>
      <c r="M864" s="28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7" t="n"/>
      <c r="X864" s="67" t="n"/>
      <c r="Y864" s="67" t="n"/>
      <c r="Z864" s="67" t="n"/>
      <c r="AA864" s="67" t="n"/>
      <c r="AB864" s="67" t="n"/>
      <c r="AC864" s="67" t="n"/>
      <c r="AD864" s="66" t="n"/>
      <c r="AE864" s="66" t="n"/>
      <c r="AF864" s="66" t="n"/>
      <c r="AG864" s="66" t="n"/>
      <c r="AH864" s="66" t="n"/>
      <c r="AI864" s="66" t="n"/>
      <c r="AJ864" s="66" t="n"/>
      <c r="AK864" s="66" t="n"/>
      <c r="AL864" s="66" t="n"/>
      <c r="AM864" s="66" t="n"/>
      <c r="AN864" s="66" t="n"/>
      <c r="AO864" s="66" t="n"/>
      <c r="AP864" s="66" t="n"/>
    </row>
    <row r="865">
      <c r="A865" s="66" t="n"/>
      <c r="B865" s="66" t="n"/>
      <c r="C865" s="66" t="n"/>
      <c r="D865" s="66" t="n"/>
      <c r="E865" s="67" t="n"/>
      <c r="F865" s="67" t="n"/>
      <c r="G865" s="68" t="n"/>
      <c r="H865" s="66" t="n"/>
      <c r="I865" s="66" t="n"/>
      <c r="J865" s="67" t="n"/>
      <c r="K865" s="67" t="n"/>
      <c r="L865" s="67" t="n"/>
      <c r="M865" s="28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7" t="n"/>
      <c r="X865" s="67" t="n"/>
      <c r="Y865" s="67" t="n"/>
      <c r="Z865" s="67" t="n"/>
      <c r="AA865" s="67" t="n"/>
      <c r="AB865" s="67" t="n"/>
      <c r="AC865" s="67" t="n"/>
      <c r="AD865" s="66" t="n"/>
      <c r="AE865" s="66" t="n"/>
      <c r="AF865" s="66" t="n"/>
      <c r="AG865" s="66" t="n"/>
      <c r="AH865" s="66" t="n"/>
      <c r="AI865" s="66" t="n"/>
      <c r="AJ865" s="66" t="n"/>
      <c r="AK865" s="66" t="n"/>
      <c r="AL865" s="66" t="n"/>
      <c r="AM865" s="66" t="n"/>
      <c r="AN865" s="66" t="n"/>
      <c r="AO865" s="66" t="n"/>
      <c r="AP865" s="66" t="n"/>
    </row>
    <row r="866">
      <c r="A866" s="66" t="n"/>
      <c r="B866" s="66" t="n"/>
      <c r="C866" s="66" t="n"/>
      <c r="D866" s="66" t="n"/>
      <c r="E866" s="67" t="n"/>
      <c r="F866" s="67" t="n"/>
      <c r="G866" s="68" t="n"/>
      <c r="H866" s="66" t="n"/>
      <c r="I866" s="66" t="n"/>
      <c r="J866" s="67" t="n"/>
      <c r="K866" s="67" t="n"/>
      <c r="L866" s="67" t="n"/>
      <c r="M866" s="28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7" t="n"/>
      <c r="X866" s="67" t="n"/>
      <c r="Y866" s="67" t="n"/>
      <c r="Z866" s="67" t="n"/>
      <c r="AA866" s="67" t="n"/>
      <c r="AB866" s="67" t="n"/>
      <c r="AC866" s="67" t="n"/>
      <c r="AD866" s="66" t="n"/>
      <c r="AE866" s="66" t="n"/>
      <c r="AF866" s="66" t="n"/>
      <c r="AG866" s="66" t="n"/>
      <c r="AH866" s="66" t="n"/>
      <c r="AI866" s="66" t="n"/>
      <c r="AJ866" s="66" t="n"/>
      <c r="AK866" s="66" t="n"/>
      <c r="AL866" s="66" t="n"/>
      <c r="AM866" s="66" t="n"/>
      <c r="AN866" s="66" t="n"/>
      <c r="AO866" s="66" t="n"/>
      <c r="AP866" s="66" t="n"/>
    </row>
    <row r="867">
      <c r="A867" s="66" t="n"/>
      <c r="B867" s="66" t="n"/>
      <c r="C867" s="66" t="n"/>
      <c r="D867" s="66" t="n"/>
      <c r="E867" s="67" t="n"/>
      <c r="F867" s="67" t="n"/>
      <c r="G867" s="68" t="n"/>
      <c r="H867" s="66" t="n"/>
      <c r="I867" s="66" t="n"/>
      <c r="J867" s="67" t="n"/>
      <c r="K867" s="67" t="n"/>
      <c r="L867" s="67" t="n"/>
      <c r="M867" s="28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7" t="n"/>
      <c r="X867" s="67" t="n"/>
      <c r="Y867" s="67" t="n"/>
      <c r="Z867" s="67" t="n"/>
      <c r="AA867" s="67" t="n"/>
      <c r="AB867" s="67" t="n"/>
      <c r="AC867" s="67" t="n"/>
      <c r="AD867" s="66" t="n"/>
      <c r="AE867" s="66" t="n"/>
      <c r="AF867" s="66" t="n"/>
      <c r="AG867" s="66" t="n"/>
      <c r="AH867" s="66" t="n"/>
      <c r="AI867" s="66" t="n"/>
      <c r="AJ867" s="66" t="n"/>
      <c r="AK867" s="66" t="n"/>
      <c r="AL867" s="66" t="n"/>
      <c r="AM867" s="66" t="n"/>
      <c r="AN867" s="66" t="n"/>
      <c r="AO867" s="66" t="n"/>
      <c r="AP867" s="66" t="n"/>
    </row>
    <row r="868">
      <c r="A868" s="66" t="n"/>
      <c r="B868" s="66" t="n"/>
      <c r="C868" s="66" t="n"/>
      <c r="D868" s="66" t="n"/>
      <c r="E868" s="67" t="n"/>
      <c r="F868" s="67" t="n"/>
      <c r="G868" s="68" t="n"/>
      <c r="H868" s="66" t="n"/>
      <c r="I868" s="66" t="n"/>
      <c r="J868" s="67" t="n"/>
      <c r="K868" s="67" t="n"/>
      <c r="L868" s="67" t="n"/>
      <c r="M868" s="28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7" t="n"/>
      <c r="X868" s="67" t="n"/>
      <c r="Y868" s="67" t="n"/>
      <c r="Z868" s="67" t="n"/>
      <c r="AA868" s="67" t="n"/>
      <c r="AB868" s="67" t="n"/>
      <c r="AC868" s="67" t="n"/>
      <c r="AD868" s="66" t="n"/>
      <c r="AE868" s="66" t="n"/>
      <c r="AF868" s="66" t="n"/>
      <c r="AG868" s="66" t="n"/>
      <c r="AH868" s="66" t="n"/>
      <c r="AI868" s="66" t="n"/>
      <c r="AJ868" s="66" t="n"/>
      <c r="AK868" s="66" t="n"/>
      <c r="AL868" s="66" t="n"/>
      <c r="AM868" s="66" t="n"/>
      <c r="AN868" s="66" t="n"/>
      <c r="AO868" s="66" t="n"/>
      <c r="AP868" s="66" t="n"/>
    </row>
    <row r="869">
      <c r="A869" s="66" t="n"/>
      <c r="B869" s="66" t="n"/>
      <c r="C869" s="66" t="n"/>
      <c r="D869" s="66" t="n"/>
      <c r="E869" s="67" t="n"/>
      <c r="F869" s="67" t="n"/>
      <c r="G869" s="68" t="n"/>
      <c r="H869" s="66" t="n"/>
      <c r="I869" s="66" t="n"/>
      <c r="J869" s="67" t="n"/>
      <c r="K869" s="67" t="n"/>
      <c r="L869" s="67" t="n"/>
      <c r="M869" s="28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7" t="n"/>
      <c r="X869" s="67" t="n"/>
      <c r="Y869" s="67" t="n"/>
      <c r="Z869" s="67" t="n"/>
      <c r="AA869" s="67" t="n"/>
      <c r="AB869" s="67" t="n"/>
      <c r="AC869" s="67" t="n"/>
      <c r="AD869" s="66" t="n"/>
      <c r="AE869" s="66" t="n"/>
      <c r="AF869" s="66" t="n"/>
      <c r="AG869" s="66" t="n"/>
      <c r="AH869" s="66" t="n"/>
      <c r="AI869" s="66" t="n"/>
      <c r="AJ869" s="66" t="n"/>
      <c r="AK869" s="66" t="n"/>
      <c r="AL869" s="66" t="n"/>
      <c r="AM869" s="66" t="n"/>
      <c r="AN869" s="66" t="n"/>
      <c r="AO869" s="66" t="n"/>
      <c r="AP869" s="66" t="n"/>
    </row>
    <row r="870">
      <c r="A870" s="66" t="n"/>
      <c r="B870" s="66" t="n"/>
      <c r="C870" s="66" t="n"/>
      <c r="D870" s="66" t="n"/>
      <c r="E870" s="67" t="n"/>
      <c r="F870" s="67" t="n"/>
      <c r="G870" s="68" t="n"/>
      <c r="H870" s="66" t="n"/>
      <c r="I870" s="66" t="n"/>
      <c r="J870" s="67" t="n"/>
      <c r="K870" s="67" t="n"/>
      <c r="L870" s="67" t="n"/>
      <c r="M870" s="28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7" t="n"/>
      <c r="X870" s="67" t="n"/>
      <c r="Y870" s="67" t="n"/>
      <c r="Z870" s="67" t="n"/>
      <c r="AA870" s="67" t="n"/>
      <c r="AB870" s="67" t="n"/>
      <c r="AC870" s="67" t="n"/>
      <c r="AD870" s="66" t="n"/>
      <c r="AE870" s="66" t="n"/>
      <c r="AF870" s="66" t="n"/>
      <c r="AG870" s="66" t="n"/>
      <c r="AH870" s="66" t="n"/>
      <c r="AI870" s="66" t="n"/>
      <c r="AJ870" s="66" t="n"/>
      <c r="AK870" s="66" t="n"/>
      <c r="AL870" s="66" t="n"/>
      <c r="AM870" s="66" t="n"/>
      <c r="AN870" s="66" t="n"/>
      <c r="AO870" s="66" t="n"/>
      <c r="AP870" s="66" t="n"/>
    </row>
    <row r="871">
      <c r="A871" s="66" t="n"/>
      <c r="B871" s="66" t="n"/>
      <c r="C871" s="66" t="n"/>
      <c r="D871" s="66" t="n"/>
      <c r="E871" s="67" t="n"/>
      <c r="F871" s="67" t="n"/>
      <c r="G871" s="68" t="n"/>
      <c r="H871" s="66" t="n"/>
      <c r="I871" s="66" t="n"/>
      <c r="J871" s="67" t="n"/>
      <c r="K871" s="67" t="n"/>
      <c r="L871" s="67" t="n"/>
      <c r="M871" s="28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7" t="n"/>
      <c r="X871" s="67" t="n"/>
      <c r="Y871" s="67" t="n"/>
      <c r="Z871" s="67" t="n"/>
      <c r="AA871" s="67" t="n"/>
      <c r="AB871" s="67" t="n"/>
      <c r="AC871" s="67" t="n"/>
      <c r="AD871" s="66" t="n"/>
      <c r="AE871" s="66" t="n"/>
      <c r="AF871" s="66" t="n"/>
      <c r="AG871" s="66" t="n"/>
      <c r="AH871" s="66" t="n"/>
      <c r="AI871" s="66" t="n"/>
      <c r="AJ871" s="66" t="n"/>
      <c r="AK871" s="66" t="n"/>
      <c r="AL871" s="66" t="n"/>
      <c r="AM871" s="66" t="n"/>
      <c r="AN871" s="66" t="n"/>
      <c r="AO871" s="66" t="n"/>
      <c r="AP871" s="66" t="n"/>
    </row>
    <row r="872">
      <c r="A872" s="66" t="n"/>
      <c r="B872" s="66" t="n"/>
      <c r="C872" s="66" t="n"/>
      <c r="D872" s="66" t="n"/>
      <c r="E872" s="67" t="n"/>
      <c r="F872" s="67" t="n"/>
      <c r="G872" s="68" t="n"/>
      <c r="H872" s="66" t="n"/>
      <c r="I872" s="66" t="n"/>
      <c r="J872" s="67" t="n"/>
      <c r="K872" s="67" t="n"/>
      <c r="L872" s="67" t="n"/>
      <c r="M872" s="28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7" t="n"/>
      <c r="X872" s="67" t="n"/>
      <c r="Y872" s="67" t="n"/>
      <c r="Z872" s="67" t="n"/>
      <c r="AA872" s="67" t="n"/>
      <c r="AB872" s="67" t="n"/>
      <c r="AC872" s="67" t="n"/>
      <c r="AD872" s="66" t="n"/>
      <c r="AE872" s="66" t="n"/>
      <c r="AF872" s="66" t="n"/>
      <c r="AG872" s="66" t="n"/>
      <c r="AH872" s="66" t="n"/>
      <c r="AI872" s="66" t="n"/>
      <c r="AJ872" s="66" t="n"/>
      <c r="AK872" s="66" t="n"/>
      <c r="AL872" s="66" t="n"/>
      <c r="AM872" s="66" t="n"/>
      <c r="AN872" s="66" t="n"/>
      <c r="AO872" s="66" t="n"/>
      <c r="AP872" s="66" t="n"/>
    </row>
    <row r="873">
      <c r="A873" s="66" t="n"/>
      <c r="B873" s="66" t="n"/>
      <c r="C873" s="66" t="n"/>
      <c r="D873" s="66" t="n"/>
      <c r="E873" s="67" t="n"/>
      <c r="F873" s="67" t="n"/>
      <c r="G873" s="68" t="n"/>
      <c r="H873" s="66" t="n"/>
      <c r="I873" s="66" t="n"/>
      <c r="J873" s="67" t="n"/>
      <c r="K873" s="67" t="n"/>
      <c r="L873" s="67" t="n"/>
      <c r="M873" s="28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7" t="n"/>
      <c r="X873" s="67" t="n"/>
      <c r="Y873" s="67" t="n"/>
      <c r="Z873" s="67" t="n"/>
      <c r="AA873" s="67" t="n"/>
      <c r="AB873" s="67" t="n"/>
      <c r="AC873" s="67" t="n"/>
      <c r="AD873" s="66" t="n"/>
      <c r="AE873" s="66" t="n"/>
      <c r="AF873" s="66" t="n"/>
      <c r="AG873" s="66" t="n"/>
      <c r="AH873" s="66" t="n"/>
      <c r="AI873" s="66" t="n"/>
      <c r="AJ873" s="66" t="n"/>
      <c r="AK873" s="66" t="n"/>
      <c r="AL873" s="66" t="n"/>
      <c r="AM873" s="66" t="n"/>
      <c r="AN873" s="66" t="n"/>
      <c r="AO873" s="66" t="n"/>
      <c r="AP873" s="66" t="n"/>
    </row>
    <row r="874">
      <c r="A874" s="66" t="n"/>
      <c r="B874" s="66" t="n"/>
      <c r="C874" s="66" t="n"/>
      <c r="D874" s="66" t="n"/>
      <c r="E874" s="67" t="n"/>
      <c r="F874" s="67" t="n"/>
      <c r="G874" s="68" t="n"/>
      <c r="H874" s="66" t="n"/>
      <c r="I874" s="66" t="n"/>
      <c r="J874" s="67" t="n"/>
      <c r="K874" s="67" t="n"/>
      <c r="L874" s="67" t="n"/>
      <c r="M874" s="28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7" t="n"/>
      <c r="X874" s="67" t="n"/>
      <c r="Y874" s="67" t="n"/>
      <c r="Z874" s="67" t="n"/>
      <c r="AA874" s="67" t="n"/>
      <c r="AB874" s="67" t="n"/>
      <c r="AC874" s="67" t="n"/>
      <c r="AD874" s="66" t="n"/>
      <c r="AE874" s="66" t="n"/>
      <c r="AF874" s="66" t="n"/>
      <c r="AG874" s="66" t="n"/>
      <c r="AH874" s="66" t="n"/>
      <c r="AI874" s="66" t="n"/>
      <c r="AJ874" s="66" t="n"/>
      <c r="AK874" s="66" t="n"/>
      <c r="AL874" s="66" t="n"/>
      <c r="AM874" s="66" t="n"/>
      <c r="AN874" s="66" t="n"/>
      <c r="AO874" s="66" t="n"/>
      <c r="AP874" s="66" t="n"/>
    </row>
    <row r="875">
      <c r="A875" s="66" t="n"/>
      <c r="B875" s="66" t="n"/>
      <c r="C875" s="66" t="n"/>
      <c r="D875" s="66" t="n"/>
      <c r="E875" s="67" t="n"/>
      <c r="F875" s="67" t="n"/>
      <c r="G875" s="68" t="n"/>
      <c r="H875" s="66" t="n"/>
      <c r="I875" s="66" t="n"/>
      <c r="J875" s="67" t="n"/>
      <c r="K875" s="67" t="n"/>
      <c r="L875" s="67" t="n"/>
      <c r="M875" s="28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7" t="n"/>
      <c r="X875" s="67" t="n"/>
      <c r="Y875" s="67" t="n"/>
      <c r="Z875" s="67" t="n"/>
      <c r="AA875" s="67" t="n"/>
      <c r="AB875" s="67" t="n"/>
      <c r="AC875" s="67" t="n"/>
      <c r="AD875" s="66" t="n"/>
      <c r="AE875" s="66" t="n"/>
      <c r="AF875" s="66" t="n"/>
      <c r="AG875" s="66" t="n"/>
      <c r="AH875" s="66" t="n"/>
      <c r="AI875" s="66" t="n"/>
      <c r="AJ875" s="66" t="n"/>
      <c r="AK875" s="66" t="n"/>
      <c r="AL875" s="66" t="n"/>
      <c r="AM875" s="66" t="n"/>
      <c r="AN875" s="66" t="n"/>
      <c r="AO875" s="66" t="n"/>
      <c r="AP875" s="66" t="n"/>
    </row>
    <row r="876">
      <c r="A876" s="66" t="n"/>
      <c r="B876" s="66" t="n"/>
      <c r="C876" s="66" t="n"/>
      <c r="D876" s="66" t="n"/>
      <c r="E876" s="67" t="n"/>
      <c r="F876" s="67" t="n"/>
      <c r="G876" s="68" t="n"/>
      <c r="H876" s="66" t="n"/>
      <c r="I876" s="66" t="n"/>
      <c r="J876" s="67" t="n"/>
      <c r="K876" s="67" t="n"/>
      <c r="L876" s="67" t="n"/>
      <c r="M876" s="28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7" t="n"/>
      <c r="X876" s="67" t="n"/>
      <c r="Y876" s="67" t="n"/>
      <c r="Z876" s="67" t="n"/>
      <c r="AA876" s="67" t="n"/>
      <c r="AB876" s="67" t="n"/>
      <c r="AC876" s="67" t="n"/>
      <c r="AD876" s="66" t="n"/>
      <c r="AE876" s="66" t="n"/>
      <c r="AF876" s="66" t="n"/>
      <c r="AG876" s="66" t="n"/>
      <c r="AH876" s="66" t="n"/>
      <c r="AI876" s="66" t="n"/>
      <c r="AJ876" s="66" t="n"/>
      <c r="AK876" s="66" t="n"/>
      <c r="AL876" s="66" t="n"/>
      <c r="AM876" s="66" t="n"/>
      <c r="AN876" s="66" t="n"/>
      <c r="AO876" s="66" t="n"/>
      <c r="AP876" s="66" t="n"/>
    </row>
    <row r="877">
      <c r="A877" s="66" t="n"/>
      <c r="B877" s="66" t="n"/>
      <c r="C877" s="66" t="n"/>
      <c r="D877" s="66" t="n"/>
      <c r="E877" s="67" t="n"/>
      <c r="F877" s="67" t="n"/>
      <c r="G877" s="68" t="n"/>
      <c r="H877" s="66" t="n"/>
      <c r="I877" s="66" t="n"/>
      <c r="J877" s="67" t="n"/>
      <c r="K877" s="67" t="n"/>
      <c r="L877" s="67" t="n"/>
      <c r="M877" s="28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7" t="n"/>
      <c r="X877" s="67" t="n"/>
      <c r="Y877" s="67" t="n"/>
      <c r="Z877" s="67" t="n"/>
      <c r="AA877" s="67" t="n"/>
      <c r="AB877" s="67" t="n"/>
      <c r="AC877" s="67" t="n"/>
      <c r="AD877" s="66" t="n"/>
      <c r="AE877" s="66" t="n"/>
      <c r="AF877" s="66" t="n"/>
      <c r="AG877" s="66" t="n"/>
      <c r="AH877" s="66" t="n"/>
      <c r="AI877" s="66" t="n"/>
      <c r="AJ877" s="66" t="n"/>
      <c r="AK877" s="66" t="n"/>
      <c r="AL877" s="66" t="n"/>
      <c r="AM877" s="66" t="n"/>
      <c r="AN877" s="66" t="n"/>
      <c r="AO877" s="66" t="n"/>
      <c r="AP877" s="66" t="n"/>
    </row>
    <row r="878">
      <c r="A878" s="66" t="n"/>
      <c r="B878" s="66" t="n"/>
      <c r="C878" s="66" t="n"/>
      <c r="D878" s="66" t="n"/>
      <c r="E878" s="67" t="n"/>
      <c r="F878" s="67" t="n"/>
      <c r="G878" s="68" t="n"/>
      <c r="H878" s="66" t="n"/>
      <c r="I878" s="66" t="n"/>
      <c r="J878" s="67" t="n"/>
      <c r="K878" s="67" t="n"/>
      <c r="L878" s="67" t="n"/>
      <c r="M878" s="28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7" t="n"/>
      <c r="X878" s="67" t="n"/>
      <c r="Y878" s="67" t="n"/>
      <c r="Z878" s="67" t="n"/>
      <c r="AA878" s="67" t="n"/>
      <c r="AB878" s="67" t="n"/>
      <c r="AC878" s="67" t="n"/>
      <c r="AD878" s="66" t="n"/>
      <c r="AE878" s="66" t="n"/>
      <c r="AF878" s="66" t="n"/>
      <c r="AG878" s="66" t="n"/>
      <c r="AH878" s="66" t="n"/>
      <c r="AI878" s="66" t="n"/>
      <c r="AJ878" s="66" t="n"/>
      <c r="AK878" s="66" t="n"/>
      <c r="AL878" s="66" t="n"/>
      <c r="AM878" s="66" t="n"/>
      <c r="AN878" s="66" t="n"/>
      <c r="AO878" s="66" t="n"/>
      <c r="AP878" s="66" t="n"/>
    </row>
    <row r="879">
      <c r="A879" s="66" t="n"/>
      <c r="B879" s="66" t="n"/>
      <c r="C879" s="66" t="n"/>
      <c r="D879" s="66" t="n"/>
      <c r="E879" s="67" t="n"/>
      <c r="F879" s="67" t="n"/>
      <c r="G879" s="68" t="n"/>
      <c r="H879" s="66" t="n"/>
      <c r="I879" s="66" t="n"/>
      <c r="J879" s="67" t="n"/>
      <c r="K879" s="67" t="n"/>
      <c r="L879" s="67" t="n"/>
      <c r="M879" s="28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7" t="n"/>
      <c r="X879" s="67" t="n"/>
      <c r="Y879" s="67" t="n"/>
      <c r="Z879" s="67" t="n"/>
      <c r="AA879" s="67" t="n"/>
      <c r="AB879" s="67" t="n"/>
      <c r="AC879" s="67" t="n"/>
      <c r="AD879" s="66" t="n"/>
      <c r="AE879" s="66" t="n"/>
      <c r="AF879" s="66" t="n"/>
      <c r="AG879" s="66" t="n"/>
      <c r="AH879" s="66" t="n"/>
      <c r="AI879" s="66" t="n"/>
      <c r="AJ879" s="66" t="n"/>
      <c r="AK879" s="66" t="n"/>
      <c r="AL879" s="66" t="n"/>
      <c r="AM879" s="66" t="n"/>
      <c r="AN879" s="66" t="n"/>
      <c r="AO879" s="66" t="n"/>
      <c r="AP879" s="66" t="n"/>
    </row>
    <row r="880">
      <c r="A880" s="66" t="n"/>
      <c r="B880" s="66" t="n"/>
      <c r="C880" s="66" t="n"/>
      <c r="D880" s="66" t="n"/>
      <c r="E880" s="67" t="n"/>
      <c r="F880" s="67" t="n"/>
      <c r="G880" s="68" t="n"/>
      <c r="H880" s="66" t="n"/>
      <c r="I880" s="66" t="n"/>
      <c r="J880" s="67" t="n"/>
      <c r="K880" s="67" t="n"/>
      <c r="L880" s="67" t="n"/>
      <c r="M880" s="28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7" t="n"/>
      <c r="X880" s="67" t="n"/>
      <c r="Y880" s="67" t="n"/>
      <c r="Z880" s="67" t="n"/>
      <c r="AA880" s="67" t="n"/>
      <c r="AB880" s="67" t="n"/>
      <c r="AC880" s="67" t="n"/>
      <c r="AD880" s="66" t="n"/>
      <c r="AE880" s="66" t="n"/>
      <c r="AF880" s="66" t="n"/>
      <c r="AG880" s="66" t="n"/>
      <c r="AH880" s="66" t="n"/>
      <c r="AI880" s="66" t="n"/>
      <c r="AJ880" s="66" t="n"/>
      <c r="AK880" s="66" t="n"/>
      <c r="AL880" s="66" t="n"/>
      <c r="AM880" s="66" t="n"/>
      <c r="AN880" s="66" t="n"/>
      <c r="AO880" s="66" t="n"/>
      <c r="AP880" s="66" t="n"/>
    </row>
    <row r="881">
      <c r="A881" s="66" t="n"/>
      <c r="B881" s="66" t="n"/>
      <c r="C881" s="66" t="n"/>
      <c r="D881" s="66" t="n"/>
      <c r="E881" s="67" t="n"/>
      <c r="F881" s="67" t="n"/>
      <c r="G881" s="68" t="n"/>
      <c r="H881" s="66" t="n"/>
      <c r="I881" s="66" t="n"/>
      <c r="J881" s="67" t="n"/>
      <c r="K881" s="67" t="n"/>
      <c r="L881" s="67" t="n"/>
      <c r="M881" s="28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7" t="n"/>
      <c r="X881" s="67" t="n"/>
      <c r="Y881" s="67" t="n"/>
      <c r="Z881" s="67" t="n"/>
      <c r="AA881" s="67" t="n"/>
      <c r="AB881" s="67" t="n"/>
      <c r="AC881" s="67" t="n"/>
      <c r="AD881" s="66" t="n"/>
      <c r="AE881" s="66" t="n"/>
      <c r="AF881" s="66" t="n"/>
      <c r="AG881" s="66" t="n"/>
      <c r="AH881" s="66" t="n"/>
      <c r="AI881" s="66" t="n"/>
      <c r="AJ881" s="66" t="n"/>
      <c r="AK881" s="66" t="n"/>
      <c r="AL881" s="66" t="n"/>
      <c r="AM881" s="66" t="n"/>
      <c r="AN881" s="66" t="n"/>
      <c r="AO881" s="66" t="n"/>
      <c r="AP881" s="66" t="n"/>
    </row>
    <row r="882">
      <c r="A882" s="66" t="n"/>
      <c r="B882" s="66" t="n"/>
      <c r="C882" s="66" t="n"/>
      <c r="D882" s="66" t="n"/>
      <c r="E882" s="67" t="n"/>
      <c r="F882" s="67" t="n"/>
      <c r="G882" s="68" t="n"/>
      <c r="H882" s="66" t="n"/>
      <c r="I882" s="66" t="n"/>
      <c r="J882" s="67" t="n"/>
      <c r="K882" s="67" t="n"/>
      <c r="L882" s="67" t="n"/>
      <c r="M882" s="28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7" t="n"/>
      <c r="X882" s="67" t="n"/>
      <c r="Y882" s="67" t="n"/>
      <c r="Z882" s="67" t="n"/>
      <c r="AA882" s="67" t="n"/>
      <c r="AB882" s="67" t="n"/>
      <c r="AC882" s="67" t="n"/>
      <c r="AD882" s="66" t="n"/>
      <c r="AE882" s="66" t="n"/>
      <c r="AF882" s="66" t="n"/>
      <c r="AG882" s="66" t="n"/>
      <c r="AH882" s="66" t="n"/>
      <c r="AI882" s="66" t="n"/>
      <c r="AJ882" s="66" t="n"/>
      <c r="AK882" s="66" t="n"/>
      <c r="AL882" s="66" t="n"/>
      <c r="AM882" s="66" t="n"/>
      <c r="AN882" s="66" t="n"/>
      <c r="AO882" s="66" t="n"/>
      <c r="AP882" s="66" t="n"/>
    </row>
    <row r="883">
      <c r="A883" s="66" t="n"/>
      <c r="B883" s="66" t="n"/>
      <c r="C883" s="66" t="n"/>
      <c r="D883" s="66" t="n"/>
      <c r="E883" s="67" t="n"/>
      <c r="F883" s="67" t="n"/>
      <c r="G883" s="68" t="n"/>
      <c r="H883" s="66" t="n"/>
      <c r="I883" s="66" t="n"/>
      <c r="J883" s="67" t="n"/>
      <c r="K883" s="67" t="n"/>
      <c r="L883" s="67" t="n"/>
      <c r="M883" s="28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7" t="n"/>
      <c r="X883" s="67" t="n"/>
      <c r="Y883" s="67" t="n"/>
      <c r="Z883" s="67" t="n"/>
      <c r="AA883" s="67" t="n"/>
      <c r="AB883" s="67" t="n"/>
      <c r="AC883" s="67" t="n"/>
      <c r="AD883" s="66" t="n"/>
      <c r="AE883" s="66" t="n"/>
      <c r="AF883" s="66" t="n"/>
      <c r="AG883" s="66" t="n"/>
      <c r="AH883" s="66" t="n"/>
      <c r="AI883" s="66" t="n"/>
      <c r="AJ883" s="66" t="n"/>
      <c r="AK883" s="66" t="n"/>
      <c r="AL883" s="66" t="n"/>
      <c r="AM883" s="66" t="n"/>
      <c r="AN883" s="66" t="n"/>
      <c r="AO883" s="66" t="n"/>
      <c r="AP883" s="66" t="n"/>
    </row>
    <row r="884">
      <c r="A884" s="66" t="n"/>
      <c r="B884" s="66" t="n"/>
      <c r="C884" s="66" t="n"/>
      <c r="D884" s="66" t="n"/>
      <c r="E884" s="67" t="n"/>
      <c r="F884" s="67" t="n"/>
      <c r="G884" s="68" t="n"/>
      <c r="H884" s="66" t="n"/>
      <c r="I884" s="66" t="n"/>
      <c r="J884" s="67" t="n"/>
      <c r="K884" s="67" t="n"/>
      <c r="L884" s="67" t="n"/>
      <c r="M884" s="28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7" t="n"/>
      <c r="X884" s="67" t="n"/>
      <c r="Y884" s="67" t="n"/>
      <c r="Z884" s="67" t="n"/>
      <c r="AA884" s="67" t="n"/>
      <c r="AB884" s="67" t="n"/>
      <c r="AC884" s="67" t="n"/>
      <c r="AD884" s="66" t="n"/>
      <c r="AE884" s="66" t="n"/>
      <c r="AF884" s="66" t="n"/>
      <c r="AG884" s="66" t="n"/>
      <c r="AH884" s="66" t="n"/>
      <c r="AI884" s="66" t="n"/>
      <c r="AJ884" s="66" t="n"/>
      <c r="AK884" s="66" t="n"/>
      <c r="AL884" s="66" t="n"/>
      <c r="AM884" s="66" t="n"/>
      <c r="AN884" s="66" t="n"/>
      <c r="AO884" s="66" t="n"/>
      <c r="AP884" s="66" t="n"/>
    </row>
    <row r="885">
      <c r="A885" s="66" t="n"/>
      <c r="B885" s="66" t="n"/>
      <c r="C885" s="66" t="n"/>
      <c r="D885" s="66" t="n"/>
      <c r="E885" s="67" t="n"/>
      <c r="F885" s="67" t="n"/>
      <c r="G885" s="68" t="n"/>
      <c r="H885" s="66" t="n"/>
      <c r="I885" s="66" t="n"/>
      <c r="J885" s="67" t="n"/>
      <c r="K885" s="67" t="n"/>
      <c r="L885" s="67" t="n"/>
      <c r="M885" s="28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7" t="n"/>
      <c r="X885" s="67" t="n"/>
      <c r="Y885" s="67" t="n"/>
      <c r="Z885" s="67" t="n"/>
      <c r="AA885" s="67" t="n"/>
      <c r="AB885" s="67" t="n"/>
      <c r="AC885" s="67" t="n"/>
      <c r="AD885" s="66" t="n"/>
      <c r="AE885" s="66" t="n"/>
      <c r="AF885" s="66" t="n"/>
      <c r="AG885" s="66" t="n"/>
      <c r="AH885" s="66" t="n"/>
      <c r="AI885" s="66" t="n"/>
      <c r="AJ885" s="66" t="n"/>
      <c r="AK885" s="66" t="n"/>
      <c r="AL885" s="66" t="n"/>
      <c r="AM885" s="66" t="n"/>
      <c r="AN885" s="66" t="n"/>
      <c r="AO885" s="66" t="n"/>
      <c r="AP885" s="66" t="n"/>
    </row>
    <row r="886">
      <c r="A886" s="66" t="n"/>
      <c r="B886" s="66" t="n"/>
      <c r="C886" s="66" t="n"/>
      <c r="D886" s="66" t="n"/>
      <c r="E886" s="67" t="n"/>
      <c r="F886" s="67" t="n"/>
      <c r="G886" s="68" t="n"/>
      <c r="H886" s="66" t="n"/>
      <c r="I886" s="66" t="n"/>
      <c r="J886" s="67" t="n"/>
      <c r="K886" s="67" t="n"/>
      <c r="L886" s="67" t="n"/>
      <c r="M886" s="28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7" t="n"/>
      <c r="X886" s="67" t="n"/>
      <c r="Y886" s="67" t="n"/>
      <c r="Z886" s="67" t="n"/>
      <c r="AA886" s="67" t="n"/>
      <c r="AB886" s="67" t="n"/>
      <c r="AC886" s="67" t="n"/>
      <c r="AD886" s="66" t="n"/>
      <c r="AE886" s="66" t="n"/>
      <c r="AF886" s="66" t="n"/>
      <c r="AG886" s="66" t="n"/>
      <c r="AH886" s="66" t="n"/>
      <c r="AI886" s="66" t="n"/>
      <c r="AJ886" s="66" t="n"/>
      <c r="AK886" s="66" t="n"/>
      <c r="AL886" s="66" t="n"/>
      <c r="AM886" s="66" t="n"/>
      <c r="AN886" s="66" t="n"/>
      <c r="AO886" s="66" t="n"/>
      <c r="AP886" s="66" t="n"/>
    </row>
    <row r="887">
      <c r="A887" s="66" t="n"/>
      <c r="B887" s="66" t="n"/>
      <c r="C887" s="66" t="n"/>
      <c r="D887" s="66" t="n"/>
      <c r="E887" s="67" t="n"/>
      <c r="F887" s="67" t="n"/>
      <c r="G887" s="68" t="n"/>
      <c r="H887" s="66" t="n"/>
      <c r="I887" s="66" t="n"/>
      <c r="J887" s="67" t="n"/>
      <c r="K887" s="67" t="n"/>
      <c r="L887" s="67" t="n"/>
      <c r="M887" s="28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7" t="n"/>
      <c r="X887" s="67" t="n"/>
      <c r="Y887" s="67" t="n"/>
      <c r="Z887" s="67" t="n"/>
      <c r="AA887" s="67" t="n"/>
      <c r="AB887" s="67" t="n"/>
      <c r="AC887" s="67" t="n"/>
      <c r="AD887" s="66" t="n"/>
      <c r="AE887" s="66" t="n"/>
      <c r="AF887" s="66" t="n"/>
      <c r="AG887" s="66" t="n"/>
      <c r="AH887" s="66" t="n"/>
      <c r="AI887" s="66" t="n"/>
      <c r="AJ887" s="66" t="n"/>
      <c r="AK887" s="66" t="n"/>
      <c r="AL887" s="66" t="n"/>
      <c r="AM887" s="66" t="n"/>
      <c r="AN887" s="66" t="n"/>
      <c r="AO887" s="66" t="n"/>
      <c r="AP887" s="66" t="n"/>
    </row>
    <row r="888">
      <c r="A888" s="66" t="n"/>
      <c r="B888" s="66" t="n"/>
      <c r="C888" s="66" t="n"/>
      <c r="D888" s="66" t="n"/>
      <c r="E888" s="67" t="n"/>
      <c r="F888" s="67" t="n"/>
      <c r="G888" s="68" t="n"/>
      <c r="H888" s="66" t="n"/>
      <c r="I888" s="66" t="n"/>
      <c r="J888" s="67" t="n"/>
      <c r="K888" s="67" t="n"/>
      <c r="L888" s="67" t="n"/>
      <c r="M888" s="28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7" t="n"/>
      <c r="X888" s="67" t="n"/>
      <c r="Y888" s="67" t="n"/>
      <c r="Z888" s="67" t="n"/>
      <c r="AA888" s="67" t="n"/>
      <c r="AB888" s="67" t="n"/>
      <c r="AC888" s="67" t="n"/>
      <c r="AD888" s="66" t="n"/>
      <c r="AE888" s="66" t="n"/>
      <c r="AF888" s="66" t="n"/>
      <c r="AG888" s="66" t="n"/>
      <c r="AH888" s="66" t="n"/>
      <c r="AI888" s="66" t="n"/>
      <c r="AJ888" s="66" t="n"/>
      <c r="AK888" s="66" t="n"/>
      <c r="AL888" s="66" t="n"/>
      <c r="AM888" s="66" t="n"/>
      <c r="AN888" s="66" t="n"/>
      <c r="AO888" s="66" t="n"/>
      <c r="AP888" s="66" t="n"/>
    </row>
    <row r="889">
      <c r="A889" s="66" t="n"/>
      <c r="B889" s="66" t="n"/>
      <c r="C889" s="66" t="n"/>
      <c r="D889" s="66" t="n"/>
      <c r="E889" s="67" t="n"/>
      <c r="F889" s="67" t="n"/>
      <c r="G889" s="68" t="n"/>
      <c r="H889" s="66" t="n"/>
      <c r="I889" s="66" t="n"/>
      <c r="J889" s="67" t="n"/>
      <c r="K889" s="67" t="n"/>
      <c r="L889" s="67" t="n"/>
      <c r="M889" s="28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7" t="n"/>
      <c r="X889" s="67" t="n"/>
      <c r="Y889" s="67" t="n"/>
      <c r="Z889" s="67" t="n"/>
      <c r="AA889" s="67" t="n"/>
      <c r="AB889" s="67" t="n"/>
      <c r="AC889" s="67" t="n"/>
      <c r="AD889" s="66" t="n"/>
      <c r="AE889" s="66" t="n"/>
      <c r="AF889" s="66" t="n"/>
      <c r="AG889" s="66" t="n"/>
      <c r="AH889" s="66" t="n"/>
      <c r="AI889" s="66" t="n"/>
      <c r="AJ889" s="66" t="n"/>
      <c r="AK889" s="66" t="n"/>
      <c r="AL889" s="66" t="n"/>
      <c r="AM889" s="66" t="n"/>
      <c r="AN889" s="66" t="n"/>
      <c r="AO889" s="66" t="n"/>
      <c r="AP889" s="66" t="n"/>
    </row>
    <row r="890">
      <c r="A890" s="66" t="n"/>
      <c r="B890" s="66" t="n"/>
      <c r="C890" s="66" t="n"/>
      <c r="D890" s="66" t="n"/>
      <c r="E890" s="67" t="n"/>
      <c r="F890" s="67" t="n"/>
      <c r="G890" s="68" t="n"/>
      <c r="H890" s="66" t="n"/>
      <c r="I890" s="66" t="n"/>
      <c r="J890" s="67" t="n"/>
      <c r="K890" s="67" t="n"/>
      <c r="L890" s="67" t="n"/>
      <c r="M890" s="28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7" t="n"/>
      <c r="X890" s="67" t="n"/>
      <c r="Y890" s="67" t="n"/>
      <c r="Z890" s="67" t="n"/>
      <c r="AA890" s="67" t="n"/>
      <c r="AB890" s="67" t="n"/>
      <c r="AC890" s="67" t="n"/>
      <c r="AD890" s="66" t="n"/>
      <c r="AE890" s="66" t="n"/>
      <c r="AF890" s="66" t="n"/>
      <c r="AG890" s="66" t="n"/>
      <c r="AH890" s="66" t="n"/>
      <c r="AI890" s="66" t="n"/>
      <c r="AJ890" s="66" t="n"/>
      <c r="AK890" s="66" t="n"/>
      <c r="AL890" s="66" t="n"/>
      <c r="AM890" s="66" t="n"/>
      <c r="AN890" s="66" t="n"/>
      <c r="AO890" s="66" t="n"/>
      <c r="AP890" s="66" t="n"/>
    </row>
    <row r="891">
      <c r="A891" s="66" t="n"/>
      <c r="B891" s="66" t="n"/>
      <c r="C891" s="66" t="n"/>
      <c r="D891" s="66" t="n"/>
      <c r="E891" s="67" t="n"/>
      <c r="F891" s="67" t="n"/>
      <c r="G891" s="68" t="n"/>
      <c r="H891" s="66" t="n"/>
      <c r="I891" s="66" t="n"/>
      <c r="J891" s="67" t="n"/>
      <c r="K891" s="67" t="n"/>
      <c r="L891" s="67" t="n"/>
      <c r="M891" s="28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7" t="n"/>
      <c r="X891" s="67" t="n"/>
      <c r="Y891" s="67" t="n"/>
      <c r="Z891" s="67" t="n"/>
      <c r="AA891" s="67" t="n"/>
      <c r="AB891" s="67" t="n"/>
      <c r="AC891" s="67" t="n"/>
      <c r="AD891" s="66" t="n"/>
      <c r="AE891" s="66" t="n"/>
      <c r="AF891" s="66" t="n"/>
      <c r="AG891" s="66" t="n"/>
      <c r="AH891" s="66" t="n"/>
      <c r="AI891" s="66" t="n"/>
      <c r="AJ891" s="66" t="n"/>
      <c r="AK891" s="66" t="n"/>
      <c r="AL891" s="66" t="n"/>
      <c r="AM891" s="66" t="n"/>
      <c r="AN891" s="66" t="n"/>
      <c r="AO891" s="66" t="n"/>
      <c r="AP891" s="66" t="n"/>
    </row>
    <row r="892">
      <c r="A892" s="66" t="n"/>
      <c r="B892" s="66" t="n"/>
      <c r="C892" s="66" t="n"/>
      <c r="D892" s="66" t="n"/>
      <c r="E892" s="67" t="n"/>
      <c r="F892" s="67" t="n"/>
      <c r="G892" s="68" t="n"/>
      <c r="H892" s="66" t="n"/>
      <c r="I892" s="66" t="n"/>
      <c r="J892" s="67" t="n"/>
      <c r="K892" s="67" t="n"/>
      <c r="L892" s="67" t="n"/>
      <c r="M892" s="28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7" t="n"/>
      <c r="X892" s="67" t="n"/>
      <c r="Y892" s="67" t="n"/>
      <c r="Z892" s="67" t="n"/>
      <c r="AA892" s="67" t="n"/>
      <c r="AB892" s="67" t="n"/>
      <c r="AC892" s="67" t="n"/>
      <c r="AD892" s="66" t="n"/>
      <c r="AE892" s="66" t="n"/>
      <c r="AF892" s="66" t="n"/>
      <c r="AG892" s="66" t="n"/>
      <c r="AH892" s="66" t="n"/>
      <c r="AI892" s="66" t="n"/>
      <c r="AJ892" s="66" t="n"/>
      <c r="AK892" s="66" t="n"/>
      <c r="AL892" s="66" t="n"/>
      <c r="AM892" s="66" t="n"/>
      <c r="AN892" s="66" t="n"/>
      <c r="AO892" s="66" t="n"/>
      <c r="AP892" s="66" t="n"/>
    </row>
    <row r="893">
      <c r="A893" s="66" t="n"/>
      <c r="B893" s="66" t="n"/>
      <c r="C893" s="66" t="n"/>
      <c r="D893" s="66" t="n"/>
      <c r="E893" s="67" t="n"/>
      <c r="F893" s="67" t="n"/>
      <c r="G893" s="68" t="n"/>
      <c r="H893" s="66" t="n"/>
      <c r="I893" s="66" t="n"/>
      <c r="J893" s="67" t="n"/>
      <c r="K893" s="67" t="n"/>
      <c r="L893" s="67" t="n"/>
      <c r="M893" s="28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7" t="n"/>
      <c r="X893" s="67" t="n"/>
      <c r="Y893" s="67" t="n"/>
      <c r="Z893" s="67" t="n"/>
      <c r="AA893" s="67" t="n"/>
      <c r="AB893" s="67" t="n"/>
      <c r="AC893" s="67" t="n"/>
      <c r="AD893" s="66" t="n"/>
      <c r="AE893" s="66" t="n"/>
      <c r="AF893" s="66" t="n"/>
      <c r="AG893" s="66" t="n"/>
      <c r="AH893" s="66" t="n"/>
      <c r="AI893" s="66" t="n"/>
      <c r="AJ893" s="66" t="n"/>
      <c r="AK893" s="66" t="n"/>
      <c r="AL893" s="66" t="n"/>
      <c r="AM893" s="66" t="n"/>
      <c r="AN893" s="66" t="n"/>
      <c r="AO893" s="66" t="n"/>
      <c r="AP893" s="66" t="n"/>
    </row>
    <row r="894">
      <c r="A894" s="66" t="n"/>
      <c r="B894" s="66" t="n"/>
      <c r="C894" s="66" t="n"/>
      <c r="D894" s="66" t="n"/>
      <c r="E894" s="67" t="n"/>
      <c r="F894" s="67" t="n"/>
      <c r="G894" s="68" t="n"/>
      <c r="H894" s="66" t="n"/>
      <c r="I894" s="66" t="n"/>
      <c r="J894" s="67" t="n"/>
      <c r="K894" s="67" t="n"/>
      <c r="L894" s="67" t="n"/>
      <c r="M894" s="28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7" t="n"/>
      <c r="X894" s="67" t="n"/>
      <c r="Y894" s="67" t="n"/>
      <c r="Z894" s="67" t="n"/>
      <c r="AA894" s="67" t="n"/>
      <c r="AB894" s="67" t="n"/>
      <c r="AC894" s="67" t="n"/>
      <c r="AD894" s="66" t="n"/>
      <c r="AE894" s="66" t="n"/>
      <c r="AF894" s="66" t="n"/>
      <c r="AG894" s="66" t="n"/>
      <c r="AH894" s="66" t="n"/>
      <c r="AI894" s="66" t="n"/>
      <c r="AJ894" s="66" t="n"/>
      <c r="AK894" s="66" t="n"/>
      <c r="AL894" s="66" t="n"/>
      <c r="AM894" s="66" t="n"/>
      <c r="AN894" s="66" t="n"/>
      <c r="AO894" s="66" t="n"/>
      <c r="AP894" s="66" t="n"/>
    </row>
    <row r="895">
      <c r="A895" s="66" t="n"/>
      <c r="B895" s="66" t="n"/>
      <c r="C895" s="66" t="n"/>
      <c r="D895" s="66" t="n"/>
      <c r="E895" s="67" t="n"/>
      <c r="F895" s="67" t="n"/>
      <c r="G895" s="68" t="n"/>
      <c r="H895" s="66" t="n"/>
      <c r="I895" s="66" t="n"/>
      <c r="J895" s="67" t="n"/>
      <c r="K895" s="67" t="n"/>
      <c r="L895" s="67" t="n"/>
      <c r="M895" s="28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7" t="n"/>
      <c r="X895" s="67" t="n"/>
      <c r="Y895" s="67" t="n"/>
      <c r="Z895" s="67" t="n"/>
      <c r="AA895" s="67" t="n"/>
      <c r="AB895" s="67" t="n"/>
      <c r="AC895" s="67" t="n"/>
      <c r="AD895" s="66" t="n"/>
      <c r="AE895" s="66" t="n"/>
      <c r="AF895" s="66" t="n"/>
      <c r="AG895" s="66" t="n"/>
      <c r="AH895" s="66" t="n"/>
      <c r="AI895" s="66" t="n"/>
      <c r="AJ895" s="66" t="n"/>
      <c r="AK895" s="66" t="n"/>
      <c r="AL895" s="66" t="n"/>
      <c r="AM895" s="66" t="n"/>
      <c r="AN895" s="66" t="n"/>
      <c r="AO895" s="66" t="n"/>
      <c r="AP895" s="66" t="n"/>
    </row>
    <row r="896">
      <c r="A896" s="66" t="n"/>
      <c r="B896" s="66" t="n"/>
      <c r="C896" s="66" t="n"/>
      <c r="D896" s="66" t="n"/>
      <c r="E896" s="67" t="n"/>
      <c r="F896" s="67" t="n"/>
      <c r="G896" s="68" t="n"/>
      <c r="H896" s="66" t="n"/>
      <c r="I896" s="66" t="n"/>
      <c r="J896" s="67" t="n"/>
      <c r="K896" s="67" t="n"/>
      <c r="L896" s="67" t="n"/>
      <c r="M896" s="28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7" t="n"/>
      <c r="X896" s="67" t="n"/>
      <c r="Y896" s="67" t="n"/>
      <c r="Z896" s="67" t="n"/>
      <c r="AA896" s="67" t="n"/>
      <c r="AB896" s="67" t="n"/>
      <c r="AC896" s="67" t="n"/>
      <c r="AD896" s="66" t="n"/>
      <c r="AE896" s="66" t="n"/>
      <c r="AF896" s="66" t="n"/>
      <c r="AG896" s="66" t="n"/>
      <c r="AH896" s="66" t="n"/>
      <c r="AI896" s="66" t="n"/>
      <c r="AJ896" s="66" t="n"/>
      <c r="AK896" s="66" t="n"/>
      <c r="AL896" s="66" t="n"/>
      <c r="AM896" s="66" t="n"/>
      <c r="AN896" s="66" t="n"/>
      <c r="AO896" s="66" t="n"/>
      <c r="AP896" s="66" t="n"/>
    </row>
    <row r="897">
      <c r="A897" s="66" t="n"/>
      <c r="B897" s="66" t="n"/>
      <c r="C897" s="66" t="n"/>
      <c r="D897" s="66" t="n"/>
      <c r="E897" s="67" t="n"/>
      <c r="F897" s="67" t="n"/>
      <c r="G897" s="68" t="n"/>
      <c r="H897" s="66" t="n"/>
      <c r="I897" s="66" t="n"/>
      <c r="J897" s="67" t="n"/>
      <c r="K897" s="67" t="n"/>
      <c r="L897" s="67" t="n"/>
      <c r="M897" s="28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7" t="n"/>
      <c r="X897" s="67" t="n"/>
      <c r="Y897" s="67" t="n"/>
      <c r="Z897" s="67" t="n"/>
      <c r="AA897" s="67" t="n"/>
      <c r="AB897" s="67" t="n"/>
      <c r="AC897" s="67" t="n"/>
      <c r="AD897" s="66" t="n"/>
      <c r="AE897" s="66" t="n"/>
      <c r="AF897" s="66" t="n"/>
      <c r="AG897" s="66" t="n"/>
      <c r="AH897" s="66" t="n"/>
      <c r="AI897" s="66" t="n"/>
      <c r="AJ897" s="66" t="n"/>
      <c r="AK897" s="66" t="n"/>
      <c r="AL897" s="66" t="n"/>
      <c r="AM897" s="66" t="n"/>
      <c r="AN897" s="66" t="n"/>
      <c r="AO897" s="66" t="n"/>
      <c r="AP897" s="66" t="n"/>
    </row>
    <row r="898">
      <c r="A898" s="66" t="n"/>
      <c r="B898" s="66" t="n"/>
      <c r="C898" s="66" t="n"/>
      <c r="D898" s="66" t="n"/>
      <c r="E898" s="67" t="n"/>
      <c r="F898" s="67" t="n"/>
      <c r="G898" s="68" t="n"/>
      <c r="H898" s="66" t="n"/>
      <c r="I898" s="66" t="n"/>
      <c r="J898" s="67" t="n"/>
      <c r="K898" s="67" t="n"/>
      <c r="L898" s="67" t="n"/>
      <c r="M898" s="28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7" t="n"/>
      <c r="X898" s="67" t="n"/>
      <c r="Y898" s="67" t="n"/>
      <c r="Z898" s="67" t="n"/>
      <c r="AA898" s="67" t="n"/>
      <c r="AB898" s="67" t="n"/>
      <c r="AC898" s="67" t="n"/>
      <c r="AD898" s="66" t="n"/>
      <c r="AE898" s="66" t="n"/>
      <c r="AF898" s="66" t="n"/>
      <c r="AG898" s="66" t="n"/>
      <c r="AH898" s="66" t="n"/>
      <c r="AI898" s="66" t="n"/>
      <c r="AJ898" s="66" t="n"/>
      <c r="AK898" s="66" t="n"/>
      <c r="AL898" s="66" t="n"/>
      <c r="AM898" s="66" t="n"/>
      <c r="AN898" s="66" t="n"/>
      <c r="AO898" s="66" t="n"/>
      <c r="AP898" s="66" t="n"/>
    </row>
    <row r="899">
      <c r="A899" s="66" t="n"/>
      <c r="B899" s="66" t="n"/>
      <c r="C899" s="66" t="n"/>
      <c r="D899" s="66" t="n"/>
      <c r="E899" s="67" t="n"/>
      <c r="F899" s="67" t="n"/>
      <c r="G899" s="68" t="n"/>
      <c r="H899" s="66" t="n"/>
      <c r="I899" s="66" t="n"/>
      <c r="J899" s="67" t="n"/>
      <c r="K899" s="67" t="n"/>
      <c r="L899" s="67" t="n"/>
      <c r="M899" s="28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7" t="n"/>
      <c r="X899" s="67" t="n"/>
      <c r="Y899" s="67" t="n"/>
      <c r="Z899" s="67" t="n"/>
      <c r="AA899" s="67" t="n"/>
      <c r="AB899" s="67" t="n"/>
      <c r="AC899" s="67" t="n"/>
      <c r="AD899" s="66" t="n"/>
      <c r="AE899" s="66" t="n"/>
      <c r="AF899" s="66" t="n"/>
      <c r="AG899" s="66" t="n"/>
      <c r="AH899" s="66" t="n"/>
      <c r="AI899" s="66" t="n"/>
      <c r="AJ899" s="66" t="n"/>
      <c r="AK899" s="66" t="n"/>
      <c r="AL899" s="66" t="n"/>
      <c r="AM899" s="66" t="n"/>
      <c r="AN899" s="66" t="n"/>
      <c r="AO899" s="66" t="n"/>
      <c r="AP899" s="66" t="n"/>
    </row>
    <row r="900">
      <c r="A900" s="66" t="n"/>
      <c r="B900" s="66" t="n"/>
      <c r="C900" s="66" t="n"/>
      <c r="D900" s="66" t="n"/>
      <c r="E900" s="67" t="n"/>
      <c r="F900" s="67" t="n"/>
      <c r="G900" s="68" t="n"/>
      <c r="H900" s="66" t="n"/>
      <c r="I900" s="66" t="n"/>
      <c r="J900" s="67" t="n"/>
      <c r="K900" s="67" t="n"/>
      <c r="L900" s="67" t="n"/>
      <c r="M900" s="28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7" t="n"/>
      <c r="X900" s="67" t="n"/>
      <c r="Y900" s="67" t="n"/>
      <c r="Z900" s="67" t="n"/>
      <c r="AA900" s="67" t="n"/>
      <c r="AB900" s="67" t="n"/>
      <c r="AC900" s="67" t="n"/>
      <c r="AD900" s="66" t="n"/>
      <c r="AE900" s="66" t="n"/>
      <c r="AF900" s="66" t="n"/>
      <c r="AG900" s="66" t="n"/>
      <c r="AH900" s="66" t="n"/>
      <c r="AI900" s="66" t="n"/>
      <c r="AJ900" s="66" t="n"/>
      <c r="AK900" s="66" t="n"/>
      <c r="AL900" s="66" t="n"/>
      <c r="AM900" s="66" t="n"/>
      <c r="AN900" s="66" t="n"/>
      <c r="AO900" s="66" t="n"/>
      <c r="AP900" s="66" t="n"/>
    </row>
    <row r="901">
      <c r="A901" s="66" t="n"/>
      <c r="B901" s="66" t="n"/>
      <c r="C901" s="66" t="n"/>
      <c r="D901" s="66" t="n"/>
      <c r="E901" s="67" t="n"/>
      <c r="F901" s="67" t="n"/>
      <c r="G901" s="68" t="n"/>
      <c r="H901" s="66" t="n"/>
      <c r="I901" s="66" t="n"/>
      <c r="J901" s="67" t="n"/>
      <c r="K901" s="67" t="n"/>
      <c r="L901" s="67" t="n"/>
      <c r="M901" s="28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7" t="n"/>
      <c r="X901" s="67" t="n"/>
      <c r="Y901" s="67" t="n"/>
      <c r="Z901" s="67" t="n"/>
      <c r="AA901" s="67" t="n"/>
      <c r="AB901" s="67" t="n"/>
      <c r="AC901" s="67" t="n"/>
      <c r="AD901" s="66" t="n"/>
      <c r="AE901" s="66" t="n"/>
      <c r="AF901" s="66" t="n"/>
      <c r="AG901" s="66" t="n"/>
      <c r="AH901" s="66" t="n"/>
      <c r="AI901" s="66" t="n"/>
      <c r="AJ901" s="66" t="n"/>
      <c r="AK901" s="66" t="n"/>
      <c r="AL901" s="66" t="n"/>
      <c r="AM901" s="66" t="n"/>
      <c r="AN901" s="66" t="n"/>
      <c r="AO901" s="66" t="n"/>
      <c r="AP901" s="66" t="n"/>
    </row>
    <row r="902">
      <c r="A902" s="66" t="n"/>
      <c r="B902" s="66" t="n"/>
      <c r="C902" s="66" t="n"/>
      <c r="D902" s="66" t="n"/>
      <c r="E902" s="67" t="n"/>
      <c r="F902" s="67" t="n"/>
      <c r="G902" s="68" t="n"/>
      <c r="H902" s="66" t="n"/>
      <c r="I902" s="66" t="n"/>
      <c r="J902" s="67" t="n"/>
      <c r="K902" s="67" t="n"/>
      <c r="L902" s="67" t="n"/>
      <c r="M902" s="28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7" t="n"/>
      <c r="X902" s="67" t="n"/>
      <c r="Y902" s="67" t="n"/>
      <c r="Z902" s="67" t="n"/>
      <c r="AA902" s="67" t="n"/>
      <c r="AB902" s="67" t="n"/>
      <c r="AC902" s="67" t="n"/>
      <c r="AD902" s="66" t="n"/>
      <c r="AE902" s="66" t="n"/>
      <c r="AF902" s="66" t="n"/>
      <c r="AG902" s="66" t="n"/>
      <c r="AH902" s="66" t="n"/>
      <c r="AI902" s="66" t="n"/>
      <c r="AJ902" s="66" t="n"/>
      <c r="AK902" s="66" t="n"/>
      <c r="AL902" s="66" t="n"/>
      <c r="AM902" s="66" t="n"/>
      <c r="AN902" s="66" t="n"/>
      <c r="AO902" s="66" t="n"/>
      <c r="AP902" s="66" t="n"/>
    </row>
    <row r="903">
      <c r="A903" s="66" t="n"/>
      <c r="B903" s="66" t="n"/>
      <c r="C903" s="66" t="n"/>
      <c r="D903" s="66" t="n"/>
      <c r="E903" s="67" t="n"/>
      <c r="F903" s="67" t="n"/>
      <c r="G903" s="68" t="n"/>
      <c r="H903" s="66" t="n"/>
      <c r="I903" s="66" t="n"/>
      <c r="J903" s="67" t="n"/>
      <c r="K903" s="67" t="n"/>
      <c r="L903" s="67" t="n"/>
      <c r="M903" s="28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7" t="n"/>
      <c r="X903" s="67" t="n"/>
      <c r="Y903" s="67" t="n"/>
      <c r="Z903" s="67" t="n"/>
      <c r="AA903" s="67" t="n"/>
      <c r="AB903" s="67" t="n"/>
      <c r="AC903" s="67" t="n"/>
      <c r="AD903" s="66" t="n"/>
      <c r="AE903" s="66" t="n"/>
      <c r="AF903" s="66" t="n"/>
      <c r="AG903" s="66" t="n"/>
      <c r="AH903" s="66" t="n"/>
      <c r="AI903" s="66" t="n"/>
      <c r="AJ903" s="66" t="n"/>
      <c r="AK903" s="66" t="n"/>
      <c r="AL903" s="66" t="n"/>
      <c r="AM903" s="66" t="n"/>
      <c r="AN903" s="66" t="n"/>
      <c r="AO903" s="66" t="n"/>
      <c r="AP903" s="66" t="n"/>
    </row>
    <row r="904">
      <c r="A904" s="66" t="n"/>
      <c r="B904" s="66" t="n"/>
      <c r="C904" s="66" t="n"/>
      <c r="D904" s="66" t="n"/>
      <c r="E904" s="67" t="n"/>
      <c r="F904" s="67" t="n"/>
      <c r="G904" s="68" t="n"/>
      <c r="H904" s="66" t="n"/>
      <c r="I904" s="66" t="n"/>
      <c r="J904" s="67" t="n"/>
      <c r="K904" s="67" t="n"/>
      <c r="L904" s="67" t="n"/>
      <c r="M904" s="28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7" t="n"/>
      <c r="X904" s="67" t="n"/>
      <c r="Y904" s="67" t="n"/>
      <c r="Z904" s="67" t="n"/>
      <c r="AA904" s="67" t="n"/>
      <c r="AB904" s="67" t="n"/>
      <c r="AC904" s="67" t="n"/>
      <c r="AD904" s="66" t="n"/>
      <c r="AE904" s="66" t="n"/>
      <c r="AF904" s="66" t="n"/>
      <c r="AG904" s="66" t="n"/>
      <c r="AH904" s="66" t="n"/>
      <c r="AI904" s="66" t="n"/>
      <c r="AJ904" s="66" t="n"/>
      <c r="AK904" s="66" t="n"/>
      <c r="AL904" s="66" t="n"/>
      <c r="AM904" s="66" t="n"/>
      <c r="AN904" s="66" t="n"/>
      <c r="AO904" s="66" t="n"/>
      <c r="AP904" s="66" t="n"/>
    </row>
    <row r="905">
      <c r="A905" s="66" t="n"/>
      <c r="B905" s="66" t="n"/>
      <c r="C905" s="66" t="n"/>
      <c r="D905" s="66" t="n"/>
      <c r="E905" s="67" t="n"/>
      <c r="F905" s="67" t="n"/>
      <c r="G905" s="68" t="n"/>
      <c r="H905" s="66" t="n"/>
      <c r="I905" s="66" t="n"/>
      <c r="J905" s="67" t="n"/>
      <c r="K905" s="67" t="n"/>
      <c r="L905" s="67" t="n"/>
      <c r="M905" s="28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7" t="n"/>
      <c r="X905" s="67" t="n"/>
      <c r="Y905" s="67" t="n"/>
      <c r="Z905" s="67" t="n"/>
      <c r="AA905" s="67" t="n"/>
      <c r="AB905" s="67" t="n"/>
      <c r="AC905" s="67" t="n"/>
      <c r="AD905" s="66" t="n"/>
      <c r="AE905" s="66" t="n"/>
      <c r="AF905" s="66" t="n"/>
      <c r="AG905" s="66" t="n"/>
      <c r="AH905" s="66" t="n"/>
      <c r="AI905" s="66" t="n"/>
      <c r="AJ905" s="66" t="n"/>
      <c r="AK905" s="66" t="n"/>
      <c r="AL905" s="66" t="n"/>
      <c r="AM905" s="66" t="n"/>
      <c r="AN905" s="66" t="n"/>
      <c r="AO905" s="66" t="n"/>
      <c r="AP905" s="66" t="n"/>
    </row>
    <row r="906">
      <c r="A906" s="66" t="n"/>
      <c r="B906" s="66" t="n"/>
      <c r="C906" s="66" t="n"/>
      <c r="D906" s="66" t="n"/>
      <c r="E906" s="67" t="n"/>
      <c r="F906" s="67" t="n"/>
      <c r="G906" s="68" t="n"/>
      <c r="H906" s="66" t="n"/>
      <c r="I906" s="66" t="n"/>
      <c r="J906" s="67" t="n"/>
      <c r="K906" s="67" t="n"/>
      <c r="L906" s="67" t="n"/>
      <c r="M906" s="28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7" t="n"/>
      <c r="X906" s="67" t="n"/>
      <c r="Y906" s="67" t="n"/>
      <c r="Z906" s="67" t="n"/>
      <c r="AA906" s="67" t="n"/>
      <c r="AB906" s="67" t="n"/>
      <c r="AC906" s="67" t="n"/>
      <c r="AD906" s="66" t="n"/>
      <c r="AE906" s="66" t="n"/>
      <c r="AF906" s="66" t="n"/>
      <c r="AG906" s="66" t="n"/>
      <c r="AH906" s="66" t="n"/>
      <c r="AI906" s="66" t="n"/>
      <c r="AJ906" s="66" t="n"/>
      <c r="AK906" s="66" t="n"/>
      <c r="AL906" s="66" t="n"/>
      <c r="AM906" s="66" t="n"/>
      <c r="AN906" s="66" t="n"/>
      <c r="AO906" s="66" t="n"/>
      <c r="AP906" s="66" t="n"/>
    </row>
    <row r="907">
      <c r="A907" s="66" t="n"/>
      <c r="B907" s="66" t="n"/>
      <c r="C907" s="66" t="n"/>
      <c r="D907" s="66" t="n"/>
      <c r="E907" s="67" t="n"/>
      <c r="F907" s="67" t="n"/>
      <c r="G907" s="68" t="n"/>
      <c r="H907" s="66" t="n"/>
      <c r="I907" s="66" t="n"/>
      <c r="J907" s="67" t="n"/>
      <c r="K907" s="67" t="n"/>
      <c r="L907" s="67" t="n"/>
      <c r="M907" s="28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7" t="n"/>
      <c r="X907" s="67" t="n"/>
      <c r="Y907" s="67" t="n"/>
      <c r="Z907" s="67" t="n"/>
      <c r="AA907" s="67" t="n"/>
      <c r="AB907" s="67" t="n"/>
      <c r="AC907" s="67" t="n"/>
      <c r="AD907" s="66" t="n"/>
      <c r="AE907" s="66" t="n"/>
      <c r="AF907" s="66" t="n"/>
      <c r="AG907" s="66" t="n"/>
      <c r="AH907" s="66" t="n"/>
      <c r="AI907" s="66" t="n"/>
      <c r="AJ907" s="66" t="n"/>
      <c r="AK907" s="66" t="n"/>
      <c r="AL907" s="66" t="n"/>
      <c r="AM907" s="66" t="n"/>
      <c r="AN907" s="66" t="n"/>
      <c r="AO907" s="66" t="n"/>
      <c r="AP907" s="66" t="n"/>
    </row>
    <row r="908">
      <c r="A908" s="66" t="n"/>
      <c r="B908" s="66" t="n"/>
      <c r="C908" s="66" t="n"/>
      <c r="D908" s="66" t="n"/>
      <c r="E908" s="67" t="n"/>
      <c r="F908" s="67" t="n"/>
      <c r="G908" s="68" t="n"/>
      <c r="H908" s="66" t="n"/>
      <c r="I908" s="66" t="n"/>
      <c r="J908" s="67" t="n"/>
      <c r="K908" s="67" t="n"/>
      <c r="L908" s="67" t="n"/>
      <c r="M908" s="28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7" t="n"/>
      <c r="X908" s="67" t="n"/>
      <c r="Y908" s="67" t="n"/>
      <c r="Z908" s="67" t="n"/>
      <c r="AA908" s="67" t="n"/>
      <c r="AB908" s="67" t="n"/>
      <c r="AC908" s="67" t="n"/>
      <c r="AD908" s="66" t="n"/>
      <c r="AE908" s="66" t="n"/>
      <c r="AF908" s="66" t="n"/>
      <c r="AG908" s="66" t="n"/>
      <c r="AH908" s="66" t="n"/>
      <c r="AI908" s="66" t="n"/>
      <c r="AJ908" s="66" t="n"/>
      <c r="AK908" s="66" t="n"/>
      <c r="AL908" s="66" t="n"/>
      <c r="AM908" s="66" t="n"/>
      <c r="AN908" s="66" t="n"/>
      <c r="AO908" s="66" t="n"/>
      <c r="AP908" s="66" t="n"/>
    </row>
    <row r="909">
      <c r="A909" s="66" t="n"/>
      <c r="B909" s="66" t="n"/>
      <c r="C909" s="66" t="n"/>
      <c r="D909" s="66" t="n"/>
      <c r="E909" s="67" t="n"/>
      <c r="F909" s="67" t="n"/>
      <c r="G909" s="68" t="n"/>
      <c r="H909" s="66" t="n"/>
      <c r="I909" s="66" t="n"/>
      <c r="J909" s="67" t="n"/>
      <c r="K909" s="67" t="n"/>
      <c r="L909" s="67" t="n"/>
      <c r="M909" s="28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7" t="n"/>
      <c r="X909" s="67" t="n"/>
      <c r="Y909" s="67" t="n"/>
      <c r="Z909" s="67" t="n"/>
      <c r="AA909" s="67" t="n"/>
      <c r="AB909" s="67" t="n"/>
      <c r="AC909" s="67" t="n"/>
      <c r="AD909" s="66" t="n"/>
      <c r="AE909" s="66" t="n"/>
      <c r="AF909" s="66" t="n"/>
      <c r="AG909" s="66" t="n"/>
      <c r="AH909" s="66" t="n"/>
      <c r="AI909" s="66" t="n"/>
      <c r="AJ909" s="66" t="n"/>
      <c r="AK909" s="66" t="n"/>
      <c r="AL909" s="66" t="n"/>
      <c r="AM909" s="66" t="n"/>
      <c r="AN909" s="66" t="n"/>
      <c r="AO909" s="66" t="n"/>
      <c r="AP909" s="66" t="n"/>
    </row>
    <row r="910">
      <c r="A910" s="66" t="n"/>
      <c r="B910" s="66" t="n"/>
      <c r="C910" s="66" t="n"/>
      <c r="D910" s="66" t="n"/>
      <c r="E910" s="67" t="n"/>
      <c r="F910" s="67" t="n"/>
      <c r="G910" s="68" t="n"/>
      <c r="H910" s="66" t="n"/>
      <c r="I910" s="66" t="n"/>
      <c r="J910" s="67" t="n"/>
      <c r="K910" s="67" t="n"/>
      <c r="L910" s="67" t="n"/>
      <c r="M910" s="28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7" t="n"/>
      <c r="X910" s="67" t="n"/>
      <c r="Y910" s="67" t="n"/>
      <c r="Z910" s="67" t="n"/>
      <c r="AA910" s="67" t="n"/>
      <c r="AB910" s="67" t="n"/>
      <c r="AC910" s="67" t="n"/>
      <c r="AD910" s="66" t="n"/>
      <c r="AE910" s="66" t="n"/>
      <c r="AF910" s="66" t="n"/>
      <c r="AG910" s="66" t="n"/>
      <c r="AH910" s="66" t="n"/>
      <c r="AI910" s="66" t="n"/>
      <c r="AJ910" s="66" t="n"/>
      <c r="AK910" s="66" t="n"/>
      <c r="AL910" s="66" t="n"/>
      <c r="AM910" s="66" t="n"/>
      <c r="AN910" s="66" t="n"/>
      <c r="AO910" s="66" t="n"/>
      <c r="AP910" s="66" t="n"/>
    </row>
    <row r="911">
      <c r="A911" s="66" t="n"/>
      <c r="B911" s="66" t="n"/>
      <c r="C911" s="66" t="n"/>
      <c r="D911" s="66" t="n"/>
      <c r="E911" s="67" t="n"/>
      <c r="F911" s="67" t="n"/>
      <c r="G911" s="68" t="n"/>
      <c r="H911" s="66" t="n"/>
      <c r="I911" s="66" t="n"/>
      <c r="J911" s="67" t="n"/>
      <c r="K911" s="67" t="n"/>
      <c r="L911" s="67" t="n"/>
      <c r="M911" s="28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7" t="n"/>
      <c r="X911" s="67" t="n"/>
      <c r="Y911" s="67" t="n"/>
      <c r="Z911" s="67" t="n"/>
      <c r="AA911" s="67" t="n"/>
      <c r="AB911" s="67" t="n"/>
      <c r="AC911" s="67" t="n"/>
      <c r="AD911" s="66" t="n"/>
      <c r="AE911" s="66" t="n"/>
      <c r="AF911" s="66" t="n"/>
      <c r="AG911" s="66" t="n"/>
      <c r="AH911" s="66" t="n"/>
      <c r="AI911" s="66" t="n"/>
      <c r="AJ911" s="66" t="n"/>
      <c r="AK911" s="66" t="n"/>
      <c r="AL911" s="66" t="n"/>
      <c r="AM911" s="66" t="n"/>
      <c r="AN911" s="66" t="n"/>
      <c r="AO911" s="66" t="n"/>
      <c r="AP911" s="66" t="n"/>
    </row>
    <row r="912">
      <c r="A912" s="66" t="n"/>
      <c r="B912" s="66" t="n"/>
      <c r="C912" s="66" t="n"/>
      <c r="D912" s="66" t="n"/>
      <c r="E912" s="67" t="n"/>
      <c r="F912" s="67" t="n"/>
      <c r="G912" s="68" t="n"/>
      <c r="H912" s="66" t="n"/>
      <c r="I912" s="66" t="n"/>
      <c r="J912" s="67" t="n"/>
      <c r="K912" s="67" t="n"/>
      <c r="L912" s="67" t="n"/>
      <c r="M912" s="28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7" t="n"/>
      <c r="X912" s="67" t="n"/>
      <c r="Y912" s="67" t="n"/>
      <c r="Z912" s="67" t="n"/>
      <c r="AA912" s="67" t="n"/>
      <c r="AB912" s="67" t="n"/>
      <c r="AC912" s="67" t="n"/>
      <c r="AD912" s="66" t="n"/>
      <c r="AE912" s="66" t="n"/>
      <c r="AF912" s="66" t="n"/>
      <c r="AG912" s="66" t="n"/>
      <c r="AH912" s="66" t="n"/>
      <c r="AI912" s="66" t="n"/>
      <c r="AJ912" s="66" t="n"/>
      <c r="AK912" s="66" t="n"/>
      <c r="AL912" s="66" t="n"/>
      <c r="AM912" s="66" t="n"/>
      <c r="AN912" s="66" t="n"/>
      <c r="AO912" s="66" t="n"/>
      <c r="AP912" s="66" t="n"/>
    </row>
    <row r="913">
      <c r="A913" s="66" t="n"/>
      <c r="B913" s="66" t="n"/>
      <c r="C913" s="66" t="n"/>
      <c r="D913" s="66" t="n"/>
      <c r="E913" s="67" t="n"/>
      <c r="F913" s="67" t="n"/>
      <c r="G913" s="68" t="n"/>
      <c r="H913" s="66" t="n"/>
      <c r="I913" s="66" t="n"/>
      <c r="J913" s="67" t="n"/>
      <c r="K913" s="67" t="n"/>
      <c r="L913" s="67" t="n"/>
      <c r="M913" s="28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7" t="n"/>
      <c r="X913" s="67" t="n"/>
      <c r="Y913" s="67" t="n"/>
      <c r="Z913" s="67" t="n"/>
      <c r="AA913" s="67" t="n"/>
      <c r="AB913" s="67" t="n"/>
      <c r="AC913" s="67" t="n"/>
      <c r="AD913" s="66" t="n"/>
      <c r="AE913" s="66" t="n"/>
      <c r="AF913" s="66" t="n"/>
      <c r="AG913" s="66" t="n"/>
      <c r="AH913" s="66" t="n"/>
      <c r="AI913" s="66" t="n"/>
      <c r="AJ913" s="66" t="n"/>
      <c r="AK913" s="66" t="n"/>
      <c r="AL913" s="66" t="n"/>
      <c r="AM913" s="66" t="n"/>
      <c r="AN913" s="66" t="n"/>
      <c r="AO913" s="66" t="n"/>
      <c r="AP913" s="66" t="n"/>
    </row>
    <row r="914">
      <c r="A914" s="66" t="n"/>
      <c r="B914" s="66" t="n"/>
      <c r="C914" s="66" t="n"/>
      <c r="D914" s="66" t="n"/>
      <c r="E914" s="67" t="n"/>
      <c r="F914" s="67" t="n"/>
      <c r="G914" s="68" t="n"/>
      <c r="H914" s="66" t="n"/>
      <c r="I914" s="66" t="n"/>
      <c r="J914" s="67" t="n"/>
      <c r="K914" s="67" t="n"/>
      <c r="L914" s="67" t="n"/>
      <c r="M914" s="28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7" t="n"/>
      <c r="X914" s="67" t="n"/>
      <c r="Y914" s="67" t="n"/>
      <c r="Z914" s="67" t="n"/>
      <c r="AA914" s="67" t="n"/>
      <c r="AB914" s="67" t="n"/>
      <c r="AC914" s="67" t="n"/>
      <c r="AD914" s="66" t="n"/>
      <c r="AE914" s="66" t="n"/>
      <c r="AF914" s="66" t="n"/>
      <c r="AG914" s="66" t="n"/>
      <c r="AH914" s="66" t="n"/>
      <c r="AI914" s="66" t="n"/>
      <c r="AJ914" s="66" t="n"/>
      <c r="AK914" s="66" t="n"/>
      <c r="AL914" s="66" t="n"/>
      <c r="AM914" s="66" t="n"/>
      <c r="AN914" s="66" t="n"/>
      <c r="AO914" s="66" t="n"/>
      <c r="AP914" s="66" t="n"/>
    </row>
    <row r="915">
      <c r="A915" s="66" t="n"/>
      <c r="B915" s="66" t="n"/>
      <c r="C915" s="66" t="n"/>
      <c r="D915" s="66" t="n"/>
      <c r="E915" s="67" t="n"/>
      <c r="F915" s="67" t="n"/>
      <c r="G915" s="68" t="n"/>
      <c r="H915" s="66" t="n"/>
      <c r="I915" s="66" t="n"/>
      <c r="J915" s="67" t="n"/>
      <c r="K915" s="67" t="n"/>
      <c r="L915" s="67" t="n"/>
      <c r="M915" s="28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7" t="n"/>
      <c r="X915" s="67" t="n"/>
      <c r="Y915" s="67" t="n"/>
      <c r="Z915" s="67" t="n"/>
      <c r="AA915" s="67" t="n"/>
      <c r="AB915" s="67" t="n"/>
      <c r="AC915" s="67" t="n"/>
      <c r="AD915" s="66" t="n"/>
      <c r="AE915" s="66" t="n"/>
      <c r="AF915" s="66" t="n"/>
      <c r="AG915" s="66" t="n"/>
      <c r="AH915" s="66" t="n"/>
      <c r="AI915" s="66" t="n"/>
      <c r="AJ915" s="66" t="n"/>
      <c r="AK915" s="66" t="n"/>
      <c r="AL915" s="66" t="n"/>
      <c r="AM915" s="66" t="n"/>
      <c r="AN915" s="66" t="n"/>
      <c r="AO915" s="66" t="n"/>
      <c r="AP915" s="66" t="n"/>
    </row>
    <row r="916">
      <c r="A916" s="66" t="n"/>
      <c r="B916" s="66" t="n"/>
      <c r="C916" s="66" t="n"/>
      <c r="D916" s="66" t="n"/>
      <c r="E916" s="67" t="n"/>
      <c r="F916" s="67" t="n"/>
      <c r="G916" s="68" t="n"/>
      <c r="H916" s="66" t="n"/>
      <c r="I916" s="66" t="n"/>
      <c r="J916" s="67" t="n"/>
      <c r="K916" s="67" t="n"/>
      <c r="L916" s="67" t="n"/>
      <c r="M916" s="28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7" t="n"/>
      <c r="X916" s="67" t="n"/>
      <c r="Y916" s="67" t="n"/>
      <c r="Z916" s="67" t="n"/>
      <c r="AA916" s="67" t="n"/>
      <c r="AB916" s="67" t="n"/>
      <c r="AC916" s="67" t="n"/>
      <c r="AD916" s="66" t="n"/>
      <c r="AE916" s="66" t="n"/>
      <c r="AF916" s="66" t="n"/>
      <c r="AG916" s="66" t="n"/>
      <c r="AH916" s="66" t="n"/>
      <c r="AI916" s="66" t="n"/>
      <c r="AJ916" s="66" t="n"/>
      <c r="AK916" s="66" t="n"/>
      <c r="AL916" s="66" t="n"/>
      <c r="AM916" s="66" t="n"/>
      <c r="AN916" s="66" t="n"/>
      <c r="AO916" s="66" t="n"/>
      <c r="AP916" s="66" t="n"/>
    </row>
    <row r="917">
      <c r="A917" s="66" t="n"/>
      <c r="B917" s="66" t="n"/>
      <c r="C917" s="66" t="n"/>
      <c r="D917" s="66" t="n"/>
      <c r="E917" s="67" t="n"/>
      <c r="F917" s="67" t="n"/>
      <c r="G917" s="68" t="n"/>
      <c r="H917" s="66" t="n"/>
      <c r="I917" s="66" t="n"/>
      <c r="J917" s="67" t="n"/>
      <c r="K917" s="67" t="n"/>
      <c r="L917" s="67" t="n"/>
      <c r="M917" s="28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7" t="n"/>
      <c r="X917" s="67" t="n"/>
      <c r="Y917" s="67" t="n"/>
      <c r="Z917" s="67" t="n"/>
      <c r="AA917" s="67" t="n"/>
      <c r="AB917" s="67" t="n"/>
      <c r="AC917" s="67" t="n"/>
      <c r="AD917" s="66" t="n"/>
      <c r="AE917" s="66" t="n"/>
      <c r="AF917" s="66" t="n"/>
      <c r="AG917" s="66" t="n"/>
      <c r="AH917" s="66" t="n"/>
      <c r="AI917" s="66" t="n"/>
      <c r="AJ917" s="66" t="n"/>
      <c r="AK917" s="66" t="n"/>
      <c r="AL917" s="66" t="n"/>
      <c r="AM917" s="66" t="n"/>
      <c r="AN917" s="66" t="n"/>
      <c r="AO917" s="66" t="n"/>
      <c r="AP917" s="66" t="n"/>
    </row>
    <row r="918">
      <c r="A918" s="66" t="n"/>
      <c r="B918" s="66" t="n"/>
      <c r="C918" s="66" t="n"/>
      <c r="D918" s="66" t="n"/>
      <c r="E918" s="67" t="n"/>
      <c r="F918" s="67" t="n"/>
      <c r="G918" s="68" t="n"/>
      <c r="H918" s="66" t="n"/>
      <c r="I918" s="66" t="n"/>
      <c r="J918" s="67" t="n"/>
      <c r="K918" s="67" t="n"/>
      <c r="L918" s="67" t="n"/>
      <c r="M918" s="28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7" t="n"/>
      <c r="X918" s="67" t="n"/>
      <c r="Y918" s="67" t="n"/>
      <c r="Z918" s="67" t="n"/>
      <c r="AA918" s="67" t="n"/>
      <c r="AB918" s="67" t="n"/>
      <c r="AC918" s="67" t="n"/>
      <c r="AD918" s="66" t="n"/>
      <c r="AE918" s="66" t="n"/>
      <c r="AF918" s="66" t="n"/>
      <c r="AG918" s="66" t="n"/>
      <c r="AH918" s="66" t="n"/>
      <c r="AI918" s="66" t="n"/>
      <c r="AJ918" s="66" t="n"/>
      <c r="AK918" s="66" t="n"/>
      <c r="AL918" s="66" t="n"/>
      <c r="AM918" s="66" t="n"/>
      <c r="AN918" s="66" t="n"/>
      <c r="AO918" s="66" t="n"/>
      <c r="AP918" s="66" t="n"/>
    </row>
    <row r="919">
      <c r="A919" s="66" t="n"/>
      <c r="B919" s="66" t="n"/>
      <c r="C919" s="66" t="n"/>
      <c r="D919" s="66" t="n"/>
      <c r="E919" s="67" t="n"/>
      <c r="F919" s="67" t="n"/>
      <c r="G919" s="68" t="n"/>
      <c r="H919" s="66" t="n"/>
      <c r="I919" s="66" t="n"/>
      <c r="J919" s="67" t="n"/>
      <c r="K919" s="67" t="n"/>
      <c r="L919" s="67" t="n"/>
      <c r="M919" s="28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7" t="n"/>
      <c r="X919" s="67" t="n"/>
      <c r="Y919" s="67" t="n"/>
      <c r="Z919" s="67" t="n"/>
      <c r="AA919" s="67" t="n"/>
      <c r="AB919" s="67" t="n"/>
      <c r="AC919" s="67" t="n"/>
      <c r="AD919" s="66" t="n"/>
      <c r="AE919" s="66" t="n"/>
      <c r="AF919" s="66" t="n"/>
      <c r="AG919" s="66" t="n"/>
      <c r="AH919" s="66" t="n"/>
      <c r="AI919" s="66" t="n"/>
      <c r="AJ919" s="66" t="n"/>
      <c r="AK919" s="66" t="n"/>
      <c r="AL919" s="66" t="n"/>
      <c r="AM919" s="66" t="n"/>
      <c r="AN919" s="66" t="n"/>
      <c r="AO919" s="66" t="n"/>
      <c r="AP919" s="66" t="n"/>
    </row>
    <row r="920">
      <c r="A920" s="66" t="n"/>
      <c r="B920" s="66" t="n"/>
      <c r="C920" s="66" t="n"/>
      <c r="D920" s="66" t="n"/>
      <c r="E920" s="67" t="n"/>
      <c r="F920" s="67" t="n"/>
      <c r="G920" s="68" t="n"/>
      <c r="H920" s="66" t="n"/>
      <c r="I920" s="66" t="n"/>
      <c r="J920" s="67" t="n"/>
      <c r="K920" s="67" t="n"/>
      <c r="L920" s="67" t="n"/>
      <c r="M920" s="28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7" t="n"/>
      <c r="X920" s="67" t="n"/>
      <c r="Y920" s="67" t="n"/>
      <c r="Z920" s="67" t="n"/>
      <c r="AA920" s="67" t="n"/>
      <c r="AB920" s="67" t="n"/>
      <c r="AC920" s="67" t="n"/>
      <c r="AD920" s="66" t="n"/>
      <c r="AE920" s="66" t="n"/>
      <c r="AF920" s="66" t="n"/>
      <c r="AG920" s="66" t="n"/>
      <c r="AH920" s="66" t="n"/>
      <c r="AI920" s="66" t="n"/>
      <c r="AJ920" s="66" t="n"/>
      <c r="AK920" s="66" t="n"/>
      <c r="AL920" s="66" t="n"/>
      <c r="AM920" s="66" t="n"/>
      <c r="AN920" s="66" t="n"/>
      <c r="AO920" s="66" t="n"/>
      <c r="AP920" s="66" t="n"/>
    </row>
    <row r="921">
      <c r="A921" s="66" t="n"/>
      <c r="B921" s="66" t="n"/>
      <c r="C921" s="66" t="n"/>
      <c r="D921" s="66" t="n"/>
      <c r="E921" s="67" t="n"/>
      <c r="F921" s="67" t="n"/>
      <c r="G921" s="68" t="n"/>
      <c r="H921" s="66" t="n"/>
      <c r="I921" s="66" t="n"/>
      <c r="J921" s="67" t="n"/>
      <c r="K921" s="67" t="n"/>
      <c r="L921" s="67" t="n"/>
      <c r="M921" s="28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7" t="n"/>
      <c r="X921" s="67" t="n"/>
      <c r="Y921" s="67" t="n"/>
      <c r="Z921" s="67" t="n"/>
      <c r="AA921" s="67" t="n"/>
      <c r="AB921" s="67" t="n"/>
      <c r="AC921" s="67" t="n"/>
      <c r="AD921" s="66" t="n"/>
      <c r="AE921" s="66" t="n"/>
      <c r="AF921" s="66" t="n"/>
      <c r="AG921" s="66" t="n"/>
      <c r="AH921" s="66" t="n"/>
      <c r="AI921" s="66" t="n"/>
      <c r="AJ921" s="66" t="n"/>
      <c r="AK921" s="66" t="n"/>
      <c r="AL921" s="66" t="n"/>
      <c r="AM921" s="66" t="n"/>
      <c r="AN921" s="66" t="n"/>
      <c r="AO921" s="66" t="n"/>
      <c r="AP921" s="66" t="n"/>
    </row>
    <row r="922">
      <c r="A922" s="66" t="n"/>
      <c r="B922" s="66" t="n"/>
      <c r="C922" s="66" t="n"/>
      <c r="D922" s="66" t="n"/>
      <c r="E922" s="67" t="n"/>
      <c r="F922" s="67" t="n"/>
      <c r="G922" s="68" t="n"/>
      <c r="H922" s="66" t="n"/>
      <c r="I922" s="66" t="n"/>
      <c r="J922" s="67" t="n"/>
      <c r="K922" s="67" t="n"/>
      <c r="L922" s="67" t="n"/>
      <c r="M922" s="28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7" t="n"/>
      <c r="X922" s="67" t="n"/>
      <c r="Y922" s="67" t="n"/>
      <c r="Z922" s="67" t="n"/>
      <c r="AA922" s="67" t="n"/>
      <c r="AB922" s="67" t="n"/>
      <c r="AC922" s="67" t="n"/>
      <c r="AD922" s="66" t="n"/>
      <c r="AE922" s="66" t="n"/>
      <c r="AF922" s="66" t="n"/>
      <c r="AG922" s="66" t="n"/>
      <c r="AH922" s="66" t="n"/>
      <c r="AI922" s="66" t="n"/>
      <c r="AJ922" s="66" t="n"/>
      <c r="AK922" s="66" t="n"/>
      <c r="AL922" s="66" t="n"/>
      <c r="AM922" s="66" t="n"/>
      <c r="AN922" s="66" t="n"/>
      <c r="AO922" s="66" t="n"/>
      <c r="AP922" s="66" t="n"/>
    </row>
    <row r="923">
      <c r="A923" s="66" t="n"/>
      <c r="B923" s="66" t="n"/>
      <c r="C923" s="66" t="n"/>
      <c r="D923" s="66" t="n"/>
      <c r="E923" s="67" t="n"/>
      <c r="F923" s="67" t="n"/>
      <c r="G923" s="68" t="n"/>
      <c r="H923" s="66" t="n"/>
      <c r="I923" s="66" t="n"/>
      <c r="J923" s="67" t="n"/>
      <c r="K923" s="67" t="n"/>
      <c r="L923" s="67" t="n"/>
      <c r="M923" s="28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7" t="n"/>
      <c r="X923" s="67" t="n"/>
      <c r="Y923" s="67" t="n"/>
      <c r="Z923" s="67" t="n"/>
      <c r="AA923" s="67" t="n"/>
      <c r="AB923" s="67" t="n"/>
      <c r="AC923" s="67" t="n"/>
      <c r="AD923" s="66" t="n"/>
      <c r="AE923" s="66" t="n"/>
      <c r="AF923" s="66" t="n"/>
      <c r="AG923" s="66" t="n"/>
      <c r="AH923" s="66" t="n"/>
      <c r="AI923" s="66" t="n"/>
      <c r="AJ923" s="66" t="n"/>
      <c r="AK923" s="66" t="n"/>
      <c r="AL923" s="66" t="n"/>
      <c r="AM923" s="66" t="n"/>
      <c r="AN923" s="66" t="n"/>
      <c r="AO923" s="66" t="n"/>
      <c r="AP923" s="66" t="n"/>
    </row>
    <row r="924">
      <c r="A924" s="66" t="n"/>
      <c r="B924" s="66" t="n"/>
      <c r="C924" s="66" t="n"/>
      <c r="D924" s="66" t="n"/>
      <c r="E924" s="67" t="n"/>
      <c r="F924" s="67" t="n"/>
      <c r="G924" s="68" t="n"/>
      <c r="H924" s="66" t="n"/>
      <c r="I924" s="66" t="n"/>
      <c r="J924" s="67" t="n"/>
      <c r="K924" s="67" t="n"/>
      <c r="L924" s="67" t="n"/>
      <c r="M924" s="28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7" t="n"/>
      <c r="X924" s="67" t="n"/>
      <c r="Y924" s="67" t="n"/>
      <c r="Z924" s="67" t="n"/>
      <c r="AA924" s="67" t="n"/>
      <c r="AB924" s="67" t="n"/>
      <c r="AC924" s="67" t="n"/>
      <c r="AD924" s="66" t="n"/>
      <c r="AE924" s="66" t="n"/>
      <c r="AF924" s="66" t="n"/>
      <c r="AG924" s="66" t="n"/>
      <c r="AH924" s="66" t="n"/>
      <c r="AI924" s="66" t="n"/>
      <c r="AJ924" s="66" t="n"/>
      <c r="AK924" s="66" t="n"/>
      <c r="AL924" s="66" t="n"/>
      <c r="AM924" s="66" t="n"/>
      <c r="AN924" s="66" t="n"/>
      <c r="AO924" s="66" t="n"/>
      <c r="AP924" s="66" t="n"/>
    </row>
    <row r="925">
      <c r="A925" s="66" t="n"/>
      <c r="B925" s="66" t="n"/>
      <c r="C925" s="66" t="n"/>
      <c r="D925" s="66" t="n"/>
      <c r="E925" s="67" t="n"/>
      <c r="F925" s="67" t="n"/>
      <c r="G925" s="68" t="n"/>
      <c r="H925" s="66" t="n"/>
      <c r="I925" s="66" t="n"/>
      <c r="J925" s="67" t="n"/>
      <c r="K925" s="67" t="n"/>
      <c r="L925" s="67" t="n"/>
      <c r="M925" s="28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7" t="n"/>
      <c r="X925" s="67" t="n"/>
      <c r="Y925" s="67" t="n"/>
      <c r="Z925" s="67" t="n"/>
      <c r="AA925" s="67" t="n"/>
      <c r="AB925" s="67" t="n"/>
      <c r="AC925" s="67" t="n"/>
      <c r="AD925" s="66" t="n"/>
      <c r="AE925" s="66" t="n"/>
      <c r="AF925" s="66" t="n"/>
      <c r="AG925" s="66" t="n"/>
      <c r="AH925" s="66" t="n"/>
      <c r="AI925" s="66" t="n"/>
      <c r="AJ925" s="66" t="n"/>
      <c r="AK925" s="66" t="n"/>
      <c r="AL925" s="66" t="n"/>
      <c r="AM925" s="66" t="n"/>
      <c r="AN925" s="66" t="n"/>
      <c r="AO925" s="66" t="n"/>
      <c r="AP925" s="66" t="n"/>
    </row>
    <row r="926">
      <c r="A926" s="66" t="n"/>
      <c r="B926" s="66" t="n"/>
      <c r="C926" s="66" t="n"/>
      <c r="D926" s="66" t="n"/>
      <c r="E926" s="67" t="n"/>
      <c r="F926" s="67" t="n"/>
      <c r="G926" s="68" t="n"/>
      <c r="H926" s="66" t="n"/>
      <c r="I926" s="66" t="n"/>
      <c r="J926" s="67" t="n"/>
      <c r="K926" s="67" t="n"/>
      <c r="L926" s="67" t="n"/>
      <c r="M926" s="28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7" t="n"/>
      <c r="X926" s="67" t="n"/>
      <c r="Y926" s="67" t="n"/>
      <c r="Z926" s="67" t="n"/>
      <c r="AA926" s="67" t="n"/>
      <c r="AB926" s="67" t="n"/>
      <c r="AC926" s="67" t="n"/>
      <c r="AD926" s="66" t="n"/>
      <c r="AE926" s="66" t="n"/>
      <c r="AF926" s="66" t="n"/>
      <c r="AG926" s="66" t="n"/>
      <c r="AH926" s="66" t="n"/>
      <c r="AI926" s="66" t="n"/>
      <c r="AJ926" s="66" t="n"/>
      <c r="AK926" s="66" t="n"/>
      <c r="AL926" s="66" t="n"/>
      <c r="AM926" s="66" t="n"/>
      <c r="AN926" s="66" t="n"/>
      <c r="AO926" s="66" t="n"/>
      <c r="AP926" s="66" t="n"/>
    </row>
    <row r="927">
      <c r="A927" s="66" t="n"/>
      <c r="B927" s="66" t="n"/>
      <c r="C927" s="66" t="n"/>
      <c r="D927" s="66" t="n"/>
      <c r="E927" s="67" t="n"/>
      <c r="F927" s="67" t="n"/>
      <c r="G927" s="68" t="n"/>
      <c r="H927" s="66" t="n"/>
      <c r="I927" s="66" t="n"/>
      <c r="J927" s="67" t="n"/>
      <c r="K927" s="67" t="n"/>
      <c r="L927" s="67" t="n"/>
      <c r="M927" s="28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7" t="n"/>
      <c r="X927" s="67" t="n"/>
      <c r="Y927" s="67" t="n"/>
      <c r="Z927" s="67" t="n"/>
      <c r="AA927" s="67" t="n"/>
      <c r="AB927" s="67" t="n"/>
      <c r="AC927" s="67" t="n"/>
      <c r="AD927" s="66" t="n"/>
      <c r="AE927" s="66" t="n"/>
      <c r="AF927" s="66" t="n"/>
      <c r="AG927" s="66" t="n"/>
      <c r="AH927" s="66" t="n"/>
      <c r="AI927" s="66" t="n"/>
      <c r="AJ927" s="66" t="n"/>
      <c r="AK927" s="66" t="n"/>
      <c r="AL927" s="66" t="n"/>
      <c r="AM927" s="66" t="n"/>
      <c r="AN927" s="66" t="n"/>
      <c r="AO927" s="66" t="n"/>
      <c r="AP927" s="66" t="n"/>
    </row>
    <row r="928">
      <c r="A928" s="66" t="n"/>
      <c r="B928" s="66" t="n"/>
      <c r="C928" s="66" t="n"/>
      <c r="D928" s="66" t="n"/>
      <c r="E928" s="67" t="n"/>
      <c r="F928" s="67" t="n"/>
      <c r="G928" s="68" t="n"/>
      <c r="H928" s="66" t="n"/>
      <c r="I928" s="66" t="n"/>
      <c r="J928" s="67" t="n"/>
      <c r="K928" s="67" t="n"/>
      <c r="L928" s="67" t="n"/>
      <c r="M928" s="28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7" t="n"/>
      <c r="X928" s="67" t="n"/>
      <c r="Y928" s="67" t="n"/>
      <c r="Z928" s="67" t="n"/>
      <c r="AA928" s="67" t="n"/>
      <c r="AB928" s="67" t="n"/>
      <c r="AC928" s="67" t="n"/>
      <c r="AD928" s="66" t="n"/>
      <c r="AE928" s="66" t="n"/>
      <c r="AF928" s="66" t="n"/>
      <c r="AG928" s="66" t="n"/>
      <c r="AH928" s="66" t="n"/>
      <c r="AI928" s="66" t="n"/>
      <c r="AJ928" s="66" t="n"/>
      <c r="AK928" s="66" t="n"/>
      <c r="AL928" s="66" t="n"/>
      <c r="AM928" s="66" t="n"/>
      <c r="AN928" s="66" t="n"/>
      <c r="AO928" s="66" t="n"/>
      <c r="AP928" s="66" t="n"/>
    </row>
    <row r="929">
      <c r="A929" s="66" t="n"/>
      <c r="B929" s="66" t="n"/>
      <c r="C929" s="66" t="n"/>
      <c r="D929" s="66" t="n"/>
      <c r="E929" s="67" t="n"/>
      <c r="F929" s="67" t="n"/>
      <c r="G929" s="68" t="n"/>
      <c r="H929" s="66" t="n"/>
      <c r="I929" s="66" t="n"/>
      <c r="J929" s="67" t="n"/>
      <c r="K929" s="67" t="n"/>
      <c r="L929" s="67" t="n"/>
      <c r="M929" s="28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7" t="n"/>
      <c r="X929" s="67" t="n"/>
      <c r="Y929" s="67" t="n"/>
      <c r="Z929" s="67" t="n"/>
      <c r="AA929" s="67" t="n"/>
      <c r="AB929" s="67" t="n"/>
      <c r="AC929" s="67" t="n"/>
      <c r="AD929" s="66" t="n"/>
      <c r="AE929" s="66" t="n"/>
      <c r="AF929" s="66" t="n"/>
      <c r="AG929" s="66" t="n"/>
      <c r="AH929" s="66" t="n"/>
      <c r="AI929" s="66" t="n"/>
      <c r="AJ929" s="66" t="n"/>
      <c r="AK929" s="66" t="n"/>
      <c r="AL929" s="66" t="n"/>
      <c r="AM929" s="66" t="n"/>
      <c r="AN929" s="66" t="n"/>
      <c r="AO929" s="66" t="n"/>
      <c r="AP929" s="66" t="n"/>
    </row>
    <row r="930">
      <c r="A930" s="66" t="n"/>
      <c r="B930" s="66" t="n"/>
      <c r="C930" s="66" t="n"/>
      <c r="D930" s="66" t="n"/>
      <c r="E930" s="67" t="n"/>
      <c r="F930" s="67" t="n"/>
      <c r="G930" s="68" t="n"/>
      <c r="H930" s="66" t="n"/>
      <c r="I930" s="66" t="n"/>
      <c r="J930" s="67" t="n"/>
      <c r="K930" s="67" t="n"/>
      <c r="L930" s="67" t="n"/>
      <c r="M930" s="28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7" t="n"/>
      <c r="X930" s="67" t="n"/>
      <c r="Y930" s="67" t="n"/>
      <c r="Z930" s="67" t="n"/>
      <c r="AA930" s="67" t="n"/>
      <c r="AB930" s="67" t="n"/>
      <c r="AC930" s="67" t="n"/>
      <c r="AD930" s="66" t="n"/>
      <c r="AE930" s="66" t="n"/>
      <c r="AF930" s="66" t="n"/>
      <c r="AG930" s="66" t="n"/>
      <c r="AH930" s="66" t="n"/>
      <c r="AI930" s="66" t="n"/>
      <c r="AJ930" s="66" t="n"/>
      <c r="AK930" s="66" t="n"/>
      <c r="AL930" s="66" t="n"/>
      <c r="AM930" s="66" t="n"/>
      <c r="AN930" s="66" t="n"/>
      <c r="AO930" s="66" t="n"/>
      <c r="AP930" s="66" t="n"/>
    </row>
    <row r="931">
      <c r="A931" s="66" t="n"/>
      <c r="B931" s="66" t="n"/>
      <c r="C931" s="66" t="n"/>
      <c r="D931" s="66" t="n"/>
      <c r="E931" s="67" t="n"/>
      <c r="F931" s="67" t="n"/>
      <c r="G931" s="68" t="n"/>
      <c r="H931" s="66" t="n"/>
      <c r="I931" s="66" t="n"/>
      <c r="J931" s="67" t="n"/>
      <c r="K931" s="67" t="n"/>
      <c r="L931" s="67" t="n"/>
      <c r="M931" s="28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7" t="n"/>
      <c r="X931" s="67" t="n"/>
      <c r="Y931" s="67" t="n"/>
      <c r="Z931" s="67" t="n"/>
      <c r="AA931" s="67" t="n"/>
      <c r="AB931" s="67" t="n"/>
      <c r="AC931" s="67" t="n"/>
      <c r="AD931" s="66" t="n"/>
      <c r="AE931" s="66" t="n"/>
      <c r="AF931" s="66" t="n"/>
      <c r="AG931" s="66" t="n"/>
      <c r="AH931" s="66" t="n"/>
      <c r="AI931" s="66" t="n"/>
      <c r="AJ931" s="66" t="n"/>
      <c r="AK931" s="66" t="n"/>
      <c r="AL931" s="66" t="n"/>
      <c r="AM931" s="66" t="n"/>
      <c r="AN931" s="66" t="n"/>
      <c r="AO931" s="66" t="n"/>
      <c r="AP931" s="66" t="n"/>
    </row>
    <row r="932">
      <c r="A932" s="66" t="n"/>
      <c r="B932" s="66" t="n"/>
      <c r="C932" s="66" t="n"/>
      <c r="D932" s="66" t="n"/>
      <c r="E932" s="67" t="n"/>
      <c r="F932" s="67" t="n"/>
      <c r="G932" s="68" t="n"/>
      <c r="H932" s="66" t="n"/>
      <c r="I932" s="66" t="n"/>
      <c r="J932" s="67" t="n"/>
      <c r="K932" s="67" t="n"/>
      <c r="L932" s="67" t="n"/>
      <c r="M932" s="28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7" t="n"/>
      <c r="X932" s="67" t="n"/>
      <c r="Y932" s="67" t="n"/>
      <c r="Z932" s="67" t="n"/>
      <c r="AA932" s="67" t="n"/>
      <c r="AB932" s="67" t="n"/>
      <c r="AC932" s="67" t="n"/>
      <c r="AD932" s="66" t="n"/>
      <c r="AE932" s="66" t="n"/>
      <c r="AF932" s="66" t="n"/>
      <c r="AG932" s="66" t="n"/>
      <c r="AH932" s="66" t="n"/>
      <c r="AI932" s="66" t="n"/>
      <c r="AJ932" s="66" t="n"/>
      <c r="AK932" s="66" t="n"/>
      <c r="AL932" s="66" t="n"/>
      <c r="AM932" s="66" t="n"/>
      <c r="AN932" s="66" t="n"/>
      <c r="AO932" s="66" t="n"/>
      <c r="AP932" s="66" t="n"/>
    </row>
    <row r="933">
      <c r="A933" s="66" t="n"/>
      <c r="B933" s="66" t="n"/>
      <c r="C933" s="66" t="n"/>
      <c r="D933" s="66" t="n"/>
      <c r="E933" s="67" t="n"/>
      <c r="F933" s="67" t="n"/>
      <c r="G933" s="68" t="n"/>
      <c r="H933" s="66" t="n"/>
      <c r="I933" s="66" t="n"/>
      <c r="J933" s="67" t="n"/>
      <c r="K933" s="67" t="n"/>
      <c r="L933" s="67" t="n"/>
      <c r="M933" s="28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7" t="n"/>
      <c r="X933" s="67" t="n"/>
      <c r="Y933" s="67" t="n"/>
      <c r="Z933" s="67" t="n"/>
      <c r="AA933" s="67" t="n"/>
      <c r="AB933" s="67" t="n"/>
      <c r="AC933" s="67" t="n"/>
      <c r="AD933" s="66" t="n"/>
      <c r="AE933" s="66" t="n"/>
      <c r="AF933" s="66" t="n"/>
      <c r="AG933" s="66" t="n"/>
      <c r="AH933" s="66" t="n"/>
      <c r="AI933" s="66" t="n"/>
      <c r="AJ933" s="66" t="n"/>
      <c r="AK933" s="66" t="n"/>
      <c r="AL933" s="66" t="n"/>
      <c r="AM933" s="66" t="n"/>
      <c r="AN933" s="66" t="n"/>
      <c r="AO933" s="66" t="n"/>
      <c r="AP933" s="66" t="n"/>
    </row>
    <row r="934">
      <c r="A934" s="66" t="n"/>
      <c r="B934" s="66" t="n"/>
      <c r="C934" s="66" t="n"/>
      <c r="D934" s="66" t="n"/>
      <c r="E934" s="67" t="n"/>
      <c r="F934" s="67" t="n"/>
      <c r="G934" s="68" t="n"/>
      <c r="H934" s="66" t="n"/>
      <c r="I934" s="66" t="n"/>
      <c r="J934" s="67" t="n"/>
      <c r="K934" s="67" t="n"/>
      <c r="L934" s="67" t="n"/>
      <c r="M934" s="28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7" t="n"/>
      <c r="X934" s="67" t="n"/>
      <c r="Y934" s="67" t="n"/>
      <c r="Z934" s="67" t="n"/>
      <c r="AA934" s="67" t="n"/>
      <c r="AB934" s="67" t="n"/>
      <c r="AC934" s="67" t="n"/>
      <c r="AD934" s="66" t="n"/>
      <c r="AE934" s="66" t="n"/>
      <c r="AF934" s="66" t="n"/>
      <c r="AG934" s="66" t="n"/>
      <c r="AH934" s="66" t="n"/>
      <c r="AI934" s="66" t="n"/>
      <c r="AJ934" s="66" t="n"/>
      <c r="AK934" s="66" t="n"/>
      <c r="AL934" s="66" t="n"/>
      <c r="AM934" s="66" t="n"/>
      <c r="AN934" s="66" t="n"/>
      <c r="AO934" s="66" t="n"/>
      <c r="AP934" s="66" t="n"/>
    </row>
    <row r="935">
      <c r="A935" s="66" t="n"/>
      <c r="B935" s="66" t="n"/>
      <c r="C935" s="66" t="n"/>
      <c r="D935" s="66" t="n"/>
      <c r="E935" s="67" t="n"/>
      <c r="F935" s="67" t="n"/>
      <c r="G935" s="68" t="n"/>
      <c r="H935" s="66" t="n"/>
      <c r="I935" s="66" t="n"/>
      <c r="J935" s="67" t="n"/>
      <c r="K935" s="67" t="n"/>
      <c r="L935" s="67" t="n"/>
      <c r="M935" s="28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7" t="n"/>
      <c r="X935" s="67" t="n"/>
      <c r="Y935" s="67" t="n"/>
      <c r="Z935" s="67" t="n"/>
      <c r="AA935" s="67" t="n"/>
      <c r="AB935" s="67" t="n"/>
      <c r="AC935" s="67" t="n"/>
      <c r="AD935" s="66" t="n"/>
      <c r="AE935" s="66" t="n"/>
      <c r="AF935" s="66" t="n"/>
      <c r="AG935" s="66" t="n"/>
      <c r="AH935" s="66" t="n"/>
      <c r="AI935" s="66" t="n"/>
      <c r="AJ935" s="66" t="n"/>
      <c r="AK935" s="66" t="n"/>
      <c r="AL935" s="66" t="n"/>
      <c r="AM935" s="66" t="n"/>
      <c r="AN935" s="66" t="n"/>
      <c r="AO935" s="66" t="n"/>
      <c r="AP935" s="66" t="n"/>
    </row>
    <row r="936">
      <c r="A936" s="66" t="n"/>
      <c r="B936" s="66" t="n"/>
      <c r="C936" s="66" t="n"/>
      <c r="D936" s="66" t="n"/>
      <c r="E936" s="67" t="n"/>
      <c r="F936" s="67" t="n"/>
      <c r="G936" s="68" t="n"/>
      <c r="H936" s="66" t="n"/>
      <c r="I936" s="66" t="n"/>
      <c r="J936" s="67" t="n"/>
      <c r="K936" s="67" t="n"/>
      <c r="L936" s="67" t="n"/>
      <c r="M936" s="28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7" t="n"/>
      <c r="X936" s="67" t="n"/>
      <c r="Y936" s="67" t="n"/>
      <c r="Z936" s="67" t="n"/>
      <c r="AA936" s="67" t="n"/>
      <c r="AB936" s="67" t="n"/>
      <c r="AC936" s="67" t="n"/>
      <c r="AD936" s="66" t="n"/>
      <c r="AE936" s="66" t="n"/>
      <c r="AF936" s="66" t="n"/>
      <c r="AG936" s="66" t="n"/>
      <c r="AH936" s="66" t="n"/>
      <c r="AI936" s="66" t="n"/>
      <c r="AJ936" s="66" t="n"/>
      <c r="AK936" s="66" t="n"/>
      <c r="AL936" s="66" t="n"/>
      <c r="AM936" s="66" t="n"/>
      <c r="AN936" s="66" t="n"/>
      <c r="AO936" s="66" t="n"/>
      <c r="AP936" s="66" t="n"/>
    </row>
    <row r="937">
      <c r="A937" s="66" t="n"/>
      <c r="B937" s="66" t="n"/>
      <c r="C937" s="66" t="n"/>
      <c r="D937" s="66" t="n"/>
      <c r="E937" s="67" t="n"/>
      <c r="F937" s="67" t="n"/>
      <c r="G937" s="68" t="n"/>
      <c r="H937" s="66" t="n"/>
      <c r="I937" s="66" t="n"/>
      <c r="J937" s="67" t="n"/>
      <c r="K937" s="67" t="n"/>
      <c r="L937" s="67" t="n"/>
      <c r="M937" s="28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7" t="n"/>
      <c r="X937" s="67" t="n"/>
      <c r="Y937" s="67" t="n"/>
      <c r="Z937" s="67" t="n"/>
      <c r="AA937" s="67" t="n"/>
      <c r="AB937" s="67" t="n"/>
      <c r="AC937" s="67" t="n"/>
      <c r="AD937" s="66" t="n"/>
      <c r="AE937" s="66" t="n"/>
      <c r="AF937" s="66" t="n"/>
      <c r="AG937" s="66" t="n"/>
      <c r="AH937" s="66" t="n"/>
      <c r="AI937" s="66" t="n"/>
      <c r="AJ937" s="66" t="n"/>
      <c r="AK937" s="66" t="n"/>
      <c r="AL937" s="66" t="n"/>
      <c r="AM937" s="66" t="n"/>
      <c r="AN937" s="66" t="n"/>
      <c r="AO937" s="66" t="n"/>
      <c r="AP937" s="66" t="n"/>
    </row>
    <row r="938">
      <c r="A938" s="66" t="n"/>
      <c r="B938" s="66" t="n"/>
      <c r="C938" s="66" t="n"/>
      <c r="D938" s="66" t="n"/>
      <c r="E938" s="67" t="n"/>
      <c r="F938" s="67" t="n"/>
      <c r="G938" s="68" t="n"/>
      <c r="H938" s="66" t="n"/>
      <c r="I938" s="66" t="n"/>
      <c r="J938" s="67" t="n"/>
      <c r="K938" s="67" t="n"/>
      <c r="L938" s="67" t="n"/>
      <c r="M938" s="28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7" t="n"/>
      <c r="X938" s="67" t="n"/>
      <c r="Y938" s="67" t="n"/>
      <c r="Z938" s="67" t="n"/>
      <c r="AA938" s="67" t="n"/>
      <c r="AB938" s="67" t="n"/>
      <c r="AC938" s="67" t="n"/>
      <c r="AD938" s="66" t="n"/>
      <c r="AE938" s="66" t="n"/>
      <c r="AF938" s="66" t="n"/>
      <c r="AG938" s="66" t="n"/>
      <c r="AH938" s="66" t="n"/>
      <c r="AI938" s="66" t="n"/>
      <c r="AJ938" s="66" t="n"/>
      <c r="AK938" s="66" t="n"/>
      <c r="AL938" s="66" t="n"/>
      <c r="AM938" s="66" t="n"/>
      <c r="AN938" s="66" t="n"/>
      <c r="AO938" s="66" t="n"/>
      <c r="AP938" s="66" t="n"/>
    </row>
    <row r="939">
      <c r="A939" s="66" t="n"/>
      <c r="B939" s="66" t="n"/>
      <c r="C939" s="66" t="n"/>
      <c r="D939" s="66" t="n"/>
      <c r="E939" s="67" t="n"/>
      <c r="F939" s="67" t="n"/>
      <c r="G939" s="68" t="n"/>
      <c r="H939" s="66" t="n"/>
      <c r="I939" s="66" t="n"/>
      <c r="J939" s="67" t="n"/>
      <c r="K939" s="67" t="n"/>
      <c r="L939" s="67" t="n"/>
      <c r="M939" s="28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7" t="n"/>
      <c r="X939" s="67" t="n"/>
      <c r="Y939" s="67" t="n"/>
      <c r="Z939" s="67" t="n"/>
      <c r="AA939" s="67" t="n"/>
      <c r="AB939" s="67" t="n"/>
      <c r="AC939" s="67" t="n"/>
      <c r="AD939" s="66" t="n"/>
      <c r="AE939" s="66" t="n"/>
      <c r="AF939" s="66" t="n"/>
      <c r="AG939" s="66" t="n"/>
      <c r="AH939" s="66" t="n"/>
      <c r="AI939" s="66" t="n"/>
      <c r="AJ939" s="66" t="n"/>
      <c r="AK939" s="66" t="n"/>
      <c r="AL939" s="66" t="n"/>
      <c r="AM939" s="66" t="n"/>
      <c r="AN939" s="66" t="n"/>
      <c r="AO939" s="66" t="n"/>
      <c r="AP939" s="66" t="n"/>
    </row>
    <row r="940">
      <c r="A940" s="66" t="n"/>
      <c r="B940" s="66" t="n"/>
      <c r="C940" s="66" t="n"/>
      <c r="D940" s="66" t="n"/>
      <c r="E940" s="67" t="n"/>
      <c r="F940" s="67" t="n"/>
      <c r="G940" s="68" t="n"/>
      <c r="H940" s="66" t="n"/>
      <c r="I940" s="66" t="n"/>
      <c r="J940" s="67" t="n"/>
      <c r="K940" s="67" t="n"/>
      <c r="L940" s="67" t="n"/>
      <c r="M940" s="28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7" t="n"/>
      <c r="X940" s="67" t="n"/>
      <c r="Y940" s="67" t="n"/>
      <c r="Z940" s="67" t="n"/>
      <c r="AA940" s="67" t="n"/>
      <c r="AB940" s="67" t="n"/>
      <c r="AC940" s="67" t="n"/>
      <c r="AD940" s="66" t="n"/>
      <c r="AE940" s="66" t="n"/>
      <c r="AF940" s="66" t="n"/>
      <c r="AG940" s="66" t="n"/>
      <c r="AH940" s="66" t="n"/>
      <c r="AI940" s="66" t="n"/>
      <c r="AJ940" s="66" t="n"/>
      <c r="AK940" s="66" t="n"/>
      <c r="AL940" s="66" t="n"/>
      <c r="AM940" s="66" t="n"/>
      <c r="AN940" s="66" t="n"/>
      <c r="AO940" s="66" t="n"/>
      <c r="AP940" s="66" t="n"/>
    </row>
    <row r="941">
      <c r="A941" s="66" t="n"/>
      <c r="B941" s="66" t="n"/>
      <c r="C941" s="66" t="n"/>
      <c r="D941" s="66" t="n"/>
      <c r="E941" s="67" t="n"/>
      <c r="F941" s="67" t="n"/>
      <c r="G941" s="68" t="n"/>
      <c r="H941" s="66" t="n"/>
      <c r="I941" s="66" t="n"/>
      <c r="J941" s="67" t="n"/>
      <c r="K941" s="67" t="n"/>
      <c r="L941" s="67" t="n"/>
      <c r="M941" s="28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7" t="n"/>
      <c r="X941" s="67" t="n"/>
      <c r="Y941" s="67" t="n"/>
      <c r="Z941" s="67" t="n"/>
      <c r="AA941" s="67" t="n"/>
      <c r="AB941" s="67" t="n"/>
      <c r="AC941" s="67" t="n"/>
      <c r="AD941" s="66" t="n"/>
      <c r="AE941" s="66" t="n"/>
      <c r="AF941" s="66" t="n"/>
      <c r="AG941" s="66" t="n"/>
      <c r="AH941" s="66" t="n"/>
      <c r="AI941" s="66" t="n"/>
      <c r="AJ941" s="66" t="n"/>
      <c r="AK941" s="66" t="n"/>
      <c r="AL941" s="66" t="n"/>
      <c r="AM941" s="66" t="n"/>
      <c r="AN941" s="66" t="n"/>
      <c r="AO941" s="66" t="n"/>
      <c r="AP941" s="66" t="n"/>
    </row>
    <row r="942">
      <c r="A942" s="66" t="n"/>
      <c r="B942" s="66" t="n"/>
      <c r="C942" s="66" t="n"/>
      <c r="D942" s="66" t="n"/>
      <c r="E942" s="67" t="n"/>
      <c r="F942" s="67" t="n"/>
      <c r="G942" s="68" t="n"/>
      <c r="H942" s="66" t="n"/>
      <c r="I942" s="66" t="n"/>
      <c r="J942" s="67" t="n"/>
      <c r="K942" s="67" t="n"/>
      <c r="L942" s="67" t="n"/>
      <c r="M942" s="28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7" t="n"/>
      <c r="X942" s="67" t="n"/>
      <c r="Y942" s="67" t="n"/>
      <c r="Z942" s="67" t="n"/>
      <c r="AA942" s="67" t="n"/>
      <c r="AB942" s="67" t="n"/>
      <c r="AC942" s="67" t="n"/>
      <c r="AD942" s="66" t="n"/>
      <c r="AE942" s="66" t="n"/>
      <c r="AF942" s="66" t="n"/>
      <c r="AG942" s="66" t="n"/>
      <c r="AH942" s="66" t="n"/>
      <c r="AI942" s="66" t="n"/>
      <c r="AJ942" s="66" t="n"/>
      <c r="AK942" s="66" t="n"/>
      <c r="AL942" s="66" t="n"/>
      <c r="AM942" s="66" t="n"/>
      <c r="AN942" s="66" t="n"/>
      <c r="AO942" s="66" t="n"/>
      <c r="AP942" s="66" t="n"/>
    </row>
    <row r="943">
      <c r="A943" s="66" t="n"/>
      <c r="B943" s="66" t="n"/>
      <c r="C943" s="66" t="n"/>
      <c r="D943" s="66" t="n"/>
      <c r="E943" s="67" t="n"/>
      <c r="F943" s="67" t="n"/>
      <c r="G943" s="68" t="n"/>
      <c r="H943" s="66" t="n"/>
      <c r="I943" s="66" t="n"/>
      <c r="J943" s="67" t="n"/>
      <c r="K943" s="67" t="n"/>
      <c r="L943" s="67" t="n"/>
      <c r="M943" s="28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7" t="n"/>
      <c r="X943" s="67" t="n"/>
      <c r="Y943" s="67" t="n"/>
      <c r="Z943" s="67" t="n"/>
      <c r="AA943" s="67" t="n"/>
      <c r="AB943" s="67" t="n"/>
      <c r="AC943" s="67" t="n"/>
      <c r="AD943" s="66" t="n"/>
      <c r="AE943" s="66" t="n"/>
      <c r="AF943" s="66" t="n"/>
      <c r="AG943" s="66" t="n"/>
      <c r="AH943" s="66" t="n"/>
      <c r="AI943" s="66" t="n"/>
      <c r="AJ943" s="66" t="n"/>
      <c r="AK943" s="66" t="n"/>
      <c r="AL943" s="66" t="n"/>
      <c r="AM943" s="66" t="n"/>
      <c r="AN943" s="66" t="n"/>
      <c r="AO943" s="66" t="n"/>
      <c r="AP943" s="66" t="n"/>
    </row>
    <row r="944">
      <c r="A944" s="66" t="n"/>
      <c r="B944" s="66" t="n"/>
      <c r="C944" s="66" t="n"/>
      <c r="D944" s="66" t="n"/>
      <c r="E944" s="67" t="n"/>
      <c r="F944" s="67" t="n"/>
      <c r="G944" s="68" t="n"/>
      <c r="H944" s="66" t="n"/>
      <c r="I944" s="66" t="n"/>
      <c r="J944" s="67" t="n"/>
      <c r="K944" s="67" t="n"/>
      <c r="L944" s="67" t="n"/>
      <c r="M944" s="28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7" t="n"/>
      <c r="X944" s="67" t="n"/>
      <c r="Y944" s="67" t="n"/>
      <c r="Z944" s="67" t="n"/>
      <c r="AA944" s="67" t="n"/>
      <c r="AB944" s="67" t="n"/>
      <c r="AC944" s="67" t="n"/>
      <c r="AD944" s="66" t="n"/>
      <c r="AE944" s="66" t="n"/>
      <c r="AF944" s="66" t="n"/>
      <c r="AG944" s="66" t="n"/>
      <c r="AH944" s="66" t="n"/>
      <c r="AI944" s="66" t="n"/>
      <c r="AJ944" s="66" t="n"/>
      <c r="AK944" s="66" t="n"/>
      <c r="AL944" s="66" t="n"/>
      <c r="AM944" s="66" t="n"/>
      <c r="AN944" s="66" t="n"/>
      <c r="AO944" s="66" t="n"/>
      <c r="AP944" s="66" t="n"/>
    </row>
    <row r="945">
      <c r="A945" s="66" t="n"/>
      <c r="B945" s="66" t="n"/>
      <c r="C945" s="66" t="n"/>
      <c r="D945" s="66" t="n"/>
      <c r="E945" s="67" t="n"/>
      <c r="F945" s="67" t="n"/>
      <c r="G945" s="68" t="n"/>
      <c r="H945" s="66" t="n"/>
      <c r="I945" s="66" t="n"/>
      <c r="J945" s="67" t="n"/>
      <c r="K945" s="67" t="n"/>
      <c r="L945" s="67" t="n"/>
      <c r="M945" s="28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7" t="n"/>
      <c r="X945" s="67" t="n"/>
      <c r="Y945" s="67" t="n"/>
      <c r="Z945" s="67" t="n"/>
      <c r="AA945" s="67" t="n"/>
      <c r="AB945" s="67" t="n"/>
      <c r="AC945" s="67" t="n"/>
      <c r="AD945" s="66" t="n"/>
      <c r="AE945" s="66" t="n"/>
      <c r="AF945" s="66" t="n"/>
      <c r="AG945" s="66" t="n"/>
      <c r="AH945" s="66" t="n"/>
      <c r="AI945" s="66" t="n"/>
      <c r="AJ945" s="66" t="n"/>
      <c r="AK945" s="66" t="n"/>
      <c r="AL945" s="66" t="n"/>
      <c r="AM945" s="66" t="n"/>
      <c r="AN945" s="66" t="n"/>
      <c r="AO945" s="66" t="n"/>
      <c r="AP945" s="66" t="n"/>
    </row>
    <row r="946">
      <c r="A946" s="66" t="n"/>
      <c r="B946" s="66" t="n"/>
      <c r="C946" s="66" t="n"/>
      <c r="D946" s="66" t="n"/>
      <c r="E946" s="67" t="n"/>
      <c r="F946" s="67" t="n"/>
      <c r="G946" s="68" t="n"/>
      <c r="H946" s="66" t="n"/>
      <c r="I946" s="66" t="n"/>
      <c r="J946" s="67" t="n"/>
      <c r="K946" s="67" t="n"/>
      <c r="L946" s="67" t="n"/>
      <c r="M946" s="28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7" t="n"/>
      <c r="X946" s="67" t="n"/>
      <c r="Y946" s="67" t="n"/>
      <c r="Z946" s="67" t="n"/>
      <c r="AA946" s="67" t="n"/>
      <c r="AB946" s="67" t="n"/>
      <c r="AC946" s="67" t="n"/>
      <c r="AD946" s="66" t="n"/>
      <c r="AE946" s="66" t="n"/>
      <c r="AF946" s="66" t="n"/>
      <c r="AG946" s="66" t="n"/>
      <c r="AH946" s="66" t="n"/>
      <c r="AI946" s="66" t="n"/>
      <c r="AJ946" s="66" t="n"/>
      <c r="AK946" s="66" t="n"/>
      <c r="AL946" s="66" t="n"/>
      <c r="AM946" s="66" t="n"/>
      <c r="AN946" s="66" t="n"/>
      <c r="AO946" s="66" t="n"/>
      <c r="AP946" s="66" t="n"/>
    </row>
    <row r="947">
      <c r="A947" s="66" t="n"/>
      <c r="B947" s="66" t="n"/>
      <c r="C947" s="66" t="n"/>
      <c r="D947" s="66" t="n"/>
      <c r="E947" s="67" t="n"/>
      <c r="F947" s="67" t="n"/>
      <c r="G947" s="68" t="n"/>
      <c r="H947" s="66" t="n"/>
      <c r="I947" s="66" t="n"/>
      <c r="J947" s="67" t="n"/>
      <c r="K947" s="67" t="n"/>
      <c r="L947" s="67" t="n"/>
      <c r="M947" s="28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7" t="n"/>
      <c r="X947" s="67" t="n"/>
      <c r="Y947" s="67" t="n"/>
      <c r="Z947" s="67" t="n"/>
      <c r="AA947" s="67" t="n"/>
      <c r="AB947" s="67" t="n"/>
      <c r="AC947" s="67" t="n"/>
      <c r="AD947" s="66" t="n"/>
      <c r="AE947" s="66" t="n"/>
      <c r="AF947" s="66" t="n"/>
      <c r="AG947" s="66" t="n"/>
      <c r="AH947" s="66" t="n"/>
      <c r="AI947" s="66" t="n"/>
      <c r="AJ947" s="66" t="n"/>
      <c r="AK947" s="66" t="n"/>
      <c r="AL947" s="66" t="n"/>
      <c r="AM947" s="66" t="n"/>
      <c r="AN947" s="66" t="n"/>
      <c r="AO947" s="66" t="n"/>
      <c r="AP947" s="66" t="n"/>
    </row>
    <row r="948">
      <c r="A948" s="66" t="n"/>
      <c r="B948" s="66" t="n"/>
      <c r="C948" s="66" t="n"/>
      <c r="D948" s="66" t="n"/>
      <c r="E948" s="67" t="n"/>
      <c r="F948" s="67" t="n"/>
      <c r="G948" s="68" t="n"/>
      <c r="H948" s="66" t="n"/>
      <c r="I948" s="66" t="n"/>
      <c r="J948" s="67" t="n"/>
      <c r="K948" s="67" t="n"/>
      <c r="L948" s="67" t="n"/>
      <c r="M948" s="28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7" t="n"/>
      <c r="X948" s="67" t="n"/>
      <c r="Y948" s="67" t="n"/>
      <c r="Z948" s="67" t="n"/>
      <c r="AA948" s="67" t="n"/>
      <c r="AB948" s="67" t="n"/>
      <c r="AC948" s="67" t="n"/>
      <c r="AD948" s="66" t="n"/>
      <c r="AE948" s="66" t="n"/>
      <c r="AF948" s="66" t="n"/>
      <c r="AG948" s="66" t="n"/>
      <c r="AH948" s="66" t="n"/>
      <c r="AI948" s="66" t="n"/>
      <c r="AJ948" s="66" t="n"/>
      <c r="AK948" s="66" t="n"/>
      <c r="AL948" s="66" t="n"/>
      <c r="AM948" s="66" t="n"/>
      <c r="AN948" s="66" t="n"/>
      <c r="AO948" s="66" t="n"/>
      <c r="AP948" s="66" t="n"/>
    </row>
    <row r="949">
      <c r="A949" s="66" t="n"/>
      <c r="B949" s="66" t="n"/>
      <c r="C949" s="66" t="n"/>
      <c r="D949" s="66" t="n"/>
      <c r="E949" s="67" t="n"/>
      <c r="F949" s="67" t="n"/>
      <c r="G949" s="68" t="n"/>
      <c r="H949" s="66" t="n"/>
      <c r="I949" s="66" t="n"/>
      <c r="J949" s="67" t="n"/>
      <c r="K949" s="67" t="n"/>
      <c r="L949" s="67" t="n"/>
      <c r="M949" s="28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7" t="n"/>
      <c r="X949" s="67" t="n"/>
      <c r="Y949" s="67" t="n"/>
      <c r="Z949" s="67" t="n"/>
      <c r="AA949" s="67" t="n"/>
      <c r="AB949" s="67" t="n"/>
      <c r="AC949" s="67" t="n"/>
      <c r="AD949" s="66" t="n"/>
      <c r="AE949" s="66" t="n"/>
      <c r="AF949" s="66" t="n"/>
      <c r="AG949" s="66" t="n"/>
      <c r="AH949" s="66" t="n"/>
      <c r="AI949" s="66" t="n"/>
      <c r="AJ949" s="66" t="n"/>
      <c r="AK949" s="66" t="n"/>
      <c r="AL949" s="66" t="n"/>
      <c r="AM949" s="66" t="n"/>
      <c r="AN949" s="66" t="n"/>
      <c r="AO949" s="66" t="n"/>
      <c r="AP949" s="66" t="n"/>
    </row>
    <row r="950">
      <c r="A950" s="66" t="n"/>
      <c r="B950" s="66" t="n"/>
      <c r="C950" s="66" t="n"/>
      <c r="D950" s="66" t="n"/>
      <c r="E950" s="67" t="n"/>
      <c r="F950" s="67" t="n"/>
      <c r="G950" s="68" t="n"/>
      <c r="H950" s="66" t="n"/>
      <c r="I950" s="66" t="n"/>
      <c r="J950" s="67" t="n"/>
      <c r="K950" s="67" t="n"/>
      <c r="L950" s="67" t="n"/>
      <c r="M950" s="28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7" t="n"/>
      <c r="X950" s="67" t="n"/>
      <c r="Y950" s="67" t="n"/>
      <c r="Z950" s="67" t="n"/>
      <c r="AA950" s="67" t="n"/>
      <c r="AB950" s="67" t="n"/>
      <c r="AC950" s="67" t="n"/>
      <c r="AD950" s="66" t="n"/>
      <c r="AE950" s="66" t="n"/>
      <c r="AF950" s="66" t="n"/>
      <c r="AG950" s="66" t="n"/>
      <c r="AH950" s="66" t="n"/>
      <c r="AI950" s="66" t="n"/>
      <c r="AJ950" s="66" t="n"/>
      <c r="AK950" s="66" t="n"/>
      <c r="AL950" s="66" t="n"/>
      <c r="AM950" s="66" t="n"/>
      <c r="AN950" s="66" t="n"/>
      <c r="AO950" s="66" t="n"/>
      <c r="AP950" s="66" t="n"/>
    </row>
    <row r="951">
      <c r="A951" s="66" t="n"/>
      <c r="B951" s="66" t="n"/>
      <c r="C951" s="66" t="n"/>
      <c r="D951" s="66" t="n"/>
      <c r="E951" s="67" t="n"/>
      <c r="F951" s="67" t="n"/>
      <c r="G951" s="68" t="n"/>
      <c r="H951" s="66" t="n"/>
      <c r="I951" s="66" t="n"/>
      <c r="J951" s="67" t="n"/>
      <c r="K951" s="67" t="n"/>
      <c r="L951" s="67" t="n"/>
      <c r="M951" s="28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7" t="n"/>
      <c r="X951" s="67" t="n"/>
      <c r="Y951" s="67" t="n"/>
      <c r="Z951" s="67" t="n"/>
      <c r="AA951" s="67" t="n"/>
      <c r="AB951" s="67" t="n"/>
      <c r="AC951" s="67" t="n"/>
      <c r="AD951" s="66" t="n"/>
      <c r="AE951" s="66" t="n"/>
      <c r="AF951" s="66" t="n"/>
      <c r="AG951" s="66" t="n"/>
      <c r="AH951" s="66" t="n"/>
      <c r="AI951" s="66" t="n"/>
      <c r="AJ951" s="66" t="n"/>
      <c r="AK951" s="66" t="n"/>
      <c r="AL951" s="66" t="n"/>
      <c r="AM951" s="66" t="n"/>
      <c r="AN951" s="66" t="n"/>
      <c r="AO951" s="66" t="n"/>
      <c r="AP951" s="66" t="n"/>
    </row>
    <row r="952">
      <c r="A952" s="66" t="n"/>
      <c r="B952" s="66" t="n"/>
      <c r="C952" s="66" t="n"/>
      <c r="D952" s="66" t="n"/>
      <c r="E952" s="67" t="n"/>
      <c r="F952" s="67" t="n"/>
      <c r="G952" s="68" t="n"/>
      <c r="H952" s="66" t="n"/>
      <c r="I952" s="66" t="n"/>
      <c r="J952" s="67" t="n"/>
      <c r="K952" s="67" t="n"/>
      <c r="L952" s="67" t="n"/>
      <c r="M952" s="28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7" t="n"/>
      <c r="X952" s="67" t="n"/>
      <c r="Y952" s="67" t="n"/>
      <c r="Z952" s="67" t="n"/>
      <c r="AA952" s="67" t="n"/>
      <c r="AB952" s="67" t="n"/>
      <c r="AC952" s="67" t="n"/>
      <c r="AD952" s="66" t="n"/>
      <c r="AE952" s="66" t="n"/>
      <c r="AF952" s="66" t="n"/>
      <c r="AG952" s="66" t="n"/>
      <c r="AH952" s="66" t="n"/>
      <c r="AI952" s="66" t="n"/>
      <c r="AJ952" s="66" t="n"/>
      <c r="AK952" s="66" t="n"/>
      <c r="AL952" s="66" t="n"/>
      <c r="AM952" s="66" t="n"/>
      <c r="AN952" s="66" t="n"/>
      <c r="AO952" s="66" t="n"/>
      <c r="AP952" s="66" t="n"/>
    </row>
    <row r="953">
      <c r="A953" s="66" t="n"/>
      <c r="B953" s="66" t="n"/>
      <c r="C953" s="66" t="n"/>
      <c r="D953" s="66" t="n"/>
      <c r="E953" s="67" t="n"/>
      <c r="F953" s="67" t="n"/>
      <c r="G953" s="68" t="n"/>
      <c r="H953" s="66" t="n"/>
      <c r="I953" s="66" t="n"/>
      <c r="J953" s="67" t="n"/>
      <c r="K953" s="67" t="n"/>
      <c r="L953" s="67" t="n"/>
      <c r="M953" s="28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7" t="n"/>
      <c r="X953" s="67" t="n"/>
      <c r="Y953" s="67" t="n"/>
      <c r="Z953" s="67" t="n"/>
      <c r="AA953" s="67" t="n"/>
      <c r="AB953" s="67" t="n"/>
      <c r="AC953" s="67" t="n"/>
      <c r="AD953" s="66" t="n"/>
      <c r="AE953" s="66" t="n"/>
      <c r="AF953" s="66" t="n"/>
      <c r="AG953" s="66" t="n"/>
      <c r="AH953" s="66" t="n"/>
      <c r="AI953" s="66" t="n"/>
      <c r="AJ953" s="66" t="n"/>
      <c r="AK953" s="66" t="n"/>
      <c r="AL953" s="66" t="n"/>
      <c r="AM953" s="66" t="n"/>
      <c r="AN953" s="66" t="n"/>
      <c r="AO953" s="66" t="n"/>
      <c r="AP953" s="66" t="n"/>
    </row>
    <row r="954">
      <c r="A954" s="66" t="n"/>
      <c r="B954" s="66" t="n"/>
      <c r="C954" s="66" t="n"/>
      <c r="D954" s="66" t="n"/>
      <c r="E954" s="67" t="n"/>
      <c r="F954" s="67" t="n"/>
      <c r="G954" s="68" t="n"/>
      <c r="H954" s="66" t="n"/>
      <c r="I954" s="66" t="n"/>
      <c r="J954" s="67" t="n"/>
      <c r="K954" s="67" t="n"/>
      <c r="L954" s="67" t="n"/>
      <c r="M954" s="28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7" t="n"/>
      <c r="X954" s="67" t="n"/>
      <c r="Y954" s="67" t="n"/>
      <c r="Z954" s="67" t="n"/>
      <c r="AA954" s="67" t="n"/>
      <c r="AB954" s="67" t="n"/>
      <c r="AC954" s="67" t="n"/>
      <c r="AD954" s="66" t="n"/>
      <c r="AE954" s="66" t="n"/>
      <c r="AF954" s="66" t="n"/>
      <c r="AG954" s="66" t="n"/>
      <c r="AH954" s="66" t="n"/>
      <c r="AI954" s="66" t="n"/>
      <c r="AJ954" s="66" t="n"/>
      <c r="AK954" s="66" t="n"/>
      <c r="AL954" s="66" t="n"/>
      <c r="AM954" s="66" t="n"/>
      <c r="AN954" s="66" t="n"/>
      <c r="AO954" s="66" t="n"/>
      <c r="AP954" s="66" t="n"/>
    </row>
    <row r="955">
      <c r="A955" s="66" t="n"/>
      <c r="B955" s="66" t="n"/>
      <c r="C955" s="66" t="n"/>
      <c r="D955" s="66" t="n"/>
      <c r="E955" s="67" t="n"/>
      <c r="F955" s="67" t="n"/>
      <c r="G955" s="68" t="n"/>
      <c r="H955" s="66" t="n"/>
      <c r="I955" s="66" t="n"/>
      <c r="J955" s="67" t="n"/>
      <c r="K955" s="67" t="n"/>
      <c r="L955" s="67" t="n"/>
      <c r="M955" s="28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7" t="n"/>
      <c r="X955" s="67" t="n"/>
      <c r="Y955" s="67" t="n"/>
      <c r="Z955" s="67" t="n"/>
      <c r="AA955" s="67" t="n"/>
      <c r="AB955" s="67" t="n"/>
      <c r="AC955" s="67" t="n"/>
      <c r="AD955" s="66" t="n"/>
      <c r="AE955" s="66" t="n"/>
      <c r="AF955" s="66" t="n"/>
      <c r="AG955" s="66" t="n"/>
      <c r="AH955" s="66" t="n"/>
      <c r="AI955" s="66" t="n"/>
      <c r="AJ955" s="66" t="n"/>
      <c r="AK955" s="66" t="n"/>
      <c r="AL955" s="66" t="n"/>
      <c r="AM955" s="66" t="n"/>
      <c r="AN955" s="66" t="n"/>
      <c r="AO955" s="66" t="n"/>
      <c r="AP955" s="66" t="n"/>
    </row>
    <row r="956">
      <c r="A956" s="66" t="n"/>
      <c r="B956" s="66" t="n"/>
      <c r="C956" s="66" t="n"/>
      <c r="D956" s="66" t="n"/>
      <c r="E956" s="67" t="n"/>
      <c r="F956" s="67" t="n"/>
      <c r="G956" s="68" t="n"/>
      <c r="H956" s="66" t="n"/>
      <c r="I956" s="66" t="n"/>
      <c r="J956" s="67" t="n"/>
      <c r="K956" s="67" t="n"/>
      <c r="L956" s="67" t="n"/>
      <c r="M956" s="28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7" t="n"/>
      <c r="X956" s="67" t="n"/>
      <c r="Y956" s="67" t="n"/>
      <c r="Z956" s="67" t="n"/>
      <c r="AA956" s="67" t="n"/>
      <c r="AB956" s="67" t="n"/>
      <c r="AC956" s="67" t="n"/>
      <c r="AD956" s="66" t="n"/>
      <c r="AE956" s="66" t="n"/>
      <c r="AF956" s="66" t="n"/>
      <c r="AG956" s="66" t="n"/>
      <c r="AH956" s="66" t="n"/>
      <c r="AI956" s="66" t="n"/>
      <c r="AJ956" s="66" t="n"/>
      <c r="AK956" s="66" t="n"/>
      <c r="AL956" s="66" t="n"/>
      <c r="AM956" s="66" t="n"/>
      <c r="AN956" s="66" t="n"/>
      <c r="AO956" s="66" t="n"/>
      <c r="AP956" s="66" t="n"/>
    </row>
    <row r="957">
      <c r="A957" s="66" t="n"/>
      <c r="B957" s="66" t="n"/>
      <c r="C957" s="66" t="n"/>
      <c r="D957" s="66" t="n"/>
      <c r="E957" s="67" t="n"/>
      <c r="F957" s="67" t="n"/>
      <c r="G957" s="68" t="n"/>
      <c r="H957" s="66" t="n"/>
      <c r="I957" s="66" t="n"/>
      <c r="J957" s="67" t="n"/>
      <c r="K957" s="67" t="n"/>
      <c r="L957" s="67" t="n"/>
      <c r="M957" s="28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7" t="n"/>
      <c r="X957" s="67" t="n"/>
      <c r="Y957" s="67" t="n"/>
      <c r="Z957" s="67" t="n"/>
      <c r="AA957" s="67" t="n"/>
      <c r="AB957" s="67" t="n"/>
      <c r="AC957" s="67" t="n"/>
      <c r="AD957" s="66" t="n"/>
      <c r="AE957" s="66" t="n"/>
      <c r="AF957" s="66" t="n"/>
      <c r="AG957" s="66" t="n"/>
      <c r="AH957" s="66" t="n"/>
      <c r="AI957" s="66" t="n"/>
      <c r="AJ957" s="66" t="n"/>
      <c r="AK957" s="66" t="n"/>
      <c r="AL957" s="66" t="n"/>
      <c r="AM957" s="66" t="n"/>
      <c r="AN957" s="66" t="n"/>
      <c r="AO957" s="66" t="n"/>
      <c r="AP957" s="66" t="n"/>
    </row>
    <row r="958">
      <c r="A958" s="66" t="n"/>
      <c r="B958" s="66" t="n"/>
      <c r="C958" s="66" t="n"/>
      <c r="D958" s="66" t="n"/>
      <c r="E958" s="67" t="n"/>
      <c r="F958" s="67" t="n"/>
      <c r="G958" s="68" t="n"/>
      <c r="H958" s="66" t="n"/>
      <c r="I958" s="66" t="n"/>
      <c r="J958" s="67" t="n"/>
      <c r="K958" s="67" t="n"/>
      <c r="L958" s="67" t="n"/>
      <c r="M958" s="28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7" t="n"/>
      <c r="X958" s="67" t="n"/>
      <c r="Y958" s="67" t="n"/>
      <c r="Z958" s="67" t="n"/>
      <c r="AA958" s="67" t="n"/>
      <c r="AB958" s="67" t="n"/>
      <c r="AC958" s="67" t="n"/>
      <c r="AD958" s="66" t="n"/>
      <c r="AE958" s="66" t="n"/>
      <c r="AF958" s="66" t="n"/>
      <c r="AG958" s="66" t="n"/>
      <c r="AH958" s="66" t="n"/>
      <c r="AI958" s="66" t="n"/>
      <c r="AJ958" s="66" t="n"/>
      <c r="AK958" s="66" t="n"/>
      <c r="AL958" s="66" t="n"/>
      <c r="AM958" s="66" t="n"/>
      <c r="AN958" s="66" t="n"/>
      <c r="AO958" s="66" t="n"/>
      <c r="AP958" s="66" t="n"/>
    </row>
    <row r="959">
      <c r="A959" s="66" t="n"/>
      <c r="B959" s="66" t="n"/>
      <c r="C959" s="66" t="n"/>
      <c r="D959" s="66" t="n"/>
      <c r="E959" s="67" t="n"/>
      <c r="F959" s="67" t="n"/>
      <c r="G959" s="68" t="n"/>
      <c r="H959" s="66" t="n"/>
      <c r="I959" s="66" t="n"/>
      <c r="J959" s="67" t="n"/>
      <c r="K959" s="67" t="n"/>
      <c r="L959" s="67" t="n"/>
      <c r="M959" s="28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7" t="n"/>
      <c r="X959" s="67" t="n"/>
      <c r="Y959" s="67" t="n"/>
      <c r="Z959" s="67" t="n"/>
      <c r="AA959" s="67" t="n"/>
      <c r="AB959" s="67" t="n"/>
      <c r="AC959" s="67" t="n"/>
      <c r="AD959" s="66" t="n"/>
      <c r="AE959" s="66" t="n"/>
      <c r="AF959" s="66" t="n"/>
      <c r="AG959" s="66" t="n"/>
      <c r="AH959" s="66" t="n"/>
      <c r="AI959" s="66" t="n"/>
      <c r="AJ959" s="66" t="n"/>
      <c r="AK959" s="66" t="n"/>
      <c r="AL959" s="66" t="n"/>
      <c r="AM959" s="66" t="n"/>
      <c r="AN959" s="66" t="n"/>
      <c r="AO959" s="66" t="n"/>
      <c r="AP959" s="66" t="n"/>
    </row>
    <row r="960">
      <c r="A960" s="66" t="n"/>
      <c r="B960" s="66" t="n"/>
      <c r="C960" s="66" t="n"/>
      <c r="D960" s="66" t="n"/>
      <c r="E960" s="67" t="n"/>
      <c r="F960" s="67" t="n"/>
      <c r="G960" s="68" t="n"/>
      <c r="H960" s="66" t="n"/>
      <c r="I960" s="66" t="n"/>
      <c r="J960" s="67" t="n"/>
      <c r="K960" s="67" t="n"/>
      <c r="L960" s="67" t="n"/>
      <c r="M960" s="28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7" t="n"/>
      <c r="X960" s="67" t="n"/>
      <c r="Y960" s="67" t="n"/>
      <c r="Z960" s="67" t="n"/>
      <c r="AA960" s="67" t="n"/>
      <c r="AB960" s="67" t="n"/>
      <c r="AC960" s="67" t="n"/>
      <c r="AD960" s="66" t="n"/>
      <c r="AE960" s="66" t="n"/>
      <c r="AF960" s="66" t="n"/>
      <c r="AG960" s="66" t="n"/>
      <c r="AH960" s="66" t="n"/>
      <c r="AI960" s="66" t="n"/>
      <c r="AJ960" s="66" t="n"/>
      <c r="AK960" s="66" t="n"/>
      <c r="AL960" s="66" t="n"/>
      <c r="AM960" s="66" t="n"/>
      <c r="AN960" s="66" t="n"/>
      <c r="AO960" s="66" t="n"/>
      <c r="AP960" s="66" t="n"/>
    </row>
    <row r="961">
      <c r="A961" s="66" t="n"/>
      <c r="B961" s="66" t="n"/>
      <c r="C961" s="66" t="n"/>
      <c r="D961" s="66" t="n"/>
      <c r="E961" s="67" t="n"/>
      <c r="F961" s="67" t="n"/>
      <c r="G961" s="68" t="n"/>
      <c r="H961" s="66" t="n"/>
      <c r="I961" s="66" t="n"/>
      <c r="J961" s="67" t="n"/>
      <c r="K961" s="67" t="n"/>
      <c r="L961" s="67" t="n"/>
      <c r="M961" s="28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7" t="n"/>
      <c r="X961" s="67" t="n"/>
      <c r="Y961" s="67" t="n"/>
      <c r="Z961" s="67" t="n"/>
      <c r="AA961" s="67" t="n"/>
      <c r="AB961" s="67" t="n"/>
      <c r="AC961" s="67" t="n"/>
      <c r="AD961" s="66" t="n"/>
      <c r="AE961" s="66" t="n"/>
      <c r="AF961" s="66" t="n"/>
      <c r="AG961" s="66" t="n"/>
      <c r="AH961" s="66" t="n"/>
      <c r="AI961" s="66" t="n"/>
      <c r="AJ961" s="66" t="n"/>
      <c r="AK961" s="66" t="n"/>
      <c r="AL961" s="66" t="n"/>
      <c r="AM961" s="66" t="n"/>
      <c r="AN961" s="66" t="n"/>
      <c r="AO961" s="66" t="n"/>
      <c r="AP961" s="66" t="n"/>
    </row>
    <row r="962">
      <c r="A962" s="66" t="n"/>
      <c r="B962" s="66" t="n"/>
      <c r="C962" s="66" t="n"/>
      <c r="D962" s="66" t="n"/>
      <c r="E962" s="67" t="n"/>
      <c r="F962" s="67" t="n"/>
      <c r="G962" s="68" t="n"/>
      <c r="H962" s="66" t="n"/>
      <c r="I962" s="66" t="n"/>
      <c r="J962" s="67" t="n"/>
      <c r="K962" s="67" t="n"/>
      <c r="L962" s="67" t="n"/>
      <c r="M962" s="28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7" t="n"/>
      <c r="X962" s="67" t="n"/>
      <c r="Y962" s="67" t="n"/>
      <c r="Z962" s="67" t="n"/>
      <c r="AA962" s="67" t="n"/>
      <c r="AB962" s="67" t="n"/>
      <c r="AC962" s="67" t="n"/>
      <c r="AD962" s="66" t="n"/>
      <c r="AE962" s="66" t="n"/>
      <c r="AF962" s="66" t="n"/>
      <c r="AG962" s="66" t="n"/>
      <c r="AH962" s="66" t="n"/>
      <c r="AI962" s="66" t="n"/>
      <c r="AJ962" s="66" t="n"/>
      <c r="AK962" s="66" t="n"/>
      <c r="AL962" s="66" t="n"/>
      <c r="AM962" s="66" t="n"/>
      <c r="AN962" s="66" t="n"/>
      <c r="AO962" s="66" t="n"/>
      <c r="AP962" s="66" t="n"/>
    </row>
    <row r="963">
      <c r="A963" s="66" t="n"/>
      <c r="B963" s="66" t="n"/>
      <c r="C963" s="66" t="n"/>
      <c r="D963" s="66" t="n"/>
      <c r="E963" s="67" t="n"/>
      <c r="F963" s="67" t="n"/>
      <c r="G963" s="68" t="n"/>
      <c r="H963" s="66" t="n"/>
      <c r="I963" s="66" t="n"/>
      <c r="J963" s="67" t="n"/>
      <c r="K963" s="67" t="n"/>
      <c r="L963" s="67" t="n"/>
      <c r="M963" s="28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7" t="n"/>
      <c r="X963" s="67" t="n"/>
      <c r="Y963" s="67" t="n"/>
      <c r="Z963" s="67" t="n"/>
      <c r="AA963" s="67" t="n"/>
      <c r="AB963" s="67" t="n"/>
      <c r="AC963" s="67" t="n"/>
      <c r="AD963" s="66" t="n"/>
      <c r="AE963" s="66" t="n"/>
      <c r="AF963" s="66" t="n"/>
      <c r="AG963" s="66" t="n"/>
      <c r="AH963" s="66" t="n"/>
      <c r="AI963" s="66" t="n"/>
      <c r="AJ963" s="66" t="n"/>
      <c r="AK963" s="66" t="n"/>
      <c r="AL963" s="66" t="n"/>
      <c r="AM963" s="66" t="n"/>
      <c r="AN963" s="66" t="n"/>
      <c r="AO963" s="66" t="n"/>
      <c r="AP963" s="66" t="n"/>
    </row>
    <row r="964">
      <c r="A964" s="66" t="n"/>
      <c r="B964" s="66" t="n"/>
      <c r="C964" s="66" t="n"/>
      <c r="D964" s="66" t="n"/>
      <c r="E964" s="67" t="n"/>
      <c r="F964" s="67" t="n"/>
      <c r="G964" s="68" t="n"/>
      <c r="H964" s="66" t="n"/>
      <c r="I964" s="66" t="n"/>
      <c r="J964" s="67" t="n"/>
      <c r="K964" s="67" t="n"/>
      <c r="L964" s="67" t="n"/>
      <c r="M964" s="28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7" t="n"/>
      <c r="X964" s="67" t="n"/>
      <c r="Y964" s="67" t="n"/>
      <c r="Z964" s="67" t="n"/>
      <c r="AA964" s="67" t="n"/>
      <c r="AB964" s="67" t="n"/>
      <c r="AC964" s="67" t="n"/>
      <c r="AD964" s="66" t="n"/>
      <c r="AE964" s="66" t="n"/>
      <c r="AF964" s="66" t="n"/>
      <c r="AG964" s="66" t="n"/>
      <c r="AH964" s="66" t="n"/>
      <c r="AI964" s="66" t="n"/>
      <c r="AJ964" s="66" t="n"/>
      <c r="AK964" s="66" t="n"/>
      <c r="AL964" s="66" t="n"/>
      <c r="AM964" s="66" t="n"/>
      <c r="AN964" s="66" t="n"/>
      <c r="AO964" s="66" t="n"/>
      <c r="AP964" s="66" t="n"/>
    </row>
    <row r="965">
      <c r="A965" s="66" t="n"/>
      <c r="B965" s="66" t="n"/>
      <c r="C965" s="66" t="n"/>
      <c r="D965" s="66" t="n"/>
      <c r="E965" s="67" t="n"/>
      <c r="F965" s="67" t="n"/>
      <c r="G965" s="68" t="n"/>
      <c r="H965" s="66" t="n"/>
      <c r="I965" s="66" t="n"/>
      <c r="J965" s="67" t="n"/>
      <c r="K965" s="67" t="n"/>
      <c r="L965" s="67" t="n"/>
      <c r="M965" s="28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7" t="n"/>
      <c r="X965" s="67" t="n"/>
      <c r="Y965" s="67" t="n"/>
      <c r="Z965" s="67" t="n"/>
      <c r="AA965" s="67" t="n"/>
      <c r="AB965" s="67" t="n"/>
      <c r="AC965" s="67" t="n"/>
      <c r="AD965" s="66" t="n"/>
      <c r="AE965" s="66" t="n"/>
      <c r="AF965" s="66" t="n"/>
      <c r="AG965" s="66" t="n"/>
      <c r="AH965" s="66" t="n"/>
      <c r="AI965" s="66" t="n"/>
      <c r="AJ965" s="66" t="n"/>
      <c r="AK965" s="66" t="n"/>
      <c r="AL965" s="66" t="n"/>
      <c r="AM965" s="66" t="n"/>
      <c r="AN965" s="66" t="n"/>
      <c r="AO965" s="66" t="n"/>
      <c r="AP965" s="66" t="n"/>
    </row>
    <row r="966">
      <c r="A966" s="66" t="n"/>
      <c r="B966" s="66" t="n"/>
      <c r="C966" s="66" t="n"/>
      <c r="D966" s="66" t="n"/>
      <c r="E966" s="67" t="n"/>
      <c r="F966" s="67" t="n"/>
      <c r="G966" s="68" t="n"/>
      <c r="H966" s="66" t="n"/>
      <c r="I966" s="66" t="n"/>
      <c r="J966" s="67" t="n"/>
      <c r="K966" s="67" t="n"/>
      <c r="L966" s="67" t="n"/>
      <c r="M966" s="28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7" t="n"/>
      <c r="X966" s="67" t="n"/>
      <c r="Y966" s="67" t="n"/>
      <c r="Z966" s="67" t="n"/>
      <c r="AA966" s="67" t="n"/>
      <c r="AB966" s="67" t="n"/>
      <c r="AC966" s="67" t="n"/>
      <c r="AD966" s="66" t="n"/>
      <c r="AE966" s="66" t="n"/>
      <c r="AF966" s="66" t="n"/>
      <c r="AG966" s="66" t="n"/>
      <c r="AH966" s="66" t="n"/>
      <c r="AI966" s="66" t="n"/>
      <c r="AJ966" s="66" t="n"/>
      <c r="AK966" s="66" t="n"/>
      <c r="AL966" s="66" t="n"/>
      <c r="AM966" s="66" t="n"/>
      <c r="AN966" s="66" t="n"/>
      <c r="AO966" s="66" t="n"/>
      <c r="AP966" s="66" t="n"/>
    </row>
    <row r="967">
      <c r="A967" s="66" t="n"/>
      <c r="B967" s="66" t="n"/>
      <c r="C967" s="66" t="n"/>
      <c r="D967" s="66" t="n"/>
      <c r="E967" s="67" t="n"/>
      <c r="F967" s="67" t="n"/>
      <c r="G967" s="68" t="n"/>
      <c r="H967" s="66" t="n"/>
      <c r="I967" s="66" t="n"/>
      <c r="J967" s="67" t="n"/>
      <c r="K967" s="67" t="n"/>
      <c r="L967" s="67" t="n"/>
      <c r="M967" s="28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7" t="n"/>
      <c r="X967" s="67" t="n"/>
      <c r="Y967" s="67" t="n"/>
      <c r="Z967" s="67" t="n"/>
      <c r="AA967" s="67" t="n"/>
      <c r="AB967" s="67" t="n"/>
      <c r="AC967" s="67" t="n"/>
      <c r="AD967" s="66" t="n"/>
      <c r="AE967" s="66" t="n"/>
      <c r="AF967" s="66" t="n"/>
      <c r="AG967" s="66" t="n"/>
      <c r="AH967" s="66" t="n"/>
      <c r="AI967" s="66" t="n"/>
      <c r="AJ967" s="66" t="n"/>
      <c r="AK967" s="66" t="n"/>
      <c r="AL967" s="66" t="n"/>
      <c r="AM967" s="66" t="n"/>
      <c r="AN967" s="66" t="n"/>
      <c r="AO967" s="66" t="n"/>
      <c r="AP967" s="66" t="n"/>
    </row>
    <row r="968">
      <c r="A968" s="66" t="n"/>
      <c r="B968" s="66" t="n"/>
      <c r="C968" s="66" t="n"/>
      <c r="D968" s="66" t="n"/>
      <c r="E968" s="67" t="n"/>
      <c r="F968" s="67" t="n"/>
      <c r="G968" s="68" t="n"/>
      <c r="H968" s="66" t="n"/>
      <c r="I968" s="66" t="n"/>
      <c r="J968" s="67" t="n"/>
      <c r="K968" s="67" t="n"/>
      <c r="L968" s="67" t="n"/>
      <c r="M968" s="28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7" t="n"/>
      <c r="X968" s="67" t="n"/>
      <c r="Y968" s="67" t="n"/>
      <c r="Z968" s="67" t="n"/>
      <c r="AA968" s="67" t="n"/>
      <c r="AB968" s="67" t="n"/>
      <c r="AC968" s="67" t="n"/>
      <c r="AD968" s="66" t="n"/>
      <c r="AE968" s="66" t="n"/>
      <c r="AF968" s="66" t="n"/>
      <c r="AG968" s="66" t="n"/>
      <c r="AH968" s="66" t="n"/>
      <c r="AI968" s="66" t="n"/>
      <c r="AJ968" s="66" t="n"/>
      <c r="AK968" s="66" t="n"/>
      <c r="AL968" s="66" t="n"/>
      <c r="AM968" s="66" t="n"/>
      <c r="AN968" s="66" t="n"/>
      <c r="AO968" s="66" t="n"/>
      <c r="AP968" s="66" t="n"/>
    </row>
    <row r="969">
      <c r="A969" s="66" t="n"/>
      <c r="B969" s="66" t="n"/>
      <c r="C969" s="66" t="n"/>
      <c r="D969" s="66" t="n"/>
      <c r="E969" s="67" t="n"/>
      <c r="F969" s="67" t="n"/>
      <c r="G969" s="68" t="n"/>
      <c r="H969" s="66" t="n"/>
      <c r="I969" s="66" t="n"/>
      <c r="J969" s="67" t="n"/>
      <c r="K969" s="67" t="n"/>
      <c r="L969" s="67" t="n"/>
      <c r="M969" s="28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7" t="n"/>
      <c r="X969" s="67" t="n"/>
      <c r="Y969" s="67" t="n"/>
      <c r="Z969" s="67" t="n"/>
      <c r="AA969" s="67" t="n"/>
      <c r="AB969" s="67" t="n"/>
      <c r="AC969" s="67" t="n"/>
      <c r="AD969" s="66" t="n"/>
      <c r="AE969" s="66" t="n"/>
      <c r="AF969" s="66" t="n"/>
      <c r="AG969" s="66" t="n"/>
      <c r="AH969" s="66" t="n"/>
      <c r="AI969" s="66" t="n"/>
      <c r="AJ969" s="66" t="n"/>
      <c r="AK969" s="66" t="n"/>
      <c r="AL969" s="66" t="n"/>
      <c r="AM969" s="66" t="n"/>
      <c r="AN969" s="66" t="n"/>
      <c r="AO969" s="66" t="n"/>
      <c r="AP969" s="66" t="n"/>
    </row>
    <row r="970">
      <c r="A970" s="66" t="n"/>
      <c r="B970" s="66" t="n"/>
      <c r="C970" s="66" t="n"/>
      <c r="D970" s="66" t="n"/>
      <c r="E970" s="67" t="n"/>
      <c r="F970" s="67" t="n"/>
      <c r="G970" s="68" t="n"/>
      <c r="H970" s="66" t="n"/>
      <c r="I970" s="66" t="n"/>
      <c r="J970" s="67" t="n"/>
      <c r="K970" s="67" t="n"/>
      <c r="L970" s="67" t="n"/>
      <c r="M970" s="28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7" t="n"/>
      <c r="X970" s="67" t="n"/>
      <c r="Y970" s="67" t="n"/>
      <c r="Z970" s="67" t="n"/>
      <c r="AA970" s="67" t="n"/>
      <c r="AB970" s="67" t="n"/>
      <c r="AC970" s="67" t="n"/>
      <c r="AD970" s="66" t="n"/>
      <c r="AE970" s="66" t="n"/>
      <c r="AF970" s="66" t="n"/>
      <c r="AG970" s="66" t="n"/>
      <c r="AH970" s="66" t="n"/>
      <c r="AI970" s="66" t="n"/>
      <c r="AJ970" s="66" t="n"/>
      <c r="AK970" s="66" t="n"/>
      <c r="AL970" s="66" t="n"/>
      <c r="AM970" s="66" t="n"/>
      <c r="AN970" s="66" t="n"/>
      <c r="AO970" s="66" t="n"/>
      <c r="AP970" s="66" t="n"/>
    </row>
    <row r="971">
      <c r="A971" s="66" t="n"/>
      <c r="B971" s="66" t="n"/>
      <c r="C971" s="66" t="n"/>
      <c r="D971" s="66" t="n"/>
      <c r="E971" s="67" t="n"/>
      <c r="F971" s="67" t="n"/>
      <c r="G971" s="68" t="n"/>
      <c r="H971" s="66" t="n"/>
      <c r="I971" s="66" t="n"/>
      <c r="J971" s="67" t="n"/>
      <c r="K971" s="67" t="n"/>
      <c r="L971" s="67" t="n"/>
      <c r="M971" s="28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7" t="n"/>
      <c r="X971" s="67" t="n"/>
      <c r="Y971" s="67" t="n"/>
      <c r="Z971" s="67" t="n"/>
      <c r="AA971" s="67" t="n"/>
      <c r="AB971" s="67" t="n"/>
      <c r="AC971" s="67" t="n"/>
      <c r="AD971" s="66" t="n"/>
      <c r="AE971" s="66" t="n"/>
      <c r="AF971" s="66" t="n"/>
      <c r="AG971" s="66" t="n"/>
      <c r="AH971" s="66" t="n"/>
      <c r="AI971" s="66" t="n"/>
      <c r="AJ971" s="66" t="n"/>
      <c r="AK971" s="66" t="n"/>
      <c r="AL971" s="66" t="n"/>
      <c r="AM971" s="66" t="n"/>
      <c r="AN971" s="66" t="n"/>
      <c r="AO971" s="66" t="n"/>
      <c r="AP971" s="66" t="n"/>
    </row>
    <row r="972">
      <c r="A972" s="66" t="n"/>
      <c r="B972" s="66" t="n"/>
      <c r="C972" s="66" t="n"/>
      <c r="D972" s="66" t="n"/>
      <c r="E972" s="67" t="n"/>
      <c r="F972" s="67" t="n"/>
      <c r="G972" s="68" t="n"/>
      <c r="H972" s="66" t="n"/>
      <c r="I972" s="66" t="n"/>
      <c r="J972" s="67" t="n"/>
      <c r="K972" s="67" t="n"/>
      <c r="L972" s="67" t="n"/>
      <c r="M972" s="28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7" t="n"/>
      <c r="X972" s="67" t="n"/>
      <c r="Y972" s="67" t="n"/>
      <c r="Z972" s="67" t="n"/>
      <c r="AA972" s="67" t="n"/>
      <c r="AB972" s="67" t="n"/>
      <c r="AC972" s="67" t="n"/>
      <c r="AD972" s="66" t="n"/>
      <c r="AE972" s="66" t="n"/>
      <c r="AF972" s="66" t="n"/>
      <c r="AG972" s="66" t="n"/>
      <c r="AH972" s="66" t="n"/>
      <c r="AI972" s="66" t="n"/>
      <c r="AJ972" s="66" t="n"/>
      <c r="AK972" s="66" t="n"/>
      <c r="AL972" s="66" t="n"/>
      <c r="AM972" s="66" t="n"/>
      <c r="AN972" s="66" t="n"/>
      <c r="AO972" s="66" t="n"/>
      <c r="AP972" s="66" t="n"/>
    </row>
    <row r="973">
      <c r="A973" s="66" t="n"/>
      <c r="B973" s="66" t="n"/>
      <c r="C973" s="66" t="n"/>
      <c r="D973" s="66" t="n"/>
      <c r="E973" s="67" t="n"/>
      <c r="F973" s="67" t="n"/>
      <c r="G973" s="68" t="n"/>
      <c r="H973" s="66" t="n"/>
      <c r="I973" s="66" t="n"/>
      <c r="J973" s="67" t="n"/>
      <c r="K973" s="67" t="n"/>
      <c r="L973" s="67" t="n"/>
      <c r="M973" s="28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7" t="n"/>
      <c r="X973" s="67" t="n"/>
      <c r="Y973" s="67" t="n"/>
      <c r="Z973" s="67" t="n"/>
      <c r="AA973" s="67" t="n"/>
      <c r="AB973" s="67" t="n"/>
      <c r="AC973" s="67" t="n"/>
      <c r="AD973" s="66" t="n"/>
      <c r="AE973" s="66" t="n"/>
      <c r="AF973" s="66" t="n"/>
      <c r="AG973" s="66" t="n"/>
      <c r="AH973" s="66" t="n"/>
      <c r="AI973" s="66" t="n"/>
      <c r="AJ973" s="66" t="n"/>
      <c r="AK973" s="66" t="n"/>
      <c r="AL973" s="66" t="n"/>
      <c r="AM973" s="66" t="n"/>
      <c r="AN973" s="66" t="n"/>
      <c r="AO973" s="66" t="n"/>
      <c r="AP973" s="66" t="n"/>
    </row>
    <row r="974">
      <c r="A974" s="66" t="n"/>
      <c r="B974" s="66" t="n"/>
      <c r="C974" s="66" t="n"/>
      <c r="D974" s="66" t="n"/>
      <c r="E974" s="67" t="n"/>
      <c r="F974" s="67" t="n"/>
      <c r="G974" s="68" t="n"/>
      <c r="H974" s="66" t="n"/>
      <c r="I974" s="66" t="n"/>
      <c r="J974" s="67" t="n"/>
      <c r="K974" s="67" t="n"/>
      <c r="L974" s="67" t="n"/>
      <c r="M974" s="28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7" t="n"/>
      <c r="X974" s="67" t="n"/>
      <c r="Y974" s="67" t="n"/>
      <c r="Z974" s="67" t="n"/>
      <c r="AA974" s="67" t="n"/>
      <c r="AB974" s="67" t="n"/>
      <c r="AC974" s="67" t="n"/>
      <c r="AD974" s="66" t="n"/>
      <c r="AE974" s="66" t="n"/>
      <c r="AF974" s="66" t="n"/>
      <c r="AG974" s="66" t="n"/>
      <c r="AH974" s="66" t="n"/>
      <c r="AI974" s="66" t="n"/>
      <c r="AJ974" s="66" t="n"/>
      <c r="AK974" s="66" t="n"/>
      <c r="AL974" s="66" t="n"/>
      <c r="AM974" s="66" t="n"/>
      <c r="AN974" s="66" t="n"/>
      <c r="AO974" s="66" t="n"/>
      <c r="AP974" s="66" t="n"/>
    </row>
    <row r="975">
      <c r="A975" s="66" t="n"/>
      <c r="B975" s="66" t="n"/>
      <c r="C975" s="66" t="n"/>
      <c r="D975" s="66" t="n"/>
      <c r="E975" s="67" t="n"/>
      <c r="F975" s="67" t="n"/>
      <c r="G975" s="68" t="n"/>
      <c r="H975" s="66" t="n"/>
      <c r="I975" s="66" t="n"/>
      <c r="J975" s="67" t="n"/>
      <c r="K975" s="67" t="n"/>
      <c r="L975" s="67" t="n"/>
      <c r="M975" s="28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7" t="n"/>
      <c r="X975" s="67" t="n"/>
      <c r="Y975" s="67" t="n"/>
      <c r="Z975" s="67" t="n"/>
      <c r="AA975" s="67" t="n"/>
      <c r="AB975" s="67" t="n"/>
      <c r="AC975" s="67" t="n"/>
      <c r="AD975" s="66" t="n"/>
      <c r="AE975" s="66" t="n"/>
      <c r="AF975" s="66" t="n"/>
      <c r="AG975" s="66" t="n"/>
      <c r="AH975" s="66" t="n"/>
      <c r="AI975" s="66" t="n"/>
      <c r="AJ975" s="66" t="n"/>
      <c r="AK975" s="66" t="n"/>
      <c r="AL975" s="66" t="n"/>
      <c r="AM975" s="66" t="n"/>
      <c r="AN975" s="66" t="n"/>
      <c r="AO975" s="66" t="n"/>
      <c r="AP975" s="66" t="n"/>
    </row>
    <row r="976">
      <c r="A976" s="66" t="n"/>
      <c r="B976" s="66" t="n"/>
      <c r="C976" s="66" t="n"/>
      <c r="D976" s="66" t="n"/>
      <c r="E976" s="67" t="n"/>
      <c r="F976" s="67" t="n"/>
      <c r="G976" s="68" t="n"/>
      <c r="H976" s="66" t="n"/>
      <c r="I976" s="66" t="n"/>
      <c r="J976" s="67" t="n"/>
      <c r="K976" s="67" t="n"/>
      <c r="L976" s="67" t="n"/>
      <c r="M976" s="28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7" t="n"/>
      <c r="X976" s="67" t="n"/>
      <c r="Y976" s="67" t="n"/>
      <c r="Z976" s="67" t="n"/>
      <c r="AA976" s="67" t="n"/>
      <c r="AB976" s="67" t="n"/>
      <c r="AC976" s="67" t="n"/>
      <c r="AD976" s="66" t="n"/>
      <c r="AE976" s="66" t="n"/>
      <c r="AF976" s="66" t="n"/>
      <c r="AG976" s="66" t="n"/>
      <c r="AH976" s="66" t="n"/>
      <c r="AI976" s="66" t="n"/>
      <c r="AJ976" s="66" t="n"/>
      <c r="AK976" s="66" t="n"/>
      <c r="AL976" s="66" t="n"/>
      <c r="AM976" s="66" t="n"/>
      <c r="AN976" s="66" t="n"/>
      <c r="AO976" s="66" t="n"/>
      <c r="AP976" s="66" t="n"/>
    </row>
    <row r="977">
      <c r="A977" s="66" t="n"/>
      <c r="B977" s="66" t="n"/>
      <c r="C977" s="66" t="n"/>
      <c r="D977" s="66" t="n"/>
      <c r="E977" s="67" t="n"/>
      <c r="F977" s="67" t="n"/>
      <c r="G977" s="68" t="n"/>
      <c r="H977" s="66" t="n"/>
      <c r="I977" s="66" t="n"/>
      <c r="J977" s="67" t="n"/>
      <c r="K977" s="67" t="n"/>
      <c r="L977" s="67" t="n"/>
      <c r="M977" s="28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7" t="n"/>
      <c r="X977" s="67" t="n"/>
      <c r="Y977" s="67" t="n"/>
      <c r="Z977" s="67" t="n"/>
      <c r="AA977" s="67" t="n"/>
      <c r="AB977" s="67" t="n"/>
      <c r="AC977" s="67" t="n"/>
      <c r="AD977" s="66" t="n"/>
      <c r="AE977" s="66" t="n"/>
      <c r="AF977" s="66" t="n"/>
      <c r="AG977" s="66" t="n"/>
      <c r="AH977" s="66" t="n"/>
      <c r="AI977" s="66" t="n"/>
      <c r="AJ977" s="66" t="n"/>
      <c r="AK977" s="66" t="n"/>
      <c r="AL977" s="66" t="n"/>
      <c r="AM977" s="66" t="n"/>
      <c r="AN977" s="66" t="n"/>
      <c r="AO977" s="66" t="n"/>
      <c r="AP977" s="66" t="n"/>
    </row>
    <row r="978">
      <c r="A978" s="66" t="n"/>
      <c r="B978" s="66" t="n"/>
      <c r="C978" s="66" t="n"/>
      <c r="D978" s="66" t="n"/>
      <c r="E978" s="67" t="n"/>
      <c r="F978" s="67" t="n"/>
      <c r="G978" s="68" t="n"/>
      <c r="H978" s="66" t="n"/>
      <c r="I978" s="66" t="n"/>
      <c r="J978" s="67" t="n"/>
      <c r="K978" s="67" t="n"/>
      <c r="L978" s="67" t="n"/>
      <c r="M978" s="28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7" t="n"/>
      <c r="X978" s="67" t="n"/>
      <c r="Y978" s="67" t="n"/>
      <c r="Z978" s="67" t="n"/>
      <c r="AA978" s="67" t="n"/>
      <c r="AB978" s="67" t="n"/>
      <c r="AC978" s="67" t="n"/>
      <c r="AD978" s="66" t="n"/>
      <c r="AE978" s="66" t="n"/>
      <c r="AF978" s="66" t="n"/>
      <c r="AG978" s="66" t="n"/>
      <c r="AH978" s="66" t="n"/>
      <c r="AI978" s="66" t="n"/>
      <c r="AJ978" s="66" t="n"/>
      <c r="AK978" s="66" t="n"/>
      <c r="AL978" s="66" t="n"/>
      <c r="AM978" s="66" t="n"/>
      <c r="AN978" s="66" t="n"/>
      <c r="AO978" s="66" t="n"/>
      <c r="AP978" s="66" t="n"/>
    </row>
    <row r="979">
      <c r="A979" s="66" t="n"/>
      <c r="B979" s="66" t="n"/>
      <c r="C979" s="66" t="n"/>
      <c r="D979" s="66" t="n"/>
      <c r="E979" s="67" t="n"/>
      <c r="F979" s="67" t="n"/>
      <c r="G979" s="68" t="n"/>
      <c r="H979" s="66" t="n"/>
      <c r="I979" s="66" t="n"/>
      <c r="J979" s="67" t="n"/>
      <c r="K979" s="67" t="n"/>
      <c r="L979" s="67" t="n"/>
      <c r="M979" s="28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7" t="n"/>
      <c r="X979" s="67" t="n"/>
      <c r="Y979" s="67" t="n"/>
      <c r="Z979" s="67" t="n"/>
      <c r="AA979" s="67" t="n"/>
      <c r="AB979" s="67" t="n"/>
      <c r="AC979" s="67" t="n"/>
      <c r="AD979" s="66" t="n"/>
      <c r="AE979" s="66" t="n"/>
      <c r="AF979" s="66" t="n"/>
      <c r="AG979" s="66" t="n"/>
      <c r="AH979" s="66" t="n"/>
      <c r="AI979" s="66" t="n"/>
      <c r="AJ979" s="66" t="n"/>
      <c r="AK979" s="66" t="n"/>
      <c r="AL979" s="66" t="n"/>
      <c r="AM979" s="66" t="n"/>
      <c r="AN979" s="66" t="n"/>
      <c r="AO979" s="66" t="n"/>
      <c r="AP979" s="66" t="n"/>
    </row>
    <row r="980">
      <c r="A980" s="66" t="n"/>
      <c r="B980" s="66" t="n"/>
      <c r="C980" s="66" t="n"/>
      <c r="D980" s="66" t="n"/>
      <c r="E980" s="67" t="n"/>
      <c r="F980" s="67" t="n"/>
      <c r="G980" s="68" t="n"/>
      <c r="H980" s="66" t="n"/>
      <c r="I980" s="66" t="n"/>
      <c r="J980" s="67" t="n"/>
      <c r="K980" s="67" t="n"/>
      <c r="L980" s="67" t="n"/>
      <c r="M980" s="28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7" t="n"/>
      <c r="X980" s="67" t="n"/>
      <c r="Y980" s="67" t="n"/>
      <c r="Z980" s="67" t="n"/>
      <c r="AA980" s="67" t="n"/>
      <c r="AB980" s="67" t="n"/>
      <c r="AC980" s="67" t="n"/>
      <c r="AD980" s="66" t="n"/>
      <c r="AE980" s="66" t="n"/>
      <c r="AF980" s="66" t="n"/>
      <c r="AG980" s="66" t="n"/>
      <c r="AH980" s="66" t="n"/>
      <c r="AI980" s="66" t="n"/>
      <c r="AJ980" s="66" t="n"/>
      <c r="AK980" s="66" t="n"/>
      <c r="AL980" s="66" t="n"/>
      <c r="AM980" s="66" t="n"/>
      <c r="AN980" s="66" t="n"/>
      <c r="AO980" s="66" t="n"/>
      <c r="AP980" s="66" t="n"/>
    </row>
    <row r="981">
      <c r="A981" s="66" t="n"/>
      <c r="B981" s="66" t="n"/>
      <c r="C981" s="66" t="n"/>
      <c r="D981" s="66" t="n"/>
      <c r="E981" s="67" t="n"/>
      <c r="F981" s="67" t="n"/>
      <c r="G981" s="68" t="n"/>
      <c r="H981" s="66" t="n"/>
      <c r="I981" s="66" t="n"/>
      <c r="J981" s="67" t="n"/>
      <c r="K981" s="67" t="n"/>
      <c r="L981" s="67" t="n"/>
      <c r="M981" s="28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7" t="n"/>
      <c r="X981" s="67" t="n"/>
      <c r="Y981" s="67" t="n"/>
      <c r="Z981" s="67" t="n"/>
      <c r="AA981" s="67" t="n"/>
      <c r="AB981" s="67" t="n"/>
      <c r="AC981" s="67" t="n"/>
      <c r="AD981" s="66" t="n"/>
      <c r="AE981" s="66" t="n"/>
      <c r="AF981" s="66" t="n"/>
      <c r="AG981" s="66" t="n"/>
      <c r="AH981" s="66" t="n"/>
      <c r="AI981" s="66" t="n"/>
      <c r="AJ981" s="66" t="n"/>
      <c r="AK981" s="66" t="n"/>
      <c r="AL981" s="66" t="n"/>
      <c r="AM981" s="66" t="n"/>
      <c r="AN981" s="66" t="n"/>
      <c r="AO981" s="66" t="n"/>
      <c r="AP981" s="66" t="n"/>
    </row>
    <row r="982">
      <c r="A982" s="66" t="n"/>
      <c r="B982" s="66" t="n"/>
      <c r="C982" s="66" t="n"/>
      <c r="D982" s="66" t="n"/>
      <c r="E982" s="67" t="n"/>
      <c r="F982" s="67" t="n"/>
      <c r="G982" s="68" t="n"/>
      <c r="H982" s="66" t="n"/>
      <c r="I982" s="66" t="n"/>
      <c r="J982" s="67" t="n"/>
      <c r="K982" s="67" t="n"/>
      <c r="L982" s="67" t="n"/>
      <c r="M982" s="28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7" t="n"/>
      <c r="X982" s="67" t="n"/>
      <c r="Y982" s="67" t="n"/>
      <c r="Z982" s="67" t="n"/>
      <c r="AA982" s="67" t="n"/>
      <c r="AB982" s="67" t="n"/>
      <c r="AC982" s="67" t="n"/>
      <c r="AD982" s="66" t="n"/>
      <c r="AE982" s="66" t="n"/>
      <c r="AF982" s="66" t="n"/>
      <c r="AG982" s="66" t="n"/>
      <c r="AH982" s="66" t="n"/>
      <c r="AI982" s="66" t="n"/>
      <c r="AJ982" s="66" t="n"/>
      <c r="AK982" s="66" t="n"/>
      <c r="AL982" s="66" t="n"/>
      <c r="AM982" s="66" t="n"/>
      <c r="AN982" s="66" t="n"/>
      <c r="AO982" s="66" t="n"/>
      <c r="AP982" s="66" t="n"/>
    </row>
    <row r="983">
      <c r="A983" s="66" t="n"/>
      <c r="B983" s="66" t="n"/>
      <c r="C983" s="66" t="n"/>
      <c r="D983" s="66" t="n"/>
      <c r="E983" s="67" t="n"/>
      <c r="F983" s="67" t="n"/>
      <c r="G983" s="68" t="n"/>
      <c r="H983" s="66" t="n"/>
      <c r="I983" s="66" t="n"/>
      <c r="J983" s="67" t="n"/>
      <c r="K983" s="67" t="n"/>
      <c r="L983" s="67" t="n"/>
      <c r="M983" s="28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7" t="n"/>
      <c r="X983" s="67" t="n"/>
      <c r="Y983" s="67" t="n"/>
      <c r="Z983" s="67" t="n"/>
      <c r="AA983" s="67" t="n"/>
      <c r="AB983" s="67" t="n"/>
      <c r="AC983" s="67" t="n"/>
      <c r="AD983" s="66" t="n"/>
      <c r="AE983" s="66" t="n"/>
      <c r="AF983" s="66" t="n"/>
      <c r="AG983" s="66" t="n"/>
      <c r="AH983" s="66" t="n"/>
      <c r="AI983" s="66" t="n"/>
      <c r="AJ983" s="66" t="n"/>
      <c r="AK983" s="66" t="n"/>
      <c r="AL983" s="66" t="n"/>
      <c r="AM983" s="66" t="n"/>
      <c r="AN983" s="66" t="n"/>
      <c r="AO983" s="66" t="n"/>
      <c r="AP983" s="66" t="n"/>
    </row>
    <row r="984">
      <c r="A984" s="66" t="n"/>
      <c r="B984" s="66" t="n"/>
      <c r="C984" s="66" t="n"/>
      <c r="D984" s="66" t="n"/>
      <c r="E984" s="67" t="n"/>
      <c r="F984" s="67" t="n"/>
      <c r="G984" s="68" t="n"/>
      <c r="H984" s="66" t="n"/>
      <c r="I984" s="66" t="n"/>
      <c r="J984" s="67" t="n"/>
      <c r="K984" s="67" t="n"/>
      <c r="L984" s="67" t="n"/>
      <c r="M984" s="28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7" t="n"/>
      <c r="X984" s="67" t="n"/>
      <c r="Y984" s="67" t="n"/>
      <c r="Z984" s="67" t="n"/>
      <c r="AA984" s="67" t="n"/>
      <c r="AB984" s="67" t="n"/>
      <c r="AC984" s="67" t="n"/>
      <c r="AD984" s="66" t="n"/>
      <c r="AE984" s="66" t="n"/>
      <c r="AF984" s="66" t="n"/>
      <c r="AG984" s="66" t="n"/>
      <c r="AH984" s="66" t="n"/>
      <c r="AI984" s="66" t="n"/>
      <c r="AJ984" s="66" t="n"/>
      <c r="AK984" s="66" t="n"/>
      <c r="AL984" s="66" t="n"/>
      <c r="AM984" s="66" t="n"/>
      <c r="AN984" s="66" t="n"/>
      <c r="AO984" s="66" t="n"/>
      <c r="AP984" s="66" t="n"/>
    </row>
    <row r="985">
      <c r="A985" s="66" t="n"/>
      <c r="B985" s="66" t="n"/>
      <c r="C985" s="66" t="n"/>
      <c r="D985" s="66" t="n"/>
      <c r="E985" s="67" t="n"/>
      <c r="F985" s="67" t="n"/>
      <c r="G985" s="68" t="n"/>
      <c r="H985" s="66" t="n"/>
      <c r="I985" s="66" t="n"/>
      <c r="J985" s="67" t="n"/>
      <c r="K985" s="67" t="n"/>
      <c r="L985" s="67" t="n"/>
      <c r="M985" s="28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7" t="n"/>
      <c r="X985" s="67" t="n"/>
      <c r="Y985" s="67" t="n"/>
      <c r="Z985" s="67" t="n"/>
      <c r="AA985" s="67" t="n"/>
      <c r="AB985" s="67" t="n"/>
      <c r="AC985" s="67" t="n"/>
      <c r="AD985" s="66" t="n"/>
      <c r="AE985" s="66" t="n"/>
      <c r="AF985" s="66" t="n"/>
      <c r="AG985" s="66" t="n"/>
      <c r="AH985" s="66" t="n"/>
      <c r="AI985" s="66" t="n"/>
      <c r="AJ985" s="66" t="n"/>
      <c r="AK985" s="66" t="n"/>
      <c r="AL985" s="66" t="n"/>
      <c r="AM985" s="66" t="n"/>
      <c r="AN985" s="66" t="n"/>
      <c r="AO985" s="66" t="n"/>
      <c r="AP985" s="66" t="n"/>
    </row>
    <row r="986">
      <c r="A986" s="66" t="n"/>
      <c r="B986" s="66" t="n"/>
      <c r="C986" s="66" t="n"/>
      <c r="D986" s="66" t="n"/>
      <c r="E986" s="67" t="n"/>
      <c r="F986" s="67" t="n"/>
      <c r="G986" s="68" t="n"/>
      <c r="H986" s="66" t="n"/>
      <c r="I986" s="66" t="n"/>
      <c r="J986" s="67" t="n"/>
      <c r="K986" s="67" t="n"/>
      <c r="L986" s="67" t="n"/>
      <c r="M986" s="28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7" t="n"/>
      <c r="X986" s="67" t="n"/>
      <c r="Y986" s="67" t="n"/>
      <c r="Z986" s="67" t="n"/>
      <c r="AA986" s="67" t="n"/>
      <c r="AB986" s="67" t="n"/>
      <c r="AC986" s="67" t="n"/>
      <c r="AD986" s="66" t="n"/>
      <c r="AE986" s="66" t="n"/>
      <c r="AF986" s="66" t="n"/>
      <c r="AG986" s="66" t="n"/>
      <c r="AH986" s="66" t="n"/>
      <c r="AI986" s="66" t="n"/>
      <c r="AJ986" s="66" t="n"/>
      <c r="AK986" s="66" t="n"/>
      <c r="AL986" s="66" t="n"/>
      <c r="AM986" s="66" t="n"/>
      <c r="AN986" s="66" t="n"/>
      <c r="AO986" s="66" t="n"/>
      <c r="AP986" s="66" t="n"/>
    </row>
    <row r="987">
      <c r="A987" s="66" t="n"/>
      <c r="B987" s="66" t="n"/>
      <c r="C987" s="66" t="n"/>
      <c r="D987" s="66" t="n"/>
      <c r="E987" s="67" t="n"/>
      <c r="F987" s="67" t="n"/>
      <c r="G987" s="68" t="n"/>
      <c r="H987" s="66" t="n"/>
      <c r="I987" s="66" t="n"/>
      <c r="J987" s="67" t="n"/>
      <c r="K987" s="67" t="n"/>
      <c r="L987" s="67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7" t="n"/>
      <c r="X987" s="67" t="n"/>
      <c r="Y987" s="67" t="n"/>
      <c r="Z987" s="67" t="n"/>
      <c r="AA987" s="67" t="n"/>
      <c r="AB987" s="67" t="n"/>
      <c r="AC987" s="67" t="n"/>
      <c r="AD987" s="66" t="n"/>
      <c r="AE987" s="66" t="n"/>
      <c r="AF987" s="66" t="n"/>
      <c r="AG987" s="66" t="n"/>
      <c r="AH987" s="66" t="n"/>
      <c r="AI987" s="66" t="n"/>
      <c r="AJ987" s="66" t="n"/>
      <c r="AK987" s="66" t="n"/>
      <c r="AL987" s="66" t="n"/>
      <c r="AM987" s="66" t="n"/>
      <c r="AN987" s="66" t="n"/>
      <c r="AO987" s="66" t="n"/>
      <c r="AP987" s="66" t="n"/>
    </row>
    <row r="988">
      <c r="A988" s="66" t="n"/>
      <c r="B988" s="66" t="n"/>
      <c r="C988" s="66" t="n"/>
      <c r="D988" s="66" t="n"/>
      <c r="E988" s="67" t="n"/>
      <c r="F988" s="67" t="n"/>
      <c r="G988" s="68" t="n"/>
      <c r="H988" s="66" t="n"/>
      <c r="I988" s="66" t="n"/>
      <c r="J988" s="67" t="n"/>
      <c r="K988" s="67" t="n"/>
      <c r="L988" s="67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7" t="n"/>
      <c r="X988" s="67" t="n"/>
      <c r="Y988" s="67" t="n"/>
      <c r="Z988" s="67" t="n"/>
      <c r="AA988" s="67" t="n"/>
      <c r="AB988" s="67" t="n"/>
      <c r="AC988" s="67" t="n"/>
      <c r="AD988" s="66" t="n"/>
      <c r="AE988" s="66" t="n"/>
      <c r="AF988" s="66" t="n"/>
      <c r="AG988" s="66" t="n"/>
      <c r="AH988" s="66" t="n"/>
      <c r="AI988" s="66" t="n"/>
      <c r="AJ988" s="66" t="n"/>
      <c r="AK988" s="66" t="n"/>
      <c r="AL988" s="66" t="n"/>
      <c r="AM988" s="66" t="n"/>
      <c r="AN988" s="66" t="n"/>
      <c r="AO988" s="66" t="n"/>
      <c r="AP988" s="66" t="n"/>
    </row>
    <row r="989">
      <c r="A989" s="66" t="n"/>
      <c r="B989" s="66" t="n"/>
      <c r="C989" s="66" t="n"/>
      <c r="D989" s="66" t="n"/>
      <c r="E989" s="67" t="n"/>
      <c r="F989" s="67" t="n"/>
      <c r="G989" s="68" t="n"/>
      <c r="H989" s="66" t="n"/>
      <c r="I989" s="66" t="n"/>
      <c r="J989" s="67" t="n"/>
      <c r="K989" s="67" t="n"/>
      <c r="L989" s="67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7" t="n"/>
      <c r="X989" s="67" t="n"/>
      <c r="Y989" s="67" t="n"/>
      <c r="Z989" s="67" t="n"/>
      <c r="AA989" s="67" t="n"/>
      <c r="AB989" s="67" t="n"/>
      <c r="AC989" s="67" t="n"/>
      <c r="AD989" s="66" t="n"/>
      <c r="AE989" s="66" t="n"/>
      <c r="AF989" s="66" t="n"/>
      <c r="AG989" s="66" t="n"/>
      <c r="AH989" s="66" t="n"/>
      <c r="AI989" s="66" t="n"/>
      <c r="AJ989" s="66" t="n"/>
      <c r="AK989" s="66" t="n"/>
      <c r="AL989" s="66" t="n"/>
      <c r="AM989" s="66" t="n"/>
      <c r="AN989" s="66" t="n"/>
      <c r="AO989" s="66" t="n"/>
      <c r="AP989" s="66" t="n"/>
    </row>
    <row r="990">
      <c r="A990" s="66" t="n"/>
      <c r="B990" s="66" t="n"/>
      <c r="C990" s="66" t="n"/>
      <c r="D990" s="66" t="n"/>
      <c r="E990" s="67" t="n"/>
      <c r="F990" s="67" t="n"/>
      <c r="G990" s="68" t="n"/>
      <c r="H990" s="66" t="n"/>
      <c r="I990" s="66" t="n"/>
      <c r="J990" s="67" t="n"/>
      <c r="K990" s="67" t="n"/>
      <c r="L990" s="67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7" t="n"/>
      <c r="X990" s="67" t="n"/>
      <c r="Y990" s="67" t="n"/>
      <c r="Z990" s="67" t="n"/>
      <c r="AA990" s="67" t="n"/>
      <c r="AB990" s="67" t="n"/>
      <c r="AC990" s="67" t="n"/>
      <c r="AD990" s="66" t="n"/>
      <c r="AE990" s="66" t="n"/>
      <c r="AF990" s="66" t="n"/>
      <c r="AG990" s="66" t="n"/>
      <c r="AH990" s="66" t="n"/>
      <c r="AI990" s="66" t="n"/>
      <c r="AJ990" s="66" t="n"/>
      <c r="AK990" s="66" t="n"/>
      <c r="AL990" s="66" t="n"/>
      <c r="AM990" s="66" t="n"/>
      <c r="AN990" s="66" t="n"/>
      <c r="AO990" s="66" t="n"/>
      <c r="AP990" s="66" t="n"/>
    </row>
    <row r="991">
      <c r="A991" s="66" t="n"/>
      <c r="B991" s="66" t="n"/>
      <c r="C991" s="66" t="n"/>
      <c r="D991" s="66" t="n"/>
      <c r="E991" s="67" t="n"/>
      <c r="F991" s="67" t="n"/>
      <c r="G991" s="68" t="n"/>
      <c r="H991" s="66" t="n"/>
      <c r="I991" s="66" t="n"/>
      <c r="J991" s="67" t="n"/>
      <c r="K991" s="67" t="n"/>
      <c r="L991" s="67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7" t="n"/>
      <c r="X991" s="67" t="n"/>
      <c r="Y991" s="67" t="n"/>
      <c r="Z991" s="67" t="n"/>
      <c r="AA991" s="67" t="n"/>
      <c r="AB991" s="67" t="n"/>
      <c r="AC991" s="67" t="n"/>
      <c r="AD991" s="66" t="n"/>
      <c r="AE991" s="66" t="n"/>
      <c r="AF991" s="66" t="n"/>
      <c r="AG991" s="66" t="n"/>
      <c r="AH991" s="66" t="n"/>
      <c r="AI991" s="66" t="n"/>
      <c r="AJ991" s="66" t="n"/>
      <c r="AK991" s="66" t="n"/>
      <c r="AL991" s="66" t="n"/>
      <c r="AM991" s="66" t="n"/>
      <c r="AN991" s="66" t="n"/>
      <c r="AO991" s="66" t="n"/>
      <c r="AP991" s="66" t="n"/>
    </row>
    <row r="992">
      <c r="A992" s="66" t="n"/>
      <c r="B992" s="66" t="n"/>
      <c r="C992" s="66" t="n"/>
      <c r="D992" s="66" t="n"/>
      <c r="E992" s="67" t="n"/>
      <c r="F992" s="67" t="n"/>
      <c r="G992" s="68" t="n"/>
      <c r="H992" s="66" t="n"/>
      <c r="I992" s="66" t="n"/>
      <c r="J992" s="67" t="n"/>
      <c r="K992" s="67" t="n"/>
      <c r="L992" s="67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7" t="n"/>
      <c r="X992" s="67" t="n"/>
      <c r="Y992" s="67" t="n"/>
      <c r="Z992" s="67" t="n"/>
      <c r="AA992" s="67" t="n"/>
      <c r="AB992" s="67" t="n"/>
      <c r="AC992" s="67" t="n"/>
      <c r="AD992" s="66" t="n"/>
      <c r="AE992" s="66" t="n"/>
      <c r="AF992" s="66" t="n"/>
      <c r="AG992" s="66" t="n"/>
      <c r="AH992" s="66" t="n"/>
      <c r="AI992" s="66" t="n"/>
      <c r="AJ992" s="66" t="n"/>
      <c r="AK992" s="66" t="n"/>
      <c r="AL992" s="66" t="n"/>
      <c r="AM992" s="66" t="n"/>
      <c r="AN992" s="66" t="n"/>
      <c r="AO992" s="66" t="n"/>
      <c r="AP992" s="66" t="n"/>
    </row>
    <row r="993">
      <c r="A993" s="66" t="n"/>
      <c r="B993" s="66" t="n"/>
      <c r="C993" s="66" t="n"/>
      <c r="D993" s="66" t="n"/>
      <c r="E993" s="67" t="n"/>
      <c r="F993" s="67" t="n"/>
      <c r="G993" s="68" t="n"/>
      <c r="H993" s="66" t="n"/>
      <c r="I993" s="66" t="n"/>
      <c r="J993" s="67" t="n"/>
      <c r="K993" s="67" t="n"/>
      <c r="L993" s="67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7" t="n"/>
      <c r="X993" s="67" t="n"/>
      <c r="Y993" s="67" t="n"/>
      <c r="Z993" s="67" t="n"/>
      <c r="AA993" s="67" t="n"/>
      <c r="AB993" s="67" t="n"/>
      <c r="AC993" s="67" t="n"/>
      <c r="AD993" s="66" t="n"/>
      <c r="AE993" s="66" t="n"/>
      <c r="AF993" s="66" t="n"/>
      <c r="AG993" s="66" t="n"/>
      <c r="AH993" s="66" t="n"/>
      <c r="AI993" s="66" t="n"/>
      <c r="AJ993" s="66" t="n"/>
      <c r="AK993" s="66" t="n"/>
      <c r="AL993" s="66" t="n"/>
      <c r="AM993" s="66" t="n"/>
      <c r="AN993" s="66" t="n"/>
      <c r="AO993" s="66" t="n"/>
      <c r="AP993" s="66" t="n"/>
    </row>
    <row r="994">
      <c r="A994" s="66" t="n"/>
      <c r="B994" s="66" t="n"/>
      <c r="C994" s="66" t="n"/>
      <c r="D994" s="66" t="n"/>
      <c r="E994" s="67" t="n"/>
      <c r="F994" s="67" t="n"/>
      <c r="G994" s="68" t="n"/>
      <c r="H994" s="66" t="n"/>
      <c r="I994" s="66" t="n"/>
      <c r="J994" s="67" t="n"/>
      <c r="K994" s="67" t="n"/>
      <c r="L994" s="67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7" t="n"/>
      <c r="X994" s="67" t="n"/>
      <c r="Y994" s="67" t="n"/>
      <c r="Z994" s="67" t="n"/>
      <c r="AA994" s="67" t="n"/>
      <c r="AB994" s="67" t="n"/>
      <c r="AC994" s="67" t="n"/>
      <c r="AD994" s="66" t="n"/>
      <c r="AE994" s="66" t="n"/>
      <c r="AF994" s="66" t="n"/>
      <c r="AG994" s="66" t="n"/>
      <c r="AH994" s="66" t="n"/>
      <c r="AI994" s="66" t="n"/>
      <c r="AJ994" s="66" t="n"/>
      <c r="AK994" s="66" t="n"/>
      <c r="AL994" s="66" t="n"/>
      <c r="AM994" s="66" t="n"/>
      <c r="AN994" s="66" t="n"/>
      <c r="AO994" s="66" t="n"/>
      <c r="AP994" s="66" t="n"/>
    </row>
    <row r="995">
      <c r="A995" s="66" t="n"/>
      <c r="B995" s="66" t="n"/>
      <c r="C995" s="66" t="n"/>
      <c r="D995" s="66" t="n"/>
      <c r="E995" s="67" t="n"/>
      <c r="F995" s="67" t="n"/>
      <c r="G995" s="68" t="n"/>
      <c r="H995" s="66" t="n"/>
      <c r="I995" s="66" t="n"/>
      <c r="J995" s="67" t="n"/>
      <c r="K995" s="67" t="n"/>
      <c r="L995" s="67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7" t="n"/>
      <c r="X995" s="67" t="n"/>
      <c r="Y995" s="67" t="n"/>
      <c r="Z995" s="67" t="n"/>
      <c r="AA995" s="67" t="n"/>
      <c r="AB995" s="67" t="n"/>
      <c r="AC995" s="67" t="n"/>
      <c r="AD995" s="66" t="n"/>
      <c r="AE995" s="66" t="n"/>
      <c r="AF995" s="66" t="n"/>
      <c r="AG995" s="66" t="n"/>
      <c r="AH995" s="66" t="n"/>
      <c r="AI995" s="66" t="n"/>
      <c r="AJ995" s="66" t="n"/>
      <c r="AK995" s="66" t="n"/>
      <c r="AL995" s="66" t="n"/>
      <c r="AM995" s="66" t="n"/>
      <c r="AN995" s="66" t="n"/>
      <c r="AO995" s="66" t="n"/>
      <c r="AP995" s="66" t="n"/>
    </row>
    <row r="996">
      <c r="A996" s="66" t="n"/>
      <c r="B996" s="66" t="n"/>
      <c r="C996" s="66" t="n"/>
      <c r="D996" s="66" t="n"/>
      <c r="E996" s="67" t="n"/>
      <c r="F996" s="67" t="n"/>
      <c r="G996" s="68" t="n"/>
      <c r="H996" s="66" t="n"/>
      <c r="I996" s="66" t="n"/>
      <c r="J996" s="67" t="n"/>
      <c r="K996" s="67" t="n"/>
      <c r="L996" s="67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7" t="n"/>
      <c r="X996" s="67" t="n"/>
      <c r="Y996" s="67" t="n"/>
      <c r="Z996" s="67" t="n"/>
      <c r="AA996" s="67" t="n"/>
      <c r="AB996" s="67" t="n"/>
      <c r="AC996" s="67" t="n"/>
      <c r="AD996" s="66" t="n"/>
      <c r="AE996" s="66" t="n"/>
      <c r="AF996" s="66" t="n"/>
      <c r="AG996" s="66" t="n"/>
      <c r="AH996" s="66" t="n"/>
      <c r="AI996" s="66" t="n"/>
      <c r="AJ996" s="66" t="n"/>
      <c r="AK996" s="66" t="n"/>
      <c r="AL996" s="66" t="n"/>
      <c r="AM996" s="66" t="n"/>
      <c r="AN996" s="66" t="n"/>
      <c r="AO996" s="66" t="n"/>
      <c r="AP996" s="66" t="n"/>
    </row>
    <row r="997">
      <c r="A997" s="66" t="n"/>
      <c r="B997" s="66" t="n"/>
      <c r="C997" s="66" t="n"/>
      <c r="D997" s="66" t="n"/>
      <c r="E997" s="67" t="n"/>
      <c r="F997" s="67" t="n"/>
      <c r="G997" s="68" t="n"/>
      <c r="H997" s="66" t="n"/>
      <c r="I997" s="66" t="n"/>
      <c r="J997" s="67" t="n"/>
      <c r="K997" s="67" t="n"/>
      <c r="L997" s="67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7" t="n"/>
      <c r="X997" s="67" t="n"/>
      <c r="Y997" s="67" t="n"/>
      <c r="Z997" s="67" t="n"/>
      <c r="AA997" s="67" t="n"/>
      <c r="AB997" s="67" t="n"/>
      <c r="AC997" s="67" t="n"/>
      <c r="AD997" s="66" t="n"/>
      <c r="AE997" s="66" t="n"/>
      <c r="AF997" s="66" t="n"/>
      <c r="AG997" s="66" t="n"/>
      <c r="AH997" s="66" t="n"/>
      <c r="AI997" s="66" t="n"/>
      <c r="AJ997" s="66" t="n"/>
      <c r="AK997" s="66" t="n"/>
      <c r="AL997" s="66" t="n"/>
      <c r="AM997" s="66" t="n"/>
      <c r="AN997" s="66" t="n"/>
      <c r="AO997" s="66" t="n"/>
      <c r="AP997" s="66" t="n"/>
    </row>
    <row r="998">
      <c r="A998" s="66" t="n"/>
      <c r="B998" s="66" t="n"/>
      <c r="C998" s="66" t="n"/>
      <c r="D998" s="66" t="n"/>
      <c r="E998" s="67" t="n"/>
      <c r="F998" s="67" t="n"/>
      <c r="G998" s="68" t="n"/>
      <c r="H998" s="66" t="n"/>
      <c r="I998" s="66" t="n"/>
      <c r="J998" s="67" t="n"/>
      <c r="K998" s="67" t="n"/>
      <c r="L998" s="67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7" t="n"/>
      <c r="X998" s="67" t="n"/>
      <c r="Y998" s="67" t="n"/>
      <c r="Z998" s="67" t="n"/>
      <c r="AA998" s="67" t="n"/>
      <c r="AB998" s="67" t="n"/>
      <c r="AC998" s="67" t="n"/>
      <c r="AD998" s="66" t="n"/>
      <c r="AE998" s="66" t="n"/>
      <c r="AF998" s="66" t="n"/>
      <c r="AG998" s="66" t="n"/>
      <c r="AH998" s="66" t="n"/>
      <c r="AI998" s="66" t="n"/>
      <c r="AJ998" s="66" t="n"/>
      <c r="AK998" s="66" t="n"/>
      <c r="AL998" s="66" t="n"/>
      <c r="AM998" s="66" t="n"/>
      <c r="AN998" s="66" t="n"/>
      <c r="AO998" s="66" t="n"/>
      <c r="AP998" s="66" t="n"/>
    </row>
    <row r="999">
      <c r="A999" s="66" t="n"/>
      <c r="B999" s="66" t="n"/>
      <c r="C999" s="66" t="n"/>
      <c r="D999" s="66" t="n"/>
      <c r="E999" s="67" t="n"/>
      <c r="F999" s="67" t="n"/>
      <c r="G999" s="68" t="n"/>
      <c r="H999" s="66" t="n"/>
      <c r="I999" s="66" t="n"/>
      <c r="J999" s="67" t="n"/>
      <c r="K999" s="67" t="n"/>
      <c r="L999" s="67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7" t="n"/>
      <c r="X999" s="67" t="n"/>
      <c r="Y999" s="67" t="n"/>
      <c r="Z999" s="67" t="n"/>
      <c r="AA999" s="67" t="n"/>
      <c r="AB999" s="67" t="n"/>
      <c r="AC999" s="67" t="n"/>
      <c r="AD999" s="66" t="n"/>
      <c r="AE999" s="66" t="n"/>
      <c r="AF999" s="66" t="n"/>
      <c r="AG999" s="66" t="n"/>
      <c r="AH999" s="66" t="n"/>
      <c r="AI999" s="66" t="n"/>
      <c r="AJ999" s="66" t="n"/>
      <c r="AK999" s="66" t="n"/>
      <c r="AL999" s="66" t="n"/>
      <c r="AM999" s="66" t="n"/>
      <c r="AN999" s="66" t="n"/>
      <c r="AO999" s="66" t="n"/>
      <c r="AP999" s="66" t="n"/>
    </row>
    <row r="1000">
      <c r="A1000" s="66" t="n"/>
      <c r="B1000" s="66" t="n"/>
      <c r="C1000" s="66" t="n"/>
      <c r="D1000" s="66" t="n"/>
      <c r="E1000" s="67" t="n"/>
      <c r="F1000" s="67" t="n"/>
      <c r="G1000" s="68" t="n"/>
      <c r="H1000" s="66" t="n"/>
      <c r="I1000" s="66" t="n"/>
      <c r="J1000" s="67" t="n"/>
      <c r="K1000" s="67" t="n"/>
      <c r="L1000" s="67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7" t="n"/>
      <c r="X1000" s="67" t="n"/>
      <c r="Y1000" s="67" t="n"/>
      <c r="Z1000" s="67" t="n"/>
      <c r="AA1000" s="67" t="n"/>
      <c r="AB1000" s="67" t="n"/>
      <c r="AC1000" s="67" t="n"/>
      <c r="AD1000" s="66" t="n"/>
      <c r="AE1000" s="66" t="n"/>
      <c r="AF1000" s="66" t="n"/>
      <c r="AG1000" s="66" t="n"/>
      <c r="AH1000" s="66" t="n"/>
      <c r="AI1000" s="66" t="n"/>
      <c r="AJ1000" s="66" t="n"/>
      <c r="AK1000" s="66" t="n"/>
      <c r="AL1000" s="66" t="n"/>
      <c r="AM1000" s="66" t="n"/>
      <c r="AN1000" s="66" t="n"/>
      <c r="AO1000" s="66" t="n"/>
      <c r="AP1000" s="66" t="n"/>
    </row>
    <row r="1001">
      <c r="A1001" s="66" t="n"/>
      <c r="B1001" s="66" t="n"/>
      <c r="C1001" s="66" t="n"/>
      <c r="D1001" s="66" t="n"/>
      <c r="E1001" s="67" t="n"/>
      <c r="F1001" s="67" t="n"/>
      <c r="G1001" s="68" t="n"/>
      <c r="H1001" s="66" t="n"/>
      <c r="I1001" s="66" t="n"/>
      <c r="J1001" s="67" t="n"/>
      <c r="K1001" s="67" t="n"/>
      <c r="L1001" s="67" t="n"/>
      <c r="M1001" s="66" t="n"/>
      <c r="N1001" s="66" t="n"/>
      <c r="O1001" s="66" t="n"/>
      <c r="P1001" s="66" t="n"/>
      <c r="Q1001" s="66" t="n"/>
      <c r="R1001" s="66" t="n"/>
      <c r="S1001" s="66" t="n"/>
      <c r="T1001" s="66" t="n"/>
      <c r="U1001" s="66" t="n"/>
      <c r="V1001" s="66" t="n"/>
      <c r="W1001" s="67" t="n"/>
      <c r="X1001" s="67" t="n"/>
      <c r="Y1001" s="67" t="n"/>
      <c r="Z1001" s="67" t="n"/>
      <c r="AA1001" s="67" t="n"/>
      <c r="AB1001" s="67" t="n"/>
      <c r="AC1001" s="67" t="n"/>
      <c r="AD1001" s="66" t="n"/>
      <c r="AE1001" s="66" t="n"/>
      <c r="AF1001" s="66" t="n"/>
      <c r="AG1001" s="66" t="n"/>
      <c r="AH1001" s="66" t="n"/>
      <c r="AI1001" s="66" t="n"/>
      <c r="AJ1001" s="66" t="n"/>
      <c r="AK1001" s="66" t="n"/>
      <c r="AL1001" s="66" t="n"/>
      <c r="AM1001" s="66" t="n"/>
      <c r="AN1001" s="66" t="n"/>
      <c r="AO1001" s="66" t="n"/>
      <c r="AP1001" s="66" t="n"/>
    </row>
    <row r="1002">
      <c r="A1002" s="66" t="n"/>
      <c r="B1002" s="66" t="n"/>
      <c r="C1002" s="66" t="n"/>
      <c r="D1002" s="66" t="n"/>
      <c r="E1002" s="67" t="n"/>
      <c r="F1002" s="67" t="n"/>
      <c r="G1002" s="68" t="n"/>
      <c r="H1002" s="66" t="n"/>
      <c r="I1002" s="66" t="n"/>
      <c r="J1002" s="67" t="n"/>
      <c r="K1002" s="67" t="n"/>
      <c r="L1002" s="67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7" t="n"/>
      <c r="X1002" s="67" t="n"/>
      <c r="Y1002" s="67" t="n"/>
      <c r="Z1002" s="67" t="n"/>
      <c r="AA1002" s="67" t="n"/>
      <c r="AB1002" s="67" t="n"/>
      <c r="AC1002" s="67" t="n"/>
      <c r="AD1002" s="66" t="n"/>
      <c r="AE1002" s="66" t="n"/>
      <c r="AF1002" s="66" t="n"/>
      <c r="AG1002" s="66" t="n"/>
      <c r="AH1002" s="66" t="n"/>
      <c r="AI1002" s="66" t="n"/>
      <c r="AJ1002" s="66" t="n"/>
      <c r="AK1002" s="66" t="n"/>
      <c r="AL1002" s="66" t="n"/>
      <c r="AM1002" s="66" t="n"/>
      <c r="AN1002" s="66" t="n"/>
      <c r="AO1002" s="66" t="n"/>
      <c r="AP1002" s="66" t="n"/>
    </row>
    <row r="1003">
      <c r="A1003" s="66" t="n"/>
      <c r="B1003" s="66" t="n"/>
      <c r="C1003" s="66" t="n"/>
      <c r="D1003" s="66" t="n"/>
      <c r="E1003" s="67" t="n"/>
      <c r="F1003" s="67" t="n"/>
      <c r="G1003" s="68" t="n"/>
      <c r="H1003" s="66" t="n"/>
      <c r="I1003" s="66" t="n"/>
      <c r="J1003" s="67" t="n"/>
      <c r="K1003" s="67" t="n"/>
      <c r="L1003" s="67" t="n"/>
      <c r="M1003" s="66" t="n"/>
      <c r="N1003" s="66" t="n"/>
      <c r="O1003" s="66" t="n"/>
      <c r="P1003" s="66" t="n"/>
      <c r="Q1003" s="66" t="n"/>
      <c r="R1003" s="66" t="n"/>
      <c r="S1003" s="66" t="n"/>
      <c r="T1003" s="66" t="n"/>
      <c r="U1003" s="66" t="n"/>
      <c r="V1003" s="66" t="n"/>
      <c r="W1003" s="67" t="n"/>
      <c r="X1003" s="67" t="n"/>
      <c r="Y1003" s="67" t="n"/>
      <c r="Z1003" s="67" t="n"/>
      <c r="AA1003" s="67" t="n"/>
      <c r="AB1003" s="67" t="n"/>
      <c r="AC1003" s="67" t="n"/>
      <c r="AD1003" s="66" t="n"/>
      <c r="AE1003" s="66" t="n"/>
      <c r="AF1003" s="66" t="n"/>
      <c r="AG1003" s="66" t="n"/>
      <c r="AH1003" s="66" t="n"/>
      <c r="AI1003" s="66" t="n"/>
      <c r="AJ1003" s="66" t="n"/>
      <c r="AK1003" s="66" t="n"/>
      <c r="AL1003" s="66" t="n"/>
      <c r="AM1003" s="66" t="n"/>
      <c r="AN1003" s="66" t="n"/>
      <c r="AO1003" s="66" t="n"/>
      <c r="AP1003" s="66" t="n"/>
    </row>
  </sheetData>
  <autoFilter ref="$A$4:$AO$79"/>
  <mergeCells count="5">
    <mergeCell ref="W2:AC3"/>
    <mergeCell ref="S3:V3"/>
    <mergeCell ref="K2:V2"/>
    <mergeCell ref="K3:N3"/>
    <mergeCell ref="O3:R3"/>
  </mergeCells>
  <conditionalFormatting sqref="C1:C1002">
    <cfRule type="containsText" priority="1" operator="containsText" dxfId="1" text="Buy">
      <formula>NOT(ISERROR(SEARCH(("Buy"),(C1))))</formula>
    </cfRule>
    <cfRule type="containsText" priority="2" operator="containsText" dxfId="2" text="Sell">
      <formula>NOT(ISERROR(SEARCH(("Sell"),(C1))))</formula>
    </cfRule>
  </conditionalFormatting>
  <conditionalFormatting sqref="B1:B2 B4:B1002">
    <cfRule type="containsText" priority="3" operator="containsText" dxfId="0" text="DIV">
      <formula>NOT(ISERROR(SEARCH(("DIV"),(B1))))</formula>
    </cfRule>
  </conditionalFormatting>
  <conditionalFormatting sqref="A5:AD5">
    <cfRule type="expression" priority="4" dxfId="2">
      <formula>NOT(ISBLANK($W5))</formula>
    </cfRule>
  </conditionalFormatting>
  <conditionalFormatting sqref="K5 O5 S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2026-02-12T05:47:36Z</dcterms:created>
  <dcterms:modified xmlns:dcterms="http://purl.org/dc/terms/" xmlns:xsi="http://www.w3.org/2001/XMLSchema-instance" xsi:type="dcterms:W3CDTF">2026-02-12T05:47:37Z</dcterms:modified>
</cp:coreProperties>
</file>