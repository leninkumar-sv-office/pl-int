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Trading History" sheetId="2" r:id="rId6"/>
  </sheets>
  <definedNames>
    <definedName hidden="1" localSheetId="1" name="_xlnm._FilterDatabase">'Trading History'!$A$4:$Z$93</definedName>
    <definedName hidden="1" localSheetId="1" name="Z_16C56306_09C8_45EF_9223_9C2AE2A6BDCF_.wvu.FilterData">'Trading History'!$A$4:$AK$123</definedName>
  </definedNames>
  <calcPr/>
  <customWorkbookViews>
    <customWorkbookView activeSheetId="0" maximized="1" windowHeight="0" windowWidth="0" guid="{16C56306-09C8-45EF-9223-9C2AE2A6BDCF}" name="Filter 1"/>
  </customWorkbookViews>
</workbook>
</file>

<file path=xl/sharedStrings.xml><?xml version="1.0" encoding="utf-8"?>
<sst xmlns="http://schemas.openxmlformats.org/spreadsheetml/2006/main" count="379" uniqueCount="49">
  <si>
    <t>Current Price</t>
  </si>
  <si>
    <t>Commission</t>
  </si>
  <si>
    <t>UnRealised</t>
  </si>
  <si>
    <t>Units</t>
  </si>
  <si>
    <t>ST Units</t>
  </si>
  <si>
    <t>LT Units</t>
  </si>
  <si>
    <t>Avg %</t>
  </si>
  <si>
    <t>ST Avg %</t>
  </si>
  <si>
    <t>LT Avg %</t>
  </si>
  <si>
    <t>Gain</t>
  </si>
  <si>
    <t>ST Gain</t>
  </si>
  <si>
    <t>LT Gain</t>
  </si>
  <si>
    <t>Invested</t>
  </si>
  <si>
    <t>ST Invested</t>
  </si>
  <si>
    <t>LT Invested</t>
  </si>
  <si>
    <t>Gross</t>
  </si>
  <si>
    <t>ST Gross</t>
  </si>
  <si>
    <t>LT Gross</t>
  </si>
  <si>
    <t>Dividends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</si>
  <si>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</si>
  <si>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</si>
  <si>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</si>
  <si>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</si>
  <si>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</si>
  <si>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</si>
  <si>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</si>
  <si>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</si>
  <si>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</si>
  <si>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</si>
  <si>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</si>
  <si>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</si>
  <si>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</si>
  <si>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</si>
  <si>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</si>
  <si>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</si>
  <si>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</si>
  <si>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</si>
  <si>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</si>
  <si>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</si>
  <si>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NSE</t>
  </si>
  <si>
    <t>Buy</t>
  </si>
  <si>
    <t>~</t>
  </si>
  <si>
    <t>Sell</t>
  </si>
  <si>
    <t>Annual-Dividend of Rs.2.5000/- per share on Ex-Date: 03-JUN-2024</t>
  </si>
  <si>
    <t>SBI Securities</t>
  </si>
  <si>
    <t>Annual-Dividend of Rs.2.5000/- per share on Ex-Date: 30-MAY-2023</t>
  </si>
  <si>
    <t>BSE</t>
  </si>
  <si>
    <t>Annual-Dividend of Rs.3.0000/- per share on Ex-Date: 06-JUN-2022</t>
  </si>
  <si>
    <t>Annual-Dividend of Rs.3.0000/- per share on Ex-Date: 09-JUN-2021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</si>
</sst>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dd-mmm-yyyy"/>
  </numFmts>
  <fonts count="10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color theme="1"/>
      <name val="Times New Roman"/>
    </font>
    <font>
      <b/>
      <color theme="1"/>
      <name val="Times New Roman"/>
    </font>
    <font>
      <color theme="1"/>
      <name val="&quot;Times New Roman&quot;"/>
    </font>
    <font>
      <sz val="10.0"/>
      <color theme="1"/>
      <name val="Times New Roman"/>
    </font>
    <font>
      <b/>
      <sz val="10.0"/>
      <color theme="1"/>
      <name val="Times New Roman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967BB6"/>
        <bgColor rgb="FF967BB6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7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0" numFmtId="164" xfId="0" applyFill="1" applyFont="1" applyNumberFormat="1"/>
    <xf borderId="0" fillId="0" fontId="1" numFmtId="10" xfId="0" applyAlignment="1" applyFont="1" applyNumberFormat="1">
      <alignment horizontal="right"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Border="1" applyFont="1"/>
    <xf borderId="3" fillId="0" fontId="3" numFmtId="0" xfId="0" applyBorder="1" applyFont="1"/>
    <xf borderId="3" fillId="3" fontId="2" numFmtId="0" xfId="0" applyAlignment="1" applyBorder="1" applyFill="1" applyFont="1">
      <alignment vertical="bottom"/>
    </xf>
    <xf borderId="0" fillId="0" fontId="1" numFmtId="4" xfId="0" applyAlignment="1" applyFont="1" applyNumberFormat="1">
      <alignment horizontal="right" vertical="bottom"/>
    </xf>
    <xf borderId="3" fillId="4" fontId="2" numFmtId="164" xfId="0" applyAlignment="1" applyBorder="1" applyFill="1" applyFont="1" applyNumberFormat="1">
      <alignment vertical="bottom"/>
    </xf>
    <xf borderId="3" fillId="5" fontId="2" numFmtId="164" xfId="0" applyAlignment="1" applyBorder="1" applyFill="1" applyFont="1" applyNumberFormat="1">
      <alignment vertical="bottom"/>
    </xf>
    <xf borderId="3" fillId="6" fontId="2" numFmtId="164" xfId="0" applyAlignment="1" applyBorder="1" applyFill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0" xfId="0" applyAlignment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10" xfId="0" applyAlignment="1" applyFont="1" applyNumberFormat="1">
      <alignment vertical="bottom"/>
    </xf>
    <xf borderId="2" fillId="0" fontId="4" numFmtId="164" xfId="0" applyAlignment="1" applyBorder="1" applyFont="1" applyNumberFormat="1">
      <alignment vertical="bottom"/>
    </xf>
    <xf borderId="1" fillId="0" fontId="5" numFmtId="164" xfId="0" applyAlignment="1" applyBorder="1" applyFont="1" applyNumberFormat="1">
      <alignment horizontal="center" vertical="bottom"/>
    </xf>
    <xf borderId="0" fillId="0" fontId="5" numFmtId="164" xfId="0" applyAlignment="1" applyFont="1" applyNumberFormat="1">
      <alignment horizontal="center"/>
    </xf>
    <xf borderId="2" fillId="0" fontId="3" numFmtId="0" xfId="0" applyBorder="1" applyFont="1"/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4" numFmtId="10" xfId="0" applyAlignment="1" applyBorder="1" applyFont="1" applyNumberFormat="1">
      <alignment vertical="bottom"/>
    </xf>
    <xf borderId="1" fillId="0" fontId="4" numFmtId="164" xfId="0" applyAlignment="1" applyBorder="1" applyFont="1" applyNumberFormat="1">
      <alignment vertical="bottom"/>
    </xf>
    <xf borderId="1" fillId="3" fontId="5" numFmtId="164" xfId="0" applyAlignment="1" applyBorder="1" applyFont="1" applyNumberFormat="1">
      <alignment horizontal="center" vertical="bottom"/>
    </xf>
    <xf borderId="1" fillId="4" fontId="5" numFmtId="164" xfId="0" applyAlignment="1" applyBorder="1" applyFont="1" applyNumberFormat="1">
      <alignment horizontal="center" vertical="bottom"/>
    </xf>
    <xf borderId="1" fillId="5" fontId="5" numFmtId="164" xfId="0" applyAlignment="1" applyBorder="1" applyFont="1" applyNumberFormat="1">
      <alignment horizontal="center" vertical="bottom"/>
    </xf>
    <xf borderId="4" fillId="7" fontId="5" numFmtId="0" xfId="0" applyAlignment="1" applyBorder="1" applyFill="1" applyFont="1">
      <alignment horizontal="center" vertical="top"/>
    </xf>
    <xf borderId="5" fillId="7" fontId="5" numFmtId="0" xfId="0" applyAlignment="1" applyBorder="1" applyFont="1">
      <alignment horizontal="center" vertical="top"/>
    </xf>
    <xf borderId="5" fillId="7" fontId="5" numFmtId="164" xfId="0" applyAlignment="1" applyBorder="1" applyFont="1" applyNumberFormat="1">
      <alignment horizontal="center" vertical="top"/>
    </xf>
    <xf borderId="3" fillId="7" fontId="5" numFmtId="0" xfId="0" applyAlignment="1" applyBorder="1" applyFont="1">
      <alignment horizontal="center" vertical="top"/>
    </xf>
    <xf borderId="5" fillId="3" fontId="5" numFmtId="164" xfId="0" applyAlignment="1" applyBorder="1" applyFont="1" applyNumberFormat="1">
      <alignment horizontal="center" vertical="bottom"/>
    </xf>
    <xf borderId="5" fillId="3" fontId="5" numFmtId="0" xfId="0" applyAlignment="1" applyBorder="1" applyFont="1">
      <alignment horizontal="center" vertical="bottom"/>
    </xf>
    <xf borderId="5" fillId="4" fontId="5" numFmtId="164" xfId="0" applyAlignment="1" applyBorder="1" applyFont="1" applyNumberFormat="1">
      <alignment horizontal="center" vertical="bottom"/>
    </xf>
    <xf borderId="5" fillId="5" fontId="5" numFmtId="164" xfId="0" applyAlignment="1" applyBorder="1" applyFont="1" applyNumberFormat="1">
      <alignment horizontal="center" vertical="bottom"/>
    </xf>
    <xf borderId="5" fillId="6" fontId="5" numFmtId="164" xfId="0" applyAlignment="1" applyBorder="1" applyFont="1" applyNumberFormat="1">
      <alignment horizontal="center" vertical="bottom"/>
    </xf>
    <xf borderId="5" fillId="6" fontId="5" numFmtId="0" xfId="0" applyAlignment="1" applyBorder="1" applyFont="1">
      <alignment horizontal="center" vertical="bottom"/>
    </xf>
    <xf borderId="5" fillId="8" fontId="5" numFmtId="164" xfId="0" applyAlignment="1" applyBorder="1" applyFill="1" applyFont="1" applyNumberFormat="1">
      <alignment horizontal="center" vertical="bottom"/>
    </xf>
    <xf borderId="6" fillId="0" fontId="6" numFmtId="165" xfId="0" applyAlignment="1" applyBorder="1" applyFont="1" applyNumberFormat="1">
      <alignment horizontal="left" readingOrder="0" vertical="top"/>
    </xf>
    <xf borderId="3" fillId="0" fontId="6" numFmtId="0" xfId="0" applyAlignment="1" applyBorder="1" applyFont="1">
      <alignment horizontal="left" readingOrder="0" vertical="top"/>
    </xf>
    <xf borderId="3" fillId="0" fontId="6" numFmtId="0" xfId="0" applyAlignment="1" applyBorder="1" applyFont="1">
      <alignment horizontal="right" readingOrder="0" vertical="top"/>
    </xf>
    <xf borderId="3" fillId="0" fontId="6" numFmtId="164" xfId="0" applyAlignment="1" applyBorder="1" applyFont="1" applyNumberFormat="1">
      <alignment horizontal="right" readingOrder="0" vertical="top"/>
    </xf>
    <xf borderId="4" fillId="0" fontId="7" numFmtId="164" xfId="0" applyBorder="1" applyFont="1" applyNumberFormat="1"/>
    <xf borderId="4" fillId="0" fontId="4" numFmtId="164" xfId="0" applyAlignment="1" applyBorder="1" applyFont="1" applyNumberFormat="1">
      <alignment vertical="bottom"/>
    </xf>
    <xf borderId="5" fillId="0" fontId="4" numFmtId="164" xfId="0" applyAlignment="1" applyBorder="1" applyFont="1" applyNumberFormat="1">
      <alignment vertical="bottom"/>
    </xf>
    <xf borderId="5" fillId="0" fontId="4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4" fillId="0" fontId="4" numFmtId="164" xfId="0" applyAlignment="1" applyBorder="1" applyFont="1" applyNumberFormat="1">
      <alignment horizontal="right" vertical="bottom"/>
    </xf>
    <xf borderId="3" fillId="0" fontId="4" numFmtId="0" xfId="0" applyAlignment="1" applyBorder="1" applyFont="1">
      <alignment vertical="bottom"/>
    </xf>
    <xf borderId="5" fillId="0" fontId="7" numFmtId="164" xfId="0" applyBorder="1" applyFont="1" applyNumberFormat="1"/>
    <xf borderId="5" fillId="0" fontId="4" numFmtId="164" xfId="0" applyAlignment="1" applyBorder="1" applyFont="1" applyNumberFormat="1">
      <alignment horizontal="right" vertical="bottom"/>
    </xf>
    <xf borderId="6" fillId="0" fontId="4" numFmtId="165" xfId="0" applyAlignment="1" applyBorder="1" applyFont="1" applyNumberFormat="1">
      <alignment horizontal="left" readingOrder="0" vertical="top"/>
    </xf>
    <xf borderId="3" fillId="0" fontId="4" numFmtId="0" xfId="0" applyAlignment="1" applyBorder="1" applyFont="1">
      <alignment horizontal="left" readingOrder="0" vertical="top"/>
    </xf>
    <xf borderId="3" fillId="0" fontId="4" numFmtId="0" xfId="0" applyAlignment="1" applyBorder="1" applyFont="1">
      <alignment horizontal="right" readingOrder="0" vertical="top"/>
    </xf>
    <xf borderId="3" fillId="0" fontId="4" numFmtId="164" xfId="0" applyAlignment="1" applyBorder="1" applyFont="1" applyNumberFormat="1">
      <alignment horizontal="right" readingOrder="0" vertical="top"/>
    </xf>
    <xf borderId="6" fillId="0" fontId="4" numFmtId="0" xfId="0" applyAlignment="1" applyBorder="1" applyFont="1">
      <alignment vertical="bottom"/>
    </xf>
    <xf borderId="4" fillId="0" fontId="7" numFmtId="165" xfId="0" applyAlignment="1" applyBorder="1" applyFont="1" applyNumberFormat="1">
      <alignment horizontal="left" readingOrder="0" vertical="top"/>
    </xf>
    <xf borderId="4" fillId="0" fontId="7" numFmtId="0" xfId="0" applyAlignment="1" applyBorder="1" applyFont="1">
      <alignment horizontal="left" readingOrder="0" vertical="top"/>
    </xf>
    <xf borderId="4" fillId="0" fontId="7" numFmtId="0" xfId="0" applyAlignment="1" applyBorder="1" applyFont="1">
      <alignment horizontal="right" readingOrder="0" vertical="top"/>
    </xf>
    <xf borderId="4" fillId="0" fontId="7" numFmtId="164" xfId="0" applyAlignment="1" applyBorder="1" applyFont="1" applyNumberFormat="1">
      <alignment horizontal="right" readingOrder="0" vertical="top"/>
    </xf>
    <xf borderId="4" fillId="0" fontId="7" numFmtId="0" xfId="0" applyAlignment="1" applyBorder="1" applyFont="1">
      <alignment horizontal="right" vertical="top"/>
    </xf>
    <xf borderId="4" fillId="0" fontId="7" numFmtId="164" xfId="0" applyAlignment="1" applyBorder="1" applyFont="1" applyNumberFormat="1">
      <alignment readingOrder="0"/>
    </xf>
    <xf borderId="4" fillId="9" fontId="4" numFmtId="0" xfId="0" applyAlignment="1" applyBorder="1" applyFill="1" applyFont="1">
      <alignment horizontal="right" vertical="bottom"/>
    </xf>
    <xf borderId="4" fillId="9" fontId="4" numFmtId="164" xfId="0" applyAlignment="1" applyBorder="1" applyFont="1" applyNumberFormat="1">
      <alignment horizontal="right" vertical="bottom"/>
    </xf>
    <xf borderId="4" fillId="0" fontId="8" numFmtId="0" xfId="0" applyAlignment="1" applyBorder="1" applyFont="1">
      <alignment horizontal="right" readingOrder="0" vertical="top"/>
    </xf>
    <xf borderId="0" fillId="0" fontId="9" numFmtId="164" xfId="0" applyFont="1" applyNumberFormat="1"/>
    <xf borderId="0" fillId="0" fontId="9" numFmtId="0" xfId="0" applyAlignment="1" applyFont="1">
      <alignment horizontal="right"/>
    </xf>
  </cellXfs>
  <cellStyles count="1">
    <cellStyle xfId="0" name="Normal" builtinId="0"/>
  </cellStyles>
  <dxfs count="3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 t="s">
        <v>0</v>
      </c>
      <c r="C2" s="2">
        <f>IFERROR(__xludf.DUMMYFUNCTION("GOOGLEFINANCE(""NSE:IRCTC"", ""price"")"),620.5)</f>
        <v>620.5</v>
      </c>
      <c r="D2" s="1"/>
      <c r="E2" s="1" t="s">
        <v>1</v>
      </c>
      <c r="F2" s="3">
        <v>0.007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4"/>
      <c r="C3" s="4"/>
      <c r="D3" s="4"/>
      <c r="E3" s="4"/>
      <c r="F3" s="4"/>
      <c r="G3" s="4"/>
      <c r="H3" s="4"/>
      <c r="I3" s="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5"/>
      <c r="B4" s="6" t="s">
        <v>2</v>
      </c>
      <c r="C4" s="7"/>
      <c r="D4" s="7"/>
      <c r="E4" s="7"/>
      <c r="F4" s="7"/>
      <c r="G4" s="7"/>
      <c r="H4" s="7"/>
      <c r="I4" s="8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4"/>
      <c r="C5" s="1"/>
      <c r="D5" s="1"/>
      <c r="E5" s="4"/>
      <c r="F5" s="1"/>
      <c r="G5" s="1"/>
      <c r="H5" s="4"/>
      <c r="I5" s="1"/>
      <c r="J5" s="1"/>
      <c r="K5" s="4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5"/>
      <c r="B6" s="9" t="s">
        <v>3</v>
      </c>
      <c r="C6" s="10">
        <f>sum('Trading History'!M4:M1003)</f>
        <v>450</v>
      </c>
      <c r="D6" s="5"/>
      <c r="E6" s="11" t="s">
        <v>4</v>
      </c>
      <c r="F6" s="10">
        <f>sum('Trading History'!P4:P1003)</f>
        <v>200</v>
      </c>
      <c r="G6" s="5"/>
      <c r="H6" s="12" t="s">
        <v>5</v>
      </c>
      <c r="I6" s="10">
        <f>sum('Trading History'!S4:S1003)</f>
        <v>250</v>
      </c>
      <c r="J6" s="5"/>
      <c r="K6" s="13" t="s">
        <v>3</v>
      </c>
      <c r="L6" s="10">
        <f>sum('Trading History'!V4:V1003)</f>
        <v>350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5"/>
      <c r="B7" s="9" t="s">
        <v>6</v>
      </c>
      <c r="C7" s="3">
        <f>Index!C8/(Index!C6*Index!$C$2)</f>
        <v>0.6241910916</v>
      </c>
      <c r="D7" s="5"/>
      <c r="E7" s="11" t="s">
        <v>7</v>
      </c>
      <c r="F7" s="3">
        <f>Index!F8/(Index!F6*Index!$C$2)</f>
        <v>0.6412742192</v>
      </c>
      <c r="G7" s="5"/>
      <c r="H7" s="12" t="s">
        <v>8</v>
      </c>
      <c r="I7" s="3">
        <f>IFERROR(Index!I8/(Index!I6*Index!$C$2), 0)</f>
        <v>0.613830701</v>
      </c>
      <c r="J7" s="5"/>
      <c r="K7" s="13" t="s">
        <v>6</v>
      </c>
      <c r="L7" s="3">
        <f>IFERROR(Index!L8/(Index!L6*AVERAGE('Trading History'!T4:T1003)),0)</f>
        <v>0.2351768051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5"/>
      <c r="B8" s="9" t="s">
        <v>9</v>
      </c>
      <c r="C8" s="14">
        <f>sum('Trading History'!K4:K1003)</f>
        <v>174289.7576</v>
      </c>
      <c r="D8" s="5"/>
      <c r="E8" s="11" t="s">
        <v>10</v>
      </c>
      <c r="F8" s="14">
        <f>sum('Trading History'!N4:N1003)</f>
        <v>79582.1306</v>
      </c>
      <c r="G8" s="5"/>
      <c r="H8" s="12" t="s">
        <v>11</v>
      </c>
      <c r="I8" s="14">
        <f>sum('Trading History'!Q4:Q1003)</f>
        <v>95220.4875</v>
      </c>
      <c r="J8" s="5"/>
      <c r="K8" s="13" t="s">
        <v>9</v>
      </c>
      <c r="L8" s="14">
        <f>sum('Trading History'!W4:W1003)</f>
        <v>27345.04365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5"/>
      <c r="B9" s="9" t="s">
        <v>12</v>
      </c>
      <c r="C9" s="14">
        <f>Index!C10-Index!C8</f>
        <v>102460.54</v>
      </c>
      <c r="D9" s="5"/>
      <c r="E9" s="11" t="s">
        <v>13</v>
      </c>
      <c r="F9" s="14">
        <f>Index!F10-Index!F8</f>
        <v>43387.9</v>
      </c>
      <c r="G9" s="5"/>
      <c r="H9" s="12" t="s">
        <v>14</v>
      </c>
      <c r="I9" s="14">
        <f>Index!I10-Index!I8</f>
        <v>59072.64</v>
      </c>
      <c r="J9" s="5"/>
      <c r="K9" s="13" t="s">
        <v>12</v>
      </c>
      <c r="L9" s="15">
        <f>L8-L10</f>
        <v>-88463.69001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5"/>
      <c r="B10" s="9" t="s">
        <v>15</v>
      </c>
      <c r="C10" s="14">
        <f>sum('Trading History'!L4:L1003)</f>
        <v>276750.2976</v>
      </c>
      <c r="D10" s="5"/>
      <c r="E10" s="11" t="s">
        <v>16</v>
      </c>
      <c r="F10" s="14">
        <f>sum('Trading History'!O4:O1003)</f>
        <v>122970.0306</v>
      </c>
      <c r="G10" s="5"/>
      <c r="H10" s="12" t="s">
        <v>17</v>
      </c>
      <c r="I10" s="14">
        <f>sum('Trading History'!R4:R1003)</f>
        <v>154293.1275</v>
      </c>
      <c r="J10" s="5"/>
      <c r="K10" s="13" t="s">
        <v>15</v>
      </c>
      <c r="L10" s="14">
        <f>sum('Trading History'!X4:X1003)</f>
        <v>115808.7337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K11" s="13" t="s">
        <v>18</v>
      </c>
      <c r="L11" s="14">
        <f>SUMIF('Trading History'!B4:B1003,"DIV",'Trading History'!Y4:Y1003)</f>
        <v>4061.5</v>
      </c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</sheetData>
  <mergeCells count="1">
    <mergeCell ref="B4:I4"/>
  </mergeCells>
  <conditionalFormatting sqref="C2">
    <cfRule type="containsText" dxfId="0" priority="1" operator="containsText" text="DIV">
      <formula>NOT(ISERROR(SEARCH(("DIV"),(C2))))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88"/>
    <col customWidth="1" min="2" max="2" width="8.13"/>
    <col customWidth="1" min="3" max="3" width="9.88"/>
    <col customWidth="1" min="4" max="4" width="6.88"/>
    <col customWidth="1" min="5" max="5" width="8.63"/>
    <col customWidth="1" min="6" max="6" width="9.25"/>
    <col customWidth="1" min="7" max="7" width="6.5"/>
    <col customWidth="1" min="8" max="8" width="6.63"/>
    <col customWidth="1" min="9" max="9" width="12.5"/>
    <col customWidth="1" min="10" max="10" width="14.0"/>
    <col customWidth="1" min="11" max="11" width="10.13"/>
    <col customWidth="1" min="12" max="12" width="9.25"/>
    <col customWidth="1" min="13" max="13" width="7.63"/>
    <col customWidth="1" min="14" max="14" width="9.75"/>
    <col customWidth="1" min="15" max="15" width="8.75"/>
    <col customWidth="1" min="16" max="16" width="8.13"/>
    <col customWidth="1" min="17" max="17" width="9.5"/>
    <col customWidth="1" min="18" max="18" width="9.25"/>
    <col customWidth="1" min="19" max="19" width="7.63"/>
    <col customWidth="1" min="20" max="20" width="7.88"/>
    <col customWidth="1" min="21" max="21" width="11.13"/>
    <col customWidth="1" min="22" max="22" width="7.63"/>
    <col customWidth="1" min="23" max="23" width="12.5"/>
    <col customWidth="1" min="24" max="25" width="8.38"/>
    <col customWidth="1" min="26" max="26" width="16.38"/>
  </cols>
  <sheetData>
    <row r="1">
      <c r="A1" s="16"/>
      <c r="B1" s="17"/>
      <c r="C1" s="1"/>
      <c r="D1" s="18"/>
      <c r="E1" s="17"/>
      <c r="F1" s="17"/>
      <c r="G1" s="17"/>
      <c r="H1" s="17"/>
      <c r="I1" s="17"/>
      <c r="J1" s="17"/>
      <c r="K1" s="19"/>
      <c r="L1" s="4"/>
      <c r="M1" s="4"/>
      <c r="N1" s="19"/>
      <c r="O1" s="4"/>
      <c r="P1" s="4"/>
      <c r="Q1" s="19"/>
      <c r="R1" s="4"/>
      <c r="S1" s="4"/>
      <c r="T1" s="19"/>
      <c r="U1" s="19"/>
      <c r="V1" s="4"/>
      <c r="W1" s="19"/>
      <c r="X1" s="19"/>
      <c r="Y1" s="19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>
      <c r="A2" s="20"/>
      <c r="B2" s="21"/>
      <c r="C2" s="22"/>
      <c r="D2" s="23"/>
      <c r="E2" s="21"/>
      <c r="F2" s="21"/>
      <c r="G2" s="21"/>
      <c r="H2" s="21"/>
      <c r="I2" s="24"/>
      <c r="J2" s="21"/>
      <c r="K2" s="25" t="s">
        <v>2</v>
      </c>
      <c r="L2" s="7"/>
      <c r="M2" s="7"/>
      <c r="N2" s="7"/>
      <c r="O2" s="7"/>
      <c r="P2" s="7"/>
      <c r="Q2" s="7"/>
      <c r="R2" s="7"/>
      <c r="S2" s="8"/>
      <c r="T2" s="26" t="s">
        <v>19</v>
      </c>
      <c r="Y2" s="27"/>
      <c r="Z2" s="22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>
      <c r="A3" s="28"/>
      <c r="B3" s="29"/>
      <c r="C3" s="29"/>
      <c r="D3" s="30"/>
      <c r="E3" s="31"/>
      <c r="F3" s="31"/>
      <c r="G3" s="31"/>
      <c r="H3" s="31"/>
      <c r="I3" s="24"/>
      <c r="J3" s="31"/>
      <c r="K3" s="32" t="s">
        <v>20</v>
      </c>
      <c r="L3" s="7"/>
      <c r="M3" s="8"/>
      <c r="N3" s="33" t="s">
        <v>21</v>
      </c>
      <c r="O3" s="7"/>
      <c r="P3" s="8"/>
      <c r="Q3" s="34" t="s">
        <v>22</v>
      </c>
      <c r="R3" s="7"/>
      <c r="S3" s="8"/>
      <c r="T3" s="7"/>
      <c r="U3" s="7"/>
      <c r="V3" s="7"/>
      <c r="W3" s="7"/>
      <c r="X3" s="7"/>
      <c r="Y3" s="8"/>
      <c r="Z3" s="29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>
      <c r="A4" s="35" t="s">
        <v>23</v>
      </c>
      <c r="B4" s="36" t="s">
        <v>24</v>
      </c>
      <c r="C4" s="36" t="s">
        <v>25</v>
      </c>
      <c r="D4" s="36" t="s">
        <v>26</v>
      </c>
      <c r="E4" s="37" t="s">
        <v>27</v>
      </c>
      <c r="F4" s="37" t="s">
        <v>28</v>
      </c>
      <c r="G4" s="36" t="s">
        <v>29</v>
      </c>
      <c r="H4" s="37" t="s">
        <v>30</v>
      </c>
      <c r="I4" s="38" t="s">
        <v>31</v>
      </c>
      <c r="J4" s="39" t="s">
        <v>0</v>
      </c>
      <c r="K4" s="39" t="s">
        <v>9</v>
      </c>
      <c r="L4" s="39" t="s">
        <v>15</v>
      </c>
      <c r="M4" s="40" t="s">
        <v>3</v>
      </c>
      <c r="N4" s="41" t="s">
        <v>32</v>
      </c>
      <c r="O4" s="41" t="s">
        <v>33</v>
      </c>
      <c r="P4" s="41" t="s">
        <v>34</v>
      </c>
      <c r="Q4" s="42" t="s">
        <v>9</v>
      </c>
      <c r="R4" s="42" t="s">
        <v>15</v>
      </c>
      <c r="S4" s="42" t="s">
        <v>3</v>
      </c>
      <c r="T4" s="43" t="s">
        <v>35</v>
      </c>
      <c r="U4" s="43" t="s">
        <v>36</v>
      </c>
      <c r="V4" s="44" t="s">
        <v>3</v>
      </c>
      <c r="W4" s="43" t="s">
        <v>9</v>
      </c>
      <c r="X4" s="43" t="s">
        <v>15</v>
      </c>
      <c r="Y4" s="45" t="s">
        <v>37</v>
      </c>
      <c r="Z4" s="37" t="s">
        <v>38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>
      <c r="A5" s="46">
        <v>45722.0</v>
      </c>
      <c r="B5" s="47" t="s">
        <v>39</v>
      </c>
      <c r="C5" s="47" t="s">
        <v>40</v>
      </c>
      <c r="D5" s="48">
        <v>2.0</v>
      </c>
      <c r="E5" s="49">
        <v>222.24</v>
      </c>
      <c r="F5" s="49">
        <v>444.48</v>
      </c>
      <c r="G5" s="47" t="s">
        <v>41</v>
      </c>
      <c r="H5" s="48">
        <v>0.44</v>
      </c>
      <c r="I5" s="48">
        <v>2.68</v>
      </c>
      <c r="J5" s="50">
        <f>Index!$C$2</f>
        <v>620.5</v>
      </c>
      <c r="K5" s="51">
        <f>IF(AND( C5="Buy", ISBLANK(T5), B5&lt;&gt;"DIV"), (1-Index!$F$2*2)*((J5*D5)-(E5*D5)), "")</f>
        <v>785.36872</v>
      </c>
      <c r="L5" s="52">
        <f t="shared" ref="L5:L34" si="1">IF(AND( C5="Buy", ISBLANK(T5), B5&lt;&gt;"DIV"), ((E5*D5)+K5), "")</f>
        <v>1229.84872</v>
      </c>
      <c r="M5" s="53">
        <f t="shared" ref="M5:M34" si="2">IF(AND( C5="Buy", ISBLANK(T5), B5&lt;&gt;"DIV"), D5, "")</f>
        <v>2</v>
      </c>
      <c r="N5" s="51">
        <f>IF(AND( C5="Buy", ISBLANK(T5), B5&lt;&gt;"DIV", NOW()-A5 &lt; 365), (1-Index!$F$2*2)*((J5*D5)-(E5*D5)), "")</f>
        <v>785.36872</v>
      </c>
      <c r="O5" s="52">
        <f t="shared" ref="O5:O34" si="3">IF(AND( C5="Buy", ISBLANK(T5), B5&lt;&gt;"DIV", NOW()-A5 &lt; 365), ((E5*D5)+N5), "")</f>
        <v>1229.84872</v>
      </c>
      <c r="P5" s="52">
        <f t="shared" ref="P5:P34" si="4">IF(AND( C5="Buy", ISBLANK(T5), B5&lt;&gt;"DIV", NOW()-A5 &lt; 365), D5, "")</f>
        <v>2</v>
      </c>
      <c r="Q5" s="52" t="str">
        <f t="shared" ref="Q5:Q34" si="5">IF(AND( C5="Buy", ISBLANK(T5), B5&lt;&gt;"DIV", NOW()-A5 &gt; 365), (J5*D5)-(E5*D5)-(2*sum(H5:I5)), "")</f>
        <v/>
      </c>
      <c r="R5" s="52" t="str">
        <f t="shared" ref="R5:R34" si="6">IF(AND( C5="Buy", ISBLANK(T5), B5&lt;&gt;"DIV", NOW()-A5 &gt; 365), ((E5*D5)+Q5), "")</f>
        <v/>
      </c>
      <c r="S5" s="52" t="str">
        <f t="shared" ref="S5:S34" si="7">IF(AND( C5="Buy", ISBLANK(T5), B5&lt;&gt;"DIV", NOW()-A5 &gt; 365), D5, "")</f>
        <v/>
      </c>
      <c r="T5" s="51"/>
      <c r="U5" s="51"/>
      <c r="V5" s="54"/>
      <c r="W5" s="51"/>
      <c r="X5" s="51"/>
      <c r="Y5" s="55" t="str">
        <f t="shared" ref="Y5:Y34" si="8">if(B5="DIV", F5,"")</f>
        <v/>
      </c>
      <c r="Z5" s="56"/>
    </row>
    <row r="6">
      <c r="A6" s="46">
        <v>45722.0</v>
      </c>
      <c r="B6" s="47" t="s">
        <v>39</v>
      </c>
      <c r="C6" s="47" t="s">
        <v>40</v>
      </c>
      <c r="D6" s="48">
        <v>1.0</v>
      </c>
      <c r="E6" s="49">
        <v>222.27</v>
      </c>
      <c r="F6" s="49">
        <v>222.27</v>
      </c>
      <c r="G6" s="47" t="s">
        <v>41</v>
      </c>
      <c r="H6" s="48">
        <v>0.22</v>
      </c>
      <c r="I6" s="48">
        <v>1.34</v>
      </c>
      <c r="J6" s="50">
        <f>Index!$C$2</f>
        <v>620.5</v>
      </c>
      <c r="K6" s="51">
        <f>IF(AND( C6="Buy", ISBLANK(T6), B6&lt;&gt;"DIV"), (1-Index!$F$2*2)*((J6*D6)-(E6*D6)), "")</f>
        <v>392.65478</v>
      </c>
      <c r="L6" s="52">
        <f t="shared" si="1"/>
        <v>614.92478</v>
      </c>
      <c r="M6" s="53">
        <f t="shared" si="2"/>
        <v>1</v>
      </c>
      <c r="N6" s="51">
        <f>IF(AND( C6="Buy", ISBLANK(T6), B6&lt;&gt;"DIV", NOW()-A6 &lt; 365), (1-Index!$F$2*2)*((J6*D6)-(E6*D6)), "")</f>
        <v>392.65478</v>
      </c>
      <c r="O6" s="52">
        <f t="shared" si="3"/>
        <v>614.92478</v>
      </c>
      <c r="P6" s="52">
        <f t="shared" si="4"/>
        <v>1</v>
      </c>
      <c r="Q6" s="52" t="str">
        <f t="shared" si="5"/>
        <v/>
      </c>
      <c r="R6" s="52" t="str">
        <f t="shared" si="6"/>
        <v/>
      </c>
      <c r="S6" s="52" t="str">
        <f t="shared" si="7"/>
        <v/>
      </c>
      <c r="T6" s="51"/>
      <c r="U6" s="51"/>
      <c r="V6" s="54"/>
      <c r="W6" s="51"/>
      <c r="X6" s="51"/>
      <c r="Y6" s="55" t="str">
        <f t="shared" si="8"/>
        <v/>
      </c>
      <c r="Z6" s="56"/>
    </row>
    <row r="7">
      <c r="A7" s="46">
        <v>45722.0</v>
      </c>
      <c r="B7" s="47" t="s">
        <v>39</v>
      </c>
      <c r="C7" s="47" t="s">
        <v>40</v>
      </c>
      <c r="D7" s="48">
        <v>1.0</v>
      </c>
      <c r="E7" s="49">
        <v>222.26</v>
      </c>
      <c r="F7" s="49">
        <v>222.26</v>
      </c>
      <c r="G7" s="47" t="s">
        <v>41</v>
      </c>
      <c r="H7" s="48">
        <v>0.22</v>
      </c>
      <c r="I7" s="48">
        <v>1.34</v>
      </c>
      <c r="J7" s="50">
        <f>Index!$C$2</f>
        <v>620.5</v>
      </c>
      <c r="K7" s="51">
        <f>IF(AND( C7="Buy", ISBLANK(T7), B7&lt;&gt;"DIV"), (1-Index!$F$2*2)*((J7*D7)-(E7*D7)), "")</f>
        <v>392.66464</v>
      </c>
      <c r="L7" s="52">
        <f t="shared" si="1"/>
        <v>614.92464</v>
      </c>
      <c r="M7" s="53">
        <f t="shared" si="2"/>
        <v>1</v>
      </c>
      <c r="N7" s="51">
        <f>IF(AND( C7="Buy", ISBLANK(T7), B7&lt;&gt;"DIV", NOW()-A7 &lt; 365), (1-Index!$F$2*2)*((J7*D7)-(E7*D7)), "")</f>
        <v>392.66464</v>
      </c>
      <c r="O7" s="52">
        <f t="shared" si="3"/>
        <v>614.92464</v>
      </c>
      <c r="P7" s="52">
        <f t="shared" si="4"/>
        <v>1</v>
      </c>
      <c r="Q7" s="52" t="str">
        <f t="shared" si="5"/>
        <v/>
      </c>
      <c r="R7" s="52" t="str">
        <f t="shared" si="6"/>
        <v/>
      </c>
      <c r="S7" s="52" t="str">
        <f t="shared" si="7"/>
        <v/>
      </c>
      <c r="T7" s="51"/>
      <c r="U7" s="51"/>
      <c r="V7" s="54"/>
      <c r="W7" s="51"/>
      <c r="X7" s="51"/>
      <c r="Y7" s="55" t="str">
        <f t="shared" si="8"/>
        <v/>
      </c>
      <c r="Z7" s="56"/>
    </row>
    <row r="8">
      <c r="A8" s="46">
        <v>45722.0</v>
      </c>
      <c r="B8" s="47" t="s">
        <v>39</v>
      </c>
      <c r="C8" s="47" t="s">
        <v>40</v>
      </c>
      <c r="D8" s="48">
        <v>8.0</v>
      </c>
      <c r="E8" s="49">
        <v>222.29</v>
      </c>
      <c r="F8" s="49">
        <v>1778.3</v>
      </c>
      <c r="G8" s="47" t="s">
        <v>41</v>
      </c>
      <c r="H8" s="48">
        <v>1.78</v>
      </c>
      <c r="I8" s="48">
        <v>10.68</v>
      </c>
      <c r="J8" s="50">
        <f>Index!$C$2</f>
        <v>620.5</v>
      </c>
      <c r="K8" s="51">
        <f>IF(AND( C8="Buy", ISBLANK(T8), B8&lt;&gt;"DIV"), (1-Index!$F$2*2)*((J8*D8)-(E8*D8)), "")</f>
        <v>3141.08048</v>
      </c>
      <c r="L8" s="52">
        <f t="shared" si="1"/>
        <v>4919.40048</v>
      </c>
      <c r="M8" s="53">
        <f t="shared" si="2"/>
        <v>8</v>
      </c>
      <c r="N8" s="51">
        <f>IF(AND( C8="Buy", ISBLANK(T8), B8&lt;&gt;"DIV", NOW()-A8 &lt; 365), (1-Index!$F$2*2)*((J8*D8)-(E8*D8)), "")</f>
        <v>3141.08048</v>
      </c>
      <c r="O8" s="52">
        <f t="shared" si="3"/>
        <v>4919.40048</v>
      </c>
      <c r="P8" s="52">
        <f t="shared" si="4"/>
        <v>8</v>
      </c>
      <c r="Q8" s="52" t="str">
        <f t="shared" si="5"/>
        <v/>
      </c>
      <c r="R8" s="52" t="str">
        <f t="shared" si="6"/>
        <v/>
      </c>
      <c r="S8" s="52" t="str">
        <f t="shared" si="7"/>
        <v/>
      </c>
      <c r="T8" s="51"/>
      <c r="U8" s="51"/>
      <c r="V8" s="54"/>
      <c r="W8" s="51"/>
      <c r="X8" s="51"/>
      <c r="Y8" s="55" t="str">
        <f t="shared" si="8"/>
        <v/>
      </c>
      <c r="Z8" s="56"/>
    </row>
    <row r="9">
      <c r="A9" s="46">
        <v>45722.0</v>
      </c>
      <c r="B9" s="47" t="s">
        <v>39</v>
      </c>
      <c r="C9" s="47" t="s">
        <v>40</v>
      </c>
      <c r="D9" s="48">
        <v>1.0</v>
      </c>
      <c r="E9" s="49">
        <v>222.33</v>
      </c>
      <c r="F9" s="49">
        <v>222.33</v>
      </c>
      <c r="G9" s="47" t="s">
        <v>41</v>
      </c>
      <c r="H9" s="48">
        <v>0.22</v>
      </c>
      <c r="I9" s="48">
        <v>1.34</v>
      </c>
      <c r="J9" s="50">
        <f>Index!$C$2</f>
        <v>620.5</v>
      </c>
      <c r="K9" s="51">
        <f>IF(AND( C9="Buy", ISBLANK(T9), B9&lt;&gt;"DIV"), (1-Index!$F$2*2)*((J9*D9)-(E9*D9)), "")</f>
        <v>392.59562</v>
      </c>
      <c r="L9" s="52">
        <f t="shared" si="1"/>
        <v>614.92562</v>
      </c>
      <c r="M9" s="53">
        <f t="shared" si="2"/>
        <v>1</v>
      </c>
      <c r="N9" s="51">
        <f>IF(AND( C9="Buy", ISBLANK(T9), B9&lt;&gt;"DIV", NOW()-A9 &lt; 365), (1-Index!$F$2*2)*((J9*D9)-(E9*D9)), "")</f>
        <v>392.59562</v>
      </c>
      <c r="O9" s="52">
        <f t="shared" si="3"/>
        <v>614.92562</v>
      </c>
      <c r="P9" s="52">
        <f t="shared" si="4"/>
        <v>1</v>
      </c>
      <c r="Q9" s="52" t="str">
        <f t="shared" si="5"/>
        <v/>
      </c>
      <c r="R9" s="52" t="str">
        <f t="shared" si="6"/>
        <v/>
      </c>
      <c r="S9" s="52" t="str">
        <f t="shared" si="7"/>
        <v/>
      </c>
      <c r="T9" s="51"/>
      <c r="U9" s="51"/>
      <c r="V9" s="54"/>
      <c r="W9" s="51"/>
      <c r="X9" s="51"/>
      <c r="Y9" s="55" t="str">
        <f t="shared" si="8"/>
        <v/>
      </c>
      <c r="Z9" s="56"/>
    </row>
    <row r="10">
      <c r="A10" s="46">
        <v>45722.0</v>
      </c>
      <c r="B10" s="47" t="s">
        <v>39</v>
      </c>
      <c r="C10" s="47" t="s">
        <v>40</v>
      </c>
      <c r="D10" s="48">
        <v>2.0</v>
      </c>
      <c r="E10" s="49">
        <v>222.25</v>
      </c>
      <c r="F10" s="49">
        <v>444.5</v>
      </c>
      <c r="G10" s="47" t="s">
        <v>41</v>
      </c>
      <c r="H10" s="48">
        <v>0.44</v>
      </c>
      <c r="I10" s="48">
        <v>2.68</v>
      </c>
      <c r="J10" s="50">
        <f>Index!$C$2</f>
        <v>620.5</v>
      </c>
      <c r="K10" s="51">
        <f>IF(AND( C10="Buy", ISBLANK(T10), B10&lt;&gt;"DIV"), (1-Index!$F$2*2)*((J10*D10)-(E10*D10)), "")</f>
        <v>785.349</v>
      </c>
      <c r="L10" s="52">
        <f t="shared" si="1"/>
        <v>1229.849</v>
      </c>
      <c r="M10" s="53">
        <f t="shared" si="2"/>
        <v>2</v>
      </c>
      <c r="N10" s="51">
        <f>IF(AND( C10="Buy", ISBLANK(T10), B10&lt;&gt;"DIV", NOW()-A10 &lt; 365), (1-Index!$F$2*2)*((J10*D10)-(E10*D10)), "")</f>
        <v>785.349</v>
      </c>
      <c r="O10" s="52">
        <f t="shared" si="3"/>
        <v>1229.849</v>
      </c>
      <c r="P10" s="52">
        <f t="shared" si="4"/>
        <v>2</v>
      </c>
      <c r="Q10" s="52" t="str">
        <f t="shared" si="5"/>
        <v/>
      </c>
      <c r="R10" s="52" t="str">
        <f t="shared" si="6"/>
        <v/>
      </c>
      <c r="S10" s="52" t="str">
        <f t="shared" si="7"/>
        <v/>
      </c>
      <c r="T10" s="51"/>
      <c r="U10" s="51"/>
      <c r="V10" s="54"/>
      <c r="W10" s="51"/>
      <c r="X10" s="51"/>
      <c r="Y10" s="55" t="str">
        <f t="shared" si="8"/>
        <v/>
      </c>
      <c r="Z10" s="56"/>
    </row>
    <row r="11">
      <c r="A11" s="46">
        <v>45722.0</v>
      </c>
      <c r="B11" s="47" t="s">
        <v>39</v>
      </c>
      <c r="C11" s="47" t="s">
        <v>40</v>
      </c>
      <c r="D11" s="48">
        <v>8.0</v>
      </c>
      <c r="E11" s="49">
        <v>222.33</v>
      </c>
      <c r="F11" s="49">
        <v>1778.62</v>
      </c>
      <c r="G11" s="47" t="s">
        <v>41</v>
      </c>
      <c r="H11" s="48">
        <v>1.78</v>
      </c>
      <c r="I11" s="48">
        <v>10.68</v>
      </c>
      <c r="J11" s="50">
        <f>Index!$C$2</f>
        <v>620.5</v>
      </c>
      <c r="K11" s="51">
        <f>IF(AND( C11="Buy", ISBLANK(T11), B11&lt;&gt;"DIV"), (1-Index!$F$2*2)*((J11*D11)-(E11*D11)), "")</f>
        <v>3140.76496</v>
      </c>
      <c r="L11" s="52">
        <f t="shared" si="1"/>
        <v>4919.40496</v>
      </c>
      <c r="M11" s="53">
        <f t="shared" si="2"/>
        <v>8</v>
      </c>
      <c r="N11" s="51">
        <f>IF(AND( C11="Buy", ISBLANK(T11), B11&lt;&gt;"DIV", NOW()-A11 &lt; 365), (1-Index!$F$2*2)*((J11*D11)-(E11*D11)), "")</f>
        <v>3140.76496</v>
      </c>
      <c r="O11" s="52">
        <f t="shared" si="3"/>
        <v>4919.40496</v>
      </c>
      <c r="P11" s="52">
        <f t="shared" si="4"/>
        <v>8</v>
      </c>
      <c r="Q11" s="52" t="str">
        <f t="shared" si="5"/>
        <v/>
      </c>
      <c r="R11" s="52" t="str">
        <f t="shared" si="6"/>
        <v/>
      </c>
      <c r="S11" s="52" t="str">
        <f t="shared" si="7"/>
        <v/>
      </c>
      <c r="T11" s="51"/>
      <c r="U11" s="51"/>
      <c r="V11" s="54"/>
      <c r="W11" s="51"/>
      <c r="X11" s="51"/>
      <c r="Y11" s="55" t="str">
        <f t="shared" si="8"/>
        <v/>
      </c>
      <c r="Z11" s="56"/>
    </row>
    <row r="12">
      <c r="A12" s="46">
        <v>45722.0</v>
      </c>
      <c r="B12" s="47" t="s">
        <v>39</v>
      </c>
      <c r="C12" s="47" t="s">
        <v>40</v>
      </c>
      <c r="D12" s="48">
        <v>1.0</v>
      </c>
      <c r="E12" s="49">
        <v>222.25</v>
      </c>
      <c r="F12" s="49">
        <v>222.25</v>
      </c>
      <c r="G12" s="47" t="s">
        <v>41</v>
      </c>
      <c r="H12" s="48">
        <v>0.22</v>
      </c>
      <c r="I12" s="48">
        <v>1.34</v>
      </c>
      <c r="J12" s="50">
        <f>Index!$C$2</f>
        <v>620.5</v>
      </c>
      <c r="K12" s="51">
        <f>IF(AND( C12="Buy", ISBLANK(T12), B12&lt;&gt;"DIV"), (1-Index!$F$2*2)*((J12*D12)-(E12*D12)), "")</f>
        <v>392.6745</v>
      </c>
      <c r="L12" s="52">
        <f t="shared" si="1"/>
        <v>614.9245</v>
      </c>
      <c r="M12" s="53">
        <f t="shared" si="2"/>
        <v>1</v>
      </c>
      <c r="N12" s="51">
        <f>IF(AND( C12="Buy", ISBLANK(T12), B12&lt;&gt;"DIV", NOW()-A12 &lt; 365), (1-Index!$F$2*2)*((J12*D12)-(E12*D12)), "")</f>
        <v>392.6745</v>
      </c>
      <c r="O12" s="52">
        <f t="shared" si="3"/>
        <v>614.9245</v>
      </c>
      <c r="P12" s="52">
        <f t="shared" si="4"/>
        <v>1</v>
      </c>
      <c r="Q12" s="52" t="str">
        <f t="shared" si="5"/>
        <v/>
      </c>
      <c r="R12" s="52" t="str">
        <f t="shared" si="6"/>
        <v/>
      </c>
      <c r="S12" s="52" t="str">
        <f t="shared" si="7"/>
        <v/>
      </c>
      <c r="T12" s="51"/>
      <c r="U12" s="51"/>
      <c r="V12" s="54"/>
      <c r="W12" s="51"/>
      <c r="X12" s="51"/>
      <c r="Y12" s="55" t="str">
        <f t="shared" si="8"/>
        <v/>
      </c>
      <c r="Z12" s="56"/>
    </row>
    <row r="13">
      <c r="A13" s="46">
        <v>45722.0</v>
      </c>
      <c r="B13" s="47" t="s">
        <v>39</v>
      </c>
      <c r="C13" s="47" t="s">
        <v>40</v>
      </c>
      <c r="D13" s="48">
        <v>1.0</v>
      </c>
      <c r="E13" s="49">
        <v>222.3</v>
      </c>
      <c r="F13" s="49">
        <v>222.3</v>
      </c>
      <c r="G13" s="47" t="s">
        <v>41</v>
      </c>
      <c r="H13" s="48">
        <v>0.22</v>
      </c>
      <c r="I13" s="48">
        <v>1.34</v>
      </c>
      <c r="J13" s="50">
        <f>Index!$C$2</f>
        <v>620.5</v>
      </c>
      <c r="K13" s="51">
        <f>IF(AND( C13="Buy", ISBLANK(T13), B13&lt;&gt;"DIV"), (1-Index!$F$2*2)*((J13*D13)-(E13*D13)), "")</f>
        <v>392.6252</v>
      </c>
      <c r="L13" s="52">
        <f t="shared" si="1"/>
        <v>614.9252</v>
      </c>
      <c r="M13" s="53">
        <f t="shared" si="2"/>
        <v>1</v>
      </c>
      <c r="N13" s="51">
        <f>IF(AND( C13="Buy", ISBLANK(T13), B13&lt;&gt;"DIV", NOW()-A13 &lt; 365), (1-Index!$F$2*2)*((J13*D13)-(E13*D13)), "")</f>
        <v>392.6252</v>
      </c>
      <c r="O13" s="52">
        <f t="shared" si="3"/>
        <v>614.9252</v>
      </c>
      <c r="P13" s="52">
        <f t="shared" si="4"/>
        <v>1</v>
      </c>
      <c r="Q13" s="52" t="str">
        <f t="shared" si="5"/>
        <v/>
      </c>
      <c r="R13" s="52" t="str">
        <f t="shared" si="6"/>
        <v/>
      </c>
      <c r="S13" s="52" t="str">
        <f t="shared" si="7"/>
        <v/>
      </c>
      <c r="T13" s="51"/>
      <c r="U13" s="51"/>
      <c r="V13" s="54"/>
      <c r="W13" s="51"/>
      <c r="X13" s="51"/>
      <c r="Y13" s="55" t="str">
        <f t="shared" si="8"/>
        <v/>
      </c>
      <c r="Z13" s="56"/>
    </row>
    <row r="14">
      <c r="A14" s="46">
        <v>45722.0</v>
      </c>
      <c r="B14" s="47" t="s">
        <v>39</v>
      </c>
      <c r="C14" s="47" t="s">
        <v>40</v>
      </c>
      <c r="D14" s="48">
        <v>10.0</v>
      </c>
      <c r="E14" s="49">
        <v>222.34</v>
      </c>
      <c r="F14" s="49">
        <v>2223.41</v>
      </c>
      <c r="G14" s="47" t="s">
        <v>41</v>
      </c>
      <c r="H14" s="48">
        <v>2.22</v>
      </c>
      <c r="I14" s="48">
        <v>13.39</v>
      </c>
      <c r="J14" s="50">
        <f>Index!$C$2</f>
        <v>620.5</v>
      </c>
      <c r="K14" s="51">
        <f>IF(AND( C14="Buy", ISBLANK(T14), B14&lt;&gt;"DIV"), (1-Index!$F$2*2)*((J14*D14)-(E14*D14)), "")</f>
        <v>3925.8576</v>
      </c>
      <c r="L14" s="52">
        <f t="shared" si="1"/>
        <v>6149.2576</v>
      </c>
      <c r="M14" s="53">
        <f t="shared" si="2"/>
        <v>10</v>
      </c>
      <c r="N14" s="51">
        <f>IF(AND( C14="Buy", ISBLANK(T14), B14&lt;&gt;"DIV", NOW()-A14 &lt; 365), (1-Index!$F$2*2)*((J14*D14)-(E14*D14)), "")</f>
        <v>3925.8576</v>
      </c>
      <c r="O14" s="52">
        <f t="shared" si="3"/>
        <v>6149.2576</v>
      </c>
      <c r="P14" s="52">
        <f t="shared" si="4"/>
        <v>10</v>
      </c>
      <c r="Q14" s="52" t="str">
        <f t="shared" si="5"/>
        <v/>
      </c>
      <c r="R14" s="52" t="str">
        <f t="shared" si="6"/>
        <v/>
      </c>
      <c r="S14" s="52" t="str">
        <f t="shared" si="7"/>
        <v/>
      </c>
      <c r="T14" s="51"/>
      <c r="U14" s="51"/>
      <c r="V14" s="54"/>
      <c r="W14" s="51"/>
      <c r="X14" s="51"/>
      <c r="Y14" s="55" t="str">
        <f t="shared" si="8"/>
        <v/>
      </c>
      <c r="Z14" s="56"/>
    </row>
    <row r="15">
      <c r="A15" s="46">
        <v>45722.0</v>
      </c>
      <c r="B15" s="47" t="s">
        <v>39</v>
      </c>
      <c r="C15" s="47" t="s">
        <v>40</v>
      </c>
      <c r="D15" s="48">
        <v>1.0</v>
      </c>
      <c r="E15" s="49">
        <v>222.29</v>
      </c>
      <c r="F15" s="49">
        <v>222.29</v>
      </c>
      <c r="G15" s="47" t="s">
        <v>41</v>
      </c>
      <c r="H15" s="48">
        <v>0.22</v>
      </c>
      <c r="I15" s="48">
        <v>1.34</v>
      </c>
      <c r="J15" s="50">
        <f>Index!$C$2</f>
        <v>620.5</v>
      </c>
      <c r="K15" s="51">
        <f>IF(AND( C15="Buy", ISBLANK(T15), B15&lt;&gt;"DIV"), (1-Index!$F$2*2)*((J15*D15)-(E15*D15)), "")</f>
        <v>392.63506</v>
      </c>
      <c r="L15" s="52">
        <f t="shared" si="1"/>
        <v>614.92506</v>
      </c>
      <c r="M15" s="53">
        <f t="shared" si="2"/>
        <v>1</v>
      </c>
      <c r="N15" s="51">
        <f>IF(AND( C15="Buy", ISBLANK(T15), B15&lt;&gt;"DIV", NOW()-A15 &lt; 365), (1-Index!$F$2*2)*((J15*D15)-(E15*D15)), "")</f>
        <v>392.63506</v>
      </c>
      <c r="O15" s="52">
        <f t="shared" si="3"/>
        <v>614.92506</v>
      </c>
      <c r="P15" s="52">
        <f t="shared" si="4"/>
        <v>1</v>
      </c>
      <c r="Q15" s="52" t="str">
        <f t="shared" si="5"/>
        <v/>
      </c>
      <c r="R15" s="52" t="str">
        <f t="shared" si="6"/>
        <v/>
      </c>
      <c r="S15" s="52" t="str">
        <f t="shared" si="7"/>
        <v/>
      </c>
      <c r="T15" s="51"/>
      <c r="U15" s="51"/>
      <c r="V15" s="54"/>
      <c r="W15" s="51"/>
      <c r="X15" s="51"/>
      <c r="Y15" s="55" t="str">
        <f t="shared" si="8"/>
        <v/>
      </c>
      <c r="Z15" s="56"/>
    </row>
    <row r="16">
      <c r="A16" s="46">
        <v>45722.0</v>
      </c>
      <c r="B16" s="47" t="s">
        <v>39</v>
      </c>
      <c r="C16" s="47" t="s">
        <v>40</v>
      </c>
      <c r="D16" s="48">
        <v>1.0</v>
      </c>
      <c r="E16" s="49">
        <v>222.29</v>
      </c>
      <c r="F16" s="49">
        <v>222.29</v>
      </c>
      <c r="G16" s="47" t="s">
        <v>41</v>
      </c>
      <c r="H16" s="48">
        <v>0.22</v>
      </c>
      <c r="I16" s="48">
        <v>1.34</v>
      </c>
      <c r="J16" s="50">
        <f>Index!$C$2</f>
        <v>620.5</v>
      </c>
      <c r="K16" s="51">
        <f>IF(AND( C16="Buy", ISBLANK(T16), B16&lt;&gt;"DIV"), (1-Index!$F$2*2)*((J16*D16)-(E16*D16)), "")</f>
        <v>392.63506</v>
      </c>
      <c r="L16" s="52">
        <f t="shared" si="1"/>
        <v>614.92506</v>
      </c>
      <c r="M16" s="53">
        <f t="shared" si="2"/>
        <v>1</v>
      </c>
      <c r="N16" s="51">
        <f>IF(AND( C16="Buy", ISBLANK(T16), B16&lt;&gt;"DIV", NOW()-A16 &lt; 365), (1-Index!$F$2*2)*((J16*D16)-(E16*D16)), "")</f>
        <v>392.63506</v>
      </c>
      <c r="O16" s="52">
        <f t="shared" si="3"/>
        <v>614.92506</v>
      </c>
      <c r="P16" s="52">
        <f t="shared" si="4"/>
        <v>1</v>
      </c>
      <c r="Q16" s="52" t="str">
        <f t="shared" si="5"/>
        <v/>
      </c>
      <c r="R16" s="52" t="str">
        <f t="shared" si="6"/>
        <v/>
      </c>
      <c r="S16" s="52" t="str">
        <f t="shared" si="7"/>
        <v/>
      </c>
      <c r="T16" s="51"/>
      <c r="U16" s="51"/>
      <c r="V16" s="54"/>
      <c r="W16" s="51"/>
      <c r="X16" s="51"/>
      <c r="Y16" s="55" t="str">
        <f t="shared" si="8"/>
        <v/>
      </c>
      <c r="Z16" s="56"/>
    </row>
    <row r="17">
      <c r="A17" s="46">
        <v>45722.0</v>
      </c>
      <c r="B17" s="47" t="s">
        <v>39</v>
      </c>
      <c r="C17" s="47" t="s">
        <v>40</v>
      </c>
      <c r="D17" s="48">
        <v>1.0</v>
      </c>
      <c r="E17" s="49">
        <v>222.29</v>
      </c>
      <c r="F17" s="49">
        <v>222.29</v>
      </c>
      <c r="G17" s="47" t="s">
        <v>41</v>
      </c>
      <c r="H17" s="48">
        <v>0.22</v>
      </c>
      <c r="I17" s="48">
        <v>1.34</v>
      </c>
      <c r="J17" s="50">
        <f>Index!$C$2</f>
        <v>620.5</v>
      </c>
      <c r="K17" s="51">
        <f>IF(AND( C17="Buy", ISBLANK(T17), B17&lt;&gt;"DIV"), (1-Index!$F$2*2)*((J17*D17)-(E17*D17)), "")</f>
        <v>392.63506</v>
      </c>
      <c r="L17" s="52">
        <f t="shared" si="1"/>
        <v>614.92506</v>
      </c>
      <c r="M17" s="53">
        <f t="shared" si="2"/>
        <v>1</v>
      </c>
      <c r="N17" s="51">
        <f>IF(AND( C17="Buy", ISBLANK(T17), B17&lt;&gt;"DIV", NOW()-A17 &lt; 365), (1-Index!$F$2*2)*((J17*D17)-(E17*D17)), "")</f>
        <v>392.63506</v>
      </c>
      <c r="O17" s="52">
        <f t="shared" si="3"/>
        <v>614.92506</v>
      </c>
      <c r="P17" s="52">
        <f t="shared" si="4"/>
        <v>1</v>
      </c>
      <c r="Q17" s="52" t="str">
        <f t="shared" si="5"/>
        <v/>
      </c>
      <c r="R17" s="52" t="str">
        <f t="shared" si="6"/>
        <v/>
      </c>
      <c r="S17" s="52" t="str">
        <f t="shared" si="7"/>
        <v/>
      </c>
      <c r="T17" s="51"/>
      <c r="U17" s="51"/>
      <c r="V17" s="54"/>
      <c r="W17" s="51"/>
      <c r="X17" s="51"/>
      <c r="Y17" s="55" t="str">
        <f t="shared" si="8"/>
        <v/>
      </c>
      <c r="Z17" s="56"/>
    </row>
    <row r="18">
      <c r="A18" s="46">
        <v>45722.0</v>
      </c>
      <c r="B18" s="47" t="s">
        <v>39</v>
      </c>
      <c r="C18" s="47" t="s">
        <v>40</v>
      </c>
      <c r="D18" s="48">
        <v>1.0</v>
      </c>
      <c r="E18" s="49">
        <v>222.29</v>
      </c>
      <c r="F18" s="49">
        <v>222.29</v>
      </c>
      <c r="G18" s="47" t="s">
        <v>41</v>
      </c>
      <c r="H18" s="48">
        <v>0.22</v>
      </c>
      <c r="I18" s="48">
        <v>1.34</v>
      </c>
      <c r="J18" s="50">
        <f>Index!$C$2</f>
        <v>620.5</v>
      </c>
      <c r="K18" s="51">
        <f>IF(AND( C18="Buy", ISBLANK(T18), B18&lt;&gt;"DIV"), (1-Index!$F$2*2)*((J18*D18)-(E18*D18)), "")</f>
        <v>392.63506</v>
      </c>
      <c r="L18" s="52">
        <f t="shared" si="1"/>
        <v>614.92506</v>
      </c>
      <c r="M18" s="53">
        <f t="shared" si="2"/>
        <v>1</v>
      </c>
      <c r="N18" s="51">
        <f>IF(AND( C18="Buy", ISBLANK(T18), B18&lt;&gt;"DIV", NOW()-A18 &lt; 365), (1-Index!$F$2*2)*((J18*D18)-(E18*D18)), "")</f>
        <v>392.63506</v>
      </c>
      <c r="O18" s="52">
        <f t="shared" si="3"/>
        <v>614.92506</v>
      </c>
      <c r="P18" s="52">
        <f t="shared" si="4"/>
        <v>1</v>
      </c>
      <c r="Q18" s="52" t="str">
        <f t="shared" si="5"/>
        <v/>
      </c>
      <c r="R18" s="52" t="str">
        <f t="shared" si="6"/>
        <v/>
      </c>
      <c r="S18" s="52" t="str">
        <f t="shared" si="7"/>
        <v/>
      </c>
      <c r="T18" s="51"/>
      <c r="U18" s="51"/>
      <c r="V18" s="54"/>
      <c r="W18" s="51"/>
      <c r="X18" s="51"/>
      <c r="Y18" s="55" t="str">
        <f t="shared" si="8"/>
        <v/>
      </c>
      <c r="Z18" s="56"/>
    </row>
    <row r="19">
      <c r="A19" s="46">
        <v>45722.0</v>
      </c>
      <c r="B19" s="47" t="s">
        <v>39</v>
      </c>
      <c r="C19" s="47" t="s">
        <v>40</v>
      </c>
      <c r="D19" s="48">
        <v>1.0</v>
      </c>
      <c r="E19" s="49">
        <v>222.34</v>
      </c>
      <c r="F19" s="49">
        <v>222.34</v>
      </c>
      <c r="G19" s="47" t="s">
        <v>41</v>
      </c>
      <c r="H19" s="48">
        <v>0.22</v>
      </c>
      <c r="I19" s="48">
        <v>1.34</v>
      </c>
      <c r="J19" s="50">
        <f>Index!$C$2</f>
        <v>620.5</v>
      </c>
      <c r="K19" s="51">
        <f>IF(AND( C19="Buy", ISBLANK(T19), B19&lt;&gt;"DIV"), (1-Index!$F$2*2)*((J19*D19)-(E19*D19)), "")</f>
        <v>392.58576</v>
      </c>
      <c r="L19" s="52">
        <f t="shared" si="1"/>
        <v>614.92576</v>
      </c>
      <c r="M19" s="53">
        <f t="shared" si="2"/>
        <v>1</v>
      </c>
      <c r="N19" s="51">
        <f>IF(AND( C19="Buy", ISBLANK(T19), B19&lt;&gt;"DIV", NOW()-A19 &lt; 365), (1-Index!$F$2*2)*((J19*D19)-(E19*D19)), "")</f>
        <v>392.58576</v>
      </c>
      <c r="O19" s="52">
        <f t="shared" si="3"/>
        <v>614.92576</v>
      </c>
      <c r="P19" s="52">
        <f t="shared" si="4"/>
        <v>1</v>
      </c>
      <c r="Q19" s="52" t="str">
        <f t="shared" si="5"/>
        <v/>
      </c>
      <c r="R19" s="52" t="str">
        <f t="shared" si="6"/>
        <v/>
      </c>
      <c r="S19" s="52" t="str">
        <f t="shared" si="7"/>
        <v/>
      </c>
      <c r="T19" s="51"/>
      <c r="U19" s="51"/>
      <c r="V19" s="54"/>
      <c r="W19" s="51"/>
      <c r="X19" s="51"/>
      <c r="Y19" s="55" t="str">
        <f t="shared" si="8"/>
        <v/>
      </c>
      <c r="Z19" s="56"/>
    </row>
    <row r="20">
      <c r="A20" s="46">
        <v>45712.0</v>
      </c>
      <c r="B20" s="47" t="s">
        <v>39</v>
      </c>
      <c r="C20" s="47" t="s">
        <v>40</v>
      </c>
      <c r="D20" s="48">
        <v>10.0</v>
      </c>
      <c r="E20" s="49">
        <v>219.4</v>
      </c>
      <c r="F20" s="49">
        <v>2193.96</v>
      </c>
      <c r="G20" s="47" t="s">
        <v>41</v>
      </c>
      <c r="H20" s="48">
        <v>2.18</v>
      </c>
      <c r="I20" s="48">
        <v>13.28</v>
      </c>
      <c r="J20" s="50">
        <f>Index!$C$2</f>
        <v>620.5</v>
      </c>
      <c r="K20" s="51">
        <f>IF(AND( C20="Buy", ISBLANK(T20), B20&lt;&gt;"DIV"), (1-Index!$F$2*2)*((J20*D20)-(E20*D20)), "")</f>
        <v>3954.846</v>
      </c>
      <c r="L20" s="52">
        <f t="shared" si="1"/>
        <v>6148.846</v>
      </c>
      <c r="M20" s="53">
        <f t="shared" si="2"/>
        <v>10</v>
      </c>
      <c r="N20" s="51">
        <f>IF(AND( C20="Buy", ISBLANK(T20), B20&lt;&gt;"DIV", NOW()-A20 &lt; 365), (1-Index!$F$2*2)*((J20*D20)-(E20*D20)), "")</f>
        <v>3954.846</v>
      </c>
      <c r="O20" s="52">
        <f t="shared" si="3"/>
        <v>6148.846</v>
      </c>
      <c r="P20" s="52">
        <f t="shared" si="4"/>
        <v>10</v>
      </c>
      <c r="Q20" s="52" t="str">
        <f t="shared" si="5"/>
        <v/>
      </c>
      <c r="R20" s="52" t="str">
        <f t="shared" si="6"/>
        <v/>
      </c>
      <c r="S20" s="52" t="str">
        <f t="shared" si="7"/>
        <v/>
      </c>
      <c r="T20" s="51"/>
      <c r="U20" s="51"/>
      <c r="V20" s="54"/>
      <c r="W20" s="51"/>
      <c r="X20" s="51"/>
      <c r="Y20" s="55" t="str">
        <f t="shared" si="8"/>
        <v/>
      </c>
      <c r="Z20" s="56"/>
    </row>
    <row r="21">
      <c r="A21" s="46">
        <v>45705.0</v>
      </c>
      <c r="B21" s="47" t="s">
        <v>39</v>
      </c>
      <c r="C21" s="47" t="s">
        <v>40</v>
      </c>
      <c r="D21" s="48">
        <v>25.0</v>
      </c>
      <c r="E21" s="49">
        <v>210.57</v>
      </c>
      <c r="F21" s="49">
        <v>5264.16</v>
      </c>
      <c r="G21" s="47" t="s">
        <v>41</v>
      </c>
      <c r="H21" s="48">
        <v>5.22</v>
      </c>
      <c r="I21" s="48">
        <v>31.94</v>
      </c>
      <c r="J21" s="50">
        <f>Index!$C$2</f>
        <v>620.5</v>
      </c>
      <c r="K21" s="51">
        <f>IF(AND( C21="Buy", ISBLANK(T21), B21&lt;&gt;"DIV"), (1-Index!$F$2*2)*((J21*D21)-(E21*D21)), "")</f>
        <v>10104.7745</v>
      </c>
      <c r="L21" s="52">
        <f t="shared" si="1"/>
        <v>15369.0245</v>
      </c>
      <c r="M21" s="53">
        <f t="shared" si="2"/>
        <v>25</v>
      </c>
      <c r="N21" s="51">
        <f>IF(AND( C21="Buy", ISBLANK(T21), B21&lt;&gt;"DIV", NOW()-A21 &lt; 365), (1-Index!$F$2*2)*((J21*D21)-(E21*D21)), "")</f>
        <v>10104.7745</v>
      </c>
      <c r="O21" s="52">
        <f t="shared" si="3"/>
        <v>15369.0245</v>
      </c>
      <c r="P21" s="52">
        <f t="shared" si="4"/>
        <v>25</v>
      </c>
      <c r="Q21" s="52" t="str">
        <f t="shared" si="5"/>
        <v/>
      </c>
      <c r="R21" s="52" t="str">
        <f t="shared" si="6"/>
        <v/>
      </c>
      <c r="S21" s="52" t="str">
        <f t="shared" si="7"/>
        <v/>
      </c>
      <c r="T21" s="51"/>
      <c r="U21" s="51"/>
      <c r="V21" s="54"/>
      <c r="W21" s="51"/>
      <c r="X21" s="51"/>
      <c r="Y21" s="55" t="str">
        <f t="shared" si="8"/>
        <v/>
      </c>
      <c r="Z21" s="56"/>
    </row>
    <row r="22">
      <c r="A22" s="46">
        <v>45705.0</v>
      </c>
      <c r="B22" s="47" t="s">
        <v>39</v>
      </c>
      <c r="C22" s="47" t="s">
        <v>40</v>
      </c>
      <c r="D22" s="48">
        <v>55.0</v>
      </c>
      <c r="E22" s="49">
        <v>210.62</v>
      </c>
      <c r="F22" s="49">
        <v>11583.94</v>
      </c>
      <c r="G22" s="47" t="s">
        <v>41</v>
      </c>
      <c r="H22" s="48">
        <v>11.49</v>
      </c>
      <c r="I22" s="48">
        <v>70.3</v>
      </c>
      <c r="J22" s="50">
        <f>Index!$C$2</f>
        <v>620.5</v>
      </c>
      <c r="K22" s="51">
        <f>IF(AND( C22="Buy", ISBLANK(T22), B22&lt;&gt;"DIV"), (1-Index!$F$2*2)*((J22*D22)-(E22*D22)), "")</f>
        <v>22227.7924</v>
      </c>
      <c r="L22" s="52">
        <f t="shared" si="1"/>
        <v>33811.8924</v>
      </c>
      <c r="M22" s="53">
        <f t="shared" si="2"/>
        <v>55</v>
      </c>
      <c r="N22" s="51">
        <f>IF(AND( C22="Buy", ISBLANK(T22), B22&lt;&gt;"DIV", NOW()-A22 &lt; 365), (1-Index!$F$2*2)*((J22*D22)-(E22*D22)), "")</f>
        <v>22227.7924</v>
      </c>
      <c r="O22" s="52">
        <f t="shared" si="3"/>
        <v>33811.8924</v>
      </c>
      <c r="P22" s="52">
        <f t="shared" si="4"/>
        <v>55</v>
      </c>
      <c r="Q22" s="52" t="str">
        <f t="shared" si="5"/>
        <v/>
      </c>
      <c r="R22" s="52" t="str">
        <f t="shared" si="6"/>
        <v/>
      </c>
      <c r="S22" s="52" t="str">
        <f t="shared" si="7"/>
        <v/>
      </c>
      <c r="T22" s="51"/>
      <c r="U22" s="51"/>
      <c r="V22" s="54"/>
      <c r="W22" s="51"/>
      <c r="X22" s="51"/>
      <c r="Y22" s="55" t="str">
        <f t="shared" si="8"/>
        <v/>
      </c>
      <c r="Z22" s="56"/>
    </row>
    <row r="23">
      <c r="A23" s="46">
        <v>45702.0</v>
      </c>
      <c r="B23" s="47" t="s">
        <v>39</v>
      </c>
      <c r="C23" s="47" t="s">
        <v>40</v>
      </c>
      <c r="D23" s="48">
        <v>2.0</v>
      </c>
      <c r="E23" s="49">
        <v>216.93</v>
      </c>
      <c r="F23" s="49">
        <v>433.86</v>
      </c>
      <c r="G23" s="47" t="s">
        <v>41</v>
      </c>
      <c r="H23" s="48">
        <v>0.43</v>
      </c>
      <c r="I23" s="48">
        <v>2.61</v>
      </c>
      <c r="J23" s="50">
        <f>Index!$C$2</f>
        <v>620.5</v>
      </c>
      <c r="K23" s="51">
        <f>IF(AND( C23="Buy", ISBLANK(T23), B23&lt;&gt;"DIV"), (1-Index!$F$2*2)*((J23*D23)-(E23*D23)), "")</f>
        <v>795.84004</v>
      </c>
      <c r="L23" s="52">
        <f t="shared" si="1"/>
        <v>1229.70004</v>
      </c>
      <c r="M23" s="53">
        <f t="shared" si="2"/>
        <v>2</v>
      </c>
      <c r="N23" s="51">
        <f>IF(AND( C23="Buy", ISBLANK(T23), B23&lt;&gt;"DIV", NOW()-A23 &lt; 365), (1-Index!$F$2*2)*((J23*D23)-(E23*D23)), "")</f>
        <v>795.84004</v>
      </c>
      <c r="O23" s="52">
        <f t="shared" si="3"/>
        <v>1229.70004</v>
      </c>
      <c r="P23" s="52">
        <f t="shared" si="4"/>
        <v>2</v>
      </c>
      <c r="Q23" s="52" t="str">
        <f t="shared" si="5"/>
        <v/>
      </c>
      <c r="R23" s="52" t="str">
        <f t="shared" si="6"/>
        <v/>
      </c>
      <c r="S23" s="52" t="str">
        <f t="shared" si="7"/>
        <v/>
      </c>
      <c r="T23" s="51"/>
      <c r="U23" s="51"/>
      <c r="V23" s="54"/>
      <c r="W23" s="51"/>
      <c r="X23" s="51"/>
      <c r="Y23" s="55" t="str">
        <f t="shared" si="8"/>
        <v/>
      </c>
      <c r="Z23" s="56"/>
    </row>
    <row r="24">
      <c r="A24" s="46">
        <v>45702.0</v>
      </c>
      <c r="B24" s="47" t="s">
        <v>39</v>
      </c>
      <c r="C24" s="47" t="s">
        <v>40</v>
      </c>
      <c r="D24" s="48">
        <v>12.0</v>
      </c>
      <c r="E24" s="49">
        <v>216.94</v>
      </c>
      <c r="F24" s="49">
        <v>2603.29</v>
      </c>
      <c r="G24" s="47" t="s">
        <v>41</v>
      </c>
      <c r="H24" s="48">
        <v>2.58</v>
      </c>
      <c r="I24" s="48">
        <v>15.79</v>
      </c>
      <c r="J24" s="50">
        <f>Index!$C$2</f>
        <v>620.5</v>
      </c>
      <c r="K24" s="51">
        <f>IF(AND( C24="Buy", ISBLANK(T24), B24&lt;&gt;"DIV"), (1-Index!$F$2*2)*((J24*D24)-(E24*D24)), "")</f>
        <v>4774.92192</v>
      </c>
      <c r="L24" s="52">
        <f t="shared" si="1"/>
        <v>7378.20192</v>
      </c>
      <c r="M24" s="53">
        <f t="shared" si="2"/>
        <v>12</v>
      </c>
      <c r="N24" s="51">
        <f>IF(AND( C24="Buy", ISBLANK(T24), B24&lt;&gt;"DIV", NOW()-A24 &lt; 365), (1-Index!$F$2*2)*((J24*D24)-(E24*D24)), "")</f>
        <v>4774.92192</v>
      </c>
      <c r="O24" s="52">
        <f t="shared" si="3"/>
        <v>7378.20192</v>
      </c>
      <c r="P24" s="52">
        <f t="shared" si="4"/>
        <v>12</v>
      </c>
      <c r="Q24" s="52" t="str">
        <f t="shared" si="5"/>
        <v/>
      </c>
      <c r="R24" s="52" t="str">
        <f t="shared" si="6"/>
        <v/>
      </c>
      <c r="S24" s="52" t="str">
        <f t="shared" si="7"/>
        <v/>
      </c>
      <c r="T24" s="51"/>
      <c r="U24" s="51"/>
      <c r="V24" s="54"/>
      <c r="W24" s="51"/>
      <c r="X24" s="51"/>
      <c r="Y24" s="55" t="str">
        <f t="shared" si="8"/>
        <v/>
      </c>
      <c r="Z24" s="56"/>
    </row>
    <row r="25">
      <c r="A25" s="46">
        <v>45702.0</v>
      </c>
      <c r="B25" s="47" t="s">
        <v>39</v>
      </c>
      <c r="C25" s="47" t="s">
        <v>40</v>
      </c>
      <c r="D25" s="48">
        <v>36.0</v>
      </c>
      <c r="E25" s="49">
        <v>216.94</v>
      </c>
      <c r="F25" s="49">
        <v>7809.85</v>
      </c>
      <c r="G25" s="47" t="s">
        <v>41</v>
      </c>
      <c r="H25" s="48">
        <v>7.76</v>
      </c>
      <c r="I25" s="48">
        <v>47.33</v>
      </c>
      <c r="J25" s="50">
        <f>Index!$C$2</f>
        <v>620.5</v>
      </c>
      <c r="K25" s="51">
        <f>IF(AND( C25="Buy", ISBLANK(T25), B25&lt;&gt;"DIV"), (1-Index!$F$2*2)*((J25*D25)-(E25*D25)), "")</f>
        <v>14324.76576</v>
      </c>
      <c r="L25" s="52">
        <f t="shared" si="1"/>
        <v>22134.60576</v>
      </c>
      <c r="M25" s="53">
        <f t="shared" si="2"/>
        <v>36</v>
      </c>
      <c r="N25" s="51">
        <f>IF(AND( C25="Buy", ISBLANK(T25), B25&lt;&gt;"DIV", NOW()-A25 &lt; 365), (1-Index!$F$2*2)*((J25*D25)-(E25*D25)), "")</f>
        <v>14324.76576</v>
      </c>
      <c r="O25" s="52">
        <f t="shared" si="3"/>
        <v>22134.60576</v>
      </c>
      <c r="P25" s="52">
        <f t="shared" si="4"/>
        <v>36</v>
      </c>
      <c r="Q25" s="52" t="str">
        <f t="shared" si="5"/>
        <v/>
      </c>
      <c r="R25" s="52" t="str">
        <f t="shared" si="6"/>
        <v/>
      </c>
      <c r="S25" s="52" t="str">
        <f t="shared" si="7"/>
        <v/>
      </c>
      <c r="T25" s="51"/>
      <c r="U25" s="51"/>
      <c r="V25" s="54"/>
      <c r="W25" s="51"/>
      <c r="X25" s="51"/>
      <c r="Y25" s="55" t="str">
        <f t="shared" si="8"/>
        <v/>
      </c>
      <c r="Z25" s="56"/>
    </row>
    <row r="26">
      <c r="A26" s="46">
        <v>45699.0</v>
      </c>
      <c r="B26" s="47" t="s">
        <v>39</v>
      </c>
      <c r="C26" s="47" t="s">
        <v>40</v>
      </c>
      <c r="D26" s="48">
        <v>4.0</v>
      </c>
      <c r="E26" s="49">
        <v>230.31</v>
      </c>
      <c r="F26" s="49">
        <v>921.26</v>
      </c>
      <c r="G26" s="47" t="s">
        <v>41</v>
      </c>
      <c r="H26" s="48">
        <v>0.91</v>
      </c>
      <c r="I26" s="48">
        <v>5.55</v>
      </c>
      <c r="J26" s="50">
        <f>Index!$C$2</f>
        <v>620.5</v>
      </c>
      <c r="K26" s="51">
        <f>IF(AND( C26="Buy", ISBLANK(T26), B26&lt;&gt;"DIV"), (1-Index!$F$2*2)*((J26*D26)-(E26*D26)), "")</f>
        <v>1538.90936</v>
      </c>
      <c r="L26" s="52">
        <f t="shared" si="1"/>
        <v>2460.14936</v>
      </c>
      <c r="M26" s="53">
        <f t="shared" si="2"/>
        <v>4</v>
      </c>
      <c r="N26" s="51">
        <f>IF(AND( C26="Buy", ISBLANK(T26), B26&lt;&gt;"DIV", NOW()-A26 &lt; 365), (1-Index!$F$2*2)*((J26*D26)-(E26*D26)), "")</f>
        <v>1538.90936</v>
      </c>
      <c r="O26" s="52">
        <f t="shared" si="3"/>
        <v>2460.14936</v>
      </c>
      <c r="P26" s="52">
        <f t="shared" si="4"/>
        <v>4</v>
      </c>
      <c r="Q26" s="52" t="str">
        <f t="shared" si="5"/>
        <v/>
      </c>
      <c r="R26" s="52" t="str">
        <f t="shared" si="6"/>
        <v/>
      </c>
      <c r="S26" s="52" t="str">
        <f t="shared" si="7"/>
        <v/>
      </c>
      <c r="T26" s="51"/>
      <c r="U26" s="51"/>
      <c r="V26" s="54"/>
      <c r="W26" s="51"/>
      <c r="X26" s="51"/>
      <c r="Y26" s="55" t="str">
        <f t="shared" si="8"/>
        <v/>
      </c>
      <c r="Z26" s="56"/>
    </row>
    <row r="27">
      <c r="A27" s="46">
        <v>45699.0</v>
      </c>
      <c r="B27" s="47" t="s">
        <v>39</v>
      </c>
      <c r="C27" s="47" t="s">
        <v>40</v>
      </c>
      <c r="D27" s="48">
        <v>2.0</v>
      </c>
      <c r="E27" s="49">
        <v>230.28</v>
      </c>
      <c r="F27" s="49">
        <v>460.56</v>
      </c>
      <c r="G27" s="47" t="s">
        <v>41</v>
      </c>
      <c r="H27" s="48">
        <v>0.46</v>
      </c>
      <c r="I27" s="48">
        <v>2.78</v>
      </c>
      <c r="J27" s="50">
        <f>Index!$C$2</f>
        <v>620.5</v>
      </c>
      <c r="K27" s="51">
        <f>IF(AND( C27="Buy", ISBLANK(T27), B27&lt;&gt;"DIV"), (1-Index!$F$2*2)*((J27*D27)-(E27*D27)), "")</f>
        <v>769.51384</v>
      </c>
      <c r="L27" s="52">
        <f t="shared" si="1"/>
        <v>1230.07384</v>
      </c>
      <c r="M27" s="53">
        <f t="shared" si="2"/>
        <v>2</v>
      </c>
      <c r="N27" s="51">
        <f>IF(AND( C27="Buy", ISBLANK(T27), B27&lt;&gt;"DIV", NOW()-A27 &lt; 365), (1-Index!$F$2*2)*((J27*D27)-(E27*D27)), "")</f>
        <v>769.51384</v>
      </c>
      <c r="O27" s="52">
        <f t="shared" si="3"/>
        <v>1230.07384</v>
      </c>
      <c r="P27" s="52">
        <f t="shared" si="4"/>
        <v>2</v>
      </c>
      <c r="Q27" s="52" t="str">
        <f t="shared" si="5"/>
        <v/>
      </c>
      <c r="R27" s="52" t="str">
        <f t="shared" si="6"/>
        <v/>
      </c>
      <c r="S27" s="52" t="str">
        <f t="shared" si="7"/>
        <v/>
      </c>
      <c r="T27" s="51"/>
      <c r="U27" s="51"/>
      <c r="V27" s="54"/>
      <c r="W27" s="51"/>
      <c r="X27" s="51"/>
      <c r="Y27" s="55" t="str">
        <f t="shared" si="8"/>
        <v/>
      </c>
      <c r="Z27" s="56"/>
    </row>
    <row r="28">
      <c r="A28" s="46">
        <v>45699.0</v>
      </c>
      <c r="B28" s="47" t="s">
        <v>39</v>
      </c>
      <c r="C28" s="47" t="s">
        <v>40</v>
      </c>
      <c r="D28" s="48">
        <v>12.0</v>
      </c>
      <c r="E28" s="49">
        <v>230.32</v>
      </c>
      <c r="F28" s="49">
        <v>2763.9</v>
      </c>
      <c r="G28" s="47" t="s">
        <v>41</v>
      </c>
      <c r="H28" s="48">
        <v>2.74</v>
      </c>
      <c r="I28" s="48">
        <v>16.64</v>
      </c>
      <c r="J28" s="50">
        <f>Index!$C$2</f>
        <v>620.5</v>
      </c>
      <c r="K28" s="51">
        <f>IF(AND( C28="Buy", ISBLANK(T28), B28&lt;&gt;"DIV"), (1-Index!$F$2*2)*((J28*D28)-(E28*D28)), "")</f>
        <v>4616.60976</v>
      </c>
      <c r="L28" s="52">
        <f t="shared" si="1"/>
        <v>7380.44976</v>
      </c>
      <c r="M28" s="53">
        <f t="shared" si="2"/>
        <v>12</v>
      </c>
      <c r="N28" s="51">
        <f>IF(AND( C28="Buy", ISBLANK(T28), B28&lt;&gt;"DIV", NOW()-A28 &lt; 365), (1-Index!$F$2*2)*((J28*D28)-(E28*D28)), "")</f>
        <v>4616.60976</v>
      </c>
      <c r="O28" s="52">
        <f t="shared" si="3"/>
        <v>7380.44976</v>
      </c>
      <c r="P28" s="52">
        <f t="shared" si="4"/>
        <v>12</v>
      </c>
      <c r="Q28" s="52" t="str">
        <f t="shared" si="5"/>
        <v/>
      </c>
      <c r="R28" s="52" t="str">
        <f t="shared" si="6"/>
        <v/>
      </c>
      <c r="S28" s="52" t="str">
        <f t="shared" si="7"/>
        <v/>
      </c>
      <c r="T28" s="51"/>
      <c r="U28" s="51"/>
      <c r="V28" s="54"/>
      <c r="W28" s="51"/>
      <c r="X28" s="51"/>
      <c r="Y28" s="55" t="str">
        <f t="shared" si="8"/>
        <v/>
      </c>
      <c r="Z28" s="56"/>
    </row>
    <row r="29">
      <c r="A29" s="46">
        <v>45699.0</v>
      </c>
      <c r="B29" s="47" t="s">
        <v>39</v>
      </c>
      <c r="C29" s="47" t="s">
        <v>40</v>
      </c>
      <c r="D29" s="48">
        <v>2.0</v>
      </c>
      <c r="E29" s="49">
        <v>230.34</v>
      </c>
      <c r="F29" s="49">
        <v>460.68</v>
      </c>
      <c r="G29" s="47" t="s">
        <v>41</v>
      </c>
      <c r="H29" s="48">
        <v>0.46</v>
      </c>
      <c r="I29" s="48">
        <v>2.78</v>
      </c>
      <c r="J29" s="50">
        <f>Index!$C$2</f>
        <v>620.5</v>
      </c>
      <c r="K29" s="51">
        <f>IF(AND( C29="Buy", ISBLANK(T29), B29&lt;&gt;"DIV"), (1-Index!$F$2*2)*((J29*D29)-(E29*D29)), "")</f>
        <v>769.39552</v>
      </c>
      <c r="L29" s="52">
        <f t="shared" si="1"/>
        <v>1230.07552</v>
      </c>
      <c r="M29" s="53">
        <f t="shared" si="2"/>
        <v>2</v>
      </c>
      <c r="N29" s="51">
        <f>IF(AND( C29="Buy", ISBLANK(T29), B29&lt;&gt;"DIV", NOW()-A29 &lt; 365), (1-Index!$F$2*2)*((J29*D29)-(E29*D29)), "")</f>
        <v>769.39552</v>
      </c>
      <c r="O29" s="52">
        <f t="shared" si="3"/>
        <v>1230.07552</v>
      </c>
      <c r="P29" s="52">
        <f t="shared" si="4"/>
        <v>2</v>
      </c>
      <c r="Q29" s="52" t="str">
        <f t="shared" si="5"/>
        <v/>
      </c>
      <c r="R29" s="52" t="str">
        <f t="shared" si="6"/>
        <v/>
      </c>
      <c r="S29" s="52" t="str">
        <f t="shared" si="7"/>
        <v/>
      </c>
      <c r="T29" s="51"/>
      <c r="U29" s="51"/>
      <c r="V29" s="54"/>
      <c r="W29" s="51"/>
      <c r="X29" s="51"/>
      <c r="Y29" s="55" t="str">
        <f t="shared" si="8"/>
        <v/>
      </c>
      <c r="Z29" s="56"/>
    </row>
    <row r="30">
      <c r="A30" s="46">
        <v>45694.0</v>
      </c>
      <c r="B30" s="47" t="s">
        <v>39</v>
      </c>
      <c r="C30" s="47" t="s">
        <v>40</v>
      </c>
      <c r="D30" s="48">
        <v>2.0</v>
      </c>
      <c r="E30" s="49">
        <v>243.54</v>
      </c>
      <c r="F30" s="49">
        <v>487.08</v>
      </c>
      <c r="G30" s="47" t="s">
        <v>41</v>
      </c>
      <c r="H30" s="48">
        <v>0.48</v>
      </c>
      <c r="I30" s="48">
        <v>2.94</v>
      </c>
      <c r="J30" s="50">
        <f>Index!$C$2</f>
        <v>620.5</v>
      </c>
      <c r="K30" s="51">
        <f>IF(AND( C30="Buy", ISBLANK(T30), B30&lt;&gt;"DIV"), (1-Index!$F$2*2)*((J30*D30)-(E30*D30)), "")</f>
        <v>743.36512</v>
      </c>
      <c r="L30" s="52">
        <f t="shared" si="1"/>
        <v>1230.44512</v>
      </c>
      <c r="M30" s="53">
        <f t="shared" si="2"/>
        <v>2</v>
      </c>
      <c r="N30" s="51" t="str">
        <f>IF(AND( C30="Buy", ISBLANK(T30), B30&lt;&gt;"DIV", NOW()-A30 &lt; 365), (1-Index!$F$2*2)*((J30*D30)-(E30*D30)), "")</f>
        <v/>
      </c>
      <c r="O30" s="52" t="str">
        <f t="shared" si="3"/>
        <v/>
      </c>
      <c r="P30" s="52" t="str">
        <f t="shared" si="4"/>
        <v/>
      </c>
      <c r="Q30" s="52">
        <f t="shared" si="5"/>
        <v>747.08</v>
      </c>
      <c r="R30" s="52">
        <f t="shared" si="6"/>
        <v>1234.16</v>
      </c>
      <c r="S30" s="52">
        <f t="shared" si="7"/>
        <v>2</v>
      </c>
      <c r="T30" s="51"/>
      <c r="U30" s="51"/>
      <c r="V30" s="54"/>
      <c r="W30" s="51"/>
      <c r="X30" s="51"/>
      <c r="Y30" s="55" t="str">
        <f t="shared" si="8"/>
        <v/>
      </c>
      <c r="Z30" s="56"/>
    </row>
    <row r="31">
      <c r="A31" s="46">
        <v>45694.0</v>
      </c>
      <c r="B31" s="47" t="s">
        <v>39</v>
      </c>
      <c r="C31" s="47" t="s">
        <v>40</v>
      </c>
      <c r="D31" s="48">
        <v>8.0</v>
      </c>
      <c r="E31" s="49">
        <v>243.56</v>
      </c>
      <c r="F31" s="49">
        <v>1948.45</v>
      </c>
      <c r="G31" s="47" t="s">
        <v>41</v>
      </c>
      <c r="H31" s="48">
        <v>1.94</v>
      </c>
      <c r="I31" s="48">
        <v>11.79</v>
      </c>
      <c r="J31" s="50">
        <f>Index!$C$2</f>
        <v>620.5</v>
      </c>
      <c r="K31" s="51">
        <f>IF(AND( C31="Buy", ISBLANK(T31), B31&lt;&gt;"DIV"), (1-Index!$F$2*2)*((J31*D31)-(E31*D31)), "")</f>
        <v>2973.30272</v>
      </c>
      <c r="L31" s="52">
        <f t="shared" si="1"/>
        <v>4921.78272</v>
      </c>
      <c r="M31" s="53">
        <f t="shared" si="2"/>
        <v>8</v>
      </c>
      <c r="N31" s="51" t="str">
        <f>IF(AND( C31="Buy", ISBLANK(T31), B31&lt;&gt;"DIV", NOW()-A31 &lt; 365), (1-Index!$F$2*2)*((J31*D31)-(E31*D31)), "")</f>
        <v/>
      </c>
      <c r="O31" s="52" t="str">
        <f t="shared" si="3"/>
        <v/>
      </c>
      <c r="P31" s="52" t="str">
        <f t="shared" si="4"/>
        <v/>
      </c>
      <c r="Q31" s="52">
        <f t="shared" si="5"/>
        <v>2988.06</v>
      </c>
      <c r="R31" s="52">
        <f t="shared" si="6"/>
        <v>4936.54</v>
      </c>
      <c r="S31" s="52">
        <f t="shared" si="7"/>
        <v>8</v>
      </c>
      <c r="T31" s="51"/>
      <c r="U31" s="51"/>
      <c r="V31" s="54"/>
      <c r="W31" s="51"/>
      <c r="X31" s="51"/>
      <c r="Y31" s="55" t="str">
        <f t="shared" si="8"/>
        <v/>
      </c>
      <c r="Z31" s="56"/>
    </row>
    <row r="32">
      <c r="A32" s="46">
        <v>45687.0</v>
      </c>
      <c r="B32" s="47" t="s">
        <v>39</v>
      </c>
      <c r="C32" s="47" t="s">
        <v>40</v>
      </c>
      <c r="D32" s="48">
        <v>8.0</v>
      </c>
      <c r="E32" s="49">
        <v>241.65</v>
      </c>
      <c r="F32" s="49">
        <v>1933.21</v>
      </c>
      <c r="G32" s="47" t="s">
        <v>41</v>
      </c>
      <c r="H32" s="48">
        <v>1.92</v>
      </c>
      <c r="I32" s="48">
        <v>11.69</v>
      </c>
      <c r="J32" s="50">
        <f>Index!$C$2</f>
        <v>620.5</v>
      </c>
      <c r="K32" s="51">
        <f>IF(AND( C32="Buy", ISBLANK(T32), B32&lt;&gt;"DIV"), (1-Index!$F$2*2)*((J32*D32)-(E32*D32)), "")</f>
        <v>2988.3688</v>
      </c>
      <c r="L32" s="52">
        <f t="shared" si="1"/>
        <v>4921.5688</v>
      </c>
      <c r="M32" s="53">
        <f t="shared" si="2"/>
        <v>8</v>
      </c>
      <c r="N32" s="51" t="str">
        <f>IF(AND( C32="Buy", ISBLANK(T32), B32&lt;&gt;"DIV", NOW()-A32 &lt; 365), (1-Index!$F$2*2)*((J32*D32)-(E32*D32)), "")</f>
        <v/>
      </c>
      <c r="O32" s="52" t="str">
        <f t="shared" si="3"/>
        <v/>
      </c>
      <c r="P32" s="52" t="str">
        <f t="shared" si="4"/>
        <v/>
      </c>
      <c r="Q32" s="52">
        <f t="shared" si="5"/>
        <v>3003.58</v>
      </c>
      <c r="R32" s="52">
        <f t="shared" si="6"/>
        <v>4936.78</v>
      </c>
      <c r="S32" s="52">
        <f t="shared" si="7"/>
        <v>8</v>
      </c>
      <c r="T32" s="51"/>
      <c r="U32" s="51"/>
      <c r="V32" s="54"/>
      <c r="W32" s="51"/>
      <c r="X32" s="51"/>
      <c r="Y32" s="55" t="str">
        <f t="shared" si="8"/>
        <v/>
      </c>
      <c r="Z32" s="56"/>
    </row>
    <row r="33">
      <c r="A33" s="46">
        <v>45687.0</v>
      </c>
      <c r="B33" s="47" t="s">
        <v>39</v>
      </c>
      <c r="C33" s="47" t="s">
        <v>40</v>
      </c>
      <c r="D33" s="48">
        <v>1.0</v>
      </c>
      <c r="E33" s="49">
        <v>241.66</v>
      </c>
      <c r="F33" s="49">
        <v>241.66</v>
      </c>
      <c r="G33" s="47" t="s">
        <v>41</v>
      </c>
      <c r="H33" s="48">
        <v>0.24</v>
      </c>
      <c r="I33" s="48">
        <v>1.47</v>
      </c>
      <c r="J33" s="50">
        <f>Index!$C$2</f>
        <v>620.5</v>
      </c>
      <c r="K33" s="51">
        <f>IF(AND( C33="Buy", ISBLANK(T33), B33&lt;&gt;"DIV"), (1-Index!$F$2*2)*((J33*D33)-(E33*D33)), "")</f>
        <v>373.53624</v>
      </c>
      <c r="L33" s="52">
        <f t="shared" si="1"/>
        <v>615.19624</v>
      </c>
      <c r="M33" s="53">
        <f t="shared" si="2"/>
        <v>1</v>
      </c>
      <c r="N33" s="51" t="str">
        <f>IF(AND( C33="Buy", ISBLANK(T33), B33&lt;&gt;"DIV", NOW()-A33 &lt; 365), (1-Index!$F$2*2)*((J33*D33)-(E33*D33)), "")</f>
        <v/>
      </c>
      <c r="O33" s="52" t="str">
        <f t="shared" si="3"/>
        <v/>
      </c>
      <c r="P33" s="52" t="str">
        <f t="shared" si="4"/>
        <v/>
      </c>
      <c r="Q33" s="52">
        <f t="shared" si="5"/>
        <v>375.42</v>
      </c>
      <c r="R33" s="52">
        <f t="shared" si="6"/>
        <v>617.08</v>
      </c>
      <c r="S33" s="52">
        <f t="shared" si="7"/>
        <v>1</v>
      </c>
      <c r="T33" s="51"/>
      <c r="U33" s="51"/>
      <c r="V33" s="54"/>
      <c r="W33" s="51"/>
      <c r="X33" s="51"/>
      <c r="Y33" s="55" t="str">
        <f t="shared" si="8"/>
        <v/>
      </c>
      <c r="Z33" s="56"/>
    </row>
    <row r="34">
      <c r="A34" s="46">
        <v>45687.0</v>
      </c>
      <c r="B34" s="47" t="s">
        <v>39</v>
      </c>
      <c r="C34" s="47" t="s">
        <v>40</v>
      </c>
      <c r="D34" s="48">
        <v>31.0</v>
      </c>
      <c r="E34" s="49">
        <v>241.65</v>
      </c>
      <c r="F34" s="49">
        <v>7491.18</v>
      </c>
      <c r="G34" s="47" t="s">
        <v>41</v>
      </c>
      <c r="H34" s="48">
        <v>7.43</v>
      </c>
      <c r="I34" s="48">
        <v>45.3</v>
      </c>
      <c r="J34" s="50">
        <f>Index!$C$2</f>
        <v>620.5</v>
      </c>
      <c r="K34" s="51">
        <f>IF(AND( C34="Buy", ISBLANK(T34), B34&lt;&gt;"DIV"), (1-Index!$F$2*2)*((J34*D34)-(E34*D34)), "")</f>
        <v>11579.9291</v>
      </c>
      <c r="L34" s="52">
        <f t="shared" si="1"/>
        <v>19071.0791</v>
      </c>
      <c r="M34" s="53">
        <f t="shared" si="2"/>
        <v>31</v>
      </c>
      <c r="N34" s="51" t="str">
        <f>IF(AND( C34="Buy", ISBLANK(T34), B34&lt;&gt;"DIV", NOW()-A34 &lt; 365), (1-Index!$F$2*2)*((J34*D34)-(E34*D34)), "")</f>
        <v/>
      </c>
      <c r="O34" s="52" t="str">
        <f t="shared" si="3"/>
        <v/>
      </c>
      <c r="P34" s="52" t="str">
        <f t="shared" si="4"/>
        <v/>
      </c>
      <c r="Q34" s="52">
        <f t="shared" si="5"/>
        <v>11638.89</v>
      </c>
      <c r="R34" s="52">
        <f t="shared" si="6"/>
        <v>19130.04</v>
      </c>
      <c r="S34" s="52">
        <f t="shared" si="7"/>
        <v>31</v>
      </c>
      <c r="T34" s="51"/>
      <c r="U34" s="51"/>
      <c r="V34" s="54"/>
      <c r="W34" s="51"/>
      <c r="X34" s="51"/>
      <c r="Y34" s="55" t="str">
        <f t="shared" si="8"/>
        <v/>
      </c>
      <c r="Z34" s="56"/>
    </row>
    <row r="35">
      <c r="A35" s="46">
        <v>45583.0</v>
      </c>
      <c r="B35" s="47" t="s">
        <v>39</v>
      </c>
      <c r="C35" s="47" t="s">
        <v>42</v>
      </c>
      <c r="D35" s="48">
        <v>100.0</v>
      </c>
      <c r="E35" s="49">
        <v>346.92</v>
      </c>
      <c r="F35" s="49">
        <v>34692.48</v>
      </c>
      <c r="G35" s="47" t="s">
        <v>41</v>
      </c>
      <c r="H35" s="48">
        <v>34.72</v>
      </c>
      <c r="I35" s="48">
        <v>207.8</v>
      </c>
      <c r="J35" s="57"/>
      <c r="K35" s="52"/>
      <c r="L35" s="52"/>
      <c r="M35" s="53"/>
      <c r="N35" s="52"/>
      <c r="O35" s="52"/>
      <c r="P35" s="52"/>
      <c r="Q35" s="52"/>
      <c r="R35" s="52"/>
      <c r="S35" s="52"/>
      <c r="T35" s="52"/>
      <c r="U35" s="52"/>
      <c r="V35" s="53"/>
      <c r="W35" s="52"/>
      <c r="X35" s="52"/>
      <c r="Y35" s="58"/>
      <c r="Z35" s="56"/>
    </row>
    <row r="36">
      <c r="A36" s="46">
        <v>45565.0</v>
      </c>
      <c r="B36" s="47" t="s">
        <v>39</v>
      </c>
      <c r="C36" s="47" t="s">
        <v>42</v>
      </c>
      <c r="D36" s="48">
        <v>250.0</v>
      </c>
      <c r="E36" s="49">
        <v>326.02</v>
      </c>
      <c r="F36" s="49">
        <v>81505.75</v>
      </c>
      <c r="G36" s="47" t="s">
        <v>41</v>
      </c>
      <c r="H36" s="48">
        <v>82.16</v>
      </c>
      <c r="I36" s="48">
        <v>487.09</v>
      </c>
      <c r="J36" s="57"/>
      <c r="K36" s="52"/>
      <c r="L36" s="52"/>
      <c r="M36" s="53"/>
      <c r="N36" s="52"/>
      <c r="O36" s="52"/>
      <c r="P36" s="52"/>
      <c r="Q36" s="52"/>
      <c r="R36" s="52"/>
      <c r="S36" s="52"/>
      <c r="T36" s="52"/>
      <c r="U36" s="52"/>
      <c r="V36" s="53"/>
      <c r="W36" s="52"/>
      <c r="X36" s="52"/>
      <c r="Y36" s="58"/>
      <c r="Z36" s="56"/>
    </row>
    <row r="37">
      <c r="A37" s="59">
        <v>45446.0</v>
      </c>
      <c r="B37" s="60" t="s">
        <v>37</v>
      </c>
      <c r="C37" s="60" t="s">
        <v>40</v>
      </c>
      <c r="D37" s="61">
        <v>540.0</v>
      </c>
      <c r="E37" s="62">
        <v>2.5</v>
      </c>
      <c r="F37" s="62">
        <v>1350.0</v>
      </c>
      <c r="G37" s="60" t="s">
        <v>43</v>
      </c>
      <c r="H37" s="61">
        <v>0.0</v>
      </c>
      <c r="I37" s="61">
        <v>0.0</v>
      </c>
      <c r="J37" s="50">
        <f>Index!$C$2</f>
        <v>620.5</v>
      </c>
      <c r="K37" s="51" t="str">
        <f>IF(AND( C37="Buy", ISBLANK(T37), B37&lt;&gt;"DIV"), (1-Index!$F$2*2)*((J37*D37)-(E37*D37)), "")</f>
        <v/>
      </c>
      <c r="L37" s="52" t="str">
        <f t="shared" ref="L37:L93" si="9">IF(AND( C37="Buy", ISBLANK(T37), B37&lt;&gt;"DIV"), ((E37*D37)+K37), "")</f>
        <v/>
      </c>
      <c r="M37" s="53" t="str">
        <f t="shared" ref="M37:M93" si="10">IF(AND( C37="Buy", ISBLANK(T37), B37&lt;&gt;"DIV"), D37, "")</f>
        <v/>
      </c>
      <c r="N37" s="51" t="str">
        <f>IF(AND( C37="Buy", ISBLANK(T37), B37&lt;&gt;"DIV", NOW()-A37 &lt; 365), (1-Index!$F$2*2)*((J37*D37)-(E37*D37)), "")</f>
        <v/>
      </c>
      <c r="O37" s="52" t="str">
        <f t="shared" ref="O37:O93" si="11">IF(AND( C37="Buy", ISBLANK(T37), B37&lt;&gt;"DIV", NOW()-A37 &lt; 365), ((E37*D37)+N37), "")</f>
        <v/>
      </c>
      <c r="P37" s="52" t="str">
        <f t="shared" ref="P37:P93" si="12">IF(AND( C37="Buy", ISBLANK(T37), B37&lt;&gt;"DIV", NOW()-A37 &lt; 365), D37, "")</f>
        <v/>
      </c>
      <c r="Q37" s="52" t="str">
        <f t="shared" ref="Q37:Q93" si="13">IF(AND( C37="Buy", ISBLANK(T37), B37&lt;&gt;"DIV", NOW()-A37 &gt; 365), (J37*D37)-(E37*D37)-(2*sum(H37:I37)), "")</f>
        <v/>
      </c>
      <c r="R37" s="52" t="str">
        <f t="shared" ref="R37:R93" si="14">IF(AND( C37="Buy", ISBLANK(T37), B37&lt;&gt;"DIV", NOW()-A37 &gt; 365), ((E37*D37)+Q37), "")</f>
        <v/>
      </c>
      <c r="S37" s="52" t="str">
        <f t="shared" ref="S37:S93" si="15">IF(AND( C37="Buy", ISBLANK(T37), B37&lt;&gt;"DIV", NOW()-A37 &gt; 365), D37, "")</f>
        <v/>
      </c>
      <c r="T37" s="51"/>
      <c r="U37" s="51"/>
      <c r="V37" s="54"/>
      <c r="W37" s="51"/>
      <c r="X37" s="51"/>
      <c r="Y37" s="55">
        <f t="shared" ref="Y37:Y93" si="16">if(B37="DIV", F37,"")</f>
        <v>1350</v>
      </c>
      <c r="Z37" s="63" t="s">
        <v>44</v>
      </c>
    </row>
    <row r="38">
      <c r="A38" s="59">
        <v>45446.0</v>
      </c>
      <c r="B38" s="60" t="s">
        <v>37</v>
      </c>
      <c r="C38" s="60" t="s">
        <v>40</v>
      </c>
      <c r="D38" s="61">
        <v>10.0</v>
      </c>
      <c r="E38" s="62">
        <v>2.5</v>
      </c>
      <c r="F38" s="62">
        <v>25.0</v>
      </c>
      <c r="G38" s="60" t="s">
        <v>43</v>
      </c>
      <c r="H38" s="61">
        <v>0.0</v>
      </c>
      <c r="I38" s="61">
        <v>0.0</v>
      </c>
      <c r="J38" s="50">
        <f>Index!$C$2</f>
        <v>620.5</v>
      </c>
      <c r="K38" s="51" t="str">
        <f>IF(AND( C38="Buy", ISBLANK(T38), B38&lt;&gt;"DIV"), (1-Index!$F$2*2)*((J38*D38)-(E38*D38)), "")</f>
        <v/>
      </c>
      <c r="L38" s="52" t="str">
        <f t="shared" si="9"/>
        <v/>
      </c>
      <c r="M38" s="53" t="str">
        <f t="shared" si="10"/>
        <v/>
      </c>
      <c r="N38" s="51" t="str">
        <f>IF(AND( C38="Buy", ISBLANK(T38), B38&lt;&gt;"DIV", NOW()-A38 &lt; 365), (1-Index!$F$2*2)*((J38*D38)-(E38*D38)), "")</f>
        <v/>
      </c>
      <c r="O38" s="52" t="str">
        <f t="shared" si="11"/>
        <v/>
      </c>
      <c r="P38" s="52" t="str">
        <f t="shared" si="12"/>
        <v/>
      </c>
      <c r="Q38" s="52" t="str">
        <f t="shared" si="13"/>
        <v/>
      </c>
      <c r="R38" s="52" t="str">
        <f t="shared" si="14"/>
        <v/>
      </c>
      <c r="S38" s="52" t="str">
        <f t="shared" si="15"/>
        <v/>
      </c>
      <c r="T38" s="51"/>
      <c r="U38" s="51"/>
      <c r="V38" s="54"/>
      <c r="W38" s="51"/>
      <c r="X38" s="51"/>
      <c r="Y38" s="55">
        <f t="shared" si="16"/>
        <v>25</v>
      </c>
      <c r="Z38" s="63" t="s">
        <v>44</v>
      </c>
    </row>
    <row r="39">
      <c r="A39" s="59">
        <v>45352.0</v>
      </c>
      <c r="B39" s="60" t="s">
        <v>39</v>
      </c>
      <c r="C39" s="60" t="s">
        <v>40</v>
      </c>
      <c r="D39" s="61">
        <v>2.0</v>
      </c>
      <c r="E39" s="62">
        <v>250.46</v>
      </c>
      <c r="F39" s="62">
        <v>500.91</v>
      </c>
      <c r="G39" s="60" t="s">
        <v>41</v>
      </c>
      <c r="H39" s="61">
        <v>0.5</v>
      </c>
      <c r="I39" s="61">
        <v>3.01</v>
      </c>
      <c r="J39" s="50">
        <f>Index!$C$2</f>
        <v>620.5</v>
      </c>
      <c r="K39" s="51">
        <f>IF(AND( C39="Buy", ISBLANK(T39), B39&lt;&gt;"DIV"), (1-Index!$F$2*2)*((J39*D39)-(E39*D39)), "")</f>
        <v>729.71888</v>
      </c>
      <c r="L39" s="52">
        <f t="shared" si="9"/>
        <v>1230.63888</v>
      </c>
      <c r="M39" s="53">
        <f t="shared" si="10"/>
        <v>2</v>
      </c>
      <c r="N39" s="51" t="str">
        <f>IF(AND( C39="Buy", ISBLANK(T39), B39&lt;&gt;"DIV", NOW()-A39 &lt; 365), (1-Index!$F$2*2)*((J39*D39)-(E39*D39)), "")</f>
        <v/>
      </c>
      <c r="O39" s="52" t="str">
        <f t="shared" si="11"/>
        <v/>
      </c>
      <c r="P39" s="52" t="str">
        <f t="shared" si="12"/>
        <v/>
      </c>
      <c r="Q39" s="52">
        <f t="shared" si="13"/>
        <v>733.06</v>
      </c>
      <c r="R39" s="52">
        <f t="shared" si="14"/>
        <v>1233.98</v>
      </c>
      <c r="S39" s="52">
        <f t="shared" si="15"/>
        <v>2</v>
      </c>
      <c r="T39" s="51"/>
      <c r="U39" s="51"/>
      <c r="V39" s="54"/>
      <c r="W39" s="51"/>
      <c r="X39" s="51"/>
      <c r="Y39" s="55" t="str">
        <f t="shared" si="16"/>
        <v/>
      </c>
      <c r="Z39" s="63" t="s">
        <v>44</v>
      </c>
    </row>
    <row r="40">
      <c r="A40" s="59">
        <v>45352.0</v>
      </c>
      <c r="B40" s="60" t="s">
        <v>39</v>
      </c>
      <c r="C40" s="60" t="s">
        <v>40</v>
      </c>
      <c r="D40" s="61">
        <v>20.0</v>
      </c>
      <c r="E40" s="62">
        <v>250.36</v>
      </c>
      <c r="F40" s="62">
        <v>5007.19</v>
      </c>
      <c r="G40" s="60" t="s">
        <v>41</v>
      </c>
      <c r="H40" s="61">
        <v>4.97</v>
      </c>
      <c r="I40" s="61">
        <v>30.22</v>
      </c>
      <c r="J40" s="50">
        <f>Index!$C$2</f>
        <v>620.5</v>
      </c>
      <c r="K40" s="51">
        <f>IF(AND( C40="Buy", ISBLANK(T40), B40&lt;&gt;"DIV"), (1-Index!$F$2*2)*((J40*D40)-(E40*D40)), "")</f>
        <v>7299.1608</v>
      </c>
      <c r="L40" s="52">
        <f t="shared" si="9"/>
        <v>12306.3608</v>
      </c>
      <c r="M40" s="53">
        <f t="shared" si="10"/>
        <v>20</v>
      </c>
      <c r="N40" s="51" t="str">
        <f>IF(AND( C40="Buy", ISBLANK(T40), B40&lt;&gt;"DIV", NOW()-A40 &lt; 365), (1-Index!$F$2*2)*((J40*D40)-(E40*D40)), "")</f>
        <v/>
      </c>
      <c r="O40" s="52" t="str">
        <f t="shared" si="11"/>
        <v/>
      </c>
      <c r="P40" s="52" t="str">
        <f t="shared" si="12"/>
        <v/>
      </c>
      <c r="Q40" s="52">
        <f t="shared" si="13"/>
        <v>7332.42</v>
      </c>
      <c r="R40" s="52">
        <f t="shared" si="14"/>
        <v>12339.62</v>
      </c>
      <c r="S40" s="52">
        <f t="shared" si="15"/>
        <v>20</v>
      </c>
      <c r="T40" s="51"/>
      <c r="U40" s="51"/>
      <c r="V40" s="54"/>
      <c r="W40" s="51"/>
      <c r="X40" s="51"/>
      <c r="Y40" s="55" t="str">
        <f t="shared" si="16"/>
        <v/>
      </c>
      <c r="Z40" s="63" t="s">
        <v>44</v>
      </c>
    </row>
    <row r="41">
      <c r="A41" s="59">
        <v>45352.0</v>
      </c>
      <c r="B41" s="60" t="s">
        <v>39</v>
      </c>
      <c r="C41" s="60" t="s">
        <v>40</v>
      </c>
      <c r="D41" s="61">
        <v>2.0</v>
      </c>
      <c r="E41" s="62">
        <v>250.46</v>
      </c>
      <c r="F41" s="62">
        <v>500.91</v>
      </c>
      <c r="G41" s="60" t="s">
        <v>41</v>
      </c>
      <c r="H41" s="61">
        <v>0.5</v>
      </c>
      <c r="I41" s="61">
        <v>3.01</v>
      </c>
      <c r="J41" s="50">
        <f>Index!$C$2</f>
        <v>620.5</v>
      </c>
      <c r="K41" s="51">
        <f>IF(AND( C41="Buy", ISBLANK(T41), B41&lt;&gt;"DIV"), (1-Index!$F$2*2)*((J41*D41)-(E41*D41)), "")</f>
        <v>729.71888</v>
      </c>
      <c r="L41" s="52">
        <f t="shared" si="9"/>
        <v>1230.63888</v>
      </c>
      <c r="M41" s="53">
        <f t="shared" si="10"/>
        <v>2</v>
      </c>
      <c r="N41" s="51" t="str">
        <f>IF(AND( C41="Buy", ISBLANK(T41), B41&lt;&gt;"DIV", NOW()-A41 &lt; 365), (1-Index!$F$2*2)*((J41*D41)-(E41*D41)), "")</f>
        <v/>
      </c>
      <c r="O41" s="52" t="str">
        <f t="shared" si="11"/>
        <v/>
      </c>
      <c r="P41" s="52" t="str">
        <f t="shared" si="12"/>
        <v/>
      </c>
      <c r="Q41" s="52">
        <f t="shared" si="13"/>
        <v>733.06</v>
      </c>
      <c r="R41" s="52">
        <f t="shared" si="14"/>
        <v>1233.98</v>
      </c>
      <c r="S41" s="52">
        <f t="shared" si="15"/>
        <v>2</v>
      </c>
      <c r="T41" s="51"/>
      <c r="U41" s="51"/>
      <c r="V41" s="54"/>
      <c r="W41" s="51"/>
      <c r="X41" s="51"/>
      <c r="Y41" s="55" t="str">
        <f t="shared" si="16"/>
        <v/>
      </c>
      <c r="Z41" s="63" t="s">
        <v>44</v>
      </c>
    </row>
    <row r="42">
      <c r="A42" s="59">
        <v>45352.0</v>
      </c>
      <c r="B42" s="60" t="s">
        <v>39</v>
      </c>
      <c r="C42" s="60" t="s">
        <v>40</v>
      </c>
      <c r="D42" s="61">
        <v>3.0</v>
      </c>
      <c r="E42" s="62">
        <v>250.41</v>
      </c>
      <c r="F42" s="62">
        <v>751.22</v>
      </c>
      <c r="G42" s="60" t="s">
        <v>41</v>
      </c>
      <c r="H42" s="61">
        <v>0.75</v>
      </c>
      <c r="I42" s="61">
        <v>4.52</v>
      </c>
      <c r="J42" s="50">
        <f>Index!$C$2</f>
        <v>620.5</v>
      </c>
      <c r="K42" s="51">
        <f>IF(AND( C42="Buy", ISBLANK(T42), B42&lt;&gt;"DIV"), (1-Index!$F$2*2)*((J42*D42)-(E42*D42)), "")</f>
        <v>1094.72622</v>
      </c>
      <c r="L42" s="52">
        <f t="shared" si="9"/>
        <v>1845.95622</v>
      </c>
      <c r="M42" s="53">
        <f t="shared" si="10"/>
        <v>3</v>
      </c>
      <c r="N42" s="51" t="str">
        <f>IF(AND( C42="Buy", ISBLANK(T42), B42&lt;&gt;"DIV", NOW()-A42 &lt; 365), (1-Index!$F$2*2)*((J42*D42)-(E42*D42)), "")</f>
        <v/>
      </c>
      <c r="O42" s="52" t="str">
        <f t="shared" si="11"/>
        <v/>
      </c>
      <c r="P42" s="52" t="str">
        <f t="shared" si="12"/>
        <v/>
      </c>
      <c r="Q42" s="52">
        <f t="shared" si="13"/>
        <v>1099.73</v>
      </c>
      <c r="R42" s="52">
        <f t="shared" si="14"/>
        <v>1850.96</v>
      </c>
      <c r="S42" s="52">
        <f t="shared" si="15"/>
        <v>3</v>
      </c>
      <c r="T42" s="51"/>
      <c r="U42" s="51"/>
      <c r="V42" s="54"/>
      <c r="W42" s="51"/>
      <c r="X42" s="51"/>
      <c r="Y42" s="55" t="str">
        <f t="shared" si="16"/>
        <v/>
      </c>
      <c r="Z42" s="63" t="s">
        <v>44</v>
      </c>
    </row>
    <row r="43">
      <c r="A43" s="59">
        <v>45352.0</v>
      </c>
      <c r="B43" s="60" t="s">
        <v>39</v>
      </c>
      <c r="C43" s="60" t="s">
        <v>40</v>
      </c>
      <c r="D43" s="61">
        <v>3.0</v>
      </c>
      <c r="E43" s="62">
        <v>250.36</v>
      </c>
      <c r="F43" s="62">
        <v>751.07</v>
      </c>
      <c r="G43" s="60" t="s">
        <v>41</v>
      </c>
      <c r="H43" s="61">
        <v>0.75</v>
      </c>
      <c r="I43" s="61">
        <v>4.52</v>
      </c>
      <c r="J43" s="50">
        <f>Index!$C$2</f>
        <v>620.5</v>
      </c>
      <c r="K43" s="51">
        <f>IF(AND( C43="Buy", ISBLANK(T43), B43&lt;&gt;"DIV"), (1-Index!$F$2*2)*((J43*D43)-(E43*D43)), "")</f>
        <v>1094.87412</v>
      </c>
      <c r="L43" s="52">
        <f t="shared" si="9"/>
        <v>1845.95412</v>
      </c>
      <c r="M43" s="53">
        <f t="shared" si="10"/>
        <v>3</v>
      </c>
      <c r="N43" s="51" t="str">
        <f>IF(AND( C43="Buy", ISBLANK(T43), B43&lt;&gt;"DIV", NOW()-A43 &lt; 365), (1-Index!$F$2*2)*((J43*D43)-(E43*D43)), "")</f>
        <v/>
      </c>
      <c r="O43" s="52" t="str">
        <f t="shared" si="11"/>
        <v/>
      </c>
      <c r="P43" s="52" t="str">
        <f t="shared" si="12"/>
        <v/>
      </c>
      <c r="Q43" s="52">
        <f t="shared" si="13"/>
        <v>1099.88</v>
      </c>
      <c r="R43" s="52">
        <f t="shared" si="14"/>
        <v>1850.96</v>
      </c>
      <c r="S43" s="52">
        <f t="shared" si="15"/>
        <v>3</v>
      </c>
      <c r="T43" s="51"/>
      <c r="U43" s="51"/>
      <c r="V43" s="54"/>
      <c r="W43" s="51"/>
      <c r="X43" s="51"/>
      <c r="Y43" s="55" t="str">
        <f t="shared" si="16"/>
        <v/>
      </c>
      <c r="Z43" s="63" t="s">
        <v>44</v>
      </c>
    </row>
    <row r="44">
      <c r="A44" s="59">
        <v>45352.0</v>
      </c>
      <c r="B44" s="60" t="s">
        <v>39</v>
      </c>
      <c r="C44" s="60" t="s">
        <v>40</v>
      </c>
      <c r="D44" s="61">
        <v>20.0</v>
      </c>
      <c r="E44" s="62">
        <v>250.36</v>
      </c>
      <c r="F44" s="62">
        <v>5007.19</v>
      </c>
      <c r="G44" s="60" t="s">
        <v>41</v>
      </c>
      <c r="H44" s="61">
        <v>4.97</v>
      </c>
      <c r="I44" s="61">
        <v>30.22</v>
      </c>
      <c r="J44" s="50">
        <f>Index!$C$2</f>
        <v>620.5</v>
      </c>
      <c r="K44" s="51">
        <f>IF(AND( C44="Buy", ISBLANK(T44), B44&lt;&gt;"DIV"), (1-Index!$F$2*2)*((J44*D44)-(E44*D44)), "")</f>
        <v>7299.1608</v>
      </c>
      <c r="L44" s="52">
        <f t="shared" si="9"/>
        <v>12306.3608</v>
      </c>
      <c r="M44" s="53">
        <f t="shared" si="10"/>
        <v>20</v>
      </c>
      <c r="N44" s="51" t="str">
        <f>IF(AND( C44="Buy", ISBLANK(T44), B44&lt;&gt;"DIV", NOW()-A44 &lt; 365), (1-Index!$F$2*2)*((J44*D44)-(E44*D44)), "")</f>
        <v/>
      </c>
      <c r="O44" s="52" t="str">
        <f t="shared" si="11"/>
        <v/>
      </c>
      <c r="P44" s="52" t="str">
        <f t="shared" si="12"/>
        <v/>
      </c>
      <c r="Q44" s="52">
        <f t="shared" si="13"/>
        <v>7332.42</v>
      </c>
      <c r="R44" s="52">
        <f t="shared" si="14"/>
        <v>12339.62</v>
      </c>
      <c r="S44" s="52">
        <f t="shared" si="15"/>
        <v>20</v>
      </c>
      <c r="T44" s="51"/>
      <c r="U44" s="51"/>
      <c r="V44" s="54"/>
      <c r="W44" s="51"/>
      <c r="X44" s="51"/>
      <c r="Y44" s="55" t="str">
        <f t="shared" si="16"/>
        <v/>
      </c>
      <c r="Z44" s="63" t="s">
        <v>44</v>
      </c>
    </row>
    <row r="45">
      <c r="A45" s="59">
        <v>45349.0</v>
      </c>
      <c r="B45" s="60" t="s">
        <v>39</v>
      </c>
      <c r="C45" s="60" t="s">
        <v>40</v>
      </c>
      <c r="D45" s="61">
        <v>10.0</v>
      </c>
      <c r="E45" s="62">
        <v>247.49</v>
      </c>
      <c r="F45" s="62">
        <v>2474.93</v>
      </c>
      <c r="G45" s="60" t="s">
        <v>41</v>
      </c>
      <c r="H45" s="61">
        <v>2.45</v>
      </c>
      <c r="I45" s="61">
        <v>14.98</v>
      </c>
      <c r="J45" s="50">
        <f>Index!$C$2</f>
        <v>620.5</v>
      </c>
      <c r="K45" s="51">
        <f>IF(AND( C45="Buy", ISBLANK(T45), B45&lt;&gt;"DIV"), (1-Index!$F$2*2)*((J45*D45)-(E45*D45)), "")</f>
        <v>3677.8786</v>
      </c>
      <c r="L45" s="52">
        <f t="shared" si="9"/>
        <v>6152.7786</v>
      </c>
      <c r="M45" s="53">
        <f t="shared" si="10"/>
        <v>10</v>
      </c>
      <c r="N45" s="51" t="str">
        <f>IF(AND( C45="Buy", ISBLANK(T45), B45&lt;&gt;"DIV", NOW()-A45 &lt; 365), (1-Index!$F$2*2)*((J45*D45)-(E45*D45)), "")</f>
        <v/>
      </c>
      <c r="O45" s="52" t="str">
        <f t="shared" si="11"/>
        <v/>
      </c>
      <c r="P45" s="52" t="str">
        <f t="shared" si="12"/>
        <v/>
      </c>
      <c r="Q45" s="52">
        <f t="shared" si="13"/>
        <v>3695.24</v>
      </c>
      <c r="R45" s="52">
        <f t="shared" si="14"/>
        <v>6170.14</v>
      </c>
      <c r="S45" s="52">
        <f t="shared" si="15"/>
        <v>10</v>
      </c>
      <c r="T45" s="51"/>
      <c r="U45" s="51"/>
      <c r="V45" s="54"/>
      <c r="W45" s="51"/>
      <c r="X45" s="51"/>
      <c r="Y45" s="55" t="str">
        <f t="shared" si="16"/>
        <v/>
      </c>
      <c r="Z45" s="63" t="s">
        <v>44</v>
      </c>
    </row>
    <row r="46">
      <c r="A46" s="64">
        <v>45282.0</v>
      </c>
      <c r="B46" s="65" t="s">
        <v>39</v>
      </c>
      <c r="C46" s="65" t="s">
        <v>40</v>
      </c>
      <c r="D46" s="66">
        <v>10.0</v>
      </c>
      <c r="E46" s="67">
        <v>251.87</v>
      </c>
      <c r="F46" s="50">
        <v>2518.74</v>
      </c>
      <c r="G46" s="68" t="s">
        <v>41</v>
      </c>
      <c r="H46" s="66">
        <v>2.5</v>
      </c>
      <c r="I46" s="66">
        <v>15.24</v>
      </c>
      <c r="J46" s="50">
        <f>Index!$C$2</f>
        <v>620.5</v>
      </c>
      <c r="K46" s="51">
        <f>IF(AND( C46="Buy", ISBLANK(T46), B46&lt;&gt;"DIV"), (1-Index!$F$2*2)*((J46*D46)-(E46*D46)), "")</f>
        <v>3634.6918</v>
      </c>
      <c r="L46" s="52">
        <f t="shared" si="9"/>
        <v>6153.3918</v>
      </c>
      <c r="M46" s="53">
        <f t="shared" si="10"/>
        <v>10</v>
      </c>
      <c r="N46" s="51" t="str">
        <f>IF(AND( C46="Buy", ISBLANK(T46), B46&lt;&gt;"DIV", NOW()-A46 &lt; 365), (1-Index!$F$2*2)*((J46*D46)-(E46*D46)), "")</f>
        <v/>
      </c>
      <c r="O46" s="52" t="str">
        <f t="shared" si="11"/>
        <v/>
      </c>
      <c r="P46" s="52" t="str">
        <f t="shared" si="12"/>
        <v/>
      </c>
      <c r="Q46" s="52">
        <f t="shared" si="13"/>
        <v>3650.82</v>
      </c>
      <c r="R46" s="52">
        <f t="shared" si="14"/>
        <v>6169.52</v>
      </c>
      <c r="S46" s="52">
        <f t="shared" si="15"/>
        <v>10</v>
      </c>
      <c r="T46" s="51"/>
      <c r="U46" s="51"/>
      <c r="V46" s="54"/>
      <c r="W46" s="51"/>
      <c r="X46" s="51"/>
      <c r="Y46" s="55" t="str">
        <f t="shared" si="16"/>
        <v/>
      </c>
      <c r="Z46" s="63" t="s">
        <v>44</v>
      </c>
    </row>
    <row r="47">
      <c r="A47" s="64">
        <v>45278.0</v>
      </c>
      <c r="B47" s="65" t="s">
        <v>39</v>
      </c>
      <c r="C47" s="65" t="s">
        <v>40</v>
      </c>
      <c r="D47" s="66">
        <v>10.0</v>
      </c>
      <c r="E47" s="67">
        <v>257.01</v>
      </c>
      <c r="F47" s="50">
        <v>2570.13</v>
      </c>
      <c r="G47" s="68" t="s">
        <v>41</v>
      </c>
      <c r="H47" s="66">
        <v>2.55</v>
      </c>
      <c r="I47" s="66">
        <v>15.58</v>
      </c>
      <c r="J47" s="50">
        <f>Index!$C$2</f>
        <v>620.5</v>
      </c>
      <c r="K47" s="51">
        <f>IF(AND( C47="Buy", ISBLANK(T47), B47&lt;&gt;"DIV"), (1-Index!$F$2*2)*((J47*D47)-(E47*D47)), "")</f>
        <v>3584.0114</v>
      </c>
      <c r="L47" s="52">
        <f t="shared" si="9"/>
        <v>6154.1114</v>
      </c>
      <c r="M47" s="53">
        <f t="shared" si="10"/>
        <v>10</v>
      </c>
      <c r="N47" s="51" t="str">
        <f>IF(AND( C47="Buy", ISBLANK(T47), B47&lt;&gt;"DIV", NOW()-A47 &lt; 365), (1-Index!$F$2*2)*((J47*D47)-(E47*D47)), "")</f>
        <v/>
      </c>
      <c r="O47" s="52" t="str">
        <f t="shared" si="11"/>
        <v/>
      </c>
      <c r="P47" s="52" t="str">
        <f t="shared" si="12"/>
        <v/>
      </c>
      <c r="Q47" s="52">
        <f t="shared" si="13"/>
        <v>3598.64</v>
      </c>
      <c r="R47" s="52">
        <f t="shared" si="14"/>
        <v>6168.74</v>
      </c>
      <c r="S47" s="52">
        <f t="shared" si="15"/>
        <v>10</v>
      </c>
      <c r="T47" s="51"/>
      <c r="U47" s="51"/>
      <c r="V47" s="54"/>
      <c r="W47" s="51"/>
      <c r="X47" s="51"/>
      <c r="Y47" s="55" t="str">
        <f t="shared" si="16"/>
        <v/>
      </c>
      <c r="Z47" s="63" t="s">
        <v>44</v>
      </c>
    </row>
    <row r="48">
      <c r="A48" s="64">
        <v>45225.0</v>
      </c>
      <c r="B48" s="65" t="s">
        <v>39</v>
      </c>
      <c r="C48" s="65" t="s">
        <v>40</v>
      </c>
      <c r="D48" s="66">
        <v>10.0</v>
      </c>
      <c r="E48" s="67">
        <v>211.9</v>
      </c>
      <c r="F48" s="50">
        <v>2118.95</v>
      </c>
      <c r="G48" s="68" t="s">
        <v>41</v>
      </c>
      <c r="H48" s="66">
        <v>2.12</v>
      </c>
      <c r="I48" s="66">
        <v>12.83</v>
      </c>
      <c r="J48" s="50">
        <f>Index!$C$2</f>
        <v>620.5</v>
      </c>
      <c r="K48" s="51">
        <f>IF(AND( C48="Buy", ISBLANK(T48), B48&lt;&gt;"DIV"), (1-Index!$F$2*2)*((J48*D48)-(E48*D48)), "")</f>
        <v>4028.796</v>
      </c>
      <c r="L48" s="52">
        <f t="shared" si="9"/>
        <v>6147.796</v>
      </c>
      <c r="M48" s="53">
        <f t="shared" si="10"/>
        <v>10</v>
      </c>
      <c r="N48" s="51" t="str">
        <f>IF(AND( C48="Buy", ISBLANK(T48), B48&lt;&gt;"DIV", NOW()-A48 &lt; 365), (1-Index!$F$2*2)*((J48*D48)-(E48*D48)), "")</f>
        <v/>
      </c>
      <c r="O48" s="52" t="str">
        <f t="shared" si="11"/>
        <v/>
      </c>
      <c r="P48" s="52" t="str">
        <f t="shared" si="12"/>
        <v/>
      </c>
      <c r="Q48" s="52">
        <f t="shared" si="13"/>
        <v>4056.1</v>
      </c>
      <c r="R48" s="52">
        <f t="shared" si="14"/>
        <v>6175.1</v>
      </c>
      <c r="S48" s="52">
        <f t="shared" si="15"/>
        <v>10</v>
      </c>
      <c r="T48" s="51"/>
      <c r="U48" s="51"/>
      <c r="V48" s="54"/>
      <c r="W48" s="51"/>
      <c r="X48" s="51"/>
      <c r="Y48" s="55" t="str">
        <f t="shared" si="16"/>
        <v/>
      </c>
      <c r="Z48" s="63" t="s">
        <v>44</v>
      </c>
    </row>
    <row r="49">
      <c r="A49" s="64">
        <v>45181.0</v>
      </c>
      <c r="B49" s="65" t="s">
        <v>39</v>
      </c>
      <c r="C49" s="65" t="s">
        <v>40</v>
      </c>
      <c r="D49" s="66">
        <v>10.0</v>
      </c>
      <c r="E49" s="67">
        <v>228.72</v>
      </c>
      <c r="F49" s="50">
        <v>2287.15</v>
      </c>
      <c r="G49" s="68" t="s">
        <v>41</v>
      </c>
      <c r="H49" s="66">
        <v>2.27</v>
      </c>
      <c r="I49" s="66">
        <v>13.88</v>
      </c>
      <c r="J49" s="50">
        <f>Index!$C$2</f>
        <v>620.5</v>
      </c>
      <c r="K49" s="51">
        <f>IF(AND( C49="Buy", ISBLANK(T49), B49&lt;&gt;"DIV"), (1-Index!$F$2*2)*((J49*D49)-(E49*D49)), "")</f>
        <v>3862.9508</v>
      </c>
      <c r="L49" s="52">
        <f t="shared" si="9"/>
        <v>6150.1508</v>
      </c>
      <c r="M49" s="53">
        <f t="shared" si="10"/>
        <v>10</v>
      </c>
      <c r="N49" s="51" t="str">
        <f>IF(AND( C49="Buy", ISBLANK(T49), B49&lt;&gt;"DIV", NOW()-A49 &lt; 365), (1-Index!$F$2*2)*((J49*D49)-(E49*D49)), "")</f>
        <v/>
      </c>
      <c r="O49" s="52" t="str">
        <f t="shared" si="11"/>
        <v/>
      </c>
      <c r="P49" s="52" t="str">
        <f t="shared" si="12"/>
        <v/>
      </c>
      <c r="Q49" s="52">
        <f t="shared" si="13"/>
        <v>3885.5</v>
      </c>
      <c r="R49" s="52">
        <f t="shared" si="14"/>
        <v>6172.7</v>
      </c>
      <c r="S49" s="52">
        <f t="shared" si="15"/>
        <v>10</v>
      </c>
      <c r="T49" s="51"/>
      <c r="U49" s="51"/>
      <c r="V49" s="54"/>
      <c r="W49" s="51"/>
      <c r="X49" s="51"/>
      <c r="Y49" s="55" t="str">
        <f t="shared" si="16"/>
        <v/>
      </c>
      <c r="Z49" s="63" t="s">
        <v>44</v>
      </c>
    </row>
    <row r="50">
      <c r="A50" s="64">
        <v>45076.0</v>
      </c>
      <c r="B50" s="65" t="s">
        <v>37</v>
      </c>
      <c r="C50" s="65" t="s">
        <v>40</v>
      </c>
      <c r="D50" s="66">
        <v>440.0</v>
      </c>
      <c r="E50" s="67">
        <v>2.5</v>
      </c>
      <c r="F50" s="50">
        <v>1100.0</v>
      </c>
      <c r="G50" s="68" t="s">
        <v>45</v>
      </c>
      <c r="H50" s="66">
        <v>0.0</v>
      </c>
      <c r="I50" s="66">
        <v>0.0</v>
      </c>
      <c r="J50" s="50">
        <f>Index!$C$2</f>
        <v>620.5</v>
      </c>
      <c r="K50" s="51" t="str">
        <f>IF(AND( C50="Buy", ISBLANK(T50), B50&lt;&gt;"DIV"), (1-Index!$F$2*2)*((J50*D50)-(E50*D50)), "")</f>
        <v/>
      </c>
      <c r="L50" s="52" t="str">
        <f t="shared" si="9"/>
        <v/>
      </c>
      <c r="M50" s="53" t="str">
        <f t="shared" si="10"/>
        <v/>
      </c>
      <c r="N50" s="51" t="str">
        <f>IF(AND( C50="Buy", ISBLANK(T50), B50&lt;&gt;"DIV", NOW()-A50 &lt; 365), (1-Index!$F$2*2)*((J50*D50)-(E50*D50)), "")</f>
        <v/>
      </c>
      <c r="O50" s="52" t="str">
        <f t="shared" si="11"/>
        <v/>
      </c>
      <c r="P50" s="52" t="str">
        <f t="shared" si="12"/>
        <v/>
      </c>
      <c r="Q50" s="52" t="str">
        <f t="shared" si="13"/>
        <v/>
      </c>
      <c r="R50" s="52" t="str">
        <f t="shared" si="14"/>
        <v/>
      </c>
      <c r="S50" s="52" t="str">
        <f t="shared" si="15"/>
        <v/>
      </c>
      <c r="T50" s="51"/>
      <c r="U50" s="51"/>
      <c r="V50" s="54"/>
      <c r="W50" s="51"/>
      <c r="X50" s="51"/>
      <c r="Y50" s="55">
        <f t="shared" si="16"/>
        <v>1100</v>
      </c>
      <c r="Z50" s="63" t="s">
        <v>44</v>
      </c>
    </row>
    <row r="51">
      <c r="A51" s="64">
        <v>45076.0</v>
      </c>
      <c r="B51" s="65" t="s">
        <v>37</v>
      </c>
      <c r="C51" s="65" t="s">
        <v>40</v>
      </c>
      <c r="D51" s="66">
        <v>10.0</v>
      </c>
      <c r="E51" s="67">
        <v>2.5</v>
      </c>
      <c r="F51" s="50">
        <v>25.0</v>
      </c>
      <c r="G51" s="68" t="s">
        <v>45</v>
      </c>
      <c r="H51" s="66">
        <v>0.0</v>
      </c>
      <c r="I51" s="66">
        <v>0.0</v>
      </c>
      <c r="J51" s="50">
        <f>Index!$C$2</f>
        <v>620.5</v>
      </c>
      <c r="K51" s="51" t="str">
        <f>IF(AND( C51="Buy", ISBLANK(T51), B51&lt;&gt;"DIV"), (1-Index!$F$2*2)*((J51*D51)-(E51*D51)), "")</f>
        <v/>
      </c>
      <c r="L51" s="52" t="str">
        <f t="shared" si="9"/>
        <v/>
      </c>
      <c r="M51" s="53" t="str">
        <f t="shared" si="10"/>
        <v/>
      </c>
      <c r="N51" s="51" t="str">
        <f>IF(AND( C51="Buy", ISBLANK(T51), B51&lt;&gt;"DIV", NOW()-A51 &lt; 365), (1-Index!$F$2*2)*((J51*D51)-(E51*D51)), "")</f>
        <v/>
      </c>
      <c r="O51" s="52" t="str">
        <f t="shared" si="11"/>
        <v/>
      </c>
      <c r="P51" s="52" t="str">
        <f t="shared" si="12"/>
        <v/>
      </c>
      <c r="Q51" s="52" t="str">
        <f t="shared" si="13"/>
        <v/>
      </c>
      <c r="R51" s="52" t="str">
        <f t="shared" si="14"/>
        <v/>
      </c>
      <c r="S51" s="52" t="str">
        <f t="shared" si="15"/>
        <v/>
      </c>
      <c r="T51" s="51"/>
      <c r="U51" s="51"/>
      <c r="V51" s="54"/>
      <c r="W51" s="51"/>
      <c r="X51" s="51"/>
      <c r="Y51" s="55">
        <f t="shared" si="16"/>
        <v>25</v>
      </c>
      <c r="Z51" s="63" t="s">
        <v>44</v>
      </c>
    </row>
    <row r="52">
      <c r="A52" s="64">
        <v>45034.0</v>
      </c>
      <c r="B52" s="65" t="s">
        <v>46</v>
      </c>
      <c r="C52" s="65" t="s">
        <v>40</v>
      </c>
      <c r="D52" s="66">
        <v>2.0</v>
      </c>
      <c r="E52" s="67">
        <v>207.26</v>
      </c>
      <c r="F52" s="50">
        <v>414.53</v>
      </c>
      <c r="G52" s="68" t="s">
        <v>41</v>
      </c>
      <c r="H52" s="66">
        <v>0.41</v>
      </c>
      <c r="I52" s="66">
        <v>2.52</v>
      </c>
      <c r="J52" s="50">
        <f>Index!$C$2</f>
        <v>620.5</v>
      </c>
      <c r="K52" s="51">
        <f>IF(AND( C52="Buy", ISBLANK(T52), B52&lt;&gt;"DIV"), (1-Index!$F$2*2)*((J52*D52)-(E52*D52)), "")</f>
        <v>814.90928</v>
      </c>
      <c r="L52" s="52">
        <f t="shared" si="9"/>
        <v>1229.42928</v>
      </c>
      <c r="M52" s="53">
        <f t="shared" si="10"/>
        <v>2</v>
      </c>
      <c r="N52" s="51" t="str">
        <f>IF(AND( C52="Buy", ISBLANK(T52), B52&lt;&gt;"DIV", NOW()-A52 &lt; 365), (1-Index!$F$2*2)*((J52*D52)-(E52*D52)), "")</f>
        <v/>
      </c>
      <c r="O52" s="52" t="str">
        <f t="shared" si="11"/>
        <v/>
      </c>
      <c r="P52" s="52" t="str">
        <f t="shared" si="12"/>
        <v/>
      </c>
      <c r="Q52" s="52">
        <f t="shared" si="13"/>
        <v>820.62</v>
      </c>
      <c r="R52" s="52">
        <f t="shared" si="14"/>
        <v>1235.14</v>
      </c>
      <c r="S52" s="52">
        <f t="shared" si="15"/>
        <v>2</v>
      </c>
      <c r="T52" s="51"/>
      <c r="U52" s="51"/>
      <c r="V52" s="54"/>
      <c r="W52" s="51"/>
      <c r="X52" s="51"/>
      <c r="Y52" s="55" t="str">
        <f t="shared" si="16"/>
        <v/>
      </c>
      <c r="Z52" s="63" t="s">
        <v>44</v>
      </c>
    </row>
    <row r="53">
      <c r="A53" s="64">
        <v>45034.0</v>
      </c>
      <c r="B53" s="65" t="s">
        <v>46</v>
      </c>
      <c r="C53" s="65" t="s">
        <v>40</v>
      </c>
      <c r="D53" s="66">
        <v>8.0</v>
      </c>
      <c r="E53" s="67">
        <v>207.31</v>
      </c>
      <c r="F53" s="50">
        <v>1658.51</v>
      </c>
      <c r="G53" s="68" t="s">
        <v>41</v>
      </c>
      <c r="H53" s="66">
        <v>1.65</v>
      </c>
      <c r="I53" s="66">
        <v>10.06</v>
      </c>
      <c r="J53" s="50">
        <f>Index!$C$2</f>
        <v>620.5</v>
      </c>
      <c r="K53" s="51">
        <f>IF(AND( C53="Buy", ISBLANK(T53), B53&lt;&gt;"DIV"), (1-Index!$F$2*2)*((J53*D53)-(E53*D53)), "")</f>
        <v>3259.24272</v>
      </c>
      <c r="L53" s="52">
        <f t="shared" si="9"/>
        <v>4917.72272</v>
      </c>
      <c r="M53" s="53">
        <f t="shared" si="10"/>
        <v>8</v>
      </c>
      <c r="N53" s="51" t="str">
        <f>IF(AND( C53="Buy", ISBLANK(T53), B53&lt;&gt;"DIV", NOW()-A53 &lt; 365), (1-Index!$F$2*2)*((J53*D53)-(E53*D53)), "")</f>
        <v/>
      </c>
      <c r="O53" s="52" t="str">
        <f t="shared" si="11"/>
        <v/>
      </c>
      <c r="P53" s="52" t="str">
        <f t="shared" si="12"/>
        <v/>
      </c>
      <c r="Q53" s="52">
        <f t="shared" si="13"/>
        <v>3282.1</v>
      </c>
      <c r="R53" s="52">
        <f t="shared" si="14"/>
        <v>4940.58</v>
      </c>
      <c r="S53" s="52">
        <f t="shared" si="15"/>
        <v>8</v>
      </c>
      <c r="T53" s="51"/>
      <c r="U53" s="51"/>
      <c r="V53" s="54"/>
      <c r="W53" s="51"/>
      <c r="X53" s="51"/>
      <c r="Y53" s="55" t="str">
        <f t="shared" si="16"/>
        <v/>
      </c>
      <c r="Z53" s="63" t="s">
        <v>44</v>
      </c>
    </row>
    <row r="54">
      <c r="A54" s="64">
        <v>45034.0</v>
      </c>
      <c r="B54" s="65" t="s">
        <v>39</v>
      </c>
      <c r="C54" s="65" t="s">
        <v>40</v>
      </c>
      <c r="D54" s="66">
        <v>10.0</v>
      </c>
      <c r="E54" s="67">
        <v>207.21</v>
      </c>
      <c r="F54" s="50">
        <v>2072.14</v>
      </c>
      <c r="G54" s="68" t="s">
        <v>41</v>
      </c>
      <c r="H54" s="66">
        <v>2.06</v>
      </c>
      <c r="I54" s="66">
        <v>12.58</v>
      </c>
      <c r="J54" s="50">
        <f>Index!$C$2</f>
        <v>620.5</v>
      </c>
      <c r="K54" s="51">
        <f>IF(AND( C54="Buy", ISBLANK(T54), B54&lt;&gt;"DIV"), (1-Index!$F$2*2)*((J54*D54)-(E54*D54)), "")</f>
        <v>4075.0394</v>
      </c>
      <c r="L54" s="52">
        <f t="shared" si="9"/>
        <v>6147.1394</v>
      </c>
      <c r="M54" s="53">
        <f t="shared" si="10"/>
        <v>10</v>
      </c>
      <c r="N54" s="51" t="str">
        <f>IF(AND( C54="Buy", ISBLANK(T54), B54&lt;&gt;"DIV", NOW()-A54 &lt; 365), (1-Index!$F$2*2)*((J54*D54)-(E54*D54)), "")</f>
        <v/>
      </c>
      <c r="O54" s="52" t="str">
        <f t="shared" si="11"/>
        <v/>
      </c>
      <c r="P54" s="52" t="str">
        <f t="shared" si="12"/>
        <v/>
      </c>
      <c r="Q54" s="52">
        <f t="shared" si="13"/>
        <v>4103.62</v>
      </c>
      <c r="R54" s="52">
        <f t="shared" si="14"/>
        <v>6175.72</v>
      </c>
      <c r="S54" s="52">
        <f t="shared" si="15"/>
        <v>10</v>
      </c>
      <c r="T54" s="51"/>
      <c r="U54" s="51"/>
      <c r="V54" s="54"/>
      <c r="W54" s="51"/>
      <c r="X54" s="51"/>
      <c r="Y54" s="55" t="str">
        <f t="shared" si="16"/>
        <v/>
      </c>
      <c r="Z54" s="63" t="s">
        <v>44</v>
      </c>
    </row>
    <row r="55">
      <c r="A55" s="64">
        <v>44953.0</v>
      </c>
      <c r="B55" s="65" t="s">
        <v>39</v>
      </c>
      <c r="C55" s="65" t="s">
        <v>40</v>
      </c>
      <c r="D55" s="66">
        <v>10.0</v>
      </c>
      <c r="E55" s="67">
        <v>209.07</v>
      </c>
      <c r="F55" s="50">
        <v>2090.75</v>
      </c>
      <c r="G55" s="68" t="s">
        <v>41</v>
      </c>
      <c r="H55" s="66">
        <v>2.05</v>
      </c>
      <c r="I55" s="66">
        <v>12.7</v>
      </c>
      <c r="J55" s="50">
        <f>Index!$C$2</f>
        <v>620.5</v>
      </c>
      <c r="K55" s="51">
        <f>IF(AND( C55="Buy", ISBLANK(T55), B55&lt;&gt;"DIV"), (1-Index!$F$2*2)*((J55*D55)-(E55*D55)), "")</f>
        <v>4056.6998</v>
      </c>
      <c r="L55" s="52">
        <f t="shared" si="9"/>
        <v>6147.3998</v>
      </c>
      <c r="M55" s="53">
        <f t="shared" si="10"/>
        <v>10</v>
      </c>
      <c r="N55" s="51" t="str">
        <f>IF(AND( C55="Buy", ISBLANK(T55), B55&lt;&gt;"DIV", NOW()-A55 &lt; 365), (1-Index!$F$2*2)*((J55*D55)-(E55*D55)), "")</f>
        <v/>
      </c>
      <c r="O55" s="52" t="str">
        <f t="shared" si="11"/>
        <v/>
      </c>
      <c r="P55" s="52" t="str">
        <f t="shared" si="12"/>
        <v/>
      </c>
      <c r="Q55" s="52">
        <f t="shared" si="13"/>
        <v>4084.8</v>
      </c>
      <c r="R55" s="52">
        <f t="shared" si="14"/>
        <v>6175.5</v>
      </c>
      <c r="S55" s="52">
        <f t="shared" si="15"/>
        <v>10</v>
      </c>
      <c r="T55" s="51"/>
      <c r="U55" s="51"/>
      <c r="V55" s="54"/>
      <c r="W55" s="51"/>
      <c r="X55" s="51"/>
      <c r="Y55" s="55" t="str">
        <f t="shared" si="16"/>
        <v/>
      </c>
      <c r="Z55" s="63" t="s">
        <v>44</v>
      </c>
    </row>
    <row r="56">
      <c r="A56" s="64">
        <v>44950.0</v>
      </c>
      <c r="B56" s="65" t="s">
        <v>39</v>
      </c>
      <c r="C56" s="65" t="s">
        <v>40</v>
      </c>
      <c r="D56" s="66">
        <v>10.0</v>
      </c>
      <c r="E56" s="67">
        <v>222.82</v>
      </c>
      <c r="F56" s="50">
        <v>2228.2</v>
      </c>
      <c r="G56" s="68" t="s">
        <v>41</v>
      </c>
      <c r="H56" s="66">
        <v>2.2</v>
      </c>
      <c r="I56" s="66">
        <v>13.5</v>
      </c>
      <c r="J56" s="50">
        <f>Index!$C$2</f>
        <v>620.5</v>
      </c>
      <c r="K56" s="51">
        <f>IF(AND( C56="Buy", ISBLANK(T56), B56&lt;&gt;"DIV"), (1-Index!$F$2*2)*((J56*D56)-(E56*D56)), "")</f>
        <v>3921.1248</v>
      </c>
      <c r="L56" s="52">
        <f t="shared" si="9"/>
        <v>6149.3248</v>
      </c>
      <c r="M56" s="53">
        <f t="shared" si="10"/>
        <v>10</v>
      </c>
      <c r="N56" s="51" t="str">
        <f>IF(AND( C56="Buy", ISBLANK(T56), B56&lt;&gt;"DIV", NOW()-A56 &lt; 365), (1-Index!$F$2*2)*((J56*D56)-(E56*D56)), "")</f>
        <v/>
      </c>
      <c r="O56" s="52" t="str">
        <f t="shared" si="11"/>
        <v/>
      </c>
      <c r="P56" s="52" t="str">
        <f t="shared" si="12"/>
        <v/>
      </c>
      <c r="Q56" s="52">
        <f t="shared" si="13"/>
        <v>3945.4</v>
      </c>
      <c r="R56" s="52">
        <f t="shared" si="14"/>
        <v>6173.6</v>
      </c>
      <c r="S56" s="52">
        <f t="shared" si="15"/>
        <v>10</v>
      </c>
      <c r="T56" s="51"/>
      <c r="U56" s="51"/>
      <c r="V56" s="54"/>
      <c r="W56" s="51"/>
      <c r="X56" s="51"/>
      <c r="Y56" s="55" t="str">
        <f t="shared" si="16"/>
        <v/>
      </c>
      <c r="Z56" s="63" t="s">
        <v>44</v>
      </c>
    </row>
    <row r="57">
      <c r="A57" s="64">
        <v>44911.0</v>
      </c>
      <c r="B57" s="65" t="s">
        <v>39</v>
      </c>
      <c r="C57" s="65" t="s">
        <v>40</v>
      </c>
      <c r="D57" s="66">
        <v>1.0</v>
      </c>
      <c r="E57" s="67">
        <v>256.83</v>
      </c>
      <c r="F57" s="50">
        <v>256.83</v>
      </c>
      <c r="G57" s="68" t="s">
        <v>41</v>
      </c>
      <c r="H57" s="66">
        <v>0.26</v>
      </c>
      <c r="I57" s="66">
        <v>1.57</v>
      </c>
      <c r="J57" s="50">
        <f>Index!$C$2</f>
        <v>620.5</v>
      </c>
      <c r="K57" s="51">
        <f>IF(AND( C57="Buy", ISBLANK(T57), B57&lt;&gt;"DIV"), (1-Index!$F$2*2)*((J57*D57)-(E57*D57)), "")</f>
        <v>358.57862</v>
      </c>
      <c r="L57" s="52">
        <f t="shared" si="9"/>
        <v>615.40862</v>
      </c>
      <c r="M57" s="53">
        <f t="shared" si="10"/>
        <v>1</v>
      </c>
      <c r="N57" s="51" t="str">
        <f>IF(AND( C57="Buy", ISBLANK(T57), B57&lt;&gt;"DIV", NOW()-A57 &lt; 365), (1-Index!$F$2*2)*((J57*D57)-(E57*D57)), "")</f>
        <v/>
      </c>
      <c r="O57" s="52" t="str">
        <f t="shared" si="11"/>
        <v/>
      </c>
      <c r="P57" s="52" t="str">
        <f t="shared" si="12"/>
        <v/>
      </c>
      <c r="Q57" s="52">
        <f t="shared" si="13"/>
        <v>360.01</v>
      </c>
      <c r="R57" s="52">
        <f t="shared" si="14"/>
        <v>616.84</v>
      </c>
      <c r="S57" s="52">
        <f t="shared" si="15"/>
        <v>1</v>
      </c>
      <c r="T57" s="51"/>
      <c r="U57" s="51"/>
      <c r="V57" s="54"/>
      <c r="W57" s="51"/>
      <c r="X57" s="51"/>
      <c r="Y57" s="55" t="str">
        <f t="shared" si="16"/>
        <v/>
      </c>
      <c r="Z57" s="63" t="s">
        <v>44</v>
      </c>
    </row>
    <row r="58">
      <c r="A58" s="64">
        <v>44911.0</v>
      </c>
      <c r="B58" s="65" t="s">
        <v>39</v>
      </c>
      <c r="C58" s="65" t="s">
        <v>40</v>
      </c>
      <c r="D58" s="66">
        <v>9.0</v>
      </c>
      <c r="E58" s="67">
        <v>256.81</v>
      </c>
      <c r="F58" s="50">
        <v>2311.29</v>
      </c>
      <c r="G58" s="68" t="s">
        <v>41</v>
      </c>
      <c r="H58" s="66">
        <v>2.27</v>
      </c>
      <c r="I58" s="66">
        <v>14.02</v>
      </c>
      <c r="J58" s="50">
        <f>Index!$C$2</f>
        <v>620.5</v>
      </c>
      <c r="K58" s="51">
        <f>IF(AND( C58="Buy", ISBLANK(T58), B58&lt;&gt;"DIV"), (1-Index!$F$2*2)*((J58*D58)-(E58*D58)), "")</f>
        <v>3227.38506</v>
      </c>
      <c r="L58" s="52">
        <f t="shared" si="9"/>
        <v>5538.67506</v>
      </c>
      <c r="M58" s="53">
        <f t="shared" si="10"/>
        <v>9</v>
      </c>
      <c r="N58" s="51" t="str">
        <f>IF(AND( C58="Buy", ISBLANK(T58), B58&lt;&gt;"DIV", NOW()-A58 &lt; 365), (1-Index!$F$2*2)*((J58*D58)-(E58*D58)), "")</f>
        <v/>
      </c>
      <c r="O58" s="52" t="str">
        <f t="shared" si="11"/>
        <v/>
      </c>
      <c r="P58" s="52" t="str">
        <f t="shared" si="12"/>
        <v/>
      </c>
      <c r="Q58" s="52">
        <f t="shared" si="13"/>
        <v>3240.63</v>
      </c>
      <c r="R58" s="52">
        <f t="shared" si="14"/>
        <v>5551.92</v>
      </c>
      <c r="S58" s="52">
        <f t="shared" si="15"/>
        <v>9</v>
      </c>
      <c r="T58" s="51"/>
      <c r="U58" s="51"/>
      <c r="V58" s="54"/>
      <c r="W58" s="51"/>
      <c r="X58" s="51"/>
      <c r="Y58" s="55" t="str">
        <f t="shared" si="16"/>
        <v/>
      </c>
      <c r="Z58" s="63" t="s">
        <v>44</v>
      </c>
    </row>
    <row r="59">
      <c r="A59" s="64">
        <v>44890.0</v>
      </c>
      <c r="B59" s="65" t="s">
        <v>39</v>
      </c>
      <c r="C59" s="65" t="s">
        <v>40</v>
      </c>
      <c r="D59" s="66">
        <v>2.0</v>
      </c>
      <c r="E59" s="67">
        <v>241.7</v>
      </c>
      <c r="F59" s="50">
        <v>483.4</v>
      </c>
      <c r="G59" s="68" t="s">
        <v>41</v>
      </c>
      <c r="H59" s="66">
        <v>0.48</v>
      </c>
      <c r="I59" s="66">
        <v>2.92</v>
      </c>
      <c r="J59" s="50">
        <f>Index!$C$2</f>
        <v>620.5</v>
      </c>
      <c r="K59" s="51">
        <f>IF(AND( C59="Buy", ISBLANK(T59), B59&lt;&gt;"DIV"), (1-Index!$F$2*2)*((J59*D59)-(E59*D59)), "")</f>
        <v>746.9936</v>
      </c>
      <c r="L59" s="52">
        <f t="shared" si="9"/>
        <v>1230.3936</v>
      </c>
      <c r="M59" s="53">
        <f t="shared" si="10"/>
        <v>2</v>
      </c>
      <c r="N59" s="51" t="str">
        <f>IF(AND( C59="Buy", ISBLANK(T59), B59&lt;&gt;"DIV", NOW()-A59 &lt; 365), (1-Index!$F$2*2)*((J59*D59)-(E59*D59)), "")</f>
        <v/>
      </c>
      <c r="O59" s="52" t="str">
        <f t="shared" si="11"/>
        <v/>
      </c>
      <c r="P59" s="52" t="str">
        <f t="shared" si="12"/>
        <v/>
      </c>
      <c r="Q59" s="52">
        <f t="shared" si="13"/>
        <v>750.8</v>
      </c>
      <c r="R59" s="52">
        <f t="shared" si="14"/>
        <v>1234.2</v>
      </c>
      <c r="S59" s="52">
        <f t="shared" si="15"/>
        <v>2</v>
      </c>
      <c r="T59" s="51"/>
      <c r="U59" s="51"/>
      <c r="V59" s="54"/>
      <c r="W59" s="51"/>
      <c r="X59" s="51"/>
      <c r="Y59" s="55" t="str">
        <f t="shared" si="16"/>
        <v/>
      </c>
      <c r="Z59" s="63" t="s">
        <v>44</v>
      </c>
    </row>
    <row r="60">
      <c r="A60" s="64">
        <v>44890.0</v>
      </c>
      <c r="B60" s="65" t="s">
        <v>39</v>
      </c>
      <c r="C60" s="65" t="s">
        <v>40</v>
      </c>
      <c r="D60" s="66">
        <v>2.0</v>
      </c>
      <c r="E60" s="67">
        <v>241.65</v>
      </c>
      <c r="F60" s="50">
        <v>483.3</v>
      </c>
      <c r="G60" s="68" t="s">
        <v>41</v>
      </c>
      <c r="H60" s="66">
        <v>0.48</v>
      </c>
      <c r="I60" s="66">
        <v>2.92</v>
      </c>
      <c r="J60" s="50">
        <f>Index!$C$2</f>
        <v>620.5</v>
      </c>
      <c r="K60" s="51">
        <f>IF(AND( C60="Buy", ISBLANK(T60), B60&lt;&gt;"DIV"), (1-Index!$F$2*2)*((J60*D60)-(E60*D60)), "")</f>
        <v>747.0922</v>
      </c>
      <c r="L60" s="52">
        <f t="shared" si="9"/>
        <v>1230.3922</v>
      </c>
      <c r="M60" s="53">
        <f t="shared" si="10"/>
        <v>2</v>
      </c>
      <c r="N60" s="51" t="str">
        <f>IF(AND( C60="Buy", ISBLANK(T60), B60&lt;&gt;"DIV", NOW()-A60 &lt; 365), (1-Index!$F$2*2)*((J60*D60)-(E60*D60)), "")</f>
        <v/>
      </c>
      <c r="O60" s="52" t="str">
        <f t="shared" si="11"/>
        <v/>
      </c>
      <c r="P60" s="52" t="str">
        <f t="shared" si="12"/>
        <v/>
      </c>
      <c r="Q60" s="52">
        <f t="shared" si="13"/>
        <v>750.9</v>
      </c>
      <c r="R60" s="52">
        <f t="shared" si="14"/>
        <v>1234.2</v>
      </c>
      <c r="S60" s="52">
        <f t="shared" si="15"/>
        <v>2</v>
      </c>
      <c r="T60" s="51"/>
      <c r="U60" s="51"/>
      <c r="V60" s="54"/>
      <c r="W60" s="51"/>
      <c r="X60" s="51"/>
      <c r="Y60" s="55" t="str">
        <f t="shared" si="16"/>
        <v/>
      </c>
      <c r="Z60" s="63" t="s">
        <v>44</v>
      </c>
    </row>
    <row r="61">
      <c r="A61" s="64">
        <v>44890.0</v>
      </c>
      <c r="B61" s="65" t="s">
        <v>39</v>
      </c>
      <c r="C61" s="65" t="s">
        <v>40</v>
      </c>
      <c r="D61" s="66">
        <v>11.0</v>
      </c>
      <c r="E61" s="67">
        <v>241.75</v>
      </c>
      <c r="F61" s="50">
        <v>2659.26</v>
      </c>
      <c r="G61" s="68" t="s">
        <v>41</v>
      </c>
      <c r="H61" s="66">
        <v>2.65</v>
      </c>
      <c r="I61" s="66">
        <v>16.06</v>
      </c>
      <c r="J61" s="50">
        <f>Index!$C$2</f>
        <v>620.5</v>
      </c>
      <c r="K61" s="51">
        <f>IF(AND( C61="Buy", ISBLANK(T61), B61&lt;&gt;"DIV"), (1-Index!$F$2*2)*((J61*D61)-(E61*D61)), "")</f>
        <v>4107.9225</v>
      </c>
      <c r="L61" s="52">
        <f t="shared" si="9"/>
        <v>6767.1725</v>
      </c>
      <c r="M61" s="53">
        <f t="shared" si="10"/>
        <v>11</v>
      </c>
      <c r="N61" s="51" t="str">
        <f>IF(AND( C61="Buy", ISBLANK(T61), B61&lt;&gt;"DIV", NOW()-A61 &lt; 365), (1-Index!$F$2*2)*((J61*D61)-(E61*D61)), "")</f>
        <v/>
      </c>
      <c r="O61" s="52" t="str">
        <f t="shared" si="11"/>
        <v/>
      </c>
      <c r="P61" s="52" t="str">
        <f t="shared" si="12"/>
        <v/>
      </c>
      <c r="Q61" s="52">
        <f t="shared" si="13"/>
        <v>4128.83</v>
      </c>
      <c r="R61" s="52">
        <f t="shared" si="14"/>
        <v>6788.08</v>
      </c>
      <c r="S61" s="52">
        <f t="shared" si="15"/>
        <v>11</v>
      </c>
      <c r="T61" s="51"/>
      <c r="U61" s="51"/>
      <c r="V61" s="54"/>
      <c r="W61" s="51"/>
      <c r="X61" s="51"/>
      <c r="Y61" s="55" t="str">
        <f t="shared" si="16"/>
        <v/>
      </c>
      <c r="Z61" s="63" t="s">
        <v>44</v>
      </c>
    </row>
    <row r="62">
      <c r="A62" s="64">
        <v>44853.0</v>
      </c>
      <c r="B62" s="65" t="s">
        <v>39</v>
      </c>
      <c r="C62" s="65" t="s">
        <v>40</v>
      </c>
      <c r="D62" s="66">
        <v>20.0</v>
      </c>
      <c r="E62" s="67">
        <v>222.77</v>
      </c>
      <c r="F62" s="50">
        <v>4455.35</v>
      </c>
      <c r="G62" s="68" t="s">
        <v>41</v>
      </c>
      <c r="H62" s="66">
        <v>4.36</v>
      </c>
      <c r="I62" s="66">
        <v>26.99</v>
      </c>
      <c r="J62" s="50">
        <f>Index!$C$2</f>
        <v>620.5</v>
      </c>
      <c r="K62" s="51">
        <f>IF(AND( C62="Buy", ISBLANK(T62), B62&lt;&gt;"DIV"), (1-Index!$F$2*2)*((J62*D62)-(E62*D62)), "")</f>
        <v>7843.2356</v>
      </c>
      <c r="L62" s="52">
        <f t="shared" si="9"/>
        <v>12298.6356</v>
      </c>
      <c r="M62" s="53">
        <f t="shared" si="10"/>
        <v>20</v>
      </c>
      <c r="N62" s="51" t="str">
        <f>IF(AND( C62="Buy", ISBLANK(T62), B62&lt;&gt;"DIV", NOW()-A62 &lt; 365), (1-Index!$F$2*2)*((J62*D62)-(E62*D62)), "")</f>
        <v/>
      </c>
      <c r="O62" s="52" t="str">
        <f t="shared" si="11"/>
        <v/>
      </c>
      <c r="P62" s="52" t="str">
        <f t="shared" si="12"/>
        <v/>
      </c>
      <c r="Q62" s="52">
        <f t="shared" si="13"/>
        <v>7891.9</v>
      </c>
      <c r="R62" s="52">
        <f t="shared" si="14"/>
        <v>12347.3</v>
      </c>
      <c r="S62" s="52">
        <f t="shared" si="15"/>
        <v>20</v>
      </c>
      <c r="T62" s="51"/>
      <c r="U62" s="51"/>
      <c r="V62" s="54"/>
      <c r="W62" s="51"/>
      <c r="X62" s="51"/>
      <c r="Y62" s="55" t="str">
        <f t="shared" si="16"/>
        <v/>
      </c>
      <c r="Z62" s="63" t="s">
        <v>44</v>
      </c>
    </row>
    <row r="63">
      <c r="A63" s="64">
        <v>44827.0</v>
      </c>
      <c r="B63" s="65" t="s">
        <v>39</v>
      </c>
      <c r="C63" s="65" t="s">
        <v>40</v>
      </c>
      <c r="D63" s="66">
        <v>12.0</v>
      </c>
      <c r="E63" s="67">
        <v>224.58</v>
      </c>
      <c r="F63" s="50">
        <v>2694.95</v>
      </c>
      <c r="G63" s="68" t="s">
        <v>41</v>
      </c>
      <c r="H63" s="66">
        <v>2.61</v>
      </c>
      <c r="I63" s="66">
        <v>16.34</v>
      </c>
      <c r="J63" s="50">
        <f>Index!$C$2</f>
        <v>620.5</v>
      </c>
      <c r="K63" s="51">
        <f>IF(AND( C63="Buy", ISBLANK(T63), B63&lt;&gt;"DIV"), (1-Index!$F$2*2)*((J63*D63)-(E63*D63)), "")</f>
        <v>4684.52544</v>
      </c>
      <c r="L63" s="52">
        <f t="shared" si="9"/>
        <v>7379.48544</v>
      </c>
      <c r="M63" s="53">
        <f t="shared" si="10"/>
        <v>12</v>
      </c>
      <c r="N63" s="51" t="str">
        <f>IF(AND( C63="Buy", ISBLANK(T63), B63&lt;&gt;"DIV", NOW()-A63 &lt; 365), (1-Index!$F$2*2)*((J63*D63)-(E63*D63)), "")</f>
        <v/>
      </c>
      <c r="O63" s="52" t="str">
        <f t="shared" si="11"/>
        <v/>
      </c>
      <c r="P63" s="52" t="str">
        <f t="shared" si="12"/>
        <v/>
      </c>
      <c r="Q63" s="52">
        <f t="shared" si="13"/>
        <v>4713.14</v>
      </c>
      <c r="R63" s="52">
        <f t="shared" si="14"/>
        <v>7408.1</v>
      </c>
      <c r="S63" s="52">
        <f t="shared" si="15"/>
        <v>12</v>
      </c>
      <c r="T63" s="51"/>
      <c r="U63" s="51"/>
      <c r="V63" s="54"/>
      <c r="W63" s="51"/>
      <c r="X63" s="51"/>
      <c r="Y63" s="55" t="str">
        <f t="shared" si="16"/>
        <v/>
      </c>
      <c r="Z63" s="63" t="s">
        <v>44</v>
      </c>
    </row>
    <row r="64">
      <c r="A64" s="64">
        <v>44827.0</v>
      </c>
      <c r="B64" s="65" t="s">
        <v>39</v>
      </c>
      <c r="C64" s="65" t="s">
        <v>40</v>
      </c>
      <c r="D64" s="66">
        <v>3.0</v>
      </c>
      <c r="E64" s="67">
        <v>224.73</v>
      </c>
      <c r="F64" s="69">
        <v>674.18625</v>
      </c>
      <c r="G64" s="68" t="s">
        <v>41</v>
      </c>
      <c r="H64" s="66">
        <v>0.6525</v>
      </c>
      <c r="I64" s="66">
        <v>4.08375</v>
      </c>
      <c r="J64" s="50">
        <f>Index!$C$2</f>
        <v>620.5</v>
      </c>
      <c r="K64" s="51">
        <f>IF(AND( C64="Buy", ISBLANK(T64), B64&lt;&gt;"DIV"), (1-Index!$F$2*2)*((J64*D64)-(E64*D64)), "")</f>
        <v>1170.68766</v>
      </c>
      <c r="L64" s="52">
        <f t="shared" si="9"/>
        <v>1844.87766</v>
      </c>
      <c r="M64" s="53">
        <f t="shared" si="10"/>
        <v>3</v>
      </c>
      <c r="N64" s="51" t="str">
        <f>IF(AND( C64="Buy", ISBLANK(T64), B64&lt;&gt;"DIV", NOW()-A64 &lt; 365), (1-Index!$F$2*2)*((J64*D64)-(E64*D64)), "")</f>
        <v/>
      </c>
      <c r="O64" s="52" t="str">
        <f t="shared" si="11"/>
        <v/>
      </c>
      <c r="P64" s="52" t="str">
        <f t="shared" si="12"/>
        <v/>
      </c>
      <c r="Q64" s="52">
        <f t="shared" si="13"/>
        <v>1177.8375</v>
      </c>
      <c r="R64" s="52">
        <f t="shared" si="14"/>
        <v>1852.0275</v>
      </c>
      <c r="S64" s="52">
        <f t="shared" si="15"/>
        <v>3</v>
      </c>
      <c r="T64" s="51"/>
      <c r="U64" s="51"/>
      <c r="V64" s="54"/>
      <c r="W64" s="51"/>
      <c r="X64" s="51"/>
      <c r="Y64" s="55" t="str">
        <f t="shared" si="16"/>
        <v/>
      </c>
      <c r="Z64" s="63" t="s">
        <v>44</v>
      </c>
    </row>
    <row r="65">
      <c r="A65" s="64">
        <v>44827.0</v>
      </c>
      <c r="B65" s="65" t="s">
        <v>39</v>
      </c>
      <c r="C65" s="65" t="s">
        <v>40</v>
      </c>
      <c r="D65" s="66">
        <v>5.0</v>
      </c>
      <c r="E65" s="67">
        <v>224.73</v>
      </c>
      <c r="F65" s="69">
        <v>1123.64</v>
      </c>
      <c r="G65" s="68" t="s">
        <v>41</v>
      </c>
      <c r="H65" s="66">
        <v>1.0875</v>
      </c>
      <c r="I65" s="66">
        <v>6.80625</v>
      </c>
      <c r="J65" s="50">
        <f>Index!$C$2</f>
        <v>620.5</v>
      </c>
      <c r="K65" s="51" t="str">
        <f>IF(AND( C65="Buy", ISBLANK(T65), B65&lt;&gt;"DIV"), (1-Index!$F$2*2)*((J65*D65)-(E65*D65)), "")</f>
        <v/>
      </c>
      <c r="L65" s="52" t="str">
        <f t="shared" si="9"/>
        <v/>
      </c>
      <c r="M65" s="53" t="str">
        <f t="shared" si="10"/>
        <v/>
      </c>
      <c r="N65" s="51" t="str">
        <f>IF(AND( C65="Buy", ISBLANK(T65), B65&lt;&gt;"DIV", NOW()-A65 &lt; 365), (1-Index!$F$2*2)*((J65*D65)-(E65*D65)), "")</f>
        <v/>
      </c>
      <c r="O65" s="52" t="str">
        <f t="shared" si="11"/>
        <v/>
      </c>
      <c r="P65" s="52" t="str">
        <f t="shared" si="12"/>
        <v/>
      </c>
      <c r="Q65" s="52" t="str">
        <f t="shared" si="13"/>
        <v/>
      </c>
      <c r="R65" s="52" t="str">
        <f t="shared" si="14"/>
        <v/>
      </c>
      <c r="S65" s="52" t="str">
        <f t="shared" si="15"/>
        <v/>
      </c>
      <c r="T65" s="49">
        <v>346.92</v>
      </c>
      <c r="U65" s="46">
        <v>45583.0</v>
      </c>
      <c r="V65" s="70">
        <f>D65</f>
        <v>5</v>
      </c>
      <c r="W65" s="71">
        <f>(1-Index!$F$2*2)*((T65*D65)-(E65*D65))</f>
        <v>602.3967</v>
      </c>
      <c r="X65" s="71">
        <f>((E65*D65)+W65)</f>
        <v>1726.0467</v>
      </c>
      <c r="Y65" s="55" t="str">
        <f t="shared" si="16"/>
        <v/>
      </c>
      <c r="Z65" s="63" t="s">
        <v>44</v>
      </c>
    </row>
    <row r="66">
      <c r="A66" s="64">
        <v>44718.0</v>
      </c>
      <c r="B66" s="65" t="s">
        <v>37</v>
      </c>
      <c r="C66" s="65" t="s">
        <v>40</v>
      </c>
      <c r="D66" s="66">
        <v>345.0</v>
      </c>
      <c r="E66" s="67">
        <v>3.0</v>
      </c>
      <c r="F66" s="50">
        <v>1035.0</v>
      </c>
      <c r="G66" s="68" t="s">
        <v>47</v>
      </c>
      <c r="H66" s="66">
        <v>0.0</v>
      </c>
      <c r="I66" s="66">
        <v>0.0</v>
      </c>
      <c r="J66" s="50">
        <f>Index!$C$2</f>
        <v>620.5</v>
      </c>
      <c r="K66" s="51" t="str">
        <f>IF(AND( C66="Buy", ISBLANK(T66), B66&lt;&gt;"DIV"), (1-Index!$F$2*2)*((J66*D66)-(E66*D66)), "")</f>
        <v/>
      </c>
      <c r="L66" s="52" t="str">
        <f t="shared" si="9"/>
        <v/>
      </c>
      <c r="M66" s="53" t="str">
        <f t="shared" si="10"/>
        <v/>
      </c>
      <c r="N66" s="51" t="str">
        <f>IF(AND( C66="Buy", ISBLANK(T66), B66&lt;&gt;"DIV", NOW()-A66 &lt; 365), (1-Index!$F$2*2)*((J66*D66)-(E66*D66)), "")</f>
        <v/>
      </c>
      <c r="O66" s="52" t="str">
        <f t="shared" si="11"/>
        <v/>
      </c>
      <c r="P66" s="52" t="str">
        <f t="shared" si="12"/>
        <v/>
      </c>
      <c r="Q66" s="52" t="str">
        <f t="shared" si="13"/>
        <v/>
      </c>
      <c r="R66" s="52" t="str">
        <f t="shared" si="14"/>
        <v/>
      </c>
      <c r="S66" s="52" t="str">
        <f t="shared" si="15"/>
        <v/>
      </c>
      <c r="T66" s="51"/>
      <c r="U66" s="51"/>
      <c r="V66" s="54"/>
      <c r="W66" s="51"/>
      <c r="X66" s="51"/>
      <c r="Y66" s="55">
        <f t="shared" si="16"/>
        <v>1035</v>
      </c>
      <c r="Z66" s="63" t="s">
        <v>44</v>
      </c>
    </row>
    <row r="67">
      <c r="A67" s="64">
        <v>44692.0</v>
      </c>
      <c r="B67" s="65" t="s">
        <v>39</v>
      </c>
      <c r="C67" s="65" t="s">
        <v>40</v>
      </c>
      <c r="D67" s="66">
        <v>6.0</v>
      </c>
      <c r="E67" s="67">
        <v>204.89</v>
      </c>
      <c r="F67" s="50">
        <v>1229.35</v>
      </c>
      <c r="G67" s="68" t="s">
        <v>41</v>
      </c>
      <c r="H67" s="66">
        <v>1.23</v>
      </c>
      <c r="I67" s="66">
        <v>7.42</v>
      </c>
      <c r="J67" s="50">
        <f>Index!$C$2</f>
        <v>620.5</v>
      </c>
      <c r="K67" s="51" t="str">
        <f>IF(AND( C67="Buy", ISBLANK(T67), B67&lt;&gt;"DIV"), (1-Index!$F$2*2)*((J67*D67)-(E67*D67)), "")</f>
        <v/>
      </c>
      <c r="L67" s="52" t="str">
        <f t="shared" si="9"/>
        <v/>
      </c>
      <c r="M67" s="53" t="str">
        <f t="shared" si="10"/>
        <v/>
      </c>
      <c r="N67" s="51" t="str">
        <f>IF(AND( C67="Buy", ISBLANK(T67), B67&lt;&gt;"DIV", NOW()-A67 &lt; 365), (1-Index!$F$2*2)*((J67*D67)-(E67*D67)), "")</f>
        <v/>
      </c>
      <c r="O67" s="52" t="str">
        <f t="shared" si="11"/>
        <v/>
      </c>
      <c r="P67" s="52" t="str">
        <f t="shared" si="12"/>
        <v/>
      </c>
      <c r="Q67" s="52" t="str">
        <f t="shared" si="13"/>
        <v/>
      </c>
      <c r="R67" s="52" t="str">
        <f t="shared" si="14"/>
        <v/>
      </c>
      <c r="S67" s="52" t="str">
        <f t="shared" si="15"/>
        <v/>
      </c>
      <c r="T67" s="49">
        <v>346.92</v>
      </c>
      <c r="U67" s="46">
        <v>45583.0</v>
      </c>
      <c r="V67" s="70">
        <f t="shared" ref="V67:V79" si="17">D67</f>
        <v>6</v>
      </c>
      <c r="W67" s="71">
        <f>(1-Index!$F$2*2)*((T67*D67)-(E67*D67))</f>
        <v>840.24948</v>
      </c>
      <c r="X67" s="71">
        <f t="shared" ref="X67:X79" si="18">((E67*D67)+W67)</f>
        <v>2069.58948</v>
      </c>
      <c r="Y67" s="55" t="str">
        <f t="shared" si="16"/>
        <v/>
      </c>
      <c r="Z67" s="63" t="s">
        <v>44</v>
      </c>
    </row>
    <row r="68">
      <c r="A68" s="64">
        <v>44692.0</v>
      </c>
      <c r="B68" s="65" t="s">
        <v>39</v>
      </c>
      <c r="C68" s="65" t="s">
        <v>40</v>
      </c>
      <c r="D68" s="66">
        <v>4.0</v>
      </c>
      <c r="E68" s="67">
        <v>204.84</v>
      </c>
      <c r="F68" s="50">
        <v>819.37</v>
      </c>
      <c r="G68" s="68" t="s">
        <v>41</v>
      </c>
      <c r="H68" s="66">
        <v>0.82</v>
      </c>
      <c r="I68" s="66">
        <v>4.95</v>
      </c>
      <c r="J68" s="50">
        <f>Index!$C$2</f>
        <v>620.5</v>
      </c>
      <c r="K68" s="51" t="str">
        <f>IF(AND( C68="Buy", ISBLANK(T68), B68&lt;&gt;"DIV"), (1-Index!$F$2*2)*((J68*D68)-(E68*D68)), "")</f>
        <v/>
      </c>
      <c r="L68" s="52" t="str">
        <f t="shared" si="9"/>
        <v/>
      </c>
      <c r="M68" s="53" t="str">
        <f t="shared" si="10"/>
        <v/>
      </c>
      <c r="N68" s="51" t="str">
        <f>IF(AND( C68="Buy", ISBLANK(T68), B68&lt;&gt;"DIV", NOW()-A68 &lt; 365), (1-Index!$F$2*2)*((J68*D68)-(E68*D68)), "")</f>
        <v/>
      </c>
      <c r="O68" s="52" t="str">
        <f t="shared" si="11"/>
        <v/>
      </c>
      <c r="P68" s="52" t="str">
        <f t="shared" si="12"/>
        <v/>
      </c>
      <c r="Q68" s="52" t="str">
        <f t="shared" si="13"/>
        <v/>
      </c>
      <c r="R68" s="52" t="str">
        <f t="shared" si="14"/>
        <v/>
      </c>
      <c r="S68" s="52" t="str">
        <f t="shared" si="15"/>
        <v/>
      </c>
      <c r="T68" s="49">
        <v>346.92</v>
      </c>
      <c r="U68" s="46">
        <v>45583.0</v>
      </c>
      <c r="V68" s="70">
        <f t="shared" si="17"/>
        <v>4</v>
      </c>
      <c r="W68" s="71">
        <f>(1-Index!$F$2*2)*((T68*D68)-(E68*D68))</f>
        <v>560.36352</v>
      </c>
      <c r="X68" s="71">
        <f t="shared" si="18"/>
        <v>1379.72352</v>
      </c>
      <c r="Y68" s="55" t="str">
        <f t="shared" si="16"/>
        <v/>
      </c>
      <c r="Z68" s="63" t="s">
        <v>44</v>
      </c>
    </row>
    <row r="69">
      <c r="A69" s="64">
        <v>44692.0</v>
      </c>
      <c r="B69" s="65" t="s">
        <v>39</v>
      </c>
      <c r="C69" s="65" t="s">
        <v>40</v>
      </c>
      <c r="D69" s="72">
        <v>6.0</v>
      </c>
      <c r="E69" s="67">
        <v>204.84</v>
      </c>
      <c r="F69" s="50">
        <v>1229.05</v>
      </c>
      <c r="G69" s="68" t="s">
        <v>41</v>
      </c>
      <c r="H69" s="66">
        <v>1.23</v>
      </c>
      <c r="I69" s="66">
        <v>7.42</v>
      </c>
      <c r="J69" s="50">
        <f>Index!$C$2</f>
        <v>620.5</v>
      </c>
      <c r="K69" s="51" t="str">
        <f>IF(AND( C69="Buy", ISBLANK(T69), B69&lt;&gt;"DIV"), (1-Index!$F$2*2)*((J69*D69)-(E69*D69)), "")</f>
        <v/>
      </c>
      <c r="L69" s="52" t="str">
        <f t="shared" si="9"/>
        <v/>
      </c>
      <c r="M69" s="53" t="str">
        <f t="shared" si="10"/>
        <v/>
      </c>
      <c r="N69" s="51" t="str">
        <f>IF(AND( C69="Buy", ISBLANK(T69), B69&lt;&gt;"DIV", NOW()-A69 &lt; 365), (1-Index!$F$2*2)*((J69*D69)-(E69*D69)), "")</f>
        <v/>
      </c>
      <c r="O69" s="52" t="str">
        <f t="shared" si="11"/>
        <v/>
      </c>
      <c r="P69" s="52" t="str">
        <f t="shared" si="12"/>
        <v/>
      </c>
      <c r="Q69" s="52" t="str">
        <f t="shared" si="13"/>
        <v/>
      </c>
      <c r="R69" s="52" t="str">
        <f t="shared" si="14"/>
        <v/>
      </c>
      <c r="S69" s="52" t="str">
        <f t="shared" si="15"/>
        <v/>
      </c>
      <c r="T69" s="49">
        <v>326.02</v>
      </c>
      <c r="U69" s="46">
        <v>45565.0</v>
      </c>
      <c r="V69" s="70">
        <f t="shared" si="17"/>
        <v>6</v>
      </c>
      <c r="W69" s="71">
        <f>(1-Index!$F$2*2)*((T69*D69)-(E69*D69))</f>
        <v>716.90088</v>
      </c>
      <c r="X69" s="71">
        <f t="shared" si="18"/>
        <v>1945.94088</v>
      </c>
      <c r="Y69" s="55" t="str">
        <f t="shared" si="16"/>
        <v/>
      </c>
      <c r="Z69" s="63" t="s">
        <v>44</v>
      </c>
    </row>
    <row r="70">
      <c r="A70" s="64">
        <v>44692.0</v>
      </c>
      <c r="B70" s="65" t="s">
        <v>39</v>
      </c>
      <c r="C70" s="65" t="s">
        <v>40</v>
      </c>
      <c r="D70" s="66">
        <v>24.0</v>
      </c>
      <c r="E70" s="67">
        <v>204.89</v>
      </c>
      <c r="F70" s="50">
        <v>4917.43</v>
      </c>
      <c r="G70" s="68" t="s">
        <v>41</v>
      </c>
      <c r="H70" s="66">
        <v>4.92</v>
      </c>
      <c r="I70" s="66">
        <v>29.71</v>
      </c>
      <c r="J70" s="50">
        <f>Index!$C$2</f>
        <v>620.5</v>
      </c>
      <c r="K70" s="51" t="str">
        <f>IF(AND( C70="Buy", ISBLANK(T70), B70&lt;&gt;"DIV"), (1-Index!$F$2*2)*((J70*D70)-(E70*D70)), "")</f>
        <v/>
      </c>
      <c r="L70" s="52" t="str">
        <f t="shared" si="9"/>
        <v/>
      </c>
      <c r="M70" s="53" t="str">
        <f t="shared" si="10"/>
        <v/>
      </c>
      <c r="N70" s="51" t="str">
        <f>IF(AND( C70="Buy", ISBLANK(T70), B70&lt;&gt;"DIV", NOW()-A70 &lt; 365), (1-Index!$F$2*2)*((J70*D70)-(E70*D70)), "")</f>
        <v/>
      </c>
      <c r="O70" s="52" t="str">
        <f t="shared" si="11"/>
        <v/>
      </c>
      <c r="P70" s="52" t="str">
        <f t="shared" si="12"/>
        <v/>
      </c>
      <c r="Q70" s="52" t="str">
        <f t="shared" si="13"/>
        <v/>
      </c>
      <c r="R70" s="52" t="str">
        <f t="shared" si="14"/>
        <v/>
      </c>
      <c r="S70" s="52" t="str">
        <f t="shared" si="15"/>
        <v/>
      </c>
      <c r="T70" s="49">
        <v>346.92</v>
      </c>
      <c r="U70" s="46">
        <v>45583.0</v>
      </c>
      <c r="V70" s="70">
        <f t="shared" si="17"/>
        <v>24</v>
      </c>
      <c r="W70" s="71">
        <f>(1-Index!$F$2*2)*((T70*D70)-(E70*D70))</f>
        <v>3360.99792</v>
      </c>
      <c r="X70" s="71">
        <f t="shared" si="18"/>
        <v>8278.35792</v>
      </c>
      <c r="Y70" s="55" t="str">
        <f t="shared" si="16"/>
        <v/>
      </c>
      <c r="Z70" s="63" t="s">
        <v>44</v>
      </c>
    </row>
    <row r="71">
      <c r="A71" s="64">
        <v>44692.0</v>
      </c>
      <c r="B71" s="65" t="s">
        <v>39</v>
      </c>
      <c r="C71" s="65" t="s">
        <v>40</v>
      </c>
      <c r="D71" s="66">
        <v>7.0</v>
      </c>
      <c r="E71" s="67">
        <v>204.89</v>
      </c>
      <c r="F71" s="50">
        <v>1434.24</v>
      </c>
      <c r="G71" s="68" t="s">
        <v>41</v>
      </c>
      <c r="H71" s="66">
        <v>1.43</v>
      </c>
      <c r="I71" s="66">
        <v>8.66</v>
      </c>
      <c r="J71" s="50">
        <f>Index!$C$2</f>
        <v>620.5</v>
      </c>
      <c r="K71" s="51" t="str">
        <f>IF(AND( C71="Buy", ISBLANK(T71), B71&lt;&gt;"DIV"), (1-Index!$F$2*2)*((J71*D71)-(E71*D71)), "")</f>
        <v/>
      </c>
      <c r="L71" s="52" t="str">
        <f t="shared" si="9"/>
        <v/>
      </c>
      <c r="M71" s="53" t="str">
        <f t="shared" si="10"/>
        <v/>
      </c>
      <c r="N71" s="51" t="str">
        <f>IF(AND( C71="Buy", ISBLANK(T71), B71&lt;&gt;"DIV", NOW()-A71 &lt; 365), (1-Index!$F$2*2)*((J71*D71)-(E71*D71)), "")</f>
        <v/>
      </c>
      <c r="O71" s="52" t="str">
        <f t="shared" si="11"/>
        <v/>
      </c>
      <c r="P71" s="52" t="str">
        <f t="shared" si="12"/>
        <v/>
      </c>
      <c r="Q71" s="52" t="str">
        <f t="shared" si="13"/>
        <v/>
      </c>
      <c r="R71" s="52" t="str">
        <f t="shared" si="14"/>
        <v/>
      </c>
      <c r="S71" s="52" t="str">
        <f t="shared" si="15"/>
        <v/>
      </c>
      <c r="T71" s="49">
        <v>346.92</v>
      </c>
      <c r="U71" s="46">
        <v>45583.0</v>
      </c>
      <c r="V71" s="70">
        <f t="shared" si="17"/>
        <v>7</v>
      </c>
      <c r="W71" s="71">
        <f>(1-Index!$F$2*2)*((T71*D71)-(E71*D71))</f>
        <v>980.29106</v>
      </c>
      <c r="X71" s="71">
        <f t="shared" si="18"/>
        <v>2414.52106</v>
      </c>
      <c r="Y71" s="55" t="str">
        <f t="shared" si="16"/>
        <v/>
      </c>
      <c r="Z71" s="63" t="s">
        <v>44</v>
      </c>
    </row>
    <row r="72">
      <c r="A72" s="64">
        <v>44692.0</v>
      </c>
      <c r="B72" s="65" t="s">
        <v>39</v>
      </c>
      <c r="C72" s="65" t="s">
        <v>40</v>
      </c>
      <c r="D72" s="66">
        <v>11.0</v>
      </c>
      <c r="E72" s="67">
        <v>204.85</v>
      </c>
      <c r="F72" s="50">
        <v>2253.3</v>
      </c>
      <c r="G72" s="68" t="s">
        <v>41</v>
      </c>
      <c r="H72" s="66">
        <v>2.26</v>
      </c>
      <c r="I72" s="66">
        <v>13.64</v>
      </c>
      <c r="J72" s="50">
        <f>Index!$C$2</f>
        <v>620.5</v>
      </c>
      <c r="K72" s="51" t="str">
        <f>IF(AND( C72="Buy", ISBLANK(T72), B72&lt;&gt;"DIV"), (1-Index!$F$2*2)*((J72*D72)-(E72*D72)), "")</f>
        <v/>
      </c>
      <c r="L72" s="52" t="str">
        <f t="shared" si="9"/>
        <v/>
      </c>
      <c r="M72" s="53" t="str">
        <f t="shared" si="10"/>
        <v/>
      </c>
      <c r="N72" s="51" t="str">
        <f>IF(AND( C72="Buy", ISBLANK(T72), B72&lt;&gt;"DIV", NOW()-A72 &lt; 365), (1-Index!$F$2*2)*((J72*D72)-(E72*D72)), "")</f>
        <v/>
      </c>
      <c r="O72" s="52" t="str">
        <f t="shared" si="11"/>
        <v/>
      </c>
      <c r="P72" s="52" t="str">
        <f t="shared" si="12"/>
        <v/>
      </c>
      <c r="Q72" s="52" t="str">
        <f t="shared" si="13"/>
        <v/>
      </c>
      <c r="R72" s="52" t="str">
        <f t="shared" si="14"/>
        <v/>
      </c>
      <c r="S72" s="52" t="str">
        <f t="shared" si="15"/>
        <v/>
      </c>
      <c r="T72" s="49">
        <v>346.92</v>
      </c>
      <c r="U72" s="46">
        <v>45583.0</v>
      </c>
      <c r="V72" s="70">
        <f t="shared" si="17"/>
        <v>11</v>
      </c>
      <c r="W72" s="71">
        <f>(1-Index!$F$2*2)*((T72*D72)-(E72*D72))</f>
        <v>1540.89122</v>
      </c>
      <c r="X72" s="71">
        <f t="shared" si="18"/>
        <v>3794.24122</v>
      </c>
      <c r="Y72" s="55" t="str">
        <f t="shared" si="16"/>
        <v/>
      </c>
      <c r="Z72" s="63" t="s">
        <v>44</v>
      </c>
    </row>
    <row r="73">
      <c r="A73" s="64">
        <v>44692.0</v>
      </c>
      <c r="B73" s="65" t="s">
        <v>39</v>
      </c>
      <c r="C73" s="65" t="s">
        <v>40</v>
      </c>
      <c r="D73" s="66">
        <v>42.0</v>
      </c>
      <c r="E73" s="67">
        <v>204.84</v>
      </c>
      <c r="F73" s="50">
        <v>8603.46</v>
      </c>
      <c r="G73" s="68" t="s">
        <v>41</v>
      </c>
      <c r="H73" s="66">
        <v>8.61</v>
      </c>
      <c r="I73" s="66">
        <v>52.05</v>
      </c>
      <c r="J73" s="50">
        <f>Index!$C$2</f>
        <v>620.5</v>
      </c>
      <c r="K73" s="51" t="str">
        <f>IF(AND( C73="Buy", ISBLANK(T73), B73&lt;&gt;"DIV"), (1-Index!$F$2*2)*((J73*D73)-(E73*D73)), "")</f>
        <v/>
      </c>
      <c r="L73" s="52" t="str">
        <f t="shared" si="9"/>
        <v/>
      </c>
      <c r="M73" s="53" t="str">
        <f t="shared" si="10"/>
        <v/>
      </c>
      <c r="N73" s="51" t="str">
        <f>IF(AND( C73="Buy", ISBLANK(T73), B73&lt;&gt;"DIV", NOW()-A73 &lt; 365), (1-Index!$F$2*2)*((J73*D73)-(E73*D73)), "")</f>
        <v/>
      </c>
      <c r="O73" s="52" t="str">
        <f t="shared" si="11"/>
        <v/>
      </c>
      <c r="P73" s="52" t="str">
        <f t="shared" si="12"/>
        <v/>
      </c>
      <c r="Q73" s="52" t="str">
        <f t="shared" si="13"/>
        <v/>
      </c>
      <c r="R73" s="52" t="str">
        <f t="shared" si="14"/>
        <v/>
      </c>
      <c r="S73" s="52" t="str">
        <f t="shared" si="15"/>
        <v/>
      </c>
      <c r="T73" s="49">
        <v>346.92</v>
      </c>
      <c r="U73" s="46">
        <v>45583.0</v>
      </c>
      <c r="V73" s="70">
        <f t="shared" si="17"/>
        <v>42</v>
      </c>
      <c r="W73" s="71">
        <f>(1-Index!$F$2*2)*((T73*D73)-(E73*D73))</f>
        <v>5883.81696</v>
      </c>
      <c r="X73" s="71">
        <f t="shared" si="18"/>
        <v>14487.09696</v>
      </c>
      <c r="Y73" s="55" t="str">
        <f t="shared" si="16"/>
        <v/>
      </c>
      <c r="Z73" s="63" t="s">
        <v>44</v>
      </c>
    </row>
    <row r="74">
      <c r="A74" s="64">
        <v>44629.0</v>
      </c>
      <c r="B74" s="65" t="s">
        <v>39</v>
      </c>
      <c r="C74" s="65" t="s">
        <v>40</v>
      </c>
      <c r="D74" s="66">
        <v>1.0</v>
      </c>
      <c r="E74" s="67">
        <v>251.75</v>
      </c>
      <c r="F74" s="50">
        <v>253.56</v>
      </c>
      <c r="G74" s="68" t="s">
        <v>41</v>
      </c>
      <c r="H74" s="66">
        <v>0.27</v>
      </c>
      <c r="I74" s="66">
        <v>1.54</v>
      </c>
      <c r="J74" s="50">
        <f>Index!$C$2</f>
        <v>620.5</v>
      </c>
      <c r="K74" s="51" t="str">
        <f>IF(AND( C74="Buy", ISBLANK(T74), B74&lt;&gt;"DIV"), (1-Index!$F$2*2)*((J74*D74)-(E74*D74)), "")</f>
        <v/>
      </c>
      <c r="L74" s="52" t="str">
        <f t="shared" si="9"/>
        <v/>
      </c>
      <c r="M74" s="53" t="str">
        <f t="shared" si="10"/>
        <v/>
      </c>
      <c r="N74" s="51" t="str">
        <f>IF(AND( C74="Buy", ISBLANK(T74), B74&lt;&gt;"DIV", NOW()-A74 &lt; 365), (1-Index!$F$2*2)*((J74*D74)-(E74*D74)), "")</f>
        <v/>
      </c>
      <c r="O74" s="52" t="str">
        <f t="shared" si="11"/>
        <v/>
      </c>
      <c r="P74" s="52" t="str">
        <f t="shared" si="12"/>
        <v/>
      </c>
      <c r="Q74" s="52" t="str">
        <f t="shared" si="13"/>
        <v/>
      </c>
      <c r="R74" s="52" t="str">
        <f t="shared" si="14"/>
        <v/>
      </c>
      <c r="S74" s="52" t="str">
        <f t="shared" si="15"/>
        <v/>
      </c>
      <c r="T74" s="49">
        <v>346.92</v>
      </c>
      <c r="U74" s="46">
        <v>45583.0</v>
      </c>
      <c r="V74" s="70">
        <f t="shared" si="17"/>
        <v>1</v>
      </c>
      <c r="W74" s="71">
        <f>(1-Index!$F$2*2)*((T74*D74)-(E74*D74))</f>
        <v>93.83762</v>
      </c>
      <c r="X74" s="71">
        <f t="shared" si="18"/>
        <v>345.58762</v>
      </c>
      <c r="Y74" s="55" t="str">
        <f t="shared" si="16"/>
        <v/>
      </c>
      <c r="Z74" s="63" t="s">
        <v>44</v>
      </c>
    </row>
    <row r="75">
      <c r="A75" s="64">
        <v>44629.0</v>
      </c>
      <c r="B75" s="65" t="s">
        <v>39</v>
      </c>
      <c r="C75" s="65" t="s">
        <v>40</v>
      </c>
      <c r="D75" s="72">
        <v>9.0</v>
      </c>
      <c r="E75" s="67">
        <v>251.554444</v>
      </c>
      <c r="F75" s="50">
        <v>2280.2</v>
      </c>
      <c r="G75" s="68" t="s">
        <v>41</v>
      </c>
      <c r="H75" s="66">
        <v>2.43</v>
      </c>
      <c r="I75" s="66">
        <v>13.82</v>
      </c>
      <c r="J75" s="50">
        <f>Index!$C$2</f>
        <v>620.5</v>
      </c>
      <c r="K75" s="51" t="str">
        <f>IF(AND( C75="Buy", ISBLANK(T75), B75&lt;&gt;"DIV"), (1-Index!$F$2*2)*((J75*D75)-(E75*D75)), "")</f>
        <v/>
      </c>
      <c r="L75" s="52" t="str">
        <f t="shared" si="9"/>
        <v/>
      </c>
      <c r="M75" s="53" t="str">
        <f t="shared" si="10"/>
        <v/>
      </c>
      <c r="N75" s="51" t="str">
        <f>IF(AND( C75="Buy", ISBLANK(T75), B75&lt;&gt;"DIV", NOW()-A75 &lt; 365), (1-Index!$F$2*2)*((J75*D75)-(E75*D75)), "")</f>
        <v/>
      </c>
      <c r="O75" s="52" t="str">
        <f t="shared" si="11"/>
        <v/>
      </c>
      <c r="P75" s="52" t="str">
        <f t="shared" si="12"/>
        <v/>
      </c>
      <c r="Q75" s="52" t="str">
        <f t="shared" si="13"/>
        <v/>
      </c>
      <c r="R75" s="52" t="str">
        <f t="shared" si="14"/>
        <v/>
      </c>
      <c r="S75" s="52" t="str">
        <f t="shared" si="15"/>
        <v/>
      </c>
      <c r="T75" s="49">
        <v>326.02</v>
      </c>
      <c r="U75" s="46">
        <v>45565.0</v>
      </c>
      <c r="V75" s="70">
        <f t="shared" si="17"/>
        <v>9</v>
      </c>
      <c r="W75" s="71">
        <f>(1-Index!$F$2*2)*((T75*D75)-(E75*D75))</f>
        <v>660.8073439</v>
      </c>
      <c r="X75" s="71">
        <f t="shared" si="18"/>
        <v>2924.79734</v>
      </c>
      <c r="Y75" s="55" t="str">
        <f t="shared" si="16"/>
        <v/>
      </c>
      <c r="Z75" s="63" t="s">
        <v>44</v>
      </c>
    </row>
    <row r="76">
      <c r="A76" s="64">
        <v>44473.0</v>
      </c>
      <c r="B76" s="65" t="s">
        <v>39</v>
      </c>
      <c r="C76" s="65" t="s">
        <v>40</v>
      </c>
      <c r="D76" s="72">
        <v>1.0</v>
      </c>
      <c r="E76" s="67">
        <v>284.15</v>
      </c>
      <c r="F76" s="50">
        <v>286.17</v>
      </c>
      <c r="G76" s="68" t="s">
        <v>41</v>
      </c>
      <c r="H76" s="66">
        <v>0.28</v>
      </c>
      <c r="I76" s="66">
        <v>1.74</v>
      </c>
      <c r="J76" s="50">
        <f>Index!$C$2</f>
        <v>620.5</v>
      </c>
      <c r="K76" s="51" t="str">
        <f>IF(AND( C76="Buy", ISBLANK(T76), B76&lt;&gt;"DIV"), (1-Index!$F$2*2)*((J76*D76)-(E76*D76)), "")</f>
        <v/>
      </c>
      <c r="L76" s="52" t="str">
        <f t="shared" si="9"/>
        <v/>
      </c>
      <c r="M76" s="53" t="str">
        <f t="shared" si="10"/>
        <v/>
      </c>
      <c r="N76" s="51" t="str">
        <f>IF(AND( C76="Buy", ISBLANK(T76), B76&lt;&gt;"DIV", NOW()-A76 &lt; 365), (1-Index!$F$2*2)*((J76*D76)-(E76*D76)), "")</f>
        <v/>
      </c>
      <c r="O76" s="52" t="str">
        <f t="shared" si="11"/>
        <v/>
      </c>
      <c r="P76" s="52" t="str">
        <f t="shared" si="12"/>
        <v/>
      </c>
      <c r="Q76" s="52" t="str">
        <f t="shared" si="13"/>
        <v/>
      </c>
      <c r="R76" s="52" t="str">
        <f t="shared" si="14"/>
        <v/>
      </c>
      <c r="S76" s="52" t="str">
        <f t="shared" si="15"/>
        <v/>
      </c>
      <c r="T76" s="49">
        <v>326.02</v>
      </c>
      <c r="U76" s="46">
        <v>45565.0</v>
      </c>
      <c r="V76" s="70">
        <f t="shared" si="17"/>
        <v>1</v>
      </c>
      <c r="W76" s="71">
        <f>(1-Index!$F$2*2)*((T76*D76)-(E76*D76))</f>
        <v>41.28382</v>
      </c>
      <c r="X76" s="71">
        <f t="shared" si="18"/>
        <v>325.43382</v>
      </c>
      <c r="Y76" s="55" t="str">
        <f t="shared" si="16"/>
        <v/>
      </c>
      <c r="Z76" s="63" t="s">
        <v>44</v>
      </c>
    </row>
    <row r="77">
      <c r="A77" s="64">
        <v>44473.0</v>
      </c>
      <c r="B77" s="65" t="s">
        <v>39</v>
      </c>
      <c r="C77" s="65" t="s">
        <v>40</v>
      </c>
      <c r="D77" s="72">
        <v>6.0</v>
      </c>
      <c r="E77" s="67">
        <v>284.148333</v>
      </c>
      <c r="F77" s="50">
        <v>1717.03</v>
      </c>
      <c r="G77" s="68" t="s">
        <v>41</v>
      </c>
      <c r="H77" s="66">
        <v>1.71</v>
      </c>
      <c r="I77" s="66">
        <v>10.42</v>
      </c>
      <c r="J77" s="50">
        <f>Index!$C$2</f>
        <v>620.5</v>
      </c>
      <c r="K77" s="51" t="str">
        <f>IF(AND( C77="Buy", ISBLANK(T77), B77&lt;&gt;"DIV"), (1-Index!$F$2*2)*((J77*D77)-(E77*D77)), "")</f>
        <v/>
      </c>
      <c r="L77" s="52" t="str">
        <f t="shared" si="9"/>
        <v/>
      </c>
      <c r="M77" s="53" t="str">
        <f t="shared" si="10"/>
        <v/>
      </c>
      <c r="N77" s="51" t="str">
        <f>IF(AND( C77="Buy", ISBLANK(T77), B77&lt;&gt;"DIV", NOW()-A77 &lt; 365), (1-Index!$F$2*2)*((J77*D77)-(E77*D77)), "")</f>
        <v/>
      </c>
      <c r="O77" s="52" t="str">
        <f t="shared" si="11"/>
        <v/>
      </c>
      <c r="P77" s="52" t="str">
        <f t="shared" si="12"/>
        <v/>
      </c>
      <c r="Q77" s="52" t="str">
        <f t="shared" si="13"/>
        <v/>
      </c>
      <c r="R77" s="52" t="str">
        <f t="shared" si="14"/>
        <v/>
      </c>
      <c r="S77" s="52" t="str">
        <f t="shared" si="15"/>
        <v/>
      </c>
      <c r="T77" s="49">
        <v>326.02</v>
      </c>
      <c r="U77" s="46">
        <v>45565.0</v>
      </c>
      <c r="V77" s="70">
        <f t="shared" si="17"/>
        <v>6</v>
      </c>
      <c r="W77" s="71">
        <f>(1-Index!$F$2*2)*((T77*D77)-(E77*D77))</f>
        <v>247.712782</v>
      </c>
      <c r="X77" s="71">
        <f t="shared" si="18"/>
        <v>1952.60278</v>
      </c>
      <c r="Y77" s="55" t="str">
        <f t="shared" si="16"/>
        <v/>
      </c>
      <c r="Z77" s="63" t="s">
        <v>44</v>
      </c>
    </row>
    <row r="78">
      <c r="A78" s="64">
        <v>44473.0</v>
      </c>
      <c r="B78" s="65" t="s">
        <v>39</v>
      </c>
      <c r="C78" s="65" t="s">
        <v>40</v>
      </c>
      <c r="D78" s="72">
        <v>16.0</v>
      </c>
      <c r="E78" s="67">
        <v>284.15125</v>
      </c>
      <c r="F78" s="50">
        <v>4578.7</v>
      </c>
      <c r="G78" s="68" t="s">
        <v>41</v>
      </c>
      <c r="H78" s="66">
        <v>4.56</v>
      </c>
      <c r="I78" s="66">
        <v>27.74</v>
      </c>
      <c r="J78" s="50">
        <f>Index!$C$2</f>
        <v>620.5</v>
      </c>
      <c r="K78" s="51" t="str">
        <f>IF(AND( C78="Buy", ISBLANK(T78), B78&lt;&gt;"DIV"), (1-Index!$F$2*2)*((J78*D78)-(E78*D78)), "")</f>
        <v/>
      </c>
      <c r="L78" s="52" t="str">
        <f t="shared" si="9"/>
        <v/>
      </c>
      <c r="M78" s="53" t="str">
        <f t="shared" si="10"/>
        <v/>
      </c>
      <c r="N78" s="51" t="str">
        <f>IF(AND( C78="Buy", ISBLANK(T78), B78&lt;&gt;"DIV", NOW()-A78 &lt; 365), (1-Index!$F$2*2)*((J78*D78)-(E78*D78)), "")</f>
        <v/>
      </c>
      <c r="O78" s="52" t="str">
        <f t="shared" si="11"/>
        <v/>
      </c>
      <c r="P78" s="52" t="str">
        <f t="shared" si="12"/>
        <v/>
      </c>
      <c r="Q78" s="52" t="str">
        <f t="shared" si="13"/>
        <v/>
      </c>
      <c r="R78" s="52" t="str">
        <f t="shared" si="14"/>
        <v/>
      </c>
      <c r="S78" s="52" t="str">
        <f t="shared" si="15"/>
        <v/>
      </c>
      <c r="T78" s="49">
        <v>326.02</v>
      </c>
      <c r="U78" s="46">
        <v>45565.0</v>
      </c>
      <c r="V78" s="70">
        <f t="shared" si="17"/>
        <v>16</v>
      </c>
      <c r="W78" s="71">
        <f>(1-Index!$F$2*2)*((T78*D78)-(E78*D78))</f>
        <v>660.5214</v>
      </c>
      <c r="X78" s="71">
        <f t="shared" si="18"/>
        <v>5206.9414</v>
      </c>
      <c r="Y78" s="55" t="str">
        <f t="shared" si="16"/>
        <v/>
      </c>
      <c r="Z78" s="63" t="s">
        <v>44</v>
      </c>
    </row>
    <row r="79">
      <c r="A79" s="64">
        <v>44473.0</v>
      </c>
      <c r="B79" s="65" t="s">
        <v>39</v>
      </c>
      <c r="C79" s="65" t="s">
        <v>40</v>
      </c>
      <c r="D79" s="72">
        <v>17.0</v>
      </c>
      <c r="E79" s="67">
        <v>284.151765</v>
      </c>
      <c r="F79" s="50">
        <v>4864.86</v>
      </c>
      <c r="G79" s="68" t="s">
        <v>41</v>
      </c>
      <c r="H79" s="66">
        <v>4.84</v>
      </c>
      <c r="I79" s="66">
        <v>29.47</v>
      </c>
      <c r="J79" s="50">
        <f>Index!$C$2</f>
        <v>620.5</v>
      </c>
      <c r="K79" s="51" t="str">
        <f>IF(AND( C79="Buy", ISBLANK(T79), B79&lt;&gt;"DIV"), (1-Index!$F$2*2)*((J79*D79)-(E79*D79)), "")</f>
        <v/>
      </c>
      <c r="L79" s="52" t="str">
        <f t="shared" si="9"/>
        <v/>
      </c>
      <c r="M79" s="53" t="str">
        <f t="shared" si="10"/>
        <v/>
      </c>
      <c r="N79" s="51" t="str">
        <f>IF(AND( C79="Buy", ISBLANK(T79), B79&lt;&gt;"DIV", NOW()-A79 &lt; 365), (1-Index!$F$2*2)*((J79*D79)-(E79*D79)), "")</f>
        <v/>
      </c>
      <c r="O79" s="52" t="str">
        <f t="shared" si="11"/>
        <v/>
      </c>
      <c r="P79" s="52" t="str">
        <f t="shared" si="12"/>
        <v/>
      </c>
      <c r="Q79" s="52" t="str">
        <f t="shared" si="13"/>
        <v/>
      </c>
      <c r="R79" s="52" t="str">
        <f t="shared" si="14"/>
        <v/>
      </c>
      <c r="S79" s="52" t="str">
        <f t="shared" si="15"/>
        <v/>
      </c>
      <c r="T79" s="49">
        <v>326.02</v>
      </c>
      <c r="U79" s="46">
        <v>45565.0</v>
      </c>
      <c r="V79" s="70">
        <f t="shared" si="17"/>
        <v>17</v>
      </c>
      <c r="W79" s="71">
        <f>(1-Index!$F$2*2)*((T79*D79)-(E79*D79))</f>
        <v>701.7953551</v>
      </c>
      <c r="X79" s="71">
        <f t="shared" si="18"/>
        <v>5532.37536</v>
      </c>
      <c r="Y79" s="55" t="str">
        <f t="shared" si="16"/>
        <v/>
      </c>
      <c r="Z79" s="63" t="s">
        <v>44</v>
      </c>
    </row>
    <row r="80">
      <c r="A80" s="64">
        <v>44356.0</v>
      </c>
      <c r="B80" s="65" t="s">
        <v>37</v>
      </c>
      <c r="C80" s="65" t="s">
        <v>40</v>
      </c>
      <c r="D80" s="66">
        <v>195.0</v>
      </c>
      <c r="E80" s="67">
        <v>2.7</v>
      </c>
      <c r="F80" s="50">
        <v>526.5</v>
      </c>
      <c r="G80" s="68" t="s">
        <v>48</v>
      </c>
      <c r="H80" s="66">
        <v>0.0</v>
      </c>
      <c r="I80" s="66">
        <v>0.0</v>
      </c>
      <c r="J80" s="50">
        <f>Index!$C$2</f>
        <v>620.5</v>
      </c>
      <c r="K80" s="51" t="str">
        <f>IF(AND( C80="Buy", ISBLANK(T80), B80&lt;&gt;"DIV"), (1-Index!$F$2*2)*((J80*D80)-(E80*D80)), "")</f>
        <v/>
      </c>
      <c r="L80" s="52" t="str">
        <f t="shared" si="9"/>
        <v/>
      </c>
      <c r="M80" s="53" t="str">
        <f t="shared" si="10"/>
        <v/>
      </c>
      <c r="N80" s="51" t="str">
        <f>IF(AND( C80="Buy", ISBLANK(T80), B80&lt;&gt;"DIV", NOW()-A80 &lt; 365), (1-Index!$F$2*2)*((J80*D80)-(E80*D80)), "")</f>
        <v/>
      </c>
      <c r="O80" s="52" t="str">
        <f t="shared" si="11"/>
        <v/>
      </c>
      <c r="P80" s="52" t="str">
        <f t="shared" si="12"/>
        <v/>
      </c>
      <c r="Q80" s="52" t="str">
        <f t="shared" si="13"/>
        <v/>
      </c>
      <c r="R80" s="52" t="str">
        <f t="shared" si="14"/>
        <v/>
      </c>
      <c r="S80" s="52" t="str">
        <f t="shared" si="15"/>
        <v/>
      </c>
      <c r="T80" s="51"/>
      <c r="U80" s="51"/>
      <c r="V80" s="54"/>
      <c r="W80" s="51"/>
      <c r="X80" s="51"/>
      <c r="Y80" s="55">
        <f t="shared" si="16"/>
        <v>526.5</v>
      </c>
      <c r="Z80" s="63" t="s">
        <v>44</v>
      </c>
    </row>
    <row r="81">
      <c r="A81" s="64">
        <v>44291.0</v>
      </c>
      <c r="B81" s="65" t="s">
        <v>39</v>
      </c>
      <c r="C81" s="65" t="s">
        <v>40</v>
      </c>
      <c r="D81" s="72">
        <v>15.0</v>
      </c>
      <c r="E81" s="67">
        <v>253.737333</v>
      </c>
      <c r="F81" s="50">
        <v>3832.99</v>
      </c>
      <c r="G81" s="68" t="s">
        <v>41</v>
      </c>
      <c r="H81" s="66">
        <v>3.87</v>
      </c>
      <c r="I81" s="66">
        <v>23.02</v>
      </c>
      <c r="J81" s="50">
        <f>Index!$C$2</f>
        <v>620.5</v>
      </c>
      <c r="K81" s="51" t="str">
        <f>IF(AND( C81="Buy", ISBLANK(T81), B81&lt;&gt;"DIV"), (1-Index!$F$2*2)*((J81*D81)-(E81*D81)), "")</f>
        <v/>
      </c>
      <c r="L81" s="52" t="str">
        <f t="shared" si="9"/>
        <v/>
      </c>
      <c r="M81" s="53" t="str">
        <f t="shared" si="10"/>
        <v/>
      </c>
      <c r="N81" s="51" t="str">
        <f>IF(AND( C81="Buy", ISBLANK(T81), B81&lt;&gt;"DIV", NOW()-A81 &lt; 365), (1-Index!$F$2*2)*((J81*D81)-(E81*D81)), "")</f>
        <v/>
      </c>
      <c r="O81" s="52" t="str">
        <f t="shared" si="11"/>
        <v/>
      </c>
      <c r="P81" s="52" t="str">
        <f t="shared" si="12"/>
        <v/>
      </c>
      <c r="Q81" s="52" t="str">
        <f t="shared" si="13"/>
        <v/>
      </c>
      <c r="R81" s="52" t="str">
        <f t="shared" si="14"/>
        <v/>
      </c>
      <c r="S81" s="52" t="str">
        <f t="shared" si="15"/>
        <v/>
      </c>
      <c r="T81" s="49">
        <v>326.02</v>
      </c>
      <c r="U81" s="46">
        <v>45565.0</v>
      </c>
      <c r="V81" s="70">
        <f t="shared" ref="V81:V93" si="19">D81</f>
        <v>15</v>
      </c>
      <c r="W81" s="71">
        <f>(1-Index!$F$2*2)*((T81*D81)-(E81*D81))</f>
        <v>1069.060645</v>
      </c>
      <c r="X81" s="71">
        <f t="shared" ref="X81:X93" si="20">((E81*D81)+W81)</f>
        <v>4875.12064</v>
      </c>
      <c r="Y81" s="55" t="str">
        <f t="shared" si="16"/>
        <v/>
      </c>
      <c r="Z81" s="63" t="s">
        <v>44</v>
      </c>
    </row>
    <row r="82">
      <c r="A82" s="64">
        <v>44223.0</v>
      </c>
      <c r="B82" s="65" t="s">
        <v>39</v>
      </c>
      <c r="C82" s="65" t="s">
        <v>40</v>
      </c>
      <c r="D82" s="72">
        <v>10.0</v>
      </c>
      <c r="E82" s="67">
        <v>277.904</v>
      </c>
      <c r="F82" s="50">
        <v>2798.66</v>
      </c>
      <c r="G82" s="68" t="s">
        <v>41</v>
      </c>
      <c r="H82" s="66">
        <v>2.72</v>
      </c>
      <c r="I82" s="66">
        <v>16.94</v>
      </c>
      <c r="J82" s="50">
        <f>Index!$C$2</f>
        <v>620.5</v>
      </c>
      <c r="K82" s="51" t="str">
        <f>IF(AND( C82="Buy", ISBLANK(T82), B82&lt;&gt;"DIV"), (1-Index!$F$2*2)*((J82*D82)-(E82*D82)), "")</f>
        <v/>
      </c>
      <c r="L82" s="52" t="str">
        <f t="shared" si="9"/>
        <v/>
      </c>
      <c r="M82" s="53" t="str">
        <f t="shared" si="10"/>
        <v/>
      </c>
      <c r="N82" s="51" t="str">
        <f>IF(AND( C82="Buy", ISBLANK(T82), B82&lt;&gt;"DIV", NOW()-A82 &lt; 365), (1-Index!$F$2*2)*((J82*D82)-(E82*D82)), "")</f>
        <v/>
      </c>
      <c r="O82" s="52" t="str">
        <f t="shared" si="11"/>
        <v/>
      </c>
      <c r="P82" s="52" t="str">
        <f t="shared" si="12"/>
        <v/>
      </c>
      <c r="Q82" s="52" t="str">
        <f t="shared" si="13"/>
        <v/>
      </c>
      <c r="R82" s="52" t="str">
        <f t="shared" si="14"/>
        <v/>
      </c>
      <c r="S82" s="52" t="str">
        <f t="shared" si="15"/>
        <v/>
      </c>
      <c r="T82" s="49">
        <v>326.02</v>
      </c>
      <c r="U82" s="46">
        <v>45565.0</v>
      </c>
      <c r="V82" s="70">
        <f t="shared" si="19"/>
        <v>10</v>
      </c>
      <c r="W82" s="71">
        <f>(1-Index!$F$2*2)*((T82*D82)-(E82*D82))</f>
        <v>474.42376</v>
      </c>
      <c r="X82" s="71">
        <f t="shared" si="20"/>
        <v>3253.46376</v>
      </c>
      <c r="Y82" s="55" t="str">
        <f t="shared" si="16"/>
        <v/>
      </c>
      <c r="Z82" s="63" t="s">
        <v>44</v>
      </c>
    </row>
    <row r="83">
      <c r="A83" s="64">
        <v>44221.0</v>
      </c>
      <c r="B83" s="65" t="s">
        <v>39</v>
      </c>
      <c r="C83" s="65" t="s">
        <v>40</v>
      </c>
      <c r="D83" s="72">
        <v>10.0</v>
      </c>
      <c r="E83" s="67">
        <v>278.995</v>
      </c>
      <c r="F83" s="50">
        <v>2809.45</v>
      </c>
      <c r="G83" s="68" t="s">
        <v>41</v>
      </c>
      <c r="H83" s="66">
        <v>2.39</v>
      </c>
      <c r="I83" s="66">
        <v>17.06</v>
      </c>
      <c r="J83" s="50">
        <f>Index!$C$2</f>
        <v>620.5</v>
      </c>
      <c r="K83" s="51" t="str">
        <f>IF(AND( C83="Buy", ISBLANK(T83), B83&lt;&gt;"DIV"), (1-Index!$F$2*2)*((J83*D83)-(E83*D83)), "")</f>
        <v/>
      </c>
      <c r="L83" s="52" t="str">
        <f t="shared" si="9"/>
        <v/>
      </c>
      <c r="M83" s="53" t="str">
        <f t="shared" si="10"/>
        <v/>
      </c>
      <c r="N83" s="51" t="str">
        <f>IF(AND( C83="Buy", ISBLANK(T83), B83&lt;&gt;"DIV", NOW()-A83 &lt; 365), (1-Index!$F$2*2)*((J83*D83)-(E83*D83)), "")</f>
        <v/>
      </c>
      <c r="O83" s="52" t="str">
        <f t="shared" si="11"/>
        <v/>
      </c>
      <c r="P83" s="52" t="str">
        <f t="shared" si="12"/>
        <v/>
      </c>
      <c r="Q83" s="52" t="str">
        <f t="shared" si="13"/>
        <v/>
      </c>
      <c r="R83" s="52" t="str">
        <f t="shared" si="14"/>
        <v/>
      </c>
      <c r="S83" s="52" t="str">
        <f t="shared" si="15"/>
        <v/>
      </c>
      <c r="T83" s="49">
        <v>326.02</v>
      </c>
      <c r="U83" s="46">
        <v>45565.0</v>
      </c>
      <c r="V83" s="70">
        <f t="shared" si="19"/>
        <v>10</v>
      </c>
      <c r="W83" s="71">
        <f>(1-Index!$F$2*2)*((T83*D83)-(E83*D83))</f>
        <v>463.6665</v>
      </c>
      <c r="X83" s="71">
        <f t="shared" si="20"/>
        <v>3253.6165</v>
      </c>
      <c r="Y83" s="55" t="str">
        <f t="shared" si="16"/>
        <v/>
      </c>
      <c r="Z83" s="63" t="s">
        <v>44</v>
      </c>
    </row>
    <row r="84">
      <c r="A84" s="64">
        <v>44214.0</v>
      </c>
      <c r="B84" s="65" t="s">
        <v>39</v>
      </c>
      <c r="C84" s="65" t="s">
        <v>40</v>
      </c>
      <c r="D84" s="72">
        <v>10.0</v>
      </c>
      <c r="E84" s="67">
        <v>281.804</v>
      </c>
      <c r="F84" s="50">
        <v>2837.36</v>
      </c>
      <c r="G84" s="68" t="s">
        <v>41</v>
      </c>
      <c r="H84" s="66">
        <v>2.2</v>
      </c>
      <c r="I84" s="66">
        <v>17.16</v>
      </c>
      <c r="J84" s="50">
        <f>Index!$C$2</f>
        <v>620.5</v>
      </c>
      <c r="K84" s="51" t="str">
        <f>IF(AND( C84="Buy", ISBLANK(T84), B84&lt;&gt;"DIV"), (1-Index!$F$2*2)*((J84*D84)-(E84*D84)), "")</f>
        <v/>
      </c>
      <c r="L84" s="52" t="str">
        <f t="shared" si="9"/>
        <v/>
      </c>
      <c r="M84" s="53" t="str">
        <f t="shared" si="10"/>
        <v/>
      </c>
      <c r="N84" s="51" t="str">
        <f>IF(AND( C84="Buy", ISBLANK(T84), B84&lt;&gt;"DIV", NOW()-A84 &lt; 365), (1-Index!$F$2*2)*((J84*D84)-(E84*D84)), "")</f>
        <v/>
      </c>
      <c r="O84" s="52" t="str">
        <f t="shared" si="11"/>
        <v/>
      </c>
      <c r="P84" s="52" t="str">
        <f t="shared" si="12"/>
        <v/>
      </c>
      <c r="Q84" s="52" t="str">
        <f t="shared" si="13"/>
        <v/>
      </c>
      <c r="R84" s="52" t="str">
        <f t="shared" si="14"/>
        <v/>
      </c>
      <c r="S84" s="52" t="str">
        <f t="shared" si="15"/>
        <v/>
      </c>
      <c r="T84" s="49">
        <v>326.02</v>
      </c>
      <c r="U84" s="46">
        <v>45565.0</v>
      </c>
      <c r="V84" s="70">
        <f t="shared" si="19"/>
        <v>10</v>
      </c>
      <c r="W84" s="71">
        <f>(1-Index!$F$2*2)*((T84*D84)-(E84*D84))</f>
        <v>435.96976</v>
      </c>
      <c r="X84" s="71">
        <f t="shared" si="20"/>
        <v>3254.00976</v>
      </c>
      <c r="Y84" s="55" t="str">
        <f t="shared" si="16"/>
        <v/>
      </c>
      <c r="Z84" s="63" t="s">
        <v>44</v>
      </c>
    </row>
    <row r="85">
      <c r="A85" s="64">
        <v>44210.0</v>
      </c>
      <c r="B85" s="65" t="s">
        <v>39</v>
      </c>
      <c r="C85" s="65" t="s">
        <v>40</v>
      </c>
      <c r="D85" s="72">
        <v>10.0</v>
      </c>
      <c r="E85" s="67">
        <v>294.694</v>
      </c>
      <c r="F85" s="50">
        <v>2966.81</v>
      </c>
      <c r="G85" s="68" t="s">
        <v>41</v>
      </c>
      <c r="H85" s="66">
        <v>1.97</v>
      </c>
      <c r="I85" s="66">
        <v>17.89</v>
      </c>
      <c r="J85" s="50">
        <f>Index!$C$2</f>
        <v>620.5</v>
      </c>
      <c r="K85" s="51" t="str">
        <f>IF(AND( C85="Buy", ISBLANK(T85), B85&lt;&gt;"DIV"), (1-Index!$F$2*2)*((J85*D85)-(E85*D85)), "")</f>
        <v/>
      </c>
      <c r="L85" s="52" t="str">
        <f t="shared" si="9"/>
        <v/>
      </c>
      <c r="M85" s="53" t="str">
        <f t="shared" si="10"/>
        <v/>
      </c>
      <c r="N85" s="51" t="str">
        <f>IF(AND( C85="Buy", ISBLANK(T85), B85&lt;&gt;"DIV", NOW()-A85 &lt; 365), (1-Index!$F$2*2)*((J85*D85)-(E85*D85)), "")</f>
        <v/>
      </c>
      <c r="O85" s="52" t="str">
        <f t="shared" si="11"/>
        <v/>
      </c>
      <c r="P85" s="52" t="str">
        <f t="shared" si="12"/>
        <v/>
      </c>
      <c r="Q85" s="52" t="str">
        <f t="shared" si="13"/>
        <v/>
      </c>
      <c r="R85" s="52" t="str">
        <f t="shared" si="14"/>
        <v/>
      </c>
      <c r="S85" s="52" t="str">
        <f t="shared" si="15"/>
        <v/>
      </c>
      <c r="T85" s="49">
        <v>326.02</v>
      </c>
      <c r="U85" s="46">
        <v>45565.0</v>
      </c>
      <c r="V85" s="70">
        <f t="shared" si="19"/>
        <v>10</v>
      </c>
      <c r="W85" s="71">
        <f>(1-Index!$F$2*2)*((T85*D85)-(E85*D85))</f>
        <v>308.87436</v>
      </c>
      <c r="X85" s="71">
        <f t="shared" si="20"/>
        <v>3255.81436</v>
      </c>
      <c r="Y85" s="55" t="str">
        <f t="shared" si="16"/>
        <v/>
      </c>
      <c r="Z85" s="63" t="s">
        <v>44</v>
      </c>
    </row>
    <row r="86">
      <c r="A86" s="64">
        <v>44207.0</v>
      </c>
      <c r="B86" s="65" t="s">
        <v>39</v>
      </c>
      <c r="C86" s="65" t="s">
        <v>40</v>
      </c>
      <c r="D86" s="72">
        <v>10.0</v>
      </c>
      <c r="E86" s="67">
        <v>298.152</v>
      </c>
      <c r="F86" s="50">
        <v>3002.08</v>
      </c>
      <c r="G86" s="68" t="s">
        <v>41</v>
      </c>
      <c r="H86" s="66">
        <v>2.51</v>
      </c>
      <c r="I86" s="66">
        <v>18.07</v>
      </c>
      <c r="J86" s="50">
        <f>Index!$C$2</f>
        <v>620.5</v>
      </c>
      <c r="K86" s="51" t="str">
        <f>IF(AND( C86="Buy", ISBLANK(T86), B86&lt;&gt;"DIV"), (1-Index!$F$2*2)*((J86*D86)-(E86*D86)), "")</f>
        <v/>
      </c>
      <c r="L86" s="52" t="str">
        <f t="shared" si="9"/>
        <v/>
      </c>
      <c r="M86" s="53" t="str">
        <f t="shared" si="10"/>
        <v/>
      </c>
      <c r="N86" s="51" t="str">
        <f>IF(AND( C86="Buy", ISBLANK(T86), B86&lt;&gt;"DIV", NOW()-A86 &lt; 365), (1-Index!$F$2*2)*((J86*D86)-(E86*D86)), "")</f>
        <v/>
      </c>
      <c r="O86" s="52" t="str">
        <f t="shared" si="11"/>
        <v/>
      </c>
      <c r="P86" s="52" t="str">
        <f t="shared" si="12"/>
        <v/>
      </c>
      <c r="Q86" s="52" t="str">
        <f t="shared" si="13"/>
        <v/>
      </c>
      <c r="R86" s="52" t="str">
        <f t="shared" si="14"/>
        <v/>
      </c>
      <c r="S86" s="52" t="str">
        <f t="shared" si="15"/>
        <v/>
      </c>
      <c r="T86" s="49">
        <v>326.02</v>
      </c>
      <c r="U86" s="46">
        <v>45565.0</v>
      </c>
      <c r="V86" s="70">
        <f t="shared" si="19"/>
        <v>10</v>
      </c>
      <c r="W86" s="71">
        <f>(1-Index!$F$2*2)*((T86*D86)-(E86*D86))</f>
        <v>274.77848</v>
      </c>
      <c r="X86" s="71">
        <f t="shared" si="20"/>
        <v>3256.29848</v>
      </c>
      <c r="Y86" s="55" t="str">
        <f t="shared" si="16"/>
        <v/>
      </c>
      <c r="Z86" s="63" t="s">
        <v>44</v>
      </c>
    </row>
    <row r="87">
      <c r="A87" s="64">
        <v>44201.0</v>
      </c>
      <c r="B87" s="65" t="s">
        <v>39</v>
      </c>
      <c r="C87" s="65" t="s">
        <v>40</v>
      </c>
      <c r="D87" s="72">
        <v>10.0</v>
      </c>
      <c r="E87" s="67">
        <v>290.598</v>
      </c>
      <c r="F87" s="50">
        <v>2926.02</v>
      </c>
      <c r="G87" s="68" t="s">
        <v>41</v>
      </c>
      <c r="H87" s="66">
        <v>2.35</v>
      </c>
      <c r="I87" s="66">
        <v>17.67</v>
      </c>
      <c r="J87" s="50">
        <f>Index!$C$2</f>
        <v>620.5</v>
      </c>
      <c r="K87" s="51" t="str">
        <f>IF(AND( C87="Buy", ISBLANK(T87), B87&lt;&gt;"DIV"), (1-Index!$F$2*2)*((J87*D87)-(E87*D87)), "")</f>
        <v/>
      </c>
      <c r="L87" s="52" t="str">
        <f t="shared" si="9"/>
        <v/>
      </c>
      <c r="M87" s="53" t="str">
        <f t="shared" si="10"/>
        <v/>
      </c>
      <c r="N87" s="51" t="str">
        <f>IF(AND( C87="Buy", ISBLANK(T87), B87&lt;&gt;"DIV", NOW()-A87 &lt; 365), (1-Index!$F$2*2)*((J87*D87)-(E87*D87)), "")</f>
        <v/>
      </c>
      <c r="O87" s="52" t="str">
        <f t="shared" si="11"/>
        <v/>
      </c>
      <c r="P87" s="52" t="str">
        <f t="shared" si="12"/>
        <v/>
      </c>
      <c r="Q87" s="52" t="str">
        <f t="shared" si="13"/>
        <v/>
      </c>
      <c r="R87" s="52" t="str">
        <f t="shared" si="14"/>
        <v/>
      </c>
      <c r="S87" s="52" t="str">
        <f t="shared" si="15"/>
        <v/>
      </c>
      <c r="T87" s="49">
        <v>326.02</v>
      </c>
      <c r="U87" s="46">
        <v>45565.0</v>
      </c>
      <c r="V87" s="70">
        <f t="shared" si="19"/>
        <v>10</v>
      </c>
      <c r="W87" s="71">
        <f>(1-Index!$F$2*2)*((T87*D87)-(E87*D87))</f>
        <v>349.26092</v>
      </c>
      <c r="X87" s="71">
        <f t="shared" si="20"/>
        <v>3255.24092</v>
      </c>
      <c r="Y87" s="55" t="str">
        <f t="shared" si="16"/>
        <v/>
      </c>
      <c r="Z87" s="63" t="s">
        <v>44</v>
      </c>
    </row>
    <row r="88">
      <c r="A88" s="64">
        <v>44186.0</v>
      </c>
      <c r="B88" s="65" t="s">
        <v>39</v>
      </c>
      <c r="C88" s="65" t="s">
        <v>40</v>
      </c>
      <c r="D88" s="72">
        <v>10.0</v>
      </c>
      <c r="E88" s="67">
        <v>277.8</v>
      </c>
      <c r="F88" s="50">
        <v>2797.2</v>
      </c>
      <c r="G88" s="68" t="s">
        <v>41</v>
      </c>
      <c r="H88" s="66">
        <v>2.32</v>
      </c>
      <c r="I88" s="66">
        <v>16.88</v>
      </c>
      <c r="J88" s="50">
        <f>Index!$C$2</f>
        <v>620.5</v>
      </c>
      <c r="K88" s="51" t="str">
        <f>IF(AND( C88="Buy", ISBLANK(T88), B88&lt;&gt;"DIV"), (1-Index!$F$2*2)*((J88*D88)-(E88*D88)), "")</f>
        <v/>
      </c>
      <c r="L88" s="52" t="str">
        <f t="shared" si="9"/>
        <v/>
      </c>
      <c r="M88" s="53" t="str">
        <f t="shared" si="10"/>
        <v/>
      </c>
      <c r="N88" s="51" t="str">
        <f>IF(AND( C88="Buy", ISBLANK(T88), B88&lt;&gt;"DIV", NOW()-A88 &lt; 365), (1-Index!$F$2*2)*((J88*D88)-(E88*D88)), "")</f>
        <v/>
      </c>
      <c r="O88" s="52" t="str">
        <f t="shared" si="11"/>
        <v/>
      </c>
      <c r="P88" s="52" t="str">
        <f t="shared" si="12"/>
        <v/>
      </c>
      <c r="Q88" s="52" t="str">
        <f t="shared" si="13"/>
        <v/>
      </c>
      <c r="R88" s="52" t="str">
        <f t="shared" si="14"/>
        <v/>
      </c>
      <c r="S88" s="52" t="str">
        <f t="shared" si="15"/>
        <v/>
      </c>
      <c r="T88" s="49">
        <v>326.02</v>
      </c>
      <c r="U88" s="46">
        <v>45565.0</v>
      </c>
      <c r="V88" s="70">
        <f t="shared" si="19"/>
        <v>10</v>
      </c>
      <c r="W88" s="71">
        <f>(1-Index!$F$2*2)*((T88*D88)-(E88*D88))</f>
        <v>475.4492</v>
      </c>
      <c r="X88" s="71">
        <f t="shared" si="20"/>
        <v>3253.4492</v>
      </c>
      <c r="Y88" s="55" t="str">
        <f t="shared" si="16"/>
        <v/>
      </c>
      <c r="Z88" s="63" t="s">
        <v>44</v>
      </c>
    </row>
    <row r="89">
      <c r="A89" s="64">
        <v>44152.0</v>
      </c>
      <c r="B89" s="65" t="s">
        <v>39</v>
      </c>
      <c r="C89" s="65" t="s">
        <v>40</v>
      </c>
      <c r="D89" s="72">
        <v>10.0</v>
      </c>
      <c r="E89" s="67">
        <v>247.348</v>
      </c>
      <c r="F89" s="50">
        <v>2490.62</v>
      </c>
      <c r="G89" s="68" t="s">
        <v>41</v>
      </c>
      <c r="H89" s="66">
        <v>2.01</v>
      </c>
      <c r="I89" s="66">
        <v>15.11</v>
      </c>
      <c r="J89" s="50">
        <f>Index!$C$2</f>
        <v>620.5</v>
      </c>
      <c r="K89" s="51" t="str">
        <f>IF(AND( C89="Buy", ISBLANK(T89), B89&lt;&gt;"DIV"), (1-Index!$F$2*2)*((J89*D89)-(E89*D89)), "")</f>
        <v/>
      </c>
      <c r="L89" s="52" t="str">
        <f t="shared" si="9"/>
        <v/>
      </c>
      <c r="M89" s="53" t="str">
        <f t="shared" si="10"/>
        <v/>
      </c>
      <c r="N89" s="51" t="str">
        <f>IF(AND( C89="Buy", ISBLANK(T89), B89&lt;&gt;"DIV", NOW()-A89 &lt; 365), (1-Index!$F$2*2)*((J89*D89)-(E89*D89)), "")</f>
        <v/>
      </c>
      <c r="O89" s="52" t="str">
        <f t="shared" si="11"/>
        <v/>
      </c>
      <c r="P89" s="52" t="str">
        <f t="shared" si="12"/>
        <v/>
      </c>
      <c r="Q89" s="52" t="str">
        <f t="shared" si="13"/>
        <v/>
      </c>
      <c r="R89" s="52" t="str">
        <f t="shared" si="14"/>
        <v/>
      </c>
      <c r="S89" s="52" t="str">
        <f t="shared" si="15"/>
        <v/>
      </c>
      <c r="T89" s="49">
        <v>326.02</v>
      </c>
      <c r="U89" s="46">
        <v>45565.0</v>
      </c>
      <c r="V89" s="70">
        <f t="shared" si="19"/>
        <v>10</v>
      </c>
      <c r="W89" s="71">
        <f>(1-Index!$F$2*2)*((T89*D89)-(E89*D89))</f>
        <v>775.70592</v>
      </c>
      <c r="X89" s="71">
        <f t="shared" si="20"/>
        <v>3249.18592</v>
      </c>
      <c r="Y89" s="55" t="str">
        <f t="shared" si="16"/>
        <v/>
      </c>
      <c r="Z89" s="63" t="s">
        <v>44</v>
      </c>
    </row>
    <row r="90">
      <c r="A90" s="64">
        <v>44138.0</v>
      </c>
      <c r="B90" s="65" t="s">
        <v>39</v>
      </c>
      <c r="C90" s="65" t="s">
        <v>40</v>
      </c>
      <c r="D90" s="72">
        <v>60.0</v>
      </c>
      <c r="E90" s="67">
        <v>237.197167</v>
      </c>
      <c r="F90" s="50">
        <v>14330.87</v>
      </c>
      <c r="G90" s="68" t="s">
        <v>41</v>
      </c>
      <c r="H90" s="66">
        <v>13.39</v>
      </c>
      <c r="I90" s="66">
        <v>85.78</v>
      </c>
      <c r="J90" s="50">
        <f>Index!$C$2</f>
        <v>620.5</v>
      </c>
      <c r="K90" s="51" t="str">
        <f>IF(AND( C90="Buy", ISBLANK(T90), B90&lt;&gt;"DIV"), (1-Index!$F$2*2)*((J90*D90)-(E90*D90)), "")</f>
        <v/>
      </c>
      <c r="L90" s="52" t="str">
        <f t="shared" si="9"/>
        <v/>
      </c>
      <c r="M90" s="53" t="str">
        <f t="shared" si="10"/>
        <v/>
      </c>
      <c r="N90" s="51" t="str">
        <f>IF(AND( C90="Buy", ISBLANK(T90), B90&lt;&gt;"DIV", NOW()-A90 &lt; 365), (1-Index!$F$2*2)*((J90*D90)-(E90*D90)), "")</f>
        <v/>
      </c>
      <c r="O90" s="52" t="str">
        <f t="shared" si="11"/>
        <v/>
      </c>
      <c r="P90" s="52" t="str">
        <f t="shared" si="12"/>
        <v/>
      </c>
      <c r="Q90" s="52" t="str">
        <f t="shared" si="13"/>
        <v/>
      </c>
      <c r="R90" s="52" t="str">
        <f t="shared" si="14"/>
        <v/>
      </c>
      <c r="S90" s="52" t="str">
        <f t="shared" si="15"/>
        <v/>
      </c>
      <c r="T90" s="49">
        <v>326.02</v>
      </c>
      <c r="U90" s="46">
        <v>45565.0</v>
      </c>
      <c r="V90" s="70">
        <f t="shared" si="19"/>
        <v>60</v>
      </c>
      <c r="W90" s="71">
        <f>(1-Index!$F$2*2)*((T90*D90)-(E90*D90))</f>
        <v>5254.7588</v>
      </c>
      <c r="X90" s="71">
        <f t="shared" si="20"/>
        <v>19486.58882</v>
      </c>
      <c r="Y90" s="55" t="str">
        <f t="shared" si="16"/>
        <v/>
      </c>
      <c r="Z90" s="63" t="s">
        <v>44</v>
      </c>
    </row>
    <row r="91">
      <c r="A91" s="64">
        <v>44084.0</v>
      </c>
      <c r="B91" s="65" t="s">
        <v>39</v>
      </c>
      <c r="C91" s="65" t="s">
        <v>40</v>
      </c>
      <c r="D91" s="72">
        <v>10.0</v>
      </c>
      <c r="E91" s="67">
        <v>299.753</v>
      </c>
      <c r="F91" s="50">
        <v>3018.27</v>
      </c>
      <c r="G91" s="68" t="s">
        <v>41</v>
      </c>
      <c r="H91" s="66">
        <v>2.74</v>
      </c>
      <c r="I91" s="66">
        <v>18.03</v>
      </c>
      <c r="J91" s="50">
        <f>Index!$C$2</f>
        <v>620.5</v>
      </c>
      <c r="K91" s="51" t="str">
        <f>IF(AND( C91="Buy", ISBLANK(T91), B91&lt;&gt;"DIV"), (1-Index!$F$2*2)*((J91*D91)-(E91*D91)), "")</f>
        <v/>
      </c>
      <c r="L91" s="52" t="str">
        <f t="shared" si="9"/>
        <v/>
      </c>
      <c r="M91" s="53" t="str">
        <f t="shared" si="10"/>
        <v/>
      </c>
      <c r="N91" s="51" t="str">
        <f>IF(AND( C91="Buy", ISBLANK(T91), B91&lt;&gt;"DIV", NOW()-A91 &lt; 365), (1-Index!$F$2*2)*((J91*D91)-(E91*D91)), "")</f>
        <v/>
      </c>
      <c r="O91" s="52" t="str">
        <f t="shared" si="11"/>
        <v/>
      </c>
      <c r="P91" s="52" t="str">
        <f t="shared" si="12"/>
        <v/>
      </c>
      <c r="Q91" s="52" t="str">
        <f t="shared" si="13"/>
        <v/>
      </c>
      <c r="R91" s="52" t="str">
        <f t="shared" si="14"/>
        <v/>
      </c>
      <c r="S91" s="52" t="str">
        <f t="shared" si="15"/>
        <v/>
      </c>
      <c r="T91" s="49">
        <v>326.02</v>
      </c>
      <c r="U91" s="46">
        <v>45565.0</v>
      </c>
      <c r="V91" s="70">
        <f t="shared" si="19"/>
        <v>10</v>
      </c>
      <c r="W91" s="71">
        <f>(1-Index!$F$2*2)*((T91*D91)-(E91*D91))</f>
        <v>258.99262</v>
      </c>
      <c r="X91" s="71">
        <f t="shared" si="20"/>
        <v>3256.52262</v>
      </c>
      <c r="Y91" s="55" t="str">
        <f t="shared" si="16"/>
        <v/>
      </c>
      <c r="Z91" s="63" t="s">
        <v>44</v>
      </c>
    </row>
    <row r="92">
      <c r="A92" s="64">
        <v>44074.0</v>
      </c>
      <c r="B92" s="65" t="s">
        <v>39</v>
      </c>
      <c r="C92" s="65" t="s">
        <v>40</v>
      </c>
      <c r="D92" s="72">
        <v>10.0</v>
      </c>
      <c r="E92" s="67">
        <v>309.399</v>
      </c>
      <c r="F92" s="50">
        <v>3116.01</v>
      </c>
      <c r="G92" s="68" t="s">
        <v>41</v>
      </c>
      <c r="H92" s="66">
        <v>3.1</v>
      </c>
      <c r="I92" s="66">
        <v>18.91</v>
      </c>
      <c r="J92" s="50">
        <f>Index!$C$2</f>
        <v>620.5</v>
      </c>
      <c r="K92" s="51" t="str">
        <f>IF(AND( C92="Buy", ISBLANK(T92), B92&lt;&gt;"DIV"), (1-Index!$F$2*2)*((J92*D92)-(E92*D92)), "")</f>
        <v/>
      </c>
      <c r="L92" s="52" t="str">
        <f t="shared" si="9"/>
        <v/>
      </c>
      <c r="M92" s="53" t="str">
        <f t="shared" si="10"/>
        <v/>
      </c>
      <c r="N92" s="51" t="str">
        <f>IF(AND( C92="Buy", ISBLANK(T92), B92&lt;&gt;"DIV", NOW()-A92 &lt; 365), (1-Index!$F$2*2)*((J92*D92)-(E92*D92)), "")</f>
        <v/>
      </c>
      <c r="O92" s="52" t="str">
        <f t="shared" si="11"/>
        <v/>
      </c>
      <c r="P92" s="52" t="str">
        <f t="shared" si="12"/>
        <v/>
      </c>
      <c r="Q92" s="52" t="str">
        <f t="shared" si="13"/>
        <v/>
      </c>
      <c r="R92" s="52" t="str">
        <f t="shared" si="14"/>
        <v/>
      </c>
      <c r="S92" s="52" t="str">
        <f t="shared" si="15"/>
        <v/>
      </c>
      <c r="T92" s="49">
        <v>326.02</v>
      </c>
      <c r="U92" s="46">
        <v>45565.0</v>
      </c>
      <c r="V92" s="70">
        <f t="shared" si="19"/>
        <v>10</v>
      </c>
      <c r="W92" s="71">
        <f>(1-Index!$F$2*2)*((T92*D92)-(E92*D92))</f>
        <v>163.88306</v>
      </c>
      <c r="X92" s="71">
        <f t="shared" si="20"/>
        <v>3257.87306</v>
      </c>
      <c r="Y92" s="55" t="str">
        <f t="shared" si="16"/>
        <v/>
      </c>
      <c r="Z92" s="63" t="s">
        <v>44</v>
      </c>
    </row>
    <row r="93">
      <c r="A93" s="64">
        <v>44070.0</v>
      </c>
      <c r="B93" s="65" t="s">
        <v>39</v>
      </c>
      <c r="C93" s="65" t="s">
        <v>40</v>
      </c>
      <c r="D93" s="72">
        <v>20.0</v>
      </c>
      <c r="E93" s="67">
        <v>318.497</v>
      </c>
      <c r="F93" s="50">
        <v>6414.46</v>
      </c>
      <c r="G93" s="68" t="s">
        <v>41</v>
      </c>
      <c r="H93" s="66">
        <v>5.75</v>
      </c>
      <c r="I93" s="66">
        <v>38.71</v>
      </c>
      <c r="J93" s="50">
        <f>Index!$C$2</f>
        <v>620.5</v>
      </c>
      <c r="K93" s="51" t="str">
        <f>IF(AND( C93="Buy", ISBLANK(T93), B93&lt;&gt;"DIV"), (1-Index!$F$2*2)*((J93*D93)-(E93*D93)), "")</f>
        <v/>
      </c>
      <c r="L93" s="52" t="str">
        <f t="shared" si="9"/>
        <v/>
      </c>
      <c r="M93" s="53" t="str">
        <f t="shared" si="10"/>
        <v/>
      </c>
      <c r="N93" s="51" t="str">
        <f>IF(AND( C93="Buy", ISBLANK(T93), B93&lt;&gt;"DIV", NOW()-A93 &lt; 365), (1-Index!$F$2*2)*((J93*D93)-(E93*D93)), "")</f>
        <v/>
      </c>
      <c r="O93" s="52" t="str">
        <f t="shared" si="11"/>
        <v/>
      </c>
      <c r="P93" s="52" t="str">
        <f t="shared" si="12"/>
        <v/>
      </c>
      <c r="Q93" s="52" t="str">
        <f t="shared" si="13"/>
        <v/>
      </c>
      <c r="R93" s="52" t="str">
        <f t="shared" si="14"/>
        <v/>
      </c>
      <c r="S93" s="52" t="str">
        <f t="shared" si="15"/>
        <v/>
      </c>
      <c r="T93" s="49">
        <v>326.02</v>
      </c>
      <c r="U93" s="46">
        <v>45565.0</v>
      </c>
      <c r="V93" s="70">
        <f t="shared" si="19"/>
        <v>20</v>
      </c>
      <c r="W93" s="71">
        <f>(1-Index!$F$2*2)*((T93*D93)-(E93*D93))</f>
        <v>148.35356</v>
      </c>
      <c r="X93" s="71">
        <f t="shared" si="20"/>
        <v>6518.29356</v>
      </c>
      <c r="Y93" s="55" t="str">
        <f t="shared" si="16"/>
        <v/>
      </c>
      <c r="Z93" s="63" t="s">
        <v>44</v>
      </c>
    </row>
    <row r="94">
      <c r="E94" s="73"/>
      <c r="F94" s="73"/>
      <c r="G94" s="74"/>
      <c r="J94" s="73"/>
      <c r="K94" s="73"/>
      <c r="L94" s="1"/>
      <c r="T94" s="73"/>
      <c r="U94" s="73"/>
      <c r="W94" s="73"/>
      <c r="X94" s="73"/>
      <c r="Y94" s="73"/>
    </row>
    <row r="95">
      <c r="E95" s="73"/>
      <c r="F95" s="73"/>
      <c r="G95" s="74"/>
      <c r="J95" s="73"/>
      <c r="K95" s="73"/>
      <c r="L95" s="1"/>
      <c r="T95" s="73"/>
      <c r="U95" s="73"/>
      <c r="W95" s="73"/>
      <c r="X95" s="73"/>
      <c r="Y95" s="73"/>
    </row>
    <row r="96">
      <c r="E96" s="73"/>
      <c r="F96" s="73"/>
      <c r="G96" s="74"/>
      <c r="J96" s="73"/>
      <c r="K96" s="73"/>
      <c r="L96" s="1"/>
      <c r="T96" s="73"/>
      <c r="U96" s="73"/>
      <c r="W96" s="73"/>
      <c r="X96" s="73"/>
      <c r="Y96" s="73"/>
    </row>
    <row r="97">
      <c r="E97" s="73"/>
      <c r="F97" s="73"/>
      <c r="G97" s="74"/>
      <c r="J97" s="73"/>
      <c r="K97" s="73"/>
      <c r="L97" s="1"/>
      <c r="T97" s="73"/>
      <c r="U97" s="73"/>
      <c r="W97" s="73"/>
      <c r="X97" s="73"/>
      <c r="Y97" s="73"/>
    </row>
    <row r="98">
      <c r="E98" s="73"/>
      <c r="F98" s="73"/>
      <c r="G98" s="74"/>
      <c r="J98" s="73"/>
      <c r="K98" s="73"/>
      <c r="L98" s="1"/>
      <c r="T98" s="73"/>
      <c r="U98" s="73"/>
      <c r="W98" s="73"/>
      <c r="X98" s="73"/>
      <c r="Y98" s="73"/>
    </row>
    <row r="99">
      <c r="E99" s="73"/>
      <c r="F99" s="73"/>
      <c r="G99" s="74"/>
      <c r="J99" s="73"/>
      <c r="K99" s="73"/>
      <c r="L99" s="1"/>
      <c r="T99" s="73"/>
      <c r="U99" s="73"/>
      <c r="W99" s="73"/>
      <c r="X99" s="73"/>
      <c r="Y99" s="73"/>
    </row>
    <row r="100">
      <c r="E100" s="73"/>
      <c r="F100" s="73"/>
      <c r="G100" s="74"/>
      <c r="J100" s="73"/>
      <c r="K100" s="73"/>
      <c r="L100" s="1"/>
      <c r="T100" s="73"/>
      <c r="U100" s="73"/>
      <c r="W100" s="73"/>
      <c r="X100" s="73"/>
      <c r="Y100" s="73"/>
    </row>
    <row r="101">
      <c r="E101" s="73"/>
      <c r="F101" s="73"/>
      <c r="G101" s="74"/>
      <c r="J101" s="73"/>
      <c r="K101" s="73"/>
      <c r="L101" s="1"/>
      <c r="T101" s="73"/>
      <c r="U101" s="73"/>
      <c r="W101" s="73"/>
      <c r="X101" s="73"/>
      <c r="Y101" s="73"/>
    </row>
    <row r="102">
      <c r="E102" s="73"/>
      <c r="F102" s="73"/>
      <c r="G102" s="74"/>
      <c r="J102" s="73"/>
      <c r="K102" s="73"/>
      <c r="L102" s="1"/>
      <c r="T102" s="73"/>
      <c r="U102" s="73"/>
      <c r="W102" s="73"/>
      <c r="X102" s="73"/>
      <c r="Y102" s="73"/>
    </row>
    <row r="103">
      <c r="E103" s="73"/>
      <c r="F103" s="73"/>
      <c r="G103" s="74"/>
      <c r="J103" s="73"/>
      <c r="K103" s="73"/>
      <c r="L103" s="1"/>
      <c r="T103" s="73"/>
      <c r="U103" s="73"/>
      <c r="W103" s="73"/>
      <c r="X103" s="73"/>
      <c r="Y103" s="73"/>
    </row>
    <row r="104">
      <c r="E104" s="73"/>
      <c r="F104" s="73"/>
      <c r="G104" s="74"/>
      <c r="J104" s="73"/>
      <c r="K104" s="73"/>
      <c r="L104" s="1"/>
      <c r="T104" s="73"/>
      <c r="U104" s="73"/>
      <c r="W104" s="73"/>
      <c r="X104" s="73"/>
      <c r="Y104" s="73"/>
    </row>
    <row r="105">
      <c r="E105" s="73"/>
      <c r="F105" s="73"/>
      <c r="G105" s="74"/>
      <c r="J105" s="73"/>
      <c r="K105" s="73"/>
      <c r="L105" s="1"/>
      <c r="T105" s="73"/>
      <c r="U105" s="73"/>
      <c r="W105" s="73"/>
      <c r="X105" s="73"/>
      <c r="Y105" s="73"/>
    </row>
    <row r="106">
      <c r="E106" s="73"/>
      <c r="F106" s="73"/>
      <c r="G106" s="74"/>
      <c r="J106" s="73"/>
      <c r="K106" s="73"/>
      <c r="L106" s="1"/>
      <c r="T106" s="73"/>
      <c r="U106" s="73"/>
      <c r="W106" s="73"/>
      <c r="X106" s="73"/>
      <c r="Y106" s="73"/>
    </row>
    <row r="107">
      <c r="E107" s="73"/>
      <c r="F107" s="73"/>
      <c r="G107" s="74"/>
      <c r="J107" s="73"/>
      <c r="K107" s="73"/>
      <c r="L107" s="1"/>
      <c r="T107" s="73"/>
      <c r="U107" s="73"/>
      <c r="W107" s="73"/>
      <c r="X107" s="73"/>
      <c r="Y107" s="73"/>
    </row>
    <row r="108">
      <c r="E108" s="73"/>
      <c r="F108" s="73"/>
      <c r="G108" s="74"/>
      <c r="J108" s="73"/>
      <c r="K108" s="73"/>
      <c r="L108" s="1"/>
      <c r="T108" s="73"/>
      <c r="U108" s="73"/>
      <c r="W108" s="73"/>
      <c r="X108" s="73"/>
      <c r="Y108" s="73"/>
    </row>
    <row r="109">
      <c r="E109" s="73"/>
      <c r="F109" s="73"/>
      <c r="G109" s="74"/>
      <c r="J109" s="73"/>
      <c r="K109" s="73"/>
      <c r="L109" s="1"/>
      <c r="T109" s="73"/>
      <c r="U109" s="73"/>
      <c r="W109" s="73"/>
      <c r="X109" s="73"/>
      <c r="Y109" s="73"/>
    </row>
    <row r="110">
      <c r="E110" s="73"/>
      <c r="F110" s="73"/>
      <c r="G110" s="74"/>
      <c r="J110" s="73"/>
      <c r="K110" s="73"/>
      <c r="L110" s="1"/>
      <c r="T110" s="73"/>
      <c r="U110" s="73"/>
      <c r="W110" s="73"/>
      <c r="X110" s="73"/>
      <c r="Y110" s="73"/>
    </row>
    <row r="111">
      <c r="E111" s="73"/>
      <c r="F111" s="73"/>
      <c r="G111" s="74"/>
      <c r="J111" s="73"/>
      <c r="K111" s="73"/>
      <c r="L111" s="1"/>
      <c r="T111" s="73"/>
      <c r="U111" s="73"/>
      <c r="W111" s="73"/>
      <c r="X111" s="73"/>
      <c r="Y111" s="73"/>
    </row>
    <row r="112">
      <c r="E112" s="73"/>
      <c r="F112" s="73"/>
      <c r="G112" s="74"/>
      <c r="J112" s="73"/>
      <c r="K112" s="73"/>
      <c r="L112" s="1"/>
      <c r="T112" s="73"/>
      <c r="U112" s="73"/>
      <c r="W112" s="73"/>
      <c r="X112" s="73"/>
      <c r="Y112" s="73"/>
    </row>
    <row r="113">
      <c r="E113" s="73"/>
      <c r="F113" s="73"/>
      <c r="G113" s="74"/>
      <c r="J113" s="73"/>
      <c r="K113" s="73"/>
      <c r="L113" s="1"/>
      <c r="T113" s="73"/>
      <c r="U113" s="73"/>
      <c r="W113" s="73"/>
      <c r="X113" s="73"/>
      <c r="Y113" s="73"/>
    </row>
    <row r="114">
      <c r="E114" s="73"/>
      <c r="F114" s="73"/>
      <c r="G114" s="74"/>
      <c r="J114" s="73"/>
      <c r="K114" s="73"/>
      <c r="L114" s="1"/>
      <c r="T114" s="73"/>
      <c r="U114" s="73"/>
      <c r="W114" s="73"/>
      <c r="X114" s="73"/>
      <c r="Y114" s="73"/>
    </row>
    <row r="115">
      <c r="E115" s="73"/>
      <c r="F115" s="73"/>
      <c r="G115" s="74"/>
      <c r="J115" s="73"/>
      <c r="K115" s="73"/>
      <c r="L115" s="1"/>
      <c r="T115" s="73"/>
      <c r="U115" s="73"/>
      <c r="W115" s="73"/>
      <c r="X115" s="73"/>
      <c r="Y115" s="73"/>
    </row>
    <row r="116">
      <c r="E116" s="73"/>
      <c r="F116" s="73"/>
      <c r="G116" s="74"/>
      <c r="J116" s="73"/>
      <c r="K116" s="73"/>
      <c r="L116" s="1"/>
      <c r="T116" s="73"/>
      <c r="U116" s="73"/>
      <c r="W116" s="73"/>
      <c r="X116" s="73"/>
      <c r="Y116" s="73"/>
    </row>
    <row r="117">
      <c r="E117" s="73"/>
      <c r="F117" s="73"/>
      <c r="G117" s="74"/>
      <c r="J117" s="73"/>
      <c r="K117" s="73"/>
      <c r="L117" s="1"/>
      <c r="T117" s="73"/>
      <c r="U117" s="73"/>
      <c r="W117" s="73"/>
      <c r="X117" s="73"/>
      <c r="Y117" s="73"/>
    </row>
    <row r="118">
      <c r="E118" s="73"/>
      <c r="F118" s="73"/>
      <c r="G118" s="74"/>
      <c r="J118" s="73"/>
      <c r="K118" s="73"/>
      <c r="L118" s="1"/>
      <c r="T118" s="73"/>
      <c r="U118" s="73"/>
      <c r="W118" s="73"/>
      <c r="X118" s="73"/>
      <c r="Y118" s="73"/>
    </row>
    <row r="119">
      <c r="E119" s="73"/>
      <c r="F119" s="73"/>
      <c r="G119" s="74"/>
      <c r="J119" s="73"/>
      <c r="K119" s="73"/>
      <c r="L119" s="1"/>
      <c r="T119" s="73"/>
      <c r="U119" s="73"/>
      <c r="W119" s="73"/>
      <c r="X119" s="73"/>
      <c r="Y119" s="73"/>
    </row>
    <row r="120">
      <c r="E120" s="73"/>
      <c r="F120" s="73"/>
      <c r="G120" s="74"/>
      <c r="J120" s="73"/>
      <c r="K120" s="73"/>
      <c r="L120" s="1"/>
      <c r="T120" s="73"/>
      <c r="U120" s="73"/>
      <c r="W120" s="73"/>
      <c r="X120" s="73"/>
      <c r="Y120" s="73"/>
    </row>
    <row r="121">
      <c r="E121" s="73"/>
      <c r="F121" s="73"/>
      <c r="G121" s="74"/>
      <c r="J121" s="73"/>
      <c r="K121" s="73"/>
      <c r="L121" s="1"/>
      <c r="T121" s="73"/>
      <c r="U121" s="73"/>
      <c r="W121" s="73"/>
      <c r="X121" s="73"/>
      <c r="Y121" s="73"/>
    </row>
    <row r="122">
      <c r="E122" s="73"/>
      <c r="F122" s="73"/>
      <c r="G122" s="74"/>
      <c r="J122" s="73"/>
      <c r="K122" s="73"/>
      <c r="L122" s="1"/>
      <c r="T122" s="73"/>
      <c r="U122" s="73"/>
      <c r="W122" s="73"/>
      <c r="X122" s="73"/>
      <c r="Y122" s="73"/>
    </row>
    <row r="123">
      <c r="E123" s="73"/>
      <c r="F123" s="73"/>
      <c r="G123" s="74"/>
      <c r="J123" s="73"/>
      <c r="K123" s="73"/>
      <c r="L123" s="1"/>
      <c r="T123" s="73"/>
      <c r="U123" s="73"/>
      <c r="W123" s="73"/>
      <c r="X123" s="73"/>
      <c r="Y123" s="73"/>
    </row>
    <row r="124">
      <c r="E124" s="73"/>
      <c r="F124" s="73"/>
      <c r="G124" s="74"/>
      <c r="J124" s="73"/>
      <c r="K124" s="73"/>
      <c r="L124" s="1"/>
      <c r="T124" s="73"/>
      <c r="U124" s="73"/>
      <c r="W124" s="73"/>
      <c r="X124" s="73"/>
      <c r="Y124" s="73"/>
    </row>
    <row r="125">
      <c r="E125" s="73"/>
      <c r="F125" s="73"/>
      <c r="G125" s="74"/>
      <c r="J125" s="73"/>
      <c r="K125" s="73"/>
      <c r="L125" s="1"/>
      <c r="T125" s="73"/>
      <c r="U125" s="73"/>
      <c r="W125" s="73"/>
      <c r="X125" s="73"/>
      <c r="Y125" s="73"/>
    </row>
    <row r="126">
      <c r="E126" s="73"/>
      <c r="F126" s="73"/>
      <c r="G126" s="74"/>
      <c r="J126" s="73"/>
      <c r="K126" s="73"/>
      <c r="L126" s="1"/>
      <c r="T126" s="73"/>
      <c r="U126" s="73"/>
      <c r="W126" s="73"/>
      <c r="X126" s="73"/>
      <c r="Y126" s="73"/>
    </row>
    <row r="127">
      <c r="E127" s="73"/>
      <c r="F127" s="73"/>
      <c r="G127" s="74"/>
      <c r="J127" s="73"/>
      <c r="K127" s="73"/>
      <c r="L127" s="1"/>
      <c r="T127" s="73"/>
      <c r="U127" s="73"/>
      <c r="W127" s="73"/>
      <c r="X127" s="73"/>
      <c r="Y127" s="73"/>
    </row>
    <row r="128">
      <c r="E128" s="73"/>
      <c r="F128" s="73"/>
      <c r="G128" s="74"/>
      <c r="J128" s="73"/>
      <c r="K128" s="73"/>
      <c r="L128" s="1"/>
      <c r="T128" s="73"/>
      <c r="U128" s="73"/>
      <c r="W128" s="73"/>
      <c r="X128" s="73"/>
      <c r="Y128" s="73"/>
    </row>
    <row r="129">
      <c r="E129" s="73"/>
      <c r="F129" s="73"/>
      <c r="G129" s="74"/>
      <c r="J129" s="73"/>
      <c r="K129" s="73"/>
      <c r="L129" s="1"/>
      <c r="T129" s="73"/>
      <c r="U129" s="73"/>
      <c r="W129" s="73"/>
      <c r="X129" s="73"/>
      <c r="Y129" s="73"/>
    </row>
    <row r="130">
      <c r="E130" s="73"/>
      <c r="F130" s="73"/>
      <c r="G130" s="74"/>
      <c r="J130" s="73"/>
      <c r="K130" s="73"/>
      <c r="L130" s="1"/>
      <c r="T130" s="73"/>
      <c r="U130" s="73"/>
      <c r="W130" s="73"/>
      <c r="X130" s="73"/>
      <c r="Y130" s="73"/>
    </row>
    <row r="131">
      <c r="E131" s="73"/>
      <c r="F131" s="73"/>
      <c r="G131" s="74"/>
      <c r="J131" s="73"/>
      <c r="K131" s="73"/>
      <c r="L131" s="1"/>
      <c r="T131" s="73"/>
      <c r="U131" s="73"/>
      <c r="W131" s="73"/>
      <c r="X131" s="73"/>
      <c r="Y131" s="73"/>
    </row>
    <row r="132">
      <c r="E132" s="73"/>
      <c r="F132" s="73"/>
      <c r="G132" s="74"/>
      <c r="J132" s="73"/>
      <c r="K132" s="73"/>
      <c r="L132" s="1"/>
      <c r="T132" s="73"/>
      <c r="U132" s="73"/>
      <c r="W132" s="73"/>
      <c r="X132" s="73"/>
      <c r="Y132" s="73"/>
    </row>
    <row r="133">
      <c r="E133" s="73"/>
      <c r="F133" s="73"/>
      <c r="G133" s="74"/>
      <c r="J133" s="73"/>
      <c r="K133" s="73"/>
      <c r="L133" s="1"/>
      <c r="T133" s="73"/>
      <c r="U133" s="73"/>
      <c r="W133" s="73"/>
      <c r="X133" s="73"/>
      <c r="Y133" s="73"/>
    </row>
    <row r="134">
      <c r="E134" s="73"/>
      <c r="F134" s="73"/>
      <c r="G134" s="74"/>
      <c r="J134" s="73"/>
      <c r="K134" s="73"/>
      <c r="L134" s="1"/>
      <c r="T134" s="73"/>
      <c r="U134" s="73"/>
      <c r="W134" s="73"/>
      <c r="X134" s="73"/>
      <c r="Y134" s="73"/>
    </row>
    <row r="135">
      <c r="E135" s="73"/>
      <c r="F135" s="73"/>
      <c r="G135" s="74"/>
      <c r="J135" s="73"/>
      <c r="K135" s="73"/>
      <c r="L135" s="1"/>
      <c r="T135" s="73"/>
      <c r="U135" s="73"/>
      <c r="W135" s="73"/>
      <c r="X135" s="73"/>
      <c r="Y135" s="73"/>
    </row>
    <row r="136">
      <c r="E136" s="73"/>
      <c r="F136" s="73"/>
      <c r="G136" s="74"/>
      <c r="J136" s="73"/>
      <c r="K136" s="73"/>
      <c r="L136" s="1"/>
      <c r="T136" s="73"/>
      <c r="U136" s="73"/>
      <c r="W136" s="73"/>
      <c r="X136" s="73"/>
      <c r="Y136" s="73"/>
    </row>
    <row r="137">
      <c r="E137" s="73"/>
      <c r="F137" s="73"/>
      <c r="G137" s="74"/>
      <c r="J137" s="73"/>
      <c r="K137" s="73"/>
      <c r="L137" s="1"/>
      <c r="T137" s="73"/>
      <c r="U137" s="73"/>
      <c r="W137" s="73"/>
      <c r="X137" s="73"/>
      <c r="Y137" s="73"/>
    </row>
    <row r="138">
      <c r="E138" s="73"/>
      <c r="F138" s="73"/>
      <c r="G138" s="74"/>
      <c r="J138" s="73"/>
      <c r="K138" s="73"/>
      <c r="L138" s="1"/>
      <c r="T138" s="73"/>
      <c r="U138" s="73"/>
      <c r="W138" s="73"/>
      <c r="X138" s="73"/>
      <c r="Y138" s="73"/>
    </row>
    <row r="139">
      <c r="E139" s="73"/>
      <c r="F139" s="73"/>
      <c r="G139" s="74"/>
      <c r="J139" s="73"/>
      <c r="K139" s="73"/>
      <c r="L139" s="1"/>
      <c r="T139" s="73"/>
      <c r="U139" s="73"/>
      <c r="W139" s="73"/>
      <c r="X139" s="73"/>
      <c r="Y139" s="73"/>
    </row>
    <row r="140">
      <c r="E140" s="73"/>
      <c r="F140" s="73"/>
      <c r="G140" s="74"/>
      <c r="J140" s="73"/>
      <c r="K140" s="73"/>
      <c r="L140" s="1"/>
      <c r="T140" s="73"/>
      <c r="U140" s="73"/>
      <c r="W140" s="73"/>
      <c r="X140" s="73"/>
      <c r="Y140" s="73"/>
    </row>
    <row r="141">
      <c r="E141" s="73"/>
      <c r="F141" s="73"/>
      <c r="G141" s="74"/>
      <c r="J141" s="73"/>
      <c r="K141" s="73"/>
      <c r="L141" s="1"/>
      <c r="T141" s="73"/>
      <c r="U141" s="73"/>
      <c r="W141" s="73"/>
      <c r="X141" s="73"/>
      <c r="Y141" s="73"/>
    </row>
    <row r="142">
      <c r="E142" s="73"/>
      <c r="F142" s="73"/>
      <c r="G142" s="74"/>
      <c r="J142" s="73"/>
      <c r="K142" s="73"/>
      <c r="L142" s="1"/>
      <c r="T142" s="73"/>
      <c r="U142" s="73"/>
      <c r="W142" s="73"/>
      <c r="X142" s="73"/>
      <c r="Y142" s="73"/>
    </row>
    <row r="143">
      <c r="E143" s="73"/>
      <c r="F143" s="73"/>
      <c r="G143" s="74"/>
      <c r="J143" s="73"/>
      <c r="K143" s="73"/>
      <c r="L143" s="1"/>
      <c r="T143" s="73"/>
      <c r="U143" s="73"/>
      <c r="W143" s="73"/>
      <c r="X143" s="73"/>
      <c r="Y143" s="73"/>
    </row>
    <row r="144">
      <c r="E144" s="73"/>
      <c r="F144" s="73"/>
      <c r="G144" s="74"/>
      <c r="J144" s="73"/>
      <c r="K144" s="73"/>
      <c r="L144" s="1"/>
      <c r="T144" s="73"/>
      <c r="U144" s="73"/>
      <c r="W144" s="73"/>
      <c r="X144" s="73"/>
      <c r="Y144" s="73"/>
    </row>
    <row r="145">
      <c r="E145" s="73"/>
      <c r="F145" s="73"/>
      <c r="G145" s="74"/>
      <c r="J145" s="73"/>
      <c r="K145" s="73"/>
      <c r="L145" s="1"/>
      <c r="T145" s="73"/>
      <c r="U145" s="73"/>
      <c r="W145" s="73"/>
      <c r="X145" s="73"/>
      <c r="Y145" s="73"/>
    </row>
    <row r="146">
      <c r="E146" s="73"/>
      <c r="F146" s="73"/>
      <c r="G146" s="74"/>
      <c r="J146" s="73"/>
      <c r="K146" s="73"/>
      <c r="L146" s="1"/>
      <c r="T146" s="73"/>
      <c r="U146" s="73"/>
      <c r="W146" s="73"/>
      <c r="X146" s="73"/>
      <c r="Y146" s="73"/>
    </row>
    <row r="147">
      <c r="E147" s="73"/>
      <c r="F147" s="73"/>
      <c r="G147" s="74"/>
      <c r="J147" s="73"/>
      <c r="K147" s="73"/>
      <c r="L147" s="1"/>
      <c r="T147" s="73"/>
      <c r="U147" s="73"/>
      <c r="W147" s="73"/>
      <c r="X147" s="73"/>
      <c r="Y147" s="73"/>
    </row>
    <row r="148">
      <c r="E148" s="73"/>
      <c r="F148" s="73"/>
      <c r="G148" s="74"/>
      <c r="J148" s="73"/>
      <c r="K148" s="73"/>
      <c r="L148" s="1"/>
      <c r="T148" s="73"/>
      <c r="U148" s="73"/>
      <c r="W148" s="73"/>
      <c r="X148" s="73"/>
      <c r="Y148" s="73"/>
    </row>
    <row r="149">
      <c r="E149" s="73"/>
      <c r="F149" s="73"/>
      <c r="G149" s="74"/>
      <c r="J149" s="73"/>
      <c r="K149" s="73"/>
      <c r="L149" s="1"/>
      <c r="T149" s="73"/>
      <c r="U149" s="73"/>
      <c r="W149" s="73"/>
      <c r="X149" s="73"/>
      <c r="Y149" s="73"/>
    </row>
    <row r="150">
      <c r="E150" s="73"/>
      <c r="F150" s="73"/>
      <c r="G150" s="74"/>
      <c r="J150" s="73"/>
      <c r="K150" s="73"/>
      <c r="L150" s="1"/>
      <c r="T150" s="73"/>
      <c r="U150" s="73"/>
      <c r="W150" s="73"/>
      <c r="X150" s="73"/>
      <c r="Y150" s="73"/>
    </row>
    <row r="151">
      <c r="E151" s="73"/>
      <c r="F151" s="73"/>
      <c r="G151" s="74"/>
      <c r="J151" s="73"/>
      <c r="K151" s="73"/>
      <c r="L151" s="1"/>
      <c r="T151" s="73"/>
      <c r="U151" s="73"/>
      <c r="W151" s="73"/>
      <c r="X151" s="73"/>
      <c r="Y151" s="73"/>
    </row>
    <row r="152">
      <c r="E152" s="73"/>
      <c r="F152" s="73"/>
      <c r="G152" s="74"/>
      <c r="J152" s="73"/>
      <c r="K152" s="73"/>
      <c r="L152" s="1"/>
      <c r="T152" s="73"/>
      <c r="U152" s="73"/>
      <c r="W152" s="73"/>
      <c r="X152" s="73"/>
      <c r="Y152" s="73"/>
    </row>
    <row r="153">
      <c r="E153" s="73"/>
      <c r="F153" s="73"/>
      <c r="G153" s="74"/>
      <c r="J153" s="73"/>
      <c r="K153" s="73"/>
      <c r="L153" s="1"/>
      <c r="T153" s="73"/>
      <c r="U153" s="73"/>
      <c r="W153" s="73"/>
      <c r="X153" s="73"/>
      <c r="Y153" s="73"/>
    </row>
    <row r="154">
      <c r="E154" s="73"/>
      <c r="F154" s="73"/>
      <c r="G154" s="74"/>
      <c r="J154" s="73"/>
      <c r="K154" s="73"/>
      <c r="L154" s="1"/>
      <c r="T154" s="73"/>
      <c r="U154" s="73"/>
      <c r="W154" s="73"/>
      <c r="X154" s="73"/>
      <c r="Y154" s="73"/>
    </row>
    <row r="155">
      <c r="E155" s="73"/>
      <c r="F155" s="73"/>
      <c r="G155" s="74"/>
      <c r="J155" s="73"/>
      <c r="K155" s="73"/>
      <c r="L155" s="1"/>
      <c r="T155" s="73"/>
      <c r="U155" s="73"/>
      <c r="W155" s="73"/>
      <c r="X155" s="73"/>
      <c r="Y155" s="73"/>
    </row>
    <row r="156">
      <c r="E156" s="73"/>
      <c r="F156" s="73"/>
      <c r="G156" s="74"/>
      <c r="J156" s="73"/>
      <c r="K156" s="73"/>
      <c r="L156" s="1"/>
      <c r="T156" s="73"/>
      <c r="U156" s="73"/>
      <c r="W156" s="73"/>
      <c r="X156" s="73"/>
      <c r="Y156" s="73"/>
    </row>
    <row r="157">
      <c r="E157" s="73"/>
      <c r="F157" s="73"/>
      <c r="G157" s="74"/>
      <c r="J157" s="73"/>
      <c r="K157" s="73"/>
      <c r="L157" s="1"/>
      <c r="T157" s="73"/>
      <c r="U157" s="73"/>
      <c r="W157" s="73"/>
      <c r="X157" s="73"/>
      <c r="Y157" s="73"/>
    </row>
    <row r="158">
      <c r="E158" s="73"/>
      <c r="F158" s="73"/>
      <c r="G158" s="74"/>
      <c r="J158" s="73"/>
      <c r="K158" s="73"/>
      <c r="L158" s="1"/>
      <c r="T158" s="73"/>
      <c r="U158" s="73"/>
      <c r="W158" s="73"/>
      <c r="X158" s="73"/>
      <c r="Y158" s="73"/>
    </row>
    <row r="159">
      <c r="E159" s="73"/>
      <c r="F159" s="73"/>
      <c r="G159" s="74"/>
      <c r="J159" s="73"/>
      <c r="K159" s="73"/>
      <c r="L159" s="1"/>
      <c r="T159" s="73"/>
      <c r="U159" s="73"/>
      <c r="W159" s="73"/>
      <c r="X159" s="73"/>
      <c r="Y159" s="73"/>
    </row>
    <row r="160">
      <c r="E160" s="73"/>
      <c r="F160" s="73"/>
      <c r="G160" s="74"/>
      <c r="J160" s="73"/>
      <c r="K160" s="73"/>
      <c r="L160" s="1"/>
      <c r="T160" s="73"/>
      <c r="U160" s="73"/>
      <c r="W160" s="73"/>
      <c r="X160" s="73"/>
      <c r="Y160" s="73"/>
    </row>
    <row r="161">
      <c r="E161" s="73"/>
      <c r="F161" s="73"/>
      <c r="G161" s="74"/>
      <c r="J161" s="73"/>
      <c r="K161" s="73"/>
      <c r="L161" s="1"/>
      <c r="T161" s="73"/>
      <c r="U161" s="73"/>
      <c r="W161" s="73"/>
      <c r="X161" s="73"/>
      <c r="Y161" s="73"/>
    </row>
    <row r="162">
      <c r="E162" s="73"/>
      <c r="F162" s="73"/>
      <c r="G162" s="74"/>
      <c r="J162" s="73"/>
      <c r="K162" s="73"/>
      <c r="L162" s="1"/>
      <c r="T162" s="73"/>
      <c r="U162" s="73"/>
      <c r="W162" s="73"/>
      <c r="X162" s="73"/>
      <c r="Y162" s="73"/>
    </row>
    <row r="163">
      <c r="E163" s="73"/>
      <c r="F163" s="73"/>
      <c r="G163" s="74"/>
      <c r="J163" s="73"/>
      <c r="K163" s="73"/>
      <c r="L163" s="1"/>
      <c r="T163" s="73"/>
      <c r="U163" s="73"/>
      <c r="W163" s="73"/>
      <c r="X163" s="73"/>
      <c r="Y163" s="73"/>
    </row>
    <row r="164">
      <c r="E164" s="73"/>
      <c r="F164" s="73"/>
      <c r="G164" s="74"/>
      <c r="J164" s="73"/>
      <c r="K164" s="73"/>
      <c r="L164" s="1"/>
      <c r="T164" s="73"/>
      <c r="U164" s="73"/>
      <c r="W164" s="73"/>
      <c r="X164" s="73"/>
      <c r="Y164" s="73"/>
    </row>
    <row r="165">
      <c r="E165" s="73"/>
      <c r="F165" s="73"/>
      <c r="G165" s="74"/>
      <c r="J165" s="73"/>
      <c r="K165" s="73"/>
      <c r="L165" s="1"/>
      <c r="T165" s="73"/>
      <c r="U165" s="73"/>
      <c r="W165" s="73"/>
      <c r="X165" s="73"/>
      <c r="Y165" s="73"/>
    </row>
    <row r="166">
      <c r="E166" s="73"/>
      <c r="F166" s="73"/>
      <c r="G166" s="74"/>
      <c r="J166" s="73"/>
      <c r="K166" s="73"/>
      <c r="L166" s="1"/>
      <c r="T166" s="73"/>
      <c r="U166" s="73"/>
      <c r="W166" s="73"/>
      <c r="X166" s="73"/>
      <c r="Y166" s="73"/>
    </row>
    <row r="167">
      <c r="E167" s="73"/>
      <c r="F167" s="73"/>
      <c r="G167" s="74"/>
      <c r="J167" s="73"/>
      <c r="K167" s="73"/>
      <c r="L167" s="1"/>
      <c r="T167" s="73"/>
      <c r="U167" s="73"/>
      <c r="W167" s="73"/>
      <c r="X167" s="73"/>
      <c r="Y167" s="73"/>
    </row>
    <row r="168">
      <c r="E168" s="73"/>
      <c r="F168" s="73"/>
      <c r="G168" s="74"/>
      <c r="J168" s="73"/>
      <c r="K168" s="73"/>
      <c r="L168" s="1"/>
      <c r="T168" s="73"/>
      <c r="U168" s="73"/>
      <c r="W168" s="73"/>
      <c r="X168" s="73"/>
      <c r="Y168" s="73"/>
    </row>
    <row r="169">
      <c r="E169" s="73"/>
      <c r="F169" s="73"/>
      <c r="G169" s="74"/>
      <c r="J169" s="73"/>
      <c r="K169" s="73"/>
      <c r="L169" s="1"/>
      <c r="T169" s="73"/>
      <c r="U169" s="73"/>
      <c r="W169" s="73"/>
      <c r="X169" s="73"/>
      <c r="Y169" s="73"/>
    </row>
    <row r="170">
      <c r="E170" s="73"/>
      <c r="F170" s="73"/>
      <c r="G170" s="74"/>
      <c r="J170" s="73"/>
      <c r="K170" s="73"/>
      <c r="L170" s="1"/>
      <c r="T170" s="73"/>
      <c r="U170" s="73"/>
      <c r="W170" s="73"/>
      <c r="X170" s="73"/>
      <c r="Y170" s="73"/>
    </row>
    <row r="171">
      <c r="E171" s="73"/>
      <c r="F171" s="73"/>
      <c r="G171" s="74"/>
      <c r="J171" s="73"/>
      <c r="K171" s="73"/>
      <c r="L171" s="1"/>
      <c r="T171" s="73"/>
      <c r="U171" s="73"/>
      <c r="W171" s="73"/>
      <c r="X171" s="73"/>
      <c r="Y171" s="73"/>
    </row>
    <row r="172">
      <c r="E172" s="73"/>
      <c r="F172" s="73"/>
      <c r="G172" s="74"/>
      <c r="J172" s="73"/>
      <c r="K172" s="73"/>
      <c r="L172" s="1"/>
      <c r="T172" s="73"/>
      <c r="U172" s="73"/>
      <c r="W172" s="73"/>
      <c r="X172" s="73"/>
      <c r="Y172" s="73"/>
    </row>
    <row r="173">
      <c r="E173" s="73"/>
      <c r="F173" s="73"/>
      <c r="G173" s="74"/>
      <c r="J173" s="73"/>
      <c r="K173" s="73"/>
      <c r="L173" s="1"/>
      <c r="T173" s="73"/>
      <c r="U173" s="73"/>
      <c r="W173" s="73"/>
      <c r="X173" s="73"/>
      <c r="Y173" s="73"/>
    </row>
    <row r="174">
      <c r="E174" s="73"/>
      <c r="F174" s="73"/>
      <c r="G174" s="74"/>
      <c r="J174" s="73"/>
      <c r="K174" s="73"/>
      <c r="L174" s="1"/>
      <c r="T174" s="73"/>
      <c r="U174" s="73"/>
      <c r="W174" s="73"/>
      <c r="X174" s="73"/>
      <c r="Y174" s="73"/>
    </row>
    <row r="175">
      <c r="E175" s="73"/>
      <c r="F175" s="73"/>
      <c r="G175" s="74"/>
      <c r="J175" s="73"/>
      <c r="K175" s="73"/>
      <c r="L175" s="1"/>
      <c r="T175" s="73"/>
      <c r="U175" s="73"/>
      <c r="W175" s="73"/>
      <c r="X175" s="73"/>
      <c r="Y175" s="73"/>
    </row>
    <row r="176">
      <c r="E176" s="73"/>
      <c r="F176" s="73"/>
      <c r="G176" s="74"/>
      <c r="J176" s="73"/>
      <c r="K176" s="73"/>
      <c r="L176" s="1"/>
      <c r="T176" s="73"/>
      <c r="U176" s="73"/>
      <c r="W176" s="73"/>
      <c r="X176" s="73"/>
      <c r="Y176" s="73"/>
    </row>
    <row r="177">
      <c r="E177" s="73"/>
      <c r="F177" s="73"/>
      <c r="G177" s="74"/>
      <c r="J177" s="73"/>
      <c r="K177" s="73"/>
      <c r="L177" s="1"/>
      <c r="T177" s="73"/>
      <c r="U177" s="73"/>
      <c r="W177" s="73"/>
      <c r="X177" s="73"/>
      <c r="Y177" s="73"/>
    </row>
    <row r="178">
      <c r="E178" s="73"/>
      <c r="F178" s="73"/>
      <c r="G178" s="74"/>
      <c r="J178" s="73"/>
      <c r="K178" s="73"/>
      <c r="L178" s="1"/>
      <c r="T178" s="73"/>
      <c r="U178" s="73"/>
      <c r="W178" s="73"/>
      <c r="X178" s="73"/>
      <c r="Y178" s="73"/>
    </row>
    <row r="179">
      <c r="E179" s="73"/>
      <c r="F179" s="73"/>
      <c r="G179" s="74"/>
      <c r="J179" s="73"/>
      <c r="K179" s="73"/>
      <c r="L179" s="1"/>
      <c r="T179" s="73"/>
      <c r="U179" s="73"/>
      <c r="W179" s="73"/>
      <c r="X179" s="73"/>
      <c r="Y179" s="73"/>
    </row>
    <row r="180">
      <c r="E180" s="73"/>
      <c r="F180" s="73"/>
      <c r="G180" s="74"/>
      <c r="J180" s="73"/>
      <c r="K180" s="73"/>
      <c r="L180" s="1"/>
      <c r="T180" s="73"/>
      <c r="U180" s="73"/>
      <c r="W180" s="73"/>
      <c r="X180" s="73"/>
      <c r="Y180" s="73"/>
    </row>
    <row r="181">
      <c r="E181" s="73"/>
      <c r="F181" s="73"/>
      <c r="G181" s="74"/>
      <c r="J181" s="73"/>
      <c r="K181" s="73"/>
      <c r="L181" s="1"/>
      <c r="T181" s="73"/>
      <c r="U181" s="73"/>
      <c r="W181" s="73"/>
      <c r="X181" s="73"/>
      <c r="Y181" s="73"/>
    </row>
    <row r="182">
      <c r="E182" s="73"/>
      <c r="F182" s="73"/>
      <c r="G182" s="74"/>
      <c r="J182" s="73"/>
      <c r="K182" s="73"/>
      <c r="L182" s="1"/>
      <c r="T182" s="73"/>
      <c r="U182" s="73"/>
      <c r="W182" s="73"/>
      <c r="X182" s="73"/>
      <c r="Y182" s="73"/>
    </row>
    <row r="183">
      <c r="E183" s="73"/>
      <c r="F183" s="73"/>
      <c r="G183" s="74"/>
      <c r="J183" s="73"/>
      <c r="K183" s="73"/>
      <c r="L183" s="1"/>
      <c r="T183" s="73"/>
      <c r="U183" s="73"/>
      <c r="W183" s="73"/>
      <c r="X183" s="73"/>
      <c r="Y183" s="73"/>
    </row>
    <row r="184">
      <c r="E184" s="73"/>
      <c r="F184" s="73"/>
      <c r="G184" s="74"/>
      <c r="J184" s="73"/>
      <c r="K184" s="73"/>
      <c r="L184" s="1"/>
      <c r="T184" s="73"/>
      <c r="U184" s="73"/>
      <c r="W184" s="73"/>
      <c r="X184" s="73"/>
      <c r="Y184" s="73"/>
    </row>
    <row r="185">
      <c r="E185" s="73"/>
      <c r="F185" s="73"/>
      <c r="G185" s="74"/>
      <c r="J185" s="73"/>
      <c r="K185" s="73"/>
      <c r="L185" s="1"/>
      <c r="T185" s="73"/>
      <c r="U185" s="73"/>
      <c r="W185" s="73"/>
      <c r="X185" s="73"/>
      <c r="Y185" s="73"/>
    </row>
    <row r="186">
      <c r="E186" s="73"/>
      <c r="F186" s="73"/>
      <c r="G186" s="74"/>
      <c r="J186" s="73"/>
      <c r="K186" s="73"/>
      <c r="L186" s="1"/>
      <c r="T186" s="73"/>
      <c r="U186" s="73"/>
      <c r="W186" s="73"/>
      <c r="X186" s="73"/>
      <c r="Y186" s="73"/>
    </row>
    <row r="187">
      <c r="E187" s="73"/>
      <c r="F187" s="73"/>
      <c r="G187" s="74"/>
      <c r="J187" s="73"/>
      <c r="K187" s="73"/>
      <c r="L187" s="1"/>
      <c r="T187" s="73"/>
      <c r="U187" s="73"/>
      <c r="W187" s="73"/>
      <c r="X187" s="73"/>
      <c r="Y187" s="73"/>
    </row>
    <row r="188">
      <c r="E188" s="73"/>
      <c r="F188" s="73"/>
      <c r="G188" s="74"/>
      <c r="J188" s="73"/>
      <c r="K188" s="73"/>
      <c r="L188" s="1"/>
      <c r="T188" s="73"/>
      <c r="U188" s="73"/>
      <c r="W188" s="73"/>
      <c r="X188" s="73"/>
      <c r="Y188" s="73"/>
    </row>
    <row r="189">
      <c r="E189" s="73"/>
      <c r="F189" s="73"/>
      <c r="G189" s="74"/>
      <c r="J189" s="73"/>
      <c r="K189" s="73"/>
      <c r="L189" s="1"/>
      <c r="T189" s="73"/>
      <c r="U189" s="73"/>
      <c r="W189" s="73"/>
      <c r="X189" s="73"/>
      <c r="Y189" s="73"/>
    </row>
    <row r="190">
      <c r="E190" s="73"/>
      <c r="F190" s="73"/>
      <c r="G190" s="74"/>
      <c r="J190" s="73"/>
      <c r="K190" s="73"/>
      <c r="L190" s="1"/>
      <c r="T190" s="73"/>
      <c r="U190" s="73"/>
      <c r="W190" s="73"/>
      <c r="X190" s="73"/>
      <c r="Y190" s="73"/>
    </row>
    <row r="191">
      <c r="E191" s="73"/>
      <c r="F191" s="73"/>
      <c r="G191" s="74"/>
      <c r="J191" s="73"/>
      <c r="K191" s="73"/>
      <c r="L191" s="1"/>
      <c r="T191" s="73"/>
      <c r="U191" s="73"/>
      <c r="W191" s="73"/>
      <c r="X191" s="73"/>
      <c r="Y191" s="73"/>
    </row>
    <row r="192">
      <c r="E192" s="73"/>
      <c r="F192" s="73"/>
      <c r="G192" s="74"/>
      <c r="J192" s="73"/>
      <c r="K192" s="73"/>
      <c r="L192" s="1"/>
      <c r="T192" s="73"/>
      <c r="U192" s="73"/>
      <c r="W192" s="73"/>
      <c r="X192" s="73"/>
      <c r="Y192" s="73"/>
    </row>
    <row r="193">
      <c r="E193" s="73"/>
      <c r="F193" s="73"/>
      <c r="G193" s="74"/>
      <c r="J193" s="73"/>
      <c r="K193" s="73"/>
      <c r="L193" s="1"/>
      <c r="T193" s="73"/>
      <c r="U193" s="73"/>
      <c r="W193" s="73"/>
      <c r="X193" s="73"/>
      <c r="Y193" s="73"/>
    </row>
    <row r="194">
      <c r="E194" s="73"/>
      <c r="F194" s="73"/>
      <c r="G194" s="74"/>
      <c r="J194" s="73"/>
      <c r="K194" s="73"/>
      <c r="L194" s="1"/>
      <c r="T194" s="73"/>
      <c r="U194" s="73"/>
      <c r="W194" s="73"/>
      <c r="X194" s="73"/>
      <c r="Y194" s="73"/>
    </row>
    <row r="195">
      <c r="E195" s="73"/>
      <c r="F195" s="73"/>
      <c r="G195" s="74"/>
      <c r="J195" s="73"/>
      <c r="K195" s="73"/>
      <c r="L195" s="1"/>
      <c r="T195" s="73"/>
      <c r="U195" s="73"/>
      <c r="W195" s="73"/>
      <c r="X195" s="73"/>
      <c r="Y195" s="73"/>
    </row>
    <row r="196">
      <c r="E196" s="73"/>
      <c r="F196" s="73"/>
      <c r="G196" s="74"/>
      <c r="J196" s="73"/>
      <c r="K196" s="73"/>
      <c r="L196" s="1"/>
      <c r="T196" s="73"/>
      <c r="U196" s="73"/>
      <c r="W196" s="73"/>
      <c r="X196" s="73"/>
      <c r="Y196" s="73"/>
    </row>
    <row r="197">
      <c r="E197" s="73"/>
      <c r="F197" s="73"/>
      <c r="G197" s="74"/>
      <c r="J197" s="73"/>
      <c r="K197" s="73"/>
      <c r="L197" s="1"/>
      <c r="T197" s="73"/>
      <c r="U197" s="73"/>
      <c r="W197" s="73"/>
      <c r="X197" s="73"/>
      <c r="Y197" s="73"/>
    </row>
    <row r="198">
      <c r="E198" s="73"/>
      <c r="F198" s="73"/>
      <c r="G198" s="74"/>
      <c r="J198" s="73"/>
      <c r="K198" s="73"/>
      <c r="L198" s="1"/>
      <c r="T198" s="73"/>
      <c r="U198" s="73"/>
      <c r="W198" s="73"/>
      <c r="X198" s="73"/>
      <c r="Y198" s="73"/>
    </row>
    <row r="199">
      <c r="E199" s="73"/>
      <c r="F199" s="73"/>
      <c r="G199" s="74"/>
      <c r="J199" s="73"/>
      <c r="K199" s="73"/>
      <c r="L199" s="1"/>
      <c r="T199" s="73"/>
      <c r="U199" s="73"/>
      <c r="W199" s="73"/>
      <c r="X199" s="73"/>
      <c r="Y199" s="73"/>
    </row>
    <row r="200">
      <c r="E200" s="73"/>
      <c r="F200" s="73"/>
      <c r="G200" s="74"/>
      <c r="J200" s="73"/>
      <c r="K200" s="73"/>
      <c r="L200" s="1"/>
      <c r="T200" s="73"/>
      <c r="U200" s="73"/>
      <c r="W200" s="73"/>
      <c r="X200" s="73"/>
      <c r="Y200" s="73"/>
    </row>
    <row r="201">
      <c r="E201" s="73"/>
      <c r="F201" s="73"/>
      <c r="G201" s="74"/>
      <c r="J201" s="73"/>
      <c r="K201" s="73"/>
      <c r="L201" s="1"/>
      <c r="T201" s="73"/>
      <c r="U201" s="73"/>
      <c r="W201" s="73"/>
      <c r="X201" s="73"/>
      <c r="Y201" s="73"/>
    </row>
    <row r="202">
      <c r="E202" s="73"/>
      <c r="F202" s="73"/>
      <c r="G202" s="74"/>
      <c r="J202" s="73"/>
      <c r="K202" s="73"/>
      <c r="L202" s="1"/>
      <c r="T202" s="73"/>
      <c r="U202" s="73"/>
      <c r="W202" s="73"/>
      <c r="X202" s="73"/>
      <c r="Y202" s="73"/>
    </row>
    <row r="203">
      <c r="E203" s="73"/>
      <c r="F203" s="73"/>
      <c r="G203" s="74"/>
      <c r="J203" s="73"/>
      <c r="K203" s="73"/>
      <c r="L203" s="1"/>
      <c r="T203" s="73"/>
      <c r="U203" s="73"/>
      <c r="W203" s="73"/>
      <c r="X203" s="73"/>
      <c r="Y203" s="73"/>
    </row>
    <row r="204">
      <c r="E204" s="73"/>
      <c r="F204" s="73"/>
      <c r="G204" s="74"/>
      <c r="J204" s="73"/>
      <c r="K204" s="73"/>
      <c r="L204" s="1"/>
      <c r="T204" s="73"/>
      <c r="U204" s="73"/>
      <c r="W204" s="73"/>
      <c r="X204" s="73"/>
      <c r="Y204" s="73"/>
    </row>
    <row r="205">
      <c r="E205" s="73"/>
      <c r="F205" s="73"/>
      <c r="G205" s="74"/>
      <c r="J205" s="73"/>
      <c r="K205" s="73"/>
      <c r="L205" s="1"/>
      <c r="T205" s="73"/>
      <c r="U205" s="73"/>
      <c r="W205" s="73"/>
      <c r="X205" s="73"/>
      <c r="Y205" s="73"/>
    </row>
    <row r="206">
      <c r="E206" s="73"/>
      <c r="F206" s="73"/>
      <c r="G206" s="74"/>
      <c r="J206" s="73"/>
      <c r="K206" s="73"/>
      <c r="L206" s="1"/>
      <c r="T206" s="73"/>
      <c r="U206" s="73"/>
      <c r="W206" s="73"/>
      <c r="X206" s="73"/>
      <c r="Y206" s="73"/>
    </row>
    <row r="207">
      <c r="E207" s="73"/>
      <c r="F207" s="73"/>
      <c r="G207" s="74"/>
      <c r="J207" s="73"/>
      <c r="K207" s="73"/>
      <c r="L207" s="1"/>
      <c r="T207" s="73"/>
      <c r="U207" s="73"/>
      <c r="W207" s="73"/>
      <c r="X207" s="73"/>
      <c r="Y207" s="73"/>
    </row>
    <row r="208">
      <c r="E208" s="73"/>
      <c r="F208" s="73"/>
      <c r="G208" s="74"/>
      <c r="J208" s="73"/>
      <c r="K208" s="73"/>
      <c r="L208" s="1"/>
      <c r="T208" s="73"/>
      <c r="U208" s="73"/>
      <c r="W208" s="73"/>
      <c r="X208" s="73"/>
      <c r="Y208" s="73"/>
    </row>
    <row r="209">
      <c r="E209" s="73"/>
      <c r="F209" s="73"/>
      <c r="G209" s="74"/>
      <c r="J209" s="73"/>
      <c r="K209" s="73"/>
      <c r="L209" s="1"/>
      <c r="T209" s="73"/>
      <c r="U209" s="73"/>
      <c r="W209" s="73"/>
      <c r="X209" s="73"/>
      <c r="Y209" s="73"/>
    </row>
    <row r="210">
      <c r="E210" s="73"/>
      <c r="F210" s="73"/>
      <c r="G210" s="74"/>
      <c r="J210" s="73"/>
      <c r="K210" s="73"/>
      <c r="L210" s="1"/>
      <c r="T210" s="73"/>
      <c r="U210" s="73"/>
      <c r="W210" s="73"/>
      <c r="X210" s="73"/>
      <c r="Y210" s="73"/>
    </row>
    <row r="211">
      <c r="E211" s="73"/>
      <c r="F211" s="73"/>
      <c r="G211" s="74"/>
      <c r="J211" s="73"/>
      <c r="K211" s="73"/>
      <c r="L211" s="1"/>
      <c r="T211" s="73"/>
      <c r="U211" s="73"/>
      <c r="W211" s="73"/>
      <c r="X211" s="73"/>
      <c r="Y211" s="73"/>
    </row>
    <row r="212">
      <c r="E212" s="73"/>
      <c r="F212" s="73"/>
      <c r="G212" s="74"/>
      <c r="J212" s="73"/>
      <c r="K212" s="73"/>
      <c r="L212" s="1"/>
      <c r="T212" s="73"/>
      <c r="U212" s="73"/>
      <c r="W212" s="73"/>
      <c r="X212" s="73"/>
      <c r="Y212" s="73"/>
    </row>
    <row r="213">
      <c r="E213" s="73"/>
      <c r="F213" s="73"/>
      <c r="G213" s="74"/>
      <c r="J213" s="73"/>
      <c r="K213" s="73"/>
      <c r="L213" s="1"/>
      <c r="T213" s="73"/>
      <c r="U213" s="73"/>
      <c r="W213" s="73"/>
      <c r="X213" s="73"/>
      <c r="Y213" s="73"/>
    </row>
    <row r="214">
      <c r="E214" s="73"/>
      <c r="F214" s="73"/>
      <c r="G214" s="74"/>
      <c r="J214" s="73"/>
      <c r="K214" s="73"/>
      <c r="L214" s="1"/>
      <c r="T214" s="73"/>
      <c r="U214" s="73"/>
      <c r="W214" s="73"/>
      <c r="X214" s="73"/>
      <c r="Y214" s="73"/>
    </row>
    <row r="215">
      <c r="E215" s="73"/>
      <c r="F215" s="73"/>
      <c r="G215" s="74"/>
      <c r="J215" s="73"/>
      <c r="K215" s="73"/>
      <c r="L215" s="1"/>
      <c r="T215" s="73"/>
      <c r="U215" s="73"/>
      <c r="W215" s="73"/>
      <c r="X215" s="73"/>
      <c r="Y215" s="73"/>
    </row>
    <row r="216">
      <c r="E216" s="73"/>
      <c r="F216" s="73"/>
      <c r="G216" s="74"/>
      <c r="J216" s="73"/>
      <c r="K216" s="73"/>
      <c r="L216" s="1"/>
      <c r="T216" s="73"/>
      <c r="U216" s="73"/>
      <c r="W216" s="73"/>
      <c r="X216" s="73"/>
      <c r="Y216" s="73"/>
    </row>
    <row r="217">
      <c r="E217" s="73"/>
      <c r="F217" s="73"/>
      <c r="G217" s="74"/>
      <c r="J217" s="73"/>
      <c r="K217" s="73"/>
      <c r="L217" s="1"/>
      <c r="T217" s="73"/>
      <c r="U217" s="73"/>
      <c r="W217" s="73"/>
      <c r="X217" s="73"/>
      <c r="Y217" s="73"/>
    </row>
    <row r="218">
      <c r="E218" s="73"/>
      <c r="F218" s="73"/>
      <c r="G218" s="74"/>
      <c r="J218" s="73"/>
      <c r="K218" s="73"/>
      <c r="L218" s="1"/>
      <c r="T218" s="73"/>
      <c r="U218" s="73"/>
      <c r="W218" s="73"/>
      <c r="X218" s="73"/>
      <c r="Y218" s="73"/>
    </row>
    <row r="219">
      <c r="E219" s="73"/>
      <c r="F219" s="73"/>
      <c r="G219" s="74"/>
      <c r="J219" s="73"/>
      <c r="K219" s="73"/>
      <c r="L219" s="1"/>
      <c r="T219" s="73"/>
      <c r="U219" s="73"/>
      <c r="W219" s="73"/>
      <c r="X219" s="73"/>
      <c r="Y219" s="73"/>
    </row>
    <row r="220">
      <c r="E220" s="73"/>
      <c r="F220" s="73"/>
      <c r="G220" s="74"/>
      <c r="J220" s="73"/>
      <c r="K220" s="73"/>
      <c r="L220" s="1"/>
      <c r="T220" s="73"/>
      <c r="U220" s="73"/>
      <c r="W220" s="73"/>
      <c r="X220" s="73"/>
      <c r="Y220" s="73"/>
    </row>
    <row r="221">
      <c r="E221" s="73"/>
      <c r="F221" s="73"/>
      <c r="G221" s="74"/>
      <c r="J221" s="73"/>
      <c r="K221" s="73"/>
      <c r="L221" s="1"/>
      <c r="T221" s="73"/>
      <c r="U221" s="73"/>
      <c r="W221" s="73"/>
      <c r="X221" s="73"/>
      <c r="Y221" s="73"/>
    </row>
    <row r="222">
      <c r="E222" s="73"/>
      <c r="F222" s="73"/>
      <c r="G222" s="74"/>
      <c r="J222" s="73"/>
      <c r="K222" s="73"/>
      <c r="L222" s="1"/>
      <c r="T222" s="73"/>
      <c r="U222" s="73"/>
      <c r="W222" s="73"/>
      <c r="X222" s="73"/>
      <c r="Y222" s="73"/>
    </row>
    <row r="223">
      <c r="E223" s="73"/>
      <c r="F223" s="73"/>
      <c r="G223" s="74"/>
      <c r="J223" s="73"/>
      <c r="K223" s="73"/>
      <c r="L223" s="1"/>
      <c r="T223" s="73"/>
      <c r="U223" s="73"/>
      <c r="W223" s="73"/>
      <c r="X223" s="73"/>
      <c r="Y223" s="73"/>
    </row>
    <row r="224">
      <c r="E224" s="73"/>
      <c r="F224" s="73"/>
      <c r="G224" s="74"/>
      <c r="J224" s="73"/>
      <c r="K224" s="73"/>
      <c r="L224" s="1"/>
      <c r="T224" s="73"/>
      <c r="U224" s="73"/>
      <c r="W224" s="73"/>
      <c r="X224" s="73"/>
      <c r="Y224" s="73"/>
    </row>
    <row r="225">
      <c r="E225" s="73"/>
      <c r="F225" s="73"/>
      <c r="G225" s="74"/>
      <c r="J225" s="73"/>
      <c r="K225" s="73"/>
      <c r="L225" s="1"/>
      <c r="T225" s="73"/>
      <c r="U225" s="73"/>
      <c r="W225" s="73"/>
      <c r="X225" s="73"/>
      <c r="Y225" s="73"/>
    </row>
    <row r="226">
      <c r="E226" s="73"/>
      <c r="F226" s="73"/>
      <c r="G226" s="74"/>
      <c r="J226" s="73"/>
      <c r="K226" s="73"/>
      <c r="L226" s="1"/>
      <c r="T226" s="73"/>
      <c r="U226" s="73"/>
      <c r="W226" s="73"/>
      <c r="X226" s="73"/>
      <c r="Y226" s="73"/>
    </row>
    <row r="227">
      <c r="E227" s="73"/>
      <c r="F227" s="73"/>
      <c r="G227" s="74"/>
      <c r="J227" s="73"/>
      <c r="K227" s="73"/>
      <c r="L227" s="1"/>
      <c r="T227" s="73"/>
      <c r="U227" s="73"/>
      <c r="W227" s="73"/>
      <c r="X227" s="73"/>
      <c r="Y227" s="73"/>
    </row>
    <row r="228">
      <c r="E228" s="73"/>
      <c r="F228" s="73"/>
      <c r="G228" s="74"/>
      <c r="J228" s="73"/>
      <c r="K228" s="73"/>
      <c r="L228" s="1"/>
      <c r="T228" s="73"/>
      <c r="U228" s="73"/>
      <c r="W228" s="73"/>
      <c r="X228" s="73"/>
      <c r="Y228" s="73"/>
    </row>
    <row r="229">
      <c r="E229" s="73"/>
      <c r="F229" s="73"/>
      <c r="G229" s="74"/>
      <c r="J229" s="73"/>
      <c r="K229" s="73"/>
      <c r="L229" s="1"/>
      <c r="T229" s="73"/>
      <c r="U229" s="73"/>
      <c r="W229" s="73"/>
      <c r="X229" s="73"/>
      <c r="Y229" s="73"/>
    </row>
    <row r="230">
      <c r="E230" s="73"/>
      <c r="F230" s="73"/>
      <c r="G230" s="74"/>
      <c r="J230" s="73"/>
      <c r="K230" s="73"/>
      <c r="L230" s="1"/>
      <c r="T230" s="73"/>
      <c r="U230" s="73"/>
      <c r="W230" s="73"/>
      <c r="X230" s="73"/>
      <c r="Y230" s="73"/>
    </row>
    <row r="231">
      <c r="E231" s="73"/>
      <c r="F231" s="73"/>
      <c r="G231" s="74"/>
      <c r="J231" s="73"/>
      <c r="K231" s="73"/>
      <c r="L231" s="1"/>
      <c r="T231" s="73"/>
      <c r="U231" s="73"/>
      <c r="W231" s="73"/>
      <c r="X231" s="73"/>
      <c r="Y231" s="73"/>
    </row>
    <row r="232">
      <c r="E232" s="73"/>
      <c r="F232" s="73"/>
      <c r="G232" s="74"/>
      <c r="J232" s="73"/>
      <c r="K232" s="73"/>
      <c r="L232" s="1"/>
      <c r="T232" s="73"/>
      <c r="U232" s="73"/>
      <c r="W232" s="73"/>
      <c r="X232" s="73"/>
      <c r="Y232" s="73"/>
    </row>
    <row r="233">
      <c r="E233" s="73"/>
      <c r="F233" s="73"/>
      <c r="G233" s="74"/>
      <c r="J233" s="73"/>
      <c r="K233" s="73"/>
      <c r="L233" s="1"/>
      <c r="T233" s="73"/>
      <c r="U233" s="73"/>
      <c r="W233" s="73"/>
      <c r="X233" s="73"/>
      <c r="Y233" s="73"/>
    </row>
    <row r="234">
      <c r="E234" s="73"/>
      <c r="F234" s="73"/>
      <c r="G234" s="74"/>
      <c r="J234" s="73"/>
      <c r="K234" s="73"/>
      <c r="L234" s="1"/>
      <c r="T234" s="73"/>
      <c r="U234" s="73"/>
      <c r="W234" s="73"/>
      <c r="X234" s="73"/>
      <c r="Y234" s="73"/>
    </row>
    <row r="235">
      <c r="E235" s="73"/>
      <c r="F235" s="73"/>
      <c r="G235" s="74"/>
      <c r="J235" s="73"/>
      <c r="K235" s="73"/>
      <c r="L235" s="1"/>
      <c r="T235" s="73"/>
      <c r="U235" s="73"/>
      <c r="W235" s="73"/>
      <c r="X235" s="73"/>
      <c r="Y235" s="73"/>
    </row>
    <row r="236">
      <c r="E236" s="73"/>
      <c r="F236" s="73"/>
      <c r="G236" s="74"/>
      <c r="J236" s="73"/>
      <c r="K236" s="73"/>
      <c r="L236" s="1"/>
      <c r="T236" s="73"/>
      <c r="U236" s="73"/>
      <c r="W236" s="73"/>
      <c r="X236" s="73"/>
      <c r="Y236" s="73"/>
    </row>
    <row r="237">
      <c r="E237" s="73"/>
      <c r="F237" s="73"/>
      <c r="G237" s="74"/>
      <c r="J237" s="73"/>
      <c r="K237" s="73"/>
      <c r="L237" s="1"/>
      <c r="T237" s="73"/>
      <c r="U237" s="73"/>
      <c r="W237" s="73"/>
      <c r="X237" s="73"/>
      <c r="Y237" s="73"/>
    </row>
    <row r="238">
      <c r="E238" s="73"/>
      <c r="F238" s="73"/>
      <c r="G238" s="74"/>
      <c r="J238" s="73"/>
      <c r="K238" s="73"/>
      <c r="L238" s="1"/>
      <c r="T238" s="73"/>
      <c r="U238" s="73"/>
      <c r="W238" s="73"/>
      <c r="X238" s="73"/>
      <c r="Y238" s="73"/>
    </row>
    <row r="239">
      <c r="E239" s="73"/>
      <c r="F239" s="73"/>
      <c r="G239" s="74"/>
      <c r="J239" s="73"/>
      <c r="K239" s="73"/>
      <c r="L239" s="1"/>
      <c r="T239" s="73"/>
      <c r="U239" s="73"/>
      <c r="W239" s="73"/>
      <c r="X239" s="73"/>
      <c r="Y239" s="73"/>
    </row>
    <row r="240">
      <c r="E240" s="73"/>
      <c r="F240" s="73"/>
      <c r="G240" s="74"/>
      <c r="J240" s="73"/>
      <c r="K240" s="73"/>
      <c r="L240" s="1"/>
      <c r="T240" s="73"/>
      <c r="U240" s="73"/>
      <c r="W240" s="73"/>
      <c r="X240" s="73"/>
      <c r="Y240" s="73"/>
    </row>
    <row r="241">
      <c r="E241" s="73"/>
      <c r="F241" s="73"/>
      <c r="G241" s="74"/>
      <c r="J241" s="73"/>
      <c r="K241" s="73"/>
      <c r="L241" s="1"/>
      <c r="T241" s="73"/>
      <c r="U241" s="73"/>
      <c r="W241" s="73"/>
      <c r="X241" s="73"/>
      <c r="Y241" s="73"/>
    </row>
    <row r="242">
      <c r="E242" s="73"/>
      <c r="F242" s="73"/>
      <c r="G242" s="74"/>
      <c r="J242" s="73"/>
      <c r="K242" s="73"/>
      <c r="L242" s="1"/>
      <c r="T242" s="73"/>
      <c r="U242" s="73"/>
      <c r="W242" s="73"/>
      <c r="X242" s="73"/>
      <c r="Y242" s="73"/>
    </row>
    <row r="243">
      <c r="E243" s="73"/>
      <c r="F243" s="73"/>
      <c r="G243" s="74"/>
      <c r="J243" s="73"/>
      <c r="K243" s="73"/>
      <c r="L243" s="1"/>
      <c r="T243" s="73"/>
      <c r="U243" s="73"/>
      <c r="W243" s="73"/>
      <c r="X243" s="73"/>
      <c r="Y243" s="73"/>
    </row>
    <row r="244">
      <c r="E244" s="73"/>
      <c r="F244" s="73"/>
      <c r="G244" s="74"/>
      <c r="J244" s="73"/>
      <c r="K244" s="73"/>
      <c r="L244" s="1"/>
      <c r="T244" s="73"/>
      <c r="U244" s="73"/>
      <c r="W244" s="73"/>
      <c r="X244" s="73"/>
      <c r="Y244" s="73"/>
    </row>
    <row r="245">
      <c r="E245" s="73"/>
      <c r="F245" s="73"/>
      <c r="G245" s="74"/>
      <c r="J245" s="73"/>
      <c r="K245" s="73"/>
      <c r="L245" s="1"/>
      <c r="T245" s="73"/>
      <c r="U245" s="73"/>
      <c r="W245" s="73"/>
      <c r="X245" s="73"/>
      <c r="Y245" s="73"/>
    </row>
    <row r="246">
      <c r="E246" s="73"/>
      <c r="F246" s="73"/>
      <c r="G246" s="74"/>
      <c r="J246" s="73"/>
      <c r="K246" s="73"/>
      <c r="L246" s="1"/>
      <c r="T246" s="73"/>
      <c r="U246" s="73"/>
      <c r="W246" s="73"/>
      <c r="X246" s="73"/>
      <c r="Y246" s="73"/>
    </row>
    <row r="247">
      <c r="E247" s="73"/>
      <c r="F247" s="73"/>
      <c r="G247" s="74"/>
      <c r="J247" s="73"/>
      <c r="K247" s="73"/>
      <c r="L247" s="1"/>
      <c r="T247" s="73"/>
      <c r="U247" s="73"/>
      <c r="W247" s="73"/>
      <c r="X247" s="73"/>
      <c r="Y247" s="73"/>
    </row>
    <row r="248">
      <c r="E248" s="73"/>
      <c r="F248" s="73"/>
      <c r="G248" s="74"/>
      <c r="J248" s="73"/>
      <c r="K248" s="73"/>
      <c r="L248" s="1"/>
      <c r="T248" s="73"/>
      <c r="U248" s="73"/>
      <c r="W248" s="73"/>
      <c r="X248" s="73"/>
      <c r="Y248" s="73"/>
    </row>
    <row r="249">
      <c r="E249" s="73"/>
      <c r="F249" s="73"/>
      <c r="G249" s="74"/>
      <c r="J249" s="73"/>
      <c r="K249" s="73"/>
      <c r="L249" s="1"/>
      <c r="T249" s="73"/>
      <c r="U249" s="73"/>
      <c r="W249" s="73"/>
      <c r="X249" s="73"/>
      <c r="Y249" s="73"/>
    </row>
    <row r="250">
      <c r="E250" s="73"/>
      <c r="F250" s="73"/>
      <c r="G250" s="74"/>
      <c r="J250" s="73"/>
      <c r="K250" s="73"/>
      <c r="L250" s="1"/>
      <c r="T250" s="73"/>
      <c r="U250" s="73"/>
      <c r="W250" s="73"/>
      <c r="X250" s="73"/>
      <c r="Y250" s="73"/>
    </row>
    <row r="251">
      <c r="E251" s="73"/>
      <c r="F251" s="73"/>
      <c r="G251" s="74"/>
      <c r="J251" s="73"/>
      <c r="K251" s="73"/>
      <c r="L251" s="1"/>
      <c r="T251" s="73"/>
      <c r="U251" s="73"/>
      <c r="W251" s="73"/>
      <c r="X251" s="73"/>
      <c r="Y251" s="73"/>
    </row>
    <row r="252">
      <c r="E252" s="73"/>
      <c r="F252" s="73"/>
      <c r="G252" s="74"/>
      <c r="J252" s="73"/>
      <c r="K252" s="73"/>
      <c r="L252" s="1"/>
      <c r="T252" s="73"/>
      <c r="U252" s="73"/>
      <c r="W252" s="73"/>
      <c r="X252" s="73"/>
      <c r="Y252" s="73"/>
    </row>
    <row r="253">
      <c r="E253" s="73"/>
      <c r="F253" s="73"/>
      <c r="G253" s="74"/>
      <c r="J253" s="73"/>
      <c r="K253" s="73"/>
      <c r="L253" s="1"/>
      <c r="T253" s="73"/>
      <c r="U253" s="73"/>
      <c r="W253" s="73"/>
      <c r="X253" s="73"/>
      <c r="Y253" s="73"/>
    </row>
    <row r="254">
      <c r="E254" s="73"/>
      <c r="F254" s="73"/>
      <c r="G254" s="74"/>
      <c r="J254" s="73"/>
      <c r="K254" s="73"/>
      <c r="L254" s="1"/>
      <c r="T254" s="73"/>
      <c r="U254" s="73"/>
      <c r="W254" s="73"/>
      <c r="X254" s="73"/>
      <c r="Y254" s="73"/>
    </row>
    <row r="255">
      <c r="E255" s="73"/>
      <c r="F255" s="73"/>
      <c r="G255" s="74"/>
      <c r="J255" s="73"/>
      <c r="K255" s="73"/>
      <c r="L255" s="1"/>
      <c r="T255" s="73"/>
      <c r="U255" s="73"/>
      <c r="W255" s="73"/>
      <c r="X255" s="73"/>
      <c r="Y255" s="73"/>
    </row>
    <row r="256">
      <c r="E256" s="73"/>
      <c r="F256" s="73"/>
      <c r="G256" s="74"/>
      <c r="J256" s="73"/>
      <c r="K256" s="73"/>
      <c r="L256" s="1"/>
      <c r="T256" s="73"/>
      <c r="U256" s="73"/>
      <c r="W256" s="73"/>
      <c r="X256" s="73"/>
      <c r="Y256" s="73"/>
    </row>
    <row r="257">
      <c r="E257" s="73"/>
      <c r="F257" s="73"/>
      <c r="G257" s="74"/>
      <c r="J257" s="73"/>
      <c r="K257" s="73"/>
      <c r="L257" s="1"/>
      <c r="T257" s="73"/>
      <c r="U257" s="73"/>
      <c r="W257" s="73"/>
      <c r="X257" s="73"/>
      <c r="Y257" s="73"/>
    </row>
    <row r="258">
      <c r="E258" s="73"/>
      <c r="F258" s="73"/>
      <c r="G258" s="74"/>
      <c r="J258" s="73"/>
      <c r="K258" s="73"/>
      <c r="L258" s="1"/>
      <c r="T258" s="73"/>
      <c r="U258" s="73"/>
      <c r="W258" s="73"/>
      <c r="X258" s="73"/>
      <c r="Y258" s="73"/>
    </row>
    <row r="259">
      <c r="E259" s="73"/>
      <c r="F259" s="73"/>
      <c r="G259" s="74"/>
      <c r="J259" s="73"/>
      <c r="K259" s="73"/>
      <c r="L259" s="1"/>
      <c r="T259" s="73"/>
      <c r="U259" s="73"/>
      <c r="W259" s="73"/>
      <c r="X259" s="73"/>
      <c r="Y259" s="73"/>
    </row>
    <row r="260">
      <c r="E260" s="73"/>
      <c r="F260" s="73"/>
      <c r="G260" s="74"/>
      <c r="J260" s="73"/>
      <c r="K260" s="73"/>
      <c r="L260" s="1"/>
      <c r="T260" s="73"/>
      <c r="U260" s="73"/>
      <c r="W260" s="73"/>
      <c r="X260" s="73"/>
      <c r="Y260" s="73"/>
    </row>
    <row r="261">
      <c r="E261" s="73"/>
      <c r="F261" s="73"/>
      <c r="G261" s="74"/>
      <c r="J261" s="73"/>
      <c r="K261" s="73"/>
      <c r="L261" s="1"/>
      <c r="T261" s="73"/>
      <c r="U261" s="73"/>
      <c r="W261" s="73"/>
      <c r="X261" s="73"/>
      <c r="Y261" s="73"/>
    </row>
    <row r="262">
      <c r="E262" s="73"/>
      <c r="F262" s="73"/>
      <c r="G262" s="74"/>
      <c r="J262" s="73"/>
      <c r="K262" s="73"/>
      <c r="L262" s="1"/>
      <c r="T262" s="73"/>
      <c r="U262" s="73"/>
      <c r="W262" s="73"/>
      <c r="X262" s="73"/>
      <c r="Y262" s="73"/>
    </row>
    <row r="263">
      <c r="E263" s="73"/>
      <c r="F263" s="73"/>
      <c r="G263" s="74"/>
      <c r="J263" s="73"/>
      <c r="K263" s="73"/>
      <c r="L263" s="1"/>
      <c r="T263" s="73"/>
      <c r="U263" s="73"/>
      <c r="W263" s="73"/>
      <c r="X263" s="73"/>
      <c r="Y263" s="73"/>
    </row>
    <row r="264">
      <c r="E264" s="73"/>
      <c r="F264" s="73"/>
      <c r="G264" s="74"/>
      <c r="J264" s="73"/>
      <c r="K264" s="73"/>
      <c r="L264" s="1"/>
      <c r="T264" s="73"/>
      <c r="U264" s="73"/>
      <c r="W264" s="73"/>
      <c r="X264" s="73"/>
      <c r="Y264" s="73"/>
    </row>
    <row r="265">
      <c r="E265" s="73"/>
      <c r="F265" s="73"/>
      <c r="G265" s="74"/>
      <c r="J265" s="73"/>
      <c r="K265" s="73"/>
      <c r="L265" s="1"/>
      <c r="T265" s="73"/>
      <c r="U265" s="73"/>
      <c r="W265" s="73"/>
      <c r="X265" s="73"/>
      <c r="Y265" s="73"/>
    </row>
    <row r="266">
      <c r="E266" s="73"/>
      <c r="F266" s="73"/>
      <c r="G266" s="74"/>
      <c r="J266" s="73"/>
      <c r="K266" s="73"/>
      <c r="L266" s="1"/>
      <c r="T266" s="73"/>
      <c r="U266" s="73"/>
      <c r="W266" s="73"/>
      <c r="X266" s="73"/>
      <c r="Y266" s="73"/>
    </row>
    <row r="267">
      <c r="E267" s="73"/>
      <c r="F267" s="73"/>
      <c r="G267" s="74"/>
      <c r="J267" s="73"/>
      <c r="K267" s="73"/>
      <c r="L267" s="1"/>
      <c r="T267" s="73"/>
      <c r="U267" s="73"/>
      <c r="W267" s="73"/>
      <c r="X267" s="73"/>
      <c r="Y267" s="73"/>
    </row>
    <row r="268">
      <c r="E268" s="73"/>
      <c r="F268" s="73"/>
      <c r="G268" s="74"/>
      <c r="J268" s="73"/>
      <c r="K268" s="73"/>
      <c r="L268" s="1"/>
      <c r="T268" s="73"/>
      <c r="U268" s="73"/>
      <c r="W268" s="73"/>
      <c r="X268" s="73"/>
      <c r="Y268" s="73"/>
    </row>
    <row r="269">
      <c r="E269" s="73"/>
      <c r="F269" s="73"/>
      <c r="G269" s="74"/>
      <c r="J269" s="73"/>
      <c r="K269" s="73"/>
      <c r="L269" s="1"/>
      <c r="T269" s="73"/>
      <c r="U269" s="73"/>
      <c r="W269" s="73"/>
      <c r="X269" s="73"/>
      <c r="Y269" s="73"/>
    </row>
    <row r="270">
      <c r="E270" s="73"/>
      <c r="F270" s="73"/>
      <c r="G270" s="74"/>
      <c r="J270" s="73"/>
      <c r="K270" s="73"/>
      <c r="L270" s="1"/>
      <c r="T270" s="73"/>
      <c r="U270" s="73"/>
      <c r="W270" s="73"/>
      <c r="X270" s="73"/>
      <c r="Y270" s="73"/>
    </row>
    <row r="271">
      <c r="E271" s="73"/>
      <c r="F271" s="73"/>
      <c r="G271" s="74"/>
      <c r="J271" s="73"/>
      <c r="K271" s="73"/>
      <c r="L271" s="1"/>
      <c r="T271" s="73"/>
      <c r="U271" s="73"/>
      <c r="W271" s="73"/>
      <c r="X271" s="73"/>
      <c r="Y271" s="73"/>
    </row>
    <row r="272">
      <c r="E272" s="73"/>
      <c r="F272" s="73"/>
      <c r="G272" s="74"/>
      <c r="J272" s="73"/>
      <c r="K272" s="73"/>
      <c r="L272" s="1"/>
      <c r="T272" s="73"/>
      <c r="U272" s="73"/>
      <c r="W272" s="73"/>
      <c r="X272" s="73"/>
      <c r="Y272" s="73"/>
    </row>
    <row r="273">
      <c r="E273" s="73"/>
      <c r="F273" s="73"/>
      <c r="G273" s="74"/>
      <c r="J273" s="73"/>
      <c r="K273" s="73"/>
      <c r="L273" s="1"/>
      <c r="T273" s="73"/>
      <c r="U273" s="73"/>
      <c r="W273" s="73"/>
      <c r="X273" s="73"/>
      <c r="Y273" s="73"/>
    </row>
    <row r="274">
      <c r="E274" s="73"/>
      <c r="F274" s="73"/>
      <c r="G274" s="74"/>
      <c r="J274" s="73"/>
      <c r="K274" s="73"/>
      <c r="L274" s="1"/>
      <c r="T274" s="73"/>
      <c r="U274" s="73"/>
      <c r="W274" s="73"/>
      <c r="X274" s="73"/>
      <c r="Y274" s="73"/>
    </row>
    <row r="275">
      <c r="E275" s="73"/>
      <c r="F275" s="73"/>
      <c r="G275" s="74"/>
      <c r="J275" s="73"/>
      <c r="K275" s="73"/>
      <c r="L275" s="1"/>
      <c r="T275" s="73"/>
      <c r="U275" s="73"/>
      <c r="W275" s="73"/>
      <c r="X275" s="73"/>
      <c r="Y275" s="73"/>
    </row>
    <row r="276">
      <c r="E276" s="73"/>
      <c r="F276" s="73"/>
      <c r="G276" s="74"/>
      <c r="J276" s="73"/>
      <c r="K276" s="73"/>
      <c r="L276" s="1"/>
      <c r="T276" s="73"/>
      <c r="U276" s="73"/>
      <c r="W276" s="73"/>
      <c r="X276" s="73"/>
      <c r="Y276" s="73"/>
    </row>
    <row r="277">
      <c r="E277" s="73"/>
      <c r="F277" s="73"/>
      <c r="G277" s="74"/>
      <c r="J277" s="73"/>
      <c r="K277" s="73"/>
      <c r="L277" s="1"/>
      <c r="T277" s="73"/>
      <c r="U277" s="73"/>
      <c r="W277" s="73"/>
      <c r="X277" s="73"/>
      <c r="Y277" s="73"/>
    </row>
    <row r="278">
      <c r="E278" s="73"/>
      <c r="F278" s="73"/>
      <c r="G278" s="74"/>
      <c r="J278" s="73"/>
      <c r="K278" s="73"/>
      <c r="L278" s="1"/>
      <c r="T278" s="73"/>
      <c r="U278" s="73"/>
      <c r="W278" s="73"/>
      <c r="X278" s="73"/>
      <c r="Y278" s="73"/>
    </row>
    <row r="279">
      <c r="E279" s="73"/>
      <c r="F279" s="73"/>
      <c r="G279" s="74"/>
      <c r="J279" s="73"/>
      <c r="K279" s="73"/>
      <c r="L279" s="1"/>
      <c r="T279" s="73"/>
      <c r="U279" s="73"/>
      <c r="W279" s="73"/>
      <c r="X279" s="73"/>
      <c r="Y279" s="73"/>
    </row>
    <row r="280">
      <c r="E280" s="73"/>
      <c r="F280" s="73"/>
      <c r="G280" s="74"/>
      <c r="J280" s="73"/>
      <c r="K280" s="73"/>
      <c r="L280" s="1"/>
      <c r="T280" s="73"/>
      <c r="U280" s="73"/>
      <c r="W280" s="73"/>
      <c r="X280" s="73"/>
      <c r="Y280" s="73"/>
    </row>
    <row r="281">
      <c r="E281" s="73"/>
      <c r="F281" s="73"/>
      <c r="G281" s="74"/>
      <c r="J281" s="73"/>
      <c r="K281" s="73"/>
      <c r="L281" s="1"/>
      <c r="T281" s="73"/>
      <c r="U281" s="73"/>
      <c r="W281" s="73"/>
      <c r="X281" s="73"/>
      <c r="Y281" s="73"/>
    </row>
    <row r="282">
      <c r="E282" s="73"/>
      <c r="F282" s="73"/>
      <c r="G282" s="74"/>
      <c r="J282" s="73"/>
      <c r="K282" s="73"/>
      <c r="L282" s="1"/>
      <c r="T282" s="73"/>
      <c r="U282" s="73"/>
      <c r="W282" s="73"/>
      <c r="X282" s="73"/>
      <c r="Y282" s="73"/>
    </row>
    <row r="283">
      <c r="E283" s="73"/>
      <c r="F283" s="73"/>
      <c r="G283" s="74"/>
      <c r="J283" s="73"/>
      <c r="K283" s="73"/>
      <c r="L283" s="1"/>
      <c r="T283" s="73"/>
      <c r="U283" s="73"/>
      <c r="W283" s="73"/>
      <c r="X283" s="73"/>
      <c r="Y283" s="73"/>
    </row>
    <row r="284">
      <c r="E284" s="73"/>
      <c r="F284" s="73"/>
      <c r="G284" s="74"/>
      <c r="J284" s="73"/>
      <c r="K284" s="73"/>
      <c r="L284" s="1"/>
      <c r="T284" s="73"/>
      <c r="U284" s="73"/>
      <c r="W284" s="73"/>
      <c r="X284" s="73"/>
      <c r="Y284" s="73"/>
    </row>
    <row r="285">
      <c r="E285" s="73"/>
      <c r="F285" s="73"/>
      <c r="G285" s="74"/>
      <c r="J285" s="73"/>
      <c r="K285" s="73"/>
      <c r="L285" s="1"/>
      <c r="T285" s="73"/>
      <c r="U285" s="73"/>
      <c r="W285" s="73"/>
      <c r="X285" s="73"/>
      <c r="Y285" s="73"/>
    </row>
    <row r="286">
      <c r="E286" s="73"/>
      <c r="F286" s="73"/>
      <c r="G286" s="74"/>
      <c r="J286" s="73"/>
      <c r="K286" s="73"/>
      <c r="L286" s="1"/>
      <c r="T286" s="73"/>
      <c r="U286" s="73"/>
      <c r="W286" s="73"/>
      <c r="X286" s="73"/>
      <c r="Y286" s="73"/>
    </row>
    <row r="287">
      <c r="E287" s="73"/>
      <c r="F287" s="73"/>
      <c r="G287" s="74"/>
      <c r="J287" s="73"/>
      <c r="K287" s="73"/>
      <c r="L287" s="1"/>
      <c r="T287" s="73"/>
      <c r="U287" s="73"/>
      <c r="W287" s="73"/>
      <c r="X287" s="73"/>
      <c r="Y287" s="73"/>
    </row>
    <row r="288">
      <c r="E288" s="73"/>
      <c r="F288" s="73"/>
      <c r="G288" s="74"/>
      <c r="J288" s="73"/>
      <c r="K288" s="73"/>
      <c r="L288" s="1"/>
      <c r="T288" s="73"/>
      <c r="U288" s="73"/>
      <c r="W288" s="73"/>
      <c r="X288" s="73"/>
      <c r="Y288" s="73"/>
    </row>
    <row r="289">
      <c r="E289" s="73"/>
      <c r="F289" s="73"/>
      <c r="G289" s="74"/>
      <c r="J289" s="73"/>
      <c r="K289" s="73"/>
      <c r="L289" s="1"/>
      <c r="T289" s="73"/>
      <c r="U289" s="73"/>
      <c r="W289" s="73"/>
      <c r="X289" s="73"/>
      <c r="Y289" s="73"/>
    </row>
    <row r="290">
      <c r="E290" s="73"/>
      <c r="F290" s="73"/>
      <c r="G290" s="74"/>
      <c r="J290" s="73"/>
      <c r="K290" s="73"/>
      <c r="L290" s="1"/>
      <c r="T290" s="73"/>
      <c r="U290" s="73"/>
      <c r="W290" s="73"/>
      <c r="X290" s="73"/>
      <c r="Y290" s="73"/>
    </row>
    <row r="291">
      <c r="E291" s="73"/>
      <c r="F291" s="73"/>
      <c r="G291" s="74"/>
      <c r="J291" s="73"/>
      <c r="K291" s="73"/>
      <c r="L291" s="1"/>
      <c r="T291" s="73"/>
      <c r="U291" s="73"/>
      <c r="W291" s="73"/>
      <c r="X291" s="73"/>
      <c r="Y291" s="73"/>
    </row>
    <row r="292">
      <c r="E292" s="73"/>
      <c r="F292" s="73"/>
      <c r="G292" s="74"/>
      <c r="J292" s="73"/>
      <c r="K292" s="73"/>
      <c r="L292" s="1"/>
      <c r="T292" s="73"/>
      <c r="U292" s="73"/>
      <c r="W292" s="73"/>
      <c r="X292" s="73"/>
      <c r="Y292" s="73"/>
    </row>
    <row r="293">
      <c r="E293" s="73"/>
      <c r="F293" s="73"/>
      <c r="G293" s="74"/>
      <c r="J293" s="73"/>
      <c r="K293" s="73"/>
      <c r="L293" s="1"/>
      <c r="T293" s="73"/>
      <c r="U293" s="73"/>
      <c r="W293" s="73"/>
      <c r="X293" s="73"/>
      <c r="Y293" s="73"/>
    </row>
    <row r="294">
      <c r="E294" s="73"/>
      <c r="F294" s="73"/>
      <c r="G294" s="74"/>
      <c r="J294" s="73"/>
      <c r="K294" s="73"/>
      <c r="L294" s="1"/>
      <c r="T294" s="73"/>
      <c r="U294" s="73"/>
      <c r="W294" s="73"/>
      <c r="X294" s="73"/>
      <c r="Y294" s="73"/>
    </row>
    <row r="295">
      <c r="E295" s="73"/>
      <c r="F295" s="73"/>
      <c r="G295" s="74"/>
      <c r="J295" s="73"/>
      <c r="K295" s="73"/>
      <c r="L295" s="1"/>
      <c r="T295" s="73"/>
      <c r="U295" s="73"/>
      <c r="W295" s="73"/>
      <c r="X295" s="73"/>
      <c r="Y295" s="73"/>
    </row>
    <row r="296">
      <c r="E296" s="73"/>
      <c r="F296" s="73"/>
      <c r="G296" s="74"/>
      <c r="J296" s="73"/>
      <c r="K296" s="73"/>
      <c r="L296" s="1"/>
      <c r="T296" s="73"/>
      <c r="U296" s="73"/>
      <c r="W296" s="73"/>
      <c r="X296" s="73"/>
      <c r="Y296" s="73"/>
    </row>
    <row r="297">
      <c r="E297" s="73"/>
      <c r="F297" s="73"/>
      <c r="G297" s="74"/>
      <c r="J297" s="73"/>
      <c r="K297" s="73"/>
      <c r="L297" s="1"/>
      <c r="T297" s="73"/>
      <c r="U297" s="73"/>
      <c r="W297" s="73"/>
      <c r="X297" s="73"/>
      <c r="Y297" s="73"/>
    </row>
    <row r="298">
      <c r="E298" s="73"/>
      <c r="F298" s="73"/>
      <c r="G298" s="74"/>
      <c r="J298" s="73"/>
      <c r="K298" s="73"/>
      <c r="L298" s="1"/>
      <c r="T298" s="73"/>
      <c r="U298" s="73"/>
      <c r="W298" s="73"/>
      <c r="X298" s="73"/>
      <c r="Y298" s="73"/>
    </row>
    <row r="299">
      <c r="E299" s="73"/>
      <c r="F299" s="73"/>
      <c r="G299" s="74"/>
      <c r="J299" s="73"/>
      <c r="K299" s="73"/>
      <c r="L299" s="1"/>
      <c r="T299" s="73"/>
      <c r="U299" s="73"/>
      <c r="W299" s="73"/>
      <c r="X299" s="73"/>
      <c r="Y299" s="73"/>
    </row>
    <row r="300">
      <c r="E300" s="73"/>
      <c r="F300" s="73"/>
      <c r="G300" s="74"/>
      <c r="J300" s="73"/>
      <c r="K300" s="73"/>
      <c r="L300" s="1"/>
      <c r="T300" s="73"/>
      <c r="U300" s="73"/>
      <c r="W300" s="73"/>
      <c r="X300" s="73"/>
      <c r="Y300" s="73"/>
    </row>
    <row r="301">
      <c r="E301" s="73"/>
      <c r="F301" s="73"/>
      <c r="G301" s="74"/>
      <c r="J301" s="73"/>
      <c r="K301" s="73"/>
      <c r="L301" s="1"/>
      <c r="T301" s="73"/>
      <c r="U301" s="73"/>
      <c r="W301" s="73"/>
      <c r="X301" s="73"/>
      <c r="Y301" s="73"/>
    </row>
    <row r="302">
      <c r="E302" s="73"/>
      <c r="F302" s="73"/>
      <c r="G302" s="74"/>
      <c r="J302" s="73"/>
      <c r="K302" s="73"/>
      <c r="L302" s="1"/>
      <c r="T302" s="73"/>
      <c r="U302" s="73"/>
      <c r="W302" s="73"/>
      <c r="X302" s="73"/>
      <c r="Y302" s="73"/>
    </row>
    <row r="303">
      <c r="E303" s="73"/>
      <c r="F303" s="73"/>
      <c r="G303" s="74"/>
      <c r="J303" s="73"/>
      <c r="K303" s="73"/>
      <c r="L303" s="1"/>
      <c r="T303" s="73"/>
      <c r="U303" s="73"/>
      <c r="W303" s="73"/>
      <c r="X303" s="73"/>
      <c r="Y303" s="73"/>
    </row>
    <row r="304">
      <c r="E304" s="73"/>
      <c r="F304" s="73"/>
      <c r="G304" s="74"/>
      <c r="J304" s="73"/>
      <c r="K304" s="73"/>
      <c r="L304" s="1"/>
      <c r="T304" s="73"/>
      <c r="U304" s="73"/>
      <c r="W304" s="73"/>
      <c r="X304" s="73"/>
      <c r="Y304" s="73"/>
    </row>
    <row r="305">
      <c r="E305" s="73"/>
      <c r="F305" s="73"/>
      <c r="G305" s="74"/>
      <c r="J305" s="73"/>
      <c r="K305" s="73"/>
      <c r="L305" s="1"/>
      <c r="T305" s="73"/>
      <c r="U305" s="73"/>
      <c r="W305" s="73"/>
      <c r="X305" s="73"/>
      <c r="Y305" s="73"/>
    </row>
    <row r="306">
      <c r="E306" s="73"/>
      <c r="F306" s="73"/>
      <c r="G306" s="74"/>
      <c r="J306" s="73"/>
      <c r="K306" s="73"/>
      <c r="L306" s="1"/>
      <c r="T306" s="73"/>
      <c r="U306" s="73"/>
      <c r="W306" s="73"/>
      <c r="X306" s="73"/>
      <c r="Y306" s="73"/>
    </row>
    <row r="307">
      <c r="E307" s="73"/>
      <c r="F307" s="73"/>
      <c r="G307" s="74"/>
      <c r="J307" s="73"/>
      <c r="K307" s="73"/>
      <c r="L307" s="1"/>
      <c r="T307" s="73"/>
      <c r="U307" s="73"/>
      <c r="W307" s="73"/>
      <c r="X307" s="73"/>
      <c r="Y307" s="73"/>
    </row>
    <row r="308">
      <c r="E308" s="73"/>
      <c r="F308" s="73"/>
      <c r="G308" s="74"/>
      <c r="J308" s="73"/>
      <c r="K308" s="73"/>
      <c r="L308" s="1"/>
      <c r="T308" s="73"/>
      <c r="U308" s="73"/>
      <c r="W308" s="73"/>
      <c r="X308" s="73"/>
      <c r="Y308" s="73"/>
    </row>
    <row r="309">
      <c r="E309" s="73"/>
      <c r="F309" s="73"/>
      <c r="G309" s="74"/>
      <c r="J309" s="73"/>
      <c r="K309" s="73"/>
      <c r="L309" s="1"/>
      <c r="T309" s="73"/>
      <c r="U309" s="73"/>
      <c r="W309" s="73"/>
      <c r="X309" s="73"/>
      <c r="Y309" s="73"/>
    </row>
    <row r="310">
      <c r="E310" s="73"/>
      <c r="F310" s="73"/>
      <c r="G310" s="74"/>
      <c r="J310" s="73"/>
      <c r="K310" s="73"/>
      <c r="L310" s="1"/>
      <c r="T310" s="73"/>
      <c r="U310" s="73"/>
      <c r="W310" s="73"/>
      <c r="X310" s="73"/>
      <c r="Y310" s="73"/>
    </row>
    <row r="311">
      <c r="E311" s="73"/>
      <c r="F311" s="73"/>
      <c r="G311" s="74"/>
      <c r="J311" s="73"/>
      <c r="K311" s="73"/>
      <c r="L311" s="1"/>
      <c r="T311" s="73"/>
      <c r="U311" s="73"/>
      <c r="W311" s="73"/>
      <c r="X311" s="73"/>
      <c r="Y311" s="73"/>
    </row>
    <row r="312">
      <c r="E312" s="73"/>
      <c r="F312" s="73"/>
      <c r="G312" s="74"/>
      <c r="J312" s="73"/>
      <c r="K312" s="73"/>
      <c r="L312" s="1"/>
      <c r="T312" s="73"/>
      <c r="U312" s="73"/>
      <c r="W312" s="73"/>
      <c r="X312" s="73"/>
      <c r="Y312" s="73"/>
    </row>
    <row r="313">
      <c r="E313" s="73"/>
      <c r="F313" s="73"/>
      <c r="G313" s="74"/>
      <c r="J313" s="73"/>
      <c r="K313" s="73"/>
      <c r="L313" s="1"/>
      <c r="T313" s="73"/>
      <c r="U313" s="73"/>
      <c r="W313" s="73"/>
      <c r="X313" s="73"/>
      <c r="Y313" s="73"/>
    </row>
    <row r="314">
      <c r="E314" s="73"/>
      <c r="F314" s="73"/>
      <c r="G314" s="74"/>
      <c r="J314" s="73"/>
      <c r="K314" s="73"/>
      <c r="L314" s="1"/>
      <c r="T314" s="73"/>
      <c r="U314" s="73"/>
      <c r="W314" s="73"/>
      <c r="X314" s="73"/>
      <c r="Y314" s="73"/>
    </row>
    <row r="315">
      <c r="E315" s="73"/>
      <c r="F315" s="73"/>
      <c r="G315" s="74"/>
      <c r="J315" s="73"/>
      <c r="K315" s="73"/>
      <c r="L315" s="1"/>
      <c r="T315" s="73"/>
      <c r="U315" s="73"/>
      <c r="W315" s="73"/>
      <c r="X315" s="73"/>
      <c r="Y315" s="73"/>
    </row>
    <row r="316">
      <c r="E316" s="73"/>
      <c r="F316" s="73"/>
      <c r="G316" s="74"/>
      <c r="J316" s="73"/>
      <c r="K316" s="73"/>
      <c r="L316" s="1"/>
      <c r="T316" s="73"/>
      <c r="U316" s="73"/>
      <c r="W316" s="73"/>
      <c r="X316" s="73"/>
      <c r="Y316" s="73"/>
    </row>
    <row r="317">
      <c r="E317" s="73"/>
      <c r="F317" s="73"/>
      <c r="G317" s="74"/>
      <c r="J317" s="73"/>
      <c r="K317" s="73"/>
      <c r="L317" s="1"/>
      <c r="T317" s="73"/>
      <c r="U317" s="73"/>
      <c r="W317" s="73"/>
      <c r="X317" s="73"/>
      <c r="Y317" s="73"/>
    </row>
    <row r="318">
      <c r="E318" s="73"/>
      <c r="F318" s="73"/>
      <c r="G318" s="74"/>
      <c r="J318" s="73"/>
      <c r="K318" s="73"/>
      <c r="L318" s="1"/>
      <c r="T318" s="73"/>
      <c r="U318" s="73"/>
      <c r="W318" s="73"/>
      <c r="X318" s="73"/>
      <c r="Y318" s="73"/>
    </row>
    <row r="319">
      <c r="E319" s="73"/>
      <c r="F319" s="73"/>
      <c r="G319" s="74"/>
      <c r="J319" s="73"/>
      <c r="K319" s="73"/>
      <c r="L319" s="1"/>
      <c r="T319" s="73"/>
      <c r="U319" s="73"/>
      <c r="W319" s="73"/>
      <c r="X319" s="73"/>
      <c r="Y319" s="73"/>
    </row>
    <row r="320">
      <c r="E320" s="73"/>
      <c r="F320" s="73"/>
      <c r="G320" s="74"/>
      <c r="J320" s="73"/>
      <c r="K320" s="73"/>
      <c r="L320" s="1"/>
      <c r="T320" s="73"/>
      <c r="U320" s="73"/>
      <c r="W320" s="73"/>
      <c r="X320" s="73"/>
      <c r="Y320" s="73"/>
    </row>
    <row r="321">
      <c r="E321" s="73"/>
      <c r="F321" s="73"/>
      <c r="G321" s="74"/>
      <c r="J321" s="73"/>
      <c r="K321" s="73"/>
      <c r="L321" s="1"/>
      <c r="T321" s="73"/>
      <c r="U321" s="73"/>
      <c r="W321" s="73"/>
      <c r="X321" s="73"/>
      <c r="Y321" s="73"/>
    </row>
    <row r="322">
      <c r="E322" s="73"/>
      <c r="F322" s="73"/>
      <c r="G322" s="74"/>
      <c r="J322" s="73"/>
      <c r="K322" s="73"/>
      <c r="L322" s="1"/>
      <c r="T322" s="73"/>
      <c r="U322" s="73"/>
      <c r="W322" s="73"/>
      <c r="X322" s="73"/>
      <c r="Y322" s="73"/>
    </row>
    <row r="323">
      <c r="E323" s="73"/>
      <c r="F323" s="73"/>
      <c r="G323" s="74"/>
      <c r="J323" s="73"/>
      <c r="K323" s="73"/>
      <c r="L323" s="1"/>
      <c r="T323" s="73"/>
      <c r="U323" s="73"/>
      <c r="W323" s="73"/>
      <c r="X323" s="73"/>
      <c r="Y323" s="73"/>
    </row>
    <row r="324">
      <c r="E324" s="73"/>
      <c r="F324" s="73"/>
      <c r="G324" s="74"/>
      <c r="J324" s="73"/>
      <c r="K324" s="73"/>
      <c r="L324" s="1"/>
      <c r="T324" s="73"/>
      <c r="U324" s="73"/>
      <c r="W324" s="73"/>
      <c r="X324" s="73"/>
      <c r="Y324" s="73"/>
    </row>
    <row r="325">
      <c r="E325" s="73"/>
      <c r="F325" s="73"/>
      <c r="G325" s="74"/>
      <c r="J325" s="73"/>
      <c r="K325" s="73"/>
      <c r="L325" s="1"/>
      <c r="T325" s="73"/>
      <c r="U325" s="73"/>
      <c r="W325" s="73"/>
      <c r="X325" s="73"/>
      <c r="Y325" s="73"/>
    </row>
    <row r="326">
      <c r="E326" s="73"/>
      <c r="F326" s="73"/>
      <c r="G326" s="74"/>
      <c r="J326" s="73"/>
      <c r="K326" s="73"/>
      <c r="L326" s="1"/>
      <c r="T326" s="73"/>
      <c r="U326" s="73"/>
      <c r="W326" s="73"/>
      <c r="X326" s="73"/>
      <c r="Y326" s="73"/>
    </row>
    <row r="327">
      <c r="E327" s="73"/>
      <c r="F327" s="73"/>
      <c r="G327" s="74"/>
      <c r="J327" s="73"/>
      <c r="K327" s="73"/>
      <c r="L327" s="1"/>
      <c r="T327" s="73"/>
      <c r="U327" s="73"/>
      <c r="W327" s="73"/>
      <c r="X327" s="73"/>
      <c r="Y327" s="73"/>
    </row>
    <row r="328">
      <c r="E328" s="73"/>
      <c r="F328" s="73"/>
      <c r="G328" s="74"/>
      <c r="J328" s="73"/>
      <c r="K328" s="73"/>
      <c r="L328" s="1"/>
      <c r="T328" s="73"/>
      <c r="U328" s="73"/>
      <c r="W328" s="73"/>
      <c r="X328" s="73"/>
      <c r="Y328" s="73"/>
    </row>
    <row r="329">
      <c r="E329" s="73"/>
      <c r="F329" s="73"/>
      <c r="G329" s="74"/>
      <c r="J329" s="73"/>
      <c r="K329" s="73"/>
      <c r="L329" s="1"/>
      <c r="T329" s="73"/>
      <c r="U329" s="73"/>
      <c r="W329" s="73"/>
      <c r="X329" s="73"/>
      <c r="Y329" s="73"/>
    </row>
    <row r="330">
      <c r="E330" s="73"/>
      <c r="F330" s="73"/>
      <c r="G330" s="74"/>
      <c r="J330" s="73"/>
      <c r="K330" s="73"/>
      <c r="L330" s="1"/>
      <c r="T330" s="73"/>
      <c r="U330" s="73"/>
      <c r="W330" s="73"/>
      <c r="X330" s="73"/>
      <c r="Y330" s="73"/>
    </row>
    <row r="331">
      <c r="E331" s="73"/>
      <c r="F331" s="73"/>
      <c r="G331" s="74"/>
      <c r="J331" s="73"/>
      <c r="K331" s="73"/>
      <c r="L331" s="1"/>
      <c r="T331" s="73"/>
      <c r="U331" s="73"/>
      <c r="W331" s="73"/>
      <c r="X331" s="73"/>
      <c r="Y331" s="73"/>
    </row>
    <row r="332">
      <c r="E332" s="73"/>
      <c r="F332" s="73"/>
      <c r="G332" s="74"/>
      <c r="J332" s="73"/>
      <c r="K332" s="73"/>
      <c r="L332" s="1"/>
      <c r="T332" s="73"/>
      <c r="U332" s="73"/>
      <c r="W332" s="73"/>
      <c r="X332" s="73"/>
      <c r="Y332" s="73"/>
    </row>
    <row r="333">
      <c r="E333" s="73"/>
      <c r="F333" s="73"/>
      <c r="G333" s="74"/>
      <c r="J333" s="73"/>
      <c r="K333" s="73"/>
      <c r="L333" s="1"/>
      <c r="T333" s="73"/>
      <c r="U333" s="73"/>
      <c r="W333" s="73"/>
      <c r="X333" s="73"/>
      <c r="Y333" s="73"/>
    </row>
    <row r="334">
      <c r="E334" s="73"/>
      <c r="F334" s="73"/>
      <c r="G334" s="74"/>
      <c r="J334" s="73"/>
      <c r="K334" s="73"/>
      <c r="L334" s="1"/>
      <c r="T334" s="73"/>
      <c r="U334" s="73"/>
      <c r="W334" s="73"/>
      <c r="X334" s="73"/>
      <c r="Y334" s="73"/>
    </row>
    <row r="335">
      <c r="E335" s="73"/>
      <c r="F335" s="73"/>
      <c r="G335" s="74"/>
      <c r="J335" s="73"/>
      <c r="K335" s="73"/>
      <c r="L335" s="1"/>
      <c r="T335" s="73"/>
      <c r="U335" s="73"/>
      <c r="W335" s="73"/>
      <c r="X335" s="73"/>
      <c r="Y335" s="73"/>
    </row>
    <row r="336">
      <c r="E336" s="73"/>
      <c r="F336" s="73"/>
      <c r="G336" s="74"/>
      <c r="J336" s="73"/>
      <c r="K336" s="73"/>
      <c r="L336" s="1"/>
      <c r="T336" s="73"/>
      <c r="U336" s="73"/>
      <c r="W336" s="73"/>
      <c r="X336" s="73"/>
      <c r="Y336" s="73"/>
    </row>
    <row r="337">
      <c r="E337" s="73"/>
      <c r="F337" s="73"/>
      <c r="G337" s="74"/>
      <c r="J337" s="73"/>
      <c r="K337" s="73"/>
      <c r="L337" s="1"/>
      <c r="T337" s="73"/>
      <c r="U337" s="73"/>
      <c r="W337" s="73"/>
      <c r="X337" s="73"/>
      <c r="Y337" s="73"/>
    </row>
    <row r="338">
      <c r="E338" s="73"/>
      <c r="F338" s="73"/>
      <c r="G338" s="74"/>
      <c r="J338" s="73"/>
      <c r="K338" s="73"/>
      <c r="L338" s="1"/>
      <c r="T338" s="73"/>
      <c r="U338" s="73"/>
      <c r="W338" s="73"/>
      <c r="X338" s="73"/>
      <c r="Y338" s="73"/>
    </row>
    <row r="339">
      <c r="E339" s="73"/>
      <c r="F339" s="73"/>
      <c r="G339" s="74"/>
      <c r="J339" s="73"/>
      <c r="K339" s="73"/>
      <c r="L339" s="1"/>
      <c r="T339" s="73"/>
      <c r="U339" s="73"/>
      <c r="W339" s="73"/>
      <c r="X339" s="73"/>
      <c r="Y339" s="73"/>
    </row>
    <row r="340">
      <c r="E340" s="73"/>
      <c r="F340" s="73"/>
      <c r="G340" s="74"/>
      <c r="J340" s="73"/>
      <c r="K340" s="73"/>
      <c r="L340" s="1"/>
      <c r="T340" s="73"/>
      <c r="U340" s="73"/>
      <c r="W340" s="73"/>
      <c r="X340" s="73"/>
      <c r="Y340" s="73"/>
    </row>
    <row r="341">
      <c r="E341" s="73"/>
      <c r="F341" s="73"/>
      <c r="G341" s="74"/>
      <c r="J341" s="73"/>
      <c r="K341" s="73"/>
      <c r="L341" s="1"/>
      <c r="T341" s="73"/>
      <c r="U341" s="73"/>
      <c r="W341" s="73"/>
      <c r="X341" s="73"/>
      <c r="Y341" s="73"/>
    </row>
    <row r="342">
      <c r="E342" s="73"/>
      <c r="F342" s="73"/>
      <c r="G342" s="74"/>
      <c r="J342" s="73"/>
      <c r="K342" s="73"/>
      <c r="L342" s="1"/>
      <c r="T342" s="73"/>
      <c r="U342" s="73"/>
      <c r="W342" s="73"/>
      <c r="X342" s="73"/>
      <c r="Y342" s="73"/>
    </row>
    <row r="343">
      <c r="E343" s="73"/>
      <c r="F343" s="73"/>
      <c r="G343" s="74"/>
      <c r="J343" s="73"/>
      <c r="K343" s="73"/>
      <c r="L343" s="1"/>
      <c r="T343" s="73"/>
      <c r="U343" s="73"/>
      <c r="W343" s="73"/>
      <c r="X343" s="73"/>
      <c r="Y343" s="73"/>
    </row>
    <row r="344">
      <c r="E344" s="73"/>
      <c r="F344" s="73"/>
      <c r="G344" s="74"/>
      <c r="J344" s="73"/>
      <c r="K344" s="73"/>
      <c r="L344" s="1"/>
      <c r="T344" s="73"/>
      <c r="U344" s="73"/>
      <c r="W344" s="73"/>
      <c r="X344" s="73"/>
      <c r="Y344" s="73"/>
    </row>
    <row r="345">
      <c r="E345" s="73"/>
      <c r="F345" s="73"/>
      <c r="G345" s="74"/>
      <c r="J345" s="73"/>
      <c r="K345" s="73"/>
      <c r="L345" s="1"/>
      <c r="T345" s="73"/>
      <c r="U345" s="73"/>
      <c r="W345" s="73"/>
      <c r="X345" s="73"/>
      <c r="Y345" s="73"/>
    </row>
    <row r="346">
      <c r="E346" s="73"/>
      <c r="F346" s="73"/>
      <c r="G346" s="74"/>
      <c r="J346" s="73"/>
      <c r="K346" s="73"/>
      <c r="L346" s="1"/>
      <c r="T346" s="73"/>
      <c r="U346" s="73"/>
      <c r="W346" s="73"/>
      <c r="X346" s="73"/>
      <c r="Y346" s="73"/>
    </row>
    <row r="347">
      <c r="E347" s="73"/>
      <c r="F347" s="73"/>
      <c r="G347" s="74"/>
      <c r="J347" s="73"/>
      <c r="K347" s="73"/>
      <c r="L347" s="1"/>
      <c r="T347" s="73"/>
      <c r="U347" s="73"/>
      <c r="W347" s="73"/>
      <c r="X347" s="73"/>
      <c r="Y347" s="73"/>
    </row>
    <row r="348">
      <c r="E348" s="73"/>
      <c r="F348" s="73"/>
      <c r="G348" s="74"/>
      <c r="J348" s="73"/>
      <c r="K348" s="73"/>
      <c r="L348" s="1"/>
      <c r="T348" s="73"/>
      <c r="U348" s="73"/>
      <c r="W348" s="73"/>
      <c r="X348" s="73"/>
      <c r="Y348" s="73"/>
    </row>
    <row r="349">
      <c r="E349" s="73"/>
      <c r="F349" s="73"/>
      <c r="G349" s="74"/>
      <c r="J349" s="73"/>
      <c r="K349" s="73"/>
      <c r="L349" s="1"/>
      <c r="T349" s="73"/>
      <c r="U349" s="73"/>
      <c r="W349" s="73"/>
      <c r="X349" s="73"/>
      <c r="Y349" s="73"/>
    </row>
    <row r="350">
      <c r="E350" s="73"/>
      <c r="F350" s="73"/>
      <c r="G350" s="74"/>
      <c r="J350" s="73"/>
      <c r="K350" s="73"/>
      <c r="L350" s="1"/>
      <c r="T350" s="73"/>
      <c r="U350" s="73"/>
      <c r="W350" s="73"/>
      <c r="X350" s="73"/>
      <c r="Y350" s="73"/>
    </row>
    <row r="351">
      <c r="E351" s="73"/>
      <c r="F351" s="73"/>
      <c r="G351" s="74"/>
      <c r="J351" s="73"/>
      <c r="K351" s="73"/>
      <c r="L351" s="1"/>
      <c r="T351" s="73"/>
      <c r="U351" s="73"/>
      <c r="W351" s="73"/>
      <c r="X351" s="73"/>
      <c r="Y351" s="73"/>
    </row>
    <row r="352">
      <c r="E352" s="73"/>
      <c r="F352" s="73"/>
      <c r="G352" s="74"/>
      <c r="J352" s="73"/>
      <c r="K352" s="73"/>
      <c r="L352" s="1"/>
      <c r="T352" s="73"/>
      <c r="U352" s="73"/>
      <c r="W352" s="73"/>
      <c r="X352" s="73"/>
      <c r="Y352" s="73"/>
    </row>
    <row r="353">
      <c r="E353" s="73"/>
      <c r="F353" s="73"/>
      <c r="G353" s="74"/>
      <c r="J353" s="73"/>
      <c r="K353" s="73"/>
      <c r="L353" s="1"/>
      <c r="T353" s="73"/>
      <c r="U353" s="73"/>
      <c r="W353" s="73"/>
      <c r="X353" s="73"/>
      <c r="Y353" s="73"/>
    </row>
    <row r="354">
      <c r="E354" s="73"/>
      <c r="F354" s="73"/>
      <c r="G354" s="74"/>
      <c r="J354" s="73"/>
      <c r="K354" s="73"/>
      <c r="L354" s="1"/>
      <c r="T354" s="73"/>
      <c r="U354" s="73"/>
      <c r="W354" s="73"/>
      <c r="X354" s="73"/>
      <c r="Y354" s="73"/>
    </row>
    <row r="355">
      <c r="E355" s="73"/>
      <c r="F355" s="73"/>
      <c r="G355" s="74"/>
      <c r="J355" s="73"/>
      <c r="K355" s="73"/>
      <c r="L355" s="1"/>
      <c r="T355" s="73"/>
      <c r="U355" s="73"/>
      <c r="W355" s="73"/>
      <c r="X355" s="73"/>
      <c r="Y355" s="73"/>
    </row>
    <row r="356">
      <c r="E356" s="73"/>
      <c r="F356" s="73"/>
      <c r="G356" s="74"/>
      <c r="J356" s="73"/>
      <c r="K356" s="73"/>
      <c r="L356" s="1"/>
      <c r="T356" s="73"/>
      <c r="U356" s="73"/>
      <c r="W356" s="73"/>
      <c r="X356" s="73"/>
      <c r="Y356" s="73"/>
    </row>
    <row r="357">
      <c r="E357" s="73"/>
      <c r="F357" s="73"/>
      <c r="G357" s="74"/>
      <c r="J357" s="73"/>
      <c r="K357" s="73"/>
      <c r="L357" s="1"/>
      <c r="T357" s="73"/>
      <c r="U357" s="73"/>
      <c r="W357" s="73"/>
      <c r="X357" s="73"/>
      <c r="Y357" s="73"/>
    </row>
    <row r="358">
      <c r="E358" s="73"/>
      <c r="F358" s="73"/>
      <c r="G358" s="74"/>
      <c r="J358" s="73"/>
      <c r="K358" s="73"/>
      <c r="L358" s="1"/>
      <c r="T358" s="73"/>
      <c r="U358" s="73"/>
      <c r="W358" s="73"/>
      <c r="X358" s="73"/>
      <c r="Y358" s="73"/>
    </row>
    <row r="359">
      <c r="E359" s="73"/>
      <c r="F359" s="73"/>
      <c r="G359" s="74"/>
      <c r="J359" s="73"/>
      <c r="K359" s="73"/>
      <c r="L359" s="1"/>
      <c r="T359" s="73"/>
      <c r="U359" s="73"/>
      <c r="W359" s="73"/>
      <c r="X359" s="73"/>
      <c r="Y359" s="73"/>
    </row>
    <row r="360">
      <c r="E360" s="73"/>
      <c r="F360" s="73"/>
      <c r="G360" s="74"/>
      <c r="J360" s="73"/>
      <c r="K360" s="73"/>
      <c r="L360" s="1"/>
      <c r="T360" s="73"/>
      <c r="U360" s="73"/>
      <c r="W360" s="73"/>
      <c r="X360" s="73"/>
      <c r="Y360" s="73"/>
    </row>
    <row r="361">
      <c r="E361" s="73"/>
      <c r="F361" s="73"/>
      <c r="G361" s="74"/>
      <c r="J361" s="73"/>
      <c r="K361" s="73"/>
      <c r="L361" s="1"/>
      <c r="T361" s="73"/>
      <c r="U361" s="73"/>
      <c r="W361" s="73"/>
      <c r="X361" s="73"/>
      <c r="Y361" s="73"/>
    </row>
    <row r="362">
      <c r="E362" s="73"/>
      <c r="F362" s="73"/>
      <c r="G362" s="74"/>
      <c r="J362" s="73"/>
      <c r="K362" s="73"/>
      <c r="L362" s="1"/>
      <c r="T362" s="73"/>
      <c r="U362" s="73"/>
      <c r="W362" s="73"/>
      <c r="X362" s="73"/>
      <c r="Y362" s="73"/>
    </row>
    <row r="363">
      <c r="E363" s="73"/>
      <c r="F363" s="73"/>
      <c r="G363" s="74"/>
      <c r="J363" s="73"/>
      <c r="K363" s="73"/>
      <c r="L363" s="1"/>
      <c r="T363" s="73"/>
      <c r="U363" s="73"/>
      <c r="W363" s="73"/>
      <c r="X363" s="73"/>
      <c r="Y363" s="73"/>
    </row>
    <row r="364">
      <c r="E364" s="73"/>
      <c r="F364" s="73"/>
      <c r="G364" s="74"/>
      <c r="J364" s="73"/>
      <c r="K364" s="73"/>
      <c r="L364" s="1"/>
      <c r="T364" s="73"/>
      <c r="U364" s="73"/>
      <c r="W364" s="73"/>
      <c r="X364" s="73"/>
      <c r="Y364" s="73"/>
    </row>
    <row r="365">
      <c r="E365" s="73"/>
      <c r="F365" s="73"/>
      <c r="G365" s="74"/>
      <c r="J365" s="73"/>
      <c r="K365" s="73"/>
      <c r="L365" s="1"/>
      <c r="T365" s="73"/>
      <c r="U365" s="73"/>
      <c r="W365" s="73"/>
      <c r="X365" s="73"/>
      <c r="Y365" s="73"/>
    </row>
    <row r="366">
      <c r="E366" s="73"/>
      <c r="F366" s="73"/>
      <c r="G366" s="74"/>
      <c r="J366" s="73"/>
      <c r="K366" s="73"/>
      <c r="L366" s="1"/>
      <c r="T366" s="73"/>
      <c r="U366" s="73"/>
      <c r="W366" s="73"/>
      <c r="X366" s="73"/>
      <c r="Y366" s="73"/>
    </row>
    <row r="367">
      <c r="E367" s="73"/>
      <c r="F367" s="73"/>
      <c r="G367" s="74"/>
      <c r="J367" s="73"/>
      <c r="K367" s="73"/>
      <c r="L367" s="1"/>
      <c r="T367" s="73"/>
      <c r="U367" s="73"/>
      <c r="W367" s="73"/>
      <c r="X367" s="73"/>
      <c r="Y367" s="73"/>
    </row>
    <row r="368">
      <c r="E368" s="73"/>
      <c r="F368" s="73"/>
      <c r="G368" s="74"/>
      <c r="J368" s="73"/>
      <c r="K368" s="73"/>
      <c r="L368" s="1"/>
      <c r="T368" s="73"/>
      <c r="U368" s="73"/>
      <c r="W368" s="73"/>
      <c r="X368" s="73"/>
      <c r="Y368" s="73"/>
    </row>
    <row r="369">
      <c r="E369" s="73"/>
      <c r="F369" s="73"/>
      <c r="G369" s="74"/>
      <c r="J369" s="73"/>
      <c r="K369" s="73"/>
      <c r="L369" s="1"/>
      <c r="T369" s="73"/>
      <c r="U369" s="73"/>
      <c r="W369" s="73"/>
      <c r="X369" s="73"/>
      <c r="Y369" s="73"/>
    </row>
    <row r="370">
      <c r="E370" s="73"/>
      <c r="F370" s="73"/>
      <c r="G370" s="74"/>
      <c r="J370" s="73"/>
      <c r="K370" s="73"/>
      <c r="L370" s="1"/>
      <c r="T370" s="73"/>
      <c r="U370" s="73"/>
      <c r="W370" s="73"/>
      <c r="X370" s="73"/>
      <c r="Y370" s="73"/>
    </row>
    <row r="371">
      <c r="E371" s="73"/>
      <c r="F371" s="73"/>
      <c r="G371" s="74"/>
      <c r="J371" s="73"/>
      <c r="K371" s="73"/>
      <c r="L371" s="1"/>
      <c r="T371" s="73"/>
      <c r="U371" s="73"/>
      <c r="W371" s="73"/>
      <c r="X371" s="73"/>
      <c r="Y371" s="73"/>
    </row>
    <row r="372">
      <c r="E372" s="73"/>
      <c r="F372" s="73"/>
      <c r="G372" s="74"/>
      <c r="J372" s="73"/>
      <c r="K372" s="73"/>
      <c r="L372" s="1"/>
      <c r="T372" s="73"/>
      <c r="U372" s="73"/>
      <c r="W372" s="73"/>
      <c r="X372" s="73"/>
      <c r="Y372" s="73"/>
    </row>
    <row r="373">
      <c r="E373" s="73"/>
      <c r="F373" s="73"/>
      <c r="G373" s="74"/>
      <c r="J373" s="73"/>
      <c r="K373" s="73"/>
      <c r="L373" s="1"/>
      <c r="T373" s="73"/>
      <c r="U373" s="73"/>
      <c r="W373" s="73"/>
      <c r="X373" s="73"/>
      <c r="Y373" s="73"/>
    </row>
    <row r="374">
      <c r="E374" s="73"/>
      <c r="F374" s="73"/>
      <c r="G374" s="74"/>
      <c r="J374" s="73"/>
      <c r="K374" s="73"/>
      <c r="L374" s="1"/>
      <c r="T374" s="73"/>
      <c r="U374" s="73"/>
      <c r="W374" s="73"/>
      <c r="X374" s="73"/>
      <c r="Y374" s="73"/>
    </row>
    <row r="375">
      <c r="E375" s="73"/>
      <c r="F375" s="73"/>
      <c r="G375" s="74"/>
      <c r="J375" s="73"/>
      <c r="K375" s="73"/>
      <c r="L375" s="1"/>
      <c r="T375" s="73"/>
      <c r="U375" s="73"/>
      <c r="W375" s="73"/>
      <c r="X375" s="73"/>
      <c r="Y375" s="73"/>
    </row>
    <row r="376">
      <c r="E376" s="73"/>
      <c r="F376" s="73"/>
      <c r="G376" s="74"/>
      <c r="J376" s="73"/>
      <c r="K376" s="73"/>
      <c r="L376" s="1"/>
      <c r="T376" s="73"/>
      <c r="U376" s="73"/>
      <c r="W376" s="73"/>
      <c r="X376" s="73"/>
      <c r="Y376" s="73"/>
    </row>
    <row r="377">
      <c r="E377" s="73"/>
      <c r="F377" s="73"/>
      <c r="G377" s="74"/>
      <c r="J377" s="73"/>
      <c r="K377" s="73"/>
      <c r="L377" s="1"/>
      <c r="T377" s="73"/>
      <c r="U377" s="73"/>
      <c r="W377" s="73"/>
      <c r="X377" s="73"/>
      <c r="Y377" s="73"/>
    </row>
    <row r="378">
      <c r="E378" s="73"/>
      <c r="F378" s="73"/>
      <c r="G378" s="74"/>
      <c r="J378" s="73"/>
      <c r="K378" s="73"/>
      <c r="L378" s="1"/>
      <c r="T378" s="73"/>
      <c r="U378" s="73"/>
      <c r="W378" s="73"/>
      <c r="X378" s="73"/>
      <c r="Y378" s="73"/>
    </row>
    <row r="379">
      <c r="E379" s="73"/>
      <c r="F379" s="73"/>
      <c r="G379" s="74"/>
      <c r="J379" s="73"/>
      <c r="K379" s="73"/>
      <c r="L379" s="1"/>
      <c r="T379" s="73"/>
      <c r="U379" s="73"/>
      <c r="W379" s="73"/>
      <c r="X379" s="73"/>
      <c r="Y379" s="73"/>
    </row>
    <row r="380">
      <c r="E380" s="73"/>
      <c r="F380" s="73"/>
      <c r="G380" s="74"/>
      <c r="J380" s="73"/>
      <c r="K380" s="73"/>
      <c r="L380" s="1"/>
      <c r="T380" s="73"/>
      <c r="U380" s="73"/>
      <c r="W380" s="73"/>
      <c r="X380" s="73"/>
      <c r="Y380" s="73"/>
    </row>
    <row r="381">
      <c r="E381" s="73"/>
      <c r="F381" s="73"/>
      <c r="G381" s="74"/>
      <c r="J381" s="73"/>
      <c r="K381" s="73"/>
      <c r="L381" s="1"/>
      <c r="T381" s="73"/>
      <c r="U381" s="73"/>
      <c r="W381" s="73"/>
      <c r="X381" s="73"/>
      <c r="Y381" s="73"/>
    </row>
    <row r="382">
      <c r="E382" s="73"/>
      <c r="F382" s="73"/>
      <c r="G382" s="74"/>
      <c r="J382" s="73"/>
      <c r="K382" s="73"/>
      <c r="L382" s="1"/>
      <c r="T382" s="73"/>
      <c r="U382" s="73"/>
      <c r="W382" s="73"/>
      <c r="X382" s="73"/>
      <c r="Y382" s="73"/>
    </row>
    <row r="383">
      <c r="E383" s="73"/>
      <c r="F383" s="73"/>
      <c r="G383" s="74"/>
      <c r="J383" s="73"/>
      <c r="K383" s="73"/>
      <c r="L383" s="1"/>
      <c r="T383" s="73"/>
      <c r="U383" s="73"/>
      <c r="W383" s="73"/>
      <c r="X383" s="73"/>
      <c r="Y383" s="73"/>
    </row>
    <row r="384">
      <c r="E384" s="73"/>
      <c r="F384" s="73"/>
      <c r="G384" s="74"/>
      <c r="J384" s="73"/>
      <c r="K384" s="73"/>
      <c r="L384" s="1"/>
      <c r="T384" s="73"/>
      <c r="U384" s="73"/>
      <c r="W384" s="73"/>
      <c r="X384" s="73"/>
      <c r="Y384" s="73"/>
    </row>
    <row r="385">
      <c r="E385" s="73"/>
      <c r="F385" s="73"/>
      <c r="G385" s="74"/>
      <c r="J385" s="73"/>
      <c r="K385" s="73"/>
      <c r="L385" s="1"/>
      <c r="T385" s="73"/>
      <c r="U385" s="73"/>
      <c r="W385" s="73"/>
      <c r="X385" s="73"/>
      <c r="Y385" s="73"/>
    </row>
    <row r="386">
      <c r="E386" s="73"/>
      <c r="F386" s="73"/>
      <c r="G386" s="74"/>
      <c r="J386" s="73"/>
      <c r="K386" s="73"/>
      <c r="L386" s="1"/>
      <c r="T386" s="73"/>
      <c r="U386" s="73"/>
      <c r="W386" s="73"/>
      <c r="X386" s="73"/>
      <c r="Y386" s="73"/>
    </row>
    <row r="387">
      <c r="E387" s="73"/>
      <c r="F387" s="73"/>
      <c r="G387" s="74"/>
      <c r="J387" s="73"/>
      <c r="K387" s="73"/>
      <c r="L387" s="1"/>
      <c r="T387" s="73"/>
      <c r="U387" s="73"/>
      <c r="W387" s="73"/>
      <c r="X387" s="73"/>
      <c r="Y387" s="73"/>
    </row>
    <row r="388">
      <c r="E388" s="73"/>
      <c r="F388" s="73"/>
      <c r="G388" s="74"/>
      <c r="J388" s="73"/>
      <c r="K388" s="73"/>
      <c r="L388" s="1"/>
      <c r="T388" s="73"/>
      <c r="U388" s="73"/>
      <c r="W388" s="73"/>
      <c r="X388" s="73"/>
      <c r="Y388" s="73"/>
    </row>
    <row r="389">
      <c r="E389" s="73"/>
      <c r="F389" s="73"/>
      <c r="G389" s="74"/>
      <c r="J389" s="73"/>
      <c r="K389" s="73"/>
      <c r="L389" s="1"/>
      <c r="T389" s="73"/>
      <c r="U389" s="73"/>
      <c r="W389" s="73"/>
      <c r="X389" s="73"/>
      <c r="Y389" s="73"/>
    </row>
    <row r="390">
      <c r="E390" s="73"/>
      <c r="F390" s="73"/>
      <c r="G390" s="74"/>
      <c r="J390" s="73"/>
      <c r="K390" s="73"/>
      <c r="L390" s="1"/>
      <c r="T390" s="73"/>
      <c r="U390" s="73"/>
      <c r="W390" s="73"/>
      <c r="X390" s="73"/>
      <c r="Y390" s="73"/>
    </row>
    <row r="391">
      <c r="E391" s="73"/>
      <c r="F391" s="73"/>
      <c r="G391" s="74"/>
      <c r="J391" s="73"/>
      <c r="K391" s="73"/>
      <c r="L391" s="1"/>
      <c r="T391" s="73"/>
      <c r="U391" s="73"/>
      <c r="W391" s="73"/>
      <c r="X391" s="73"/>
      <c r="Y391" s="73"/>
    </row>
    <row r="392">
      <c r="E392" s="73"/>
      <c r="F392" s="73"/>
      <c r="G392" s="74"/>
      <c r="J392" s="73"/>
      <c r="K392" s="73"/>
      <c r="L392" s="1"/>
      <c r="T392" s="73"/>
      <c r="U392" s="73"/>
      <c r="W392" s="73"/>
      <c r="X392" s="73"/>
      <c r="Y392" s="73"/>
    </row>
    <row r="393">
      <c r="E393" s="73"/>
      <c r="F393" s="73"/>
      <c r="G393" s="74"/>
      <c r="J393" s="73"/>
      <c r="K393" s="73"/>
      <c r="L393" s="1"/>
      <c r="T393" s="73"/>
      <c r="U393" s="73"/>
      <c r="W393" s="73"/>
      <c r="X393" s="73"/>
      <c r="Y393" s="73"/>
    </row>
    <row r="394">
      <c r="E394" s="73"/>
      <c r="F394" s="73"/>
      <c r="G394" s="74"/>
      <c r="J394" s="73"/>
      <c r="K394" s="73"/>
      <c r="L394" s="1"/>
      <c r="T394" s="73"/>
      <c r="U394" s="73"/>
      <c r="W394" s="73"/>
      <c r="X394" s="73"/>
      <c r="Y394" s="73"/>
    </row>
    <row r="395">
      <c r="E395" s="73"/>
      <c r="F395" s="73"/>
      <c r="G395" s="74"/>
      <c r="J395" s="73"/>
      <c r="K395" s="73"/>
      <c r="L395" s="1"/>
      <c r="T395" s="73"/>
      <c r="U395" s="73"/>
      <c r="W395" s="73"/>
      <c r="X395" s="73"/>
      <c r="Y395" s="73"/>
    </row>
    <row r="396">
      <c r="E396" s="73"/>
      <c r="F396" s="73"/>
      <c r="G396" s="74"/>
      <c r="J396" s="73"/>
      <c r="K396" s="73"/>
      <c r="L396" s="1"/>
      <c r="T396" s="73"/>
      <c r="U396" s="73"/>
      <c r="W396" s="73"/>
      <c r="X396" s="73"/>
      <c r="Y396" s="73"/>
    </row>
    <row r="397">
      <c r="E397" s="73"/>
      <c r="F397" s="73"/>
      <c r="G397" s="74"/>
      <c r="J397" s="73"/>
      <c r="K397" s="73"/>
      <c r="L397" s="1"/>
      <c r="T397" s="73"/>
      <c r="U397" s="73"/>
      <c r="W397" s="73"/>
      <c r="X397" s="73"/>
      <c r="Y397" s="73"/>
    </row>
    <row r="398">
      <c r="E398" s="73"/>
      <c r="F398" s="73"/>
      <c r="G398" s="74"/>
      <c r="J398" s="73"/>
      <c r="K398" s="73"/>
      <c r="L398" s="1"/>
      <c r="T398" s="73"/>
      <c r="U398" s="73"/>
      <c r="W398" s="73"/>
      <c r="X398" s="73"/>
      <c r="Y398" s="73"/>
    </row>
    <row r="399">
      <c r="E399" s="73"/>
      <c r="F399" s="73"/>
      <c r="G399" s="74"/>
      <c r="J399" s="73"/>
      <c r="K399" s="73"/>
      <c r="L399" s="1"/>
      <c r="T399" s="73"/>
      <c r="U399" s="73"/>
      <c r="W399" s="73"/>
      <c r="X399" s="73"/>
      <c r="Y399" s="73"/>
    </row>
    <row r="400">
      <c r="E400" s="73"/>
      <c r="F400" s="73"/>
      <c r="G400" s="74"/>
      <c r="J400" s="73"/>
      <c r="K400" s="73"/>
      <c r="L400" s="1"/>
      <c r="T400" s="73"/>
      <c r="U400" s="73"/>
      <c r="W400" s="73"/>
      <c r="X400" s="73"/>
      <c r="Y400" s="73"/>
    </row>
    <row r="401">
      <c r="E401" s="73"/>
      <c r="F401" s="73"/>
      <c r="G401" s="74"/>
      <c r="J401" s="73"/>
      <c r="K401" s="73"/>
      <c r="L401" s="1"/>
      <c r="T401" s="73"/>
      <c r="U401" s="73"/>
      <c r="W401" s="73"/>
      <c r="X401" s="73"/>
      <c r="Y401" s="73"/>
    </row>
    <row r="402">
      <c r="E402" s="73"/>
      <c r="F402" s="73"/>
      <c r="G402" s="74"/>
      <c r="J402" s="73"/>
      <c r="K402" s="73"/>
      <c r="L402" s="1"/>
      <c r="T402" s="73"/>
      <c r="U402" s="73"/>
      <c r="W402" s="73"/>
      <c r="X402" s="73"/>
      <c r="Y402" s="73"/>
    </row>
    <row r="403">
      <c r="E403" s="73"/>
      <c r="F403" s="73"/>
      <c r="G403" s="74"/>
      <c r="J403" s="73"/>
      <c r="K403" s="73"/>
      <c r="L403" s="1"/>
      <c r="T403" s="73"/>
      <c r="U403" s="73"/>
      <c r="W403" s="73"/>
      <c r="X403" s="73"/>
      <c r="Y403" s="73"/>
    </row>
    <row r="404">
      <c r="E404" s="73"/>
      <c r="F404" s="73"/>
      <c r="G404" s="74"/>
      <c r="J404" s="73"/>
      <c r="K404" s="73"/>
      <c r="L404" s="1"/>
      <c r="T404" s="73"/>
      <c r="U404" s="73"/>
      <c r="W404" s="73"/>
      <c r="X404" s="73"/>
      <c r="Y404" s="73"/>
    </row>
    <row r="405">
      <c r="E405" s="73"/>
      <c r="F405" s="73"/>
      <c r="G405" s="74"/>
      <c r="J405" s="73"/>
      <c r="K405" s="73"/>
      <c r="L405" s="1"/>
      <c r="T405" s="73"/>
      <c r="U405" s="73"/>
      <c r="W405" s="73"/>
      <c r="X405" s="73"/>
      <c r="Y405" s="73"/>
    </row>
    <row r="406">
      <c r="E406" s="73"/>
      <c r="F406" s="73"/>
      <c r="G406" s="74"/>
      <c r="J406" s="73"/>
      <c r="K406" s="73"/>
      <c r="L406" s="1"/>
      <c r="T406" s="73"/>
      <c r="U406" s="73"/>
      <c r="W406" s="73"/>
      <c r="X406" s="73"/>
      <c r="Y406" s="73"/>
    </row>
    <row r="407">
      <c r="E407" s="73"/>
      <c r="F407" s="73"/>
      <c r="G407" s="74"/>
      <c r="J407" s="73"/>
      <c r="K407" s="73"/>
      <c r="L407" s="1"/>
      <c r="T407" s="73"/>
      <c r="U407" s="73"/>
      <c r="W407" s="73"/>
      <c r="X407" s="73"/>
      <c r="Y407" s="73"/>
    </row>
    <row r="408">
      <c r="E408" s="73"/>
      <c r="F408" s="73"/>
      <c r="G408" s="74"/>
      <c r="J408" s="73"/>
      <c r="K408" s="73"/>
      <c r="L408" s="1"/>
      <c r="T408" s="73"/>
      <c r="U408" s="73"/>
      <c r="W408" s="73"/>
      <c r="X408" s="73"/>
      <c r="Y408" s="73"/>
    </row>
    <row r="409">
      <c r="E409" s="73"/>
      <c r="F409" s="73"/>
      <c r="G409" s="74"/>
      <c r="J409" s="73"/>
      <c r="K409" s="73"/>
      <c r="L409" s="1"/>
      <c r="T409" s="73"/>
      <c r="U409" s="73"/>
      <c r="W409" s="73"/>
      <c r="X409" s="73"/>
      <c r="Y409" s="73"/>
    </row>
    <row r="410">
      <c r="E410" s="73"/>
      <c r="F410" s="73"/>
      <c r="G410" s="74"/>
      <c r="J410" s="73"/>
      <c r="K410" s="73"/>
      <c r="L410" s="1"/>
      <c r="T410" s="73"/>
      <c r="U410" s="73"/>
      <c r="W410" s="73"/>
      <c r="X410" s="73"/>
      <c r="Y410" s="73"/>
    </row>
    <row r="411">
      <c r="E411" s="73"/>
      <c r="F411" s="73"/>
      <c r="G411" s="74"/>
      <c r="J411" s="73"/>
      <c r="K411" s="73"/>
      <c r="L411" s="1"/>
      <c r="T411" s="73"/>
      <c r="U411" s="73"/>
      <c r="W411" s="73"/>
      <c r="X411" s="73"/>
      <c r="Y411" s="73"/>
    </row>
    <row r="412">
      <c r="E412" s="73"/>
      <c r="F412" s="73"/>
      <c r="G412" s="74"/>
      <c r="J412" s="73"/>
      <c r="K412" s="73"/>
      <c r="L412" s="1"/>
      <c r="T412" s="73"/>
      <c r="U412" s="73"/>
      <c r="W412" s="73"/>
      <c r="X412" s="73"/>
      <c r="Y412" s="73"/>
    </row>
    <row r="413">
      <c r="E413" s="73"/>
      <c r="F413" s="73"/>
      <c r="G413" s="74"/>
      <c r="J413" s="73"/>
      <c r="K413" s="73"/>
      <c r="L413" s="1"/>
      <c r="T413" s="73"/>
      <c r="U413" s="73"/>
      <c r="W413" s="73"/>
      <c r="X413" s="73"/>
      <c r="Y413" s="73"/>
    </row>
    <row r="414">
      <c r="E414" s="73"/>
      <c r="F414" s="73"/>
      <c r="G414" s="74"/>
      <c r="J414" s="73"/>
      <c r="K414" s="73"/>
      <c r="L414" s="1"/>
      <c r="T414" s="73"/>
      <c r="U414" s="73"/>
      <c r="W414" s="73"/>
      <c r="X414" s="73"/>
      <c r="Y414" s="73"/>
    </row>
    <row r="415">
      <c r="E415" s="73"/>
      <c r="F415" s="73"/>
      <c r="G415" s="74"/>
      <c r="J415" s="73"/>
      <c r="K415" s="73"/>
      <c r="L415" s="1"/>
      <c r="T415" s="73"/>
      <c r="U415" s="73"/>
      <c r="W415" s="73"/>
      <c r="X415" s="73"/>
      <c r="Y415" s="73"/>
    </row>
    <row r="416">
      <c r="E416" s="73"/>
      <c r="F416" s="73"/>
      <c r="G416" s="74"/>
      <c r="J416" s="73"/>
      <c r="K416" s="73"/>
      <c r="L416" s="1"/>
      <c r="T416" s="73"/>
      <c r="U416" s="73"/>
      <c r="W416" s="73"/>
      <c r="X416" s="73"/>
      <c r="Y416" s="73"/>
    </row>
    <row r="417">
      <c r="E417" s="73"/>
      <c r="F417" s="73"/>
      <c r="G417" s="74"/>
      <c r="J417" s="73"/>
      <c r="K417" s="73"/>
      <c r="L417" s="1"/>
      <c r="T417" s="73"/>
      <c r="U417" s="73"/>
      <c r="W417" s="73"/>
      <c r="X417" s="73"/>
      <c r="Y417" s="73"/>
    </row>
    <row r="418">
      <c r="E418" s="73"/>
      <c r="F418" s="73"/>
      <c r="G418" s="74"/>
      <c r="J418" s="73"/>
      <c r="K418" s="73"/>
      <c r="L418" s="1"/>
      <c r="T418" s="73"/>
      <c r="U418" s="73"/>
      <c r="W418" s="73"/>
      <c r="X418" s="73"/>
      <c r="Y418" s="73"/>
    </row>
    <row r="419">
      <c r="E419" s="73"/>
      <c r="F419" s="73"/>
      <c r="G419" s="74"/>
      <c r="J419" s="73"/>
      <c r="K419" s="73"/>
      <c r="L419" s="1"/>
      <c r="T419" s="73"/>
      <c r="U419" s="73"/>
      <c r="W419" s="73"/>
      <c r="X419" s="73"/>
      <c r="Y419" s="73"/>
    </row>
    <row r="420">
      <c r="E420" s="73"/>
      <c r="F420" s="73"/>
      <c r="G420" s="74"/>
      <c r="J420" s="73"/>
      <c r="K420" s="73"/>
      <c r="L420" s="1"/>
      <c r="T420" s="73"/>
      <c r="U420" s="73"/>
      <c r="W420" s="73"/>
      <c r="X420" s="73"/>
      <c r="Y420" s="73"/>
    </row>
    <row r="421">
      <c r="E421" s="73"/>
      <c r="F421" s="73"/>
      <c r="G421" s="74"/>
      <c r="J421" s="73"/>
      <c r="K421" s="73"/>
      <c r="L421" s="1"/>
      <c r="T421" s="73"/>
      <c r="U421" s="73"/>
      <c r="W421" s="73"/>
      <c r="X421" s="73"/>
      <c r="Y421" s="73"/>
    </row>
    <row r="422">
      <c r="E422" s="73"/>
      <c r="F422" s="73"/>
      <c r="G422" s="74"/>
      <c r="J422" s="73"/>
      <c r="K422" s="73"/>
      <c r="L422" s="1"/>
      <c r="T422" s="73"/>
      <c r="U422" s="73"/>
      <c r="W422" s="73"/>
      <c r="X422" s="73"/>
      <c r="Y422" s="73"/>
    </row>
    <row r="423">
      <c r="E423" s="73"/>
      <c r="F423" s="73"/>
      <c r="G423" s="74"/>
      <c r="J423" s="73"/>
      <c r="K423" s="73"/>
      <c r="L423" s="1"/>
      <c r="T423" s="73"/>
      <c r="U423" s="73"/>
      <c r="W423" s="73"/>
      <c r="X423" s="73"/>
      <c r="Y423" s="73"/>
    </row>
    <row r="424">
      <c r="E424" s="73"/>
      <c r="F424" s="73"/>
      <c r="G424" s="74"/>
      <c r="J424" s="73"/>
      <c r="K424" s="73"/>
      <c r="L424" s="1"/>
      <c r="T424" s="73"/>
      <c r="U424" s="73"/>
      <c r="W424" s="73"/>
      <c r="X424" s="73"/>
      <c r="Y424" s="73"/>
    </row>
    <row r="425">
      <c r="E425" s="73"/>
      <c r="F425" s="73"/>
      <c r="G425" s="74"/>
      <c r="J425" s="73"/>
      <c r="K425" s="73"/>
      <c r="L425" s="1"/>
      <c r="T425" s="73"/>
      <c r="U425" s="73"/>
      <c r="W425" s="73"/>
      <c r="X425" s="73"/>
      <c r="Y425" s="73"/>
    </row>
    <row r="426">
      <c r="E426" s="73"/>
      <c r="F426" s="73"/>
      <c r="G426" s="74"/>
      <c r="J426" s="73"/>
      <c r="K426" s="73"/>
      <c r="L426" s="1"/>
      <c r="T426" s="73"/>
      <c r="U426" s="73"/>
      <c r="W426" s="73"/>
      <c r="X426" s="73"/>
      <c r="Y426" s="73"/>
    </row>
    <row r="427">
      <c r="E427" s="73"/>
      <c r="F427" s="73"/>
      <c r="G427" s="74"/>
      <c r="J427" s="73"/>
      <c r="K427" s="73"/>
      <c r="L427" s="1"/>
      <c r="T427" s="73"/>
      <c r="U427" s="73"/>
      <c r="W427" s="73"/>
      <c r="X427" s="73"/>
      <c r="Y427" s="73"/>
    </row>
    <row r="428">
      <c r="E428" s="73"/>
      <c r="F428" s="73"/>
      <c r="G428" s="74"/>
      <c r="J428" s="73"/>
      <c r="K428" s="73"/>
      <c r="L428" s="1"/>
      <c r="T428" s="73"/>
      <c r="U428" s="73"/>
      <c r="W428" s="73"/>
      <c r="X428" s="73"/>
      <c r="Y428" s="73"/>
    </row>
    <row r="429">
      <c r="E429" s="73"/>
      <c r="F429" s="73"/>
      <c r="G429" s="74"/>
      <c r="J429" s="73"/>
      <c r="K429" s="73"/>
      <c r="L429" s="1"/>
      <c r="T429" s="73"/>
      <c r="U429" s="73"/>
      <c r="W429" s="73"/>
      <c r="X429" s="73"/>
      <c r="Y429" s="73"/>
    </row>
    <row r="430">
      <c r="E430" s="73"/>
      <c r="F430" s="73"/>
      <c r="G430" s="74"/>
      <c r="J430" s="73"/>
      <c r="K430" s="73"/>
      <c r="L430" s="1"/>
      <c r="T430" s="73"/>
      <c r="U430" s="73"/>
      <c r="W430" s="73"/>
      <c r="X430" s="73"/>
      <c r="Y430" s="73"/>
    </row>
    <row r="431">
      <c r="E431" s="73"/>
      <c r="F431" s="73"/>
      <c r="G431" s="74"/>
      <c r="J431" s="73"/>
      <c r="K431" s="73"/>
      <c r="L431" s="1"/>
      <c r="T431" s="73"/>
      <c r="U431" s="73"/>
      <c r="W431" s="73"/>
      <c r="X431" s="73"/>
      <c r="Y431" s="73"/>
    </row>
    <row r="432">
      <c r="E432" s="73"/>
      <c r="F432" s="73"/>
      <c r="G432" s="74"/>
      <c r="J432" s="73"/>
      <c r="K432" s="73"/>
      <c r="L432" s="1"/>
      <c r="T432" s="73"/>
      <c r="U432" s="73"/>
      <c r="W432" s="73"/>
      <c r="X432" s="73"/>
      <c r="Y432" s="73"/>
    </row>
    <row r="433">
      <c r="E433" s="73"/>
      <c r="F433" s="73"/>
      <c r="G433" s="74"/>
      <c r="J433" s="73"/>
      <c r="K433" s="73"/>
      <c r="L433" s="1"/>
      <c r="T433" s="73"/>
      <c r="U433" s="73"/>
      <c r="W433" s="73"/>
      <c r="X433" s="73"/>
      <c r="Y433" s="73"/>
    </row>
    <row r="434">
      <c r="E434" s="73"/>
      <c r="F434" s="73"/>
      <c r="G434" s="74"/>
      <c r="J434" s="73"/>
      <c r="K434" s="73"/>
      <c r="L434" s="1"/>
      <c r="T434" s="73"/>
      <c r="U434" s="73"/>
      <c r="W434" s="73"/>
      <c r="X434" s="73"/>
      <c r="Y434" s="73"/>
    </row>
    <row r="435">
      <c r="E435" s="73"/>
      <c r="F435" s="73"/>
      <c r="G435" s="74"/>
      <c r="J435" s="73"/>
      <c r="K435" s="73"/>
      <c r="L435" s="1"/>
      <c r="T435" s="73"/>
      <c r="U435" s="73"/>
      <c r="W435" s="73"/>
      <c r="X435" s="73"/>
      <c r="Y435" s="73"/>
    </row>
    <row r="436">
      <c r="E436" s="73"/>
      <c r="F436" s="73"/>
      <c r="G436" s="74"/>
      <c r="J436" s="73"/>
      <c r="K436" s="73"/>
      <c r="L436" s="1"/>
      <c r="T436" s="73"/>
      <c r="U436" s="73"/>
      <c r="W436" s="73"/>
      <c r="X436" s="73"/>
      <c r="Y436" s="73"/>
    </row>
    <row r="437">
      <c r="E437" s="73"/>
      <c r="F437" s="73"/>
      <c r="G437" s="74"/>
      <c r="J437" s="73"/>
      <c r="K437" s="73"/>
      <c r="L437" s="1"/>
      <c r="T437" s="73"/>
      <c r="U437" s="73"/>
      <c r="W437" s="73"/>
      <c r="X437" s="73"/>
      <c r="Y437" s="73"/>
    </row>
    <row r="438">
      <c r="E438" s="73"/>
      <c r="F438" s="73"/>
      <c r="G438" s="74"/>
      <c r="J438" s="73"/>
      <c r="K438" s="73"/>
      <c r="L438" s="1"/>
      <c r="T438" s="73"/>
      <c r="U438" s="73"/>
      <c r="W438" s="73"/>
      <c r="X438" s="73"/>
      <c r="Y438" s="73"/>
    </row>
    <row r="439">
      <c r="E439" s="73"/>
      <c r="F439" s="73"/>
      <c r="G439" s="74"/>
      <c r="J439" s="73"/>
      <c r="K439" s="73"/>
      <c r="L439" s="1"/>
      <c r="T439" s="73"/>
      <c r="U439" s="73"/>
      <c r="W439" s="73"/>
      <c r="X439" s="73"/>
      <c r="Y439" s="73"/>
    </row>
    <row r="440">
      <c r="E440" s="73"/>
      <c r="F440" s="73"/>
      <c r="G440" s="74"/>
      <c r="J440" s="73"/>
      <c r="K440" s="73"/>
      <c r="L440" s="1"/>
      <c r="T440" s="73"/>
      <c r="U440" s="73"/>
      <c r="W440" s="73"/>
      <c r="X440" s="73"/>
      <c r="Y440" s="73"/>
    </row>
    <row r="441">
      <c r="E441" s="73"/>
      <c r="F441" s="73"/>
      <c r="G441" s="74"/>
      <c r="J441" s="73"/>
      <c r="K441" s="73"/>
      <c r="L441" s="1"/>
      <c r="T441" s="73"/>
      <c r="U441" s="73"/>
      <c r="W441" s="73"/>
      <c r="X441" s="73"/>
      <c r="Y441" s="73"/>
    </row>
    <row r="442">
      <c r="E442" s="73"/>
      <c r="F442" s="73"/>
      <c r="G442" s="74"/>
      <c r="J442" s="73"/>
      <c r="K442" s="73"/>
      <c r="L442" s="1"/>
      <c r="T442" s="73"/>
      <c r="U442" s="73"/>
      <c r="W442" s="73"/>
      <c r="X442" s="73"/>
      <c r="Y442" s="73"/>
    </row>
    <row r="443">
      <c r="E443" s="73"/>
      <c r="F443" s="73"/>
      <c r="G443" s="74"/>
      <c r="J443" s="73"/>
      <c r="K443" s="73"/>
      <c r="L443" s="1"/>
      <c r="T443" s="73"/>
      <c r="U443" s="73"/>
      <c r="W443" s="73"/>
      <c r="X443" s="73"/>
      <c r="Y443" s="73"/>
    </row>
    <row r="444">
      <c r="E444" s="73"/>
      <c r="F444" s="73"/>
      <c r="G444" s="74"/>
      <c r="J444" s="73"/>
      <c r="K444" s="73"/>
      <c r="L444" s="1"/>
      <c r="T444" s="73"/>
      <c r="U444" s="73"/>
      <c r="W444" s="73"/>
      <c r="X444" s="73"/>
      <c r="Y444" s="73"/>
    </row>
    <row r="445">
      <c r="E445" s="73"/>
      <c r="F445" s="73"/>
      <c r="G445" s="74"/>
      <c r="J445" s="73"/>
      <c r="K445" s="73"/>
      <c r="L445" s="1"/>
      <c r="T445" s="73"/>
      <c r="U445" s="73"/>
      <c r="W445" s="73"/>
      <c r="X445" s="73"/>
      <c r="Y445" s="73"/>
    </row>
    <row r="446">
      <c r="E446" s="73"/>
      <c r="F446" s="73"/>
      <c r="G446" s="74"/>
      <c r="J446" s="73"/>
      <c r="K446" s="73"/>
      <c r="L446" s="1"/>
      <c r="T446" s="73"/>
      <c r="U446" s="73"/>
      <c r="W446" s="73"/>
      <c r="X446" s="73"/>
      <c r="Y446" s="73"/>
    </row>
    <row r="447">
      <c r="E447" s="73"/>
      <c r="F447" s="73"/>
      <c r="G447" s="74"/>
      <c r="J447" s="73"/>
      <c r="K447" s="73"/>
      <c r="L447" s="1"/>
      <c r="T447" s="73"/>
      <c r="U447" s="73"/>
      <c r="W447" s="73"/>
      <c r="X447" s="73"/>
      <c r="Y447" s="73"/>
    </row>
    <row r="448">
      <c r="E448" s="73"/>
      <c r="F448" s="73"/>
      <c r="G448" s="74"/>
      <c r="J448" s="73"/>
      <c r="K448" s="73"/>
      <c r="L448" s="1"/>
      <c r="T448" s="73"/>
      <c r="U448" s="73"/>
      <c r="W448" s="73"/>
      <c r="X448" s="73"/>
      <c r="Y448" s="73"/>
    </row>
    <row r="449">
      <c r="E449" s="73"/>
      <c r="F449" s="73"/>
      <c r="G449" s="74"/>
      <c r="J449" s="73"/>
      <c r="K449" s="73"/>
      <c r="L449" s="1"/>
      <c r="T449" s="73"/>
      <c r="U449" s="73"/>
      <c r="W449" s="73"/>
      <c r="X449" s="73"/>
      <c r="Y449" s="73"/>
    </row>
    <row r="450">
      <c r="E450" s="73"/>
      <c r="F450" s="73"/>
      <c r="G450" s="74"/>
      <c r="J450" s="73"/>
      <c r="K450" s="73"/>
      <c r="L450" s="1"/>
      <c r="T450" s="73"/>
      <c r="U450" s="73"/>
      <c r="W450" s="73"/>
      <c r="X450" s="73"/>
      <c r="Y450" s="73"/>
    </row>
    <row r="451">
      <c r="E451" s="73"/>
      <c r="F451" s="73"/>
      <c r="G451" s="74"/>
      <c r="J451" s="73"/>
      <c r="K451" s="73"/>
      <c r="L451" s="1"/>
      <c r="T451" s="73"/>
      <c r="U451" s="73"/>
      <c r="W451" s="73"/>
      <c r="X451" s="73"/>
      <c r="Y451" s="73"/>
    </row>
    <row r="452">
      <c r="E452" s="73"/>
      <c r="F452" s="73"/>
      <c r="G452" s="74"/>
      <c r="J452" s="73"/>
      <c r="K452" s="73"/>
      <c r="L452" s="1"/>
      <c r="T452" s="73"/>
      <c r="U452" s="73"/>
      <c r="W452" s="73"/>
      <c r="X452" s="73"/>
      <c r="Y452" s="73"/>
    </row>
    <row r="453">
      <c r="E453" s="73"/>
      <c r="F453" s="73"/>
      <c r="G453" s="74"/>
      <c r="J453" s="73"/>
      <c r="K453" s="73"/>
      <c r="L453" s="1"/>
      <c r="T453" s="73"/>
      <c r="U453" s="73"/>
      <c r="W453" s="73"/>
      <c r="X453" s="73"/>
      <c r="Y453" s="73"/>
    </row>
    <row r="454">
      <c r="E454" s="73"/>
      <c r="F454" s="73"/>
      <c r="G454" s="74"/>
      <c r="J454" s="73"/>
      <c r="K454" s="73"/>
      <c r="L454" s="1"/>
      <c r="T454" s="73"/>
      <c r="U454" s="73"/>
      <c r="W454" s="73"/>
      <c r="X454" s="73"/>
      <c r="Y454" s="73"/>
    </row>
    <row r="455">
      <c r="E455" s="73"/>
      <c r="F455" s="73"/>
      <c r="G455" s="74"/>
      <c r="J455" s="73"/>
      <c r="K455" s="73"/>
      <c r="L455" s="1"/>
      <c r="T455" s="73"/>
      <c r="U455" s="73"/>
      <c r="W455" s="73"/>
      <c r="X455" s="73"/>
      <c r="Y455" s="73"/>
    </row>
    <row r="456">
      <c r="E456" s="73"/>
      <c r="F456" s="73"/>
      <c r="G456" s="74"/>
      <c r="J456" s="73"/>
      <c r="K456" s="73"/>
      <c r="L456" s="1"/>
      <c r="T456" s="73"/>
      <c r="U456" s="73"/>
      <c r="W456" s="73"/>
      <c r="X456" s="73"/>
      <c r="Y456" s="73"/>
    </row>
    <row r="457">
      <c r="E457" s="73"/>
      <c r="F457" s="73"/>
      <c r="G457" s="74"/>
      <c r="J457" s="73"/>
      <c r="K457" s="73"/>
      <c r="L457" s="1"/>
      <c r="T457" s="73"/>
      <c r="U457" s="73"/>
      <c r="W457" s="73"/>
      <c r="X457" s="73"/>
      <c r="Y457" s="73"/>
    </row>
    <row r="458">
      <c r="E458" s="73"/>
      <c r="F458" s="73"/>
      <c r="G458" s="74"/>
      <c r="J458" s="73"/>
      <c r="K458" s="73"/>
      <c r="L458" s="1"/>
      <c r="T458" s="73"/>
      <c r="U458" s="73"/>
      <c r="W458" s="73"/>
      <c r="X458" s="73"/>
      <c r="Y458" s="73"/>
    </row>
    <row r="459">
      <c r="E459" s="73"/>
      <c r="F459" s="73"/>
      <c r="G459" s="74"/>
      <c r="J459" s="73"/>
      <c r="K459" s="73"/>
      <c r="L459" s="1"/>
      <c r="T459" s="73"/>
      <c r="U459" s="73"/>
      <c r="W459" s="73"/>
      <c r="X459" s="73"/>
      <c r="Y459" s="73"/>
    </row>
    <row r="460">
      <c r="E460" s="73"/>
      <c r="F460" s="73"/>
      <c r="G460" s="74"/>
      <c r="J460" s="73"/>
      <c r="K460" s="73"/>
      <c r="L460" s="1"/>
      <c r="T460" s="73"/>
      <c r="U460" s="73"/>
      <c r="W460" s="73"/>
      <c r="X460" s="73"/>
      <c r="Y460" s="73"/>
    </row>
    <row r="461">
      <c r="E461" s="73"/>
      <c r="F461" s="73"/>
      <c r="G461" s="74"/>
      <c r="J461" s="73"/>
      <c r="K461" s="73"/>
      <c r="L461" s="1"/>
      <c r="T461" s="73"/>
      <c r="U461" s="73"/>
      <c r="W461" s="73"/>
      <c r="X461" s="73"/>
      <c r="Y461" s="73"/>
    </row>
    <row r="462">
      <c r="E462" s="73"/>
      <c r="F462" s="73"/>
      <c r="G462" s="74"/>
      <c r="J462" s="73"/>
      <c r="K462" s="73"/>
      <c r="L462" s="1"/>
      <c r="T462" s="73"/>
      <c r="U462" s="73"/>
      <c r="W462" s="73"/>
      <c r="X462" s="73"/>
      <c r="Y462" s="73"/>
    </row>
    <row r="463">
      <c r="E463" s="73"/>
      <c r="F463" s="73"/>
      <c r="G463" s="74"/>
      <c r="J463" s="73"/>
      <c r="K463" s="73"/>
      <c r="L463" s="1"/>
      <c r="T463" s="73"/>
      <c r="U463" s="73"/>
      <c r="W463" s="73"/>
      <c r="X463" s="73"/>
      <c r="Y463" s="73"/>
    </row>
    <row r="464">
      <c r="E464" s="73"/>
      <c r="F464" s="73"/>
      <c r="G464" s="74"/>
      <c r="J464" s="73"/>
      <c r="K464" s="73"/>
      <c r="L464" s="1"/>
      <c r="T464" s="73"/>
      <c r="U464" s="73"/>
      <c r="W464" s="73"/>
      <c r="X464" s="73"/>
      <c r="Y464" s="73"/>
    </row>
    <row r="465">
      <c r="E465" s="73"/>
      <c r="F465" s="73"/>
      <c r="G465" s="74"/>
      <c r="J465" s="73"/>
      <c r="K465" s="73"/>
      <c r="L465" s="1"/>
      <c r="T465" s="73"/>
      <c r="U465" s="73"/>
      <c r="W465" s="73"/>
      <c r="X465" s="73"/>
      <c r="Y465" s="73"/>
    </row>
    <row r="466">
      <c r="E466" s="73"/>
      <c r="F466" s="73"/>
      <c r="G466" s="74"/>
      <c r="J466" s="73"/>
      <c r="K466" s="73"/>
      <c r="L466" s="1"/>
      <c r="T466" s="73"/>
      <c r="U466" s="73"/>
      <c r="W466" s="73"/>
      <c r="X466" s="73"/>
      <c r="Y466" s="73"/>
    </row>
    <row r="467">
      <c r="E467" s="73"/>
      <c r="F467" s="73"/>
      <c r="G467" s="74"/>
      <c r="J467" s="73"/>
      <c r="K467" s="73"/>
      <c r="L467" s="1"/>
      <c r="T467" s="73"/>
      <c r="U467" s="73"/>
      <c r="W467" s="73"/>
      <c r="X467" s="73"/>
      <c r="Y467" s="73"/>
    </row>
    <row r="468">
      <c r="E468" s="73"/>
      <c r="F468" s="73"/>
      <c r="G468" s="74"/>
      <c r="J468" s="73"/>
      <c r="K468" s="73"/>
      <c r="L468" s="1"/>
      <c r="T468" s="73"/>
      <c r="U468" s="73"/>
      <c r="W468" s="73"/>
      <c r="X468" s="73"/>
      <c r="Y468" s="73"/>
    </row>
    <row r="469">
      <c r="E469" s="73"/>
      <c r="F469" s="73"/>
      <c r="G469" s="74"/>
      <c r="J469" s="73"/>
      <c r="K469" s="73"/>
      <c r="L469" s="1"/>
      <c r="T469" s="73"/>
      <c r="U469" s="73"/>
      <c r="W469" s="73"/>
      <c r="X469" s="73"/>
      <c r="Y469" s="73"/>
    </row>
    <row r="470">
      <c r="E470" s="73"/>
      <c r="F470" s="73"/>
      <c r="G470" s="74"/>
      <c r="J470" s="73"/>
      <c r="K470" s="73"/>
      <c r="L470" s="1"/>
      <c r="T470" s="73"/>
      <c r="U470" s="73"/>
      <c r="W470" s="73"/>
      <c r="X470" s="73"/>
      <c r="Y470" s="73"/>
    </row>
    <row r="471">
      <c r="E471" s="73"/>
      <c r="F471" s="73"/>
      <c r="G471" s="74"/>
      <c r="J471" s="73"/>
      <c r="K471" s="73"/>
      <c r="L471" s="1"/>
      <c r="T471" s="73"/>
      <c r="U471" s="73"/>
      <c r="W471" s="73"/>
      <c r="X471" s="73"/>
      <c r="Y471" s="73"/>
    </row>
    <row r="472">
      <c r="E472" s="73"/>
      <c r="F472" s="73"/>
      <c r="G472" s="74"/>
      <c r="J472" s="73"/>
      <c r="K472" s="73"/>
      <c r="L472" s="1"/>
      <c r="T472" s="73"/>
      <c r="U472" s="73"/>
      <c r="W472" s="73"/>
      <c r="X472" s="73"/>
      <c r="Y472" s="73"/>
    </row>
    <row r="473">
      <c r="E473" s="73"/>
      <c r="F473" s="73"/>
      <c r="G473" s="74"/>
      <c r="J473" s="73"/>
      <c r="K473" s="73"/>
      <c r="L473" s="1"/>
      <c r="T473" s="73"/>
      <c r="U473" s="73"/>
      <c r="W473" s="73"/>
      <c r="X473" s="73"/>
      <c r="Y473" s="73"/>
    </row>
    <row r="474">
      <c r="E474" s="73"/>
      <c r="F474" s="73"/>
      <c r="G474" s="74"/>
      <c r="J474" s="73"/>
      <c r="K474" s="73"/>
      <c r="L474" s="1"/>
      <c r="T474" s="73"/>
      <c r="U474" s="73"/>
      <c r="W474" s="73"/>
      <c r="X474" s="73"/>
      <c r="Y474" s="73"/>
    </row>
    <row r="475">
      <c r="E475" s="73"/>
      <c r="F475" s="73"/>
      <c r="G475" s="74"/>
      <c r="J475" s="73"/>
      <c r="K475" s="73"/>
      <c r="L475" s="1"/>
      <c r="T475" s="73"/>
      <c r="U475" s="73"/>
      <c r="W475" s="73"/>
      <c r="X475" s="73"/>
      <c r="Y475" s="73"/>
    </row>
    <row r="476">
      <c r="E476" s="73"/>
      <c r="F476" s="73"/>
      <c r="G476" s="74"/>
      <c r="J476" s="73"/>
      <c r="K476" s="73"/>
      <c r="L476" s="1"/>
      <c r="T476" s="73"/>
      <c r="U476" s="73"/>
      <c r="W476" s="73"/>
      <c r="X476" s="73"/>
      <c r="Y476" s="73"/>
    </row>
    <row r="477">
      <c r="E477" s="73"/>
      <c r="F477" s="73"/>
      <c r="G477" s="74"/>
      <c r="J477" s="73"/>
      <c r="K477" s="73"/>
      <c r="L477" s="1"/>
      <c r="T477" s="73"/>
      <c r="U477" s="73"/>
      <c r="W477" s="73"/>
      <c r="X477" s="73"/>
      <c r="Y477" s="73"/>
    </row>
    <row r="478">
      <c r="E478" s="73"/>
      <c r="F478" s="73"/>
      <c r="G478" s="74"/>
      <c r="J478" s="73"/>
      <c r="K478" s="73"/>
      <c r="L478" s="1"/>
      <c r="T478" s="73"/>
      <c r="U478" s="73"/>
      <c r="W478" s="73"/>
      <c r="X478" s="73"/>
      <c r="Y478" s="73"/>
    </row>
    <row r="479">
      <c r="E479" s="73"/>
      <c r="F479" s="73"/>
      <c r="G479" s="74"/>
      <c r="J479" s="73"/>
      <c r="K479" s="73"/>
      <c r="L479" s="1"/>
      <c r="T479" s="73"/>
      <c r="U479" s="73"/>
      <c r="W479" s="73"/>
      <c r="X479" s="73"/>
      <c r="Y479" s="73"/>
    </row>
    <row r="480">
      <c r="E480" s="73"/>
      <c r="F480" s="73"/>
      <c r="G480" s="74"/>
      <c r="J480" s="73"/>
      <c r="K480" s="73"/>
      <c r="L480" s="1"/>
      <c r="T480" s="73"/>
      <c r="U480" s="73"/>
      <c r="W480" s="73"/>
      <c r="X480" s="73"/>
      <c r="Y480" s="73"/>
    </row>
    <row r="481">
      <c r="E481" s="73"/>
      <c r="F481" s="73"/>
      <c r="G481" s="74"/>
      <c r="J481" s="73"/>
      <c r="K481" s="73"/>
      <c r="L481" s="1"/>
      <c r="T481" s="73"/>
      <c r="U481" s="73"/>
      <c r="W481" s="73"/>
      <c r="X481" s="73"/>
      <c r="Y481" s="73"/>
    </row>
    <row r="482">
      <c r="E482" s="73"/>
      <c r="F482" s="73"/>
      <c r="G482" s="74"/>
      <c r="J482" s="73"/>
      <c r="K482" s="73"/>
      <c r="L482" s="1"/>
      <c r="T482" s="73"/>
      <c r="U482" s="73"/>
      <c r="W482" s="73"/>
      <c r="X482" s="73"/>
      <c r="Y482" s="73"/>
    </row>
    <row r="483">
      <c r="E483" s="73"/>
      <c r="F483" s="73"/>
      <c r="G483" s="74"/>
      <c r="J483" s="73"/>
      <c r="K483" s="73"/>
      <c r="L483" s="1"/>
      <c r="T483" s="73"/>
      <c r="U483" s="73"/>
      <c r="W483" s="73"/>
      <c r="X483" s="73"/>
      <c r="Y483" s="73"/>
    </row>
    <row r="484">
      <c r="E484" s="73"/>
      <c r="F484" s="73"/>
      <c r="G484" s="74"/>
      <c r="J484" s="73"/>
      <c r="K484" s="73"/>
      <c r="L484" s="1"/>
      <c r="T484" s="73"/>
      <c r="U484" s="73"/>
      <c r="W484" s="73"/>
      <c r="X484" s="73"/>
      <c r="Y484" s="73"/>
    </row>
    <row r="485">
      <c r="E485" s="73"/>
      <c r="F485" s="73"/>
      <c r="G485" s="74"/>
      <c r="J485" s="73"/>
      <c r="K485" s="73"/>
      <c r="L485" s="1"/>
      <c r="T485" s="73"/>
      <c r="U485" s="73"/>
      <c r="W485" s="73"/>
      <c r="X485" s="73"/>
      <c r="Y485" s="73"/>
    </row>
    <row r="486">
      <c r="E486" s="73"/>
      <c r="F486" s="73"/>
      <c r="G486" s="74"/>
      <c r="J486" s="73"/>
      <c r="K486" s="73"/>
      <c r="L486" s="1"/>
      <c r="T486" s="73"/>
      <c r="U486" s="73"/>
      <c r="W486" s="73"/>
      <c r="X486" s="73"/>
      <c r="Y486" s="73"/>
    </row>
    <row r="487">
      <c r="E487" s="73"/>
      <c r="F487" s="73"/>
      <c r="G487" s="74"/>
      <c r="J487" s="73"/>
      <c r="K487" s="73"/>
      <c r="L487" s="1"/>
      <c r="T487" s="73"/>
      <c r="U487" s="73"/>
      <c r="W487" s="73"/>
      <c r="X487" s="73"/>
      <c r="Y487" s="73"/>
    </row>
    <row r="488">
      <c r="E488" s="73"/>
      <c r="F488" s="73"/>
      <c r="G488" s="74"/>
      <c r="J488" s="73"/>
      <c r="K488" s="73"/>
      <c r="L488" s="1"/>
      <c r="T488" s="73"/>
      <c r="U488" s="73"/>
      <c r="W488" s="73"/>
      <c r="X488" s="73"/>
      <c r="Y488" s="73"/>
    </row>
    <row r="489">
      <c r="E489" s="73"/>
      <c r="F489" s="73"/>
      <c r="G489" s="74"/>
      <c r="J489" s="73"/>
      <c r="K489" s="73"/>
      <c r="L489" s="1"/>
      <c r="T489" s="73"/>
      <c r="U489" s="73"/>
      <c r="W489" s="73"/>
      <c r="X489" s="73"/>
      <c r="Y489" s="73"/>
    </row>
    <row r="490">
      <c r="E490" s="73"/>
      <c r="F490" s="73"/>
      <c r="G490" s="74"/>
      <c r="J490" s="73"/>
      <c r="K490" s="73"/>
      <c r="L490" s="1"/>
      <c r="T490" s="73"/>
      <c r="U490" s="73"/>
      <c r="W490" s="73"/>
      <c r="X490" s="73"/>
      <c r="Y490" s="73"/>
    </row>
    <row r="491">
      <c r="E491" s="73"/>
      <c r="F491" s="73"/>
      <c r="G491" s="74"/>
      <c r="J491" s="73"/>
      <c r="K491" s="73"/>
      <c r="L491" s="1"/>
      <c r="T491" s="73"/>
      <c r="U491" s="73"/>
      <c r="W491" s="73"/>
      <c r="X491" s="73"/>
      <c r="Y491" s="73"/>
    </row>
    <row r="492">
      <c r="E492" s="73"/>
      <c r="F492" s="73"/>
      <c r="G492" s="74"/>
      <c r="J492" s="73"/>
      <c r="K492" s="73"/>
      <c r="L492" s="1"/>
      <c r="T492" s="73"/>
      <c r="U492" s="73"/>
      <c r="W492" s="73"/>
      <c r="X492" s="73"/>
      <c r="Y492" s="73"/>
    </row>
    <row r="493">
      <c r="E493" s="73"/>
      <c r="F493" s="73"/>
      <c r="G493" s="74"/>
      <c r="J493" s="73"/>
      <c r="K493" s="73"/>
      <c r="L493" s="1"/>
      <c r="T493" s="73"/>
      <c r="U493" s="73"/>
      <c r="W493" s="73"/>
      <c r="X493" s="73"/>
      <c r="Y493" s="73"/>
    </row>
    <row r="494">
      <c r="E494" s="73"/>
      <c r="F494" s="73"/>
      <c r="G494" s="74"/>
      <c r="J494" s="73"/>
      <c r="K494" s="73"/>
      <c r="L494" s="1"/>
      <c r="T494" s="73"/>
      <c r="U494" s="73"/>
      <c r="W494" s="73"/>
      <c r="X494" s="73"/>
      <c r="Y494" s="73"/>
    </row>
    <row r="495">
      <c r="E495" s="73"/>
      <c r="F495" s="73"/>
      <c r="G495" s="74"/>
      <c r="J495" s="73"/>
      <c r="K495" s="73"/>
      <c r="L495" s="1"/>
      <c r="T495" s="73"/>
      <c r="U495" s="73"/>
      <c r="W495" s="73"/>
      <c r="X495" s="73"/>
      <c r="Y495" s="73"/>
    </row>
    <row r="496">
      <c r="E496" s="73"/>
      <c r="F496" s="73"/>
      <c r="G496" s="74"/>
      <c r="J496" s="73"/>
      <c r="K496" s="73"/>
      <c r="L496" s="1"/>
      <c r="T496" s="73"/>
      <c r="U496" s="73"/>
      <c r="W496" s="73"/>
      <c r="X496" s="73"/>
      <c r="Y496" s="73"/>
    </row>
    <row r="497">
      <c r="E497" s="73"/>
      <c r="F497" s="73"/>
      <c r="G497" s="74"/>
      <c r="J497" s="73"/>
      <c r="K497" s="73"/>
      <c r="L497" s="1"/>
      <c r="T497" s="73"/>
      <c r="U497" s="73"/>
      <c r="W497" s="73"/>
      <c r="X497" s="73"/>
      <c r="Y497" s="73"/>
    </row>
    <row r="498">
      <c r="E498" s="73"/>
      <c r="F498" s="73"/>
      <c r="G498" s="74"/>
      <c r="J498" s="73"/>
      <c r="K498" s="73"/>
      <c r="L498" s="1"/>
      <c r="T498" s="73"/>
      <c r="U498" s="73"/>
      <c r="W498" s="73"/>
      <c r="X498" s="73"/>
      <c r="Y498" s="73"/>
    </row>
    <row r="499">
      <c r="E499" s="73"/>
      <c r="F499" s="73"/>
      <c r="G499" s="74"/>
      <c r="J499" s="73"/>
      <c r="K499" s="73"/>
      <c r="L499" s="1"/>
      <c r="T499" s="73"/>
      <c r="U499" s="73"/>
      <c r="W499" s="73"/>
      <c r="X499" s="73"/>
      <c r="Y499" s="73"/>
    </row>
    <row r="500">
      <c r="E500" s="73"/>
      <c r="F500" s="73"/>
      <c r="G500" s="74"/>
      <c r="J500" s="73"/>
      <c r="K500" s="73"/>
      <c r="L500" s="1"/>
      <c r="T500" s="73"/>
      <c r="U500" s="73"/>
      <c r="W500" s="73"/>
      <c r="X500" s="73"/>
      <c r="Y500" s="73"/>
    </row>
    <row r="501">
      <c r="E501" s="73"/>
      <c r="F501" s="73"/>
      <c r="G501" s="74"/>
      <c r="J501" s="73"/>
      <c r="K501" s="73"/>
      <c r="L501" s="1"/>
      <c r="T501" s="73"/>
      <c r="U501" s="73"/>
      <c r="W501" s="73"/>
      <c r="X501" s="73"/>
      <c r="Y501" s="73"/>
    </row>
    <row r="502">
      <c r="E502" s="73"/>
      <c r="F502" s="73"/>
      <c r="G502" s="74"/>
      <c r="J502" s="73"/>
      <c r="K502" s="73"/>
      <c r="L502" s="1"/>
      <c r="T502" s="73"/>
      <c r="U502" s="73"/>
      <c r="W502" s="73"/>
      <c r="X502" s="73"/>
      <c r="Y502" s="73"/>
    </row>
    <row r="503">
      <c r="E503" s="73"/>
      <c r="F503" s="73"/>
      <c r="G503" s="74"/>
      <c r="J503" s="73"/>
      <c r="K503" s="73"/>
      <c r="L503" s="1"/>
      <c r="T503" s="73"/>
      <c r="U503" s="73"/>
      <c r="W503" s="73"/>
      <c r="X503" s="73"/>
      <c r="Y503" s="73"/>
    </row>
    <row r="504">
      <c r="E504" s="73"/>
      <c r="F504" s="73"/>
      <c r="G504" s="74"/>
      <c r="J504" s="73"/>
      <c r="K504" s="73"/>
      <c r="L504" s="1"/>
      <c r="T504" s="73"/>
      <c r="U504" s="73"/>
      <c r="W504" s="73"/>
      <c r="X504" s="73"/>
      <c r="Y504" s="73"/>
    </row>
    <row r="505">
      <c r="E505" s="73"/>
      <c r="F505" s="73"/>
      <c r="G505" s="74"/>
      <c r="J505" s="73"/>
      <c r="K505" s="73"/>
      <c r="L505" s="1"/>
      <c r="T505" s="73"/>
      <c r="U505" s="73"/>
      <c r="W505" s="73"/>
      <c r="X505" s="73"/>
      <c r="Y505" s="73"/>
    </row>
    <row r="506">
      <c r="E506" s="73"/>
      <c r="F506" s="73"/>
      <c r="G506" s="74"/>
      <c r="J506" s="73"/>
      <c r="K506" s="73"/>
      <c r="L506" s="1"/>
      <c r="T506" s="73"/>
      <c r="U506" s="73"/>
      <c r="W506" s="73"/>
      <c r="X506" s="73"/>
      <c r="Y506" s="73"/>
    </row>
    <row r="507">
      <c r="E507" s="73"/>
      <c r="F507" s="73"/>
      <c r="G507" s="74"/>
      <c r="J507" s="73"/>
      <c r="K507" s="73"/>
      <c r="L507" s="1"/>
      <c r="T507" s="73"/>
      <c r="U507" s="73"/>
      <c r="W507" s="73"/>
      <c r="X507" s="73"/>
      <c r="Y507" s="73"/>
    </row>
    <row r="508">
      <c r="E508" s="73"/>
      <c r="F508" s="73"/>
      <c r="G508" s="74"/>
      <c r="J508" s="73"/>
      <c r="K508" s="73"/>
      <c r="L508" s="1"/>
      <c r="T508" s="73"/>
      <c r="U508" s="73"/>
      <c r="W508" s="73"/>
      <c r="X508" s="73"/>
      <c r="Y508" s="73"/>
    </row>
    <row r="509">
      <c r="E509" s="73"/>
      <c r="F509" s="73"/>
      <c r="G509" s="74"/>
      <c r="J509" s="73"/>
      <c r="K509" s="73"/>
      <c r="L509" s="1"/>
      <c r="T509" s="73"/>
      <c r="U509" s="73"/>
      <c r="W509" s="73"/>
      <c r="X509" s="73"/>
      <c r="Y509" s="73"/>
    </row>
    <row r="510">
      <c r="E510" s="73"/>
      <c r="F510" s="73"/>
      <c r="G510" s="74"/>
      <c r="J510" s="73"/>
      <c r="K510" s="73"/>
      <c r="L510" s="1"/>
      <c r="T510" s="73"/>
      <c r="U510" s="73"/>
      <c r="W510" s="73"/>
      <c r="X510" s="73"/>
      <c r="Y510" s="73"/>
    </row>
    <row r="511">
      <c r="E511" s="73"/>
      <c r="F511" s="73"/>
      <c r="G511" s="74"/>
      <c r="J511" s="73"/>
      <c r="K511" s="73"/>
      <c r="L511" s="1"/>
      <c r="T511" s="73"/>
      <c r="U511" s="73"/>
      <c r="W511" s="73"/>
      <c r="X511" s="73"/>
      <c r="Y511" s="73"/>
    </row>
    <row r="512">
      <c r="E512" s="73"/>
      <c r="F512" s="73"/>
      <c r="G512" s="74"/>
      <c r="J512" s="73"/>
      <c r="K512" s="73"/>
      <c r="L512" s="1"/>
      <c r="T512" s="73"/>
      <c r="U512" s="73"/>
      <c r="W512" s="73"/>
      <c r="X512" s="73"/>
      <c r="Y512" s="73"/>
    </row>
    <row r="513">
      <c r="E513" s="73"/>
      <c r="F513" s="73"/>
      <c r="G513" s="74"/>
      <c r="J513" s="73"/>
      <c r="K513" s="73"/>
      <c r="L513" s="1"/>
      <c r="T513" s="73"/>
      <c r="U513" s="73"/>
      <c r="W513" s="73"/>
      <c r="X513" s="73"/>
      <c r="Y513" s="73"/>
    </row>
    <row r="514">
      <c r="E514" s="73"/>
      <c r="F514" s="73"/>
      <c r="G514" s="74"/>
      <c r="J514" s="73"/>
      <c r="K514" s="73"/>
      <c r="L514" s="1"/>
      <c r="T514" s="73"/>
      <c r="U514" s="73"/>
      <c r="W514" s="73"/>
      <c r="X514" s="73"/>
      <c r="Y514" s="73"/>
    </row>
    <row r="515">
      <c r="E515" s="73"/>
      <c r="F515" s="73"/>
      <c r="G515" s="74"/>
      <c r="J515" s="73"/>
      <c r="K515" s="73"/>
      <c r="L515" s="1"/>
      <c r="T515" s="73"/>
      <c r="U515" s="73"/>
      <c r="W515" s="73"/>
      <c r="X515" s="73"/>
      <c r="Y515" s="73"/>
    </row>
    <row r="516">
      <c r="E516" s="73"/>
      <c r="F516" s="73"/>
      <c r="G516" s="74"/>
      <c r="J516" s="73"/>
      <c r="K516" s="73"/>
      <c r="L516" s="1"/>
      <c r="T516" s="73"/>
      <c r="U516" s="73"/>
      <c r="W516" s="73"/>
      <c r="X516" s="73"/>
      <c r="Y516" s="73"/>
    </row>
    <row r="517">
      <c r="E517" s="73"/>
      <c r="F517" s="73"/>
      <c r="G517" s="74"/>
      <c r="J517" s="73"/>
      <c r="K517" s="73"/>
      <c r="L517" s="1"/>
      <c r="T517" s="73"/>
      <c r="U517" s="73"/>
      <c r="W517" s="73"/>
      <c r="X517" s="73"/>
      <c r="Y517" s="73"/>
    </row>
    <row r="518">
      <c r="E518" s="73"/>
      <c r="F518" s="73"/>
      <c r="G518" s="74"/>
      <c r="J518" s="73"/>
      <c r="K518" s="73"/>
      <c r="L518" s="1"/>
      <c r="T518" s="73"/>
      <c r="U518" s="73"/>
      <c r="W518" s="73"/>
      <c r="X518" s="73"/>
      <c r="Y518" s="73"/>
    </row>
    <row r="519">
      <c r="E519" s="73"/>
      <c r="F519" s="73"/>
      <c r="G519" s="74"/>
      <c r="J519" s="73"/>
      <c r="K519" s="73"/>
      <c r="L519" s="1"/>
      <c r="T519" s="73"/>
      <c r="U519" s="73"/>
      <c r="W519" s="73"/>
      <c r="X519" s="73"/>
      <c r="Y519" s="73"/>
    </row>
    <row r="520">
      <c r="E520" s="73"/>
      <c r="F520" s="73"/>
      <c r="G520" s="74"/>
      <c r="J520" s="73"/>
      <c r="K520" s="73"/>
      <c r="L520" s="1"/>
      <c r="T520" s="73"/>
      <c r="U520" s="73"/>
      <c r="W520" s="73"/>
      <c r="X520" s="73"/>
      <c r="Y520" s="73"/>
    </row>
    <row r="521">
      <c r="E521" s="73"/>
      <c r="F521" s="73"/>
      <c r="G521" s="74"/>
      <c r="J521" s="73"/>
      <c r="K521" s="73"/>
      <c r="L521" s="1"/>
      <c r="T521" s="73"/>
      <c r="U521" s="73"/>
      <c r="W521" s="73"/>
      <c r="X521" s="73"/>
      <c r="Y521" s="73"/>
    </row>
    <row r="522">
      <c r="E522" s="73"/>
      <c r="F522" s="73"/>
      <c r="G522" s="74"/>
      <c r="J522" s="73"/>
      <c r="K522" s="73"/>
      <c r="L522" s="1"/>
      <c r="T522" s="73"/>
      <c r="U522" s="73"/>
      <c r="W522" s="73"/>
      <c r="X522" s="73"/>
      <c r="Y522" s="73"/>
    </row>
    <row r="523">
      <c r="E523" s="73"/>
      <c r="F523" s="73"/>
      <c r="G523" s="74"/>
      <c r="J523" s="73"/>
      <c r="K523" s="73"/>
      <c r="L523" s="1"/>
      <c r="T523" s="73"/>
      <c r="U523" s="73"/>
      <c r="W523" s="73"/>
      <c r="X523" s="73"/>
      <c r="Y523" s="73"/>
    </row>
    <row r="524">
      <c r="E524" s="73"/>
      <c r="F524" s="73"/>
      <c r="G524" s="74"/>
      <c r="J524" s="73"/>
      <c r="K524" s="73"/>
      <c r="L524" s="1"/>
      <c r="T524" s="73"/>
      <c r="U524" s="73"/>
      <c r="W524" s="73"/>
      <c r="X524" s="73"/>
      <c r="Y524" s="73"/>
    </row>
    <row r="525">
      <c r="E525" s="73"/>
      <c r="F525" s="73"/>
      <c r="G525" s="74"/>
      <c r="J525" s="73"/>
      <c r="K525" s="73"/>
      <c r="L525" s="1"/>
      <c r="T525" s="73"/>
      <c r="U525" s="73"/>
      <c r="W525" s="73"/>
      <c r="X525" s="73"/>
      <c r="Y525" s="73"/>
    </row>
    <row r="526">
      <c r="E526" s="73"/>
      <c r="F526" s="73"/>
      <c r="G526" s="74"/>
      <c r="J526" s="73"/>
      <c r="K526" s="73"/>
      <c r="L526" s="1"/>
      <c r="T526" s="73"/>
      <c r="U526" s="73"/>
      <c r="W526" s="73"/>
      <c r="X526" s="73"/>
      <c r="Y526" s="73"/>
    </row>
    <row r="527">
      <c r="E527" s="73"/>
      <c r="F527" s="73"/>
      <c r="G527" s="74"/>
      <c r="J527" s="73"/>
      <c r="K527" s="73"/>
      <c r="L527" s="1"/>
      <c r="T527" s="73"/>
      <c r="U527" s="73"/>
      <c r="W527" s="73"/>
      <c r="X527" s="73"/>
      <c r="Y527" s="73"/>
    </row>
    <row r="528">
      <c r="E528" s="73"/>
      <c r="F528" s="73"/>
      <c r="G528" s="74"/>
      <c r="J528" s="73"/>
      <c r="K528" s="73"/>
      <c r="L528" s="1"/>
      <c r="T528" s="73"/>
      <c r="U528" s="73"/>
      <c r="W528" s="73"/>
      <c r="X528" s="73"/>
      <c r="Y528" s="73"/>
    </row>
    <row r="529">
      <c r="E529" s="73"/>
      <c r="F529" s="73"/>
      <c r="G529" s="74"/>
      <c r="J529" s="73"/>
      <c r="K529" s="73"/>
      <c r="L529" s="1"/>
      <c r="T529" s="73"/>
      <c r="U529" s="73"/>
      <c r="W529" s="73"/>
      <c r="X529" s="73"/>
      <c r="Y529" s="73"/>
    </row>
    <row r="530">
      <c r="E530" s="73"/>
      <c r="F530" s="73"/>
      <c r="G530" s="74"/>
      <c r="J530" s="73"/>
      <c r="K530" s="73"/>
      <c r="L530" s="1"/>
      <c r="T530" s="73"/>
      <c r="U530" s="73"/>
      <c r="W530" s="73"/>
      <c r="X530" s="73"/>
      <c r="Y530" s="73"/>
    </row>
    <row r="531">
      <c r="E531" s="73"/>
      <c r="F531" s="73"/>
      <c r="G531" s="74"/>
      <c r="J531" s="73"/>
      <c r="K531" s="73"/>
      <c r="L531" s="1"/>
      <c r="T531" s="73"/>
      <c r="U531" s="73"/>
      <c r="W531" s="73"/>
      <c r="X531" s="73"/>
      <c r="Y531" s="73"/>
    </row>
    <row r="532">
      <c r="E532" s="73"/>
      <c r="F532" s="73"/>
      <c r="G532" s="74"/>
      <c r="J532" s="73"/>
      <c r="K532" s="73"/>
      <c r="L532" s="1"/>
      <c r="T532" s="73"/>
      <c r="U532" s="73"/>
      <c r="W532" s="73"/>
      <c r="X532" s="73"/>
      <c r="Y532" s="73"/>
    </row>
    <row r="533">
      <c r="E533" s="73"/>
      <c r="F533" s="73"/>
      <c r="G533" s="74"/>
      <c r="J533" s="73"/>
      <c r="K533" s="73"/>
      <c r="L533" s="1"/>
      <c r="T533" s="73"/>
      <c r="U533" s="73"/>
      <c r="W533" s="73"/>
      <c r="X533" s="73"/>
      <c r="Y533" s="73"/>
    </row>
    <row r="534">
      <c r="E534" s="73"/>
      <c r="F534" s="73"/>
      <c r="G534" s="74"/>
      <c r="J534" s="73"/>
      <c r="K534" s="73"/>
      <c r="L534" s="1"/>
      <c r="T534" s="73"/>
      <c r="U534" s="73"/>
      <c r="W534" s="73"/>
      <c r="X534" s="73"/>
      <c r="Y534" s="73"/>
    </row>
    <row r="535">
      <c r="E535" s="73"/>
      <c r="F535" s="73"/>
      <c r="G535" s="74"/>
      <c r="J535" s="73"/>
      <c r="K535" s="73"/>
      <c r="L535" s="1"/>
      <c r="T535" s="73"/>
      <c r="U535" s="73"/>
      <c r="W535" s="73"/>
      <c r="X535" s="73"/>
      <c r="Y535" s="73"/>
    </row>
    <row r="536">
      <c r="E536" s="73"/>
      <c r="F536" s="73"/>
      <c r="G536" s="74"/>
      <c r="J536" s="73"/>
      <c r="K536" s="73"/>
      <c r="L536" s="1"/>
      <c r="T536" s="73"/>
      <c r="U536" s="73"/>
      <c r="W536" s="73"/>
      <c r="X536" s="73"/>
      <c r="Y536" s="73"/>
    </row>
    <row r="537">
      <c r="E537" s="73"/>
      <c r="F537" s="73"/>
      <c r="G537" s="74"/>
      <c r="J537" s="73"/>
      <c r="K537" s="73"/>
      <c r="L537" s="1"/>
      <c r="T537" s="73"/>
      <c r="U537" s="73"/>
      <c r="W537" s="73"/>
      <c r="X537" s="73"/>
      <c r="Y537" s="73"/>
    </row>
    <row r="538">
      <c r="E538" s="73"/>
      <c r="F538" s="73"/>
      <c r="G538" s="74"/>
      <c r="J538" s="73"/>
      <c r="K538" s="73"/>
      <c r="L538" s="1"/>
      <c r="T538" s="73"/>
      <c r="U538" s="73"/>
      <c r="W538" s="73"/>
      <c r="X538" s="73"/>
      <c r="Y538" s="73"/>
    </row>
    <row r="539">
      <c r="E539" s="73"/>
      <c r="F539" s="73"/>
      <c r="G539" s="74"/>
      <c r="J539" s="73"/>
      <c r="K539" s="73"/>
      <c r="L539" s="1"/>
      <c r="T539" s="73"/>
      <c r="U539" s="73"/>
      <c r="W539" s="73"/>
      <c r="X539" s="73"/>
      <c r="Y539" s="73"/>
    </row>
    <row r="540">
      <c r="E540" s="73"/>
      <c r="F540" s="73"/>
      <c r="G540" s="74"/>
      <c r="J540" s="73"/>
      <c r="K540" s="73"/>
      <c r="L540" s="1"/>
      <c r="T540" s="73"/>
      <c r="U540" s="73"/>
      <c r="W540" s="73"/>
      <c r="X540" s="73"/>
      <c r="Y540" s="73"/>
    </row>
    <row r="541">
      <c r="E541" s="73"/>
      <c r="F541" s="73"/>
      <c r="G541" s="74"/>
      <c r="J541" s="73"/>
      <c r="K541" s="73"/>
      <c r="L541" s="1"/>
      <c r="T541" s="73"/>
      <c r="U541" s="73"/>
      <c r="W541" s="73"/>
      <c r="X541" s="73"/>
      <c r="Y541" s="73"/>
    </row>
    <row r="542">
      <c r="E542" s="73"/>
      <c r="F542" s="73"/>
      <c r="G542" s="74"/>
      <c r="J542" s="73"/>
      <c r="K542" s="73"/>
      <c r="L542" s="1"/>
      <c r="T542" s="73"/>
      <c r="U542" s="73"/>
      <c r="W542" s="73"/>
      <c r="X542" s="73"/>
      <c r="Y542" s="73"/>
    </row>
    <row r="543">
      <c r="E543" s="73"/>
      <c r="F543" s="73"/>
      <c r="G543" s="74"/>
      <c r="J543" s="73"/>
      <c r="K543" s="73"/>
      <c r="L543" s="1"/>
      <c r="T543" s="73"/>
      <c r="U543" s="73"/>
      <c r="W543" s="73"/>
      <c r="X543" s="73"/>
      <c r="Y543" s="73"/>
    </row>
    <row r="544">
      <c r="E544" s="73"/>
      <c r="F544" s="73"/>
      <c r="G544" s="74"/>
      <c r="J544" s="73"/>
      <c r="K544" s="73"/>
      <c r="L544" s="1"/>
      <c r="T544" s="73"/>
      <c r="U544" s="73"/>
      <c r="W544" s="73"/>
      <c r="X544" s="73"/>
      <c r="Y544" s="73"/>
    </row>
    <row r="545">
      <c r="E545" s="73"/>
      <c r="F545" s="73"/>
      <c r="G545" s="74"/>
      <c r="J545" s="73"/>
      <c r="K545" s="73"/>
      <c r="L545" s="1"/>
      <c r="T545" s="73"/>
      <c r="U545" s="73"/>
      <c r="W545" s="73"/>
      <c r="X545" s="73"/>
      <c r="Y545" s="73"/>
    </row>
    <row r="546">
      <c r="E546" s="73"/>
      <c r="F546" s="73"/>
      <c r="G546" s="74"/>
      <c r="J546" s="73"/>
      <c r="K546" s="73"/>
      <c r="L546" s="1"/>
      <c r="T546" s="73"/>
      <c r="U546" s="73"/>
      <c r="W546" s="73"/>
      <c r="X546" s="73"/>
      <c r="Y546" s="73"/>
    </row>
    <row r="547">
      <c r="E547" s="73"/>
      <c r="F547" s="73"/>
      <c r="G547" s="74"/>
      <c r="J547" s="73"/>
      <c r="K547" s="73"/>
      <c r="L547" s="1"/>
      <c r="T547" s="73"/>
      <c r="U547" s="73"/>
      <c r="W547" s="73"/>
      <c r="X547" s="73"/>
      <c r="Y547" s="73"/>
    </row>
    <row r="548">
      <c r="E548" s="73"/>
      <c r="F548" s="73"/>
      <c r="G548" s="74"/>
      <c r="J548" s="73"/>
      <c r="K548" s="73"/>
      <c r="L548" s="1"/>
      <c r="T548" s="73"/>
      <c r="U548" s="73"/>
      <c r="W548" s="73"/>
      <c r="X548" s="73"/>
      <c r="Y548" s="73"/>
    </row>
    <row r="549">
      <c r="E549" s="73"/>
      <c r="F549" s="73"/>
      <c r="G549" s="74"/>
      <c r="J549" s="73"/>
      <c r="K549" s="73"/>
      <c r="L549" s="1"/>
      <c r="T549" s="73"/>
      <c r="U549" s="73"/>
      <c r="W549" s="73"/>
      <c r="X549" s="73"/>
      <c r="Y549" s="73"/>
    </row>
    <row r="550">
      <c r="E550" s="73"/>
      <c r="F550" s="73"/>
      <c r="G550" s="74"/>
      <c r="J550" s="73"/>
      <c r="K550" s="73"/>
      <c r="L550" s="1"/>
      <c r="T550" s="73"/>
      <c r="U550" s="73"/>
      <c r="W550" s="73"/>
      <c r="X550" s="73"/>
      <c r="Y550" s="73"/>
    </row>
    <row r="551">
      <c r="E551" s="73"/>
      <c r="F551" s="73"/>
      <c r="G551" s="74"/>
      <c r="J551" s="73"/>
      <c r="K551" s="73"/>
      <c r="L551" s="1"/>
      <c r="T551" s="73"/>
      <c r="U551" s="73"/>
      <c r="W551" s="73"/>
      <c r="X551" s="73"/>
      <c r="Y551" s="73"/>
    </row>
    <row r="552">
      <c r="E552" s="73"/>
      <c r="F552" s="73"/>
      <c r="G552" s="74"/>
      <c r="J552" s="73"/>
      <c r="K552" s="73"/>
      <c r="L552" s="1"/>
      <c r="T552" s="73"/>
      <c r="U552" s="73"/>
      <c r="W552" s="73"/>
      <c r="X552" s="73"/>
      <c r="Y552" s="73"/>
    </row>
    <row r="553">
      <c r="E553" s="73"/>
      <c r="F553" s="73"/>
      <c r="G553" s="74"/>
      <c r="J553" s="73"/>
      <c r="K553" s="73"/>
      <c r="L553" s="1"/>
      <c r="T553" s="73"/>
      <c r="U553" s="73"/>
      <c r="W553" s="73"/>
      <c r="X553" s="73"/>
      <c r="Y553" s="73"/>
    </row>
    <row r="554">
      <c r="E554" s="73"/>
      <c r="F554" s="73"/>
      <c r="G554" s="74"/>
      <c r="J554" s="73"/>
      <c r="K554" s="73"/>
      <c r="L554" s="1"/>
      <c r="T554" s="73"/>
      <c r="U554" s="73"/>
      <c r="W554" s="73"/>
      <c r="X554" s="73"/>
      <c r="Y554" s="73"/>
    </row>
    <row r="555">
      <c r="E555" s="73"/>
      <c r="F555" s="73"/>
      <c r="G555" s="74"/>
      <c r="J555" s="73"/>
      <c r="K555" s="73"/>
      <c r="L555" s="1"/>
      <c r="T555" s="73"/>
      <c r="U555" s="73"/>
      <c r="W555" s="73"/>
      <c r="X555" s="73"/>
      <c r="Y555" s="73"/>
    </row>
    <row r="556">
      <c r="E556" s="73"/>
      <c r="F556" s="73"/>
      <c r="G556" s="74"/>
      <c r="J556" s="73"/>
      <c r="K556" s="73"/>
      <c r="L556" s="1"/>
      <c r="T556" s="73"/>
      <c r="U556" s="73"/>
      <c r="W556" s="73"/>
      <c r="X556" s="73"/>
      <c r="Y556" s="73"/>
    </row>
    <row r="557">
      <c r="E557" s="73"/>
      <c r="F557" s="73"/>
      <c r="G557" s="74"/>
      <c r="J557" s="73"/>
      <c r="K557" s="73"/>
      <c r="L557" s="1"/>
      <c r="T557" s="73"/>
      <c r="U557" s="73"/>
      <c r="W557" s="73"/>
      <c r="X557" s="73"/>
      <c r="Y557" s="73"/>
    </row>
    <row r="558">
      <c r="E558" s="73"/>
      <c r="F558" s="73"/>
      <c r="G558" s="74"/>
      <c r="J558" s="73"/>
      <c r="K558" s="73"/>
      <c r="L558" s="1"/>
      <c r="T558" s="73"/>
      <c r="U558" s="73"/>
      <c r="W558" s="73"/>
      <c r="X558" s="73"/>
      <c r="Y558" s="73"/>
    </row>
    <row r="559">
      <c r="E559" s="73"/>
      <c r="F559" s="73"/>
      <c r="G559" s="74"/>
      <c r="J559" s="73"/>
      <c r="K559" s="73"/>
      <c r="L559" s="1"/>
      <c r="T559" s="73"/>
      <c r="U559" s="73"/>
      <c r="W559" s="73"/>
      <c r="X559" s="73"/>
      <c r="Y559" s="73"/>
    </row>
    <row r="560">
      <c r="E560" s="73"/>
      <c r="F560" s="73"/>
      <c r="G560" s="74"/>
      <c r="J560" s="73"/>
      <c r="K560" s="73"/>
      <c r="L560" s="1"/>
      <c r="T560" s="73"/>
      <c r="U560" s="73"/>
      <c r="W560" s="73"/>
      <c r="X560" s="73"/>
      <c r="Y560" s="73"/>
    </row>
    <row r="561">
      <c r="E561" s="73"/>
      <c r="F561" s="73"/>
      <c r="G561" s="74"/>
      <c r="J561" s="73"/>
      <c r="K561" s="73"/>
      <c r="L561" s="1"/>
      <c r="T561" s="73"/>
      <c r="U561" s="73"/>
      <c r="W561" s="73"/>
      <c r="X561" s="73"/>
      <c r="Y561" s="73"/>
    </row>
    <row r="562">
      <c r="E562" s="73"/>
      <c r="F562" s="73"/>
      <c r="G562" s="74"/>
      <c r="J562" s="73"/>
      <c r="K562" s="73"/>
      <c r="L562" s="1"/>
      <c r="T562" s="73"/>
      <c r="U562" s="73"/>
      <c r="W562" s="73"/>
      <c r="X562" s="73"/>
      <c r="Y562" s="73"/>
    </row>
    <row r="563">
      <c r="E563" s="73"/>
      <c r="F563" s="73"/>
      <c r="G563" s="74"/>
      <c r="J563" s="73"/>
      <c r="K563" s="73"/>
      <c r="L563" s="1"/>
      <c r="T563" s="73"/>
      <c r="U563" s="73"/>
      <c r="W563" s="73"/>
      <c r="X563" s="73"/>
      <c r="Y563" s="73"/>
    </row>
    <row r="564">
      <c r="E564" s="73"/>
      <c r="F564" s="73"/>
      <c r="G564" s="74"/>
      <c r="J564" s="73"/>
      <c r="K564" s="73"/>
      <c r="L564" s="1"/>
      <c r="T564" s="73"/>
      <c r="U564" s="73"/>
      <c r="W564" s="73"/>
      <c r="X564" s="73"/>
      <c r="Y564" s="73"/>
    </row>
    <row r="565">
      <c r="E565" s="73"/>
      <c r="F565" s="73"/>
      <c r="G565" s="74"/>
      <c r="J565" s="73"/>
      <c r="K565" s="73"/>
      <c r="L565" s="1"/>
      <c r="T565" s="73"/>
      <c r="U565" s="73"/>
      <c r="W565" s="73"/>
      <c r="X565" s="73"/>
      <c r="Y565" s="73"/>
    </row>
    <row r="566">
      <c r="E566" s="73"/>
      <c r="F566" s="73"/>
      <c r="G566" s="74"/>
      <c r="J566" s="73"/>
      <c r="K566" s="73"/>
      <c r="L566" s="1"/>
      <c r="T566" s="73"/>
      <c r="U566" s="73"/>
      <c r="W566" s="73"/>
      <c r="X566" s="73"/>
      <c r="Y566" s="73"/>
    </row>
    <row r="567">
      <c r="E567" s="73"/>
      <c r="F567" s="73"/>
      <c r="G567" s="74"/>
      <c r="J567" s="73"/>
      <c r="K567" s="73"/>
      <c r="L567" s="1"/>
      <c r="T567" s="73"/>
      <c r="U567" s="73"/>
      <c r="W567" s="73"/>
      <c r="X567" s="73"/>
      <c r="Y567" s="73"/>
    </row>
    <row r="568">
      <c r="E568" s="73"/>
      <c r="F568" s="73"/>
      <c r="G568" s="74"/>
      <c r="J568" s="73"/>
      <c r="K568" s="73"/>
      <c r="L568" s="1"/>
      <c r="T568" s="73"/>
      <c r="U568" s="73"/>
      <c r="W568" s="73"/>
      <c r="X568" s="73"/>
      <c r="Y568" s="73"/>
    </row>
    <row r="569">
      <c r="E569" s="73"/>
      <c r="F569" s="73"/>
      <c r="G569" s="74"/>
      <c r="J569" s="73"/>
      <c r="K569" s="73"/>
      <c r="L569" s="1"/>
      <c r="T569" s="73"/>
      <c r="U569" s="73"/>
      <c r="W569" s="73"/>
      <c r="X569" s="73"/>
      <c r="Y569" s="73"/>
    </row>
    <row r="570">
      <c r="E570" s="73"/>
      <c r="F570" s="73"/>
      <c r="G570" s="74"/>
      <c r="J570" s="73"/>
      <c r="K570" s="73"/>
      <c r="L570" s="1"/>
      <c r="T570" s="73"/>
      <c r="U570" s="73"/>
      <c r="W570" s="73"/>
      <c r="X570" s="73"/>
      <c r="Y570" s="73"/>
    </row>
    <row r="571">
      <c r="E571" s="73"/>
      <c r="F571" s="73"/>
      <c r="G571" s="74"/>
      <c r="J571" s="73"/>
      <c r="K571" s="73"/>
      <c r="L571" s="1"/>
      <c r="T571" s="73"/>
      <c r="U571" s="73"/>
      <c r="W571" s="73"/>
      <c r="X571" s="73"/>
      <c r="Y571" s="73"/>
    </row>
    <row r="572">
      <c r="E572" s="73"/>
      <c r="F572" s="73"/>
      <c r="G572" s="74"/>
      <c r="J572" s="73"/>
      <c r="K572" s="73"/>
      <c r="L572" s="1"/>
      <c r="T572" s="73"/>
      <c r="U572" s="73"/>
      <c r="W572" s="73"/>
      <c r="X572" s="73"/>
      <c r="Y572" s="73"/>
    </row>
    <row r="573">
      <c r="E573" s="73"/>
      <c r="F573" s="73"/>
      <c r="G573" s="74"/>
      <c r="J573" s="73"/>
      <c r="K573" s="73"/>
      <c r="L573" s="1"/>
      <c r="T573" s="73"/>
      <c r="U573" s="73"/>
      <c r="W573" s="73"/>
      <c r="X573" s="73"/>
      <c r="Y573" s="73"/>
    </row>
    <row r="574">
      <c r="E574" s="73"/>
      <c r="F574" s="73"/>
      <c r="G574" s="74"/>
      <c r="J574" s="73"/>
      <c r="K574" s="73"/>
      <c r="L574" s="1"/>
      <c r="T574" s="73"/>
      <c r="U574" s="73"/>
      <c r="W574" s="73"/>
      <c r="X574" s="73"/>
      <c r="Y574" s="73"/>
    </row>
    <row r="575">
      <c r="E575" s="73"/>
      <c r="F575" s="73"/>
      <c r="G575" s="74"/>
      <c r="J575" s="73"/>
      <c r="K575" s="73"/>
      <c r="L575" s="1"/>
      <c r="T575" s="73"/>
      <c r="U575" s="73"/>
      <c r="W575" s="73"/>
      <c r="X575" s="73"/>
      <c r="Y575" s="73"/>
    </row>
    <row r="576">
      <c r="E576" s="73"/>
      <c r="F576" s="73"/>
      <c r="G576" s="74"/>
      <c r="J576" s="73"/>
      <c r="K576" s="73"/>
      <c r="L576" s="1"/>
      <c r="T576" s="73"/>
      <c r="U576" s="73"/>
      <c r="W576" s="73"/>
      <c r="X576" s="73"/>
      <c r="Y576" s="73"/>
    </row>
    <row r="577">
      <c r="E577" s="73"/>
      <c r="F577" s="73"/>
      <c r="G577" s="74"/>
      <c r="J577" s="73"/>
      <c r="K577" s="73"/>
      <c r="L577" s="1"/>
      <c r="T577" s="73"/>
      <c r="U577" s="73"/>
      <c r="W577" s="73"/>
      <c r="X577" s="73"/>
      <c r="Y577" s="73"/>
    </row>
    <row r="578">
      <c r="E578" s="73"/>
      <c r="F578" s="73"/>
      <c r="G578" s="74"/>
      <c r="J578" s="73"/>
      <c r="K578" s="73"/>
      <c r="L578" s="1"/>
      <c r="T578" s="73"/>
      <c r="U578" s="73"/>
      <c r="W578" s="73"/>
      <c r="X578" s="73"/>
      <c r="Y578" s="73"/>
    </row>
    <row r="579">
      <c r="E579" s="73"/>
      <c r="F579" s="73"/>
      <c r="G579" s="74"/>
      <c r="J579" s="73"/>
      <c r="K579" s="73"/>
      <c r="L579" s="1"/>
      <c r="T579" s="73"/>
      <c r="U579" s="73"/>
      <c r="W579" s="73"/>
      <c r="X579" s="73"/>
      <c r="Y579" s="73"/>
    </row>
    <row r="580">
      <c r="E580" s="73"/>
      <c r="F580" s="73"/>
      <c r="G580" s="74"/>
      <c r="J580" s="73"/>
      <c r="K580" s="73"/>
      <c r="L580" s="1"/>
      <c r="T580" s="73"/>
      <c r="U580" s="73"/>
      <c r="W580" s="73"/>
      <c r="X580" s="73"/>
      <c r="Y580" s="73"/>
    </row>
    <row r="581">
      <c r="E581" s="73"/>
      <c r="F581" s="73"/>
      <c r="G581" s="74"/>
      <c r="J581" s="73"/>
      <c r="K581" s="73"/>
      <c r="L581" s="1"/>
      <c r="T581" s="73"/>
      <c r="U581" s="73"/>
      <c r="W581" s="73"/>
      <c r="X581" s="73"/>
      <c r="Y581" s="73"/>
    </row>
    <row r="582">
      <c r="E582" s="73"/>
      <c r="F582" s="73"/>
      <c r="G582" s="74"/>
      <c r="J582" s="73"/>
      <c r="K582" s="73"/>
      <c r="L582" s="1"/>
      <c r="T582" s="73"/>
      <c r="U582" s="73"/>
      <c r="W582" s="73"/>
      <c r="X582" s="73"/>
      <c r="Y582" s="73"/>
    </row>
    <row r="583">
      <c r="E583" s="73"/>
      <c r="F583" s="73"/>
      <c r="G583" s="74"/>
      <c r="J583" s="73"/>
      <c r="K583" s="73"/>
      <c r="L583" s="1"/>
      <c r="T583" s="73"/>
      <c r="U583" s="73"/>
      <c r="W583" s="73"/>
      <c r="X583" s="73"/>
      <c r="Y583" s="73"/>
    </row>
    <row r="584">
      <c r="E584" s="73"/>
      <c r="F584" s="73"/>
      <c r="G584" s="74"/>
      <c r="J584" s="73"/>
      <c r="K584" s="73"/>
      <c r="L584" s="1"/>
      <c r="T584" s="73"/>
      <c r="U584" s="73"/>
      <c r="W584" s="73"/>
      <c r="X584" s="73"/>
      <c r="Y584" s="73"/>
    </row>
    <row r="585">
      <c r="E585" s="73"/>
      <c r="F585" s="73"/>
      <c r="G585" s="74"/>
      <c r="J585" s="73"/>
      <c r="K585" s="73"/>
      <c r="L585" s="1"/>
      <c r="T585" s="73"/>
      <c r="U585" s="73"/>
      <c r="W585" s="73"/>
      <c r="X585" s="73"/>
      <c r="Y585" s="73"/>
    </row>
    <row r="586">
      <c r="E586" s="73"/>
      <c r="F586" s="73"/>
      <c r="G586" s="74"/>
      <c r="J586" s="73"/>
      <c r="K586" s="73"/>
      <c r="L586" s="1"/>
      <c r="T586" s="73"/>
      <c r="U586" s="73"/>
      <c r="W586" s="73"/>
      <c r="X586" s="73"/>
      <c r="Y586" s="73"/>
    </row>
    <row r="587">
      <c r="E587" s="73"/>
      <c r="F587" s="73"/>
      <c r="G587" s="74"/>
      <c r="J587" s="73"/>
      <c r="K587" s="73"/>
      <c r="L587" s="1"/>
      <c r="T587" s="73"/>
      <c r="U587" s="73"/>
      <c r="W587" s="73"/>
      <c r="X587" s="73"/>
      <c r="Y587" s="73"/>
    </row>
    <row r="588">
      <c r="E588" s="73"/>
      <c r="F588" s="73"/>
      <c r="G588" s="74"/>
      <c r="J588" s="73"/>
      <c r="K588" s="73"/>
      <c r="L588" s="1"/>
      <c r="T588" s="73"/>
      <c r="U588" s="73"/>
      <c r="W588" s="73"/>
      <c r="X588" s="73"/>
      <c r="Y588" s="73"/>
    </row>
    <row r="589">
      <c r="E589" s="73"/>
      <c r="F589" s="73"/>
      <c r="G589" s="74"/>
      <c r="J589" s="73"/>
      <c r="K589" s="73"/>
      <c r="L589" s="1"/>
      <c r="T589" s="73"/>
      <c r="U589" s="73"/>
      <c r="W589" s="73"/>
      <c r="X589" s="73"/>
      <c r="Y589" s="73"/>
    </row>
    <row r="590">
      <c r="E590" s="73"/>
      <c r="F590" s="73"/>
      <c r="G590" s="74"/>
      <c r="J590" s="73"/>
      <c r="K590" s="73"/>
      <c r="L590" s="1"/>
      <c r="T590" s="73"/>
      <c r="U590" s="73"/>
      <c r="W590" s="73"/>
      <c r="X590" s="73"/>
      <c r="Y590" s="73"/>
    </row>
    <row r="591">
      <c r="E591" s="73"/>
      <c r="F591" s="73"/>
      <c r="G591" s="74"/>
      <c r="J591" s="73"/>
      <c r="K591" s="73"/>
      <c r="L591" s="1"/>
      <c r="T591" s="73"/>
      <c r="U591" s="73"/>
      <c r="W591" s="73"/>
      <c r="X591" s="73"/>
      <c r="Y591" s="73"/>
    </row>
    <row r="592">
      <c r="E592" s="73"/>
      <c r="F592" s="73"/>
      <c r="G592" s="74"/>
      <c r="J592" s="73"/>
      <c r="K592" s="73"/>
      <c r="L592" s="1"/>
      <c r="T592" s="73"/>
      <c r="U592" s="73"/>
      <c r="W592" s="73"/>
      <c r="X592" s="73"/>
      <c r="Y592" s="73"/>
    </row>
    <row r="593">
      <c r="E593" s="73"/>
      <c r="F593" s="73"/>
      <c r="G593" s="74"/>
      <c r="J593" s="73"/>
      <c r="K593" s="73"/>
      <c r="L593" s="1"/>
      <c r="T593" s="73"/>
      <c r="U593" s="73"/>
      <c r="W593" s="73"/>
      <c r="X593" s="73"/>
      <c r="Y593" s="73"/>
    </row>
    <row r="594">
      <c r="E594" s="73"/>
      <c r="F594" s="73"/>
      <c r="G594" s="74"/>
      <c r="J594" s="73"/>
      <c r="K594" s="73"/>
      <c r="L594" s="1"/>
      <c r="T594" s="73"/>
      <c r="U594" s="73"/>
      <c r="W594" s="73"/>
      <c r="X594" s="73"/>
      <c r="Y594" s="73"/>
    </row>
    <row r="595">
      <c r="E595" s="73"/>
      <c r="F595" s="73"/>
      <c r="G595" s="74"/>
      <c r="J595" s="73"/>
      <c r="K595" s="73"/>
      <c r="L595" s="1"/>
      <c r="T595" s="73"/>
      <c r="U595" s="73"/>
      <c r="W595" s="73"/>
      <c r="X595" s="73"/>
      <c r="Y595" s="73"/>
    </row>
    <row r="596">
      <c r="E596" s="73"/>
      <c r="F596" s="73"/>
      <c r="G596" s="74"/>
      <c r="J596" s="73"/>
      <c r="K596" s="73"/>
      <c r="L596" s="1"/>
      <c r="T596" s="73"/>
      <c r="U596" s="73"/>
      <c r="W596" s="73"/>
      <c r="X596" s="73"/>
      <c r="Y596" s="73"/>
    </row>
    <row r="597">
      <c r="E597" s="73"/>
      <c r="F597" s="73"/>
      <c r="G597" s="74"/>
      <c r="J597" s="73"/>
      <c r="K597" s="73"/>
      <c r="L597" s="1"/>
      <c r="T597" s="73"/>
      <c r="U597" s="73"/>
      <c r="W597" s="73"/>
      <c r="X597" s="73"/>
      <c r="Y597" s="73"/>
    </row>
    <row r="598">
      <c r="E598" s="73"/>
      <c r="F598" s="73"/>
      <c r="G598" s="74"/>
      <c r="J598" s="73"/>
      <c r="K598" s="73"/>
      <c r="L598" s="1"/>
      <c r="T598" s="73"/>
      <c r="U598" s="73"/>
      <c r="W598" s="73"/>
      <c r="X598" s="73"/>
      <c r="Y598" s="73"/>
    </row>
    <row r="599">
      <c r="E599" s="73"/>
      <c r="F599" s="73"/>
      <c r="G599" s="74"/>
      <c r="J599" s="73"/>
      <c r="K599" s="73"/>
      <c r="L599" s="1"/>
      <c r="T599" s="73"/>
      <c r="U599" s="73"/>
      <c r="W599" s="73"/>
      <c r="X599" s="73"/>
      <c r="Y599" s="73"/>
    </row>
    <row r="600">
      <c r="E600" s="73"/>
      <c r="F600" s="73"/>
      <c r="G600" s="74"/>
      <c r="J600" s="73"/>
      <c r="K600" s="73"/>
      <c r="L600" s="1"/>
      <c r="T600" s="73"/>
      <c r="U600" s="73"/>
      <c r="W600" s="73"/>
      <c r="X600" s="73"/>
      <c r="Y600" s="73"/>
    </row>
    <row r="601">
      <c r="E601" s="73"/>
      <c r="F601" s="73"/>
      <c r="G601" s="74"/>
      <c r="J601" s="73"/>
      <c r="K601" s="73"/>
      <c r="L601" s="1"/>
      <c r="T601" s="73"/>
      <c r="U601" s="73"/>
      <c r="W601" s="73"/>
      <c r="X601" s="73"/>
      <c r="Y601" s="73"/>
    </row>
    <row r="602">
      <c r="E602" s="73"/>
      <c r="F602" s="73"/>
      <c r="G602" s="74"/>
      <c r="J602" s="73"/>
      <c r="K602" s="73"/>
      <c r="L602" s="1"/>
      <c r="T602" s="73"/>
      <c r="U602" s="73"/>
      <c r="W602" s="73"/>
      <c r="X602" s="73"/>
      <c r="Y602" s="73"/>
    </row>
    <row r="603">
      <c r="E603" s="73"/>
      <c r="F603" s="73"/>
      <c r="G603" s="74"/>
      <c r="J603" s="73"/>
      <c r="K603" s="73"/>
      <c r="L603" s="1"/>
      <c r="T603" s="73"/>
      <c r="U603" s="73"/>
      <c r="W603" s="73"/>
      <c r="X603" s="73"/>
      <c r="Y603" s="73"/>
    </row>
    <row r="604">
      <c r="E604" s="73"/>
      <c r="F604" s="73"/>
      <c r="G604" s="74"/>
      <c r="J604" s="73"/>
      <c r="K604" s="73"/>
      <c r="L604" s="1"/>
      <c r="T604" s="73"/>
      <c r="U604" s="73"/>
      <c r="W604" s="73"/>
      <c r="X604" s="73"/>
      <c r="Y604" s="73"/>
    </row>
    <row r="605">
      <c r="E605" s="73"/>
      <c r="F605" s="73"/>
      <c r="G605" s="74"/>
      <c r="J605" s="73"/>
      <c r="K605" s="73"/>
      <c r="L605" s="1"/>
      <c r="T605" s="73"/>
      <c r="U605" s="73"/>
      <c r="W605" s="73"/>
      <c r="X605" s="73"/>
      <c r="Y605" s="73"/>
    </row>
    <row r="606">
      <c r="E606" s="73"/>
      <c r="F606" s="73"/>
      <c r="G606" s="74"/>
      <c r="J606" s="73"/>
      <c r="K606" s="73"/>
      <c r="L606" s="1"/>
      <c r="T606" s="73"/>
      <c r="U606" s="73"/>
      <c r="W606" s="73"/>
      <c r="X606" s="73"/>
      <c r="Y606" s="73"/>
    </row>
    <row r="607">
      <c r="E607" s="73"/>
      <c r="F607" s="73"/>
      <c r="G607" s="74"/>
      <c r="J607" s="73"/>
      <c r="K607" s="73"/>
      <c r="L607" s="1"/>
      <c r="T607" s="73"/>
      <c r="U607" s="73"/>
      <c r="W607" s="73"/>
      <c r="X607" s="73"/>
      <c r="Y607" s="73"/>
    </row>
    <row r="608">
      <c r="E608" s="73"/>
      <c r="F608" s="73"/>
      <c r="G608" s="74"/>
      <c r="J608" s="73"/>
      <c r="K608" s="73"/>
      <c r="L608" s="1"/>
      <c r="T608" s="73"/>
      <c r="U608" s="73"/>
      <c r="W608" s="73"/>
      <c r="X608" s="73"/>
      <c r="Y608" s="73"/>
    </row>
    <row r="609">
      <c r="E609" s="73"/>
      <c r="F609" s="73"/>
      <c r="G609" s="74"/>
      <c r="J609" s="73"/>
      <c r="K609" s="73"/>
      <c r="L609" s="1"/>
      <c r="T609" s="73"/>
      <c r="U609" s="73"/>
      <c r="W609" s="73"/>
      <c r="X609" s="73"/>
      <c r="Y609" s="73"/>
    </row>
    <row r="610">
      <c r="E610" s="73"/>
      <c r="F610" s="73"/>
      <c r="G610" s="74"/>
      <c r="J610" s="73"/>
      <c r="K610" s="73"/>
      <c r="L610" s="1"/>
      <c r="T610" s="73"/>
      <c r="U610" s="73"/>
      <c r="W610" s="73"/>
      <c r="X610" s="73"/>
      <c r="Y610" s="73"/>
    </row>
    <row r="611">
      <c r="E611" s="73"/>
      <c r="F611" s="73"/>
      <c r="G611" s="74"/>
      <c r="J611" s="73"/>
      <c r="K611" s="73"/>
      <c r="L611" s="1"/>
      <c r="T611" s="73"/>
      <c r="U611" s="73"/>
      <c r="W611" s="73"/>
      <c r="X611" s="73"/>
      <c r="Y611" s="73"/>
    </row>
    <row r="612">
      <c r="E612" s="73"/>
      <c r="F612" s="73"/>
      <c r="G612" s="74"/>
      <c r="J612" s="73"/>
      <c r="K612" s="73"/>
      <c r="L612" s="1"/>
      <c r="T612" s="73"/>
      <c r="U612" s="73"/>
      <c r="W612" s="73"/>
      <c r="X612" s="73"/>
      <c r="Y612" s="73"/>
    </row>
    <row r="613">
      <c r="E613" s="73"/>
      <c r="F613" s="73"/>
      <c r="G613" s="74"/>
      <c r="J613" s="73"/>
      <c r="K613" s="73"/>
      <c r="L613" s="1"/>
      <c r="T613" s="73"/>
      <c r="U613" s="73"/>
      <c r="W613" s="73"/>
      <c r="X613" s="73"/>
      <c r="Y613" s="73"/>
    </row>
    <row r="614">
      <c r="E614" s="73"/>
      <c r="F614" s="73"/>
      <c r="G614" s="74"/>
      <c r="J614" s="73"/>
      <c r="K614" s="73"/>
      <c r="L614" s="1"/>
      <c r="T614" s="73"/>
      <c r="U614" s="73"/>
      <c r="W614" s="73"/>
      <c r="X614" s="73"/>
      <c r="Y614" s="73"/>
    </row>
    <row r="615">
      <c r="E615" s="73"/>
      <c r="F615" s="73"/>
      <c r="G615" s="74"/>
      <c r="J615" s="73"/>
      <c r="K615" s="73"/>
      <c r="L615" s="1"/>
      <c r="T615" s="73"/>
      <c r="U615" s="73"/>
      <c r="W615" s="73"/>
      <c r="X615" s="73"/>
      <c r="Y615" s="73"/>
    </row>
    <row r="616">
      <c r="E616" s="73"/>
      <c r="F616" s="73"/>
      <c r="G616" s="74"/>
      <c r="J616" s="73"/>
      <c r="K616" s="73"/>
      <c r="L616" s="1"/>
      <c r="T616" s="73"/>
      <c r="U616" s="73"/>
      <c r="W616" s="73"/>
      <c r="X616" s="73"/>
      <c r="Y616" s="73"/>
    </row>
    <row r="617">
      <c r="E617" s="73"/>
      <c r="F617" s="73"/>
      <c r="G617" s="74"/>
      <c r="J617" s="73"/>
      <c r="K617" s="73"/>
      <c r="L617" s="1"/>
      <c r="T617" s="73"/>
      <c r="U617" s="73"/>
      <c r="W617" s="73"/>
      <c r="X617" s="73"/>
      <c r="Y617" s="73"/>
    </row>
    <row r="618">
      <c r="E618" s="73"/>
      <c r="F618" s="73"/>
      <c r="G618" s="74"/>
      <c r="J618" s="73"/>
      <c r="K618" s="73"/>
      <c r="L618" s="1"/>
      <c r="T618" s="73"/>
      <c r="U618" s="73"/>
      <c r="W618" s="73"/>
      <c r="X618" s="73"/>
      <c r="Y618" s="73"/>
    </row>
    <row r="619">
      <c r="E619" s="73"/>
      <c r="F619" s="73"/>
      <c r="G619" s="74"/>
      <c r="J619" s="73"/>
      <c r="K619" s="73"/>
      <c r="L619" s="1"/>
      <c r="T619" s="73"/>
      <c r="U619" s="73"/>
      <c r="W619" s="73"/>
      <c r="X619" s="73"/>
      <c r="Y619" s="73"/>
    </row>
    <row r="620">
      <c r="E620" s="73"/>
      <c r="F620" s="73"/>
      <c r="G620" s="74"/>
      <c r="J620" s="73"/>
      <c r="K620" s="73"/>
      <c r="L620" s="1"/>
      <c r="T620" s="73"/>
      <c r="U620" s="73"/>
      <c r="W620" s="73"/>
      <c r="X620" s="73"/>
      <c r="Y620" s="73"/>
    </row>
    <row r="621">
      <c r="E621" s="73"/>
      <c r="F621" s="73"/>
      <c r="G621" s="74"/>
      <c r="J621" s="73"/>
      <c r="K621" s="73"/>
      <c r="L621" s="1"/>
      <c r="T621" s="73"/>
      <c r="U621" s="73"/>
      <c r="W621" s="73"/>
      <c r="X621" s="73"/>
      <c r="Y621" s="73"/>
    </row>
    <row r="622">
      <c r="E622" s="73"/>
      <c r="F622" s="73"/>
      <c r="G622" s="74"/>
      <c r="J622" s="73"/>
      <c r="K622" s="73"/>
      <c r="L622" s="1"/>
      <c r="T622" s="73"/>
      <c r="U622" s="73"/>
      <c r="W622" s="73"/>
      <c r="X622" s="73"/>
      <c r="Y622" s="73"/>
    </row>
    <row r="623">
      <c r="E623" s="73"/>
      <c r="F623" s="73"/>
      <c r="G623" s="74"/>
      <c r="J623" s="73"/>
      <c r="K623" s="73"/>
      <c r="L623" s="1"/>
      <c r="T623" s="73"/>
      <c r="U623" s="73"/>
      <c r="W623" s="73"/>
      <c r="X623" s="73"/>
      <c r="Y623" s="73"/>
    </row>
    <row r="624">
      <c r="E624" s="73"/>
      <c r="F624" s="73"/>
      <c r="G624" s="74"/>
      <c r="J624" s="73"/>
      <c r="K624" s="73"/>
      <c r="L624" s="1"/>
      <c r="T624" s="73"/>
      <c r="U624" s="73"/>
      <c r="W624" s="73"/>
      <c r="X624" s="73"/>
      <c r="Y624" s="73"/>
    </row>
    <row r="625">
      <c r="E625" s="73"/>
      <c r="F625" s="73"/>
      <c r="G625" s="74"/>
      <c r="J625" s="73"/>
      <c r="K625" s="73"/>
      <c r="L625" s="1"/>
      <c r="T625" s="73"/>
      <c r="U625" s="73"/>
      <c r="W625" s="73"/>
      <c r="X625" s="73"/>
      <c r="Y625" s="73"/>
    </row>
    <row r="626">
      <c r="E626" s="73"/>
      <c r="F626" s="73"/>
      <c r="G626" s="74"/>
      <c r="J626" s="73"/>
      <c r="K626" s="73"/>
      <c r="L626" s="1"/>
      <c r="T626" s="73"/>
      <c r="U626" s="73"/>
      <c r="W626" s="73"/>
      <c r="X626" s="73"/>
      <c r="Y626" s="73"/>
    </row>
    <row r="627">
      <c r="E627" s="73"/>
      <c r="F627" s="73"/>
      <c r="G627" s="74"/>
      <c r="J627" s="73"/>
      <c r="K627" s="73"/>
      <c r="L627" s="1"/>
      <c r="T627" s="73"/>
      <c r="U627" s="73"/>
      <c r="W627" s="73"/>
      <c r="X627" s="73"/>
      <c r="Y627" s="73"/>
    </row>
    <row r="628">
      <c r="E628" s="73"/>
      <c r="F628" s="73"/>
      <c r="G628" s="74"/>
      <c r="J628" s="73"/>
      <c r="K628" s="73"/>
      <c r="L628" s="1"/>
      <c r="T628" s="73"/>
      <c r="U628" s="73"/>
      <c r="W628" s="73"/>
      <c r="X628" s="73"/>
      <c r="Y628" s="73"/>
    </row>
    <row r="629">
      <c r="E629" s="73"/>
      <c r="F629" s="73"/>
      <c r="G629" s="74"/>
      <c r="J629" s="73"/>
      <c r="K629" s="73"/>
      <c r="L629" s="1"/>
      <c r="T629" s="73"/>
      <c r="U629" s="73"/>
      <c r="W629" s="73"/>
      <c r="X629" s="73"/>
      <c r="Y629" s="73"/>
    </row>
    <row r="630">
      <c r="E630" s="73"/>
      <c r="F630" s="73"/>
      <c r="G630" s="74"/>
      <c r="J630" s="73"/>
      <c r="K630" s="73"/>
      <c r="L630" s="1"/>
      <c r="T630" s="73"/>
      <c r="U630" s="73"/>
      <c r="W630" s="73"/>
      <c r="X630" s="73"/>
      <c r="Y630" s="73"/>
    </row>
    <row r="631">
      <c r="E631" s="73"/>
      <c r="F631" s="73"/>
      <c r="G631" s="74"/>
      <c r="J631" s="73"/>
      <c r="K631" s="73"/>
      <c r="L631" s="1"/>
      <c r="T631" s="73"/>
      <c r="U631" s="73"/>
      <c r="W631" s="73"/>
      <c r="X631" s="73"/>
      <c r="Y631" s="73"/>
    </row>
    <row r="632">
      <c r="E632" s="73"/>
      <c r="F632" s="73"/>
      <c r="G632" s="74"/>
      <c r="J632" s="73"/>
      <c r="K632" s="73"/>
      <c r="L632" s="1"/>
      <c r="T632" s="73"/>
      <c r="U632" s="73"/>
      <c r="W632" s="73"/>
      <c r="X632" s="73"/>
      <c r="Y632" s="73"/>
    </row>
    <row r="633">
      <c r="E633" s="73"/>
      <c r="F633" s="73"/>
      <c r="G633" s="74"/>
      <c r="J633" s="73"/>
      <c r="K633" s="73"/>
      <c r="L633" s="1"/>
      <c r="T633" s="73"/>
      <c r="U633" s="73"/>
      <c r="W633" s="73"/>
      <c r="X633" s="73"/>
      <c r="Y633" s="73"/>
    </row>
    <row r="634">
      <c r="E634" s="73"/>
      <c r="F634" s="73"/>
      <c r="G634" s="74"/>
      <c r="J634" s="73"/>
      <c r="K634" s="73"/>
      <c r="L634" s="1"/>
      <c r="T634" s="73"/>
      <c r="U634" s="73"/>
      <c r="W634" s="73"/>
      <c r="X634" s="73"/>
      <c r="Y634" s="73"/>
    </row>
    <row r="635">
      <c r="E635" s="73"/>
      <c r="F635" s="73"/>
      <c r="G635" s="74"/>
      <c r="J635" s="73"/>
      <c r="K635" s="73"/>
      <c r="L635" s="1"/>
      <c r="T635" s="73"/>
      <c r="U635" s="73"/>
      <c r="W635" s="73"/>
      <c r="X635" s="73"/>
      <c r="Y635" s="73"/>
    </row>
    <row r="636">
      <c r="E636" s="73"/>
      <c r="F636" s="73"/>
      <c r="G636" s="74"/>
      <c r="J636" s="73"/>
      <c r="K636" s="73"/>
      <c r="L636" s="1"/>
      <c r="T636" s="73"/>
      <c r="U636" s="73"/>
      <c r="W636" s="73"/>
      <c r="X636" s="73"/>
      <c r="Y636" s="73"/>
    </row>
    <row r="637">
      <c r="E637" s="73"/>
      <c r="F637" s="73"/>
      <c r="G637" s="74"/>
      <c r="J637" s="73"/>
      <c r="K637" s="73"/>
      <c r="L637" s="1"/>
      <c r="T637" s="73"/>
      <c r="U637" s="73"/>
      <c r="W637" s="73"/>
      <c r="X637" s="73"/>
      <c r="Y637" s="73"/>
    </row>
    <row r="638">
      <c r="E638" s="73"/>
      <c r="F638" s="73"/>
      <c r="G638" s="74"/>
      <c r="J638" s="73"/>
      <c r="K638" s="73"/>
      <c r="L638" s="1"/>
      <c r="T638" s="73"/>
      <c r="U638" s="73"/>
      <c r="W638" s="73"/>
      <c r="X638" s="73"/>
      <c r="Y638" s="73"/>
    </row>
    <row r="639">
      <c r="E639" s="73"/>
      <c r="F639" s="73"/>
      <c r="G639" s="74"/>
      <c r="J639" s="73"/>
      <c r="K639" s="73"/>
      <c r="L639" s="1"/>
      <c r="T639" s="73"/>
      <c r="U639" s="73"/>
      <c r="W639" s="73"/>
      <c r="X639" s="73"/>
      <c r="Y639" s="73"/>
    </row>
    <row r="640">
      <c r="E640" s="73"/>
      <c r="F640" s="73"/>
      <c r="G640" s="74"/>
      <c r="J640" s="73"/>
      <c r="K640" s="73"/>
      <c r="L640" s="1"/>
      <c r="T640" s="73"/>
      <c r="U640" s="73"/>
      <c r="W640" s="73"/>
      <c r="X640" s="73"/>
      <c r="Y640" s="73"/>
    </row>
    <row r="641">
      <c r="E641" s="73"/>
      <c r="F641" s="73"/>
      <c r="G641" s="74"/>
      <c r="J641" s="73"/>
      <c r="K641" s="73"/>
      <c r="L641" s="1"/>
      <c r="T641" s="73"/>
      <c r="U641" s="73"/>
      <c r="W641" s="73"/>
      <c r="X641" s="73"/>
      <c r="Y641" s="73"/>
    </row>
    <row r="642">
      <c r="E642" s="73"/>
      <c r="F642" s="73"/>
      <c r="G642" s="74"/>
      <c r="J642" s="73"/>
      <c r="K642" s="73"/>
      <c r="L642" s="1"/>
      <c r="T642" s="73"/>
      <c r="U642" s="73"/>
      <c r="W642" s="73"/>
      <c r="X642" s="73"/>
      <c r="Y642" s="73"/>
    </row>
    <row r="643">
      <c r="E643" s="73"/>
      <c r="F643" s="73"/>
      <c r="G643" s="74"/>
      <c r="J643" s="73"/>
      <c r="K643" s="73"/>
      <c r="L643" s="1"/>
      <c r="T643" s="73"/>
      <c r="U643" s="73"/>
      <c r="W643" s="73"/>
      <c r="X643" s="73"/>
      <c r="Y643" s="73"/>
    </row>
    <row r="644">
      <c r="E644" s="73"/>
      <c r="F644" s="73"/>
      <c r="G644" s="74"/>
      <c r="J644" s="73"/>
      <c r="K644" s="73"/>
      <c r="L644" s="1"/>
      <c r="T644" s="73"/>
      <c r="U644" s="73"/>
      <c r="W644" s="73"/>
      <c r="X644" s="73"/>
      <c r="Y644" s="73"/>
    </row>
    <row r="645">
      <c r="E645" s="73"/>
      <c r="F645" s="73"/>
      <c r="G645" s="74"/>
      <c r="J645" s="73"/>
      <c r="K645" s="73"/>
      <c r="L645" s="1"/>
      <c r="T645" s="73"/>
      <c r="U645" s="73"/>
      <c r="W645" s="73"/>
      <c r="X645" s="73"/>
      <c r="Y645" s="73"/>
    </row>
    <row r="646">
      <c r="E646" s="73"/>
      <c r="F646" s="73"/>
      <c r="G646" s="74"/>
      <c r="J646" s="73"/>
      <c r="K646" s="73"/>
      <c r="L646" s="1"/>
      <c r="T646" s="73"/>
      <c r="U646" s="73"/>
      <c r="W646" s="73"/>
      <c r="X646" s="73"/>
      <c r="Y646" s="73"/>
    </row>
    <row r="647">
      <c r="E647" s="73"/>
      <c r="F647" s="73"/>
      <c r="G647" s="74"/>
      <c r="J647" s="73"/>
      <c r="K647" s="73"/>
      <c r="L647" s="1"/>
      <c r="T647" s="73"/>
      <c r="U647" s="73"/>
      <c r="W647" s="73"/>
      <c r="X647" s="73"/>
      <c r="Y647" s="73"/>
    </row>
    <row r="648">
      <c r="E648" s="73"/>
      <c r="F648" s="73"/>
      <c r="G648" s="74"/>
      <c r="J648" s="73"/>
      <c r="K648" s="73"/>
      <c r="L648" s="1"/>
      <c r="T648" s="73"/>
      <c r="U648" s="73"/>
      <c r="W648" s="73"/>
      <c r="X648" s="73"/>
      <c r="Y648" s="73"/>
    </row>
    <row r="649">
      <c r="E649" s="73"/>
      <c r="F649" s="73"/>
      <c r="G649" s="74"/>
      <c r="J649" s="73"/>
      <c r="K649" s="73"/>
      <c r="L649" s="1"/>
      <c r="T649" s="73"/>
      <c r="U649" s="73"/>
      <c r="W649" s="73"/>
      <c r="X649" s="73"/>
      <c r="Y649" s="73"/>
    </row>
    <row r="650">
      <c r="E650" s="73"/>
      <c r="F650" s="73"/>
      <c r="G650" s="74"/>
      <c r="J650" s="73"/>
      <c r="K650" s="73"/>
      <c r="L650" s="1"/>
      <c r="T650" s="73"/>
      <c r="U650" s="73"/>
      <c r="W650" s="73"/>
      <c r="X650" s="73"/>
      <c r="Y650" s="73"/>
    </row>
    <row r="651">
      <c r="E651" s="73"/>
      <c r="F651" s="73"/>
      <c r="G651" s="74"/>
      <c r="J651" s="73"/>
      <c r="K651" s="73"/>
      <c r="L651" s="1"/>
      <c r="T651" s="73"/>
      <c r="U651" s="73"/>
      <c r="W651" s="73"/>
      <c r="X651" s="73"/>
      <c r="Y651" s="73"/>
    </row>
    <row r="652">
      <c r="E652" s="73"/>
      <c r="F652" s="73"/>
      <c r="G652" s="74"/>
      <c r="J652" s="73"/>
      <c r="K652" s="73"/>
      <c r="L652" s="1"/>
      <c r="T652" s="73"/>
      <c r="U652" s="73"/>
      <c r="W652" s="73"/>
      <c r="X652" s="73"/>
      <c r="Y652" s="73"/>
    </row>
    <row r="653">
      <c r="E653" s="73"/>
      <c r="F653" s="73"/>
      <c r="G653" s="74"/>
      <c r="J653" s="73"/>
      <c r="K653" s="73"/>
      <c r="L653" s="1"/>
      <c r="T653" s="73"/>
      <c r="U653" s="73"/>
      <c r="W653" s="73"/>
      <c r="X653" s="73"/>
      <c r="Y653" s="73"/>
    </row>
    <row r="654">
      <c r="E654" s="73"/>
      <c r="F654" s="73"/>
      <c r="G654" s="74"/>
      <c r="J654" s="73"/>
      <c r="K654" s="73"/>
      <c r="L654" s="1"/>
      <c r="T654" s="73"/>
      <c r="U654" s="73"/>
      <c r="W654" s="73"/>
      <c r="X654" s="73"/>
      <c r="Y654" s="73"/>
    </row>
    <row r="655">
      <c r="E655" s="73"/>
      <c r="F655" s="73"/>
      <c r="G655" s="74"/>
      <c r="J655" s="73"/>
      <c r="K655" s="73"/>
      <c r="L655" s="1"/>
      <c r="T655" s="73"/>
      <c r="U655" s="73"/>
      <c r="W655" s="73"/>
      <c r="X655" s="73"/>
      <c r="Y655" s="73"/>
    </row>
    <row r="656">
      <c r="E656" s="73"/>
      <c r="F656" s="73"/>
      <c r="G656" s="74"/>
      <c r="J656" s="73"/>
      <c r="K656" s="73"/>
      <c r="L656" s="1"/>
      <c r="T656" s="73"/>
      <c r="U656" s="73"/>
      <c r="W656" s="73"/>
      <c r="X656" s="73"/>
      <c r="Y656" s="73"/>
    </row>
    <row r="657">
      <c r="E657" s="73"/>
      <c r="F657" s="73"/>
      <c r="G657" s="74"/>
      <c r="J657" s="73"/>
      <c r="K657" s="73"/>
      <c r="L657" s="1"/>
      <c r="T657" s="73"/>
      <c r="U657" s="73"/>
      <c r="W657" s="73"/>
      <c r="X657" s="73"/>
      <c r="Y657" s="73"/>
    </row>
    <row r="658">
      <c r="E658" s="73"/>
      <c r="F658" s="73"/>
      <c r="G658" s="74"/>
      <c r="J658" s="73"/>
      <c r="K658" s="73"/>
      <c r="L658" s="1"/>
      <c r="T658" s="73"/>
      <c r="U658" s="73"/>
      <c r="W658" s="73"/>
      <c r="X658" s="73"/>
      <c r="Y658" s="73"/>
    </row>
    <row r="659">
      <c r="E659" s="73"/>
      <c r="F659" s="73"/>
      <c r="G659" s="74"/>
      <c r="J659" s="73"/>
      <c r="K659" s="73"/>
      <c r="L659" s="1"/>
      <c r="T659" s="73"/>
      <c r="U659" s="73"/>
      <c r="W659" s="73"/>
      <c r="X659" s="73"/>
      <c r="Y659" s="73"/>
    </row>
    <row r="660">
      <c r="E660" s="73"/>
      <c r="F660" s="73"/>
      <c r="G660" s="74"/>
      <c r="J660" s="73"/>
      <c r="K660" s="73"/>
      <c r="L660" s="1"/>
      <c r="T660" s="73"/>
      <c r="U660" s="73"/>
      <c r="W660" s="73"/>
      <c r="X660" s="73"/>
      <c r="Y660" s="73"/>
    </row>
    <row r="661">
      <c r="E661" s="73"/>
      <c r="F661" s="73"/>
      <c r="G661" s="74"/>
      <c r="J661" s="73"/>
      <c r="K661" s="73"/>
      <c r="L661" s="1"/>
      <c r="T661" s="73"/>
      <c r="U661" s="73"/>
      <c r="W661" s="73"/>
      <c r="X661" s="73"/>
      <c r="Y661" s="73"/>
    </row>
    <row r="662">
      <c r="E662" s="73"/>
      <c r="F662" s="73"/>
      <c r="G662" s="74"/>
      <c r="J662" s="73"/>
      <c r="K662" s="73"/>
      <c r="L662" s="1"/>
      <c r="T662" s="73"/>
      <c r="U662" s="73"/>
      <c r="W662" s="73"/>
      <c r="X662" s="73"/>
      <c r="Y662" s="73"/>
    </row>
    <row r="663">
      <c r="E663" s="73"/>
      <c r="F663" s="73"/>
      <c r="G663" s="74"/>
      <c r="J663" s="73"/>
      <c r="K663" s="73"/>
      <c r="L663" s="1"/>
      <c r="T663" s="73"/>
      <c r="U663" s="73"/>
      <c r="W663" s="73"/>
      <c r="X663" s="73"/>
      <c r="Y663" s="73"/>
    </row>
    <row r="664">
      <c r="E664" s="73"/>
      <c r="F664" s="73"/>
      <c r="G664" s="74"/>
      <c r="J664" s="73"/>
      <c r="K664" s="73"/>
      <c r="L664" s="1"/>
      <c r="T664" s="73"/>
      <c r="U664" s="73"/>
      <c r="W664" s="73"/>
      <c r="X664" s="73"/>
      <c r="Y664" s="73"/>
    </row>
    <row r="665">
      <c r="E665" s="73"/>
      <c r="F665" s="73"/>
      <c r="G665" s="74"/>
      <c r="J665" s="73"/>
      <c r="K665" s="73"/>
      <c r="L665" s="1"/>
      <c r="T665" s="73"/>
      <c r="U665" s="73"/>
      <c r="W665" s="73"/>
      <c r="X665" s="73"/>
      <c r="Y665" s="73"/>
    </row>
    <row r="666">
      <c r="E666" s="73"/>
      <c r="F666" s="73"/>
      <c r="G666" s="74"/>
      <c r="J666" s="73"/>
      <c r="K666" s="73"/>
      <c r="L666" s="1"/>
      <c r="T666" s="73"/>
      <c r="U666" s="73"/>
      <c r="W666" s="73"/>
      <c r="X666" s="73"/>
      <c r="Y666" s="73"/>
    </row>
    <row r="667">
      <c r="E667" s="73"/>
      <c r="F667" s="73"/>
      <c r="G667" s="74"/>
      <c r="J667" s="73"/>
      <c r="K667" s="73"/>
      <c r="L667" s="1"/>
      <c r="T667" s="73"/>
      <c r="U667" s="73"/>
      <c r="W667" s="73"/>
      <c r="X667" s="73"/>
      <c r="Y667" s="73"/>
    </row>
    <row r="668">
      <c r="E668" s="73"/>
      <c r="F668" s="73"/>
      <c r="G668" s="74"/>
      <c r="J668" s="73"/>
      <c r="K668" s="73"/>
      <c r="L668" s="1"/>
      <c r="T668" s="73"/>
      <c r="U668" s="73"/>
      <c r="W668" s="73"/>
      <c r="X668" s="73"/>
      <c r="Y668" s="73"/>
    </row>
    <row r="669">
      <c r="E669" s="73"/>
      <c r="F669" s="73"/>
      <c r="G669" s="74"/>
      <c r="J669" s="73"/>
      <c r="K669" s="73"/>
      <c r="L669" s="1"/>
      <c r="T669" s="73"/>
      <c r="U669" s="73"/>
      <c r="W669" s="73"/>
      <c r="X669" s="73"/>
      <c r="Y669" s="73"/>
    </row>
    <row r="670">
      <c r="E670" s="73"/>
      <c r="F670" s="73"/>
      <c r="G670" s="74"/>
      <c r="J670" s="73"/>
      <c r="K670" s="73"/>
      <c r="L670" s="1"/>
      <c r="T670" s="73"/>
      <c r="U670" s="73"/>
      <c r="W670" s="73"/>
      <c r="X670" s="73"/>
      <c r="Y670" s="73"/>
    </row>
    <row r="671">
      <c r="E671" s="73"/>
      <c r="F671" s="73"/>
      <c r="G671" s="74"/>
      <c r="J671" s="73"/>
      <c r="K671" s="73"/>
      <c r="L671" s="1"/>
      <c r="T671" s="73"/>
      <c r="U671" s="73"/>
      <c r="W671" s="73"/>
      <c r="X671" s="73"/>
      <c r="Y671" s="73"/>
    </row>
    <row r="672">
      <c r="E672" s="73"/>
      <c r="F672" s="73"/>
      <c r="G672" s="74"/>
      <c r="J672" s="73"/>
      <c r="K672" s="73"/>
      <c r="L672" s="1"/>
      <c r="T672" s="73"/>
      <c r="U672" s="73"/>
      <c r="W672" s="73"/>
      <c r="X672" s="73"/>
      <c r="Y672" s="73"/>
    </row>
    <row r="673">
      <c r="E673" s="73"/>
      <c r="F673" s="73"/>
      <c r="G673" s="74"/>
      <c r="J673" s="73"/>
      <c r="K673" s="73"/>
      <c r="L673" s="1"/>
      <c r="T673" s="73"/>
      <c r="U673" s="73"/>
      <c r="W673" s="73"/>
      <c r="X673" s="73"/>
      <c r="Y673" s="73"/>
    </row>
    <row r="674">
      <c r="E674" s="73"/>
      <c r="F674" s="73"/>
      <c r="G674" s="74"/>
      <c r="J674" s="73"/>
      <c r="K674" s="73"/>
      <c r="L674" s="1"/>
      <c r="T674" s="73"/>
      <c r="U674" s="73"/>
      <c r="W674" s="73"/>
      <c r="X674" s="73"/>
      <c r="Y674" s="73"/>
    </row>
    <row r="675">
      <c r="E675" s="73"/>
      <c r="F675" s="73"/>
      <c r="G675" s="74"/>
      <c r="J675" s="73"/>
      <c r="K675" s="73"/>
      <c r="L675" s="1"/>
      <c r="T675" s="73"/>
      <c r="U675" s="73"/>
      <c r="W675" s="73"/>
      <c r="X675" s="73"/>
      <c r="Y675" s="73"/>
    </row>
    <row r="676">
      <c r="E676" s="73"/>
      <c r="F676" s="73"/>
      <c r="G676" s="74"/>
      <c r="J676" s="73"/>
      <c r="K676" s="73"/>
      <c r="L676" s="1"/>
      <c r="T676" s="73"/>
      <c r="U676" s="73"/>
      <c r="W676" s="73"/>
      <c r="X676" s="73"/>
      <c r="Y676" s="73"/>
    </row>
    <row r="677">
      <c r="E677" s="73"/>
      <c r="F677" s="73"/>
      <c r="G677" s="74"/>
      <c r="J677" s="73"/>
      <c r="K677" s="73"/>
      <c r="L677" s="1"/>
      <c r="T677" s="73"/>
      <c r="U677" s="73"/>
      <c r="W677" s="73"/>
      <c r="X677" s="73"/>
      <c r="Y677" s="73"/>
    </row>
    <row r="678">
      <c r="E678" s="73"/>
      <c r="F678" s="73"/>
      <c r="G678" s="74"/>
      <c r="J678" s="73"/>
      <c r="K678" s="73"/>
      <c r="L678" s="1"/>
      <c r="T678" s="73"/>
      <c r="U678" s="73"/>
      <c r="W678" s="73"/>
      <c r="X678" s="73"/>
      <c r="Y678" s="73"/>
    </row>
    <row r="679">
      <c r="E679" s="73"/>
      <c r="F679" s="73"/>
      <c r="G679" s="74"/>
      <c r="J679" s="73"/>
      <c r="K679" s="73"/>
      <c r="L679" s="1"/>
      <c r="T679" s="73"/>
      <c r="U679" s="73"/>
      <c r="W679" s="73"/>
      <c r="X679" s="73"/>
      <c r="Y679" s="73"/>
    </row>
    <row r="680">
      <c r="E680" s="73"/>
      <c r="F680" s="73"/>
      <c r="G680" s="74"/>
      <c r="J680" s="73"/>
      <c r="K680" s="73"/>
      <c r="L680" s="1"/>
      <c r="T680" s="73"/>
      <c r="U680" s="73"/>
      <c r="W680" s="73"/>
      <c r="X680" s="73"/>
      <c r="Y680" s="73"/>
    </row>
    <row r="681">
      <c r="E681" s="73"/>
      <c r="F681" s="73"/>
      <c r="G681" s="74"/>
      <c r="J681" s="73"/>
      <c r="K681" s="73"/>
      <c r="L681" s="1"/>
      <c r="T681" s="73"/>
      <c r="U681" s="73"/>
      <c r="W681" s="73"/>
      <c r="X681" s="73"/>
      <c r="Y681" s="73"/>
    </row>
    <row r="682">
      <c r="E682" s="73"/>
      <c r="F682" s="73"/>
      <c r="G682" s="74"/>
      <c r="J682" s="73"/>
      <c r="K682" s="73"/>
      <c r="L682" s="1"/>
      <c r="T682" s="73"/>
      <c r="U682" s="73"/>
      <c r="W682" s="73"/>
      <c r="X682" s="73"/>
      <c r="Y682" s="73"/>
    </row>
    <row r="683">
      <c r="E683" s="73"/>
      <c r="F683" s="73"/>
      <c r="G683" s="74"/>
      <c r="J683" s="73"/>
      <c r="K683" s="73"/>
      <c r="L683" s="1"/>
      <c r="T683" s="73"/>
      <c r="U683" s="73"/>
      <c r="W683" s="73"/>
      <c r="X683" s="73"/>
      <c r="Y683" s="73"/>
    </row>
    <row r="684">
      <c r="E684" s="73"/>
      <c r="F684" s="73"/>
      <c r="G684" s="74"/>
      <c r="J684" s="73"/>
      <c r="K684" s="73"/>
      <c r="L684" s="1"/>
      <c r="T684" s="73"/>
      <c r="U684" s="73"/>
      <c r="W684" s="73"/>
      <c r="X684" s="73"/>
      <c r="Y684" s="73"/>
    </row>
    <row r="685">
      <c r="E685" s="73"/>
      <c r="F685" s="73"/>
      <c r="G685" s="74"/>
      <c r="J685" s="73"/>
      <c r="K685" s="73"/>
      <c r="L685" s="1"/>
      <c r="T685" s="73"/>
      <c r="U685" s="73"/>
      <c r="W685" s="73"/>
      <c r="X685" s="73"/>
      <c r="Y685" s="73"/>
    </row>
    <row r="686">
      <c r="E686" s="73"/>
      <c r="F686" s="73"/>
      <c r="G686" s="74"/>
      <c r="J686" s="73"/>
      <c r="K686" s="73"/>
      <c r="L686" s="1"/>
      <c r="T686" s="73"/>
      <c r="U686" s="73"/>
      <c r="W686" s="73"/>
      <c r="X686" s="73"/>
      <c r="Y686" s="73"/>
    </row>
    <row r="687">
      <c r="E687" s="73"/>
      <c r="F687" s="73"/>
      <c r="G687" s="74"/>
      <c r="J687" s="73"/>
      <c r="K687" s="73"/>
      <c r="L687" s="1"/>
      <c r="T687" s="73"/>
      <c r="U687" s="73"/>
      <c r="W687" s="73"/>
      <c r="X687" s="73"/>
      <c r="Y687" s="73"/>
    </row>
    <row r="688">
      <c r="E688" s="73"/>
      <c r="F688" s="73"/>
      <c r="G688" s="74"/>
      <c r="J688" s="73"/>
      <c r="K688" s="73"/>
      <c r="L688" s="1"/>
      <c r="T688" s="73"/>
      <c r="U688" s="73"/>
      <c r="W688" s="73"/>
      <c r="X688" s="73"/>
      <c r="Y688" s="73"/>
    </row>
    <row r="689">
      <c r="E689" s="73"/>
      <c r="F689" s="73"/>
      <c r="G689" s="74"/>
      <c r="J689" s="73"/>
      <c r="K689" s="73"/>
      <c r="L689" s="1"/>
      <c r="T689" s="73"/>
      <c r="U689" s="73"/>
      <c r="W689" s="73"/>
      <c r="X689" s="73"/>
      <c r="Y689" s="73"/>
    </row>
    <row r="690">
      <c r="E690" s="73"/>
      <c r="F690" s="73"/>
      <c r="G690" s="74"/>
      <c r="J690" s="73"/>
      <c r="K690" s="73"/>
      <c r="L690" s="1"/>
      <c r="T690" s="73"/>
      <c r="U690" s="73"/>
      <c r="W690" s="73"/>
      <c r="X690" s="73"/>
      <c r="Y690" s="73"/>
    </row>
    <row r="691">
      <c r="E691" s="73"/>
      <c r="F691" s="73"/>
      <c r="G691" s="74"/>
      <c r="J691" s="73"/>
      <c r="K691" s="73"/>
      <c r="L691" s="1"/>
      <c r="T691" s="73"/>
      <c r="U691" s="73"/>
      <c r="W691" s="73"/>
      <c r="X691" s="73"/>
      <c r="Y691" s="73"/>
    </row>
    <row r="692">
      <c r="E692" s="73"/>
      <c r="F692" s="73"/>
      <c r="G692" s="74"/>
      <c r="J692" s="73"/>
      <c r="K692" s="73"/>
      <c r="L692" s="1"/>
      <c r="T692" s="73"/>
      <c r="U692" s="73"/>
      <c r="W692" s="73"/>
      <c r="X692" s="73"/>
      <c r="Y692" s="73"/>
    </row>
    <row r="693">
      <c r="E693" s="73"/>
      <c r="F693" s="73"/>
      <c r="G693" s="74"/>
      <c r="J693" s="73"/>
      <c r="K693" s="73"/>
      <c r="L693" s="1"/>
      <c r="T693" s="73"/>
      <c r="U693" s="73"/>
      <c r="W693" s="73"/>
      <c r="X693" s="73"/>
      <c r="Y693" s="73"/>
    </row>
    <row r="694">
      <c r="E694" s="73"/>
      <c r="F694" s="73"/>
      <c r="G694" s="74"/>
      <c r="J694" s="73"/>
      <c r="K694" s="73"/>
      <c r="L694" s="1"/>
      <c r="T694" s="73"/>
      <c r="U694" s="73"/>
      <c r="W694" s="73"/>
      <c r="X694" s="73"/>
      <c r="Y694" s="73"/>
    </row>
    <row r="695">
      <c r="E695" s="73"/>
      <c r="F695" s="73"/>
      <c r="G695" s="74"/>
      <c r="J695" s="73"/>
      <c r="K695" s="73"/>
      <c r="L695" s="1"/>
      <c r="T695" s="73"/>
      <c r="U695" s="73"/>
      <c r="W695" s="73"/>
      <c r="X695" s="73"/>
      <c r="Y695" s="73"/>
    </row>
    <row r="696">
      <c r="E696" s="73"/>
      <c r="F696" s="73"/>
      <c r="G696" s="74"/>
      <c r="J696" s="73"/>
      <c r="K696" s="73"/>
      <c r="L696" s="1"/>
      <c r="T696" s="73"/>
      <c r="U696" s="73"/>
      <c r="W696" s="73"/>
      <c r="X696" s="73"/>
      <c r="Y696" s="73"/>
    </row>
    <row r="697">
      <c r="E697" s="73"/>
      <c r="F697" s="73"/>
      <c r="G697" s="74"/>
      <c r="J697" s="73"/>
      <c r="K697" s="73"/>
      <c r="L697" s="1"/>
      <c r="T697" s="73"/>
      <c r="U697" s="73"/>
      <c r="W697" s="73"/>
      <c r="X697" s="73"/>
      <c r="Y697" s="73"/>
    </row>
    <row r="698">
      <c r="E698" s="73"/>
      <c r="F698" s="73"/>
      <c r="G698" s="74"/>
      <c r="J698" s="73"/>
      <c r="K698" s="73"/>
      <c r="L698" s="1"/>
      <c r="T698" s="73"/>
      <c r="U698" s="73"/>
      <c r="W698" s="73"/>
      <c r="X698" s="73"/>
      <c r="Y698" s="73"/>
    </row>
    <row r="699">
      <c r="E699" s="73"/>
      <c r="F699" s="73"/>
      <c r="G699" s="74"/>
      <c r="J699" s="73"/>
      <c r="K699" s="73"/>
      <c r="L699" s="1"/>
      <c r="T699" s="73"/>
      <c r="U699" s="73"/>
      <c r="W699" s="73"/>
      <c r="X699" s="73"/>
      <c r="Y699" s="73"/>
    </row>
    <row r="700">
      <c r="E700" s="73"/>
      <c r="F700" s="73"/>
      <c r="G700" s="74"/>
      <c r="J700" s="73"/>
      <c r="K700" s="73"/>
      <c r="L700" s="1"/>
      <c r="T700" s="73"/>
      <c r="U700" s="73"/>
      <c r="W700" s="73"/>
      <c r="X700" s="73"/>
      <c r="Y700" s="73"/>
    </row>
    <row r="701">
      <c r="E701" s="73"/>
      <c r="F701" s="73"/>
      <c r="G701" s="74"/>
      <c r="J701" s="73"/>
      <c r="K701" s="73"/>
      <c r="L701" s="1"/>
      <c r="T701" s="73"/>
      <c r="U701" s="73"/>
      <c r="W701" s="73"/>
      <c r="X701" s="73"/>
      <c r="Y701" s="73"/>
    </row>
    <row r="702">
      <c r="E702" s="73"/>
      <c r="F702" s="73"/>
      <c r="G702" s="74"/>
      <c r="J702" s="73"/>
      <c r="K702" s="73"/>
      <c r="L702" s="1"/>
      <c r="T702" s="73"/>
      <c r="U702" s="73"/>
      <c r="W702" s="73"/>
      <c r="X702" s="73"/>
      <c r="Y702" s="73"/>
    </row>
    <row r="703">
      <c r="E703" s="73"/>
      <c r="F703" s="73"/>
      <c r="G703" s="74"/>
      <c r="J703" s="73"/>
      <c r="K703" s="73"/>
      <c r="L703" s="1"/>
      <c r="T703" s="73"/>
      <c r="U703" s="73"/>
      <c r="W703" s="73"/>
      <c r="X703" s="73"/>
      <c r="Y703" s="73"/>
    </row>
    <row r="704">
      <c r="E704" s="73"/>
      <c r="F704" s="73"/>
      <c r="G704" s="74"/>
      <c r="J704" s="73"/>
      <c r="K704" s="73"/>
      <c r="L704" s="1"/>
      <c r="T704" s="73"/>
      <c r="U704" s="73"/>
      <c r="W704" s="73"/>
      <c r="X704" s="73"/>
      <c r="Y704" s="73"/>
    </row>
    <row r="705">
      <c r="E705" s="73"/>
      <c r="F705" s="73"/>
      <c r="G705" s="74"/>
      <c r="J705" s="73"/>
      <c r="K705" s="73"/>
      <c r="L705" s="1"/>
      <c r="T705" s="73"/>
      <c r="U705" s="73"/>
      <c r="W705" s="73"/>
      <c r="X705" s="73"/>
      <c r="Y705" s="73"/>
    </row>
    <row r="706">
      <c r="E706" s="73"/>
      <c r="F706" s="73"/>
      <c r="G706" s="74"/>
      <c r="J706" s="73"/>
      <c r="K706" s="73"/>
      <c r="L706" s="1"/>
      <c r="T706" s="73"/>
      <c r="U706" s="73"/>
      <c r="W706" s="73"/>
      <c r="X706" s="73"/>
      <c r="Y706" s="73"/>
    </row>
    <row r="707">
      <c r="E707" s="73"/>
      <c r="F707" s="73"/>
      <c r="G707" s="74"/>
      <c r="J707" s="73"/>
      <c r="K707" s="73"/>
      <c r="L707" s="1"/>
      <c r="T707" s="73"/>
      <c r="U707" s="73"/>
      <c r="W707" s="73"/>
      <c r="X707" s="73"/>
      <c r="Y707" s="73"/>
    </row>
    <row r="708">
      <c r="E708" s="73"/>
      <c r="F708" s="73"/>
      <c r="G708" s="74"/>
      <c r="J708" s="73"/>
      <c r="K708" s="73"/>
      <c r="L708" s="1"/>
      <c r="T708" s="73"/>
      <c r="U708" s="73"/>
      <c r="W708" s="73"/>
      <c r="X708" s="73"/>
      <c r="Y708" s="73"/>
    </row>
    <row r="709">
      <c r="E709" s="73"/>
      <c r="F709" s="73"/>
      <c r="G709" s="74"/>
      <c r="J709" s="73"/>
      <c r="K709" s="73"/>
      <c r="L709" s="1"/>
      <c r="T709" s="73"/>
      <c r="U709" s="73"/>
      <c r="W709" s="73"/>
      <c r="X709" s="73"/>
      <c r="Y709" s="73"/>
    </row>
    <row r="710">
      <c r="E710" s="73"/>
      <c r="F710" s="73"/>
      <c r="G710" s="74"/>
      <c r="J710" s="73"/>
      <c r="K710" s="73"/>
      <c r="L710" s="1"/>
      <c r="T710" s="73"/>
      <c r="U710" s="73"/>
      <c r="W710" s="73"/>
      <c r="X710" s="73"/>
      <c r="Y710" s="73"/>
    </row>
    <row r="711">
      <c r="E711" s="73"/>
      <c r="F711" s="73"/>
      <c r="G711" s="74"/>
      <c r="J711" s="73"/>
      <c r="K711" s="73"/>
      <c r="L711" s="1"/>
      <c r="T711" s="73"/>
      <c r="U711" s="73"/>
      <c r="W711" s="73"/>
      <c r="X711" s="73"/>
      <c r="Y711" s="73"/>
    </row>
    <row r="712">
      <c r="E712" s="73"/>
      <c r="F712" s="73"/>
      <c r="G712" s="74"/>
      <c r="J712" s="73"/>
      <c r="K712" s="73"/>
      <c r="L712" s="1"/>
      <c r="T712" s="73"/>
      <c r="U712" s="73"/>
      <c r="W712" s="73"/>
      <c r="X712" s="73"/>
      <c r="Y712" s="73"/>
    </row>
    <row r="713">
      <c r="E713" s="73"/>
      <c r="F713" s="73"/>
      <c r="G713" s="74"/>
      <c r="J713" s="73"/>
      <c r="K713" s="73"/>
      <c r="L713" s="1"/>
      <c r="T713" s="73"/>
      <c r="U713" s="73"/>
      <c r="W713" s="73"/>
      <c r="X713" s="73"/>
      <c r="Y713" s="73"/>
    </row>
    <row r="714">
      <c r="E714" s="73"/>
      <c r="F714" s="73"/>
      <c r="G714" s="74"/>
      <c r="J714" s="73"/>
      <c r="K714" s="73"/>
      <c r="L714" s="1"/>
      <c r="T714" s="73"/>
      <c r="U714" s="73"/>
      <c r="W714" s="73"/>
      <c r="X714" s="73"/>
      <c r="Y714" s="73"/>
    </row>
    <row r="715">
      <c r="E715" s="73"/>
      <c r="F715" s="73"/>
      <c r="G715" s="74"/>
      <c r="J715" s="73"/>
      <c r="K715" s="73"/>
      <c r="L715" s="1"/>
      <c r="T715" s="73"/>
      <c r="U715" s="73"/>
      <c r="W715" s="73"/>
      <c r="X715" s="73"/>
      <c r="Y715" s="73"/>
    </row>
    <row r="716">
      <c r="E716" s="73"/>
      <c r="F716" s="73"/>
      <c r="G716" s="74"/>
      <c r="J716" s="73"/>
      <c r="K716" s="73"/>
      <c r="L716" s="1"/>
      <c r="T716" s="73"/>
      <c r="U716" s="73"/>
      <c r="W716" s="73"/>
      <c r="X716" s="73"/>
      <c r="Y716" s="73"/>
    </row>
    <row r="717">
      <c r="E717" s="73"/>
      <c r="F717" s="73"/>
      <c r="G717" s="74"/>
      <c r="J717" s="73"/>
      <c r="K717" s="73"/>
      <c r="L717" s="1"/>
      <c r="T717" s="73"/>
      <c r="U717" s="73"/>
      <c r="W717" s="73"/>
      <c r="X717" s="73"/>
      <c r="Y717" s="73"/>
    </row>
    <row r="718">
      <c r="E718" s="73"/>
      <c r="F718" s="73"/>
      <c r="G718" s="74"/>
      <c r="J718" s="73"/>
      <c r="K718" s="73"/>
      <c r="L718" s="1"/>
      <c r="T718" s="73"/>
      <c r="U718" s="73"/>
      <c r="W718" s="73"/>
      <c r="X718" s="73"/>
      <c r="Y718" s="73"/>
    </row>
    <row r="719">
      <c r="E719" s="73"/>
      <c r="F719" s="73"/>
      <c r="G719" s="74"/>
      <c r="J719" s="73"/>
      <c r="K719" s="73"/>
      <c r="L719" s="1"/>
      <c r="T719" s="73"/>
      <c r="U719" s="73"/>
      <c r="W719" s="73"/>
      <c r="X719" s="73"/>
      <c r="Y719" s="73"/>
    </row>
    <row r="720">
      <c r="E720" s="73"/>
      <c r="F720" s="73"/>
      <c r="G720" s="74"/>
      <c r="J720" s="73"/>
      <c r="K720" s="73"/>
      <c r="L720" s="1"/>
      <c r="T720" s="73"/>
      <c r="U720" s="73"/>
      <c r="W720" s="73"/>
      <c r="X720" s="73"/>
      <c r="Y720" s="73"/>
    </row>
    <row r="721">
      <c r="E721" s="73"/>
      <c r="F721" s="73"/>
      <c r="G721" s="74"/>
      <c r="J721" s="73"/>
      <c r="K721" s="73"/>
      <c r="L721" s="1"/>
      <c r="T721" s="73"/>
      <c r="U721" s="73"/>
      <c r="W721" s="73"/>
      <c r="X721" s="73"/>
      <c r="Y721" s="73"/>
    </row>
    <row r="722">
      <c r="E722" s="73"/>
      <c r="F722" s="73"/>
      <c r="G722" s="74"/>
      <c r="J722" s="73"/>
      <c r="K722" s="73"/>
      <c r="L722" s="1"/>
      <c r="T722" s="73"/>
      <c r="U722" s="73"/>
      <c r="W722" s="73"/>
      <c r="X722" s="73"/>
      <c r="Y722" s="73"/>
    </row>
    <row r="723">
      <c r="E723" s="73"/>
      <c r="F723" s="73"/>
      <c r="G723" s="74"/>
      <c r="J723" s="73"/>
      <c r="K723" s="73"/>
      <c r="L723" s="1"/>
      <c r="T723" s="73"/>
      <c r="U723" s="73"/>
      <c r="W723" s="73"/>
      <c r="X723" s="73"/>
      <c r="Y723" s="73"/>
    </row>
    <row r="724">
      <c r="E724" s="73"/>
      <c r="F724" s="73"/>
      <c r="G724" s="74"/>
      <c r="J724" s="73"/>
      <c r="K724" s="73"/>
      <c r="L724" s="1"/>
      <c r="T724" s="73"/>
      <c r="U724" s="73"/>
      <c r="W724" s="73"/>
      <c r="X724" s="73"/>
      <c r="Y724" s="73"/>
    </row>
    <row r="725">
      <c r="E725" s="73"/>
      <c r="F725" s="73"/>
      <c r="G725" s="74"/>
      <c r="J725" s="73"/>
      <c r="K725" s="73"/>
      <c r="L725" s="1"/>
      <c r="T725" s="73"/>
      <c r="U725" s="73"/>
      <c r="W725" s="73"/>
      <c r="X725" s="73"/>
      <c r="Y725" s="73"/>
    </row>
    <row r="726">
      <c r="E726" s="73"/>
      <c r="F726" s="73"/>
      <c r="G726" s="74"/>
      <c r="J726" s="73"/>
      <c r="K726" s="73"/>
      <c r="L726" s="1"/>
      <c r="T726" s="73"/>
      <c r="U726" s="73"/>
      <c r="W726" s="73"/>
      <c r="X726" s="73"/>
      <c r="Y726" s="73"/>
    </row>
    <row r="727">
      <c r="E727" s="73"/>
      <c r="F727" s="73"/>
      <c r="G727" s="74"/>
      <c r="J727" s="73"/>
      <c r="K727" s="73"/>
      <c r="L727" s="1"/>
      <c r="T727" s="73"/>
      <c r="U727" s="73"/>
      <c r="W727" s="73"/>
      <c r="X727" s="73"/>
      <c r="Y727" s="73"/>
    </row>
    <row r="728">
      <c r="E728" s="73"/>
      <c r="F728" s="73"/>
      <c r="G728" s="74"/>
      <c r="J728" s="73"/>
      <c r="K728" s="73"/>
      <c r="L728" s="1"/>
      <c r="T728" s="73"/>
      <c r="U728" s="73"/>
      <c r="W728" s="73"/>
      <c r="X728" s="73"/>
      <c r="Y728" s="73"/>
    </row>
    <row r="729">
      <c r="E729" s="73"/>
      <c r="F729" s="73"/>
      <c r="G729" s="74"/>
      <c r="J729" s="73"/>
      <c r="K729" s="73"/>
      <c r="L729" s="1"/>
      <c r="T729" s="73"/>
      <c r="U729" s="73"/>
      <c r="W729" s="73"/>
      <c r="X729" s="73"/>
      <c r="Y729" s="73"/>
    </row>
    <row r="730">
      <c r="E730" s="73"/>
      <c r="F730" s="73"/>
      <c r="G730" s="74"/>
      <c r="J730" s="73"/>
      <c r="K730" s="73"/>
      <c r="L730" s="1"/>
      <c r="T730" s="73"/>
      <c r="U730" s="73"/>
      <c r="W730" s="73"/>
      <c r="X730" s="73"/>
      <c r="Y730" s="73"/>
    </row>
    <row r="731">
      <c r="E731" s="73"/>
      <c r="F731" s="73"/>
      <c r="G731" s="74"/>
      <c r="J731" s="73"/>
      <c r="K731" s="73"/>
      <c r="L731" s="1"/>
      <c r="T731" s="73"/>
      <c r="U731" s="73"/>
      <c r="W731" s="73"/>
      <c r="X731" s="73"/>
      <c r="Y731" s="73"/>
    </row>
    <row r="732">
      <c r="E732" s="73"/>
      <c r="F732" s="73"/>
      <c r="G732" s="74"/>
      <c r="J732" s="73"/>
      <c r="K732" s="73"/>
      <c r="L732" s="1"/>
      <c r="T732" s="73"/>
      <c r="U732" s="73"/>
      <c r="W732" s="73"/>
      <c r="X732" s="73"/>
      <c r="Y732" s="73"/>
    </row>
    <row r="733">
      <c r="E733" s="73"/>
      <c r="F733" s="73"/>
      <c r="G733" s="74"/>
      <c r="J733" s="73"/>
      <c r="K733" s="73"/>
      <c r="L733" s="1"/>
      <c r="T733" s="73"/>
      <c r="U733" s="73"/>
      <c r="W733" s="73"/>
      <c r="X733" s="73"/>
      <c r="Y733" s="73"/>
    </row>
    <row r="734">
      <c r="E734" s="73"/>
      <c r="F734" s="73"/>
      <c r="G734" s="74"/>
      <c r="J734" s="73"/>
      <c r="K734" s="73"/>
      <c r="L734" s="1"/>
      <c r="T734" s="73"/>
      <c r="U734" s="73"/>
      <c r="W734" s="73"/>
      <c r="X734" s="73"/>
      <c r="Y734" s="73"/>
    </row>
    <row r="735">
      <c r="E735" s="73"/>
      <c r="F735" s="73"/>
      <c r="G735" s="74"/>
      <c r="J735" s="73"/>
      <c r="K735" s="73"/>
      <c r="L735" s="1"/>
      <c r="T735" s="73"/>
      <c r="U735" s="73"/>
      <c r="W735" s="73"/>
      <c r="X735" s="73"/>
      <c r="Y735" s="73"/>
    </row>
    <row r="736">
      <c r="E736" s="73"/>
      <c r="F736" s="73"/>
      <c r="G736" s="74"/>
      <c r="J736" s="73"/>
      <c r="K736" s="73"/>
      <c r="L736" s="1"/>
      <c r="T736" s="73"/>
      <c r="U736" s="73"/>
      <c r="W736" s="73"/>
      <c r="X736" s="73"/>
      <c r="Y736" s="73"/>
    </row>
    <row r="737">
      <c r="E737" s="73"/>
      <c r="F737" s="73"/>
      <c r="G737" s="74"/>
      <c r="J737" s="73"/>
      <c r="K737" s="73"/>
      <c r="L737" s="1"/>
      <c r="T737" s="73"/>
      <c r="U737" s="73"/>
      <c r="W737" s="73"/>
      <c r="X737" s="73"/>
      <c r="Y737" s="73"/>
    </row>
    <row r="738">
      <c r="E738" s="73"/>
      <c r="F738" s="73"/>
      <c r="G738" s="74"/>
      <c r="J738" s="73"/>
      <c r="K738" s="73"/>
      <c r="L738" s="1"/>
      <c r="T738" s="73"/>
      <c r="U738" s="73"/>
      <c r="W738" s="73"/>
      <c r="X738" s="73"/>
      <c r="Y738" s="73"/>
    </row>
    <row r="739">
      <c r="E739" s="73"/>
      <c r="F739" s="73"/>
      <c r="G739" s="74"/>
      <c r="J739" s="73"/>
      <c r="K739" s="73"/>
      <c r="L739" s="1"/>
      <c r="T739" s="73"/>
      <c r="U739" s="73"/>
      <c r="W739" s="73"/>
      <c r="X739" s="73"/>
      <c r="Y739" s="73"/>
    </row>
    <row r="740">
      <c r="E740" s="73"/>
      <c r="F740" s="73"/>
      <c r="G740" s="74"/>
      <c r="J740" s="73"/>
      <c r="K740" s="73"/>
      <c r="L740" s="1"/>
      <c r="T740" s="73"/>
      <c r="U740" s="73"/>
      <c r="W740" s="73"/>
      <c r="X740" s="73"/>
      <c r="Y740" s="73"/>
    </row>
    <row r="741">
      <c r="E741" s="73"/>
      <c r="F741" s="73"/>
      <c r="G741" s="74"/>
      <c r="J741" s="73"/>
      <c r="K741" s="73"/>
      <c r="L741" s="1"/>
      <c r="T741" s="73"/>
      <c r="U741" s="73"/>
      <c r="W741" s="73"/>
      <c r="X741" s="73"/>
      <c r="Y741" s="73"/>
    </row>
    <row r="742">
      <c r="E742" s="73"/>
      <c r="F742" s="73"/>
      <c r="G742" s="74"/>
      <c r="J742" s="73"/>
      <c r="K742" s="73"/>
      <c r="L742" s="1"/>
      <c r="T742" s="73"/>
      <c r="U742" s="73"/>
      <c r="W742" s="73"/>
      <c r="X742" s="73"/>
      <c r="Y742" s="73"/>
    </row>
    <row r="743">
      <c r="E743" s="73"/>
      <c r="F743" s="73"/>
      <c r="G743" s="74"/>
      <c r="J743" s="73"/>
      <c r="K743" s="73"/>
      <c r="L743" s="1"/>
      <c r="T743" s="73"/>
      <c r="U743" s="73"/>
      <c r="W743" s="73"/>
      <c r="X743" s="73"/>
      <c r="Y743" s="73"/>
    </row>
    <row r="744">
      <c r="E744" s="73"/>
      <c r="F744" s="73"/>
      <c r="G744" s="74"/>
      <c r="J744" s="73"/>
      <c r="K744" s="73"/>
      <c r="L744" s="1"/>
      <c r="T744" s="73"/>
      <c r="U744" s="73"/>
      <c r="W744" s="73"/>
      <c r="X744" s="73"/>
      <c r="Y744" s="73"/>
    </row>
    <row r="745">
      <c r="E745" s="73"/>
      <c r="F745" s="73"/>
      <c r="G745" s="74"/>
      <c r="J745" s="73"/>
      <c r="K745" s="73"/>
      <c r="L745" s="1"/>
      <c r="T745" s="73"/>
      <c r="U745" s="73"/>
      <c r="W745" s="73"/>
      <c r="X745" s="73"/>
      <c r="Y745" s="73"/>
    </row>
    <row r="746">
      <c r="E746" s="73"/>
      <c r="F746" s="73"/>
      <c r="G746" s="74"/>
      <c r="J746" s="73"/>
      <c r="K746" s="73"/>
      <c r="L746" s="1"/>
      <c r="T746" s="73"/>
      <c r="U746" s="73"/>
      <c r="W746" s="73"/>
      <c r="X746" s="73"/>
      <c r="Y746" s="73"/>
    </row>
    <row r="747">
      <c r="E747" s="73"/>
      <c r="F747" s="73"/>
      <c r="G747" s="74"/>
      <c r="J747" s="73"/>
      <c r="K747" s="73"/>
      <c r="L747" s="1"/>
      <c r="T747" s="73"/>
      <c r="U747" s="73"/>
      <c r="W747" s="73"/>
      <c r="X747" s="73"/>
      <c r="Y747" s="73"/>
    </row>
    <row r="748">
      <c r="E748" s="73"/>
      <c r="F748" s="73"/>
      <c r="G748" s="74"/>
      <c r="J748" s="73"/>
      <c r="K748" s="73"/>
      <c r="L748" s="1"/>
      <c r="T748" s="73"/>
      <c r="U748" s="73"/>
      <c r="W748" s="73"/>
      <c r="X748" s="73"/>
      <c r="Y748" s="73"/>
    </row>
    <row r="749">
      <c r="E749" s="73"/>
      <c r="F749" s="73"/>
      <c r="G749" s="74"/>
      <c r="J749" s="73"/>
      <c r="K749" s="73"/>
      <c r="L749" s="1"/>
      <c r="T749" s="73"/>
      <c r="U749" s="73"/>
      <c r="W749" s="73"/>
      <c r="X749" s="73"/>
      <c r="Y749" s="73"/>
    </row>
    <row r="750">
      <c r="E750" s="73"/>
      <c r="F750" s="73"/>
      <c r="G750" s="74"/>
      <c r="J750" s="73"/>
      <c r="K750" s="73"/>
      <c r="L750" s="1"/>
      <c r="T750" s="73"/>
      <c r="U750" s="73"/>
      <c r="W750" s="73"/>
      <c r="X750" s="73"/>
      <c r="Y750" s="73"/>
    </row>
    <row r="751">
      <c r="E751" s="73"/>
      <c r="F751" s="73"/>
      <c r="G751" s="74"/>
      <c r="J751" s="73"/>
      <c r="K751" s="73"/>
      <c r="L751" s="1"/>
      <c r="T751" s="73"/>
      <c r="U751" s="73"/>
      <c r="W751" s="73"/>
      <c r="X751" s="73"/>
      <c r="Y751" s="73"/>
    </row>
    <row r="752">
      <c r="E752" s="73"/>
      <c r="F752" s="73"/>
      <c r="G752" s="74"/>
      <c r="J752" s="73"/>
      <c r="K752" s="73"/>
      <c r="L752" s="1"/>
      <c r="T752" s="73"/>
      <c r="U752" s="73"/>
      <c r="W752" s="73"/>
      <c r="X752" s="73"/>
      <c r="Y752" s="73"/>
    </row>
    <row r="753">
      <c r="E753" s="73"/>
      <c r="F753" s="73"/>
      <c r="G753" s="74"/>
      <c r="J753" s="73"/>
      <c r="K753" s="73"/>
      <c r="L753" s="1"/>
      <c r="T753" s="73"/>
      <c r="U753" s="73"/>
      <c r="W753" s="73"/>
      <c r="X753" s="73"/>
      <c r="Y753" s="73"/>
    </row>
    <row r="754">
      <c r="E754" s="73"/>
      <c r="F754" s="73"/>
      <c r="G754" s="74"/>
      <c r="J754" s="73"/>
      <c r="K754" s="73"/>
      <c r="L754" s="1"/>
      <c r="T754" s="73"/>
      <c r="U754" s="73"/>
      <c r="W754" s="73"/>
      <c r="X754" s="73"/>
      <c r="Y754" s="73"/>
    </row>
    <row r="755">
      <c r="E755" s="73"/>
      <c r="F755" s="73"/>
      <c r="G755" s="74"/>
      <c r="J755" s="73"/>
      <c r="K755" s="73"/>
      <c r="L755" s="1"/>
      <c r="T755" s="73"/>
      <c r="U755" s="73"/>
      <c r="W755" s="73"/>
      <c r="X755" s="73"/>
      <c r="Y755" s="73"/>
    </row>
    <row r="756">
      <c r="E756" s="73"/>
      <c r="F756" s="73"/>
      <c r="G756" s="74"/>
      <c r="J756" s="73"/>
      <c r="K756" s="73"/>
      <c r="L756" s="1"/>
      <c r="T756" s="73"/>
      <c r="U756" s="73"/>
      <c r="W756" s="73"/>
      <c r="X756" s="73"/>
      <c r="Y756" s="73"/>
    </row>
    <row r="757">
      <c r="E757" s="73"/>
      <c r="F757" s="73"/>
      <c r="G757" s="74"/>
      <c r="J757" s="73"/>
      <c r="K757" s="73"/>
      <c r="L757" s="1"/>
      <c r="T757" s="73"/>
      <c r="U757" s="73"/>
      <c r="W757" s="73"/>
      <c r="X757" s="73"/>
      <c r="Y757" s="73"/>
    </row>
    <row r="758">
      <c r="E758" s="73"/>
      <c r="F758" s="73"/>
      <c r="G758" s="74"/>
      <c r="J758" s="73"/>
      <c r="K758" s="73"/>
      <c r="L758" s="1"/>
      <c r="T758" s="73"/>
      <c r="U758" s="73"/>
      <c r="W758" s="73"/>
      <c r="X758" s="73"/>
      <c r="Y758" s="73"/>
    </row>
    <row r="759">
      <c r="E759" s="73"/>
      <c r="F759" s="73"/>
      <c r="G759" s="74"/>
      <c r="J759" s="73"/>
      <c r="K759" s="73"/>
      <c r="L759" s="1"/>
      <c r="T759" s="73"/>
      <c r="U759" s="73"/>
      <c r="W759" s="73"/>
      <c r="X759" s="73"/>
      <c r="Y759" s="73"/>
    </row>
    <row r="760">
      <c r="E760" s="73"/>
      <c r="F760" s="73"/>
      <c r="G760" s="74"/>
      <c r="J760" s="73"/>
      <c r="K760" s="73"/>
      <c r="L760" s="1"/>
      <c r="T760" s="73"/>
      <c r="U760" s="73"/>
      <c r="W760" s="73"/>
      <c r="X760" s="73"/>
      <c r="Y760" s="73"/>
    </row>
    <row r="761">
      <c r="E761" s="73"/>
      <c r="F761" s="73"/>
      <c r="G761" s="74"/>
      <c r="J761" s="73"/>
      <c r="K761" s="73"/>
      <c r="L761" s="1"/>
      <c r="T761" s="73"/>
      <c r="U761" s="73"/>
      <c r="W761" s="73"/>
      <c r="X761" s="73"/>
      <c r="Y761" s="73"/>
    </row>
    <row r="762">
      <c r="E762" s="73"/>
      <c r="F762" s="73"/>
      <c r="G762" s="74"/>
      <c r="J762" s="73"/>
      <c r="K762" s="73"/>
      <c r="L762" s="1"/>
      <c r="T762" s="73"/>
      <c r="U762" s="73"/>
      <c r="W762" s="73"/>
      <c r="X762" s="73"/>
      <c r="Y762" s="73"/>
    </row>
    <row r="763">
      <c r="E763" s="73"/>
      <c r="F763" s="73"/>
      <c r="G763" s="74"/>
      <c r="J763" s="73"/>
      <c r="K763" s="73"/>
      <c r="L763" s="1"/>
      <c r="T763" s="73"/>
      <c r="U763" s="73"/>
      <c r="W763" s="73"/>
      <c r="X763" s="73"/>
      <c r="Y763" s="73"/>
    </row>
    <row r="764">
      <c r="E764" s="73"/>
      <c r="F764" s="73"/>
      <c r="G764" s="74"/>
      <c r="J764" s="73"/>
      <c r="K764" s="73"/>
      <c r="L764" s="1"/>
      <c r="T764" s="73"/>
      <c r="U764" s="73"/>
      <c r="W764" s="73"/>
      <c r="X764" s="73"/>
      <c r="Y764" s="73"/>
    </row>
    <row r="765">
      <c r="E765" s="73"/>
      <c r="F765" s="73"/>
      <c r="G765" s="74"/>
      <c r="J765" s="73"/>
      <c r="K765" s="73"/>
      <c r="L765" s="1"/>
      <c r="T765" s="73"/>
      <c r="U765" s="73"/>
      <c r="W765" s="73"/>
      <c r="X765" s="73"/>
      <c r="Y765" s="73"/>
    </row>
    <row r="766">
      <c r="E766" s="73"/>
      <c r="F766" s="73"/>
      <c r="G766" s="74"/>
      <c r="J766" s="73"/>
      <c r="K766" s="73"/>
      <c r="L766" s="1"/>
      <c r="T766" s="73"/>
      <c r="U766" s="73"/>
      <c r="W766" s="73"/>
      <c r="X766" s="73"/>
      <c r="Y766" s="73"/>
    </row>
    <row r="767">
      <c r="E767" s="73"/>
      <c r="F767" s="73"/>
      <c r="G767" s="74"/>
      <c r="J767" s="73"/>
      <c r="K767" s="73"/>
      <c r="L767" s="1"/>
      <c r="T767" s="73"/>
      <c r="U767" s="73"/>
      <c r="W767" s="73"/>
      <c r="X767" s="73"/>
      <c r="Y767" s="73"/>
    </row>
    <row r="768">
      <c r="E768" s="73"/>
      <c r="F768" s="73"/>
      <c r="G768" s="74"/>
      <c r="J768" s="73"/>
      <c r="K768" s="73"/>
      <c r="L768" s="1"/>
      <c r="T768" s="73"/>
      <c r="U768" s="73"/>
      <c r="W768" s="73"/>
      <c r="X768" s="73"/>
      <c r="Y768" s="73"/>
    </row>
    <row r="769">
      <c r="E769" s="73"/>
      <c r="F769" s="73"/>
      <c r="G769" s="74"/>
      <c r="J769" s="73"/>
      <c r="K769" s="73"/>
      <c r="L769" s="1"/>
      <c r="T769" s="73"/>
      <c r="U769" s="73"/>
      <c r="W769" s="73"/>
      <c r="X769" s="73"/>
      <c r="Y769" s="73"/>
    </row>
    <row r="770">
      <c r="E770" s="73"/>
      <c r="F770" s="73"/>
      <c r="G770" s="74"/>
      <c r="J770" s="73"/>
      <c r="K770" s="73"/>
      <c r="L770" s="1"/>
      <c r="T770" s="73"/>
      <c r="U770" s="73"/>
      <c r="W770" s="73"/>
      <c r="X770" s="73"/>
      <c r="Y770" s="73"/>
    </row>
    <row r="771">
      <c r="E771" s="73"/>
      <c r="F771" s="73"/>
      <c r="G771" s="74"/>
      <c r="J771" s="73"/>
      <c r="K771" s="73"/>
      <c r="L771" s="1"/>
      <c r="T771" s="73"/>
      <c r="U771" s="73"/>
      <c r="W771" s="73"/>
      <c r="X771" s="73"/>
      <c r="Y771" s="73"/>
    </row>
    <row r="772">
      <c r="E772" s="73"/>
      <c r="F772" s="73"/>
      <c r="G772" s="74"/>
      <c r="J772" s="73"/>
      <c r="K772" s="73"/>
      <c r="L772" s="1"/>
      <c r="T772" s="73"/>
      <c r="U772" s="73"/>
      <c r="W772" s="73"/>
      <c r="X772" s="73"/>
      <c r="Y772" s="73"/>
    </row>
    <row r="773">
      <c r="E773" s="73"/>
      <c r="F773" s="73"/>
      <c r="G773" s="74"/>
      <c r="J773" s="73"/>
      <c r="K773" s="73"/>
      <c r="L773" s="1"/>
      <c r="T773" s="73"/>
      <c r="U773" s="73"/>
      <c r="W773" s="73"/>
      <c r="X773" s="73"/>
      <c r="Y773" s="73"/>
    </row>
    <row r="774">
      <c r="E774" s="73"/>
      <c r="F774" s="73"/>
      <c r="G774" s="74"/>
      <c r="J774" s="73"/>
      <c r="K774" s="73"/>
      <c r="L774" s="1"/>
      <c r="T774" s="73"/>
      <c r="U774" s="73"/>
      <c r="W774" s="73"/>
      <c r="X774" s="73"/>
      <c r="Y774" s="73"/>
    </row>
    <row r="775">
      <c r="E775" s="73"/>
      <c r="F775" s="73"/>
      <c r="G775" s="74"/>
      <c r="J775" s="73"/>
      <c r="K775" s="73"/>
      <c r="L775" s="1"/>
      <c r="T775" s="73"/>
      <c r="U775" s="73"/>
      <c r="W775" s="73"/>
      <c r="X775" s="73"/>
      <c r="Y775" s="73"/>
    </row>
    <row r="776">
      <c r="E776" s="73"/>
      <c r="F776" s="73"/>
      <c r="G776" s="74"/>
      <c r="J776" s="73"/>
      <c r="K776" s="73"/>
      <c r="L776" s="1"/>
      <c r="T776" s="73"/>
      <c r="U776" s="73"/>
      <c r="W776" s="73"/>
      <c r="X776" s="73"/>
      <c r="Y776" s="73"/>
    </row>
    <row r="777">
      <c r="E777" s="73"/>
      <c r="F777" s="73"/>
      <c r="G777" s="74"/>
      <c r="J777" s="73"/>
      <c r="K777" s="73"/>
      <c r="L777" s="1"/>
      <c r="T777" s="73"/>
      <c r="U777" s="73"/>
      <c r="W777" s="73"/>
      <c r="X777" s="73"/>
      <c r="Y777" s="73"/>
    </row>
    <row r="778">
      <c r="E778" s="73"/>
      <c r="F778" s="73"/>
      <c r="G778" s="74"/>
      <c r="J778" s="73"/>
      <c r="K778" s="73"/>
      <c r="L778" s="1"/>
      <c r="T778" s="73"/>
      <c r="U778" s="73"/>
      <c r="W778" s="73"/>
      <c r="X778" s="73"/>
      <c r="Y778" s="73"/>
    </row>
    <row r="779">
      <c r="E779" s="73"/>
      <c r="F779" s="73"/>
      <c r="G779" s="74"/>
      <c r="J779" s="73"/>
      <c r="K779" s="73"/>
      <c r="L779" s="1"/>
      <c r="T779" s="73"/>
      <c r="U779" s="73"/>
      <c r="W779" s="73"/>
      <c r="X779" s="73"/>
      <c r="Y779" s="73"/>
    </row>
    <row r="780">
      <c r="E780" s="73"/>
      <c r="F780" s="73"/>
      <c r="G780" s="74"/>
      <c r="J780" s="73"/>
      <c r="K780" s="73"/>
      <c r="L780" s="1"/>
      <c r="T780" s="73"/>
      <c r="U780" s="73"/>
      <c r="W780" s="73"/>
      <c r="X780" s="73"/>
      <c r="Y780" s="73"/>
    </row>
    <row r="781">
      <c r="E781" s="73"/>
      <c r="F781" s="73"/>
      <c r="G781" s="74"/>
      <c r="J781" s="73"/>
      <c r="K781" s="73"/>
      <c r="L781" s="1"/>
      <c r="T781" s="73"/>
      <c r="U781" s="73"/>
      <c r="W781" s="73"/>
      <c r="X781" s="73"/>
      <c r="Y781" s="73"/>
    </row>
    <row r="782">
      <c r="E782" s="73"/>
      <c r="F782" s="73"/>
      <c r="G782" s="74"/>
      <c r="J782" s="73"/>
      <c r="K782" s="73"/>
      <c r="L782" s="1"/>
      <c r="T782" s="73"/>
      <c r="U782" s="73"/>
      <c r="W782" s="73"/>
      <c r="X782" s="73"/>
      <c r="Y782" s="73"/>
    </row>
    <row r="783">
      <c r="E783" s="73"/>
      <c r="F783" s="73"/>
      <c r="G783" s="74"/>
      <c r="J783" s="73"/>
      <c r="K783" s="73"/>
      <c r="L783" s="1"/>
      <c r="T783" s="73"/>
      <c r="U783" s="73"/>
      <c r="W783" s="73"/>
      <c r="X783" s="73"/>
      <c r="Y783" s="73"/>
    </row>
    <row r="784">
      <c r="E784" s="73"/>
      <c r="F784" s="73"/>
      <c r="G784" s="74"/>
      <c r="J784" s="73"/>
      <c r="K784" s="73"/>
      <c r="L784" s="1"/>
      <c r="T784" s="73"/>
      <c r="U784" s="73"/>
      <c r="W784" s="73"/>
      <c r="X784" s="73"/>
      <c r="Y784" s="73"/>
    </row>
    <row r="785">
      <c r="E785" s="73"/>
      <c r="F785" s="73"/>
      <c r="G785" s="74"/>
      <c r="J785" s="73"/>
      <c r="K785" s="73"/>
      <c r="L785" s="1"/>
      <c r="T785" s="73"/>
      <c r="U785" s="73"/>
      <c r="W785" s="73"/>
      <c r="X785" s="73"/>
      <c r="Y785" s="73"/>
    </row>
    <row r="786">
      <c r="E786" s="73"/>
      <c r="F786" s="73"/>
      <c r="G786" s="74"/>
      <c r="J786" s="73"/>
      <c r="K786" s="73"/>
      <c r="L786" s="1"/>
      <c r="T786" s="73"/>
      <c r="U786" s="73"/>
      <c r="W786" s="73"/>
      <c r="X786" s="73"/>
      <c r="Y786" s="73"/>
    </row>
    <row r="787">
      <c r="E787" s="73"/>
      <c r="F787" s="73"/>
      <c r="G787" s="74"/>
      <c r="J787" s="73"/>
      <c r="K787" s="73"/>
      <c r="L787" s="1"/>
      <c r="T787" s="73"/>
      <c r="U787" s="73"/>
      <c r="W787" s="73"/>
      <c r="X787" s="73"/>
      <c r="Y787" s="73"/>
    </row>
    <row r="788">
      <c r="E788" s="73"/>
      <c r="F788" s="73"/>
      <c r="G788" s="74"/>
      <c r="J788" s="73"/>
      <c r="K788" s="73"/>
      <c r="L788" s="1"/>
      <c r="T788" s="73"/>
      <c r="U788" s="73"/>
      <c r="W788" s="73"/>
      <c r="X788" s="73"/>
      <c r="Y788" s="73"/>
    </row>
    <row r="789">
      <c r="E789" s="73"/>
      <c r="F789" s="73"/>
      <c r="G789" s="74"/>
      <c r="J789" s="73"/>
      <c r="K789" s="73"/>
      <c r="L789" s="1"/>
      <c r="T789" s="73"/>
      <c r="U789" s="73"/>
      <c r="W789" s="73"/>
      <c r="X789" s="73"/>
      <c r="Y789" s="73"/>
    </row>
    <row r="790">
      <c r="E790" s="73"/>
      <c r="F790" s="73"/>
      <c r="G790" s="74"/>
      <c r="J790" s="73"/>
      <c r="K790" s="73"/>
      <c r="L790" s="1"/>
      <c r="T790" s="73"/>
      <c r="U790" s="73"/>
      <c r="W790" s="73"/>
      <c r="X790" s="73"/>
      <c r="Y790" s="73"/>
    </row>
    <row r="791">
      <c r="E791" s="73"/>
      <c r="F791" s="73"/>
      <c r="G791" s="74"/>
      <c r="J791" s="73"/>
      <c r="K791" s="73"/>
      <c r="L791" s="1"/>
      <c r="T791" s="73"/>
      <c r="U791" s="73"/>
      <c r="W791" s="73"/>
      <c r="X791" s="73"/>
      <c r="Y791" s="73"/>
    </row>
    <row r="792">
      <c r="E792" s="73"/>
      <c r="F792" s="73"/>
      <c r="G792" s="74"/>
      <c r="J792" s="73"/>
      <c r="K792" s="73"/>
      <c r="L792" s="1"/>
      <c r="T792" s="73"/>
      <c r="U792" s="73"/>
      <c r="W792" s="73"/>
      <c r="X792" s="73"/>
      <c r="Y792" s="73"/>
    </row>
    <row r="793">
      <c r="E793" s="73"/>
      <c r="F793" s="73"/>
      <c r="G793" s="74"/>
      <c r="J793" s="73"/>
      <c r="K793" s="73"/>
      <c r="L793" s="1"/>
      <c r="T793" s="73"/>
      <c r="U793" s="73"/>
      <c r="W793" s="73"/>
      <c r="X793" s="73"/>
      <c r="Y793" s="73"/>
    </row>
    <row r="794">
      <c r="E794" s="73"/>
      <c r="F794" s="73"/>
      <c r="G794" s="74"/>
      <c r="J794" s="73"/>
      <c r="K794" s="73"/>
      <c r="L794" s="1"/>
      <c r="T794" s="73"/>
      <c r="U794" s="73"/>
      <c r="W794" s="73"/>
      <c r="X794" s="73"/>
      <c r="Y794" s="73"/>
    </row>
    <row r="795">
      <c r="E795" s="73"/>
      <c r="F795" s="73"/>
      <c r="G795" s="74"/>
      <c r="J795" s="73"/>
      <c r="K795" s="73"/>
      <c r="L795" s="1"/>
      <c r="T795" s="73"/>
      <c r="U795" s="73"/>
      <c r="W795" s="73"/>
      <c r="X795" s="73"/>
      <c r="Y795" s="73"/>
    </row>
    <row r="796">
      <c r="E796" s="73"/>
      <c r="F796" s="73"/>
      <c r="G796" s="74"/>
      <c r="J796" s="73"/>
      <c r="K796" s="73"/>
      <c r="L796" s="1"/>
      <c r="T796" s="73"/>
      <c r="U796" s="73"/>
      <c r="W796" s="73"/>
      <c r="X796" s="73"/>
      <c r="Y796" s="73"/>
    </row>
    <row r="797">
      <c r="E797" s="73"/>
      <c r="F797" s="73"/>
      <c r="G797" s="74"/>
      <c r="J797" s="73"/>
      <c r="K797" s="73"/>
      <c r="L797" s="1"/>
      <c r="T797" s="73"/>
      <c r="U797" s="73"/>
      <c r="W797" s="73"/>
      <c r="X797" s="73"/>
      <c r="Y797" s="73"/>
    </row>
    <row r="798">
      <c r="E798" s="73"/>
      <c r="F798" s="73"/>
      <c r="G798" s="74"/>
      <c r="J798" s="73"/>
      <c r="K798" s="73"/>
      <c r="L798" s="1"/>
      <c r="T798" s="73"/>
      <c r="U798" s="73"/>
      <c r="W798" s="73"/>
      <c r="X798" s="73"/>
      <c r="Y798" s="73"/>
    </row>
    <row r="799">
      <c r="E799" s="73"/>
      <c r="F799" s="73"/>
      <c r="G799" s="74"/>
      <c r="J799" s="73"/>
      <c r="K799" s="73"/>
      <c r="L799" s="1"/>
      <c r="T799" s="73"/>
      <c r="U799" s="73"/>
      <c r="W799" s="73"/>
      <c r="X799" s="73"/>
      <c r="Y799" s="73"/>
    </row>
    <row r="800">
      <c r="E800" s="73"/>
      <c r="F800" s="73"/>
      <c r="G800" s="74"/>
      <c r="J800" s="73"/>
      <c r="K800" s="73"/>
      <c r="L800" s="1"/>
      <c r="T800" s="73"/>
      <c r="U800" s="73"/>
      <c r="W800" s="73"/>
      <c r="X800" s="73"/>
      <c r="Y800" s="73"/>
    </row>
    <row r="801">
      <c r="E801" s="73"/>
      <c r="F801" s="73"/>
      <c r="G801" s="74"/>
      <c r="J801" s="73"/>
      <c r="K801" s="73"/>
      <c r="L801" s="1"/>
      <c r="T801" s="73"/>
      <c r="U801" s="73"/>
      <c r="W801" s="73"/>
      <c r="X801" s="73"/>
      <c r="Y801" s="73"/>
    </row>
    <row r="802">
      <c r="E802" s="73"/>
      <c r="F802" s="73"/>
      <c r="G802" s="74"/>
      <c r="J802" s="73"/>
      <c r="K802" s="73"/>
      <c r="L802" s="1"/>
      <c r="T802" s="73"/>
      <c r="U802" s="73"/>
      <c r="W802" s="73"/>
      <c r="X802" s="73"/>
      <c r="Y802" s="73"/>
    </row>
    <row r="803">
      <c r="E803" s="73"/>
      <c r="F803" s="73"/>
      <c r="G803" s="74"/>
      <c r="J803" s="73"/>
      <c r="K803" s="73"/>
      <c r="L803" s="1"/>
      <c r="T803" s="73"/>
      <c r="U803" s="73"/>
      <c r="W803" s="73"/>
      <c r="X803" s="73"/>
      <c r="Y803" s="73"/>
    </row>
    <row r="804">
      <c r="E804" s="73"/>
      <c r="F804" s="73"/>
      <c r="G804" s="74"/>
      <c r="J804" s="73"/>
      <c r="K804" s="73"/>
      <c r="L804" s="1"/>
      <c r="T804" s="73"/>
      <c r="U804" s="73"/>
      <c r="W804" s="73"/>
      <c r="X804" s="73"/>
      <c r="Y804" s="73"/>
    </row>
    <row r="805">
      <c r="E805" s="73"/>
      <c r="F805" s="73"/>
      <c r="G805" s="74"/>
      <c r="J805" s="73"/>
      <c r="K805" s="73"/>
      <c r="L805" s="1"/>
      <c r="T805" s="73"/>
      <c r="U805" s="73"/>
      <c r="W805" s="73"/>
      <c r="X805" s="73"/>
      <c r="Y805" s="73"/>
    </row>
    <row r="806">
      <c r="E806" s="73"/>
      <c r="F806" s="73"/>
      <c r="G806" s="74"/>
      <c r="J806" s="73"/>
      <c r="K806" s="73"/>
      <c r="L806" s="1"/>
      <c r="T806" s="73"/>
      <c r="U806" s="73"/>
      <c r="W806" s="73"/>
      <c r="X806" s="73"/>
      <c r="Y806" s="73"/>
    </row>
    <row r="807">
      <c r="E807" s="73"/>
      <c r="F807" s="73"/>
      <c r="G807" s="74"/>
      <c r="J807" s="73"/>
      <c r="K807" s="73"/>
      <c r="L807" s="1"/>
      <c r="T807" s="73"/>
      <c r="U807" s="73"/>
      <c r="W807" s="73"/>
      <c r="X807" s="73"/>
      <c r="Y807" s="73"/>
    </row>
    <row r="808">
      <c r="E808" s="73"/>
      <c r="F808" s="73"/>
      <c r="G808" s="74"/>
      <c r="J808" s="73"/>
      <c r="K808" s="73"/>
      <c r="L808" s="1"/>
      <c r="T808" s="73"/>
      <c r="U808" s="73"/>
      <c r="W808" s="73"/>
      <c r="X808" s="73"/>
      <c r="Y808" s="73"/>
    </row>
    <row r="809">
      <c r="E809" s="73"/>
      <c r="F809" s="73"/>
      <c r="G809" s="74"/>
      <c r="J809" s="73"/>
      <c r="K809" s="73"/>
      <c r="L809" s="1"/>
      <c r="T809" s="73"/>
      <c r="U809" s="73"/>
      <c r="W809" s="73"/>
      <c r="X809" s="73"/>
      <c r="Y809" s="73"/>
    </row>
    <row r="810">
      <c r="E810" s="73"/>
      <c r="F810" s="73"/>
      <c r="G810" s="74"/>
      <c r="J810" s="73"/>
      <c r="K810" s="73"/>
      <c r="L810" s="1"/>
      <c r="T810" s="73"/>
      <c r="U810" s="73"/>
      <c r="W810" s="73"/>
      <c r="X810" s="73"/>
      <c r="Y810" s="73"/>
    </row>
    <row r="811">
      <c r="E811" s="73"/>
      <c r="F811" s="73"/>
      <c r="G811" s="74"/>
      <c r="J811" s="73"/>
      <c r="K811" s="73"/>
      <c r="L811" s="1"/>
      <c r="T811" s="73"/>
      <c r="U811" s="73"/>
      <c r="W811" s="73"/>
      <c r="X811" s="73"/>
      <c r="Y811" s="73"/>
    </row>
    <row r="812">
      <c r="E812" s="73"/>
      <c r="F812" s="73"/>
      <c r="G812" s="74"/>
      <c r="J812" s="73"/>
      <c r="K812" s="73"/>
      <c r="L812" s="1"/>
      <c r="T812" s="73"/>
      <c r="U812" s="73"/>
      <c r="W812" s="73"/>
      <c r="X812" s="73"/>
      <c r="Y812" s="73"/>
    </row>
    <row r="813">
      <c r="E813" s="73"/>
      <c r="F813" s="73"/>
      <c r="G813" s="74"/>
      <c r="J813" s="73"/>
      <c r="K813" s="73"/>
      <c r="L813" s="1"/>
      <c r="T813" s="73"/>
      <c r="U813" s="73"/>
      <c r="W813" s="73"/>
      <c r="X813" s="73"/>
      <c r="Y813" s="73"/>
    </row>
    <row r="814">
      <c r="E814" s="73"/>
      <c r="F814" s="73"/>
      <c r="G814" s="74"/>
      <c r="J814" s="73"/>
      <c r="K814" s="73"/>
      <c r="L814" s="1"/>
      <c r="T814" s="73"/>
      <c r="U814" s="73"/>
      <c r="W814" s="73"/>
      <c r="X814" s="73"/>
      <c r="Y814" s="73"/>
    </row>
    <row r="815">
      <c r="E815" s="73"/>
      <c r="F815" s="73"/>
      <c r="G815" s="74"/>
      <c r="J815" s="73"/>
      <c r="K815" s="73"/>
      <c r="L815" s="1"/>
      <c r="T815" s="73"/>
      <c r="U815" s="73"/>
      <c r="W815" s="73"/>
      <c r="X815" s="73"/>
      <c r="Y815" s="73"/>
    </row>
    <row r="816">
      <c r="E816" s="73"/>
      <c r="F816" s="73"/>
      <c r="G816" s="74"/>
      <c r="J816" s="73"/>
      <c r="K816" s="73"/>
      <c r="L816" s="1"/>
      <c r="T816" s="73"/>
      <c r="U816" s="73"/>
      <c r="W816" s="73"/>
      <c r="X816" s="73"/>
      <c r="Y816" s="73"/>
    </row>
    <row r="817">
      <c r="E817" s="73"/>
      <c r="F817" s="73"/>
      <c r="G817" s="74"/>
      <c r="J817" s="73"/>
      <c r="K817" s="73"/>
      <c r="L817" s="1"/>
      <c r="T817" s="73"/>
      <c r="U817" s="73"/>
      <c r="W817" s="73"/>
      <c r="X817" s="73"/>
      <c r="Y817" s="73"/>
    </row>
    <row r="818">
      <c r="E818" s="73"/>
      <c r="F818" s="73"/>
      <c r="G818" s="74"/>
      <c r="J818" s="73"/>
      <c r="K818" s="73"/>
      <c r="L818" s="1"/>
      <c r="T818" s="73"/>
      <c r="U818" s="73"/>
      <c r="W818" s="73"/>
      <c r="X818" s="73"/>
      <c r="Y818" s="73"/>
    </row>
    <row r="819">
      <c r="E819" s="73"/>
      <c r="F819" s="73"/>
      <c r="G819" s="74"/>
      <c r="J819" s="73"/>
      <c r="K819" s="73"/>
      <c r="L819" s="1"/>
      <c r="T819" s="73"/>
      <c r="U819" s="73"/>
      <c r="W819" s="73"/>
      <c r="X819" s="73"/>
      <c r="Y819" s="73"/>
    </row>
    <row r="820">
      <c r="E820" s="73"/>
      <c r="F820" s="73"/>
      <c r="G820" s="74"/>
      <c r="J820" s="73"/>
      <c r="K820" s="73"/>
      <c r="L820" s="1"/>
      <c r="T820" s="73"/>
      <c r="U820" s="73"/>
      <c r="W820" s="73"/>
      <c r="X820" s="73"/>
      <c r="Y820" s="73"/>
    </row>
    <row r="821">
      <c r="E821" s="73"/>
      <c r="F821" s="73"/>
      <c r="G821" s="74"/>
      <c r="J821" s="73"/>
      <c r="K821" s="73"/>
      <c r="L821" s="1"/>
      <c r="T821" s="73"/>
      <c r="U821" s="73"/>
      <c r="W821" s="73"/>
      <c r="X821" s="73"/>
      <c r="Y821" s="73"/>
    </row>
    <row r="822">
      <c r="E822" s="73"/>
      <c r="F822" s="73"/>
      <c r="G822" s="74"/>
      <c r="J822" s="73"/>
      <c r="K822" s="73"/>
      <c r="L822" s="1"/>
      <c r="T822" s="73"/>
      <c r="U822" s="73"/>
      <c r="W822" s="73"/>
      <c r="X822" s="73"/>
      <c r="Y822" s="73"/>
    </row>
    <row r="823">
      <c r="E823" s="73"/>
      <c r="F823" s="73"/>
      <c r="G823" s="74"/>
      <c r="J823" s="73"/>
      <c r="K823" s="73"/>
      <c r="L823" s="1"/>
      <c r="T823" s="73"/>
      <c r="U823" s="73"/>
      <c r="W823" s="73"/>
      <c r="X823" s="73"/>
      <c r="Y823" s="73"/>
    </row>
    <row r="824">
      <c r="E824" s="73"/>
      <c r="F824" s="73"/>
      <c r="G824" s="74"/>
      <c r="J824" s="73"/>
      <c r="K824" s="73"/>
      <c r="L824" s="1"/>
      <c r="T824" s="73"/>
      <c r="U824" s="73"/>
      <c r="W824" s="73"/>
      <c r="X824" s="73"/>
      <c r="Y824" s="73"/>
    </row>
    <row r="825">
      <c r="E825" s="73"/>
      <c r="F825" s="73"/>
      <c r="G825" s="74"/>
      <c r="J825" s="73"/>
      <c r="K825" s="73"/>
      <c r="L825" s="1"/>
      <c r="T825" s="73"/>
      <c r="U825" s="73"/>
      <c r="W825" s="73"/>
      <c r="X825" s="73"/>
      <c r="Y825" s="73"/>
    </row>
    <row r="826">
      <c r="E826" s="73"/>
      <c r="F826" s="73"/>
      <c r="G826" s="74"/>
      <c r="J826" s="73"/>
      <c r="K826" s="73"/>
      <c r="L826" s="1"/>
      <c r="T826" s="73"/>
      <c r="U826" s="73"/>
      <c r="W826" s="73"/>
      <c r="X826" s="73"/>
      <c r="Y826" s="73"/>
    </row>
    <row r="827">
      <c r="E827" s="73"/>
      <c r="F827" s="73"/>
      <c r="G827" s="74"/>
      <c r="J827" s="73"/>
      <c r="K827" s="73"/>
      <c r="L827" s="1"/>
      <c r="T827" s="73"/>
      <c r="U827" s="73"/>
      <c r="W827" s="73"/>
      <c r="X827" s="73"/>
      <c r="Y827" s="73"/>
    </row>
    <row r="828">
      <c r="E828" s="73"/>
      <c r="F828" s="73"/>
      <c r="G828" s="74"/>
      <c r="J828" s="73"/>
      <c r="K828" s="73"/>
      <c r="L828" s="1"/>
      <c r="T828" s="73"/>
      <c r="U828" s="73"/>
      <c r="W828" s="73"/>
      <c r="X828" s="73"/>
      <c r="Y828" s="73"/>
    </row>
    <row r="829">
      <c r="E829" s="73"/>
      <c r="F829" s="73"/>
      <c r="G829" s="74"/>
      <c r="J829" s="73"/>
      <c r="K829" s="73"/>
      <c r="L829" s="1"/>
      <c r="T829" s="73"/>
      <c r="U829" s="73"/>
      <c r="W829" s="73"/>
      <c r="X829" s="73"/>
      <c r="Y829" s="73"/>
    </row>
    <row r="830">
      <c r="E830" s="73"/>
      <c r="F830" s="73"/>
      <c r="G830" s="74"/>
      <c r="J830" s="73"/>
      <c r="K830" s="73"/>
      <c r="L830" s="1"/>
      <c r="T830" s="73"/>
      <c r="U830" s="73"/>
      <c r="W830" s="73"/>
      <c r="X830" s="73"/>
      <c r="Y830" s="73"/>
    </row>
    <row r="831">
      <c r="E831" s="73"/>
      <c r="F831" s="73"/>
      <c r="G831" s="74"/>
      <c r="J831" s="73"/>
      <c r="K831" s="73"/>
      <c r="L831" s="1"/>
      <c r="T831" s="73"/>
      <c r="U831" s="73"/>
      <c r="W831" s="73"/>
      <c r="X831" s="73"/>
      <c r="Y831" s="73"/>
    </row>
    <row r="832">
      <c r="E832" s="73"/>
      <c r="F832" s="73"/>
      <c r="G832" s="74"/>
      <c r="J832" s="73"/>
      <c r="K832" s="73"/>
      <c r="L832" s="1"/>
      <c r="T832" s="73"/>
      <c r="U832" s="73"/>
      <c r="W832" s="73"/>
      <c r="X832" s="73"/>
      <c r="Y832" s="73"/>
    </row>
    <row r="833">
      <c r="E833" s="73"/>
      <c r="F833" s="73"/>
      <c r="G833" s="74"/>
      <c r="J833" s="73"/>
      <c r="K833" s="73"/>
      <c r="L833" s="1"/>
      <c r="T833" s="73"/>
      <c r="U833" s="73"/>
      <c r="W833" s="73"/>
      <c r="X833" s="73"/>
      <c r="Y833" s="73"/>
    </row>
    <row r="834">
      <c r="E834" s="73"/>
      <c r="F834" s="73"/>
      <c r="G834" s="74"/>
      <c r="J834" s="73"/>
      <c r="K834" s="73"/>
      <c r="L834" s="1"/>
      <c r="T834" s="73"/>
      <c r="U834" s="73"/>
      <c r="W834" s="73"/>
      <c r="X834" s="73"/>
      <c r="Y834" s="73"/>
    </row>
    <row r="835">
      <c r="E835" s="73"/>
      <c r="F835" s="73"/>
      <c r="G835" s="74"/>
      <c r="J835" s="73"/>
      <c r="K835" s="73"/>
      <c r="L835" s="1"/>
      <c r="T835" s="73"/>
      <c r="U835" s="73"/>
      <c r="W835" s="73"/>
      <c r="X835" s="73"/>
      <c r="Y835" s="73"/>
    </row>
    <row r="836">
      <c r="E836" s="73"/>
      <c r="F836" s="73"/>
      <c r="G836" s="74"/>
      <c r="J836" s="73"/>
      <c r="K836" s="73"/>
      <c r="L836" s="1"/>
      <c r="T836" s="73"/>
      <c r="U836" s="73"/>
      <c r="W836" s="73"/>
      <c r="X836" s="73"/>
      <c r="Y836" s="73"/>
    </row>
    <row r="837">
      <c r="E837" s="73"/>
      <c r="F837" s="73"/>
      <c r="G837" s="74"/>
      <c r="J837" s="73"/>
      <c r="K837" s="73"/>
      <c r="L837" s="1"/>
      <c r="T837" s="73"/>
      <c r="U837" s="73"/>
      <c r="W837" s="73"/>
      <c r="X837" s="73"/>
      <c r="Y837" s="73"/>
    </row>
    <row r="838">
      <c r="E838" s="73"/>
      <c r="F838" s="73"/>
      <c r="G838" s="74"/>
      <c r="J838" s="73"/>
      <c r="K838" s="73"/>
      <c r="L838" s="1"/>
      <c r="T838" s="73"/>
      <c r="U838" s="73"/>
      <c r="W838" s="73"/>
      <c r="X838" s="73"/>
      <c r="Y838" s="73"/>
    </row>
    <row r="839">
      <c r="E839" s="73"/>
      <c r="F839" s="73"/>
      <c r="G839" s="74"/>
      <c r="J839" s="73"/>
      <c r="K839" s="73"/>
      <c r="L839" s="1"/>
      <c r="T839" s="73"/>
      <c r="U839" s="73"/>
      <c r="W839" s="73"/>
      <c r="X839" s="73"/>
      <c r="Y839" s="73"/>
    </row>
    <row r="840">
      <c r="E840" s="73"/>
      <c r="F840" s="73"/>
      <c r="G840" s="74"/>
      <c r="J840" s="73"/>
      <c r="K840" s="73"/>
      <c r="L840" s="1"/>
      <c r="T840" s="73"/>
      <c r="U840" s="73"/>
      <c r="W840" s="73"/>
      <c r="X840" s="73"/>
      <c r="Y840" s="73"/>
    </row>
    <row r="841">
      <c r="E841" s="73"/>
      <c r="F841" s="73"/>
      <c r="G841" s="74"/>
      <c r="J841" s="73"/>
      <c r="K841" s="73"/>
      <c r="L841" s="1"/>
      <c r="T841" s="73"/>
      <c r="U841" s="73"/>
      <c r="W841" s="73"/>
      <c r="X841" s="73"/>
      <c r="Y841" s="73"/>
    </row>
    <row r="842">
      <c r="E842" s="73"/>
      <c r="F842" s="73"/>
      <c r="G842" s="74"/>
      <c r="J842" s="73"/>
      <c r="K842" s="73"/>
      <c r="L842" s="1"/>
      <c r="T842" s="73"/>
      <c r="U842" s="73"/>
      <c r="W842" s="73"/>
      <c r="X842" s="73"/>
      <c r="Y842" s="73"/>
    </row>
    <row r="843">
      <c r="E843" s="73"/>
      <c r="F843" s="73"/>
      <c r="G843" s="74"/>
      <c r="J843" s="73"/>
      <c r="K843" s="73"/>
      <c r="L843" s="1"/>
      <c r="T843" s="73"/>
      <c r="U843" s="73"/>
      <c r="W843" s="73"/>
      <c r="X843" s="73"/>
      <c r="Y843" s="73"/>
    </row>
    <row r="844">
      <c r="E844" s="73"/>
      <c r="F844" s="73"/>
      <c r="G844" s="74"/>
      <c r="J844" s="73"/>
      <c r="K844" s="73"/>
      <c r="L844" s="1"/>
      <c r="T844" s="73"/>
      <c r="U844" s="73"/>
      <c r="W844" s="73"/>
      <c r="X844" s="73"/>
      <c r="Y844" s="73"/>
    </row>
    <row r="845">
      <c r="E845" s="73"/>
      <c r="F845" s="73"/>
      <c r="G845" s="74"/>
      <c r="J845" s="73"/>
      <c r="K845" s="73"/>
      <c r="L845" s="1"/>
      <c r="T845" s="73"/>
      <c r="U845" s="73"/>
      <c r="W845" s="73"/>
      <c r="X845" s="73"/>
      <c r="Y845" s="73"/>
    </row>
    <row r="846">
      <c r="E846" s="73"/>
      <c r="F846" s="73"/>
      <c r="G846" s="74"/>
      <c r="J846" s="73"/>
      <c r="K846" s="73"/>
      <c r="L846" s="1"/>
      <c r="T846" s="73"/>
      <c r="U846" s="73"/>
      <c r="W846" s="73"/>
      <c r="X846" s="73"/>
      <c r="Y846" s="73"/>
    </row>
    <row r="847">
      <c r="E847" s="73"/>
      <c r="F847" s="73"/>
      <c r="G847" s="74"/>
      <c r="J847" s="73"/>
      <c r="K847" s="73"/>
      <c r="L847" s="1"/>
      <c r="T847" s="73"/>
      <c r="U847" s="73"/>
      <c r="W847" s="73"/>
      <c r="X847" s="73"/>
      <c r="Y847" s="73"/>
    </row>
    <row r="848">
      <c r="E848" s="73"/>
      <c r="F848" s="73"/>
      <c r="G848" s="74"/>
      <c r="J848" s="73"/>
      <c r="K848" s="73"/>
      <c r="L848" s="1"/>
      <c r="T848" s="73"/>
      <c r="U848" s="73"/>
      <c r="W848" s="73"/>
      <c r="X848" s="73"/>
      <c r="Y848" s="73"/>
    </row>
    <row r="849">
      <c r="E849" s="73"/>
      <c r="F849" s="73"/>
      <c r="G849" s="74"/>
      <c r="J849" s="73"/>
      <c r="K849" s="73"/>
      <c r="L849" s="1"/>
      <c r="T849" s="73"/>
      <c r="U849" s="73"/>
      <c r="W849" s="73"/>
      <c r="X849" s="73"/>
      <c r="Y849" s="73"/>
    </row>
    <row r="850">
      <c r="E850" s="73"/>
      <c r="F850" s="73"/>
      <c r="G850" s="74"/>
      <c r="J850" s="73"/>
      <c r="K850" s="73"/>
      <c r="L850" s="1"/>
      <c r="T850" s="73"/>
      <c r="U850" s="73"/>
      <c r="W850" s="73"/>
      <c r="X850" s="73"/>
      <c r="Y850" s="73"/>
    </row>
    <row r="851">
      <c r="E851" s="73"/>
      <c r="F851" s="73"/>
      <c r="G851" s="74"/>
      <c r="J851" s="73"/>
      <c r="K851" s="73"/>
      <c r="L851" s="1"/>
      <c r="T851" s="73"/>
      <c r="U851" s="73"/>
      <c r="W851" s="73"/>
      <c r="X851" s="73"/>
      <c r="Y851" s="73"/>
    </row>
    <row r="852">
      <c r="E852" s="73"/>
      <c r="F852" s="73"/>
      <c r="G852" s="74"/>
      <c r="J852" s="73"/>
      <c r="K852" s="73"/>
      <c r="L852" s="1"/>
      <c r="T852" s="73"/>
      <c r="U852" s="73"/>
      <c r="W852" s="73"/>
      <c r="X852" s="73"/>
      <c r="Y852" s="73"/>
    </row>
    <row r="853">
      <c r="E853" s="73"/>
      <c r="F853" s="73"/>
      <c r="G853" s="74"/>
      <c r="J853" s="73"/>
      <c r="K853" s="73"/>
      <c r="L853" s="1"/>
      <c r="T853" s="73"/>
      <c r="U853" s="73"/>
      <c r="W853" s="73"/>
      <c r="X853" s="73"/>
      <c r="Y853" s="73"/>
    </row>
    <row r="854">
      <c r="E854" s="73"/>
      <c r="F854" s="73"/>
      <c r="G854" s="74"/>
      <c r="J854" s="73"/>
      <c r="K854" s="73"/>
      <c r="L854" s="1"/>
      <c r="T854" s="73"/>
      <c r="U854" s="73"/>
      <c r="W854" s="73"/>
      <c r="X854" s="73"/>
      <c r="Y854" s="73"/>
    </row>
    <row r="855">
      <c r="E855" s="73"/>
      <c r="F855" s="73"/>
      <c r="G855" s="74"/>
      <c r="J855" s="73"/>
      <c r="K855" s="73"/>
      <c r="L855" s="1"/>
      <c r="T855" s="73"/>
      <c r="U855" s="73"/>
      <c r="W855" s="73"/>
      <c r="X855" s="73"/>
      <c r="Y855" s="73"/>
    </row>
    <row r="856">
      <c r="E856" s="73"/>
      <c r="F856" s="73"/>
      <c r="G856" s="74"/>
      <c r="J856" s="73"/>
      <c r="K856" s="73"/>
      <c r="L856" s="1"/>
      <c r="T856" s="73"/>
      <c r="U856" s="73"/>
      <c r="W856" s="73"/>
      <c r="X856" s="73"/>
      <c r="Y856" s="73"/>
    </row>
    <row r="857">
      <c r="E857" s="73"/>
      <c r="F857" s="73"/>
      <c r="G857" s="74"/>
      <c r="J857" s="73"/>
      <c r="K857" s="73"/>
      <c r="L857" s="1"/>
      <c r="T857" s="73"/>
      <c r="U857" s="73"/>
      <c r="W857" s="73"/>
      <c r="X857" s="73"/>
      <c r="Y857" s="73"/>
    </row>
    <row r="858">
      <c r="E858" s="73"/>
      <c r="F858" s="73"/>
      <c r="G858" s="74"/>
      <c r="J858" s="73"/>
      <c r="K858" s="73"/>
      <c r="L858" s="1"/>
      <c r="T858" s="73"/>
      <c r="U858" s="73"/>
      <c r="W858" s="73"/>
      <c r="X858" s="73"/>
      <c r="Y858" s="73"/>
    </row>
    <row r="859">
      <c r="E859" s="73"/>
      <c r="F859" s="73"/>
      <c r="G859" s="74"/>
      <c r="J859" s="73"/>
      <c r="K859" s="73"/>
      <c r="L859" s="1"/>
      <c r="T859" s="73"/>
      <c r="U859" s="73"/>
      <c r="W859" s="73"/>
      <c r="X859" s="73"/>
      <c r="Y859" s="73"/>
    </row>
    <row r="860">
      <c r="E860" s="73"/>
      <c r="F860" s="73"/>
      <c r="G860" s="74"/>
      <c r="J860" s="73"/>
      <c r="K860" s="73"/>
      <c r="L860" s="1"/>
      <c r="T860" s="73"/>
      <c r="U860" s="73"/>
      <c r="W860" s="73"/>
      <c r="X860" s="73"/>
      <c r="Y860" s="73"/>
    </row>
    <row r="861">
      <c r="E861" s="73"/>
      <c r="F861" s="73"/>
      <c r="G861" s="74"/>
      <c r="J861" s="73"/>
      <c r="K861" s="73"/>
      <c r="L861" s="1"/>
      <c r="T861" s="73"/>
      <c r="U861" s="73"/>
      <c r="W861" s="73"/>
      <c r="X861" s="73"/>
      <c r="Y861" s="73"/>
    </row>
    <row r="862">
      <c r="E862" s="73"/>
      <c r="F862" s="73"/>
      <c r="G862" s="74"/>
      <c r="J862" s="73"/>
      <c r="K862" s="73"/>
      <c r="L862" s="1"/>
      <c r="T862" s="73"/>
      <c r="U862" s="73"/>
      <c r="W862" s="73"/>
      <c r="X862" s="73"/>
      <c r="Y862" s="73"/>
    </row>
    <row r="863">
      <c r="E863" s="73"/>
      <c r="F863" s="73"/>
      <c r="G863" s="74"/>
      <c r="J863" s="73"/>
      <c r="K863" s="73"/>
      <c r="L863" s="1"/>
      <c r="T863" s="73"/>
      <c r="U863" s="73"/>
      <c r="W863" s="73"/>
      <c r="X863" s="73"/>
      <c r="Y863" s="73"/>
    </row>
    <row r="864">
      <c r="E864" s="73"/>
      <c r="F864" s="73"/>
      <c r="G864" s="74"/>
      <c r="J864" s="73"/>
      <c r="K864" s="73"/>
      <c r="L864" s="1"/>
      <c r="T864" s="73"/>
      <c r="U864" s="73"/>
      <c r="W864" s="73"/>
      <c r="X864" s="73"/>
      <c r="Y864" s="73"/>
    </row>
    <row r="865">
      <c r="E865" s="73"/>
      <c r="F865" s="73"/>
      <c r="G865" s="74"/>
      <c r="J865" s="73"/>
      <c r="K865" s="73"/>
      <c r="L865" s="1"/>
      <c r="T865" s="73"/>
      <c r="U865" s="73"/>
      <c r="W865" s="73"/>
      <c r="X865" s="73"/>
      <c r="Y865" s="73"/>
    </row>
    <row r="866">
      <c r="E866" s="73"/>
      <c r="F866" s="73"/>
      <c r="G866" s="74"/>
      <c r="J866" s="73"/>
      <c r="K866" s="73"/>
      <c r="L866" s="1"/>
      <c r="T866" s="73"/>
      <c r="U866" s="73"/>
      <c r="W866" s="73"/>
      <c r="X866" s="73"/>
      <c r="Y866" s="73"/>
    </row>
    <row r="867">
      <c r="E867" s="73"/>
      <c r="F867" s="73"/>
      <c r="G867" s="74"/>
      <c r="J867" s="73"/>
      <c r="K867" s="73"/>
      <c r="L867" s="1"/>
      <c r="T867" s="73"/>
      <c r="U867" s="73"/>
      <c r="W867" s="73"/>
      <c r="X867" s="73"/>
      <c r="Y867" s="73"/>
    </row>
    <row r="868">
      <c r="E868" s="73"/>
      <c r="F868" s="73"/>
      <c r="G868" s="74"/>
      <c r="J868" s="73"/>
      <c r="K868" s="73"/>
      <c r="L868" s="1"/>
      <c r="T868" s="73"/>
      <c r="U868" s="73"/>
      <c r="W868" s="73"/>
      <c r="X868" s="73"/>
      <c r="Y868" s="73"/>
    </row>
    <row r="869">
      <c r="E869" s="73"/>
      <c r="F869" s="73"/>
      <c r="G869" s="74"/>
      <c r="J869" s="73"/>
      <c r="K869" s="73"/>
      <c r="L869" s="1"/>
      <c r="T869" s="73"/>
      <c r="U869" s="73"/>
      <c r="W869" s="73"/>
      <c r="X869" s="73"/>
      <c r="Y869" s="73"/>
    </row>
    <row r="870">
      <c r="E870" s="73"/>
      <c r="F870" s="73"/>
      <c r="G870" s="74"/>
      <c r="J870" s="73"/>
      <c r="K870" s="73"/>
      <c r="L870" s="1"/>
      <c r="T870" s="73"/>
      <c r="U870" s="73"/>
      <c r="W870" s="73"/>
      <c r="X870" s="73"/>
      <c r="Y870" s="73"/>
    </row>
    <row r="871">
      <c r="E871" s="73"/>
      <c r="F871" s="73"/>
      <c r="G871" s="74"/>
      <c r="J871" s="73"/>
      <c r="K871" s="73"/>
      <c r="L871" s="1"/>
      <c r="T871" s="73"/>
      <c r="U871" s="73"/>
      <c r="W871" s="73"/>
      <c r="X871" s="73"/>
      <c r="Y871" s="73"/>
    </row>
    <row r="872">
      <c r="E872" s="73"/>
      <c r="F872" s="73"/>
      <c r="G872" s="74"/>
      <c r="J872" s="73"/>
      <c r="K872" s="73"/>
      <c r="L872" s="1"/>
      <c r="T872" s="73"/>
      <c r="U872" s="73"/>
      <c r="W872" s="73"/>
      <c r="X872" s="73"/>
      <c r="Y872" s="73"/>
    </row>
    <row r="873">
      <c r="E873" s="73"/>
      <c r="F873" s="73"/>
      <c r="G873" s="74"/>
      <c r="J873" s="73"/>
      <c r="K873" s="73"/>
      <c r="L873" s="1"/>
      <c r="T873" s="73"/>
      <c r="U873" s="73"/>
      <c r="W873" s="73"/>
      <c r="X873" s="73"/>
      <c r="Y873" s="73"/>
    </row>
    <row r="874">
      <c r="E874" s="73"/>
      <c r="F874" s="73"/>
      <c r="G874" s="74"/>
      <c r="J874" s="73"/>
      <c r="K874" s="73"/>
      <c r="L874" s="1"/>
      <c r="T874" s="73"/>
      <c r="U874" s="73"/>
      <c r="W874" s="73"/>
      <c r="X874" s="73"/>
      <c r="Y874" s="73"/>
    </row>
    <row r="875">
      <c r="E875" s="73"/>
      <c r="F875" s="73"/>
      <c r="G875" s="74"/>
      <c r="J875" s="73"/>
      <c r="K875" s="73"/>
      <c r="L875" s="1"/>
      <c r="T875" s="73"/>
      <c r="U875" s="73"/>
      <c r="W875" s="73"/>
      <c r="X875" s="73"/>
      <c r="Y875" s="73"/>
    </row>
    <row r="876">
      <c r="E876" s="73"/>
      <c r="F876" s="73"/>
      <c r="G876" s="74"/>
      <c r="J876" s="73"/>
      <c r="K876" s="73"/>
      <c r="L876" s="1"/>
      <c r="T876" s="73"/>
      <c r="U876" s="73"/>
      <c r="W876" s="73"/>
      <c r="X876" s="73"/>
      <c r="Y876" s="73"/>
    </row>
    <row r="877">
      <c r="E877" s="73"/>
      <c r="F877" s="73"/>
      <c r="G877" s="74"/>
      <c r="J877" s="73"/>
      <c r="K877" s="73"/>
      <c r="L877" s="1"/>
      <c r="T877" s="73"/>
      <c r="U877" s="73"/>
      <c r="W877" s="73"/>
      <c r="X877" s="73"/>
      <c r="Y877" s="73"/>
    </row>
    <row r="878">
      <c r="E878" s="73"/>
      <c r="F878" s="73"/>
      <c r="G878" s="74"/>
      <c r="J878" s="73"/>
      <c r="K878" s="73"/>
      <c r="L878" s="1"/>
      <c r="T878" s="73"/>
      <c r="U878" s="73"/>
      <c r="W878" s="73"/>
      <c r="X878" s="73"/>
      <c r="Y878" s="73"/>
    </row>
    <row r="879">
      <c r="E879" s="73"/>
      <c r="F879" s="73"/>
      <c r="G879" s="74"/>
      <c r="J879" s="73"/>
      <c r="K879" s="73"/>
      <c r="L879" s="1"/>
      <c r="T879" s="73"/>
      <c r="U879" s="73"/>
      <c r="W879" s="73"/>
      <c r="X879" s="73"/>
      <c r="Y879" s="73"/>
    </row>
    <row r="880">
      <c r="E880" s="73"/>
      <c r="F880" s="73"/>
      <c r="G880" s="74"/>
      <c r="J880" s="73"/>
      <c r="K880" s="73"/>
      <c r="L880" s="1"/>
      <c r="T880" s="73"/>
      <c r="U880" s="73"/>
      <c r="W880" s="73"/>
      <c r="X880" s="73"/>
      <c r="Y880" s="73"/>
    </row>
    <row r="881">
      <c r="E881" s="73"/>
      <c r="F881" s="73"/>
      <c r="G881" s="74"/>
      <c r="J881" s="73"/>
      <c r="K881" s="73"/>
      <c r="L881" s="1"/>
      <c r="T881" s="73"/>
      <c r="U881" s="73"/>
      <c r="W881" s="73"/>
      <c r="X881" s="73"/>
      <c r="Y881" s="73"/>
    </row>
    <row r="882">
      <c r="E882" s="73"/>
      <c r="F882" s="73"/>
      <c r="G882" s="74"/>
      <c r="J882" s="73"/>
      <c r="K882" s="73"/>
      <c r="L882" s="1"/>
      <c r="T882" s="73"/>
      <c r="U882" s="73"/>
      <c r="W882" s="73"/>
      <c r="X882" s="73"/>
      <c r="Y882" s="73"/>
    </row>
    <row r="883">
      <c r="E883" s="73"/>
      <c r="F883" s="73"/>
      <c r="G883" s="74"/>
      <c r="J883" s="73"/>
      <c r="K883" s="73"/>
      <c r="L883" s="1"/>
      <c r="T883" s="73"/>
      <c r="U883" s="73"/>
      <c r="W883" s="73"/>
      <c r="X883" s="73"/>
      <c r="Y883" s="73"/>
    </row>
    <row r="884">
      <c r="E884" s="73"/>
      <c r="F884" s="73"/>
      <c r="G884" s="74"/>
      <c r="J884" s="73"/>
      <c r="K884" s="73"/>
      <c r="L884" s="1"/>
      <c r="T884" s="73"/>
      <c r="U884" s="73"/>
      <c r="W884" s="73"/>
      <c r="X884" s="73"/>
      <c r="Y884" s="73"/>
    </row>
    <row r="885">
      <c r="E885" s="73"/>
      <c r="F885" s="73"/>
      <c r="G885" s="74"/>
      <c r="J885" s="73"/>
      <c r="K885" s="73"/>
      <c r="L885" s="1"/>
      <c r="T885" s="73"/>
      <c r="U885" s="73"/>
      <c r="W885" s="73"/>
      <c r="X885" s="73"/>
      <c r="Y885" s="73"/>
    </row>
    <row r="886">
      <c r="E886" s="73"/>
      <c r="F886" s="73"/>
      <c r="G886" s="74"/>
      <c r="J886" s="73"/>
      <c r="K886" s="73"/>
      <c r="L886" s="1"/>
      <c r="T886" s="73"/>
      <c r="U886" s="73"/>
      <c r="W886" s="73"/>
      <c r="X886" s="73"/>
      <c r="Y886" s="73"/>
    </row>
    <row r="887">
      <c r="E887" s="73"/>
      <c r="F887" s="73"/>
      <c r="G887" s="74"/>
      <c r="J887" s="73"/>
      <c r="K887" s="73"/>
      <c r="L887" s="1"/>
      <c r="T887" s="73"/>
      <c r="U887" s="73"/>
      <c r="W887" s="73"/>
      <c r="X887" s="73"/>
      <c r="Y887" s="73"/>
    </row>
    <row r="888">
      <c r="E888" s="73"/>
      <c r="F888" s="73"/>
      <c r="G888" s="74"/>
      <c r="J888" s="73"/>
      <c r="K888" s="73"/>
      <c r="L888" s="1"/>
      <c r="T888" s="73"/>
      <c r="U888" s="73"/>
      <c r="W888" s="73"/>
      <c r="X888" s="73"/>
      <c r="Y888" s="73"/>
    </row>
    <row r="889">
      <c r="E889" s="73"/>
      <c r="F889" s="73"/>
      <c r="G889" s="74"/>
      <c r="J889" s="73"/>
      <c r="K889" s="73"/>
      <c r="L889" s="1"/>
      <c r="T889" s="73"/>
      <c r="U889" s="73"/>
      <c r="W889" s="73"/>
      <c r="X889" s="73"/>
      <c r="Y889" s="73"/>
    </row>
    <row r="890">
      <c r="E890" s="73"/>
      <c r="F890" s="73"/>
      <c r="G890" s="74"/>
      <c r="J890" s="73"/>
      <c r="K890" s="73"/>
      <c r="L890" s="1"/>
      <c r="T890" s="73"/>
      <c r="U890" s="73"/>
      <c r="W890" s="73"/>
      <c r="X890" s="73"/>
      <c r="Y890" s="73"/>
    </row>
    <row r="891">
      <c r="E891" s="73"/>
      <c r="F891" s="73"/>
      <c r="G891" s="74"/>
      <c r="J891" s="73"/>
      <c r="K891" s="73"/>
      <c r="L891" s="1"/>
      <c r="T891" s="73"/>
      <c r="U891" s="73"/>
      <c r="W891" s="73"/>
      <c r="X891" s="73"/>
      <c r="Y891" s="73"/>
    </row>
    <row r="892">
      <c r="E892" s="73"/>
      <c r="F892" s="73"/>
      <c r="G892" s="74"/>
      <c r="J892" s="73"/>
      <c r="K892" s="73"/>
      <c r="L892" s="1"/>
      <c r="T892" s="73"/>
      <c r="U892" s="73"/>
      <c r="W892" s="73"/>
      <c r="X892" s="73"/>
      <c r="Y892" s="73"/>
    </row>
    <row r="893">
      <c r="E893" s="73"/>
      <c r="F893" s="73"/>
      <c r="G893" s="74"/>
      <c r="J893" s="73"/>
      <c r="K893" s="73"/>
      <c r="L893" s="1"/>
      <c r="T893" s="73"/>
      <c r="U893" s="73"/>
      <c r="W893" s="73"/>
      <c r="X893" s="73"/>
      <c r="Y893" s="73"/>
    </row>
    <row r="894">
      <c r="E894" s="73"/>
      <c r="F894" s="73"/>
      <c r="G894" s="74"/>
      <c r="J894" s="73"/>
      <c r="K894" s="73"/>
      <c r="L894" s="1"/>
      <c r="T894" s="73"/>
      <c r="U894" s="73"/>
      <c r="W894" s="73"/>
      <c r="X894" s="73"/>
      <c r="Y894" s="73"/>
    </row>
    <row r="895">
      <c r="E895" s="73"/>
      <c r="F895" s="73"/>
      <c r="G895" s="74"/>
      <c r="J895" s="73"/>
      <c r="K895" s="73"/>
      <c r="L895" s="1"/>
      <c r="T895" s="73"/>
      <c r="U895" s="73"/>
      <c r="W895" s="73"/>
      <c r="X895" s="73"/>
      <c r="Y895" s="73"/>
    </row>
    <row r="896">
      <c r="E896" s="73"/>
      <c r="F896" s="73"/>
      <c r="G896" s="74"/>
      <c r="J896" s="73"/>
      <c r="K896" s="73"/>
      <c r="L896" s="1"/>
      <c r="T896" s="73"/>
      <c r="U896" s="73"/>
      <c r="W896" s="73"/>
      <c r="X896" s="73"/>
      <c r="Y896" s="73"/>
    </row>
    <row r="897">
      <c r="E897" s="73"/>
      <c r="F897" s="73"/>
      <c r="G897" s="74"/>
      <c r="J897" s="73"/>
      <c r="K897" s="73"/>
      <c r="L897" s="1"/>
      <c r="T897" s="73"/>
      <c r="U897" s="73"/>
      <c r="W897" s="73"/>
      <c r="X897" s="73"/>
      <c r="Y897" s="73"/>
    </row>
    <row r="898">
      <c r="E898" s="73"/>
      <c r="F898" s="73"/>
      <c r="G898" s="74"/>
      <c r="J898" s="73"/>
      <c r="K898" s="73"/>
      <c r="L898" s="1"/>
      <c r="T898" s="73"/>
      <c r="U898" s="73"/>
      <c r="W898" s="73"/>
      <c r="X898" s="73"/>
      <c r="Y898" s="73"/>
    </row>
    <row r="899">
      <c r="E899" s="73"/>
      <c r="F899" s="73"/>
      <c r="G899" s="74"/>
      <c r="J899" s="73"/>
      <c r="K899" s="73"/>
      <c r="L899" s="1"/>
      <c r="T899" s="73"/>
      <c r="U899" s="73"/>
      <c r="W899" s="73"/>
      <c r="X899" s="73"/>
      <c r="Y899" s="73"/>
    </row>
    <row r="900">
      <c r="E900" s="73"/>
      <c r="F900" s="73"/>
      <c r="G900" s="74"/>
      <c r="J900" s="73"/>
      <c r="K900" s="73"/>
      <c r="L900" s="1"/>
      <c r="T900" s="73"/>
      <c r="U900" s="73"/>
      <c r="W900" s="73"/>
      <c r="X900" s="73"/>
      <c r="Y900" s="73"/>
    </row>
    <row r="901">
      <c r="E901" s="73"/>
      <c r="F901" s="73"/>
      <c r="G901" s="74"/>
      <c r="J901" s="73"/>
      <c r="K901" s="73"/>
      <c r="L901" s="1"/>
      <c r="T901" s="73"/>
      <c r="U901" s="73"/>
      <c r="W901" s="73"/>
      <c r="X901" s="73"/>
      <c r="Y901" s="73"/>
    </row>
    <row r="902">
      <c r="E902" s="73"/>
      <c r="F902" s="73"/>
      <c r="G902" s="74"/>
      <c r="J902" s="73"/>
      <c r="K902" s="73"/>
      <c r="L902" s="1"/>
      <c r="T902" s="73"/>
      <c r="U902" s="73"/>
      <c r="W902" s="73"/>
      <c r="X902" s="73"/>
      <c r="Y902" s="73"/>
    </row>
    <row r="903">
      <c r="E903" s="73"/>
      <c r="F903" s="73"/>
      <c r="G903" s="74"/>
      <c r="J903" s="73"/>
      <c r="K903" s="73"/>
      <c r="L903" s="1"/>
      <c r="T903" s="73"/>
      <c r="U903" s="73"/>
      <c r="W903" s="73"/>
      <c r="X903" s="73"/>
      <c r="Y903" s="73"/>
    </row>
    <row r="904">
      <c r="E904" s="73"/>
      <c r="F904" s="73"/>
      <c r="G904" s="74"/>
      <c r="J904" s="73"/>
      <c r="K904" s="73"/>
      <c r="L904" s="1"/>
      <c r="T904" s="73"/>
      <c r="U904" s="73"/>
      <c r="W904" s="73"/>
      <c r="X904" s="73"/>
      <c r="Y904" s="73"/>
    </row>
    <row r="905">
      <c r="E905" s="73"/>
      <c r="F905" s="73"/>
      <c r="G905" s="74"/>
      <c r="J905" s="73"/>
      <c r="K905" s="73"/>
      <c r="L905" s="1"/>
      <c r="T905" s="73"/>
      <c r="U905" s="73"/>
      <c r="W905" s="73"/>
      <c r="X905" s="73"/>
      <c r="Y905" s="73"/>
    </row>
    <row r="906">
      <c r="E906" s="73"/>
      <c r="F906" s="73"/>
      <c r="G906" s="74"/>
      <c r="J906" s="73"/>
      <c r="K906" s="73"/>
      <c r="L906" s="1"/>
      <c r="T906" s="73"/>
      <c r="U906" s="73"/>
      <c r="W906" s="73"/>
      <c r="X906" s="73"/>
      <c r="Y906" s="73"/>
    </row>
    <row r="907">
      <c r="E907" s="73"/>
      <c r="F907" s="73"/>
      <c r="G907" s="74"/>
      <c r="J907" s="73"/>
      <c r="K907" s="73"/>
      <c r="L907" s="1"/>
      <c r="T907" s="73"/>
      <c r="U907" s="73"/>
      <c r="W907" s="73"/>
      <c r="X907" s="73"/>
      <c r="Y907" s="73"/>
    </row>
    <row r="908">
      <c r="E908" s="73"/>
      <c r="F908" s="73"/>
      <c r="G908" s="74"/>
      <c r="J908" s="73"/>
      <c r="K908" s="73"/>
      <c r="L908" s="1"/>
      <c r="T908" s="73"/>
      <c r="U908" s="73"/>
      <c r="W908" s="73"/>
      <c r="X908" s="73"/>
      <c r="Y908" s="73"/>
    </row>
    <row r="909">
      <c r="E909" s="73"/>
      <c r="F909" s="73"/>
      <c r="G909" s="74"/>
      <c r="J909" s="73"/>
      <c r="K909" s="73"/>
      <c r="L909" s="1"/>
      <c r="T909" s="73"/>
      <c r="U909" s="73"/>
      <c r="W909" s="73"/>
      <c r="X909" s="73"/>
      <c r="Y909" s="73"/>
    </row>
    <row r="910">
      <c r="E910" s="73"/>
      <c r="F910" s="73"/>
      <c r="G910" s="74"/>
      <c r="J910" s="73"/>
      <c r="K910" s="73"/>
      <c r="L910" s="1"/>
      <c r="T910" s="73"/>
      <c r="U910" s="73"/>
      <c r="W910" s="73"/>
      <c r="X910" s="73"/>
      <c r="Y910" s="73"/>
    </row>
    <row r="911">
      <c r="E911" s="73"/>
      <c r="F911" s="73"/>
      <c r="G911" s="74"/>
      <c r="J911" s="73"/>
      <c r="K911" s="73"/>
      <c r="L911" s="1"/>
      <c r="T911" s="73"/>
      <c r="U911" s="73"/>
      <c r="W911" s="73"/>
      <c r="X911" s="73"/>
      <c r="Y911" s="73"/>
    </row>
    <row r="912">
      <c r="E912" s="73"/>
      <c r="F912" s="73"/>
      <c r="G912" s="74"/>
      <c r="J912" s="73"/>
      <c r="K912" s="73"/>
      <c r="L912" s="1"/>
      <c r="T912" s="73"/>
      <c r="U912" s="73"/>
      <c r="W912" s="73"/>
      <c r="X912" s="73"/>
      <c r="Y912" s="73"/>
    </row>
    <row r="913">
      <c r="E913" s="73"/>
      <c r="F913" s="73"/>
      <c r="G913" s="74"/>
      <c r="J913" s="73"/>
      <c r="K913" s="73"/>
      <c r="L913" s="1"/>
      <c r="T913" s="73"/>
      <c r="U913" s="73"/>
      <c r="W913" s="73"/>
      <c r="X913" s="73"/>
      <c r="Y913" s="73"/>
    </row>
    <row r="914">
      <c r="E914" s="73"/>
      <c r="F914" s="73"/>
      <c r="G914" s="74"/>
      <c r="J914" s="73"/>
      <c r="K914" s="73"/>
      <c r="L914" s="1"/>
      <c r="T914" s="73"/>
      <c r="U914" s="73"/>
      <c r="W914" s="73"/>
      <c r="X914" s="73"/>
      <c r="Y914" s="73"/>
    </row>
    <row r="915">
      <c r="E915" s="73"/>
      <c r="F915" s="73"/>
      <c r="G915" s="74"/>
      <c r="J915" s="73"/>
      <c r="K915" s="73"/>
      <c r="L915" s="1"/>
      <c r="T915" s="73"/>
      <c r="U915" s="73"/>
      <c r="W915" s="73"/>
      <c r="X915" s="73"/>
      <c r="Y915" s="73"/>
    </row>
    <row r="916">
      <c r="E916" s="73"/>
      <c r="F916" s="73"/>
      <c r="G916" s="74"/>
      <c r="J916" s="73"/>
      <c r="K916" s="73"/>
      <c r="L916" s="1"/>
      <c r="T916" s="73"/>
      <c r="U916" s="73"/>
      <c r="W916" s="73"/>
      <c r="X916" s="73"/>
      <c r="Y916" s="73"/>
    </row>
    <row r="917">
      <c r="E917" s="73"/>
      <c r="F917" s="73"/>
      <c r="G917" s="74"/>
      <c r="J917" s="73"/>
      <c r="K917" s="73"/>
      <c r="L917" s="1"/>
      <c r="T917" s="73"/>
      <c r="U917" s="73"/>
      <c r="W917" s="73"/>
      <c r="X917" s="73"/>
      <c r="Y917" s="73"/>
    </row>
    <row r="918">
      <c r="E918" s="73"/>
      <c r="F918" s="73"/>
      <c r="G918" s="74"/>
      <c r="J918" s="73"/>
      <c r="K918" s="73"/>
      <c r="L918" s="1"/>
      <c r="T918" s="73"/>
      <c r="U918" s="73"/>
      <c r="W918" s="73"/>
      <c r="X918" s="73"/>
      <c r="Y918" s="73"/>
    </row>
    <row r="919">
      <c r="E919" s="73"/>
      <c r="F919" s="73"/>
      <c r="G919" s="74"/>
      <c r="J919" s="73"/>
      <c r="K919" s="73"/>
      <c r="L919" s="1"/>
      <c r="T919" s="73"/>
      <c r="U919" s="73"/>
      <c r="W919" s="73"/>
      <c r="X919" s="73"/>
      <c r="Y919" s="73"/>
    </row>
    <row r="920">
      <c r="E920" s="73"/>
      <c r="F920" s="73"/>
      <c r="G920" s="74"/>
      <c r="J920" s="73"/>
      <c r="K920" s="73"/>
      <c r="L920" s="1"/>
      <c r="T920" s="73"/>
      <c r="U920" s="73"/>
      <c r="W920" s="73"/>
      <c r="X920" s="73"/>
      <c r="Y920" s="73"/>
    </row>
    <row r="921">
      <c r="E921" s="73"/>
      <c r="F921" s="73"/>
      <c r="G921" s="74"/>
      <c r="J921" s="73"/>
      <c r="K921" s="73"/>
      <c r="L921" s="1"/>
      <c r="T921" s="73"/>
      <c r="U921" s="73"/>
      <c r="W921" s="73"/>
      <c r="X921" s="73"/>
      <c r="Y921" s="73"/>
    </row>
    <row r="922">
      <c r="E922" s="73"/>
      <c r="F922" s="73"/>
      <c r="G922" s="74"/>
      <c r="J922" s="73"/>
      <c r="K922" s="73"/>
      <c r="L922" s="1"/>
      <c r="T922" s="73"/>
      <c r="U922" s="73"/>
      <c r="W922" s="73"/>
      <c r="X922" s="73"/>
      <c r="Y922" s="73"/>
    </row>
    <row r="923">
      <c r="E923" s="73"/>
      <c r="F923" s="73"/>
      <c r="G923" s="74"/>
      <c r="J923" s="73"/>
      <c r="K923" s="73"/>
      <c r="L923" s="1"/>
      <c r="T923" s="73"/>
      <c r="U923" s="73"/>
      <c r="W923" s="73"/>
      <c r="X923" s="73"/>
      <c r="Y923" s="73"/>
    </row>
    <row r="924">
      <c r="E924" s="73"/>
      <c r="F924" s="73"/>
      <c r="G924" s="74"/>
      <c r="J924" s="73"/>
      <c r="K924" s="73"/>
      <c r="L924" s="1"/>
      <c r="T924" s="73"/>
      <c r="U924" s="73"/>
      <c r="W924" s="73"/>
      <c r="X924" s="73"/>
      <c r="Y924" s="73"/>
    </row>
    <row r="925">
      <c r="E925" s="73"/>
      <c r="F925" s="73"/>
      <c r="G925" s="74"/>
      <c r="J925" s="73"/>
      <c r="K925" s="73"/>
      <c r="L925" s="1"/>
      <c r="T925" s="73"/>
      <c r="U925" s="73"/>
      <c r="W925" s="73"/>
      <c r="X925" s="73"/>
      <c r="Y925" s="73"/>
    </row>
    <row r="926">
      <c r="E926" s="73"/>
      <c r="F926" s="73"/>
      <c r="G926" s="74"/>
      <c r="J926" s="73"/>
      <c r="K926" s="73"/>
      <c r="L926" s="1"/>
      <c r="T926" s="73"/>
      <c r="U926" s="73"/>
      <c r="W926" s="73"/>
      <c r="X926" s="73"/>
      <c r="Y926" s="73"/>
    </row>
    <row r="927">
      <c r="E927" s="73"/>
      <c r="F927" s="73"/>
      <c r="G927" s="74"/>
      <c r="J927" s="73"/>
      <c r="K927" s="73"/>
      <c r="L927" s="1"/>
      <c r="T927" s="73"/>
      <c r="U927" s="73"/>
      <c r="W927" s="73"/>
      <c r="X927" s="73"/>
      <c r="Y927" s="73"/>
    </row>
    <row r="928">
      <c r="E928" s="73"/>
      <c r="F928" s="73"/>
      <c r="G928" s="74"/>
      <c r="J928" s="73"/>
      <c r="K928" s="73"/>
      <c r="L928" s="1"/>
      <c r="T928" s="73"/>
      <c r="U928" s="73"/>
      <c r="W928" s="73"/>
      <c r="X928" s="73"/>
      <c r="Y928" s="73"/>
    </row>
    <row r="929">
      <c r="E929" s="73"/>
      <c r="F929" s="73"/>
      <c r="G929" s="74"/>
      <c r="J929" s="73"/>
      <c r="K929" s="73"/>
      <c r="L929" s="1"/>
      <c r="T929" s="73"/>
      <c r="U929" s="73"/>
      <c r="W929" s="73"/>
      <c r="X929" s="73"/>
      <c r="Y929" s="73"/>
    </row>
    <row r="930">
      <c r="E930" s="73"/>
      <c r="F930" s="73"/>
      <c r="G930" s="74"/>
      <c r="J930" s="73"/>
      <c r="K930" s="73"/>
      <c r="L930" s="1"/>
      <c r="T930" s="73"/>
      <c r="U930" s="73"/>
      <c r="W930" s="73"/>
      <c r="X930" s="73"/>
      <c r="Y930" s="73"/>
    </row>
    <row r="931">
      <c r="E931" s="73"/>
      <c r="F931" s="73"/>
      <c r="G931" s="74"/>
      <c r="J931" s="73"/>
      <c r="K931" s="73"/>
      <c r="L931" s="1"/>
      <c r="T931" s="73"/>
      <c r="U931" s="73"/>
      <c r="W931" s="73"/>
      <c r="X931" s="73"/>
      <c r="Y931" s="73"/>
    </row>
    <row r="932">
      <c r="E932" s="73"/>
      <c r="F932" s="73"/>
      <c r="G932" s="74"/>
      <c r="J932" s="73"/>
      <c r="K932" s="73"/>
      <c r="L932" s="1"/>
      <c r="T932" s="73"/>
      <c r="U932" s="73"/>
      <c r="W932" s="73"/>
      <c r="X932" s="73"/>
      <c r="Y932" s="73"/>
    </row>
    <row r="933">
      <c r="E933" s="73"/>
      <c r="F933" s="73"/>
      <c r="G933" s="74"/>
      <c r="J933" s="73"/>
      <c r="K933" s="73"/>
      <c r="L933" s="1"/>
      <c r="T933" s="73"/>
      <c r="U933" s="73"/>
      <c r="W933" s="73"/>
      <c r="X933" s="73"/>
      <c r="Y933" s="73"/>
    </row>
    <row r="934">
      <c r="E934" s="73"/>
      <c r="F934" s="73"/>
      <c r="G934" s="74"/>
      <c r="J934" s="73"/>
      <c r="K934" s="73"/>
      <c r="L934" s="1"/>
      <c r="T934" s="73"/>
      <c r="U934" s="73"/>
      <c r="W934" s="73"/>
      <c r="X934" s="73"/>
      <c r="Y934" s="73"/>
    </row>
    <row r="935">
      <c r="E935" s="73"/>
      <c r="F935" s="73"/>
      <c r="G935" s="74"/>
      <c r="J935" s="73"/>
      <c r="K935" s="73"/>
      <c r="L935" s="1"/>
      <c r="T935" s="73"/>
      <c r="U935" s="73"/>
      <c r="W935" s="73"/>
      <c r="X935" s="73"/>
      <c r="Y935" s="73"/>
    </row>
    <row r="936">
      <c r="E936" s="73"/>
      <c r="F936" s="73"/>
      <c r="G936" s="74"/>
      <c r="J936" s="73"/>
      <c r="K936" s="73"/>
      <c r="L936" s="1"/>
      <c r="T936" s="73"/>
      <c r="U936" s="73"/>
      <c r="W936" s="73"/>
      <c r="X936" s="73"/>
      <c r="Y936" s="73"/>
    </row>
    <row r="937">
      <c r="E937" s="73"/>
      <c r="F937" s="73"/>
      <c r="G937" s="74"/>
      <c r="J937" s="73"/>
      <c r="K937" s="73"/>
      <c r="L937" s="1"/>
      <c r="T937" s="73"/>
      <c r="U937" s="73"/>
      <c r="W937" s="73"/>
      <c r="X937" s="73"/>
      <c r="Y937" s="73"/>
    </row>
    <row r="938">
      <c r="E938" s="73"/>
      <c r="F938" s="73"/>
      <c r="G938" s="74"/>
      <c r="J938" s="73"/>
      <c r="K938" s="73"/>
      <c r="L938" s="1"/>
      <c r="T938" s="73"/>
      <c r="U938" s="73"/>
      <c r="W938" s="73"/>
      <c r="X938" s="73"/>
      <c r="Y938" s="73"/>
    </row>
    <row r="939">
      <c r="E939" s="73"/>
      <c r="F939" s="73"/>
      <c r="G939" s="74"/>
      <c r="J939" s="73"/>
      <c r="K939" s="73"/>
      <c r="L939" s="1"/>
      <c r="T939" s="73"/>
      <c r="U939" s="73"/>
      <c r="W939" s="73"/>
      <c r="X939" s="73"/>
      <c r="Y939" s="73"/>
    </row>
    <row r="940">
      <c r="E940" s="73"/>
      <c r="F940" s="73"/>
      <c r="G940" s="74"/>
      <c r="J940" s="73"/>
      <c r="K940" s="73"/>
      <c r="L940" s="1"/>
      <c r="T940" s="73"/>
      <c r="U940" s="73"/>
      <c r="W940" s="73"/>
      <c r="X940" s="73"/>
      <c r="Y940" s="73"/>
    </row>
    <row r="941">
      <c r="E941" s="73"/>
      <c r="F941" s="73"/>
      <c r="G941" s="74"/>
      <c r="J941" s="73"/>
      <c r="K941" s="73"/>
      <c r="L941" s="1"/>
      <c r="T941" s="73"/>
      <c r="U941" s="73"/>
      <c r="W941" s="73"/>
      <c r="X941" s="73"/>
      <c r="Y941" s="73"/>
    </row>
    <row r="942">
      <c r="E942" s="73"/>
      <c r="F942" s="73"/>
      <c r="G942" s="74"/>
      <c r="J942" s="73"/>
      <c r="K942" s="73"/>
      <c r="L942" s="1"/>
      <c r="T942" s="73"/>
      <c r="U942" s="73"/>
      <c r="W942" s="73"/>
      <c r="X942" s="73"/>
      <c r="Y942" s="73"/>
    </row>
    <row r="943">
      <c r="E943" s="73"/>
      <c r="F943" s="73"/>
      <c r="G943" s="74"/>
      <c r="J943" s="73"/>
      <c r="K943" s="73"/>
      <c r="L943" s="1"/>
      <c r="T943" s="73"/>
      <c r="U943" s="73"/>
      <c r="W943" s="73"/>
      <c r="X943" s="73"/>
      <c r="Y943" s="73"/>
    </row>
    <row r="944">
      <c r="E944" s="73"/>
      <c r="F944" s="73"/>
      <c r="G944" s="74"/>
      <c r="J944" s="73"/>
      <c r="K944" s="73"/>
      <c r="L944" s="1"/>
      <c r="T944" s="73"/>
      <c r="U944" s="73"/>
      <c r="W944" s="73"/>
      <c r="X944" s="73"/>
      <c r="Y944" s="73"/>
    </row>
    <row r="945">
      <c r="E945" s="73"/>
      <c r="F945" s="73"/>
      <c r="G945" s="74"/>
      <c r="J945" s="73"/>
      <c r="K945" s="73"/>
      <c r="L945" s="1"/>
      <c r="T945" s="73"/>
      <c r="U945" s="73"/>
      <c r="W945" s="73"/>
      <c r="X945" s="73"/>
      <c r="Y945" s="73"/>
    </row>
    <row r="946">
      <c r="E946" s="73"/>
      <c r="F946" s="73"/>
      <c r="G946" s="74"/>
      <c r="J946" s="73"/>
      <c r="K946" s="73"/>
      <c r="L946" s="1"/>
      <c r="T946" s="73"/>
      <c r="U946" s="73"/>
      <c r="W946" s="73"/>
      <c r="X946" s="73"/>
      <c r="Y946" s="73"/>
    </row>
    <row r="947">
      <c r="E947" s="73"/>
      <c r="F947" s="73"/>
      <c r="G947" s="74"/>
      <c r="J947" s="73"/>
      <c r="K947" s="73"/>
      <c r="L947" s="1"/>
      <c r="T947" s="73"/>
      <c r="U947" s="73"/>
      <c r="W947" s="73"/>
      <c r="X947" s="73"/>
      <c r="Y947" s="73"/>
    </row>
    <row r="948">
      <c r="E948" s="73"/>
      <c r="F948" s="73"/>
      <c r="G948" s="74"/>
      <c r="J948" s="73"/>
      <c r="K948" s="73"/>
      <c r="L948" s="1"/>
      <c r="T948" s="73"/>
      <c r="U948" s="73"/>
      <c r="W948" s="73"/>
      <c r="X948" s="73"/>
      <c r="Y948" s="73"/>
    </row>
    <row r="949">
      <c r="E949" s="73"/>
      <c r="F949" s="73"/>
      <c r="G949" s="74"/>
      <c r="J949" s="73"/>
      <c r="K949" s="73"/>
      <c r="L949" s="1"/>
      <c r="T949" s="73"/>
      <c r="U949" s="73"/>
      <c r="W949" s="73"/>
      <c r="X949" s="73"/>
      <c r="Y949" s="73"/>
    </row>
    <row r="950">
      <c r="E950" s="73"/>
      <c r="F950" s="73"/>
      <c r="G950" s="74"/>
      <c r="J950" s="73"/>
      <c r="K950" s="73"/>
      <c r="L950" s="1"/>
      <c r="T950" s="73"/>
      <c r="U950" s="73"/>
      <c r="W950" s="73"/>
      <c r="X950" s="73"/>
      <c r="Y950" s="73"/>
    </row>
    <row r="951">
      <c r="E951" s="73"/>
      <c r="F951" s="73"/>
      <c r="G951" s="74"/>
      <c r="J951" s="73"/>
      <c r="K951" s="73"/>
      <c r="L951" s="1"/>
      <c r="T951" s="73"/>
      <c r="U951" s="73"/>
      <c r="W951" s="73"/>
      <c r="X951" s="73"/>
      <c r="Y951" s="73"/>
    </row>
    <row r="952">
      <c r="E952" s="73"/>
      <c r="F952" s="73"/>
      <c r="G952" s="74"/>
      <c r="J952" s="73"/>
      <c r="K952" s="73"/>
      <c r="L952" s="1"/>
      <c r="T952" s="73"/>
      <c r="U952" s="73"/>
      <c r="W952" s="73"/>
      <c r="X952" s="73"/>
      <c r="Y952" s="73"/>
    </row>
    <row r="953">
      <c r="E953" s="73"/>
      <c r="F953" s="73"/>
      <c r="G953" s="74"/>
      <c r="J953" s="73"/>
      <c r="K953" s="73"/>
      <c r="L953" s="1"/>
      <c r="T953" s="73"/>
      <c r="U953" s="73"/>
      <c r="W953" s="73"/>
      <c r="X953" s="73"/>
      <c r="Y953" s="73"/>
    </row>
    <row r="954">
      <c r="E954" s="73"/>
      <c r="F954" s="73"/>
      <c r="G954" s="74"/>
      <c r="J954" s="73"/>
      <c r="K954" s="73"/>
      <c r="L954" s="1"/>
      <c r="T954" s="73"/>
      <c r="U954" s="73"/>
      <c r="W954" s="73"/>
      <c r="X954" s="73"/>
      <c r="Y954" s="73"/>
    </row>
    <row r="955">
      <c r="E955" s="73"/>
      <c r="F955" s="73"/>
      <c r="G955" s="74"/>
      <c r="J955" s="73"/>
      <c r="K955" s="73"/>
      <c r="L955" s="1"/>
      <c r="T955" s="73"/>
      <c r="U955" s="73"/>
      <c r="W955" s="73"/>
      <c r="X955" s="73"/>
      <c r="Y955" s="73"/>
    </row>
    <row r="956">
      <c r="E956" s="73"/>
      <c r="F956" s="73"/>
      <c r="G956" s="74"/>
      <c r="J956" s="73"/>
      <c r="K956" s="73"/>
      <c r="L956" s="1"/>
      <c r="T956" s="73"/>
      <c r="U956" s="73"/>
      <c r="W956" s="73"/>
      <c r="X956" s="73"/>
      <c r="Y956" s="73"/>
    </row>
    <row r="957">
      <c r="E957" s="73"/>
      <c r="F957" s="73"/>
      <c r="G957" s="74"/>
      <c r="J957" s="73"/>
      <c r="K957" s="73"/>
      <c r="L957" s="1"/>
      <c r="T957" s="73"/>
      <c r="U957" s="73"/>
      <c r="W957" s="73"/>
      <c r="X957" s="73"/>
      <c r="Y957" s="73"/>
    </row>
    <row r="958">
      <c r="E958" s="73"/>
      <c r="F958" s="73"/>
      <c r="G958" s="74"/>
      <c r="J958" s="73"/>
      <c r="K958" s="73"/>
      <c r="L958" s="1"/>
      <c r="T958" s="73"/>
      <c r="U958" s="73"/>
      <c r="W958" s="73"/>
      <c r="X958" s="73"/>
      <c r="Y958" s="73"/>
    </row>
    <row r="959">
      <c r="E959" s="73"/>
      <c r="F959" s="73"/>
      <c r="G959" s="74"/>
      <c r="J959" s="73"/>
      <c r="K959" s="73"/>
      <c r="L959" s="1"/>
      <c r="T959" s="73"/>
      <c r="U959" s="73"/>
      <c r="W959" s="73"/>
      <c r="X959" s="73"/>
      <c r="Y959" s="73"/>
    </row>
    <row r="960">
      <c r="E960" s="73"/>
      <c r="F960" s="73"/>
      <c r="G960" s="74"/>
      <c r="J960" s="73"/>
      <c r="K960" s="73"/>
      <c r="L960" s="1"/>
      <c r="T960" s="73"/>
      <c r="U960" s="73"/>
      <c r="W960" s="73"/>
      <c r="X960" s="73"/>
      <c r="Y960" s="73"/>
    </row>
    <row r="961">
      <c r="E961" s="73"/>
      <c r="F961" s="73"/>
      <c r="G961" s="74"/>
      <c r="J961" s="73"/>
      <c r="K961" s="73"/>
      <c r="L961" s="1"/>
      <c r="T961" s="73"/>
      <c r="U961" s="73"/>
      <c r="W961" s="73"/>
      <c r="X961" s="73"/>
      <c r="Y961" s="73"/>
    </row>
    <row r="962">
      <c r="E962" s="73"/>
      <c r="F962" s="73"/>
      <c r="G962" s="74"/>
      <c r="J962" s="73"/>
      <c r="K962" s="73"/>
      <c r="L962" s="1"/>
      <c r="T962" s="73"/>
      <c r="U962" s="73"/>
      <c r="W962" s="73"/>
      <c r="X962" s="73"/>
      <c r="Y962" s="73"/>
    </row>
    <row r="963">
      <c r="E963" s="73"/>
      <c r="F963" s="73"/>
      <c r="G963" s="74"/>
      <c r="J963" s="73"/>
      <c r="K963" s="73"/>
      <c r="L963" s="1"/>
      <c r="T963" s="73"/>
      <c r="U963" s="73"/>
      <c r="W963" s="73"/>
      <c r="X963" s="73"/>
      <c r="Y963" s="73"/>
    </row>
    <row r="964">
      <c r="E964" s="73"/>
      <c r="F964" s="73"/>
      <c r="G964" s="74"/>
      <c r="J964" s="73"/>
      <c r="K964" s="73"/>
      <c r="L964" s="1"/>
      <c r="T964" s="73"/>
      <c r="U964" s="73"/>
      <c r="W964" s="73"/>
      <c r="X964" s="73"/>
      <c r="Y964" s="73"/>
    </row>
    <row r="965">
      <c r="E965" s="73"/>
      <c r="F965" s="73"/>
      <c r="G965" s="74"/>
      <c r="J965" s="73"/>
      <c r="K965" s="73"/>
      <c r="L965" s="1"/>
      <c r="T965" s="73"/>
      <c r="U965" s="73"/>
      <c r="W965" s="73"/>
      <c r="X965" s="73"/>
      <c r="Y965" s="73"/>
    </row>
    <row r="966">
      <c r="E966" s="73"/>
      <c r="F966" s="73"/>
      <c r="G966" s="74"/>
      <c r="J966" s="73"/>
      <c r="K966" s="73"/>
      <c r="L966" s="1"/>
      <c r="T966" s="73"/>
      <c r="U966" s="73"/>
      <c r="W966" s="73"/>
      <c r="X966" s="73"/>
      <c r="Y966" s="73"/>
    </row>
    <row r="967">
      <c r="E967" s="73"/>
      <c r="F967" s="73"/>
      <c r="G967" s="74"/>
      <c r="J967" s="73"/>
      <c r="K967" s="73"/>
      <c r="L967" s="1"/>
      <c r="T967" s="73"/>
      <c r="U967" s="73"/>
      <c r="W967" s="73"/>
      <c r="X967" s="73"/>
      <c r="Y967" s="73"/>
    </row>
    <row r="968">
      <c r="E968" s="73"/>
      <c r="F968" s="73"/>
      <c r="G968" s="74"/>
      <c r="J968" s="73"/>
      <c r="K968" s="73"/>
      <c r="L968" s="1"/>
      <c r="T968" s="73"/>
      <c r="U968" s="73"/>
      <c r="W968" s="73"/>
      <c r="X968" s="73"/>
      <c r="Y968" s="73"/>
    </row>
    <row r="969">
      <c r="E969" s="73"/>
      <c r="F969" s="73"/>
      <c r="G969" s="74"/>
      <c r="J969" s="73"/>
      <c r="K969" s="73"/>
      <c r="L969" s="1"/>
      <c r="T969" s="73"/>
      <c r="U969" s="73"/>
      <c r="W969" s="73"/>
      <c r="X969" s="73"/>
      <c r="Y969" s="73"/>
    </row>
    <row r="970">
      <c r="E970" s="73"/>
      <c r="F970" s="73"/>
      <c r="G970" s="74"/>
      <c r="J970" s="73"/>
      <c r="K970" s="73"/>
      <c r="L970" s="1"/>
      <c r="T970" s="73"/>
      <c r="U970" s="73"/>
      <c r="W970" s="73"/>
      <c r="X970" s="73"/>
      <c r="Y970" s="73"/>
    </row>
    <row r="971">
      <c r="E971" s="73"/>
      <c r="F971" s="73"/>
      <c r="G971" s="74"/>
      <c r="J971" s="73"/>
      <c r="K971" s="73"/>
      <c r="L971" s="1"/>
      <c r="T971" s="73"/>
      <c r="U971" s="73"/>
      <c r="W971" s="73"/>
      <c r="X971" s="73"/>
      <c r="Y971" s="73"/>
    </row>
    <row r="972">
      <c r="E972" s="73"/>
      <c r="F972" s="73"/>
      <c r="G972" s="74"/>
      <c r="J972" s="73"/>
      <c r="K972" s="73"/>
      <c r="L972" s="1"/>
      <c r="T972" s="73"/>
      <c r="U972" s="73"/>
      <c r="W972" s="73"/>
      <c r="X972" s="73"/>
      <c r="Y972" s="73"/>
    </row>
    <row r="973">
      <c r="E973" s="73"/>
      <c r="F973" s="73"/>
      <c r="G973" s="74"/>
      <c r="J973" s="73"/>
      <c r="K973" s="73"/>
      <c r="L973" s="1"/>
      <c r="T973" s="73"/>
      <c r="U973" s="73"/>
      <c r="W973" s="73"/>
      <c r="X973" s="73"/>
      <c r="Y973" s="73"/>
    </row>
    <row r="974">
      <c r="E974" s="73"/>
      <c r="F974" s="73"/>
      <c r="G974" s="74"/>
      <c r="J974" s="73"/>
      <c r="K974" s="73"/>
      <c r="L974" s="1"/>
      <c r="T974" s="73"/>
      <c r="U974" s="73"/>
      <c r="W974" s="73"/>
      <c r="X974" s="73"/>
      <c r="Y974" s="73"/>
    </row>
    <row r="975">
      <c r="E975" s="73"/>
      <c r="F975" s="73"/>
      <c r="G975" s="74"/>
      <c r="J975" s="73"/>
      <c r="K975" s="73"/>
      <c r="L975" s="1"/>
      <c r="T975" s="73"/>
      <c r="U975" s="73"/>
      <c r="W975" s="73"/>
      <c r="X975" s="73"/>
      <c r="Y975" s="73"/>
    </row>
    <row r="976">
      <c r="E976" s="73"/>
      <c r="F976" s="73"/>
      <c r="G976" s="74"/>
      <c r="J976" s="73"/>
      <c r="K976" s="73"/>
      <c r="L976" s="1"/>
      <c r="T976" s="73"/>
      <c r="U976" s="73"/>
      <c r="W976" s="73"/>
      <c r="X976" s="73"/>
      <c r="Y976" s="73"/>
    </row>
    <row r="977">
      <c r="E977" s="73"/>
      <c r="F977" s="73"/>
      <c r="G977" s="74"/>
      <c r="J977" s="73"/>
      <c r="K977" s="73"/>
      <c r="L977" s="1"/>
      <c r="T977" s="73"/>
      <c r="U977" s="73"/>
      <c r="W977" s="73"/>
      <c r="X977" s="73"/>
      <c r="Y977" s="73"/>
    </row>
    <row r="978">
      <c r="E978" s="73"/>
      <c r="F978" s="73"/>
      <c r="G978" s="74"/>
      <c r="J978" s="73"/>
      <c r="K978" s="73"/>
      <c r="L978" s="1"/>
      <c r="T978" s="73"/>
      <c r="U978" s="73"/>
      <c r="W978" s="73"/>
      <c r="X978" s="73"/>
      <c r="Y978" s="73"/>
    </row>
    <row r="979">
      <c r="E979" s="73"/>
      <c r="F979" s="73"/>
      <c r="G979" s="74"/>
      <c r="J979" s="73"/>
      <c r="K979" s="73"/>
      <c r="L979" s="1"/>
      <c r="T979" s="73"/>
      <c r="U979" s="73"/>
      <c r="W979" s="73"/>
      <c r="X979" s="73"/>
      <c r="Y979" s="73"/>
    </row>
    <row r="980">
      <c r="E980" s="73"/>
      <c r="F980" s="73"/>
      <c r="G980" s="74"/>
      <c r="J980" s="73"/>
      <c r="K980" s="73"/>
      <c r="L980" s="1"/>
      <c r="T980" s="73"/>
      <c r="U980" s="73"/>
      <c r="W980" s="73"/>
      <c r="X980" s="73"/>
      <c r="Y980" s="73"/>
    </row>
    <row r="981">
      <c r="E981" s="73"/>
      <c r="F981" s="73"/>
      <c r="G981" s="74"/>
      <c r="J981" s="73"/>
      <c r="K981" s="73"/>
      <c r="L981" s="1"/>
      <c r="T981" s="73"/>
      <c r="U981" s="73"/>
      <c r="W981" s="73"/>
      <c r="X981" s="73"/>
      <c r="Y981" s="73"/>
    </row>
    <row r="982">
      <c r="E982" s="73"/>
      <c r="F982" s="73"/>
      <c r="G982" s="74"/>
      <c r="J982" s="73"/>
      <c r="K982" s="73"/>
      <c r="L982" s="1"/>
      <c r="T982" s="73"/>
      <c r="U982" s="73"/>
      <c r="W982" s="73"/>
      <c r="X982" s="73"/>
      <c r="Y982" s="73"/>
    </row>
    <row r="983">
      <c r="E983" s="73"/>
      <c r="F983" s="73"/>
      <c r="G983" s="74"/>
      <c r="J983" s="73"/>
      <c r="K983" s="73"/>
      <c r="L983" s="1"/>
      <c r="T983" s="73"/>
      <c r="U983" s="73"/>
      <c r="W983" s="73"/>
      <c r="X983" s="73"/>
      <c r="Y983" s="73"/>
    </row>
    <row r="984">
      <c r="E984" s="73"/>
      <c r="F984" s="73"/>
      <c r="G984" s="74"/>
      <c r="J984" s="73"/>
      <c r="K984" s="73"/>
      <c r="L984" s="1"/>
      <c r="T984" s="73"/>
      <c r="U984" s="73"/>
      <c r="W984" s="73"/>
      <c r="X984" s="73"/>
      <c r="Y984" s="73"/>
    </row>
    <row r="985">
      <c r="E985" s="73"/>
      <c r="F985" s="73"/>
      <c r="G985" s="74"/>
      <c r="J985" s="73"/>
      <c r="K985" s="73"/>
      <c r="L985" s="1"/>
      <c r="T985" s="73"/>
      <c r="U985" s="73"/>
      <c r="W985" s="73"/>
      <c r="X985" s="73"/>
      <c r="Y985" s="73"/>
    </row>
    <row r="986">
      <c r="E986" s="73"/>
      <c r="F986" s="73"/>
      <c r="G986" s="74"/>
      <c r="J986" s="73"/>
      <c r="K986" s="73"/>
      <c r="L986" s="1"/>
      <c r="T986" s="73"/>
      <c r="U986" s="73"/>
      <c r="W986" s="73"/>
      <c r="X986" s="73"/>
      <c r="Y986" s="73"/>
    </row>
    <row r="987">
      <c r="E987" s="73"/>
      <c r="F987" s="73"/>
      <c r="G987" s="74"/>
      <c r="J987" s="73"/>
      <c r="K987" s="73"/>
      <c r="L987" s="1"/>
      <c r="T987" s="73"/>
      <c r="U987" s="73"/>
      <c r="W987" s="73"/>
      <c r="X987" s="73"/>
      <c r="Y987" s="73"/>
    </row>
    <row r="988">
      <c r="E988" s="73"/>
      <c r="F988" s="73"/>
      <c r="G988" s="74"/>
      <c r="J988" s="73"/>
      <c r="K988" s="73"/>
      <c r="L988" s="1"/>
      <c r="T988" s="73"/>
      <c r="U988" s="73"/>
      <c r="W988" s="73"/>
      <c r="X988" s="73"/>
      <c r="Y988" s="73"/>
    </row>
    <row r="989">
      <c r="E989" s="73"/>
      <c r="F989" s="73"/>
      <c r="G989" s="74"/>
      <c r="J989" s="73"/>
      <c r="K989" s="73"/>
      <c r="L989" s="1"/>
      <c r="T989" s="73"/>
      <c r="U989" s="73"/>
      <c r="W989" s="73"/>
      <c r="X989" s="73"/>
      <c r="Y989" s="73"/>
    </row>
    <row r="990">
      <c r="E990" s="73"/>
      <c r="F990" s="73"/>
      <c r="G990" s="74"/>
      <c r="J990" s="73"/>
      <c r="K990" s="73"/>
      <c r="L990" s="1"/>
      <c r="T990" s="73"/>
      <c r="U990" s="73"/>
      <c r="W990" s="73"/>
      <c r="X990" s="73"/>
      <c r="Y990" s="73"/>
    </row>
    <row r="991">
      <c r="E991" s="73"/>
      <c r="F991" s="73"/>
      <c r="G991" s="74"/>
      <c r="J991" s="73"/>
      <c r="K991" s="73"/>
      <c r="L991" s="1"/>
      <c r="T991" s="73"/>
      <c r="U991" s="73"/>
      <c r="W991" s="73"/>
      <c r="X991" s="73"/>
      <c r="Y991" s="73"/>
    </row>
    <row r="992">
      <c r="E992" s="73"/>
      <c r="F992" s="73"/>
      <c r="G992" s="74"/>
      <c r="J992" s="73"/>
      <c r="K992" s="73"/>
      <c r="L992" s="1"/>
      <c r="T992" s="73"/>
      <c r="U992" s="73"/>
      <c r="W992" s="73"/>
      <c r="X992" s="73"/>
      <c r="Y992" s="73"/>
    </row>
    <row r="993">
      <c r="E993" s="73"/>
      <c r="F993" s="73"/>
      <c r="G993" s="74"/>
      <c r="J993" s="73"/>
      <c r="K993" s="73"/>
      <c r="L993" s="1"/>
      <c r="T993" s="73"/>
      <c r="U993" s="73"/>
      <c r="W993" s="73"/>
      <c r="X993" s="73"/>
      <c r="Y993" s="73"/>
    </row>
    <row r="994">
      <c r="E994" s="73"/>
      <c r="F994" s="73"/>
      <c r="G994" s="74"/>
      <c r="J994" s="73"/>
      <c r="K994" s="73"/>
      <c r="L994" s="1"/>
      <c r="T994" s="73"/>
      <c r="U994" s="73"/>
      <c r="W994" s="73"/>
      <c r="X994" s="73"/>
      <c r="Y994" s="73"/>
    </row>
    <row r="995">
      <c r="E995" s="73"/>
      <c r="F995" s="73"/>
      <c r="G995" s="74"/>
      <c r="J995" s="73"/>
      <c r="K995" s="73"/>
      <c r="L995" s="1"/>
      <c r="T995" s="73"/>
      <c r="U995" s="73"/>
      <c r="W995" s="73"/>
      <c r="X995" s="73"/>
      <c r="Y995" s="73"/>
    </row>
    <row r="996">
      <c r="E996" s="73"/>
      <c r="F996" s="73"/>
      <c r="G996" s="74"/>
      <c r="J996" s="73"/>
      <c r="K996" s="73"/>
      <c r="L996" s="1"/>
      <c r="T996" s="73"/>
      <c r="U996" s="73"/>
      <c r="W996" s="73"/>
      <c r="X996" s="73"/>
      <c r="Y996" s="73"/>
    </row>
    <row r="997">
      <c r="E997" s="73"/>
      <c r="F997" s="73"/>
      <c r="G997" s="74"/>
      <c r="J997" s="73"/>
      <c r="K997" s="73"/>
      <c r="L997" s="1"/>
      <c r="T997" s="73"/>
      <c r="U997" s="73"/>
      <c r="W997" s="73"/>
      <c r="X997" s="73"/>
      <c r="Y997" s="73"/>
    </row>
    <row r="998">
      <c r="E998" s="73"/>
      <c r="F998" s="73"/>
      <c r="G998" s="74"/>
      <c r="J998" s="73"/>
      <c r="K998" s="73"/>
      <c r="L998" s="1"/>
      <c r="T998" s="73"/>
      <c r="U998" s="73"/>
      <c r="W998" s="73"/>
      <c r="X998" s="73"/>
      <c r="Y998" s="73"/>
    </row>
    <row r="999">
      <c r="E999" s="73"/>
      <c r="F999" s="73"/>
      <c r="G999" s="74"/>
      <c r="J999" s="73"/>
      <c r="K999" s="73"/>
      <c r="L999" s="1"/>
      <c r="T999" s="73"/>
      <c r="U999" s="73"/>
      <c r="W999" s="73"/>
      <c r="X999" s="73"/>
      <c r="Y999" s="73"/>
    </row>
    <row r="1000">
      <c r="E1000" s="73"/>
      <c r="F1000" s="73"/>
      <c r="G1000" s="74"/>
      <c r="J1000" s="73"/>
      <c r="K1000" s="73"/>
      <c r="L1000" s="1"/>
      <c r="T1000" s="73"/>
      <c r="U1000" s="73"/>
      <c r="W1000" s="73"/>
      <c r="X1000" s="73"/>
      <c r="Y1000" s="73"/>
    </row>
    <row r="1001">
      <c r="E1001" s="73"/>
      <c r="F1001" s="73"/>
      <c r="G1001" s="74"/>
      <c r="J1001" s="73"/>
      <c r="K1001" s="73"/>
      <c r="L1001" s="1"/>
      <c r="T1001" s="73"/>
      <c r="U1001" s="73"/>
      <c r="W1001" s="73"/>
      <c r="X1001" s="73"/>
      <c r="Y1001" s="73"/>
    </row>
    <row r="1002">
      <c r="E1002" s="73"/>
      <c r="F1002" s="73"/>
      <c r="G1002" s="74"/>
      <c r="J1002" s="73"/>
      <c r="K1002" s="73"/>
      <c r="L1002" s="1"/>
      <c r="T1002" s="73"/>
      <c r="U1002" s="73"/>
      <c r="W1002" s="73"/>
      <c r="X1002" s="73"/>
      <c r="Y1002" s="73"/>
    </row>
    <row r="1003">
      <c r="E1003" s="73"/>
      <c r="F1003" s="73"/>
      <c r="G1003" s="74"/>
      <c r="J1003" s="73"/>
      <c r="K1003" s="73"/>
      <c r="L1003" s="1"/>
      <c r="T1003" s="73"/>
      <c r="U1003" s="73"/>
      <c r="W1003" s="73"/>
      <c r="X1003" s="73"/>
      <c r="Y1003" s="73"/>
    </row>
    <row r="1004">
      <c r="E1004" s="73"/>
      <c r="F1004" s="73"/>
      <c r="G1004" s="74"/>
      <c r="J1004" s="73"/>
      <c r="K1004" s="73"/>
      <c r="L1004" s="1"/>
      <c r="T1004" s="73"/>
      <c r="U1004" s="73"/>
      <c r="W1004" s="73"/>
      <c r="X1004" s="73"/>
      <c r="Y1004" s="73"/>
    </row>
    <row r="1005">
      <c r="E1005" s="73"/>
      <c r="F1005" s="73"/>
      <c r="G1005" s="74"/>
      <c r="J1005" s="73"/>
      <c r="K1005" s="73"/>
      <c r="L1005" s="1"/>
      <c r="T1005" s="73"/>
      <c r="U1005" s="73"/>
      <c r="W1005" s="73"/>
      <c r="X1005" s="73"/>
      <c r="Y1005" s="73"/>
    </row>
    <row r="1006">
      <c r="E1006" s="73"/>
      <c r="F1006" s="73"/>
      <c r="G1006" s="74"/>
      <c r="J1006" s="73"/>
      <c r="K1006" s="73"/>
      <c r="L1006" s="1"/>
      <c r="T1006" s="73"/>
      <c r="U1006" s="73"/>
      <c r="W1006" s="73"/>
      <c r="X1006" s="73"/>
      <c r="Y1006" s="73"/>
    </row>
    <row r="1007">
      <c r="E1007" s="73"/>
      <c r="F1007" s="73"/>
      <c r="G1007" s="74"/>
      <c r="J1007" s="73"/>
      <c r="K1007" s="73"/>
      <c r="L1007" s="1"/>
      <c r="T1007" s="73"/>
      <c r="U1007" s="73"/>
      <c r="W1007" s="73"/>
      <c r="X1007" s="73"/>
      <c r="Y1007" s="73"/>
    </row>
    <row r="1008">
      <c r="E1008" s="73"/>
      <c r="F1008" s="73"/>
      <c r="G1008" s="74"/>
      <c r="J1008" s="73"/>
      <c r="K1008" s="73"/>
      <c r="L1008" s="1"/>
      <c r="T1008" s="73"/>
      <c r="U1008" s="73"/>
      <c r="W1008" s="73"/>
      <c r="X1008" s="73"/>
      <c r="Y1008" s="73"/>
    </row>
    <row r="1009">
      <c r="E1009" s="73"/>
      <c r="F1009" s="73"/>
      <c r="G1009" s="74"/>
      <c r="J1009" s="73"/>
      <c r="K1009" s="73"/>
      <c r="L1009" s="1"/>
      <c r="T1009" s="73"/>
      <c r="U1009" s="73"/>
      <c r="W1009" s="73"/>
      <c r="X1009" s="73"/>
      <c r="Y1009" s="73"/>
    </row>
    <row r="1010">
      <c r="E1010" s="73"/>
      <c r="F1010" s="73"/>
      <c r="G1010" s="74"/>
      <c r="J1010" s="73"/>
      <c r="K1010" s="73"/>
      <c r="L1010" s="1"/>
      <c r="T1010" s="73"/>
      <c r="U1010" s="73"/>
      <c r="W1010" s="73"/>
      <c r="X1010" s="73"/>
      <c r="Y1010" s="73"/>
    </row>
    <row r="1011">
      <c r="E1011" s="73"/>
      <c r="F1011" s="73"/>
      <c r="G1011" s="74"/>
      <c r="J1011" s="73"/>
      <c r="K1011" s="73"/>
      <c r="L1011" s="1"/>
      <c r="T1011" s="73"/>
      <c r="U1011" s="73"/>
      <c r="W1011" s="73"/>
      <c r="X1011" s="73"/>
      <c r="Y1011" s="73"/>
    </row>
    <row r="1012">
      <c r="E1012" s="73"/>
      <c r="F1012" s="73"/>
      <c r="G1012" s="74"/>
      <c r="J1012" s="73"/>
      <c r="K1012" s="73"/>
      <c r="L1012" s="1"/>
      <c r="T1012" s="73"/>
      <c r="U1012" s="73"/>
      <c r="W1012" s="73"/>
      <c r="X1012" s="73"/>
      <c r="Y1012" s="73"/>
    </row>
    <row r="1013">
      <c r="E1013" s="73"/>
      <c r="F1013" s="73"/>
      <c r="G1013" s="74"/>
      <c r="J1013" s="73"/>
      <c r="K1013" s="73"/>
      <c r="L1013" s="1"/>
      <c r="T1013" s="73"/>
      <c r="U1013" s="73"/>
      <c r="W1013" s="73"/>
      <c r="X1013" s="73"/>
      <c r="Y1013" s="73"/>
    </row>
    <row r="1014">
      <c r="E1014" s="73"/>
      <c r="F1014" s="73"/>
      <c r="G1014" s="74"/>
      <c r="J1014" s="73"/>
      <c r="K1014" s="73"/>
      <c r="L1014" s="1"/>
      <c r="T1014" s="73"/>
      <c r="U1014" s="73"/>
      <c r="W1014" s="73"/>
      <c r="X1014" s="73"/>
      <c r="Y1014" s="73"/>
    </row>
    <row r="1015">
      <c r="E1015" s="73"/>
      <c r="F1015" s="73"/>
      <c r="G1015" s="74"/>
      <c r="J1015" s="73"/>
      <c r="K1015" s="73"/>
      <c r="L1015" s="1"/>
      <c r="T1015" s="73"/>
      <c r="U1015" s="73"/>
      <c r="W1015" s="73"/>
      <c r="X1015" s="73"/>
      <c r="Y1015" s="73"/>
    </row>
    <row r="1016">
      <c r="E1016" s="73"/>
      <c r="F1016" s="73"/>
      <c r="G1016" s="74"/>
      <c r="J1016" s="73"/>
      <c r="K1016" s="73"/>
      <c r="L1016" s="1"/>
      <c r="T1016" s="73"/>
      <c r="U1016" s="73"/>
      <c r="W1016" s="73"/>
      <c r="X1016" s="73"/>
      <c r="Y1016" s="73"/>
    </row>
    <row r="1017">
      <c r="E1017" s="73"/>
      <c r="F1017" s="73"/>
      <c r="G1017" s="74"/>
      <c r="J1017" s="73"/>
      <c r="K1017" s="73"/>
      <c r="L1017" s="1"/>
      <c r="T1017" s="73"/>
      <c r="U1017" s="73"/>
      <c r="W1017" s="73"/>
      <c r="X1017" s="73"/>
      <c r="Y1017" s="73"/>
    </row>
    <row r="1018">
      <c r="E1018" s="73"/>
      <c r="F1018" s="73"/>
      <c r="G1018" s="74"/>
      <c r="J1018" s="73"/>
      <c r="K1018" s="73"/>
      <c r="L1018" s="1"/>
      <c r="T1018" s="73"/>
      <c r="U1018" s="73"/>
      <c r="W1018" s="73"/>
      <c r="X1018" s="73"/>
      <c r="Y1018" s="73"/>
    </row>
    <row r="1019">
      <c r="E1019" s="73"/>
      <c r="F1019" s="73"/>
      <c r="G1019" s="74"/>
      <c r="J1019" s="73"/>
      <c r="K1019" s="73"/>
      <c r="L1019" s="1"/>
      <c r="T1019" s="73"/>
      <c r="U1019" s="73"/>
      <c r="W1019" s="73"/>
      <c r="X1019" s="73"/>
      <c r="Y1019" s="73"/>
    </row>
    <row r="1020">
      <c r="E1020" s="73"/>
      <c r="F1020" s="73"/>
      <c r="G1020" s="74"/>
      <c r="J1020" s="73"/>
      <c r="K1020" s="73"/>
      <c r="L1020" s="1"/>
      <c r="T1020" s="73"/>
      <c r="U1020" s="73"/>
      <c r="W1020" s="73"/>
      <c r="X1020" s="73"/>
      <c r="Y1020" s="73"/>
    </row>
    <row r="1021">
      <c r="E1021" s="73"/>
      <c r="F1021" s="73"/>
      <c r="G1021" s="74"/>
      <c r="J1021" s="73"/>
      <c r="K1021" s="73"/>
      <c r="L1021" s="1"/>
      <c r="T1021" s="73"/>
      <c r="U1021" s="73"/>
      <c r="W1021" s="73"/>
      <c r="X1021" s="73"/>
      <c r="Y1021" s="73"/>
    </row>
    <row r="1022">
      <c r="E1022" s="73"/>
      <c r="F1022" s="73"/>
      <c r="G1022" s="74"/>
      <c r="J1022" s="73"/>
      <c r="K1022" s="73"/>
      <c r="L1022" s="1"/>
      <c r="T1022" s="73"/>
      <c r="U1022" s="73"/>
      <c r="W1022" s="73"/>
      <c r="X1022" s="73"/>
      <c r="Y1022" s="73"/>
    </row>
    <row r="1023">
      <c r="E1023" s="73"/>
      <c r="F1023" s="73"/>
      <c r="G1023" s="74"/>
      <c r="J1023" s="73"/>
      <c r="K1023" s="73"/>
      <c r="L1023" s="1"/>
      <c r="T1023" s="73"/>
      <c r="U1023" s="73"/>
      <c r="W1023" s="73"/>
      <c r="X1023" s="73"/>
      <c r="Y1023" s="73"/>
    </row>
    <row r="1024">
      <c r="E1024" s="73"/>
      <c r="F1024" s="73"/>
      <c r="G1024" s="74"/>
      <c r="J1024" s="73"/>
      <c r="K1024" s="73"/>
      <c r="L1024" s="1"/>
      <c r="T1024" s="73"/>
      <c r="U1024" s="73"/>
      <c r="W1024" s="73"/>
      <c r="X1024" s="73"/>
      <c r="Y1024" s="73"/>
    </row>
    <row r="1025">
      <c r="E1025" s="73"/>
      <c r="F1025" s="73"/>
      <c r="G1025" s="74"/>
      <c r="J1025" s="73"/>
      <c r="K1025" s="73"/>
      <c r="L1025" s="1"/>
      <c r="T1025" s="73"/>
      <c r="U1025" s="73"/>
      <c r="W1025" s="73"/>
      <c r="X1025" s="73"/>
      <c r="Y1025" s="73"/>
    </row>
    <row r="1026">
      <c r="E1026" s="73"/>
      <c r="F1026" s="73"/>
      <c r="G1026" s="74"/>
      <c r="J1026" s="73"/>
      <c r="K1026" s="73"/>
      <c r="L1026" s="1"/>
      <c r="T1026" s="73"/>
      <c r="U1026" s="73"/>
      <c r="W1026" s="73"/>
      <c r="X1026" s="73"/>
      <c r="Y1026" s="73"/>
    </row>
    <row r="1027">
      <c r="E1027" s="73"/>
      <c r="F1027" s="73"/>
      <c r="G1027" s="74"/>
      <c r="J1027" s="73"/>
      <c r="K1027" s="73"/>
      <c r="L1027" s="1"/>
      <c r="T1027" s="73"/>
      <c r="U1027" s="73"/>
      <c r="W1027" s="73"/>
      <c r="X1027" s="73"/>
      <c r="Y1027" s="73"/>
    </row>
    <row r="1028">
      <c r="E1028" s="73"/>
      <c r="F1028" s="73"/>
      <c r="G1028" s="74"/>
      <c r="J1028" s="73"/>
      <c r="K1028" s="73"/>
      <c r="L1028" s="1"/>
      <c r="T1028" s="73"/>
      <c r="U1028" s="73"/>
      <c r="W1028" s="73"/>
      <c r="X1028" s="73"/>
      <c r="Y1028" s="73"/>
    </row>
    <row r="1029">
      <c r="E1029" s="73"/>
      <c r="F1029" s="73"/>
      <c r="G1029" s="74"/>
      <c r="J1029" s="73"/>
      <c r="K1029" s="73"/>
      <c r="L1029" s="1"/>
      <c r="T1029" s="73"/>
      <c r="U1029" s="73"/>
      <c r="W1029" s="73"/>
      <c r="X1029" s="73"/>
      <c r="Y1029" s="73"/>
    </row>
    <row r="1030">
      <c r="E1030" s="73"/>
      <c r="F1030" s="73"/>
      <c r="G1030" s="74"/>
      <c r="J1030" s="73"/>
      <c r="K1030" s="73"/>
      <c r="T1030" s="73"/>
      <c r="U1030" s="73"/>
      <c r="W1030" s="73"/>
      <c r="X1030" s="73"/>
      <c r="Y1030" s="73"/>
    </row>
    <row r="1031">
      <c r="E1031" s="73"/>
      <c r="F1031" s="73"/>
      <c r="G1031" s="74"/>
      <c r="J1031" s="73"/>
      <c r="K1031" s="73"/>
      <c r="T1031" s="73"/>
      <c r="U1031" s="73"/>
      <c r="W1031" s="73"/>
      <c r="X1031" s="73"/>
      <c r="Y1031" s="73"/>
    </row>
    <row r="1032">
      <c r="E1032" s="73"/>
      <c r="F1032" s="73"/>
      <c r="G1032" s="74"/>
      <c r="J1032" s="73"/>
      <c r="K1032" s="73"/>
      <c r="T1032" s="73"/>
      <c r="U1032" s="73"/>
      <c r="W1032" s="73"/>
      <c r="X1032" s="73"/>
      <c r="Y1032" s="73"/>
    </row>
    <row r="1033">
      <c r="E1033" s="73"/>
      <c r="F1033" s="73"/>
      <c r="G1033" s="74"/>
      <c r="J1033" s="73"/>
      <c r="K1033" s="73"/>
      <c r="T1033" s="73"/>
      <c r="U1033" s="73"/>
      <c r="W1033" s="73"/>
      <c r="X1033" s="73"/>
      <c r="Y1033" s="73"/>
    </row>
    <row r="1034">
      <c r="E1034" s="73"/>
      <c r="F1034" s="73"/>
      <c r="G1034" s="74"/>
      <c r="J1034" s="73"/>
      <c r="K1034" s="73"/>
      <c r="T1034" s="73"/>
      <c r="U1034" s="73"/>
      <c r="W1034" s="73"/>
      <c r="X1034" s="73"/>
      <c r="Y1034" s="73"/>
    </row>
    <row r="1035">
      <c r="E1035" s="73"/>
      <c r="F1035" s="73"/>
      <c r="G1035" s="74"/>
      <c r="J1035" s="73"/>
      <c r="K1035" s="73"/>
      <c r="T1035" s="73"/>
      <c r="U1035" s="73"/>
      <c r="W1035" s="73"/>
      <c r="X1035" s="73"/>
      <c r="Y1035" s="73"/>
    </row>
    <row r="1036">
      <c r="E1036" s="73"/>
      <c r="F1036" s="73"/>
      <c r="G1036" s="74"/>
      <c r="J1036" s="73"/>
      <c r="K1036" s="73"/>
      <c r="T1036" s="73"/>
      <c r="U1036" s="73"/>
      <c r="W1036" s="73"/>
      <c r="X1036" s="73"/>
      <c r="Y1036" s="73"/>
    </row>
    <row r="1037">
      <c r="E1037" s="73"/>
      <c r="F1037" s="73"/>
      <c r="G1037" s="74"/>
      <c r="J1037" s="73"/>
      <c r="K1037" s="73"/>
      <c r="T1037" s="73"/>
      <c r="U1037" s="73"/>
      <c r="W1037" s="73"/>
      <c r="X1037" s="73"/>
      <c r="Y1037" s="73"/>
    </row>
    <row r="1038">
      <c r="E1038" s="73"/>
      <c r="F1038" s="73"/>
      <c r="G1038" s="74"/>
      <c r="J1038" s="73"/>
      <c r="K1038" s="73"/>
      <c r="T1038" s="73"/>
      <c r="U1038" s="73"/>
      <c r="W1038" s="73"/>
      <c r="X1038" s="73"/>
      <c r="Y1038" s="73"/>
    </row>
    <row r="1039">
      <c r="E1039" s="73"/>
      <c r="F1039" s="73"/>
      <c r="G1039" s="74"/>
      <c r="J1039" s="73"/>
      <c r="K1039" s="73"/>
      <c r="T1039" s="73"/>
      <c r="U1039" s="73"/>
      <c r="W1039" s="73"/>
      <c r="X1039" s="73"/>
      <c r="Y1039" s="73"/>
    </row>
    <row r="1040">
      <c r="E1040" s="73"/>
      <c r="F1040" s="73"/>
      <c r="G1040" s="74"/>
      <c r="J1040" s="73"/>
      <c r="K1040" s="73"/>
      <c r="T1040" s="73"/>
      <c r="U1040" s="73"/>
      <c r="W1040" s="73"/>
      <c r="X1040" s="73"/>
      <c r="Y1040" s="73"/>
    </row>
    <row r="1041">
      <c r="E1041" s="73"/>
      <c r="F1041" s="73"/>
      <c r="G1041" s="74"/>
      <c r="J1041" s="73"/>
      <c r="K1041" s="73"/>
      <c r="T1041" s="73"/>
      <c r="U1041" s="73"/>
      <c r="W1041" s="73"/>
      <c r="X1041" s="73"/>
      <c r="Y1041" s="73"/>
    </row>
    <row r="1042">
      <c r="E1042" s="73"/>
      <c r="F1042" s="73"/>
      <c r="G1042" s="74"/>
      <c r="J1042" s="73"/>
      <c r="K1042" s="73"/>
      <c r="T1042" s="73"/>
      <c r="U1042" s="73"/>
      <c r="W1042" s="73"/>
      <c r="X1042" s="73"/>
      <c r="Y1042" s="73"/>
    </row>
    <row r="1043">
      <c r="E1043" s="73"/>
      <c r="F1043" s="73"/>
      <c r="G1043" s="74"/>
      <c r="J1043" s="73"/>
      <c r="K1043" s="73"/>
      <c r="T1043" s="73"/>
      <c r="U1043" s="73"/>
      <c r="W1043" s="73"/>
      <c r="X1043" s="73"/>
      <c r="Y1043" s="73"/>
    </row>
    <row r="1044">
      <c r="E1044" s="73"/>
      <c r="F1044" s="73"/>
      <c r="G1044" s="74"/>
      <c r="J1044" s="73"/>
      <c r="K1044" s="73"/>
      <c r="T1044" s="73"/>
      <c r="U1044" s="73"/>
      <c r="W1044" s="73"/>
      <c r="X1044" s="73"/>
      <c r="Y1044" s="73"/>
    </row>
    <row r="1045">
      <c r="E1045" s="73"/>
      <c r="F1045" s="73"/>
      <c r="G1045" s="74"/>
      <c r="J1045" s="73"/>
      <c r="K1045" s="73"/>
      <c r="T1045" s="73"/>
      <c r="U1045" s="73"/>
      <c r="W1045" s="73"/>
      <c r="X1045" s="73"/>
      <c r="Y1045" s="73"/>
    </row>
    <row r="1046">
      <c r="E1046" s="73"/>
      <c r="F1046" s="73"/>
      <c r="G1046" s="74"/>
      <c r="J1046" s="73"/>
      <c r="K1046" s="73"/>
      <c r="T1046" s="73"/>
      <c r="U1046" s="73"/>
      <c r="W1046" s="73"/>
      <c r="X1046" s="73"/>
      <c r="Y1046" s="73"/>
    </row>
  </sheetData>
  <autoFilter ref="$A$4:$Z$93"/>
  <customSheetViews>
    <customSheetView guid="{16C56306-09C8-45EF-9223-9C2AE2A6BDCF}" filter="1" showAutoFilter="1">
      <autoFilter ref="$A$4:$AK$123"/>
    </customSheetView>
  </customSheetViews>
  <mergeCells count="5">
    <mergeCell ref="K2:S2"/>
    <mergeCell ref="T2:Y3"/>
    <mergeCell ref="K3:M3"/>
    <mergeCell ref="N3:P3"/>
    <mergeCell ref="Q3:S3"/>
  </mergeCells>
  <conditionalFormatting sqref="C1:C1046">
    <cfRule type="containsText" dxfId="1" priority="1" operator="containsText" text="Buy">
      <formula>NOT(ISERROR(SEARCH(("Buy"),(C1))))</formula>
    </cfRule>
  </conditionalFormatting>
  <conditionalFormatting sqref="C1:C1046">
    <cfRule type="containsText" dxfId="2" priority="2" operator="containsText" text="Sell">
      <formula>NOT(ISERROR(SEARCH(("Sell"),(C1))))</formula>
    </cfRule>
  </conditionalFormatting>
  <conditionalFormatting sqref="B1:B2 B4:B1046">
    <cfRule type="containsText" dxfId="0" priority="3" operator="containsText" text="DIV">
      <formula>NOT(ISERROR(SEARCH(("DIV"),(B1))))</formula>
    </cfRule>
  </conditionalFormatting>
  <conditionalFormatting sqref="K1:K1046 N5:N93">
    <cfRule type="colorScale" priority="4">
      <colorScale>
        <cfvo type="min"/>
        <cfvo type="percentile" val="50"/>
        <cfvo type="max"/>
        <color rgb="FFE06666"/>
        <color rgb="FFFFD966"/>
        <color rgb="FF00FF00"/>
      </colorScale>
    </cfRule>
  </conditionalFormatting>
  <conditionalFormatting sqref="G2">
    <cfRule type="notContainsBlanks" dxfId="2" priority="5">
      <formula>LEN(TRIM(G2))&gt;0</formula>
    </cfRule>
  </conditionalFormatting>
  <conditionalFormatting sqref="A5:Z93 AA5:AL46">
    <cfRule type="expression" dxfId="2" priority="6">
      <formula>NOT(ISBLANK($T5))</formula>
    </cfRule>
  </conditionalFormatting>
  <dataValidations>
    <dataValidation type="list" allowBlank="1" showErrorMessage="1" sqref="Z5:Z93">
      <formula1>"SBI Securities,Zerodha"</formula1>
    </dataValidation>
  </dataValidations>
  <drawing r:id="rId1"/>
</worksheet>
</file>