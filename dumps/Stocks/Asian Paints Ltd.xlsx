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9C6C977F_3237_4BC4_BD2A_3FE2D6F9A771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7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78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6" t="n">
        <v>46062</v>
      </c>
      <c r="B5" t="inlineStr">
        <is>
          <t>BSE</t>
        </is>
      </c>
      <c r="C5" t="inlineStr">
        <is>
          <t>Sell</t>
        </is>
      </c>
      <c r="D5" t="n">
        <v>1</v>
      </c>
      <c r="E5" t="n">
        <v>35.7</v>
      </c>
      <c r="F5" t="n">
        <v>35.7</v>
      </c>
      <c r="G5" t="inlineStr">
        <is>
          <t>CN#252611665409</t>
        </is>
      </c>
      <c r="H5" t="n">
        <v>0.04</v>
      </c>
      <c r="I5" t="n">
        <v>0.26</v>
      </c>
    </row>
    <row r="6">
      <c r="A6" s="38" t="n">
        <v>45959</v>
      </c>
      <c r="B6" s="39" t="inlineStr">
        <is>
          <t>NSE</t>
        </is>
      </c>
      <c r="C6" s="39" t="inlineStr">
        <is>
          <t>Buy</t>
        </is>
      </c>
      <c r="D6" s="40" t="n">
        <v>2</v>
      </c>
      <c r="E6" s="41" t="n">
        <v>2553.07</v>
      </c>
      <c r="F6" s="41">
        <f>(D5*E5)+I5</f>
        <v/>
      </c>
      <c r="G6" s="39" t="inlineStr">
        <is>
          <t>~</t>
        </is>
      </c>
      <c r="H6" s="40" t="n"/>
      <c r="I6" s="40" t="n"/>
      <c r="J6" s="42">
        <f>Index!$C$2</f>
        <v/>
      </c>
      <c r="K6" s="43">
        <f>IF(AND( C5="Buy", ISBLANK(W5), B5&lt;&gt;"DIV"), L5/sum(F5:I5), "")</f>
        <v/>
      </c>
      <c r="L6" s="42">
        <f>IF(AND( C5="Buy", ISBLANK(W5), B5&lt;&gt;"DIV"), (1-Index!$F$2*2)*((J5*D5)-(E5*D5)), "")</f>
        <v/>
      </c>
      <c r="M6" s="42">
        <f>IF(AND( C5="Buy", ISBLANK(W5), B5&lt;&gt;"DIV"), ((E5*D5)+L5), "")</f>
        <v/>
      </c>
      <c r="N6" s="44">
        <f>IF(AND( C5="Buy", ISBLANK(W5), B5&lt;&gt;"DIV"), D5, "")</f>
        <v/>
      </c>
      <c r="O6" s="43">
        <f>IF(AND( C5="Buy", ISBLANK(W5), B5&lt;&gt;"DIV", NOW()-A5 &lt; 365), P5/sum(F5:I5), "")</f>
        <v/>
      </c>
      <c r="P6" s="42">
        <f>IF(AND( C5="Buy", ISBLANK(W5), B5&lt;&gt;"DIV", NOW()-A5 &lt; 365), (1-Index!$F$2*2)*((J5*D5)-(E5*D5)), "")</f>
        <v/>
      </c>
      <c r="Q6" s="42">
        <f>IF(AND( C5="Buy", ISBLANK(W5), B5&lt;&gt;"DIV", NOW()-A5 &lt; 365), ((E5*D5)+P5), "")</f>
        <v/>
      </c>
      <c r="R6" s="42">
        <f>IF(AND( C5="Buy", ISBLANK(W5), B5&lt;&gt;"DIV", NOW()-A5 &lt; 365), D5, "")</f>
        <v/>
      </c>
      <c r="S6" s="45">
        <f>IF(AND( C5="Buy", ISBLANK(W5), B5&lt;&gt;"DIV", NOW()-A5 &gt; 365), T5/sum(F5:I5), "")</f>
        <v/>
      </c>
      <c r="T6" s="46">
        <f>IF(AND( C5="Buy", ISBLANK(W5), B5&lt;&gt;"DIV", NOW()-A5 &gt; 365), (1-Index!$F$2*2)*((J5*D5)-(E5*D5)), "")</f>
        <v/>
      </c>
      <c r="U6" s="46">
        <f>IF(AND( C5="Buy", ISBLANK(W5), B5&lt;&gt;"DIV", NOW()-A5 &gt; 365), ((E5*D5)+T5), "")</f>
        <v/>
      </c>
      <c r="V6" s="46">
        <f>IF(AND( C5="Buy", ISBLANK(W5), B5&lt;&gt;"DIV", NOW()-A5 &gt; 365), D5, "")</f>
        <v/>
      </c>
      <c r="W6" s="46" t="n"/>
      <c r="X6" s="46" t="n"/>
      <c r="Y6" s="45">
        <f>IF(AND( C5="Buy", W5&lt;&gt;"", AA5&lt;&gt;"", B5&lt;&gt;"DIV"), Z5/sum(F5:I5), "")</f>
        <v/>
      </c>
      <c r="Z6" s="46" t="n"/>
      <c r="AA6" s="46" t="n"/>
      <c r="AB6" s="47" t="n"/>
      <c r="AC6" s="42">
        <f>if(B5="DIV", F5,"")</f>
        <v/>
      </c>
      <c r="AD6" s="48" t="n"/>
    </row>
    <row r="7">
      <c r="A7" s="38" t="n">
        <v>45957</v>
      </c>
      <c r="B7" s="39" t="inlineStr">
        <is>
          <t>NSE</t>
        </is>
      </c>
      <c r="C7" s="39" t="inlineStr">
        <is>
          <t>Buy</t>
        </is>
      </c>
      <c r="D7" s="40" t="n">
        <v>2</v>
      </c>
      <c r="E7" s="41" t="n">
        <v>2538.57</v>
      </c>
      <c r="F7" s="41">
        <f>(D6*E6)+I6</f>
        <v/>
      </c>
      <c r="G7" s="39" t="inlineStr">
        <is>
          <t>~</t>
        </is>
      </c>
      <c r="H7" s="40" t="n"/>
      <c r="I7" s="40" t="n"/>
      <c r="J7" s="42">
        <f>Index!$C$2</f>
        <v/>
      </c>
      <c r="K7" s="43">
        <f>IF(AND( C6="Buy", ISBLANK(W6), B6&lt;&gt;"DIV"), L6/sum(F6:I6), "")</f>
        <v/>
      </c>
      <c r="L7" s="42">
        <f>IF(AND( C6="Buy", ISBLANK(W6), B6&lt;&gt;"DIV"), (1-Index!$F$2*2)*((J6*D6)-(E6*D6)), "")</f>
        <v/>
      </c>
      <c r="M7" s="42">
        <f>IF(AND( C6="Buy", ISBLANK(W6), B6&lt;&gt;"DIV"), ((E6*D6)+L6), "")</f>
        <v/>
      </c>
      <c r="N7" s="44">
        <f>IF(AND( C6="Buy", ISBLANK(W6), B6&lt;&gt;"DIV"), D6, "")</f>
        <v/>
      </c>
      <c r="O7" s="43">
        <f>IF(AND( C6="Buy", ISBLANK(W6), B6&lt;&gt;"DIV", NOW()-A6 &lt; 365), P6/sum(F6:I6), "")</f>
        <v/>
      </c>
      <c r="P7" s="42">
        <f>IF(AND( C6="Buy", ISBLANK(W6), B6&lt;&gt;"DIV", NOW()-A6 &lt; 365), (1-Index!$F$2*2)*((J6*D6)-(E6*D6)), "")</f>
        <v/>
      </c>
      <c r="Q7" s="42">
        <f>IF(AND( C6="Buy", ISBLANK(W6), B6&lt;&gt;"DIV", NOW()-A6 &lt; 365), ((E6*D6)+P6), "")</f>
        <v/>
      </c>
      <c r="R7" s="42">
        <f>IF(AND( C6="Buy", ISBLANK(W6), B6&lt;&gt;"DIV", NOW()-A6 &lt; 365), D6, "")</f>
        <v/>
      </c>
      <c r="S7" s="45">
        <f>IF(AND( C6="Buy", ISBLANK(W6), B6&lt;&gt;"DIV", NOW()-A6 &gt; 365), T6/sum(F6:I6), "")</f>
        <v/>
      </c>
      <c r="T7" s="46">
        <f>IF(AND( C6="Buy", ISBLANK(W6), B6&lt;&gt;"DIV", NOW()-A6 &gt; 365), (1-Index!$F$2*2)*((J6*D6)-(E6*D6)), "")</f>
        <v/>
      </c>
      <c r="U7" s="46">
        <f>IF(AND( C6="Buy", ISBLANK(W6), B6&lt;&gt;"DIV", NOW()-A6 &gt; 365), ((E6*D6)+T6), "")</f>
        <v/>
      </c>
      <c r="V7" s="46">
        <f>IF(AND( C6="Buy", ISBLANK(W6), B6&lt;&gt;"DIV", NOW()-A6 &gt; 365), D6, "")</f>
        <v/>
      </c>
      <c r="W7" s="46" t="n"/>
      <c r="X7" s="46" t="n"/>
      <c r="Y7" s="45">
        <f>IF(AND( C6="Buy", W6&lt;&gt;"", AA6&lt;&gt;"", B6&lt;&gt;"DIV"), Z6/sum(F6:I6), "")</f>
        <v/>
      </c>
      <c r="Z7" s="46" t="n"/>
      <c r="AA7" s="46" t="n"/>
      <c r="AB7" s="47" t="n"/>
      <c r="AC7" s="42">
        <f>if(B6="DIV", F6,"")</f>
        <v/>
      </c>
      <c r="AD7" s="48" t="n"/>
    </row>
    <row r="8">
      <c r="A8" s="38" t="n">
        <v>45954</v>
      </c>
      <c r="B8" s="39" t="inlineStr">
        <is>
          <t>NSE</t>
        </is>
      </c>
      <c r="C8" s="39" t="inlineStr">
        <is>
          <t>Buy</t>
        </is>
      </c>
      <c r="D8" s="40" t="n">
        <v>2</v>
      </c>
      <c r="E8" s="41" t="n">
        <v>2514.91</v>
      </c>
      <c r="F8" s="41">
        <f>(D7*E7)+I7</f>
        <v/>
      </c>
      <c r="G8" s="39" t="inlineStr">
        <is>
          <t>~</t>
        </is>
      </c>
      <c r="H8" s="40" t="n"/>
      <c r="I8" s="40" t="n"/>
      <c r="J8" s="42">
        <f>Index!$C$2</f>
        <v/>
      </c>
      <c r="K8" s="43">
        <f>IF(AND( C7="Buy", ISBLANK(W7), B7&lt;&gt;"DIV"), L7/sum(F7:I7), "")</f>
        <v/>
      </c>
      <c r="L8" s="42">
        <f>IF(AND( C7="Buy", ISBLANK(W7), B7&lt;&gt;"DIV"), (1-Index!$F$2*2)*((J7*D7)-(E7*D7)), "")</f>
        <v/>
      </c>
      <c r="M8" s="42">
        <f>IF(AND( C7="Buy", ISBLANK(W7), B7&lt;&gt;"DIV"), ((E7*D7)+L7), "")</f>
        <v/>
      </c>
      <c r="N8" s="44">
        <f>IF(AND( C7="Buy", ISBLANK(W7), B7&lt;&gt;"DIV"), D7, "")</f>
        <v/>
      </c>
      <c r="O8" s="43">
        <f>IF(AND( C7="Buy", ISBLANK(W7), B7&lt;&gt;"DIV", NOW()-A7 &lt; 365), P7/sum(F7:I7), "")</f>
        <v/>
      </c>
      <c r="P8" s="42">
        <f>IF(AND( C7="Buy", ISBLANK(W7), B7&lt;&gt;"DIV", NOW()-A7 &lt; 365), (1-Index!$F$2*2)*((J7*D7)-(E7*D7)), "")</f>
        <v/>
      </c>
      <c r="Q8" s="42">
        <f>IF(AND( C7="Buy", ISBLANK(W7), B7&lt;&gt;"DIV", NOW()-A7 &lt; 365), ((E7*D7)+P7), "")</f>
        <v/>
      </c>
      <c r="R8" s="42">
        <f>IF(AND( C7="Buy", ISBLANK(W7), B7&lt;&gt;"DIV", NOW()-A7 &lt; 365), D7, "")</f>
        <v/>
      </c>
      <c r="S8" s="45">
        <f>IF(AND( C7="Buy", ISBLANK(W7), B7&lt;&gt;"DIV", NOW()-A7 &gt; 365), T7/sum(F7:I7), "")</f>
        <v/>
      </c>
      <c r="T8" s="46">
        <f>IF(AND( C7="Buy", ISBLANK(W7), B7&lt;&gt;"DIV", NOW()-A7 &gt; 365), (1-Index!$F$2*2)*((J7*D7)-(E7*D7)), "")</f>
        <v/>
      </c>
      <c r="U8" s="46">
        <f>IF(AND( C7="Buy", ISBLANK(W7), B7&lt;&gt;"DIV", NOW()-A7 &gt; 365), ((E7*D7)+T7), "")</f>
        <v/>
      </c>
      <c r="V8" s="46">
        <f>IF(AND( C7="Buy", ISBLANK(W7), B7&lt;&gt;"DIV", NOW()-A7 &gt; 365), D7, "")</f>
        <v/>
      </c>
      <c r="W8" s="46" t="n"/>
      <c r="X8" s="46" t="n"/>
      <c r="Y8" s="45">
        <f>IF(AND( C7="Buy", W7&lt;&gt;"", AA7&lt;&gt;"", B7&lt;&gt;"DIV"), Z7/sum(F7:I7), "")</f>
        <v/>
      </c>
      <c r="Z8" s="46" t="n"/>
      <c r="AA8" s="46" t="n"/>
      <c r="AB8" s="47" t="n"/>
      <c r="AC8" s="42">
        <f>if(B7="DIV", F7,"")</f>
        <v/>
      </c>
      <c r="AD8" s="48" t="n"/>
    </row>
    <row r="9">
      <c r="A9" s="38" t="n">
        <v>45950</v>
      </c>
      <c r="B9" s="39" t="inlineStr">
        <is>
          <t>NSE</t>
        </is>
      </c>
      <c r="C9" s="39" t="inlineStr">
        <is>
          <t>Buy</t>
        </is>
      </c>
      <c r="D9" s="40" t="n">
        <v>4</v>
      </c>
      <c r="E9" s="41" t="n">
        <v>2539.28</v>
      </c>
      <c r="F9" s="41">
        <f>(D8*E8)+I8</f>
        <v/>
      </c>
      <c r="G9" s="39" t="inlineStr">
        <is>
          <t>~</t>
        </is>
      </c>
      <c r="H9" s="40" t="n"/>
      <c r="I9" s="40" t="n"/>
      <c r="J9" s="42">
        <f>Index!$C$2</f>
        <v/>
      </c>
      <c r="K9" s="43">
        <f>IF(AND( C8="Buy", ISBLANK(W8), B8&lt;&gt;"DIV"), L8/sum(F8:I8), "")</f>
        <v/>
      </c>
      <c r="L9" s="42">
        <f>IF(AND( C8="Buy", ISBLANK(W8), B8&lt;&gt;"DIV"), (1-Index!$F$2*2)*((J8*D8)-(E8*D8)), "")</f>
        <v/>
      </c>
      <c r="M9" s="42">
        <f>IF(AND( C8="Buy", ISBLANK(W8), B8&lt;&gt;"DIV"), ((E8*D8)+L8), "")</f>
        <v/>
      </c>
      <c r="N9" s="44">
        <f>IF(AND( C8="Buy", ISBLANK(W8), B8&lt;&gt;"DIV"), D8, "")</f>
        <v/>
      </c>
      <c r="O9" s="43">
        <f>IF(AND( C8="Buy", ISBLANK(W8), B8&lt;&gt;"DIV", NOW()-A8 &lt; 365), P8/sum(F8:I8), "")</f>
        <v/>
      </c>
      <c r="P9" s="42">
        <f>IF(AND( C8="Buy", ISBLANK(W8), B8&lt;&gt;"DIV", NOW()-A8 &lt; 365), (1-Index!$F$2*2)*((J8*D8)-(E8*D8)), "")</f>
        <v/>
      </c>
      <c r="Q9" s="42">
        <f>IF(AND( C8="Buy", ISBLANK(W8), B8&lt;&gt;"DIV", NOW()-A8 &lt; 365), ((E8*D8)+P8), "")</f>
        <v/>
      </c>
      <c r="R9" s="42">
        <f>IF(AND( C8="Buy", ISBLANK(W8), B8&lt;&gt;"DIV", NOW()-A8 &lt; 365), D8, "")</f>
        <v/>
      </c>
      <c r="S9" s="45">
        <f>IF(AND( C8="Buy", ISBLANK(W8), B8&lt;&gt;"DIV", NOW()-A8 &gt; 365), T8/sum(F8:I8), "")</f>
        <v/>
      </c>
      <c r="T9" s="46">
        <f>IF(AND( C8="Buy", ISBLANK(W8), B8&lt;&gt;"DIV", NOW()-A8 &gt; 365), (1-Index!$F$2*2)*((J8*D8)-(E8*D8)), "")</f>
        <v/>
      </c>
      <c r="U9" s="46">
        <f>IF(AND( C8="Buy", ISBLANK(W8), B8&lt;&gt;"DIV", NOW()-A8 &gt; 365), ((E8*D8)+T8), "")</f>
        <v/>
      </c>
      <c r="V9" s="46">
        <f>IF(AND( C8="Buy", ISBLANK(W8), B8&lt;&gt;"DIV", NOW()-A8 &gt; 365), D8, "")</f>
        <v/>
      </c>
      <c r="W9" s="46" t="n"/>
      <c r="X9" s="46" t="n"/>
      <c r="Y9" s="45">
        <f>IF(AND( C8="Buy", W8&lt;&gt;"", AA8&lt;&gt;"", B8&lt;&gt;"DIV"), Z8/sum(F8:I8), "")</f>
        <v/>
      </c>
      <c r="Z9" s="46" t="n"/>
      <c r="AA9" s="46" t="n"/>
      <c r="AB9" s="47" t="n"/>
      <c r="AC9" s="42">
        <f>if(B8="DIV", F8,"")</f>
        <v/>
      </c>
      <c r="AD9" s="48" t="n"/>
    </row>
    <row r="10">
      <c r="A10" s="38" t="n">
        <v>45924</v>
      </c>
      <c r="B10" s="39" t="inlineStr">
        <is>
          <t>NSE</t>
        </is>
      </c>
      <c r="C10" s="39" t="inlineStr">
        <is>
          <t>Buy</t>
        </is>
      </c>
      <c r="D10" s="40" t="n">
        <v>5</v>
      </c>
      <c r="E10" s="41" t="n">
        <v>2487.71</v>
      </c>
      <c r="F10" s="41">
        <f>(D9*E9)+I9</f>
        <v/>
      </c>
      <c r="G10" s="39" t="inlineStr">
        <is>
          <t>~</t>
        </is>
      </c>
      <c r="H10" s="40" t="n"/>
      <c r="I10" s="40" t="n"/>
      <c r="J10" s="42">
        <f>Index!$C$2</f>
        <v/>
      </c>
      <c r="K10" s="43">
        <f>IF(AND( C9="Buy", ISBLANK(W9), B9&lt;&gt;"DIV"), L9/sum(F9:I9), "")</f>
        <v/>
      </c>
      <c r="L10" s="42">
        <f>IF(AND( C9="Buy", ISBLANK(W9), B9&lt;&gt;"DIV"), (1-Index!$F$2*2)*((J9*D9)-(E9*D9)), "")</f>
        <v/>
      </c>
      <c r="M10" s="42">
        <f>IF(AND( C9="Buy", ISBLANK(W9), B9&lt;&gt;"DIV"), ((E9*D9)+L9), "")</f>
        <v/>
      </c>
      <c r="N10" s="44">
        <f>IF(AND( C9="Buy", ISBLANK(W9), B9&lt;&gt;"DIV"), D9, "")</f>
        <v/>
      </c>
      <c r="O10" s="43">
        <f>IF(AND( C9="Buy", ISBLANK(W9), B9&lt;&gt;"DIV", NOW()-A9 &lt; 365), P9/sum(F9:I9), "")</f>
        <v/>
      </c>
      <c r="P10" s="42">
        <f>IF(AND( C9="Buy", ISBLANK(W9), B9&lt;&gt;"DIV", NOW()-A9 &lt; 365), (1-Index!$F$2*2)*((J9*D9)-(E9*D9)), "")</f>
        <v/>
      </c>
      <c r="Q10" s="42">
        <f>IF(AND( C9="Buy", ISBLANK(W9), B9&lt;&gt;"DIV", NOW()-A9 &lt; 365), ((E9*D9)+P9), "")</f>
        <v/>
      </c>
      <c r="R10" s="42">
        <f>IF(AND( C9="Buy", ISBLANK(W9), B9&lt;&gt;"DIV", NOW()-A9 &lt; 365), D9, "")</f>
        <v/>
      </c>
      <c r="S10" s="45">
        <f>IF(AND( C9="Buy", ISBLANK(W9), B9&lt;&gt;"DIV", NOW()-A9 &gt; 365), T9/sum(F9:I9), "")</f>
        <v/>
      </c>
      <c r="T10" s="46">
        <f>IF(AND( C9="Buy", ISBLANK(W9), B9&lt;&gt;"DIV", NOW()-A9 &gt; 365), (1-Index!$F$2*2)*((J9*D9)-(E9*D9)), "")</f>
        <v/>
      </c>
      <c r="U10" s="46">
        <f>IF(AND( C9="Buy", ISBLANK(W9), B9&lt;&gt;"DIV", NOW()-A9 &gt; 365), ((E9*D9)+T9), "")</f>
        <v/>
      </c>
      <c r="V10" s="46">
        <f>IF(AND( C9="Buy", ISBLANK(W9), B9&lt;&gt;"DIV", NOW()-A9 &gt; 365), D9, "")</f>
        <v/>
      </c>
      <c r="W10" s="46" t="n"/>
      <c r="X10" s="46" t="n"/>
      <c r="Y10" s="45">
        <f>IF(AND( C9="Buy", W9&lt;&gt;"", AA9&lt;&gt;"", B9&lt;&gt;"DIV"), Z9/sum(F9:I9), "")</f>
        <v/>
      </c>
      <c r="Z10" s="46" t="n"/>
      <c r="AA10" s="46" t="n"/>
      <c r="AB10" s="47" t="n"/>
      <c r="AC10" s="42">
        <f>if(B9="DIV", F9,"")</f>
        <v/>
      </c>
      <c r="AD10" s="48" t="n"/>
    </row>
    <row r="11">
      <c r="A11" s="38" t="n">
        <v>45855</v>
      </c>
      <c r="B11" s="39" t="inlineStr">
        <is>
          <t>NSE</t>
        </is>
      </c>
      <c r="C11" s="39" t="inlineStr">
        <is>
          <t>Buy</t>
        </is>
      </c>
      <c r="D11" s="40" t="n">
        <v>2</v>
      </c>
      <c r="E11" s="41" t="n">
        <v>2420.93</v>
      </c>
      <c r="F11" s="41" t="n">
        <v>4841.86</v>
      </c>
      <c r="G11" s="39" t="inlineStr">
        <is>
          <t>~</t>
        </is>
      </c>
      <c r="H11" s="40" t="n">
        <v>4.81</v>
      </c>
      <c r="I11" s="40" t="n">
        <v>29.25</v>
      </c>
      <c r="J11" s="42">
        <f>Index!$C$2</f>
        <v/>
      </c>
      <c r="K11" s="43">
        <f>IF(AND( C10="Buy", ISBLANK(W10), B10&lt;&gt;"DIV"), L10/sum(F10:I10), "")</f>
        <v/>
      </c>
      <c r="L11" s="42">
        <f>IF(AND( C10="Buy", ISBLANK(W10), B10&lt;&gt;"DIV"), (1-Index!$F$2*2)*((J10*D10)-(E10*D10)), "")</f>
        <v/>
      </c>
      <c r="M11" s="42">
        <f>IF(AND( C10="Buy", ISBLANK(W10), B10&lt;&gt;"DIV"), ((E10*D10)+L10), "")</f>
        <v/>
      </c>
      <c r="N11" s="44">
        <f>IF(AND( C10="Buy", ISBLANK(W10), B10&lt;&gt;"DIV"), D10, "")</f>
        <v/>
      </c>
      <c r="O11" s="43">
        <f>IF(AND( C10="Buy", ISBLANK(W10), B10&lt;&gt;"DIV", NOW()-A10 &lt; 365), P10/sum(F10:I10), "")</f>
        <v/>
      </c>
      <c r="P11" s="42">
        <f>IF(AND( C10="Buy", ISBLANK(W10), B10&lt;&gt;"DIV", NOW()-A10 &lt; 365), (1-Index!$F$2*2)*((J10*D10)-(E10*D10)), "")</f>
        <v/>
      </c>
      <c r="Q11" s="42">
        <f>IF(AND( C10="Buy", ISBLANK(W10), B10&lt;&gt;"DIV", NOW()-A10 &lt; 365), ((E10*D10)+P10), "")</f>
        <v/>
      </c>
      <c r="R11" s="42">
        <f>IF(AND( C10="Buy", ISBLANK(W10), B10&lt;&gt;"DIV", NOW()-A10 &lt; 365), D10, "")</f>
        <v/>
      </c>
      <c r="S11" s="45">
        <f>IF(AND( C10="Buy", ISBLANK(W10), B10&lt;&gt;"DIV", NOW()-A10 &gt; 365), T10/sum(F10:I10), "")</f>
        <v/>
      </c>
      <c r="T11" s="46">
        <f>IF(AND( C10="Buy", ISBLANK(W10), B10&lt;&gt;"DIV", NOW()-A10 &gt; 365), (1-Index!$F$2*2)*((J10*D10)-(E10*D10)), "")</f>
        <v/>
      </c>
      <c r="U11" s="46">
        <f>IF(AND( C10="Buy", ISBLANK(W10), B10&lt;&gt;"DIV", NOW()-A10 &gt; 365), ((E10*D10)+T10), "")</f>
        <v/>
      </c>
      <c r="V11" s="46">
        <f>IF(AND( C10="Buy", ISBLANK(W10), B10&lt;&gt;"DIV", NOW()-A10 &gt; 365), D10, "")</f>
        <v/>
      </c>
      <c r="W11" s="46" t="n"/>
      <c r="X11" s="46" t="n"/>
      <c r="Y11" s="45">
        <f>IF(AND( C10="Buy", W10&lt;&gt;"", AA10&lt;&gt;"", B10&lt;&gt;"DIV"), Z10/sum(F10:I10), "")</f>
        <v/>
      </c>
      <c r="Z11" s="46" t="n"/>
      <c r="AA11" s="46" t="n"/>
      <c r="AB11" s="47" t="n"/>
      <c r="AC11" s="42">
        <f>if(B10="DIV", F10,"")</f>
        <v/>
      </c>
      <c r="AD11" s="48" t="n"/>
    </row>
    <row r="12">
      <c r="A12" s="38" t="n">
        <v>45855</v>
      </c>
      <c r="B12" s="39" t="inlineStr">
        <is>
          <t>NSE</t>
        </is>
      </c>
      <c r="C12" s="39" t="inlineStr">
        <is>
          <t>Buy</t>
        </is>
      </c>
      <c r="D12" s="40" t="n">
        <v>1</v>
      </c>
      <c r="E12" s="41" t="n">
        <v>2420.93</v>
      </c>
      <c r="F12" s="41" t="n">
        <v>2420.93</v>
      </c>
      <c r="G12" s="39" t="inlineStr">
        <is>
          <t>~</t>
        </is>
      </c>
      <c r="H12" s="40" t="n">
        <v>2.4</v>
      </c>
      <c r="I12" s="40" t="n">
        <v>14.63</v>
      </c>
      <c r="J12" s="42">
        <f>Index!$C$2</f>
        <v/>
      </c>
      <c r="K12" s="43">
        <f>IF(AND( C11="Buy", ISBLANK(W11), B11&lt;&gt;"DIV"), L11/sum(F11:I11), "")</f>
        <v/>
      </c>
      <c r="L12" s="42">
        <f>IF(AND( C11="Buy", ISBLANK(W11), B11&lt;&gt;"DIV"), (1-Index!$F$2*2)*((J11*D11)-(E11*D11)), "")</f>
        <v/>
      </c>
      <c r="M12" s="42">
        <f>IF(AND( C11="Buy", ISBLANK(W11), B11&lt;&gt;"DIV"), ((E11*D11)+L11), "")</f>
        <v/>
      </c>
      <c r="N12" s="44">
        <f>IF(AND( C11="Buy", ISBLANK(W11), B11&lt;&gt;"DIV"), D11, "")</f>
        <v/>
      </c>
      <c r="O12" s="43">
        <f>IF(AND( C11="Buy", ISBLANK(W11), B11&lt;&gt;"DIV", NOW()-A11 &lt; 365), P11/sum(F11:I11), "")</f>
        <v/>
      </c>
      <c r="P12" s="42">
        <f>IF(AND( C11="Buy", ISBLANK(W11), B11&lt;&gt;"DIV", NOW()-A11 &lt; 365), (1-Index!$F$2*2)*((J11*D11)-(E11*D11)), "")</f>
        <v/>
      </c>
      <c r="Q12" s="42">
        <f>IF(AND( C11="Buy", ISBLANK(W11), B11&lt;&gt;"DIV", NOW()-A11 &lt; 365), ((E11*D11)+P11), "")</f>
        <v/>
      </c>
      <c r="R12" s="42">
        <f>IF(AND( C11="Buy", ISBLANK(W11), B11&lt;&gt;"DIV", NOW()-A11 &lt; 365), D11, "")</f>
        <v/>
      </c>
      <c r="S12" s="45">
        <f>IF(AND( C11="Buy", ISBLANK(W11), B11&lt;&gt;"DIV", NOW()-A11 &gt; 365), T11/sum(F11:I11), "")</f>
        <v/>
      </c>
      <c r="T12" s="46">
        <f>IF(AND( C11="Buy", ISBLANK(W11), B11&lt;&gt;"DIV", NOW()-A11 &gt; 365), (1-Index!$F$2*2)*((J11*D11)-(E11*D11)), "")</f>
        <v/>
      </c>
      <c r="U12" s="46">
        <f>IF(AND( C11="Buy", ISBLANK(W11), B11&lt;&gt;"DIV", NOW()-A11 &gt; 365), ((E11*D11)+T11), "")</f>
        <v/>
      </c>
      <c r="V12" s="46">
        <f>IF(AND( C11="Buy", ISBLANK(W11), B11&lt;&gt;"DIV", NOW()-A11 &gt; 365), D11, "")</f>
        <v/>
      </c>
      <c r="W12" s="46" t="n"/>
      <c r="X12" s="46" t="n"/>
      <c r="Y12" s="45">
        <f>IF(AND( C11="Buy", W11&lt;&gt;"", AA11&lt;&gt;"", B11&lt;&gt;"DIV"), Z11/sum(F11:I11), "")</f>
        <v/>
      </c>
      <c r="Z12" s="46" t="n"/>
      <c r="AA12" s="46" t="n"/>
      <c r="AB12" s="47" t="n"/>
      <c r="AC12" s="42">
        <f>if(B11="DIV", F11,"")</f>
        <v/>
      </c>
      <c r="AD12" s="48" t="n"/>
    </row>
    <row r="13">
      <c r="A13" s="38" t="n">
        <v>45820</v>
      </c>
      <c r="B13" s="39" t="inlineStr">
        <is>
          <t>NSE</t>
        </is>
      </c>
      <c r="C13" s="39" t="inlineStr">
        <is>
          <t>Buy</t>
        </is>
      </c>
      <c r="D13" s="40" t="n">
        <v>6</v>
      </c>
      <c r="E13" s="41" t="n">
        <v>2269.87</v>
      </c>
      <c r="F13" s="41" t="n">
        <v>13619.21</v>
      </c>
      <c r="G13" s="39" t="inlineStr">
        <is>
          <t>~</t>
        </is>
      </c>
      <c r="H13" s="40" t="n">
        <v>13.5</v>
      </c>
      <c r="I13" s="40" t="n">
        <v>82.31</v>
      </c>
      <c r="J13" s="42">
        <f>Index!$C$2</f>
        <v/>
      </c>
      <c r="K13" s="43">
        <f>IF(AND( C12="Buy", ISBLANK(W12), B12&lt;&gt;"DIV"), L12/sum(F12:I12), "")</f>
        <v/>
      </c>
      <c r="L13" s="42">
        <f>IF(AND( C12="Buy", ISBLANK(W12), B12&lt;&gt;"DIV"), (1-Index!$F$2*2)*((J12*D12)-(E12*D12)), "")</f>
        <v/>
      </c>
      <c r="M13" s="42">
        <f>IF(AND( C12="Buy", ISBLANK(W12), B12&lt;&gt;"DIV"), ((E12*D12)+L12), "")</f>
        <v/>
      </c>
      <c r="N13" s="44">
        <f>IF(AND( C12="Buy", ISBLANK(W12), B12&lt;&gt;"DIV"), D12, "")</f>
        <v/>
      </c>
      <c r="O13" s="43">
        <f>IF(AND( C12="Buy", ISBLANK(W12), B12&lt;&gt;"DIV", NOW()-A12 &lt; 365), P12/sum(F12:I12), "")</f>
        <v/>
      </c>
      <c r="P13" s="42">
        <f>IF(AND( C12="Buy", ISBLANK(W12), B12&lt;&gt;"DIV", NOW()-A12 &lt; 365), (1-Index!$F$2*2)*((J12*D12)-(E12*D12)), "")</f>
        <v/>
      </c>
      <c r="Q13" s="42">
        <f>IF(AND( C12="Buy", ISBLANK(W12), B12&lt;&gt;"DIV", NOW()-A12 &lt; 365), ((E12*D12)+P12), "")</f>
        <v/>
      </c>
      <c r="R13" s="42">
        <f>IF(AND( C12="Buy", ISBLANK(W12), B12&lt;&gt;"DIV", NOW()-A12 &lt; 365), D12, "")</f>
        <v/>
      </c>
      <c r="S13" s="45">
        <f>IF(AND( C12="Buy", ISBLANK(W12), B12&lt;&gt;"DIV", NOW()-A12 &gt; 365), T12/sum(F12:I12), "")</f>
        <v/>
      </c>
      <c r="T13" s="46">
        <f>IF(AND( C12="Buy", ISBLANK(W12), B12&lt;&gt;"DIV", NOW()-A12 &gt; 365), (1-Index!$F$2*2)*((J12*D12)-(E12*D12)), "")</f>
        <v/>
      </c>
      <c r="U13" s="46">
        <f>IF(AND( C12="Buy", ISBLANK(W12), B12&lt;&gt;"DIV", NOW()-A12 &gt; 365), ((E12*D12)+T12), "")</f>
        <v/>
      </c>
      <c r="V13" s="46">
        <f>IF(AND( C12="Buy", ISBLANK(W12), B12&lt;&gt;"DIV", NOW()-A12 &gt; 365), D12, "")</f>
        <v/>
      </c>
      <c r="W13" s="46" t="n"/>
      <c r="X13" s="46" t="n"/>
      <c r="Y13" s="45">
        <f>IF(AND( C12="Buy", W12&lt;&gt;"", AA12&lt;&gt;"", B12&lt;&gt;"DIV"), Z12/sum(F12:I12), "")</f>
        <v/>
      </c>
      <c r="Z13" s="46" t="n"/>
      <c r="AA13" s="46" t="n"/>
      <c r="AB13" s="47" t="n"/>
      <c r="AC13" s="42">
        <f>if(B12="DIV", F12,"")</f>
        <v/>
      </c>
      <c r="AD13" s="48" t="n"/>
    </row>
    <row r="14">
      <c r="A14" s="38" t="n">
        <v>45818</v>
      </c>
      <c r="B14" s="39" t="inlineStr">
        <is>
          <t>DIV</t>
        </is>
      </c>
      <c r="C14" s="39" t="inlineStr">
        <is>
          <t>Buy</t>
        </is>
      </c>
      <c r="D14" s="40" t="n">
        <v>16</v>
      </c>
      <c r="E14" s="41" t="n">
        <v>20.55</v>
      </c>
      <c r="F14" s="41" t="n">
        <v>328.8</v>
      </c>
      <c r="G14" s="39" t="inlineStr">
        <is>
          <t>Final-Dividend of Rs.20.5500/- per share on Ex-Date: 10-JUN-2025</t>
        </is>
      </c>
      <c r="H14" s="40" t="n">
        <v>0</v>
      </c>
      <c r="I14" s="40" t="n">
        <v>0</v>
      </c>
      <c r="J14" s="42">
        <f>Index!$C$2</f>
        <v/>
      </c>
      <c r="K14" s="43">
        <f>IF(AND( C13="Buy", ISBLANK(W13), B13&lt;&gt;"DIV"), L13/sum(F13:I13), "")</f>
        <v/>
      </c>
      <c r="L14" s="42">
        <f>IF(AND( C13="Buy", ISBLANK(W13), B13&lt;&gt;"DIV"), (1-Index!$F$2*2)*((J13*D13)-(E13*D13)), "")</f>
        <v/>
      </c>
      <c r="M14" s="42">
        <f>IF(AND( C13="Buy", ISBLANK(W13), B13&lt;&gt;"DIV"), ((E13*D13)+L13), "")</f>
        <v/>
      </c>
      <c r="N14" s="44">
        <f>IF(AND( C13="Buy", ISBLANK(W13), B13&lt;&gt;"DIV"), D13, "")</f>
        <v/>
      </c>
      <c r="O14" s="43">
        <f>IF(AND( C13="Buy", ISBLANK(W13), B13&lt;&gt;"DIV", NOW()-A13 &lt; 365), P13/sum(F13:I13), "")</f>
        <v/>
      </c>
      <c r="P14" s="42">
        <f>IF(AND( C13="Buy", ISBLANK(W13), B13&lt;&gt;"DIV", NOW()-A13 &lt; 365), (1-Index!$F$2*2)*((J13*D13)-(E13*D13)), "")</f>
        <v/>
      </c>
      <c r="Q14" s="42">
        <f>IF(AND( C13="Buy", ISBLANK(W13), B13&lt;&gt;"DIV", NOW()-A13 &lt; 365), ((E13*D13)+P13), "")</f>
        <v/>
      </c>
      <c r="R14" s="42">
        <f>IF(AND( C13="Buy", ISBLANK(W13), B13&lt;&gt;"DIV", NOW()-A13 &lt; 365), D13, "")</f>
        <v/>
      </c>
      <c r="S14" s="45">
        <f>IF(AND( C13="Buy", ISBLANK(W13), B13&lt;&gt;"DIV", NOW()-A13 &gt; 365), T13/sum(F13:I13), "")</f>
        <v/>
      </c>
      <c r="T14" s="46">
        <f>IF(AND( C13="Buy", ISBLANK(W13), B13&lt;&gt;"DIV", NOW()-A13 &gt; 365), (1-Index!$F$2*2)*((J13*D13)-(E13*D13)), "")</f>
        <v/>
      </c>
      <c r="U14" s="46">
        <f>IF(AND( C13="Buy", ISBLANK(W13), B13&lt;&gt;"DIV", NOW()-A13 &gt; 365), ((E13*D13)+T13), "")</f>
        <v/>
      </c>
      <c r="V14" s="46">
        <f>IF(AND( C13="Buy", ISBLANK(W13), B13&lt;&gt;"DIV", NOW()-A13 &gt; 365), D13, "")</f>
        <v/>
      </c>
      <c r="W14" s="46" t="n"/>
      <c r="X14" s="46" t="n"/>
      <c r="Y14" s="45">
        <f>IF(AND( C13="Buy", W13&lt;&gt;"", AA13&lt;&gt;"", B13&lt;&gt;"DIV"), Z13/sum(F13:I13), "")</f>
        <v/>
      </c>
      <c r="Z14" s="46" t="n"/>
      <c r="AA14" s="46" t="n"/>
      <c r="AB14" s="47" t="n"/>
      <c r="AC14" s="42">
        <f>if(B13="DIV", F13,"")</f>
        <v/>
      </c>
      <c r="AD14" s="48" t="n"/>
    </row>
    <row r="15">
      <c r="A15" s="38" t="n">
        <v>45812</v>
      </c>
      <c r="B15" s="39" t="inlineStr">
        <is>
          <t>NSE</t>
        </is>
      </c>
      <c r="C15" s="39" t="inlineStr">
        <is>
          <t>Buy</t>
        </is>
      </c>
      <c r="D15" s="40" t="n">
        <v>1</v>
      </c>
      <c r="E15" s="41" t="n">
        <v>2267.87</v>
      </c>
      <c r="F15" s="41" t="n">
        <v>2267.87</v>
      </c>
      <c r="G15" s="39" t="inlineStr">
        <is>
          <t>~</t>
        </is>
      </c>
      <c r="H15" s="40" t="n">
        <v>2.26</v>
      </c>
      <c r="I15" s="40" t="n">
        <v>13.71</v>
      </c>
      <c r="J15" s="42">
        <f>Index!$C$2</f>
        <v/>
      </c>
      <c r="K15" s="43">
        <f>IF(AND( C14="Buy", ISBLANK(W14), B14&lt;&gt;"DIV"), L14/sum(F14:I14), "")</f>
        <v/>
      </c>
      <c r="L15" s="42">
        <f>IF(AND( C14="Buy", ISBLANK(W14), B14&lt;&gt;"DIV"), (1-Index!$F$2*2)*((J14*D14)-(E14*D14)), "")</f>
        <v/>
      </c>
      <c r="M15" s="42">
        <f>IF(AND( C14="Buy", ISBLANK(W14), B14&lt;&gt;"DIV"), ((E14*D14)+L14), "")</f>
        <v/>
      </c>
      <c r="N15" s="44">
        <f>IF(AND( C14="Buy", ISBLANK(W14), B14&lt;&gt;"DIV"), D14, "")</f>
        <v/>
      </c>
      <c r="O15" s="43">
        <f>IF(AND( C14="Buy", ISBLANK(W14), B14&lt;&gt;"DIV", NOW()-A14 &lt; 365), P14/sum(F14:I14), "")</f>
        <v/>
      </c>
      <c r="P15" s="42">
        <f>IF(AND( C14="Buy", ISBLANK(W14), B14&lt;&gt;"DIV", NOW()-A14 &lt; 365), (1-Index!$F$2*2)*((J14*D14)-(E14*D14)), "")</f>
        <v/>
      </c>
      <c r="Q15" s="42">
        <f>IF(AND( C14="Buy", ISBLANK(W14), B14&lt;&gt;"DIV", NOW()-A14 &lt; 365), ((E14*D14)+P14), "")</f>
        <v/>
      </c>
      <c r="R15" s="42">
        <f>IF(AND( C14="Buy", ISBLANK(W14), B14&lt;&gt;"DIV", NOW()-A14 &lt; 365), D14, "")</f>
        <v/>
      </c>
      <c r="S15" s="45">
        <f>IF(AND( C14="Buy", ISBLANK(W14), B14&lt;&gt;"DIV", NOW()-A14 &gt; 365), T14/sum(F14:I14), "")</f>
        <v/>
      </c>
      <c r="T15" s="46">
        <f>IF(AND( C14="Buy", ISBLANK(W14), B14&lt;&gt;"DIV", NOW()-A14 &gt; 365), (1-Index!$F$2*2)*((J14*D14)-(E14*D14)), "")</f>
        <v/>
      </c>
      <c r="U15" s="46">
        <f>IF(AND( C14="Buy", ISBLANK(W14), B14&lt;&gt;"DIV", NOW()-A14 &gt; 365), ((E14*D14)+T14), "")</f>
        <v/>
      </c>
      <c r="V15" s="46">
        <f>IF(AND( C14="Buy", ISBLANK(W14), B14&lt;&gt;"DIV", NOW()-A14 &gt; 365), D14, "")</f>
        <v/>
      </c>
      <c r="W15" s="46" t="n"/>
      <c r="X15" s="46" t="n"/>
      <c r="Y15" s="45">
        <f>IF(AND( C14="Buy", W14&lt;&gt;"", AA14&lt;&gt;"", B14&lt;&gt;"DIV"), Z14/sum(F14:I14), "")</f>
        <v/>
      </c>
      <c r="Z15" s="46" t="n"/>
      <c r="AA15" s="46" t="n"/>
      <c r="AB15" s="47" t="n"/>
      <c r="AC15" s="42">
        <f>if(B14="DIV", F14,"")</f>
        <v/>
      </c>
      <c r="AD15" s="48" t="n"/>
    </row>
    <row r="16">
      <c r="A16" s="38" t="n">
        <v>45812</v>
      </c>
      <c r="B16" s="39" t="inlineStr">
        <is>
          <t>NSE</t>
        </is>
      </c>
      <c r="C16" s="39" t="inlineStr">
        <is>
          <t>Buy</t>
        </is>
      </c>
      <c r="D16" s="40" t="n">
        <v>1</v>
      </c>
      <c r="E16" s="41" t="n">
        <v>2267.87</v>
      </c>
      <c r="F16" s="41" t="n">
        <v>2267.87</v>
      </c>
      <c r="G16" s="39" t="inlineStr">
        <is>
          <t>~</t>
        </is>
      </c>
      <c r="H16" s="40" t="n">
        <v>2.26</v>
      </c>
      <c r="I16" s="40" t="n">
        <v>13.71</v>
      </c>
      <c r="J16" s="42">
        <f>Index!$C$2</f>
        <v/>
      </c>
      <c r="K16" s="43">
        <f>IF(AND( C15="Buy", ISBLANK(W15), B15&lt;&gt;"DIV"), L15/sum(F15:I15), "")</f>
        <v/>
      </c>
      <c r="L16" s="42">
        <f>IF(AND( C15="Buy", ISBLANK(W15), B15&lt;&gt;"DIV"), (1-Index!$F$2*2)*((J15*D15)-(E15*D15)), "")</f>
        <v/>
      </c>
      <c r="M16" s="42">
        <f>IF(AND( C15="Buy", ISBLANK(W15), B15&lt;&gt;"DIV"), ((E15*D15)+L15), "")</f>
        <v/>
      </c>
      <c r="N16" s="44">
        <f>IF(AND( C15="Buy", ISBLANK(W15), B15&lt;&gt;"DIV"), D15, "")</f>
        <v/>
      </c>
      <c r="O16" s="43">
        <f>IF(AND( C15="Buy", ISBLANK(W15), B15&lt;&gt;"DIV", NOW()-A15 &lt; 365), P15/sum(F15:I15), "")</f>
        <v/>
      </c>
      <c r="P16" s="42">
        <f>IF(AND( C15="Buy", ISBLANK(W15), B15&lt;&gt;"DIV", NOW()-A15 &lt; 365), (1-Index!$F$2*2)*((J15*D15)-(E15*D15)), "")</f>
        <v/>
      </c>
      <c r="Q16" s="42">
        <f>IF(AND( C15="Buy", ISBLANK(W15), B15&lt;&gt;"DIV", NOW()-A15 &lt; 365), ((E15*D15)+P15), "")</f>
        <v/>
      </c>
      <c r="R16" s="42">
        <f>IF(AND( C15="Buy", ISBLANK(W15), B15&lt;&gt;"DIV", NOW()-A15 &lt; 365), D15, "")</f>
        <v/>
      </c>
      <c r="S16" s="45">
        <f>IF(AND( C15="Buy", ISBLANK(W15), B15&lt;&gt;"DIV", NOW()-A15 &gt; 365), T15/sum(F15:I15), "")</f>
        <v/>
      </c>
      <c r="T16" s="46">
        <f>IF(AND( C15="Buy", ISBLANK(W15), B15&lt;&gt;"DIV", NOW()-A15 &gt; 365), (1-Index!$F$2*2)*((J15*D15)-(E15*D15)), "")</f>
        <v/>
      </c>
      <c r="U16" s="46">
        <f>IF(AND( C15="Buy", ISBLANK(W15), B15&lt;&gt;"DIV", NOW()-A15 &gt; 365), ((E15*D15)+T15), "")</f>
        <v/>
      </c>
      <c r="V16" s="46">
        <f>IF(AND( C15="Buy", ISBLANK(W15), B15&lt;&gt;"DIV", NOW()-A15 &gt; 365), D15, "")</f>
        <v/>
      </c>
      <c r="W16" s="46" t="n"/>
      <c r="X16" s="46" t="n"/>
      <c r="Y16" s="45">
        <f>IF(AND( C15="Buy", W15&lt;&gt;"", AA15&lt;&gt;"", B15&lt;&gt;"DIV"), Z15/sum(F15:I15), "")</f>
        <v/>
      </c>
      <c r="Z16" s="46" t="n"/>
      <c r="AA16" s="46" t="n"/>
      <c r="AB16" s="47" t="n"/>
      <c r="AC16" s="42">
        <f>if(B15="DIV", F15,"")</f>
        <v/>
      </c>
      <c r="AD16" s="48" t="n"/>
    </row>
    <row r="17">
      <c r="A17" s="38" t="n">
        <v>45811</v>
      </c>
      <c r="B17" s="39" t="inlineStr">
        <is>
          <t>NSE</t>
        </is>
      </c>
      <c r="C17" s="39" t="inlineStr">
        <is>
          <t>Buy</t>
        </is>
      </c>
      <c r="D17" s="40" t="n">
        <v>2</v>
      </c>
      <c r="E17" s="41" t="n">
        <v>2281.46</v>
      </c>
      <c r="F17" s="41" t="n">
        <v>4562.92</v>
      </c>
      <c r="G17" s="39" t="inlineStr">
        <is>
          <t>~</t>
        </is>
      </c>
      <c r="H17" s="40" t="n">
        <v>4.53</v>
      </c>
      <c r="I17" s="40" t="n">
        <v>27.59</v>
      </c>
      <c r="J17" s="42">
        <f>Index!$C$2</f>
        <v/>
      </c>
      <c r="K17" s="43">
        <f>IF(AND( C16="Buy", ISBLANK(W16), B16&lt;&gt;"DIV"), L16/sum(F16:I16), "")</f>
        <v/>
      </c>
      <c r="L17" s="42">
        <f>IF(AND( C16="Buy", ISBLANK(W16), B16&lt;&gt;"DIV"), (1-Index!$F$2*2)*((J16*D16)-(E16*D16)), "")</f>
        <v/>
      </c>
      <c r="M17" s="42">
        <f>IF(AND( C16="Buy", ISBLANK(W16), B16&lt;&gt;"DIV"), ((E16*D16)+L16), "")</f>
        <v/>
      </c>
      <c r="N17" s="44">
        <f>IF(AND( C16="Buy", ISBLANK(W16), B16&lt;&gt;"DIV"), D16, "")</f>
        <v/>
      </c>
      <c r="O17" s="43">
        <f>IF(AND( C16="Buy", ISBLANK(W16), B16&lt;&gt;"DIV", NOW()-A16 &lt; 365), P16/sum(F16:I16), "")</f>
        <v/>
      </c>
      <c r="P17" s="42">
        <f>IF(AND( C16="Buy", ISBLANK(W16), B16&lt;&gt;"DIV", NOW()-A16 &lt; 365), (1-Index!$F$2*2)*((J16*D16)-(E16*D16)), "")</f>
        <v/>
      </c>
      <c r="Q17" s="42">
        <f>IF(AND( C16="Buy", ISBLANK(W16), B16&lt;&gt;"DIV", NOW()-A16 &lt; 365), ((E16*D16)+P16), "")</f>
        <v/>
      </c>
      <c r="R17" s="42">
        <f>IF(AND( C16="Buy", ISBLANK(W16), B16&lt;&gt;"DIV", NOW()-A16 &lt; 365), D16, "")</f>
        <v/>
      </c>
      <c r="S17" s="45">
        <f>IF(AND( C16="Buy", ISBLANK(W16), B16&lt;&gt;"DIV", NOW()-A16 &gt; 365), T16/sum(F16:I16), "")</f>
        <v/>
      </c>
      <c r="T17" s="46">
        <f>IF(AND( C16="Buy", ISBLANK(W16), B16&lt;&gt;"DIV", NOW()-A16 &gt; 365), (1-Index!$F$2*2)*((J16*D16)-(E16*D16)), "")</f>
        <v/>
      </c>
      <c r="U17" s="46">
        <f>IF(AND( C16="Buy", ISBLANK(W16), B16&lt;&gt;"DIV", NOW()-A16 &gt; 365), ((E16*D16)+T16), "")</f>
        <v/>
      </c>
      <c r="V17" s="46">
        <f>IF(AND( C16="Buy", ISBLANK(W16), B16&lt;&gt;"DIV", NOW()-A16 &gt; 365), D16, "")</f>
        <v/>
      </c>
      <c r="W17" s="46" t="n"/>
      <c r="X17" s="46" t="n"/>
      <c r="Y17" s="45">
        <f>IF(AND( C16="Buy", W16&lt;&gt;"", AA16&lt;&gt;"", B16&lt;&gt;"DIV"), Z16/sum(F16:I16), "")</f>
        <v/>
      </c>
      <c r="Z17" s="46" t="n"/>
      <c r="AA17" s="46" t="n"/>
      <c r="AB17" s="47" t="n"/>
      <c r="AC17" s="42">
        <f>if(B16="DIV", F16,"")</f>
        <v/>
      </c>
      <c r="AD17" s="48" t="n"/>
    </row>
    <row r="18">
      <c r="A18" s="49" t="n">
        <v>45734</v>
      </c>
      <c r="B18" s="50" t="inlineStr">
        <is>
          <t>NSE</t>
        </is>
      </c>
      <c r="C18" s="50" t="inlineStr">
        <is>
          <t>Buy</t>
        </is>
      </c>
      <c r="D18" s="51" t="n">
        <v>1</v>
      </c>
      <c r="E18" s="52" t="n">
        <v>2293.04</v>
      </c>
      <c r="F18" s="52">
        <f>E17*D17 + sum(H17:I17)</f>
        <v/>
      </c>
      <c r="G18" s="50" t="inlineStr">
        <is>
          <t>~</t>
        </is>
      </c>
      <c r="H18" s="51" t="n"/>
      <c r="I18" s="51" t="n">
        <v>16.14</v>
      </c>
      <c r="J18" s="42">
        <f>Index!$C$2</f>
        <v/>
      </c>
      <c r="K18" s="43">
        <f>IF(AND( C17="Buy", ISBLANK(W17), B17&lt;&gt;"DIV"), L17/sum(F17:I17), "")</f>
        <v/>
      </c>
      <c r="L18" s="42">
        <f>IF(AND( C17="Buy", ISBLANK(W17), B17&lt;&gt;"DIV"), (1-Index!$F$2*2)*((J17*D17)-(E17*D17)), "")</f>
        <v/>
      </c>
      <c r="M18" s="42">
        <f>IF(AND( C17="Buy", ISBLANK(W17), B17&lt;&gt;"DIV"), ((E17*D17)+L17), "")</f>
        <v/>
      </c>
      <c r="N18" s="44">
        <f>IF(AND( C17="Buy", ISBLANK(W17), B17&lt;&gt;"DIV"), D17, "")</f>
        <v/>
      </c>
      <c r="O18" s="43">
        <f>IF(AND( C17="Buy", ISBLANK(W17), B17&lt;&gt;"DIV", NOW()-A17 &lt; 365), P17/sum(F17:I17), "")</f>
        <v/>
      </c>
      <c r="P18" s="42">
        <f>IF(AND( C17="Buy", ISBLANK(W17), B17&lt;&gt;"DIV", NOW()-A17 &lt; 365), (1-Index!$F$2*2)*((J17*D17)-(E17*D17)), "")</f>
        <v/>
      </c>
      <c r="Q18" s="42">
        <f>IF(AND( C17="Buy", ISBLANK(W17), B17&lt;&gt;"DIV", NOW()-A17 &lt; 365), ((E17*D17)+P17), "")</f>
        <v/>
      </c>
      <c r="R18" s="42">
        <f>IF(AND( C17="Buy", ISBLANK(W17), B17&lt;&gt;"DIV", NOW()-A17 &lt; 365), D17, "")</f>
        <v/>
      </c>
      <c r="S18" s="45">
        <f>IF(AND( C17="Buy", ISBLANK(W17), B17&lt;&gt;"DIV", NOW()-A17 &gt; 365), T17/sum(F17:I17), "")</f>
        <v/>
      </c>
      <c r="T18" s="46">
        <f>IF(AND( C17="Buy", ISBLANK(W17), B17&lt;&gt;"DIV", NOW()-A17 &gt; 365), (1-Index!$F$2*2)*((J17*D17)-(E17*D17)), "")</f>
        <v/>
      </c>
      <c r="U18" s="46">
        <f>IF(AND( C17="Buy", ISBLANK(W17), B17&lt;&gt;"DIV", NOW()-A17 &gt; 365), ((E17*D17)+T17), "")</f>
        <v/>
      </c>
      <c r="V18" s="46">
        <f>IF(AND( C17="Buy", ISBLANK(W17), B17&lt;&gt;"DIV", NOW()-A17 &gt; 365), D17, "")</f>
        <v/>
      </c>
      <c r="W18" s="46" t="n"/>
      <c r="X18" s="46" t="n"/>
      <c r="Y18" s="45">
        <f>IF(AND( C17="Buy", W17&lt;&gt;"", AA17&lt;&gt;"", B17&lt;&gt;"DIV"), Z17/sum(F17:I17), "")</f>
        <v/>
      </c>
      <c r="Z18" s="46" t="n"/>
      <c r="AA18" s="46" t="n"/>
      <c r="AB18" s="47" t="n"/>
      <c r="AC18" s="42">
        <f>if(B17="DIV", F17,"")</f>
        <v/>
      </c>
      <c r="AD18" s="48" t="n"/>
    </row>
    <row r="19">
      <c r="A19" s="49" t="n">
        <v>45722</v>
      </c>
      <c r="B19" s="50" t="inlineStr">
        <is>
          <t>NSE</t>
        </is>
      </c>
      <c r="C19" s="50" t="inlineStr">
        <is>
          <t>Buy</t>
        </is>
      </c>
      <c r="D19" s="51" t="n">
        <v>1</v>
      </c>
      <c r="E19" s="52" t="n">
        <v>2243.04</v>
      </c>
      <c r="F19" s="52" t="n">
        <v>2243.04</v>
      </c>
      <c r="G19" s="50" t="inlineStr">
        <is>
          <t>~</t>
        </is>
      </c>
      <c r="H19" s="51" t="n">
        <v>2.24</v>
      </c>
      <c r="I19" s="51" t="n">
        <v>13.55</v>
      </c>
      <c r="J19" s="42">
        <f>Index!$C$2</f>
        <v/>
      </c>
      <c r="K19" s="43">
        <f>IF(AND( C18="Buy", ISBLANK(W18), B18&lt;&gt;"DIV"), L18/sum(F18:I18), "")</f>
        <v/>
      </c>
      <c r="L19" s="42">
        <f>IF(AND( C18="Buy", ISBLANK(W18), B18&lt;&gt;"DIV"), (1-Index!$F$2*2)*((J18*D18)-(E18*D18)), "")</f>
        <v/>
      </c>
      <c r="M19" s="42">
        <f>IF(AND( C18="Buy", ISBLANK(W18), B18&lt;&gt;"DIV"), ((E18*D18)+L18), "")</f>
        <v/>
      </c>
      <c r="N19" s="44">
        <f>IF(AND( C18="Buy", ISBLANK(W18), B18&lt;&gt;"DIV"), D18, "")</f>
        <v/>
      </c>
      <c r="O19" s="43">
        <f>IF(AND( C18="Buy", ISBLANK(W18), B18&lt;&gt;"DIV", NOW()-A18 &lt; 365), P18/sum(F18:I18), "")</f>
        <v/>
      </c>
      <c r="P19" s="42">
        <f>IF(AND( C18="Buy", ISBLANK(W18), B18&lt;&gt;"DIV", NOW()-A18 &lt; 365), (1-Index!$F$2*2)*((J18*D18)-(E18*D18)), "")</f>
        <v/>
      </c>
      <c r="Q19" s="42">
        <f>IF(AND( C18="Buy", ISBLANK(W18), B18&lt;&gt;"DIV", NOW()-A18 &lt; 365), ((E18*D18)+P18), "")</f>
        <v/>
      </c>
      <c r="R19" s="42">
        <f>IF(AND( C18="Buy", ISBLANK(W18), B18&lt;&gt;"DIV", NOW()-A18 &lt; 365), D18, "")</f>
        <v/>
      </c>
      <c r="S19" s="45">
        <f>IF(AND( C18="Buy", ISBLANK(W18), B18&lt;&gt;"DIV", NOW()-A18 &gt; 365), T18/sum(F18:I18), "")</f>
        <v/>
      </c>
      <c r="T19" s="46">
        <f>IF(AND( C18="Buy", ISBLANK(W18), B18&lt;&gt;"DIV", NOW()-A18 &gt; 365), (1-Index!$F$2*2)*((J18*D18)-(E18*D18)), "")</f>
        <v/>
      </c>
      <c r="U19" s="46">
        <f>IF(AND( C18="Buy", ISBLANK(W18), B18&lt;&gt;"DIV", NOW()-A18 &gt; 365), ((E18*D18)+T18), "")</f>
        <v/>
      </c>
      <c r="V19" s="46">
        <f>IF(AND( C18="Buy", ISBLANK(W18), B18&lt;&gt;"DIV", NOW()-A18 &gt; 365), D18, "")</f>
        <v/>
      </c>
      <c r="W19" s="46" t="n"/>
      <c r="X19" s="46" t="n"/>
      <c r="Y19" s="45">
        <f>IF(AND( C18="Buy", W18&lt;&gt;"", AA18&lt;&gt;"", B18&lt;&gt;"DIV"), Z18/sum(F18:I18), "")</f>
        <v/>
      </c>
      <c r="Z19" s="46" t="n"/>
      <c r="AA19" s="46" t="n"/>
      <c r="AB19" s="47" t="n"/>
      <c r="AC19" s="42">
        <f>if(B18="DIV", F18,"")</f>
        <v/>
      </c>
      <c r="AD19" s="48" t="n"/>
    </row>
    <row r="20">
      <c r="A20" s="49" t="n">
        <v>45716</v>
      </c>
      <c r="B20" s="50" t="inlineStr">
        <is>
          <t>NSE</t>
        </is>
      </c>
      <c r="C20" s="50" t="inlineStr">
        <is>
          <t>Buy</t>
        </is>
      </c>
      <c r="D20" s="51" t="n">
        <v>1</v>
      </c>
      <c r="E20" s="52" t="n">
        <v>2204.63</v>
      </c>
      <c r="F20" s="52" t="n">
        <v>2204.63</v>
      </c>
      <c r="G20" s="50" t="inlineStr">
        <is>
          <t>~</t>
        </is>
      </c>
      <c r="H20" s="51" t="n">
        <v>2.18</v>
      </c>
      <c r="I20" s="51" t="n">
        <v>13.35</v>
      </c>
      <c r="J20" s="42">
        <f>Index!$C$2</f>
        <v/>
      </c>
      <c r="K20" s="43">
        <f>IF(AND( C19="Buy", ISBLANK(W19), B19&lt;&gt;"DIV"), L19/sum(F19:I19), "")</f>
        <v/>
      </c>
      <c r="L20" s="42">
        <f>IF(AND( C19="Buy", ISBLANK(W19), B19&lt;&gt;"DIV"), (1-Index!$F$2*2)*((J19*D19)-(E19*D19)), "")</f>
        <v/>
      </c>
      <c r="M20" s="42">
        <f>IF(AND( C19="Buy", ISBLANK(W19), B19&lt;&gt;"DIV"), ((E19*D19)+L19), "")</f>
        <v/>
      </c>
      <c r="N20" s="44">
        <f>IF(AND( C19="Buy", ISBLANK(W19), B19&lt;&gt;"DIV"), D19, "")</f>
        <v/>
      </c>
      <c r="O20" s="43">
        <f>IF(AND( C19="Buy", ISBLANK(W19), B19&lt;&gt;"DIV", NOW()-A19 &lt; 365), P19/sum(F19:I19), "")</f>
        <v/>
      </c>
      <c r="P20" s="42">
        <f>IF(AND( C19="Buy", ISBLANK(W19), B19&lt;&gt;"DIV", NOW()-A19 &lt; 365), (1-Index!$F$2*2)*((J19*D19)-(E19*D19)), "")</f>
        <v/>
      </c>
      <c r="Q20" s="42">
        <f>IF(AND( C19="Buy", ISBLANK(W19), B19&lt;&gt;"DIV", NOW()-A19 &lt; 365), ((E19*D19)+P19), "")</f>
        <v/>
      </c>
      <c r="R20" s="42">
        <f>IF(AND( C19="Buy", ISBLANK(W19), B19&lt;&gt;"DIV", NOW()-A19 &lt; 365), D19, "")</f>
        <v/>
      </c>
      <c r="S20" s="45">
        <f>IF(AND( C19="Buy", ISBLANK(W19), B19&lt;&gt;"DIV", NOW()-A19 &gt; 365), T19/sum(F19:I19), "")</f>
        <v/>
      </c>
      <c r="T20" s="46">
        <f>IF(AND( C19="Buy", ISBLANK(W19), B19&lt;&gt;"DIV", NOW()-A19 &gt; 365), (1-Index!$F$2*2)*((J19*D19)-(E19*D19)), "")</f>
        <v/>
      </c>
      <c r="U20" s="46">
        <f>IF(AND( C19="Buy", ISBLANK(W19), B19&lt;&gt;"DIV", NOW()-A19 &gt; 365), ((E19*D19)+T19), "")</f>
        <v/>
      </c>
      <c r="V20" s="46">
        <f>IF(AND( C19="Buy", ISBLANK(W19), B19&lt;&gt;"DIV", NOW()-A19 &gt; 365), D19, "")</f>
        <v/>
      </c>
      <c r="W20" s="46" t="n"/>
      <c r="X20" s="46" t="n"/>
      <c r="Y20" s="45">
        <f>IF(AND( C19="Buy", W19&lt;&gt;"", AA19&lt;&gt;"", B19&lt;&gt;"DIV"), Z19/sum(F19:I19), "")</f>
        <v/>
      </c>
      <c r="Z20" s="46" t="n"/>
      <c r="AA20" s="46" t="n"/>
      <c r="AB20" s="47" t="n"/>
      <c r="AC20" s="42">
        <f>if(B19="DIV", F19,"")</f>
        <v/>
      </c>
      <c r="AD20" s="48" t="n"/>
    </row>
    <row r="21">
      <c r="A21" s="49" t="n">
        <v>45712</v>
      </c>
      <c r="B21" s="50" t="inlineStr">
        <is>
          <t>NSE</t>
        </is>
      </c>
      <c r="C21" s="50" t="inlineStr">
        <is>
          <t>Buy</t>
        </is>
      </c>
      <c r="D21" s="51" t="n">
        <v>3</v>
      </c>
      <c r="E21" s="52" t="n">
        <v>2273</v>
      </c>
      <c r="F21" s="52" t="n">
        <v>6819</v>
      </c>
      <c r="G21" s="50" t="inlineStr">
        <is>
          <t>~</t>
        </is>
      </c>
      <c r="H21" s="51" t="n">
        <v>6.76</v>
      </c>
      <c r="I21" s="51" t="n">
        <v>41.24</v>
      </c>
      <c r="J21" s="42">
        <f>Index!$C$2</f>
        <v/>
      </c>
      <c r="K21" s="43">
        <f>IF(AND( C20="Buy", ISBLANK(W20), B20&lt;&gt;"DIV"), L20/sum(F20:I20), "")</f>
        <v/>
      </c>
      <c r="L21" s="42">
        <f>IF(AND( C20="Buy", ISBLANK(W20), B20&lt;&gt;"DIV"), (1-Index!$F$2*2)*((J20*D20)-(E20*D20)), "")</f>
        <v/>
      </c>
      <c r="M21" s="42">
        <f>IF(AND( C20="Buy", ISBLANK(W20), B20&lt;&gt;"DIV"), ((E20*D20)+L20), "")</f>
        <v/>
      </c>
      <c r="N21" s="44">
        <f>IF(AND( C20="Buy", ISBLANK(W20), B20&lt;&gt;"DIV"), D20, "")</f>
        <v/>
      </c>
      <c r="O21" s="43">
        <f>IF(AND( C20="Buy", ISBLANK(W20), B20&lt;&gt;"DIV", NOW()-A20 &lt; 365), P20/sum(F20:I20), "")</f>
        <v/>
      </c>
      <c r="P21" s="42">
        <f>IF(AND( C20="Buy", ISBLANK(W20), B20&lt;&gt;"DIV", NOW()-A20 &lt; 365), (1-Index!$F$2*2)*((J20*D20)-(E20*D20)), "")</f>
        <v/>
      </c>
      <c r="Q21" s="42">
        <f>IF(AND( C20="Buy", ISBLANK(W20), B20&lt;&gt;"DIV", NOW()-A20 &lt; 365), ((E20*D20)+P20), "")</f>
        <v/>
      </c>
      <c r="R21" s="42">
        <f>IF(AND( C20="Buy", ISBLANK(W20), B20&lt;&gt;"DIV", NOW()-A20 &lt; 365), D20, "")</f>
        <v/>
      </c>
      <c r="S21" s="45">
        <f>IF(AND( C20="Buy", ISBLANK(W20), B20&lt;&gt;"DIV", NOW()-A20 &gt; 365), T20/sum(F20:I20), "")</f>
        <v/>
      </c>
      <c r="T21" s="46">
        <f>IF(AND( C20="Buy", ISBLANK(W20), B20&lt;&gt;"DIV", NOW()-A20 &gt; 365), (1-Index!$F$2*2)*((J20*D20)-(E20*D20)), "")</f>
        <v/>
      </c>
      <c r="U21" s="46">
        <f>IF(AND( C20="Buy", ISBLANK(W20), B20&lt;&gt;"DIV", NOW()-A20 &gt; 365), ((E20*D20)+T20), "")</f>
        <v/>
      </c>
      <c r="V21" s="46">
        <f>IF(AND( C20="Buy", ISBLANK(W20), B20&lt;&gt;"DIV", NOW()-A20 &gt; 365), D20, "")</f>
        <v/>
      </c>
      <c r="W21" s="46" t="n"/>
      <c r="X21" s="46" t="n"/>
      <c r="Y21" s="45">
        <f>IF(AND( C20="Buy", W20&lt;&gt;"", AA20&lt;&gt;"", B20&lt;&gt;"DIV"), Z20/sum(F20:I20), "")</f>
        <v/>
      </c>
      <c r="Z21" s="46" t="n"/>
      <c r="AA21" s="46" t="n"/>
      <c r="AB21" s="47" t="n"/>
      <c r="AC21" s="42">
        <f>if(B20="DIV", F20,"")</f>
        <v/>
      </c>
      <c r="AD21" s="48" t="n"/>
    </row>
    <row r="22">
      <c r="A22" s="49" t="n">
        <v>45712</v>
      </c>
      <c r="B22" s="50" t="inlineStr">
        <is>
          <t>NSE</t>
        </is>
      </c>
      <c r="C22" s="50" t="inlineStr">
        <is>
          <t>Buy</t>
        </is>
      </c>
      <c r="D22" s="51" t="n">
        <v>1</v>
      </c>
      <c r="E22" s="52" t="n">
        <v>2273.12</v>
      </c>
      <c r="F22" s="52" t="n">
        <v>2273.12</v>
      </c>
      <c r="G22" s="50" t="inlineStr">
        <is>
          <t>~</t>
        </is>
      </c>
      <c r="H22" s="51" t="n">
        <v>2.26</v>
      </c>
      <c r="I22" s="51" t="n">
        <v>13.76</v>
      </c>
      <c r="J22" s="42">
        <f>Index!$C$2</f>
        <v/>
      </c>
      <c r="K22" s="43">
        <f>IF(AND( C21="Buy", ISBLANK(W21), B21&lt;&gt;"DIV"), L21/sum(F21:I21), "")</f>
        <v/>
      </c>
      <c r="L22" s="42">
        <f>IF(AND( C21="Buy", ISBLANK(W21), B21&lt;&gt;"DIV"), (1-Index!$F$2*2)*((J21*D21)-(E21*D21)), "")</f>
        <v/>
      </c>
      <c r="M22" s="42">
        <f>IF(AND( C21="Buy", ISBLANK(W21), B21&lt;&gt;"DIV"), ((E21*D21)+L21), "")</f>
        <v/>
      </c>
      <c r="N22" s="44">
        <f>IF(AND( C21="Buy", ISBLANK(W21), B21&lt;&gt;"DIV"), D21, "")</f>
        <v/>
      </c>
      <c r="O22" s="43">
        <f>IF(AND( C21="Buy", ISBLANK(W21), B21&lt;&gt;"DIV", NOW()-A21 &lt; 365), P21/sum(F21:I21), "")</f>
        <v/>
      </c>
      <c r="P22" s="42">
        <f>IF(AND( C21="Buy", ISBLANK(W21), B21&lt;&gt;"DIV", NOW()-A21 &lt; 365), (1-Index!$F$2*2)*((J21*D21)-(E21*D21)), "")</f>
        <v/>
      </c>
      <c r="Q22" s="42">
        <f>IF(AND( C21="Buy", ISBLANK(W21), B21&lt;&gt;"DIV", NOW()-A21 &lt; 365), ((E21*D21)+P21), "")</f>
        <v/>
      </c>
      <c r="R22" s="42">
        <f>IF(AND( C21="Buy", ISBLANK(W21), B21&lt;&gt;"DIV", NOW()-A21 &lt; 365), D21, "")</f>
        <v/>
      </c>
      <c r="S22" s="45">
        <f>IF(AND( C21="Buy", ISBLANK(W21), B21&lt;&gt;"DIV", NOW()-A21 &gt; 365), T21/sum(F21:I21), "")</f>
        <v/>
      </c>
      <c r="T22" s="46">
        <f>IF(AND( C21="Buy", ISBLANK(W21), B21&lt;&gt;"DIV", NOW()-A21 &gt; 365), (1-Index!$F$2*2)*((J21*D21)-(E21*D21)), "")</f>
        <v/>
      </c>
      <c r="U22" s="46">
        <f>IF(AND( C21="Buy", ISBLANK(W21), B21&lt;&gt;"DIV", NOW()-A21 &gt; 365), ((E21*D21)+T21), "")</f>
        <v/>
      </c>
      <c r="V22" s="46">
        <f>IF(AND( C21="Buy", ISBLANK(W21), B21&lt;&gt;"DIV", NOW()-A21 &gt; 365), D21, "")</f>
        <v/>
      </c>
      <c r="W22" s="46" t="n"/>
      <c r="X22" s="46" t="n"/>
      <c r="Y22" s="45">
        <f>IF(AND( C21="Buy", W21&lt;&gt;"", AA21&lt;&gt;"", B21&lt;&gt;"DIV"), Z21/sum(F21:I21), "")</f>
        <v/>
      </c>
      <c r="Z22" s="46" t="n"/>
      <c r="AA22" s="46" t="n"/>
      <c r="AB22" s="47" t="n"/>
      <c r="AC22" s="42">
        <f>if(B21="DIV", F21,"")</f>
        <v/>
      </c>
      <c r="AD22" s="48" t="n"/>
    </row>
    <row r="23">
      <c r="A23" s="49" t="n">
        <v>45705</v>
      </c>
      <c r="B23" s="50" t="inlineStr">
        <is>
          <t>NSE</t>
        </is>
      </c>
      <c r="C23" s="50" t="inlineStr">
        <is>
          <t>Buy</t>
        </is>
      </c>
      <c r="D23" s="51" t="n">
        <v>2</v>
      </c>
      <c r="E23" s="52" t="n">
        <v>2247.11</v>
      </c>
      <c r="F23" s="52" t="n">
        <v>4494.22</v>
      </c>
      <c r="G23" s="50" t="inlineStr">
        <is>
          <t>~</t>
        </is>
      </c>
      <c r="H23" s="51" t="n">
        <v>4.45</v>
      </c>
      <c r="I23" s="51" t="n">
        <v>27.17</v>
      </c>
      <c r="J23" s="42">
        <f>Index!$C$2</f>
        <v/>
      </c>
      <c r="K23" s="43">
        <f>IF(AND( C22="Buy", ISBLANK(W22), B22&lt;&gt;"DIV"), L22/sum(F22:I22), "")</f>
        <v/>
      </c>
      <c r="L23" s="42">
        <f>IF(AND( C22="Buy", ISBLANK(W22), B22&lt;&gt;"DIV"), (1-Index!$F$2*2)*((J22*D22)-(E22*D22)), "")</f>
        <v/>
      </c>
      <c r="M23" s="42">
        <f>IF(AND( C22="Buy", ISBLANK(W22), B22&lt;&gt;"DIV"), ((E22*D22)+L22), "")</f>
        <v/>
      </c>
      <c r="N23" s="44">
        <f>IF(AND( C22="Buy", ISBLANK(W22), B22&lt;&gt;"DIV"), D22, "")</f>
        <v/>
      </c>
      <c r="O23" s="43">
        <f>IF(AND( C22="Buy", ISBLANK(W22), B22&lt;&gt;"DIV", NOW()-A22 &lt; 365), P22/sum(F22:I22), "")</f>
        <v/>
      </c>
      <c r="P23" s="42">
        <f>IF(AND( C22="Buy", ISBLANK(W22), B22&lt;&gt;"DIV", NOW()-A22 &lt; 365), (1-Index!$F$2*2)*((J22*D22)-(E22*D22)), "")</f>
        <v/>
      </c>
      <c r="Q23" s="42">
        <f>IF(AND( C22="Buy", ISBLANK(W22), B22&lt;&gt;"DIV", NOW()-A22 &lt; 365), ((E22*D22)+P22), "")</f>
        <v/>
      </c>
      <c r="R23" s="42">
        <f>IF(AND( C22="Buy", ISBLANK(W22), B22&lt;&gt;"DIV", NOW()-A22 &lt; 365), D22, "")</f>
        <v/>
      </c>
      <c r="S23" s="45">
        <f>IF(AND( C22="Buy", ISBLANK(W22), B22&lt;&gt;"DIV", NOW()-A22 &gt; 365), T22/sum(F22:I22), "")</f>
        <v/>
      </c>
      <c r="T23" s="46">
        <f>IF(AND( C22="Buy", ISBLANK(W22), B22&lt;&gt;"DIV", NOW()-A22 &gt; 365), (1-Index!$F$2*2)*((J22*D22)-(E22*D22)), "")</f>
        <v/>
      </c>
      <c r="U23" s="46">
        <f>IF(AND( C22="Buy", ISBLANK(W22), B22&lt;&gt;"DIV", NOW()-A22 &gt; 365), ((E22*D22)+T22), "")</f>
        <v/>
      </c>
      <c r="V23" s="46">
        <f>IF(AND( C22="Buy", ISBLANK(W22), B22&lt;&gt;"DIV", NOW()-A22 &gt; 365), D22, "")</f>
        <v/>
      </c>
      <c r="W23" s="46" t="n"/>
      <c r="X23" s="46" t="n"/>
      <c r="Y23" s="45">
        <f>IF(AND( C22="Buy", W22&lt;&gt;"", AA22&lt;&gt;"", B22&lt;&gt;"DIV"), Z22/sum(F22:I22), "")</f>
        <v/>
      </c>
      <c r="Z23" s="46" t="n"/>
      <c r="AA23" s="46" t="n"/>
      <c r="AB23" s="47" t="n"/>
      <c r="AC23" s="42">
        <f>if(B22="DIV", F22,"")</f>
        <v/>
      </c>
      <c r="AD23" s="48" t="n"/>
    </row>
    <row r="24">
      <c r="A24" s="49" t="n">
        <v>45705</v>
      </c>
      <c r="B24" s="50" t="inlineStr">
        <is>
          <t>NSE</t>
        </is>
      </c>
      <c r="C24" s="50" t="inlineStr">
        <is>
          <t>Buy</t>
        </is>
      </c>
      <c r="D24" s="51" t="n">
        <v>1</v>
      </c>
      <c r="E24" s="52" t="n">
        <v>2247.11</v>
      </c>
      <c r="F24" s="52" t="n">
        <v>2247.11</v>
      </c>
      <c r="G24" s="50" t="inlineStr">
        <is>
          <t>~</t>
        </is>
      </c>
      <c r="H24" s="51" t="n">
        <v>2.23</v>
      </c>
      <c r="I24" s="51" t="n">
        <v>13.58</v>
      </c>
      <c r="J24" s="42">
        <f>Index!$C$2</f>
        <v/>
      </c>
      <c r="K24" s="43">
        <f>IF(AND( C23="Buy", ISBLANK(W23), B23&lt;&gt;"DIV"), L23/sum(F23:I23), "")</f>
        <v/>
      </c>
      <c r="L24" s="42">
        <f>IF(AND( C23="Buy", ISBLANK(W23), B23&lt;&gt;"DIV"), (1-Index!$F$2*2)*((J23*D23)-(E23*D23)), "")</f>
        <v/>
      </c>
      <c r="M24" s="42">
        <f>IF(AND( C23="Buy", ISBLANK(W23), B23&lt;&gt;"DIV"), ((E23*D23)+L23), "")</f>
        <v/>
      </c>
      <c r="N24" s="44">
        <f>IF(AND( C23="Buy", ISBLANK(W23), B23&lt;&gt;"DIV"), D23, "")</f>
        <v/>
      </c>
      <c r="O24" s="43">
        <f>IF(AND( C23="Buy", ISBLANK(W23), B23&lt;&gt;"DIV", NOW()-A23 &lt; 365), P23/sum(F23:I23), "")</f>
        <v/>
      </c>
      <c r="P24" s="42">
        <f>IF(AND( C23="Buy", ISBLANK(W23), B23&lt;&gt;"DIV", NOW()-A23 &lt; 365), (1-Index!$F$2*2)*((J23*D23)-(E23*D23)), "")</f>
        <v/>
      </c>
      <c r="Q24" s="42">
        <f>IF(AND( C23="Buy", ISBLANK(W23), B23&lt;&gt;"DIV", NOW()-A23 &lt; 365), ((E23*D23)+P23), "")</f>
        <v/>
      </c>
      <c r="R24" s="42">
        <f>IF(AND( C23="Buy", ISBLANK(W23), B23&lt;&gt;"DIV", NOW()-A23 &lt; 365), D23, "")</f>
        <v/>
      </c>
      <c r="S24" s="45">
        <f>IF(AND( C23="Buy", ISBLANK(W23), B23&lt;&gt;"DIV", NOW()-A23 &gt; 365), T23/sum(F23:I23), "")</f>
        <v/>
      </c>
      <c r="T24" s="46">
        <f>IF(AND( C23="Buy", ISBLANK(W23), B23&lt;&gt;"DIV", NOW()-A23 &gt; 365), (1-Index!$F$2*2)*((J23*D23)-(E23*D23)), "")</f>
        <v/>
      </c>
      <c r="U24" s="46">
        <f>IF(AND( C23="Buy", ISBLANK(W23), B23&lt;&gt;"DIV", NOW()-A23 &gt; 365), ((E23*D23)+T23), "")</f>
        <v/>
      </c>
      <c r="V24" s="46">
        <f>IF(AND( C23="Buy", ISBLANK(W23), B23&lt;&gt;"DIV", NOW()-A23 &gt; 365), D23, "")</f>
        <v/>
      </c>
      <c r="W24" s="46" t="n"/>
      <c r="X24" s="46" t="n"/>
      <c r="Y24" s="45">
        <f>IF(AND( C23="Buy", W23&lt;&gt;"", AA23&lt;&gt;"", B23&lt;&gt;"DIV"), Z23/sum(F23:I23), "")</f>
        <v/>
      </c>
      <c r="Z24" s="46" t="n"/>
      <c r="AA24" s="46" t="n"/>
      <c r="AB24" s="47" t="n"/>
      <c r="AC24" s="42">
        <f>if(B23="DIV", F23,"")</f>
        <v/>
      </c>
      <c r="AD24" s="48" t="n"/>
    </row>
    <row r="25">
      <c r="A25" s="49" t="n">
        <v>45705</v>
      </c>
      <c r="B25" s="50" t="inlineStr">
        <is>
          <t>NSE</t>
        </is>
      </c>
      <c r="C25" s="50" t="inlineStr">
        <is>
          <t>Buy</t>
        </is>
      </c>
      <c r="D25" s="51" t="n">
        <v>2</v>
      </c>
      <c r="E25" s="52" t="n">
        <v>2247.11</v>
      </c>
      <c r="F25" s="52" t="n">
        <v>4494.22</v>
      </c>
      <c r="G25" s="50" t="inlineStr">
        <is>
          <t>~</t>
        </is>
      </c>
      <c r="H25" s="51" t="n">
        <v>4.45</v>
      </c>
      <c r="I25" s="51" t="n">
        <v>27.17</v>
      </c>
      <c r="J25" s="42">
        <f>Index!$C$2</f>
        <v/>
      </c>
      <c r="K25" s="43">
        <f>IF(AND( C24="Buy", ISBLANK(W24), B24&lt;&gt;"DIV"), L24/sum(F24:I24), "")</f>
        <v/>
      </c>
      <c r="L25" s="42">
        <f>IF(AND( C24="Buy", ISBLANK(W24), B24&lt;&gt;"DIV"), (1-Index!$F$2*2)*((J24*D24)-(E24*D24)), "")</f>
        <v/>
      </c>
      <c r="M25" s="42">
        <f>IF(AND( C24="Buy", ISBLANK(W24), B24&lt;&gt;"DIV"), ((E24*D24)+L24), "")</f>
        <v/>
      </c>
      <c r="N25" s="44">
        <f>IF(AND( C24="Buy", ISBLANK(W24), B24&lt;&gt;"DIV"), D24, "")</f>
        <v/>
      </c>
      <c r="O25" s="43">
        <f>IF(AND( C24="Buy", ISBLANK(W24), B24&lt;&gt;"DIV", NOW()-A24 &lt; 365), P24/sum(F24:I24), "")</f>
        <v/>
      </c>
      <c r="P25" s="42">
        <f>IF(AND( C24="Buy", ISBLANK(W24), B24&lt;&gt;"DIV", NOW()-A24 &lt; 365), (1-Index!$F$2*2)*((J24*D24)-(E24*D24)), "")</f>
        <v/>
      </c>
      <c r="Q25" s="42">
        <f>IF(AND( C24="Buy", ISBLANK(W24), B24&lt;&gt;"DIV", NOW()-A24 &lt; 365), ((E24*D24)+P24), "")</f>
        <v/>
      </c>
      <c r="R25" s="42">
        <f>IF(AND( C24="Buy", ISBLANK(W24), B24&lt;&gt;"DIV", NOW()-A24 &lt; 365), D24, "")</f>
        <v/>
      </c>
      <c r="S25" s="45">
        <f>IF(AND( C24="Buy", ISBLANK(W24), B24&lt;&gt;"DIV", NOW()-A24 &gt; 365), T24/sum(F24:I24), "")</f>
        <v/>
      </c>
      <c r="T25" s="46">
        <f>IF(AND( C24="Buy", ISBLANK(W24), B24&lt;&gt;"DIV", NOW()-A24 &gt; 365), (1-Index!$F$2*2)*((J24*D24)-(E24*D24)), "")</f>
        <v/>
      </c>
      <c r="U25" s="46">
        <f>IF(AND( C24="Buy", ISBLANK(W24), B24&lt;&gt;"DIV", NOW()-A24 &gt; 365), ((E24*D24)+T24), "")</f>
        <v/>
      </c>
      <c r="V25" s="46">
        <f>IF(AND( C24="Buy", ISBLANK(W24), B24&lt;&gt;"DIV", NOW()-A24 &gt; 365), D24, "")</f>
        <v/>
      </c>
      <c r="W25" s="46" t="n"/>
      <c r="X25" s="46" t="n"/>
      <c r="Y25" s="45">
        <f>IF(AND( C24="Buy", W24&lt;&gt;"", AA24&lt;&gt;"", B24&lt;&gt;"DIV"), Z24/sum(F24:I24), "")</f>
        <v/>
      </c>
      <c r="Z25" s="46" t="n"/>
      <c r="AA25" s="46" t="n"/>
      <c r="AB25" s="47" t="n"/>
      <c r="AC25" s="42">
        <f>if(B24="DIV", F24,"")</f>
        <v/>
      </c>
      <c r="AD25" s="48" t="n"/>
    </row>
    <row r="26">
      <c r="E26" s="53" t="n"/>
      <c r="F26" s="53" t="n"/>
      <c r="G26" s="54" t="n"/>
      <c r="J26" s="53" t="n"/>
      <c r="K26" s="53" t="n"/>
      <c r="L26" s="53" t="n"/>
      <c r="M26" s="56" t="n"/>
      <c r="W26" s="53" t="n"/>
      <c r="X26" s="53" t="n"/>
      <c r="Y26" s="53" t="n"/>
      <c r="Z26" s="53" t="n"/>
      <c r="AA26" s="53" t="n"/>
      <c r="AB26" s="53" t="n"/>
      <c r="AC26" s="53" t="n"/>
    </row>
    <row r="27">
      <c r="E27" s="53" t="n"/>
      <c r="F27" s="53" t="n"/>
      <c r="G27" s="54" t="n"/>
      <c r="J27" s="53" t="n"/>
      <c r="K27" s="53" t="n"/>
      <c r="L27" s="53" t="n"/>
      <c r="M27" s="56" t="n"/>
      <c r="W27" s="53" t="n"/>
      <c r="X27" s="53" t="n"/>
      <c r="Y27" s="53" t="n"/>
      <c r="Z27" s="53" t="n"/>
      <c r="AA27" s="53" t="n"/>
      <c r="AB27" s="53" t="n"/>
      <c r="AC27" s="53" t="n"/>
    </row>
    <row r="28">
      <c r="E28" s="53" t="n"/>
      <c r="F28" s="53" t="n"/>
      <c r="G28" s="54" t="n"/>
      <c r="J28" s="53" t="n"/>
      <c r="K28" s="53" t="n"/>
      <c r="L28" s="53" t="n"/>
      <c r="M28" s="56" t="n"/>
      <c r="W28" s="53" t="n"/>
      <c r="X28" s="53" t="n"/>
      <c r="Y28" s="53" t="n"/>
      <c r="Z28" s="53" t="n"/>
      <c r="AA28" s="53" t="n"/>
      <c r="AB28" s="53" t="n"/>
      <c r="AC28" s="53" t="n"/>
    </row>
    <row r="29">
      <c r="E29" s="53" t="n"/>
      <c r="F29" s="53" t="n"/>
      <c r="G29" s="54" t="n"/>
      <c r="J29" s="53" t="n"/>
      <c r="K29" s="53" t="n"/>
      <c r="L29" s="53" t="n"/>
      <c r="M29" s="56" t="n"/>
      <c r="W29" s="53" t="n"/>
      <c r="X29" s="53" t="n"/>
      <c r="Y29" s="53" t="n"/>
      <c r="Z29" s="53" t="n"/>
      <c r="AA29" s="53" t="n"/>
      <c r="AB29" s="53" t="n"/>
      <c r="AC29" s="53" t="n"/>
    </row>
    <row r="30">
      <c r="E30" s="53" t="n"/>
      <c r="F30" s="53" t="n"/>
      <c r="G30" s="54" t="n"/>
      <c r="J30" s="53" t="n"/>
      <c r="K30" s="53" t="n"/>
      <c r="L30" s="53" t="n"/>
      <c r="M30" s="56" t="n"/>
      <c r="W30" s="53" t="n"/>
      <c r="X30" s="53" t="n"/>
      <c r="Y30" s="53" t="n"/>
      <c r="Z30" s="53" t="n"/>
      <c r="AA30" s="53" t="n"/>
      <c r="AB30" s="53" t="n"/>
      <c r="AC30" s="53" t="n"/>
    </row>
    <row r="31">
      <c r="E31" s="53" t="n"/>
      <c r="F31" s="53" t="n"/>
      <c r="G31" s="54" t="n"/>
      <c r="J31" s="53" t="n"/>
      <c r="K31" s="53" t="n"/>
      <c r="L31" s="53" t="n"/>
      <c r="M31" s="56" t="n"/>
      <c r="W31" s="53" t="n"/>
      <c r="X31" s="53" t="n"/>
      <c r="Y31" s="53" t="n"/>
      <c r="Z31" s="53" t="n"/>
      <c r="AA31" s="53" t="n"/>
      <c r="AB31" s="53" t="n"/>
      <c r="AC31" s="53" t="n"/>
    </row>
    <row r="32">
      <c r="E32" s="53" t="n"/>
      <c r="F32" s="53" t="n"/>
      <c r="G32" s="54" t="n"/>
      <c r="J32" s="53" t="n"/>
      <c r="K32" s="53" t="n"/>
      <c r="L32" s="53" t="n"/>
      <c r="M32" s="56" t="n"/>
      <c r="W32" s="53" t="n"/>
      <c r="X32" s="53" t="n"/>
      <c r="Y32" s="53" t="n"/>
      <c r="Z32" s="53" t="n"/>
      <c r="AA32" s="53" t="n"/>
      <c r="AB32" s="53" t="n"/>
      <c r="AC32" s="53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M958" s="56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M959" s="56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M960" s="56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M961" s="56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  <row r="975">
      <c r="E975" s="53" t="n"/>
      <c r="F975" s="53" t="n"/>
      <c r="G975" s="54" t="n"/>
      <c r="J975" s="53" t="n"/>
      <c r="K975" s="53" t="n"/>
      <c r="L975" s="53" t="n"/>
      <c r="W975" s="53" t="n"/>
      <c r="X975" s="53" t="n"/>
      <c r="Y975" s="53" t="n"/>
      <c r="Z975" s="53" t="n"/>
      <c r="AA975" s="53" t="n"/>
      <c r="AB975" s="53" t="n"/>
      <c r="AC975" s="53" t="n"/>
    </row>
    <row r="976">
      <c r="E976" s="53" t="n"/>
      <c r="F976" s="53" t="n"/>
      <c r="G976" s="54" t="n"/>
      <c r="J976" s="53" t="n"/>
      <c r="K976" s="53" t="n"/>
      <c r="L976" s="53" t="n"/>
      <c r="W976" s="53" t="n"/>
      <c r="X976" s="53" t="n"/>
      <c r="Y976" s="53" t="n"/>
      <c r="Z976" s="53" t="n"/>
      <c r="AA976" s="53" t="n"/>
      <c r="AB976" s="53" t="n"/>
      <c r="AC976" s="53" t="n"/>
    </row>
    <row r="977">
      <c r="E977" s="53" t="n"/>
      <c r="F977" s="53" t="n"/>
      <c r="G977" s="54" t="n"/>
      <c r="J977" s="53" t="n"/>
      <c r="K977" s="53" t="n"/>
      <c r="L977" s="53" t="n"/>
      <c r="W977" s="53" t="n"/>
      <c r="X977" s="53" t="n"/>
      <c r="Y977" s="53" t="n"/>
      <c r="Z977" s="53" t="n"/>
      <c r="AA977" s="53" t="n"/>
      <c r="AB977" s="53" t="n"/>
      <c r="AC977" s="53" t="n"/>
    </row>
    <row r="978">
      <c r="E978" s="53" t="n"/>
      <c r="F978" s="53" t="n"/>
      <c r="G978" s="54" t="n"/>
      <c r="J978" s="53" t="n"/>
      <c r="K978" s="53" t="n"/>
      <c r="L978" s="53" t="n"/>
      <c r="W978" s="53" t="n"/>
      <c r="X978" s="53" t="n"/>
      <c r="Y978" s="53" t="n"/>
      <c r="Z978" s="53" t="n"/>
      <c r="AA978" s="53" t="n"/>
      <c r="AB978" s="53" t="n"/>
      <c r="AC978" s="53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NSE:ASIANPAINT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>
        <f>IFERROR(__xludf.DUMMYFUNCTION("GOOGLEFINANCE($C$1, ""price"")"),2405.0)</f>
        <v/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>
        <f>IFERROR(__xludf.DUMMYFUNCTION("GOOGLEFINANCE($C$1, ""high52"")"),2985.7)</f>
        <v/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>
        <f>IFERROR(__xludf.DUMMYFUNCTION("GOOGLEFINANCE($C$1, ""low52"")"),2124.75)</f>
        <v/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History'!$N$4:$N1005)</f>
        <v/>
      </c>
      <c r="D8" s="60" t="n"/>
      <c r="E8" s="65" t="inlineStr">
        <is>
          <t>ST Units</t>
        </is>
      </c>
      <c r="F8" s="64">
        <f>IFERROR(SUM('Trading History'!$R$4:$R1005), 0)</f>
        <v/>
      </c>
      <c r="G8" s="60" t="n"/>
      <c r="H8" s="66" t="inlineStr">
        <is>
          <t>LT Units</t>
        </is>
      </c>
      <c r="I8" s="64">
        <f>SUM('Trading History'!$V$4:$V1005)</f>
        <v/>
      </c>
      <c r="J8" s="60" t="n"/>
      <c r="K8" s="67" t="inlineStr">
        <is>
          <t>Units</t>
        </is>
      </c>
      <c r="L8" s="64">
        <f>SUM('Trading History'!$AB$4:$AB1005)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History'!$L$4:$L1005)</f>
        <v/>
      </c>
      <c r="D10" s="60" t="n"/>
      <c r="E10" s="70" t="inlineStr">
        <is>
          <t>ST Gain</t>
        </is>
      </c>
      <c r="F10" s="73">
        <f>SUM('Trading History'!$P$4:$P1005)</f>
        <v/>
      </c>
      <c r="G10" s="60" t="n"/>
      <c r="H10" s="71" t="inlineStr">
        <is>
          <t>LT Gain</t>
        </is>
      </c>
      <c r="I10" s="73">
        <f>SUM('Trading History'!$T$4:$T1005)</f>
        <v/>
      </c>
      <c r="J10" s="60" t="n"/>
      <c r="K10" s="72" t="inlineStr">
        <is>
          <t>Gain</t>
        </is>
      </c>
      <c r="L10" s="73">
        <f>SUM('Trading History'!$Z$4:$Z1005)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History'!$M$4:$M1005)</f>
        <v/>
      </c>
      <c r="D12" s="60" t="n"/>
      <c r="E12" s="70" t="inlineStr">
        <is>
          <t>ST Gross</t>
        </is>
      </c>
      <c r="F12" s="73">
        <f>SUM('Trading History'!$Q$4:$Q1005)</f>
        <v/>
      </c>
      <c r="G12" s="60" t="n"/>
      <c r="H12" s="71" t="inlineStr">
        <is>
          <t>LT Gross</t>
        </is>
      </c>
      <c r="I12" s="73">
        <f>SUM('Trading History'!$U$4:$U1005)</f>
        <v/>
      </c>
      <c r="J12" s="60" t="n"/>
      <c r="K12" s="72" t="inlineStr">
        <is>
          <t>Gross</t>
        </is>
      </c>
      <c r="L12" s="73">
        <f>SUM('Trading History'!$AA$4:$AA1005)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History'!$B25:$B1005,"DIV",'Trading History'!$AC$4:$AC1005)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History'!$N$4:$N1005, 'Trading History'!$K$4:$K1005, CONCAT("&gt;", $A15))</f>
        <v/>
      </c>
      <c r="D15" s="60" t="n"/>
      <c r="E15" s="65" t="inlineStr">
        <is>
          <t>ST Units</t>
        </is>
      </c>
      <c r="F15" s="64">
        <f>IFERROR(SUMIFS('Trading History'!$R$4:$R1005, 'Trading History'!$O$4:$O1005, CONCAT("&gt;", $A15)), 0)</f>
        <v/>
      </c>
      <c r="G15" s="60" t="n"/>
      <c r="H15" s="66" t="inlineStr">
        <is>
          <t>LT Units</t>
        </is>
      </c>
      <c r="I15" s="64">
        <f>SUMIFS('Trading History'!$V$4:$V1005, 'Trading History'!$S$4:$S1005, CONCAT("&gt;", $A15))</f>
        <v/>
      </c>
      <c r="J15" s="60" t="n"/>
      <c r="K15" s="67" t="inlineStr">
        <is>
          <t>Units</t>
        </is>
      </c>
      <c r="L15" s="64">
        <f>SUMIFS('Trading History'!$AB$4:$AB1005, 'Trading History'!$Y$4:$Y1005,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History'!$L$4:$L1005, 'Trading History'!$K$4:$K1005, CONCAT("&gt;", $A15))</f>
        <v/>
      </c>
      <c r="D17" s="60" t="n"/>
      <c r="E17" s="70" t="inlineStr">
        <is>
          <t>ST Gain</t>
        </is>
      </c>
      <c r="F17" s="73">
        <f>SUMIFS('Trading History'!$P$4:$P1005, 'Trading History'!$O$4:$O1005, CONCAT("&gt;", $A15))</f>
        <v/>
      </c>
      <c r="G17" s="60" t="n"/>
      <c r="H17" s="71" t="inlineStr">
        <is>
          <t>LT Gain</t>
        </is>
      </c>
      <c r="I17" s="73">
        <f>SUMIFS('Trading History'!$T$4:$T1005, 'Trading History'!$S$4:$S1005, CONCAT("&gt;", $A15))</f>
        <v/>
      </c>
      <c r="J17" s="60" t="n"/>
      <c r="K17" s="72" t="inlineStr">
        <is>
          <t>Gain</t>
        </is>
      </c>
      <c r="L17" s="73">
        <f>SUMIFS('Trading History'!$Z$4:$Z1005, 'Trading History'!$Y$4:$Y1005,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History'!$M$4:$M1005, 'Trading History'!$K$4:$K1005, CONCAT("&gt;", $A15))</f>
        <v/>
      </c>
      <c r="D19" s="60" t="n"/>
      <c r="E19" s="70" t="inlineStr">
        <is>
          <t>ST Gross</t>
        </is>
      </c>
      <c r="F19" s="73">
        <f>SUMIFS('Trading History'!$Q$4:$Q1005, 'Trading History'!$O$4:$O1005, CONCAT("&gt;", $A15))</f>
        <v/>
      </c>
      <c r="G19" s="60" t="n"/>
      <c r="H19" s="71" t="inlineStr">
        <is>
          <t>LT Gross</t>
        </is>
      </c>
      <c r="I19" s="73">
        <f>SUMIFS('Trading History'!$U$4:$U1005, 'Trading History'!$S$4:$S1005, CONCAT("&gt;", $A15))</f>
        <v/>
      </c>
      <c r="J19" s="60" t="n"/>
      <c r="K19" s="72" t="inlineStr">
        <is>
          <t>Gross</t>
        </is>
      </c>
      <c r="L19" s="73">
        <f>SUMIFS('Trading History'!$AA$4:$AA1005, 'Trading History'!$Y$4:$Y1005,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History'!$N$4:$N1005, 'Trading History'!$K$4:$K1005, CONCAT("&gt;", $A22))</f>
        <v/>
      </c>
      <c r="D22" s="60" t="n"/>
      <c r="E22" s="65" t="inlineStr">
        <is>
          <t>ST Units</t>
        </is>
      </c>
      <c r="F22" s="64">
        <f>IFERROR(SUMIFS('Trading History'!$R$4:$R1005, 'Trading History'!$O$4:$O1005, CONCAT("&gt;", $A22)), 0)</f>
        <v/>
      </c>
      <c r="G22" s="60" t="n"/>
      <c r="H22" s="66" t="inlineStr">
        <is>
          <t>LT Units</t>
        </is>
      </c>
      <c r="I22" s="64">
        <f>SUMIFS('Trading History'!$V$4:$V1005, 'Trading History'!$S$4:$S1005, CONCAT("&gt;", $A22))</f>
        <v/>
      </c>
      <c r="J22" s="60" t="n"/>
      <c r="K22" s="67" t="inlineStr">
        <is>
          <t>Units</t>
        </is>
      </c>
      <c r="L22" s="64">
        <f>SUMIFS('Trading History'!$AB$4:$AB1005, 'Trading History'!$Y$4:$Y1005,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History'!$L$4:$L1005, 'Trading History'!$K$4:$K1005, CONCAT("&gt;", $A22))</f>
        <v/>
      </c>
      <c r="D24" s="60" t="n"/>
      <c r="E24" s="70" t="inlineStr">
        <is>
          <t>ST Gain</t>
        </is>
      </c>
      <c r="F24" s="73">
        <f>SUMIFS('Trading History'!$P$4:$P1005, 'Trading History'!$O$4:$O1005, CONCAT("&gt;", $A22))</f>
        <v/>
      </c>
      <c r="G24" s="60" t="n"/>
      <c r="H24" s="71" t="inlineStr">
        <is>
          <t>LT Gain</t>
        </is>
      </c>
      <c r="I24" s="73">
        <f>SUMIFS('Trading History'!$T$4:$T1005, 'Trading History'!$S$4:$S1005, CONCAT("&gt;", $A22))</f>
        <v/>
      </c>
      <c r="J24" s="60" t="n"/>
      <c r="K24" s="72" t="inlineStr">
        <is>
          <t>Gain</t>
        </is>
      </c>
      <c r="L24" s="73">
        <f>SUMIFS('Trading History'!$Z$4:$Z1005, 'Trading History'!$Y$4:$Y1005,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History'!$M$4:$M1005, 'Trading History'!$K$4:$K1005, CONCAT("&gt;", $A22))</f>
        <v/>
      </c>
      <c r="D26" s="60" t="n"/>
      <c r="E26" s="70" t="inlineStr">
        <is>
          <t>ST Gross</t>
        </is>
      </c>
      <c r="F26" s="73">
        <f>SUMIFS('Trading History'!$Q$4:$Q1005, 'Trading History'!$O$4:$O1005, CONCAT("&gt;", $A22))</f>
        <v/>
      </c>
      <c r="G26" s="60" t="n"/>
      <c r="H26" s="71" t="inlineStr">
        <is>
          <t>LT Gross</t>
        </is>
      </c>
      <c r="I26" s="73">
        <f>SUMIFS('Trading History'!$U$4:$U1005, 'Trading History'!$S$4:$S1005, CONCAT("&gt;", $A22))</f>
        <v/>
      </c>
      <c r="J26" s="60" t="n"/>
      <c r="K26" s="72" t="inlineStr">
        <is>
          <t>Gross</t>
        </is>
      </c>
      <c r="L26" s="73">
        <f>SUMIFS('Trading History'!$AA$4:$AA1005, 'Trading History'!$Y$4:$Y1005,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History'!$N$4:$N1005, 'Trading History'!$K$4:$K1005, CONCAT("&gt;", $A29))</f>
        <v/>
      </c>
      <c r="D29" s="60" t="n"/>
      <c r="E29" s="65" t="inlineStr">
        <is>
          <t>ST Units</t>
        </is>
      </c>
      <c r="F29" s="64">
        <f>IFERROR(SUMIFS('Trading History'!$R$4:$R1005, 'Trading History'!$O$4:$O1005, CONCAT("&gt;", $A29)), 0)</f>
        <v/>
      </c>
      <c r="G29" s="60" t="n"/>
      <c r="H29" s="66" t="inlineStr">
        <is>
          <t>LT Units</t>
        </is>
      </c>
      <c r="I29" s="64">
        <f>SUMIFS('Trading History'!$V$4:$V1005, 'Trading History'!$S$4:$S1005, CONCAT("&gt;", $A29))</f>
        <v/>
      </c>
      <c r="J29" s="60" t="n"/>
      <c r="K29" s="67" t="inlineStr">
        <is>
          <t>Units</t>
        </is>
      </c>
      <c r="L29" s="64">
        <f>SUMIFS('Trading History'!$AB$4:$AB1005, 'Trading History'!$Y$4:$Y1005,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History'!$L$4:$L1005, 'Trading History'!$K$4:$K1005, CONCAT("&gt;", $A29))</f>
        <v/>
      </c>
      <c r="D31" s="60" t="n"/>
      <c r="E31" s="70" t="inlineStr">
        <is>
          <t>ST Gain</t>
        </is>
      </c>
      <c r="F31" s="73">
        <f>SUMIFS('Trading History'!$P$4:$P1005, 'Trading History'!$O$4:$O1005, CONCAT("&gt;", $A29))</f>
        <v/>
      </c>
      <c r="G31" s="60" t="n"/>
      <c r="H31" s="71" t="inlineStr">
        <is>
          <t>LT Gain</t>
        </is>
      </c>
      <c r="I31" s="73">
        <f>SUMIFS('Trading History'!$T$4:$T1005, 'Trading History'!$S$4:$S1005, CONCAT("&gt;", $A29))</f>
        <v/>
      </c>
      <c r="J31" s="60" t="n"/>
      <c r="K31" s="72" t="inlineStr">
        <is>
          <t>Gain</t>
        </is>
      </c>
      <c r="L31" s="73">
        <f>SUMIFS('Trading History'!$Z$4:$Z1005, 'Trading History'!$Y$4:$Y1005,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History'!$M$4:$M1005, 'Trading History'!$K$4:$K1005, CONCAT("&gt;", $A29))</f>
        <v/>
      </c>
      <c r="D33" s="60" t="n"/>
      <c r="E33" s="70" t="inlineStr">
        <is>
          <t>ST Gross</t>
        </is>
      </c>
      <c r="F33" s="73">
        <f>SUMIFS('Trading History'!$Q$4:$Q1005, 'Trading History'!$O$4:$O1005, CONCAT("&gt;", $A29))</f>
        <v/>
      </c>
      <c r="G33" s="60" t="n"/>
      <c r="H33" s="71" t="inlineStr">
        <is>
          <t>LT Gross</t>
        </is>
      </c>
      <c r="I33" s="73">
        <f>SUMIFS('Trading History'!$U$4:$U1005, 'Trading History'!$S$4:$S1005, CONCAT("&gt;", $A29))</f>
        <v/>
      </c>
      <c r="J33" s="60" t="n"/>
      <c r="K33" s="72" t="inlineStr">
        <is>
          <t>Gross</t>
        </is>
      </c>
      <c r="L33" s="73">
        <f>SUMIFS('Trading History'!$AA$4:$AA1005, 'Trading History'!$Y$4:$Y1005,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History'!$N$4:$N1005, 'Trading History'!$K$4:$K1005, CONCAT("&gt;", $A36))</f>
        <v/>
      </c>
      <c r="D36" s="60" t="n"/>
      <c r="E36" s="65" t="inlineStr">
        <is>
          <t>ST Units</t>
        </is>
      </c>
      <c r="F36" s="64">
        <f>IFERROR(SUMIFS('Trading History'!$R$4:$R1005, 'Trading History'!$O$4:$O1005, CONCAT("&gt;", $A36)), 0)</f>
        <v/>
      </c>
      <c r="G36" s="60" t="n"/>
      <c r="H36" s="66" t="inlineStr">
        <is>
          <t>LT Units</t>
        </is>
      </c>
      <c r="I36" s="64">
        <f>SUMIFS('Trading History'!$V$4:$V1005, 'Trading History'!$S$4:$S1005, CONCAT("&gt;", $A36))</f>
        <v/>
      </c>
      <c r="J36" s="60" t="n"/>
      <c r="K36" s="67" t="inlineStr">
        <is>
          <t>Units</t>
        </is>
      </c>
      <c r="L36" s="64">
        <f>SUMIFS('Trading History'!$AB$4:$AB1005, 'Trading History'!$Y$4:$Y1005,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History'!$L$4:$L1005, 'Trading History'!$K$4:$K1005, CONCAT("&gt;", $A36))</f>
        <v/>
      </c>
      <c r="D38" s="60" t="n"/>
      <c r="E38" s="70" t="inlineStr">
        <is>
          <t>ST Gain</t>
        </is>
      </c>
      <c r="F38" s="73">
        <f>SUMIFS('Trading History'!$P$4:$P1005, 'Trading History'!$O$4:$O1005, CONCAT("&gt;", $A36))</f>
        <v/>
      </c>
      <c r="G38" s="60" t="n"/>
      <c r="H38" s="71" t="inlineStr">
        <is>
          <t>LT Gain</t>
        </is>
      </c>
      <c r="I38" s="73">
        <f>SUMIFS('Trading History'!$T$4:$T1005, 'Trading History'!$S$4:$S1005, CONCAT("&gt;", $A36))</f>
        <v/>
      </c>
      <c r="J38" s="60" t="n"/>
      <c r="K38" s="72" t="inlineStr">
        <is>
          <t>Gain</t>
        </is>
      </c>
      <c r="L38" s="73">
        <f>SUMIFS('Trading History'!$Z$4:$Z1005, 'Trading History'!$Y$4:$Y1005,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History'!$M$4:$M1005, 'Trading History'!$K$4:$K1005, CONCAT("&gt;", $A36))</f>
        <v/>
      </c>
      <c r="D40" s="60" t="n"/>
      <c r="E40" s="70" t="inlineStr">
        <is>
          <t>ST Gross</t>
        </is>
      </c>
      <c r="F40" s="73">
        <f>SUMIFS('Trading History'!$Q$4:$Q1005, 'Trading History'!$O$4:$O1005, CONCAT("&gt;", $A36))</f>
        <v/>
      </c>
      <c r="G40" s="60" t="n"/>
      <c r="H40" s="71" t="inlineStr">
        <is>
          <t>LT Gross</t>
        </is>
      </c>
      <c r="I40" s="73">
        <f>SUMIFS('Trading History'!$U$4:$U1005, 'Trading History'!$S$4:$S1005, CONCAT("&gt;", $A36))</f>
        <v/>
      </c>
      <c r="J40" s="60" t="n"/>
      <c r="K40" s="72" t="inlineStr">
        <is>
          <t>Gross</t>
        </is>
      </c>
      <c r="L40" s="73">
        <f>SUMIFS('Trading History'!$AA$4:$AA1005, 'Trading History'!$Y$4:$Y1005,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History'!$N$4:$N1005, 'Trading History'!$K$4:$K1005, CONCAT("&gt;", $A43))</f>
        <v/>
      </c>
      <c r="D43" s="60" t="n"/>
      <c r="E43" s="65" t="inlineStr">
        <is>
          <t>ST Units</t>
        </is>
      </c>
      <c r="F43" s="64">
        <f>IFERROR(SUMIFS('Trading History'!$R$4:$R1005, 'Trading History'!$O$4:$O1005, CONCAT("&gt;", $A43)), 0)</f>
        <v/>
      </c>
      <c r="G43" s="60" t="n"/>
      <c r="H43" s="66" t="inlineStr">
        <is>
          <t>LT Units</t>
        </is>
      </c>
      <c r="I43" s="64">
        <f>SUMIFS('Trading History'!$V$4:$V1005, 'Trading History'!$S$4:$S1005, CONCAT("&gt;", $A43))</f>
        <v/>
      </c>
      <c r="J43" s="60" t="n"/>
      <c r="K43" s="67" t="inlineStr">
        <is>
          <t>Units</t>
        </is>
      </c>
      <c r="L43" s="64">
        <f>SUMIFS('Trading History'!$AB$4:$AB1005, 'Trading History'!$Y$4:$Y1005,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History'!$L$4:$L1005, 'Trading History'!$K$4:$K1005, CONCAT("&gt;", $A43))</f>
        <v/>
      </c>
      <c r="D45" s="60" t="n"/>
      <c r="E45" s="70" t="inlineStr">
        <is>
          <t>ST Gain</t>
        </is>
      </c>
      <c r="F45" s="73">
        <f>SUMIFS('Trading History'!$P$4:$P1005, 'Trading History'!$O$4:$O1005, CONCAT("&gt;", $A43))</f>
        <v/>
      </c>
      <c r="G45" s="60" t="n"/>
      <c r="H45" s="71" t="inlineStr">
        <is>
          <t>LT Gain</t>
        </is>
      </c>
      <c r="I45" s="73">
        <f>SUMIFS('Trading History'!$T$4:$T1005, 'Trading History'!$S$4:$S1005, CONCAT("&gt;", $A43))</f>
        <v/>
      </c>
      <c r="J45" s="60" t="n"/>
      <c r="K45" s="72" t="inlineStr">
        <is>
          <t>Gain</t>
        </is>
      </c>
      <c r="L45" s="73">
        <f>SUMIFS('Trading History'!$Z$4:$Z1005, 'Trading History'!$Y$4:$Y1005,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History'!$M$4:$M1005, 'Trading History'!$K$4:$K1005, CONCAT("&gt;", $A43))</f>
        <v/>
      </c>
      <c r="D47" s="60" t="n"/>
      <c r="E47" s="70" t="inlineStr">
        <is>
          <t>ST Gross</t>
        </is>
      </c>
      <c r="F47" s="73">
        <f>SUMIFS('Trading History'!$Q$4:$Q1005, 'Trading History'!$O$4:$O1005, CONCAT("&gt;", $A43))</f>
        <v/>
      </c>
      <c r="G47" s="60" t="n"/>
      <c r="H47" s="71" t="inlineStr">
        <is>
          <t>LT Gross</t>
        </is>
      </c>
      <c r="I47" s="73">
        <f>SUMIFS('Trading History'!$U$4:$U1005, 'Trading History'!$S$4:$S1005, CONCAT("&gt;", $A43))</f>
        <v/>
      </c>
      <c r="J47" s="60" t="n"/>
      <c r="K47" s="72" t="inlineStr">
        <is>
          <t>Gross</t>
        </is>
      </c>
      <c r="L47" s="73">
        <f>SUMIFS('Trading History'!$AA$4:$AA1005, 'Trading History'!$Y$4:$Y1005,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History'!$N$4:$N1005, 'Trading History'!$K$4:$K1005, CONCAT("&gt;", $A50))</f>
        <v/>
      </c>
      <c r="D50" s="60" t="n"/>
      <c r="E50" s="65" t="inlineStr">
        <is>
          <t>ST Units</t>
        </is>
      </c>
      <c r="F50" s="64">
        <f>IFERROR(SUMIFS('Trading History'!$R$4:$R1005, 'Trading History'!$O$4:$O1005, CONCAT("&gt;", $A50)), 0)</f>
        <v/>
      </c>
      <c r="G50" s="60" t="n"/>
      <c r="H50" s="66" t="inlineStr">
        <is>
          <t>LT Units</t>
        </is>
      </c>
      <c r="I50" s="64">
        <f>SUMIFS('Trading History'!$V$4:$V1005, 'Trading History'!$S$4:$S1005, CONCAT("&gt;", $A50))</f>
        <v/>
      </c>
      <c r="J50" s="60" t="n"/>
      <c r="K50" s="67" t="inlineStr">
        <is>
          <t>Units</t>
        </is>
      </c>
      <c r="L50" s="64">
        <f>SUMIFS('Trading History'!$AB$4:$AB1005, 'Trading History'!$Y$4:$Y1005,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History'!$L$4:$L1005, 'Trading History'!$K$4:$K1005, CONCAT("&gt;", $A50))</f>
        <v/>
      </c>
      <c r="D52" s="60" t="n"/>
      <c r="E52" s="70" t="inlineStr">
        <is>
          <t>ST Gain</t>
        </is>
      </c>
      <c r="F52" s="73">
        <f>SUMIFS('Trading History'!$P$4:$P1005, 'Trading History'!$O$4:$O1005, CONCAT("&gt;", $A50))</f>
        <v/>
      </c>
      <c r="G52" s="60" t="n"/>
      <c r="H52" s="71" t="inlineStr">
        <is>
          <t>LT Gain</t>
        </is>
      </c>
      <c r="I52" s="73">
        <f>SUMIFS('Trading History'!$T$4:$T1005, 'Trading History'!$S$4:$S1005, CONCAT("&gt;", $A50))</f>
        <v/>
      </c>
      <c r="J52" s="60" t="n"/>
      <c r="K52" s="72" t="inlineStr">
        <is>
          <t>Gain</t>
        </is>
      </c>
      <c r="L52" s="73">
        <f>SUMIFS('Trading History'!$Z$4:$Z1005, 'Trading History'!$Y$4:$Y1005,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History'!$M$4:$M1005, 'Trading History'!$K$4:$K1005, CONCAT("&gt;", $A50))</f>
        <v/>
      </c>
      <c r="D54" s="60" t="n"/>
      <c r="E54" s="70" t="inlineStr">
        <is>
          <t>ST Gross</t>
        </is>
      </c>
      <c r="F54" s="73">
        <f>SUMIFS('Trading History'!$Q$4:$Q1005, 'Trading History'!$O$4:$O1005, CONCAT("&gt;", $A50))</f>
        <v/>
      </c>
      <c r="G54" s="60" t="n"/>
      <c r="H54" s="71" t="inlineStr">
        <is>
          <t>LT Gross</t>
        </is>
      </c>
      <c r="I54" s="73">
        <f>SUMIFS('Trading History'!$U$4:$U1005, 'Trading History'!$S$4:$S1005, CONCAT("&gt;", $A50))</f>
        <v/>
      </c>
      <c r="J54" s="60" t="n"/>
      <c r="K54" s="72" t="inlineStr">
        <is>
          <t>Gross</t>
        </is>
      </c>
      <c r="L54" s="73">
        <f>SUMIFS('Trading History'!$AA$4:$AA1005, 'Trading History'!$Y$4:$Y1005,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History'!$N$4:$N1005, 'Trading History'!$K$4:$K1005, CONCAT("&gt;", $A57))</f>
        <v/>
      </c>
      <c r="D57" s="60" t="n"/>
      <c r="E57" s="65" t="inlineStr">
        <is>
          <t>ST Units</t>
        </is>
      </c>
      <c r="F57" s="64">
        <f>IFERROR(SUMIFS('Trading History'!$R$4:$R1005, 'Trading History'!$O$4:$O1005, CONCAT("&gt;", $A57)), 0)</f>
        <v/>
      </c>
      <c r="G57" s="60" t="n"/>
      <c r="H57" s="66" t="inlineStr">
        <is>
          <t>LT Units</t>
        </is>
      </c>
      <c r="I57" s="64">
        <f>SUMIFS('Trading History'!$V$4:$V1005, 'Trading History'!$S$4:$S1005, CONCAT("&gt;", $A57))</f>
        <v/>
      </c>
      <c r="J57" s="60" t="n"/>
      <c r="K57" s="67" t="inlineStr">
        <is>
          <t>Units</t>
        </is>
      </c>
      <c r="L57" s="64">
        <f>SUMIFS('Trading History'!$AB$4:$AB1005, 'Trading History'!$Y$4:$Y1005,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History'!$L$4:$L1005, 'Trading History'!$K$4:$K1005, CONCAT("&gt;", $A57))</f>
        <v/>
      </c>
      <c r="D59" s="60" t="n"/>
      <c r="E59" s="70" t="inlineStr">
        <is>
          <t>ST Gain</t>
        </is>
      </c>
      <c r="F59" s="73">
        <f>SUMIFS('Trading History'!$P$4:$P1005, 'Trading History'!$O$4:$O1005, CONCAT("&gt;", $A57))</f>
        <v/>
      </c>
      <c r="G59" s="60" t="n"/>
      <c r="H59" s="71" t="inlineStr">
        <is>
          <t>LT Gain</t>
        </is>
      </c>
      <c r="I59" s="73">
        <f>SUMIFS('Trading History'!$T$4:$T1005, 'Trading History'!$S$4:$S1005, CONCAT("&gt;", $A57))</f>
        <v/>
      </c>
      <c r="J59" s="60" t="n"/>
      <c r="K59" s="72" t="inlineStr">
        <is>
          <t>Gain</t>
        </is>
      </c>
      <c r="L59" s="73">
        <f>SUMIFS('Trading History'!$Z$4:$Z1005, 'Trading History'!$Y$4:$Y1005,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History'!$M$4:$M1005, 'Trading History'!$K$4:$K1005, CONCAT("&gt;", $A57))</f>
        <v/>
      </c>
      <c r="D61" s="60" t="n"/>
      <c r="E61" s="70" t="inlineStr">
        <is>
          <t>ST Gross</t>
        </is>
      </c>
      <c r="F61" s="73">
        <f>SUMIFS('Trading History'!$Q$4:$Q1005, 'Trading History'!$O$4:$O1005, CONCAT("&gt;", $A57))</f>
        <v/>
      </c>
      <c r="G61" s="60" t="n"/>
      <c r="H61" s="71" t="inlineStr">
        <is>
          <t>LT Gross</t>
        </is>
      </c>
      <c r="I61" s="73">
        <f>SUMIFS('Trading History'!$U$4:$U1005, 'Trading History'!$S$4:$S1005, CONCAT("&gt;", $A57))</f>
        <v/>
      </c>
      <c r="J61" s="60" t="n"/>
      <c r="K61" s="72" t="inlineStr">
        <is>
          <t>Gross</t>
        </is>
      </c>
      <c r="L61" s="73">
        <f>SUMIFS('Trading History'!$AA$4:$AA1005, 'Trading History'!$Y$4:$Y1005,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History'!$N$4:$N1005, 'Trading History'!$K$4:$K1005, CONCAT("&gt;", $A64))</f>
        <v/>
      </c>
      <c r="D64" s="60" t="n"/>
      <c r="E64" s="65" t="inlineStr">
        <is>
          <t>ST Units</t>
        </is>
      </c>
      <c r="F64" s="64">
        <f>IFERROR(SUMIFS('Trading History'!$R$4:$R1005, 'Trading History'!$O$4:$O1005, CONCAT("&gt;", $A64)), 0)</f>
        <v/>
      </c>
      <c r="G64" s="60" t="n"/>
      <c r="H64" s="66" t="inlineStr">
        <is>
          <t>LT Units</t>
        </is>
      </c>
      <c r="I64" s="64">
        <f>SUMIFS('Trading History'!$V$4:$V1005, 'Trading History'!$S$4:$S1005, CONCAT("&gt;", $A64))</f>
        <v/>
      </c>
      <c r="J64" s="60" t="n"/>
      <c r="K64" s="67" t="inlineStr">
        <is>
          <t>Units</t>
        </is>
      </c>
      <c r="L64" s="64">
        <f>SUMIFS('Trading History'!$AB$4:$AB1005, 'Trading History'!$Y$4:$Y1005,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History'!$L$4:$L1005, 'Trading History'!$K$4:$K1005, CONCAT("&gt;", $A64))</f>
        <v/>
      </c>
      <c r="D66" s="60" t="n"/>
      <c r="E66" s="70" t="inlineStr">
        <is>
          <t>ST Gain</t>
        </is>
      </c>
      <c r="F66" s="73">
        <f>SUMIFS('Trading History'!$P$4:$P1005, 'Trading History'!$O$4:$O1005, CONCAT("&gt;", $A64))</f>
        <v/>
      </c>
      <c r="G66" s="60" t="n"/>
      <c r="H66" s="71" t="inlineStr">
        <is>
          <t>LT Gain</t>
        </is>
      </c>
      <c r="I66" s="73">
        <f>SUMIFS('Trading History'!$T$4:$T1005, 'Trading History'!$S$4:$S1005, CONCAT("&gt;", $A64))</f>
        <v/>
      </c>
      <c r="J66" s="60" t="n"/>
      <c r="K66" s="72" t="inlineStr">
        <is>
          <t>Gain</t>
        </is>
      </c>
      <c r="L66" s="73">
        <f>SUMIFS('Trading History'!$Z$4:$Z1005, 'Trading History'!$Y$4:$Y1005,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History'!$M$4:$M1005, 'Trading History'!$K$4:$K1005, CONCAT("&gt;", $A64))</f>
        <v/>
      </c>
      <c r="D68" s="60" t="n"/>
      <c r="E68" s="70" t="inlineStr">
        <is>
          <t>ST Gross</t>
        </is>
      </c>
      <c r="F68" s="73">
        <f>SUMIFS('Trading History'!$Q$4:$Q1005, 'Trading History'!$O$4:$O1005, CONCAT("&gt;", $A64))</f>
        <v/>
      </c>
      <c r="G68" s="60" t="n"/>
      <c r="H68" s="71" t="inlineStr">
        <is>
          <t>LT Gross</t>
        </is>
      </c>
      <c r="I68" s="73">
        <f>SUMIFS('Trading History'!$U$4:$U1005, 'Trading History'!$S$4:$S1005, CONCAT("&gt;", $A64))</f>
        <v/>
      </c>
      <c r="J68" s="60" t="n"/>
      <c r="K68" s="72" t="inlineStr">
        <is>
          <t>Gross</t>
        </is>
      </c>
      <c r="L68" s="73">
        <f>SUMIFS('Trading History'!$AA$4:$AA1005, 'Trading History'!$Y$4:$Y1005,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History'!$N$4:$N1005, 'Trading History'!$K$4:$K1005, CONCAT("&gt;", $A71))</f>
        <v/>
      </c>
      <c r="D71" s="60" t="n"/>
      <c r="E71" s="65" t="inlineStr">
        <is>
          <t>ST Units</t>
        </is>
      </c>
      <c r="F71" s="64">
        <f>IFERROR(SUMIFS('Trading History'!$R$4:$R1005, 'Trading History'!$O$4:$O1005, CONCAT("&gt;", $A71)), 0)</f>
        <v/>
      </c>
      <c r="G71" s="60" t="n"/>
      <c r="H71" s="66" t="inlineStr">
        <is>
          <t>LT Units</t>
        </is>
      </c>
      <c r="I71" s="64">
        <f>SUMIFS('Trading History'!$V$4:$V1005, 'Trading History'!$S$4:$S1005, CONCAT("&gt;", $A71))</f>
        <v/>
      </c>
      <c r="J71" s="60" t="n"/>
      <c r="K71" s="67" t="inlineStr">
        <is>
          <t>Units</t>
        </is>
      </c>
      <c r="L71" s="64">
        <f>SUMIFS('Trading History'!$AB$4:$AB1005, 'Trading History'!$Y$4:$Y1005,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History'!$L$4:$L1005, 'Trading History'!$K$4:$K1005, CONCAT("&gt;", $A71))</f>
        <v/>
      </c>
      <c r="D73" s="60" t="n"/>
      <c r="E73" s="70" t="inlineStr">
        <is>
          <t>ST Gain</t>
        </is>
      </c>
      <c r="F73" s="73">
        <f>SUMIFS('Trading History'!$P$4:$P1005, 'Trading History'!$O$4:$O1005, CONCAT("&gt;", $A71))</f>
        <v/>
      </c>
      <c r="G73" s="60" t="n"/>
      <c r="H73" s="71" t="inlineStr">
        <is>
          <t>LT Gain</t>
        </is>
      </c>
      <c r="I73" s="73">
        <f>SUMIFS('Trading History'!$T$4:$T1005, 'Trading History'!$S$4:$S1005, CONCAT("&gt;", $A71))</f>
        <v/>
      </c>
      <c r="J73" s="60" t="n"/>
      <c r="K73" s="72" t="inlineStr">
        <is>
          <t>Gain</t>
        </is>
      </c>
      <c r="L73" s="73">
        <f>SUMIFS('Trading History'!$Z$4:$Z1005, 'Trading History'!$Y$4:$Y1005,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History'!$M$4:$M1005, 'Trading History'!$K$4:$K1005, CONCAT("&gt;", $A71))</f>
        <v/>
      </c>
      <c r="D75" s="60" t="n"/>
      <c r="E75" s="70" t="inlineStr">
        <is>
          <t>ST Gross</t>
        </is>
      </c>
      <c r="F75" s="73">
        <f>SUMIFS('Trading History'!$Q$4:$Q1005, 'Trading History'!$O$4:$O1005, CONCAT("&gt;", $A71))</f>
        <v/>
      </c>
      <c r="G75" s="60" t="n"/>
      <c r="H75" s="71" t="inlineStr">
        <is>
          <t>LT Gross</t>
        </is>
      </c>
      <c r="I75" s="73">
        <f>SUMIFS('Trading History'!$U$4:$U1005, 'Trading History'!$S$4:$S1005, CONCAT("&gt;", $A71))</f>
        <v/>
      </c>
      <c r="J75" s="60" t="n"/>
      <c r="K75" s="72" t="inlineStr">
        <is>
          <t>Gross</t>
        </is>
      </c>
      <c r="L75" s="73">
        <f>SUMIFS('Trading History'!$AA$4:$AA1005, 'Trading History'!$Y$4:$Y1005,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History'!$N$4:$N1005, 'Trading History'!$K$4:$K1005, CONCAT("&gt;", $A78))</f>
        <v/>
      </c>
      <c r="D78" s="60" t="n"/>
      <c r="E78" s="65" t="inlineStr">
        <is>
          <t>ST Units</t>
        </is>
      </c>
      <c r="F78" s="64">
        <f>IFERROR(SUMIFS('Trading History'!$R$4:$R1005, 'Trading History'!$O$4:$O1005, CONCAT("&gt;", $A78)), 0)</f>
        <v/>
      </c>
      <c r="G78" s="60" t="n"/>
      <c r="H78" s="66" t="inlineStr">
        <is>
          <t>LT Units</t>
        </is>
      </c>
      <c r="I78" s="64">
        <f>SUMIFS('Trading History'!$V$4:$V1005, 'Trading History'!$S$4:$S1005, CONCAT("&gt;", $A78))</f>
        <v/>
      </c>
      <c r="J78" s="60" t="n"/>
      <c r="K78" s="67" t="inlineStr">
        <is>
          <t>Units</t>
        </is>
      </c>
      <c r="L78" s="64">
        <f>SUMIFS('Trading History'!$AB$4:$AB1005, 'Trading History'!$Y$4:$Y1005,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History'!$L$4:$L1005, 'Trading History'!$K$4:$K1005, CONCAT("&gt;", $A78))</f>
        <v/>
      </c>
      <c r="D80" s="60" t="n"/>
      <c r="E80" s="70" t="inlineStr">
        <is>
          <t>ST Gain</t>
        </is>
      </c>
      <c r="F80" s="73">
        <f>SUMIFS('Trading History'!$P$4:$P1005, 'Trading History'!$O$4:$O1005, CONCAT("&gt;", $A78))</f>
        <v/>
      </c>
      <c r="G80" s="60" t="n"/>
      <c r="H80" s="71" t="inlineStr">
        <is>
          <t>LT Gain</t>
        </is>
      </c>
      <c r="I80" s="73">
        <f>SUMIFS('Trading History'!$T$4:$T1005, 'Trading History'!$S$4:$S1005, CONCAT("&gt;", $A78))</f>
        <v/>
      </c>
      <c r="J80" s="60" t="n"/>
      <c r="K80" s="72" t="inlineStr">
        <is>
          <t>Gain</t>
        </is>
      </c>
      <c r="L80" s="73">
        <f>SUMIFS('Trading History'!$Z$4:$Z1005, 'Trading History'!$Y$4:$Y1005,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History'!$M$4:$M1005, 'Trading History'!$K$4:$K1005, CONCAT("&gt;", $A78))</f>
        <v/>
      </c>
      <c r="D82" s="60" t="n"/>
      <c r="E82" s="70" t="inlineStr">
        <is>
          <t>ST Gross</t>
        </is>
      </c>
      <c r="F82" s="73">
        <f>SUMIFS('Trading History'!$Q$4:$Q1005, 'Trading History'!$O$4:$O1005, CONCAT("&gt;", $A78))</f>
        <v/>
      </c>
      <c r="G82" s="60" t="n"/>
      <c r="H82" s="71" t="inlineStr">
        <is>
          <t>LT Gross</t>
        </is>
      </c>
      <c r="I82" s="73">
        <f>SUMIFS('Trading History'!$U$4:$U1005, 'Trading History'!$S$4:$S1005, CONCAT("&gt;", $A78))</f>
        <v/>
      </c>
      <c r="J82" s="60" t="n"/>
      <c r="K82" s="72" t="inlineStr">
        <is>
          <t>Gross</t>
        </is>
      </c>
      <c r="L82" s="73">
        <f>SUMIFS('Trading History'!$AA$4:$AA1005, 'Trading History'!$Y$4:$Y1005,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History'!$N$4:$N1005, 'Trading History'!$K$4:$K1005, CONCAT("&gt;", $A85))</f>
        <v/>
      </c>
      <c r="D85" s="60" t="n"/>
      <c r="E85" s="65" t="inlineStr">
        <is>
          <t>ST Units</t>
        </is>
      </c>
      <c r="F85" s="64">
        <f>IFERROR(SUMIFS('Trading History'!$R$4:$R1005, 'Trading History'!$O$4:$O1005, CONCAT("&gt;", $A85)), 0)</f>
        <v/>
      </c>
      <c r="G85" s="60" t="n"/>
      <c r="H85" s="66" t="inlineStr">
        <is>
          <t>LT Units</t>
        </is>
      </c>
      <c r="I85" s="64">
        <f>SUMIFS('Trading History'!$V$4:$V1005, 'Trading History'!$S$4:$S1005, CONCAT("&gt;", $A85))</f>
        <v/>
      </c>
      <c r="J85" s="60" t="n"/>
      <c r="K85" s="67" t="inlineStr">
        <is>
          <t>Units</t>
        </is>
      </c>
      <c r="L85" s="64">
        <f>SUMIFS('Trading History'!$AB$4:$AB1005, 'Trading History'!$Y$4:$Y1005,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History'!$L$4:$L1005, 'Trading History'!$K$4:$K1005, CONCAT("&gt;", $A85))</f>
        <v/>
      </c>
      <c r="D87" s="60" t="n"/>
      <c r="E87" s="70" t="inlineStr">
        <is>
          <t>ST Gain</t>
        </is>
      </c>
      <c r="F87" s="73">
        <f>SUMIFS('Trading History'!$P$4:$P1005, 'Trading History'!$O$4:$O1005, CONCAT("&gt;", $A85))</f>
        <v/>
      </c>
      <c r="G87" s="60" t="n"/>
      <c r="H87" s="71" t="inlineStr">
        <is>
          <t>LT Gain</t>
        </is>
      </c>
      <c r="I87" s="73">
        <f>SUMIFS('Trading History'!$T$4:$T1005, 'Trading History'!$S$4:$S1005, CONCAT("&gt;", $A85))</f>
        <v/>
      </c>
      <c r="J87" s="60" t="n"/>
      <c r="K87" s="72" t="inlineStr">
        <is>
          <t>Gain</t>
        </is>
      </c>
      <c r="L87" s="73">
        <f>SUMIFS('Trading History'!$Z$4:$Z1005, 'Trading History'!$Y$4:$Y1005,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History'!$M$4:$M1005, 'Trading History'!$K$4:$K1005, CONCAT("&gt;", $A85))</f>
        <v/>
      </c>
      <c r="D89" s="60" t="n"/>
      <c r="E89" s="70" t="inlineStr">
        <is>
          <t>ST Gross</t>
        </is>
      </c>
      <c r="F89" s="73">
        <f>SUMIFS('Trading History'!$Q$4:$Q1005, 'Trading History'!$O$4:$O1005, CONCAT("&gt;", $A85))</f>
        <v/>
      </c>
      <c r="G89" s="60" t="n"/>
      <c r="H89" s="71" t="inlineStr">
        <is>
          <t>LT Gross</t>
        </is>
      </c>
      <c r="I89" s="73">
        <f>SUMIFS('Trading History'!$U$4:$U1005, 'Trading History'!$S$4:$S1005, CONCAT("&gt;", $A85))</f>
        <v/>
      </c>
      <c r="J89" s="60" t="n"/>
      <c r="K89" s="72" t="inlineStr">
        <is>
          <t>Gross</t>
        </is>
      </c>
      <c r="L89" s="73">
        <f>SUMIFS('Trading History'!$AA$4:$AA1005, 'Trading History'!$Y$4:$Y1005,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2" t="n"/>
      <c r="L90" s="2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2026-02-10T23:07:14Z</dcterms:created>
  <dcterms:modified xmlns:dcterms="http://purl.org/dc/terms/" xmlns:xsi="http://www.w3.org/2001/XMLSchema-instance" xsi:type="dcterms:W3CDTF">2026-02-10T23:07:14Z</dcterms:modified>
</cp:coreProperties>
</file>