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E9A254D_DA02_43E9_9A05_D3CB965F8F6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45974</v>
      </c>
      <c r="B5" t="inlineStr">
        <is>
          <t>NSE</t>
        </is>
      </c>
      <c r="C5" t="inlineStr">
        <is>
          <t>Buy</t>
        </is>
      </c>
      <c r="D5" t="n">
        <v>30</v>
      </c>
      <c r="E5" t="n">
        <v>108.032</v>
      </c>
      <c r="F5" t="n">
        <v>3260.96</v>
      </c>
      <c r="G5" t="inlineStr">
        <is>
          <t>CN#252608142538</t>
        </is>
      </c>
      <c r="I5" t="n">
        <v>20</v>
      </c>
      <c r="J5">
        <f>Index!$C$2</f>
        <v/>
      </c>
    </row>
    <row r="6">
      <c r="A6" s="93" t="n">
        <v>45972</v>
      </c>
      <c r="B6" s="0" t="inlineStr">
        <is>
          <t>NSE</t>
        </is>
      </c>
      <c r="C6" s="0" t="inlineStr">
        <is>
          <t>Buy</t>
        </is>
      </c>
      <c r="D6" s="0" t="n">
        <v>40</v>
      </c>
      <c r="E6" s="0" t="n">
        <v>106.14</v>
      </c>
      <c r="F6" s="0" t="n">
        <v>4265.6</v>
      </c>
      <c r="G6" s="0" t="inlineStr">
        <is>
          <t>CN#252608021091</t>
        </is>
      </c>
      <c r="I6" s="0" t="n">
        <v>20</v>
      </c>
      <c r="J6" s="0">
        <f>Index!$C$2</f>
        <v/>
      </c>
    </row>
    <row r="7">
      <c r="A7" s="93" t="n">
        <v>45971</v>
      </c>
      <c r="B7" s="0" t="inlineStr">
        <is>
          <t>NSE</t>
        </is>
      </c>
      <c r="C7" s="0" t="inlineStr">
        <is>
          <t>Buy</t>
        </is>
      </c>
      <c r="D7" s="0" t="n">
        <v>30</v>
      </c>
      <c r="E7" s="0" t="n">
        <v>104.73</v>
      </c>
      <c r="F7" s="0" t="n">
        <v>3161.9</v>
      </c>
      <c r="G7" s="0" t="inlineStr">
        <is>
          <t>CN#252607962278</t>
        </is>
      </c>
      <c r="I7" s="0" t="n">
        <v>20</v>
      </c>
      <c r="J7" s="0">
        <f>Index!$C$2</f>
        <v/>
      </c>
    </row>
    <row r="8">
      <c r="A8" s="93" t="n">
        <v>45961</v>
      </c>
      <c r="B8" s="0" t="inlineStr">
        <is>
          <t>NSE</t>
        </is>
      </c>
      <c r="C8" s="0" t="inlineStr">
        <is>
          <t>Buy</t>
        </is>
      </c>
      <c r="D8" s="0" t="n">
        <v>40</v>
      </c>
      <c r="E8" s="0" t="n">
        <v>103.19</v>
      </c>
      <c r="F8" s="0" t="n">
        <v>4147.6</v>
      </c>
      <c r="G8" s="0" t="inlineStr">
        <is>
          <t>CN#252607606298</t>
        </is>
      </c>
      <c r="I8" s="0" t="n">
        <v>20</v>
      </c>
      <c r="J8" s="0">
        <f>Index!$C$2</f>
        <v/>
      </c>
    </row>
    <row r="9">
      <c r="A9" s="93" t="n">
        <v>45960</v>
      </c>
      <c r="B9" s="0" t="inlineStr">
        <is>
          <t>NSE</t>
        </is>
      </c>
      <c r="C9" s="0" t="inlineStr">
        <is>
          <t>Buy</t>
        </is>
      </c>
      <c r="D9" s="0" t="n">
        <v>50</v>
      </c>
      <c r="E9" s="0" t="n">
        <v>101.8006</v>
      </c>
      <c r="F9" s="0" t="n">
        <v>5110.03</v>
      </c>
      <c r="G9" s="0" t="inlineStr">
        <is>
          <t>CN#252607551490</t>
        </is>
      </c>
      <c r="I9" s="0" t="n">
        <v>20</v>
      </c>
      <c r="J9" s="0">
        <f>Index!$C$2</f>
        <v/>
      </c>
    </row>
    <row r="10">
      <c r="A10" s="93" t="n">
        <v>45959</v>
      </c>
      <c r="B10" s="0" t="inlineStr">
        <is>
          <t>NSE</t>
        </is>
      </c>
      <c r="C10" s="0" t="inlineStr">
        <is>
          <t>Buy</t>
        </is>
      </c>
      <c r="D10" s="0" t="n">
        <v>50</v>
      </c>
      <c r="E10" s="0" t="n">
        <v>101.3</v>
      </c>
      <c r="F10" s="0" t="n">
        <v>5085</v>
      </c>
      <c r="G10" s="0" t="inlineStr">
        <is>
          <t>CN#252607497001</t>
        </is>
      </c>
      <c r="I10" s="0" t="n">
        <v>20</v>
      </c>
      <c r="J10" s="0">
        <f>Index!$C$2</f>
        <v/>
      </c>
    </row>
    <row r="11">
      <c r="A11" s="93" t="n">
        <v>46063</v>
      </c>
      <c r="B11" s="0" t="inlineStr">
        <is>
          <t>BSE</t>
        </is>
      </c>
      <c r="C11" s="0" t="inlineStr">
        <is>
          <t>Sell</t>
        </is>
      </c>
      <c r="D11" s="0" t="n">
        <v>400</v>
      </c>
      <c r="E11" s="0" t="n">
        <v>131.5987</v>
      </c>
      <c r="F11" s="0" t="n">
        <v>52639.48</v>
      </c>
      <c r="G11" s="0" t="inlineStr">
        <is>
          <t>CN#252611730667</t>
        </is>
      </c>
      <c r="I11" s="0" t="n">
        <v>25.99</v>
      </c>
    </row>
    <row r="12">
      <c r="A12" s="93" t="n">
        <v>46062</v>
      </c>
      <c r="B12" s="0" t="inlineStr">
        <is>
          <t>NSE</t>
        </is>
      </c>
      <c r="C12" s="0" t="inlineStr">
        <is>
          <t>Sell</t>
        </is>
      </c>
      <c r="D12" s="0" t="n">
        <v>500</v>
      </c>
      <c r="E12" s="0" t="n">
        <v>132.0378</v>
      </c>
      <c r="F12" s="0" t="n">
        <v>66018.89999999999</v>
      </c>
      <c r="G12" s="0" t="inlineStr">
        <is>
          <t>CN#252611665409</t>
        </is>
      </c>
      <c r="I12" s="0" t="n">
        <v>26.1</v>
      </c>
    </row>
    <row r="13">
      <c r="A13" s="31" t="n">
        <v>45863</v>
      </c>
      <c r="B13" s="32" t="inlineStr">
        <is>
          <t>DIV</t>
        </is>
      </c>
      <c r="C13" s="32" t="inlineStr">
        <is>
          <t>Buy</t>
        </is>
      </c>
      <c r="D13" s="33" t="n">
        <v>100</v>
      </c>
      <c r="E13" s="34" t="n">
        <v>4.75</v>
      </c>
      <c r="F13" s="34" t="n">
        <v>475</v>
      </c>
      <c r="G13" s="32" t="inlineStr">
        <is>
          <t>Annual-Dividend of Rs.4.7500/- per share on Ex-Date: 25-JUL-2025</t>
        </is>
      </c>
      <c r="H13" s="34" t="n">
        <v>0</v>
      </c>
      <c r="I13" s="33" t="n">
        <v>0</v>
      </c>
      <c r="J13" s="35">
        <f>Index!$C$2</f>
        <v/>
      </c>
      <c r="K13" s="36">
        <f>IF(AND( C5="Buy", ISBLANK(W5), B5&lt;&gt;"DIV"), L5/sum(F5:I5), "")</f>
        <v/>
      </c>
      <c r="L13" s="37">
        <f>IF(AND( C5="Buy", ISBLANK(W5), B5&lt;&gt;"DIV"), (1-Index!$F$2*2)*((J5*D5)-(E5*D5)), "")</f>
        <v/>
      </c>
      <c r="M13" s="37">
        <f>IF(AND( C5="Buy", ISBLANK(W5), B5&lt;&gt;"DIV"), ((E5*D5)+L5), "")</f>
        <v/>
      </c>
      <c r="N13" s="38">
        <f>IF(AND( C5="Buy", ISBLANK(W5), B5&lt;&gt;"DIV"), D5, "")</f>
        <v/>
      </c>
      <c r="O13" s="36">
        <f>IF(AND( C5="Buy", ISBLANK(W5), B5&lt;&gt;"DIV", NOW()-A5 &lt; 365), P5/sum(F5:I5), "")</f>
        <v/>
      </c>
      <c r="P13" s="37">
        <f>IF(AND( C5="Buy", ISBLANK(W5), B5&lt;&gt;"DIV", NOW()-A5 &lt; 365), (1-Index!$F$2*2)*((J5*D5)-(E5*D5)), "")</f>
        <v/>
      </c>
      <c r="Q13" s="37">
        <f>IF(AND( C5="Buy", ISBLANK(W5), B5&lt;&gt;"DIV", NOW()-A5 &lt; 365), ((E5*D5)+P5), "")</f>
        <v/>
      </c>
      <c r="R13" s="37">
        <f>IF(AND( C5="Buy", ISBLANK(W5), B5&lt;&gt;"DIV", NOW()-A5 &lt; 365), D5, "")</f>
        <v/>
      </c>
      <c r="S13" s="39">
        <f>IF(AND( C5="Buy", ISBLANK(W5), B5&lt;&gt;"DIV", NOW()-A5 &gt; 365), T5/sum(F5:I5), "")</f>
        <v/>
      </c>
      <c r="T13" s="40">
        <f>IF(AND( C5="Buy", ISBLANK(W5), B5&lt;&gt;"DIV", NOW()-A5 &gt; 365), (1-Index!$F$2*2)*((J5*D5)-(E5*D5)), "")</f>
        <v/>
      </c>
      <c r="U13" s="40">
        <f>IF(AND( C5="Buy", ISBLANK(W5), B5&lt;&gt;"DIV", NOW()-A5 &gt; 365), ((E5*D5)+T5), "")</f>
        <v/>
      </c>
      <c r="V13" s="40">
        <f>IF(AND( C5="Buy", ISBLANK(W5), B5&lt;&gt;"DIV", NOW()-A5 &gt; 365), D5, "")</f>
        <v/>
      </c>
      <c r="W13" s="40" t="n"/>
      <c r="X13" s="40" t="n"/>
      <c r="Y13" s="39">
        <f>IF(AND( C5="Buy", W5&lt;&gt;"", AA5&lt;&gt;"", B5&lt;&gt;"DIV"), Z5/sum(F5:I5), "")</f>
        <v/>
      </c>
      <c r="Z13" s="40" t="n"/>
      <c r="AA13" s="40" t="n"/>
      <c r="AB13" s="41" t="n"/>
      <c r="AC13" s="37">
        <f>if(B5="DIV", F5,"")</f>
        <v/>
      </c>
      <c r="AD13" s="42" t="n"/>
    </row>
    <row r="14">
      <c r="A14" s="43" t="n">
        <v>45699</v>
      </c>
      <c r="B14" s="44" t="inlineStr">
        <is>
          <t>NSE</t>
        </is>
      </c>
      <c r="C14" s="44" t="inlineStr">
        <is>
          <t>Buy</t>
        </is>
      </c>
      <c r="D14" s="45" t="n">
        <v>60</v>
      </c>
      <c r="E14" s="46" t="n">
        <v>114.17</v>
      </c>
      <c r="F14" s="46" t="n">
        <v>6850.01</v>
      </c>
      <c r="G14" s="44" t="inlineStr">
        <is>
          <t>~</t>
        </is>
      </c>
      <c r="H14" s="46" t="n">
        <v>6.78</v>
      </c>
      <c r="I14" s="45" t="n">
        <v>41.63</v>
      </c>
      <c r="J14" s="35">
        <f>Index!$C$2</f>
        <v/>
      </c>
      <c r="K14" s="36">
        <f>IF(AND( C6="Buy", ISBLANK(W6), B6&lt;&gt;"DIV"), L6/sum(F6:I6), "")</f>
        <v/>
      </c>
      <c r="L14" s="37">
        <f>IF(AND( C6="Buy", ISBLANK(W6), B6&lt;&gt;"DIV"), (1-Index!$F$2*2)*((J6*D6)-(E6*D6)), "")</f>
        <v/>
      </c>
      <c r="M14" s="37">
        <f>IF(AND( C6="Buy", ISBLANK(W6), B6&lt;&gt;"DIV"), ((E6*D6)+L6), "")</f>
        <v/>
      </c>
      <c r="N14" s="38">
        <f>IF(AND( C6="Buy", ISBLANK(W6), B6&lt;&gt;"DIV"), D6, "")</f>
        <v/>
      </c>
      <c r="O14" s="36">
        <f>IF(AND( C6="Buy", ISBLANK(W6), B6&lt;&gt;"DIV", NOW()-A6 &lt; 365), P6/sum(F6:I6), "")</f>
        <v/>
      </c>
      <c r="P14" s="37">
        <f>IF(AND( C6="Buy", ISBLANK(W6), B6&lt;&gt;"DIV", NOW()-A6 &lt; 365), (1-Index!$F$2*2)*((J6*D6)-(E6*D6)), "")</f>
        <v/>
      </c>
      <c r="Q14" s="37">
        <f>IF(AND( C6="Buy", ISBLANK(W6), B6&lt;&gt;"DIV", NOW()-A6 &lt; 365), ((E6*D6)+P6), "")</f>
        <v/>
      </c>
      <c r="R14" s="37">
        <f>IF(AND( C6="Buy", ISBLANK(W6), B6&lt;&gt;"DIV", NOW()-A6 &lt; 365), D6, "")</f>
        <v/>
      </c>
      <c r="S14" s="39">
        <f>IF(AND( C6="Buy", ISBLANK(W6), B6&lt;&gt;"DIV", NOW()-A6 &gt; 365), T6/sum(F6:I6), "")</f>
        <v/>
      </c>
      <c r="T14" s="40">
        <f>IF(AND( C6="Buy", ISBLANK(W6), B6&lt;&gt;"DIV", NOW()-A6 &gt; 365), (1-Index!$F$2*2)*((J6*D6)-(E6*D6)), "")</f>
        <v/>
      </c>
      <c r="U14" s="40">
        <f>IF(AND( C6="Buy", ISBLANK(W6), B6&lt;&gt;"DIV", NOW()-A6 &gt; 365), ((E6*D6)+T6), "")</f>
        <v/>
      </c>
      <c r="V14" s="40">
        <f>IF(AND( C6="Buy", ISBLANK(W6), B6&lt;&gt;"DIV", NOW()-A6 &gt; 365), D6, "")</f>
        <v/>
      </c>
      <c r="W14" s="40" t="n"/>
      <c r="X14" s="40" t="n"/>
      <c r="Y14" s="39">
        <f>IF(AND( C6="Buy", W6&lt;&gt;"", AA6&lt;&gt;"", B6&lt;&gt;"DIV"), Z6/sum(F6:I6), "")</f>
        <v/>
      </c>
      <c r="Z14" s="40" t="n"/>
      <c r="AA14" s="40" t="n"/>
      <c r="AB14" s="41" t="n"/>
      <c r="AC14" s="37">
        <f>if(B6="DIV", F6,"")</f>
        <v/>
      </c>
      <c r="AD14" s="42" t="n"/>
    </row>
    <row r="15">
      <c r="A15" s="43" t="n">
        <v>45492</v>
      </c>
      <c r="B15" s="44" t="inlineStr">
        <is>
          <t>DIV</t>
        </is>
      </c>
      <c r="C15" s="44" t="inlineStr">
        <is>
          <t>Buy</t>
        </is>
      </c>
      <c r="D15" s="45" t="n">
        <v>40</v>
      </c>
      <c r="E15" s="46" t="n">
        <v>3.6</v>
      </c>
      <c r="F15" s="46" t="n">
        <v>144</v>
      </c>
      <c r="G15" s="44" t="inlineStr">
        <is>
          <t>Annual-Dividend of Rs.3.6000/- per share on Ex-Date: 19-JUL-2024</t>
        </is>
      </c>
      <c r="H15" s="46" t="n">
        <v>0</v>
      </c>
      <c r="I15" s="45" t="n">
        <v>0</v>
      </c>
      <c r="J15" s="35">
        <f>Index!$C$2</f>
        <v/>
      </c>
      <c r="K15" s="36">
        <f>IF(AND( C7="Buy", ISBLANK(W7), B7&lt;&gt;"DIV"), L7/sum(F7:I7), "")</f>
        <v/>
      </c>
      <c r="L15" s="37">
        <f>IF(AND( C7="Buy", ISBLANK(W7), B7&lt;&gt;"DIV"), (1-Index!$F$2*2)*((J7*D7)-(E7*D7)), "")</f>
        <v/>
      </c>
      <c r="M15" s="37">
        <f>IF(AND( C7="Buy", ISBLANK(W7), B7&lt;&gt;"DIV"), ((E7*D7)+L7), "")</f>
        <v/>
      </c>
      <c r="N15" s="38">
        <f>IF(AND( C7="Buy", ISBLANK(W7), B7&lt;&gt;"DIV"), D7, "")</f>
        <v/>
      </c>
      <c r="O15" s="36">
        <f>IF(AND( C7="Buy", ISBLANK(W7), B7&lt;&gt;"DIV", NOW()-A7 &lt; 365), P7/sum(F7:I7), "")</f>
        <v/>
      </c>
      <c r="P15" s="37">
        <f>IF(AND( C7="Buy", ISBLANK(W7), B7&lt;&gt;"DIV", NOW()-A7 &lt; 365), (1-Index!$F$2*2)*((J7*D7)-(E7*D7)), "")</f>
        <v/>
      </c>
      <c r="Q15" s="37">
        <f>IF(AND( C7="Buy", ISBLANK(W7), B7&lt;&gt;"DIV", NOW()-A7 &lt; 365), ((E7*D7)+P7), "")</f>
        <v/>
      </c>
      <c r="R15" s="37">
        <f>IF(AND( C7="Buy", ISBLANK(W7), B7&lt;&gt;"DIV", NOW()-A7 &lt; 365), D7, "")</f>
        <v/>
      </c>
      <c r="S15" s="39">
        <f>IF(AND( C7="Buy", ISBLANK(W7), B7&lt;&gt;"DIV", NOW()-A7 &gt; 365), T7/sum(F7:I7), "")</f>
        <v/>
      </c>
      <c r="T15" s="40">
        <f>IF(AND( C7="Buy", ISBLANK(W7), B7&lt;&gt;"DIV", NOW()-A7 &gt; 365), (1-Index!$F$2*2)*((J7*D7)-(E7*D7)), "")</f>
        <v/>
      </c>
      <c r="U15" s="40">
        <f>IF(AND( C7="Buy", ISBLANK(W7), B7&lt;&gt;"DIV", NOW()-A7 &gt; 365), ((E7*D7)+T7), "")</f>
        <v/>
      </c>
      <c r="V15" s="40">
        <f>IF(AND( C7="Buy", ISBLANK(W7), B7&lt;&gt;"DIV", NOW()-A7 &gt; 365), D7, "")</f>
        <v/>
      </c>
      <c r="W15" s="40" t="n"/>
      <c r="X15" s="40" t="n"/>
      <c r="Y15" s="39">
        <f>IF(AND( C7="Buy", W7&lt;&gt;"", AA7&lt;&gt;"", B7&lt;&gt;"DIV"), Z7/sum(F7:I7), "")</f>
        <v/>
      </c>
      <c r="Z15" s="40" t="n"/>
      <c r="AA15" s="40" t="n"/>
      <c r="AB15" s="41" t="n"/>
      <c r="AC15" s="37">
        <f>if(B7="DIV", F7,"")</f>
        <v/>
      </c>
      <c r="AD15" s="42" t="n"/>
    </row>
    <row r="16">
      <c r="A16" s="43" t="n">
        <v>45282</v>
      </c>
      <c r="B16" s="44" t="inlineStr">
        <is>
          <t>NSE</t>
        </is>
      </c>
      <c r="C16" s="44" t="inlineStr">
        <is>
          <t>Buy</t>
        </is>
      </c>
      <c r="D16" s="45" t="n">
        <v>20</v>
      </c>
      <c r="E16" s="46" t="n">
        <v>117.99</v>
      </c>
      <c r="F16" s="46" t="n">
        <v>2359.71</v>
      </c>
      <c r="G16" s="44" t="inlineStr">
        <is>
          <t>~</t>
        </is>
      </c>
      <c r="H16" s="46" t="n">
        <v>2.34</v>
      </c>
      <c r="I16" s="45" t="n">
        <v>14.37</v>
      </c>
      <c r="J16" s="35">
        <f>Index!$C$2</f>
        <v/>
      </c>
      <c r="K16" s="36">
        <f>IF(AND( C8="Buy", ISBLANK(W8), B8&lt;&gt;"DIV"), L8/sum(F8:I8), "")</f>
        <v/>
      </c>
      <c r="L16" s="37">
        <f>IF(AND( C8="Buy", ISBLANK(W8), B8&lt;&gt;"DIV"), (1-Index!$F$2*2)*((J8*D8)-(E8*D8)), "")</f>
        <v/>
      </c>
      <c r="M16" s="37">
        <f>IF(AND( C8="Buy", ISBLANK(W8), B8&lt;&gt;"DIV"), ((E8*D8)+L8), "")</f>
        <v/>
      </c>
      <c r="N16" s="38">
        <f>IF(AND( C8="Buy", ISBLANK(W8), B8&lt;&gt;"DIV"), D8, "")</f>
        <v/>
      </c>
      <c r="O16" s="36">
        <f>IF(AND( C8="Buy", ISBLANK(W8), B8&lt;&gt;"DIV", NOW()-A8 &lt; 365), P8/sum(F8:I8), "")</f>
        <v/>
      </c>
      <c r="P16" s="37">
        <f>IF(AND( C8="Buy", ISBLANK(W8), B8&lt;&gt;"DIV", NOW()-A8 &lt; 365), (1-Index!$F$2*2)*((J8*D8)-(E8*D8)), "")</f>
        <v/>
      </c>
      <c r="Q16" s="37">
        <f>IF(AND( C8="Buy", ISBLANK(W8), B8&lt;&gt;"DIV", NOW()-A8 &lt; 365), ((E8*D8)+P8), "")</f>
        <v/>
      </c>
      <c r="R16" s="37">
        <f>IF(AND( C8="Buy", ISBLANK(W8), B8&lt;&gt;"DIV", NOW()-A8 &lt; 365), D8, "")</f>
        <v/>
      </c>
      <c r="S16" s="39">
        <f>IF(AND( C8="Buy", ISBLANK(W8), B8&lt;&gt;"DIV", NOW()-A8 &gt; 365), T8/sum(F8:I8), "")</f>
        <v/>
      </c>
      <c r="T16" s="40">
        <f>IF(AND( C8="Buy", ISBLANK(W8), B8&lt;&gt;"DIV", NOW()-A8 &gt; 365), (1-Index!$F$2*2)*((J8*D8)-(E8*D8)), "")</f>
        <v/>
      </c>
      <c r="U16" s="40">
        <f>IF(AND( C8="Buy", ISBLANK(W8), B8&lt;&gt;"DIV", NOW()-A8 &gt; 365), ((E8*D8)+T8), "")</f>
        <v/>
      </c>
      <c r="V16" s="40">
        <f>IF(AND( C8="Buy", ISBLANK(W8), B8&lt;&gt;"DIV", NOW()-A8 &gt; 365), D8, "")</f>
        <v/>
      </c>
      <c r="W16" s="40" t="n"/>
      <c r="X16" s="40" t="n"/>
      <c r="Y16" s="39">
        <f>IF(AND( C8="Buy", W8&lt;&gt;"", AA8&lt;&gt;"", B8&lt;&gt;"DIV"), Z8/sum(F8:I8), "")</f>
        <v/>
      </c>
      <c r="Z16" s="40" t="n"/>
      <c r="AA16" s="40" t="n"/>
      <c r="AB16" s="41" t="n"/>
      <c r="AC16" s="37">
        <f>if(B8="DIV", F8,"")</f>
        <v/>
      </c>
      <c r="AD16" s="47" t="inlineStr">
        <is>
          <t>SBI Securities</t>
        </is>
      </c>
    </row>
    <row r="17">
      <c r="A17" s="43" t="n">
        <v>45278</v>
      </c>
      <c r="B17" s="44" t="inlineStr">
        <is>
          <t>NSE</t>
        </is>
      </c>
      <c r="C17" s="44" t="inlineStr">
        <is>
          <t>Buy</t>
        </is>
      </c>
      <c r="D17" s="45" t="n">
        <v>10</v>
      </c>
      <c r="E17" s="46" t="n">
        <v>125.73</v>
      </c>
      <c r="F17" s="46" t="n">
        <v>1257.3</v>
      </c>
      <c r="G17" s="44" t="inlineStr">
        <is>
          <t>~</t>
        </is>
      </c>
      <c r="H17" s="46" t="n">
        <v>1.25</v>
      </c>
      <c r="I17" s="45" t="n">
        <v>7.55</v>
      </c>
      <c r="J17" s="35">
        <f>Index!$C$2</f>
        <v/>
      </c>
      <c r="K17" s="36">
        <f>IF(AND( C9="Buy", ISBLANK(W9), B9&lt;&gt;"DIV"), L9/sum(F9:I9), "")</f>
        <v/>
      </c>
      <c r="L17" s="37">
        <f>IF(AND( C9="Buy", ISBLANK(W9), B9&lt;&gt;"DIV"), (1-Index!$F$2*2)*((J9*D9)-(E9*D9)), "")</f>
        <v/>
      </c>
      <c r="M17" s="37">
        <f>IF(AND( C9="Buy", ISBLANK(W9), B9&lt;&gt;"DIV"), ((E9*D9)+L9), "")</f>
        <v/>
      </c>
      <c r="N17" s="38">
        <f>IF(AND( C9="Buy", ISBLANK(W9), B9&lt;&gt;"DIV"), D9, "")</f>
        <v/>
      </c>
      <c r="O17" s="36">
        <f>IF(AND( C9="Buy", ISBLANK(W9), B9&lt;&gt;"DIV", NOW()-A9 &lt; 365), P9/sum(F9:I9), "")</f>
        <v/>
      </c>
      <c r="P17" s="37">
        <f>IF(AND( C9="Buy", ISBLANK(W9), B9&lt;&gt;"DIV", NOW()-A9 &lt; 365), (1-Index!$F$2*2)*((J9*D9)-(E9*D9)), "")</f>
        <v/>
      </c>
      <c r="Q17" s="37">
        <f>IF(AND( C9="Buy", ISBLANK(W9), B9&lt;&gt;"DIV", NOW()-A9 &lt; 365), ((E9*D9)+P9), "")</f>
        <v/>
      </c>
      <c r="R17" s="37">
        <f>IF(AND( C9="Buy", ISBLANK(W9), B9&lt;&gt;"DIV", NOW()-A9 &lt; 365), D9, "")</f>
        <v/>
      </c>
      <c r="S17" s="39">
        <f>IF(AND( C9="Buy", ISBLANK(W9), B9&lt;&gt;"DIV", NOW()-A9 &gt; 365), T9/sum(F9:I9), "")</f>
        <v/>
      </c>
      <c r="T17" s="40">
        <f>IF(AND( C9="Buy", ISBLANK(W9), B9&lt;&gt;"DIV", NOW()-A9 &gt; 365), (1-Index!$F$2*2)*((J9*D9)-(E9*D9)), "")</f>
        <v/>
      </c>
      <c r="U17" s="40">
        <f>IF(AND( C9="Buy", ISBLANK(W9), B9&lt;&gt;"DIV", NOW()-A9 &gt; 365), ((E9*D9)+T9), "")</f>
        <v/>
      </c>
      <c r="V17" s="40">
        <f>IF(AND( C9="Buy", ISBLANK(W9), B9&lt;&gt;"DIV", NOW()-A9 &gt; 365), D9, "")</f>
        <v/>
      </c>
      <c r="W17" s="40" t="n"/>
      <c r="X17" s="40" t="n"/>
      <c r="Y17" s="39">
        <f>IF(AND( C9="Buy", W9&lt;&gt;"", AA9&lt;&gt;"", B9&lt;&gt;"DIV"), Z9/sum(F9:I9), "")</f>
        <v/>
      </c>
      <c r="Z17" s="40" t="n"/>
      <c r="AA17" s="40" t="n"/>
      <c r="AB17" s="41" t="n"/>
      <c r="AC17" s="37">
        <f>if(B9="DIV", F9,"")</f>
        <v/>
      </c>
      <c r="AD17" s="47" t="inlineStr">
        <is>
          <t>SBI Securities</t>
        </is>
      </c>
    </row>
    <row r="18">
      <c r="A18" s="43" t="n">
        <v>45258</v>
      </c>
      <c r="B18" s="44" t="inlineStr">
        <is>
          <t>NSE</t>
        </is>
      </c>
      <c r="C18" s="44" t="inlineStr">
        <is>
          <t>Buy</t>
        </is>
      </c>
      <c r="D18" s="45" t="n">
        <v>10</v>
      </c>
      <c r="E18" s="46" t="n">
        <v>107.7</v>
      </c>
      <c r="F18" s="46" t="n">
        <v>1077.03</v>
      </c>
      <c r="G18" s="44" t="inlineStr">
        <is>
          <t>~</t>
        </is>
      </c>
      <c r="H18" s="46" t="n">
        <v>1.07</v>
      </c>
      <c r="I18" s="45" t="n">
        <v>6.46</v>
      </c>
      <c r="J18" s="35">
        <f>Index!$C$2</f>
        <v/>
      </c>
      <c r="K18" s="36">
        <f>IF(AND( C10="Buy", ISBLANK(W10), B10&lt;&gt;"DIV"), L10/sum(F10:I10), "")</f>
        <v/>
      </c>
      <c r="L18" s="37">
        <f>IF(AND( C10="Buy", ISBLANK(W10), B10&lt;&gt;"DIV"), (1-Index!$F$2*2)*((J10*D10)-(E10*D10)), "")</f>
        <v/>
      </c>
      <c r="M18" s="37">
        <f>IF(AND( C10="Buy", ISBLANK(W10), B10&lt;&gt;"DIV"), ((E10*D10)+L10), "")</f>
        <v/>
      </c>
      <c r="N18" s="38">
        <f>IF(AND( C10="Buy", ISBLANK(W10), B10&lt;&gt;"DIV"), D10, "")</f>
        <v/>
      </c>
      <c r="O18" s="36">
        <f>IF(AND( C10="Buy", ISBLANK(W10), B10&lt;&gt;"DIV", NOW()-A10 &lt; 365), P10/sum(F10:I10), "")</f>
        <v/>
      </c>
      <c r="P18" s="37">
        <f>IF(AND( C10="Buy", ISBLANK(W10), B10&lt;&gt;"DIV", NOW()-A10 &lt; 365), (1-Index!$F$2*2)*((J10*D10)-(E10*D10)), "")</f>
        <v/>
      </c>
      <c r="Q18" s="37">
        <f>IF(AND( C10="Buy", ISBLANK(W10), B10&lt;&gt;"DIV", NOW()-A10 &lt; 365), ((E10*D10)+P10), "")</f>
        <v/>
      </c>
      <c r="R18" s="37">
        <f>IF(AND( C10="Buy", ISBLANK(W10), B10&lt;&gt;"DIV", NOW()-A10 &lt; 365), D10, "")</f>
        <v/>
      </c>
      <c r="S18" s="39">
        <f>IF(AND( C10="Buy", ISBLANK(W10), B10&lt;&gt;"DIV", NOW()-A10 &gt; 365), T10/sum(F10:I10), "")</f>
        <v/>
      </c>
      <c r="T18" s="40">
        <f>IF(AND( C10="Buy", ISBLANK(W10), B10&lt;&gt;"DIV", NOW()-A10 &gt; 365), (1-Index!$F$2*2)*((J10*D10)-(E10*D10)), "")</f>
        <v/>
      </c>
      <c r="U18" s="40">
        <f>IF(AND( C10="Buy", ISBLANK(W10), B10&lt;&gt;"DIV", NOW()-A10 &gt; 365), ((E10*D10)+T10), "")</f>
        <v/>
      </c>
      <c r="V18" s="40">
        <f>IF(AND( C10="Buy", ISBLANK(W10), B10&lt;&gt;"DIV", NOW()-A10 &gt; 365), D10, "")</f>
        <v/>
      </c>
      <c r="W18" s="40" t="n"/>
      <c r="X18" s="40" t="n"/>
      <c r="Y18" s="39">
        <f>IF(AND( C10="Buy", W10&lt;&gt;"", AA10&lt;&gt;"", B10&lt;&gt;"DIV"), Z10/sum(F10:I10), "")</f>
        <v/>
      </c>
      <c r="Z18" s="40" t="n"/>
      <c r="AA18" s="40" t="n"/>
      <c r="AB18" s="41" t="n"/>
      <c r="AC18" s="37">
        <f>if(B10="DIV", F10,"")</f>
        <v/>
      </c>
      <c r="AD18" s="47" t="inlineStr">
        <is>
          <t>SBI Securities</t>
        </is>
      </c>
    </row>
    <row r="19">
      <c r="A19" s="48" t="n">
        <v>44257</v>
      </c>
      <c r="B19" s="44" t="inlineStr">
        <is>
          <t>NSE</t>
        </is>
      </c>
      <c r="C19" s="44" t="inlineStr">
        <is>
          <t>Sell</t>
        </is>
      </c>
      <c r="D19" s="45" t="n">
        <v>200</v>
      </c>
      <c r="E19" s="46" t="n">
        <v>40.49</v>
      </c>
      <c r="F19" s="46" t="n">
        <v>8097.1</v>
      </c>
      <c r="G19" s="44" t="inlineStr">
        <is>
          <t>~</t>
        </is>
      </c>
      <c r="H19" s="46" t="n">
        <v>8.130000000000001</v>
      </c>
      <c r="I19" s="45" t="n">
        <v>47.47</v>
      </c>
      <c r="J19" s="35">
        <f>Index!$C$2</f>
        <v/>
      </c>
      <c r="K19" s="36">
        <f>IF(AND( C11="Buy", ISBLANK(W11), B11&lt;&gt;"DIV"), L11/sum(F11:I11), "")</f>
        <v/>
      </c>
      <c r="L19" s="37">
        <f>IF(AND( C11="Buy", ISBLANK(W11), B11&lt;&gt;"DIV"), (1-Index!$F$2*2)*((J11*D11)-(E11*D11)), "")</f>
        <v/>
      </c>
      <c r="M19" s="37">
        <f>IF(AND( C11="Buy", ISBLANK(W11), B11&lt;&gt;"DIV"), ((E11*D11)+L11), "")</f>
        <v/>
      </c>
      <c r="N19" s="38">
        <f>IF(AND( C11="Buy", ISBLANK(W11), B11&lt;&gt;"DIV"), D11, "")</f>
        <v/>
      </c>
      <c r="O19" s="36">
        <f>IF(AND( C11="Buy", ISBLANK(W11), B11&lt;&gt;"DIV", NOW()-A11 &lt; 365), P11/sum(F11:I11), "")</f>
        <v/>
      </c>
      <c r="P19" s="37">
        <f>IF(AND( C11="Buy", ISBLANK(W11), B11&lt;&gt;"DIV", NOW()-A11 &lt; 365), (1-Index!$F$2*2)*((J11*D11)-(E11*D11)), "")</f>
        <v/>
      </c>
      <c r="Q19" s="37">
        <f>IF(AND( C11="Buy", ISBLANK(W11), B11&lt;&gt;"DIV", NOW()-A11 &lt; 365), ((E11*D11)+P11), "")</f>
        <v/>
      </c>
      <c r="R19" s="37">
        <f>IF(AND( C11="Buy", ISBLANK(W11), B11&lt;&gt;"DIV", NOW()-A11 &lt; 365), D11, "")</f>
        <v/>
      </c>
      <c r="S19" s="39">
        <f>IF(AND( C11="Buy", ISBLANK(W11), B11&lt;&gt;"DIV", NOW()-A11 &gt; 365), T11/sum(F11:I11), "")</f>
        <v/>
      </c>
      <c r="T19" s="40">
        <f>IF(AND( C11="Buy", ISBLANK(W11), B11&lt;&gt;"DIV", NOW()-A11 &gt; 365), (1-Index!$F$2*2)*((J11*D11)-(E11*D11)), "")</f>
        <v/>
      </c>
      <c r="U19" s="40">
        <f>IF(AND( C11="Buy", ISBLANK(W11), B11&lt;&gt;"DIV", NOW()-A11 &gt; 365), ((E11*D11)+T11), "")</f>
        <v/>
      </c>
      <c r="V19" s="40">
        <f>IF(AND( C11="Buy", ISBLANK(W11), B11&lt;&gt;"DIV", NOW()-A11 &gt; 365), D11, "")</f>
        <v/>
      </c>
      <c r="W19" s="40" t="n"/>
      <c r="X19" s="40" t="n"/>
      <c r="Y19" s="39">
        <f>IF(AND( C11="Buy", W11&lt;&gt;"", AA11&lt;&gt;"", B11&lt;&gt;"DIV"), Z11/sum(F11:I11), "")</f>
        <v/>
      </c>
      <c r="Z19" s="40" t="n"/>
      <c r="AA19" s="40" t="n"/>
      <c r="AB19" s="41" t="n"/>
      <c r="AC19" s="37">
        <f>if(B11="DIV", F11,"")</f>
        <v/>
      </c>
      <c r="AD19" s="47" t="inlineStr">
        <is>
          <t>SBI Securities</t>
        </is>
      </c>
    </row>
    <row r="20">
      <c r="A20" s="48" t="n">
        <v>44021</v>
      </c>
      <c r="B20" s="44" t="inlineStr">
        <is>
          <t>NSE</t>
        </is>
      </c>
      <c r="C20" s="44" t="inlineStr">
        <is>
          <t>Buy</t>
        </is>
      </c>
      <c r="D20" s="45" t="n">
        <v>101</v>
      </c>
      <c r="E20" s="46" t="n">
        <v>33.03</v>
      </c>
      <c r="F20" s="46" t="n">
        <v>3335.87</v>
      </c>
      <c r="G20" s="44" t="inlineStr">
        <is>
          <t>~</t>
        </is>
      </c>
      <c r="H20" s="46" t="n">
        <v>3.36</v>
      </c>
      <c r="I20" s="45" t="n">
        <v>19.71</v>
      </c>
      <c r="J20" s="35">
        <f>Index!$C$2</f>
        <v/>
      </c>
      <c r="K20" s="54" t="n"/>
      <c r="L20" s="54">
        <f>IF(AND( C12="Buy", ISBLANK(W12), B12&lt;&gt;"DIV"), ((J12*D12)-(E12*D12)+I12), "")</f>
        <v/>
      </c>
      <c r="M20" s="50">
        <f>IF(AND( C12="Buy", ISBLANK(W12), B12&lt;&gt;"DIV"), J12*D12, "")</f>
        <v/>
      </c>
      <c r="N20" s="51">
        <f>IF(AND( C12="Buy", ISBLANK(W12), B12&lt;&gt;"DIV"), D12, "")</f>
        <v/>
      </c>
      <c r="O20" s="52" t="n"/>
      <c r="P20" s="54" t="n"/>
      <c r="Q20" s="50" t="n"/>
      <c r="R20" s="50" t="n"/>
      <c r="S20" s="53" t="n"/>
      <c r="T20" s="53" t="n"/>
      <c r="U20" s="53" t="n"/>
      <c r="V20" s="53" t="n"/>
      <c r="W20" s="54" t="n">
        <v>40.212</v>
      </c>
      <c r="X20" s="54" t="n">
        <v>44257</v>
      </c>
      <c r="Y20" s="39" t="n">
        <v>0.2090873907</v>
      </c>
      <c r="Z20" s="54" t="n">
        <v>702.312</v>
      </c>
      <c r="AA20" s="54" t="n">
        <v>4061.412</v>
      </c>
      <c r="AB20" s="55" t="n">
        <v>101</v>
      </c>
      <c r="AC20" s="54" t="n"/>
      <c r="AD20" s="47" t="inlineStr">
        <is>
          <t>SBI Securities</t>
        </is>
      </c>
    </row>
    <row r="21">
      <c r="A21" s="43" t="n">
        <v>43910</v>
      </c>
      <c r="B21" s="44" t="inlineStr">
        <is>
          <t>MRGR</t>
        </is>
      </c>
      <c r="C21" s="44" t="inlineStr">
        <is>
          <t>Buy</t>
        </is>
      </c>
      <c r="D21" s="45" t="n">
        <v>99</v>
      </c>
      <c r="E21" s="46" t="n">
        <v>143.44</v>
      </c>
      <c r="F21" s="46" t="n">
        <v>14200.35</v>
      </c>
      <c r="G21" s="44" t="inlineStr">
        <is>
          <t>330:1000 Merger of 532179 to 532477 on 20-MAR-2020 325:1000 Merger of 532418 to 532477 on 20-MAR-2020</t>
        </is>
      </c>
      <c r="H21" s="46" t="n">
        <v>14</v>
      </c>
      <c r="I21" s="45" t="n">
        <v>86.34999999999999</v>
      </c>
      <c r="J21" s="35">
        <f>Index!$C$2</f>
        <v/>
      </c>
      <c r="K21" s="54" t="n"/>
      <c r="L21" s="54">
        <f>IF(AND( C13="Buy", ISBLANK(W13), B13&lt;&gt;"DIV"), ((J13*D13)-(E13*D13)+I13), "")</f>
        <v/>
      </c>
      <c r="M21" s="50">
        <f>IF(AND( C13="Buy", ISBLANK(W13), B13&lt;&gt;"DIV"), J13*D13, "")</f>
        <v/>
      </c>
      <c r="N21" s="51">
        <f>IF(AND( C13="Buy", ISBLANK(W13), B13&lt;&gt;"DIV"), D13, "")</f>
        <v/>
      </c>
      <c r="O21" s="52" t="n"/>
      <c r="P21" s="54" t="n"/>
      <c r="Q21" s="50" t="n"/>
      <c r="R21" s="50" t="n"/>
      <c r="S21" s="53" t="n"/>
      <c r="T21" s="53" t="n"/>
      <c r="U21" s="53" t="n"/>
      <c r="V21" s="53" t="n"/>
      <c r="W21" s="54" t="n">
        <v>40.212</v>
      </c>
      <c r="X21" s="54" t="n">
        <v>44257</v>
      </c>
      <c r="Y21" s="39" t="n">
        <v>-0.7216375422</v>
      </c>
      <c r="Z21" s="54" t="n">
        <v>-10319.922</v>
      </c>
      <c r="AA21" s="54" t="n">
        <v>3980.988</v>
      </c>
      <c r="AB21" s="55" t="n">
        <v>99</v>
      </c>
      <c r="AC21" s="54" t="n"/>
      <c r="AD21" s="47" t="inlineStr">
        <is>
          <t>SBI Securities</t>
        </is>
      </c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56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56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56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56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56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56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""price"")"),128.7)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2026-02-10T06:54:39Z</dcterms:created>
  <dcterms:modified xmlns:dcterms="http://purl.org/dc/terms/" xmlns:xsi="http://www.w3.org/2001/XMLSchema-instance" xsi:type="dcterms:W3CDTF">2026-02-12T00:09:26Z</dcterms:modified>
</cp:coreProperties>
</file>