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B6D257F_7E4B_490B_B1DA_616F5C09ED21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4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9" t="n">
        <v>45974</v>
      </c>
      <c r="B5" t="inlineStr">
        <is>
          <t>NSE</t>
        </is>
      </c>
      <c r="C5" t="inlineStr">
        <is>
          <t>Buy</t>
        </is>
      </c>
      <c r="D5" t="n">
        <v>60</v>
      </c>
      <c r="E5" t="n">
        <v>251.85</v>
      </c>
      <c r="F5" t="n">
        <v>15186.6</v>
      </c>
      <c r="G5" t="inlineStr">
        <is>
          <t>CN#252608142538</t>
        </is>
      </c>
      <c r="I5" t="n">
        <v>75.59999999999999</v>
      </c>
      <c r="J5">
        <f>Index!$C$2</f>
        <v/>
      </c>
    </row>
    <row r="6">
      <c r="A6" s="109" t="n">
        <v>45972</v>
      </c>
      <c r="B6" s="0" t="inlineStr">
        <is>
          <t>NSE</t>
        </is>
      </c>
      <c r="C6" s="0" t="inlineStr">
        <is>
          <t>Buy</t>
        </is>
      </c>
      <c r="D6" s="0" t="n">
        <v>20</v>
      </c>
      <c r="E6" s="0" t="n">
        <v>246.2</v>
      </c>
      <c r="F6" s="0" t="n">
        <v>4948.6</v>
      </c>
      <c r="G6" s="0" t="inlineStr">
        <is>
          <t>CN#252608021091</t>
        </is>
      </c>
      <c r="I6" s="0" t="n">
        <v>24.6</v>
      </c>
      <c r="J6" s="0">
        <f>Index!$C$2</f>
        <v/>
      </c>
    </row>
    <row r="7">
      <c r="A7" s="109" t="n">
        <v>45967</v>
      </c>
      <c r="B7" s="0" t="inlineStr">
        <is>
          <t>BSE</t>
        </is>
      </c>
      <c r="C7" s="0" t="inlineStr">
        <is>
          <t>Buy</t>
        </is>
      </c>
      <c r="D7" s="0" t="n">
        <v>50</v>
      </c>
      <c r="E7" s="0" t="n">
        <v>252.326</v>
      </c>
      <c r="F7" s="0" t="n">
        <v>12679.3</v>
      </c>
      <c r="G7" s="0" t="inlineStr">
        <is>
          <t>CN#252607785263</t>
        </is>
      </c>
      <c r="I7" s="0" t="n">
        <v>63</v>
      </c>
      <c r="J7" s="0">
        <f>Index!$C$2</f>
        <v/>
      </c>
    </row>
    <row r="8">
      <c r="A8" s="109" t="n">
        <v>45961</v>
      </c>
      <c r="B8" s="0" t="inlineStr">
        <is>
          <t>BSE</t>
        </is>
      </c>
      <c r="C8" s="0" t="inlineStr">
        <is>
          <t>Buy</t>
        </is>
      </c>
      <c r="D8" s="0" t="n">
        <v>50</v>
      </c>
      <c r="E8" s="0" t="n">
        <v>262.907</v>
      </c>
      <c r="F8" s="0" t="n">
        <v>13210.85</v>
      </c>
      <c r="G8" s="0" t="inlineStr">
        <is>
          <t>CN#252607606298</t>
        </is>
      </c>
      <c r="I8" s="0" t="n">
        <v>65.5</v>
      </c>
      <c r="J8" s="0">
        <f>Index!$C$2</f>
        <v/>
      </c>
    </row>
    <row r="9">
      <c r="A9" s="109" t="n">
        <v>45960</v>
      </c>
      <c r="B9" s="0" t="inlineStr">
        <is>
          <t>NSE</t>
        </is>
      </c>
      <c r="C9" s="0" t="inlineStr">
        <is>
          <t>Buy</t>
        </is>
      </c>
      <c r="D9" s="0" t="n">
        <v>50</v>
      </c>
      <c r="E9" s="0" t="n">
        <v>267.7</v>
      </c>
      <c r="F9" s="0" t="n">
        <v>13452</v>
      </c>
      <c r="G9" s="0" t="inlineStr">
        <is>
          <t>CN#252607551490</t>
        </is>
      </c>
      <c r="I9" s="0" t="n">
        <v>67</v>
      </c>
      <c r="J9" s="0">
        <f>Index!$C$2</f>
        <v/>
      </c>
    </row>
    <row r="10">
      <c r="A10" s="109" t="n">
        <v>45959</v>
      </c>
      <c r="B10" s="0" t="inlineStr">
        <is>
          <t>NSE</t>
        </is>
      </c>
      <c r="C10" s="0" t="inlineStr">
        <is>
          <t>Buy</t>
        </is>
      </c>
      <c r="D10" s="0" t="n">
        <v>50</v>
      </c>
      <c r="E10" s="0" t="n">
        <v>262.5</v>
      </c>
      <c r="F10" s="0" t="n">
        <v>13190.5</v>
      </c>
      <c r="G10" s="0" t="inlineStr">
        <is>
          <t>CN#252607497001</t>
        </is>
      </c>
      <c r="I10" s="0" t="n">
        <v>65.5</v>
      </c>
      <c r="J10" s="0">
        <f>Index!$C$2</f>
        <v/>
      </c>
    </row>
    <row r="11">
      <c r="A11" s="109" t="n">
        <v>45957</v>
      </c>
      <c r="B11" s="0" t="inlineStr">
        <is>
          <t>NSE</t>
        </is>
      </c>
      <c r="C11" s="0" t="inlineStr">
        <is>
          <t>Buy</t>
        </is>
      </c>
      <c r="D11" s="0" t="n">
        <v>50</v>
      </c>
      <c r="E11" s="0" t="n">
        <v>264.495</v>
      </c>
      <c r="F11" s="0" t="n">
        <v>13290.75</v>
      </c>
      <c r="G11" s="0" t="inlineStr">
        <is>
          <t>CN#252607382790</t>
        </is>
      </c>
      <c r="I11" s="0" t="n">
        <v>66</v>
      </c>
      <c r="J11" s="0">
        <f>Index!$C$2</f>
        <v/>
      </c>
    </row>
    <row r="12">
      <c r="A12" s="109" t="n">
        <v>45968</v>
      </c>
      <c r="B12" s="0" t="inlineStr">
        <is>
          <t>NSE</t>
        </is>
      </c>
      <c r="C12" s="0" t="inlineStr">
        <is>
          <t>Buy</t>
        </is>
      </c>
      <c r="D12" s="0" t="n">
        <v>50</v>
      </c>
      <c r="E12" s="0" t="n">
        <v>248.15</v>
      </c>
      <c r="F12" s="0" t="n">
        <v>12469.5</v>
      </c>
      <c r="G12" s="0" t="inlineStr">
        <is>
          <t>CN#252607899666</t>
        </is>
      </c>
      <c r="I12" s="0" t="n">
        <v>62</v>
      </c>
      <c r="J12" s="0">
        <f>Index!$C$2</f>
        <v/>
      </c>
    </row>
    <row r="13">
      <c r="A13" s="109" t="n">
        <v>46063</v>
      </c>
      <c r="B13" s="0" t="inlineStr">
        <is>
          <t>BSE</t>
        </is>
      </c>
      <c r="C13" s="0" t="inlineStr">
        <is>
          <t>Buy</t>
        </is>
      </c>
      <c r="D13" s="0" t="n">
        <v>20</v>
      </c>
      <c r="E13" s="0" t="n">
        <v>276.1</v>
      </c>
      <c r="F13" s="0" t="n">
        <v>5561.16</v>
      </c>
      <c r="G13" s="0" t="inlineStr">
        <is>
          <t>CN#252611730667</t>
        </is>
      </c>
      <c r="H13" s="0" t="n">
        <v>5.51</v>
      </c>
      <c r="I13" s="0" t="n">
        <v>33.65</v>
      </c>
      <c r="J13" s="0">
        <f>Index!$C$2</f>
        <v/>
      </c>
    </row>
    <row r="14">
      <c r="A14" s="109" t="n">
        <v>46062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275</v>
      </c>
      <c r="F14" s="0" t="n">
        <v>2769.53</v>
      </c>
      <c r="G14" s="0" t="inlineStr">
        <is>
          <t>CN#252611665409</t>
        </is>
      </c>
      <c r="H14" s="0" t="n">
        <v>2.75</v>
      </c>
      <c r="I14" s="0" t="n">
        <v>16.78</v>
      </c>
      <c r="J14" s="0">
        <f>Index!$C$2</f>
        <v/>
      </c>
    </row>
    <row r="15">
      <c r="A15" s="108" t="n">
        <v>46049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268.5</v>
      </c>
      <c r="F15" s="0" t="n">
        <v>2704.02</v>
      </c>
      <c r="G15" s="0" t="inlineStr">
        <is>
          <t>~</t>
        </is>
      </c>
      <c r="H15" s="0" t="n">
        <v>2.69</v>
      </c>
      <c r="I15" s="0" t="n">
        <v>16.33</v>
      </c>
    </row>
    <row r="16">
      <c r="A16" s="108" t="n">
        <v>46042</v>
      </c>
      <c r="B16" s="0" t="inlineStr">
        <is>
          <t>NSE</t>
        </is>
      </c>
      <c r="C16" s="0" t="inlineStr">
        <is>
          <t>Buy</t>
        </is>
      </c>
      <c r="D16" s="0" t="n">
        <v>40</v>
      </c>
      <c r="E16" s="0" t="n">
        <v>237.55</v>
      </c>
      <c r="F16" s="0" t="n">
        <v>9569.51</v>
      </c>
      <c r="G16" s="0" t="inlineStr">
        <is>
          <t>~</t>
        </is>
      </c>
      <c r="H16" s="0" t="n">
        <v>9.51</v>
      </c>
      <c r="I16" s="0" t="n">
        <v>58</v>
      </c>
    </row>
    <row r="17">
      <c r="A17" s="108" t="n">
        <v>46038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248.8</v>
      </c>
      <c r="F17" s="0" t="n">
        <v>2505.6</v>
      </c>
      <c r="G17" s="0" t="inlineStr">
        <is>
          <t>~</t>
        </is>
      </c>
      <c r="H17" s="0" t="n">
        <v>2.49</v>
      </c>
      <c r="I17" s="0" t="n">
        <v>15.11</v>
      </c>
    </row>
    <row r="18">
      <c r="A18" s="108" t="n">
        <v>46034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256.2</v>
      </c>
      <c r="F18" s="0" t="n">
        <v>5160.28</v>
      </c>
      <c r="G18" s="0" t="inlineStr">
        <is>
          <t>~</t>
        </is>
      </c>
      <c r="H18" s="0" t="n">
        <v>5.13</v>
      </c>
      <c r="I18" s="0" t="n">
        <v>31.15</v>
      </c>
    </row>
    <row r="19">
      <c r="A19" s="108" t="n">
        <v>46030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259.05</v>
      </c>
      <c r="F19" s="0" t="n">
        <v>1304.46</v>
      </c>
      <c r="G19" s="0" t="inlineStr">
        <is>
          <t>~</t>
        </is>
      </c>
      <c r="H19" s="0" t="n">
        <v>1.29</v>
      </c>
      <c r="I19" s="0" t="n">
        <v>7.92</v>
      </c>
    </row>
    <row r="20">
      <c r="A20" s="108" t="n">
        <v>46030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259.05</v>
      </c>
      <c r="F20" s="0" t="n">
        <v>1304.46</v>
      </c>
      <c r="G20" s="0" t="inlineStr">
        <is>
          <t>~</t>
        </is>
      </c>
      <c r="H20" s="0" t="n">
        <v>1.29</v>
      </c>
      <c r="I20" s="0" t="n">
        <v>7.92</v>
      </c>
    </row>
    <row r="21">
      <c r="A21" s="108" t="n">
        <v>46027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273.75</v>
      </c>
      <c r="F21" s="0" t="n">
        <v>2756.9</v>
      </c>
      <c r="G21" s="0" t="inlineStr">
        <is>
          <t>~</t>
        </is>
      </c>
      <c r="H21" s="0" t="n">
        <v>2.73</v>
      </c>
      <c r="I21" s="0" t="n">
        <v>16.67</v>
      </c>
    </row>
    <row r="22">
      <c r="A22" s="108" t="n">
        <v>46017</v>
      </c>
      <c r="B22" s="0" t="inlineStr">
        <is>
          <t>BSE</t>
        </is>
      </c>
      <c r="C22" s="0" t="inlineStr">
        <is>
          <t>Buy</t>
        </is>
      </c>
      <c r="D22" s="0" t="n">
        <v>20</v>
      </c>
      <c r="E22" s="0" t="n">
        <v>273.25</v>
      </c>
      <c r="F22" s="0" t="n">
        <v>5503.91</v>
      </c>
      <c r="G22" s="0" t="inlineStr">
        <is>
          <t>~</t>
        </is>
      </c>
      <c r="H22" s="0" t="n">
        <v>5.49</v>
      </c>
      <c r="I22" s="0" t="n">
        <v>33.42</v>
      </c>
    </row>
    <row r="23">
      <c r="A23" s="108" t="n">
        <v>46002</v>
      </c>
      <c r="B23" s="0" t="inlineStr">
        <is>
          <t>NSE</t>
        </is>
      </c>
      <c r="C23" s="0" t="inlineStr">
        <is>
          <t>Buy</t>
        </is>
      </c>
      <c r="D23" s="0" t="n">
        <v>7</v>
      </c>
      <c r="E23" s="0" t="n">
        <v>264.3</v>
      </c>
      <c r="F23" s="0" t="n">
        <v>1863.22</v>
      </c>
      <c r="G23" s="0" t="inlineStr">
        <is>
          <t>~</t>
        </is>
      </c>
      <c r="H23" s="0" t="n">
        <v>1.86</v>
      </c>
      <c r="I23" s="0" t="n">
        <v>11.26</v>
      </c>
    </row>
    <row r="24">
      <c r="A24" s="108" t="n">
        <v>46002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264.3</v>
      </c>
      <c r="F24" s="0" t="n">
        <v>266.17</v>
      </c>
      <c r="G24" s="0" t="inlineStr">
        <is>
          <t>~</t>
        </is>
      </c>
      <c r="H24" s="0" t="n">
        <v>0.26</v>
      </c>
      <c r="I24" s="0" t="n">
        <v>1.61</v>
      </c>
    </row>
    <row r="25">
      <c r="A25" s="108" t="n">
        <v>46002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264.25</v>
      </c>
      <c r="F25" s="0" t="n">
        <v>532.25</v>
      </c>
      <c r="G25" s="0" t="inlineStr">
        <is>
          <t>~</t>
        </is>
      </c>
      <c r="H25" s="0" t="n">
        <v>0.53</v>
      </c>
      <c r="I25" s="0" t="n">
        <v>3.22</v>
      </c>
    </row>
    <row r="26">
      <c r="A26" s="108" t="n">
        <v>46000</v>
      </c>
      <c r="B26" s="0" t="inlineStr">
        <is>
          <t>NSE</t>
        </is>
      </c>
      <c r="C26" s="0" t="inlineStr">
        <is>
          <t>Buy</t>
        </is>
      </c>
      <c r="D26" s="0" t="n">
        <v>20</v>
      </c>
      <c r="E26" s="0" t="n">
        <v>252.65</v>
      </c>
      <c r="F26" s="0" t="n">
        <v>5088.75</v>
      </c>
      <c r="G26" s="0" t="inlineStr">
        <is>
          <t>~</t>
        </is>
      </c>
      <c r="H26" s="0" t="n">
        <v>5.04</v>
      </c>
      <c r="I26" s="0" t="n">
        <v>30.71</v>
      </c>
    </row>
    <row r="27">
      <c r="A27" s="108" t="n">
        <v>45999</v>
      </c>
      <c r="B27" s="0" t="inlineStr">
        <is>
          <t>BSE</t>
        </is>
      </c>
      <c r="C27" s="0" t="inlineStr">
        <is>
          <t>Buy</t>
        </is>
      </c>
      <c r="D27" s="0" t="n">
        <v>20</v>
      </c>
      <c r="E27" s="0" t="n">
        <v>251.95</v>
      </c>
      <c r="F27" s="0" t="n">
        <v>5075.01</v>
      </c>
      <c r="G27" s="0" t="inlineStr">
        <is>
          <t>~</t>
        </is>
      </c>
      <c r="H27" s="0" t="n">
        <v>5.2</v>
      </c>
      <c r="I27" s="0" t="n">
        <v>30.81</v>
      </c>
    </row>
    <row r="28">
      <c r="A28" s="108" t="n">
        <v>45996</v>
      </c>
      <c r="B28" s="0" t="inlineStr">
        <is>
          <t>NSE</t>
        </is>
      </c>
      <c r="C28" s="0" t="inlineStr">
        <is>
          <t>Buy</t>
        </is>
      </c>
      <c r="D28" s="0" t="n">
        <v>10</v>
      </c>
      <c r="E28" s="0" t="n">
        <v>254</v>
      </c>
      <c r="F28" s="0" t="n">
        <v>2558</v>
      </c>
      <c r="G28" s="0" t="inlineStr">
        <is>
          <t>~</t>
        </is>
      </c>
      <c r="H28" s="0" t="n">
        <v>2.53</v>
      </c>
      <c r="I28" s="0" t="n">
        <v>15.47</v>
      </c>
    </row>
    <row r="29">
      <c r="A29" s="108" t="n">
        <v>45995</v>
      </c>
      <c r="B29" s="0" t="inlineStr">
        <is>
          <t>BSE</t>
        </is>
      </c>
      <c r="C29" s="0" t="inlineStr">
        <is>
          <t>Buy</t>
        </is>
      </c>
      <c r="D29" s="0" t="n">
        <v>20</v>
      </c>
      <c r="E29" s="0" t="n">
        <v>258.6</v>
      </c>
      <c r="F29" s="0" t="n">
        <v>5208.64</v>
      </c>
      <c r="G29" s="0" t="inlineStr">
        <is>
          <t>~</t>
        </is>
      </c>
      <c r="H29" s="0" t="n">
        <v>5.12</v>
      </c>
      <c r="I29" s="0" t="n">
        <v>31.52</v>
      </c>
    </row>
    <row r="30">
      <c r="A30" s="108" t="n">
        <v>45993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264.7</v>
      </c>
      <c r="F30" s="0" t="n">
        <v>2665.74</v>
      </c>
      <c r="G30" s="0" t="inlineStr">
        <is>
          <t>~</t>
        </is>
      </c>
      <c r="H30" s="0" t="n">
        <v>2.67</v>
      </c>
      <c r="I30" s="0" t="n">
        <v>16.07</v>
      </c>
    </row>
    <row r="31">
      <c r="A31" s="108" t="n">
        <v>45989</v>
      </c>
      <c r="B31" s="0" t="inlineStr">
        <is>
          <t>BSE</t>
        </is>
      </c>
      <c r="C31" s="0" t="inlineStr">
        <is>
          <t>Buy</t>
        </is>
      </c>
      <c r="D31" s="0" t="n">
        <v>10</v>
      </c>
      <c r="E31" s="0" t="n">
        <v>263.65</v>
      </c>
      <c r="F31" s="0" t="n">
        <v>2655.26</v>
      </c>
      <c r="G31" s="0" t="inlineStr">
        <is>
          <t>~</t>
        </is>
      </c>
      <c r="H31" s="0" t="n">
        <v>2.64</v>
      </c>
      <c r="I31" s="0" t="n">
        <v>16.12</v>
      </c>
    </row>
    <row r="32">
      <c r="A32" s="108" t="n">
        <v>45982</v>
      </c>
      <c r="B32" s="0" t="inlineStr">
        <is>
          <t>BSE</t>
        </is>
      </c>
      <c r="C32" s="0" t="inlineStr">
        <is>
          <t>Buy</t>
        </is>
      </c>
      <c r="D32" s="0" t="n">
        <v>40</v>
      </c>
      <c r="E32" s="0" t="n">
        <v>250.95</v>
      </c>
      <c r="F32" s="0" t="n">
        <v>10108.96</v>
      </c>
      <c r="G32" s="0" t="inlineStr">
        <is>
          <t>~</t>
        </is>
      </c>
      <c r="H32" s="0" t="n">
        <v>10.02</v>
      </c>
      <c r="I32" s="0" t="n">
        <v>60.94</v>
      </c>
    </row>
    <row r="33">
      <c r="A33" s="108" t="n">
        <v>45981</v>
      </c>
      <c r="B33" s="0" t="inlineStr">
        <is>
          <t>NSE</t>
        </is>
      </c>
      <c r="C33" s="0" t="inlineStr">
        <is>
          <t>Buy</t>
        </is>
      </c>
      <c r="D33" s="0" t="n">
        <v>50</v>
      </c>
      <c r="E33" s="0" t="n">
        <v>249.2</v>
      </c>
      <c r="F33" s="0" t="n">
        <v>12548.52</v>
      </c>
      <c r="G33" s="0" t="inlineStr">
        <is>
          <t>~</t>
        </is>
      </c>
      <c r="H33" s="0" t="n">
        <v>12.38</v>
      </c>
      <c r="I33" s="0" t="n">
        <v>76.14</v>
      </c>
    </row>
    <row r="34">
      <c r="A34" s="108" t="n">
        <v>45979</v>
      </c>
      <c r="B34" s="0" t="inlineStr">
        <is>
          <t>BSE</t>
        </is>
      </c>
      <c r="C34" s="0" t="inlineStr">
        <is>
          <t>Buy</t>
        </is>
      </c>
      <c r="D34" s="0" t="n">
        <v>40</v>
      </c>
      <c r="E34" s="0" t="n">
        <v>249.25</v>
      </c>
      <c r="F34" s="0" t="n">
        <v>10040.96</v>
      </c>
      <c r="G34" s="0" t="inlineStr">
        <is>
          <t>~</t>
        </is>
      </c>
      <c r="H34" s="0" t="n">
        <v>10.01</v>
      </c>
      <c r="I34" s="0" t="n">
        <v>60.95</v>
      </c>
    </row>
    <row r="35">
      <c r="A35" s="108" t="n">
        <v>45978</v>
      </c>
      <c r="B35" s="0" t="inlineStr">
        <is>
          <t>NSE</t>
        </is>
      </c>
      <c r="C35" s="0" t="inlineStr">
        <is>
          <t>Buy</t>
        </is>
      </c>
      <c r="D35" s="0" t="n">
        <v>1</v>
      </c>
      <c r="E35" s="0" t="n">
        <v>252.15</v>
      </c>
      <c r="F35" s="0" t="n">
        <v>253.93</v>
      </c>
      <c r="G35" s="0" t="inlineStr">
        <is>
          <t>~</t>
        </is>
      </c>
      <c r="H35" s="0" t="n">
        <v>0.25</v>
      </c>
      <c r="I35" s="0" t="n">
        <v>1.53</v>
      </c>
    </row>
    <row r="36">
      <c r="A36" s="108" t="n">
        <v>45978</v>
      </c>
      <c r="B36" s="0" t="inlineStr">
        <is>
          <t>NSE</t>
        </is>
      </c>
      <c r="C36" s="0" t="inlineStr">
        <is>
          <t>Buy</t>
        </is>
      </c>
      <c r="D36" s="0" t="n">
        <v>18</v>
      </c>
      <c r="E36" s="0" t="n">
        <v>252.25</v>
      </c>
      <c r="F36" s="0" t="n">
        <v>4572.65</v>
      </c>
      <c r="G36" s="0" t="inlineStr">
        <is>
          <t>~</t>
        </is>
      </c>
      <c r="H36" s="0" t="n">
        <v>4.56</v>
      </c>
      <c r="I36" s="0" t="n">
        <v>27.59</v>
      </c>
    </row>
    <row r="37">
      <c r="A37" s="108" t="n">
        <v>45978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252.15</v>
      </c>
      <c r="F37" s="0" t="n">
        <v>253.93</v>
      </c>
      <c r="G37" s="0" t="inlineStr">
        <is>
          <t>~</t>
        </is>
      </c>
      <c r="H37" s="0" t="n">
        <v>0.25</v>
      </c>
      <c r="I37" s="0" t="n">
        <v>1.53</v>
      </c>
    </row>
    <row r="38">
      <c r="A38" s="108" t="n">
        <v>45975</v>
      </c>
      <c r="B38" s="0" t="inlineStr">
        <is>
          <t>NSE</t>
        </is>
      </c>
      <c r="C38" s="0" t="inlineStr">
        <is>
          <t>Buy</t>
        </is>
      </c>
      <c r="D38" s="0" t="n">
        <v>40</v>
      </c>
      <c r="E38" s="0" t="n">
        <v>249.7</v>
      </c>
      <c r="F38" s="0" t="n">
        <v>10058.85</v>
      </c>
      <c r="G38" s="0" t="inlineStr">
        <is>
          <t>~</t>
        </is>
      </c>
      <c r="H38" s="0" t="n">
        <v>10</v>
      </c>
      <c r="I38" s="0" t="n">
        <v>60.85</v>
      </c>
    </row>
    <row r="39">
      <c r="A39" s="108" t="n">
        <v>45974</v>
      </c>
      <c r="B39" s="0" t="inlineStr">
        <is>
          <t>NSE</t>
        </is>
      </c>
      <c r="C39" s="0" t="inlineStr">
        <is>
          <t>Buy</t>
        </is>
      </c>
      <c r="D39" s="0" t="n">
        <v>10</v>
      </c>
      <c r="E39" s="0" t="n">
        <v>251.85</v>
      </c>
      <c r="F39" s="0" t="n">
        <v>2536.36</v>
      </c>
      <c r="G39" s="0" t="inlineStr">
        <is>
          <t>~</t>
        </is>
      </c>
      <c r="H39" s="0" t="n">
        <v>2.51</v>
      </c>
      <c r="I39" s="0" t="n">
        <v>15.35</v>
      </c>
    </row>
    <row r="40">
      <c r="A40" s="108" t="n">
        <v>45974</v>
      </c>
      <c r="B40" s="0" t="inlineStr">
        <is>
          <t>NSE</t>
        </is>
      </c>
      <c r="C40" s="0" t="inlineStr">
        <is>
          <t>Buy</t>
        </is>
      </c>
      <c r="D40" s="0" t="n">
        <v>8</v>
      </c>
      <c r="E40" s="0" t="n">
        <v>251.85</v>
      </c>
      <c r="F40" s="0" t="n">
        <v>2029.09</v>
      </c>
      <c r="G40" s="0" t="inlineStr">
        <is>
          <t>~</t>
        </is>
      </c>
      <c r="H40" s="0" t="n">
        <v>2</v>
      </c>
      <c r="I40" s="0" t="n">
        <v>12.29</v>
      </c>
    </row>
    <row r="41">
      <c r="A41" s="108" t="n">
        <v>45974</v>
      </c>
      <c r="B41" s="0" t="inlineStr">
        <is>
          <t>NSE</t>
        </is>
      </c>
      <c r="C41" s="0" t="inlineStr">
        <is>
          <t>Buy</t>
        </is>
      </c>
      <c r="D41" s="0" t="n">
        <v>24</v>
      </c>
      <c r="E41" s="0" t="n">
        <v>251.85</v>
      </c>
      <c r="F41" s="0" t="n">
        <v>6087.26</v>
      </c>
      <c r="G41" s="0" t="inlineStr">
        <is>
          <t>~</t>
        </is>
      </c>
      <c r="H41" s="0" t="n">
        <v>6.01</v>
      </c>
      <c r="I41" s="0" t="n">
        <v>36.85</v>
      </c>
    </row>
    <row r="42">
      <c r="A42" s="108" t="n">
        <v>45974</v>
      </c>
      <c r="B42" s="0" t="inlineStr">
        <is>
          <t>NSE</t>
        </is>
      </c>
      <c r="C42" s="0" t="inlineStr">
        <is>
          <t>Buy</t>
        </is>
      </c>
      <c r="D42" s="0" t="n">
        <v>9</v>
      </c>
      <c r="E42" s="0" t="n">
        <v>251.85</v>
      </c>
      <c r="F42" s="0" t="n">
        <v>2282.73</v>
      </c>
      <c r="G42" s="0" t="inlineStr">
        <is>
          <t>~</t>
        </is>
      </c>
      <c r="H42" s="0" t="n">
        <v>2.26</v>
      </c>
      <c r="I42" s="0" t="n">
        <v>13.82</v>
      </c>
    </row>
    <row r="43">
      <c r="A43" s="108" t="n">
        <v>45974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251.85</v>
      </c>
      <c r="F43" s="0" t="n">
        <v>507.28</v>
      </c>
      <c r="G43" s="0" t="inlineStr">
        <is>
          <t>~</t>
        </is>
      </c>
      <c r="H43" s="0" t="n">
        <v>0.5</v>
      </c>
      <c r="I43" s="0" t="n">
        <v>3.08</v>
      </c>
    </row>
    <row r="44">
      <c r="A44" s="108" t="n">
        <v>45974</v>
      </c>
      <c r="B44" s="0" t="inlineStr">
        <is>
          <t>NSE</t>
        </is>
      </c>
      <c r="C44" s="0" t="inlineStr">
        <is>
          <t>Buy</t>
        </is>
      </c>
      <c r="D44" s="0" t="n">
        <v>7</v>
      </c>
      <c r="E44" s="0" t="n">
        <v>251.85</v>
      </c>
      <c r="F44" s="0" t="n">
        <v>1775.42</v>
      </c>
      <c r="G44" s="0" t="inlineStr">
        <is>
          <t>~</t>
        </is>
      </c>
      <c r="H44" s="0" t="n">
        <v>1.75</v>
      </c>
      <c r="I44" s="0" t="n">
        <v>10.72</v>
      </c>
    </row>
    <row r="45">
      <c r="A45" s="108" t="n">
        <v>45972</v>
      </c>
      <c r="B45" s="0" t="inlineStr">
        <is>
          <t>NSE</t>
        </is>
      </c>
      <c r="C45" s="0" t="inlineStr">
        <is>
          <t>Buy</t>
        </is>
      </c>
      <c r="D45" s="0" t="n">
        <v>1</v>
      </c>
      <c r="E45" s="0" t="n">
        <v>246.2</v>
      </c>
      <c r="F45" s="0" t="n">
        <v>247.95</v>
      </c>
      <c r="G45" s="0" t="inlineStr">
        <is>
          <t>~</t>
        </is>
      </c>
      <c r="H45" s="0" t="n">
        <v>0.25</v>
      </c>
      <c r="I45" s="0" t="n">
        <v>1.5</v>
      </c>
    </row>
    <row r="46">
      <c r="A46" s="108" t="n">
        <v>45972</v>
      </c>
      <c r="B46" s="0" t="inlineStr">
        <is>
          <t>NSE</t>
        </is>
      </c>
      <c r="C46" s="0" t="inlineStr">
        <is>
          <t>Buy</t>
        </is>
      </c>
      <c r="D46" s="0" t="n">
        <v>11</v>
      </c>
      <c r="E46" s="0" t="n">
        <v>246.2</v>
      </c>
      <c r="F46" s="0" t="n">
        <v>2727.39</v>
      </c>
      <c r="G46" s="0" t="inlineStr">
        <is>
          <t>~</t>
        </is>
      </c>
      <c r="H46" s="0" t="n">
        <v>2.69</v>
      </c>
      <c r="I46" s="0" t="n">
        <v>16.5</v>
      </c>
    </row>
    <row r="47">
      <c r="A47" s="108" t="n">
        <v>45972</v>
      </c>
      <c r="B47" s="0" t="inlineStr">
        <is>
          <t>NSE</t>
        </is>
      </c>
      <c r="C47" s="0" t="inlineStr">
        <is>
          <t>Buy</t>
        </is>
      </c>
      <c r="D47" s="0" t="n">
        <v>8</v>
      </c>
      <c r="E47" s="0" t="n">
        <v>246.2</v>
      </c>
      <c r="F47" s="0" t="n">
        <v>1983.57</v>
      </c>
      <c r="G47" s="0" t="inlineStr">
        <is>
          <t>~</t>
        </is>
      </c>
      <c r="H47" s="0" t="n">
        <v>1.96</v>
      </c>
      <c r="I47" s="0" t="n">
        <v>12.01</v>
      </c>
    </row>
    <row r="48">
      <c r="A48" s="108" t="n">
        <v>45971</v>
      </c>
      <c r="B48" s="0" t="inlineStr">
        <is>
          <t>NSE</t>
        </is>
      </c>
      <c r="C48" s="0" t="inlineStr">
        <is>
          <t>Buy</t>
        </is>
      </c>
      <c r="D48" s="0" t="n">
        <v>40</v>
      </c>
      <c r="E48" s="0" t="n">
        <v>245.55</v>
      </c>
      <c r="F48" s="0" t="n">
        <v>9891.620000000001</v>
      </c>
      <c r="G48" s="0" t="inlineStr">
        <is>
          <t>~</t>
        </is>
      </c>
      <c r="H48" s="0" t="n">
        <v>9.76</v>
      </c>
      <c r="I48" s="0" t="n">
        <v>59.86</v>
      </c>
    </row>
    <row r="49">
      <c r="A49" s="108" t="n">
        <v>45968</v>
      </c>
      <c r="B49" s="0" t="inlineStr">
        <is>
          <t>NSE</t>
        </is>
      </c>
      <c r="C49" s="0" t="inlineStr">
        <is>
          <t>Buy</t>
        </is>
      </c>
      <c r="D49" s="0" t="n">
        <v>4</v>
      </c>
      <c r="E49" s="0" t="n">
        <v>248.15</v>
      </c>
      <c r="F49" s="0" t="n">
        <v>999.63</v>
      </c>
      <c r="G49" s="0" t="inlineStr">
        <is>
          <t>~</t>
        </is>
      </c>
      <c r="H49" s="0" t="n">
        <v>0.99</v>
      </c>
      <c r="I49" s="0" t="n">
        <v>6.04</v>
      </c>
    </row>
    <row r="50">
      <c r="A50" s="108" t="n">
        <v>45968</v>
      </c>
      <c r="B50" s="0" t="inlineStr">
        <is>
          <t>NSE</t>
        </is>
      </c>
      <c r="C50" s="0" t="inlineStr">
        <is>
          <t>Buy</t>
        </is>
      </c>
      <c r="D50" s="0" t="n">
        <v>6</v>
      </c>
      <c r="E50" s="0" t="n">
        <v>248.15</v>
      </c>
      <c r="F50" s="0" t="n">
        <v>1499.44</v>
      </c>
      <c r="G50" s="0" t="inlineStr">
        <is>
          <t>~</t>
        </is>
      </c>
      <c r="H50" s="0" t="n">
        <v>1.49</v>
      </c>
      <c r="I50" s="0" t="n">
        <v>9.050000000000001</v>
      </c>
    </row>
    <row r="51">
      <c r="A51" s="108" t="n">
        <v>45968</v>
      </c>
      <c r="B51" s="0" t="inlineStr">
        <is>
          <t>NSE</t>
        </is>
      </c>
      <c r="C51" s="0" t="inlineStr">
        <is>
          <t>Buy</t>
        </is>
      </c>
      <c r="D51" s="0" t="n">
        <v>5</v>
      </c>
      <c r="E51" s="0" t="n">
        <v>248.15</v>
      </c>
      <c r="F51" s="0" t="n">
        <v>1249.54</v>
      </c>
      <c r="G51" s="0" t="inlineStr">
        <is>
          <t>~</t>
        </is>
      </c>
      <c r="H51" s="0" t="n">
        <v>1.24</v>
      </c>
      <c r="I51" s="0" t="n">
        <v>7.55</v>
      </c>
    </row>
    <row r="52">
      <c r="A52" s="108" t="n">
        <v>45968</v>
      </c>
      <c r="B52" s="0" t="inlineStr">
        <is>
          <t>NSE</t>
        </is>
      </c>
      <c r="C52" s="0" t="inlineStr">
        <is>
          <t>Buy</t>
        </is>
      </c>
      <c r="D52" s="0" t="n">
        <v>13</v>
      </c>
      <c r="E52" s="0" t="n">
        <v>248.15</v>
      </c>
      <c r="F52" s="0" t="n">
        <v>3248.81</v>
      </c>
      <c r="G52" s="0" t="inlineStr">
        <is>
          <t>~</t>
        </is>
      </c>
      <c r="H52" s="0" t="n">
        <v>3.23</v>
      </c>
      <c r="I52" s="0" t="n">
        <v>19.63</v>
      </c>
    </row>
    <row r="53">
      <c r="A53" s="108" t="n">
        <v>45968</v>
      </c>
      <c r="B53" s="0" t="inlineStr">
        <is>
          <t>NSE</t>
        </is>
      </c>
      <c r="C53" s="0" t="inlineStr">
        <is>
          <t>Buy</t>
        </is>
      </c>
      <c r="D53" s="0" t="n">
        <v>22</v>
      </c>
      <c r="E53" s="0" t="n">
        <v>248.15</v>
      </c>
      <c r="F53" s="0" t="n">
        <v>5498</v>
      </c>
      <c r="G53" s="0" t="inlineStr">
        <is>
          <t>~</t>
        </is>
      </c>
      <c r="H53" s="0" t="n">
        <v>5.45</v>
      </c>
      <c r="I53" s="0" t="n">
        <v>33.25</v>
      </c>
    </row>
    <row r="54">
      <c r="A54" s="108" t="n">
        <v>45967</v>
      </c>
      <c r="B54" s="0" t="inlineStr">
        <is>
          <t>BSE</t>
        </is>
      </c>
      <c r="C54" s="0" t="inlineStr">
        <is>
          <t>Buy</t>
        </is>
      </c>
      <c r="D54" s="0" t="n">
        <v>26</v>
      </c>
      <c r="E54" s="0" t="n">
        <v>252.35</v>
      </c>
      <c r="F54" s="0" t="n">
        <v>6607.64</v>
      </c>
      <c r="G54" s="0" t="inlineStr">
        <is>
          <t>~</t>
        </is>
      </c>
      <c r="H54" s="0" t="n">
        <v>6.6</v>
      </c>
      <c r="I54" s="0" t="n">
        <v>39.94</v>
      </c>
    </row>
    <row r="55">
      <c r="A55" s="108" t="n">
        <v>45967</v>
      </c>
      <c r="B55" s="0" t="inlineStr">
        <is>
          <t>BSE</t>
        </is>
      </c>
      <c r="C55" s="0" t="inlineStr">
        <is>
          <t>Buy</t>
        </is>
      </c>
      <c r="D55" s="0" t="n">
        <v>24</v>
      </c>
      <c r="E55" s="0" t="n">
        <v>252.3</v>
      </c>
      <c r="F55" s="0" t="n">
        <v>6098.19</v>
      </c>
      <c r="G55" s="0" t="inlineStr">
        <is>
          <t>~</t>
        </is>
      </c>
      <c r="H55" s="0" t="n">
        <v>6.1</v>
      </c>
      <c r="I55" s="0" t="n">
        <v>36.89</v>
      </c>
    </row>
    <row r="56">
      <c r="A56" s="108" t="n">
        <v>45961</v>
      </c>
      <c r="B56" s="0" t="inlineStr">
        <is>
          <t>BSE</t>
        </is>
      </c>
      <c r="C56" s="0" t="inlineStr">
        <is>
          <t>Buy</t>
        </is>
      </c>
      <c r="D56" s="0" t="n">
        <v>43</v>
      </c>
      <c r="E56" s="0" t="n">
        <v>262.9</v>
      </c>
      <c r="F56" s="0" t="n">
        <v>11384.67</v>
      </c>
      <c r="G56" s="0" t="inlineStr">
        <is>
          <t>~</t>
        </is>
      </c>
      <c r="H56" s="0" t="n">
        <v>11.28</v>
      </c>
      <c r="I56" s="0" t="n">
        <v>68.69</v>
      </c>
    </row>
    <row r="57">
      <c r="A57" s="108" t="n">
        <v>45961</v>
      </c>
      <c r="B57" s="0" t="inlineStr">
        <is>
          <t>BSE</t>
        </is>
      </c>
      <c r="C57" s="0" t="inlineStr">
        <is>
          <t>Buy</t>
        </is>
      </c>
      <c r="D57" s="0" t="n">
        <v>7</v>
      </c>
      <c r="E57" s="0" t="n">
        <v>262.95</v>
      </c>
      <c r="F57" s="0" t="n">
        <v>1853.69</v>
      </c>
      <c r="G57" s="0" t="inlineStr">
        <is>
          <t>~</t>
        </is>
      </c>
      <c r="H57" s="0" t="n">
        <v>1.84</v>
      </c>
      <c r="I57" s="0" t="n">
        <v>11.2</v>
      </c>
    </row>
    <row r="58">
      <c r="A58" s="108" t="n">
        <v>45960</v>
      </c>
      <c r="B58" s="0" t="inlineStr">
        <is>
          <t>NSE</t>
        </is>
      </c>
      <c r="C58" s="0" t="inlineStr">
        <is>
          <t>Buy</t>
        </is>
      </c>
      <c r="D58" s="0" t="n">
        <v>2</v>
      </c>
      <c r="E58" s="0" t="n">
        <v>267.7</v>
      </c>
      <c r="F58" s="0" t="n">
        <v>539.1799999999999</v>
      </c>
      <c r="G58" s="0" t="inlineStr">
        <is>
          <t>~</t>
        </is>
      </c>
      <c r="H58" s="0" t="n">
        <v>0.52</v>
      </c>
      <c r="I58" s="0" t="n">
        <v>3.26</v>
      </c>
    </row>
    <row r="59">
      <c r="A59" s="108" t="n">
        <v>45960</v>
      </c>
      <c r="B59" s="0" t="inlineStr">
        <is>
          <t>NSE</t>
        </is>
      </c>
      <c r="C59" s="0" t="inlineStr">
        <is>
          <t>Buy</t>
        </is>
      </c>
      <c r="D59" s="0" t="n">
        <v>2</v>
      </c>
      <c r="E59" s="0" t="n">
        <v>267.7</v>
      </c>
      <c r="F59" s="0" t="n">
        <v>539.1799999999999</v>
      </c>
      <c r="G59" s="0" t="inlineStr">
        <is>
          <t>~</t>
        </is>
      </c>
      <c r="H59" s="0" t="n">
        <v>0.52</v>
      </c>
      <c r="I59" s="0" t="n">
        <v>3.26</v>
      </c>
    </row>
    <row r="60">
      <c r="A60" s="108" t="n">
        <v>45960</v>
      </c>
      <c r="B60" s="0" t="inlineStr">
        <is>
          <t>NSE</t>
        </is>
      </c>
      <c r="C60" s="0" t="inlineStr">
        <is>
          <t>Buy</t>
        </is>
      </c>
      <c r="D60" s="0" t="n">
        <v>46</v>
      </c>
      <c r="E60" s="0" t="n">
        <v>267.7</v>
      </c>
      <c r="F60" s="0" t="n">
        <v>12401.29</v>
      </c>
      <c r="G60" s="0" t="inlineStr">
        <is>
          <t>~</t>
        </is>
      </c>
      <c r="H60" s="0" t="n">
        <v>11.96</v>
      </c>
      <c r="I60" s="0" t="n">
        <v>75.13</v>
      </c>
    </row>
    <row r="61">
      <c r="A61" s="108" t="n">
        <v>45959</v>
      </c>
      <c r="B61" s="0" t="inlineStr">
        <is>
          <t>NSE</t>
        </is>
      </c>
      <c r="C61" s="0" t="inlineStr">
        <is>
          <t>Buy</t>
        </is>
      </c>
      <c r="D61" s="0" t="n">
        <v>46</v>
      </c>
      <c r="E61" s="0" t="n">
        <v>262.5</v>
      </c>
      <c r="F61" s="0" t="n">
        <v>12160.36</v>
      </c>
      <c r="G61" s="0" t="inlineStr">
        <is>
          <t>~</t>
        </is>
      </c>
      <c r="H61" s="0" t="n">
        <v>12.04</v>
      </c>
      <c r="I61" s="0" t="n">
        <v>73.31999999999999</v>
      </c>
    </row>
    <row r="62">
      <c r="A62" s="108" t="n">
        <v>45959</v>
      </c>
      <c r="B62" s="0" t="inlineStr">
        <is>
          <t>NSE</t>
        </is>
      </c>
      <c r="C62" s="0" t="inlineStr">
        <is>
          <t>Buy</t>
        </is>
      </c>
      <c r="D62" s="0" t="n">
        <v>3</v>
      </c>
      <c r="E62" s="0" t="n">
        <v>262.5</v>
      </c>
      <c r="F62" s="0" t="n">
        <v>793.0599999999999</v>
      </c>
      <c r="G62" s="0" t="inlineStr">
        <is>
          <t>~</t>
        </is>
      </c>
      <c r="H62" s="0" t="n">
        <v>0.79</v>
      </c>
      <c r="I62" s="0" t="n">
        <v>4.77</v>
      </c>
    </row>
    <row r="63">
      <c r="A63" s="108" t="n">
        <v>45959</v>
      </c>
      <c r="B63" s="0" t="inlineStr">
        <is>
          <t>NSE</t>
        </is>
      </c>
      <c r="C63" s="0" t="inlineStr">
        <is>
          <t>Buy</t>
        </is>
      </c>
      <c r="D63" s="0" t="n">
        <v>1</v>
      </c>
      <c r="E63" s="0" t="n">
        <v>262.5</v>
      </c>
      <c r="F63" s="0" t="n">
        <v>264.36</v>
      </c>
      <c r="G63" s="0" t="inlineStr">
        <is>
          <t>~</t>
        </is>
      </c>
      <c r="H63" s="0" t="n">
        <v>0.26</v>
      </c>
      <c r="I63" s="0" t="n">
        <v>1.6</v>
      </c>
    </row>
    <row r="64">
      <c r="A64" s="108" t="n">
        <v>45957</v>
      </c>
      <c r="B64" s="0" t="inlineStr">
        <is>
          <t>NSE</t>
        </is>
      </c>
      <c r="C64" s="0" t="inlineStr">
        <is>
          <t>Buy</t>
        </is>
      </c>
      <c r="D64" s="0" t="n">
        <v>1</v>
      </c>
      <c r="E64" s="0" t="n">
        <v>264.45</v>
      </c>
      <c r="F64" s="0" t="n">
        <v>266.32</v>
      </c>
      <c r="G64" s="0" t="inlineStr">
        <is>
          <t>~</t>
        </is>
      </c>
      <c r="H64" s="0" t="n">
        <v>0.26</v>
      </c>
      <c r="I64" s="0" t="n">
        <v>1.61</v>
      </c>
    </row>
    <row r="65">
      <c r="A65" s="108" t="n">
        <v>45957</v>
      </c>
      <c r="B65" s="0" t="inlineStr">
        <is>
          <t>NSE</t>
        </is>
      </c>
      <c r="C65" s="0" t="inlineStr">
        <is>
          <t>Buy</t>
        </is>
      </c>
      <c r="D65" s="0" t="n">
        <v>8</v>
      </c>
      <c r="E65" s="0" t="n">
        <v>264.5</v>
      </c>
      <c r="F65" s="0" t="n">
        <v>2131</v>
      </c>
      <c r="G65" s="0" t="inlineStr">
        <is>
          <t>~</t>
        </is>
      </c>
      <c r="H65" s="0" t="n">
        <v>2.13</v>
      </c>
      <c r="I65" s="0" t="n">
        <v>12.87</v>
      </c>
    </row>
    <row r="66">
      <c r="A66" s="108" t="n">
        <v>45957</v>
      </c>
      <c r="B66" s="0" t="inlineStr">
        <is>
          <t>NSE</t>
        </is>
      </c>
      <c r="C66" s="0" t="inlineStr">
        <is>
          <t>Buy</t>
        </is>
      </c>
      <c r="D66" s="0" t="n">
        <v>12</v>
      </c>
      <c r="E66" s="0" t="n">
        <v>264.5</v>
      </c>
      <c r="F66" s="0" t="n">
        <v>3196.49</v>
      </c>
      <c r="G66" s="0" t="inlineStr">
        <is>
          <t>~</t>
        </is>
      </c>
      <c r="H66" s="0" t="n">
        <v>3.19</v>
      </c>
      <c r="I66" s="0" t="n">
        <v>19.3</v>
      </c>
    </row>
    <row r="67">
      <c r="A67" s="108" t="n">
        <v>45957</v>
      </c>
      <c r="B67" s="0" t="inlineStr">
        <is>
          <t>NSE</t>
        </is>
      </c>
      <c r="C67" s="0" t="inlineStr">
        <is>
          <t>Buy</t>
        </is>
      </c>
      <c r="D67" s="0" t="n">
        <v>2</v>
      </c>
      <c r="E67" s="0" t="n">
        <v>264.5</v>
      </c>
      <c r="F67" s="0" t="n">
        <v>532.75</v>
      </c>
      <c r="G67" s="0" t="inlineStr">
        <is>
          <t>~</t>
        </is>
      </c>
      <c r="H67" s="0" t="n">
        <v>0.53</v>
      </c>
      <c r="I67" s="0" t="n">
        <v>3.22</v>
      </c>
    </row>
    <row r="68">
      <c r="A68" s="108" t="n">
        <v>45957</v>
      </c>
      <c r="B68" s="0" t="inlineStr">
        <is>
          <t>NSE</t>
        </is>
      </c>
      <c r="C68" s="0" t="inlineStr">
        <is>
          <t>Buy</t>
        </is>
      </c>
      <c r="D68" s="0" t="n">
        <v>2</v>
      </c>
      <c r="E68" s="0" t="n">
        <v>264.45</v>
      </c>
      <c r="F68" s="0" t="n">
        <v>532.65</v>
      </c>
      <c r="G68" s="0" t="inlineStr">
        <is>
          <t>~</t>
        </is>
      </c>
      <c r="H68" s="0" t="n">
        <v>0.53</v>
      </c>
      <c r="I68" s="0" t="n">
        <v>3.22</v>
      </c>
    </row>
    <row r="69">
      <c r="A69" s="108" t="n">
        <v>45957</v>
      </c>
      <c r="B69" s="0" t="inlineStr">
        <is>
          <t>NSE</t>
        </is>
      </c>
      <c r="C69" s="0" t="inlineStr">
        <is>
          <t>Buy</t>
        </is>
      </c>
      <c r="D69" s="0" t="n">
        <v>2</v>
      </c>
      <c r="E69" s="0" t="n">
        <v>264.5</v>
      </c>
      <c r="F69" s="0" t="n">
        <v>532.75</v>
      </c>
      <c r="G69" s="0" t="inlineStr">
        <is>
          <t>~</t>
        </is>
      </c>
      <c r="H69" s="0" t="n">
        <v>0.53</v>
      </c>
      <c r="I69" s="0" t="n">
        <v>3.22</v>
      </c>
    </row>
    <row r="70">
      <c r="A70" s="108" t="n">
        <v>45957</v>
      </c>
      <c r="B70" s="0" t="inlineStr">
        <is>
          <t>NSE</t>
        </is>
      </c>
      <c r="C70" s="0" t="inlineStr">
        <is>
          <t>Buy</t>
        </is>
      </c>
      <c r="D70" s="0" t="n">
        <v>1</v>
      </c>
      <c r="E70" s="0" t="n">
        <v>264.45</v>
      </c>
      <c r="F70" s="0" t="n">
        <v>266.32</v>
      </c>
      <c r="G70" s="0" t="inlineStr">
        <is>
          <t>~</t>
        </is>
      </c>
      <c r="H70" s="0" t="n">
        <v>0.26</v>
      </c>
      <c r="I70" s="0" t="n">
        <v>1.61</v>
      </c>
    </row>
    <row r="71">
      <c r="A71" s="108" t="n">
        <v>45957</v>
      </c>
      <c r="B71" s="0" t="inlineStr">
        <is>
          <t>NSE</t>
        </is>
      </c>
      <c r="C71" s="0" t="inlineStr">
        <is>
          <t>Buy</t>
        </is>
      </c>
      <c r="D71" s="0" t="n">
        <v>4</v>
      </c>
      <c r="E71" s="0" t="n">
        <v>264.5</v>
      </c>
      <c r="F71" s="0" t="n">
        <v>1065.49</v>
      </c>
      <c r="G71" s="0" t="inlineStr">
        <is>
          <t>~</t>
        </is>
      </c>
      <c r="H71" s="0" t="n">
        <v>1.06</v>
      </c>
      <c r="I71" s="0" t="n">
        <v>6.43</v>
      </c>
    </row>
    <row r="72">
      <c r="A72" s="108" t="n">
        <v>45957</v>
      </c>
      <c r="B72" s="0" t="inlineStr">
        <is>
          <t>NSE</t>
        </is>
      </c>
      <c r="C72" s="0" t="inlineStr">
        <is>
          <t>Buy</t>
        </is>
      </c>
      <c r="D72" s="0" t="n">
        <v>13</v>
      </c>
      <c r="E72" s="0" t="n">
        <v>264.5</v>
      </c>
      <c r="F72" s="0" t="n">
        <v>3462.83</v>
      </c>
      <c r="G72" s="0" t="inlineStr">
        <is>
          <t>~</t>
        </is>
      </c>
      <c r="H72" s="0" t="n">
        <v>3.45</v>
      </c>
      <c r="I72" s="0" t="n">
        <v>20.88</v>
      </c>
    </row>
    <row r="73">
      <c r="A73" s="108" t="n">
        <v>45957</v>
      </c>
      <c r="B73" s="0" t="inlineStr">
        <is>
          <t>NSE</t>
        </is>
      </c>
      <c r="C73" s="0" t="inlineStr">
        <is>
          <t>Buy</t>
        </is>
      </c>
      <c r="D73" s="0" t="n">
        <v>3</v>
      </c>
      <c r="E73" s="0" t="n">
        <v>264.5</v>
      </c>
      <c r="F73" s="0" t="n">
        <v>799.11</v>
      </c>
      <c r="G73" s="0" t="inlineStr">
        <is>
          <t>~</t>
        </is>
      </c>
      <c r="H73" s="0" t="n">
        <v>0.79</v>
      </c>
      <c r="I73" s="0" t="n">
        <v>4.82</v>
      </c>
    </row>
    <row r="74">
      <c r="A74" s="108" t="n">
        <v>45957</v>
      </c>
      <c r="B74" s="0" t="inlineStr">
        <is>
          <t>NSE</t>
        </is>
      </c>
      <c r="C74" s="0" t="inlineStr">
        <is>
          <t>Buy</t>
        </is>
      </c>
      <c r="D74" s="0" t="n">
        <v>1</v>
      </c>
      <c r="E74" s="0" t="n">
        <v>264.5</v>
      </c>
      <c r="F74" s="0" t="n">
        <v>266.37</v>
      </c>
      <c r="G74" s="0" t="inlineStr">
        <is>
          <t>~</t>
        </is>
      </c>
      <c r="H74" s="0" t="n">
        <v>0.26</v>
      </c>
      <c r="I74" s="0" t="n">
        <v>1.61</v>
      </c>
    </row>
    <row r="75">
      <c r="A75" s="108" t="n">
        <v>45957</v>
      </c>
      <c r="B75" s="0" t="inlineStr">
        <is>
          <t>NSE</t>
        </is>
      </c>
      <c r="C75" s="0" t="inlineStr">
        <is>
          <t>Buy</t>
        </is>
      </c>
      <c r="D75" s="0" t="n">
        <v>1</v>
      </c>
      <c r="E75" s="0" t="n">
        <v>264.45</v>
      </c>
      <c r="F75" s="0" t="n">
        <v>266.32</v>
      </c>
      <c r="G75" s="0" t="inlineStr">
        <is>
          <t>~</t>
        </is>
      </c>
      <c r="H75" s="0" t="n">
        <v>0.26</v>
      </c>
      <c r="I75" s="0" t="n">
        <v>1.61</v>
      </c>
    </row>
    <row r="76">
      <c r="A76" s="108" t="n">
        <v>45954</v>
      </c>
      <c r="B76" s="0" t="inlineStr">
        <is>
          <t>BSE</t>
        </is>
      </c>
      <c r="C76" s="0" t="inlineStr">
        <is>
          <t>Buy</t>
        </is>
      </c>
      <c r="D76" s="0" t="n">
        <v>40</v>
      </c>
      <c r="E76" s="0" t="n">
        <v>274.8</v>
      </c>
      <c r="F76" s="0" t="n">
        <v>11069.83</v>
      </c>
      <c r="G76" s="0" t="inlineStr">
        <is>
          <t>~</t>
        </is>
      </c>
      <c r="H76" s="0" t="n">
        <v>11.01</v>
      </c>
      <c r="I76" s="0" t="n">
        <v>66.81999999999999</v>
      </c>
    </row>
    <row r="77">
      <c r="A77" s="108" t="n">
        <v>45953</v>
      </c>
      <c r="B77" s="0" t="inlineStr">
        <is>
          <t>BSE</t>
        </is>
      </c>
      <c r="C77" s="0" t="inlineStr">
        <is>
          <t>Buy</t>
        </is>
      </c>
      <c r="D77" s="0" t="n">
        <v>20</v>
      </c>
      <c r="E77" s="0" t="n">
        <v>283.75</v>
      </c>
      <c r="F77" s="0" t="n">
        <v>5715.3</v>
      </c>
      <c r="G77" s="0" t="inlineStr">
        <is>
          <t>~</t>
        </is>
      </c>
      <c r="H77" s="0" t="n">
        <v>5.66</v>
      </c>
      <c r="I77" s="0" t="n">
        <v>34.64</v>
      </c>
    </row>
    <row r="78">
      <c r="A78" s="108" t="n">
        <v>45950</v>
      </c>
      <c r="B78" s="0" t="inlineStr">
        <is>
          <t>BSE</t>
        </is>
      </c>
      <c r="C78" s="0" t="inlineStr">
        <is>
          <t>Buy</t>
        </is>
      </c>
      <c r="D78" s="0" t="n">
        <v>50</v>
      </c>
      <c r="E78" s="0" t="n">
        <v>277.4</v>
      </c>
      <c r="F78" s="0" t="n">
        <v>13968.6</v>
      </c>
      <c r="G78" s="0" t="inlineStr">
        <is>
          <t>~</t>
        </is>
      </c>
      <c r="H78" s="0" t="n">
        <v>13.86</v>
      </c>
      <c r="I78" s="0" t="n">
        <v>84.73999999999999</v>
      </c>
    </row>
    <row r="79">
      <c r="A79" s="108" t="n">
        <v>45947</v>
      </c>
      <c r="B79" s="0" t="inlineStr">
        <is>
          <t>NSE</t>
        </is>
      </c>
      <c r="C79" s="0" t="inlineStr">
        <is>
          <t>Buy</t>
        </is>
      </c>
      <c r="D79" s="0" t="n">
        <v>10</v>
      </c>
      <c r="E79" s="0" t="n">
        <v>290.35</v>
      </c>
      <c r="F79" s="0" t="n">
        <v>2924.07</v>
      </c>
      <c r="G79" s="0" t="inlineStr">
        <is>
          <t>~</t>
        </is>
      </c>
      <c r="H79" s="0" t="n">
        <v>2.9</v>
      </c>
      <c r="I79" s="0" t="n">
        <v>17.67</v>
      </c>
    </row>
    <row r="80">
      <c r="A80" s="108" t="n">
        <v>45943</v>
      </c>
      <c r="B80" s="0" t="inlineStr">
        <is>
          <t>NSE</t>
        </is>
      </c>
      <c r="C80" s="0" t="inlineStr">
        <is>
          <t>Buy</t>
        </is>
      </c>
      <c r="D80" s="0" t="n">
        <v>1</v>
      </c>
      <c r="E80" s="0" t="n">
        <v>297.85</v>
      </c>
      <c r="F80" s="0" t="n">
        <v>299.94</v>
      </c>
      <c r="G80" s="0" t="inlineStr">
        <is>
          <t>~</t>
        </is>
      </c>
      <c r="H80" s="0" t="n">
        <v>0.28</v>
      </c>
      <c r="I80" s="0" t="n">
        <v>1.81</v>
      </c>
    </row>
    <row r="81">
      <c r="A81" s="108" t="n">
        <v>45943</v>
      </c>
      <c r="B81" s="0" t="inlineStr">
        <is>
          <t>NSE</t>
        </is>
      </c>
      <c r="C81" s="0" t="inlineStr">
        <is>
          <t>Buy</t>
        </is>
      </c>
      <c r="D81" s="0" t="n">
        <v>9</v>
      </c>
      <c r="E81" s="0" t="n">
        <v>297.85</v>
      </c>
      <c r="F81" s="0" t="n">
        <v>2699.52</v>
      </c>
      <c r="G81" s="0" t="inlineStr">
        <is>
          <t>~</t>
        </is>
      </c>
      <c r="H81" s="0" t="n">
        <v>2.52</v>
      </c>
      <c r="I81" s="0" t="n">
        <v>16.35</v>
      </c>
    </row>
    <row r="82">
      <c r="A82" s="108" t="n">
        <v>45939</v>
      </c>
      <c r="B82" s="0" t="inlineStr">
        <is>
          <t>NSE</t>
        </is>
      </c>
      <c r="C82" s="0" t="inlineStr">
        <is>
          <t>Buy</t>
        </is>
      </c>
      <c r="D82" s="0" t="n">
        <v>2</v>
      </c>
      <c r="E82" s="0" t="n">
        <v>299.6</v>
      </c>
      <c r="F82" s="0" t="n">
        <v>603.47</v>
      </c>
      <c r="G82" s="0" t="inlineStr">
        <is>
          <t>~</t>
        </is>
      </c>
      <c r="H82" s="0" t="n">
        <v>0.6</v>
      </c>
      <c r="I82" s="0" t="n">
        <v>3.67</v>
      </c>
    </row>
    <row r="83">
      <c r="A83" s="108" t="n">
        <v>45939</v>
      </c>
      <c r="B83" s="0" t="inlineStr">
        <is>
          <t>NSE</t>
        </is>
      </c>
      <c r="C83" s="0" t="inlineStr">
        <is>
          <t>Buy</t>
        </is>
      </c>
      <c r="D83" s="0" t="n">
        <v>8</v>
      </c>
      <c r="E83" s="0" t="n">
        <v>299.6</v>
      </c>
      <c r="F83" s="0" t="n">
        <v>2413.85</v>
      </c>
      <c r="G83" s="0" t="inlineStr">
        <is>
          <t>~</t>
        </is>
      </c>
      <c r="H83" s="0" t="n">
        <v>2.4</v>
      </c>
      <c r="I83" s="0" t="n">
        <v>14.65</v>
      </c>
    </row>
    <row r="84">
      <c r="A84" s="108" t="n">
        <v>45939</v>
      </c>
      <c r="B84" s="0" t="inlineStr">
        <is>
          <t>NSE</t>
        </is>
      </c>
      <c r="C84" s="0" t="inlineStr">
        <is>
          <t>Buy</t>
        </is>
      </c>
      <c r="D84" s="0" t="n">
        <v>2</v>
      </c>
      <c r="E84" s="0" t="n">
        <v>299.6</v>
      </c>
      <c r="F84" s="0" t="n">
        <v>603.46</v>
      </c>
      <c r="G84" s="0" t="inlineStr">
        <is>
          <t>~</t>
        </is>
      </c>
      <c r="H84" s="0" t="n">
        <v>0.6</v>
      </c>
      <c r="I84" s="0" t="n">
        <v>3.66</v>
      </c>
    </row>
    <row r="85">
      <c r="A85" s="108" t="n">
        <v>45939</v>
      </c>
      <c r="B85" s="0" t="inlineStr">
        <is>
          <t>NSE</t>
        </is>
      </c>
      <c r="C85" s="0" t="inlineStr">
        <is>
          <t>Buy</t>
        </is>
      </c>
      <c r="D85" s="0" t="n">
        <v>8</v>
      </c>
      <c r="E85" s="0" t="n">
        <v>299.6</v>
      </c>
      <c r="F85" s="0" t="n">
        <v>2413.85</v>
      </c>
      <c r="G85" s="0" t="inlineStr">
        <is>
          <t>~</t>
        </is>
      </c>
      <c r="H85" s="0" t="n">
        <v>2.4</v>
      </c>
      <c r="I85" s="0" t="n">
        <v>14.65</v>
      </c>
    </row>
    <row r="86">
      <c r="A86" s="38" t="n">
        <v>45950</v>
      </c>
      <c r="B86" s="39" t="inlineStr">
        <is>
          <t>NSE</t>
        </is>
      </c>
      <c r="C86" s="39" t="inlineStr">
        <is>
          <t>Buy</t>
        </is>
      </c>
      <c r="D86" s="40" t="n">
        <v>50</v>
      </c>
      <c r="E86" s="41" t="n">
        <v>279.37</v>
      </c>
      <c r="F86" s="42">
        <f>D5*E5</f>
        <v/>
      </c>
      <c r="G86" s="39" t="inlineStr">
        <is>
          <t>~</t>
        </is>
      </c>
      <c r="H86" s="40" t="n"/>
      <c r="I86" s="40" t="n"/>
      <c r="J86" s="71">
        <f>Index!$C$2</f>
        <v/>
      </c>
      <c r="K86" s="44">
        <f>IF(AND( C5="Buy", ISBLANK(W5), B5&lt;&gt;"DIV"), L5/sum(F5:I5), "")</f>
        <v/>
      </c>
      <c r="L86" s="45">
        <f>IF(AND( C5="Buy", ISBLANK(W5), B5&lt;&gt;"DIV"), (1-Index!$F$2*2)*((J5*D5)-(E5*D5)), "")</f>
        <v/>
      </c>
      <c r="M86" s="45">
        <f>IF(AND( C5="Buy", ISBLANK(W5), B5&lt;&gt;"DIV"), ((E5*D5)+L5), "")</f>
        <v/>
      </c>
      <c r="N86" s="46">
        <f>IF(AND( C5="Buy", ISBLANK(W5), B5&lt;&gt;"DIV"), D5, "")</f>
        <v/>
      </c>
      <c r="O86" s="44">
        <f>IF(AND( C5="Buy", ISBLANK(W5), B5&lt;&gt;"DIV", NOW()-A5 &lt; 365), P5/sum(F5:I5), "")</f>
        <v/>
      </c>
      <c r="P86" s="45">
        <f>IF(AND( C5="Buy", ISBLANK(W5), B5&lt;&gt;"DIV", NOW()-A5 &lt; 365), (1-Index!$F$2*2)*((J5*D5)-(E5*D5)), "")</f>
        <v/>
      </c>
      <c r="Q86" s="45">
        <f>IF(AND( C5="Buy", ISBLANK(W5), B5&lt;&gt;"DIV", NOW()-A5 &lt; 365), ((E5*D5)+P5), "")</f>
        <v/>
      </c>
      <c r="R86" s="45">
        <f>IF(AND( C5="Buy", ISBLANK(W5), B5&lt;&gt;"DIV", NOW()-A5 &lt; 365), D5, "")</f>
        <v/>
      </c>
      <c r="S86" s="47">
        <f>IF(AND( C5="Buy", ISBLANK(W5), B5&lt;&gt;"DIV", NOW()-A5 &gt; 365), T5/sum(F5:I5), "")</f>
        <v/>
      </c>
      <c r="T86" s="48">
        <f>IF(AND( C5="Buy", ISBLANK(W5), B5&lt;&gt;"DIV", NOW()-A5 &gt; 365), (1-Index!$F$2*2)*((J5*D5)-(E5*D5)), "")</f>
        <v/>
      </c>
      <c r="U86" s="48">
        <f>IF(AND( C5="Buy", ISBLANK(W5), B5&lt;&gt;"DIV", NOW()-A5 &gt; 365), ((E5*D5)+T5), "")</f>
        <v/>
      </c>
      <c r="V86" s="48">
        <f>IF(AND( C5="Buy", ISBLANK(W5), B5&lt;&gt;"DIV", NOW()-A5 &gt; 365), D5, "")</f>
        <v/>
      </c>
      <c r="W86" s="49" t="n"/>
      <c r="X86" s="49" t="n"/>
      <c r="Y86" s="50" t="n"/>
      <c r="Z86" s="49" t="n"/>
      <c r="AA86" s="49" t="n"/>
      <c r="AB86" s="51" t="n"/>
      <c r="AC86" s="52" t="n"/>
      <c r="AD86" s="53" t="n"/>
    </row>
    <row r="87">
      <c r="A87" s="38" t="n">
        <v>45947</v>
      </c>
      <c r="B87" s="39" t="inlineStr">
        <is>
          <t>NSE</t>
        </is>
      </c>
      <c r="C87" s="39" t="inlineStr">
        <is>
          <t>Buy</t>
        </is>
      </c>
      <c r="D87" s="40" t="n">
        <v>10</v>
      </c>
      <c r="E87" s="41" t="n">
        <v>292.41</v>
      </c>
      <c r="F87" s="42">
        <f>D6*E6</f>
        <v/>
      </c>
      <c r="G87" s="39" t="inlineStr">
        <is>
          <t>~</t>
        </is>
      </c>
      <c r="H87" s="40" t="n"/>
      <c r="I87" s="40" t="n"/>
      <c r="J87" s="71">
        <f>Index!$C$2</f>
        <v/>
      </c>
      <c r="K87" s="44">
        <f>IF(AND( C6="Buy", ISBLANK(W6), B6&lt;&gt;"DIV"), L6/sum(F6:I6), "")</f>
        <v/>
      </c>
      <c r="L87" s="45">
        <f>IF(AND( C6="Buy", ISBLANK(W6), B6&lt;&gt;"DIV"), (1-Index!$F$2*2)*((J6*D6)-(E6*D6)), "")</f>
        <v/>
      </c>
      <c r="M87" s="45">
        <f>IF(AND( C6="Buy", ISBLANK(W6), B6&lt;&gt;"DIV"), ((E6*D6)+L6), "")</f>
        <v/>
      </c>
      <c r="N87" s="46">
        <f>IF(AND( C6="Buy", ISBLANK(W6), B6&lt;&gt;"DIV"), D6, "")</f>
        <v/>
      </c>
      <c r="O87" s="44">
        <f>IF(AND( C6="Buy", ISBLANK(W6), B6&lt;&gt;"DIV", NOW()-A6 &lt; 365), P6/sum(F6:I6), "")</f>
        <v/>
      </c>
      <c r="P87" s="45">
        <f>IF(AND( C6="Buy", ISBLANK(W6), B6&lt;&gt;"DIV", NOW()-A6 &lt; 365), (1-Index!$F$2*2)*((J6*D6)-(E6*D6)), "")</f>
        <v/>
      </c>
      <c r="Q87" s="45">
        <f>IF(AND( C6="Buy", ISBLANK(W6), B6&lt;&gt;"DIV", NOW()-A6 &lt; 365), ((E6*D6)+P6), "")</f>
        <v/>
      </c>
      <c r="R87" s="45">
        <f>IF(AND( C6="Buy", ISBLANK(W6), B6&lt;&gt;"DIV", NOW()-A6 &lt; 365), D6, "")</f>
        <v/>
      </c>
      <c r="S87" s="47">
        <f>IF(AND( C6="Buy", ISBLANK(W6), B6&lt;&gt;"DIV", NOW()-A6 &gt; 365), T6/sum(F6:I6), "")</f>
        <v/>
      </c>
      <c r="T87" s="48">
        <f>IF(AND( C6="Buy", ISBLANK(W6), B6&lt;&gt;"DIV", NOW()-A6 &gt; 365), (1-Index!$F$2*2)*((J6*D6)-(E6*D6)), "")</f>
        <v/>
      </c>
      <c r="U87" s="48">
        <f>IF(AND( C6="Buy", ISBLANK(W6), B6&lt;&gt;"DIV", NOW()-A6 &gt; 365), ((E6*D6)+T6), "")</f>
        <v/>
      </c>
      <c r="V87" s="48">
        <f>IF(AND( C6="Buy", ISBLANK(W6), B6&lt;&gt;"DIV", NOW()-A6 &gt; 365), D6, "")</f>
        <v/>
      </c>
      <c r="W87" s="49" t="n"/>
      <c r="X87" s="49" t="n"/>
      <c r="Y87" s="50" t="n"/>
      <c r="Z87" s="49" t="n"/>
      <c r="AA87" s="49" t="n"/>
      <c r="AB87" s="51" t="n"/>
      <c r="AC87" s="52" t="n"/>
      <c r="AD87" s="53" t="n"/>
    </row>
    <row r="88">
      <c r="A88" s="38" t="n">
        <v>45943</v>
      </c>
      <c r="B88" s="39" t="inlineStr">
        <is>
          <t>NSE</t>
        </is>
      </c>
      <c r="C88" s="39" t="inlineStr">
        <is>
          <t>Buy</t>
        </is>
      </c>
      <c r="D88" s="40" t="n">
        <v>1</v>
      </c>
      <c r="E88" s="41" t="n">
        <v>299.94</v>
      </c>
      <c r="F88" s="42">
        <f>D7*E7</f>
        <v/>
      </c>
      <c r="G88" s="39" t="inlineStr">
        <is>
          <t>~</t>
        </is>
      </c>
      <c r="H88" s="40" t="n"/>
      <c r="I88" s="40" t="n"/>
      <c r="J88" s="71">
        <f>Index!$C$2</f>
        <v/>
      </c>
      <c r="K88" s="44">
        <f>IF(AND( C7="Buy", ISBLANK(W7), B7&lt;&gt;"DIV"), L7/sum(F7:I7), "")</f>
        <v/>
      </c>
      <c r="L88" s="45">
        <f>IF(AND( C7="Buy", ISBLANK(W7), B7&lt;&gt;"DIV"), (1-Index!$F$2*2)*((J7*D7)-(E7*D7)), "")</f>
        <v/>
      </c>
      <c r="M88" s="45">
        <f>IF(AND( C7="Buy", ISBLANK(W7), B7&lt;&gt;"DIV"), ((E7*D7)+L7), "")</f>
        <v/>
      </c>
      <c r="N88" s="46">
        <f>IF(AND( C7="Buy", ISBLANK(W7), B7&lt;&gt;"DIV"), D7, "")</f>
        <v/>
      </c>
      <c r="O88" s="44">
        <f>IF(AND( C7="Buy", ISBLANK(W7), B7&lt;&gt;"DIV", NOW()-A7 &lt; 365), P7/sum(F7:I7), "")</f>
        <v/>
      </c>
      <c r="P88" s="45">
        <f>IF(AND( C7="Buy", ISBLANK(W7), B7&lt;&gt;"DIV", NOW()-A7 &lt; 365), (1-Index!$F$2*2)*((J7*D7)-(E7*D7)), "")</f>
        <v/>
      </c>
      <c r="Q88" s="45">
        <f>IF(AND( C7="Buy", ISBLANK(W7), B7&lt;&gt;"DIV", NOW()-A7 &lt; 365), ((E7*D7)+P7), "")</f>
        <v/>
      </c>
      <c r="R88" s="45">
        <f>IF(AND( C7="Buy", ISBLANK(W7), B7&lt;&gt;"DIV", NOW()-A7 &lt; 365), D7, "")</f>
        <v/>
      </c>
      <c r="S88" s="47">
        <f>IF(AND( C7="Buy", ISBLANK(W7), B7&lt;&gt;"DIV", NOW()-A7 &gt; 365), T7/sum(F7:I7), "")</f>
        <v/>
      </c>
      <c r="T88" s="48">
        <f>IF(AND( C7="Buy", ISBLANK(W7), B7&lt;&gt;"DIV", NOW()-A7 &gt; 365), (1-Index!$F$2*2)*((J7*D7)-(E7*D7)), "")</f>
        <v/>
      </c>
      <c r="U88" s="48">
        <f>IF(AND( C7="Buy", ISBLANK(W7), B7&lt;&gt;"DIV", NOW()-A7 &gt; 365), ((E7*D7)+T7), "")</f>
        <v/>
      </c>
      <c r="V88" s="48">
        <f>IF(AND( C7="Buy", ISBLANK(W7), B7&lt;&gt;"DIV", NOW()-A7 &gt; 365), D7, "")</f>
        <v/>
      </c>
      <c r="W88" s="49" t="n"/>
      <c r="X88" s="49" t="n"/>
      <c r="Y88" s="50" t="n"/>
      <c r="Z88" s="49" t="n"/>
      <c r="AA88" s="49" t="n"/>
      <c r="AB88" s="51" t="n"/>
      <c r="AC88" s="52" t="n"/>
      <c r="AD88" s="53" t="n"/>
    </row>
    <row r="89">
      <c r="A89" s="38" t="n">
        <v>45943</v>
      </c>
      <c r="B89" s="39" t="inlineStr">
        <is>
          <t>NSE</t>
        </is>
      </c>
      <c r="C89" s="39" t="inlineStr">
        <is>
          <t>Buy</t>
        </is>
      </c>
      <c r="D89" s="40" t="n">
        <v>9</v>
      </c>
      <c r="E89" s="41" t="n">
        <v>299.95</v>
      </c>
      <c r="F89" s="42">
        <f>D8*E8</f>
        <v/>
      </c>
      <c r="G89" s="39" t="inlineStr">
        <is>
          <t>~</t>
        </is>
      </c>
      <c r="H89" s="40" t="n"/>
      <c r="I89" s="40" t="n"/>
      <c r="J89" s="71">
        <f>Index!$C$2</f>
        <v/>
      </c>
      <c r="K89" s="44">
        <f>IF(AND( C8="Buy", ISBLANK(W8), B8&lt;&gt;"DIV"), L8/sum(F8:I8), "")</f>
        <v/>
      </c>
      <c r="L89" s="45">
        <f>IF(AND( C8="Buy", ISBLANK(W8), B8&lt;&gt;"DIV"), (1-Index!$F$2*2)*((J8*D8)-(E8*D8)), "")</f>
        <v/>
      </c>
      <c r="M89" s="45">
        <f>IF(AND( C8="Buy", ISBLANK(W8), B8&lt;&gt;"DIV"), ((E8*D8)+L8), "")</f>
        <v/>
      </c>
      <c r="N89" s="46">
        <f>IF(AND( C8="Buy", ISBLANK(W8), B8&lt;&gt;"DIV"), D8, "")</f>
        <v/>
      </c>
      <c r="O89" s="44">
        <f>IF(AND( C8="Buy", ISBLANK(W8), B8&lt;&gt;"DIV", NOW()-A8 &lt; 365), P8/sum(F8:I8), "")</f>
        <v/>
      </c>
      <c r="P89" s="45">
        <f>IF(AND( C8="Buy", ISBLANK(W8), B8&lt;&gt;"DIV", NOW()-A8 &lt; 365), (1-Index!$F$2*2)*((J8*D8)-(E8*D8)), "")</f>
        <v/>
      </c>
      <c r="Q89" s="45">
        <f>IF(AND( C8="Buy", ISBLANK(W8), B8&lt;&gt;"DIV", NOW()-A8 &lt; 365), ((E8*D8)+P8), "")</f>
        <v/>
      </c>
      <c r="R89" s="45">
        <f>IF(AND( C8="Buy", ISBLANK(W8), B8&lt;&gt;"DIV", NOW()-A8 &lt; 365), D8, "")</f>
        <v/>
      </c>
      <c r="S89" s="47">
        <f>IF(AND( C8="Buy", ISBLANK(W8), B8&lt;&gt;"DIV", NOW()-A8 &gt; 365), T8/sum(F8:I8), "")</f>
        <v/>
      </c>
      <c r="T89" s="48">
        <f>IF(AND( C8="Buy", ISBLANK(W8), B8&lt;&gt;"DIV", NOW()-A8 &gt; 365), (1-Index!$F$2*2)*((J8*D8)-(E8*D8)), "")</f>
        <v/>
      </c>
      <c r="U89" s="48">
        <f>IF(AND( C8="Buy", ISBLANK(W8), B8&lt;&gt;"DIV", NOW()-A8 &gt; 365), ((E8*D8)+T8), "")</f>
        <v/>
      </c>
      <c r="V89" s="48">
        <f>IF(AND( C8="Buy", ISBLANK(W8), B8&lt;&gt;"DIV", NOW()-A8 &gt; 365), D8, "")</f>
        <v/>
      </c>
      <c r="W89" s="49" t="n"/>
      <c r="X89" s="49" t="n"/>
      <c r="Y89" s="50" t="n"/>
      <c r="Z89" s="49" t="n"/>
      <c r="AA89" s="49" t="n"/>
      <c r="AB89" s="51" t="n"/>
      <c r="AC89" s="52" t="n"/>
      <c r="AD89" s="53" t="n"/>
    </row>
    <row r="90">
      <c r="A90" s="38" t="n">
        <v>45939</v>
      </c>
      <c r="B90" s="39" t="inlineStr">
        <is>
          <t>NSE</t>
        </is>
      </c>
      <c r="C90" s="39" t="inlineStr">
        <is>
          <t>Buy</t>
        </is>
      </c>
      <c r="D90" s="40" t="n">
        <v>2</v>
      </c>
      <c r="E90" s="41" t="n">
        <v>301.74</v>
      </c>
      <c r="F90" s="42">
        <f>E9*D9 + sum(H9:I9)</f>
        <v/>
      </c>
      <c r="G90" s="39" t="inlineStr">
        <is>
          <t>~</t>
        </is>
      </c>
      <c r="H90" s="40" t="n"/>
      <c r="I90" s="40" t="n">
        <v>22.04</v>
      </c>
      <c r="J90" s="71">
        <f>Index!$C$2</f>
        <v/>
      </c>
      <c r="K90" s="44">
        <f>IF(AND( C9="Buy", ISBLANK(W9), B9&lt;&gt;"DIV"), L9/sum(F9:I9), "")</f>
        <v/>
      </c>
      <c r="L90" s="45">
        <f>IF(AND( C9="Buy", ISBLANK(W9), B9&lt;&gt;"DIV"), (1-Index!$F$2*2)*((J9*D9)-(E9*D9)), "")</f>
        <v/>
      </c>
      <c r="M90" s="45">
        <f>IF(AND( C9="Buy", ISBLANK(W9), B9&lt;&gt;"DIV"), ((E9*D9)+L9), "")</f>
        <v/>
      </c>
      <c r="N90" s="46">
        <f>IF(AND( C9="Buy", ISBLANK(W9), B9&lt;&gt;"DIV"), D9, "")</f>
        <v/>
      </c>
      <c r="O90" s="44">
        <f>IF(AND( C9="Buy", ISBLANK(W9), B9&lt;&gt;"DIV", NOW()-A9 &lt; 365), P9/sum(F9:I9), "")</f>
        <v/>
      </c>
      <c r="P90" s="45">
        <f>IF(AND( C9="Buy", ISBLANK(W9), B9&lt;&gt;"DIV", NOW()-A9 &lt; 365), (1-Index!$F$2*2)*((J9*D9)-(E9*D9)), "")</f>
        <v/>
      </c>
      <c r="Q90" s="45">
        <f>IF(AND( C9="Buy", ISBLANK(W9), B9&lt;&gt;"DIV", NOW()-A9 &lt; 365), ((E9*D9)+P9), "")</f>
        <v/>
      </c>
      <c r="R90" s="45">
        <f>IF(AND( C9="Buy", ISBLANK(W9), B9&lt;&gt;"DIV", NOW()-A9 &lt; 365), D9, "")</f>
        <v/>
      </c>
      <c r="S90" s="47">
        <f>IF(AND( C9="Buy", ISBLANK(W9), B9&lt;&gt;"DIV", NOW()-A9 &gt; 365), T9/sum(F9:I9), "")</f>
        <v/>
      </c>
      <c r="T90" s="48">
        <f>IF(AND( C9="Buy", ISBLANK(W9), B9&lt;&gt;"DIV", NOW()-A9 &gt; 365), (1-Index!$F$2*2)*((J9*D9)-(E9*D9)), "")</f>
        <v/>
      </c>
      <c r="U90" s="48">
        <f>IF(AND( C9="Buy", ISBLANK(W9), B9&lt;&gt;"DIV", NOW()-A9 &gt; 365), ((E9*D9)+T9), "")</f>
        <v/>
      </c>
      <c r="V90" s="48">
        <f>IF(AND( C9="Buy", ISBLANK(W9), B9&lt;&gt;"DIV", NOW()-A9 &gt; 365), D9, "")</f>
        <v/>
      </c>
      <c r="W90" s="49" t="n"/>
      <c r="X90" s="49" t="n"/>
      <c r="Y90" s="50" t="n"/>
      <c r="Z90" s="49" t="n"/>
      <c r="AA90" s="49" t="n"/>
      <c r="AB90" s="51" t="n"/>
      <c r="AC90" s="52" t="n"/>
      <c r="AD90" s="53" t="n"/>
    </row>
    <row r="91">
      <c r="A91" s="38" t="n">
        <v>45939</v>
      </c>
      <c r="B91" s="39" t="inlineStr">
        <is>
          <t>NSE</t>
        </is>
      </c>
      <c r="C91" s="39" t="inlineStr">
        <is>
          <t>Buy</t>
        </is>
      </c>
      <c r="D91" s="40" t="n">
        <v>8</v>
      </c>
      <c r="E91" s="41" t="n">
        <v>301.73</v>
      </c>
      <c r="F91" s="42">
        <f>E10*D10 + sum(H10:I10)</f>
        <v/>
      </c>
      <c r="G91" s="39" t="inlineStr">
        <is>
          <t>~</t>
        </is>
      </c>
      <c r="H91" s="40" t="n"/>
      <c r="I91" s="40" t="n">
        <v>22.04</v>
      </c>
      <c r="J91" s="71">
        <f>Index!$C$2</f>
        <v/>
      </c>
      <c r="K91" s="44">
        <f>IF(AND( C10="Buy", ISBLANK(W10), B10&lt;&gt;"DIV"), L10/sum(F10:I10), "")</f>
        <v/>
      </c>
      <c r="L91" s="45">
        <f>IF(AND( C10="Buy", ISBLANK(W10), B10&lt;&gt;"DIV"), (1-Index!$F$2*2)*((J10*D10)-(E10*D10)), "")</f>
        <v/>
      </c>
      <c r="M91" s="45">
        <f>IF(AND( C10="Buy", ISBLANK(W10), B10&lt;&gt;"DIV"), ((E10*D10)+L10), "")</f>
        <v/>
      </c>
      <c r="N91" s="46">
        <f>IF(AND( C10="Buy", ISBLANK(W10), B10&lt;&gt;"DIV"), D10, "")</f>
        <v/>
      </c>
      <c r="O91" s="44">
        <f>IF(AND( C10="Buy", ISBLANK(W10), B10&lt;&gt;"DIV", NOW()-A10 &lt; 365), P10/sum(F10:I10), "")</f>
        <v/>
      </c>
      <c r="P91" s="45">
        <f>IF(AND( C10="Buy", ISBLANK(W10), B10&lt;&gt;"DIV", NOW()-A10 &lt; 365), (1-Index!$F$2*2)*((J10*D10)-(E10*D10)), "")</f>
        <v/>
      </c>
      <c r="Q91" s="45">
        <f>IF(AND( C10="Buy", ISBLANK(W10), B10&lt;&gt;"DIV", NOW()-A10 &lt; 365), ((E10*D10)+P10), "")</f>
        <v/>
      </c>
      <c r="R91" s="45">
        <f>IF(AND( C10="Buy", ISBLANK(W10), B10&lt;&gt;"DIV", NOW()-A10 &lt; 365), D10, "")</f>
        <v/>
      </c>
      <c r="S91" s="47">
        <f>IF(AND( C10="Buy", ISBLANK(W10), B10&lt;&gt;"DIV", NOW()-A10 &gt; 365), T10/sum(F10:I10), "")</f>
        <v/>
      </c>
      <c r="T91" s="48">
        <f>IF(AND( C10="Buy", ISBLANK(W10), B10&lt;&gt;"DIV", NOW()-A10 &gt; 365), (1-Index!$F$2*2)*((J10*D10)-(E10*D10)), "")</f>
        <v/>
      </c>
      <c r="U91" s="48">
        <f>IF(AND( C10="Buy", ISBLANK(W10), B10&lt;&gt;"DIV", NOW()-A10 &gt; 365), ((E10*D10)+T10), "")</f>
        <v/>
      </c>
      <c r="V91" s="48">
        <f>IF(AND( C10="Buy", ISBLANK(W10), B10&lt;&gt;"DIV", NOW()-A10 &gt; 365), D10, "")</f>
        <v/>
      </c>
      <c r="W91" s="49" t="n"/>
      <c r="X91" s="49" t="n"/>
      <c r="Y91" s="50" t="n"/>
      <c r="Z91" s="49" t="n"/>
      <c r="AA91" s="49" t="n"/>
      <c r="AB91" s="51" t="n"/>
      <c r="AC91" s="52" t="n"/>
      <c r="AD91" s="53" t="n"/>
    </row>
    <row r="92">
      <c r="A92" s="38" t="n">
        <v>45939</v>
      </c>
      <c r="B92" s="39" t="inlineStr">
        <is>
          <t>NSE</t>
        </is>
      </c>
      <c r="C92" s="39" t="inlineStr">
        <is>
          <t>Buy</t>
        </is>
      </c>
      <c r="D92" s="40" t="n">
        <v>2</v>
      </c>
      <c r="E92" s="41" t="n">
        <v>301.73</v>
      </c>
      <c r="F92" s="42">
        <f>E11*D11 + sum(H11:I11)</f>
        <v/>
      </c>
      <c r="G92" s="39" t="inlineStr">
        <is>
          <t>~</t>
        </is>
      </c>
      <c r="H92" s="40" t="n"/>
      <c r="I92" s="40" t="n">
        <v>22.04</v>
      </c>
      <c r="J92" s="71">
        <f>Index!$C$2</f>
        <v/>
      </c>
      <c r="K92" s="44">
        <f>IF(AND( C11="Buy", ISBLANK(W11), B11&lt;&gt;"DIV"), L11/sum(F11:I11), "")</f>
        <v/>
      </c>
      <c r="L92" s="45">
        <f>IF(AND( C11="Buy", ISBLANK(W11), B11&lt;&gt;"DIV"), (1-Index!$F$2*2)*((J11*D11)-(E11*D11)), "")</f>
        <v/>
      </c>
      <c r="M92" s="45">
        <f>IF(AND( C11="Buy", ISBLANK(W11), B11&lt;&gt;"DIV"), ((E11*D11)+L11), "")</f>
        <v/>
      </c>
      <c r="N92" s="46">
        <f>IF(AND( C11="Buy", ISBLANK(W11), B11&lt;&gt;"DIV"), D11, "")</f>
        <v/>
      </c>
      <c r="O92" s="44">
        <f>IF(AND( C11="Buy", ISBLANK(W11), B11&lt;&gt;"DIV", NOW()-A11 &lt; 365), P11/sum(F11:I11), "")</f>
        <v/>
      </c>
      <c r="P92" s="45">
        <f>IF(AND( C11="Buy", ISBLANK(W11), B11&lt;&gt;"DIV", NOW()-A11 &lt; 365), (1-Index!$F$2*2)*((J11*D11)-(E11*D11)), "")</f>
        <v/>
      </c>
      <c r="Q92" s="45">
        <f>IF(AND( C11="Buy", ISBLANK(W11), B11&lt;&gt;"DIV", NOW()-A11 &lt; 365), ((E11*D11)+P11), "")</f>
        <v/>
      </c>
      <c r="R92" s="45">
        <f>IF(AND( C11="Buy", ISBLANK(W11), B11&lt;&gt;"DIV", NOW()-A11 &lt; 365), D11, "")</f>
        <v/>
      </c>
      <c r="S92" s="47">
        <f>IF(AND( C11="Buy", ISBLANK(W11), B11&lt;&gt;"DIV", NOW()-A11 &gt; 365), T11/sum(F11:I11), "")</f>
        <v/>
      </c>
      <c r="T92" s="48">
        <f>IF(AND( C11="Buy", ISBLANK(W11), B11&lt;&gt;"DIV", NOW()-A11 &gt; 365), (1-Index!$F$2*2)*((J11*D11)-(E11*D11)), "")</f>
        <v/>
      </c>
      <c r="U92" s="48">
        <f>IF(AND( C11="Buy", ISBLANK(W11), B11&lt;&gt;"DIV", NOW()-A11 &gt; 365), ((E11*D11)+T11), "")</f>
        <v/>
      </c>
      <c r="V92" s="48">
        <f>IF(AND( C11="Buy", ISBLANK(W11), B11&lt;&gt;"DIV", NOW()-A11 &gt; 365), D11, "")</f>
        <v/>
      </c>
      <c r="W92" s="49" t="n"/>
      <c r="X92" s="49" t="n"/>
      <c r="Y92" s="50" t="n"/>
      <c r="Z92" s="49" t="n"/>
      <c r="AA92" s="49" t="n"/>
      <c r="AB92" s="51" t="n"/>
      <c r="AC92" s="52" t="n"/>
      <c r="AD92" s="53" t="n"/>
    </row>
    <row r="93">
      <c r="A93" s="38" t="n">
        <v>45939</v>
      </c>
      <c r="B93" s="39" t="inlineStr">
        <is>
          <t>NSE</t>
        </is>
      </c>
      <c r="C93" s="39" t="inlineStr">
        <is>
          <t>Buy</t>
        </is>
      </c>
      <c r="D93" s="40" t="n">
        <v>8</v>
      </c>
      <c r="E93" s="41" t="n">
        <v>301.73</v>
      </c>
      <c r="F93" s="42">
        <f>E12*D12 + sum(H12:I12)</f>
        <v/>
      </c>
      <c r="G93" s="39" t="inlineStr">
        <is>
          <t>~</t>
        </is>
      </c>
      <c r="H93" s="40" t="n"/>
      <c r="I93" s="40" t="n">
        <v>22.04</v>
      </c>
      <c r="J93" s="71">
        <f>Index!$C$2</f>
        <v/>
      </c>
      <c r="K93" s="44">
        <f>IF(AND( C12="Buy", ISBLANK(W12), B12&lt;&gt;"DIV"), L12/sum(F12:I12), "")</f>
        <v/>
      </c>
      <c r="L93" s="45">
        <f>IF(AND( C12="Buy", ISBLANK(W12), B12&lt;&gt;"DIV"), (1-Index!$F$2*2)*((J12*D12)-(E12*D12)), "")</f>
        <v/>
      </c>
      <c r="M93" s="45">
        <f>IF(AND( C12="Buy", ISBLANK(W12), B12&lt;&gt;"DIV"), ((E12*D12)+L12), "")</f>
        <v/>
      </c>
      <c r="N93" s="46">
        <f>IF(AND( C12="Buy", ISBLANK(W12), B12&lt;&gt;"DIV"), D12, "")</f>
        <v/>
      </c>
      <c r="O93" s="44">
        <f>IF(AND( C12="Buy", ISBLANK(W12), B12&lt;&gt;"DIV", NOW()-A12 &lt; 365), P12/sum(F12:I12), "")</f>
        <v/>
      </c>
      <c r="P93" s="45">
        <f>IF(AND( C12="Buy", ISBLANK(W12), B12&lt;&gt;"DIV", NOW()-A12 &lt; 365), (1-Index!$F$2*2)*((J12*D12)-(E12*D12)), "")</f>
        <v/>
      </c>
      <c r="Q93" s="45">
        <f>IF(AND( C12="Buy", ISBLANK(W12), B12&lt;&gt;"DIV", NOW()-A12 &lt; 365), ((E12*D12)+P12), "")</f>
        <v/>
      </c>
      <c r="R93" s="45">
        <f>IF(AND( C12="Buy", ISBLANK(W12), B12&lt;&gt;"DIV", NOW()-A12 &lt; 365), D12, "")</f>
        <v/>
      </c>
      <c r="S93" s="47">
        <f>IF(AND( C12="Buy", ISBLANK(W12), B12&lt;&gt;"DIV", NOW()-A12 &gt; 365), T12/sum(F12:I12), "")</f>
        <v/>
      </c>
      <c r="T93" s="48">
        <f>IF(AND( C12="Buy", ISBLANK(W12), B12&lt;&gt;"DIV", NOW()-A12 &gt; 365), (1-Index!$F$2*2)*((J12*D12)-(E12*D12)), "")</f>
        <v/>
      </c>
      <c r="U93" s="48">
        <f>IF(AND( C12="Buy", ISBLANK(W12), B12&lt;&gt;"DIV", NOW()-A12 &gt; 365), ((E12*D12)+T12), "")</f>
        <v/>
      </c>
      <c r="V93" s="48">
        <f>IF(AND( C12="Buy", ISBLANK(W12), B12&lt;&gt;"DIV", NOW()-A12 &gt; 365), D12, "")</f>
        <v/>
      </c>
      <c r="W93" s="49" t="n"/>
      <c r="X93" s="49" t="n"/>
      <c r="Y93" s="50" t="n"/>
      <c r="Z93" s="49" t="n"/>
      <c r="AA93" s="49" t="n"/>
      <c r="AB93" s="51" t="n"/>
      <c r="AC93" s="52" t="n"/>
      <c r="AD93" s="53" t="n"/>
    </row>
    <row r="94">
      <c r="A94" s="38" t="n">
        <v>45811</v>
      </c>
      <c r="B94" s="39" t="inlineStr">
        <is>
          <t>NSE</t>
        </is>
      </c>
      <c r="C94" s="39" t="inlineStr">
        <is>
          <t>Sell</t>
        </is>
      </c>
      <c r="D94" s="40" t="n">
        <v>480</v>
      </c>
      <c r="E94" s="41" t="n">
        <v>312.81</v>
      </c>
      <c r="F94" s="42">
        <f>E13*D13 + sum(H13:I13)</f>
        <v/>
      </c>
      <c r="G94" s="39" t="inlineStr">
        <is>
          <t>~</t>
        </is>
      </c>
      <c r="H94" s="40" t="n"/>
      <c r="I94" s="40" t="n"/>
      <c r="J94" s="71">
        <f>Index!$C$2</f>
        <v/>
      </c>
      <c r="K94" s="44">
        <f>IF(AND( C13="Buy", ISBLANK(W13), B13&lt;&gt;"DIV"), L13/sum(F13:I13), "")</f>
        <v/>
      </c>
      <c r="L94" s="45">
        <f>IF(AND( C13="Buy", ISBLANK(W13), B13&lt;&gt;"DIV"), (1-Index!$F$2*2)*((J13*D13)-(E13*D13)), "")</f>
        <v/>
      </c>
      <c r="M94" s="45">
        <f>IF(AND( C13="Buy", ISBLANK(W13), B13&lt;&gt;"DIV"), ((E13*D13)+L13), "")</f>
        <v/>
      </c>
      <c r="N94" s="46">
        <f>IF(AND( C13="Buy", ISBLANK(W13), B13&lt;&gt;"DIV"), D13, "")</f>
        <v/>
      </c>
      <c r="O94" s="44">
        <f>IF(AND( C13="Buy", ISBLANK(W13), B13&lt;&gt;"DIV", NOW()-A13 &lt; 365), P13/sum(F13:I13), "")</f>
        <v/>
      </c>
      <c r="P94" s="45">
        <f>IF(AND( C13="Buy", ISBLANK(W13), B13&lt;&gt;"DIV", NOW()-A13 &lt; 365), (1-Index!$F$2*2)*((J13*D13)-(E13*D13)), "")</f>
        <v/>
      </c>
      <c r="Q94" s="45">
        <f>IF(AND( C13="Buy", ISBLANK(W13), B13&lt;&gt;"DIV", NOW()-A13 &lt; 365), ((E13*D13)+P13), "")</f>
        <v/>
      </c>
      <c r="R94" s="45">
        <f>IF(AND( C13="Buy", ISBLANK(W13), B13&lt;&gt;"DIV", NOW()-A13 &lt; 365), D13, "")</f>
        <v/>
      </c>
      <c r="S94" s="47">
        <f>IF(AND( C13="Buy", ISBLANK(W13), B13&lt;&gt;"DIV", NOW()-A13 &gt; 365), T13/sum(F13:I13), "")</f>
        <v/>
      </c>
      <c r="T94" s="48">
        <f>IF(AND( C13="Buy", ISBLANK(W13), B13&lt;&gt;"DIV", NOW()-A13 &gt; 365), (1-Index!$F$2*2)*((J13*D13)-(E13*D13)), "")</f>
        <v/>
      </c>
      <c r="U94" s="48">
        <f>IF(AND( C13="Buy", ISBLANK(W13), B13&lt;&gt;"DIV", NOW()-A13 &gt; 365), ((E13*D13)+T13), "")</f>
        <v/>
      </c>
      <c r="V94" s="48">
        <f>IF(AND( C13="Buy", ISBLANK(W13), B13&lt;&gt;"DIV", NOW()-A13 &gt; 365), D13, "")</f>
        <v/>
      </c>
      <c r="W94" s="54" t="n"/>
      <c r="X94" s="54" t="n"/>
      <c r="Y94" s="47">
        <f>IF(AND( C13="Buy", W13&lt;&gt;"", AA13&lt;&gt;"", B13&lt;&gt;"DIV"), Z13/sum(F13:I13), "")</f>
        <v/>
      </c>
      <c r="Z94" s="54" t="n"/>
      <c r="AA94" s="54" t="n"/>
      <c r="AB94" s="55" t="n"/>
      <c r="AC94" s="56">
        <f>if(B13="DIV", F13,"")</f>
        <v/>
      </c>
      <c r="AD94" s="53" t="n"/>
    </row>
    <row r="95">
      <c r="A95" s="38" t="n">
        <v>45811</v>
      </c>
      <c r="B95" s="39" t="inlineStr">
        <is>
          <t>NSE</t>
        </is>
      </c>
      <c r="C95" s="39" t="inlineStr">
        <is>
          <t>Sell</t>
        </is>
      </c>
      <c r="D95" s="40" t="n">
        <v>20</v>
      </c>
      <c r="E95" s="41" t="n">
        <v>312.81</v>
      </c>
      <c r="F95" s="42">
        <f>E14*D14 + sum(H14:I14)</f>
        <v/>
      </c>
      <c r="G95" s="39" t="inlineStr">
        <is>
          <t>~</t>
        </is>
      </c>
      <c r="H95" s="40" t="n"/>
      <c r="I95" s="40" t="n"/>
      <c r="J95" s="71">
        <f>Index!$C$2</f>
        <v/>
      </c>
      <c r="K95" s="44">
        <f>IF(AND( C14="Buy", ISBLANK(W14), B14&lt;&gt;"DIV"), L14/sum(F14:I14), "")</f>
        <v/>
      </c>
      <c r="L95" s="45">
        <f>IF(AND( C14="Buy", ISBLANK(W14), B14&lt;&gt;"DIV"), (1-Index!$F$2*2)*((J14*D14)-(E14*D14)), "")</f>
        <v/>
      </c>
      <c r="M95" s="45">
        <f>IF(AND( C14="Buy", ISBLANK(W14), B14&lt;&gt;"DIV"), ((E14*D14)+L14), "")</f>
        <v/>
      </c>
      <c r="N95" s="46">
        <f>IF(AND( C14="Buy", ISBLANK(W14), B14&lt;&gt;"DIV"), D14, "")</f>
        <v/>
      </c>
      <c r="O95" s="44">
        <f>IF(AND( C14="Buy", ISBLANK(W14), B14&lt;&gt;"DIV", NOW()-A14 &lt; 365), P14/sum(F14:I14), "")</f>
        <v/>
      </c>
      <c r="P95" s="45">
        <f>IF(AND( C14="Buy", ISBLANK(W14), B14&lt;&gt;"DIV", NOW()-A14 &lt; 365), (1-Index!$F$2*2)*((J14*D14)-(E14*D14)), "")</f>
        <v/>
      </c>
      <c r="Q95" s="45">
        <f>IF(AND( C14="Buy", ISBLANK(W14), B14&lt;&gt;"DIV", NOW()-A14 &lt; 365), ((E14*D14)+P14), "")</f>
        <v/>
      </c>
      <c r="R95" s="45">
        <f>IF(AND( C14="Buy", ISBLANK(W14), B14&lt;&gt;"DIV", NOW()-A14 &lt; 365), D14, "")</f>
        <v/>
      </c>
      <c r="S95" s="47">
        <f>IF(AND( C14="Buy", ISBLANK(W14), B14&lt;&gt;"DIV", NOW()-A14 &gt; 365), T14/sum(F14:I14), "")</f>
        <v/>
      </c>
      <c r="T95" s="48">
        <f>IF(AND( C14="Buy", ISBLANK(W14), B14&lt;&gt;"DIV", NOW()-A14 &gt; 365), (1-Index!$F$2*2)*((J14*D14)-(E14*D14)), "")</f>
        <v/>
      </c>
      <c r="U95" s="48">
        <f>IF(AND( C14="Buy", ISBLANK(W14), B14&lt;&gt;"DIV", NOW()-A14 &gt; 365), ((E14*D14)+T14), "")</f>
        <v/>
      </c>
      <c r="V95" s="48">
        <f>IF(AND( C14="Buy", ISBLANK(W14), B14&lt;&gt;"DIV", NOW()-A14 &gt; 365), D14, "")</f>
        <v/>
      </c>
      <c r="W95" s="54" t="n"/>
      <c r="X95" s="54" t="n"/>
      <c r="Y95" s="47">
        <f>IF(AND( C14="Buy", W14&lt;&gt;"", AA14&lt;&gt;"", B14&lt;&gt;"DIV"), Z14/sum(F14:I14), "")</f>
        <v/>
      </c>
      <c r="Z95" s="54" t="n"/>
      <c r="AA95" s="54" t="n"/>
      <c r="AB95" s="55" t="n"/>
      <c r="AC95" s="56">
        <f>if(B14="DIV", F14,"")</f>
        <v/>
      </c>
      <c r="AD95" s="53" t="n"/>
    </row>
    <row r="96">
      <c r="A96" s="38" t="n">
        <v>45733</v>
      </c>
      <c r="B96" s="39" t="inlineStr">
        <is>
          <t>NSE</t>
        </is>
      </c>
      <c r="C96" s="39" t="inlineStr">
        <is>
          <t>Buy</t>
        </is>
      </c>
      <c r="D96" s="40" t="n">
        <v>15</v>
      </c>
      <c r="E96" s="41" t="n">
        <v>208.84</v>
      </c>
      <c r="F96" s="42">
        <f>E15*D15 + sum(H15:I15)</f>
        <v/>
      </c>
      <c r="G96" s="39" t="inlineStr">
        <is>
          <t>~</t>
        </is>
      </c>
      <c r="H96" s="40" t="n"/>
      <c r="I96" s="40" t="n">
        <v>22.04</v>
      </c>
      <c r="J96" s="71">
        <f>Index!$C$2</f>
        <v/>
      </c>
      <c r="K96" s="44">
        <f>IF(AND( C15="Buy", ISBLANK(W15), B15&lt;&gt;"DIV"), L15/sum(F15:I15), "")</f>
        <v/>
      </c>
      <c r="L96" s="45">
        <f>IF(AND( C15="Buy", ISBLANK(W15), B15&lt;&gt;"DIV"), (1-Index!$F$2*2)*((J15*D15)-(E15*D15)), "")</f>
        <v/>
      </c>
      <c r="M96" s="45">
        <f>IF(AND( C15="Buy", ISBLANK(W15), B15&lt;&gt;"DIV"), ((E15*D15)+L15), "")</f>
        <v/>
      </c>
      <c r="N96" s="46">
        <f>IF(AND( C15="Buy", ISBLANK(W15), B15&lt;&gt;"DIV"), D15, "")</f>
        <v/>
      </c>
      <c r="O96" s="44">
        <f>IF(AND( C15="Buy", ISBLANK(W15), B15&lt;&gt;"DIV", NOW()-A15 &lt; 365), P15/sum(F15:I15), "")</f>
        <v/>
      </c>
      <c r="P96" s="45">
        <f>IF(AND( C15="Buy", ISBLANK(W15), B15&lt;&gt;"DIV", NOW()-A15 &lt; 365), (1-Index!$F$2*2)*((J15*D15)-(E15*D15)), "")</f>
        <v/>
      </c>
      <c r="Q96" s="45">
        <f>IF(AND( C15="Buy", ISBLANK(W15), B15&lt;&gt;"DIV", NOW()-A15 &lt; 365), ((E15*D15)+P15), "")</f>
        <v/>
      </c>
      <c r="R96" s="45">
        <f>IF(AND( C15="Buy", ISBLANK(W15), B15&lt;&gt;"DIV", NOW()-A15 &lt; 365), D15, "")</f>
        <v/>
      </c>
      <c r="S96" s="47">
        <f>IF(AND( C15="Buy", ISBLANK(W15), B15&lt;&gt;"DIV", NOW()-A15 &gt; 365), T15/sum(F15:I15), "")</f>
        <v/>
      </c>
      <c r="T96" s="48">
        <f>IF(AND( C15="Buy", ISBLANK(W15), B15&lt;&gt;"DIV", NOW()-A15 &gt; 365), (1-Index!$F$2*2)*((J15*D15)-(E15*D15)), "")</f>
        <v/>
      </c>
      <c r="U96" s="48">
        <f>IF(AND( C15="Buy", ISBLANK(W15), B15&lt;&gt;"DIV", NOW()-A15 &gt; 365), ((E15*D15)+T15), "")</f>
        <v/>
      </c>
      <c r="V96" s="48">
        <f>IF(AND( C15="Buy", ISBLANK(W15), B15&lt;&gt;"DIV", NOW()-A15 &gt; 365), D15, "")</f>
        <v/>
      </c>
      <c r="W96" s="41" t="n">
        <v>312.81</v>
      </c>
      <c r="X96" s="38" t="n">
        <v>45811</v>
      </c>
      <c r="Y96" s="47">
        <f>IF(AND( C15="Buy", W15&lt;&gt;"", AA15&lt;&gt;"", B15&lt;&gt;"DIV"), Z15/sum(F15:I15), "")</f>
        <v/>
      </c>
      <c r="Z96" s="57">
        <f>(1-Index!$F$2*2)*((W15*D15)-(E15*D15))</f>
        <v/>
      </c>
      <c r="AA96" s="57">
        <f>((E15*D15)+Z15)</f>
        <v/>
      </c>
      <c r="AB96" s="58">
        <f>D15</f>
        <v/>
      </c>
      <c r="AC96" s="56">
        <f>if(B15="DIV", F15,"")</f>
        <v/>
      </c>
      <c r="AD96" s="53" t="n"/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38" t="n">
        <v>45733</v>
      </c>
      <c r="B97" s="39" t="inlineStr">
        <is>
          <t>NSE</t>
        </is>
      </c>
      <c r="C97" s="39" t="inlineStr">
        <is>
          <t>Buy</t>
        </is>
      </c>
      <c r="D97" s="40" t="n">
        <v>2</v>
      </c>
      <c r="E97" s="41" t="n">
        <v>208.84</v>
      </c>
      <c r="F97" s="42">
        <f>E16*D16 + sum(H16:I16)</f>
        <v/>
      </c>
      <c r="G97" s="39" t="inlineStr">
        <is>
          <t>~</t>
        </is>
      </c>
      <c r="H97" s="40" t="n"/>
      <c r="I97" s="40" t="n">
        <v>2.93</v>
      </c>
      <c r="J97" s="71">
        <f>Index!$C$2</f>
        <v/>
      </c>
      <c r="K97" s="44">
        <f>IF(AND( C16="Buy", ISBLANK(W16), B16&lt;&gt;"DIV"), L16/sum(F16:I16), "")</f>
        <v/>
      </c>
      <c r="L97" s="45">
        <f>IF(AND( C16="Buy", ISBLANK(W16), B16&lt;&gt;"DIV"), (1-Index!$F$2*2)*((J16*D16)-(E16*D16)), "")</f>
        <v/>
      </c>
      <c r="M97" s="45">
        <f>IF(AND( C16="Buy", ISBLANK(W16), B16&lt;&gt;"DIV"), ((E16*D16)+L16), "")</f>
        <v/>
      </c>
      <c r="N97" s="46">
        <f>IF(AND( C16="Buy", ISBLANK(W16), B16&lt;&gt;"DIV"), D16, "")</f>
        <v/>
      </c>
      <c r="O97" s="44">
        <f>IF(AND( C16="Buy", ISBLANK(W16), B16&lt;&gt;"DIV", NOW()-A16 &lt; 365), P16/sum(F16:I16), "")</f>
        <v/>
      </c>
      <c r="P97" s="45">
        <f>IF(AND( C16="Buy", ISBLANK(W16), B16&lt;&gt;"DIV", NOW()-A16 &lt; 365), (1-Index!$F$2*2)*((J16*D16)-(E16*D16)), "")</f>
        <v/>
      </c>
      <c r="Q97" s="45">
        <f>IF(AND( C16="Buy", ISBLANK(W16), B16&lt;&gt;"DIV", NOW()-A16 &lt; 365), ((E16*D16)+P16), "")</f>
        <v/>
      </c>
      <c r="R97" s="45">
        <f>IF(AND( C16="Buy", ISBLANK(W16), B16&lt;&gt;"DIV", NOW()-A16 &lt; 365), D16, "")</f>
        <v/>
      </c>
      <c r="S97" s="47">
        <f>IF(AND( C16="Buy", ISBLANK(W16), B16&lt;&gt;"DIV", NOW()-A16 &gt; 365), T16/sum(F16:I16), "")</f>
        <v/>
      </c>
      <c r="T97" s="48">
        <f>IF(AND( C16="Buy", ISBLANK(W16), B16&lt;&gt;"DIV", NOW()-A16 &gt; 365), (1-Index!$F$2*2)*((J16*D16)-(E16*D16)), "")</f>
        <v/>
      </c>
      <c r="U97" s="48">
        <f>IF(AND( C16="Buy", ISBLANK(W16), B16&lt;&gt;"DIV", NOW()-A16 &gt; 365), ((E16*D16)+T16), "")</f>
        <v/>
      </c>
      <c r="V97" s="48">
        <f>IF(AND( C16="Buy", ISBLANK(W16), B16&lt;&gt;"DIV", NOW()-A16 &gt; 365), D16, "")</f>
        <v/>
      </c>
      <c r="W97" s="41" t="n">
        <v>312.81</v>
      </c>
      <c r="X97" s="38" t="n">
        <v>45811</v>
      </c>
      <c r="Y97" s="47">
        <f>IF(AND( C16="Buy", W16&lt;&gt;"", AA16&lt;&gt;"", B16&lt;&gt;"DIV"), Z16/sum(F16:I16), "")</f>
        <v/>
      </c>
      <c r="Z97" s="57">
        <f>(1-Index!$F$2*2)*((W16*D16)-(E16*D16))</f>
        <v/>
      </c>
      <c r="AA97" s="57">
        <f>((E16*D16)+Z16)</f>
        <v/>
      </c>
      <c r="AB97" s="58">
        <f>D16</f>
        <v/>
      </c>
      <c r="AC97" s="56">
        <f>if(B16="DIV", F16,"")</f>
        <v/>
      </c>
      <c r="AD97" s="53" t="n"/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38" t="n">
        <v>45733</v>
      </c>
      <c r="B98" s="39" t="inlineStr">
        <is>
          <t>NSE</t>
        </is>
      </c>
      <c r="C98" s="39" t="inlineStr">
        <is>
          <t>Buy</t>
        </is>
      </c>
      <c r="D98" s="40" t="n">
        <v>2</v>
      </c>
      <c r="E98" s="41" t="n">
        <v>208.84</v>
      </c>
      <c r="F98" s="42">
        <f>E17*D17 + sum(H17:I17)</f>
        <v/>
      </c>
      <c r="G98" s="39" t="inlineStr">
        <is>
          <t>~</t>
        </is>
      </c>
      <c r="H98" s="40" t="n"/>
      <c r="I98" s="40" t="n">
        <v>2.93</v>
      </c>
      <c r="J98" s="71">
        <f>Index!$C$2</f>
        <v/>
      </c>
      <c r="K98" s="44">
        <f>IF(AND( C17="Buy", ISBLANK(W17), B17&lt;&gt;"DIV"), L17/sum(F17:I17), "")</f>
        <v/>
      </c>
      <c r="L98" s="45">
        <f>IF(AND( C17="Buy", ISBLANK(W17), B17&lt;&gt;"DIV"), (1-Index!$F$2*2)*((J17*D17)-(E17*D17)), "")</f>
        <v/>
      </c>
      <c r="M98" s="45">
        <f>IF(AND( C17="Buy", ISBLANK(W17), B17&lt;&gt;"DIV"), ((E17*D17)+L17), "")</f>
        <v/>
      </c>
      <c r="N98" s="46">
        <f>IF(AND( C17="Buy", ISBLANK(W17), B17&lt;&gt;"DIV"), D17, "")</f>
        <v/>
      </c>
      <c r="O98" s="44">
        <f>IF(AND( C17="Buy", ISBLANK(W17), B17&lt;&gt;"DIV", NOW()-A17 &lt; 365), P17/sum(F17:I17), "")</f>
        <v/>
      </c>
      <c r="P98" s="45">
        <f>IF(AND( C17="Buy", ISBLANK(W17), B17&lt;&gt;"DIV", NOW()-A17 &lt; 365), (1-Index!$F$2*2)*((J17*D17)-(E17*D17)), "")</f>
        <v/>
      </c>
      <c r="Q98" s="45">
        <f>IF(AND( C17="Buy", ISBLANK(W17), B17&lt;&gt;"DIV", NOW()-A17 &lt; 365), ((E17*D17)+P17), "")</f>
        <v/>
      </c>
      <c r="R98" s="45">
        <f>IF(AND( C17="Buy", ISBLANK(W17), B17&lt;&gt;"DIV", NOW()-A17 &lt; 365), D17, "")</f>
        <v/>
      </c>
      <c r="S98" s="47">
        <f>IF(AND( C17="Buy", ISBLANK(W17), B17&lt;&gt;"DIV", NOW()-A17 &gt; 365), T17/sum(F17:I17), "")</f>
        <v/>
      </c>
      <c r="T98" s="48">
        <f>IF(AND( C17="Buy", ISBLANK(W17), B17&lt;&gt;"DIV", NOW()-A17 &gt; 365), (1-Index!$F$2*2)*((J17*D17)-(E17*D17)), "")</f>
        <v/>
      </c>
      <c r="U98" s="48">
        <f>IF(AND( C17="Buy", ISBLANK(W17), B17&lt;&gt;"DIV", NOW()-A17 &gt; 365), ((E17*D17)+T17), "")</f>
        <v/>
      </c>
      <c r="V98" s="48">
        <f>IF(AND( C17="Buy", ISBLANK(W17), B17&lt;&gt;"DIV", NOW()-A17 &gt; 365), D17, "")</f>
        <v/>
      </c>
      <c r="W98" s="41" t="n">
        <v>312.81</v>
      </c>
      <c r="X98" s="38" t="n">
        <v>45811</v>
      </c>
      <c r="Y98" s="47">
        <f>IF(AND( C17="Buy", W17&lt;&gt;"", AA17&lt;&gt;"", B17&lt;&gt;"DIV"), Z17/sum(F17:I17), "")</f>
        <v/>
      </c>
      <c r="Z98" s="57">
        <f>(1-Index!$F$2*2)*((W17*D17)-(E17*D17))</f>
        <v/>
      </c>
      <c r="AA98" s="57">
        <f>((E17*D17)+Z17)</f>
        <v/>
      </c>
      <c r="AB98" s="58">
        <f>D17</f>
        <v/>
      </c>
      <c r="AC98" s="56">
        <f>if(B17="DIV", F17,"")</f>
        <v/>
      </c>
      <c r="AD98" s="53" t="n"/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38" t="n">
        <v>45733</v>
      </c>
      <c r="B99" s="39" t="inlineStr">
        <is>
          <t>NSE</t>
        </is>
      </c>
      <c r="C99" s="39" t="inlineStr">
        <is>
          <t>Buy</t>
        </is>
      </c>
      <c r="D99" s="40" t="n">
        <v>5</v>
      </c>
      <c r="E99" s="41" t="n">
        <v>208.84</v>
      </c>
      <c r="F99" s="42">
        <f>E18*D18 + sum(H18:I18)</f>
        <v/>
      </c>
      <c r="G99" s="39" t="inlineStr">
        <is>
          <t>~</t>
        </is>
      </c>
      <c r="H99" s="40" t="n"/>
      <c r="I99" s="40" t="n">
        <v>7.36</v>
      </c>
      <c r="J99" s="71">
        <f>Index!$C$2</f>
        <v/>
      </c>
      <c r="K99" s="44">
        <f>IF(AND( C18="Buy", ISBLANK(W18), B18&lt;&gt;"DIV"), L18/sum(F18:I18), "")</f>
        <v/>
      </c>
      <c r="L99" s="45">
        <f>IF(AND( C18="Buy", ISBLANK(W18), B18&lt;&gt;"DIV"), (1-Index!$F$2*2)*((J18*D18)-(E18*D18)), "")</f>
        <v/>
      </c>
      <c r="M99" s="45">
        <f>IF(AND( C18="Buy", ISBLANK(W18), B18&lt;&gt;"DIV"), ((E18*D18)+L18), "")</f>
        <v/>
      </c>
      <c r="N99" s="46">
        <f>IF(AND( C18="Buy", ISBLANK(W18), B18&lt;&gt;"DIV"), D18, "")</f>
        <v/>
      </c>
      <c r="O99" s="44">
        <f>IF(AND( C18="Buy", ISBLANK(W18), B18&lt;&gt;"DIV", NOW()-A18 &lt; 365), P18/sum(F18:I18), "")</f>
        <v/>
      </c>
      <c r="P99" s="45">
        <f>IF(AND( C18="Buy", ISBLANK(W18), B18&lt;&gt;"DIV", NOW()-A18 &lt; 365), (1-Index!$F$2*2)*((J18*D18)-(E18*D18)), "")</f>
        <v/>
      </c>
      <c r="Q99" s="45">
        <f>IF(AND( C18="Buy", ISBLANK(W18), B18&lt;&gt;"DIV", NOW()-A18 &lt; 365), ((E18*D18)+P18), "")</f>
        <v/>
      </c>
      <c r="R99" s="45">
        <f>IF(AND( C18="Buy", ISBLANK(W18), B18&lt;&gt;"DIV", NOW()-A18 &lt; 365), D18, "")</f>
        <v/>
      </c>
      <c r="S99" s="47">
        <f>IF(AND( C18="Buy", ISBLANK(W18), B18&lt;&gt;"DIV", NOW()-A18 &gt; 365), T18/sum(F18:I18), "")</f>
        <v/>
      </c>
      <c r="T99" s="48">
        <f>IF(AND( C18="Buy", ISBLANK(W18), B18&lt;&gt;"DIV", NOW()-A18 &gt; 365), (1-Index!$F$2*2)*((J18*D18)-(E18*D18)), "")</f>
        <v/>
      </c>
      <c r="U99" s="48">
        <f>IF(AND( C18="Buy", ISBLANK(W18), B18&lt;&gt;"DIV", NOW()-A18 &gt; 365), ((E18*D18)+T18), "")</f>
        <v/>
      </c>
      <c r="V99" s="48">
        <f>IF(AND( C18="Buy", ISBLANK(W18), B18&lt;&gt;"DIV", NOW()-A18 &gt; 365), D18, "")</f>
        <v/>
      </c>
      <c r="W99" s="41" t="n">
        <v>312.81</v>
      </c>
      <c r="X99" s="38" t="n">
        <v>45811</v>
      </c>
      <c r="Y99" s="47">
        <f>IF(AND( C18="Buy", W18&lt;&gt;"", AA18&lt;&gt;"", B18&lt;&gt;"DIV"), Z18/sum(F18:I18), "")</f>
        <v/>
      </c>
      <c r="Z99" s="57">
        <f>(1-Index!$F$2*2)*((W18*D18)-(E18*D18))</f>
        <v/>
      </c>
      <c r="AA99" s="57">
        <f>((E18*D18)+Z18)</f>
        <v/>
      </c>
      <c r="AB99" s="58">
        <f>D18</f>
        <v/>
      </c>
      <c r="AC99" s="56">
        <f>if(B18="DIV", F18,"")</f>
        <v/>
      </c>
      <c r="AD99" s="53" t="n"/>
      <c r="AE99" s="59" t="n"/>
      <c r="AF99" s="59" t="n"/>
      <c r="AG99" s="59" t="n"/>
      <c r="AH99" s="59" t="n"/>
      <c r="AI99" s="59" t="n"/>
      <c r="AJ99" s="59" t="n"/>
      <c r="AK99" s="59" t="n"/>
      <c r="AL99" s="59" t="n"/>
      <c r="AM99" s="59" t="n"/>
      <c r="AN99" s="59" t="n"/>
      <c r="AO99" s="59" t="n"/>
      <c r="AP99" s="59" t="n"/>
    </row>
    <row r="100">
      <c r="A100" s="38" t="n">
        <v>45733</v>
      </c>
      <c r="B100" s="39" t="inlineStr">
        <is>
          <t>NSE</t>
        </is>
      </c>
      <c r="C100" s="39" t="inlineStr">
        <is>
          <t>Buy</t>
        </is>
      </c>
      <c r="D100" s="40" t="n">
        <v>2</v>
      </c>
      <c r="E100" s="41" t="n">
        <v>208.84</v>
      </c>
      <c r="F100" s="42">
        <f>E19*D19 + sum(H19:I19)</f>
        <v/>
      </c>
      <c r="G100" s="39" t="inlineStr">
        <is>
          <t>~</t>
        </is>
      </c>
      <c r="H100" s="40" t="n"/>
      <c r="I100" s="40" t="n">
        <v>2.93</v>
      </c>
      <c r="J100" s="71">
        <f>Index!$C$2</f>
        <v/>
      </c>
      <c r="K100" s="44">
        <f>IF(AND( C19="Buy", ISBLANK(W19), B19&lt;&gt;"DIV"), L19/sum(F19:I19), "")</f>
        <v/>
      </c>
      <c r="L100" s="45">
        <f>IF(AND( C19="Buy", ISBLANK(W19), B19&lt;&gt;"DIV"), (1-Index!$F$2*2)*((J19*D19)-(E19*D19)), "")</f>
        <v/>
      </c>
      <c r="M100" s="45">
        <f>IF(AND( C19="Buy", ISBLANK(W19), B19&lt;&gt;"DIV"), ((E19*D19)+L19), "")</f>
        <v/>
      </c>
      <c r="N100" s="46">
        <f>IF(AND( C19="Buy", ISBLANK(W19), B19&lt;&gt;"DIV"), D19, "")</f>
        <v/>
      </c>
      <c r="O100" s="44">
        <f>IF(AND( C19="Buy", ISBLANK(W19), B19&lt;&gt;"DIV", NOW()-A19 &lt; 365), P19/sum(F19:I19), "")</f>
        <v/>
      </c>
      <c r="P100" s="45">
        <f>IF(AND( C19="Buy", ISBLANK(W19), B19&lt;&gt;"DIV", NOW()-A19 &lt; 365), (1-Index!$F$2*2)*((J19*D19)-(E19*D19)), "")</f>
        <v/>
      </c>
      <c r="Q100" s="45">
        <f>IF(AND( C19="Buy", ISBLANK(W19), B19&lt;&gt;"DIV", NOW()-A19 &lt; 365), ((E19*D19)+P19), "")</f>
        <v/>
      </c>
      <c r="R100" s="45">
        <f>IF(AND( C19="Buy", ISBLANK(W19), B19&lt;&gt;"DIV", NOW()-A19 &lt; 365), D19, "")</f>
        <v/>
      </c>
      <c r="S100" s="47">
        <f>IF(AND( C19="Buy", ISBLANK(W19), B19&lt;&gt;"DIV", NOW()-A19 &gt; 365), T19/sum(F19:I19), "")</f>
        <v/>
      </c>
      <c r="T100" s="48">
        <f>IF(AND( C19="Buy", ISBLANK(W19), B19&lt;&gt;"DIV", NOW()-A19 &gt; 365), (1-Index!$F$2*2)*((J19*D19)-(E19*D19)), "")</f>
        <v/>
      </c>
      <c r="U100" s="48">
        <f>IF(AND( C19="Buy", ISBLANK(W19), B19&lt;&gt;"DIV", NOW()-A19 &gt; 365), ((E19*D19)+T19), "")</f>
        <v/>
      </c>
      <c r="V100" s="48">
        <f>IF(AND( C19="Buy", ISBLANK(W19), B19&lt;&gt;"DIV", NOW()-A19 &gt; 365), D19, "")</f>
        <v/>
      </c>
      <c r="W100" s="41" t="n">
        <v>312.81</v>
      </c>
      <c r="X100" s="38" t="n">
        <v>45811</v>
      </c>
      <c r="Y100" s="47">
        <f>IF(AND( C19="Buy", W19&lt;&gt;"", AA19&lt;&gt;"", B19&lt;&gt;"DIV"), Z19/sum(F19:I19), "")</f>
        <v/>
      </c>
      <c r="Z100" s="57">
        <f>(1-Index!$F$2*2)*((W19*D19)-(E19*D19))</f>
        <v/>
      </c>
      <c r="AA100" s="57">
        <f>((E19*D19)+Z19)</f>
        <v/>
      </c>
      <c r="AB100" s="58">
        <f>D19</f>
        <v/>
      </c>
      <c r="AC100" s="56">
        <f>if(B19="DIV", F19,"")</f>
        <v/>
      </c>
      <c r="AD100" s="53" t="n"/>
      <c r="AE100" s="59" t="n"/>
      <c r="AF100" s="59" t="n"/>
      <c r="AG100" s="59" t="n"/>
      <c r="AH100" s="59" t="n"/>
      <c r="AI100" s="59" t="n"/>
      <c r="AJ100" s="59" t="n"/>
      <c r="AK100" s="59" t="n"/>
      <c r="AL100" s="59" t="n"/>
      <c r="AM100" s="59" t="n"/>
      <c r="AN100" s="59" t="n"/>
      <c r="AO100" s="59" t="n"/>
      <c r="AP100" s="59" t="n"/>
    </row>
    <row r="101">
      <c r="A101" s="38" t="n">
        <v>45733</v>
      </c>
      <c r="B101" s="39" t="inlineStr">
        <is>
          <t>NSE</t>
        </is>
      </c>
      <c r="C101" s="39" t="inlineStr">
        <is>
          <t>Buy</t>
        </is>
      </c>
      <c r="D101" s="40" t="n">
        <v>5</v>
      </c>
      <c r="E101" s="41" t="n">
        <v>208.84</v>
      </c>
      <c r="F101" s="42">
        <f>E20*D20 + sum(H20:I20)</f>
        <v/>
      </c>
      <c r="G101" s="39" t="inlineStr">
        <is>
          <t>~</t>
        </is>
      </c>
      <c r="H101" s="40" t="n"/>
      <c r="I101" s="40" t="n">
        <v>7.36</v>
      </c>
      <c r="J101" s="71">
        <f>Index!$C$2</f>
        <v/>
      </c>
      <c r="K101" s="44">
        <f>IF(AND( C20="Buy", ISBLANK(W20), B20&lt;&gt;"DIV"), L20/sum(F20:I20), "")</f>
        <v/>
      </c>
      <c r="L101" s="45">
        <f>IF(AND( C20="Buy", ISBLANK(W20), B20&lt;&gt;"DIV"), (1-Index!$F$2*2)*((J20*D20)-(E20*D20)), "")</f>
        <v/>
      </c>
      <c r="M101" s="45">
        <f>IF(AND( C20="Buy", ISBLANK(W20), B20&lt;&gt;"DIV"), ((E20*D20)+L20), "")</f>
        <v/>
      </c>
      <c r="N101" s="46">
        <f>IF(AND( C20="Buy", ISBLANK(W20), B20&lt;&gt;"DIV"), D20, "")</f>
        <v/>
      </c>
      <c r="O101" s="44">
        <f>IF(AND( C20="Buy", ISBLANK(W20), B20&lt;&gt;"DIV", NOW()-A20 &lt; 365), P20/sum(F20:I20), "")</f>
        <v/>
      </c>
      <c r="P101" s="45">
        <f>IF(AND( C20="Buy", ISBLANK(W20), B20&lt;&gt;"DIV", NOW()-A20 &lt; 365), (1-Index!$F$2*2)*((J20*D20)-(E20*D20)), "")</f>
        <v/>
      </c>
      <c r="Q101" s="45">
        <f>IF(AND( C20="Buy", ISBLANK(W20), B20&lt;&gt;"DIV", NOW()-A20 &lt; 365), ((E20*D20)+P20), "")</f>
        <v/>
      </c>
      <c r="R101" s="45">
        <f>IF(AND( C20="Buy", ISBLANK(W20), B20&lt;&gt;"DIV", NOW()-A20 &lt; 365), D20, "")</f>
        <v/>
      </c>
      <c r="S101" s="47">
        <f>IF(AND( C20="Buy", ISBLANK(W20), B20&lt;&gt;"DIV", NOW()-A20 &gt; 365), T20/sum(F20:I20), "")</f>
        <v/>
      </c>
      <c r="T101" s="48">
        <f>IF(AND( C20="Buy", ISBLANK(W20), B20&lt;&gt;"DIV", NOW()-A20 &gt; 365), (1-Index!$F$2*2)*((J20*D20)-(E20*D20)), "")</f>
        <v/>
      </c>
      <c r="U101" s="48">
        <f>IF(AND( C20="Buy", ISBLANK(W20), B20&lt;&gt;"DIV", NOW()-A20 &gt; 365), ((E20*D20)+T20), "")</f>
        <v/>
      </c>
      <c r="V101" s="48">
        <f>IF(AND( C20="Buy", ISBLANK(W20), B20&lt;&gt;"DIV", NOW()-A20 &gt; 365), D20, "")</f>
        <v/>
      </c>
      <c r="W101" s="41" t="n">
        <v>312.81</v>
      </c>
      <c r="X101" s="38" t="n">
        <v>45811</v>
      </c>
      <c r="Y101" s="47">
        <f>IF(AND( C20="Buy", W20&lt;&gt;"", AA20&lt;&gt;"", B20&lt;&gt;"DIV"), Z20/sum(F20:I20), "")</f>
        <v/>
      </c>
      <c r="Z101" s="57">
        <f>(1-Index!$F$2*2)*((W20*D20)-(E20*D20))</f>
        <v/>
      </c>
      <c r="AA101" s="57">
        <f>((E20*D20)+Z20)</f>
        <v/>
      </c>
      <c r="AB101" s="58">
        <f>D20</f>
        <v/>
      </c>
      <c r="AC101" s="56">
        <f>if(B20="DIV", F20,"")</f>
        <v/>
      </c>
      <c r="AD101" s="53" t="n"/>
      <c r="AE101" s="59" t="n"/>
      <c r="AF101" s="59" t="n"/>
      <c r="AG101" s="59" t="n"/>
      <c r="AH101" s="59" t="n"/>
      <c r="AI101" s="59" t="n"/>
      <c r="AJ101" s="59" t="n"/>
      <c r="AK101" s="59" t="n"/>
      <c r="AL101" s="59" t="n"/>
      <c r="AM101" s="59" t="n"/>
      <c r="AN101" s="59" t="n"/>
      <c r="AO101" s="59" t="n"/>
      <c r="AP101" s="59" t="n"/>
    </row>
    <row r="102">
      <c r="A102" s="38" t="n">
        <v>45733</v>
      </c>
      <c r="B102" s="39" t="inlineStr">
        <is>
          <t>NSE</t>
        </is>
      </c>
      <c r="C102" s="39" t="inlineStr">
        <is>
          <t>Buy</t>
        </is>
      </c>
      <c r="D102" s="40" t="n">
        <v>5</v>
      </c>
      <c r="E102" s="41" t="n">
        <v>208.84</v>
      </c>
      <c r="F102" s="42">
        <f>E21*D21 + sum(H21:I21)</f>
        <v/>
      </c>
      <c r="G102" s="39" t="inlineStr">
        <is>
          <t>~</t>
        </is>
      </c>
      <c r="H102" s="40" t="n"/>
      <c r="I102" s="40" t="n">
        <v>7.36</v>
      </c>
      <c r="J102" s="71">
        <f>Index!$C$2</f>
        <v/>
      </c>
      <c r="K102" s="44">
        <f>IF(AND( C21="Buy", ISBLANK(W21), B21&lt;&gt;"DIV"), L21/sum(F21:I21), "")</f>
        <v/>
      </c>
      <c r="L102" s="45">
        <f>IF(AND( C21="Buy", ISBLANK(W21), B21&lt;&gt;"DIV"), (1-Index!$F$2*2)*((J21*D21)-(E21*D21)), "")</f>
        <v/>
      </c>
      <c r="M102" s="45">
        <f>IF(AND( C21="Buy", ISBLANK(W21), B21&lt;&gt;"DIV"), ((E21*D21)+L21), "")</f>
        <v/>
      </c>
      <c r="N102" s="46">
        <f>IF(AND( C21="Buy", ISBLANK(W21), B21&lt;&gt;"DIV"), D21, "")</f>
        <v/>
      </c>
      <c r="O102" s="44">
        <f>IF(AND( C21="Buy", ISBLANK(W21), B21&lt;&gt;"DIV", NOW()-A21 &lt; 365), P21/sum(F21:I21), "")</f>
        <v/>
      </c>
      <c r="P102" s="45">
        <f>IF(AND( C21="Buy", ISBLANK(W21), B21&lt;&gt;"DIV", NOW()-A21 &lt; 365), (1-Index!$F$2*2)*((J21*D21)-(E21*D21)), "")</f>
        <v/>
      </c>
      <c r="Q102" s="45">
        <f>IF(AND( C21="Buy", ISBLANK(W21), B21&lt;&gt;"DIV", NOW()-A21 &lt; 365), ((E21*D21)+P21), "")</f>
        <v/>
      </c>
      <c r="R102" s="45">
        <f>IF(AND( C21="Buy", ISBLANK(W21), B21&lt;&gt;"DIV", NOW()-A21 &lt; 365), D21, "")</f>
        <v/>
      </c>
      <c r="S102" s="47">
        <f>IF(AND( C21="Buy", ISBLANK(W21), B21&lt;&gt;"DIV", NOW()-A21 &gt; 365), T21/sum(F21:I21), "")</f>
        <v/>
      </c>
      <c r="T102" s="48">
        <f>IF(AND( C21="Buy", ISBLANK(W21), B21&lt;&gt;"DIV", NOW()-A21 &gt; 365), (1-Index!$F$2*2)*((J21*D21)-(E21*D21)), "")</f>
        <v/>
      </c>
      <c r="U102" s="48">
        <f>IF(AND( C21="Buy", ISBLANK(W21), B21&lt;&gt;"DIV", NOW()-A21 &gt; 365), ((E21*D21)+T21), "")</f>
        <v/>
      </c>
      <c r="V102" s="48">
        <f>IF(AND( C21="Buy", ISBLANK(W21), B21&lt;&gt;"DIV", NOW()-A21 &gt; 365), D21, "")</f>
        <v/>
      </c>
      <c r="W102" s="41" t="n">
        <v>312.81</v>
      </c>
      <c r="X102" s="38" t="n">
        <v>45811</v>
      </c>
      <c r="Y102" s="47">
        <f>IF(AND( C21="Buy", W21&lt;&gt;"", AA21&lt;&gt;"", B21&lt;&gt;"DIV"), Z21/sum(F21:I21), "")</f>
        <v/>
      </c>
      <c r="Z102" s="57">
        <f>(1-Index!$F$2*2)*((W21*D21)-(E21*D21))</f>
        <v/>
      </c>
      <c r="AA102" s="57">
        <f>((E21*D21)+Z21)</f>
        <v/>
      </c>
      <c r="AB102" s="58">
        <f>D21</f>
        <v/>
      </c>
      <c r="AC102" s="56">
        <f>if(B21="DIV", F21,"")</f>
        <v/>
      </c>
      <c r="AD102" s="53" t="n"/>
      <c r="AE102" s="59" t="n"/>
      <c r="AF102" s="59" t="n"/>
      <c r="AG102" s="59" t="n"/>
      <c r="AH102" s="59" t="n"/>
      <c r="AI102" s="59" t="n"/>
      <c r="AJ102" s="59" t="n"/>
      <c r="AK102" s="59" t="n"/>
      <c r="AL102" s="59" t="n"/>
      <c r="AM102" s="59" t="n"/>
      <c r="AN102" s="59" t="n"/>
      <c r="AO102" s="59" t="n"/>
      <c r="AP102" s="59" t="n"/>
    </row>
    <row r="103">
      <c r="A103" s="38" t="n">
        <v>45733</v>
      </c>
      <c r="B103" s="39" t="inlineStr">
        <is>
          <t>NSE</t>
        </is>
      </c>
      <c r="C103" s="39" t="inlineStr">
        <is>
          <t>Buy</t>
        </is>
      </c>
      <c r="D103" s="40" t="n">
        <v>5</v>
      </c>
      <c r="E103" s="41" t="n">
        <v>208.84</v>
      </c>
      <c r="F103" s="42">
        <f>E22*D22 + sum(H22:I22)</f>
        <v/>
      </c>
      <c r="G103" s="39" t="inlineStr">
        <is>
          <t>~</t>
        </is>
      </c>
      <c r="H103" s="40" t="n"/>
      <c r="I103" s="40" t="n">
        <v>7.36</v>
      </c>
      <c r="J103" s="71">
        <f>Index!$C$2</f>
        <v/>
      </c>
      <c r="K103" s="44">
        <f>IF(AND( C22="Buy", ISBLANK(W22), B22&lt;&gt;"DIV"), L22/sum(F22:I22), "")</f>
        <v/>
      </c>
      <c r="L103" s="45">
        <f>IF(AND( C22="Buy", ISBLANK(W22), B22&lt;&gt;"DIV"), (1-Index!$F$2*2)*((J22*D22)-(E22*D22)), "")</f>
        <v/>
      </c>
      <c r="M103" s="45">
        <f>IF(AND( C22="Buy", ISBLANK(W22), B22&lt;&gt;"DIV"), ((E22*D22)+L22), "")</f>
        <v/>
      </c>
      <c r="N103" s="46">
        <f>IF(AND( C22="Buy", ISBLANK(W22), B22&lt;&gt;"DIV"), D22, "")</f>
        <v/>
      </c>
      <c r="O103" s="44">
        <f>IF(AND( C22="Buy", ISBLANK(W22), B22&lt;&gt;"DIV", NOW()-A22 &lt; 365), P22/sum(F22:I22), "")</f>
        <v/>
      </c>
      <c r="P103" s="45">
        <f>IF(AND( C22="Buy", ISBLANK(W22), B22&lt;&gt;"DIV", NOW()-A22 &lt; 365), (1-Index!$F$2*2)*((J22*D22)-(E22*D22)), "")</f>
        <v/>
      </c>
      <c r="Q103" s="45">
        <f>IF(AND( C22="Buy", ISBLANK(W22), B22&lt;&gt;"DIV", NOW()-A22 &lt; 365), ((E22*D22)+P22), "")</f>
        <v/>
      </c>
      <c r="R103" s="45">
        <f>IF(AND( C22="Buy", ISBLANK(W22), B22&lt;&gt;"DIV", NOW()-A22 &lt; 365), D22, "")</f>
        <v/>
      </c>
      <c r="S103" s="47">
        <f>IF(AND( C22="Buy", ISBLANK(W22), B22&lt;&gt;"DIV", NOW()-A22 &gt; 365), T22/sum(F22:I22), "")</f>
        <v/>
      </c>
      <c r="T103" s="48">
        <f>IF(AND( C22="Buy", ISBLANK(W22), B22&lt;&gt;"DIV", NOW()-A22 &gt; 365), (1-Index!$F$2*2)*((J22*D22)-(E22*D22)), "")</f>
        <v/>
      </c>
      <c r="U103" s="48">
        <f>IF(AND( C22="Buy", ISBLANK(W22), B22&lt;&gt;"DIV", NOW()-A22 &gt; 365), ((E22*D22)+T22), "")</f>
        <v/>
      </c>
      <c r="V103" s="48">
        <f>IF(AND( C22="Buy", ISBLANK(W22), B22&lt;&gt;"DIV", NOW()-A22 &gt; 365), D22, "")</f>
        <v/>
      </c>
      <c r="W103" s="41" t="n">
        <v>312.81</v>
      </c>
      <c r="X103" s="38" t="n">
        <v>45811</v>
      </c>
      <c r="Y103" s="47">
        <f>IF(AND( C22="Buy", W22&lt;&gt;"", AA22&lt;&gt;"", B22&lt;&gt;"DIV"), Z22/sum(F22:I22), "")</f>
        <v/>
      </c>
      <c r="Z103" s="57">
        <f>(1-Index!$F$2*2)*((W22*D22)-(E22*D22))</f>
        <v/>
      </c>
      <c r="AA103" s="57">
        <f>((E22*D22)+Z22)</f>
        <v/>
      </c>
      <c r="AB103" s="58">
        <f>D22</f>
        <v/>
      </c>
      <c r="AC103" s="56">
        <f>if(B22="DIV", F22,"")</f>
        <v/>
      </c>
      <c r="AD103" s="53" t="n"/>
      <c r="AE103" s="59" t="n"/>
      <c r="AF103" s="59" t="n"/>
      <c r="AG103" s="59" t="n"/>
      <c r="AH103" s="59" t="n"/>
      <c r="AI103" s="59" t="n"/>
      <c r="AJ103" s="59" t="n"/>
      <c r="AK103" s="59" t="n"/>
      <c r="AL103" s="59" t="n"/>
      <c r="AM103" s="59" t="n"/>
      <c r="AN103" s="59" t="n"/>
      <c r="AO103" s="59" t="n"/>
      <c r="AP103" s="59" t="n"/>
    </row>
    <row r="104">
      <c r="A104" s="38" t="n">
        <v>45733</v>
      </c>
      <c r="B104" s="39" t="inlineStr">
        <is>
          <t>NSE</t>
        </is>
      </c>
      <c r="C104" s="39" t="inlineStr">
        <is>
          <t>Buy</t>
        </is>
      </c>
      <c r="D104" s="40" t="n">
        <v>2</v>
      </c>
      <c r="E104" s="41" t="n">
        <v>208.84</v>
      </c>
      <c r="F104" s="42">
        <f>E23*D23 + sum(H23:I23)</f>
        <v/>
      </c>
      <c r="G104" s="39" t="inlineStr">
        <is>
          <t>~</t>
        </is>
      </c>
      <c r="H104" s="40" t="n"/>
      <c r="I104" s="40" t="n">
        <v>2.93</v>
      </c>
      <c r="J104" s="71">
        <f>Index!$C$2</f>
        <v/>
      </c>
      <c r="K104" s="44">
        <f>IF(AND( C23="Buy", ISBLANK(W23), B23&lt;&gt;"DIV"), L23/sum(F23:I23), "")</f>
        <v/>
      </c>
      <c r="L104" s="45">
        <f>IF(AND( C23="Buy", ISBLANK(W23), B23&lt;&gt;"DIV"), (1-Index!$F$2*2)*((J23*D23)-(E23*D23)), "")</f>
        <v/>
      </c>
      <c r="M104" s="45">
        <f>IF(AND( C23="Buy", ISBLANK(W23), B23&lt;&gt;"DIV"), ((E23*D23)+L23), "")</f>
        <v/>
      </c>
      <c r="N104" s="46">
        <f>IF(AND( C23="Buy", ISBLANK(W23), B23&lt;&gt;"DIV"), D23, "")</f>
        <v/>
      </c>
      <c r="O104" s="44">
        <f>IF(AND( C23="Buy", ISBLANK(W23), B23&lt;&gt;"DIV", NOW()-A23 &lt; 365), P23/sum(F23:I23), "")</f>
        <v/>
      </c>
      <c r="P104" s="45">
        <f>IF(AND( C23="Buy", ISBLANK(W23), B23&lt;&gt;"DIV", NOW()-A23 &lt; 365), (1-Index!$F$2*2)*((J23*D23)-(E23*D23)), "")</f>
        <v/>
      </c>
      <c r="Q104" s="45">
        <f>IF(AND( C23="Buy", ISBLANK(W23), B23&lt;&gt;"DIV", NOW()-A23 &lt; 365), ((E23*D23)+P23), "")</f>
        <v/>
      </c>
      <c r="R104" s="45">
        <f>IF(AND( C23="Buy", ISBLANK(W23), B23&lt;&gt;"DIV", NOW()-A23 &lt; 365), D23, "")</f>
        <v/>
      </c>
      <c r="S104" s="47">
        <f>IF(AND( C23="Buy", ISBLANK(W23), B23&lt;&gt;"DIV", NOW()-A23 &gt; 365), T23/sum(F23:I23), "")</f>
        <v/>
      </c>
      <c r="T104" s="48">
        <f>IF(AND( C23="Buy", ISBLANK(W23), B23&lt;&gt;"DIV", NOW()-A23 &gt; 365), (1-Index!$F$2*2)*((J23*D23)-(E23*D23)), "")</f>
        <v/>
      </c>
      <c r="U104" s="48">
        <f>IF(AND( C23="Buy", ISBLANK(W23), B23&lt;&gt;"DIV", NOW()-A23 &gt; 365), ((E23*D23)+T23), "")</f>
        <v/>
      </c>
      <c r="V104" s="48">
        <f>IF(AND( C23="Buy", ISBLANK(W23), B23&lt;&gt;"DIV", NOW()-A23 &gt; 365), D23, "")</f>
        <v/>
      </c>
      <c r="W104" s="41" t="n">
        <v>312.81</v>
      </c>
      <c r="X104" s="38" t="n">
        <v>45811</v>
      </c>
      <c r="Y104" s="47">
        <f>IF(AND( C23="Buy", W23&lt;&gt;"", AA23&lt;&gt;"", B23&lt;&gt;"DIV"), Z23/sum(F23:I23), "")</f>
        <v/>
      </c>
      <c r="Z104" s="57">
        <f>(1-Index!$F$2*2)*((W23*D23)-(E23*D23))</f>
        <v/>
      </c>
      <c r="AA104" s="57">
        <f>((E23*D23)+Z23)</f>
        <v/>
      </c>
      <c r="AB104" s="58">
        <f>D23</f>
        <v/>
      </c>
      <c r="AC104" s="56">
        <f>if(B23="DIV", F23,"")</f>
        <v/>
      </c>
      <c r="AD104" s="53" t="n"/>
      <c r="AE104" s="59" t="n"/>
      <c r="AF104" s="59" t="n"/>
      <c r="AG104" s="59" t="n"/>
      <c r="AH104" s="59" t="n"/>
      <c r="AI104" s="59" t="n"/>
      <c r="AJ104" s="59" t="n"/>
      <c r="AK104" s="59" t="n"/>
      <c r="AL104" s="59" t="n"/>
      <c r="AM104" s="59" t="n"/>
      <c r="AN104" s="59" t="n"/>
      <c r="AO104" s="59" t="n"/>
      <c r="AP104" s="59" t="n"/>
    </row>
    <row r="105">
      <c r="A105" s="38" t="n">
        <v>45733</v>
      </c>
      <c r="B105" s="39" t="inlineStr">
        <is>
          <t>NSE</t>
        </is>
      </c>
      <c r="C105" s="39" t="inlineStr">
        <is>
          <t>Buy</t>
        </is>
      </c>
      <c r="D105" s="40" t="n">
        <v>2</v>
      </c>
      <c r="E105" s="41" t="n">
        <v>208.84</v>
      </c>
      <c r="F105" s="42">
        <f>E24*D24 + sum(H24:I24)</f>
        <v/>
      </c>
      <c r="G105" s="39" t="inlineStr">
        <is>
          <t>~</t>
        </is>
      </c>
      <c r="H105" s="40" t="n"/>
      <c r="I105" s="40" t="n">
        <v>2.93</v>
      </c>
      <c r="J105" s="71">
        <f>Index!$C$2</f>
        <v/>
      </c>
      <c r="K105" s="44">
        <f>IF(AND( C24="Buy", ISBLANK(W24), B24&lt;&gt;"DIV"), L24/sum(F24:I24), "")</f>
        <v/>
      </c>
      <c r="L105" s="45">
        <f>IF(AND( C24="Buy", ISBLANK(W24), B24&lt;&gt;"DIV"), (1-Index!$F$2*2)*((J24*D24)-(E24*D24)), "")</f>
        <v/>
      </c>
      <c r="M105" s="45">
        <f>IF(AND( C24="Buy", ISBLANK(W24), B24&lt;&gt;"DIV"), ((E24*D24)+L24), "")</f>
        <v/>
      </c>
      <c r="N105" s="46">
        <f>IF(AND( C24="Buy", ISBLANK(W24), B24&lt;&gt;"DIV"), D24, "")</f>
        <v/>
      </c>
      <c r="O105" s="44">
        <f>IF(AND( C24="Buy", ISBLANK(W24), B24&lt;&gt;"DIV", NOW()-A24 &lt; 365), P24/sum(F24:I24), "")</f>
        <v/>
      </c>
      <c r="P105" s="45">
        <f>IF(AND( C24="Buy", ISBLANK(W24), B24&lt;&gt;"DIV", NOW()-A24 &lt; 365), (1-Index!$F$2*2)*((J24*D24)-(E24*D24)), "")</f>
        <v/>
      </c>
      <c r="Q105" s="45">
        <f>IF(AND( C24="Buy", ISBLANK(W24), B24&lt;&gt;"DIV", NOW()-A24 &lt; 365), ((E24*D24)+P24), "")</f>
        <v/>
      </c>
      <c r="R105" s="45">
        <f>IF(AND( C24="Buy", ISBLANK(W24), B24&lt;&gt;"DIV", NOW()-A24 &lt; 365), D24, "")</f>
        <v/>
      </c>
      <c r="S105" s="47">
        <f>IF(AND( C24="Buy", ISBLANK(W24), B24&lt;&gt;"DIV", NOW()-A24 &gt; 365), T24/sum(F24:I24), "")</f>
        <v/>
      </c>
      <c r="T105" s="48">
        <f>IF(AND( C24="Buy", ISBLANK(W24), B24&lt;&gt;"DIV", NOW()-A24 &gt; 365), (1-Index!$F$2*2)*((J24*D24)-(E24*D24)), "")</f>
        <v/>
      </c>
      <c r="U105" s="48">
        <f>IF(AND( C24="Buy", ISBLANK(W24), B24&lt;&gt;"DIV", NOW()-A24 &gt; 365), ((E24*D24)+T24), "")</f>
        <v/>
      </c>
      <c r="V105" s="48">
        <f>IF(AND( C24="Buy", ISBLANK(W24), B24&lt;&gt;"DIV", NOW()-A24 &gt; 365), D24, "")</f>
        <v/>
      </c>
      <c r="W105" s="41" t="n">
        <v>312.81</v>
      </c>
      <c r="X105" s="38" t="n">
        <v>45811</v>
      </c>
      <c r="Y105" s="47">
        <f>IF(AND( C24="Buy", W24&lt;&gt;"", AA24&lt;&gt;"", B24&lt;&gt;"DIV"), Z24/sum(F24:I24), "")</f>
        <v/>
      </c>
      <c r="Z105" s="57">
        <f>(1-Index!$F$2*2)*((W24*D24)-(E24*D24))</f>
        <v/>
      </c>
      <c r="AA105" s="57">
        <f>((E24*D24)+Z24)</f>
        <v/>
      </c>
      <c r="AB105" s="58">
        <f>D24</f>
        <v/>
      </c>
      <c r="AC105" s="56">
        <f>if(B24="DIV", F24,"")</f>
        <v/>
      </c>
      <c r="AD105" s="53" t="n"/>
      <c r="AE105" s="59" t="n"/>
      <c r="AF105" s="59" t="n"/>
      <c r="AG105" s="59" t="n"/>
      <c r="AH105" s="59" t="n"/>
      <c r="AI105" s="59" t="n"/>
      <c r="AJ105" s="59" t="n"/>
      <c r="AK105" s="59" t="n"/>
      <c r="AL105" s="59" t="n"/>
      <c r="AM105" s="59" t="n"/>
      <c r="AN105" s="59" t="n"/>
      <c r="AO105" s="59" t="n"/>
      <c r="AP105" s="59" t="n"/>
    </row>
    <row r="106">
      <c r="A106" s="38" t="n">
        <v>45733</v>
      </c>
      <c r="B106" s="39" t="inlineStr">
        <is>
          <t>NSE</t>
        </is>
      </c>
      <c r="C106" s="39" t="inlineStr">
        <is>
          <t>Buy</t>
        </is>
      </c>
      <c r="D106" s="40" t="n">
        <v>5</v>
      </c>
      <c r="E106" s="41" t="n">
        <v>208.84</v>
      </c>
      <c r="F106" s="42">
        <f>E25*D25 + sum(H25:I25)</f>
        <v/>
      </c>
      <c r="G106" s="39" t="inlineStr">
        <is>
          <t>~</t>
        </is>
      </c>
      <c r="H106" s="40" t="n"/>
      <c r="I106" s="40" t="n">
        <v>7.36</v>
      </c>
      <c r="J106" s="71">
        <f>Index!$C$2</f>
        <v/>
      </c>
      <c r="K106" s="44">
        <f>IF(AND( C25="Buy", ISBLANK(W25), B25&lt;&gt;"DIV"), L25/sum(F25:I25), "")</f>
        <v/>
      </c>
      <c r="L106" s="45">
        <f>IF(AND( C25="Buy", ISBLANK(W25), B25&lt;&gt;"DIV"), (1-Index!$F$2*2)*((J25*D25)-(E25*D25)), "")</f>
        <v/>
      </c>
      <c r="M106" s="45">
        <f>IF(AND( C25="Buy", ISBLANK(W25), B25&lt;&gt;"DIV"), ((E25*D25)+L25), "")</f>
        <v/>
      </c>
      <c r="N106" s="46">
        <f>IF(AND( C25="Buy", ISBLANK(W25), B25&lt;&gt;"DIV"), D25, "")</f>
        <v/>
      </c>
      <c r="O106" s="44">
        <f>IF(AND( C25="Buy", ISBLANK(W25), B25&lt;&gt;"DIV", NOW()-A25 &lt; 365), P25/sum(F25:I25), "")</f>
        <v/>
      </c>
      <c r="P106" s="45">
        <f>IF(AND( C25="Buy", ISBLANK(W25), B25&lt;&gt;"DIV", NOW()-A25 &lt; 365), (1-Index!$F$2*2)*((J25*D25)-(E25*D25)), "")</f>
        <v/>
      </c>
      <c r="Q106" s="45">
        <f>IF(AND( C25="Buy", ISBLANK(W25), B25&lt;&gt;"DIV", NOW()-A25 &lt; 365), ((E25*D25)+P25), "")</f>
        <v/>
      </c>
      <c r="R106" s="45">
        <f>IF(AND( C25="Buy", ISBLANK(W25), B25&lt;&gt;"DIV", NOW()-A25 &lt; 365), D25, "")</f>
        <v/>
      </c>
      <c r="S106" s="47">
        <f>IF(AND( C25="Buy", ISBLANK(W25), B25&lt;&gt;"DIV", NOW()-A25 &gt; 365), T25/sum(F25:I25), "")</f>
        <v/>
      </c>
      <c r="T106" s="48">
        <f>IF(AND( C25="Buy", ISBLANK(W25), B25&lt;&gt;"DIV", NOW()-A25 &gt; 365), (1-Index!$F$2*2)*((J25*D25)-(E25*D25)), "")</f>
        <v/>
      </c>
      <c r="U106" s="48">
        <f>IF(AND( C25="Buy", ISBLANK(W25), B25&lt;&gt;"DIV", NOW()-A25 &gt; 365), ((E25*D25)+T25), "")</f>
        <v/>
      </c>
      <c r="V106" s="48">
        <f>IF(AND( C25="Buy", ISBLANK(W25), B25&lt;&gt;"DIV", NOW()-A25 &gt; 365), D25, "")</f>
        <v/>
      </c>
      <c r="W106" s="41" t="n">
        <v>312.81</v>
      </c>
      <c r="X106" s="38" t="n">
        <v>45811</v>
      </c>
      <c r="Y106" s="47">
        <f>IF(AND( C25="Buy", W25&lt;&gt;"", AA25&lt;&gt;"", B25&lt;&gt;"DIV"), Z25/sum(F25:I25), "")</f>
        <v/>
      </c>
      <c r="Z106" s="57">
        <f>(1-Index!$F$2*2)*((W25*D25)-(E25*D25))</f>
        <v/>
      </c>
      <c r="AA106" s="57">
        <f>((E25*D25)+Z25)</f>
        <v/>
      </c>
      <c r="AB106" s="58">
        <f>D25</f>
        <v/>
      </c>
      <c r="AC106" s="56">
        <f>if(B25="DIV", F25,"")</f>
        <v/>
      </c>
      <c r="AD106" s="53" t="n"/>
      <c r="AE106" s="59" t="n"/>
      <c r="AF106" s="59" t="n"/>
      <c r="AG106" s="59" t="n"/>
      <c r="AH106" s="59" t="n"/>
      <c r="AI106" s="59" t="n"/>
      <c r="AJ106" s="59" t="n"/>
      <c r="AK106" s="59" t="n"/>
      <c r="AL106" s="59" t="n"/>
      <c r="AM106" s="59" t="n"/>
      <c r="AN106" s="59" t="n"/>
      <c r="AO106" s="59" t="n"/>
      <c r="AP106" s="59" t="n"/>
    </row>
    <row r="107">
      <c r="A107" s="38" t="n">
        <v>45722</v>
      </c>
      <c r="B107" s="39" t="inlineStr">
        <is>
          <t>NSE</t>
        </is>
      </c>
      <c r="C107" s="39" t="inlineStr">
        <is>
          <t>Buy</t>
        </is>
      </c>
      <c r="D107" s="40" t="n">
        <v>2</v>
      </c>
      <c r="E107" s="41" t="n">
        <v>222.24</v>
      </c>
      <c r="F107" s="41" t="n">
        <v>444.48</v>
      </c>
      <c r="G107" s="39" t="inlineStr">
        <is>
          <t>~</t>
        </is>
      </c>
      <c r="H107" s="40" t="n">
        <v>0.44</v>
      </c>
      <c r="I107" s="40" t="n">
        <v>2.68</v>
      </c>
      <c r="J107" s="71">
        <f>Index!$C$2</f>
        <v/>
      </c>
      <c r="K107" s="44">
        <f>IF(AND( C26="Buy", ISBLANK(W26), B26&lt;&gt;"DIV"), L26/sum(F26:I26), "")</f>
        <v/>
      </c>
      <c r="L107" s="45">
        <f>IF(AND( C26="Buy", ISBLANK(W26), B26&lt;&gt;"DIV"), (1-Index!$F$2*2)*((J26*D26)-(E26*D26)), "")</f>
        <v/>
      </c>
      <c r="M107" s="45">
        <f>IF(AND( C26="Buy", ISBLANK(W26), B26&lt;&gt;"DIV"), ((E26*D26)+L26), "")</f>
        <v/>
      </c>
      <c r="N107" s="46">
        <f>IF(AND( C26="Buy", ISBLANK(W26), B26&lt;&gt;"DIV"), D26, "")</f>
        <v/>
      </c>
      <c r="O107" s="44">
        <f>IF(AND( C26="Buy", ISBLANK(W26), B26&lt;&gt;"DIV", NOW()-A26 &lt; 365), P26/sum(F26:I26), "")</f>
        <v/>
      </c>
      <c r="P107" s="45">
        <f>IF(AND( C26="Buy", ISBLANK(W26), B26&lt;&gt;"DIV", NOW()-A26 &lt; 365), (1-Index!$F$2*2)*((J26*D26)-(E26*D26)), "")</f>
        <v/>
      </c>
      <c r="Q107" s="45">
        <f>IF(AND( C26="Buy", ISBLANK(W26), B26&lt;&gt;"DIV", NOW()-A26 &lt; 365), ((E26*D26)+P26), "")</f>
        <v/>
      </c>
      <c r="R107" s="45">
        <f>IF(AND( C26="Buy", ISBLANK(W26), B26&lt;&gt;"DIV", NOW()-A26 &lt; 365), D26, "")</f>
        <v/>
      </c>
      <c r="S107" s="47">
        <f>IF(AND( C26="Buy", ISBLANK(W26), B26&lt;&gt;"DIV", NOW()-A26 &gt; 365), T26/sum(F26:I26), "")</f>
        <v/>
      </c>
      <c r="T107" s="48">
        <f>IF(AND( C26="Buy", ISBLANK(W26), B26&lt;&gt;"DIV", NOW()-A26 &gt; 365), (1-Index!$F$2*2)*((J26*D26)-(E26*D26)), "")</f>
        <v/>
      </c>
      <c r="U107" s="48">
        <f>IF(AND( C26="Buy", ISBLANK(W26), B26&lt;&gt;"DIV", NOW()-A26 &gt; 365), ((E26*D26)+T26), "")</f>
        <v/>
      </c>
      <c r="V107" s="48">
        <f>IF(AND( C26="Buy", ISBLANK(W26), B26&lt;&gt;"DIV", NOW()-A26 &gt; 365), D26, "")</f>
        <v/>
      </c>
      <c r="W107" s="41" t="n">
        <v>312.81</v>
      </c>
      <c r="X107" s="38" t="n">
        <v>45811</v>
      </c>
      <c r="Y107" s="47">
        <f>IF(AND( C26="Buy", W26&lt;&gt;"", AA26&lt;&gt;"", B26&lt;&gt;"DIV"), Z26/sum(F26:I26), "")</f>
        <v/>
      </c>
      <c r="Z107" s="57">
        <f>(1-Index!$F$2*2)*((W26*D26)-(E26*D26))</f>
        <v/>
      </c>
      <c r="AA107" s="57">
        <f>((E26*D26)+Z26)</f>
        <v/>
      </c>
      <c r="AB107" s="58">
        <f>D26</f>
        <v/>
      </c>
      <c r="AC107" s="56">
        <f>if(B26="DIV", F26,"")</f>
        <v/>
      </c>
      <c r="AD107" s="53" t="n"/>
      <c r="AE107" s="59" t="n"/>
      <c r="AF107" s="59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</row>
    <row r="108">
      <c r="A108" s="38" t="n">
        <v>45722</v>
      </c>
      <c r="B108" s="39" t="inlineStr">
        <is>
          <t>NSE</t>
        </is>
      </c>
      <c r="C108" s="39" t="inlineStr">
        <is>
          <t>Buy</t>
        </is>
      </c>
      <c r="D108" s="40" t="n">
        <v>1</v>
      </c>
      <c r="E108" s="41" t="n">
        <v>222.27</v>
      </c>
      <c r="F108" s="41" t="n">
        <v>222.27</v>
      </c>
      <c r="G108" s="39" t="inlineStr">
        <is>
          <t>~</t>
        </is>
      </c>
      <c r="H108" s="40" t="n">
        <v>0.22</v>
      </c>
      <c r="I108" s="40" t="n">
        <v>1.34</v>
      </c>
      <c r="J108" s="71">
        <f>Index!$C$2</f>
        <v/>
      </c>
      <c r="K108" s="44">
        <f>IF(AND( C27="Buy", ISBLANK(W27), B27&lt;&gt;"DIV"), L27/sum(F27:I27), "")</f>
        <v/>
      </c>
      <c r="L108" s="45">
        <f>IF(AND( C27="Buy", ISBLANK(W27), B27&lt;&gt;"DIV"), (1-Index!$F$2*2)*((J27*D27)-(E27*D27)), "")</f>
        <v/>
      </c>
      <c r="M108" s="45">
        <f>IF(AND( C27="Buy", ISBLANK(W27), B27&lt;&gt;"DIV"), ((E27*D27)+L27), "")</f>
        <v/>
      </c>
      <c r="N108" s="46">
        <f>IF(AND( C27="Buy", ISBLANK(W27), B27&lt;&gt;"DIV"), D27, "")</f>
        <v/>
      </c>
      <c r="O108" s="44">
        <f>IF(AND( C27="Buy", ISBLANK(W27), B27&lt;&gt;"DIV", NOW()-A27 &lt; 365), P27/sum(F27:I27), "")</f>
        <v/>
      </c>
      <c r="P108" s="45">
        <f>IF(AND( C27="Buy", ISBLANK(W27), B27&lt;&gt;"DIV", NOW()-A27 &lt; 365), (1-Index!$F$2*2)*((J27*D27)-(E27*D27)), "")</f>
        <v/>
      </c>
      <c r="Q108" s="45">
        <f>IF(AND( C27="Buy", ISBLANK(W27), B27&lt;&gt;"DIV", NOW()-A27 &lt; 365), ((E27*D27)+P27), "")</f>
        <v/>
      </c>
      <c r="R108" s="45">
        <f>IF(AND( C27="Buy", ISBLANK(W27), B27&lt;&gt;"DIV", NOW()-A27 &lt; 365), D27, "")</f>
        <v/>
      </c>
      <c r="S108" s="47">
        <f>IF(AND( C27="Buy", ISBLANK(W27), B27&lt;&gt;"DIV", NOW()-A27 &gt; 365), T27/sum(F27:I27), "")</f>
        <v/>
      </c>
      <c r="T108" s="48">
        <f>IF(AND( C27="Buy", ISBLANK(W27), B27&lt;&gt;"DIV", NOW()-A27 &gt; 365), (1-Index!$F$2*2)*((J27*D27)-(E27*D27)), "")</f>
        <v/>
      </c>
      <c r="U108" s="48">
        <f>IF(AND( C27="Buy", ISBLANK(W27), B27&lt;&gt;"DIV", NOW()-A27 &gt; 365), ((E27*D27)+T27), "")</f>
        <v/>
      </c>
      <c r="V108" s="48">
        <f>IF(AND( C27="Buy", ISBLANK(W27), B27&lt;&gt;"DIV", NOW()-A27 &gt; 365), D27, "")</f>
        <v/>
      </c>
      <c r="W108" s="41" t="n">
        <v>312.81</v>
      </c>
      <c r="X108" s="38" t="n">
        <v>45811</v>
      </c>
      <c r="Y108" s="47">
        <f>IF(AND( C27="Buy", W27&lt;&gt;"", AA27&lt;&gt;"", B27&lt;&gt;"DIV"), Z27/sum(F27:I27), "")</f>
        <v/>
      </c>
      <c r="Z108" s="57">
        <f>(1-Index!$F$2*2)*((W27*D27)-(E27*D27))</f>
        <v/>
      </c>
      <c r="AA108" s="57">
        <f>((E27*D27)+Z27)</f>
        <v/>
      </c>
      <c r="AB108" s="58">
        <f>D27</f>
        <v/>
      </c>
      <c r="AC108" s="56">
        <f>if(B27="DIV", F27,"")</f>
        <v/>
      </c>
      <c r="AD108" s="53" t="n"/>
      <c r="AE108" s="59" t="n"/>
      <c r="AF108" s="59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</row>
    <row r="109">
      <c r="A109" s="38" t="n">
        <v>45722</v>
      </c>
      <c r="B109" s="39" t="inlineStr">
        <is>
          <t>NSE</t>
        </is>
      </c>
      <c r="C109" s="39" t="inlineStr">
        <is>
          <t>Buy</t>
        </is>
      </c>
      <c r="D109" s="40" t="n">
        <v>1</v>
      </c>
      <c r="E109" s="41" t="n">
        <v>222.26</v>
      </c>
      <c r="F109" s="41" t="n">
        <v>222.26</v>
      </c>
      <c r="G109" s="39" t="inlineStr">
        <is>
          <t>~</t>
        </is>
      </c>
      <c r="H109" s="40" t="n">
        <v>0.22</v>
      </c>
      <c r="I109" s="40" t="n">
        <v>1.34</v>
      </c>
      <c r="J109" s="71">
        <f>Index!$C$2</f>
        <v/>
      </c>
      <c r="K109" s="44">
        <f>IF(AND( C28="Buy", ISBLANK(W28), B28&lt;&gt;"DIV"), L28/sum(F28:I28), "")</f>
        <v/>
      </c>
      <c r="L109" s="45">
        <f>IF(AND( C28="Buy", ISBLANK(W28), B28&lt;&gt;"DIV"), (1-Index!$F$2*2)*((J28*D28)-(E28*D28)), "")</f>
        <v/>
      </c>
      <c r="M109" s="45">
        <f>IF(AND( C28="Buy", ISBLANK(W28), B28&lt;&gt;"DIV"), ((E28*D28)+L28), "")</f>
        <v/>
      </c>
      <c r="N109" s="46">
        <f>IF(AND( C28="Buy", ISBLANK(W28), B28&lt;&gt;"DIV"), D28, "")</f>
        <v/>
      </c>
      <c r="O109" s="44">
        <f>IF(AND( C28="Buy", ISBLANK(W28), B28&lt;&gt;"DIV", NOW()-A28 &lt; 365), P28/sum(F28:I28), "")</f>
        <v/>
      </c>
      <c r="P109" s="45">
        <f>IF(AND( C28="Buy", ISBLANK(W28), B28&lt;&gt;"DIV", NOW()-A28 &lt; 365), (1-Index!$F$2*2)*((J28*D28)-(E28*D28)), "")</f>
        <v/>
      </c>
      <c r="Q109" s="45">
        <f>IF(AND( C28="Buy", ISBLANK(W28), B28&lt;&gt;"DIV", NOW()-A28 &lt; 365), ((E28*D28)+P28), "")</f>
        <v/>
      </c>
      <c r="R109" s="45">
        <f>IF(AND( C28="Buy", ISBLANK(W28), B28&lt;&gt;"DIV", NOW()-A28 &lt; 365), D28, "")</f>
        <v/>
      </c>
      <c r="S109" s="47">
        <f>IF(AND( C28="Buy", ISBLANK(W28), B28&lt;&gt;"DIV", NOW()-A28 &gt; 365), T28/sum(F28:I28), "")</f>
        <v/>
      </c>
      <c r="T109" s="48">
        <f>IF(AND( C28="Buy", ISBLANK(W28), B28&lt;&gt;"DIV", NOW()-A28 &gt; 365), (1-Index!$F$2*2)*((J28*D28)-(E28*D28)), "")</f>
        <v/>
      </c>
      <c r="U109" s="48">
        <f>IF(AND( C28="Buy", ISBLANK(W28), B28&lt;&gt;"DIV", NOW()-A28 &gt; 365), ((E28*D28)+T28), "")</f>
        <v/>
      </c>
      <c r="V109" s="48">
        <f>IF(AND( C28="Buy", ISBLANK(W28), B28&lt;&gt;"DIV", NOW()-A28 &gt; 365), D28, "")</f>
        <v/>
      </c>
      <c r="W109" s="41" t="n">
        <v>312.81</v>
      </c>
      <c r="X109" s="38" t="n">
        <v>45811</v>
      </c>
      <c r="Y109" s="47">
        <f>IF(AND( C28="Buy", W28&lt;&gt;"", AA28&lt;&gt;"", B28&lt;&gt;"DIV"), Z28/sum(F28:I28), "")</f>
        <v/>
      </c>
      <c r="Z109" s="57">
        <f>(1-Index!$F$2*2)*((W28*D28)-(E28*D28))</f>
        <v/>
      </c>
      <c r="AA109" s="57">
        <f>((E28*D28)+Z28)</f>
        <v/>
      </c>
      <c r="AB109" s="58">
        <f>D28</f>
        <v/>
      </c>
      <c r="AC109" s="56">
        <f>if(B28="DIV", F28,"")</f>
        <v/>
      </c>
      <c r="AD109" s="53" t="n"/>
      <c r="AE109" s="59" t="n"/>
      <c r="AF109" s="59" t="n"/>
      <c r="AG109" s="59" t="n"/>
      <c r="AH109" s="59" t="n"/>
      <c r="AI109" s="59" t="n"/>
      <c r="AJ109" s="59" t="n"/>
      <c r="AK109" s="59" t="n"/>
      <c r="AL109" s="59" t="n"/>
      <c r="AM109" s="59" t="n"/>
      <c r="AN109" s="59" t="n"/>
      <c r="AO109" s="59" t="n"/>
      <c r="AP109" s="59" t="n"/>
    </row>
    <row r="110">
      <c r="A110" s="38" t="n">
        <v>45722</v>
      </c>
      <c r="B110" s="39" t="inlineStr">
        <is>
          <t>NSE</t>
        </is>
      </c>
      <c r="C110" s="39" t="inlineStr">
        <is>
          <t>Buy</t>
        </is>
      </c>
      <c r="D110" s="40" t="n">
        <v>8</v>
      </c>
      <c r="E110" s="41" t="n">
        <v>222.29</v>
      </c>
      <c r="F110" s="41" t="n">
        <v>1778.3</v>
      </c>
      <c r="G110" s="39" t="inlineStr">
        <is>
          <t>~</t>
        </is>
      </c>
      <c r="H110" s="40" t="n">
        <v>1.78</v>
      </c>
      <c r="I110" s="40" t="n">
        <v>10.68</v>
      </c>
      <c r="J110" s="71">
        <f>Index!$C$2</f>
        <v/>
      </c>
      <c r="K110" s="44">
        <f>IF(AND( C29="Buy", ISBLANK(W29), B29&lt;&gt;"DIV"), L29/sum(F29:I29), "")</f>
        <v/>
      </c>
      <c r="L110" s="45">
        <f>IF(AND( C29="Buy", ISBLANK(W29), B29&lt;&gt;"DIV"), (1-Index!$F$2*2)*((J29*D29)-(E29*D29)), "")</f>
        <v/>
      </c>
      <c r="M110" s="45">
        <f>IF(AND( C29="Buy", ISBLANK(W29), B29&lt;&gt;"DIV"), ((E29*D29)+L29), "")</f>
        <v/>
      </c>
      <c r="N110" s="46">
        <f>IF(AND( C29="Buy", ISBLANK(W29), B29&lt;&gt;"DIV"), D29, "")</f>
        <v/>
      </c>
      <c r="O110" s="44">
        <f>IF(AND( C29="Buy", ISBLANK(W29), B29&lt;&gt;"DIV", NOW()-A29 &lt; 365), P29/sum(F29:I29), "")</f>
        <v/>
      </c>
      <c r="P110" s="45">
        <f>IF(AND( C29="Buy", ISBLANK(W29), B29&lt;&gt;"DIV", NOW()-A29 &lt; 365), (1-Index!$F$2*2)*((J29*D29)-(E29*D29)), "")</f>
        <v/>
      </c>
      <c r="Q110" s="45">
        <f>IF(AND( C29="Buy", ISBLANK(W29), B29&lt;&gt;"DIV", NOW()-A29 &lt; 365), ((E29*D29)+P29), "")</f>
        <v/>
      </c>
      <c r="R110" s="45">
        <f>IF(AND( C29="Buy", ISBLANK(W29), B29&lt;&gt;"DIV", NOW()-A29 &lt; 365), D29, "")</f>
        <v/>
      </c>
      <c r="S110" s="47">
        <f>IF(AND( C29="Buy", ISBLANK(W29), B29&lt;&gt;"DIV", NOW()-A29 &gt; 365), T29/sum(F29:I29), "")</f>
        <v/>
      </c>
      <c r="T110" s="48">
        <f>IF(AND( C29="Buy", ISBLANK(W29), B29&lt;&gt;"DIV", NOW()-A29 &gt; 365), (1-Index!$F$2*2)*((J29*D29)-(E29*D29)), "")</f>
        <v/>
      </c>
      <c r="U110" s="48">
        <f>IF(AND( C29="Buy", ISBLANK(W29), B29&lt;&gt;"DIV", NOW()-A29 &gt; 365), ((E29*D29)+T29), "")</f>
        <v/>
      </c>
      <c r="V110" s="48">
        <f>IF(AND( C29="Buy", ISBLANK(W29), B29&lt;&gt;"DIV", NOW()-A29 &gt; 365), D29, "")</f>
        <v/>
      </c>
      <c r="W110" s="41" t="n">
        <v>312.81</v>
      </c>
      <c r="X110" s="38" t="n">
        <v>45811</v>
      </c>
      <c r="Y110" s="47">
        <f>IF(AND( C29="Buy", W29&lt;&gt;"", AA29&lt;&gt;"", B29&lt;&gt;"DIV"), Z29/sum(F29:I29), "")</f>
        <v/>
      </c>
      <c r="Z110" s="57">
        <f>(1-Index!$F$2*2)*((W29*D29)-(E29*D29))</f>
        <v/>
      </c>
      <c r="AA110" s="57">
        <f>((E29*D29)+Z29)</f>
        <v/>
      </c>
      <c r="AB110" s="58">
        <f>D29</f>
        <v/>
      </c>
      <c r="AC110" s="56">
        <f>if(B29="DIV", F29,"")</f>
        <v/>
      </c>
      <c r="AD110" s="53" t="n"/>
      <c r="AE110" s="59" t="n"/>
      <c r="AF110" s="59" t="n"/>
      <c r="AG110" s="59" t="n"/>
      <c r="AH110" s="59" t="n"/>
      <c r="AI110" s="59" t="n"/>
      <c r="AJ110" s="59" t="n"/>
      <c r="AK110" s="59" t="n"/>
      <c r="AL110" s="59" t="n"/>
      <c r="AM110" s="59" t="n"/>
      <c r="AN110" s="59" t="n"/>
      <c r="AO110" s="59" t="n"/>
      <c r="AP110" s="59" t="n"/>
    </row>
    <row r="111">
      <c r="A111" s="38" t="n">
        <v>45722</v>
      </c>
      <c r="B111" s="39" t="inlineStr">
        <is>
          <t>NSE</t>
        </is>
      </c>
      <c r="C111" s="39" t="inlineStr">
        <is>
          <t>Buy</t>
        </is>
      </c>
      <c r="D111" s="40" t="n">
        <v>1</v>
      </c>
      <c r="E111" s="41" t="n">
        <v>222.33</v>
      </c>
      <c r="F111" s="41" t="n">
        <v>222.33</v>
      </c>
      <c r="G111" s="39" t="inlineStr">
        <is>
          <t>~</t>
        </is>
      </c>
      <c r="H111" s="40" t="n">
        <v>0.22</v>
      </c>
      <c r="I111" s="40" t="n">
        <v>1.34</v>
      </c>
      <c r="J111" s="71">
        <f>Index!$C$2</f>
        <v/>
      </c>
      <c r="K111" s="44">
        <f>IF(AND( C30="Buy", ISBLANK(W30), B30&lt;&gt;"DIV"), L30/sum(F30:I30), "")</f>
        <v/>
      </c>
      <c r="L111" s="45">
        <f>IF(AND( C30="Buy", ISBLANK(W30), B30&lt;&gt;"DIV"), (1-Index!$F$2*2)*((J30*D30)-(E30*D30)), "")</f>
        <v/>
      </c>
      <c r="M111" s="45">
        <f>IF(AND( C30="Buy", ISBLANK(W30), B30&lt;&gt;"DIV"), ((E30*D30)+L30), "")</f>
        <v/>
      </c>
      <c r="N111" s="46">
        <f>IF(AND( C30="Buy", ISBLANK(W30), B30&lt;&gt;"DIV"), D30, "")</f>
        <v/>
      </c>
      <c r="O111" s="44">
        <f>IF(AND( C30="Buy", ISBLANK(W30), B30&lt;&gt;"DIV", NOW()-A30 &lt; 365), P30/sum(F30:I30), "")</f>
        <v/>
      </c>
      <c r="P111" s="45">
        <f>IF(AND( C30="Buy", ISBLANK(W30), B30&lt;&gt;"DIV", NOW()-A30 &lt; 365), (1-Index!$F$2*2)*((J30*D30)-(E30*D30)), "")</f>
        <v/>
      </c>
      <c r="Q111" s="45">
        <f>IF(AND( C30="Buy", ISBLANK(W30), B30&lt;&gt;"DIV", NOW()-A30 &lt; 365), ((E30*D30)+P30), "")</f>
        <v/>
      </c>
      <c r="R111" s="45">
        <f>IF(AND( C30="Buy", ISBLANK(W30), B30&lt;&gt;"DIV", NOW()-A30 &lt; 365), D30, "")</f>
        <v/>
      </c>
      <c r="S111" s="47">
        <f>IF(AND( C30="Buy", ISBLANK(W30), B30&lt;&gt;"DIV", NOW()-A30 &gt; 365), T30/sum(F30:I30), "")</f>
        <v/>
      </c>
      <c r="T111" s="48">
        <f>IF(AND( C30="Buy", ISBLANK(W30), B30&lt;&gt;"DIV", NOW()-A30 &gt; 365), (1-Index!$F$2*2)*((J30*D30)-(E30*D30)), "")</f>
        <v/>
      </c>
      <c r="U111" s="48">
        <f>IF(AND( C30="Buy", ISBLANK(W30), B30&lt;&gt;"DIV", NOW()-A30 &gt; 365), ((E30*D30)+T30), "")</f>
        <v/>
      </c>
      <c r="V111" s="48">
        <f>IF(AND( C30="Buy", ISBLANK(W30), B30&lt;&gt;"DIV", NOW()-A30 &gt; 365), D30, "")</f>
        <v/>
      </c>
      <c r="W111" s="41" t="n">
        <v>312.81</v>
      </c>
      <c r="X111" s="38" t="n">
        <v>45811</v>
      </c>
      <c r="Y111" s="47">
        <f>IF(AND( C30="Buy", W30&lt;&gt;"", AA30&lt;&gt;"", B30&lt;&gt;"DIV"), Z30/sum(F30:I30), "")</f>
        <v/>
      </c>
      <c r="Z111" s="57">
        <f>(1-Index!$F$2*2)*((W30*D30)-(E30*D30))</f>
        <v/>
      </c>
      <c r="AA111" s="57">
        <f>((E30*D30)+Z30)</f>
        <v/>
      </c>
      <c r="AB111" s="58">
        <f>D30</f>
        <v/>
      </c>
      <c r="AC111" s="56">
        <f>if(B30="DIV", F30,"")</f>
        <v/>
      </c>
      <c r="AD111" s="53" t="n"/>
      <c r="AE111" s="59" t="n"/>
      <c r="AF111" s="59" t="n"/>
      <c r="AG111" s="59" t="n"/>
      <c r="AH111" s="59" t="n"/>
      <c r="AI111" s="59" t="n"/>
      <c r="AJ111" s="59" t="n"/>
      <c r="AK111" s="59" t="n"/>
      <c r="AL111" s="59" t="n"/>
      <c r="AM111" s="59" t="n"/>
      <c r="AN111" s="59" t="n"/>
      <c r="AO111" s="59" t="n"/>
      <c r="AP111" s="59" t="n"/>
    </row>
    <row r="112">
      <c r="A112" s="38" t="n">
        <v>45722</v>
      </c>
      <c r="B112" s="39" t="inlineStr">
        <is>
          <t>NSE</t>
        </is>
      </c>
      <c r="C112" s="39" t="inlineStr">
        <is>
          <t>Buy</t>
        </is>
      </c>
      <c r="D112" s="40" t="n">
        <v>2</v>
      </c>
      <c r="E112" s="41" t="n">
        <v>222.25</v>
      </c>
      <c r="F112" s="41" t="n">
        <v>444.5</v>
      </c>
      <c r="G112" s="39" t="inlineStr">
        <is>
          <t>~</t>
        </is>
      </c>
      <c r="H112" s="40" t="n">
        <v>0.44</v>
      </c>
      <c r="I112" s="40" t="n">
        <v>2.68</v>
      </c>
      <c r="J112" s="71">
        <f>Index!$C$2</f>
        <v/>
      </c>
      <c r="K112" s="44">
        <f>IF(AND( C31="Buy", ISBLANK(W31), B31&lt;&gt;"DIV"), L31/sum(F31:I31), "")</f>
        <v/>
      </c>
      <c r="L112" s="45">
        <f>IF(AND( C31="Buy", ISBLANK(W31), B31&lt;&gt;"DIV"), (1-Index!$F$2*2)*((J31*D31)-(E31*D31)), "")</f>
        <v/>
      </c>
      <c r="M112" s="45">
        <f>IF(AND( C31="Buy", ISBLANK(W31), B31&lt;&gt;"DIV"), ((E31*D31)+L31), "")</f>
        <v/>
      </c>
      <c r="N112" s="46">
        <f>IF(AND( C31="Buy", ISBLANK(W31), B31&lt;&gt;"DIV"), D31, "")</f>
        <v/>
      </c>
      <c r="O112" s="44">
        <f>IF(AND( C31="Buy", ISBLANK(W31), B31&lt;&gt;"DIV", NOW()-A31 &lt; 365), P31/sum(F31:I31), "")</f>
        <v/>
      </c>
      <c r="P112" s="45">
        <f>IF(AND( C31="Buy", ISBLANK(W31), B31&lt;&gt;"DIV", NOW()-A31 &lt; 365), (1-Index!$F$2*2)*((J31*D31)-(E31*D31)), "")</f>
        <v/>
      </c>
      <c r="Q112" s="45">
        <f>IF(AND( C31="Buy", ISBLANK(W31), B31&lt;&gt;"DIV", NOW()-A31 &lt; 365), ((E31*D31)+P31), "")</f>
        <v/>
      </c>
      <c r="R112" s="45">
        <f>IF(AND( C31="Buy", ISBLANK(W31), B31&lt;&gt;"DIV", NOW()-A31 &lt; 365), D31, "")</f>
        <v/>
      </c>
      <c r="S112" s="47">
        <f>IF(AND( C31="Buy", ISBLANK(W31), B31&lt;&gt;"DIV", NOW()-A31 &gt; 365), T31/sum(F31:I31), "")</f>
        <v/>
      </c>
      <c r="T112" s="48">
        <f>IF(AND( C31="Buy", ISBLANK(W31), B31&lt;&gt;"DIV", NOW()-A31 &gt; 365), (1-Index!$F$2*2)*((J31*D31)-(E31*D31)), "")</f>
        <v/>
      </c>
      <c r="U112" s="48">
        <f>IF(AND( C31="Buy", ISBLANK(W31), B31&lt;&gt;"DIV", NOW()-A31 &gt; 365), ((E31*D31)+T31), "")</f>
        <v/>
      </c>
      <c r="V112" s="48">
        <f>IF(AND( C31="Buy", ISBLANK(W31), B31&lt;&gt;"DIV", NOW()-A31 &gt; 365), D31, "")</f>
        <v/>
      </c>
      <c r="W112" s="41" t="n">
        <v>312.81</v>
      </c>
      <c r="X112" s="38" t="n">
        <v>45811</v>
      </c>
      <c r="Y112" s="47">
        <f>IF(AND( C31="Buy", W31&lt;&gt;"", AA31&lt;&gt;"", B31&lt;&gt;"DIV"), Z31/sum(F31:I31), "")</f>
        <v/>
      </c>
      <c r="Z112" s="57">
        <f>(1-Index!$F$2*2)*((W31*D31)-(E31*D31))</f>
        <v/>
      </c>
      <c r="AA112" s="57">
        <f>((E31*D31)+Z31)</f>
        <v/>
      </c>
      <c r="AB112" s="58">
        <f>D31</f>
        <v/>
      </c>
      <c r="AC112" s="56">
        <f>if(B31="DIV", F31,"")</f>
        <v/>
      </c>
      <c r="AD112" s="53" t="n"/>
      <c r="AE112" s="59" t="n"/>
      <c r="AF112" s="59" t="n"/>
      <c r="AG112" s="59" t="n"/>
      <c r="AH112" s="59" t="n"/>
      <c r="AI112" s="59" t="n"/>
      <c r="AJ112" s="59" t="n"/>
      <c r="AK112" s="59" t="n"/>
      <c r="AL112" s="59" t="n"/>
      <c r="AM112" s="59" t="n"/>
      <c r="AN112" s="59" t="n"/>
      <c r="AO112" s="59" t="n"/>
      <c r="AP112" s="59" t="n"/>
    </row>
    <row r="113">
      <c r="A113" s="38" t="n">
        <v>45722</v>
      </c>
      <c r="B113" s="39" t="inlineStr">
        <is>
          <t>NSE</t>
        </is>
      </c>
      <c r="C113" s="39" t="inlineStr">
        <is>
          <t>Buy</t>
        </is>
      </c>
      <c r="D113" s="40" t="n">
        <v>8</v>
      </c>
      <c r="E113" s="41" t="n">
        <v>222.33</v>
      </c>
      <c r="F113" s="41" t="n">
        <v>1778.62</v>
      </c>
      <c r="G113" s="39" t="inlineStr">
        <is>
          <t>~</t>
        </is>
      </c>
      <c r="H113" s="40" t="n">
        <v>1.78</v>
      </c>
      <c r="I113" s="40" t="n">
        <v>10.68</v>
      </c>
      <c r="J113" s="71">
        <f>Index!$C$2</f>
        <v/>
      </c>
      <c r="K113" s="44">
        <f>IF(AND( C32="Buy", ISBLANK(W32), B32&lt;&gt;"DIV"), L32/sum(F32:I32), "")</f>
        <v/>
      </c>
      <c r="L113" s="45">
        <f>IF(AND( C32="Buy", ISBLANK(W32), B32&lt;&gt;"DIV"), (1-Index!$F$2*2)*((J32*D32)-(E32*D32)), "")</f>
        <v/>
      </c>
      <c r="M113" s="45">
        <f>IF(AND( C32="Buy", ISBLANK(W32), B32&lt;&gt;"DIV"), ((E32*D32)+L32), "")</f>
        <v/>
      </c>
      <c r="N113" s="46">
        <f>IF(AND( C32="Buy", ISBLANK(W32), B32&lt;&gt;"DIV"), D32, "")</f>
        <v/>
      </c>
      <c r="O113" s="44">
        <f>IF(AND( C32="Buy", ISBLANK(W32), B32&lt;&gt;"DIV", NOW()-A32 &lt; 365), P32/sum(F32:I32), "")</f>
        <v/>
      </c>
      <c r="P113" s="45">
        <f>IF(AND( C32="Buy", ISBLANK(W32), B32&lt;&gt;"DIV", NOW()-A32 &lt; 365), (1-Index!$F$2*2)*((J32*D32)-(E32*D32)), "")</f>
        <v/>
      </c>
      <c r="Q113" s="45">
        <f>IF(AND( C32="Buy", ISBLANK(W32), B32&lt;&gt;"DIV", NOW()-A32 &lt; 365), ((E32*D32)+P32), "")</f>
        <v/>
      </c>
      <c r="R113" s="45">
        <f>IF(AND( C32="Buy", ISBLANK(W32), B32&lt;&gt;"DIV", NOW()-A32 &lt; 365), D32, "")</f>
        <v/>
      </c>
      <c r="S113" s="47">
        <f>IF(AND( C32="Buy", ISBLANK(W32), B32&lt;&gt;"DIV", NOW()-A32 &gt; 365), T32/sum(F32:I32), "")</f>
        <v/>
      </c>
      <c r="T113" s="48">
        <f>IF(AND( C32="Buy", ISBLANK(W32), B32&lt;&gt;"DIV", NOW()-A32 &gt; 365), (1-Index!$F$2*2)*((J32*D32)-(E32*D32)), "")</f>
        <v/>
      </c>
      <c r="U113" s="48">
        <f>IF(AND( C32="Buy", ISBLANK(W32), B32&lt;&gt;"DIV", NOW()-A32 &gt; 365), ((E32*D32)+T32), "")</f>
        <v/>
      </c>
      <c r="V113" s="48">
        <f>IF(AND( C32="Buy", ISBLANK(W32), B32&lt;&gt;"DIV", NOW()-A32 &gt; 365), D32, "")</f>
        <v/>
      </c>
      <c r="W113" s="41" t="n">
        <v>312.81</v>
      </c>
      <c r="X113" s="38" t="n">
        <v>45811</v>
      </c>
      <c r="Y113" s="47">
        <f>IF(AND( C32="Buy", W32&lt;&gt;"", AA32&lt;&gt;"", B32&lt;&gt;"DIV"), Z32/sum(F32:I32), "")</f>
        <v/>
      </c>
      <c r="Z113" s="57">
        <f>(1-Index!$F$2*2)*((W32*D32)-(E32*D32))</f>
        <v/>
      </c>
      <c r="AA113" s="57">
        <f>((E32*D32)+Z32)</f>
        <v/>
      </c>
      <c r="AB113" s="58">
        <f>D32</f>
        <v/>
      </c>
      <c r="AC113" s="56">
        <f>if(B32="DIV", F32,"")</f>
        <v/>
      </c>
      <c r="AD113" s="53" t="n"/>
      <c r="AE113" s="59" t="n"/>
      <c r="AF113" s="59" t="n"/>
      <c r="AG113" s="59" t="n"/>
      <c r="AH113" s="59" t="n"/>
      <c r="AI113" s="59" t="n"/>
      <c r="AJ113" s="59" t="n"/>
      <c r="AK113" s="59" t="n"/>
      <c r="AL113" s="59" t="n"/>
      <c r="AM113" s="59" t="n"/>
      <c r="AN113" s="59" t="n"/>
      <c r="AO113" s="59" t="n"/>
      <c r="AP113" s="59" t="n"/>
    </row>
    <row r="114">
      <c r="A114" s="38" t="n">
        <v>45722</v>
      </c>
      <c r="B114" s="39" t="inlineStr">
        <is>
          <t>NSE</t>
        </is>
      </c>
      <c r="C114" s="39" t="inlineStr">
        <is>
          <t>Buy</t>
        </is>
      </c>
      <c r="D114" s="40" t="n">
        <v>1</v>
      </c>
      <c r="E114" s="41" t="n">
        <v>222.25</v>
      </c>
      <c r="F114" s="41" t="n">
        <v>222.25</v>
      </c>
      <c r="G114" s="39" t="inlineStr">
        <is>
          <t>~</t>
        </is>
      </c>
      <c r="H114" s="40" t="n">
        <v>0.22</v>
      </c>
      <c r="I114" s="40" t="n">
        <v>1.34</v>
      </c>
      <c r="J114" s="71">
        <f>Index!$C$2</f>
        <v/>
      </c>
      <c r="K114" s="44">
        <f>IF(AND( C33="Buy", ISBLANK(W33), B33&lt;&gt;"DIV"), L33/sum(F33:I33), "")</f>
        <v/>
      </c>
      <c r="L114" s="45">
        <f>IF(AND( C33="Buy", ISBLANK(W33), B33&lt;&gt;"DIV"), (1-Index!$F$2*2)*((J33*D33)-(E33*D33)), "")</f>
        <v/>
      </c>
      <c r="M114" s="45">
        <f>IF(AND( C33="Buy", ISBLANK(W33), B33&lt;&gt;"DIV"), ((E33*D33)+L33), "")</f>
        <v/>
      </c>
      <c r="N114" s="46">
        <f>IF(AND( C33="Buy", ISBLANK(W33), B33&lt;&gt;"DIV"), D33, "")</f>
        <v/>
      </c>
      <c r="O114" s="44">
        <f>IF(AND( C33="Buy", ISBLANK(W33), B33&lt;&gt;"DIV", NOW()-A33 &lt; 365), P33/sum(F33:I33), "")</f>
        <v/>
      </c>
      <c r="P114" s="45">
        <f>IF(AND( C33="Buy", ISBLANK(W33), B33&lt;&gt;"DIV", NOW()-A33 &lt; 365), (1-Index!$F$2*2)*((J33*D33)-(E33*D33)), "")</f>
        <v/>
      </c>
      <c r="Q114" s="45">
        <f>IF(AND( C33="Buy", ISBLANK(W33), B33&lt;&gt;"DIV", NOW()-A33 &lt; 365), ((E33*D33)+P33), "")</f>
        <v/>
      </c>
      <c r="R114" s="45">
        <f>IF(AND( C33="Buy", ISBLANK(W33), B33&lt;&gt;"DIV", NOW()-A33 &lt; 365), D33, "")</f>
        <v/>
      </c>
      <c r="S114" s="47">
        <f>IF(AND( C33="Buy", ISBLANK(W33), B33&lt;&gt;"DIV", NOW()-A33 &gt; 365), T33/sum(F33:I33), "")</f>
        <v/>
      </c>
      <c r="T114" s="48">
        <f>IF(AND( C33="Buy", ISBLANK(W33), B33&lt;&gt;"DIV", NOW()-A33 &gt; 365), (1-Index!$F$2*2)*((J33*D33)-(E33*D33)), "")</f>
        <v/>
      </c>
      <c r="U114" s="48">
        <f>IF(AND( C33="Buy", ISBLANK(W33), B33&lt;&gt;"DIV", NOW()-A33 &gt; 365), ((E33*D33)+T33), "")</f>
        <v/>
      </c>
      <c r="V114" s="48">
        <f>IF(AND( C33="Buy", ISBLANK(W33), B33&lt;&gt;"DIV", NOW()-A33 &gt; 365), D33, "")</f>
        <v/>
      </c>
      <c r="W114" s="41" t="n">
        <v>312.81</v>
      </c>
      <c r="X114" s="38" t="n">
        <v>45811</v>
      </c>
      <c r="Y114" s="47">
        <f>IF(AND( C33="Buy", W33&lt;&gt;"", AA33&lt;&gt;"", B33&lt;&gt;"DIV"), Z33/sum(F33:I33), "")</f>
        <v/>
      </c>
      <c r="Z114" s="57">
        <f>(1-Index!$F$2*2)*((W33*D33)-(E33*D33))</f>
        <v/>
      </c>
      <c r="AA114" s="57">
        <f>((E33*D33)+Z33)</f>
        <v/>
      </c>
      <c r="AB114" s="58">
        <f>D33</f>
        <v/>
      </c>
      <c r="AC114" s="56">
        <f>if(B33="DIV", F33,"")</f>
        <v/>
      </c>
      <c r="AD114" s="53" t="n"/>
      <c r="AE114" s="59" t="n"/>
      <c r="AF114" s="59" t="n"/>
      <c r="AG114" s="59" t="n"/>
      <c r="AH114" s="59" t="n"/>
      <c r="AI114" s="59" t="n"/>
      <c r="AJ114" s="59" t="n"/>
      <c r="AK114" s="59" t="n"/>
      <c r="AL114" s="59" t="n"/>
      <c r="AM114" s="59" t="n"/>
      <c r="AN114" s="59" t="n"/>
      <c r="AO114" s="59" t="n"/>
      <c r="AP114" s="59" t="n"/>
    </row>
    <row r="115">
      <c r="A115" s="38" t="n">
        <v>45722</v>
      </c>
      <c r="B115" s="39" t="inlineStr">
        <is>
          <t>NSE</t>
        </is>
      </c>
      <c r="C115" s="39" t="inlineStr">
        <is>
          <t>Buy</t>
        </is>
      </c>
      <c r="D115" s="40" t="n">
        <v>1</v>
      </c>
      <c r="E115" s="41" t="n">
        <v>222.3</v>
      </c>
      <c r="F115" s="41" t="n">
        <v>222.3</v>
      </c>
      <c r="G115" s="39" t="inlineStr">
        <is>
          <t>~</t>
        </is>
      </c>
      <c r="H115" s="40" t="n">
        <v>0.22</v>
      </c>
      <c r="I115" s="40" t="n">
        <v>1.34</v>
      </c>
      <c r="J115" s="71">
        <f>Index!$C$2</f>
        <v/>
      </c>
      <c r="K115" s="44">
        <f>IF(AND( C34="Buy", ISBLANK(W34), B34&lt;&gt;"DIV"), L34/sum(F34:I34), "")</f>
        <v/>
      </c>
      <c r="L115" s="45">
        <f>IF(AND( C34="Buy", ISBLANK(W34), B34&lt;&gt;"DIV"), (1-Index!$F$2*2)*((J34*D34)-(E34*D34)), "")</f>
        <v/>
      </c>
      <c r="M115" s="45">
        <f>IF(AND( C34="Buy", ISBLANK(W34), B34&lt;&gt;"DIV"), ((E34*D34)+L34), "")</f>
        <v/>
      </c>
      <c r="N115" s="46">
        <f>IF(AND( C34="Buy", ISBLANK(W34), B34&lt;&gt;"DIV"), D34, "")</f>
        <v/>
      </c>
      <c r="O115" s="44">
        <f>IF(AND( C34="Buy", ISBLANK(W34), B34&lt;&gt;"DIV", NOW()-A34 &lt; 365), P34/sum(F34:I34), "")</f>
        <v/>
      </c>
      <c r="P115" s="45">
        <f>IF(AND( C34="Buy", ISBLANK(W34), B34&lt;&gt;"DIV", NOW()-A34 &lt; 365), (1-Index!$F$2*2)*((J34*D34)-(E34*D34)), "")</f>
        <v/>
      </c>
      <c r="Q115" s="45">
        <f>IF(AND( C34="Buy", ISBLANK(W34), B34&lt;&gt;"DIV", NOW()-A34 &lt; 365), ((E34*D34)+P34), "")</f>
        <v/>
      </c>
      <c r="R115" s="45">
        <f>IF(AND( C34="Buy", ISBLANK(W34), B34&lt;&gt;"DIV", NOW()-A34 &lt; 365), D34, "")</f>
        <v/>
      </c>
      <c r="S115" s="47">
        <f>IF(AND( C34="Buy", ISBLANK(W34), B34&lt;&gt;"DIV", NOW()-A34 &gt; 365), T34/sum(F34:I34), "")</f>
        <v/>
      </c>
      <c r="T115" s="48">
        <f>IF(AND( C34="Buy", ISBLANK(W34), B34&lt;&gt;"DIV", NOW()-A34 &gt; 365), (1-Index!$F$2*2)*((J34*D34)-(E34*D34)), "")</f>
        <v/>
      </c>
      <c r="U115" s="48">
        <f>IF(AND( C34="Buy", ISBLANK(W34), B34&lt;&gt;"DIV", NOW()-A34 &gt; 365), ((E34*D34)+T34), "")</f>
        <v/>
      </c>
      <c r="V115" s="48">
        <f>IF(AND( C34="Buy", ISBLANK(W34), B34&lt;&gt;"DIV", NOW()-A34 &gt; 365), D34, "")</f>
        <v/>
      </c>
      <c r="W115" s="41" t="n">
        <v>312.81</v>
      </c>
      <c r="X115" s="38" t="n">
        <v>45811</v>
      </c>
      <c r="Y115" s="47">
        <f>IF(AND( C34="Buy", W34&lt;&gt;"", AA34&lt;&gt;"", B34&lt;&gt;"DIV"), Z34/sum(F34:I34), "")</f>
        <v/>
      </c>
      <c r="Z115" s="57">
        <f>(1-Index!$F$2*2)*((W34*D34)-(E34*D34))</f>
        <v/>
      </c>
      <c r="AA115" s="57">
        <f>((E34*D34)+Z34)</f>
        <v/>
      </c>
      <c r="AB115" s="58">
        <f>D34</f>
        <v/>
      </c>
      <c r="AC115" s="56">
        <f>if(B34="DIV", F34,"")</f>
        <v/>
      </c>
      <c r="AD115" s="53" t="n"/>
      <c r="AE115" s="59" t="n"/>
      <c r="AF115" s="59" t="n"/>
      <c r="AG115" s="59" t="n"/>
      <c r="AH115" s="59" t="n"/>
      <c r="AI115" s="59" t="n"/>
      <c r="AJ115" s="59" t="n"/>
      <c r="AK115" s="59" t="n"/>
      <c r="AL115" s="59" t="n"/>
      <c r="AM115" s="59" t="n"/>
      <c r="AN115" s="59" t="n"/>
      <c r="AO115" s="59" t="n"/>
      <c r="AP115" s="59" t="n"/>
    </row>
    <row r="116">
      <c r="A116" s="38" t="n">
        <v>45722</v>
      </c>
      <c r="B116" s="39" t="inlineStr">
        <is>
          <t>NSE</t>
        </is>
      </c>
      <c r="C116" s="39" t="inlineStr">
        <is>
          <t>Buy</t>
        </is>
      </c>
      <c r="D116" s="40" t="n">
        <v>10</v>
      </c>
      <c r="E116" s="41" t="n">
        <v>222.34</v>
      </c>
      <c r="F116" s="41" t="n">
        <v>2223.41</v>
      </c>
      <c r="G116" s="39" t="inlineStr">
        <is>
          <t>~</t>
        </is>
      </c>
      <c r="H116" s="40" t="n">
        <v>2.22</v>
      </c>
      <c r="I116" s="40" t="n">
        <v>13.39</v>
      </c>
      <c r="J116" s="71">
        <f>Index!$C$2</f>
        <v/>
      </c>
      <c r="K116" s="44">
        <f>IF(AND( C35="Buy", ISBLANK(W35), B35&lt;&gt;"DIV"), L35/sum(F35:I35), "")</f>
        <v/>
      </c>
      <c r="L116" s="45">
        <f>IF(AND( C35="Buy", ISBLANK(W35), B35&lt;&gt;"DIV"), (1-Index!$F$2*2)*((J35*D35)-(E35*D35)), "")</f>
        <v/>
      </c>
      <c r="M116" s="45">
        <f>IF(AND( C35="Buy", ISBLANK(W35), B35&lt;&gt;"DIV"), ((E35*D35)+L35), "")</f>
        <v/>
      </c>
      <c r="N116" s="46">
        <f>IF(AND( C35="Buy", ISBLANK(W35), B35&lt;&gt;"DIV"), D35, "")</f>
        <v/>
      </c>
      <c r="O116" s="44">
        <f>IF(AND( C35="Buy", ISBLANK(W35), B35&lt;&gt;"DIV", NOW()-A35 &lt; 365), P35/sum(F35:I35), "")</f>
        <v/>
      </c>
      <c r="P116" s="45">
        <f>IF(AND( C35="Buy", ISBLANK(W35), B35&lt;&gt;"DIV", NOW()-A35 &lt; 365), (1-Index!$F$2*2)*((J35*D35)-(E35*D35)), "")</f>
        <v/>
      </c>
      <c r="Q116" s="45">
        <f>IF(AND( C35="Buy", ISBLANK(W35), B35&lt;&gt;"DIV", NOW()-A35 &lt; 365), ((E35*D35)+P35), "")</f>
        <v/>
      </c>
      <c r="R116" s="45">
        <f>IF(AND( C35="Buy", ISBLANK(W35), B35&lt;&gt;"DIV", NOW()-A35 &lt; 365), D35, "")</f>
        <v/>
      </c>
      <c r="S116" s="47">
        <f>IF(AND( C35="Buy", ISBLANK(W35), B35&lt;&gt;"DIV", NOW()-A35 &gt; 365), T35/sum(F35:I35), "")</f>
        <v/>
      </c>
      <c r="T116" s="48">
        <f>IF(AND( C35="Buy", ISBLANK(W35), B35&lt;&gt;"DIV", NOW()-A35 &gt; 365), (1-Index!$F$2*2)*((J35*D35)-(E35*D35)), "")</f>
        <v/>
      </c>
      <c r="U116" s="48">
        <f>IF(AND( C35="Buy", ISBLANK(W35), B35&lt;&gt;"DIV", NOW()-A35 &gt; 365), ((E35*D35)+T35), "")</f>
        <v/>
      </c>
      <c r="V116" s="48">
        <f>IF(AND( C35="Buy", ISBLANK(W35), B35&lt;&gt;"DIV", NOW()-A35 &gt; 365), D35, "")</f>
        <v/>
      </c>
      <c r="W116" s="41" t="n">
        <v>312.81</v>
      </c>
      <c r="X116" s="38" t="n">
        <v>45811</v>
      </c>
      <c r="Y116" s="47">
        <f>IF(AND( C35="Buy", W35&lt;&gt;"", AA35&lt;&gt;"", B35&lt;&gt;"DIV"), Z35/sum(F35:I35), "")</f>
        <v/>
      </c>
      <c r="Z116" s="57">
        <f>(1-Index!$F$2*2)*((W35*D35)-(E35*D35))</f>
        <v/>
      </c>
      <c r="AA116" s="57">
        <f>((E35*D35)+Z35)</f>
        <v/>
      </c>
      <c r="AB116" s="58">
        <f>D35</f>
        <v/>
      </c>
      <c r="AC116" s="56">
        <f>if(B35="DIV", F35,"")</f>
        <v/>
      </c>
      <c r="AD116" s="53" t="n"/>
      <c r="AE116" s="59" t="n"/>
      <c r="AF116" s="59" t="n"/>
      <c r="AG116" s="59" t="n"/>
      <c r="AH116" s="59" t="n"/>
      <c r="AI116" s="59" t="n"/>
      <c r="AJ116" s="59" t="n"/>
      <c r="AK116" s="59" t="n"/>
      <c r="AL116" s="59" t="n"/>
      <c r="AM116" s="59" t="n"/>
      <c r="AN116" s="59" t="n"/>
      <c r="AO116" s="59" t="n"/>
      <c r="AP116" s="59" t="n"/>
    </row>
    <row r="117">
      <c r="A117" s="38" t="n">
        <v>45722</v>
      </c>
      <c r="B117" s="39" t="inlineStr">
        <is>
          <t>NSE</t>
        </is>
      </c>
      <c r="C117" s="39" t="inlineStr">
        <is>
          <t>Buy</t>
        </is>
      </c>
      <c r="D117" s="40" t="n">
        <v>1</v>
      </c>
      <c r="E117" s="41" t="n">
        <v>222.29</v>
      </c>
      <c r="F117" s="41" t="n">
        <v>222.29</v>
      </c>
      <c r="G117" s="39" t="inlineStr">
        <is>
          <t>~</t>
        </is>
      </c>
      <c r="H117" s="40" t="n">
        <v>0.22</v>
      </c>
      <c r="I117" s="40" t="n">
        <v>1.34</v>
      </c>
      <c r="J117" s="71">
        <f>Index!$C$2</f>
        <v/>
      </c>
      <c r="K117" s="44">
        <f>IF(AND( C36="Buy", ISBLANK(W36), B36&lt;&gt;"DIV"), L36/sum(F36:I36), "")</f>
        <v/>
      </c>
      <c r="L117" s="45">
        <f>IF(AND( C36="Buy", ISBLANK(W36), B36&lt;&gt;"DIV"), (1-Index!$F$2*2)*((J36*D36)-(E36*D36)), "")</f>
        <v/>
      </c>
      <c r="M117" s="45">
        <f>IF(AND( C36="Buy", ISBLANK(W36), B36&lt;&gt;"DIV"), ((E36*D36)+L36), "")</f>
        <v/>
      </c>
      <c r="N117" s="46">
        <f>IF(AND( C36="Buy", ISBLANK(W36), B36&lt;&gt;"DIV"), D36, "")</f>
        <v/>
      </c>
      <c r="O117" s="44">
        <f>IF(AND( C36="Buy", ISBLANK(W36), B36&lt;&gt;"DIV", NOW()-A36 &lt; 365), P36/sum(F36:I36), "")</f>
        <v/>
      </c>
      <c r="P117" s="45">
        <f>IF(AND( C36="Buy", ISBLANK(W36), B36&lt;&gt;"DIV", NOW()-A36 &lt; 365), (1-Index!$F$2*2)*((J36*D36)-(E36*D36)), "")</f>
        <v/>
      </c>
      <c r="Q117" s="45">
        <f>IF(AND( C36="Buy", ISBLANK(W36), B36&lt;&gt;"DIV", NOW()-A36 &lt; 365), ((E36*D36)+P36), "")</f>
        <v/>
      </c>
      <c r="R117" s="45">
        <f>IF(AND( C36="Buy", ISBLANK(W36), B36&lt;&gt;"DIV", NOW()-A36 &lt; 365), D36, "")</f>
        <v/>
      </c>
      <c r="S117" s="47">
        <f>IF(AND( C36="Buy", ISBLANK(W36), B36&lt;&gt;"DIV", NOW()-A36 &gt; 365), T36/sum(F36:I36), "")</f>
        <v/>
      </c>
      <c r="T117" s="48">
        <f>IF(AND( C36="Buy", ISBLANK(W36), B36&lt;&gt;"DIV", NOW()-A36 &gt; 365), (1-Index!$F$2*2)*((J36*D36)-(E36*D36)), "")</f>
        <v/>
      </c>
      <c r="U117" s="48">
        <f>IF(AND( C36="Buy", ISBLANK(W36), B36&lt;&gt;"DIV", NOW()-A36 &gt; 365), ((E36*D36)+T36), "")</f>
        <v/>
      </c>
      <c r="V117" s="48">
        <f>IF(AND( C36="Buy", ISBLANK(W36), B36&lt;&gt;"DIV", NOW()-A36 &gt; 365), D36, "")</f>
        <v/>
      </c>
      <c r="W117" s="41" t="n">
        <v>312.81</v>
      </c>
      <c r="X117" s="38" t="n">
        <v>45811</v>
      </c>
      <c r="Y117" s="47">
        <f>IF(AND( C36="Buy", W36&lt;&gt;"", AA36&lt;&gt;"", B36&lt;&gt;"DIV"), Z36/sum(F36:I36), "")</f>
        <v/>
      </c>
      <c r="Z117" s="57">
        <f>(1-Index!$F$2*2)*((W36*D36)-(E36*D36))</f>
        <v/>
      </c>
      <c r="AA117" s="57">
        <f>((E36*D36)+Z36)</f>
        <v/>
      </c>
      <c r="AB117" s="58">
        <f>D36</f>
        <v/>
      </c>
      <c r="AC117" s="56">
        <f>if(B36="DIV", F36,"")</f>
        <v/>
      </c>
      <c r="AD117" s="53" t="n"/>
      <c r="AE117" s="59" t="n"/>
      <c r="AF117" s="59" t="n"/>
      <c r="AG117" s="59" t="n"/>
      <c r="AH117" s="59" t="n"/>
      <c r="AI117" s="59" t="n"/>
      <c r="AJ117" s="59" t="n"/>
      <c r="AK117" s="59" t="n"/>
      <c r="AL117" s="59" t="n"/>
      <c r="AM117" s="59" t="n"/>
      <c r="AN117" s="59" t="n"/>
      <c r="AO117" s="59" t="n"/>
      <c r="AP117" s="59" t="n"/>
    </row>
    <row r="118">
      <c r="A118" s="38" t="n">
        <v>45722</v>
      </c>
      <c r="B118" s="39" t="inlineStr">
        <is>
          <t>NSE</t>
        </is>
      </c>
      <c r="C118" s="39" t="inlineStr">
        <is>
          <t>Buy</t>
        </is>
      </c>
      <c r="D118" s="40" t="n">
        <v>1</v>
      </c>
      <c r="E118" s="41" t="n">
        <v>222.29</v>
      </c>
      <c r="F118" s="41" t="n">
        <v>222.29</v>
      </c>
      <c r="G118" s="39" t="inlineStr">
        <is>
          <t>~</t>
        </is>
      </c>
      <c r="H118" s="40" t="n">
        <v>0.22</v>
      </c>
      <c r="I118" s="40" t="n">
        <v>1.34</v>
      </c>
      <c r="J118" s="71">
        <f>Index!$C$2</f>
        <v/>
      </c>
      <c r="K118" s="44">
        <f>IF(AND( C37="Buy", ISBLANK(W37), B37&lt;&gt;"DIV"), L37/sum(F37:I37), "")</f>
        <v/>
      </c>
      <c r="L118" s="45">
        <f>IF(AND( C37="Buy", ISBLANK(W37), B37&lt;&gt;"DIV"), (1-Index!$F$2*2)*((J37*D37)-(E37*D37)), "")</f>
        <v/>
      </c>
      <c r="M118" s="45">
        <f>IF(AND( C37="Buy", ISBLANK(W37), B37&lt;&gt;"DIV"), ((E37*D37)+L37), "")</f>
        <v/>
      </c>
      <c r="N118" s="46">
        <f>IF(AND( C37="Buy", ISBLANK(W37), B37&lt;&gt;"DIV"), D37, "")</f>
        <v/>
      </c>
      <c r="O118" s="44">
        <f>IF(AND( C37="Buy", ISBLANK(W37), B37&lt;&gt;"DIV", NOW()-A37 &lt; 365), P37/sum(F37:I37), "")</f>
        <v/>
      </c>
      <c r="P118" s="45">
        <f>IF(AND( C37="Buy", ISBLANK(W37), B37&lt;&gt;"DIV", NOW()-A37 &lt; 365), (1-Index!$F$2*2)*((J37*D37)-(E37*D37)), "")</f>
        <v/>
      </c>
      <c r="Q118" s="45">
        <f>IF(AND( C37="Buy", ISBLANK(W37), B37&lt;&gt;"DIV", NOW()-A37 &lt; 365), ((E37*D37)+P37), "")</f>
        <v/>
      </c>
      <c r="R118" s="45">
        <f>IF(AND( C37="Buy", ISBLANK(W37), B37&lt;&gt;"DIV", NOW()-A37 &lt; 365), D37, "")</f>
        <v/>
      </c>
      <c r="S118" s="47">
        <f>IF(AND( C37="Buy", ISBLANK(W37), B37&lt;&gt;"DIV", NOW()-A37 &gt; 365), T37/sum(F37:I37), "")</f>
        <v/>
      </c>
      <c r="T118" s="48">
        <f>IF(AND( C37="Buy", ISBLANK(W37), B37&lt;&gt;"DIV", NOW()-A37 &gt; 365), (1-Index!$F$2*2)*((J37*D37)-(E37*D37)), "")</f>
        <v/>
      </c>
      <c r="U118" s="48">
        <f>IF(AND( C37="Buy", ISBLANK(W37), B37&lt;&gt;"DIV", NOW()-A37 &gt; 365), ((E37*D37)+T37), "")</f>
        <v/>
      </c>
      <c r="V118" s="48">
        <f>IF(AND( C37="Buy", ISBLANK(W37), B37&lt;&gt;"DIV", NOW()-A37 &gt; 365), D37, "")</f>
        <v/>
      </c>
      <c r="W118" s="41" t="n">
        <v>312.81</v>
      </c>
      <c r="X118" s="38" t="n">
        <v>45811</v>
      </c>
      <c r="Y118" s="47">
        <f>IF(AND( C37="Buy", W37&lt;&gt;"", AA37&lt;&gt;"", B37&lt;&gt;"DIV"), Z37/sum(F37:I37), "")</f>
        <v/>
      </c>
      <c r="Z118" s="57">
        <f>(1-Index!$F$2*2)*((W37*D37)-(E37*D37))</f>
        <v/>
      </c>
      <c r="AA118" s="57">
        <f>((E37*D37)+Z37)</f>
        <v/>
      </c>
      <c r="AB118" s="58">
        <f>D37</f>
        <v/>
      </c>
      <c r="AC118" s="56">
        <f>if(B37="DIV", F37,"")</f>
        <v/>
      </c>
      <c r="AD118" s="53" t="n"/>
      <c r="AE118" s="59" t="n"/>
      <c r="AF118" s="59" t="n"/>
      <c r="AG118" s="59" t="n"/>
      <c r="AH118" s="59" t="n"/>
      <c r="AI118" s="59" t="n"/>
      <c r="AJ118" s="59" t="n"/>
      <c r="AK118" s="59" t="n"/>
      <c r="AL118" s="59" t="n"/>
      <c r="AM118" s="59" t="n"/>
      <c r="AN118" s="59" t="n"/>
      <c r="AO118" s="59" t="n"/>
      <c r="AP118" s="59" t="n"/>
    </row>
    <row r="119">
      <c r="A119" s="38" t="n">
        <v>45722</v>
      </c>
      <c r="B119" s="39" t="inlineStr">
        <is>
          <t>NSE</t>
        </is>
      </c>
      <c r="C119" s="39" t="inlineStr">
        <is>
          <t>Buy</t>
        </is>
      </c>
      <c r="D119" s="40" t="n">
        <v>1</v>
      </c>
      <c r="E119" s="41" t="n">
        <v>222.29</v>
      </c>
      <c r="F119" s="41" t="n">
        <v>222.29</v>
      </c>
      <c r="G119" s="39" t="inlineStr">
        <is>
          <t>~</t>
        </is>
      </c>
      <c r="H119" s="40" t="n">
        <v>0.22</v>
      </c>
      <c r="I119" s="40" t="n">
        <v>1.34</v>
      </c>
      <c r="J119" s="71">
        <f>Index!$C$2</f>
        <v/>
      </c>
      <c r="K119" s="44">
        <f>IF(AND( C38="Buy", ISBLANK(W38), B38&lt;&gt;"DIV"), L38/sum(F38:I38), "")</f>
        <v/>
      </c>
      <c r="L119" s="45">
        <f>IF(AND( C38="Buy", ISBLANK(W38), B38&lt;&gt;"DIV"), (1-Index!$F$2*2)*((J38*D38)-(E38*D38)), "")</f>
        <v/>
      </c>
      <c r="M119" s="45">
        <f>IF(AND( C38="Buy", ISBLANK(W38), B38&lt;&gt;"DIV"), ((E38*D38)+L38), "")</f>
        <v/>
      </c>
      <c r="N119" s="46">
        <f>IF(AND( C38="Buy", ISBLANK(W38), B38&lt;&gt;"DIV"), D38, "")</f>
        <v/>
      </c>
      <c r="O119" s="44">
        <f>IF(AND( C38="Buy", ISBLANK(W38), B38&lt;&gt;"DIV", NOW()-A38 &lt; 365), P38/sum(F38:I38), "")</f>
        <v/>
      </c>
      <c r="P119" s="45">
        <f>IF(AND( C38="Buy", ISBLANK(W38), B38&lt;&gt;"DIV", NOW()-A38 &lt; 365), (1-Index!$F$2*2)*((J38*D38)-(E38*D38)), "")</f>
        <v/>
      </c>
      <c r="Q119" s="45">
        <f>IF(AND( C38="Buy", ISBLANK(W38), B38&lt;&gt;"DIV", NOW()-A38 &lt; 365), ((E38*D38)+P38), "")</f>
        <v/>
      </c>
      <c r="R119" s="45">
        <f>IF(AND( C38="Buy", ISBLANK(W38), B38&lt;&gt;"DIV", NOW()-A38 &lt; 365), D38, "")</f>
        <v/>
      </c>
      <c r="S119" s="47">
        <f>IF(AND( C38="Buy", ISBLANK(W38), B38&lt;&gt;"DIV", NOW()-A38 &gt; 365), T38/sum(F38:I38), "")</f>
        <v/>
      </c>
      <c r="T119" s="48">
        <f>IF(AND( C38="Buy", ISBLANK(W38), B38&lt;&gt;"DIV", NOW()-A38 &gt; 365), (1-Index!$F$2*2)*((J38*D38)-(E38*D38)), "")</f>
        <v/>
      </c>
      <c r="U119" s="48">
        <f>IF(AND( C38="Buy", ISBLANK(W38), B38&lt;&gt;"DIV", NOW()-A38 &gt; 365), ((E38*D38)+T38), "")</f>
        <v/>
      </c>
      <c r="V119" s="48">
        <f>IF(AND( C38="Buy", ISBLANK(W38), B38&lt;&gt;"DIV", NOW()-A38 &gt; 365), D38, "")</f>
        <v/>
      </c>
      <c r="W119" s="41" t="n">
        <v>312.81</v>
      </c>
      <c r="X119" s="38" t="n">
        <v>45811</v>
      </c>
      <c r="Y119" s="47">
        <f>IF(AND( C38="Buy", W38&lt;&gt;"", AA38&lt;&gt;"", B38&lt;&gt;"DIV"), Z38/sum(F38:I38), "")</f>
        <v/>
      </c>
      <c r="Z119" s="57">
        <f>(1-Index!$F$2*2)*((W38*D38)-(E38*D38))</f>
        <v/>
      </c>
      <c r="AA119" s="57">
        <f>((E38*D38)+Z38)</f>
        <v/>
      </c>
      <c r="AB119" s="58">
        <f>D38</f>
        <v/>
      </c>
      <c r="AC119" s="56">
        <f>if(B38="DIV", F38,"")</f>
        <v/>
      </c>
      <c r="AD119" s="53" t="n"/>
      <c r="AE119" s="59" t="n"/>
      <c r="AF119" s="59" t="n"/>
      <c r="AG119" s="59" t="n"/>
      <c r="AH119" s="59" t="n"/>
      <c r="AI119" s="59" t="n"/>
      <c r="AJ119" s="59" t="n"/>
      <c r="AK119" s="59" t="n"/>
      <c r="AL119" s="59" t="n"/>
      <c r="AM119" s="59" t="n"/>
      <c r="AN119" s="59" t="n"/>
      <c r="AO119" s="59" t="n"/>
      <c r="AP119" s="59" t="n"/>
    </row>
    <row r="120">
      <c r="A120" s="38" t="n">
        <v>45722</v>
      </c>
      <c r="B120" s="39" t="inlineStr">
        <is>
          <t>NSE</t>
        </is>
      </c>
      <c r="C120" s="39" t="inlineStr">
        <is>
          <t>Buy</t>
        </is>
      </c>
      <c r="D120" s="40" t="n">
        <v>1</v>
      </c>
      <c r="E120" s="41" t="n">
        <v>222.29</v>
      </c>
      <c r="F120" s="41" t="n">
        <v>222.29</v>
      </c>
      <c r="G120" s="39" t="inlineStr">
        <is>
          <t>~</t>
        </is>
      </c>
      <c r="H120" s="40" t="n">
        <v>0.22</v>
      </c>
      <c r="I120" s="40" t="n">
        <v>1.34</v>
      </c>
      <c r="J120" s="71">
        <f>Index!$C$2</f>
        <v/>
      </c>
      <c r="K120" s="44">
        <f>IF(AND( C39="Buy", ISBLANK(W39), B39&lt;&gt;"DIV"), L39/sum(F39:I39), "")</f>
        <v/>
      </c>
      <c r="L120" s="45">
        <f>IF(AND( C39="Buy", ISBLANK(W39), B39&lt;&gt;"DIV"), (1-Index!$F$2*2)*((J39*D39)-(E39*D39)), "")</f>
        <v/>
      </c>
      <c r="M120" s="45">
        <f>IF(AND( C39="Buy", ISBLANK(W39), B39&lt;&gt;"DIV"), ((E39*D39)+L39), "")</f>
        <v/>
      </c>
      <c r="N120" s="46">
        <f>IF(AND( C39="Buy", ISBLANK(W39), B39&lt;&gt;"DIV"), D39, "")</f>
        <v/>
      </c>
      <c r="O120" s="44">
        <f>IF(AND( C39="Buy", ISBLANK(W39), B39&lt;&gt;"DIV", NOW()-A39 &lt; 365), P39/sum(F39:I39), "")</f>
        <v/>
      </c>
      <c r="P120" s="45">
        <f>IF(AND( C39="Buy", ISBLANK(W39), B39&lt;&gt;"DIV", NOW()-A39 &lt; 365), (1-Index!$F$2*2)*((J39*D39)-(E39*D39)), "")</f>
        <v/>
      </c>
      <c r="Q120" s="45">
        <f>IF(AND( C39="Buy", ISBLANK(W39), B39&lt;&gt;"DIV", NOW()-A39 &lt; 365), ((E39*D39)+P39), "")</f>
        <v/>
      </c>
      <c r="R120" s="45">
        <f>IF(AND( C39="Buy", ISBLANK(W39), B39&lt;&gt;"DIV", NOW()-A39 &lt; 365), D39, "")</f>
        <v/>
      </c>
      <c r="S120" s="47">
        <f>IF(AND( C39="Buy", ISBLANK(W39), B39&lt;&gt;"DIV", NOW()-A39 &gt; 365), T39/sum(F39:I39), "")</f>
        <v/>
      </c>
      <c r="T120" s="48">
        <f>IF(AND( C39="Buy", ISBLANK(W39), B39&lt;&gt;"DIV", NOW()-A39 &gt; 365), (1-Index!$F$2*2)*((J39*D39)-(E39*D39)), "")</f>
        <v/>
      </c>
      <c r="U120" s="48">
        <f>IF(AND( C39="Buy", ISBLANK(W39), B39&lt;&gt;"DIV", NOW()-A39 &gt; 365), ((E39*D39)+T39), "")</f>
        <v/>
      </c>
      <c r="V120" s="48">
        <f>IF(AND( C39="Buy", ISBLANK(W39), B39&lt;&gt;"DIV", NOW()-A39 &gt; 365), D39, "")</f>
        <v/>
      </c>
      <c r="W120" s="41" t="n">
        <v>312.81</v>
      </c>
      <c r="X120" s="38" t="n">
        <v>45811</v>
      </c>
      <c r="Y120" s="47">
        <f>IF(AND( C39="Buy", W39&lt;&gt;"", AA39&lt;&gt;"", B39&lt;&gt;"DIV"), Z39/sum(F39:I39), "")</f>
        <v/>
      </c>
      <c r="Z120" s="57">
        <f>(1-Index!$F$2*2)*((W39*D39)-(E39*D39))</f>
        <v/>
      </c>
      <c r="AA120" s="57">
        <f>((E39*D39)+Z39)</f>
        <v/>
      </c>
      <c r="AB120" s="58">
        <f>D39</f>
        <v/>
      </c>
      <c r="AC120" s="56">
        <f>if(B39="DIV", F39,"")</f>
        <v/>
      </c>
      <c r="AD120" s="53" t="n"/>
      <c r="AE120" s="59" t="n"/>
      <c r="AF120" s="59" t="n"/>
      <c r="AG120" s="59" t="n"/>
      <c r="AH120" s="59" t="n"/>
      <c r="AI120" s="59" t="n"/>
      <c r="AJ120" s="59" t="n"/>
      <c r="AK120" s="59" t="n"/>
      <c r="AL120" s="59" t="n"/>
      <c r="AM120" s="59" t="n"/>
      <c r="AN120" s="59" t="n"/>
      <c r="AO120" s="59" t="n"/>
      <c r="AP120" s="59" t="n"/>
    </row>
    <row r="121">
      <c r="A121" s="38" t="n">
        <v>45722</v>
      </c>
      <c r="B121" s="39" t="inlineStr">
        <is>
          <t>NSE</t>
        </is>
      </c>
      <c r="C121" s="39" t="inlineStr">
        <is>
          <t>Buy</t>
        </is>
      </c>
      <c r="D121" s="40" t="n">
        <v>1</v>
      </c>
      <c r="E121" s="41" t="n">
        <v>222.34</v>
      </c>
      <c r="F121" s="41" t="n">
        <v>222.34</v>
      </c>
      <c r="G121" s="39" t="inlineStr">
        <is>
          <t>~</t>
        </is>
      </c>
      <c r="H121" s="40" t="n">
        <v>0.22</v>
      </c>
      <c r="I121" s="40" t="n">
        <v>1.34</v>
      </c>
      <c r="J121" s="71">
        <f>Index!$C$2</f>
        <v/>
      </c>
      <c r="K121" s="44">
        <f>IF(AND( C40="Buy", ISBLANK(W40), B40&lt;&gt;"DIV"), L40/sum(F40:I40), "")</f>
        <v/>
      </c>
      <c r="L121" s="45">
        <f>IF(AND( C40="Buy", ISBLANK(W40), B40&lt;&gt;"DIV"), (1-Index!$F$2*2)*((J40*D40)-(E40*D40)), "")</f>
        <v/>
      </c>
      <c r="M121" s="45">
        <f>IF(AND( C40="Buy", ISBLANK(W40), B40&lt;&gt;"DIV"), ((E40*D40)+L40), "")</f>
        <v/>
      </c>
      <c r="N121" s="46">
        <f>IF(AND( C40="Buy", ISBLANK(W40), B40&lt;&gt;"DIV"), D40, "")</f>
        <v/>
      </c>
      <c r="O121" s="44">
        <f>IF(AND( C40="Buy", ISBLANK(W40), B40&lt;&gt;"DIV", NOW()-A40 &lt; 365), P40/sum(F40:I40), "")</f>
        <v/>
      </c>
      <c r="P121" s="45">
        <f>IF(AND( C40="Buy", ISBLANK(W40), B40&lt;&gt;"DIV", NOW()-A40 &lt; 365), (1-Index!$F$2*2)*((J40*D40)-(E40*D40)), "")</f>
        <v/>
      </c>
      <c r="Q121" s="45">
        <f>IF(AND( C40="Buy", ISBLANK(W40), B40&lt;&gt;"DIV", NOW()-A40 &lt; 365), ((E40*D40)+P40), "")</f>
        <v/>
      </c>
      <c r="R121" s="45">
        <f>IF(AND( C40="Buy", ISBLANK(W40), B40&lt;&gt;"DIV", NOW()-A40 &lt; 365), D40, "")</f>
        <v/>
      </c>
      <c r="S121" s="47">
        <f>IF(AND( C40="Buy", ISBLANK(W40), B40&lt;&gt;"DIV", NOW()-A40 &gt; 365), T40/sum(F40:I40), "")</f>
        <v/>
      </c>
      <c r="T121" s="48">
        <f>IF(AND( C40="Buy", ISBLANK(W40), B40&lt;&gt;"DIV", NOW()-A40 &gt; 365), (1-Index!$F$2*2)*((J40*D40)-(E40*D40)), "")</f>
        <v/>
      </c>
      <c r="U121" s="48">
        <f>IF(AND( C40="Buy", ISBLANK(W40), B40&lt;&gt;"DIV", NOW()-A40 &gt; 365), ((E40*D40)+T40), "")</f>
        <v/>
      </c>
      <c r="V121" s="48">
        <f>IF(AND( C40="Buy", ISBLANK(W40), B40&lt;&gt;"DIV", NOW()-A40 &gt; 365), D40, "")</f>
        <v/>
      </c>
      <c r="W121" s="41" t="n">
        <v>312.81</v>
      </c>
      <c r="X121" s="38" t="n">
        <v>45811</v>
      </c>
      <c r="Y121" s="47">
        <f>IF(AND( C40="Buy", W40&lt;&gt;"", AA40&lt;&gt;"", B40&lt;&gt;"DIV"), Z40/sum(F40:I40), "")</f>
        <v/>
      </c>
      <c r="Z121" s="57">
        <f>(1-Index!$F$2*2)*((W40*D40)-(E40*D40))</f>
        <v/>
      </c>
      <c r="AA121" s="57">
        <f>((E40*D40)+Z40)</f>
        <v/>
      </c>
      <c r="AB121" s="58">
        <f>D40</f>
        <v/>
      </c>
      <c r="AC121" s="56">
        <f>if(B40="DIV", F40,"")</f>
        <v/>
      </c>
      <c r="AD121" s="53" t="n"/>
      <c r="AE121" s="59" t="n"/>
      <c r="AF121" s="59" t="n"/>
      <c r="AG121" s="59" t="n"/>
      <c r="AH121" s="59" t="n"/>
      <c r="AI121" s="59" t="n"/>
      <c r="AJ121" s="59" t="n"/>
      <c r="AK121" s="59" t="n"/>
      <c r="AL121" s="59" t="n"/>
      <c r="AM121" s="59" t="n"/>
      <c r="AN121" s="59" t="n"/>
      <c r="AO121" s="59" t="n"/>
      <c r="AP121" s="59" t="n"/>
    </row>
    <row r="122">
      <c r="A122" s="38" t="n">
        <v>45712</v>
      </c>
      <c r="B122" s="39" t="inlineStr">
        <is>
          <t>NSE</t>
        </is>
      </c>
      <c r="C122" s="39" t="inlineStr">
        <is>
          <t>Buy</t>
        </is>
      </c>
      <c r="D122" s="40" t="n">
        <v>10</v>
      </c>
      <c r="E122" s="41" t="n">
        <v>219.4</v>
      </c>
      <c r="F122" s="41" t="n">
        <v>2193.96</v>
      </c>
      <c r="G122" s="39" t="inlineStr">
        <is>
          <t>~</t>
        </is>
      </c>
      <c r="H122" s="40" t="n">
        <v>2.18</v>
      </c>
      <c r="I122" s="40" t="n">
        <v>13.28</v>
      </c>
      <c r="J122" s="71">
        <f>Index!$C$2</f>
        <v/>
      </c>
      <c r="K122" s="44">
        <f>IF(AND( C41="Buy", ISBLANK(W41), B41&lt;&gt;"DIV"), L41/sum(F41:I41), "")</f>
        <v/>
      </c>
      <c r="L122" s="45">
        <f>IF(AND( C41="Buy", ISBLANK(W41), B41&lt;&gt;"DIV"), (1-Index!$F$2*2)*((J41*D41)-(E41*D41)), "")</f>
        <v/>
      </c>
      <c r="M122" s="45">
        <f>IF(AND( C41="Buy", ISBLANK(W41), B41&lt;&gt;"DIV"), ((E41*D41)+L41), "")</f>
        <v/>
      </c>
      <c r="N122" s="46">
        <f>IF(AND( C41="Buy", ISBLANK(W41), B41&lt;&gt;"DIV"), D41, "")</f>
        <v/>
      </c>
      <c r="O122" s="44">
        <f>IF(AND( C41="Buy", ISBLANK(W41), B41&lt;&gt;"DIV", NOW()-A41 &lt; 365), P41/sum(F41:I41), "")</f>
        <v/>
      </c>
      <c r="P122" s="45">
        <f>IF(AND( C41="Buy", ISBLANK(W41), B41&lt;&gt;"DIV", NOW()-A41 &lt; 365), (1-Index!$F$2*2)*((J41*D41)-(E41*D41)), "")</f>
        <v/>
      </c>
      <c r="Q122" s="45">
        <f>IF(AND( C41="Buy", ISBLANK(W41), B41&lt;&gt;"DIV", NOW()-A41 &lt; 365), ((E41*D41)+P41), "")</f>
        <v/>
      </c>
      <c r="R122" s="45">
        <f>IF(AND( C41="Buy", ISBLANK(W41), B41&lt;&gt;"DIV", NOW()-A41 &lt; 365), D41, "")</f>
        <v/>
      </c>
      <c r="S122" s="47">
        <f>IF(AND( C41="Buy", ISBLANK(W41), B41&lt;&gt;"DIV", NOW()-A41 &gt; 365), T41/sum(F41:I41), "")</f>
        <v/>
      </c>
      <c r="T122" s="48">
        <f>IF(AND( C41="Buy", ISBLANK(W41), B41&lt;&gt;"DIV", NOW()-A41 &gt; 365), (1-Index!$F$2*2)*((J41*D41)-(E41*D41)), "")</f>
        <v/>
      </c>
      <c r="U122" s="48">
        <f>IF(AND( C41="Buy", ISBLANK(W41), B41&lt;&gt;"DIV", NOW()-A41 &gt; 365), ((E41*D41)+T41), "")</f>
        <v/>
      </c>
      <c r="V122" s="48">
        <f>IF(AND( C41="Buy", ISBLANK(W41), B41&lt;&gt;"DIV", NOW()-A41 &gt; 365), D41, "")</f>
        <v/>
      </c>
      <c r="W122" s="41" t="n">
        <v>312.81</v>
      </c>
      <c r="X122" s="38" t="n">
        <v>45811</v>
      </c>
      <c r="Y122" s="47">
        <f>IF(AND( C41="Buy", W41&lt;&gt;"", AA41&lt;&gt;"", B41&lt;&gt;"DIV"), Z41/sum(F41:I41), "")</f>
        <v/>
      </c>
      <c r="Z122" s="57">
        <f>(1-Index!$F$2*2)*((W41*D41)-(E41*D41))</f>
        <v/>
      </c>
      <c r="AA122" s="57">
        <f>((E41*D41)+Z41)</f>
        <v/>
      </c>
      <c r="AB122" s="58">
        <f>D41</f>
        <v/>
      </c>
      <c r="AC122" s="56">
        <f>if(B41="DIV", F41,"")</f>
        <v/>
      </c>
      <c r="AD122" s="53" t="n"/>
      <c r="AE122" s="59" t="n"/>
      <c r="AF122" s="59" t="n"/>
      <c r="AG122" s="59" t="n"/>
      <c r="AH122" s="59" t="n"/>
      <c r="AI122" s="59" t="n"/>
      <c r="AJ122" s="59" t="n"/>
      <c r="AK122" s="59" t="n"/>
      <c r="AL122" s="59" t="n"/>
      <c r="AM122" s="59" t="n"/>
      <c r="AN122" s="59" t="n"/>
      <c r="AO122" s="59" t="n"/>
      <c r="AP122" s="59" t="n"/>
    </row>
    <row r="123">
      <c r="A123" s="38" t="n">
        <v>45705</v>
      </c>
      <c r="B123" s="39" t="inlineStr">
        <is>
          <t>NSE</t>
        </is>
      </c>
      <c r="C123" s="39" t="inlineStr">
        <is>
          <t>Buy</t>
        </is>
      </c>
      <c r="D123" s="40" t="n">
        <v>25</v>
      </c>
      <c r="E123" s="41" t="n">
        <v>210.57</v>
      </c>
      <c r="F123" s="41" t="n">
        <v>5264.16</v>
      </c>
      <c r="G123" s="39" t="inlineStr">
        <is>
          <t>~</t>
        </is>
      </c>
      <c r="H123" s="40" t="n">
        <v>5.22</v>
      </c>
      <c r="I123" s="40" t="n">
        <v>31.94</v>
      </c>
      <c r="J123" s="71">
        <f>Index!$C$2</f>
        <v/>
      </c>
      <c r="K123" s="44">
        <f>IF(AND( C42="Buy", ISBLANK(W42), B42&lt;&gt;"DIV"), L42/sum(F42:I42), "")</f>
        <v/>
      </c>
      <c r="L123" s="45">
        <f>IF(AND( C42="Buy", ISBLANK(W42), B42&lt;&gt;"DIV"), (1-Index!$F$2*2)*((J42*D42)-(E42*D42)), "")</f>
        <v/>
      </c>
      <c r="M123" s="45">
        <f>IF(AND( C42="Buy", ISBLANK(W42), B42&lt;&gt;"DIV"), ((E42*D42)+L42), "")</f>
        <v/>
      </c>
      <c r="N123" s="46">
        <f>IF(AND( C42="Buy", ISBLANK(W42), B42&lt;&gt;"DIV"), D42, "")</f>
        <v/>
      </c>
      <c r="O123" s="44">
        <f>IF(AND( C42="Buy", ISBLANK(W42), B42&lt;&gt;"DIV", NOW()-A42 &lt; 365), P42/sum(F42:I42), "")</f>
        <v/>
      </c>
      <c r="P123" s="45">
        <f>IF(AND( C42="Buy", ISBLANK(W42), B42&lt;&gt;"DIV", NOW()-A42 &lt; 365), (1-Index!$F$2*2)*((J42*D42)-(E42*D42)), "")</f>
        <v/>
      </c>
      <c r="Q123" s="45">
        <f>IF(AND( C42="Buy", ISBLANK(W42), B42&lt;&gt;"DIV", NOW()-A42 &lt; 365), ((E42*D42)+P42), "")</f>
        <v/>
      </c>
      <c r="R123" s="45">
        <f>IF(AND( C42="Buy", ISBLANK(W42), B42&lt;&gt;"DIV", NOW()-A42 &lt; 365), D42, "")</f>
        <v/>
      </c>
      <c r="S123" s="47">
        <f>IF(AND( C42="Buy", ISBLANK(W42), B42&lt;&gt;"DIV", NOW()-A42 &gt; 365), T42/sum(F42:I42), "")</f>
        <v/>
      </c>
      <c r="T123" s="48">
        <f>IF(AND( C42="Buy", ISBLANK(W42), B42&lt;&gt;"DIV", NOW()-A42 &gt; 365), (1-Index!$F$2*2)*((J42*D42)-(E42*D42)), "")</f>
        <v/>
      </c>
      <c r="U123" s="48">
        <f>IF(AND( C42="Buy", ISBLANK(W42), B42&lt;&gt;"DIV", NOW()-A42 &gt; 365), ((E42*D42)+T42), "")</f>
        <v/>
      </c>
      <c r="V123" s="48">
        <f>IF(AND( C42="Buy", ISBLANK(W42), B42&lt;&gt;"DIV", NOW()-A42 &gt; 365), D42, "")</f>
        <v/>
      </c>
      <c r="W123" s="41" t="n">
        <v>312.81</v>
      </c>
      <c r="X123" s="38" t="n">
        <v>45811</v>
      </c>
      <c r="Y123" s="47">
        <f>IF(AND( C42="Buy", W42&lt;&gt;"", AA42&lt;&gt;"", B42&lt;&gt;"DIV"), Z42/sum(F42:I42), "")</f>
        <v/>
      </c>
      <c r="Z123" s="57">
        <f>(1-Index!$F$2*2)*((W42*D42)-(E42*D42))</f>
        <v/>
      </c>
      <c r="AA123" s="57">
        <f>((E42*D42)+Z42)</f>
        <v/>
      </c>
      <c r="AB123" s="58">
        <f>D42</f>
        <v/>
      </c>
      <c r="AC123" s="56">
        <f>if(B42="DIV", F42,"")</f>
        <v/>
      </c>
      <c r="AD123" s="53" t="n"/>
      <c r="AE123" s="59" t="n"/>
      <c r="AF123" s="59" t="n"/>
      <c r="AG123" s="59" t="n"/>
      <c r="AH123" s="59" t="n"/>
      <c r="AI123" s="59" t="n"/>
      <c r="AJ123" s="59" t="n"/>
      <c r="AK123" s="59" t="n"/>
      <c r="AL123" s="59" t="n"/>
      <c r="AM123" s="59" t="n"/>
      <c r="AN123" s="59" t="n"/>
      <c r="AO123" s="59" t="n"/>
      <c r="AP123" s="59" t="n"/>
    </row>
    <row r="124">
      <c r="A124" s="38" t="n">
        <v>45705</v>
      </c>
      <c r="B124" s="39" t="inlineStr">
        <is>
          <t>NSE</t>
        </is>
      </c>
      <c r="C124" s="39" t="inlineStr">
        <is>
          <t>Buy</t>
        </is>
      </c>
      <c r="D124" s="40" t="n">
        <v>55</v>
      </c>
      <c r="E124" s="41" t="n">
        <v>210.62</v>
      </c>
      <c r="F124" s="41" t="n">
        <v>11583.94</v>
      </c>
      <c r="G124" s="39" t="inlineStr">
        <is>
          <t>~</t>
        </is>
      </c>
      <c r="H124" s="40" t="n">
        <v>11.49</v>
      </c>
      <c r="I124" s="40" t="n">
        <v>70.3</v>
      </c>
      <c r="J124" s="71">
        <f>Index!$C$2</f>
        <v/>
      </c>
      <c r="K124" s="44">
        <f>IF(AND( C43="Buy", ISBLANK(W43), B43&lt;&gt;"DIV"), L43/sum(F43:I43), "")</f>
        <v/>
      </c>
      <c r="L124" s="45">
        <f>IF(AND( C43="Buy", ISBLANK(W43), B43&lt;&gt;"DIV"), (1-Index!$F$2*2)*((J43*D43)-(E43*D43)), "")</f>
        <v/>
      </c>
      <c r="M124" s="45">
        <f>IF(AND( C43="Buy", ISBLANK(W43), B43&lt;&gt;"DIV"), ((E43*D43)+L43), "")</f>
        <v/>
      </c>
      <c r="N124" s="46">
        <f>IF(AND( C43="Buy", ISBLANK(W43), B43&lt;&gt;"DIV"), D43, "")</f>
        <v/>
      </c>
      <c r="O124" s="44">
        <f>IF(AND( C43="Buy", ISBLANK(W43), B43&lt;&gt;"DIV", NOW()-A43 &lt; 365), P43/sum(F43:I43), "")</f>
        <v/>
      </c>
      <c r="P124" s="45">
        <f>IF(AND( C43="Buy", ISBLANK(W43), B43&lt;&gt;"DIV", NOW()-A43 &lt; 365), (1-Index!$F$2*2)*((J43*D43)-(E43*D43)), "")</f>
        <v/>
      </c>
      <c r="Q124" s="45">
        <f>IF(AND( C43="Buy", ISBLANK(W43), B43&lt;&gt;"DIV", NOW()-A43 &lt; 365), ((E43*D43)+P43), "")</f>
        <v/>
      </c>
      <c r="R124" s="45">
        <f>IF(AND( C43="Buy", ISBLANK(W43), B43&lt;&gt;"DIV", NOW()-A43 &lt; 365), D43, "")</f>
        <v/>
      </c>
      <c r="S124" s="47">
        <f>IF(AND( C43="Buy", ISBLANK(W43), B43&lt;&gt;"DIV", NOW()-A43 &gt; 365), T43/sum(F43:I43), "")</f>
        <v/>
      </c>
      <c r="T124" s="48">
        <f>IF(AND( C43="Buy", ISBLANK(W43), B43&lt;&gt;"DIV", NOW()-A43 &gt; 365), (1-Index!$F$2*2)*((J43*D43)-(E43*D43)), "")</f>
        <v/>
      </c>
      <c r="U124" s="48">
        <f>IF(AND( C43="Buy", ISBLANK(W43), B43&lt;&gt;"DIV", NOW()-A43 &gt; 365), ((E43*D43)+T43), "")</f>
        <v/>
      </c>
      <c r="V124" s="48">
        <f>IF(AND( C43="Buy", ISBLANK(W43), B43&lt;&gt;"DIV", NOW()-A43 &gt; 365), D43, "")</f>
        <v/>
      </c>
      <c r="W124" s="41" t="n">
        <v>312.81</v>
      </c>
      <c r="X124" s="38" t="n">
        <v>45811</v>
      </c>
      <c r="Y124" s="47">
        <f>IF(AND( C43="Buy", W43&lt;&gt;"", AA43&lt;&gt;"", B43&lt;&gt;"DIV"), Z43/sum(F43:I43), "")</f>
        <v/>
      </c>
      <c r="Z124" s="57">
        <f>(1-Index!$F$2*2)*((W43*D43)-(E43*D43))</f>
        <v/>
      </c>
      <c r="AA124" s="57">
        <f>((E43*D43)+Z43)</f>
        <v/>
      </c>
      <c r="AB124" s="58">
        <f>D43</f>
        <v/>
      </c>
      <c r="AC124" s="56">
        <f>if(B43="DIV", F43,"")</f>
        <v/>
      </c>
      <c r="AD124" s="53" t="n"/>
      <c r="AE124" s="59" t="n"/>
      <c r="AF124" s="59" t="n"/>
      <c r="AG124" s="59" t="n"/>
      <c r="AH124" s="59" t="n"/>
      <c r="AI124" s="59" t="n"/>
      <c r="AJ124" s="59" t="n"/>
      <c r="AK124" s="59" t="n"/>
      <c r="AL124" s="59" t="n"/>
      <c r="AM124" s="59" t="n"/>
      <c r="AN124" s="59" t="n"/>
      <c r="AO124" s="59" t="n"/>
      <c r="AP124" s="59" t="n"/>
    </row>
    <row r="125">
      <c r="A125" s="38" t="n">
        <v>45702</v>
      </c>
      <c r="B125" s="39" t="inlineStr">
        <is>
          <t>NSE</t>
        </is>
      </c>
      <c r="C125" s="39" t="inlineStr">
        <is>
          <t>Buy</t>
        </is>
      </c>
      <c r="D125" s="40" t="n">
        <v>2</v>
      </c>
      <c r="E125" s="41" t="n">
        <v>216.93</v>
      </c>
      <c r="F125" s="41" t="n">
        <v>433.86</v>
      </c>
      <c r="G125" s="39" t="inlineStr">
        <is>
          <t>~</t>
        </is>
      </c>
      <c r="H125" s="40" t="n">
        <v>0.43</v>
      </c>
      <c r="I125" s="40" t="n">
        <v>2.61</v>
      </c>
      <c r="J125" s="71">
        <f>Index!$C$2</f>
        <v/>
      </c>
      <c r="K125" s="44">
        <f>IF(AND( C44="Buy", ISBLANK(W44), B44&lt;&gt;"DIV"), L44/sum(F44:I44), "")</f>
        <v/>
      </c>
      <c r="L125" s="45">
        <f>IF(AND( C44="Buy", ISBLANK(W44), B44&lt;&gt;"DIV"), (1-Index!$F$2*2)*((J44*D44)-(E44*D44)), "")</f>
        <v/>
      </c>
      <c r="M125" s="45">
        <f>IF(AND( C44="Buy", ISBLANK(W44), B44&lt;&gt;"DIV"), ((E44*D44)+L44), "")</f>
        <v/>
      </c>
      <c r="N125" s="46">
        <f>IF(AND( C44="Buy", ISBLANK(W44), B44&lt;&gt;"DIV"), D44, "")</f>
        <v/>
      </c>
      <c r="O125" s="44">
        <f>IF(AND( C44="Buy", ISBLANK(W44), B44&lt;&gt;"DIV", NOW()-A44 &lt; 365), P44/sum(F44:I44), "")</f>
        <v/>
      </c>
      <c r="P125" s="45">
        <f>IF(AND( C44="Buy", ISBLANK(W44), B44&lt;&gt;"DIV", NOW()-A44 &lt; 365), (1-Index!$F$2*2)*((J44*D44)-(E44*D44)), "")</f>
        <v/>
      </c>
      <c r="Q125" s="45">
        <f>IF(AND( C44="Buy", ISBLANK(W44), B44&lt;&gt;"DIV", NOW()-A44 &lt; 365), ((E44*D44)+P44), "")</f>
        <v/>
      </c>
      <c r="R125" s="45">
        <f>IF(AND( C44="Buy", ISBLANK(W44), B44&lt;&gt;"DIV", NOW()-A44 &lt; 365), D44, "")</f>
        <v/>
      </c>
      <c r="S125" s="47">
        <f>IF(AND( C44="Buy", ISBLANK(W44), B44&lt;&gt;"DIV", NOW()-A44 &gt; 365), T44/sum(F44:I44), "")</f>
        <v/>
      </c>
      <c r="T125" s="48">
        <f>IF(AND( C44="Buy", ISBLANK(W44), B44&lt;&gt;"DIV", NOW()-A44 &gt; 365), (1-Index!$F$2*2)*((J44*D44)-(E44*D44)), "")</f>
        <v/>
      </c>
      <c r="U125" s="48">
        <f>IF(AND( C44="Buy", ISBLANK(W44), B44&lt;&gt;"DIV", NOW()-A44 &gt; 365), ((E44*D44)+T44), "")</f>
        <v/>
      </c>
      <c r="V125" s="48">
        <f>IF(AND( C44="Buy", ISBLANK(W44), B44&lt;&gt;"DIV", NOW()-A44 &gt; 365), D44, "")</f>
        <v/>
      </c>
      <c r="W125" s="41" t="n">
        <v>312.81</v>
      </c>
      <c r="X125" s="38" t="n">
        <v>45811</v>
      </c>
      <c r="Y125" s="47">
        <f>IF(AND( C44="Buy", W44&lt;&gt;"", AA44&lt;&gt;"", B44&lt;&gt;"DIV"), Z44/sum(F44:I44), "")</f>
        <v/>
      </c>
      <c r="Z125" s="57">
        <f>(1-Index!$F$2*2)*((W44*D44)-(E44*D44))</f>
        <v/>
      </c>
      <c r="AA125" s="57">
        <f>((E44*D44)+Z44)</f>
        <v/>
      </c>
      <c r="AB125" s="58">
        <f>D44</f>
        <v/>
      </c>
      <c r="AC125" s="56">
        <f>if(B44="DIV", F44,"")</f>
        <v/>
      </c>
      <c r="AD125" s="53" t="n"/>
      <c r="AE125" s="59" t="n"/>
      <c r="AF125" s="59" t="n"/>
      <c r="AG125" s="59" t="n"/>
      <c r="AH125" s="59" t="n"/>
      <c r="AI125" s="59" t="n"/>
      <c r="AJ125" s="59" t="n"/>
      <c r="AK125" s="59" t="n"/>
      <c r="AL125" s="59" t="n"/>
      <c r="AM125" s="59" t="n"/>
      <c r="AN125" s="59" t="n"/>
      <c r="AO125" s="59" t="n"/>
      <c r="AP125" s="59" t="n"/>
    </row>
    <row r="126">
      <c r="A126" s="38" t="n">
        <v>45702</v>
      </c>
      <c r="B126" s="39" t="inlineStr">
        <is>
          <t>NSE</t>
        </is>
      </c>
      <c r="C126" s="39" t="inlineStr">
        <is>
          <t>Buy</t>
        </is>
      </c>
      <c r="D126" s="40" t="n">
        <v>12</v>
      </c>
      <c r="E126" s="41" t="n">
        <v>216.94</v>
      </c>
      <c r="F126" s="41" t="n">
        <v>2603.29</v>
      </c>
      <c r="G126" s="39" t="inlineStr">
        <is>
          <t>~</t>
        </is>
      </c>
      <c r="H126" s="40" t="n">
        <v>2.58</v>
      </c>
      <c r="I126" s="40" t="n">
        <v>15.79</v>
      </c>
      <c r="J126" s="71">
        <f>Index!$C$2</f>
        <v/>
      </c>
      <c r="K126" s="44">
        <f>IF(AND( C45="Buy", ISBLANK(W45), B45&lt;&gt;"DIV"), L45/sum(F45:I45), "")</f>
        <v/>
      </c>
      <c r="L126" s="45">
        <f>IF(AND( C45="Buy", ISBLANK(W45), B45&lt;&gt;"DIV"), (1-Index!$F$2*2)*((J45*D45)-(E45*D45)), "")</f>
        <v/>
      </c>
      <c r="M126" s="45">
        <f>IF(AND( C45="Buy", ISBLANK(W45), B45&lt;&gt;"DIV"), ((E45*D45)+L45), "")</f>
        <v/>
      </c>
      <c r="N126" s="46">
        <f>IF(AND( C45="Buy", ISBLANK(W45), B45&lt;&gt;"DIV"), D45, "")</f>
        <v/>
      </c>
      <c r="O126" s="44">
        <f>IF(AND( C45="Buy", ISBLANK(W45), B45&lt;&gt;"DIV", NOW()-A45 &lt; 365), P45/sum(F45:I45), "")</f>
        <v/>
      </c>
      <c r="P126" s="45">
        <f>IF(AND( C45="Buy", ISBLANK(W45), B45&lt;&gt;"DIV", NOW()-A45 &lt; 365), (1-Index!$F$2*2)*((J45*D45)-(E45*D45)), "")</f>
        <v/>
      </c>
      <c r="Q126" s="45">
        <f>IF(AND( C45="Buy", ISBLANK(W45), B45&lt;&gt;"DIV", NOW()-A45 &lt; 365), ((E45*D45)+P45), "")</f>
        <v/>
      </c>
      <c r="R126" s="45">
        <f>IF(AND( C45="Buy", ISBLANK(W45), B45&lt;&gt;"DIV", NOW()-A45 &lt; 365), D45, "")</f>
        <v/>
      </c>
      <c r="S126" s="47">
        <f>IF(AND( C45="Buy", ISBLANK(W45), B45&lt;&gt;"DIV", NOW()-A45 &gt; 365), T45/sum(F45:I45), "")</f>
        <v/>
      </c>
      <c r="T126" s="48">
        <f>IF(AND( C45="Buy", ISBLANK(W45), B45&lt;&gt;"DIV", NOW()-A45 &gt; 365), (1-Index!$F$2*2)*((J45*D45)-(E45*D45)), "")</f>
        <v/>
      </c>
      <c r="U126" s="48">
        <f>IF(AND( C45="Buy", ISBLANK(W45), B45&lt;&gt;"DIV", NOW()-A45 &gt; 365), ((E45*D45)+T45), "")</f>
        <v/>
      </c>
      <c r="V126" s="48">
        <f>IF(AND( C45="Buy", ISBLANK(W45), B45&lt;&gt;"DIV", NOW()-A45 &gt; 365), D45, "")</f>
        <v/>
      </c>
      <c r="W126" s="41" t="n">
        <v>312.81</v>
      </c>
      <c r="X126" s="38" t="n">
        <v>45811</v>
      </c>
      <c r="Y126" s="47">
        <f>IF(AND( C45="Buy", W45&lt;&gt;"", AA45&lt;&gt;"", B45&lt;&gt;"DIV"), Z45/sum(F45:I45), "")</f>
        <v/>
      </c>
      <c r="Z126" s="57">
        <f>(1-Index!$F$2*2)*((W45*D45)-(E45*D45))</f>
        <v/>
      </c>
      <c r="AA126" s="57">
        <f>((E45*D45)+Z45)</f>
        <v/>
      </c>
      <c r="AB126" s="58">
        <f>D45</f>
        <v/>
      </c>
      <c r="AC126" s="56">
        <f>if(B45="DIV", F45,"")</f>
        <v/>
      </c>
      <c r="AD126" s="53" t="n"/>
      <c r="AE126" s="59" t="n"/>
      <c r="AF126" s="59" t="n"/>
      <c r="AG126" s="59" t="n"/>
      <c r="AH126" s="59" t="n"/>
      <c r="AI126" s="59" t="n"/>
      <c r="AJ126" s="59" t="n"/>
      <c r="AK126" s="59" t="n"/>
      <c r="AL126" s="59" t="n"/>
      <c r="AM126" s="59" t="n"/>
      <c r="AN126" s="59" t="n"/>
      <c r="AO126" s="59" t="n"/>
      <c r="AP126" s="59" t="n"/>
    </row>
    <row r="127">
      <c r="A127" s="38" t="n">
        <v>45702</v>
      </c>
      <c r="B127" s="39" t="inlineStr">
        <is>
          <t>NSE</t>
        </is>
      </c>
      <c r="C127" s="39" t="inlineStr">
        <is>
          <t>Buy</t>
        </is>
      </c>
      <c r="D127" s="40" t="n">
        <v>36</v>
      </c>
      <c r="E127" s="41" t="n">
        <v>216.94</v>
      </c>
      <c r="F127" s="41" t="n">
        <v>7809.85</v>
      </c>
      <c r="G127" s="39" t="inlineStr">
        <is>
          <t>~</t>
        </is>
      </c>
      <c r="H127" s="40" t="n">
        <v>7.76</v>
      </c>
      <c r="I127" s="40" t="n">
        <v>47.33</v>
      </c>
      <c r="J127" s="71">
        <f>Index!$C$2</f>
        <v/>
      </c>
      <c r="K127" s="44">
        <f>IF(AND( C46="Buy", ISBLANK(W46), B46&lt;&gt;"DIV"), L46/sum(F46:I46), "")</f>
        <v/>
      </c>
      <c r="L127" s="45">
        <f>IF(AND( C46="Buy", ISBLANK(W46), B46&lt;&gt;"DIV"), (1-Index!$F$2*2)*((J46*D46)-(E46*D46)), "")</f>
        <v/>
      </c>
      <c r="M127" s="45">
        <f>IF(AND( C46="Buy", ISBLANK(W46), B46&lt;&gt;"DIV"), ((E46*D46)+L46), "")</f>
        <v/>
      </c>
      <c r="N127" s="46">
        <f>IF(AND( C46="Buy", ISBLANK(W46), B46&lt;&gt;"DIV"), D46, "")</f>
        <v/>
      </c>
      <c r="O127" s="44">
        <f>IF(AND( C46="Buy", ISBLANK(W46), B46&lt;&gt;"DIV", NOW()-A46 &lt; 365), P46/sum(F46:I46), "")</f>
        <v/>
      </c>
      <c r="P127" s="45">
        <f>IF(AND( C46="Buy", ISBLANK(W46), B46&lt;&gt;"DIV", NOW()-A46 &lt; 365), (1-Index!$F$2*2)*((J46*D46)-(E46*D46)), "")</f>
        <v/>
      </c>
      <c r="Q127" s="45">
        <f>IF(AND( C46="Buy", ISBLANK(W46), B46&lt;&gt;"DIV", NOW()-A46 &lt; 365), ((E46*D46)+P46), "")</f>
        <v/>
      </c>
      <c r="R127" s="45">
        <f>IF(AND( C46="Buy", ISBLANK(W46), B46&lt;&gt;"DIV", NOW()-A46 &lt; 365), D46, "")</f>
        <v/>
      </c>
      <c r="S127" s="47">
        <f>IF(AND( C46="Buy", ISBLANK(W46), B46&lt;&gt;"DIV", NOW()-A46 &gt; 365), T46/sum(F46:I46), "")</f>
        <v/>
      </c>
      <c r="T127" s="48">
        <f>IF(AND( C46="Buy", ISBLANK(W46), B46&lt;&gt;"DIV", NOW()-A46 &gt; 365), (1-Index!$F$2*2)*((J46*D46)-(E46*D46)), "")</f>
        <v/>
      </c>
      <c r="U127" s="48">
        <f>IF(AND( C46="Buy", ISBLANK(W46), B46&lt;&gt;"DIV", NOW()-A46 &gt; 365), ((E46*D46)+T46), "")</f>
        <v/>
      </c>
      <c r="V127" s="48">
        <f>IF(AND( C46="Buy", ISBLANK(W46), B46&lt;&gt;"DIV", NOW()-A46 &gt; 365), D46, "")</f>
        <v/>
      </c>
      <c r="W127" s="41" t="n">
        <v>312.81</v>
      </c>
      <c r="X127" s="38" t="n">
        <v>45811</v>
      </c>
      <c r="Y127" s="47">
        <f>IF(AND( C46="Buy", W46&lt;&gt;"", AA46&lt;&gt;"", B46&lt;&gt;"DIV"), Z46/sum(F46:I46), "")</f>
        <v/>
      </c>
      <c r="Z127" s="57">
        <f>(1-Index!$F$2*2)*((W46*D46)-(E46*D46))</f>
        <v/>
      </c>
      <c r="AA127" s="57">
        <f>((E46*D46)+Z46)</f>
        <v/>
      </c>
      <c r="AB127" s="58">
        <f>D46</f>
        <v/>
      </c>
      <c r="AC127" s="56">
        <f>if(B46="DIV", F46,"")</f>
        <v/>
      </c>
      <c r="AD127" s="53" t="n"/>
      <c r="AE127" s="59" t="n"/>
      <c r="AF127" s="59" t="n"/>
      <c r="AG127" s="59" t="n"/>
      <c r="AH127" s="59" t="n"/>
      <c r="AI127" s="59" t="n"/>
      <c r="AJ127" s="59" t="n"/>
      <c r="AK127" s="59" t="n"/>
      <c r="AL127" s="59" t="n"/>
      <c r="AM127" s="59" t="n"/>
      <c r="AN127" s="59" t="n"/>
      <c r="AO127" s="59" t="n"/>
      <c r="AP127" s="59" t="n"/>
    </row>
    <row r="128">
      <c r="A128" s="38" t="n">
        <v>45699</v>
      </c>
      <c r="B128" s="39" t="inlineStr">
        <is>
          <t>NSE</t>
        </is>
      </c>
      <c r="C128" s="39" t="inlineStr">
        <is>
          <t>Buy</t>
        </is>
      </c>
      <c r="D128" s="40" t="n">
        <v>4</v>
      </c>
      <c r="E128" s="41" t="n">
        <v>230.31</v>
      </c>
      <c r="F128" s="41" t="n">
        <v>921.26</v>
      </c>
      <c r="G128" s="39" t="inlineStr">
        <is>
          <t>~</t>
        </is>
      </c>
      <c r="H128" s="40" t="n">
        <v>0.91</v>
      </c>
      <c r="I128" s="40" t="n">
        <v>5.55</v>
      </c>
      <c r="J128" s="71">
        <f>Index!$C$2</f>
        <v/>
      </c>
      <c r="K128" s="44">
        <f>IF(AND( C47="Buy", ISBLANK(W47), B47&lt;&gt;"DIV"), L47/sum(F47:I47), "")</f>
        <v/>
      </c>
      <c r="L128" s="45">
        <f>IF(AND( C47="Buy", ISBLANK(W47), B47&lt;&gt;"DIV"), (1-Index!$F$2*2)*((J47*D47)-(E47*D47)), "")</f>
        <v/>
      </c>
      <c r="M128" s="45">
        <f>IF(AND( C47="Buy", ISBLANK(W47), B47&lt;&gt;"DIV"), ((E47*D47)+L47), "")</f>
        <v/>
      </c>
      <c r="N128" s="46">
        <f>IF(AND( C47="Buy", ISBLANK(W47), B47&lt;&gt;"DIV"), D47, "")</f>
        <v/>
      </c>
      <c r="O128" s="44">
        <f>IF(AND( C47="Buy", ISBLANK(W47), B47&lt;&gt;"DIV", NOW()-A47 &lt; 365), P47/sum(F47:I47), "")</f>
        <v/>
      </c>
      <c r="P128" s="45">
        <f>IF(AND( C47="Buy", ISBLANK(W47), B47&lt;&gt;"DIV", NOW()-A47 &lt; 365), (1-Index!$F$2*2)*((J47*D47)-(E47*D47)), "")</f>
        <v/>
      </c>
      <c r="Q128" s="45">
        <f>IF(AND( C47="Buy", ISBLANK(W47), B47&lt;&gt;"DIV", NOW()-A47 &lt; 365), ((E47*D47)+P47), "")</f>
        <v/>
      </c>
      <c r="R128" s="45">
        <f>IF(AND( C47="Buy", ISBLANK(W47), B47&lt;&gt;"DIV", NOW()-A47 &lt; 365), D47, "")</f>
        <v/>
      </c>
      <c r="S128" s="47">
        <f>IF(AND( C47="Buy", ISBLANK(W47), B47&lt;&gt;"DIV", NOW()-A47 &gt; 365), T47/sum(F47:I47), "")</f>
        <v/>
      </c>
      <c r="T128" s="48">
        <f>IF(AND( C47="Buy", ISBLANK(W47), B47&lt;&gt;"DIV", NOW()-A47 &gt; 365), (1-Index!$F$2*2)*((J47*D47)-(E47*D47)), "")</f>
        <v/>
      </c>
      <c r="U128" s="48">
        <f>IF(AND( C47="Buy", ISBLANK(W47), B47&lt;&gt;"DIV", NOW()-A47 &gt; 365), ((E47*D47)+T47), "")</f>
        <v/>
      </c>
      <c r="V128" s="48">
        <f>IF(AND( C47="Buy", ISBLANK(W47), B47&lt;&gt;"DIV", NOW()-A47 &gt; 365), D47, "")</f>
        <v/>
      </c>
      <c r="W128" s="41" t="n">
        <v>312.81</v>
      </c>
      <c r="X128" s="38" t="n">
        <v>45811</v>
      </c>
      <c r="Y128" s="47">
        <f>IF(AND( C47="Buy", W47&lt;&gt;"", AA47&lt;&gt;"", B47&lt;&gt;"DIV"), Z47/sum(F47:I47), "")</f>
        <v/>
      </c>
      <c r="Z128" s="57">
        <f>(1-Index!$F$2*2)*((W47*D47)-(E47*D47))</f>
        <v/>
      </c>
      <c r="AA128" s="57">
        <f>((E47*D47)+Z47)</f>
        <v/>
      </c>
      <c r="AB128" s="58">
        <f>D47</f>
        <v/>
      </c>
      <c r="AC128" s="56">
        <f>if(B47="DIV", F47,"")</f>
        <v/>
      </c>
      <c r="AD128" s="53" t="n"/>
      <c r="AE128" s="59" t="n"/>
      <c r="AF128" s="59" t="n"/>
      <c r="AG128" s="59" t="n"/>
      <c r="AH128" s="59" t="n"/>
      <c r="AI128" s="59" t="n"/>
      <c r="AJ128" s="59" t="n"/>
      <c r="AK128" s="59" t="n"/>
      <c r="AL128" s="59" t="n"/>
      <c r="AM128" s="59" t="n"/>
      <c r="AN128" s="59" t="n"/>
      <c r="AO128" s="59" t="n"/>
      <c r="AP128" s="59" t="n"/>
    </row>
    <row r="129">
      <c r="A129" s="38" t="n">
        <v>45699</v>
      </c>
      <c r="B129" s="39" t="inlineStr">
        <is>
          <t>NSE</t>
        </is>
      </c>
      <c r="C129" s="39" t="inlineStr">
        <is>
          <t>Buy</t>
        </is>
      </c>
      <c r="D129" s="40" t="n">
        <v>2</v>
      </c>
      <c r="E129" s="41" t="n">
        <v>230.28</v>
      </c>
      <c r="F129" s="41" t="n">
        <v>460.56</v>
      </c>
      <c r="G129" s="39" t="inlineStr">
        <is>
          <t>~</t>
        </is>
      </c>
      <c r="H129" s="40" t="n">
        <v>0.46</v>
      </c>
      <c r="I129" s="40" t="n">
        <v>2.78</v>
      </c>
      <c r="J129" s="71">
        <f>Index!$C$2</f>
        <v/>
      </c>
      <c r="K129" s="44">
        <f>IF(AND( C48="Buy", ISBLANK(W48), B48&lt;&gt;"DIV"), L48/sum(F48:I48), "")</f>
        <v/>
      </c>
      <c r="L129" s="45">
        <f>IF(AND( C48="Buy", ISBLANK(W48), B48&lt;&gt;"DIV"), (1-Index!$F$2*2)*((J48*D48)-(E48*D48)), "")</f>
        <v/>
      </c>
      <c r="M129" s="45">
        <f>IF(AND( C48="Buy", ISBLANK(W48), B48&lt;&gt;"DIV"), ((E48*D48)+L48), "")</f>
        <v/>
      </c>
      <c r="N129" s="46">
        <f>IF(AND( C48="Buy", ISBLANK(W48), B48&lt;&gt;"DIV"), D48, "")</f>
        <v/>
      </c>
      <c r="O129" s="44">
        <f>IF(AND( C48="Buy", ISBLANK(W48), B48&lt;&gt;"DIV", NOW()-A48 &lt; 365), P48/sum(F48:I48), "")</f>
        <v/>
      </c>
      <c r="P129" s="45">
        <f>IF(AND( C48="Buy", ISBLANK(W48), B48&lt;&gt;"DIV", NOW()-A48 &lt; 365), (1-Index!$F$2*2)*((J48*D48)-(E48*D48)), "")</f>
        <v/>
      </c>
      <c r="Q129" s="45">
        <f>IF(AND( C48="Buy", ISBLANK(W48), B48&lt;&gt;"DIV", NOW()-A48 &lt; 365), ((E48*D48)+P48), "")</f>
        <v/>
      </c>
      <c r="R129" s="45">
        <f>IF(AND( C48="Buy", ISBLANK(W48), B48&lt;&gt;"DIV", NOW()-A48 &lt; 365), D48, "")</f>
        <v/>
      </c>
      <c r="S129" s="47">
        <f>IF(AND( C48="Buy", ISBLANK(W48), B48&lt;&gt;"DIV", NOW()-A48 &gt; 365), T48/sum(F48:I48), "")</f>
        <v/>
      </c>
      <c r="T129" s="48">
        <f>IF(AND( C48="Buy", ISBLANK(W48), B48&lt;&gt;"DIV", NOW()-A48 &gt; 365), (1-Index!$F$2*2)*((J48*D48)-(E48*D48)), "")</f>
        <v/>
      </c>
      <c r="U129" s="48">
        <f>IF(AND( C48="Buy", ISBLANK(W48), B48&lt;&gt;"DIV", NOW()-A48 &gt; 365), ((E48*D48)+T48), "")</f>
        <v/>
      </c>
      <c r="V129" s="48">
        <f>IF(AND( C48="Buy", ISBLANK(W48), B48&lt;&gt;"DIV", NOW()-A48 &gt; 365), D48, "")</f>
        <v/>
      </c>
      <c r="W129" s="41" t="n">
        <v>312.81</v>
      </c>
      <c r="X129" s="38" t="n">
        <v>45811</v>
      </c>
      <c r="Y129" s="47">
        <f>IF(AND( C48="Buy", W48&lt;&gt;"", AA48&lt;&gt;"", B48&lt;&gt;"DIV"), Z48/sum(F48:I48), "")</f>
        <v/>
      </c>
      <c r="Z129" s="57">
        <f>(1-Index!$F$2*2)*((W48*D48)-(E48*D48))</f>
        <v/>
      </c>
      <c r="AA129" s="57">
        <f>((E48*D48)+Z48)</f>
        <v/>
      </c>
      <c r="AB129" s="58">
        <f>D48</f>
        <v/>
      </c>
      <c r="AC129" s="56">
        <f>if(B48="DIV", F48,"")</f>
        <v/>
      </c>
      <c r="AD129" s="53" t="n"/>
      <c r="AE129" s="59" t="n"/>
      <c r="AF129" s="59" t="n"/>
      <c r="AG129" s="59" t="n"/>
      <c r="AH129" s="59" t="n"/>
      <c r="AI129" s="59" t="n"/>
      <c r="AJ129" s="59" t="n"/>
      <c r="AK129" s="59" t="n"/>
      <c r="AL129" s="59" t="n"/>
      <c r="AM129" s="59" t="n"/>
      <c r="AN129" s="59" t="n"/>
      <c r="AO129" s="59" t="n"/>
      <c r="AP129" s="59" t="n"/>
    </row>
    <row r="130">
      <c r="A130" s="38" t="n">
        <v>45699</v>
      </c>
      <c r="B130" s="39" t="inlineStr">
        <is>
          <t>NSE</t>
        </is>
      </c>
      <c r="C130" s="39" t="inlineStr">
        <is>
          <t>Buy</t>
        </is>
      </c>
      <c r="D130" s="40" t="n">
        <v>12</v>
      </c>
      <c r="E130" s="41" t="n">
        <v>230.32</v>
      </c>
      <c r="F130" s="41" t="n">
        <v>2763.9</v>
      </c>
      <c r="G130" s="39" t="inlineStr">
        <is>
          <t>~</t>
        </is>
      </c>
      <c r="H130" s="40" t="n">
        <v>2.74</v>
      </c>
      <c r="I130" s="40" t="n">
        <v>16.64</v>
      </c>
      <c r="J130" s="71">
        <f>Index!$C$2</f>
        <v/>
      </c>
      <c r="K130" s="44">
        <f>IF(AND( C49="Buy", ISBLANK(W49), B49&lt;&gt;"DIV"), L49/sum(F49:I49), "")</f>
        <v/>
      </c>
      <c r="L130" s="45">
        <f>IF(AND( C49="Buy", ISBLANK(W49), B49&lt;&gt;"DIV"), (1-Index!$F$2*2)*((J49*D49)-(E49*D49)), "")</f>
        <v/>
      </c>
      <c r="M130" s="45">
        <f>IF(AND( C49="Buy", ISBLANK(W49), B49&lt;&gt;"DIV"), ((E49*D49)+L49), "")</f>
        <v/>
      </c>
      <c r="N130" s="46">
        <f>IF(AND( C49="Buy", ISBLANK(W49), B49&lt;&gt;"DIV"), D49, "")</f>
        <v/>
      </c>
      <c r="O130" s="44">
        <f>IF(AND( C49="Buy", ISBLANK(W49), B49&lt;&gt;"DIV", NOW()-A49 &lt; 365), P49/sum(F49:I49), "")</f>
        <v/>
      </c>
      <c r="P130" s="45">
        <f>IF(AND( C49="Buy", ISBLANK(W49), B49&lt;&gt;"DIV", NOW()-A49 &lt; 365), (1-Index!$F$2*2)*((J49*D49)-(E49*D49)), "")</f>
        <v/>
      </c>
      <c r="Q130" s="45">
        <f>IF(AND( C49="Buy", ISBLANK(W49), B49&lt;&gt;"DIV", NOW()-A49 &lt; 365), ((E49*D49)+P49), "")</f>
        <v/>
      </c>
      <c r="R130" s="45">
        <f>IF(AND( C49="Buy", ISBLANK(W49), B49&lt;&gt;"DIV", NOW()-A49 &lt; 365), D49, "")</f>
        <v/>
      </c>
      <c r="S130" s="47">
        <f>IF(AND( C49="Buy", ISBLANK(W49), B49&lt;&gt;"DIV", NOW()-A49 &gt; 365), T49/sum(F49:I49), "")</f>
        <v/>
      </c>
      <c r="T130" s="48">
        <f>IF(AND( C49="Buy", ISBLANK(W49), B49&lt;&gt;"DIV", NOW()-A49 &gt; 365), (1-Index!$F$2*2)*((J49*D49)-(E49*D49)), "")</f>
        <v/>
      </c>
      <c r="U130" s="48">
        <f>IF(AND( C49="Buy", ISBLANK(W49), B49&lt;&gt;"DIV", NOW()-A49 &gt; 365), ((E49*D49)+T49), "")</f>
        <v/>
      </c>
      <c r="V130" s="48">
        <f>IF(AND( C49="Buy", ISBLANK(W49), B49&lt;&gt;"DIV", NOW()-A49 &gt; 365), D49, "")</f>
        <v/>
      </c>
      <c r="W130" s="41" t="n">
        <v>312.81</v>
      </c>
      <c r="X130" s="38" t="n">
        <v>45811</v>
      </c>
      <c r="Y130" s="47">
        <f>IF(AND( C49="Buy", W49&lt;&gt;"", AA49&lt;&gt;"", B49&lt;&gt;"DIV"), Z49/sum(F49:I49), "")</f>
        <v/>
      </c>
      <c r="Z130" s="57">
        <f>(1-Index!$F$2*2)*((W49*D49)-(E49*D49))</f>
        <v/>
      </c>
      <c r="AA130" s="57">
        <f>((E49*D49)+Z49)</f>
        <v/>
      </c>
      <c r="AB130" s="58">
        <f>D49</f>
        <v/>
      </c>
      <c r="AC130" s="56">
        <f>if(B49="DIV", F49,"")</f>
        <v/>
      </c>
      <c r="AD130" s="53" t="n"/>
      <c r="AE130" s="59" t="n"/>
      <c r="AF130" s="59" t="n"/>
      <c r="AG130" s="59" t="n"/>
      <c r="AH130" s="59" t="n"/>
      <c r="AI130" s="59" t="n"/>
      <c r="AJ130" s="59" t="n"/>
      <c r="AK130" s="59" t="n"/>
      <c r="AL130" s="59" t="n"/>
      <c r="AM130" s="59" t="n"/>
      <c r="AN130" s="59" t="n"/>
      <c r="AO130" s="59" t="n"/>
      <c r="AP130" s="59" t="n"/>
    </row>
    <row r="131">
      <c r="A131" s="38" t="n">
        <v>45699</v>
      </c>
      <c r="B131" s="39" t="inlineStr">
        <is>
          <t>NSE</t>
        </is>
      </c>
      <c r="C131" s="39" t="inlineStr">
        <is>
          <t>Buy</t>
        </is>
      </c>
      <c r="D131" s="40" t="n">
        <v>2</v>
      </c>
      <c r="E131" s="41" t="n">
        <v>230.34</v>
      </c>
      <c r="F131" s="41" t="n">
        <v>460.68</v>
      </c>
      <c r="G131" s="39" t="inlineStr">
        <is>
          <t>~</t>
        </is>
      </c>
      <c r="H131" s="40" t="n">
        <v>0.46</v>
      </c>
      <c r="I131" s="40" t="n">
        <v>2.78</v>
      </c>
      <c r="J131" s="71">
        <f>Index!$C$2</f>
        <v/>
      </c>
      <c r="K131" s="44">
        <f>IF(AND( C50="Buy", ISBLANK(W50), B50&lt;&gt;"DIV"), L50/sum(F50:I50), "")</f>
        <v/>
      </c>
      <c r="L131" s="45">
        <f>IF(AND( C50="Buy", ISBLANK(W50), B50&lt;&gt;"DIV"), (1-Index!$F$2*2)*((J50*D50)-(E50*D50)), "")</f>
        <v/>
      </c>
      <c r="M131" s="45">
        <f>IF(AND( C50="Buy", ISBLANK(W50), B50&lt;&gt;"DIV"), ((E50*D50)+L50), "")</f>
        <v/>
      </c>
      <c r="N131" s="46">
        <f>IF(AND( C50="Buy", ISBLANK(W50), B50&lt;&gt;"DIV"), D50, "")</f>
        <v/>
      </c>
      <c r="O131" s="44">
        <f>IF(AND( C50="Buy", ISBLANK(W50), B50&lt;&gt;"DIV", NOW()-A50 &lt; 365), P50/sum(F50:I50), "")</f>
        <v/>
      </c>
      <c r="P131" s="45">
        <f>IF(AND( C50="Buy", ISBLANK(W50), B50&lt;&gt;"DIV", NOW()-A50 &lt; 365), (1-Index!$F$2*2)*((J50*D50)-(E50*D50)), "")</f>
        <v/>
      </c>
      <c r="Q131" s="45">
        <f>IF(AND( C50="Buy", ISBLANK(W50), B50&lt;&gt;"DIV", NOW()-A50 &lt; 365), ((E50*D50)+P50), "")</f>
        <v/>
      </c>
      <c r="R131" s="45">
        <f>IF(AND( C50="Buy", ISBLANK(W50), B50&lt;&gt;"DIV", NOW()-A50 &lt; 365), D50, "")</f>
        <v/>
      </c>
      <c r="S131" s="47">
        <f>IF(AND( C50="Buy", ISBLANK(W50), B50&lt;&gt;"DIV", NOW()-A50 &gt; 365), T50/sum(F50:I50), "")</f>
        <v/>
      </c>
      <c r="T131" s="48">
        <f>IF(AND( C50="Buy", ISBLANK(W50), B50&lt;&gt;"DIV", NOW()-A50 &gt; 365), (1-Index!$F$2*2)*((J50*D50)-(E50*D50)), "")</f>
        <v/>
      </c>
      <c r="U131" s="48">
        <f>IF(AND( C50="Buy", ISBLANK(W50), B50&lt;&gt;"DIV", NOW()-A50 &gt; 365), ((E50*D50)+T50), "")</f>
        <v/>
      </c>
      <c r="V131" s="48">
        <f>IF(AND( C50="Buy", ISBLANK(W50), B50&lt;&gt;"DIV", NOW()-A50 &gt; 365), D50, "")</f>
        <v/>
      </c>
      <c r="W131" s="41" t="n">
        <v>312.81</v>
      </c>
      <c r="X131" s="38" t="n">
        <v>45811</v>
      </c>
      <c r="Y131" s="47">
        <f>IF(AND( C50="Buy", W50&lt;&gt;"", AA50&lt;&gt;"", B50&lt;&gt;"DIV"), Z50/sum(F50:I50), "")</f>
        <v/>
      </c>
      <c r="Z131" s="57">
        <f>(1-Index!$F$2*2)*((W50*D50)-(E50*D50))</f>
        <v/>
      </c>
      <c r="AA131" s="57">
        <f>((E50*D50)+Z50)</f>
        <v/>
      </c>
      <c r="AB131" s="58">
        <f>D50</f>
        <v/>
      </c>
      <c r="AC131" s="56">
        <f>if(B50="DIV", F50,"")</f>
        <v/>
      </c>
      <c r="AD131" s="53" t="n"/>
      <c r="AE131" s="59" t="n"/>
      <c r="AF131" s="59" t="n"/>
      <c r="AG131" s="59" t="n"/>
      <c r="AH131" s="59" t="n"/>
      <c r="AI131" s="59" t="n"/>
      <c r="AJ131" s="59" t="n"/>
      <c r="AK131" s="59" t="n"/>
      <c r="AL131" s="59" t="n"/>
      <c r="AM131" s="59" t="n"/>
      <c r="AN131" s="59" t="n"/>
      <c r="AO131" s="59" t="n"/>
      <c r="AP131" s="59" t="n"/>
    </row>
    <row r="132">
      <c r="A132" s="38" t="n">
        <v>45694</v>
      </c>
      <c r="B132" s="39" t="inlineStr">
        <is>
          <t>NSE</t>
        </is>
      </c>
      <c r="C132" s="39" t="inlineStr">
        <is>
          <t>Buy</t>
        </is>
      </c>
      <c r="D132" s="40" t="n">
        <v>2</v>
      </c>
      <c r="E132" s="41" t="n">
        <v>243.54</v>
      </c>
      <c r="F132" s="41" t="n">
        <v>487.08</v>
      </c>
      <c r="G132" s="39" t="inlineStr">
        <is>
          <t>~</t>
        </is>
      </c>
      <c r="H132" s="40" t="n">
        <v>0.48</v>
      </c>
      <c r="I132" s="40" t="n">
        <v>2.94</v>
      </c>
      <c r="J132" s="71">
        <f>Index!$C$2</f>
        <v/>
      </c>
      <c r="K132" s="44">
        <f>IF(AND( C51="Buy", ISBLANK(W51), B51&lt;&gt;"DIV"), L51/sum(F51:I51), "")</f>
        <v/>
      </c>
      <c r="L132" s="45">
        <f>IF(AND( C51="Buy", ISBLANK(W51), B51&lt;&gt;"DIV"), (1-Index!$F$2*2)*((J51*D51)-(E51*D51)), "")</f>
        <v/>
      </c>
      <c r="M132" s="45">
        <f>IF(AND( C51="Buy", ISBLANK(W51), B51&lt;&gt;"DIV"), ((E51*D51)+L51), "")</f>
        <v/>
      </c>
      <c r="N132" s="46">
        <f>IF(AND( C51="Buy", ISBLANK(W51), B51&lt;&gt;"DIV"), D51, "")</f>
        <v/>
      </c>
      <c r="O132" s="44">
        <f>IF(AND( C51="Buy", ISBLANK(W51), B51&lt;&gt;"DIV", NOW()-A51 &lt; 365), P51/sum(F51:I51), "")</f>
        <v/>
      </c>
      <c r="P132" s="45">
        <f>IF(AND( C51="Buy", ISBLANK(W51), B51&lt;&gt;"DIV", NOW()-A51 &lt; 365), (1-Index!$F$2*2)*((J51*D51)-(E51*D51)), "")</f>
        <v/>
      </c>
      <c r="Q132" s="45">
        <f>IF(AND( C51="Buy", ISBLANK(W51), B51&lt;&gt;"DIV", NOW()-A51 &lt; 365), ((E51*D51)+P51), "")</f>
        <v/>
      </c>
      <c r="R132" s="45">
        <f>IF(AND( C51="Buy", ISBLANK(W51), B51&lt;&gt;"DIV", NOW()-A51 &lt; 365), D51, "")</f>
        <v/>
      </c>
      <c r="S132" s="47">
        <f>IF(AND( C51="Buy", ISBLANK(W51), B51&lt;&gt;"DIV", NOW()-A51 &gt; 365), T51/sum(F51:I51), "")</f>
        <v/>
      </c>
      <c r="T132" s="48">
        <f>IF(AND( C51="Buy", ISBLANK(W51), B51&lt;&gt;"DIV", NOW()-A51 &gt; 365), (1-Index!$F$2*2)*((J51*D51)-(E51*D51)), "")</f>
        <v/>
      </c>
      <c r="U132" s="48">
        <f>IF(AND( C51="Buy", ISBLANK(W51), B51&lt;&gt;"DIV", NOW()-A51 &gt; 365), ((E51*D51)+T51), "")</f>
        <v/>
      </c>
      <c r="V132" s="48">
        <f>IF(AND( C51="Buy", ISBLANK(W51), B51&lt;&gt;"DIV", NOW()-A51 &gt; 365), D51, "")</f>
        <v/>
      </c>
      <c r="W132" s="41" t="n">
        <v>312.81</v>
      </c>
      <c r="X132" s="38" t="n">
        <v>45811</v>
      </c>
      <c r="Y132" s="47">
        <f>IF(AND( C51="Buy", W51&lt;&gt;"", AA51&lt;&gt;"", B51&lt;&gt;"DIV"), Z51/sum(F51:I51), "")</f>
        <v/>
      </c>
      <c r="Z132" s="57">
        <f>(1-Index!$F$2*2)*((W51*D51)-(E51*D51))</f>
        <v/>
      </c>
      <c r="AA132" s="57">
        <f>((E51*D51)+Z51)</f>
        <v/>
      </c>
      <c r="AB132" s="58">
        <f>D51</f>
        <v/>
      </c>
      <c r="AC132" s="56">
        <f>if(B51="DIV", F51,"")</f>
        <v/>
      </c>
      <c r="AD132" s="53" t="n"/>
      <c r="AE132" s="59" t="n"/>
      <c r="AF132" s="59" t="n"/>
      <c r="AG132" s="59" t="n"/>
      <c r="AH132" s="59" t="n"/>
      <c r="AI132" s="59" t="n"/>
      <c r="AJ132" s="59" t="n"/>
      <c r="AK132" s="59" t="n"/>
      <c r="AL132" s="59" t="n"/>
      <c r="AM132" s="59" t="n"/>
      <c r="AN132" s="59" t="n"/>
      <c r="AO132" s="59" t="n"/>
      <c r="AP132" s="59" t="n"/>
    </row>
    <row r="133">
      <c r="A133" s="38" t="n">
        <v>45694</v>
      </c>
      <c r="B133" s="39" t="inlineStr">
        <is>
          <t>NSE</t>
        </is>
      </c>
      <c r="C133" s="39" t="inlineStr">
        <is>
          <t>Buy</t>
        </is>
      </c>
      <c r="D133" s="40" t="n">
        <v>8</v>
      </c>
      <c r="E133" s="41" t="n">
        <v>243.56</v>
      </c>
      <c r="F133" s="41" t="n">
        <v>1948.45</v>
      </c>
      <c r="G133" s="39" t="inlineStr">
        <is>
          <t>~</t>
        </is>
      </c>
      <c r="H133" s="40" t="n">
        <v>1.94</v>
      </c>
      <c r="I133" s="40" t="n">
        <v>11.79</v>
      </c>
      <c r="J133" s="71">
        <f>Index!$C$2</f>
        <v/>
      </c>
      <c r="K133" s="44">
        <f>IF(AND( C52="Buy", ISBLANK(W52), B52&lt;&gt;"DIV"), L52/sum(F52:I52), "")</f>
        <v/>
      </c>
      <c r="L133" s="45">
        <f>IF(AND( C52="Buy", ISBLANK(W52), B52&lt;&gt;"DIV"), (1-Index!$F$2*2)*((J52*D52)-(E52*D52)), "")</f>
        <v/>
      </c>
      <c r="M133" s="45">
        <f>IF(AND( C52="Buy", ISBLANK(W52), B52&lt;&gt;"DIV"), ((E52*D52)+L52), "")</f>
        <v/>
      </c>
      <c r="N133" s="46">
        <f>IF(AND( C52="Buy", ISBLANK(W52), B52&lt;&gt;"DIV"), D52, "")</f>
        <v/>
      </c>
      <c r="O133" s="44">
        <f>IF(AND( C52="Buy", ISBLANK(W52), B52&lt;&gt;"DIV", NOW()-A52 &lt; 365), P52/sum(F52:I52), "")</f>
        <v/>
      </c>
      <c r="P133" s="45">
        <f>IF(AND( C52="Buy", ISBLANK(W52), B52&lt;&gt;"DIV", NOW()-A52 &lt; 365), (1-Index!$F$2*2)*((J52*D52)-(E52*D52)), "")</f>
        <v/>
      </c>
      <c r="Q133" s="45">
        <f>IF(AND( C52="Buy", ISBLANK(W52), B52&lt;&gt;"DIV", NOW()-A52 &lt; 365), ((E52*D52)+P52), "")</f>
        <v/>
      </c>
      <c r="R133" s="45">
        <f>IF(AND( C52="Buy", ISBLANK(W52), B52&lt;&gt;"DIV", NOW()-A52 &lt; 365), D52, "")</f>
        <v/>
      </c>
      <c r="S133" s="47">
        <f>IF(AND( C52="Buy", ISBLANK(W52), B52&lt;&gt;"DIV", NOW()-A52 &gt; 365), T52/sum(F52:I52), "")</f>
        <v/>
      </c>
      <c r="T133" s="48">
        <f>IF(AND( C52="Buy", ISBLANK(W52), B52&lt;&gt;"DIV", NOW()-A52 &gt; 365), (1-Index!$F$2*2)*((J52*D52)-(E52*D52)), "")</f>
        <v/>
      </c>
      <c r="U133" s="48">
        <f>IF(AND( C52="Buy", ISBLANK(W52), B52&lt;&gt;"DIV", NOW()-A52 &gt; 365), ((E52*D52)+T52), "")</f>
        <v/>
      </c>
      <c r="V133" s="48">
        <f>IF(AND( C52="Buy", ISBLANK(W52), B52&lt;&gt;"DIV", NOW()-A52 &gt; 365), D52, "")</f>
        <v/>
      </c>
      <c r="W133" s="41" t="n">
        <v>312.81</v>
      </c>
      <c r="X133" s="38" t="n">
        <v>45811</v>
      </c>
      <c r="Y133" s="47">
        <f>IF(AND( C52="Buy", W52&lt;&gt;"", AA52&lt;&gt;"", B52&lt;&gt;"DIV"), Z52/sum(F52:I52), "")</f>
        <v/>
      </c>
      <c r="Z133" s="57">
        <f>(1-Index!$F$2*2)*((W52*D52)-(E52*D52))</f>
        <v/>
      </c>
      <c r="AA133" s="57">
        <f>((E52*D52)+Z52)</f>
        <v/>
      </c>
      <c r="AB133" s="58">
        <f>D52</f>
        <v/>
      </c>
      <c r="AC133" s="56">
        <f>if(B52="DIV", F52,"")</f>
        <v/>
      </c>
      <c r="AD133" s="53" t="n"/>
      <c r="AE133" s="59" t="n"/>
      <c r="AF133" s="59" t="n"/>
      <c r="AG133" s="59" t="n"/>
      <c r="AH133" s="59" t="n"/>
      <c r="AI133" s="59" t="n"/>
      <c r="AJ133" s="59" t="n"/>
      <c r="AK133" s="59" t="n"/>
      <c r="AL133" s="59" t="n"/>
      <c r="AM133" s="59" t="n"/>
      <c r="AN133" s="59" t="n"/>
      <c r="AO133" s="59" t="n"/>
      <c r="AP133" s="59" t="n"/>
    </row>
    <row r="134">
      <c r="A134" s="38" t="n">
        <v>45687</v>
      </c>
      <c r="B134" s="39" t="inlineStr">
        <is>
          <t>NSE</t>
        </is>
      </c>
      <c r="C134" s="39" t="inlineStr">
        <is>
          <t>Buy</t>
        </is>
      </c>
      <c r="D134" s="40" t="n">
        <v>8</v>
      </c>
      <c r="E134" s="41" t="n">
        <v>241.65</v>
      </c>
      <c r="F134" s="41" t="n">
        <v>1933.21</v>
      </c>
      <c r="G134" s="39" t="inlineStr">
        <is>
          <t>~</t>
        </is>
      </c>
      <c r="H134" s="40" t="n">
        <v>1.92</v>
      </c>
      <c r="I134" s="40" t="n">
        <v>11.69</v>
      </c>
      <c r="J134" s="71">
        <f>Index!$C$2</f>
        <v/>
      </c>
      <c r="K134" s="44">
        <f>IF(AND( C53="Buy", ISBLANK(W53), B53&lt;&gt;"DIV"), L53/sum(F53:I53), "")</f>
        <v/>
      </c>
      <c r="L134" s="45">
        <f>IF(AND( C53="Buy", ISBLANK(W53), B53&lt;&gt;"DIV"), (1-Index!$F$2*2)*((J53*D53)-(E53*D53)), "")</f>
        <v/>
      </c>
      <c r="M134" s="45">
        <f>IF(AND( C53="Buy", ISBLANK(W53), B53&lt;&gt;"DIV"), ((E53*D53)+L53), "")</f>
        <v/>
      </c>
      <c r="N134" s="46">
        <f>IF(AND( C53="Buy", ISBLANK(W53), B53&lt;&gt;"DIV"), D53, "")</f>
        <v/>
      </c>
      <c r="O134" s="44">
        <f>IF(AND( C53="Buy", ISBLANK(W53), B53&lt;&gt;"DIV", NOW()-A53 &lt; 365), P53/sum(F53:I53), "")</f>
        <v/>
      </c>
      <c r="P134" s="45">
        <f>IF(AND( C53="Buy", ISBLANK(W53), B53&lt;&gt;"DIV", NOW()-A53 &lt; 365), (1-Index!$F$2*2)*((J53*D53)-(E53*D53)), "")</f>
        <v/>
      </c>
      <c r="Q134" s="45">
        <f>IF(AND( C53="Buy", ISBLANK(W53), B53&lt;&gt;"DIV", NOW()-A53 &lt; 365), ((E53*D53)+P53), "")</f>
        <v/>
      </c>
      <c r="R134" s="45">
        <f>IF(AND( C53="Buy", ISBLANK(W53), B53&lt;&gt;"DIV", NOW()-A53 &lt; 365), D53, "")</f>
        <v/>
      </c>
      <c r="S134" s="47">
        <f>IF(AND( C53="Buy", ISBLANK(W53), B53&lt;&gt;"DIV", NOW()-A53 &gt; 365), T53/sum(F53:I53), "")</f>
        <v/>
      </c>
      <c r="T134" s="48">
        <f>IF(AND( C53="Buy", ISBLANK(W53), B53&lt;&gt;"DIV", NOW()-A53 &gt; 365), (1-Index!$F$2*2)*((J53*D53)-(E53*D53)), "")</f>
        <v/>
      </c>
      <c r="U134" s="48">
        <f>IF(AND( C53="Buy", ISBLANK(W53), B53&lt;&gt;"DIV", NOW()-A53 &gt; 365), ((E53*D53)+T53), "")</f>
        <v/>
      </c>
      <c r="V134" s="48">
        <f>IF(AND( C53="Buy", ISBLANK(W53), B53&lt;&gt;"DIV", NOW()-A53 &gt; 365), D53, "")</f>
        <v/>
      </c>
      <c r="W134" s="41" t="n">
        <v>312.81</v>
      </c>
      <c r="X134" s="38" t="n">
        <v>45811</v>
      </c>
      <c r="Y134" s="47">
        <f>IF(AND( C53="Buy", W53&lt;&gt;"", AA53&lt;&gt;"", B53&lt;&gt;"DIV"), Z53/sum(F53:I53), "")</f>
        <v/>
      </c>
      <c r="Z134" s="57">
        <f>(1-Index!$F$2*2)*((W53*D53)-(E53*D53))</f>
        <v/>
      </c>
      <c r="AA134" s="57">
        <f>((E53*D53)+Z53)</f>
        <v/>
      </c>
      <c r="AB134" s="58">
        <f>D53</f>
        <v/>
      </c>
      <c r="AC134" s="56">
        <f>if(B53="DIV", F53,"")</f>
        <v/>
      </c>
      <c r="AD134" s="53" t="n"/>
      <c r="AE134" s="59" t="n"/>
      <c r="AF134" s="59" t="n"/>
      <c r="AG134" s="59" t="n"/>
      <c r="AH134" s="59" t="n"/>
      <c r="AI134" s="59" t="n"/>
      <c r="AJ134" s="59" t="n"/>
      <c r="AK134" s="59" t="n"/>
      <c r="AL134" s="59" t="n"/>
      <c r="AM134" s="59" t="n"/>
      <c r="AN134" s="59" t="n"/>
      <c r="AO134" s="59" t="n"/>
      <c r="AP134" s="59" t="n"/>
    </row>
    <row r="135">
      <c r="A135" s="38" t="n">
        <v>45687</v>
      </c>
      <c r="B135" s="39" t="inlineStr">
        <is>
          <t>NSE</t>
        </is>
      </c>
      <c r="C135" s="39" t="inlineStr">
        <is>
          <t>Buy</t>
        </is>
      </c>
      <c r="D135" s="40" t="n">
        <v>1</v>
      </c>
      <c r="E135" s="41" t="n">
        <v>241.66</v>
      </c>
      <c r="F135" s="41" t="n">
        <v>241.66</v>
      </c>
      <c r="G135" s="39" t="inlineStr">
        <is>
          <t>~</t>
        </is>
      </c>
      <c r="H135" s="40" t="n">
        <v>0.24</v>
      </c>
      <c r="I135" s="40" t="n">
        <v>1.47</v>
      </c>
      <c r="J135" s="71">
        <f>Index!$C$2</f>
        <v/>
      </c>
      <c r="K135" s="44">
        <f>IF(AND( C54="Buy", ISBLANK(W54), B54&lt;&gt;"DIV"), L54/sum(F54:I54), "")</f>
        <v/>
      </c>
      <c r="L135" s="45">
        <f>IF(AND( C54="Buy", ISBLANK(W54), B54&lt;&gt;"DIV"), (1-Index!$F$2*2)*((J54*D54)-(E54*D54)), "")</f>
        <v/>
      </c>
      <c r="M135" s="45">
        <f>IF(AND( C54="Buy", ISBLANK(W54), B54&lt;&gt;"DIV"), ((E54*D54)+L54), "")</f>
        <v/>
      </c>
      <c r="N135" s="46">
        <f>IF(AND( C54="Buy", ISBLANK(W54), B54&lt;&gt;"DIV"), D54, "")</f>
        <v/>
      </c>
      <c r="O135" s="44">
        <f>IF(AND( C54="Buy", ISBLANK(W54), B54&lt;&gt;"DIV", NOW()-A54 &lt; 365), P54/sum(F54:I54), "")</f>
        <v/>
      </c>
      <c r="P135" s="45">
        <f>IF(AND( C54="Buy", ISBLANK(W54), B54&lt;&gt;"DIV", NOW()-A54 &lt; 365), (1-Index!$F$2*2)*((J54*D54)-(E54*D54)), "")</f>
        <v/>
      </c>
      <c r="Q135" s="45">
        <f>IF(AND( C54="Buy", ISBLANK(W54), B54&lt;&gt;"DIV", NOW()-A54 &lt; 365), ((E54*D54)+P54), "")</f>
        <v/>
      </c>
      <c r="R135" s="45">
        <f>IF(AND( C54="Buy", ISBLANK(W54), B54&lt;&gt;"DIV", NOW()-A54 &lt; 365), D54, "")</f>
        <v/>
      </c>
      <c r="S135" s="47">
        <f>IF(AND( C54="Buy", ISBLANK(W54), B54&lt;&gt;"DIV", NOW()-A54 &gt; 365), T54/sum(F54:I54), "")</f>
        <v/>
      </c>
      <c r="T135" s="48">
        <f>IF(AND( C54="Buy", ISBLANK(W54), B54&lt;&gt;"DIV", NOW()-A54 &gt; 365), (1-Index!$F$2*2)*((J54*D54)-(E54*D54)), "")</f>
        <v/>
      </c>
      <c r="U135" s="48">
        <f>IF(AND( C54="Buy", ISBLANK(W54), B54&lt;&gt;"DIV", NOW()-A54 &gt; 365), ((E54*D54)+T54), "")</f>
        <v/>
      </c>
      <c r="V135" s="48">
        <f>IF(AND( C54="Buy", ISBLANK(W54), B54&lt;&gt;"DIV", NOW()-A54 &gt; 365), D54, "")</f>
        <v/>
      </c>
      <c r="W135" s="41" t="n">
        <v>312.81</v>
      </c>
      <c r="X135" s="38" t="n">
        <v>45811</v>
      </c>
      <c r="Y135" s="47">
        <f>IF(AND( C54="Buy", W54&lt;&gt;"", AA54&lt;&gt;"", B54&lt;&gt;"DIV"), Z54/sum(F54:I54), "")</f>
        <v/>
      </c>
      <c r="Z135" s="57">
        <f>(1-Index!$F$2*2)*((W54*D54)-(E54*D54))</f>
        <v/>
      </c>
      <c r="AA135" s="57">
        <f>((E54*D54)+Z54)</f>
        <v/>
      </c>
      <c r="AB135" s="58">
        <f>D54</f>
        <v/>
      </c>
      <c r="AC135" s="56">
        <f>if(B54="DIV", F54,"")</f>
        <v/>
      </c>
      <c r="AD135" s="53" t="n"/>
      <c r="AE135" s="59" t="n"/>
      <c r="AF135" s="59" t="n"/>
      <c r="AG135" s="59" t="n"/>
      <c r="AH135" s="59" t="n"/>
      <c r="AI135" s="59" t="n"/>
      <c r="AJ135" s="59" t="n"/>
      <c r="AK135" s="59" t="n"/>
      <c r="AL135" s="59" t="n"/>
      <c r="AM135" s="59" t="n"/>
      <c r="AN135" s="59" t="n"/>
      <c r="AO135" s="59" t="n"/>
      <c r="AP135" s="59" t="n"/>
    </row>
    <row r="136">
      <c r="A136" s="38" t="n">
        <v>45687</v>
      </c>
      <c r="B136" s="39" t="inlineStr">
        <is>
          <t>NSE</t>
        </is>
      </c>
      <c r="C136" s="39" t="inlineStr">
        <is>
          <t>Buy</t>
        </is>
      </c>
      <c r="D136" s="40" t="n">
        <v>31</v>
      </c>
      <c r="E136" s="41" t="n">
        <v>241.65</v>
      </c>
      <c r="F136" s="41" t="n">
        <v>7491.18</v>
      </c>
      <c r="G136" s="39" t="inlineStr">
        <is>
          <t>~</t>
        </is>
      </c>
      <c r="H136" s="40" t="n">
        <v>7.43</v>
      </c>
      <c r="I136" s="40" t="n">
        <v>45.3</v>
      </c>
      <c r="J136" s="71">
        <f>Index!$C$2</f>
        <v/>
      </c>
      <c r="K136" s="44">
        <f>IF(AND( C55="Buy", ISBLANK(W55), B55&lt;&gt;"DIV"), L55/sum(F55:I55), "")</f>
        <v/>
      </c>
      <c r="L136" s="45">
        <f>IF(AND( C55="Buy", ISBLANK(W55), B55&lt;&gt;"DIV"), (1-Index!$F$2*2)*((J55*D55)-(E55*D55)), "")</f>
        <v/>
      </c>
      <c r="M136" s="45">
        <f>IF(AND( C55="Buy", ISBLANK(W55), B55&lt;&gt;"DIV"), ((E55*D55)+L55), "")</f>
        <v/>
      </c>
      <c r="N136" s="46">
        <f>IF(AND( C55="Buy", ISBLANK(W55), B55&lt;&gt;"DIV"), D55, "")</f>
        <v/>
      </c>
      <c r="O136" s="44">
        <f>IF(AND( C55="Buy", ISBLANK(W55), B55&lt;&gt;"DIV", NOW()-A55 &lt; 365), P55/sum(F55:I55), "")</f>
        <v/>
      </c>
      <c r="P136" s="45">
        <f>IF(AND( C55="Buy", ISBLANK(W55), B55&lt;&gt;"DIV", NOW()-A55 &lt; 365), (1-Index!$F$2*2)*((J55*D55)-(E55*D55)), "")</f>
        <v/>
      </c>
      <c r="Q136" s="45">
        <f>IF(AND( C55="Buy", ISBLANK(W55), B55&lt;&gt;"DIV", NOW()-A55 &lt; 365), ((E55*D55)+P55), "")</f>
        <v/>
      </c>
      <c r="R136" s="45">
        <f>IF(AND( C55="Buy", ISBLANK(W55), B55&lt;&gt;"DIV", NOW()-A55 &lt; 365), D55, "")</f>
        <v/>
      </c>
      <c r="S136" s="47">
        <f>IF(AND( C55="Buy", ISBLANK(W55), B55&lt;&gt;"DIV", NOW()-A55 &gt; 365), T55/sum(F55:I55), "")</f>
        <v/>
      </c>
      <c r="T136" s="48">
        <f>IF(AND( C55="Buy", ISBLANK(W55), B55&lt;&gt;"DIV", NOW()-A55 &gt; 365), (1-Index!$F$2*2)*((J55*D55)-(E55*D55)), "")</f>
        <v/>
      </c>
      <c r="U136" s="48">
        <f>IF(AND( C55="Buy", ISBLANK(W55), B55&lt;&gt;"DIV", NOW()-A55 &gt; 365), ((E55*D55)+T55), "")</f>
        <v/>
      </c>
      <c r="V136" s="48">
        <f>IF(AND( C55="Buy", ISBLANK(W55), B55&lt;&gt;"DIV", NOW()-A55 &gt; 365), D55, "")</f>
        <v/>
      </c>
      <c r="W136" s="41" t="n">
        <v>312.81</v>
      </c>
      <c r="X136" s="38" t="n">
        <v>45811</v>
      </c>
      <c r="Y136" s="47">
        <f>IF(AND( C55="Buy", W55&lt;&gt;"", AA55&lt;&gt;"", B55&lt;&gt;"DIV"), Z55/sum(F55:I55), "")</f>
        <v/>
      </c>
      <c r="Z136" s="57">
        <f>(1-Index!$F$2*2)*((W55*D55)-(E55*D55))</f>
        <v/>
      </c>
      <c r="AA136" s="57">
        <f>((E55*D55)+Z55)</f>
        <v/>
      </c>
      <c r="AB136" s="58">
        <f>D55</f>
        <v/>
      </c>
      <c r="AC136" s="56">
        <f>if(B55="DIV", F55,"")</f>
        <v/>
      </c>
      <c r="AD136" s="53" t="n"/>
      <c r="AE136" s="59" t="n"/>
      <c r="AF136" s="59" t="n"/>
      <c r="AG136" s="59" t="n"/>
      <c r="AH136" s="59" t="n"/>
      <c r="AI136" s="59" t="n"/>
      <c r="AJ136" s="59" t="n"/>
      <c r="AK136" s="59" t="n"/>
      <c r="AL136" s="59" t="n"/>
      <c r="AM136" s="59" t="n"/>
      <c r="AN136" s="59" t="n"/>
      <c r="AO136" s="59" t="n"/>
      <c r="AP136" s="59" t="n"/>
    </row>
    <row r="137">
      <c r="A137" s="38" t="n">
        <v>45583</v>
      </c>
      <c r="B137" s="39" t="inlineStr">
        <is>
          <t>NSE</t>
        </is>
      </c>
      <c r="C137" s="39" t="inlineStr">
        <is>
          <t>Sell</t>
        </is>
      </c>
      <c r="D137" s="40" t="n">
        <v>100</v>
      </c>
      <c r="E137" s="41" t="n">
        <v>346.92</v>
      </c>
      <c r="F137" s="41" t="n">
        <v>34692.48</v>
      </c>
      <c r="G137" s="39" t="inlineStr">
        <is>
          <t>~</t>
        </is>
      </c>
      <c r="H137" s="40" t="n">
        <v>34.72</v>
      </c>
      <c r="I137" s="40" t="n">
        <v>207.8</v>
      </c>
      <c r="J137" s="60" t="n"/>
      <c r="K137" s="44">
        <f>IF(AND( C56="Buy", ISBLANK(W56), B56&lt;&gt;"DIV"), L56/sum(F56:I56), "")</f>
        <v/>
      </c>
      <c r="L137" s="45">
        <f>IF(AND( C56="Buy", ISBLANK(W56), B56&lt;&gt;"DIV"), (1-Index!$F$2*2)*((J56*D56)-(E56*D56)), "")</f>
        <v/>
      </c>
      <c r="M137" s="45">
        <f>IF(AND( C56="Buy", ISBLANK(W56), B56&lt;&gt;"DIV"), ((E56*D56)+L56), "")</f>
        <v/>
      </c>
      <c r="N137" s="46">
        <f>IF(AND( C56="Buy", ISBLANK(W56), B56&lt;&gt;"DIV"), D56, "")</f>
        <v/>
      </c>
      <c r="O137" s="44">
        <f>IF(AND( C56="Buy", ISBLANK(W56), B56&lt;&gt;"DIV", NOW()-A56 &lt; 365), P56/sum(F56:I56), "")</f>
        <v/>
      </c>
      <c r="P137" s="45">
        <f>IF(AND( C56="Buy", ISBLANK(W56), B56&lt;&gt;"DIV", NOW()-A56 &lt; 365), (1-Index!$F$2*2)*((J56*D56)-(E56*D56)), "")</f>
        <v/>
      </c>
      <c r="Q137" s="45">
        <f>IF(AND( C56="Buy", ISBLANK(W56), B56&lt;&gt;"DIV", NOW()-A56 &lt; 365), ((E56*D56)+P56), "")</f>
        <v/>
      </c>
      <c r="R137" s="45">
        <f>IF(AND( C56="Buy", ISBLANK(W56), B56&lt;&gt;"DIV", NOW()-A56 &lt; 365), D56, "")</f>
        <v/>
      </c>
      <c r="S137" s="47">
        <f>IF(AND( C56="Buy", ISBLANK(W56), B56&lt;&gt;"DIV", NOW()-A56 &gt; 365), T56/sum(F56:I56), "")</f>
        <v/>
      </c>
      <c r="T137" s="48">
        <f>IF(AND( C56="Buy", ISBLANK(W56), B56&lt;&gt;"DIV", NOW()-A56 &gt; 365), (1-Index!$F$2*2)*((J56*D56)-(E56*D56)), "")</f>
        <v/>
      </c>
      <c r="U137" s="48">
        <f>IF(AND( C56="Buy", ISBLANK(W56), B56&lt;&gt;"DIV", NOW()-A56 &gt; 365), ((E56*D56)+T56), "")</f>
        <v/>
      </c>
      <c r="V137" s="48">
        <f>IF(AND( C56="Buy", ISBLANK(W56), B56&lt;&gt;"DIV", NOW()-A56 &gt; 365), D56, "")</f>
        <v/>
      </c>
      <c r="W137" s="49" t="n"/>
      <c r="X137" s="49" t="n"/>
      <c r="Y137" s="47">
        <f>IF(AND( C56="Buy", W56&lt;&gt;"", AA56&lt;&gt;"", B56&lt;&gt;"DIV"), Z56/sum(F56:I56), "")</f>
        <v/>
      </c>
      <c r="Z137" s="49" t="n"/>
      <c r="AA137" s="49" t="n"/>
      <c r="AB137" s="51" t="n"/>
      <c r="AC137" s="52" t="n"/>
      <c r="AD137" s="53" t="n"/>
    </row>
    <row r="138">
      <c r="A138" s="38" t="n">
        <v>45565</v>
      </c>
      <c r="B138" s="39" t="inlineStr">
        <is>
          <t>NSE</t>
        </is>
      </c>
      <c r="C138" s="39" t="inlineStr">
        <is>
          <t>Sell</t>
        </is>
      </c>
      <c r="D138" s="40" t="n">
        <v>250</v>
      </c>
      <c r="E138" s="41" t="n">
        <v>326.02</v>
      </c>
      <c r="F138" s="41" t="n">
        <v>81505.75</v>
      </c>
      <c r="G138" s="39" t="inlineStr">
        <is>
          <t>~</t>
        </is>
      </c>
      <c r="H138" s="40" t="n">
        <v>82.16</v>
      </c>
      <c r="I138" s="40" t="n">
        <v>487.09</v>
      </c>
      <c r="J138" s="60" t="n"/>
      <c r="K138" s="44">
        <f>IF(AND( C57="Buy", ISBLANK(W57), B57&lt;&gt;"DIV"), L57/sum(F57:I57), "")</f>
        <v/>
      </c>
      <c r="L138" s="45">
        <f>IF(AND( C57="Buy", ISBLANK(W57), B57&lt;&gt;"DIV"), (1-Index!$F$2*2)*((J57*D57)-(E57*D57)), "")</f>
        <v/>
      </c>
      <c r="M138" s="45">
        <f>IF(AND( C57="Buy", ISBLANK(W57), B57&lt;&gt;"DIV"), ((E57*D57)+L57), "")</f>
        <v/>
      </c>
      <c r="N138" s="46">
        <f>IF(AND( C57="Buy", ISBLANK(W57), B57&lt;&gt;"DIV"), D57, "")</f>
        <v/>
      </c>
      <c r="O138" s="44">
        <f>IF(AND( C57="Buy", ISBLANK(W57), B57&lt;&gt;"DIV", NOW()-A57 &lt; 365), P57/sum(F57:I57), "")</f>
        <v/>
      </c>
      <c r="P138" s="45">
        <f>IF(AND( C57="Buy", ISBLANK(W57), B57&lt;&gt;"DIV", NOW()-A57 &lt; 365), (1-Index!$F$2*2)*((J57*D57)-(E57*D57)), "")</f>
        <v/>
      </c>
      <c r="Q138" s="45">
        <f>IF(AND( C57="Buy", ISBLANK(W57), B57&lt;&gt;"DIV", NOW()-A57 &lt; 365), ((E57*D57)+P57), "")</f>
        <v/>
      </c>
      <c r="R138" s="45">
        <f>IF(AND( C57="Buy", ISBLANK(W57), B57&lt;&gt;"DIV", NOW()-A57 &lt; 365), D57, "")</f>
        <v/>
      </c>
      <c r="S138" s="47">
        <f>IF(AND( C57="Buy", ISBLANK(W57), B57&lt;&gt;"DIV", NOW()-A57 &gt; 365), T57/sum(F57:I57), "")</f>
        <v/>
      </c>
      <c r="T138" s="48">
        <f>IF(AND( C57="Buy", ISBLANK(W57), B57&lt;&gt;"DIV", NOW()-A57 &gt; 365), (1-Index!$F$2*2)*((J57*D57)-(E57*D57)), "")</f>
        <v/>
      </c>
      <c r="U138" s="48">
        <f>IF(AND( C57="Buy", ISBLANK(W57), B57&lt;&gt;"DIV", NOW()-A57 &gt; 365), ((E57*D57)+T57), "")</f>
        <v/>
      </c>
      <c r="V138" s="48">
        <f>IF(AND( C57="Buy", ISBLANK(W57), B57&lt;&gt;"DIV", NOW()-A57 &gt; 365), D57, "")</f>
        <v/>
      </c>
      <c r="W138" s="49" t="n"/>
      <c r="X138" s="49" t="n"/>
      <c r="Y138" s="47">
        <f>IF(AND( C57="Buy", W57&lt;&gt;"", AA57&lt;&gt;"", B57&lt;&gt;"DIV"), Z57/sum(F57:I57), "")</f>
        <v/>
      </c>
      <c r="Z138" s="49" t="n"/>
      <c r="AA138" s="49" t="n"/>
      <c r="AB138" s="51" t="n"/>
      <c r="AC138" s="52" t="n"/>
      <c r="AD138" s="53" t="n"/>
    </row>
    <row r="139">
      <c r="A139" s="61" t="n">
        <v>45446</v>
      </c>
      <c r="B139" s="62" t="inlineStr">
        <is>
          <t>DIV</t>
        </is>
      </c>
      <c r="C139" s="62" t="inlineStr">
        <is>
          <t>Buy</t>
        </is>
      </c>
      <c r="D139" s="63" t="n">
        <v>540</v>
      </c>
      <c r="E139" s="64" t="n">
        <v>2.5</v>
      </c>
      <c r="F139" s="64" t="n">
        <v>1350</v>
      </c>
      <c r="G139" s="62" t="inlineStr">
        <is>
          <t>Annual-Dividend of Rs.2.5000/- per share on Ex-Date: 03-JUN-2024</t>
        </is>
      </c>
      <c r="H139" s="63" t="n">
        <v>0</v>
      </c>
      <c r="I139" s="63" t="n">
        <v>0</v>
      </c>
      <c r="J139" s="71">
        <f>Index!$C$2</f>
        <v/>
      </c>
      <c r="K139" s="44">
        <f>IF(AND( C58="Buy", ISBLANK(W58), B58&lt;&gt;"DIV"), L58/sum(F58:I58), "")</f>
        <v/>
      </c>
      <c r="L139" s="45">
        <f>IF(AND( C58="Buy", ISBLANK(W58), B58&lt;&gt;"DIV"), (1-Index!$F$2*2)*((J58*D58)-(E58*D58)), "")</f>
        <v/>
      </c>
      <c r="M139" s="45">
        <f>IF(AND( C58="Buy", ISBLANK(W58), B58&lt;&gt;"DIV"), ((E58*D58)+L58), "")</f>
        <v/>
      </c>
      <c r="N139" s="46">
        <f>IF(AND( C58="Buy", ISBLANK(W58), B58&lt;&gt;"DIV"), D58, "")</f>
        <v/>
      </c>
      <c r="O139" s="44">
        <f>IF(AND( C58="Buy", ISBLANK(W58), B58&lt;&gt;"DIV", NOW()-A58 &lt; 365), P58/sum(F58:I58), "")</f>
        <v/>
      </c>
      <c r="P139" s="45">
        <f>IF(AND( C58="Buy", ISBLANK(W58), B58&lt;&gt;"DIV", NOW()-A58 &lt; 365), (1-Index!$F$2*2)*((J58*D58)-(E58*D58)), "")</f>
        <v/>
      </c>
      <c r="Q139" s="45">
        <f>IF(AND( C58="Buy", ISBLANK(W58), B58&lt;&gt;"DIV", NOW()-A58 &lt; 365), ((E58*D58)+P58), "")</f>
        <v/>
      </c>
      <c r="R139" s="45">
        <f>IF(AND( C58="Buy", ISBLANK(W58), B58&lt;&gt;"DIV", NOW()-A58 &lt; 365), D58, "")</f>
        <v/>
      </c>
      <c r="S139" s="47">
        <f>IF(AND( C58="Buy", ISBLANK(W58), B58&lt;&gt;"DIV", NOW()-A58 &gt; 365), T58/sum(F58:I58), "")</f>
        <v/>
      </c>
      <c r="T139" s="48">
        <f>IF(AND( C58="Buy", ISBLANK(W58), B58&lt;&gt;"DIV", NOW()-A58 &gt; 365), (1-Index!$F$2*2)*((J58*D58)-(E58*D58)), "")</f>
        <v/>
      </c>
      <c r="U139" s="48">
        <f>IF(AND( C58="Buy", ISBLANK(W58), B58&lt;&gt;"DIV", NOW()-A58 &gt; 365), ((E58*D58)+T58), "")</f>
        <v/>
      </c>
      <c r="V139" s="48">
        <f>IF(AND( C58="Buy", ISBLANK(W58), B58&lt;&gt;"DIV", NOW()-A58 &gt; 365), D58, "")</f>
        <v/>
      </c>
      <c r="W139" s="54" t="n"/>
      <c r="X139" s="54" t="n"/>
      <c r="Y139" s="47">
        <f>IF(AND( C58="Buy", W58&lt;&gt;"", AA58&lt;&gt;"", B58&lt;&gt;"DIV"), Z58/sum(F58:I58), "")</f>
        <v/>
      </c>
      <c r="Z139" s="54" t="n"/>
      <c r="AA139" s="54" t="n"/>
      <c r="AB139" s="55" t="n"/>
      <c r="AC139" s="56">
        <f>if(B58="DIV", F58,"")</f>
        <v/>
      </c>
      <c r="AD139" s="65" t="inlineStr">
        <is>
          <t>SBI Securities</t>
        </is>
      </c>
    </row>
    <row r="140">
      <c r="A140" s="61" t="n">
        <v>45446</v>
      </c>
      <c r="B140" s="62" t="inlineStr">
        <is>
          <t>DIV</t>
        </is>
      </c>
      <c r="C140" s="62" t="inlineStr">
        <is>
          <t>Buy</t>
        </is>
      </c>
      <c r="D140" s="63" t="n">
        <v>10</v>
      </c>
      <c r="E140" s="64" t="n">
        <v>2.5</v>
      </c>
      <c r="F140" s="64" t="n">
        <v>25</v>
      </c>
      <c r="G140" s="62" t="inlineStr">
        <is>
          <t>Annual-Dividend of Rs.2.5000/- per share on Ex-Date: 03-JUN-2024</t>
        </is>
      </c>
      <c r="H140" s="63" t="n">
        <v>0</v>
      </c>
      <c r="I140" s="63" t="n">
        <v>0</v>
      </c>
      <c r="J140" s="71">
        <f>Index!$C$2</f>
        <v/>
      </c>
      <c r="K140" s="44">
        <f>IF(AND( C59="Buy", ISBLANK(W59), B59&lt;&gt;"DIV"), L59/sum(F59:I59), "")</f>
        <v/>
      </c>
      <c r="L140" s="45">
        <f>IF(AND( C59="Buy", ISBLANK(W59), B59&lt;&gt;"DIV"), (1-Index!$F$2*2)*((J59*D59)-(E59*D59)), "")</f>
        <v/>
      </c>
      <c r="M140" s="45">
        <f>IF(AND( C59="Buy", ISBLANK(W59), B59&lt;&gt;"DIV"), ((E59*D59)+L59), "")</f>
        <v/>
      </c>
      <c r="N140" s="46">
        <f>IF(AND( C59="Buy", ISBLANK(W59), B59&lt;&gt;"DIV"), D59, "")</f>
        <v/>
      </c>
      <c r="O140" s="44">
        <f>IF(AND( C59="Buy", ISBLANK(W59), B59&lt;&gt;"DIV", NOW()-A59 &lt; 365), P59/sum(F59:I59), "")</f>
        <v/>
      </c>
      <c r="P140" s="45">
        <f>IF(AND( C59="Buy", ISBLANK(W59), B59&lt;&gt;"DIV", NOW()-A59 &lt; 365), (1-Index!$F$2*2)*((J59*D59)-(E59*D59)), "")</f>
        <v/>
      </c>
      <c r="Q140" s="45">
        <f>IF(AND( C59="Buy", ISBLANK(W59), B59&lt;&gt;"DIV", NOW()-A59 &lt; 365), ((E59*D59)+P59), "")</f>
        <v/>
      </c>
      <c r="R140" s="45">
        <f>IF(AND( C59="Buy", ISBLANK(W59), B59&lt;&gt;"DIV", NOW()-A59 &lt; 365), D59, "")</f>
        <v/>
      </c>
      <c r="S140" s="47">
        <f>IF(AND( C59="Buy", ISBLANK(W59), B59&lt;&gt;"DIV", NOW()-A59 &gt; 365), T59/sum(F59:I59), "")</f>
        <v/>
      </c>
      <c r="T140" s="48">
        <f>IF(AND( C59="Buy", ISBLANK(W59), B59&lt;&gt;"DIV", NOW()-A59 &gt; 365), (1-Index!$F$2*2)*((J59*D59)-(E59*D59)), "")</f>
        <v/>
      </c>
      <c r="U140" s="48">
        <f>IF(AND( C59="Buy", ISBLANK(W59), B59&lt;&gt;"DIV", NOW()-A59 &gt; 365), ((E59*D59)+T59), "")</f>
        <v/>
      </c>
      <c r="V140" s="48">
        <f>IF(AND( C59="Buy", ISBLANK(W59), B59&lt;&gt;"DIV", NOW()-A59 &gt; 365), D59, "")</f>
        <v/>
      </c>
      <c r="W140" s="54" t="n"/>
      <c r="X140" s="54" t="n"/>
      <c r="Y140" s="47">
        <f>IF(AND( C59="Buy", W59&lt;&gt;"", AA59&lt;&gt;"", B59&lt;&gt;"DIV"), Z59/sum(F59:I59), "")</f>
        <v/>
      </c>
      <c r="Z140" s="54" t="n"/>
      <c r="AA140" s="54" t="n"/>
      <c r="AB140" s="55" t="n"/>
      <c r="AC140" s="56">
        <f>if(B59="DIV", F59,"")</f>
        <v/>
      </c>
      <c r="AD140" s="65" t="inlineStr">
        <is>
          <t>SBI Securities</t>
        </is>
      </c>
    </row>
    <row r="141">
      <c r="A141" s="61" t="n">
        <v>45352</v>
      </c>
      <c r="B141" s="62" t="inlineStr">
        <is>
          <t>NSE</t>
        </is>
      </c>
      <c r="C141" s="62" t="inlineStr">
        <is>
          <t>Buy</t>
        </is>
      </c>
      <c r="D141" s="63" t="n">
        <v>2</v>
      </c>
      <c r="E141" s="64" t="n">
        <v>250.46</v>
      </c>
      <c r="F141" s="64" t="n">
        <v>500.91</v>
      </c>
      <c r="G141" s="62" t="inlineStr">
        <is>
          <t>~</t>
        </is>
      </c>
      <c r="H141" s="63" t="n">
        <v>0.5</v>
      </c>
      <c r="I141" s="63" t="n">
        <v>3.01</v>
      </c>
      <c r="J141" s="71">
        <f>Index!$C$2</f>
        <v/>
      </c>
      <c r="K141" s="44">
        <f>IF(AND( C60="Buy", ISBLANK(W60), B60&lt;&gt;"DIV"), L60/sum(F60:I60), "")</f>
        <v/>
      </c>
      <c r="L141" s="45">
        <f>IF(AND( C60="Buy", ISBLANK(W60), B60&lt;&gt;"DIV"), (1-Index!$F$2*2)*((J60*D60)-(E60*D60)), "")</f>
        <v/>
      </c>
      <c r="M141" s="45">
        <f>IF(AND( C60="Buy", ISBLANK(W60), B60&lt;&gt;"DIV"), ((E60*D60)+L60), "")</f>
        <v/>
      </c>
      <c r="N141" s="46">
        <f>IF(AND( C60="Buy", ISBLANK(W60), B60&lt;&gt;"DIV"), D60, "")</f>
        <v/>
      </c>
      <c r="O141" s="44">
        <f>IF(AND( C60="Buy", ISBLANK(W60), B60&lt;&gt;"DIV", NOW()-A60 &lt; 365), P60/sum(F60:I60), "")</f>
        <v/>
      </c>
      <c r="P141" s="45">
        <f>IF(AND( C60="Buy", ISBLANK(W60), B60&lt;&gt;"DIV", NOW()-A60 &lt; 365), (1-Index!$F$2*2)*((J60*D60)-(E60*D60)), "")</f>
        <v/>
      </c>
      <c r="Q141" s="45">
        <f>IF(AND( C60="Buy", ISBLANK(W60), B60&lt;&gt;"DIV", NOW()-A60 &lt; 365), ((E60*D60)+P60), "")</f>
        <v/>
      </c>
      <c r="R141" s="45">
        <f>IF(AND( C60="Buy", ISBLANK(W60), B60&lt;&gt;"DIV", NOW()-A60 &lt; 365), D60, "")</f>
        <v/>
      </c>
      <c r="S141" s="47">
        <f>IF(AND( C60="Buy", ISBLANK(W60), B60&lt;&gt;"DIV", NOW()-A60 &gt; 365), T60/sum(F60:I60), "")</f>
        <v/>
      </c>
      <c r="T141" s="48">
        <f>IF(AND( C60="Buy", ISBLANK(W60), B60&lt;&gt;"DIV", NOW()-A60 &gt; 365), (1-Index!$F$2*2)*((J60*D60)-(E60*D60)), "")</f>
        <v/>
      </c>
      <c r="U141" s="48">
        <f>IF(AND( C60="Buy", ISBLANK(W60), B60&lt;&gt;"DIV", NOW()-A60 &gt; 365), ((E60*D60)+T60), "")</f>
        <v/>
      </c>
      <c r="V141" s="48">
        <f>IF(AND( C60="Buy", ISBLANK(W60), B60&lt;&gt;"DIV", NOW()-A60 &gt; 365), D60, "")</f>
        <v/>
      </c>
      <c r="W141" s="41" t="n">
        <v>312.81</v>
      </c>
      <c r="X141" s="38" t="n">
        <v>45811</v>
      </c>
      <c r="Y141" s="47">
        <f>IF(AND( C60="Buy", W60&lt;&gt;"", AA60&lt;&gt;"", B60&lt;&gt;"DIV"), Z60/sum(F60:I60), "")</f>
        <v/>
      </c>
      <c r="Z141" s="57">
        <f>(1-Index!$F$2*2)*((W60*D60)-(E60*D60))</f>
        <v/>
      </c>
      <c r="AA141" s="57">
        <f>((E60*D60)+Z60)</f>
        <v/>
      </c>
      <c r="AB141" s="58">
        <f>D60</f>
        <v/>
      </c>
      <c r="AC141" s="56">
        <f>if(B60="DIV", F60,"")</f>
        <v/>
      </c>
      <c r="AD141" s="65" t="inlineStr">
        <is>
          <t>SBI Securities</t>
        </is>
      </c>
      <c r="AE141" s="59" t="n"/>
      <c r="AF141" s="59" t="n"/>
      <c r="AG141" s="59" t="n"/>
      <c r="AH141" s="59" t="n"/>
      <c r="AI141" s="59" t="n"/>
      <c r="AJ141" s="59" t="n"/>
      <c r="AK141" s="59" t="n"/>
      <c r="AL141" s="59" t="n"/>
      <c r="AM141" s="59" t="n"/>
      <c r="AN141" s="59" t="n"/>
      <c r="AO141" s="59" t="n"/>
      <c r="AP141" s="59" t="n"/>
    </row>
    <row r="142">
      <c r="A142" s="61" t="n">
        <v>45352</v>
      </c>
      <c r="B142" s="62" t="inlineStr">
        <is>
          <t>NSE</t>
        </is>
      </c>
      <c r="C142" s="62" t="inlineStr">
        <is>
          <t>Buy</t>
        </is>
      </c>
      <c r="D142" s="63" t="n">
        <v>20</v>
      </c>
      <c r="E142" s="64" t="n">
        <v>250.36</v>
      </c>
      <c r="F142" s="64" t="n">
        <v>5007.19</v>
      </c>
      <c r="G142" s="62" t="inlineStr">
        <is>
          <t>~</t>
        </is>
      </c>
      <c r="H142" s="63" t="n">
        <v>4.97</v>
      </c>
      <c r="I142" s="63" t="n">
        <v>30.22</v>
      </c>
      <c r="J142" s="71">
        <f>Index!$C$2</f>
        <v/>
      </c>
      <c r="K142" s="44">
        <f>IF(AND( C61="Buy", ISBLANK(W61), B61&lt;&gt;"DIV"), L61/sum(F61:I61), "")</f>
        <v/>
      </c>
      <c r="L142" s="45">
        <f>IF(AND( C61="Buy", ISBLANK(W61), B61&lt;&gt;"DIV"), (1-Index!$F$2*2)*((J61*D61)-(E61*D61)), "")</f>
        <v/>
      </c>
      <c r="M142" s="45">
        <f>IF(AND( C61="Buy", ISBLANK(W61), B61&lt;&gt;"DIV"), ((E61*D61)+L61), "")</f>
        <v/>
      </c>
      <c r="N142" s="46">
        <f>IF(AND( C61="Buy", ISBLANK(W61), B61&lt;&gt;"DIV"), D61, "")</f>
        <v/>
      </c>
      <c r="O142" s="44">
        <f>IF(AND( C61="Buy", ISBLANK(W61), B61&lt;&gt;"DIV", NOW()-A61 &lt; 365), P61/sum(F61:I61), "")</f>
        <v/>
      </c>
      <c r="P142" s="45">
        <f>IF(AND( C61="Buy", ISBLANK(W61), B61&lt;&gt;"DIV", NOW()-A61 &lt; 365), (1-Index!$F$2*2)*((J61*D61)-(E61*D61)), "")</f>
        <v/>
      </c>
      <c r="Q142" s="45">
        <f>IF(AND( C61="Buy", ISBLANK(W61), B61&lt;&gt;"DIV", NOW()-A61 &lt; 365), ((E61*D61)+P61), "")</f>
        <v/>
      </c>
      <c r="R142" s="45">
        <f>IF(AND( C61="Buy", ISBLANK(W61), B61&lt;&gt;"DIV", NOW()-A61 &lt; 365), D61, "")</f>
        <v/>
      </c>
      <c r="S142" s="47">
        <f>IF(AND( C61="Buy", ISBLANK(W61), B61&lt;&gt;"DIV", NOW()-A61 &gt; 365), T61/sum(F61:I61), "")</f>
        <v/>
      </c>
      <c r="T142" s="48">
        <f>IF(AND( C61="Buy", ISBLANK(W61), B61&lt;&gt;"DIV", NOW()-A61 &gt; 365), (1-Index!$F$2*2)*((J61*D61)-(E61*D61)), "")</f>
        <v/>
      </c>
      <c r="U142" s="48">
        <f>IF(AND( C61="Buy", ISBLANK(W61), B61&lt;&gt;"DIV", NOW()-A61 &gt; 365), ((E61*D61)+T61), "")</f>
        <v/>
      </c>
      <c r="V142" s="48">
        <f>IF(AND( C61="Buy", ISBLANK(W61), B61&lt;&gt;"DIV", NOW()-A61 &gt; 365), D61, "")</f>
        <v/>
      </c>
      <c r="W142" s="41" t="n">
        <v>312.81</v>
      </c>
      <c r="X142" s="38" t="n">
        <v>45811</v>
      </c>
      <c r="Y142" s="47">
        <f>IF(AND( C61="Buy", W61&lt;&gt;"", AA61&lt;&gt;"", B61&lt;&gt;"DIV"), Z61/sum(F61:I61), "")</f>
        <v/>
      </c>
      <c r="Z142" s="57">
        <f>(1-Index!$F$2*2)*((W61*D61)-(E61*D61))</f>
        <v/>
      </c>
      <c r="AA142" s="57">
        <f>((E61*D61)+Z61)</f>
        <v/>
      </c>
      <c r="AB142" s="58">
        <f>D61</f>
        <v/>
      </c>
      <c r="AC142" s="56">
        <f>if(B61="DIV", F61,"")</f>
        <v/>
      </c>
      <c r="AD142" s="65" t="inlineStr">
        <is>
          <t>SBI Securities</t>
        </is>
      </c>
      <c r="AE142" s="59" t="n"/>
      <c r="AF142" s="59" t="n"/>
      <c r="AG142" s="59" t="n"/>
      <c r="AH142" s="59" t="n"/>
      <c r="AI142" s="59" t="n"/>
      <c r="AJ142" s="59" t="n"/>
      <c r="AK142" s="59" t="n"/>
      <c r="AL142" s="59" t="n"/>
      <c r="AM142" s="59" t="n"/>
      <c r="AN142" s="59" t="n"/>
      <c r="AO142" s="59" t="n"/>
      <c r="AP142" s="59" t="n"/>
    </row>
    <row r="143">
      <c r="A143" s="61" t="n">
        <v>45352</v>
      </c>
      <c r="B143" s="62" t="inlineStr">
        <is>
          <t>NSE</t>
        </is>
      </c>
      <c r="C143" s="62" t="inlineStr">
        <is>
          <t>Buy</t>
        </is>
      </c>
      <c r="D143" s="63" t="n">
        <v>2</v>
      </c>
      <c r="E143" s="64" t="n">
        <v>250.46</v>
      </c>
      <c r="F143" s="64" t="n">
        <v>500.91</v>
      </c>
      <c r="G143" s="62" t="inlineStr">
        <is>
          <t>~</t>
        </is>
      </c>
      <c r="H143" s="63" t="n">
        <v>0.5</v>
      </c>
      <c r="I143" s="63" t="n">
        <v>3.01</v>
      </c>
      <c r="J143" s="71">
        <f>Index!$C$2</f>
        <v/>
      </c>
      <c r="K143" s="44">
        <f>IF(AND( C62="Buy", ISBLANK(W62), B62&lt;&gt;"DIV"), L62/sum(F62:I62), "")</f>
        <v/>
      </c>
      <c r="L143" s="45">
        <f>IF(AND( C62="Buy", ISBLANK(W62), B62&lt;&gt;"DIV"), (1-Index!$F$2*2)*((J62*D62)-(E62*D62)), "")</f>
        <v/>
      </c>
      <c r="M143" s="45">
        <f>IF(AND( C62="Buy", ISBLANK(W62), B62&lt;&gt;"DIV"), ((E62*D62)+L62), "")</f>
        <v/>
      </c>
      <c r="N143" s="46">
        <f>IF(AND( C62="Buy", ISBLANK(W62), B62&lt;&gt;"DIV"), D62, "")</f>
        <v/>
      </c>
      <c r="O143" s="44">
        <f>IF(AND( C62="Buy", ISBLANK(W62), B62&lt;&gt;"DIV", NOW()-A62 &lt; 365), P62/sum(F62:I62), "")</f>
        <v/>
      </c>
      <c r="P143" s="45">
        <f>IF(AND( C62="Buy", ISBLANK(W62), B62&lt;&gt;"DIV", NOW()-A62 &lt; 365), (1-Index!$F$2*2)*((J62*D62)-(E62*D62)), "")</f>
        <v/>
      </c>
      <c r="Q143" s="45">
        <f>IF(AND( C62="Buy", ISBLANK(W62), B62&lt;&gt;"DIV", NOW()-A62 &lt; 365), ((E62*D62)+P62), "")</f>
        <v/>
      </c>
      <c r="R143" s="45">
        <f>IF(AND( C62="Buy", ISBLANK(W62), B62&lt;&gt;"DIV", NOW()-A62 &lt; 365), D62, "")</f>
        <v/>
      </c>
      <c r="S143" s="47">
        <f>IF(AND( C62="Buy", ISBLANK(W62), B62&lt;&gt;"DIV", NOW()-A62 &gt; 365), T62/sum(F62:I62), "")</f>
        <v/>
      </c>
      <c r="T143" s="48">
        <f>IF(AND( C62="Buy", ISBLANK(W62), B62&lt;&gt;"DIV", NOW()-A62 &gt; 365), (1-Index!$F$2*2)*((J62*D62)-(E62*D62)), "")</f>
        <v/>
      </c>
      <c r="U143" s="48">
        <f>IF(AND( C62="Buy", ISBLANK(W62), B62&lt;&gt;"DIV", NOW()-A62 &gt; 365), ((E62*D62)+T62), "")</f>
        <v/>
      </c>
      <c r="V143" s="48">
        <f>IF(AND( C62="Buy", ISBLANK(W62), B62&lt;&gt;"DIV", NOW()-A62 &gt; 365), D62, "")</f>
        <v/>
      </c>
      <c r="W143" s="41" t="n">
        <v>312.81</v>
      </c>
      <c r="X143" s="38" t="n">
        <v>45811</v>
      </c>
      <c r="Y143" s="47">
        <f>IF(AND( C62="Buy", W62&lt;&gt;"", AA62&lt;&gt;"", B62&lt;&gt;"DIV"), Z62/sum(F62:I62), "")</f>
        <v/>
      </c>
      <c r="Z143" s="57">
        <f>(1-Index!$F$2*2)*((W62*D62)-(E62*D62))</f>
        <v/>
      </c>
      <c r="AA143" s="57">
        <f>((E62*D62)+Z62)</f>
        <v/>
      </c>
      <c r="AB143" s="58">
        <f>D62</f>
        <v/>
      </c>
      <c r="AC143" s="56">
        <f>if(B62="DIV", F62,"")</f>
        <v/>
      </c>
      <c r="AD143" s="65" t="inlineStr">
        <is>
          <t>SBI Securities</t>
        </is>
      </c>
      <c r="AE143" s="59" t="n"/>
      <c r="AF143" s="59" t="n"/>
      <c r="AG143" s="59" t="n"/>
      <c r="AH143" s="59" t="n"/>
      <c r="AI143" s="59" t="n"/>
      <c r="AJ143" s="59" t="n"/>
      <c r="AK143" s="59" t="n"/>
      <c r="AL143" s="59" t="n"/>
      <c r="AM143" s="59" t="n"/>
      <c r="AN143" s="59" t="n"/>
      <c r="AO143" s="59" t="n"/>
      <c r="AP143" s="59" t="n"/>
    </row>
    <row r="144">
      <c r="A144" s="61" t="n">
        <v>45352</v>
      </c>
      <c r="B144" s="62" t="inlineStr">
        <is>
          <t>NSE</t>
        </is>
      </c>
      <c r="C144" s="62" t="inlineStr">
        <is>
          <t>Buy</t>
        </is>
      </c>
      <c r="D144" s="63" t="n">
        <v>3</v>
      </c>
      <c r="E144" s="64" t="n">
        <v>250.41</v>
      </c>
      <c r="F144" s="64" t="n">
        <v>751.22</v>
      </c>
      <c r="G144" s="62" t="inlineStr">
        <is>
          <t>~</t>
        </is>
      </c>
      <c r="H144" s="63" t="n">
        <v>0.75</v>
      </c>
      <c r="I144" s="63" t="n">
        <v>4.52</v>
      </c>
      <c r="J144" s="71">
        <f>Index!$C$2</f>
        <v/>
      </c>
      <c r="K144" s="44">
        <f>IF(AND( C63="Buy", ISBLANK(W63), B63&lt;&gt;"DIV"), L63/sum(F63:I63), "")</f>
        <v/>
      </c>
      <c r="L144" s="45">
        <f>IF(AND( C63="Buy", ISBLANK(W63), B63&lt;&gt;"DIV"), (1-Index!$F$2*2)*((J63*D63)-(E63*D63)), "")</f>
        <v/>
      </c>
      <c r="M144" s="45">
        <f>IF(AND( C63="Buy", ISBLANK(W63), B63&lt;&gt;"DIV"), ((E63*D63)+L63), "")</f>
        <v/>
      </c>
      <c r="N144" s="46">
        <f>IF(AND( C63="Buy", ISBLANK(W63), B63&lt;&gt;"DIV"), D63, "")</f>
        <v/>
      </c>
      <c r="O144" s="44">
        <f>IF(AND( C63="Buy", ISBLANK(W63), B63&lt;&gt;"DIV", NOW()-A63 &lt; 365), P63/sum(F63:I63), "")</f>
        <v/>
      </c>
      <c r="P144" s="45">
        <f>IF(AND( C63="Buy", ISBLANK(W63), B63&lt;&gt;"DIV", NOW()-A63 &lt; 365), (1-Index!$F$2*2)*((J63*D63)-(E63*D63)), "")</f>
        <v/>
      </c>
      <c r="Q144" s="45">
        <f>IF(AND( C63="Buy", ISBLANK(W63), B63&lt;&gt;"DIV", NOW()-A63 &lt; 365), ((E63*D63)+P63), "")</f>
        <v/>
      </c>
      <c r="R144" s="45">
        <f>IF(AND( C63="Buy", ISBLANK(W63), B63&lt;&gt;"DIV", NOW()-A63 &lt; 365), D63, "")</f>
        <v/>
      </c>
      <c r="S144" s="47">
        <f>IF(AND( C63="Buy", ISBLANK(W63), B63&lt;&gt;"DIV", NOW()-A63 &gt; 365), T63/sum(F63:I63), "")</f>
        <v/>
      </c>
      <c r="T144" s="48">
        <f>IF(AND( C63="Buy", ISBLANK(W63), B63&lt;&gt;"DIV", NOW()-A63 &gt; 365), (1-Index!$F$2*2)*((J63*D63)-(E63*D63)), "")</f>
        <v/>
      </c>
      <c r="U144" s="48">
        <f>IF(AND( C63="Buy", ISBLANK(W63), B63&lt;&gt;"DIV", NOW()-A63 &gt; 365), ((E63*D63)+T63), "")</f>
        <v/>
      </c>
      <c r="V144" s="48">
        <f>IF(AND( C63="Buy", ISBLANK(W63), B63&lt;&gt;"DIV", NOW()-A63 &gt; 365), D63, "")</f>
        <v/>
      </c>
      <c r="W144" s="41" t="n">
        <v>312.81</v>
      </c>
      <c r="X144" s="38" t="n">
        <v>45811</v>
      </c>
      <c r="Y144" s="47">
        <f>IF(AND( C63="Buy", W63&lt;&gt;"", AA63&lt;&gt;"", B63&lt;&gt;"DIV"), Z63/sum(F63:I63), "")</f>
        <v/>
      </c>
      <c r="Z144" s="57">
        <f>(1-Index!$F$2*2)*((W63*D63)-(E63*D63))</f>
        <v/>
      </c>
      <c r="AA144" s="57">
        <f>((E63*D63)+Z63)</f>
        <v/>
      </c>
      <c r="AB144" s="58">
        <f>D63</f>
        <v/>
      </c>
      <c r="AC144" s="56">
        <f>if(B63="DIV", F63,"")</f>
        <v/>
      </c>
      <c r="AD144" s="65" t="inlineStr">
        <is>
          <t>SBI Securities</t>
        </is>
      </c>
      <c r="AE144" s="59" t="n"/>
      <c r="AF144" s="59" t="n"/>
      <c r="AG144" s="59" t="n"/>
      <c r="AH144" s="59" t="n"/>
      <c r="AI144" s="59" t="n"/>
      <c r="AJ144" s="59" t="n"/>
      <c r="AK144" s="59" t="n"/>
      <c r="AL144" s="59" t="n"/>
      <c r="AM144" s="59" t="n"/>
      <c r="AN144" s="59" t="n"/>
      <c r="AO144" s="59" t="n"/>
      <c r="AP144" s="59" t="n"/>
    </row>
    <row r="145">
      <c r="A145" s="61" t="n">
        <v>45352</v>
      </c>
      <c r="B145" s="62" t="inlineStr">
        <is>
          <t>NSE</t>
        </is>
      </c>
      <c r="C145" s="62" t="inlineStr">
        <is>
          <t>Buy</t>
        </is>
      </c>
      <c r="D145" s="63" t="n">
        <v>3</v>
      </c>
      <c r="E145" s="64" t="n">
        <v>250.36</v>
      </c>
      <c r="F145" s="64" t="n">
        <v>751.0700000000001</v>
      </c>
      <c r="G145" s="62" t="inlineStr">
        <is>
          <t>~</t>
        </is>
      </c>
      <c r="H145" s="63" t="n">
        <v>0.75</v>
      </c>
      <c r="I145" s="63" t="n">
        <v>4.52</v>
      </c>
      <c r="J145" s="71">
        <f>Index!$C$2</f>
        <v/>
      </c>
      <c r="K145" s="44">
        <f>IF(AND( C64="Buy", ISBLANK(W64), B64&lt;&gt;"DIV"), L64/sum(F64:I64), "")</f>
        <v/>
      </c>
      <c r="L145" s="45">
        <f>IF(AND( C64="Buy", ISBLANK(W64), B64&lt;&gt;"DIV"), (1-Index!$F$2*2)*((J64*D64)-(E64*D64)), "")</f>
        <v/>
      </c>
      <c r="M145" s="45">
        <f>IF(AND( C64="Buy", ISBLANK(W64), B64&lt;&gt;"DIV"), ((E64*D64)+L64), "")</f>
        <v/>
      </c>
      <c r="N145" s="46">
        <f>IF(AND( C64="Buy", ISBLANK(W64), B64&lt;&gt;"DIV"), D64, "")</f>
        <v/>
      </c>
      <c r="O145" s="44">
        <f>IF(AND( C64="Buy", ISBLANK(W64), B64&lt;&gt;"DIV", NOW()-A64 &lt; 365), P64/sum(F64:I64), "")</f>
        <v/>
      </c>
      <c r="P145" s="45">
        <f>IF(AND( C64="Buy", ISBLANK(W64), B64&lt;&gt;"DIV", NOW()-A64 &lt; 365), (1-Index!$F$2*2)*((J64*D64)-(E64*D64)), "")</f>
        <v/>
      </c>
      <c r="Q145" s="45">
        <f>IF(AND( C64="Buy", ISBLANK(W64), B64&lt;&gt;"DIV", NOW()-A64 &lt; 365), ((E64*D64)+P64), "")</f>
        <v/>
      </c>
      <c r="R145" s="45">
        <f>IF(AND( C64="Buy", ISBLANK(W64), B64&lt;&gt;"DIV", NOW()-A64 &lt; 365), D64, "")</f>
        <v/>
      </c>
      <c r="S145" s="47">
        <f>IF(AND( C64="Buy", ISBLANK(W64), B64&lt;&gt;"DIV", NOW()-A64 &gt; 365), T64/sum(F64:I64), "")</f>
        <v/>
      </c>
      <c r="T145" s="48">
        <f>IF(AND( C64="Buy", ISBLANK(W64), B64&lt;&gt;"DIV", NOW()-A64 &gt; 365), (1-Index!$F$2*2)*((J64*D64)-(E64*D64)), "")</f>
        <v/>
      </c>
      <c r="U145" s="48">
        <f>IF(AND( C64="Buy", ISBLANK(W64), B64&lt;&gt;"DIV", NOW()-A64 &gt; 365), ((E64*D64)+T64), "")</f>
        <v/>
      </c>
      <c r="V145" s="48">
        <f>IF(AND( C64="Buy", ISBLANK(W64), B64&lt;&gt;"DIV", NOW()-A64 &gt; 365), D64, "")</f>
        <v/>
      </c>
      <c r="W145" s="41" t="n">
        <v>312.81</v>
      </c>
      <c r="X145" s="38" t="n">
        <v>45811</v>
      </c>
      <c r="Y145" s="47">
        <f>IF(AND( C64="Buy", W64&lt;&gt;"", AA64&lt;&gt;"", B64&lt;&gt;"DIV"), Z64/sum(F64:I64), "")</f>
        <v/>
      </c>
      <c r="Z145" s="57">
        <f>(1-Index!$F$2*2)*((W64*D64)-(E64*D64))</f>
        <v/>
      </c>
      <c r="AA145" s="57">
        <f>((E64*D64)+Z64)</f>
        <v/>
      </c>
      <c r="AB145" s="58">
        <f>D64</f>
        <v/>
      </c>
      <c r="AC145" s="56">
        <f>if(B64="DIV", F64,"")</f>
        <v/>
      </c>
      <c r="AD145" s="65" t="inlineStr">
        <is>
          <t>SBI Securities</t>
        </is>
      </c>
      <c r="AE145" s="59" t="n"/>
      <c r="AF145" s="59" t="n"/>
      <c r="AG145" s="59" t="n"/>
      <c r="AH145" s="59" t="n"/>
      <c r="AI145" s="59" t="n"/>
      <c r="AJ145" s="59" t="n"/>
      <c r="AK145" s="59" t="n"/>
      <c r="AL145" s="59" t="n"/>
      <c r="AM145" s="59" t="n"/>
      <c r="AN145" s="59" t="n"/>
      <c r="AO145" s="59" t="n"/>
      <c r="AP145" s="59" t="n"/>
    </row>
    <row r="146">
      <c r="A146" s="61" t="n">
        <v>45352</v>
      </c>
      <c r="B146" s="62" t="inlineStr">
        <is>
          <t>NSE</t>
        </is>
      </c>
      <c r="C146" s="62" t="inlineStr">
        <is>
          <t>Buy</t>
        </is>
      </c>
      <c r="D146" s="63" t="n">
        <v>20</v>
      </c>
      <c r="E146" s="64" t="n">
        <v>250.36</v>
      </c>
      <c r="F146" s="64" t="n">
        <v>5007.19</v>
      </c>
      <c r="G146" s="62" t="inlineStr">
        <is>
          <t>~</t>
        </is>
      </c>
      <c r="H146" s="63" t="n">
        <v>4.97</v>
      </c>
      <c r="I146" s="63" t="n">
        <v>30.22</v>
      </c>
      <c r="J146" s="71">
        <f>Index!$C$2</f>
        <v/>
      </c>
      <c r="K146" s="44">
        <f>IF(AND( C65="Buy", ISBLANK(W65), B65&lt;&gt;"DIV"), L65/sum(F65:I65), "")</f>
        <v/>
      </c>
      <c r="L146" s="45">
        <f>IF(AND( C65="Buy", ISBLANK(W65), B65&lt;&gt;"DIV"), (1-Index!$F$2*2)*((J65*D65)-(E65*D65)), "")</f>
        <v/>
      </c>
      <c r="M146" s="45">
        <f>IF(AND( C65="Buy", ISBLANK(W65), B65&lt;&gt;"DIV"), ((E65*D65)+L65), "")</f>
        <v/>
      </c>
      <c r="N146" s="46">
        <f>IF(AND( C65="Buy", ISBLANK(W65), B65&lt;&gt;"DIV"), D65, "")</f>
        <v/>
      </c>
      <c r="O146" s="44">
        <f>IF(AND( C65="Buy", ISBLANK(W65), B65&lt;&gt;"DIV", NOW()-A65 &lt; 365), P65/sum(F65:I65), "")</f>
        <v/>
      </c>
      <c r="P146" s="45">
        <f>IF(AND( C65="Buy", ISBLANK(W65), B65&lt;&gt;"DIV", NOW()-A65 &lt; 365), (1-Index!$F$2*2)*((J65*D65)-(E65*D65)), "")</f>
        <v/>
      </c>
      <c r="Q146" s="45">
        <f>IF(AND( C65="Buy", ISBLANK(W65), B65&lt;&gt;"DIV", NOW()-A65 &lt; 365), ((E65*D65)+P65), "")</f>
        <v/>
      </c>
      <c r="R146" s="45">
        <f>IF(AND( C65="Buy", ISBLANK(W65), B65&lt;&gt;"DIV", NOW()-A65 &lt; 365), D65, "")</f>
        <v/>
      </c>
      <c r="S146" s="47">
        <f>IF(AND( C65="Buy", ISBLANK(W65), B65&lt;&gt;"DIV", NOW()-A65 &gt; 365), T65/sum(F65:I65), "")</f>
        <v/>
      </c>
      <c r="T146" s="48">
        <f>IF(AND( C65="Buy", ISBLANK(W65), B65&lt;&gt;"DIV", NOW()-A65 &gt; 365), (1-Index!$F$2*2)*((J65*D65)-(E65*D65)), "")</f>
        <v/>
      </c>
      <c r="U146" s="48">
        <f>IF(AND( C65="Buy", ISBLANK(W65), B65&lt;&gt;"DIV", NOW()-A65 &gt; 365), ((E65*D65)+T65), "")</f>
        <v/>
      </c>
      <c r="V146" s="48">
        <f>IF(AND( C65="Buy", ISBLANK(W65), B65&lt;&gt;"DIV", NOW()-A65 &gt; 365), D65, "")</f>
        <v/>
      </c>
      <c r="W146" s="41" t="n">
        <v>312.81</v>
      </c>
      <c r="X146" s="38" t="n">
        <v>45811</v>
      </c>
      <c r="Y146" s="47">
        <f>IF(AND( C65="Buy", W65&lt;&gt;"", AA65&lt;&gt;"", B65&lt;&gt;"DIV"), Z65/sum(F65:I65), "")</f>
        <v/>
      </c>
      <c r="Z146" s="57">
        <f>(1-Index!$F$2*2)*((W65*D65)-(E65*D65))</f>
        <v/>
      </c>
      <c r="AA146" s="57">
        <f>((E65*D65)+Z65)</f>
        <v/>
      </c>
      <c r="AB146" s="58">
        <f>D65</f>
        <v/>
      </c>
      <c r="AC146" s="56">
        <f>if(B65="DIV", F65,"")</f>
        <v/>
      </c>
      <c r="AD146" s="65" t="inlineStr">
        <is>
          <t>SBI Securities</t>
        </is>
      </c>
      <c r="AE146" s="59" t="n"/>
      <c r="AF146" s="59" t="n"/>
      <c r="AG146" s="59" t="n"/>
      <c r="AH146" s="59" t="n"/>
      <c r="AI146" s="59" t="n"/>
      <c r="AJ146" s="59" t="n"/>
      <c r="AK146" s="59" t="n"/>
      <c r="AL146" s="59" t="n"/>
      <c r="AM146" s="59" t="n"/>
      <c r="AN146" s="59" t="n"/>
      <c r="AO146" s="59" t="n"/>
      <c r="AP146" s="59" t="n"/>
    </row>
    <row r="147">
      <c r="A147" s="61" t="n">
        <v>45349</v>
      </c>
      <c r="B147" s="62" t="inlineStr">
        <is>
          <t>NSE</t>
        </is>
      </c>
      <c r="C147" s="62" t="inlineStr">
        <is>
          <t>Buy</t>
        </is>
      </c>
      <c r="D147" s="63" t="n">
        <v>10</v>
      </c>
      <c r="E147" s="64" t="n">
        <v>247.49</v>
      </c>
      <c r="F147" s="64" t="n">
        <v>2474.93</v>
      </c>
      <c r="G147" s="62" t="inlineStr">
        <is>
          <t>~</t>
        </is>
      </c>
      <c r="H147" s="63" t="n">
        <v>2.45</v>
      </c>
      <c r="I147" s="63" t="n">
        <v>14.98</v>
      </c>
      <c r="J147" s="71">
        <f>Index!$C$2</f>
        <v/>
      </c>
      <c r="K147" s="44">
        <f>IF(AND( C66="Buy", ISBLANK(W66), B66&lt;&gt;"DIV"), L66/sum(F66:I66), "")</f>
        <v/>
      </c>
      <c r="L147" s="45">
        <f>IF(AND( C66="Buy", ISBLANK(W66), B66&lt;&gt;"DIV"), (1-Index!$F$2*2)*((J66*D66)-(E66*D66)), "")</f>
        <v/>
      </c>
      <c r="M147" s="45">
        <f>IF(AND( C66="Buy", ISBLANK(W66), B66&lt;&gt;"DIV"), ((E66*D66)+L66), "")</f>
        <v/>
      </c>
      <c r="N147" s="46">
        <f>IF(AND( C66="Buy", ISBLANK(W66), B66&lt;&gt;"DIV"), D66, "")</f>
        <v/>
      </c>
      <c r="O147" s="44">
        <f>IF(AND( C66="Buy", ISBLANK(W66), B66&lt;&gt;"DIV", NOW()-A66 &lt; 365), P66/sum(F66:I66), "")</f>
        <v/>
      </c>
      <c r="P147" s="45">
        <f>IF(AND( C66="Buy", ISBLANK(W66), B66&lt;&gt;"DIV", NOW()-A66 &lt; 365), (1-Index!$F$2*2)*((J66*D66)-(E66*D66)), "")</f>
        <v/>
      </c>
      <c r="Q147" s="45">
        <f>IF(AND( C66="Buy", ISBLANK(W66), B66&lt;&gt;"DIV", NOW()-A66 &lt; 365), ((E66*D66)+P66), "")</f>
        <v/>
      </c>
      <c r="R147" s="45">
        <f>IF(AND( C66="Buy", ISBLANK(W66), B66&lt;&gt;"DIV", NOW()-A66 &lt; 365), D66, "")</f>
        <v/>
      </c>
      <c r="S147" s="47">
        <f>IF(AND( C66="Buy", ISBLANK(W66), B66&lt;&gt;"DIV", NOW()-A66 &gt; 365), T66/sum(F66:I66), "")</f>
        <v/>
      </c>
      <c r="T147" s="48">
        <f>IF(AND( C66="Buy", ISBLANK(W66), B66&lt;&gt;"DIV", NOW()-A66 &gt; 365), (1-Index!$F$2*2)*((J66*D66)-(E66*D66)), "")</f>
        <v/>
      </c>
      <c r="U147" s="48">
        <f>IF(AND( C66="Buy", ISBLANK(W66), B66&lt;&gt;"DIV", NOW()-A66 &gt; 365), ((E66*D66)+T66), "")</f>
        <v/>
      </c>
      <c r="V147" s="48">
        <f>IF(AND( C66="Buy", ISBLANK(W66), B66&lt;&gt;"DIV", NOW()-A66 &gt; 365), D66, "")</f>
        <v/>
      </c>
      <c r="W147" s="41" t="n">
        <v>312.81</v>
      </c>
      <c r="X147" s="38" t="n">
        <v>45811</v>
      </c>
      <c r="Y147" s="47">
        <f>IF(AND( C66="Buy", W66&lt;&gt;"", AA66&lt;&gt;"", B66&lt;&gt;"DIV"), Z66/sum(F66:I66), "")</f>
        <v/>
      </c>
      <c r="Z147" s="57">
        <f>(1-Index!$F$2*2)*((W66*D66)-(E66*D66))</f>
        <v/>
      </c>
      <c r="AA147" s="57">
        <f>((E66*D66)+Z66)</f>
        <v/>
      </c>
      <c r="AB147" s="58">
        <f>D66</f>
        <v/>
      </c>
      <c r="AC147" s="56">
        <f>if(B66="DIV", F66,"")</f>
        <v/>
      </c>
      <c r="AD147" s="65" t="inlineStr">
        <is>
          <t>SBI Securities</t>
        </is>
      </c>
      <c r="AE147" s="59" t="n"/>
      <c r="AF147" s="59" t="n"/>
      <c r="AG147" s="59" t="n"/>
      <c r="AH147" s="59" t="n"/>
      <c r="AI147" s="59" t="n"/>
      <c r="AJ147" s="59" t="n"/>
      <c r="AK147" s="59" t="n"/>
      <c r="AL147" s="59" t="n"/>
      <c r="AM147" s="59" t="n"/>
      <c r="AN147" s="59" t="n"/>
      <c r="AO147" s="59" t="n"/>
      <c r="AP147" s="59" t="n"/>
    </row>
    <row r="148">
      <c r="A148" s="66" t="n">
        <v>45282</v>
      </c>
      <c r="B148" s="67" t="inlineStr">
        <is>
          <t>NSE</t>
        </is>
      </c>
      <c r="C148" s="67" t="inlineStr">
        <is>
          <t>Buy</t>
        </is>
      </c>
      <c r="D148" s="70" t="n">
        <v>10</v>
      </c>
      <c r="E148" s="69" t="n">
        <v>251.87</v>
      </c>
      <c r="F148" s="71" t="n">
        <v>2518.74</v>
      </c>
      <c r="G148" s="70" t="inlineStr">
        <is>
          <t>~</t>
        </is>
      </c>
      <c r="H148" s="70" t="n">
        <v>2.5</v>
      </c>
      <c r="I148" s="70" t="n">
        <v>15.24</v>
      </c>
      <c r="J148" s="71">
        <f>Index!$C$2</f>
        <v/>
      </c>
      <c r="K148" s="44">
        <f>IF(AND( C67="Buy", ISBLANK(W67), B67&lt;&gt;"DIV"), L67/sum(F67:I67), "")</f>
        <v/>
      </c>
      <c r="L148" s="45">
        <f>IF(AND( C67="Buy", ISBLANK(W67), B67&lt;&gt;"DIV"), (1-Index!$F$2*2)*((J67*D67)-(E67*D67)), "")</f>
        <v/>
      </c>
      <c r="M148" s="45">
        <f>IF(AND( C67="Buy", ISBLANK(W67), B67&lt;&gt;"DIV"), ((E67*D67)+L67), "")</f>
        <v/>
      </c>
      <c r="N148" s="46">
        <f>IF(AND( C67="Buy", ISBLANK(W67), B67&lt;&gt;"DIV"), D67, "")</f>
        <v/>
      </c>
      <c r="O148" s="44">
        <f>IF(AND( C67="Buy", ISBLANK(W67), B67&lt;&gt;"DIV", NOW()-A67 &lt; 365), P67/sum(F67:I67), "")</f>
        <v/>
      </c>
      <c r="P148" s="45">
        <f>IF(AND( C67="Buy", ISBLANK(W67), B67&lt;&gt;"DIV", NOW()-A67 &lt; 365), (1-Index!$F$2*2)*((J67*D67)-(E67*D67)), "")</f>
        <v/>
      </c>
      <c r="Q148" s="45">
        <f>IF(AND( C67="Buy", ISBLANK(W67), B67&lt;&gt;"DIV", NOW()-A67 &lt; 365), ((E67*D67)+P67), "")</f>
        <v/>
      </c>
      <c r="R148" s="45">
        <f>IF(AND( C67="Buy", ISBLANK(W67), B67&lt;&gt;"DIV", NOW()-A67 &lt; 365), D67, "")</f>
        <v/>
      </c>
      <c r="S148" s="47">
        <f>IF(AND( C67="Buy", ISBLANK(W67), B67&lt;&gt;"DIV", NOW()-A67 &gt; 365), T67/sum(F67:I67), "")</f>
        <v/>
      </c>
      <c r="T148" s="48">
        <f>IF(AND( C67="Buy", ISBLANK(W67), B67&lt;&gt;"DIV", NOW()-A67 &gt; 365), (1-Index!$F$2*2)*((J67*D67)-(E67*D67)), "")</f>
        <v/>
      </c>
      <c r="U148" s="48">
        <f>IF(AND( C67="Buy", ISBLANK(W67), B67&lt;&gt;"DIV", NOW()-A67 &gt; 365), ((E67*D67)+T67), "")</f>
        <v/>
      </c>
      <c r="V148" s="48">
        <f>IF(AND( C67="Buy", ISBLANK(W67), B67&lt;&gt;"DIV", NOW()-A67 &gt; 365), D67, "")</f>
        <v/>
      </c>
      <c r="W148" s="41" t="n">
        <v>312.81</v>
      </c>
      <c r="X148" s="38" t="n">
        <v>45811</v>
      </c>
      <c r="Y148" s="47">
        <f>IF(AND( C67="Buy", W67&lt;&gt;"", AA67&lt;&gt;"", B67&lt;&gt;"DIV"), Z67/sum(F67:I67), "")</f>
        <v/>
      </c>
      <c r="Z148" s="57">
        <f>(1-Index!$F$2*2)*((W67*D67)-(E67*D67))</f>
        <v/>
      </c>
      <c r="AA148" s="57">
        <f>((E67*D67)+Z67)</f>
        <v/>
      </c>
      <c r="AB148" s="58">
        <f>D67</f>
        <v/>
      </c>
      <c r="AC148" s="56">
        <f>if(B67="DIV", F67,"")</f>
        <v/>
      </c>
      <c r="AD148" s="65" t="inlineStr">
        <is>
          <t>SBI Securities</t>
        </is>
      </c>
      <c r="AE148" s="59" t="n"/>
      <c r="AF148" s="59" t="n"/>
      <c r="AG148" s="59" t="n"/>
      <c r="AH148" s="59" t="n"/>
      <c r="AI148" s="59" t="n"/>
      <c r="AJ148" s="59" t="n"/>
      <c r="AK148" s="59" t="n"/>
      <c r="AL148" s="59" t="n"/>
      <c r="AM148" s="59" t="n"/>
      <c r="AN148" s="59" t="n"/>
      <c r="AO148" s="59" t="n"/>
      <c r="AP148" s="59" t="n"/>
    </row>
    <row r="149">
      <c r="A149" s="66" t="n">
        <v>45278</v>
      </c>
      <c r="B149" s="67" t="inlineStr">
        <is>
          <t>NSE</t>
        </is>
      </c>
      <c r="C149" s="67" t="inlineStr">
        <is>
          <t>Buy</t>
        </is>
      </c>
      <c r="D149" s="70" t="n">
        <v>10</v>
      </c>
      <c r="E149" s="69" t="n">
        <v>257.01</v>
      </c>
      <c r="F149" s="71" t="n">
        <v>2570.13</v>
      </c>
      <c r="G149" s="70" t="inlineStr">
        <is>
          <t>~</t>
        </is>
      </c>
      <c r="H149" s="70" t="n">
        <v>2.55</v>
      </c>
      <c r="I149" s="70" t="n">
        <v>15.58</v>
      </c>
      <c r="J149" s="71">
        <f>Index!$C$2</f>
        <v/>
      </c>
      <c r="K149" s="44">
        <f>IF(AND( C68="Buy", ISBLANK(W68), B68&lt;&gt;"DIV"), L68/sum(F68:I68), "")</f>
        <v/>
      </c>
      <c r="L149" s="45">
        <f>IF(AND( C68="Buy", ISBLANK(W68), B68&lt;&gt;"DIV"), (1-Index!$F$2*2)*((J68*D68)-(E68*D68)), "")</f>
        <v/>
      </c>
      <c r="M149" s="45">
        <f>IF(AND( C68="Buy", ISBLANK(W68), B68&lt;&gt;"DIV"), ((E68*D68)+L68), "")</f>
        <v/>
      </c>
      <c r="N149" s="46">
        <f>IF(AND( C68="Buy", ISBLANK(W68), B68&lt;&gt;"DIV"), D68, "")</f>
        <v/>
      </c>
      <c r="O149" s="44">
        <f>IF(AND( C68="Buy", ISBLANK(W68), B68&lt;&gt;"DIV", NOW()-A68 &lt; 365), P68/sum(F68:I68), "")</f>
        <v/>
      </c>
      <c r="P149" s="45">
        <f>IF(AND( C68="Buy", ISBLANK(W68), B68&lt;&gt;"DIV", NOW()-A68 &lt; 365), (1-Index!$F$2*2)*((J68*D68)-(E68*D68)), "")</f>
        <v/>
      </c>
      <c r="Q149" s="45">
        <f>IF(AND( C68="Buy", ISBLANK(W68), B68&lt;&gt;"DIV", NOW()-A68 &lt; 365), ((E68*D68)+P68), "")</f>
        <v/>
      </c>
      <c r="R149" s="45">
        <f>IF(AND( C68="Buy", ISBLANK(W68), B68&lt;&gt;"DIV", NOW()-A68 &lt; 365), D68, "")</f>
        <v/>
      </c>
      <c r="S149" s="47">
        <f>IF(AND( C68="Buy", ISBLANK(W68), B68&lt;&gt;"DIV", NOW()-A68 &gt; 365), T68/sum(F68:I68), "")</f>
        <v/>
      </c>
      <c r="T149" s="48">
        <f>IF(AND( C68="Buy", ISBLANK(W68), B68&lt;&gt;"DIV", NOW()-A68 &gt; 365), (1-Index!$F$2*2)*((J68*D68)-(E68*D68)), "")</f>
        <v/>
      </c>
      <c r="U149" s="48">
        <f>IF(AND( C68="Buy", ISBLANK(W68), B68&lt;&gt;"DIV", NOW()-A68 &gt; 365), ((E68*D68)+T68), "")</f>
        <v/>
      </c>
      <c r="V149" s="48">
        <f>IF(AND( C68="Buy", ISBLANK(W68), B68&lt;&gt;"DIV", NOW()-A68 &gt; 365), D68, "")</f>
        <v/>
      </c>
      <c r="W149" s="41" t="n">
        <v>312.81</v>
      </c>
      <c r="X149" s="38" t="n">
        <v>45811</v>
      </c>
      <c r="Y149" s="47">
        <f>IF(AND( C68="Buy", W68&lt;&gt;"", AA68&lt;&gt;"", B68&lt;&gt;"DIV"), Z68/sum(F68:I68), "")</f>
        <v/>
      </c>
      <c r="Z149" s="57">
        <f>(1-Index!$F$2*2)*((W68*D68)-(E68*D68))</f>
        <v/>
      </c>
      <c r="AA149" s="57">
        <f>((E68*D68)+Z68)</f>
        <v/>
      </c>
      <c r="AB149" s="58">
        <f>D68</f>
        <v/>
      </c>
      <c r="AC149" s="56">
        <f>if(B68="DIV", F68,"")</f>
        <v/>
      </c>
      <c r="AD149" s="65" t="inlineStr">
        <is>
          <t>SBI Securities</t>
        </is>
      </c>
    </row>
    <row r="150">
      <c r="A150" s="66" t="n">
        <v>45225</v>
      </c>
      <c r="B150" s="67" t="inlineStr">
        <is>
          <t>NSE</t>
        </is>
      </c>
      <c r="C150" s="67" t="inlineStr">
        <is>
          <t>Buy</t>
        </is>
      </c>
      <c r="D150" s="70" t="n">
        <v>10</v>
      </c>
      <c r="E150" s="69" t="n">
        <v>211.9</v>
      </c>
      <c r="F150" s="71" t="n">
        <v>2118.95</v>
      </c>
      <c r="G150" s="70" t="inlineStr">
        <is>
          <t>~</t>
        </is>
      </c>
      <c r="H150" s="70" t="n">
        <v>2.12</v>
      </c>
      <c r="I150" s="70" t="n">
        <v>12.83</v>
      </c>
      <c r="J150" s="71">
        <f>Index!$C$2</f>
        <v/>
      </c>
      <c r="K150" s="44">
        <f>IF(AND( C69="Buy", ISBLANK(W69), B69&lt;&gt;"DIV"), L69/sum(F69:I69), "")</f>
        <v/>
      </c>
      <c r="L150" s="45">
        <f>IF(AND( C69="Buy", ISBLANK(W69), B69&lt;&gt;"DIV"), (1-Index!$F$2*2)*((J69*D69)-(E69*D69)), "")</f>
        <v/>
      </c>
      <c r="M150" s="45">
        <f>IF(AND( C69="Buy", ISBLANK(W69), B69&lt;&gt;"DIV"), ((E69*D69)+L69), "")</f>
        <v/>
      </c>
      <c r="N150" s="46">
        <f>IF(AND( C69="Buy", ISBLANK(W69), B69&lt;&gt;"DIV"), D69, "")</f>
        <v/>
      </c>
      <c r="O150" s="44">
        <f>IF(AND( C69="Buy", ISBLANK(W69), B69&lt;&gt;"DIV", NOW()-A69 &lt; 365), P69/sum(F69:I69), "")</f>
        <v/>
      </c>
      <c r="P150" s="45">
        <f>IF(AND( C69="Buy", ISBLANK(W69), B69&lt;&gt;"DIV", NOW()-A69 &lt; 365), (1-Index!$F$2*2)*((J69*D69)-(E69*D69)), "")</f>
        <v/>
      </c>
      <c r="Q150" s="45">
        <f>IF(AND( C69="Buy", ISBLANK(W69), B69&lt;&gt;"DIV", NOW()-A69 &lt; 365), ((E69*D69)+P69), "")</f>
        <v/>
      </c>
      <c r="R150" s="45">
        <f>IF(AND( C69="Buy", ISBLANK(W69), B69&lt;&gt;"DIV", NOW()-A69 &lt; 365), D69, "")</f>
        <v/>
      </c>
      <c r="S150" s="47">
        <f>IF(AND( C69="Buy", ISBLANK(W69), B69&lt;&gt;"DIV", NOW()-A69 &gt; 365), T69/sum(F69:I69), "")</f>
        <v/>
      </c>
      <c r="T150" s="48">
        <f>IF(AND( C69="Buy", ISBLANK(W69), B69&lt;&gt;"DIV", NOW()-A69 &gt; 365), (1-Index!$F$2*2)*((J69*D69)-(E69*D69)), "")</f>
        <v/>
      </c>
      <c r="U150" s="48">
        <f>IF(AND( C69="Buy", ISBLANK(W69), B69&lt;&gt;"DIV", NOW()-A69 &gt; 365), ((E69*D69)+T69), "")</f>
        <v/>
      </c>
      <c r="V150" s="48">
        <f>IF(AND( C69="Buy", ISBLANK(W69), B69&lt;&gt;"DIV", NOW()-A69 &gt; 365), D69, "")</f>
        <v/>
      </c>
      <c r="W150" s="41" t="n">
        <v>312.81</v>
      </c>
      <c r="X150" s="38" t="n">
        <v>45811</v>
      </c>
      <c r="Y150" s="47">
        <f>IF(AND( C69="Buy", W69&lt;&gt;"", AA69&lt;&gt;"", B69&lt;&gt;"DIV"), Z69/sum(F69:I69), "")</f>
        <v/>
      </c>
      <c r="Z150" s="57">
        <f>(1-Index!$F$2*2)*((W69*D69)-(E69*D69))</f>
        <v/>
      </c>
      <c r="AA150" s="57">
        <f>((E69*D69)+Z69)</f>
        <v/>
      </c>
      <c r="AB150" s="58">
        <f>D69</f>
        <v/>
      </c>
      <c r="AC150" s="56">
        <f>if(B69="DIV", F69,"")</f>
        <v/>
      </c>
      <c r="AD150" s="65" t="inlineStr">
        <is>
          <t>SBI Securities</t>
        </is>
      </c>
    </row>
    <row r="151">
      <c r="A151" s="66" t="n">
        <v>45181</v>
      </c>
      <c r="B151" s="67" t="inlineStr">
        <is>
          <t>NSE</t>
        </is>
      </c>
      <c r="C151" s="67" t="inlineStr">
        <is>
          <t>Buy</t>
        </is>
      </c>
      <c r="D151" s="70" t="n">
        <v>10</v>
      </c>
      <c r="E151" s="69" t="n">
        <v>228.72</v>
      </c>
      <c r="F151" s="71" t="n">
        <v>2287.15</v>
      </c>
      <c r="G151" s="70" t="inlineStr">
        <is>
          <t>~</t>
        </is>
      </c>
      <c r="H151" s="70" t="n">
        <v>2.27</v>
      </c>
      <c r="I151" s="70" t="n">
        <v>13.88</v>
      </c>
      <c r="J151" s="71">
        <f>Index!$C$2</f>
        <v/>
      </c>
      <c r="K151" s="44">
        <f>IF(AND( C70="Buy", ISBLANK(W70), B70&lt;&gt;"DIV"), L70/sum(F70:I70), "")</f>
        <v/>
      </c>
      <c r="L151" s="45">
        <f>IF(AND( C70="Buy", ISBLANK(W70), B70&lt;&gt;"DIV"), (1-Index!$F$2*2)*((J70*D70)-(E70*D70)), "")</f>
        <v/>
      </c>
      <c r="M151" s="45">
        <f>IF(AND( C70="Buy", ISBLANK(W70), B70&lt;&gt;"DIV"), ((E70*D70)+L70), "")</f>
        <v/>
      </c>
      <c r="N151" s="46">
        <f>IF(AND( C70="Buy", ISBLANK(W70), B70&lt;&gt;"DIV"), D70, "")</f>
        <v/>
      </c>
      <c r="O151" s="44">
        <f>IF(AND( C70="Buy", ISBLANK(W70), B70&lt;&gt;"DIV", NOW()-A70 &lt; 365), P70/sum(F70:I70), "")</f>
        <v/>
      </c>
      <c r="P151" s="45">
        <f>IF(AND( C70="Buy", ISBLANK(W70), B70&lt;&gt;"DIV", NOW()-A70 &lt; 365), (1-Index!$F$2*2)*((J70*D70)-(E70*D70)), "")</f>
        <v/>
      </c>
      <c r="Q151" s="45">
        <f>IF(AND( C70="Buy", ISBLANK(W70), B70&lt;&gt;"DIV", NOW()-A70 &lt; 365), ((E70*D70)+P70), "")</f>
        <v/>
      </c>
      <c r="R151" s="45">
        <f>IF(AND( C70="Buy", ISBLANK(W70), B70&lt;&gt;"DIV", NOW()-A70 &lt; 365), D70, "")</f>
        <v/>
      </c>
      <c r="S151" s="47">
        <f>IF(AND( C70="Buy", ISBLANK(W70), B70&lt;&gt;"DIV", NOW()-A70 &gt; 365), T70/sum(F70:I70), "")</f>
        <v/>
      </c>
      <c r="T151" s="48">
        <f>IF(AND( C70="Buy", ISBLANK(W70), B70&lt;&gt;"DIV", NOW()-A70 &gt; 365), (1-Index!$F$2*2)*((J70*D70)-(E70*D70)), "")</f>
        <v/>
      </c>
      <c r="U151" s="48">
        <f>IF(AND( C70="Buy", ISBLANK(W70), B70&lt;&gt;"DIV", NOW()-A70 &gt; 365), ((E70*D70)+T70), "")</f>
        <v/>
      </c>
      <c r="V151" s="48">
        <f>IF(AND( C70="Buy", ISBLANK(W70), B70&lt;&gt;"DIV", NOW()-A70 &gt; 365), D70, "")</f>
        <v/>
      </c>
      <c r="W151" s="41" t="n">
        <v>312.81</v>
      </c>
      <c r="X151" s="38" t="n">
        <v>45811</v>
      </c>
      <c r="Y151" s="47">
        <f>IF(AND( C70="Buy", W70&lt;&gt;"", AA70&lt;&gt;"", B70&lt;&gt;"DIV"), Z70/sum(F70:I70), "")</f>
        <v/>
      </c>
      <c r="Z151" s="57">
        <f>(1-Index!$F$2*2)*((W70*D70)-(E70*D70))</f>
        <v/>
      </c>
      <c r="AA151" s="57">
        <f>((E70*D70)+Z70)</f>
        <v/>
      </c>
      <c r="AB151" s="58">
        <f>D70</f>
        <v/>
      </c>
      <c r="AC151" s="56">
        <f>if(B70="DIV", F70,"")</f>
        <v/>
      </c>
      <c r="AD151" s="65" t="inlineStr">
        <is>
          <t>SBI Securities</t>
        </is>
      </c>
    </row>
    <row r="152">
      <c r="A152" s="66" t="n">
        <v>45076</v>
      </c>
      <c r="B152" s="67" t="inlineStr">
        <is>
          <t>DIV</t>
        </is>
      </c>
      <c r="C152" s="67" t="inlineStr">
        <is>
          <t>Buy</t>
        </is>
      </c>
      <c r="D152" s="70" t="n">
        <v>440</v>
      </c>
      <c r="E152" s="69" t="n">
        <v>2.5</v>
      </c>
      <c r="F152" s="71" t="n">
        <v>1100</v>
      </c>
      <c r="G152" s="70" t="inlineStr">
        <is>
          <t>Annual-Dividend of Rs.2.5000/- per share on Ex-Date: 30-MAY-2023</t>
        </is>
      </c>
      <c r="H152" s="70" t="n">
        <v>0</v>
      </c>
      <c r="I152" s="70" t="n">
        <v>0</v>
      </c>
      <c r="J152" s="71">
        <f>Index!$C$2</f>
        <v/>
      </c>
      <c r="K152" s="44">
        <f>IF(AND( C71="Buy", ISBLANK(W71), B71&lt;&gt;"DIV"), L71/sum(F71:I71), "")</f>
        <v/>
      </c>
      <c r="L152" s="45">
        <f>IF(AND( C71="Buy", ISBLANK(W71), B71&lt;&gt;"DIV"), (1-Index!$F$2*2)*((J71*D71)-(E71*D71)), "")</f>
        <v/>
      </c>
      <c r="M152" s="45">
        <f>IF(AND( C71="Buy", ISBLANK(W71), B71&lt;&gt;"DIV"), ((E71*D71)+L71), "")</f>
        <v/>
      </c>
      <c r="N152" s="46">
        <f>IF(AND( C71="Buy", ISBLANK(W71), B71&lt;&gt;"DIV"), D71, "")</f>
        <v/>
      </c>
      <c r="O152" s="44">
        <f>IF(AND( C71="Buy", ISBLANK(W71), B71&lt;&gt;"DIV", NOW()-A71 &lt; 365), P71/sum(F71:I71), "")</f>
        <v/>
      </c>
      <c r="P152" s="45">
        <f>IF(AND( C71="Buy", ISBLANK(W71), B71&lt;&gt;"DIV", NOW()-A71 &lt; 365), (1-Index!$F$2*2)*((J71*D71)-(E71*D71)), "")</f>
        <v/>
      </c>
      <c r="Q152" s="45">
        <f>IF(AND( C71="Buy", ISBLANK(W71), B71&lt;&gt;"DIV", NOW()-A71 &lt; 365), ((E71*D71)+P71), "")</f>
        <v/>
      </c>
      <c r="R152" s="45">
        <f>IF(AND( C71="Buy", ISBLANK(W71), B71&lt;&gt;"DIV", NOW()-A71 &lt; 365), D71, "")</f>
        <v/>
      </c>
      <c r="S152" s="47">
        <f>IF(AND( C71="Buy", ISBLANK(W71), B71&lt;&gt;"DIV", NOW()-A71 &gt; 365), T71/sum(F71:I71), "")</f>
        <v/>
      </c>
      <c r="T152" s="48">
        <f>IF(AND( C71="Buy", ISBLANK(W71), B71&lt;&gt;"DIV", NOW()-A71 &gt; 365), (1-Index!$F$2*2)*((J71*D71)-(E71*D71)), "")</f>
        <v/>
      </c>
      <c r="U152" s="48">
        <f>IF(AND( C71="Buy", ISBLANK(W71), B71&lt;&gt;"DIV", NOW()-A71 &gt; 365), ((E71*D71)+T71), "")</f>
        <v/>
      </c>
      <c r="V152" s="48">
        <f>IF(AND( C71="Buy", ISBLANK(W71), B71&lt;&gt;"DIV", NOW()-A71 &gt; 365), D71, "")</f>
        <v/>
      </c>
      <c r="W152" s="54" t="n"/>
      <c r="X152" s="54" t="n"/>
      <c r="Y152" s="47">
        <f>IF(AND( C71="Buy", W71&lt;&gt;"", AA71&lt;&gt;"", B71&lt;&gt;"DIV"), Z71/sum(F71:I71), "")</f>
        <v/>
      </c>
      <c r="Z152" s="54" t="n"/>
      <c r="AA152" s="54" t="n"/>
      <c r="AB152" s="55" t="n"/>
      <c r="AC152" s="56">
        <f>if(B71="DIV", F71,"")</f>
        <v/>
      </c>
      <c r="AD152" s="65" t="inlineStr">
        <is>
          <t>SBI Securities</t>
        </is>
      </c>
    </row>
    <row r="153">
      <c r="A153" s="66" t="n">
        <v>45076</v>
      </c>
      <c r="B153" s="67" t="inlineStr">
        <is>
          <t>DIV</t>
        </is>
      </c>
      <c r="C153" s="67" t="inlineStr">
        <is>
          <t>Buy</t>
        </is>
      </c>
      <c r="D153" s="70" t="n">
        <v>10</v>
      </c>
      <c r="E153" s="69" t="n">
        <v>2.5</v>
      </c>
      <c r="F153" s="71" t="n">
        <v>25</v>
      </c>
      <c r="G153" s="70" t="inlineStr">
        <is>
          <t>Annual-Dividend of Rs.2.5000/- per share on Ex-Date: 30-MAY-2023</t>
        </is>
      </c>
      <c r="H153" s="70" t="n">
        <v>0</v>
      </c>
      <c r="I153" s="70" t="n">
        <v>0</v>
      </c>
      <c r="J153" s="71">
        <f>Index!$C$2</f>
        <v/>
      </c>
      <c r="K153" s="44">
        <f>IF(AND( C72="Buy", ISBLANK(W72), B72&lt;&gt;"DIV"), L72/sum(F72:I72), "")</f>
        <v/>
      </c>
      <c r="L153" s="45">
        <f>IF(AND( C72="Buy", ISBLANK(W72), B72&lt;&gt;"DIV"), (1-Index!$F$2*2)*((J72*D72)-(E72*D72)), "")</f>
        <v/>
      </c>
      <c r="M153" s="45">
        <f>IF(AND( C72="Buy", ISBLANK(W72), B72&lt;&gt;"DIV"), ((E72*D72)+L72), "")</f>
        <v/>
      </c>
      <c r="N153" s="46">
        <f>IF(AND( C72="Buy", ISBLANK(W72), B72&lt;&gt;"DIV"), D72, "")</f>
        <v/>
      </c>
      <c r="O153" s="44">
        <f>IF(AND( C72="Buy", ISBLANK(W72), B72&lt;&gt;"DIV", NOW()-A72 &lt; 365), P72/sum(F72:I72), "")</f>
        <v/>
      </c>
      <c r="P153" s="45">
        <f>IF(AND( C72="Buy", ISBLANK(W72), B72&lt;&gt;"DIV", NOW()-A72 &lt; 365), (1-Index!$F$2*2)*((J72*D72)-(E72*D72)), "")</f>
        <v/>
      </c>
      <c r="Q153" s="45">
        <f>IF(AND( C72="Buy", ISBLANK(W72), B72&lt;&gt;"DIV", NOW()-A72 &lt; 365), ((E72*D72)+P72), "")</f>
        <v/>
      </c>
      <c r="R153" s="45">
        <f>IF(AND( C72="Buy", ISBLANK(W72), B72&lt;&gt;"DIV", NOW()-A72 &lt; 365), D72, "")</f>
        <v/>
      </c>
      <c r="S153" s="47">
        <f>IF(AND( C72="Buy", ISBLANK(W72), B72&lt;&gt;"DIV", NOW()-A72 &gt; 365), T72/sum(F72:I72), "")</f>
        <v/>
      </c>
      <c r="T153" s="48">
        <f>IF(AND( C72="Buy", ISBLANK(W72), B72&lt;&gt;"DIV", NOW()-A72 &gt; 365), (1-Index!$F$2*2)*((J72*D72)-(E72*D72)), "")</f>
        <v/>
      </c>
      <c r="U153" s="48">
        <f>IF(AND( C72="Buy", ISBLANK(W72), B72&lt;&gt;"DIV", NOW()-A72 &gt; 365), ((E72*D72)+T72), "")</f>
        <v/>
      </c>
      <c r="V153" s="48">
        <f>IF(AND( C72="Buy", ISBLANK(W72), B72&lt;&gt;"DIV", NOW()-A72 &gt; 365), D72, "")</f>
        <v/>
      </c>
      <c r="W153" s="54" t="n"/>
      <c r="X153" s="54" t="n"/>
      <c r="Y153" s="47">
        <f>IF(AND( C72="Buy", W72&lt;&gt;"", AA72&lt;&gt;"", B72&lt;&gt;"DIV"), Z72/sum(F72:I72), "")</f>
        <v/>
      </c>
      <c r="Z153" s="54" t="n"/>
      <c r="AA153" s="54" t="n"/>
      <c r="AB153" s="55" t="n"/>
      <c r="AC153" s="56">
        <f>if(B72="DIV", F72,"")</f>
        <v/>
      </c>
      <c r="AD153" s="65" t="inlineStr">
        <is>
          <t>SBI Securities</t>
        </is>
      </c>
    </row>
    <row r="154">
      <c r="A154" s="66" t="n">
        <v>45034</v>
      </c>
      <c r="B154" s="67" t="inlineStr">
        <is>
          <t>BSE</t>
        </is>
      </c>
      <c r="C154" s="67" t="inlineStr">
        <is>
          <t>Buy</t>
        </is>
      </c>
      <c r="D154" s="70" t="n">
        <v>2</v>
      </c>
      <c r="E154" s="69" t="n">
        <v>207.26</v>
      </c>
      <c r="F154" s="71" t="n">
        <v>414.53</v>
      </c>
      <c r="G154" s="70" t="inlineStr">
        <is>
          <t>~</t>
        </is>
      </c>
      <c r="H154" s="70" t="n">
        <v>0.41</v>
      </c>
      <c r="I154" s="70" t="n">
        <v>2.52</v>
      </c>
      <c r="J154" s="71">
        <f>Index!$C$2</f>
        <v/>
      </c>
      <c r="K154" s="44">
        <f>IF(AND( C73="Buy", ISBLANK(W73), B73&lt;&gt;"DIV"), L73/sum(F73:I73), "")</f>
        <v/>
      </c>
      <c r="L154" s="45">
        <f>IF(AND( C73="Buy", ISBLANK(W73), B73&lt;&gt;"DIV"), (1-Index!$F$2*2)*((J73*D73)-(E73*D73)), "")</f>
        <v/>
      </c>
      <c r="M154" s="45">
        <f>IF(AND( C73="Buy", ISBLANK(W73), B73&lt;&gt;"DIV"), ((E73*D73)+L73), "")</f>
        <v/>
      </c>
      <c r="N154" s="46">
        <f>IF(AND( C73="Buy", ISBLANK(W73), B73&lt;&gt;"DIV"), D73, "")</f>
        <v/>
      </c>
      <c r="O154" s="44">
        <f>IF(AND( C73="Buy", ISBLANK(W73), B73&lt;&gt;"DIV", NOW()-A73 &lt; 365), P73/sum(F73:I73), "")</f>
        <v/>
      </c>
      <c r="P154" s="45">
        <f>IF(AND( C73="Buy", ISBLANK(W73), B73&lt;&gt;"DIV", NOW()-A73 &lt; 365), (1-Index!$F$2*2)*((J73*D73)-(E73*D73)), "")</f>
        <v/>
      </c>
      <c r="Q154" s="45">
        <f>IF(AND( C73="Buy", ISBLANK(W73), B73&lt;&gt;"DIV", NOW()-A73 &lt; 365), ((E73*D73)+P73), "")</f>
        <v/>
      </c>
      <c r="R154" s="45">
        <f>IF(AND( C73="Buy", ISBLANK(W73), B73&lt;&gt;"DIV", NOW()-A73 &lt; 365), D73, "")</f>
        <v/>
      </c>
      <c r="S154" s="47">
        <f>IF(AND( C73="Buy", ISBLANK(W73), B73&lt;&gt;"DIV", NOW()-A73 &gt; 365), T73/sum(F73:I73), "")</f>
        <v/>
      </c>
      <c r="T154" s="48">
        <f>IF(AND( C73="Buy", ISBLANK(W73), B73&lt;&gt;"DIV", NOW()-A73 &gt; 365), (1-Index!$F$2*2)*((J73*D73)-(E73*D73)), "")</f>
        <v/>
      </c>
      <c r="U154" s="48">
        <f>IF(AND( C73="Buy", ISBLANK(W73), B73&lt;&gt;"DIV", NOW()-A73 &gt; 365), ((E73*D73)+T73), "")</f>
        <v/>
      </c>
      <c r="V154" s="48">
        <f>IF(AND( C73="Buy", ISBLANK(W73), B73&lt;&gt;"DIV", NOW()-A73 &gt; 365), D73, "")</f>
        <v/>
      </c>
      <c r="W154" s="41" t="n">
        <v>312.81</v>
      </c>
      <c r="X154" s="38" t="n">
        <v>45811</v>
      </c>
      <c r="Y154" s="47">
        <f>IF(AND( C73="Buy", W73&lt;&gt;"", AA73&lt;&gt;"", B73&lt;&gt;"DIV"), Z73/sum(F73:I73), "")</f>
        <v/>
      </c>
      <c r="Z154" s="57">
        <f>(1-Index!$F$2*2)*((W73*D73)-(E73*D73))</f>
        <v/>
      </c>
      <c r="AA154" s="57">
        <f>((E73*D73)+Z73)</f>
        <v/>
      </c>
      <c r="AB154" s="58">
        <f>D73</f>
        <v/>
      </c>
      <c r="AC154" s="56">
        <f>if(B73="DIV", F73,"")</f>
        <v/>
      </c>
      <c r="AD154" s="65" t="inlineStr">
        <is>
          <t>SBI Securities</t>
        </is>
      </c>
    </row>
    <row r="155">
      <c r="A155" s="66" t="n">
        <v>45034</v>
      </c>
      <c r="B155" s="67" t="inlineStr">
        <is>
          <t>BSE</t>
        </is>
      </c>
      <c r="C155" s="67" t="inlineStr">
        <is>
          <t>Buy</t>
        </is>
      </c>
      <c r="D155" s="70" t="n">
        <v>8</v>
      </c>
      <c r="E155" s="69" t="n">
        <v>207.31</v>
      </c>
      <c r="F155" s="71" t="n">
        <v>1658.51</v>
      </c>
      <c r="G155" s="70" t="inlineStr">
        <is>
          <t>~</t>
        </is>
      </c>
      <c r="H155" s="70" t="n">
        <v>1.65</v>
      </c>
      <c r="I155" s="70" t="n">
        <v>10.06</v>
      </c>
      <c r="J155" s="71">
        <f>Index!$C$2</f>
        <v/>
      </c>
      <c r="K155" s="44">
        <f>IF(AND( C74="Buy", ISBLANK(W74), B74&lt;&gt;"DIV"), L74/sum(F74:I74), "")</f>
        <v/>
      </c>
      <c r="L155" s="45">
        <f>IF(AND( C74="Buy", ISBLANK(W74), B74&lt;&gt;"DIV"), (1-Index!$F$2*2)*((J74*D74)-(E74*D74)), "")</f>
        <v/>
      </c>
      <c r="M155" s="45">
        <f>IF(AND( C74="Buy", ISBLANK(W74), B74&lt;&gt;"DIV"), ((E74*D74)+L74), "")</f>
        <v/>
      </c>
      <c r="N155" s="46">
        <f>IF(AND( C74="Buy", ISBLANK(W74), B74&lt;&gt;"DIV"), D74, "")</f>
        <v/>
      </c>
      <c r="O155" s="44">
        <f>IF(AND( C74="Buy", ISBLANK(W74), B74&lt;&gt;"DIV", NOW()-A74 &lt; 365), P74/sum(F74:I74), "")</f>
        <v/>
      </c>
      <c r="P155" s="45">
        <f>IF(AND( C74="Buy", ISBLANK(W74), B74&lt;&gt;"DIV", NOW()-A74 &lt; 365), (1-Index!$F$2*2)*((J74*D74)-(E74*D74)), "")</f>
        <v/>
      </c>
      <c r="Q155" s="45">
        <f>IF(AND( C74="Buy", ISBLANK(W74), B74&lt;&gt;"DIV", NOW()-A74 &lt; 365), ((E74*D74)+P74), "")</f>
        <v/>
      </c>
      <c r="R155" s="45">
        <f>IF(AND( C74="Buy", ISBLANK(W74), B74&lt;&gt;"DIV", NOW()-A74 &lt; 365), D74, "")</f>
        <v/>
      </c>
      <c r="S155" s="47">
        <f>IF(AND( C74="Buy", ISBLANK(W74), B74&lt;&gt;"DIV", NOW()-A74 &gt; 365), T74/sum(F74:I74), "")</f>
        <v/>
      </c>
      <c r="T155" s="48">
        <f>IF(AND( C74="Buy", ISBLANK(W74), B74&lt;&gt;"DIV", NOW()-A74 &gt; 365), (1-Index!$F$2*2)*((J74*D74)-(E74*D74)), "")</f>
        <v/>
      </c>
      <c r="U155" s="48">
        <f>IF(AND( C74="Buy", ISBLANK(W74), B74&lt;&gt;"DIV", NOW()-A74 &gt; 365), ((E74*D74)+T74), "")</f>
        <v/>
      </c>
      <c r="V155" s="48">
        <f>IF(AND( C74="Buy", ISBLANK(W74), B74&lt;&gt;"DIV", NOW()-A74 &gt; 365), D74, "")</f>
        <v/>
      </c>
      <c r="W155" s="41" t="n">
        <v>312.81</v>
      </c>
      <c r="X155" s="38" t="n">
        <v>45811</v>
      </c>
      <c r="Y155" s="47">
        <f>IF(AND( C74="Buy", W74&lt;&gt;"", AA74&lt;&gt;"", B74&lt;&gt;"DIV"), Z74/sum(F74:I74), "")</f>
        <v/>
      </c>
      <c r="Z155" s="57">
        <f>(1-Index!$F$2*2)*((W74*D74)-(E74*D74))</f>
        <v/>
      </c>
      <c r="AA155" s="57">
        <f>((E74*D74)+Z74)</f>
        <v/>
      </c>
      <c r="AB155" s="58">
        <f>D74</f>
        <v/>
      </c>
      <c r="AC155" s="56">
        <f>if(B74="DIV", F74,"")</f>
        <v/>
      </c>
      <c r="AD155" s="65" t="inlineStr">
        <is>
          <t>SBI Securities</t>
        </is>
      </c>
    </row>
    <row r="156">
      <c r="A156" s="66" t="n">
        <v>45034</v>
      </c>
      <c r="B156" s="67" t="inlineStr">
        <is>
          <t>NSE</t>
        </is>
      </c>
      <c r="C156" s="67" t="inlineStr">
        <is>
          <t>Buy</t>
        </is>
      </c>
      <c r="D156" s="70" t="n">
        <v>10</v>
      </c>
      <c r="E156" s="69" t="n">
        <v>207.21</v>
      </c>
      <c r="F156" s="71" t="n">
        <v>2072.14</v>
      </c>
      <c r="G156" s="70" t="inlineStr">
        <is>
          <t>~</t>
        </is>
      </c>
      <c r="H156" s="70" t="n">
        <v>2.06</v>
      </c>
      <c r="I156" s="70" t="n">
        <v>12.58</v>
      </c>
      <c r="J156" s="71">
        <f>Index!$C$2</f>
        <v/>
      </c>
      <c r="K156" s="44">
        <f>IF(AND( C75="Buy", ISBLANK(W75), B75&lt;&gt;"DIV"), L75/sum(F75:I75), "")</f>
        <v/>
      </c>
      <c r="L156" s="45">
        <f>IF(AND( C75="Buy", ISBLANK(W75), B75&lt;&gt;"DIV"), (1-Index!$F$2*2)*((J75*D75)-(E75*D75)), "")</f>
        <v/>
      </c>
      <c r="M156" s="45">
        <f>IF(AND( C75="Buy", ISBLANK(W75), B75&lt;&gt;"DIV"), ((E75*D75)+L75), "")</f>
        <v/>
      </c>
      <c r="N156" s="46">
        <f>IF(AND( C75="Buy", ISBLANK(W75), B75&lt;&gt;"DIV"), D75, "")</f>
        <v/>
      </c>
      <c r="O156" s="44">
        <f>IF(AND( C75="Buy", ISBLANK(W75), B75&lt;&gt;"DIV", NOW()-A75 &lt; 365), P75/sum(F75:I75), "")</f>
        <v/>
      </c>
      <c r="P156" s="45">
        <f>IF(AND( C75="Buy", ISBLANK(W75), B75&lt;&gt;"DIV", NOW()-A75 &lt; 365), (1-Index!$F$2*2)*((J75*D75)-(E75*D75)), "")</f>
        <v/>
      </c>
      <c r="Q156" s="45">
        <f>IF(AND( C75="Buy", ISBLANK(W75), B75&lt;&gt;"DIV", NOW()-A75 &lt; 365), ((E75*D75)+P75), "")</f>
        <v/>
      </c>
      <c r="R156" s="45">
        <f>IF(AND( C75="Buy", ISBLANK(W75), B75&lt;&gt;"DIV", NOW()-A75 &lt; 365), D75, "")</f>
        <v/>
      </c>
      <c r="S156" s="47">
        <f>IF(AND( C75="Buy", ISBLANK(W75), B75&lt;&gt;"DIV", NOW()-A75 &gt; 365), T75/sum(F75:I75), "")</f>
        <v/>
      </c>
      <c r="T156" s="48">
        <f>IF(AND( C75="Buy", ISBLANK(W75), B75&lt;&gt;"DIV", NOW()-A75 &gt; 365), (1-Index!$F$2*2)*((J75*D75)-(E75*D75)), "")</f>
        <v/>
      </c>
      <c r="U156" s="48">
        <f>IF(AND( C75="Buy", ISBLANK(W75), B75&lt;&gt;"DIV", NOW()-A75 &gt; 365), ((E75*D75)+T75), "")</f>
        <v/>
      </c>
      <c r="V156" s="48">
        <f>IF(AND( C75="Buy", ISBLANK(W75), B75&lt;&gt;"DIV", NOW()-A75 &gt; 365), D75, "")</f>
        <v/>
      </c>
      <c r="W156" s="41" t="n">
        <v>312.81</v>
      </c>
      <c r="X156" s="38" t="n">
        <v>45811</v>
      </c>
      <c r="Y156" s="47">
        <f>IF(AND( C75="Buy", W75&lt;&gt;"", AA75&lt;&gt;"", B75&lt;&gt;"DIV"), Z75/sum(F75:I75), "")</f>
        <v/>
      </c>
      <c r="Z156" s="57">
        <f>(1-Index!$F$2*2)*((W75*D75)-(E75*D75))</f>
        <v/>
      </c>
      <c r="AA156" s="57">
        <f>((E75*D75)+Z75)</f>
        <v/>
      </c>
      <c r="AB156" s="58">
        <f>D75</f>
        <v/>
      </c>
      <c r="AC156" s="56">
        <f>if(B75="DIV", F75,"")</f>
        <v/>
      </c>
      <c r="AD156" s="65" t="inlineStr">
        <is>
          <t>SBI Securities</t>
        </is>
      </c>
    </row>
    <row r="157">
      <c r="A157" s="66" t="n">
        <v>44953</v>
      </c>
      <c r="B157" s="67" t="inlineStr">
        <is>
          <t>NSE</t>
        </is>
      </c>
      <c r="C157" s="67" t="inlineStr">
        <is>
          <t>Buy</t>
        </is>
      </c>
      <c r="D157" s="70" t="n">
        <v>10</v>
      </c>
      <c r="E157" s="69" t="n">
        <v>209.07</v>
      </c>
      <c r="F157" s="71" t="n">
        <v>2090.75</v>
      </c>
      <c r="G157" s="70" t="inlineStr">
        <is>
          <t>~</t>
        </is>
      </c>
      <c r="H157" s="70" t="n">
        <v>2.05</v>
      </c>
      <c r="I157" s="70" t="n">
        <v>12.7</v>
      </c>
      <c r="J157" s="71">
        <f>Index!$C$2</f>
        <v/>
      </c>
      <c r="K157" s="44">
        <f>IF(AND( C76="Buy", ISBLANK(W76), B76&lt;&gt;"DIV"), L76/sum(F76:I76), "")</f>
        <v/>
      </c>
      <c r="L157" s="45">
        <f>IF(AND( C76="Buy", ISBLANK(W76), B76&lt;&gt;"DIV"), (1-Index!$F$2*2)*((J76*D76)-(E76*D76)), "")</f>
        <v/>
      </c>
      <c r="M157" s="45">
        <f>IF(AND( C76="Buy", ISBLANK(W76), B76&lt;&gt;"DIV"), ((E76*D76)+L76), "")</f>
        <v/>
      </c>
      <c r="N157" s="46">
        <f>IF(AND( C76="Buy", ISBLANK(W76), B76&lt;&gt;"DIV"), D76, "")</f>
        <v/>
      </c>
      <c r="O157" s="44">
        <f>IF(AND( C76="Buy", ISBLANK(W76), B76&lt;&gt;"DIV", NOW()-A76 &lt; 365), P76/sum(F76:I76), "")</f>
        <v/>
      </c>
      <c r="P157" s="45">
        <f>IF(AND( C76="Buy", ISBLANK(W76), B76&lt;&gt;"DIV", NOW()-A76 &lt; 365), (1-Index!$F$2*2)*((J76*D76)-(E76*D76)), "")</f>
        <v/>
      </c>
      <c r="Q157" s="45">
        <f>IF(AND( C76="Buy", ISBLANK(W76), B76&lt;&gt;"DIV", NOW()-A76 &lt; 365), ((E76*D76)+P76), "")</f>
        <v/>
      </c>
      <c r="R157" s="45">
        <f>IF(AND( C76="Buy", ISBLANK(W76), B76&lt;&gt;"DIV", NOW()-A76 &lt; 365), D76, "")</f>
        <v/>
      </c>
      <c r="S157" s="47">
        <f>IF(AND( C76="Buy", ISBLANK(W76), B76&lt;&gt;"DIV", NOW()-A76 &gt; 365), T76/sum(F76:I76), "")</f>
        <v/>
      </c>
      <c r="T157" s="48">
        <f>IF(AND( C76="Buy", ISBLANK(W76), B76&lt;&gt;"DIV", NOW()-A76 &gt; 365), (1-Index!$F$2*2)*((J76*D76)-(E76*D76)), "")</f>
        <v/>
      </c>
      <c r="U157" s="48">
        <f>IF(AND( C76="Buy", ISBLANK(W76), B76&lt;&gt;"DIV", NOW()-A76 &gt; 365), ((E76*D76)+T76), "")</f>
        <v/>
      </c>
      <c r="V157" s="48">
        <f>IF(AND( C76="Buy", ISBLANK(W76), B76&lt;&gt;"DIV", NOW()-A76 &gt; 365), D76, "")</f>
        <v/>
      </c>
      <c r="W157" s="41" t="n">
        <v>312.81</v>
      </c>
      <c r="X157" s="38" t="n">
        <v>45811</v>
      </c>
      <c r="Y157" s="47">
        <f>IF(AND( C76="Buy", W76&lt;&gt;"", AA76&lt;&gt;"", B76&lt;&gt;"DIV"), Z76/sum(F76:I76), "")</f>
        <v/>
      </c>
      <c r="Z157" s="57">
        <f>(1-Index!$F$2*2)*((W76*D76)-(E76*D76))</f>
        <v/>
      </c>
      <c r="AA157" s="57">
        <f>((E76*D76)+Z76)</f>
        <v/>
      </c>
      <c r="AB157" s="58">
        <f>D76</f>
        <v/>
      </c>
      <c r="AC157" s="56">
        <f>if(B76="DIV", F76,"")</f>
        <v/>
      </c>
      <c r="AD157" s="65" t="inlineStr">
        <is>
          <t>SBI Securities</t>
        </is>
      </c>
    </row>
    <row r="158">
      <c r="A158" s="66" t="n">
        <v>44950</v>
      </c>
      <c r="B158" s="67" t="inlineStr">
        <is>
          <t>NSE</t>
        </is>
      </c>
      <c r="C158" s="67" t="inlineStr">
        <is>
          <t>Buy</t>
        </is>
      </c>
      <c r="D158" s="70" t="n">
        <v>10</v>
      </c>
      <c r="E158" s="69" t="n">
        <v>222.82</v>
      </c>
      <c r="F158" s="71" t="n">
        <v>2228.2</v>
      </c>
      <c r="G158" s="70" t="inlineStr">
        <is>
          <t>~</t>
        </is>
      </c>
      <c r="H158" s="70" t="n">
        <v>2.2</v>
      </c>
      <c r="I158" s="70" t="n">
        <v>13.5</v>
      </c>
      <c r="J158" s="71">
        <f>Index!$C$2</f>
        <v/>
      </c>
      <c r="K158" s="44">
        <f>IF(AND( C77="Buy", ISBLANK(W77), B77&lt;&gt;"DIV"), L77/sum(F77:I77), "")</f>
        <v/>
      </c>
      <c r="L158" s="45">
        <f>IF(AND( C77="Buy", ISBLANK(W77), B77&lt;&gt;"DIV"), (1-Index!$F$2*2)*((J77*D77)-(E77*D77)), "")</f>
        <v/>
      </c>
      <c r="M158" s="45">
        <f>IF(AND( C77="Buy", ISBLANK(W77), B77&lt;&gt;"DIV"), ((E77*D77)+L77), "")</f>
        <v/>
      </c>
      <c r="N158" s="46">
        <f>IF(AND( C77="Buy", ISBLANK(W77), B77&lt;&gt;"DIV"), D77, "")</f>
        <v/>
      </c>
      <c r="O158" s="44">
        <f>IF(AND( C77="Buy", ISBLANK(W77), B77&lt;&gt;"DIV", NOW()-A77 &lt; 365), P77/sum(F77:I77), "")</f>
        <v/>
      </c>
      <c r="P158" s="45">
        <f>IF(AND( C77="Buy", ISBLANK(W77), B77&lt;&gt;"DIV", NOW()-A77 &lt; 365), (1-Index!$F$2*2)*((J77*D77)-(E77*D77)), "")</f>
        <v/>
      </c>
      <c r="Q158" s="45">
        <f>IF(AND( C77="Buy", ISBLANK(W77), B77&lt;&gt;"DIV", NOW()-A77 &lt; 365), ((E77*D77)+P77), "")</f>
        <v/>
      </c>
      <c r="R158" s="45">
        <f>IF(AND( C77="Buy", ISBLANK(W77), B77&lt;&gt;"DIV", NOW()-A77 &lt; 365), D77, "")</f>
        <v/>
      </c>
      <c r="S158" s="47">
        <f>IF(AND( C77="Buy", ISBLANK(W77), B77&lt;&gt;"DIV", NOW()-A77 &gt; 365), T77/sum(F77:I77), "")</f>
        <v/>
      </c>
      <c r="T158" s="48">
        <f>IF(AND( C77="Buy", ISBLANK(W77), B77&lt;&gt;"DIV", NOW()-A77 &gt; 365), (1-Index!$F$2*2)*((J77*D77)-(E77*D77)), "")</f>
        <v/>
      </c>
      <c r="U158" s="48">
        <f>IF(AND( C77="Buy", ISBLANK(W77), B77&lt;&gt;"DIV", NOW()-A77 &gt; 365), ((E77*D77)+T77), "")</f>
        <v/>
      </c>
      <c r="V158" s="48">
        <f>IF(AND( C77="Buy", ISBLANK(W77), B77&lt;&gt;"DIV", NOW()-A77 &gt; 365), D77, "")</f>
        <v/>
      </c>
      <c r="W158" s="41" t="n">
        <v>312.81</v>
      </c>
      <c r="X158" s="38" t="n">
        <v>45811</v>
      </c>
      <c r="Y158" s="47">
        <f>IF(AND( C77="Buy", W77&lt;&gt;"", AA77&lt;&gt;"", B77&lt;&gt;"DIV"), Z77/sum(F77:I77), "")</f>
        <v/>
      </c>
      <c r="Z158" s="57">
        <f>(1-Index!$F$2*2)*((W77*D77)-(E77*D77))</f>
        <v/>
      </c>
      <c r="AA158" s="57">
        <f>((E77*D77)+Z77)</f>
        <v/>
      </c>
      <c r="AB158" s="58">
        <f>D77</f>
        <v/>
      </c>
      <c r="AC158" s="56">
        <f>if(B77="DIV", F77,"")</f>
        <v/>
      </c>
      <c r="AD158" s="65" t="inlineStr">
        <is>
          <t>SBI Securities</t>
        </is>
      </c>
    </row>
    <row r="159">
      <c r="A159" s="66" t="n">
        <v>44911</v>
      </c>
      <c r="B159" s="67" t="inlineStr">
        <is>
          <t>NSE</t>
        </is>
      </c>
      <c r="C159" s="67" t="inlineStr">
        <is>
          <t>Buy</t>
        </is>
      </c>
      <c r="D159" s="70" t="n">
        <v>1</v>
      </c>
      <c r="E159" s="69" t="n">
        <v>256.83</v>
      </c>
      <c r="F159" s="71" t="n">
        <v>256.83</v>
      </c>
      <c r="G159" s="70" t="inlineStr">
        <is>
          <t>~</t>
        </is>
      </c>
      <c r="H159" s="70" t="n">
        <v>0.26</v>
      </c>
      <c r="I159" s="70" t="n">
        <v>1.57</v>
      </c>
      <c r="J159" s="71">
        <f>Index!$C$2</f>
        <v/>
      </c>
      <c r="K159" s="44">
        <f>IF(AND( C78="Buy", ISBLANK(W78), B78&lt;&gt;"DIV"), L78/sum(F78:I78), "")</f>
        <v/>
      </c>
      <c r="L159" s="45">
        <f>IF(AND( C78="Buy", ISBLANK(W78), B78&lt;&gt;"DIV"), (1-Index!$F$2*2)*((J78*D78)-(E78*D78)), "")</f>
        <v/>
      </c>
      <c r="M159" s="45">
        <f>IF(AND( C78="Buy", ISBLANK(W78), B78&lt;&gt;"DIV"), ((E78*D78)+L78), "")</f>
        <v/>
      </c>
      <c r="N159" s="46">
        <f>IF(AND( C78="Buy", ISBLANK(W78), B78&lt;&gt;"DIV"), D78, "")</f>
        <v/>
      </c>
      <c r="O159" s="44">
        <f>IF(AND( C78="Buy", ISBLANK(W78), B78&lt;&gt;"DIV", NOW()-A78 &lt; 365), P78/sum(F78:I78), "")</f>
        <v/>
      </c>
      <c r="P159" s="45">
        <f>IF(AND( C78="Buy", ISBLANK(W78), B78&lt;&gt;"DIV", NOW()-A78 &lt; 365), (1-Index!$F$2*2)*((J78*D78)-(E78*D78)), "")</f>
        <v/>
      </c>
      <c r="Q159" s="45">
        <f>IF(AND( C78="Buy", ISBLANK(W78), B78&lt;&gt;"DIV", NOW()-A78 &lt; 365), ((E78*D78)+P78), "")</f>
        <v/>
      </c>
      <c r="R159" s="45">
        <f>IF(AND( C78="Buy", ISBLANK(W78), B78&lt;&gt;"DIV", NOW()-A78 &lt; 365), D78, "")</f>
        <v/>
      </c>
      <c r="S159" s="47">
        <f>IF(AND( C78="Buy", ISBLANK(W78), B78&lt;&gt;"DIV", NOW()-A78 &gt; 365), T78/sum(F78:I78), "")</f>
        <v/>
      </c>
      <c r="T159" s="48">
        <f>IF(AND( C78="Buy", ISBLANK(W78), B78&lt;&gt;"DIV", NOW()-A78 &gt; 365), (1-Index!$F$2*2)*((J78*D78)-(E78*D78)), "")</f>
        <v/>
      </c>
      <c r="U159" s="48">
        <f>IF(AND( C78="Buy", ISBLANK(W78), B78&lt;&gt;"DIV", NOW()-A78 &gt; 365), ((E78*D78)+T78), "")</f>
        <v/>
      </c>
      <c r="V159" s="48">
        <f>IF(AND( C78="Buy", ISBLANK(W78), B78&lt;&gt;"DIV", NOW()-A78 &gt; 365), D78, "")</f>
        <v/>
      </c>
      <c r="W159" s="41" t="n">
        <v>312.81</v>
      </c>
      <c r="X159" s="38" t="n">
        <v>45811</v>
      </c>
      <c r="Y159" s="47">
        <f>IF(AND( C78="Buy", W78&lt;&gt;"", AA78&lt;&gt;"", B78&lt;&gt;"DIV"), Z78/sum(F78:I78), "")</f>
        <v/>
      </c>
      <c r="Z159" s="57">
        <f>(1-Index!$F$2*2)*((W78*D78)-(E78*D78))</f>
        <v/>
      </c>
      <c r="AA159" s="57">
        <f>((E78*D78)+Z78)</f>
        <v/>
      </c>
      <c r="AB159" s="58">
        <f>D78</f>
        <v/>
      </c>
      <c r="AC159" s="56">
        <f>if(B78="DIV", F78,"")</f>
        <v/>
      </c>
      <c r="AD159" s="65" t="inlineStr">
        <is>
          <t>SBI Securities</t>
        </is>
      </c>
    </row>
    <row r="160">
      <c r="A160" s="66" t="n">
        <v>44911</v>
      </c>
      <c r="B160" s="67" t="inlineStr">
        <is>
          <t>NSE</t>
        </is>
      </c>
      <c r="C160" s="67" t="inlineStr">
        <is>
          <t>Buy</t>
        </is>
      </c>
      <c r="D160" s="70" t="n">
        <v>9</v>
      </c>
      <c r="E160" s="69" t="n">
        <v>256.81</v>
      </c>
      <c r="F160" s="71" t="n">
        <v>2311.29</v>
      </c>
      <c r="G160" s="70" t="inlineStr">
        <is>
          <t>~</t>
        </is>
      </c>
      <c r="H160" s="70" t="n">
        <v>2.27</v>
      </c>
      <c r="I160" s="70" t="n">
        <v>14.02</v>
      </c>
      <c r="J160" s="71">
        <f>Index!$C$2</f>
        <v/>
      </c>
      <c r="K160" s="44">
        <f>IF(AND( C79="Buy", ISBLANK(W79), B79&lt;&gt;"DIV"), L79/sum(F79:I79), "")</f>
        <v/>
      </c>
      <c r="L160" s="45">
        <f>IF(AND( C79="Buy", ISBLANK(W79), B79&lt;&gt;"DIV"), (1-Index!$F$2*2)*((J79*D79)-(E79*D79)), "")</f>
        <v/>
      </c>
      <c r="M160" s="45">
        <f>IF(AND( C79="Buy", ISBLANK(W79), B79&lt;&gt;"DIV"), ((E79*D79)+L79), "")</f>
        <v/>
      </c>
      <c r="N160" s="46">
        <f>IF(AND( C79="Buy", ISBLANK(W79), B79&lt;&gt;"DIV"), D79, "")</f>
        <v/>
      </c>
      <c r="O160" s="44">
        <f>IF(AND( C79="Buy", ISBLANK(W79), B79&lt;&gt;"DIV", NOW()-A79 &lt; 365), P79/sum(F79:I79), "")</f>
        <v/>
      </c>
      <c r="P160" s="45">
        <f>IF(AND( C79="Buy", ISBLANK(W79), B79&lt;&gt;"DIV", NOW()-A79 &lt; 365), (1-Index!$F$2*2)*((J79*D79)-(E79*D79)), "")</f>
        <v/>
      </c>
      <c r="Q160" s="45">
        <f>IF(AND( C79="Buy", ISBLANK(W79), B79&lt;&gt;"DIV", NOW()-A79 &lt; 365), ((E79*D79)+P79), "")</f>
        <v/>
      </c>
      <c r="R160" s="45">
        <f>IF(AND( C79="Buy", ISBLANK(W79), B79&lt;&gt;"DIV", NOW()-A79 &lt; 365), D79, "")</f>
        <v/>
      </c>
      <c r="S160" s="47">
        <f>IF(AND( C79="Buy", ISBLANK(W79), B79&lt;&gt;"DIV", NOW()-A79 &gt; 365), T79/sum(F79:I79), "")</f>
        <v/>
      </c>
      <c r="T160" s="48">
        <f>IF(AND( C79="Buy", ISBLANK(W79), B79&lt;&gt;"DIV", NOW()-A79 &gt; 365), (1-Index!$F$2*2)*((J79*D79)-(E79*D79)), "")</f>
        <v/>
      </c>
      <c r="U160" s="48">
        <f>IF(AND( C79="Buy", ISBLANK(W79), B79&lt;&gt;"DIV", NOW()-A79 &gt; 365), ((E79*D79)+T79), "")</f>
        <v/>
      </c>
      <c r="V160" s="48">
        <f>IF(AND( C79="Buy", ISBLANK(W79), B79&lt;&gt;"DIV", NOW()-A79 &gt; 365), D79, "")</f>
        <v/>
      </c>
      <c r="W160" s="41" t="n">
        <v>312.81</v>
      </c>
      <c r="X160" s="38" t="n">
        <v>45811</v>
      </c>
      <c r="Y160" s="47">
        <f>IF(AND( C79="Buy", W79&lt;&gt;"", AA79&lt;&gt;"", B79&lt;&gt;"DIV"), Z79/sum(F79:I79), "")</f>
        <v/>
      </c>
      <c r="Z160" s="57">
        <f>(1-Index!$F$2*2)*((W79*D79)-(E79*D79))</f>
        <v/>
      </c>
      <c r="AA160" s="57">
        <f>((E79*D79)+Z79)</f>
        <v/>
      </c>
      <c r="AB160" s="58">
        <f>D79</f>
        <v/>
      </c>
      <c r="AC160" s="56">
        <f>if(B79="DIV", F79,"")</f>
        <v/>
      </c>
      <c r="AD160" s="65" t="inlineStr">
        <is>
          <t>SBI Securities</t>
        </is>
      </c>
    </row>
    <row r="161">
      <c r="A161" s="66" t="n">
        <v>44890</v>
      </c>
      <c r="B161" s="67" t="inlineStr">
        <is>
          <t>NSE</t>
        </is>
      </c>
      <c r="C161" s="67" t="inlineStr">
        <is>
          <t>Buy</t>
        </is>
      </c>
      <c r="D161" s="70" t="n">
        <v>2</v>
      </c>
      <c r="E161" s="69" t="n">
        <v>241.7</v>
      </c>
      <c r="F161" s="71" t="n">
        <v>483.4</v>
      </c>
      <c r="G161" s="70" t="inlineStr">
        <is>
          <t>~</t>
        </is>
      </c>
      <c r="H161" s="70" t="n">
        <v>0.48</v>
      </c>
      <c r="I161" s="70" t="n">
        <v>2.92</v>
      </c>
      <c r="J161" s="71">
        <f>Index!$C$2</f>
        <v/>
      </c>
      <c r="K161" s="44">
        <f>IF(AND( C80="Buy", ISBLANK(W80), B80&lt;&gt;"DIV"), L80/sum(F80:I80), "")</f>
        <v/>
      </c>
      <c r="L161" s="45">
        <f>IF(AND( C80="Buy", ISBLANK(W80), B80&lt;&gt;"DIV"), (1-Index!$F$2*2)*((J80*D80)-(E80*D80)), "")</f>
        <v/>
      </c>
      <c r="M161" s="45">
        <f>IF(AND( C80="Buy", ISBLANK(W80), B80&lt;&gt;"DIV"), ((E80*D80)+L80), "")</f>
        <v/>
      </c>
      <c r="N161" s="46">
        <f>IF(AND( C80="Buy", ISBLANK(W80), B80&lt;&gt;"DIV"), D80, "")</f>
        <v/>
      </c>
      <c r="O161" s="44">
        <f>IF(AND( C80="Buy", ISBLANK(W80), B80&lt;&gt;"DIV", NOW()-A80 &lt; 365), P80/sum(F80:I80), "")</f>
        <v/>
      </c>
      <c r="P161" s="45">
        <f>IF(AND( C80="Buy", ISBLANK(W80), B80&lt;&gt;"DIV", NOW()-A80 &lt; 365), (1-Index!$F$2*2)*((J80*D80)-(E80*D80)), "")</f>
        <v/>
      </c>
      <c r="Q161" s="45">
        <f>IF(AND( C80="Buy", ISBLANK(W80), B80&lt;&gt;"DIV", NOW()-A80 &lt; 365), ((E80*D80)+P80), "")</f>
        <v/>
      </c>
      <c r="R161" s="45">
        <f>IF(AND( C80="Buy", ISBLANK(W80), B80&lt;&gt;"DIV", NOW()-A80 &lt; 365), D80, "")</f>
        <v/>
      </c>
      <c r="S161" s="47">
        <f>IF(AND( C80="Buy", ISBLANK(W80), B80&lt;&gt;"DIV", NOW()-A80 &gt; 365), T80/sum(F80:I80), "")</f>
        <v/>
      </c>
      <c r="T161" s="48">
        <f>IF(AND( C80="Buy", ISBLANK(W80), B80&lt;&gt;"DIV", NOW()-A80 &gt; 365), (1-Index!$F$2*2)*((J80*D80)-(E80*D80)), "")</f>
        <v/>
      </c>
      <c r="U161" s="48">
        <f>IF(AND( C80="Buy", ISBLANK(W80), B80&lt;&gt;"DIV", NOW()-A80 &gt; 365), ((E80*D80)+T80), "")</f>
        <v/>
      </c>
      <c r="V161" s="48">
        <f>IF(AND( C80="Buy", ISBLANK(W80), B80&lt;&gt;"DIV", NOW()-A80 &gt; 365), D80, "")</f>
        <v/>
      </c>
      <c r="W161" s="41" t="n">
        <v>312.81</v>
      </c>
      <c r="X161" s="38" t="n">
        <v>45811</v>
      </c>
      <c r="Y161" s="47">
        <f>IF(AND( C80="Buy", W80&lt;&gt;"", AA80&lt;&gt;"", B80&lt;&gt;"DIV"), Z80/sum(F80:I80), "")</f>
        <v/>
      </c>
      <c r="Z161" s="57">
        <f>(1-Index!$F$2*2)*((W80*D80)-(E80*D80))</f>
        <v/>
      </c>
      <c r="AA161" s="57">
        <f>((E80*D80)+Z80)</f>
        <v/>
      </c>
      <c r="AB161" s="58">
        <f>D80</f>
        <v/>
      </c>
      <c r="AC161" s="56">
        <f>if(B80="DIV", F80,"")</f>
        <v/>
      </c>
      <c r="AD161" s="65" t="inlineStr">
        <is>
          <t>SBI Securities</t>
        </is>
      </c>
    </row>
    <row r="162">
      <c r="A162" s="66" t="n">
        <v>44890</v>
      </c>
      <c r="B162" s="67" t="inlineStr">
        <is>
          <t>NSE</t>
        </is>
      </c>
      <c r="C162" s="67" t="inlineStr">
        <is>
          <t>Buy</t>
        </is>
      </c>
      <c r="D162" s="70" t="n">
        <v>2</v>
      </c>
      <c r="E162" s="69" t="n">
        <v>241.65</v>
      </c>
      <c r="F162" s="71" t="n">
        <v>483.3</v>
      </c>
      <c r="G162" s="70" t="inlineStr">
        <is>
          <t>~</t>
        </is>
      </c>
      <c r="H162" s="70" t="n">
        <v>0.48</v>
      </c>
      <c r="I162" s="70" t="n">
        <v>2.92</v>
      </c>
      <c r="J162" s="71">
        <f>Index!$C$2</f>
        <v/>
      </c>
      <c r="K162" s="44">
        <f>IF(AND( C81="Buy", ISBLANK(W81), B81&lt;&gt;"DIV"), L81/sum(F81:I81), "")</f>
        <v/>
      </c>
      <c r="L162" s="45">
        <f>IF(AND( C81="Buy", ISBLANK(W81), B81&lt;&gt;"DIV"), (1-Index!$F$2*2)*((J81*D81)-(E81*D81)), "")</f>
        <v/>
      </c>
      <c r="M162" s="45">
        <f>IF(AND( C81="Buy", ISBLANK(W81), B81&lt;&gt;"DIV"), ((E81*D81)+L81), "")</f>
        <v/>
      </c>
      <c r="N162" s="46">
        <f>IF(AND( C81="Buy", ISBLANK(W81), B81&lt;&gt;"DIV"), D81, "")</f>
        <v/>
      </c>
      <c r="O162" s="44">
        <f>IF(AND( C81="Buy", ISBLANK(W81), B81&lt;&gt;"DIV", NOW()-A81 &lt; 365), P81/sum(F81:I81), "")</f>
        <v/>
      </c>
      <c r="P162" s="45">
        <f>IF(AND( C81="Buy", ISBLANK(W81), B81&lt;&gt;"DIV", NOW()-A81 &lt; 365), (1-Index!$F$2*2)*((J81*D81)-(E81*D81)), "")</f>
        <v/>
      </c>
      <c r="Q162" s="45">
        <f>IF(AND( C81="Buy", ISBLANK(W81), B81&lt;&gt;"DIV", NOW()-A81 &lt; 365), ((E81*D81)+P81), "")</f>
        <v/>
      </c>
      <c r="R162" s="45">
        <f>IF(AND( C81="Buy", ISBLANK(W81), B81&lt;&gt;"DIV", NOW()-A81 &lt; 365), D81, "")</f>
        <v/>
      </c>
      <c r="S162" s="47">
        <f>IF(AND( C81="Buy", ISBLANK(W81), B81&lt;&gt;"DIV", NOW()-A81 &gt; 365), T81/sum(F81:I81), "")</f>
        <v/>
      </c>
      <c r="T162" s="48">
        <f>IF(AND( C81="Buy", ISBLANK(W81), B81&lt;&gt;"DIV", NOW()-A81 &gt; 365), (1-Index!$F$2*2)*((J81*D81)-(E81*D81)), "")</f>
        <v/>
      </c>
      <c r="U162" s="48">
        <f>IF(AND( C81="Buy", ISBLANK(W81), B81&lt;&gt;"DIV", NOW()-A81 &gt; 365), ((E81*D81)+T81), "")</f>
        <v/>
      </c>
      <c r="V162" s="48">
        <f>IF(AND( C81="Buy", ISBLANK(W81), B81&lt;&gt;"DIV", NOW()-A81 &gt; 365), D81, "")</f>
        <v/>
      </c>
      <c r="W162" s="41" t="n">
        <v>312.81</v>
      </c>
      <c r="X162" s="38" t="n">
        <v>45811</v>
      </c>
      <c r="Y162" s="47">
        <f>IF(AND( C81="Buy", W81&lt;&gt;"", AA81&lt;&gt;"", B81&lt;&gt;"DIV"), Z81/sum(F81:I81), "")</f>
        <v/>
      </c>
      <c r="Z162" s="57">
        <f>(1-Index!$F$2*2)*((W81*D81)-(E81*D81))</f>
        <v/>
      </c>
      <c r="AA162" s="57">
        <f>((E81*D81)+Z81)</f>
        <v/>
      </c>
      <c r="AB162" s="58">
        <f>D81</f>
        <v/>
      </c>
      <c r="AC162" s="56">
        <f>if(B81="DIV", F81,"")</f>
        <v/>
      </c>
      <c r="AD162" s="65" t="inlineStr">
        <is>
          <t>SBI Securities</t>
        </is>
      </c>
    </row>
    <row r="163">
      <c r="A163" s="66" t="n">
        <v>44890</v>
      </c>
      <c r="B163" s="67" t="inlineStr">
        <is>
          <t>NSE</t>
        </is>
      </c>
      <c r="C163" s="67" t="inlineStr">
        <is>
          <t>Buy</t>
        </is>
      </c>
      <c r="D163" s="70" t="n">
        <v>11</v>
      </c>
      <c r="E163" s="69" t="n">
        <v>241.75</v>
      </c>
      <c r="F163" s="71" t="n">
        <v>2659.26</v>
      </c>
      <c r="G163" s="70" t="inlineStr">
        <is>
          <t>~</t>
        </is>
      </c>
      <c r="H163" s="70" t="n">
        <v>2.65</v>
      </c>
      <c r="I163" s="70" t="n">
        <v>16.06</v>
      </c>
      <c r="J163" s="71">
        <f>Index!$C$2</f>
        <v/>
      </c>
      <c r="K163" s="44">
        <f>IF(AND( C82="Buy", ISBLANK(W82), B82&lt;&gt;"DIV"), L82/sum(F82:I82), "")</f>
        <v/>
      </c>
      <c r="L163" s="45">
        <f>IF(AND( C82="Buy", ISBLANK(W82), B82&lt;&gt;"DIV"), (1-Index!$F$2*2)*((J82*D82)-(E82*D82)), "")</f>
        <v/>
      </c>
      <c r="M163" s="45">
        <f>IF(AND( C82="Buy", ISBLANK(W82), B82&lt;&gt;"DIV"), ((E82*D82)+L82), "")</f>
        <v/>
      </c>
      <c r="N163" s="46">
        <f>IF(AND( C82="Buy", ISBLANK(W82), B82&lt;&gt;"DIV"), D82, "")</f>
        <v/>
      </c>
      <c r="O163" s="44">
        <f>IF(AND( C82="Buy", ISBLANK(W82), B82&lt;&gt;"DIV", NOW()-A82 &lt; 365), P82/sum(F82:I82), "")</f>
        <v/>
      </c>
      <c r="P163" s="45">
        <f>IF(AND( C82="Buy", ISBLANK(W82), B82&lt;&gt;"DIV", NOW()-A82 &lt; 365), (1-Index!$F$2*2)*((J82*D82)-(E82*D82)), "")</f>
        <v/>
      </c>
      <c r="Q163" s="45">
        <f>IF(AND( C82="Buy", ISBLANK(W82), B82&lt;&gt;"DIV", NOW()-A82 &lt; 365), ((E82*D82)+P82), "")</f>
        <v/>
      </c>
      <c r="R163" s="45">
        <f>IF(AND( C82="Buy", ISBLANK(W82), B82&lt;&gt;"DIV", NOW()-A82 &lt; 365), D82, "")</f>
        <v/>
      </c>
      <c r="S163" s="47">
        <f>IF(AND( C82="Buy", ISBLANK(W82), B82&lt;&gt;"DIV", NOW()-A82 &gt; 365), T82/sum(F82:I82), "")</f>
        <v/>
      </c>
      <c r="T163" s="48">
        <f>IF(AND( C82="Buy", ISBLANK(W82), B82&lt;&gt;"DIV", NOW()-A82 &gt; 365), (1-Index!$F$2*2)*((J82*D82)-(E82*D82)), "")</f>
        <v/>
      </c>
      <c r="U163" s="48">
        <f>IF(AND( C82="Buy", ISBLANK(W82), B82&lt;&gt;"DIV", NOW()-A82 &gt; 365), ((E82*D82)+T82), "")</f>
        <v/>
      </c>
      <c r="V163" s="48">
        <f>IF(AND( C82="Buy", ISBLANK(W82), B82&lt;&gt;"DIV", NOW()-A82 &gt; 365), D82, "")</f>
        <v/>
      </c>
      <c r="W163" s="41" t="n">
        <v>312.81</v>
      </c>
      <c r="X163" s="38" t="n">
        <v>45811</v>
      </c>
      <c r="Y163" s="47">
        <f>IF(AND( C82="Buy", W82&lt;&gt;"", AA82&lt;&gt;"", B82&lt;&gt;"DIV"), Z82/sum(F82:I82), "")</f>
        <v/>
      </c>
      <c r="Z163" s="57">
        <f>(1-Index!$F$2*2)*((W82*D82)-(E82*D82))</f>
        <v/>
      </c>
      <c r="AA163" s="57">
        <f>((E82*D82)+Z82)</f>
        <v/>
      </c>
      <c r="AB163" s="58">
        <f>D82</f>
        <v/>
      </c>
      <c r="AC163" s="56">
        <f>if(B82="DIV", F82,"")</f>
        <v/>
      </c>
      <c r="AD163" s="65" t="inlineStr">
        <is>
          <t>SBI Securities</t>
        </is>
      </c>
    </row>
    <row r="164">
      <c r="A164" s="66" t="n">
        <v>44853</v>
      </c>
      <c r="B164" s="67" t="inlineStr">
        <is>
          <t>NSE</t>
        </is>
      </c>
      <c r="C164" s="67" t="inlineStr">
        <is>
          <t>Buy</t>
        </is>
      </c>
      <c r="D164" s="70" t="n">
        <v>20</v>
      </c>
      <c r="E164" s="69" t="n">
        <v>222.77</v>
      </c>
      <c r="F164" s="71" t="n">
        <v>4455.35</v>
      </c>
      <c r="G164" s="70" t="inlineStr">
        <is>
          <t>~</t>
        </is>
      </c>
      <c r="H164" s="70" t="n">
        <v>4.36</v>
      </c>
      <c r="I164" s="70" t="n">
        <v>26.99</v>
      </c>
      <c r="J164" s="71">
        <f>Index!$C$2</f>
        <v/>
      </c>
      <c r="K164" s="44">
        <f>IF(AND( C83="Buy", ISBLANK(W83), B83&lt;&gt;"DIV"), L83/sum(F83:I83), "")</f>
        <v/>
      </c>
      <c r="L164" s="45">
        <f>IF(AND( C83="Buy", ISBLANK(W83), B83&lt;&gt;"DIV"), (1-Index!$F$2*2)*((J83*D83)-(E83*D83)), "")</f>
        <v/>
      </c>
      <c r="M164" s="45">
        <f>IF(AND( C83="Buy", ISBLANK(W83), B83&lt;&gt;"DIV"), ((E83*D83)+L83), "")</f>
        <v/>
      </c>
      <c r="N164" s="46">
        <f>IF(AND( C83="Buy", ISBLANK(W83), B83&lt;&gt;"DIV"), D83, "")</f>
        <v/>
      </c>
      <c r="O164" s="44">
        <f>IF(AND( C83="Buy", ISBLANK(W83), B83&lt;&gt;"DIV", NOW()-A83 &lt; 365), P83/sum(F83:I83), "")</f>
        <v/>
      </c>
      <c r="P164" s="45">
        <f>IF(AND( C83="Buy", ISBLANK(W83), B83&lt;&gt;"DIV", NOW()-A83 &lt; 365), (1-Index!$F$2*2)*((J83*D83)-(E83*D83)), "")</f>
        <v/>
      </c>
      <c r="Q164" s="45">
        <f>IF(AND( C83="Buy", ISBLANK(W83), B83&lt;&gt;"DIV", NOW()-A83 &lt; 365), ((E83*D83)+P83), "")</f>
        <v/>
      </c>
      <c r="R164" s="45">
        <f>IF(AND( C83="Buy", ISBLANK(W83), B83&lt;&gt;"DIV", NOW()-A83 &lt; 365), D83, "")</f>
        <v/>
      </c>
      <c r="S164" s="47">
        <f>IF(AND( C83="Buy", ISBLANK(W83), B83&lt;&gt;"DIV", NOW()-A83 &gt; 365), T83/sum(F83:I83), "")</f>
        <v/>
      </c>
      <c r="T164" s="48">
        <f>IF(AND( C83="Buy", ISBLANK(W83), B83&lt;&gt;"DIV", NOW()-A83 &gt; 365), (1-Index!$F$2*2)*((J83*D83)-(E83*D83)), "")</f>
        <v/>
      </c>
      <c r="U164" s="48">
        <f>IF(AND( C83="Buy", ISBLANK(W83), B83&lt;&gt;"DIV", NOW()-A83 &gt; 365), ((E83*D83)+T83), "")</f>
        <v/>
      </c>
      <c r="V164" s="48">
        <f>IF(AND( C83="Buy", ISBLANK(W83), B83&lt;&gt;"DIV", NOW()-A83 &gt; 365), D83, "")</f>
        <v/>
      </c>
      <c r="W164" s="41" t="n">
        <v>312.81</v>
      </c>
      <c r="X164" s="38" t="n">
        <v>45811</v>
      </c>
      <c r="Y164" s="47">
        <f>IF(AND( C83="Buy", W83&lt;&gt;"", AA83&lt;&gt;"", B83&lt;&gt;"DIV"), Z83/sum(F83:I83), "")</f>
        <v/>
      </c>
      <c r="Z164" s="57">
        <f>(1-Index!$F$2*2)*((W83*D83)-(E83*D83))</f>
        <v/>
      </c>
      <c r="AA164" s="57">
        <f>((E83*D83)+Z83)</f>
        <v/>
      </c>
      <c r="AB164" s="58">
        <f>D83</f>
        <v/>
      </c>
      <c r="AC164" s="56">
        <f>if(B83="DIV", F83,"")</f>
        <v/>
      </c>
      <c r="AD164" s="65" t="inlineStr">
        <is>
          <t>SBI Securities</t>
        </is>
      </c>
    </row>
    <row r="165">
      <c r="A165" s="66" t="n">
        <v>44827</v>
      </c>
      <c r="B165" s="67" t="inlineStr">
        <is>
          <t>NSE</t>
        </is>
      </c>
      <c r="C165" s="67" t="inlineStr">
        <is>
          <t>Buy</t>
        </is>
      </c>
      <c r="D165" s="70" t="n">
        <v>12</v>
      </c>
      <c r="E165" s="69" t="n">
        <v>224.58</v>
      </c>
      <c r="F165" s="71" t="n">
        <v>2694.95</v>
      </c>
      <c r="G165" s="70" t="inlineStr">
        <is>
          <t>~</t>
        </is>
      </c>
      <c r="H165" s="70" t="n">
        <v>2.61</v>
      </c>
      <c r="I165" s="70" t="n">
        <v>16.34</v>
      </c>
      <c r="J165" s="71">
        <f>Index!$C$2</f>
        <v/>
      </c>
      <c r="K165" s="44">
        <f>IF(AND( C84="Buy", ISBLANK(W84), B84&lt;&gt;"DIV"), L84/sum(F84:I84), "")</f>
        <v/>
      </c>
      <c r="L165" s="45">
        <f>IF(AND( C84="Buy", ISBLANK(W84), B84&lt;&gt;"DIV"), (1-Index!$F$2*2)*((J84*D84)-(E84*D84)), "")</f>
        <v/>
      </c>
      <c r="M165" s="45">
        <f>IF(AND( C84="Buy", ISBLANK(W84), B84&lt;&gt;"DIV"), ((E84*D84)+L84), "")</f>
        <v/>
      </c>
      <c r="N165" s="46">
        <f>IF(AND( C84="Buy", ISBLANK(W84), B84&lt;&gt;"DIV"), D84, "")</f>
        <v/>
      </c>
      <c r="O165" s="44">
        <f>IF(AND( C84="Buy", ISBLANK(W84), B84&lt;&gt;"DIV", NOW()-A84 &lt; 365), P84/sum(F84:I84), "")</f>
        <v/>
      </c>
      <c r="P165" s="45">
        <f>IF(AND( C84="Buy", ISBLANK(W84), B84&lt;&gt;"DIV", NOW()-A84 &lt; 365), (1-Index!$F$2*2)*((J84*D84)-(E84*D84)), "")</f>
        <v/>
      </c>
      <c r="Q165" s="45">
        <f>IF(AND( C84="Buy", ISBLANK(W84), B84&lt;&gt;"DIV", NOW()-A84 &lt; 365), ((E84*D84)+P84), "")</f>
        <v/>
      </c>
      <c r="R165" s="45">
        <f>IF(AND( C84="Buy", ISBLANK(W84), B84&lt;&gt;"DIV", NOW()-A84 &lt; 365), D84, "")</f>
        <v/>
      </c>
      <c r="S165" s="47">
        <f>IF(AND( C84="Buy", ISBLANK(W84), B84&lt;&gt;"DIV", NOW()-A84 &gt; 365), T84/sum(F84:I84), "")</f>
        <v/>
      </c>
      <c r="T165" s="48">
        <f>IF(AND( C84="Buy", ISBLANK(W84), B84&lt;&gt;"DIV", NOW()-A84 &gt; 365), (1-Index!$F$2*2)*((J84*D84)-(E84*D84)), "")</f>
        <v/>
      </c>
      <c r="U165" s="48">
        <f>IF(AND( C84="Buy", ISBLANK(W84), B84&lt;&gt;"DIV", NOW()-A84 &gt; 365), ((E84*D84)+T84), "")</f>
        <v/>
      </c>
      <c r="V165" s="48">
        <f>IF(AND( C84="Buy", ISBLANK(W84), B84&lt;&gt;"DIV", NOW()-A84 &gt; 365), D84, "")</f>
        <v/>
      </c>
      <c r="W165" s="41" t="n">
        <v>312.81</v>
      </c>
      <c r="X165" s="38" t="n">
        <v>45811</v>
      </c>
      <c r="Y165" s="47">
        <f>IF(AND( C84="Buy", W84&lt;&gt;"", AA84&lt;&gt;"", B84&lt;&gt;"DIV"), Z84/sum(F84:I84), "")</f>
        <v/>
      </c>
      <c r="Z165" s="57">
        <f>(1-Index!$F$2*2)*((W84*D84)-(E84*D84))</f>
        <v/>
      </c>
      <c r="AA165" s="57">
        <f>((E84*D84)+Z84)</f>
        <v/>
      </c>
      <c r="AB165" s="58">
        <f>D84</f>
        <v/>
      </c>
      <c r="AC165" s="56">
        <f>if(B84="DIV", F84,"")</f>
        <v/>
      </c>
      <c r="AD165" s="65" t="inlineStr">
        <is>
          <t>SBI Securities</t>
        </is>
      </c>
    </row>
    <row r="166">
      <c r="A166" s="66" t="n">
        <v>44827</v>
      </c>
      <c r="B166" s="67" t="inlineStr">
        <is>
          <t>NSE</t>
        </is>
      </c>
      <c r="C166" s="67" t="inlineStr">
        <is>
          <t>Buy</t>
        </is>
      </c>
      <c r="D166" s="70" t="n">
        <v>3</v>
      </c>
      <c r="E166" s="69" t="n">
        <v>224.73</v>
      </c>
      <c r="F166" s="71" t="n">
        <v>674.18625</v>
      </c>
      <c r="G166" s="70" t="inlineStr">
        <is>
          <t>~</t>
        </is>
      </c>
      <c r="H166" s="70" t="n">
        <v>0.6525</v>
      </c>
      <c r="I166" s="70" t="n">
        <v>4.08375</v>
      </c>
      <c r="J166" s="71">
        <f>Index!$C$2</f>
        <v/>
      </c>
      <c r="K166" s="44">
        <f>IF(AND( C85="Buy", ISBLANK(W85), B85&lt;&gt;"DIV"), L85/sum(F85:I85), "")</f>
        <v/>
      </c>
      <c r="L166" s="45">
        <f>IF(AND( C85="Buy", ISBLANK(W85), B85&lt;&gt;"DIV"), (1-Index!$F$2*2)*((J85*D85)-(E85*D85)), "")</f>
        <v/>
      </c>
      <c r="M166" s="45">
        <f>IF(AND( C85="Buy", ISBLANK(W85), B85&lt;&gt;"DIV"), ((E85*D85)+L85), "")</f>
        <v/>
      </c>
      <c r="N166" s="46">
        <f>IF(AND( C85="Buy", ISBLANK(W85), B85&lt;&gt;"DIV"), D85, "")</f>
        <v/>
      </c>
      <c r="O166" s="44">
        <f>IF(AND( C85="Buy", ISBLANK(W85), B85&lt;&gt;"DIV", NOW()-A85 &lt; 365), P85/sum(F85:I85), "")</f>
        <v/>
      </c>
      <c r="P166" s="45">
        <f>IF(AND( C85="Buy", ISBLANK(W85), B85&lt;&gt;"DIV", NOW()-A85 &lt; 365), (1-Index!$F$2*2)*((J85*D85)-(E85*D85)), "")</f>
        <v/>
      </c>
      <c r="Q166" s="45">
        <f>IF(AND( C85="Buy", ISBLANK(W85), B85&lt;&gt;"DIV", NOW()-A85 &lt; 365), ((E85*D85)+P85), "")</f>
        <v/>
      </c>
      <c r="R166" s="45">
        <f>IF(AND( C85="Buy", ISBLANK(W85), B85&lt;&gt;"DIV", NOW()-A85 &lt; 365), D85, "")</f>
        <v/>
      </c>
      <c r="S166" s="47">
        <f>IF(AND( C85="Buy", ISBLANK(W85), B85&lt;&gt;"DIV", NOW()-A85 &gt; 365), T85/sum(F85:I85), "")</f>
        <v/>
      </c>
      <c r="T166" s="48">
        <f>IF(AND( C85="Buy", ISBLANK(W85), B85&lt;&gt;"DIV", NOW()-A85 &gt; 365), (1-Index!$F$2*2)*((J85*D85)-(E85*D85)), "")</f>
        <v/>
      </c>
      <c r="U166" s="48">
        <f>IF(AND( C85="Buy", ISBLANK(W85), B85&lt;&gt;"DIV", NOW()-A85 &gt; 365), ((E85*D85)+T85), "")</f>
        <v/>
      </c>
      <c r="V166" s="48">
        <f>IF(AND( C85="Buy", ISBLANK(W85), B85&lt;&gt;"DIV", NOW()-A85 &gt; 365), D85, "")</f>
        <v/>
      </c>
      <c r="W166" s="41" t="n">
        <v>312.81</v>
      </c>
      <c r="X166" s="38" t="n">
        <v>45811</v>
      </c>
      <c r="Y166" s="47">
        <f>IF(AND( C85="Buy", W85&lt;&gt;"", AA85&lt;&gt;"", B85&lt;&gt;"DIV"), Z85/sum(F85:I85), "")</f>
        <v/>
      </c>
      <c r="Z166" s="57">
        <f>(1-Index!$F$2*2)*((W85*D85)-(E85*D85))</f>
        <v/>
      </c>
      <c r="AA166" s="57">
        <f>((E85*D85)+Z85)</f>
        <v/>
      </c>
      <c r="AB166" s="58">
        <f>D85</f>
        <v/>
      </c>
      <c r="AC166" s="56">
        <f>if(B85="DIV", F85,"")</f>
        <v/>
      </c>
      <c r="AD166" s="65" t="inlineStr">
        <is>
          <t>SBI Securities</t>
        </is>
      </c>
    </row>
    <row r="167">
      <c r="A167" s="66" t="n">
        <v>44827</v>
      </c>
      <c r="B167" s="67" t="inlineStr">
        <is>
          <t>NSE</t>
        </is>
      </c>
      <c r="C167" s="67" t="inlineStr">
        <is>
          <t>Buy</t>
        </is>
      </c>
      <c r="D167" s="70" t="n">
        <v>5</v>
      </c>
      <c r="E167" s="69" t="n">
        <v>224.73</v>
      </c>
      <c r="F167" s="71" t="n">
        <v>1123.64</v>
      </c>
      <c r="G167" s="70" t="inlineStr">
        <is>
          <t>~</t>
        </is>
      </c>
      <c r="H167" s="70" t="n">
        <v>1.0875</v>
      </c>
      <c r="I167" s="70" t="n">
        <v>6.80625</v>
      </c>
      <c r="J167" s="71">
        <f>Index!$C$2</f>
        <v/>
      </c>
      <c r="K167" s="54" t="n"/>
      <c r="L167" s="54">
        <f>IF(AND( C86="Buy", ISBLANK(W86), B86&lt;&gt;"DIV"), (1-Index!$F$2*2)*((J86*D86)-(E86*D86)), "")</f>
        <v/>
      </c>
      <c r="M167" s="49">
        <f>IF(AND( C86="Buy", ISBLANK(W86), B86&lt;&gt;"DIV"), ((E86*D86)+L86), "")</f>
        <v/>
      </c>
      <c r="N167" s="51">
        <f>IF(AND( C86="Buy", ISBLANK(W86), B86&lt;&gt;"DIV"), D86, "")</f>
        <v/>
      </c>
      <c r="O167" s="49" t="n"/>
      <c r="P167" s="54">
        <f>IF(AND( C86="Buy", ISBLANK(W86), B86&lt;&gt;"DIV", NOW()-A86 &lt; 365), (1-Index!$F$2*2)*((J86*D86)-(E86*D86)), "")</f>
        <v/>
      </c>
      <c r="Q167" s="49">
        <f>IF(AND( C86="Buy", ISBLANK(W86), B86&lt;&gt;"DIV", NOW()-A86 &lt; 365), ((E86*D86)+P86), "")</f>
        <v/>
      </c>
      <c r="R167" s="49">
        <f>IF(AND( C86="Buy", ISBLANK(W86), B86&lt;&gt;"DIV", NOW()-A86 &lt; 365), D86, "")</f>
        <v/>
      </c>
      <c r="S167" s="49" t="n"/>
      <c r="T167" s="49">
        <f>IF(AND( C86="Buy", ISBLANK(W86), B86&lt;&gt;"DIV", NOW()-A86 &gt; 365), (J86*D86)-(E86*D86)-(2*sum(H86:I86)), "")</f>
        <v/>
      </c>
      <c r="U167" s="49">
        <f>IF(AND( C86="Buy", ISBLANK(W86), B86&lt;&gt;"DIV", NOW()-A86 &gt; 365), ((E86*D86)+T86), "")</f>
        <v/>
      </c>
      <c r="V167" s="49">
        <f>IF(AND( C86="Buy", ISBLANK(W86), B86&lt;&gt;"DIV", NOW()-A86 &gt; 365), D86, "")</f>
        <v/>
      </c>
      <c r="W167" s="41" t="n">
        <v>346.92</v>
      </c>
      <c r="X167" s="38" t="n">
        <v>45583</v>
      </c>
      <c r="Y167" s="47">
        <f>IF(AND( C86="Buy", W86&lt;&gt;"", AA86&lt;&gt;"", B86&lt;&gt;"DIV"), Z86/sum(F86:I86), "")</f>
        <v/>
      </c>
      <c r="Z167" s="57">
        <f>(1-Index!$F$2*2)*((W86*D86)-(E86*D86))</f>
        <v/>
      </c>
      <c r="AA167" s="57">
        <f>((E86*D86)+Z86)</f>
        <v/>
      </c>
      <c r="AB167" s="58">
        <f>D86</f>
        <v/>
      </c>
      <c r="AC167" s="56">
        <f>if(B86="DIV", F86,"")</f>
        <v/>
      </c>
      <c r="AD167" s="65" t="inlineStr">
        <is>
          <t>SBI Securities</t>
        </is>
      </c>
    </row>
    <row r="168">
      <c r="A168" s="66" t="n">
        <v>44718</v>
      </c>
      <c r="B168" s="67" t="inlineStr">
        <is>
          <t>DIV</t>
        </is>
      </c>
      <c r="C168" s="67" t="inlineStr">
        <is>
          <t>Buy</t>
        </is>
      </c>
      <c r="D168" s="70" t="n">
        <v>345</v>
      </c>
      <c r="E168" s="69" t="n">
        <v>3</v>
      </c>
      <c r="F168" s="71" t="n">
        <v>1035</v>
      </c>
      <c r="G168" s="70" t="inlineStr">
        <is>
          <t>Annual-Dividend of Rs.3.0000/- per share on Ex-Date: 06-JUN-2022</t>
        </is>
      </c>
      <c r="H168" s="70" t="n">
        <v>0</v>
      </c>
      <c r="I168" s="70" t="n">
        <v>0</v>
      </c>
      <c r="J168" s="71">
        <f>Index!$C$2</f>
        <v/>
      </c>
      <c r="K168" s="54" t="n"/>
      <c r="L168" s="54">
        <f>IF(AND( C87="Buy", ISBLANK(W87), B87&lt;&gt;"DIV"), (1-Index!$F$2*2)*((J87*D87)-(E87*D87)), "")</f>
        <v/>
      </c>
      <c r="M168" s="49">
        <f>IF(AND( C87="Buy", ISBLANK(W87), B87&lt;&gt;"DIV"), ((E87*D87)+L87), "")</f>
        <v/>
      </c>
      <c r="N168" s="51">
        <f>IF(AND( C87="Buy", ISBLANK(W87), B87&lt;&gt;"DIV"), D87, "")</f>
        <v/>
      </c>
      <c r="O168" s="49" t="n"/>
      <c r="P168" s="54">
        <f>IF(AND( C87="Buy", ISBLANK(W87), B87&lt;&gt;"DIV", NOW()-A87 &lt; 365), (1-Index!$F$2*2)*((J87*D87)-(E87*D87)), "")</f>
        <v/>
      </c>
      <c r="Q168" s="49">
        <f>IF(AND( C87="Buy", ISBLANK(W87), B87&lt;&gt;"DIV", NOW()-A87 &lt; 365), ((E87*D87)+P87), "")</f>
        <v/>
      </c>
      <c r="R168" s="49">
        <f>IF(AND( C87="Buy", ISBLANK(W87), B87&lt;&gt;"DIV", NOW()-A87 &lt; 365), D87, "")</f>
        <v/>
      </c>
      <c r="S168" s="49" t="n"/>
      <c r="T168" s="49">
        <f>IF(AND( C87="Buy", ISBLANK(W87), B87&lt;&gt;"DIV", NOW()-A87 &gt; 365), (J87*D87)-(E87*D87)-(2*sum(H87:I87)), "")</f>
        <v/>
      </c>
      <c r="U168" s="49">
        <f>IF(AND( C87="Buy", ISBLANK(W87), B87&lt;&gt;"DIV", NOW()-A87 &gt; 365), ((E87*D87)+T87), "")</f>
        <v/>
      </c>
      <c r="V168" s="49">
        <f>IF(AND( C87="Buy", ISBLANK(W87), B87&lt;&gt;"DIV", NOW()-A87 &gt; 365), D87, "")</f>
        <v/>
      </c>
      <c r="W168" s="54" t="n"/>
      <c r="X168" s="54" t="n"/>
      <c r="Y168" s="47">
        <f>IF(AND( C87="Buy", W87&lt;&gt;"", AA87&lt;&gt;"", B87&lt;&gt;"DIV"), Z87/sum(F87:I87), "")</f>
        <v/>
      </c>
      <c r="Z168" s="54" t="n"/>
      <c r="AA168" s="54" t="n"/>
      <c r="AB168" s="55" t="n"/>
      <c r="AC168" s="56">
        <f>if(B87="DIV", F87,"")</f>
        <v/>
      </c>
      <c r="AD168" s="65" t="inlineStr">
        <is>
          <t>SBI Securities</t>
        </is>
      </c>
    </row>
    <row r="169">
      <c r="A169" s="66" t="n">
        <v>44692</v>
      </c>
      <c r="B169" s="67" t="inlineStr">
        <is>
          <t>NSE</t>
        </is>
      </c>
      <c r="C169" s="67" t="inlineStr">
        <is>
          <t>Buy</t>
        </is>
      </c>
      <c r="D169" s="70" t="n">
        <v>6</v>
      </c>
      <c r="E169" s="69" t="n">
        <v>204.89</v>
      </c>
      <c r="F169" s="71" t="n">
        <v>1229.35</v>
      </c>
      <c r="G169" s="70" t="inlineStr">
        <is>
          <t>~</t>
        </is>
      </c>
      <c r="H169" s="70" t="n">
        <v>1.23</v>
      </c>
      <c r="I169" s="70" t="n">
        <v>7.42</v>
      </c>
      <c r="J169" s="71">
        <f>Index!$C$2</f>
        <v/>
      </c>
      <c r="K169" s="54" t="n"/>
      <c r="L169" s="54">
        <f>IF(AND( C88="Buy", ISBLANK(W88), B88&lt;&gt;"DIV"), (1-Index!$F$2*2)*((J88*D88)-(E88*D88)), "")</f>
        <v/>
      </c>
      <c r="M169" s="49">
        <f>IF(AND( C88="Buy", ISBLANK(W88), B88&lt;&gt;"DIV"), ((E88*D88)+L88), "")</f>
        <v/>
      </c>
      <c r="N169" s="51">
        <f>IF(AND( C88="Buy", ISBLANK(W88), B88&lt;&gt;"DIV"), D88, "")</f>
        <v/>
      </c>
      <c r="O169" s="49" t="n"/>
      <c r="P169" s="54">
        <f>IF(AND( C88="Buy", ISBLANK(W88), B88&lt;&gt;"DIV", NOW()-A88 &lt; 365), (1-Index!$F$2*2)*((J88*D88)-(E88*D88)), "")</f>
        <v/>
      </c>
      <c r="Q169" s="49">
        <f>IF(AND( C88="Buy", ISBLANK(W88), B88&lt;&gt;"DIV", NOW()-A88 &lt; 365), ((E88*D88)+P88), "")</f>
        <v/>
      </c>
      <c r="R169" s="49">
        <f>IF(AND( C88="Buy", ISBLANK(W88), B88&lt;&gt;"DIV", NOW()-A88 &lt; 365), D88, "")</f>
        <v/>
      </c>
      <c r="S169" s="49" t="n"/>
      <c r="T169" s="49">
        <f>IF(AND( C88="Buy", ISBLANK(W88), B88&lt;&gt;"DIV", NOW()-A88 &gt; 365), (J88*D88)-(E88*D88)-(2*sum(H88:I88)), "")</f>
        <v/>
      </c>
      <c r="U169" s="49">
        <f>IF(AND( C88="Buy", ISBLANK(W88), B88&lt;&gt;"DIV", NOW()-A88 &gt; 365), ((E88*D88)+T88), "")</f>
        <v/>
      </c>
      <c r="V169" s="49">
        <f>IF(AND( C88="Buy", ISBLANK(W88), B88&lt;&gt;"DIV", NOW()-A88 &gt; 365), D88, "")</f>
        <v/>
      </c>
      <c r="W169" s="41" t="n">
        <v>346.92</v>
      </c>
      <c r="X169" s="38" t="n">
        <v>45583</v>
      </c>
      <c r="Y169" s="47">
        <f>IF(AND( C88="Buy", W88&lt;&gt;"", AA88&lt;&gt;"", B88&lt;&gt;"DIV"), Z88/sum(F88:I88), "")</f>
        <v/>
      </c>
      <c r="Z169" s="57">
        <f>(1-Index!$F$2*2)*((W88*D88)-(E88*D88))</f>
        <v/>
      </c>
      <c r="AA169" s="57">
        <f>((E88*D88)+Z88)</f>
        <v/>
      </c>
      <c r="AB169" s="58">
        <f>D88</f>
        <v/>
      </c>
      <c r="AC169" s="56">
        <f>if(B88="DIV", F88,"")</f>
        <v/>
      </c>
      <c r="AD169" s="65" t="inlineStr">
        <is>
          <t>SBI Securities</t>
        </is>
      </c>
    </row>
    <row r="170">
      <c r="A170" s="66" t="n">
        <v>44692</v>
      </c>
      <c r="B170" s="67" t="inlineStr">
        <is>
          <t>NSE</t>
        </is>
      </c>
      <c r="C170" s="67" t="inlineStr">
        <is>
          <t>Buy</t>
        </is>
      </c>
      <c r="D170" s="70" t="n">
        <v>4</v>
      </c>
      <c r="E170" s="69" t="n">
        <v>204.84</v>
      </c>
      <c r="F170" s="71" t="n">
        <v>819.37</v>
      </c>
      <c r="G170" s="70" t="inlineStr">
        <is>
          <t>~</t>
        </is>
      </c>
      <c r="H170" s="70" t="n">
        <v>0.82</v>
      </c>
      <c r="I170" s="70" t="n">
        <v>4.95</v>
      </c>
      <c r="J170" s="71">
        <f>Index!$C$2</f>
        <v/>
      </c>
      <c r="K170" s="54" t="n"/>
      <c r="L170" s="54">
        <f>IF(AND( C89="Buy", ISBLANK(W89), B89&lt;&gt;"DIV"), (1-Index!$F$2*2)*((J89*D89)-(E89*D89)), "")</f>
        <v/>
      </c>
      <c r="M170" s="49">
        <f>IF(AND( C89="Buy", ISBLANK(W89), B89&lt;&gt;"DIV"), ((E89*D89)+L89), "")</f>
        <v/>
      </c>
      <c r="N170" s="51">
        <f>IF(AND( C89="Buy", ISBLANK(W89), B89&lt;&gt;"DIV"), D89, "")</f>
        <v/>
      </c>
      <c r="O170" s="49" t="n"/>
      <c r="P170" s="54">
        <f>IF(AND( C89="Buy", ISBLANK(W89), B89&lt;&gt;"DIV", NOW()-A89 &lt; 365), (1-Index!$F$2*2)*((J89*D89)-(E89*D89)), "")</f>
        <v/>
      </c>
      <c r="Q170" s="49">
        <f>IF(AND( C89="Buy", ISBLANK(W89), B89&lt;&gt;"DIV", NOW()-A89 &lt; 365), ((E89*D89)+P89), "")</f>
        <v/>
      </c>
      <c r="R170" s="49">
        <f>IF(AND( C89="Buy", ISBLANK(W89), B89&lt;&gt;"DIV", NOW()-A89 &lt; 365), D89, "")</f>
        <v/>
      </c>
      <c r="S170" s="49" t="n"/>
      <c r="T170" s="49">
        <f>IF(AND( C89="Buy", ISBLANK(W89), B89&lt;&gt;"DIV", NOW()-A89 &gt; 365), (J89*D89)-(E89*D89)-(2*sum(H89:I89)), "")</f>
        <v/>
      </c>
      <c r="U170" s="49">
        <f>IF(AND( C89="Buy", ISBLANK(W89), B89&lt;&gt;"DIV", NOW()-A89 &gt; 365), ((E89*D89)+T89), "")</f>
        <v/>
      </c>
      <c r="V170" s="49">
        <f>IF(AND( C89="Buy", ISBLANK(W89), B89&lt;&gt;"DIV", NOW()-A89 &gt; 365), D89, "")</f>
        <v/>
      </c>
      <c r="W170" s="41" t="n">
        <v>346.92</v>
      </c>
      <c r="X170" s="38" t="n">
        <v>45583</v>
      </c>
      <c r="Y170" s="47">
        <f>IF(AND( C89="Buy", W89&lt;&gt;"", AA89&lt;&gt;"", B89&lt;&gt;"DIV"), Z89/sum(F89:I89), "")</f>
        <v/>
      </c>
      <c r="Z170" s="57">
        <f>(1-Index!$F$2*2)*((W89*D89)-(E89*D89))</f>
        <v/>
      </c>
      <c r="AA170" s="57">
        <f>((E89*D89)+Z89)</f>
        <v/>
      </c>
      <c r="AB170" s="58">
        <f>D89</f>
        <v/>
      </c>
      <c r="AC170" s="56">
        <f>if(B89="DIV", F89,"")</f>
        <v/>
      </c>
      <c r="AD170" s="65" t="inlineStr">
        <is>
          <t>SBI Securities</t>
        </is>
      </c>
    </row>
    <row r="171">
      <c r="A171" s="66" t="n">
        <v>44692</v>
      </c>
      <c r="B171" s="67" t="inlineStr">
        <is>
          <t>NSE</t>
        </is>
      </c>
      <c r="C171" s="67" t="inlineStr">
        <is>
          <t>Buy</t>
        </is>
      </c>
      <c r="D171" s="72" t="n">
        <v>6</v>
      </c>
      <c r="E171" s="69" t="n">
        <v>204.84</v>
      </c>
      <c r="F171" s="71" t="n">
        <v>1229.05</v>
      </c>
      <c r="G171" s="70" t="inlineStr">
        <is>
          <t>~</t>
        </is>
      </c>
      <c r="H171" s="70" t="n">
        <v>1.23</v>
      </c>
      <c r="I171" s="70" t="n">
        <v>7.42</v>
      </c>
      <c r="J171" s="71">
        <f>Index!$C$2</f>
        <v/>
      </c>
      <c r="K171" s="54" t="n"/>
      <c r="L171" s="54">
        <f>IF(AND( C90="Buy", ISBLANK(W90), B90&lt;&gt;"DIV"), (1-Index!$F$2*2)*((J90*D90)-(E90*D90)), "")</f>
        <v/>
      </c>
      <c r="M171" s="49">
        <f>IF(AND( C90="Buy", ISBLANK(W90), B90&lt;&gt;"DIV"), ((E90*D90)+L90), "")</f>
        <v/>
      </c>
      <c r="N171" s="51">
        <f>IF(AND( C90="Buy", ISBLANK(W90), B90&lt;&gt;"DIV"), D90, "")</f>
        <v/>
      </c>
      <c r="O171" s="49" t="n"/>
      <c r="P171" s="54">
        <f>IF(AND( C90="Buy", ISBLANK(W90), B90&lt;&gt;"DIV", NOW()-A90 &lt; 365), (1-Index!$F$2*2)*((J90*D90)-(E90*D90)), "")</f>
        <v/>
      </c>
      <c r="Q171" s="49">
        <f>IF(AND( C90="Buy", ISBLANK(W90), B90&lt;&gt;"DIV", NOW()-A90 &lt; 365), ((E90*D90)+P90), "")</f>
        <v/>
      </c>
      <c r="R171" s="49">
        <f>IF(AND( C90="Buy", ISBLANK(W90), B90&lt;&gt;"DIV", NOW()-A90 &lt; 365), D90, "")</f>
        <v/>
      </c>
      <c r="S171" s="49" t="n"/>
      <c r="T171" s="49">
        <f>IF(AND( C90="Buy", ISBLANK(W90), B90&lt;&gt;"DIV", NOW()-A90 &gt; 365), (J90*D90)-(E90*D90)-(2*sum(H90:I90)), "")</f>
        <v/>
      </c>
      <c r="U171" s="49">
        <f>IF(AND( C90="Buy", ISBLANK(W90), B90&lt;&gt;"DIV", NOW()-A90 &gt; 365), ((E90*D90)+T90), "")</f>
        <v/>
      </c>
      <c r="V171" s="49">
        <f>IF(AND( C90="Buy", ISBLANK(W90), B90&lt;&gt;"DIV", NOW()-A90 &gt; 365), D90, "")</f>
        <v/>
      </c>
      <c r="W171" s="41" t="n">
        <v>326.02</v>
      </c>
      <c r="X171" s="38" t="n">
        <v>45565</v>
      </c>
      <c r="Y171" s="47">
        <f>IF(AND( C90="Buy", W90&lt;&gt;"", AA90&lt;&gt;"", B90&lt;&gt;"DIV"), Z90/sum(F90:I90), "")</f>
        <v/>
      </c>
      <c r="Z171" s="57">
        <f>(1-Index!$F$2*2)*((W90*D90)-(E90*D90))</f>
        <v/>
      </c>
      <c r="AA171" s="57">
        <f>((E90*D90)+Z90)</f>
        <v/>
      </c>
      <c r="AB171" s="58">
        <f>D90</f>
        <v/>
      </c>
      <c r="AC171" s="56">
        <f>if(B90="DIV", F90,"")</f>
        <v/>
      </c>
      <c r="AD171" s="65" t="inlineStr">
        <is>
          <t>SBI Securities</t>
        </is>
      </c>
    </row>
    <row r="172">
      <c r="A172" s="66" t="n">
        <v>44692</v>
      </c>
      <c r="B172" s="67" t="inlineStr">
        <is>
          <t>NSE</t>
        </is>
      </c>
      <c r="C172" s="67" t="inlineStr">
        <is>
          <t>Buy</t>
        </is>
      </c>
      <c r="D172" s="70" t="n">
        <v>24</v>
      </c>
      <c r="E172" s="69" t="n">
        <v>204.89</v>
      </c>
      <c r="F172" s="71" t="n">
        <v>4917.43</v>
      </c>
      <c r="G172" s="70" t="inlineStr">
        <is>
          <t>~</t>
        </is>
      </c>
      <c r="H172" s="70" t="n">
        <v>4.92</v>
      </c>
      <c r="I172" s="70" t="n">
        <v>29.71</v>
      </c>
      <c r="J172" s="71">
        <f>Index!$C$2</f>
        <v/>
      </c>
      <c r="K172" s="54" t="n"/>
      <c r="L172" s="54">
        <f>IF(AND( C91="Buy", ISBLANK(W91), B91&lt;&gt;"DIV"), (1-Index!$F$2*2)*((J91*D91)-(E91*D91)), "")</f>
        <v/>
      </c>
      <c r="M172" s="49">
        <f>IF(AND( C91="Buy", ISBLANK(W91), B91&lt;&gt;"DIV"), ((E91*D91)+L91), "")</f>
        <v/>
      </c>
      <c r="N172" s="51">
        <f>IF(AND( C91="Buy", ISBLANK(W91), B91&lt;&gt;"DIV"), D91, "")</f>
        <v/>
      </c>
      <c r="O172" s="49" t="n"/>
      <c r="P172" s="54">
        <f>IF(AND( C91="Buy", ISBLANK(W91), B91&lt;&gt;"DIV", NOW()-A91 &lt; 365), (1-Index!$F$2*2)*((J91*D91)-(E91*D91)), "")</f>
        <v/>
      </c>
      <c r="Q172" s="49">
        <f>IF(AND( C91="Buy", ISBLANK(W91), B91&lt;&gt;"DIV", NOW()-A91 &lt; 365), ((E91*D91)+P91), "")</f>
        <v/>
      </c>
      <c r="R172" s="49">
        <f>IF(AND( C91="Buy", ISBLANK(W91), B91&lt;&gt;"DIV", NOW()-A91 &lt; 365), D91, "")</f>
        <v/>
      </c>
      <c r="S172" s="49" t="n"/>
      <c r="T172" s="49">
        <f>IF(AND( C91="Buy", ISBLANK(W91), B91&lt;&gt;"DIV", NOW()-A91 &gt; 365), (J91*D91)-(E91*D91)-(2*sum(H91:I91)), "")</f>
        <v/>
      </c>
      <c r="U172" s="49">
        <f>IF(AND( C91="Buy", ISBLANK(W91), B91&lt;&gt;"DIV", NOW()-A91 &gt; 365), ((E91*D91)+T91), "")</f>
        <v/>
      </c>
      <c r="V172" s="49">
        <f>IF(AND( C91="Buy", ISBLANK(W91), B91&lt;&gt;"DIV", NOW()-A91 &gt; 365), D91, "")</f>
        <v/>
      </c>
      <c r="W172" s="41" t="n">
        <v>346.92</v>
      </c>
      <c r="X172" s="38" t="n">
        <v>45583</v>
      </c>
      <c r="Y172" s="47">
        <f>IF(AND( C91="Buy", W91&lt;&gt;"", AA91&lt;&gt;"", B91&lt;&gt;"DIV"), Z91/sum(F91:I91), "")</f>
        <v/>
      </c>
      <c r="Z172" s="57">
        <f>(1-Index!$F$2*2)*((W91*D91)-(E91*D91))</f>
        <v/>
      </c>
      <c r="AA172" s="57">
        <f>((E91*D91)+Z91)</f>
        <v/>
      </c>
      <c r="AB172" s="58">
        <f>D91</f>
        <v/>
      </c>
      <c r="AC172" s="56">
        <f>if(B91="DIV", F91,"")</f>
        <v/>
      </c>
      <c r="AD172" s="65" t="inlineStr">
        <is>
          <t>SBI Securities</t>
        </is>
      </c>
    </row>
    <row r="173">
      <c r="A173" s="66" t="n">
        <v>44692</v>
      </c>
      <c r="B173" s="67" t="inlineStr">
        <is>
          <t>NSE</t>
        </is>
      </c>
      <c r="C173" s="67" t="inlineStr">
        <is>
          <t>Buy</t>
        </is>
      </c>
      <c r="D173" s="70" t="n">
        <v>7</v>
      </c>
      <c r="E173" s="69" t="n">
        <v>204.89</v>
      </c>
      <c r="F173" s="71" t="n">
        <v>1434.24</v>
      </c>
      <c r="G173" s="70" t="inlineStr">
        <is>
          <t>~</t>
        </is>
      </c>
      <c r="H173" s="70" t="n">
        <v>1.43</v>
      </c>
      <c r="I173" s="70" t="n">
        <v>8.66</v>
      </c>
      <c r="J173" s="71">
        <f>Index!$C$2</f>
        <v/>
      </c>
      <c r="K173" s="54" t="n"/>
      <c r="L173" s="54">
        <f>IF(AND( C92="Buy", ISBLANK(W92), B92&lt;&gt;"DIV"), (1-Index!$F$2*2)*((J92*D92)-(E92*D92)), "")</f>
        <v/>
      </c>
      <c r="M173" s="49">
        <f>IF(AND( C92="Buy", ISBLANK(W92), B92&lt;&gt;"DIV"), ((E92*D92)+L92), "")</f>
        <v/>
      </c>
      <c r="N173" s="51">
        <f>IF(AND( C92="Buy", ISBLANK(W92), B92&lt;&gt;"DIV"), D92, "")</f>
        <v/>
      </c>
      <c r="O173" s="49" t="n"/>
      <c r="P173" s="54">
        <f>IF(AND( C92="Buy", ISBLANK(W92), B92&lt;&gt;"DIV", NOW()-A92 &lt; 365), (1-Index!$F$2*2)*((J92*D92)-(E92*D92)), "")</f>
        <v/>
      </c>
      <c r="Q173" s="49">
        <f>IF(AND( C92="Buy", ISBLANK(W92), B92&lt;&gt;"DIV", NOW()-A92 &lt; 365), ((E92*D92)+P92), "")</f>
        <v/>
      </c>
      <c r="R173" s="49">
        <f>IF(AND( C92="Buy", ISBLANK(W92), B92&lt;&gt;"DIV", NOW()-A92 &lt; 365), D92, "")</f>
        <v/>
      </c>
      <c r="S173" s="49" t="n"/>
      <c r="T173" s="49">
        <f>IF(AND( C92="Buy", ISBLANK(W92), B92&lt;&gt;"DIV", NOW()-A92 &gt; 365), (J92*D92)-(E92*D92)-(2*sum(H92:I92)), "")</f>
        <v/>
      </c>
      <c r="U173" s="49">
        <f>IF(AND( C92="Buy", ISBLANK(W92), B92&lt;&gt;"DIV", NOW()-A92 &gt; 365), ((E92*D92)+T92), "")</f>
        <v/>
      </c>
      <c r="V173" s="49">
        <f>IF(AND( C92="Buy", ISBLANK(W92), B92&lt;&gt;"DIV", NOW()-A92 &gt; 365), D92, "")</f>
        <v/>
      </c>
      <c r="W173" s="41" t="n">
        <v>346.92</v>
      </c>
      <c r="X173" s="38" t="n">
        <v>45583</v>
      </c>
      <c r="Y173" s="47">
        <f>IF(AND( C92="Buy", W92&lt;&gt;"", AA92&lt;&gt;"", B92&lt;&gt;"DIV"), Z92/sum(F92:I92), "")</f>
        <v/>
      </c>
      <c r="Z173" s="57">
        <f>(1-Index!$F$2*2)*((W92*D92)-(E92*D92))</f>
        <v/>
      </c>
      <c r="AA173" s="57">
        <f>((E92*D92)+Z92)</f>
        <v/>
      </c>
      <c r="AB173" s="58">
        <f>D92</f>
        <v/>
      </c>
      <c r="AC173" s="56">
        <f>if(B92="DIV", F92,"")</f>
        <v/>
      </c>
      <c r="AD173" s="65" t="inlineStr">
        <is>
          <t>SBI Securities</t>
        </is>
      </c>
    </row>
    <row r="174">
      <c r="A174" s="66" t="n">
        <v>44692</v>
      </c>
      <c r="B174" s="67" t="inlineStr">
        <is>
          <t>NSE</t>
        </is>
      </c>
      <c r="C174" s="67" t="inlineStr">
        <is>
          <t>Buy</t>
        </is>
      </c>
      <c r="D174" s="70" t="n">
        <v>11</v>
      </c>
      <c r="E174" s="69" t="n">
        <v>204.85</v>
      </c>
      <c r="F174" s="71" t="n">
        <v>2253.3</v>
      </c>
      <c r="G174" s="70" t="inlineStr">
        <is>
          <t>~</t>
        </is>
      </c>
      <c r="H174" s="70" t="n">
        <v>2.26</v>
      </c>
      <c r="I174" s="70" t="n">
        <v>13.64</v>
      </c>
      <c r="J174" s="71">
        <f>Index!$C$2</f>
        <v/>
      </c>
      <c r="K174" s="54" t="n"/>
      <c r="L174" s="54">
        <f>IF(AND( C93="Buy", ISBLANK(W93), B93&lt;&gt;"DIV"), (1-Index!$F$2*2)*((J93*D93)-(E93*D93)), "")</f>
        <v/>
      </c>
      <c r="M174" s="49">
        <f>IF(AND( C93="Buy", ISBLANK(W93), B93&lt;&gt;"DIV"), ((E93*D93)+L93), "")</f>
        <v/>
      </c>
      <c r="N174" s="51">
        <f>IF(AND( C93="Buy", ISBLANK(W93), B93&lt;&gt;"DIV"), D93, "")</f>
        <v/>
      </c>
      <c r="O174" s="49" t="n"/>
      <c r="P174" s="54">
        <f>IF(AND( C93="Buy", ISBLANK(W93), B93&lt;&gt;"DIV", NOW()-A93 &lt; 365), (1-Index!$F$2*2)*((J93*D93)-(E93*D93)), "")</f>
        <v/>
      </c>
      <c r="Q174" s="49">
        <f>IF(AND( C93="Buy", ISBLANK(W93), B93&lt;&gt;"DIV", NOW()-A93 &lt; 365), ((E93*D93)+P93), "")</f>
        <v/>
      </c>
      <c r="R174" s="49">
        <f>IF(AND( C93="Buy", ISBLANK(W93), B93&lt;&gt;"DIV", NOW()-A93 &lt; 365), D93, "")</f>
        <v/>
      </c>
      <c r="S174" s="49" t="n"/>
      <c r="T174" s="49">
        <f>IF(AND( C93="Buy", ISBLANK(W93), B93&lt;&gt;"DIV", NOW()-A93 &gt; 365), (J93*D93)-(E93*D93)-(2*sum(H93:I93)), "")</f>
        <v/>
      </c>
      <c r="U174" s="49">
        <f>IF(AND( C93="Buy", ISBLANK(W93), B93&lt;&gt;"DIV", NOW()-A93 &gt; 365), ((E93*D93)+T93), "")</f>
        <v/>
      </c>
      <c r="V174" s="49">
        <f>IF(AND( C93="Buy", ISBLANK(W93), B93&lt;&gt;"DIV", NOW()-A93 &gt; 365), D93, "")</f>
        <v/>
      </c>
      <c r="W174" s="41" t="n">
        <v>346.92</v>
      </c>
      <c r="X174" s="38" t="n">
        <v>45583</v>
      </c>
      <c r="Y174" s="47">
        <f>IF(AND( C93="Buy", W93&lt;&gt;"", AA93&lt;&gt;"", B93&lt;&gt;"DIV"), Z93/sum(F93:I93), "")</f>
        <v/>
      </c>
      <c r="Z174" s="57">
        <f>(1-Index!$F$2*2)*((W93*D93)-(E93*D93))</f>
        <v/>
      </c>
      <c r="AA174" s="57">
        <f>((E93*D93)+Z93)</f>
        <v/>
      </c>
      <c r="AB174" s="58">
        <f>D93</f>
        <v/>
      </c>
      <c r="AC174" s="56">
        <f>if(B93="DIV", F93,"")</f>
        <v/>
      </c>
      <c r="AD174" s="65" t="inlineStr">
        <is>
          <t>SBI Securities</t>
        </is>
      </c>
    </row>
    <row r="175">
      <c r="A175" s="66" t="n">
        <v>44692</v>
      </c>
      <c r="B175" s="67" t="inlineStr">
        <is>
          <t>NSE</t>
        </is>
      </c>
      <c r="C175" s="67" t="inlineStr">
        <is>
          <t>Buy</t>
        </is>
      </c>
      <c r="D175" s="70" t="n">
        <v>42</v>
      </c>
      <c r="E175" s="69" t="n">
        <v>204.84</v>
      </c>
      <c r="F175" s="71" t="n">
        <v>8603.459999999999</v>
      </c>
      <c r="G175" s="70" t="inlineStr">
        <is>
          <t>~</t>
        </is>
      </c>
      <c r="H175" s="70" t="n">
        <v>8.609999999999999</v>
      </c>
      <c r="I175" s="70" t="n">
        <v>52.05</v>
      </c>
      <c r="J175" s="71">
        <f>Index!$C$2</f>
        <v/>
      </c>
      <c r="K175" s="54" t="n"/>
      <c r="L175" s="54">
        <f>IF(AND( C94="Buy", ISBLANK(W94), B94&lt;&gt;"DIV"), (1-Index!$F$2*2)*((J94*D94)-(E94*D94)), "")</f>
        <v/>
      </c>
      <c r="M175" s="49">
        <f>IF(AND( C94="Buy", ISBLANK(W94), B94&lt;&gt;"DIV"), ((E94*D94)+L94), "")</f>
        <v/>
      </c>
      <c r="N175" s="51">
        <f>IF(AND( C94="Buy", ISBLANK(W94), B94&lt;&gt;"DIV"), D94, "")</f>
        <v/>
      </c>
      <c r="O175" s="49" t="n"/>
      <c r="P175" s="54">
        <f>IF(AND( C94="Buy", ISBLANK(W94), B94&lt;&gt;"DIV", NOW()-A94 &lt; 365), (1-Index!$F$2*2)*((J94*D94)-(E94*D94)), "")</f>
        <v/>
      </c>
      <c r="Q175" s="49">
        <f>IF(AND( C94="Buy", ISBLANK(W94), B94&lt;&gt;"DIV", NOW()-A94 &lt; 365), ((E94*D94)+P94), "")</f>
        <v/>
      </c>
      <c r="R175" s="49">
        <f>IF(AND( C94="Buy", ISBLANK(W94), B94&lt;&gt;"DIV", NOW()-A94 &lt; 365), D94, "")</f>
        <v/>
      </c>
      <c r="S175" s="49" t="n"/>
      <c r="T175" s="49">
        <f>IF(AND( C94="Buy", ISBLANK(W94), B94&lt;&gt;"DIV", NOW()-A94 &gt; 365), (J94*D94)-(E94*D94)-(2*sum(H94:I94)), "")</f>
        <v/>
      </c>
      <c r="U175" s="49">
        <f>IF(AND( C94="Buy", ISBLANK(W94), B94&lt;&gt;"DIV", NOW()-A94 &gt; 365), ((E94*D94)+T94), "")</f>
        <v/>
      </c>
      <c r="V175" s="49">
        <f>IF(AND( C94="Buy", ISBLANK(W94), B94&lt;&gt;"DIV", NOW()-A94 &gt; 365), D94, "")</f>
        <v/>
      </c>
      <c r="W175" s="41" t="n">
        <v>346.92</v>
      </c>
      <c r="X175" s="38" t="n">
        <v>45583</v>
      </c>
      <c r="Y175" s="47">
        <f>IF(AND( C94="Buy", W94&lt;&gt;"", AA94&lt;&gt;"", B94&lt;&gt;"DIV"), Z94/sum(F94:I94), "")</f>
        <v/>
      </c>
      <c r="Z175" s="57">
        <f>(1-Index!$F$2*2)*((W94*D94)-(E94*D94))</f>
        <v/>
      </c>
      <c r="AA175" s="57">
        <f>((E94*D94)+Z94)</f>
        <v/>
      </c>
      <c r="AB175" s="58">
        <f>D94</f>
        <v/>
      </c>
      <c r="AC175" s="56">
        <f>if(B94="DIV", F94,"")</f>
        <v/>
      </c>
      <c r="AD175" s="65" t="inlineStr">
        <is>
          <t>SBI Securities</t>
        </is>
      </c>
    </row>
    <row r="176">
      <c r="A176" s="66" t="n">
        <v>44629</v>
      </c>
      <c r="B176" s="67" t="inlineStr">
        <is>
          <t>NSE</t>
        </is>
      </c>
      <c r="C176" s="67" t="inlineStr">
        <is>
          <t>Buy</t>
        </is>
      </c>
      <c r="D176" s="70" t="n">
        <v>1</v>
      </c>
      <c r="E176" s="69" t="n">
        <v>251.75</v>
      </c>
      <c r="F176" s="71" t="n">
        <v>253.56</v>
      </c>
      <c r="G176" s="70" t="inlineStr">
        <is>
          <t>~</t>
        </is>
      </c>
      <c r="H176" s="70" t="n">
        <v>0.27</v>
      </c>
      <c r="I176" s="70" t="n">
        <v>1.54</v>
      </c>
      <c r="J176" s="71">
        <f>Index!$C$2</f>
        <v/>
      </c>
      <c r="K176" s="54" t="n"/>
      <c r="L176" s="54">
        <f>IF(AND( C95="Buy", ISBLANK(W95), B95&lt;&gt;"DIV"), (1-Index!$F$2*2)*((J95*D95)-(E95*D95)), "")</f>
        <v/>
      </c>
      <c r="M176" s="49">
        <f>IF(AND( C95="Buy", ISBLANK(W95), B95&lt;&gt;"DIV"), ((E95*D95)+L95), "")</f>
        <v/>
      </c>
      <c r="N176" s="51">
        <f>IF(AND( C95="Buy", ISBLANK(W95), B95&lt;&gt;"DIV"), D95, "")</f>
        <v/>
      </c>
      <c r="O176" s="49" t="n"/>
      <c r="P176" s="54">
        <f>IF(AND( C95="Buy", ISBLANK(W95), B95&lt;&gt;"DIV", NOW()-A95 &lt; 365), (1-Index!$F$2*2)*((J95*D95)-(E95*D95)), "")</f>
        <v/>
      </c>
      <c r="Q176" s="49">
        <f>IF(AND( C95="Buy", ISBLANK(W95), B95&lt;&gt;"DIV", NOW()-A95 &lt; 365), ((E95*D95)+P95), "")</f>
        <v/>
      </c>
      <c r="R176" s="49">
        <f>IF(AND( C95="Buy", ISBLANK(W95), B95&lt;&gt;"DIV", NOW()-A95 &lt; 365), D95, "")</f>
        <v/>
      </c>
      <c r="S176" s="49" t="n"/>
      <c r="T176" s="49">
        <f>IF(AND( C95="Buy", ISBLANK(W95), B95&lt;&gt;"DIV", NOW()-A95 &gt; 365), (J95*D95)-(E95*D95)-(2*sum(H95:I95)), "")</f>
        <v/>
      </c>
      <c r="U176" s="49">
        <f>IF(AND( C95="Buy", ISBLANK(W95), B95&lt;&gt;"DIV", NOW()-A95 &gt; 365), ((E95*D95)+T95), "")</f>
        <v/>
      </c>
      <c r="V176" s="49">
        <f>IF(AND( C95="Buy", ISBLANK(W95), B95&lt;&gt;"DIV", NOW()-A95 &gt; 365), D95, "")</f>
        <v/>
      </c>
      <c r="W176" s="41" t="n">
        <v>346.92</v>
      </c>
      <c r="X176" s="38" t="n">
        <v>45583</v>
      </c>
      <c r="Y176" s="47">
        <f>IF(AND( C95="Buy", W95&lt;&gt;"", AA95&lt;&gt;"", B95&lt;&gt;"DIV"), Z95/sum(F95:I95), "")</f>
        <v/>
      </c>
      <c r="Z176" s="57">
        <f>(1-Index!$F$2*2)*((W95*D95)-(E95*D95))</f>
        <v/>
      </c>
      <c r="AA176" s="57">
        <f>((E95*D95)+Z95)</f>
        <v/>
      </c>
      <c r="AB176" s="58">
        <f>D95</f>
        <v/>
      </c>
      <c r="AC176" s="56">
        <f>if(B95="DIV", F95,"")</f>
        <v/>
      </c>
      <c r="AD176" s="65" t="inlineStr">
        <is>
          <t>SBI Securities</t>
        </is>
      </c>
    </row>
    <row r="177">
      <c r="A177" s="66" t="n">
        <v>44629</v>
      </c>
      <c r="B177" s="67" t="inlineStr">
        <is>
          <t>NSE</t>
        </is>
      </c>
      <c r="C177" s="67" t="inlineStr">
        <is>
          <t>Buy</t>
        </is>
      </c>
      <c r="D177" s="72" t="n">
        <v>9</v>
      </c>
      <c r="E177" s="69" t="n">
        <v>251.554444</v>
      </c>
      <c r="F177" s="71" t="n">
        <v>2280.2</v>
      </c>
      <c r="G177" s="70" t="inlineStr">
        <is>
          <t>~</t>
        </is>
      </c>
      <c r="H177" s="70" t="n">
        <v>2.43</v>
      </c>
      <c r="I177" s="70" t="n">
        <v>13.82</v>
      </c>
      <c r="J177" s="71">
        <f>Index!$C$2</f>
        <v/>
      </c>
      <c r="K177" s="54" t="n"/>
      <c r="L177" s="54">
        <f>IF(AND( C96="Buy", ISBLANK(W96), B96&lt;&gt;"DIV"), (1-Index!$F$2*2)*((J96*D96)-(E96*D96)), "")</f>
        <v/>
      </c>
      <c r="M177" s="49">
        <f>IF(AND( C96="Buy", ISBLANK(W96), B96&lt;&gt;"DIV"), ((E96*D96)+L96), "")</f>
        <v/>
      </c>
      <c r="N177" s="51">
        <f>IF(AND( C96="Buy", ISBLANK(W96), B96&lt;&gt;"DIV"), D96, "")</f>
        <v/>
      </c>
      <c r="O177" s="49" t="n"/>
      <c r="P177" s="54">
        <f>IF(AND( C96="Buy", ISBLANK(W96), B96&lt;&gt;"DIV", NOW()-A96 &lt; 365), (1-Index!$F$2*2)*((J96*D96)-(E96*D96)), "")</f>
        <v/>
      </c>
      <c r="Q177" s="49">
        <f>IF(AND( C96="Buy", ISBLANK(W96), B96&lt;&gt;"DIV", NOW()-A96 &lt; 365), ((E96*D96)+P96), "")</f>
        <v/>
      </c>
      <c r="R177" s="49">
        <f>IF(AND( C96="Buy", ISBLANK(W96), B96&lt;&gt;"DIV", NOW()-A96 &lt; 365), D96, "")</f>
        <v/>
      </c>
      <c r="S177" s="49" t="n"/>
      <c r="T177" s="49">
        <f>IF(AND( C96="Buy", ISBLANK(W96), B96&lt;&gt;"DIV", NOW()-A96 &gt; 365), (J96*D96)-(E96*D96)-(2*sum(H96:I96)), "")</f>
        <v/>
      </c>
      <c r="U177" s="49">
        <f>IF(AND( C96="Buy", ISBLANK(W96), B96&lt;&gt;"DIV", NOW()-A96 &gt; 365), ((E96*D96)+T96), "")</f>
        <v/>
      </c>
      <c r="V177" s="49">
        <f>IF(AND( C96="Buy", ISBLANK(W96), B96&lt;&gt;"DIV", NOW()-A96 &gt; 365), D96, "")</f>
        <v/>
      </c>
      <c r="W177" s="41" t="n">
        <v>326.02</v>
      </c>
      <c r="X177" s="38" t="n">
        <v>45565</v>
      </c>
      <c r="Y177" s="47">
        <f>IF(AND( C96="Buy", W96&lt;&gt;"", AA96&lt;&gt;"", B96&lt;&gt;"DIV"), Z96/sum(F96:I96), "")</f>
        <v/>
      </c>
      <c r="Z177" s="57">
        <f>(1-Index!$F$2*2)*((W96*D96)-(E96*D96))</f>
        <v/>
      </c>
      <c r="AA177" s="57">
        <f>((E96*D96)+Z96)</f>
        <v/>
      </c>
      <c r="AB177" s="58">
        <f>D96</f>
        <v/>
      </c>
      <c r="AC177" s="56">
        <f>if(B96="DIV", F96,"")</f>
        <v/>
      </c>
      <c r="AD177" s="65" t="inlineStr">
        <is>
          <t>SBI Securities</t>
        </is>
      </c>
    </row>
    <row r="178">
      <c r="A178" s="66" t="n">
        <v>44473</v>
      </c>
      <c r="B178" s="67" t="inlineStr">
        <is>
          <t>NSE</t>
        </is>
      </c>
      <c r="C178" s="67" t="inlineStr">
        <is>
          <t>Buy</t>
        </is>
      </c>
      <c r="D178" s="72" t="n">
        <v>1</v>
      </c>
      <c r="E178" s="69" t="n">
        <v>284.15</v>
      </c>
      <c r="F178" s="71" t="n">
        <v>286.17</v>
      </c>
      <c r="G178" s="70" t="inlineStr">
        <is>
          <t>~</t>
        </is>
      </c>
      <c r="H178" s="70" t="n">
        <v>0.28</v>
      </c>
      <c r="I178" s="70" t="n">
        <v>1.74</v>
      </c>
      <c r="J178" s="71">
        <f>Index!$C$2</f>
        <v/>
      </c>
      <c r="K178" s="54" t="n"/>
      <c r="L178" s="54">
        <f>IF(AND( C97="Buy", ISBLANK(W97), B97&lt;&gt;"DIV"), (1-Index!$F$2*2)*((J97*D97)-(E97*D97)), "")</f>
        <v/>
      </c>
      <c r="M178" s="49">
        <f>IF(AND( C97="Buy", ISBLANK(W97), B97&lt;&gt;"DIV"), ((E97*D97)+L97), "")</f>
        <v/>
      </c>
      <c r="N178" s="51">
        <f>IF(AND( C97="Buy", ISBLANK(W97), B97&lt;&gt;"DIV"), D97, "")</f>
        <v/>
      </c>
      <c r="O178" s="49" t="n"/>
      <c r="P178" s="54">
        <f>IF(AND( C97="Buy", ISBLANK(W97), B97&lt;&gt;"DIV", NOW()-A97 &lt; 365), (1-Index!$F$2*2)*((J97*D97)-(E97*D97)), "")</f>
        <v/>
      </c>
      <c r="Q178" s="49">
        <f>IF(AND( C97="Buy", ISBLANK(W97), B97&lt;&gt;"DIV", NOW()-A97 &lt; 365), ((E97*D97)+P97), "")</f>
        <v/>
      </c>
      <c r="R178" s="49">
        <f>IF(AND( C97="Buy", ISBLANK(W97), B97&lt;&gt;"DIV", NOW()-A97 &lt; 365), D97, "")</f>
        <v/>
      </c>
      <c r="S178" s="49" t="n"/>
      <c r="T178" s="49">
        <f>IF(AND( C97="Buy", ISBLANK(W97), B97&lt;&gt;"DIV", NOW()-A97 &gt; 365), (J97*D97)-(E97*D97)-(2*sum(H97:I97)), "")</f>
        <v/>
      </c>
      <c r="U178" s="49">
        <f>IF(AND( C97="Buy", ISBLANK(W97), B97&lt;&gt;"DIV", NOW()-A97 &gt; 365), ((E97*D97)+T97), "")</f>
        <v/>
      </c>
      <c r="V178" s="49">
        <f>IF(AND( C97="Buy", ISBLANK(W97), B97&lt;&gt;"DIV", NOW()-A97 &gt; 365), D97, "")</f>
        <v/>
      </c>
      <c r="W178" s="41" t="n">
        <v>326.02</v>
      </c>
      <c r="X178" s="38" t="n">
        <v>45565</v>
      </c>
      <c r="Y178" s="47">
        <f>IF(AND( C97="Buy", W97&lt;&gt;"", AA97&lt;&gt;"", B97&lt;&gt;"DIV"), Z97/sum(F97:I97), "")</f>
        <v/>
      </c>
      <c r="Z178" s="57">
        <f>(1-Index!$F$2*2)*((W97*D97)-(E97*D97))</f>
        <v/>
      </c>
      <c r="AA178" s="57">
        <f>((E97*D97)+Z97)</f>
        <v/>
      </c>
      <c r="AB178" s="58">
        <f>D97</f>
        <v/>
      </c>
      <c r="AC178" s="56">
        <f>if(B97="DIV", F97,"")</f>
        <v/>
      </c>
      <c r="AD178" s="65" t="inlineStr">
        <is>
          <t>SBI Securities</t>
        </is>
      </c>
    </row>
    <row r="179">
      <c r="A179" s="66" t="n">
        <v>44473</v>
      </c>
      <c r="B179" s="67" t="inlineStr">
        <is>
          <t>NSE</t>
        </is>
      </c>
      <c r="C179" s="67" t="inlineStr">
        <is>
          <t>Buy</t>
        </is>
      </c>
      <c r="D179" s="72" t="n">
        <v>6</v>
      </c>
      <c r="E179" s="69" t="n">
        <v>284.148333</v>
      </c>
      <c r="F179" s="71" t="n">
        <v>1717.03</v>
      </c>
      <c r="G179" s="70" t="inlineStr">
        <is>
          <t>~</t>
        </is>
      </c>
      <c r="H179" s="70" t="n">
        <v>1.71</v>
      </c>
      <c r="I179" s="70" t="n">
        <v>10.42</v>
      </c>
      <c r="J179" s="71">
        <f>Index!$C$2</f>
        <v/>
      </c>
      <c r="K179" s="54" t="n"/>
      <c r="L179" s="54">
        <f>IF(AND( C98="Buy", ISBLANK(W98), B98&lt;&gt;"DIV"), (1-Index!$F$2*2)*((J98*D98)-(E98*D98)), "")</f>
        <v/>
      </c>
      <c r="M179" s="49">
        <f>IF(AND( C98="Buy", ISBLANK(W98), B98&lt;&gt;"DIV"), ((E98*D98)+L98), "")</f>
        <v/>
      </c>
      <c r="N179" s="51">
        <f>IF(AND( C98="Buy", ISBLANK(W98), B98&lt;&gt;"DIV"), D98, "")</f>
        <v/>
      </c>
      <c r="O179" s="49" t="n"/>
      <c r="P179" s="54">
        <f>IF(AND( C98="Buy", ISBLANK(W98), B98&lt;&gt;"DIV", NOW()-A98 &lt; 365), (1-Index!$F$2*2)*((J98*D98)-(E98*D98)), "")</f>
        <v/>
      </c>
      <c r="Q179" s="49">
        <f>IF(AND( C98="Buy", ISBLANK(W98), B98&lt;&gt;"DIV", NOW()-A98 &lt; 365), ((E98*D98)+P98), "")</f>
        <v/>
      </c>
      <c r="R179" s="49">
        <f>IF(AND( C98="Buy", ISBLANK(W98), B98&lt;&gt;"DIV", NOW()-A98 &lt; 365), D98, "")</f>
        <v/>
      </c>
      <c r="S179" s="49" t="n"/>
      <c r="T179" s="49">
        <f>IF(AND( C98="Buy", ISBLANK(W98), B98&lt;&gt;"DIV", NOW()-A98 &gt; 365), (J98*D98)-(E98*D98)-(2*sum(H98:I98)), "")</f>
        <v/>
      </c>
      <c r="U179" s="49">
        <f>IF(AND( C98="Buy", ISBLANK(W98), B98&lt;&gt;"DIV", NOW()-A98 &gt; 365), ((E98*D98)+T98), "")</f>
        <v/>
      </c>
      <c r="V179" s="49">
        <f>IF(AND( C98="Buy", ISBLANK(W98), B98&lt;&gt;"DIV", NOW()-A98 &gt; 365), D98, "")</f>
        <v/>
      </c>
      <c r="W179" s="41" t="n">
        <v>326.02</v>
      </c>
      <c r="X179" s="38" t="n">
        <v>45565</v>
      </c>
      <c r="Y179" s="47">
        <f>IF(AND( C98="Buy", W98&lt;&gt;"", AA98&lt;&gt;"", B98&lt;&gt;"DIV"), Z98/sum(F98:I98), "")</f>
        <v/>
      </c>
      <c r="Z179" s="57">
        <f>(1-Index!$F$2*2)*((W98*D98)-(E98*D98))</f>
        <v/>
      </c>
      <c r="AA179" s="57">
        <f>((E98*D98)+Z98)</f>
        <v/>
      </c>
      <c r="AB179" s="58">
        <f>D98</f>
        <v/>
      </c>
      <c r="AC179" s="56">
        <f>if(B98="DIV", F98,"")</f>
        <v/>
      </c>
      <c r="AD179" s="65" t="inlineStr">
        <is>
          <t>SBI Securities</t>
        </is>
      </c>
    </row>
    <row r="180">
      <c r="A180" s="66" t="n">
        <v>44473</v>
      </c>
      <c r="B180" s="67" t="inlineStr">
        <is>
          <t>NSE</t>
        </is>
      </c>
      <c r="C180" s="67" t="inlineStr">
        <is>
          <t>Buy</t>
        </is>
      </c>
      <c r="D180" s="72" t="n">
        <v>16</v>
      </c>
      <c r="E180" s="69" t="n">
        <v>284.15125</v>
      </c>
      <c r="F180" s="71" t="n">
        <v>4578.7</v>
      </c>
      <c r="G180" s="70" t="inlineStr">
        <is>
          <t>~</t>
        </is>
      </c>
      <c r="H180" s="70" t="n">
        <v>4.56</v>
      </c>
      <c r="I180" s="70" t="n">
        <v>27.74</v>
      </c>
      <c r="J180" s="71">
        <f>Index!$C$2</f>
        <v/>
      </c>
      <c r="K180" s="54" t="n"/>
      <c r="L180" s="54">
        <f>IF(AND( C99="Buy", ISBLANK(W99), B99&lt;&gt;"DIV"), (1-Index!$F$2*2)*((J99*D99)-(E99*D99)), "")</f>
        <v/>
      </c>
      <c r="M180" s="49">
        <f>IF(AND( C99="Buy", ISBLANK(W99), B99&lt;&gt;"DIV"), ((E99*D99)+L99), "")</f>
        <v/>
      </c>
      <c r="N180" s="51">
        <f>IF(AND( C99="Buy", ISBLANK(W99), B99&lt;&gt;"DIV"), D99, "")</f>
        <v/>
      </c>
      <c r="O180" s="49" t="n"/>
      <c r="P180" s="54">
        <f>IF(AND( C99="Buy", ISBLANK(W99), B99&lt;&gt;"DIV", NOW()-A99 &lt; 365), (1-Index!$F$2*2)*((J99*D99)-(E99*D99)), "")</f>
        <v/>
      </c>
      <c r="Q180" s="49">
        <f>IF(AND( C99="Buy", ISBLANK(W99), B99&lt;&gt;"DIV", NOW()-A99 &lt; 365), ((E99*D99)+P99), "")</f>
        <v/>
      </c>
      <c r="R180" s="49">
        <f>IF(AND( C99="Buy", ISBLANK(W99), B99&lt;&gt;"DIV", NOW()-A99 &lt; 365), D99, "")</f>
        <v/>
      </c>
      <c r="S180" s="49" t="n"/>
      <c r="T180" s="49">
        <f>IF(AND( C99="Buy", ISBLANK(W99), B99&lt;&gt;"DIV", NOW()-A99 &gt; 365), (J99*D99)-(E99*D99)-(2*sum(H99:I99)), "")</f>
        <v/>
      </c>
      <c r="U180" s="49">
        <f>IF(AND( C99="Buy", ISBLANK(W99), B99&lt;&gt;"DIV", NOW()-A99 &gt; 365), ((E99*D99)+T99), "")</f>
        <v/>
      </c>
      <c r="V180" s="49">
        <f>IF(AND( C99="Buy", ISBLANK(W99), B99&lt;&gt;"DIV", NOW()-A99 &gt; 365), D99, "")</f>
        <v/>
      </c>
      <c r="W180" s="41" t="n">
        <v>326.02</v>
      </c>
      <c r="X180" s="38" t="n">
        <v>45565</v>
      </c>
      <c r="Y180" s="47">
        <f>IF(AND( C99="Buy", W99&lt;&gt;"", AA99&lt;&gt;"", B99&lt;&gt;"DIV"), Z99/sum(F99:I99), "")</f>
        <v/>
      </c>
      <c r="Z180" s="57">
        <f>(1-Index!$F$2*2)*((W99*D99)-(E99*D99))</f>
        <v/>
      </c>
      <c r="AA180" s="57">
        <f>((E99*D99)+Z99)</f>
        <v/>
      </c>
      <c r="AB180" s="58">
        <f>D99</f>
        <v/>
      </c>
      <c r="AC180" s="56">
        <f>if(B99="DIV", F99,"")</f>
        <v/>
      </c>
      <c r="AD180" s="65" t="inlineStr">
        <is>
          <t>SBI Securities</t>
        </is>
      </c>
    </row>
    <row r="181">
      <c r="A181" s="66" t="n">
        <v>44473</v>
      </c>
      <c r="B181" s="67" t="inlineStr">
        <is>
          <t>NSE</t>
        </is>
      </c>
      <c r="C181" s="67" t="inlineStr">
        <is>
          <t>Buy</t>
        </is>
      </c>
      <c r="D181" s="72" t="n">
        <v>17</v>
      </c>
      <c r="E181" s="69" t="n">
        <v>284.151765</v>
      </c>
      <c r="F181" s="71" t="n">
        <v>4864.86</v>
      </c>
      <c r="G181" s="70" t="inlineStr">
        <is>
          <t>~</t>
        </is>
      </c>
      <c r="H181" s="70" t="n">
        <v>4.84</v>
      </c>
      <c r="I181" s="70" t="n">
        <v>29.47</v>
      </c>
      <c r="J181" s="71">
        <f>Index!$C$2</f>
        <v/>
      </c>
      <c r="K181" s="54" t="n"/>
      <c r="L181" s="54">
        <f>IF(AND( C100="Buy", ISBLANK(W100), B100&lt;&gt;"DIV"), (1-Index!$F$2*2)*((J100*D100)-(E100*D100)), "")</f>
        <v/>
      </c>
      <c r="M181" s="49">
        <f>IF(AND( C100="Buy", ISBLANK(W100), B100&lt;&gt;"DIV"), ((E100*D100)+L100), "")</f>
        <v/>
      </c>
      <c r="N181" s="51">
        <f>IF(AND( C100="Buy", ISBLANK(W100), B100&lt;&gt;"DIV"), D100, "")</f>
        <v/>
      </c>
      <c r="O181" s="49" t="n"/>
      <c r="P181" s="54">
        <f>IF(AND( C100="Buy", ISBLANK(W100), B100&lt;&gt;"DIV", NOW()-A100 &lt; 365), (1-Index!$F$2*2)*((J100*D100)-(E100*D100)), "")</f>
        <v/>
      </c>
      <c r="Q181" s="49">
        <f>IF(AND( C100="Buy", ISBLANK(W100), B100&lt;&gt;"DIV", NOW()-A100 &lt; 365), ((E100*D100)+P100), "")</f>
        <v/>
      </c>
      <c r="R181" s="49">
        <f>IF(AND( C100="Buy", ISBLANK(W100), B100&lt;&gt;"DIV", NOW()-A100 &lt; 365), D100, "")</f>
        <v/>
      </c>
      <c r="S181" s="49" t="n"/>
      <c r="T181" s="49">
        <f>IF(AND( C100="Buy", ISBLANK(W100), B100&lt;&gt;"DIV", NOW()-A100 &gt; 365), (J100*D100)-(E100*D100)-(2*sum(H100:I100)), "")</f>
        <v/>
      </c>
      <c r="U181" s="49">
        <f>IF(AND( C100="Buy", ISBLANK(W100), B100&lt;&gt;"DIV", NOW()-A100 &gt; 365), ((E100*D100)+T100), "")</f>
        <v/>
      </c>
      <c r="V181" s="49">
        <f>IF(AND( C100="Buy", ISBLANK(W100), B100&lt;&gt;"DIV", NOW()-A100 &gt; 365), D100, "")</f>
        <v/>
      </c>
      <c r="W181" s="41" t="n">
        <v>326.02</v>
      </c>
      <c r="X181" s="38" t="n">
        <v>45565</v>
      </c>
      <c r="Y181" s="47">
        <f>IF(AND( C100="Buy", W100&lt;&gt;"", AA100&lt;&gt;"", B100&lt;&gt;"DIV"), Z100/sum(F100:I100), "")</f>
        <v/>
      </c>
      <c r="Z181" s="57">
        <f>(1-Index!$F$2*2)*((W100*D100)-(E100*D100))</f>
        <v/>
      </c>
      <c r="AA181" s="57">
        <f>((E100*D100)+Z100)</f>
        <v/>
      </c>
      <c r="AB181" s="58">
        <f>D100</f>
        <v/>
      </c>
      <c r="AC181" s="56">
        <f>if(B100="DIV", F100,"")</f>
        <v/>
      </c>
      <c r="AD181" s="65" t="inlineStr">
        <is>
          <t>SBI Securities</t>
        </is>
      </c>
    </row>
    <row r="182">
      <c r="A182" s="66" t="n">
        <v>44356</v>
      </c>
      <c r="B182" s="67" t="inlineStr">
        <is>
          <t>DIV</t>
        </is>
      </c>
      <c r="C182" s="67" t="inlineStr">
        <is>
          <t>Buy</t>
        </is>
      </c>
      <c r="D182" s="70" t="n">
        <v>195</v>
      </c>
      <c r="E182" s="69" t="n">
        <v>2.7</v>
      </c>
      <c r="F182" s="71" t="n">
        <v>526.5</v>
      </c>
      <c r="G182" s="70" t="inlineStr">
        <is>
          <t>Annual-Dividend of Rs.3.0000/- per share on Ex-Date: 09-JUN-2021</t>
        </is>
      </c>
      <c r="H182" s="70" t="n">
        <v>0</v>
      </c>
      <c r="I182" s="70" t="n">
        <v>0</v>
      </c>
      <c r="J182" s="71">
        <f>Index!$C$2</f>
        <v/>
      </c>
      <c r="K182" s="54" t="n"/>
      <c r="L182" s="54">
        <f>IF(AND( C101="Buy", ISBLANK(W101), B101&lt;&gt;"DIV"), (1-Index!$F$2*2)*((J101*D101)-(E101*D101)), "")</f>
        <v/>
      </c>
      <c r="M182" s="49">
        <f>IF(AND( C101="Buy", ISBLANK(W101), B101&lt;&gt;"DIV"), ((E101*D101)+L101), "")</f>
        <v/>
      </c>
      <c r="N182" s="51">
        <f>IF(AND( C101="Buy", ISBLANK(W101), B101&lt;&gt;"DIV"), D101, "")</f>
        <v/>
      </c>
      <c r="O182" s="49" t="n"/>
      <c r="P182" s="54">
        <f>IF(AND( C101="Buy", ISBLANK(W101), B101&lt;&gt;"DIV", NOW()-A101 &lt; 365), (1-Index!$F$2*2)*((J101*D101)-(E101*D101)), "")</f>
        <v/>
      </c>
      <c r="Q182" s="49">
        <f>IF(AND( C101="Buy", ISBLANK(W101), B101&lt;&gt;"DIV", NOW()-A101 &lt; 365), ((E101*D101)+P101), "")</f>
        <v/>
      </c>
      <c r="R182" s="49">
        <f>IF(AND( C101="Buy", ISBLANK(W101), B101&lt;&gt;"DIV", NOW()-A101 &lt; 365), D101, "")</f>
        <v/>
      </c>
      <c r="S182" s="49" t="n"/>
      <c r="T182" s="49">
        <f>IF(AND( C101="Buy", ISBLANK(W101), B101&lt;&gt;"DIV", NOW()-A101 &gt; 365), (J101*D101)-(E101*D101)-(2*sum(H101:I101)), "")</f>
        <v/>
      </c>
      <c r="U182" s="49">
        <f>IF(AND( C101="Buy", ISBLANK(W101), B101&lt;&gt;"DIV", NOW()-A101 &gt; 365), ((E101*D101)+T101), "")</f>
        <v/>
      </c>
      <c r="V182" s="49">
        <f>IF(AND( C101="Buy", ISBLANK(W101), B101&lt;&gt;"DIV", NOW()-A101 &gt; 365), D101, "")</f>
        <v/>
      </c>
      <c r="W182" s="54" t="n"/>
      <c r="X182" s="54" t="n"/>
      <c r="Y182" s="47">
        <f>IF(AND( C101="Buy", W101&lt;&gt;"", AA101&lt;&gt;"", B101&lt;&gt;"DIV"), Z101/sum(F101:I101), "")</f>
        <v/>
      </c>
      <c r="Z182" s="54" t="n"/>
      <c r="AA182" s="54" t="n"/>
      <c r="AB182" s="55" t="n"/>
      <c r="AC182" s="56">
        <f>if(B101="DIV", F101,"")</f>
        <v/>
      </c>
      <c r="AD182" s="65" t="inlineStr">
        <is>
          <t>SBI Securities</t>
        </is>
      </c>
    </row>
    <row r="183">
      <c r="A183" s="66" t="n">
        <v>44291</v>
      </c>
      <c r="B183" s="67" t="inlineStr">
        <is>
          <t>NSE</t>
        </is>
      </c>
      <c r="C183" s="67" t="inlineStr">
        <is>
          <t>Buy</t>
        </is>
      </c>
      <c r="D183" s="72" t="n">
        <v>15</v>
      </c>
      <c r="E183" s="69" t="n">
        <v>253.737333</v>
      </c>
      <c r="F183" s="71" t="n">
        <v>3832.99</v>
      </c>
      <c r="G183" s="70" t="inlineStr">
        <is>
          <t>~</t>
        </is>
      </c>
      <c r="H183" s="70" t="n">
        <v>3.87</v>
      </c>
      <c r="I183" s="70" t="n">
        <v>23.02</v>
      </c>
      <c r="J183" s="71">
        <f>Index!$C$2</f>
        <v/>
      </c>
      <c r="K183" s="54" t="n"/>
      <c r="L183" s="54">
        <f>IF(AND( C102="Buy", ISBLANK(W102), B102&lt;&gt;"DIV"), (1-Index!$F$2*2)*((J102*D102)-(E102*D102)), "")</f>
        <v/>
      </c>
      <c r="M183" s="49">
        <f>IF(AND( C102="Buy", ISBLANK(W102), B102&lt;&gt;"DIV"), ((E102*D102)+L102), "")</f>
        <v/>
      </c>
      <c r="N183" s="51">
        <f>IF(AND( C102="Buy", ISBLANK(W102), B102&lt;&gt;"DIV"), D102, "")</f>
        <v/>
      </c>
      <c r="O183" s="49" t="n"/>
      <c r="P183" s="54">
        <f>IF(AND( C102="Buy", ISBLANK(W102), B102&lt;&gt;"DIV", NOW()-A102 &lt; 365), (1-Index!$F$2*2)*((J102*D102)-(E102*D102)), "")</f>
        <v/>
      </c>
      <c r="Q183" s="49">
        <f>IF(AND( C102="Buy", ISBLANK(W102), B102&lt;&gt;"DIV", NOW()-A102 &lt; 365), ((E102*D102)+P102), "")</f>
        <v/>
      </c>
      <c r="R183" s="49">
        <f>IF(AND( C102="Buy", ISBLANK(W102), B102&lt;&gt;"DIV", NOW()-A102 &lt; 365), D102, "")</f>
        <v/>
      </c>
      <c r="S183" s="49" t="n"/>
      <c r="T183" s="49">
        <f>IF(AND( C102="Buy", ISBLANK(W102), B102&lt;&gt;"DIV", NOW()-A102 &gt; 365), (J102*D102)-(E102*D102)-(2*sum(H102:I102)), "")</f>
        <v/>
      </c>
      <c r="U183" s="49">
        <f>IF(AND( C102="Buy", ISBLANK(W102), B102&lt;&gt;"DIV", NOW()-A102 &gt; 365), ((E102*D102)+T102), "")</f>
        <v/>
      </c>
      <c r="V183" s="49">
        <f>IF(AND( C102="Buy", ISBLANK(W102), B102&lt;&gt;"DIV", NOW()-A102 &gt; 365), D102, "")</f>
        <v/>
      </c>
      <c r="W183" s="41" t="n">
        <v>326.02</v>
      </c>
      <c r="X183" s="38" t="n">
        <v>45565</v>
      </c>
      <c r="Y183" s="47">
        <f>IF(AND( C102="Buy", W102&lt;&gt;"", AA102&lt;&gt;"", B102&lt;&gt;"DIV"), Z102/sum(F102:I102), "")</f>
        <v/>
      </c>
      <c r="Z183" s="57">
        <f>(1-Index!$F$2*2)*((W102*D102)-(E102*D102))</f>
        <v/>
      </c>
      <c r="AA183" s="57">
        <f>((E102*D102)+Z102)</f>
        <v/>
      </c>
      <c r="AB183" s="58">
        <f>D102</f>
        <v/>
      </c>
      <c r="AC183" s="56">
        <f>if(B102="DIV", F102,"")</f>
        <v/>
      </c>
      <c r="AD183" s="65" t="inlineStr">
        <is>
          <t>SBI Securities</t>
        </is>
      </c>
    </row>
    <row r="184">
      <c r="A184" s="66" t="n">
        <v>44223</v>
      </c>
      <c r="B184" s="67" t="inlineStr">
        <is>
          <t>NSE</t>
        </is>
      </c>
      <c r="C184" s="67" t="inlineStr">
        <is>
          <t>Buy</t>
        </is>
      </c>
      <c r="D184" s="72" t="n">
        <v>10</v>
      </c>
      <c r="E184" s="69" t="n">
        <v>277.904</v>
      </c>
      <c r="F184" s="71" t="n">
        <v>2798.66</v>
      </c>
      <c r="G184" s="70" t="inlineStr">
        <is>
          <t>~</t>
        </is>
      </c>
      <c r="H184" s="70" t="n">
        <v>2.72</v>
      </c>
      <c r="I184" s="70" t="n">
        <v>16.94</v>
      </c>
      <c r="J184" s="71">
        <f>Index!$C$2</f>
        <v/>
      </c>
      <c r="K184" s="54" t="n"/>
      <c r="L184" s="54">
        <f>IF(AND( C103="Buy", ISBLANK(W103), B103&lt;&gt;"DIV"), (1-Index!$F$2*2)*((J103*D103)-(E103*D103)), "")</f>
        <v/>
      </c>
      <c r="M184" s="49">
        <f>IF(AND( C103="Buy", ISBLANK(W103), B103&lt;&gt;"DIV"), ((E103*D103)+L103), "")</f>
        <v/>
      </c>
      <c r="N184" s="51">
        <f>IF(AND( C103="Buy", ISBLANK(W103), B103&lt;&gt;"DIV"), D103, "")</f>
        <v/>
      </c>
      <c r="O184" s="49" t="n"/>
      <c r="P184" s="54">
        <f>IF(AND( C103="Buy", ISBLANK(W103), B103&lt;&gt;"DIV", NOW()-A103 &lt; 365), (1-Index!$F$2*2)*((J103*D103)-(E103*D103)), "")</f>
        <v/>
      </c>
      <c r="Q184" s="49">
        <f>IF(AND( C103="Buy", ISBLANK(W103), B103&lt;&gt;"DIV", NOW()-A103 &lt; 365), ((E103*D103)+P103), "")</f>
        <v/>
      </c>
      <c r="R184" s="49">
        <f>IF(AND( C103="Buy", ISBLANK(W103), B103&lt;&gt;"DIV", NOW()-A103 &lt; 365), D103, "")</f>
        <v/>
      </c>
      <c r="S184" s="49" t="n"/>
      <c r="T184" s="49">
        <f>IF(AND( C103="Buy", ISBLANK(W103), B103&lt;&gt;"DIV", NOW()-A103 &gt; 365), (J103*D103)-(E103*D103)-(2*sum(H103:I103)), "")</f>
        <v/>
      </c>
      <c r="U184" s="49">
        <f>IF(AND( C103="Buy", ISBLANK(W103), B103&lt;&gt;"DIV", NOW()-A103 &gt; 365), ((E103*D103)+T103), "")</f>
        <v/>
      </c>
      <c r="V184" s="49">
        <f>IF(AND( C103="Buy", ISBLANK(W103), B103&lt;&gt;"DIV", NOW()-A103 &gt; 365), D103, "")</f>
        <v/>
      </c>
      <c r="W184" s="41" t="n">
        <v>326.02</v>
      </c>
      <c r="X184" s="38" t="n">
        <v>45565</v>
      </c>
      <c r="Y184" s="47">
        <f>IF(AND( C103="Buy", W103&lt;&gt;"", AA103&lt;&gt;"", B103&lt;&gt;"DIV"), Z103/sum(F103:I103), "")</f>
        <v/>
      </c>
      <c r="Z184" s="57">
        <f>(1-Index!$F$2*2)*((W103*D103)-(E103*D103))</f>
        <v/>
      </c>
      <c r="AA184" s="57">
        <f>((E103*D103)+Z103)</f>
        <v/>
      </c>
      <c r="AB184" s="58">
        <f>D103</f>
        <v/>
      </c>
      <c r="AC184" s="56">
        <f>if(B103="DIV", F103,"")</f>
        <v/>
      </c>
      <c r="AD184" s="65" t="inlineStr">
        <is>
          <t>SBI Securities</t>
        </is>
      </c>
    </row>
    <row r="185">
      <c r="A185" s="66" t="n">
        <v>44221</v>
      </c>
      <c r="B185" s="67" t="inlineStr">
        <is>
          <t>NSE</t>
        </is>
      </c>
      <c r="C185" s="67" t="inlineStr">
        <is>
          <t>Buy</t>
        </is>
      </c>
      <c r="D185" s="72" t="n">
        <v>10</v>
      </c>
      <c r="E185" s="69" t="n">
        <v>278.995</v>
      </c>
      <c r="F185" s="71" t="n">
        <v>2809.45</v>
      </c>
      <c r="G185" s="70" t="inlineStr">
        <is>
          <t>~</t>
        </is>
      </c>
      <c r="H185" s="70" t="n">
        <v>2.39</v>
      </c>
      <c r="I185" s="70" t="n">
        <v>17.06</v>
      </c>
      <c r="J185" s="71">
        <f>Index!$C$2</f>
        <v/>
      </c>
      <c r="K185" s="54" t="n"/>
      <c r="L185" s="54">
        <f>IF(AND( C104="Buy", ISBLANK(W104), B104&lt;&gt;"DIV"), (1-Index!$F$2*2)*((J104*D104)-(E104*D104)), "")</f>
        <v/>
      </c>
      <c r="M185" s="49">
        <f>IF(AND( C104="Buy", ISBLANK(W104), B104&lt;&gt;"DIV"), ((E104*D104)+L104), "")</f>
        <v/>
      </c>
      <c r="N185" s="51">
        <f>IF(AND( C104="Buy", ISBLANK(W104), B104&lt;&gt;"DIV"), D104, "")</f>
        <v/>
      </c>
      <c r="O185" s="49" t="n"/>
      <c r="P185" s="54">
        <f>IF(AND( C104="Buy", ISBLANK(W104), B104&lt;&gt;"DIV", NOW()-A104 &lt; 365), (1-Index!$F$2*2)*((J104*D104)-(E104*D104)), "")</f>
        <v/>
      </c>
      <c r="Q185" s="49">
        <f>IF(AND( C104="Buy", ISBLANK(W104), B104&lt;&gt;"DIV", NOW()-A104 &lt; 365), ((E104*D104)+P104), "")</f>
        <v/>
      </c>
      <c r="R185" s="49">
        <f>IF(AND( C104="Buy", ISBLANK(W104), B104&lt;&gt;"DIV", NOW()-A104 &lt; 365), D104, "")</f>
        <v/>
      </c>
      <c r="S185" s="49" t="n"/>
      <c r="T185" s="49">
        <f>IF(AND( C104="Buy", ISBLANK(W104), B104&lt;&gt;"DIV", NOW()-A104 &gt; 365), (J104*D104)-(E104*D104)-(2*sum(H104:I104)), "")</f>
        <v/>
      </c>
      <c r="U185" s="49">
        <f>IF(AND( C104="Buy", ISBLANK(W104), B104&lt;&gt;"DIV", NOW()-A104 &gt; 365), ((E104*D104)+T104), "")</f>
        <v/>
      </c>
      <c r="V185" s="49">
        <f>IF(AND( C104="Buy", ISBLANK(W104), B104&lt;&gt;"DIV", NOW()-A104 &gt; 365), D104, "")</f>
        <v/>
      </c>
      <c r="W185" s="41" t="n">
        <v>326.02</v>
      </c>
      <c r="X185" s="38" t="n">
        <v>45565</v>
      </c>
      <c r="Y185" s="47">
        <f>IF(AND( C104="Buy", W104&lt;&gt;"", AA104&lt;&gt;"", B104&lt;&gt;"DIV"), Z104/sum(F104:I104), "")</f>
        <v/>
      </c>
      <c r="Z185" s="57">
        <f>(1-Index!$F$2*2)*((W104*D104)-(E104*D104))</f>
        <v/>
      </c>
      <c r="AA185" s="57">
        <f>((E104*D104)+Z104)</f>
        <v/>
      </c>
      <c r="AB185" s="58">
        <f>D104</f>
        <v/>
      </c>
      <c r="AC185" s="56">
        <f>if(B104="DIV", F104,"")</f>
        <v/>
      </c>
      <c r="AD185" s="65" t="inlineStr">
        <is>
          <t>SBI Securities</t>
        </is>
      </c>
    </row>
    <row r="186">
      <c r="A186" s="66" t="n">
        <v>44214</v>
      </c>
      <c r="B186" s="67" t="inlineStr">
        <is>
          <t>NSE</t>
        </is>
      </c>
      <c r="C186" s="67" t="inlineStr">
        <is>
          <t>Buy</t>
        </is>
      </c>
      <c r="D186" s="72" t="n">
        <v>10</v>
      </c>
      <c r="E186" s="69" t="n">
        <v>281.804</v>
      </c>
      <c r="F186" s="71" t="n">
        <v>2837.36</v>
      </c>
      <c r="G186" s="70" t="inlineStr">
        <is>
          <t>~</t>
        </is>
      </c>
      <c r="H186" s="70" t="n">
        <v>2.2</v>
      </c>
      <c r="I186" s="70" t="n">
        <v>17.16</v>
      </c>
      <c r="J186" s="71">
        <f>Index!$C$2</f>
        <v/>
      </c>
      <c r="K186" s="54" t="n"/>
      <c r="L186" s="54">
        <f>IF(AND( C105="Buy", ISBLANK(W105), B105&lt;&gt;"DIV"), (1-Index!$F$2*2)*((J105*D105)-(E105*D105)), "")</f>
        <v/>
      </c>
      <c r="M186" s="49">
        <f>IF(AND( C105="Buy", ISBLANK(W105), B105&lt;&gt;"DIV"), ((E105*D105)+L105), "")</f>
        <v/>
      </c>
      <c r="N186" s="51">
        <f>IF(AND( C105="Buy", ISBLANK(W105), B105&lt;&gt;"DIV"), D105, "")</f>
        <v/>
      </c>
      <c r="O186" s="49" t="n"/>
      <c r="P186" s="54">
        <f>IF(AND( C105="Buy", ISBLANK(W105), B105&lt;&gt;"DIV", NOW()-A105 &lt; 365), (1-Index!$F$2*2)*((J105*D105)-(E105*D105)), "")</f>
        <v/>
      </c>
      <c r="Q186" s="49">
        <f>IF(AND( C105="Buy", ISBLANK(W105), B105&lt;&gt;"DIV", NOW()-A105 &lt; 365), ((E105*D105)+P105), "")</f>
        <v/>
      </c>
      <c r="R186" s="49">
        <f>IF(AND( C105="Buy", ISBLANK(W105), B105&lt;&gt;"DIV", NOW()-A105 &lt; 365), D105, "")</f>
        <v/>
      </c>
      <c r="S186" s="49" t="n"/>
      <c r="T186" s="49">
        <f>IF(AND( C105="Buy", ISBLANK(W105), B105&lt;&gt;"DIV", NOW()-A105 &gt; 365), (J105*D105)-(E105*D105)-(2*sum(H105:I105)), "")</f>
        <v/>
      </c>
      <c r="U186" s="49">
        <f>IF(AND( C105="Buy", ISBLANK(W105), B105&lt;&gt;"DIV", NOW()-A105 &gt; 365), ((E105*D105)+T105), "")</f>
        <v/>
      </c>
      <c r="V186" s="49">
        <f>IF(AND( C105="Buy", ISBLANK(W105), B105&lt;&gt;"DIV", NOW()-A105 &gt; 365), D105, "")</f>
        <v/>
      </c>
      <c r="W186" s="41" t="n">
        <v>326.02</v>
      </c>
      <c r="X186" s="38" t="n">
        <v>45565</v>
      </c>
      <c r="Y186" s="47">
        <f>IF(AND( C105="Buy", W105&lt;&gt;"", AA105&lt;&gt;"", B105&lt;&gt;"DIV"), Z105/sum(F105:I105), "")</f>
        <v/>
      </c>
      <c r="Z186" s="57">
        <f>(1-Index!$F$2*2)*((W105*D105)-(E105*D105))</f>
        <v/>
      </c>
      <c r="AA186" s="57">
        <f>((E105*D105)+Z105)</f>
        <v/>
      </c>
      <c r="AB186" s="58">
        <f>D105</f>
        <v/>
      </c>
      <c r="AC186" s="56">
        <f>if(B105="DIV", F105,"")</f>
        <v/>
      </c>
      <c r="AD186" s="65" t="inlineStr">
        <is>
          <t>SBI Securities</t>
        </is>
      </c>
    </row>
    <row r="187">
      <c r="A187" s="66" t="n">
        <v>44210</v>
      </c>
      <c r="B187" s="67" t="inlineStr">
        <is>
          <t>NSE</t>
        </is>
      </c>
      <c r="C187" s="67" t="inlineStr">
        <is>
          <t>Buy</t>
        </is>
      </c>
      <c r="D187" s="72" t="n">
        <v>10</v>
      </c>
      <c r="E187" s="69" t="n">
        <v>294.694</v>
      </c>
      <c r="F187" s="71" t="n">
        <v>2966.81</v>
      </c>
      <c r="G187" s="70" t="inlineStr">
        <is>
          <t>~</t>
        </is>
      </c>
      <c r="H187" s="70" t="n">
        <v>1.97</v>
      </c>
      <c r="I187" s="70" t="n">
        <v>17.89</v>
      </c>
      <c r="J187" s="71">
        <f>Index!$C$2</f>
        <v/>
      </c>
      <c r="K187" s="54" t="n"/>
      <c r="L187" s="54">
        <f>IF(AND( C106="Buy", ISBLANK(W106), B106&lt;&gt;"DIV"), (1-Index!$F$2*2)*((J106*D106)-(E106*D106)), "")</f>
        <v/>
      </c>
      <c r="M187" s="49">
        <f>IF(AND( C106="Buy", ISBLANK(W106), B106&lt;&gt;"DIV"), ((E106*D106)+L106), "")</f>
        <v/>
      </c>
      <c r="N187" s="51">
        <f>IF(AND( C106="Buy", ISBLANK(W106), B106&lt;&gt;"DIV"), D106, "")</f>
        <v/>
      </c>
      <c r="O187" s="49" t="n"/>
      <c r="P187" s="54">
        <f>IF(AND( C106="Buy", ISBLANK(W106), B106&lt;&gt;"DIV", NOW()-A106 &lt; 365), (1-Index!$F$2*2)*((J106*D106)-(E106*D106)), "")</f>
        <v/>
      </c>
      <c r="Q187" s="49">
        <f>IF(AND( C106="Buy", ISBLANK(W106), B106&lt;&gt;"DIV", NOW()-A106 &lt; 365), ((E106*D106)+P106), "")</f>
        <v/>
      </c>
      <c r="R187" s="49">
        <f>IF(AND( C106="Buy", ISBLANK(W106), B106&lt;&gt;"DIV", NOW()-A106 &lt; 365), D106, "")</f>
        <v/>
      </c>
      <c r="S187" s="49" t="n"/>
      <c r="T187" s="49">
        <f>IF(AND( C106="Buy", ISBLANK(W106), B106&lt;&gt;"DIV", NOW()-A106 &gt; 365), (J106*D106)-(E106*D106)-(2*sum(H106:I106)), "")</f>
        <v/>
      </c>
      <c r="U187" s="49">
        <f>IF(AND( C106="Buy", ISBLANK(W106), B106&lt;&gt;"DIV", NOW()-A106 &gt; 365), ((E106*D106)+T106), "")</f>
        <v/>
      </c>
      <c r="V187" s="49">
        <f>IF(AND( C106="Buy", ISBLANK(W106), B106&lt;&gt;"DIV", NOW()-A106 &gt; 365), D106, "")</f>
        <v/>
      </c>
      <c r="W187" s="41" t="n">
        <v>326.02</v>
      </c>
      <c r="X187" s="38" t="n">
        <v>45565</v>
      </c>
      <c r="Y187" s="47">
        <f>IF(AND( C106="Buy", W106&lt;&gt;"", AA106&lt;&gt;"", B106&lt;&gt;"DIV"), Z106/sum(F106:I106), "")</f>
        <v/>
      </c>
      <c r="Z187" s="57">
        <f>(1-Index!$F$2*2)*((W106*D106)-(E106*D106))</f>
        <v/>
      </c>
      <c r="AA187" s="57">
        <f>((E106*D106)+Z106)</f>
        <v/>
      </c>
      <c r="AB187" s="58">
        <f>D106</f>
        <v/>
      </c>
      <c r="AC187" s="56">
        <f>if(B106="DIV", F106,"")</f>
        <v/>
      </c>
      <c r="AD187" s="65" t="inlineStr">
        <is>
          <t>SBI Securities</t>
        </is>
      </c>
    </row>
    <row r="188">
      <c r="A188" s="66" t="n">
        <v>44207</v>
      </c>
      <c r="B188" s="67" t="inlineStr">
        <is>
          <t>NSE</t>
        </is>
      </c>
      <c r="C188" s="67" t="inlineStr">
        <is>
          <t>Buy</t>
        </is>
      </c>
      <c r="D188" s="72" t="n">
        <v>10</v>
      </c>
      <c r="E188" s="69" t="n">
        <v>298.152</v>
      </c>
      <c r="F188" s="71" t="n">
        <v>3002.08</v>
      </c>
      <c r="G188" s="70" t="inlineStr">
        <is>
          <t>~</t>
        </is>
      </c>
      <c r="H188" s="70" t="n">
        <v>2.51</v>
      </c>
      <c r="I188" s="70" t="n">
        <v>18.07</v>
      </c>
      <c r="J188" s="71">
        <f>Index!$C$2</f>
        <v/>
      </c>
      <c r="K188" s="54" t="n"/>
      <c r="L188" s="54">
        <f>IF(AND( C107="Buy", ISBLANK(W107), B107&lt;&gt;"DIV"), (1-Index!$F$2*2)*((J107*D107)-(E107*D107)), "")</f>
        <v/>
      </c>
      <c r="M188" s="49">
        <f>IF(AND( C107="Buy", ISBLANK(W107), B107&lt;&gt;"DIV"), ((E107*D107)+L107), "")</f>
        <v/>
      </c>
      <c r="N188" s="51">
        <f>IF(AND( C107="Buy", ISBLANK(W107), B107&lt;&gt;"DIV"), D107, "")</f>
        <v/>
      </c>
      <c r="O188" s="49" t="n"/>
      <c r="P188" s="54">
        <f>IF(AND( C107="Buy", ISBLANK(W107), B107&lt;&gt;"DIV", NOW()-A107 &lt; 365), (1-Index!$F$2*2)*((J107*D107)-(E107*D107)), "")</f>
        <v/>
      </c>
      <c r="Q188" s="49">
        <f>IF(AND( C107="Buy", ISBLANK(W107), B107&lt;&gt;"DIV", NOW()-A107 &lt; 365), ((E107*D107)+P107), "")</f>
        <v/>
      </c>
      <c r="R188" s="49">
        <f>IF(AND( C107="Buy", ISBLANK(W107), B107&lt;&gt;"DIV", NOW()-A107 &lt; 365), D107, "")</f>
        <v/>
      </c>
      <c r="S188" s="49" t="n"/>
      <c r="T188" s="49">
        <f>IF(AND( C107="Buy", ISBLANK(W107), B107&lt;&gt;"DIV", NOW()-A107 &gt; 365), (J107*D107)-(E107*D107)-(2*sum(H107:I107)), "")</f>
        <v/>
      </c>
      <c r="U188" s="49">
        <f>IF(AND( C107="Buy", ISBLANK(W107), B107&lt;&gt;"DIV", NOW()-A107 &gt; 365), ((E107*D107)+T107), "")</f>
        <v/>
      </c>
      <c r="V188" s="49">
        <f>IF(AND( C107="Buy", ISBLANK(W107), B107&lt;&gt;"DIV", NOW()-A107 &gt; 365), D107, "")</f>
        <v/>
      </c>
      <c r="W188" s="41" t="n">
        <v>326.02</v>
      </c>
      <c r="X188" s="38" t="n">
        <v>45565</v>
      </c>
      <c r="Y188" s="47">
        <f>IF(AND( C107="Buy", W107&lt;&gt;"", AA107&lt;&gt;"", B107&lt;&gt;"DIV"), Z107/sum(F107:I107), "")</f>
        <v/>
      </c>
      <c r="Z188" s="57">
        <f>(1-Index!$F$2*2)*((W107*D107)-(E107*D107))</f>
        <v/>
      </c>
      <c r="AA188" s="57">
        <f>((E107*D107)+Z107)</f>
        <v/>
      </c>
      <c r="AB188" s="58">
        <f>D107</f>
        <v/>
      </c>
      <c r="AC188" s="56">
        <f>if(B107="DIV", F107,"")</f>
        <v/>
      </c>
      <c r="AD188" s="65" t="inlineStr">
        <is>
          <t>SBI Securities</t>
        </is>
      </c>
    </row>
    <row r="189">
      <c r="A189" s="66" t="n">
        <v>44201</v>
      </c>
      <c r="B189" s="67" t="inlineStr">
        <is>
          <t>NSE</t>
        </is>
      </c>
      <c r="C189" s="67" t="inlineStr">
        <is>
          <t>Buy</t>
        </is>
      </c>
      <c r="D189" s="72" t="n">
        <v>10</v>
      </c>
      <c r="E189" s="69" t="n">
        <v>290.598</v>
      </c>
      <c r="F189" s="71" t="n">
        <v>2926.02</v>
      </c>
      <c r="G189" s="70" t="inlineStr">
        <is>
          <t>~</t>
        </is>
      </c>
      <c r="H189" s="70" t="n">
        <v>2.35</v>
      </c>
      <c r="I189" s="70" t="n">
        <v>17.67</v>
      </c>
      <c r="J189" s="71">
        <f>Index!$C$2</f>
        <v/>
      </c>
      <c r="K189" s="54" t="n"/>
      <c r="L189" s="54">
        <f>IF(AND( C108="Buy", ISBLANK(W108), B108&lt;&gt;"DIV"), (1-Index!$F$2*2)*((J108*D108)-(E108*D108)), "")</f>
        <v/>
      </c>
      <c r="M189" s="49">
        <f>IF(AND( C108="Buy", ISBLANK(W108), B108&lt;&gt;"DIV"), ((E108*D108)+L108), "")</f>
        <v/>
      </c>
      <c r="N189" s="51">
        <f>IF(AND( C108="Buy", ISBLANK(W108), B108&lt;&gt;"DIV"), D108, "")</f>
        <v/>
      </c>
      <c r="O189" s="49" t="n"/>
      <c r="P189" s="54">
        <f>IF(AND( C108="Buy", ISBLANK(W108), B108&lt;&gt;"DIV", NOW()-A108 &lt; 365), (1-Index!$F$2*2)*((J108*D108)-(E108*D108)), "")</f>
        <v/>
      </c>
      <c r="Q189" s="49">
        <f>IF(AND( C108="Buy", ISBLANK(W108), B108&lt;&gt;"DIV", NOW()-A108 &lt; 365), ((E108*D108)+P108), "")</f>
        <v/>
      </c>
      <c r="R189" s="49">
        <f>IF(AND( C108="Buy", ISBLANK(W108), B108&lt;&gt;"DIV", NOW()-A108 &lt; 365), D108, "")</f>
        <v/>
      </c>
      <c r="S189" s="49" t="n"/>
      <c r="T189" s="49">
        <f>IF(AND( C108="Buy", ISBLANK(W108), B108&lt;&gt;"DIV", NOW()-A108 &gt; 365), (J108*D108)-(E108*D108)-(2*sum(H108:I108)), "")</f>
        <v/>
      </c>
      <c r="U189" s="49">
        <f>IF(AND( C108="Buy", ISBLANK(W108), B108&lt;&gt;"DIV", NOW()-A108 &gt; 365), ((E108*D108)+T108), "")</f>
        <v/>
      </c>
      <c r="V189" s="49">
        <f>IF(AND( C108="Buy", ISBLANK(W108), B108&lt;&gt;"DIV", NOW()-A108 &gt; 365), D108, "")</f>
        <v/>
      </c>
      <c r="W189" s="41" t="n">
        <v>326.02</v>
      </c>
      <c r="X189" s="38" t="n">
        <v>45565</v>
      </c>
      <c r="Y189" s="47">
        <f>IF(AND( C108="Buy", W108&lt;&gt;"", AA108&lt;&gt;"", B108&lt;&gt;"DIV"), Z108/sum(F108:I108), "")</f>
        <v/>
      </c>
      <c r="Z189" s="57">
        <f>(1-Index!$F$2*2)*((W108*D108)-(E108*D108))</f>
        <v/>
      </c>
      <c r="AA189" s="57">
        <f>((E108*D108)+Z108)</f>
        <v/>
      </c>
      <c r="AB189" s="58">
        <f>D108</f>
        <v/>
      </c>
      <c r="AC189" s="56">
        <f>if(B108="DIV", F108,"")</f>
        <v/>
      </c>
      <c r="AD189" s="65" t="inlineStr">
        <is>
          <t>SBI Securities</t>
        </is>
      </c>
    </row>
    <row r="190">
      <c r="A190" s="66" t="n">
        <v>44186</v>
      </c>
      <c r="B190" s="67" t="inlineStr">
        <is>
          <t>NSE</t>
        </is>
      </c>
      <c r="C190" s="67" t="inlineStr">
        <is>
          <t>Buy</t>
        </is>
      </c>
      <c r="D190" s="72" t="n">
        <v>10</v>
      </c>
      <c r="E190" s="69" t="n">
        <v>277.8</v>
      </c>
      <c r="F190" s="71" t="n">
        <v>2797.2</v>
      </c>
      <c r="G190" s="70" t="inlineStr">
        <is>
          <t>~</t>
        </is>
      </c>
      <c r="H190" s="70" t="n">
        <v>2.32</v>
      </c>
      <c r="I190" s="70" t="n">
        <v>16.88</v>
      </c>
      <c r="J190" s="71">
        <f>Index!$C$2</f>
        <v/>
      </c>
      <c r="K190" s="54" t="n"/>
      <c r="L190" s="54">
        <f>IF(AND( C109="Buy", ISBLANK(W109), B109&lt;&gt;"DIV"), (1-Index!$F$2*2)*((J109*D109)-(E109*D109)), "")</f>
        <v/>
      </c>
      <c r="M190" s="49">
        <f>IF(AND( C109="Buy", ISBLANK(W109), B109&lt;&gt;"DIV"), ((E109*D109)+L109), "")</f>
        <v/>
      </c>
      <c r="N190" s="51">
        <f>IF(AND( C109="Buy", ISBLANK(W109), B109&lt;&gt;"DIV"), D109, "")</f>
        <v/>
      </c>
      <c r="O190" s="49" t="n"/>
      <c r="P190" s="54">
        <f>IF(AND( C109="Buy", ISBLANK(W109), B109&lt;&gt;"DIV", NOW()-A109 &lt; 365), (1-Index!$F$2*2)*((J109*D109)-(E109*D109)), "")</f>
        <v/>
      </c>
      <c r="Q190" s="49">
        <f>IF(AND( C109="Buy", ISBLANK(W109), B109&lt;&gt;"DIV", NOW()-A109 &lt; 365), ((E109*D109)+P109), "")</f>
        <v/>
      </c>
      <c r="R190" s="49">
        <f>IF(AND( C109="Buy", ISBLANK(W109), B109&lt;&gt;"DIV", NOW()-A109 &lt; 365), D109, "")</f>
        <v/>
      </c>
      <c r="S190" s="49" t="n"/>
      <c r="T190" s="49">
        <f>IF(AND( C109="Buy", ISBLANK(W109), B109&lt;&gt;"DIV", NOW()-A109 &gt; 365), (J109*D109)-(E109*D109)-(2*sum(H109:I109)), "")</f>
        <v/>
      </c>
      <c r="U190" s="49">
        <f>IF(AND( C109="Buy", ISBLANK(W109), B109&lt;&gt;"DIV", NOW()-A109 &gt; 365), ((E109*D109)+T109), "")</f>
        <v/>
      </c>
      <c r="V190" s="49">
        <f>IF(AND( C109="Buy", ISBLANK(W109), B109&lt;&gt;"DIV", NOW()-A109 &gt; 365), D109, "")</f>
        <v/>
      </c>
      <c r="W190" s="41" t="n">
        <v>326.02</v>
      </c>
      <c r="X190" s="38" t="n">
        <v>45565</v>
      </c>
      <c r="Y190" s="47">
        <f>IF(AND( C109="Buy", W109&lt;&gt;"", AA109&lt;&gt;"", B109&lt;&gt;"DIV"), Z109/sum(F109:I109), "")</f>
        <v/>
      </c>
      <c r="Z190" s="57">
        <f>(1-Index!$F$2*2)*((W109*D109)-(E109*D109))</f>
        <v/>
      </c>
      <c r="AA190" s="57">
        <f>((E109*D109)+Z109)</f>
        <v/>
      </c>
      <c r="AB190" s="58">
        <f>D109</f>
        <v/>
      </c>
      <c r="AC190" s="56">
        <f>if(B109="DIV", F109,"")</f>
        <v/>
      </c>
      <c r="AD190" s="65" t="inlineStr">
        <is>
          <t>SBI Securities</t>
        </is>
      </c>
    </row>
    <row r="191">
      <c r="A191" s="66" t="n">
        <v>44152</v>
      </c>
      <c r="B191" s="67" t="inlineStr">
        <is>
          <t>NSE</t>
        </is>
      </c>
      <c r="C191" s="67" t="inlineStr">
        <is>
          <t>Buy</t>
        </is>
      </c>
      <c r="D191" s="72" t="n">
        <v>10</v>
      </c>
      <c r="E191" s="69" t="n">
        <v>247.348</v>
      </c>
      <c r="F191" s="71" t="n">
        <v>2490.62</v>
      </c>
      <c r="G191" s="70" t="inlineStr">
        <is>
          <t>~</t>
        </is>
      </c>
      <c r="H191" s="70" t="n">
        <v>2.01</v>
      </c>
      <c r="I191" s="70" t="n">
        <v>15.11</v>
      </c>
      <c r="J191" s="71">
        <f>Index!$C$2</f>
        <v/>
      </c>
      <c r="K191" s="54" t="n"/>
      <c r="L191" s="54">
        <f>IF(AND( C110="Buy", ISBLANK(W110), B110&lt;&gt;"DIV"), (1-Index!$F$2*2)*((J110*D110)-(E110*D110)), "")</f>
        <v/>
      </c>
      <c r="M191" s="49">
        <f>IF(AND( C110="Buy", ISBLANK(W110), B110&lt;&gt;"DIV"), ((E110*D110)+L110), "")</f>
        <v/>
      </c>
      <c r="N191" s="51">
        <f>IF(AND( C110="Buy", ISBLANK(W110), B110&lt;&gt;"DIV"), D110, "")</f>
        <v/>
      </c>
      <c r="O191" s="49" t="n"/>
      <c r="P191" s="54">
        <f>IF(AND( C110="Buy", ISBLANK(W110), B110&lt;&gt;"DIV", NOW()-A110 &lt; 365), (1-Index!$F$2*2)*((J110*D110)-(E110*D110)), "")</f>
        <v/>
      </c>
      <c r="Q191" s="49">
        <f>IF(AND( C110="Buy", ISBLANK(W110), B110&lt;&gt;"DIV", NOW()-A110 &lt; 365), ((E110*D110)+P110), "")</f>
        <v/>
      </c>
      <c r="R191" s="49">
        <f>IF(AND( C110="Buy", ISBLANK(W110), B110&lt;&gt;"DIV", NOW()-A110 &lt; 365), D110, "")</f>
        <v/>
      </c>
      <c r="S191" s="49" t="n"/>
      <c r="T191" s="49">
        <f>IF(AND( C110="Buy", ISBLANK(W110), B110&lt;&gt;"DIV", NOW()-A110 &gt; 365), (J110*D110)-(E110*D110)-(2*sum(H110:I110)), "")</f>
        <v/>
      </c>
      <c r="U191" s="49">
        <f>IF(AND( C110="Buy", ISBLANK(W110), B110&lt;&gt;"DIV", NOW()-A110 &gt; 365), ((E110*D110)+T110), "")</f>
        <v/>
      </c>
      <c r="V191" s="49">
        <f>IF(AND( C110="Buy", ISBLANK(W110), B110&lt;&gt;"DIV", NOW()-A110 &gt; 365), D110, "")</f>
        <v/>
      </c>
      <c r="W191" s="41" t="n">
        <v>326.02</v>
      </c>
      <c r="X191" s="38" t="n">
        <v>45565</v>
      </c>
      <c r="Y191" s="47">
        <f>IF(AND( C110="Buy", W110&lt;&gt;"", AA110&lt;&gt;"", B110&lt;&gt;"DIV"), Z110/sum(F110:I110), "")</f>
        <v/>
      </c>
      <c r="Z191" s="57">
        <f>(1-Index!$F$2*2)*((W110*D110)-(E110*D110))</f>
        <v/>
      </c>
      <c r="AA191" s="57">
        <f>((E110*D110)+Z110)</f>
        <v/>
      </c>
      <c r="AB191" s="58">
        <f>D110</f>
        <v/>
      </c>
      <c r="AC191" s="56">
        <f>if(B110="DIV", F110,"")</f>
        <v/>
      </c>
      <c r="AD191" s="65" t="inlineStr">
        <is>
          <t>SBI Securities</t>
        </is>
      </c>
    </row>
    <row r="192">
      <c r="A192" s="66" t="n">
        <v>44138</v>
      </c>
      <c r="B192" s="67" t="inlineStr">
        <is>
          <t>NSE</t>
        </is>
      </c>
      <c r="C192" s="67" t="inlineStr">
        <is>
          <t>Buy</t>
        </is>
      </c>
      <c r="D192" s="72" t="n">
        <v>60</v>
      </c>
      <c r="E192" s="69" t="n">
        <v>237.197167</v>
      </c>
      <c r="F192" s="71" t="n">
        <v>14330.87</v>
      </c>
      <c r="G192" s="70" t="inlineStr">
        <is>
          <t>~</t>
        </is>
      </c>
      <c r="H192" s="70" t="n">
        <v>13.39</v>
      </c>
      <c r="I192" s="70" t="n">
        <v>85.78</v>
      </c>
      <c r="J192" s="71">
        <f>Index!$C$2</f>
        <v/>
      </c>
      <c r="K192" s="54" t="n"/>
      <c r="L192" s="54">
        <f>IF(AND( C111="Buy", ISBLANK(W111), B111&lt;&gt;"DIV"), (1-Index!$F$2*2)*((J111*D111)-(E111*D111)), "")</f>
        <v/>
      </c>
      <c r="M192" s="49">
        <f>IF(AND( C111="Buy", ISBLANK(W111), B111&lt;&gt;"DIV"), ((E111*D111)+L111), "")</f>
        <v/>
      </c>
      <c r="N192" s="51">
        <f>IF(AND( C111="Buy", ISBLANK(W111), B111&lt;&gt;"DIV"), D111, "")</f>
        <v/>
      </c>
      <c r="O192" s="49" t="n"/>
      <c r="P192" s="54">
        <f>IF(AND( C111="Buy", ISBLANK(W111), B111&lt;&gt;"DIV", NOW()-A111 &lt; 365), (1-Index!$F$2*2)*((J111*D111)-(E111*D111)), "")</f>
        <v/>
      </c>
      <c r="Q192" s="49">
        <f>IF(AND( C111="Buy", ISBLANK(W111), B111&lt;&gt;"DIV", NOW()-A111 &lt; 365), ((E111*D111)+P111), "")</f>
        <v/>
      </c>
      <c r="R192" s="49">
        <f>IF(AND( C111="Buy", ISBLANK(W111), B111&lt;&gt;"DIV", NOW()-A111 &lt; 365), D111, "")</f>
        <v/>
      </c>
      <c r="S192" s="49" t="n"/>
      <c r="T192" s="49">
        <f>IF(AND( C111="Buy", ISBLANK(W111), B111&lt;&gt;"DIV", NOW()-A111 &gt; 365), (J111*D111)-(E111*D111)-(2*sum(H111:I111)), "")</f>
        <v/>
      </c>
      <c r="U192" s="49">
        <f>IF(AND( C111="Buy", ISBLANK(W111), B111&lt;&gt;"DIV", NOW()-A111 &gt; 365), ((E111*D111)+T111), "")</f>
        <v/>
      </c>
      <c r="V192" s="49">
        <f>IF(AND( C111="Buy", ISBLANK(W111), B111&lt;&gt;"DIV", NOW()-A111 &gt; 365), D111, "")</f>
        <v/>
      </c>
      <c r="W192" s="41" t="n">
        <v>326.02</v>
      </c>
      <c r="X192" s="38" t="n">
        <v>45565</v>
      </c>
      <c r="Y192" s="47">
        <f>IF(AND( C111="Buy", W111&lt;&gt;"", AA111&lt;&gt;"", B111&lt;&gt;"DIV"), Z111/sum(F111:I111), "")</f>
        <v/>
      </c>
      <c r="Z192" s="57">
        <f>(1-Index!$F$2*2)*((W111*D111)-(E111*D111))</f>
        <v/>
      </c>
      <c r="AA192" s="57">
        <f>((E111*D111)+Z111)</f>
        <v/>
      </c>
      <c r="AB192" s="58">
        <f>D111</f>
        <v/>
      </c>
      <c r="AC192" s="56">
        <f>if(B111="DIV", F111,"")</f>
        <v/>
      </c>
      <c r="AD192" s="65" t="inlineStr">
        <is>
          <t>SBI Securities</t>
        </is>
      </c>
    </row>
    <row r="193">
      <c r="A193" s="66" t="n">
        <v>44084</v>
      </c>
      <c r="B193" s="67" t="inlineStr">
        <is>
          <t>NSE</t>
        </is>
      </c>
      <c r="C193" s="67" t="inlineStr">
        <is>
          <t>Buy</t>
        </is>
      </c>
      <c r="D193" s="72" t="n">
        <v>10</v>
      </c>
      <c r="E193" s="69" t="n">
        <v>299.753</v>
      </c>
      <c r="F193" s="71" t="n">
        <v>3018.27</v>
      </c>
      <c r="G193" s="70" t="inlineStr">
        <is>
          <t>~</t>
        </is>
      </c>
      <c r="H193" s="70" t="n">
        <v>2.74</v>
      </c>
      <c r="I193" s="70" t="n">
        <v>18.03</v>
      </c>
      <c r="J193" s="71">
        <f>Index!$C$2</f>
        <v/>
      </c>
      <c r="K193" s="54" t="n"/>
      <c r="L193" s="54">
        <f>IF(AND( C112="Buy", ISBLANK(W112), B112&lt;&gt;"DIV"), (1-Index!$F$2*2)*((J112*D112)-(E112*D112)), "")</f>
        <v/>
      </c>
      <c r="M193" s="49">
        <f>IF(AND( C112="Buy", ISBLANK(W112), B112&lt;&gt;"DIV"), ((E112*D112)+L112), "")</f>
        <v/>
      </c>
      <c r="N193" s="51">
        <f>IF(AND( C112="Buy", ISBLANK(W112), B112&lt;&gt;"DIV"), D112, "")</f>
        <v/>
      </c>
      <c r="O193" s="49" t="n"/>
      <c r="P193" s="54">
        <f>IF(AND( C112="Buy", ISBLANK(W112), B112&lt;&gt;"DIV", NOW()-A112 &lt; 365), (1-Index!$F$2*2)*((J112*D112)-(E112*D112)), "")</f>
        <v/>
      </c>
      <c r="Q193" s="49">
        <f>IF(AND( C112="Buy", ISBLANK(W112), B112&lt;&gt;"DIV", NOW()-A112 &lt; 365), ((E112*D112)+P112), "")</f>
        <v/>
      </c>
      <c r="R193" s="49">
        <f>IF(AND( C112="Buy", ISBLANK(W112), B112&lt;&gt;"DIV", NOW()-A112 &lt; 365), D112, "")</f>
        <v/>
      </c>
      <c r="S193" s="49" t="n"/>
      <c r="T193" s="49">
        <f>IF(AND( C112="Buy", ISBLANK(W112), B112&lt;&gt;"DIV", NOW()-A112 &gt; 365), (J112*D112)-(E112*D112)-(2*sum(H112:I112)), "")</f>
        <v/>
      </c>
      <c r="U193" s="49">
        <f>IF(AND( C112="Buy", ISBLANK(W112), B112&lt;&gt;"DIV", NOW()-A112 &gt; 365), ((E112*D112)+T112), "")</f>
        <v/>
      </c>
      <c r="V193" s="49">
        <f>IF(AND( C112="Buy", ISBLANK(W112), B112&lt;&gt;"DIV", NOW()-A112 &gt; 365), D112, "")</f>
        <v/>
      </c>
      <c r="W193" s="41" t="n">
        <v>326.02</v>
      </c>
      <c r="X193" s="38" t="n">
        <v>45565</v>
      </c>
      <c r="Y193" s="47">
        <f>IF(AND( C112="Buy", W112&lt;&gt;"", AA112&lt;&gt;"", B112&lt;&gt;"DIV"), Z112/sum(F112:I112), "")</f>
        <v/>
      </c>
      <c r="Z193" s="57">
        <f>(1-Index!$F$2*2)*((W112*D112)-(E112*D112))</f>
        <v/>
      </c>
      <c r="AA193" s="57">
        <f>((E112*D112)+Z112)</f>
        <v/>
      </c>
      <c r="AB193" s="58">
        <f>D112</f>
        <v/>
      </c>
      <c r="AC193" s="56">
        <f>if(B112="DIV", F112,"")</f>
        <v/>
      </c>
      <c r="AD193" s="65" t="inlineStr">
        <is>
          <t>SBI Securities</t>
        </is>
      </c>
    </row>
    <row r="194">
      <c r="A194" s="66" t="n">
        <v>44074</v>
      </c>
      <c r="B194" s="67" t="inlineStr">
        <is>
          <t>NSE</t>
        </is>
      </c>
      <c r="C194" s="67" t="inlineStr">
        <is>
          <t>Buy</t>
        </is>
      </c>
      <c r="D194" s="72" t="n">
        <v>10</v>
      </c>
      <c r="E194" s="69" t="n">
        <v>309.399</v>
      </c>
      <c r="F194" s="71" t="n">
        <v>3116.01</v>
      </c>
      <c r="G194" s="70" t="inlineStr">
        <is>
          <t>~</t>
        </is>
      </c>
      <c r="H194" s="70" t="n">
        <v>3.1</v>
      </c>
      <c r="I194" s="70" t="n">
        <v>18.91</v>
      </c>
      <c r="J194" s="71">
        <f>Index!$C$2</f>
        <v/>
      </c>
      <c r="K194" s="54" t="n"/>
      <c r="L194" s="54">
        <f>IF(AND( C113="Buy", ISBLANK(W113), B113&lt;&gt;"DIV"), (1-Index!$F$2*2)*((J113*D113)-(E113*D113)), "")</f>
        <v/>
      </c>
      <c r="M194" s="49">
        <f>IF(AND( C113="Buy", ISBLANK(W113), B113&lt;&gt;"DIV"), ((E113*D113)+L113), "")</f>
        <v/>
      </c>
      <c r="N194" s="51">
        <f>IF(AND( C113="Buy", ISBLANK(W113), B113&lt;&gt;"DIV"), D113, "")</f>
        <v/>
      </c>
      <c r="O194" s="49" t="n"/>
      <c r="P194" s="54">
        <f>IF(AND( C113="Buy", ISBLANK(W113), B113&lt;&gt;"DIV", NOW()-A113 &lt; 365), (1-Index!$F$2*2)*((J113*D113)-(E113*D113)), "")</f>
        <v/>
      </c>
      <c r="Q194" s="49">
        <f>IF(AND( C113="Buy", ISBLANK(W113), B113&lt;&gt;"DIV", NOW()-A113 &lt; 365), ((E113*D113)+P113), "")</f>
        <v/>
      </c>
      <c r="R194" s="49">
        <f>IF(AND( C113="Buy", ISBLANK(W113), B113&lt;&gt;"DIV", NOW()-A113 &lt; 365), D113, "")</f>
        <v/>
      </c>
      <c r="S194" s="49" t="n"/>
      <c r="T194" s="49">
        <f>IF(AND( C113="Buy", ISBLANK(W113), B113&lt;&gt;"DIV", NOW()-A113 &gt; 365), (J113*D113)-(E113*D113)-(2*sum(H113:I113)), "")</f>
        <v/>
      </c>
      <c r="U194" s="49">
        <f>IF(AND( C113="Buy", ISBLANK(W113), B113&lt;&gt;"DIV", NOW()-A113 &gt; 365), ((E113*D113)+T113), "")</f>
        <v/>
      </c>
      <c r="V194" s="49">
        <f>IF(AND( C113="Buy", ISBLANK(W113), B113&lt;&gt;"DIV", NOW()-A113 &gt; 365), D113, "")</f>
        <v/>
      </c>
      <c r="W194" s="41" t="n">
        <v>326.02</v>
      </c>
      <c r="X194" s="38" t="n">
        <v>45565</v>
      </c>
      <c r="Y194" s="47">
        <f>IF(AND( C113="Buy", W113&lt;&gt;"", AA113&lt;&gt;"", B113&lt;&gt;"DIV"), Z113/sum(F113:I113), "")</f>
        <v/>
      </c>
      <c r="Z194" s="57">
        <f>(1-Index!$F$2*2)*((W113*D113)-(E113*D113))</f>
        <v/>
      </c>
      <c r="AA194" s="57">
        <f>((E113*D113)+Z113)</f>
        <v/>
      </c>
      <c r="AB194" s="58">
        <f>D113</f>
        <v/>
      </c>
      <c r="AC194" s="56">
        <f>if(B113="DIV", F113,"")</f>
        <v/>
      </c>
      <c r="AD194" s="65" t="inlineStr">
        <is>
          <t>SBI Securities</t>
        </is>
      </c>
    </row>
    <row r="195">
      <c r="A195" s="66" t="n">
        <v>44070</v>
      </c>
      <c r="B195" s="67" t="inlineStr">
        <is>
          <t>NSE</t>
        </is>
      </c>
      <c r="C195" s="67" t="inlineStr">
        <is>
          <t>Buy</t>
        </is>
      </c>
      <c r="D195" s="72" t="n">
        <v>20</v>
      </c>
      <c r="E195" s="69" t="n">
        <v>318.497</v>
      </c>
      <c r="F195" s="71" t="n">
        <v>6414.46</v>
      </c>
      <c r="G195" s="70" t="inlineStr">
        <is>
          <t>~</t>
        </is>
      </c>
      <c r="H195" s="70" t="n">
        <v>5.75</v>
      </c>
      <c r="I195" s="70" t="n">
        <v>38.71</v>
      </c>
      <c r="J195" s="71">
        <f>Index!$C$2</f>
        <v/>
      </c>
      <c r="K195" s="54" t="n"/>
      <c r="L195" s="54">
        <f>IF(AND( C114="Buy", ISBLANK(W114), B114&lt;&gt;"DIV"), (1-Index!$F$2*2)*((J114*D114)-(E114*D114)), "")</f>
        <v/>
      </c>
      <c r="M195" s="49">
        <f>IF(AND( C114="Buy", ISBLANK(W114), B114&lt;&gt;"DIV"), ((E114*D114)+L114), "")</f>
        <v/>
      </c>
      <c r="N195" s="51">
        <f>IF(AND( C114="Buy", ISBLANK(W114), B114&lt;&gt;"DIV"), D114, "")</f>
        <v/>
      </c>
      <c r="O195" s="49" t="n"/>
      <c r="P195" s="54">
        <f>IF(AND( C114="Buy", ISBLANK(W114), B114&lt;&gt;"DIV", NOW()-A114 &lt; 365), (1-Index!$F$2*2)*((J114*D114)-(E114*D114)), "")</f>
        <v/>
      </c>
      <c r="Q195" s="49">
        <f>IF(AND( C114="Buy", ISBLANK(W114), B114&lt;&gt;"DIV", NOW()-A114 &lt; 365), ((E114*D114)+P114), "")</f>
        <v/>
      </c>
      <c r="R195" s="49">
        <f>IF(AND( C114="Buy", ISBLANK(W114), B114&lt;&gt;"DIV", NOW()-A114 &lt; 365), D114, "")</f>
        <v/>
      </c>
      <c r="S195" s="49" t="n"/>
      <c r="T195" s="49">
        <f>IF(AND( C114="Buy", ISBLANK(W114), B114&lt;&gt;"DIV", NOW()-A114 &gt; 365), (J114*D114)-(E114*D114)-(2*sum(H114:I114)), "")</f>
        <v/>
      </c>
      <c r="U195" s="49">
        <f>IF(AND( C114="Buy", ISBLANK(W114), B114&lt;&gt;"DIV", NOW()-A114 &gt; 365), ((E114*D114)+T114), "")</f>
        <v/>
      </c>
      <c r="V195" s="49">
        <f>IF(AND( C114="Buy", ISBLANK(W114), B114&lt;&gt;"DIV", NOW()-A114 &gt; 365), D114, "")</f>
        <v/>
      </c>
      <c r="W195" s="41" t="n">
        <v>326.02</v>
      </c>
      <c r="X195" s="38" t="n">
        <v>45565</v>
      </c>
      <c r="Y195" s="47">
        <f>IF(AND( C114="Buy", W114&lt;&gt;"", AA114&lt;&gt;"", B114&lt;&gt;"DIV"), Z114/sum(F114:I114), "")</f>
        <v/>
      </c>
      <c r="Z195" s="57">
        <f>(1-Index!$F$2*2)*((W114*D114)-(E114*D114))</f>
        <v/>
      </c>
      <c r="AA195" s="57">
        <f>((E114*D114)+Z114)</f>
        <v/>
      </c>
      <c r="AB195" s="58">
        <f>D114</f>
        <v/>
      </c>
      <c r="AC195" s="56">
        <f>if(B114="DIV", F114,"")</f>
        <v/>
      </c>
      <c r="AD195" s="65" t="inlineStr">
        <is>
          <t>SBI Securities</t>
        </is>
      </c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M1082" s="76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M1083" s="76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M1084" s="76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M1085" s="76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M1086" s="76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M1087" s="76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M1088" s="76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M1089" s="76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M1090" s="76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M1091" s="76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M1092" s="76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M1093" s="76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M1094" s="76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M1095" s="76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M1096" s="76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M1097" s="76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M1098" s="76" t="n"/>
      <c r="W1098" s="73" t="n"/>
      <c r="X1098" s="73" t="n"/>
      <c r="Y1098" s="73" t="n"/>
      <c r="Z1098" s="73" t="n"/>
      <c r="AA1098" s="73" t="n"/>
      <c r="AB1098" s="73" t="n"/>
      <c r="AC1098" s="73" t="n"/>
    </row>
    <row r="1099">
      <c r="E1099" s="73" t="n"/>
      <c r="F1099" s="73" t="n"/>
      <c r="G1099" s="74" t="n"/>
      <c r="J1099" s="73" t="n"/>
      <c r="K1099" s="73" t="n"/>
      <c r="L1099" s="73" t="n"/>
      <c r="M1099" s="76" t="n"/>
      <c r="W1099" s="73" t="n"/>
      <c r="X1099" s="73" t="n"/>
      <c r="Y1099" s="73" t="n"/>
      <c r="Z1099" s="73" t="n"/>
      <c r="AA1099" s="73" t="n"/>
      <c r="AB1099" s="73" t="n"/>
      <c r="AC1099" s="73" t="n"/>
    </row>
    <row r="1100">
      <c r="E1100" s="73" t="n"/>
      <c r="F1100" s="73" t="n"/>
      <c r="G1100" s="74" t="n"/>
      <c r="J1100" s="73" t="n"/>
      <c r="K1100" s="73" t="n"/>
      <c r="L1100" s="73" t="n"/>
      <c r="M1100" s="76" t="n"/>
      <c r="W1100" s="73" t="n"/>
      <c r="X1100" s="73" t="n"/>
      <c r="Y1100" s="73" t="n"/>
      <c r="Z1100" s="73" t="n"/>
      <c r="AA1100" s="73" t="n"/>
      <c r="AB1100" s="73" t="n"/>
      <c r="AC1100" s="73" t="n"/>
    </row>
    <row r="1101">
      <c r="E1101" s="73" t="n"/>
      <c r="F1101" s="73" t="n"/>
      <c r="G1101" s="74" t="n"/>
      <c r="J1101" s="73" t="n"/>
      <c r="K1101" s="73" t="n"/>
      <c r="L1101" s="73" t="n"/>
      <c r="M1101" s="76" t="n"/>
      <c r="W1101" s="73" t="n"/>
      <c r="X1101" s="73" t="n"/>
      <c r="Y1101" s="73" t="n"/>
      <c r="Z1101" s="73" t="n"/>
      <c r="AA1101" s="73" t="n"/>
      <c r="AB1101" s="73" t="n"/>
      <c r="AC1101" s="73" t="n"/>
    </row>
    <row r="1102">
      <c r="E1102" s="73" t="n"/>
      <c r="F1102" s="73" t="n"/>
      <c r="G1102" s="74" t="n"/>
      <c r="J1102" s="73" t="n"/>
      <c r="K1102" s="73" t="n"/>
      <c r="L1102" s="73" t="n"/>
      <c r="M1102" s="76" t="n"/>
      <c r="W1102" s="73" t="n"/>
      <c r="X1102" s="73" t="n"/>
      <c r="Y1102" s="73" t="n"/>
      <c r="Z1102" s="73" t="n"/>
      <c r="AA1102" s="73" t="n"/>
      <c r="AB1102" s="73" t="n"/>
      <c r="AC1102" s="73" t="n"/>
    </row>
    <row r="1103">
      <c r="E1103" s="73" t="n"/>
      <c r="F1103" s="73" t="n"/>
      <c r="G1103" s="74" t="n"/>
      <c r="J1103" s="73" t="n"/>
      <c r="K1103" s="73" t="n"/>
      <c r="L1103" s="73" t="n"/>
      <c r="M1103" s="76" t="n"/>
      <c r="W1103" s="73" t="n"/>
      <c r="X1103" s="73" t="n"/>
      <c r="Y1103" s="73" t="n"/>
      <c r="Z1103" s="73" t="n"/>
      <c r="AA1103" s="73" t="n"/>
      <c r="AB1103" s="73" t="n"/>
      <c r="AC1103" s="73" t="n"/>
    </row>
    <row r="1104">
      <c r="E1104" s="73" t="n"/>
      <c r="F1104" s="73" t="n"/>
      <c r="G1104" s="74" t="n"/>
      <c r="J1104" s="73" t="n"/>
      <c r="K1104" s="73" t="n"/>
      <c r="L1104" s="73" t="n"/>
      <c r="M1104" s="76" t="n"/>
      <c r="W1104" s="73" t="n"/>
      <c r="X1104" s="73" t="n"/>
      <c r="Y1104" s="73" t="n"/>
      <c r="Z1104" s="73" t="n"/>
      <c r="AA1104" s="73" t="n"/>
      <c r="AB1104" s="73" t="n"/>
      <c r="AC1104" s="73" t="n"/>
    </row>
    <row r="1105">
      <c r="E1105" s="73" t="n"/>
      <c r="F1105" s="73" t="n"/>
      <c r="G1105" s="74" t="n"/>
      <c r="J1105" s="73" t="n"/>
      <c r="K1105" s="73" t="n"/>
      <c r="L1105" s="73" t="n"/>
      <c r="M1105" s="76" t="n"/>
      <c r="W1105" s="73" t="n"/>
      <c r="X1105" s="73" t="n"/>
      <c r="Y1105" s="73" t="n"/>
      <c r="Z1105" s="73" t="n"/>
      <c r="AA1105" s="73" t="n"/>
      <c r="AB1105" s="73" t="n"/>
      <c r="AC1105" s="73" t="n"/>
    </row>
    <row r="1106">
      <c r="E1106" s="73" t="n"/>
      <c r="F1106" s="73" t="n"/>
      <c r="G1106" s="74" t="n"/>
      <c r="J1106" s="73" t="n"/>
      <c r="K1106" s="73" t="n"/>
      <c r="L1106" s="73" t="n"/>
      <c r="M1106" s="76" t="n"/>
      <c r="W1106" s="73" t="n"/>
      <c r="X1106" s="73" t="n"/>
      <c r="Y1106" s="73" t="n"/>
      <c r="Z1106" s="73" t="n"/>
      <c r="AA1106" s="73" t="n"/>
      <c r="AB1106" s="73" t="n"/>
      <c r="AC1106" s="73" t="n"/>
    </row>
    <row r="1107">
      <c r="E1107" s="73" t="n"/>
      <c r="F1107" s="73" t="n"/>
      <c r="G1107" s="74" t="n"/>
      <c r="J1107" s="73" t="n"/>
      <c r="K1107" s="73" t="n"/>
      <c r="L1107" s="73" t="n"/>
      <c r="M1107" s="76" t="n"/>
      <c r="W1107" s="73" t="n"/>
      <c r="X1107" s="73" t="n"/>
      <c r="Y1107" s="73" t="n"/>
      <c r="Z1107" s="73" t="n"/>
      <c r="AA1107" s="73" t="n"/>
      <c r="AB1107" s="73" t="n"/>
      <c r="AC1107" s="73" t="n"/>
    </row>
    <row r="1108">
      <c r="E1108" s="73" t="n"/>
      <c r="F1108" s="73" t="n"/>
      <c r="G1108" s="74" t="n"/>
      <c r="J1108" s="73" t="n"/>
      <c r="K1108" s="73" t="n"/>
      <c r="L1108" s="73" t="n"/>
      <c r="M1108" s="76" t="n"/>
      <c r="W1108" s="73" t="n"/>
      <c r="X1108" s="73" t="n"/>
      <c r="Y1108" s="73" t="n"/>
      <c r="Z1108" s="73" t="n"/>
      <c r="AA1108" s="73" t="n"/>
      <c r="AB1108" s="73" t="n"/>
      <c r="AC1108" s="73" t="n"/>
    </row>
    <row r="1109">
      <c r="E1109" s="73" t="n"/>
      <c r="F1109" s="73" t="n"/>
      <c r="G1109" s="74" t="n"/>
      <c r="J1109" s="73" t="n"/>
      <c r="K1109" s="73" t="n"/>
      <c r="L1109" s="73" t="n"/>
      <c r="M1109" s="76" t="n"/>
      <c r="W1109" s="73" t="n"/>
      <c r="X1109" s="73" t="n"/>
      <c r="Y1109" s="73" t="n"/>
      <c r="Z1109" s="73" t="n"/>
      <c r="AA1109" s="73" t="n"/>
      <c r="AB1109" s="73" t="n"/>
      <c r="AC1109" s="73" t="n"/>
    </row>
    <row r="1110">
      <c r="E1110" s="73" t="n"/>
      <c r="F1110" s="73" t="n"/>
      <c r="G1110" s="74" t="n"/>
      <c r="J1110" s="73" t="n"/>
      <c r="K1110" s="73" t="n"/>
      <c r="L1110" s="73" t="n"/>
      <c r="M1110" s="76" t="n"/>
      <c r="W1110" s="73" t="n"/>
      <c r="X1110" s="73" t="n"/>
      <c r="Y1110" s="73" t="n"/>
      <c r="Z1110" s="73" t="n"/>
      <c r="AA1110" s="73" t="n"/>
      <c r="AB1110" s="73" t="n"/>
      <c r="AC1110" s="73" t="n"/>
    </row>
    <row r="1111">
      <c r="E1111" s="73" t="n"/>
      <c r="F1111" s="73" t="n"/>
      <c r="G1111" s="74" t="n"/>
      <c r="J1111" s="73" t="n"/>
      <c r="K1111" s="73" t="n"/>
      <c r="L1111" s="73" t="n"/>
      <c r="M1111" s="76" t="n"/>
      <c r="W1111" s="73" t="n"/>
      <c r="X1111" s="73" t="n"/>
      <c r="Y1111" s="73" t="n"/>
      <c r="Z1111" s="73" t="n"/>
      <c r="AA1111" s="73" t="n"/>
      <c r="AB1111" s="73" t="n"/>
      <c r="AC1111" s="73" t="n"/>
    </row>
    <row r="1112">
      <c r="E1112" s="73" t="n"/>
      <c r="F1112" s="73" t="n"/>
      <c r="G1112" s="74" t="n"/>
      <c r="J1112" s="73" t="n"/>
      <c r="K1112" s="73" t="n"/>
      <c r="L1112" s="73" t="n"/>
      <c r="M1112" s="76" t="n"/>
      <c r="W1112" s="73" t="n"/>
      <c r="X1112" s="73" t="n"/>
      <c r="Y1112" s="73" t="n"/>
      <c r="Z1112" s="73" t="n"/>
      <c r="AA1112" s="73" t="n"/>
      <c r="AB1112" s="73" t="n"/>
      <c r="AC1112" s="73" t="n"/>
    </row>
    <row r="1113">
      <c r="E1113" s="73" t="n"/>
      <c r="F1113" s="73" t="n"/>
      <c r="G1113" s="74" t="n"/>
      <c r="J1113" s="73" t="n"/>
      <c r="K1113" s="73" t="n"/>
      <c r="L1113" s="73" t="n"/>
      <c r="M1113" s="76" t="n"/>
      <c r="W1113" s="73" t="n"/>
      <c r="X1113" s="73" t="n"/>
      <c r="Y1113" s="73" t="n"/>
      <c r="Z1113" s="73" t="n"/>
      <c r="AA1113" s="73" t="n"/>
      <c r="AB1113" s="73" t="n"/>
      <c r="AC1113" s="73" t="n"/>
    </row>
    <row r="1114">
      <c r="E1114" s="73" t="n"/>
      <c r="F1114" s="73" t="n"/>
      <c r="G1114" s="74" t="n"/>
      <c r="J1114" s="73" t="n"/>
      <c r="K1114" s="73" t="n"/>
      <c r="L1114" s="73" t="n"/>
      <c r="M1114" s="76" t="n"/>
      <c r="W1114" s="73" t="n"/>
      <c r="X1114" s="73" t="n"/>
      <c r="Y1114" s="73" t="n"/>
      <c r="Z1114" s="73" t="n"/>
      <c r="AA1114" s="73" t="n"/>
      <c r="AB1114" s="73" t="n"/>
      <c r="AC1114" s="73" t="n"/>
    </row>
    <row r="1115">
      <c r="E1115" s="73" t="n"/>
      <c r="F1115" s="73" t="n"/>
      <c r="G1115" s="74" t="n"/>
      <c r="J1115" s="73" t="n"/>
      <c r="K1115" s="73" t="n"/>
      <c r="L1115" s="73" t="n"/>
      <c r="M1115" s="76" t="n"/>
      <c r="W1115" s="73" t="n"/>
      <c r="X1115" s="73" t="n"/>
      <c r="Y1115" s="73" t="n"/>
      <c r="Z1115" s="73" t="n"/>
      <c r="AA1115" s="73" t="n"/>
      <c r="AB1115" s="73" t="n"/>
      <c r="AC1115" s="73" t="n"/>
    </row>
    <row r="1116">
      <c r="E1116" s="73" t="n"/>
      <c r="F1116" s="73" t="n"/>
      <c r="G1116" s="74" t="n"/>
      <c r="J1116" s="73" t="n"/>
      <c r="K1116" s="73" t="n"/>
      <c r="L1116" s="73" t="n"/>
      <c r="M1116" s="76" t="n"/>
      <c r="W1116" s="73" t="n"/>
      <c r="X1116" s="73" t="n"/>
      <c r="Y1116" s="73" t="n"/>
      <c r="Z1116" s="73" t="n"/>
      <c r="AA1116" s="73" t="n"/>
      <c r="AB1116" s="73" t="n"/>
      <c r="AC1116" s="73" t="n"/>
    </row>
    <row r="1117">
      <c r="E1117" s="73" t="n"/>
      <c r="F1117" s="73" t="n"/>
      <c r="G1117" s="74" t="n"/>
      <c r="J1117" s="73" t="n"/>
      <c r="K1117" s="73" t="n"/>
      <c r="L1117" s="73" t="n"/>
      <c r="M1117" s="76" t="n"/>
      <c r="W1117" s="73" t="n"/>
      <c r="X1117" s="73" t="n"/>
      <c r="Y1117" s="73" t="n"/>
      <c r="Z1117" s="73" t="n"/>
      <c r="AA1117" s="73" t="n"/>
      <c r="AB1117" s="73" t="n"/>
      <c r="AC1117" s="73" t="n"/>
    </row>
    <row r="1118">
      <c r="E1118" s="73" t="n"/>
      <c r="F1118" s="73" t="n"/>
      <c r="G1118" s="74" t="n"/>
      <c r="J1118" s="73" t="n"/>
      <c r="K1118" s="73" t="n"/>
      <c r="L1118" s="73" t="n"/>
      <c r="M1118" s="76" t="n"/>
      <c r="W1118" s="73" t="n"/>
      <c r="X1118" s="73" t="n"/>
      <c r="Y1118" s="73" t="n"/>
      <c r="Z1118" s="73" t="n"/>
      <c r="AA1118" s="73" t="n"/>
      <c r="AB1118" s="73" t="n"/>
      <c r="AC1118" s="73" t="n"/>
    </row>
    <row r="1119">
      <c r="E1119" s="73" t="n"/>
      <c r="F1119" s="73" t="n"/>
      <c r="G1119" s="74" t="n"/>
      <c r="J1119" s="73" t="n"/>
      <c r="K1119" s="73" t="n"/>
      <c r="L1119" s="73" t="n"/>
      <c r="M1119" s="76" t="n"/>
      <c r="W1119" s="73" t="n"/>
      <c r="X1119" s="73" t="n"/>
      <c r="Y1119" s="73" t="n"/>
      <c r="Z1119" s="73" t="n"/>
      <c r="AA1119" s="73" t="n"/>
      <c r="AB1119" s="73" t="n"/>
      <c r="AC1119" s="73" t="n"/>
    </row>
    <row r="1120">
      <c r="E1120" s="73" t="n"/>
      <c r="F1120" s="73" t="n"/>
      <c r="G1120" s="74" t="n"/>
      <c r="J1120" s="73" t="n"/>
      <c r="K1120" s="73" t="n"/>
      <c r="L1120" s="73" t="n"/>
      <c r="M1120" s="76" t="n"/>
      <c r="W1120" s="73" t="n"/>
      <c r="X1120" s="73" t="n"/>
      <c r="Y1120" s="73" t="n"/>
      <c r="Z1120" s="73" t="n"/>
      <c r="AA1120" s="73" t="n"/>
      <c r="AB1120" s="73" t="n"/>
      <c r="AC1120" s="73" t="n"/>
    </row>
    <row r="1121">
      <c r="E1121" s="73" t="n"/>
      <c r="F1121" s="73" t="n"/>
      <c r="G1121" s="74" t="n"/>
      <c r="J1121" s="73" t="n"/>
      <c r="K1121" s="73" t="n"/>
      <c r="L1121" s="73" t="n"/>
      <c r="M1121" s="76" t="n"/>
      <c r="W1121" s="73" t="n"/>
      <c r="X1121" s="73" t="n"/>
      <c r="Y1121" s="73" t="n"/>
      <c r="Z1121" s="73" t="n"/>
      <c r="AA1121" s="73" t="n"/>
      <c r="AB1121" s="73" t="n"/>
      <c r="AC1121" s="73" t="n"/>
    </row>
    <row r="1122">
      <c r="E1122" s="73" t="n"/>
      <c r="F1122" s="73" t="n"/>
      <c r="G1122" s="74" t="n"/>
      <c r="J1122" s="73" t="n"/>
      <c r="K1122" s="73" t="n"/>
      <c r="L1122" s="73" t="n"/>
      <c r="M1122" s="76" t="n"/>
      <c r="W1122" s="73" t="n"/>
      <c r="X1122" s="73" t="n"/>
      <c r="Y1122" s="73" t="n"/>
      <c r="Z1122" s="73" t="n"/>
      <c r="AA1122" s="73" t="n"/>
      <c r="AB1122" s="73" t="n"/>
      <c r="AC1122" s="73" t="n"/>
    </row>
    <row r="1123">
      <c r="E1123" s="73" t="n"/>
      <c r="F1123" s="73" t="n"/>
      <c r="G1123" s="74" t="n"/>
      <c r="J1123" s="73" t="n"/>
      <c r="K1123" s="73" t="n"/>
      <c r="L1123" s="73" t="n"/>
      <c r="M1123" s="76" t="n"/>
      <c r="W1123" s="73" t="n"/>
      <c r="X1123" s="73" t="n"/>
      <c r="Y1123" s="73" t="n"/>
      <c r="Z1123" s="73" t="n"/>
      <c r="AA1123" s="73" t="n"/>
      <c r="AB1123" s="73" t="n"/>
      <c r="AC1123" s="73" t="n"/>
    </row>
    <row r="1124">
      <c r="E1124" s="73" t="n"/>
      <c r="F1124" s="73" t="n"/>
      <c r="G1124" s="74" t="n"/>
      <c r="J1124" s="73" t="n"/>
      <c r="K1124" s="73" t="n"/>
      <c r="L1124" s="73" t="n"/>
      <c r="M1124" s="76" t="n"/>
      <c r="W1124" s="73" t="n"/>
      <c r="X1124" s="73" t="n"/>
      <c r="Y1124" s="73" t="n"/>
      <c r="Z1124" s="73" t="n"/>
      <c r="AA1124" s="73" t="n"/>
      <c r="AB1124" s="73" t="n"/>
      <c r="AC1124" s="73" t="n"/>
    </row>
    <row r="1125">
      <c r="E1125" s="73" t="n"/>
      <c r="F1125" s="73" t="n"/>
      <c r="G1125" s="74" t="n"/>
      <c r="J1125" s="73" t="n"/>
      <c r="K1125" s="73" t="n"/>
      <c r="L1125" s="73" t="n"/>
      <c r="M1125" s="76" t="n"/>
      <c r="W1125" s="73" t="n"/>
      <c r="X1125" s="73" t="n"/>
      <c r="Y1125" s="73" t="n"/>
      <c r="Z1125" s="73" t="n"/>
      <c r="AA1125" s="73" t="n"/>
      <c r="AB1125" s="73" t="n"/>
      <c r="AC1125" s="73" t="n"/>
    </row>
    <row r="1126">
      <c r="E1126" s="73" t="n"/>
      <c r="F1126" s="73" t="n"/>
      <c r="G1126" s="74" t="n"/>
      <c r="J1126" s="73" t="n"/>
      <c r="K1126" s="73" t="n"/>
      <c r="L1126" s="73" t="n"/>
      <c r="M1126" s="76" t="n"/>
      <c r="W1126" s="73" t="n"/>
      <c r="X1126" s="73" t="n"/>
      <c r="Y1126" s="73" t="n"/>
      <c r="Z1126" s="73" t="n"/>
      <c r="AA1126" s="73" t="n"/>
      <c r="AB1126" s="73" t="n"/>
      <c r="AC1126" s="73" t="n"/>
    </row>
    <row r="1127">
      <c r="E1127" s="73" t="n"/>
      <c r="F1127" s="73" t="n"/>
      <c r="G1127" s="74" t="n"/>
      <c r="J1127" s="73" t="n"/>
      <c r="K1127" s="73" t="n"/>
      <c r="L1127" s="73" t="n"/>
      <c r="M1127" s="76" t="n"/>
      <c r="W1127" s="73" t="n"/>
      <c r="X1127" s="73" t="n"/>
      <c r="Y1127" s="73" t="n"/>
      <c r="Z1127" s="73" t="n"/>
      <c r="AA1127" s="73" t="n"/>
      <c r="AB1127" s="73" t="n"/>
      <c r="AC1127" s="73" t="n"/>
    </row>
    <row r="1128">
      <c r="E1128" s="73" t="n"/>
      <c r="F1128" s="73" t="n"/>
      <c r="G1128" s="74" t="n"/>
      <c r="J1128" s="73" t="n"/>
      <c r="K1128" s="73" t="n"/>
      <c r="L1128" s="73" t="n"/>
      <c r="M1128" s="76" t="n"/>
      <c r="W1128" s="73" t="n"/>
      <c r="X1128" s="73" t="n"/>
      <c r="Y1128" s="73" t="n"/>
      <c r="Z1128" s="73" t="n"/>
      <c r="AA1128" s="73" t="n"/>
      <c r="AB1128" s="73" t="n"/>
      <c r="AC1128" s="73" t="n"/>
    </row>
    <row r="1129">
      <c r="E1129" s="73" t="n"/>
      <c r="F1129" s="73" t="n"/>
      <c r="G1129" s="74" t="n"/>
      <c r="J1129" s="73" t="n"/>
      <c r="K1129" s="73" t="n"/>
      <c r="L1129" s="73" t="n"/>
      <c r="M1129" s="76" t="n"/>
      <c r="W1129" s="73" t="n"/>
      <c r="X1129" s="73" t="n"/>
      <c r="Y1129" s="73" t="n"/>
      <c r="Z1129" s="73" t="n"/>
      <c r="AA1129" s="73" t="n"/>
      <c r="AB1129" s="73" t="n"/>
      <c r="AC1129" s="73" t="n"/>
    </row>
    <row r="1130">
      <c r="E1130" s="73" t="n"/>
      <c r="F1130" s="73" t="n"/>
      <c r="G1130" s="74" t="n"/>
      <c r="J1130" s="73" t="n"/>
      <c r="K1130" s="73" t="n"/>
      <c r="L1130" s="73" t="n"/>
      <c r="M1130" s="76" t="n"/>
      <c r="W1130" s="73" t="n"/>
      <c r="X1130" s="73" t="n"/>
      <c r="Y1130" s="73" t="n"/>
      <c r="Z1130" s="73" t="n"/>
      <c r="AA1130" s="73" t="n"/>
      <c r="AB1130" s="73" t="n"/>
      <c r="AC1130" s="73" t="n"/>
    </row>
    <row r="1131">
      <c r="E1131" s="73" t="n"/>
      <c r="F1131" s="73" t="n"/>
      <c r="G1131" s="74" t="n"/>
      <c r="J1131" s="73" t="n"/>
      <c r="K1131" s="73" t="n"/>
      <c r="L1131" s="73" t="n"/>
      <c r="M1131" s="76" t="n"/>
      <c r="W1131" s="73" t="n"/>
      <c r="X1131" s="73" t="n"/>
      <c r="Y1131" s="73" t="n"/>
      <c r="Z1131" s="73" t="n"/>
      <c r="AA1131" s="73" t="n"/>
      <c r="AB1131" s="73" t="n"/>
      <c r="AC1131" s="73" t="n"/>
    </row>
    <row r="1132">
      <c r="E1132" s="73" t="n"/>
      <c r="F1132" s="73" t="n"/>
      <c r="G1132" s="74" t="n"/>
      <c r="J1132" s="73" t="n"/>
      <c r="K1132" s="73" t="n"/>
      <c r="L1132" s="73" t="n"/>
      <c r="W1132" s="73" t="n"/>
      <c r="X1132" s="73" t="n"/>
      <c r="Y1132" s="73" t="n"/>
      <c r="Z1132" s="73" t="n"/>
      <c r="AA1132" s="73" t="n"/>
      <c r="AB1132" s="73" t="n"/>
      <c r="AC1132" s="73" t="n"/>
    </row>
    <row r="1133">
      <c r="E1133" s="73" t="n"/>
      <c r="F1133" s="73" t="n"/>
      <c r="G1133" s="74" t="n"/>
      <c r="J1133" s="73" t="n"/>
      <c r="K1133" s="73" t="n"/>
      <c r="L1133" s="73" t="n"/>
      <c r="W1133" s="73" t="n"/>
      <c r="X1133" s="73" t="n"/>
      <c r="Y1133" s="73" t="n"/>
      <c r="Z1133" s="73" t="n"/>
      <c r="AA1133" s="73" t="n"/>
      <c r="AB1133" s="73" t="n"/>
      <c r="AC1133" s="73" t="n"/>
    </row>
    <row r="1134">
      <c r="E1134" s="73" t="n"/>
      <c r="F1134" s="73" t="n"/>
      <c r="G1134" s="74" t="n"/>
      <c r="J1134" s="73" t="n"/>
      <c r="K1134" s="73" t="n"/>
      <c r="L1134" s="73" t="n"/>
      <c r="W1134" s="73" t="n"/>
      <c r="X1134" s="73" t="n"/>
      <c r="Y1134" s="73" t="n"/>
      <c r="Z1134" s="73" t="n"/>
      <c r="AA1134" s="73" t="n"/>
      <c r="AB1134" s="73" t="n"/>
      <c r="AC1134" s="73" t="n"/>
    </row>
    <row r="1135">
      <c r="E1135" s="73" t="n"/>
      <c r="F1135" s="73" t="n"/>
      <c r="G1135" s="74" t="n"/>
      <c r="J1135" s="73" t="n"/>
      <c r="K1135" s="73" t="n"/>
      <c r="L1135" s="73" t="n"/>
      <c r="W1135" s="73" t="n"/>
      <c r="X1135" s="73" t="n"/>
      <c r="Y1135" s="73" t="n"/>
      <c r="Z1135" s="73" t="n"/>
      <c r="AA1135" s="73" t="n"/>
      <c r="AB1135" s="73" t="n"/>
      <c r="AC1135" s="73" t="n"/>
    </row>
    <row r="1136">
      <c r="E1136" s="73" t="n"/>
      <c r="F1136" s="73" t="n"/>
      <c r="G1136" s="74" t="n"/>
      <c r="J1136" s="73" t="n"/>
      <c r="K1136" s="73" t="n"/>
      <c r="L1136" s="73" t="n"/>
      <c r="W1136" s="73" t="n"/>
      <c r="X1136" s="73" t="n"/>
      <c r="Y1136" s="73" t="n"/>
      <c r="Z1136" s="73" t="n"/>
      <c r="AA1136" s="73" t="n"/>
      <c r="AB1136" s="73" t="n"/>
      <c r="AC1136" s="73" t="n"/>
    </row>
    <row r="1137">
      <c r="E1137" s="73" t="n"/>
      <c r="F1137" s="73" t="n"/>
      <c r="G1137" s="74" t="n"/>
      <c r="J1137" s="73" t="n"/>
      <c r="K1137" s="73" t="n"/>
      <c r="L1137" s="73" t="n"/>
      <c r="W1137" s="73" t="n"/>
      <c r="X1137" s="73" t="n"/>
      <c r="Y1137" s="73" t="n"/>
      <c r="Z1137" s="73" t="n"/>
      <c r="AA1137" s="73" t="n"/>
      <c r="AB1137" s="73" t="n"/>
      <c r="AC1137" s="73" t="n"/>
    </row>
    <row r="1138">
      <c r="E1138" s="73" t="n"/>
      <c r="F1138" s="73" t="n"/>
      <c r="G1138" s="74" t="n"/>
      <c r="J1138" s="73" t="n"/>
      <c r="K1138" s="73" t="n"/>
      <c r="L1138" s="73" t="n"/>
      <c r="W1138" s="73" t="n"/>
      <c r="X1138" s="73" t="n"/>
      <c r="Y1138" s="73" t="n"/>
      <c r="Z1138" s="73" t="n"/>
      <c r="AA1138" s="73" t="n"/>
      <c r="AB1138" s="73" t="n"/>
      <c r="AC1138" s="73" t="n"/>
    </row>
    <row r="1139">
      <c r="E1139" s="73" t="n"/>
      <c r="F1139" s="73" t="n"/>
      <c r="G1139" s="74" t="n"/>
      <c r="J1139" s="73" t="n"/>
      <c r="K1139" s="73" t="n"/>
      <c r="L1139" s="73" t="n"/>
      <c r="W1139" s="73" t="n"/>
      <c r="X1139" s="73" t="n"/>
      <c r="Y1139" s="73" t="n"/>
      <c r="Z1139" s="73" t="n"/>
      <c r="AA1139" s="73" t="n"/>
      <c r="AB1139" s="73" t="n"/>
      <c r="AC1139" s="73" t="n"/>
    </row>
    <row r="1140">
      <c r="E1140" s="73" t="n"/>
      <c r="F1140" s="73" t="n"/>
      <c r="G1140" s="74" t="n"/>
      <c r="J1140" s="73" t="n"/>
      <c r="K1140" s="73" t="n"/>
      <c r="L1140" s="73" t="n"/>
      <c r="W1140" s="73" t="n"/>
      <c r="X1140" s="73" t="n"/>
      <c r="Y1140" s="73" t="n"/>
      <c r="Z1140" s="73" t="n"/>
      <c r="AA1140" s="73" t="n"/>
      <c r="AB1140" s="73" t="n"/>
      <c r="AC1140" s="73" t="n"/>
    </row>
    <row r="1141">
      <c r="E1141" s="73" t="n"/>
      <c r="F1141" s="73" t="n"/>
      <c r="G1141" s="74" t="n"/>
      <c r="J1141" s="73" t="n"/>
      <c r="K1141" s="73" t="n"/>
      <c r="L1141" s="73" t="n"/>
      <c r="W1141" s="73" t="n"/>
      <c r="X1141" s="73" t="n"/>
      <c r="Y1141" s="73" t="n"/>
      <c r="Z1141" s="73" t="n"/>
      <c r="AA1141" s="73" t="n"/>
      <c r="AB1141" s="73" t="n"/>
      <c r="AC1141" s="73" t="n"/>
    </row>
    <row r="1142">
      <c r="E1142" s="73" t="n"/>
      <c r="F1142" s="73" t="n"/>
      <c r="G1142" s="74" t="n"/>
      <c r="J1142" s="73" t="n"/>
      <c r="K1142" s="73" t="n"/>
      <c r="L1142" s="73" t="n"/>
      <c r="W1142" s="73" t="n"/>
      <c r="X1142" s="73" t="n"/>
      <c r="Y1142" s="73" t="n"/>
      <c r="Z1142" s="73" t="n"/>
      <c r="AA1142" s="73" t="n"/>
      <c r="AB1142" s="73" t="n"/>
      <c r="AC1142" s="73" t="n"/>
    </row>
    <row r="1143">
      <c r="E1143" s="73" t="n"/>
      <c r="F1143" s="73" t="n"/>
      <c r="G1143" s="74" t="n"/>
      <c r="J1143" s="73" t="n"/>
      <c r="K1143" s="73" t="n"/>
      <c r="L1143" s="73" t="n"/>
      <c r="W1143" s="73" t="n"/>
      <c r="X1143" s="73" t="n"/>
      <c r="Y1143" s="73" t="n"/>
      <c r="Z1143" s="73" t="n"/>
      <c r="AA1143" s="73" t="n"/>
      <c r="AB1143" s="73" t="n"/>
      <c r="AC1143" s="73" t="n"/>
    </row>
    <row r="1144">
      <c r="E1144" s="73" t="n"/>
      <c r="F1144" s="73" t="n"/>
      <c r="G1144" s="74" t="n"/>
      <c r="J1144" s="73" t="n"/>
      <c r="K1144" s="73" t="n"/>
      <c r="L1144" s="73" t="n"/>
      <c r="W1144" s="73" t="n"/>
      <c r="X1144" s="73" t="n"/>
      <c r="Y1144" s="73" t="n"/>
      <c r="Z1144" s="73" t="n"/>
      <c r="AA1144" s="73" t="n"/>
      <c r="AB1144" s="73" t="n"/>
      <c r="AC1144" s="73" t="n"/>
    </row>
    <row r="1145">
      <c r="E1145" s="73" t="n"/>
      <c r="F1145" s="73" t="n"/>
      <c r="G1145" s="74" t="n"/>
      <c r="J1145" s="73" t="n"/>
      <c r="K1145" s="73" t="n"/>
      <c r="L1145" s="73" t="n"/>
      <c r="W1145" s="73" t="n"/>
      <c r="X1145" s="73" t="n"/>
      <c r="Y1145" s="73" t="n"/>
      <c r="Z1145" s="73" t="n"/>
      <c r="AA1145" s="73" t="n"/>
      <c r="AB1145" s="73" t="n"/>
      <c r="AC1145" s="73" t="n"/>
    </row>
    <row r="1146">
      <c r="E1146" s="73" t="n"/>
      <c r="F1146" s="73" t="n"/>
      <c r="G1146" s="74" t="n"/>
      <c r="J1146" s="73" t="n"/>
      <c r="K1146" s="73" t="n"/>
      <c r="L1146" s="73" t="n"/>
      <c r="W1146" s="73" t="n"/>
      <c r="X1146" s="73" t="n"/>
      <c r="Y1146" s="73" t="n"/>
      <c r="Z1146" s="73" t="n"/>
      <c r="AA1146" s="73" t="n"/>
      <c r="AB1146" s="73" t="n"/>
      <c r="AC1146" s="73" t="n"/>
    </row>
    <row r="1147">
      <c r="E1147" s="73" t="n"/>
      <c r="F1147" s="73" t="n"/>
      <c r="G1147" s="74" t="n"/>
      <c r="J1147" s="73" t="n"/>
      <c r="K1147" s="73" t="n"/>
      <c r="L1147" s="73" t="n"/>
      <c r="W1147" s="73" t="n"/>
      <c r="X1147" s="73" t="n"/>
      <c r="Y1147" s="73" t="n"/>
      <c r="Z1147" s="73" t="n"/>
      <c r="AA1147" s="73" t="n"/>
      <c r="AB1147" s="73" t="n"/>
      <c r="AC1147" s="73" t="n"/>
    </row>
    <row r="1148">
      <c r="E1148" s="73" t="n"/>
      <c r="F1148" s="73" t="n"/>
      <c r="G1148" s="74" t="n"/>
      <c r="J1148" s="73" t="n"/>
      <c r="K1148" s="73" t="n"/>
      <c r="L1148" s="73" t="n"/>
      <c r="W1148" s="73" t="n"/>
      <c r="X1148" s="73" t="n"/>
      <c r="Y1148" s="73" t="n"/>
      <c r="Z1148" s="73" t="n"/>
      <c r="AA1148" s="73" t="n"/>
      <c r="AB1148" s="73" t="n"/>
      <c r="AC1148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 t="n">
        <v>336.55</v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 t="n">
        <v>385.9</v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 t="n">
        <v>196</v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7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2026-02-07T07:12:26Z</dcterms:created>
  <dcterms:modified xmlns:dcterms="http://purl.org/dc/terms/" xmlns:xsi="http://www.w3.org/2001/XMLSchema-instance" xsi:type="dcterms:W3CDTF">2026-02-12T00:09:24Z</dcterms:modified>
</cp:coreProperties>
</file>