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7E89B890_CAE3_4234_9D03_97BD8F1D63C0_.wvu.FilterData" localSheetId="0" hidden="1">'Trading History'!$A$4:$AO$44</definedName>
    <definedName name="_xlnm._FilterDatabase" localSheetId="0" hidden="1">'Trading History'!$A$4:$AO$44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6.5" customWidth="1" style="76" min="7" max="7"/>
    <col width="6.63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9.25" customWidth="1" style="76" min="21" max="21"/>
    <col width="7.63" customWidth="1" style="76" min="22" max="22"/>
    <col width="7.88" customWidth="1" style="76" min="23" max="23"/>
    <col width="11.13" customWidth="1" style="76" min="24" max="24"/>
    <col width="12.5" customWidth="1" style="76" min="25" max="26"/>
    <col width="8.380000000000001" customWidth="1" style="76" min="27" max="29"/>
    <col width="16.38" customWidth="1" style="76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7" t="n">
        <v>46049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440.35</v>
      </c>
      <c r="F5" t="n">
        <v>2217.36</v>
      </c>
      <c r="G5" t="inlineStr">
        <is>
          <t>~</t>
        </is>
      </c>
      <c r="H5" t="n">
        <v>2.2</v>
      </c>
      <c r="I5" t="n">
        <v>13.41</v>
      </c>
    </row>
    <row r="6">
      <c r="A6" s="87" t="n">
        <v>45996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409.3</v>
      </c>
      <c r="F6" t="n">
        <v>2061.03</v>
      </c>
      <c r="G6" t="inlineStr">
        <is>
          <t>~</t>
        </is>
      </c>
      <c r="H6" t="n">
        <v>2.04</v>
      </c>
      <c r="I6" t="n">
        <v>12.49</v>
      </c>
    </row>
    <row r="7">
      <c r="A7" s="87" t="n">
        <v>45982</v>
      </c>
      <c r="B7" t="inlineStr">
        <is>
          <t>DIV</t>
        </is>
      </c>
      <c r="C7" t="inlineStr">
        <is>
          <t>Buy</t>
        </is>
      </c>
      <c r="D7" t="n">
        <v>150</v>
      </c>
      <c r="E7" t="n">
        <v>3.5</v>
      </c>
      <c r="F7" t="n">
        <v>525</v>
      </c>
      <c r="G7" t="inlineStr">
        <is>
          <t>Interim-Dividend of Rs.3.5000/- per share on Ex-Date: 21-NOV-2025  Interim-Dividend of Rs.3.5000/- per share on Ex-Date: 21-NOV-2025</t>
        </is>
      </c>
      <c r="H7" t="n">
        <v>0</v>
      </c>
      <c r="I7" t="n">
        <v>0</v>
      </c>
    </row>
    <row r="8">
      <c r="A8" s="87" t="n">
        <v>45957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421.25</v>
      </c>
      <c r="F8" t="n">
        <v>4242.4</v>
      </c>
      <c r="G8" t="inlineStr">
        <is>
          <t>~</t>
        </is>
      </c>
      <c r="H8" t="n">
        <v>4.22</v>
      </c>
      <c r="I8" t="n">
        <v>25.68</v>
      </c>
    </row>
    <row r="9">
      <c r="A9" s="87" t="n">
        <v>45954</v>
      </c>
      <c r="B9" t="inlineStr">
        <is>
          <t>BSE</t>
        </is>
      </c>
      <c r="C9" t="inlineStr">
        <is>
          <t>Buy</t>
        </is>
      </c>
      <c r="D9" t="n">
        <v>20</v>
      </c>
      <c r="E9" t="n">
        <v>421.1</v>
      </c>
      <c r="F9" t="n">
        <v>8481.9</v>
      </c>
      <c r="G9" t="inlineStr">
        <is>
          <t>~</t>
        </is>
      </c>
      <c r="H9" t="n">
        <v>8.44</v>
      </c>
      <c r="I9" t="n">
        <v>51.46</v>
      </c>
    </row>
    <row r="10">
      <c r="A10" s="87" t="n">
        <v>45953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413.9</v>
      </c>
      <c r="F10" t="n">
        <v>4168.32</v>
      </c>
      <c r="G10" t="inlineStr">
        <is>
          <t>~</t>
        </is>
      </c>
      <c r="H10" t="n">
        <v>4.13</v>
      </c>
      <c r="I10" t="n">
        <v>25.19</v>
      </c>
    </row>
    <row r="11">
      <c r="A11" s="87" t="n">
        <v>45953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413.9</v>
      </c>
      <c r="F11" t="n">
        <v>4168.32</v>
      </c>
      <c r="G11" t="inlineStr">
        <is>
          <t>~</t>
        </is>
      </c>
      <c r="H11" t="n">
        <v>4.13</v>
      </c>
      <c r="I11" t="n">
        <v>25.19</v>
      </c>
    </row>
    <row r="12">
      <c r="A12" s="87" t="n">
        <v>45950</v>
      </c>
      <c r="B12" t="inlineStr">
        <is>
          <t>NSE</t>
        </is>
      </c>
      <c r="C12" t="inlineStr">
        <is>
          <t>Buy</t>
        </is>
      </c>
      <c r="D12" t="n">
        <v>20</v>
      </c>
      <c r="E12" t="n">
        <v>407.6</v>
      </c>
      <c r="F12" t="n">
        <v>8209.809999999999</v>
      </c>
      <c r="G12" t="inlineStr">
        <is>
          <t>~</t>
        </is>
      </c>
      <c r="H12" t="n">
        <v>8.140000000000001</v>
      </c>
      <c r="I12" t="n">
        <v>49.67</v>
      </c>
    </row>
    <row r="13">
      <c r="A13" s="87" t="n">
        <v>45947</v>
      </c>
      <c r="B13" t="inlineStr">
        <is>
          <t>BSE</t>
        </is>
      </c>
      <c r="C13" t="inlineStr">
        <is>
          <t>Buy</t>
        </is>
      </c>
      <c r="D13" t="n">
        <v>10</v>
      </c>
      <c r="E13" t="n">
        <v>410.7</v>
      </c>
      <c r="F13" t="n">
        <v>4136.11</v>
      </c>
      <c r="G13" t="inlineStr">
        <is>
          <t>~</t>
        </is>
      </c>
      <c r="H13" t="n">
        <v>4.12</v>
      </c>
      <c r="I13" t="n">
        <v>24.99</v>
      </c>
    </row>
    <row r="14">
      <c r="A14" s="87" t="n">
        <v>45924</v>
      </c>
      <c r="B14" t="inlineStr">
        <is>
          <t>BSE</t>
        </is>
      </c>
      <c r="C14" t="inlineStr">
        <is>
          <t>Buy</t>
        </is>
      </c>
      <c r="D14" t="n">
        <v>20</v>
      </c>
      <c r="E14" t="n">
        <v>405</v>
      </c>
      <c r="F14" t="n">
        <v>8157.56</v>
      </c>
      <c r="G14" t="inlineStr">
        <is>
          <t>~</t>
        </is>
      </c>
      <c r="H14" t="n">
        <v>8.06</v>
      </c>
      <c r="I14" t="n">
        <v>49.5</v>
      </c>
    </row>
    <row r="15">
      <c r="A15" s="38" t="n">
        <v>45950</v>
      </c>
      <c r="B15" s="39" t="inlineStr">
        <is>
          <t>NSE</t>
        </is>
      </c>
      <c r="C15" s="39" t="inlineStr">
        <is>
          <t>Buy</t>
        </is>
      </c>
      <c r="D15" s="40" t="n">
        <v>20</v>
      </c>
      <c r="E15" s="41" t="n">
        <v>410.49</v>
      </c>
      <c r="F15" s="41">
        <f>(D5*E5)</f>
        <v/>
      </c>
      <c r="G15" s="39" t="inlineStr">
        <is>
          <t>~</t>
        </is>
      </c>
      <c r="H15" s="40" t="n"/>
      <c r="I15" s="40" t="n"/>
      <c r="J15" s="42">
        <f>Index!$C$2</f>
        <v/>
      </c>
      <c r="K15" s="43">
        <f>IF(AND( C5="Buy", ISBLANK(W5), B5&lt;&gt;"DIV"), L5/sum(F5:I5), "")</f>
        <v/>
      </c>
      <c r="L15" s="44">
        <f>IF(AND( C5="Buy", ISBLANK(W5), B5&lt;&gt;"DIV"), (1-Index!$F$2*2)*((J5*D5)-(E5*D5)), "")</f>
        <v/>
      </c>
      <c r="M15" s="44">
        <f>IF(AND( C5="Buy", ISBLANK(W5), B5&lt;&gt;"DIV"), ((E5*D5)+L5), "")</f>
        <v/>
      </c>
      <c r="N15" s="45">
        <f>IF(AND( C5="Buy", ISBLANK(W5), B5&lt;&gt;"DIV"), D5, "")</f>
        <v/>
      </c>
      <c r="O15" s="43">
        <f>IF(AND( C5="Buy", ISBLANK(W5), B5&lt;&gt;"DIV", NOW()-A5 &lt; 365), P5/sum(F5:I5), "")</f>
        <v/>
      </c>
      <c r="P15" s="44">
        <f>IF(AND( C5="Buy", ISBLANK(W5), B5&lt;&gt;"DIV", NOW()-A5 &lt; 365), (1-Index!$F$2*2)*((J5*D5)-(E5*D5)), "")</f>
        <v/>
      </c>
      <c r="Q15" s="44">
        <f>IF(AND( C5="Buy", ISBLANK(W5), B5&lt;&gt;"DIV", NOW()-A5 &lt; 365), ((E5*D5)+P5), "")</f>
        <v/>
      </c>
      <c r="R15" s="44">
        <f>IF(AND( C5="Buy", ISBLANK(W5), B5&lt;&gt;"DIV", NOW()-A5 &lt; 365), D5, "")</f>
        <v/>
      </c>
      <c r="S15" s="46">
        <f>IF(AND( C5="Buy", ISBLANK(W5), B5&lt;&gt;"DIV", NOW()-A5 &gt; 365), T5/sum(F5:I5), "")</f>
        <v/>
      </c>
      <c r="T15" s="47">
        <f>IF(AND( C5="Buy", ISBLANK(W5), B5&lt;&gt;"DIV", NOW()-A5 &gt; 365), (1-Index!$F$2*2)*((J5*D5)-(E5*D5)), "")</f>
        <v/>
      </c>
      <c r="U15" s="47">
        <f>IF(AND( C5="Buy", ISBLANK(W5), B5&lt;&gt;"DIV", NOW()-A5 &gt; 365), ((E5*D5)+T5), "")</f>
        <v/>
      </c>
      <c r="V15" s="47">
        <f>IF(AND( C5="Buy", ISBLANK(W5), B5&lt;&gt;"DIV", NOW()-A5 &gt; 365), D5, "")</f>
        <v/>
      </c>
      <c r="W15" s="47" t="n"/>
      <c r="X15" s="47" t="n"/>
      <c r="Y15" s="46">
        <f>IF(AND( C5="Buy", W5&lt;&gt;"", AA5&lt;&gt;"", B5&lt;&gt;"DIV"), Z5/sum(F5:I5), "")</f>
        <v/>
      </c>
      <c r="Z15" s="47" t="n"/>
      <c r="AA15" s="47" t="n"/>
      <c r="AB15" s="48" t="n"/>
      <c r="AC15" s="44">
        <f>if(B5="DIV", F5,"")</f>
        <v/>
      </c>
      <c r="AD15" s="49" t="n"/>
    </row>
    <row r="16">
      <c r="A16" s="38" t="n">
        <v>45947</v>
      </c>
      <c r="B16" s="39" t="inlineStr">
        <is>
          <t>NSE</t>
        </is>
      </c>
      <c r="C16" s="39" t="inlineStr">
        <is>
          <t>Buy</t>
        </is>
      </c>
      <c r="D16" s="40" t="n">
        <v>10</v>
      </c>
      <c r="E16" s="41" t="n">
        <v>413.61</v>
      </c>
      <c r="F16" s="41">
        <f>(D6*E6)+I6</f>
        <v/>
      </c>
      <c r="G16" s="39" t="inlineStr">
        <is>
          <t>~</t>
        </is>
      </c>
      <c r="H16" s="40" t="n"/>
      <c r="I16" s="40" t="n"/>
      <c r="J16" s="42">
        <f>Index!$C$2</f>
        <v/>
      </c>
      <c r="K16" s="43">
        <f>IF(AND( C6="Buy", ISBLANK(W6), B6&lt;&gt;"DIV"), L6/sum(F6:I6), "")</f>
        <v/>
      </c>
      <c r="L16" s="44">
        <f>IF(AND( C6="Buy", ISBLANK(W6), B6&lt;&gt;"DIV"), (1-Index!$F$2*2)*((J6*D6)-(E6*D6)), "")</f>
        <v/>
      </c>
      <c r="M16" s="44">
        <f>IF(AND( C6="Buy", ISBLANK(W6), B6&lt;&gt;"DIV"), ((E6*D6)+L6), "")</f>
        <v/>
      </c>
      <c r="N16" s="45">
        <f>IF(AND( C6="Buy", ISBLANK(W6), B6&lt;&gt;"DIV"), D6, "")</f>
        <v/>
      </c>
      <c r="O16" s="43">
        <f>IF(AND( C6="Buy", ISBLANK(W6), B6&lt;&gt;"DIV", NOW()-A6 &lt; 365), P6/sum(F6:I6), "")</f>
        <v/>
      </c>
      <c r="P16" s="44">
        <f>IF(AND( C6="Buy", ISBLANK(W6), B6&lt;&gt;"DIV", NOW()-A6 &lt; 365), (1-Index!$F$2*2)*((J6*D6)-(E6*D6)), "")</f>
        <v/>
      </c>
      <c r="Q16" s="44">
        <f>IF(AND( C6="Buy", ISBLANK(W6), B6&lt;&gt;"DIV", NOW()-A6 &lt; 365), ((E6*D6)+P6), "")</f>
        <v/>
      </c>
      <c r="R16" s="44">
        <f>IF(AND( C6="Buy", ISBLANK(W6), B6&lt;&gt;"DIV", NOW()-A6 &lt; 365), D6, "")</f>
        <v/>
      </c>
      <c r="S16" s="46">
        <f>IF(AND( C6="Buy", ISBLANK(W6), B6&lt;&gt;"DIV", NOW()-A6 &gt; 365), T6/sum(F6:I6), "")</f>
        <v/>
      </c>
      <c r="T16" s="47">
        <f>IF(AND( C6="Buy", ISBLANK(W6), B6&lt;&gt;"DIV", NOW()-A6 &gt; 365), (1-Index!$F$2*2)*((J6*D6)-(E6*D6)), "")</f>
        <v/>
      </c>
      <c r="U16" s="47">
        <f>IF(AND( C6="Buy", ISBLANK(W6), B6&lt;&gt;"DIV", NOW()-A6 &gt; 365), ((E6*D6)+T6), "")</f>
        <v/>
      </c>
      <c r="V16" s="47">
        <f>IF(AND( C6="Buy", ISBLANK(W6), B6&lt;&gt;"DIV", NOW()-A6 &gt; 365), D6, "")</f>
        <v/>
      </c>
      <c r="W16" s="47" t="n"/>
      <c r="X16" s="47" t="n"/>
      <c r="Y16" s="46">
        <f>IF(AND( C6="Buy", W6&lt;&gt;"", AA6&lt;&gt;"", B6&lt;&gt;"DIV"), Z6/sum(F6:I6), "")</f>
        <v/>
      </c>
      <c r="Z16" s="47" t="n"/>
      <c r="AA16" s="47" t="n"/>
      <c r="AB16" s="48" t="n"/>
      <c r="AC16" s="44">
        <f>if(B6="DIV", F6,"")</f>
        <v/>
      </c>
      <c r="AD16" s="49" t="n"/>
    </row>
    <row r="17">
      <c r="A17" s="38" t="n">
        <v>45924</v>
      </c>
      <c r="B17" s="39" t="inlineStr">
        <is>
          <t>NSE</t>
        </is>
      </c>
      <c r="C17" s="39" t="inlineStr">
        <is>
          <t>Buy</t>
        </is>
      </c>
      <c r="D17" s="40" t="n">
        <v>20</v>
      </c>
      <c r="E17" s="41" t="n">
        <v>407.88</v>
      </c>
      <c r="F17" s="41">
        <f>(D7*E7)+I7</f>
        <v/>
      </c>
      <c r="G17" s="39" t="inlineStr">
        <is>
          <t>~</t>
        </is>
      </c>
      <c r="H17" s="40" t="n"/>
      <c r="I17" s="40" t="n"/>
      <c r="J17" s="42">
        <f>Index!$C$2</f>
        <v/>
      </c>
      <c r="K17" s="43">
        <f>IF(AND( C7="Buy", ISBLANK(W7), B7&lt;&gt;"DIV"), L7/sum(F7:I7), "")</f>
        <v/>
      </c>
      <c r="L17" s="44">
        <f>IF(AND( C7="Buy", ISBLANK(W7), B7&lt;&gt;"DIV"), (1-Index!$F$2*2)*((J7*D7)-(E7*D7)), "")</f>
        <v/>
      </c>
      <c r="M17" s="44">
        <f>IF(AND( C7="Buy", ISBLANK(W7), B7&lt;&gt;"DIV"), ((E7*D7)+L7), "")</f>
        <v/>
      </c>
      <c r="N17" s="45">
        <f>IF(AND( C7="Buy", ISBLANK(W7), B7&lt;&gt;"DIV"), D7, "")</f>
        <v/>
      </c>
      <c r="O17" s="43">
        <f>IF(AND( C7="Buy", ISBLANK(W7), B7&lt;&gt;"DIV", NOW()-A7 &lt; 365), P7/sum(F7:I7), "")</f>
        <v/>
      </c>
      <c r="P17" s="44">
        <f>IF(AND( C7="Buy", ISBLANK(W7), B7&lt;&gt;"DIV", NOW()-A7 &lt; 365), (1-Index!$F$2*2)*((J7*D7)-(E7*D7)), "")</f>
        <v/>
      </c>
      <c r="Q17" s="44">
        <f>IF(AND( C7="Buy", ISBLANK(W7), B7&lt;&gt;"DIV", NOW()-A7 &lt; 365), ((E7*D7)+P7), "")</f>
        <v/>
      </c>
      <c r="R17" s="44">
        <f>IF(AND( C7="Buy", ISBLANK(W7), B7&lt;&gt;"DIV", NOW()-A7 &lt; 365), D7, "")</f>
        <v/>
      </c>
      <c r="S17" s="46">
        <f>IF(AND( C7="Buy", ISBLANK(W7), B7&lt;&gt;"DIV", NOW()-A7 &gt; 365), T7/sum(F7:I7), "")</f>
        <v/>
      </c>
      <c r="T17" s="47">
        <f>IF(AND( C7="Buy", ISBLANK(W7), B7&lt;&gt;"DIV", NOW()-A7 &gt; 365), (1-Index!$F$2*2)*((J7*D7)-(E7*D7)), "")</f>
        <v/>
      </c>
      <c r="U17" s="47">
        <f>IF(AND( C7="Buy", ISBLANK(W7), B7&lt;&gt;"DIV", NOW()-A7 &gt; 365), ((E7*D7)+T7), "")</f>
        <v/>
      </c>
      <c r="V17" s="47">
        <f>IF(AND( C7="Buy", ISBLANK(W7), B7&lt;&gt;"DIV", NOW()-A7 &gt; 365), D7, "")</f>
        <v/>
      </c>
      <c r="W17" s="47" t="n"/>
      <c r="X17" s="47" t="n"/>
      <c r="Y17" s="46">
        <f>IF(AND( C7="Buy", W7&lt;&gt;"", AA7&lt;&gt;"", B7&lt;&gt;"DIV"), Z7/sum(F7:I7), "")</f>
        <v/>
      </c>
      <c r="Z17" s="47" t="n"/>
      <c r="AA17" s="47" t="n"/>
      <c r="AB17" s="48" t="n"/>
      <c r="AC17" s="44">
        <f>if(B7="DIV", F7,"")</f>
        <v/>
      </c>
      <c r="AD17" s="49" t="n"/>
    </row>
    <row r="18">
      <c r="A18" s="38" t="n">
        <v>45904</v>
      </c>
      <c r="B18" s="39" t="inlineStr">
        <is>
          <t>DIV</t>
        </is>
      </c>
      <c r="C18" s="39" t="inlineStr">
        <is>
          <t>Buy</t>
        </is>
      </c>
      <c r="D18" s="40" t="n">
        <v>50</v>
      </c>
      <c r="E18" s="41" t="n">
        <v>1.5</v>
      </c>
      <c r="F18" s="41" t="n">
        <v>75</v>
      </c>
      <c r="G18" s="39" t="inlineStr">
        <is>
          <t>Final-Dividend of Rs.1.5000/- per share on Ex-Date: 04-SEP-2025</t>
        </is>
      </c>
      <c r="H18" s="40" t="n">
        <v>0</v>
      </c>
      <c r="I18" s="40" t="n">
        <v>0</v>
      </c>
      <c r="J18" s="42">
        <f>Index!$C$2</f>
        <v/>
      </c>
      <c r="K18" s="43">
        <f>IF(AND( C8="Buy", ISBLANK(W8), B8&lt;&gt;"DIV"), L8/sum(F8:I8), "")</f>
        <v/>
      </c>
      <c r="L18" s="44">
        <f>IF(AND( C8="Buy", ISBLANK(W8), B8&lt;&gt;"DIV"), (1-Index!$F$2*2)*((J8*D8)-(E8*D8)), "")</f>
        <v/>
      </c>
      <c r="M18" s="44">
        <f>IF(AND( C8="Buy", ISBLANK(W8), B8&lt;&gt;"DIV"), ((E8*D8)+L8), "")</f>
        <v/>
      </c>
      <c r="N18" s="45">
        <f>IF(AND( C8="Buy", ISBLANK(W8), B8&lt;&gt;"DIV"), D8, "")</f>
        <v/>
      </c>
      <c r="O18" s="43">
        <f>IF(AND( C8="Buy", ISBLANK(W8), B8&lt;&gt;"DIV", NOW()-A8 &lt; 365), P8/sum(F8:I8), "")</f>
        <v/>
      </c>
      <c r="P18" s="44">
        <f>IF(AND( C8="Buy", ISBLANK(W8), B8&lt;&gt;"DIV", NOW()-A8 &lt; 365), (1-Index!$F$2*2)*((J8*D8)-(E8*D8)), "")</f>
        <v/>
      </c>
      <c r="Q18" s="44">
        <f>IF(AND( C8="Buy", ISBLANK(W8), B8&lt;&gt;"DIV", NOW()-A8 &lt; 365), ((E8*D8)+P8), "")</f>
        <v/>
      </c>
      <c r="R18" s="44">
        <f>IF(AND( C8="Buy", ISBLANK(W8), B8&lt;&gt;"DIV", NOW()-A8 &lt; 365), D8, "")</f>
        <v/>
      </c>
      <c r="S18" s="46">
        <f>IF(AND( C8="Buy", ISBLANK(W8), B8&lt;&gt;"DIV", NOW()-A8 &gt; 365), T8/sum(F8:I8), "")</f>
        <v/>
      </c>
      <c r="T18" s="47">
        <f>IF(AND( C8="Buy", ISBLANK(W8), B8&lt;&gt;"DIV", NOW()-A8 &gt; 365), (1-Index!$F$2*2)*((J8*D8)-(E8*D8)), "")</f>
        <v/>
      </c>
      <c r="U18" s="47">
        <f>IF(AND( C8="Buy", ISBLANK(W8), B8&lt;&gt;"DIV", NOW()-A8 &gt; 365), ((E8*D8)+T8), "")</f>
        <v/>
      </c>
      <c r="V18" s="47">
        <f>IF(AND( C8="Buy", ISBLANK(W8), B8&lt;&gt;"DIV", NOW()-A8 &gt; 365), D8, "")</f>
        <v/>
      </c>
      <c r="W18" s="47" t="n"/>
      <c r="X18" s="47" t="n"/>
      <c r="Y18" s="46">
        <f>IF(AND( C8="Buy", W8&lt;&gt;"", AA8&lt;&gt;"", B8&lt;&gt;"DIV"), Z8/sum(F8:I8), "")</f>
        <v/>
      </c>
      <c r="Z18" s="47" t="n"/>
      <c r="AA18" s="47" t="n"/>
      <c r="AB18" s="48" t="n"/>
      <c r="AC18" s="44">
        <f>if(B8="DIV", F8,"")</f>
        <v/>
      </c>
      <c r="AD18" s="49" t="n"/>
    </row>
    <row r="19">
      <c r="A19" s="38" t="n">
        <v>45855</v>
      </c>
      <c r="B19" s="39" t="inlineStr">
        <is>
          <t>NSE</t>
        </is>
      </c>
      <c r="C19" s="39" t="inlineStr">
        <is>
          <t>Buy</t>
        </is>
      </c>
      <c r="D19" s="40" t="n">
        <v>20</v>
      </c>
      <c r="E19" s="41" t="n">
        <v>451.08</v>
      </c>
      <c r="F19" s="41" t="n">
        <v>9021.52</v>
      </c>
      <c r="G19" s="39" t="inlineStr">
        <is>
          <t>~</t>
        </is>
      </c>
      <c r="H19" s="40" t="n">
        <v>8.960000000000001</v>
      </c>
      <c r="I19" s="40" t="n">
        <v>54.56</v>
      </c>
      <c r="J19" s="42">
        <f>Index!$C$2</f>
        <v/>
      </c>
      <c r="K19" s="43">
        <f>IF(AND( C9="Buy", ISBLANK(W9), B9&lt;&gt;"DIV"), L9/sum(F9:I9), "")</f>
        <v/>
      </c>
      <c r="L19" s="44">
        <f>IF(AND( C9="Buy", ISBLANK(W9), B9&lt;&gt;"DIV"), (1-Index!$F$2*2)*((J9*D9)-(E9*D9)), "")</f>
        <v/>
      </c>
      <c r="M19" s="44">
        <f>IF(AND( C9="Buy", ISBLANK(W9), B9&lt;&gt;"DIV"), ((E9*D9)+L9), "")</f>
        <v/>
      </c>
      <c r="N19" s="45">
        <f>IF(AND( C9="Buy", ISBLANK(W9), B9&lt;&gt;"DIV"), D9, "")</f>
        <v/>
      </c>
      <c r="O19" s="43">
        <f>IF(AND( C9="Buy", ISBLANK(W9), B9&lt;&gt;"DIV", NOW()-A9 &lt; 365), P9/sum(F9:I9), "")</f>
        <v/>
      </c>
      <c r="P19" s="44">
        <f>IF(AND( C9="Buy", ISBLANK(W9), B9&lt;&gt;"DIV", NOW()-A9 &lt; 365), (1-Index!$F$2*2)*((J9*D9)-(E9*D9)), "")</f>
        <v/>
      </c>
      <c r="Q19" s="44">
        <f>IF(AND( C9="Buy", ISBLANK(W9), B9&lt;&gt;"DIV", NOW()-A9 &lt; 365), ((E9*D9)+P9), "")</f>
        <v/>
      </c>
      <c r="R19" s="44">
        <f>IF(AND( C9="Buy", ISBLANK(W9), B9&lt;&gt;"DIV", NOW()-A9 &lt; 365), D9, "")</f>
        <v/>
      </c>
      <c r="S19" s="46">
        <f>IF(AND( C9="Buy", ISBLANK(W9), B9&lt;&gt;"DIV", NOW()-A9 &gt; 365), T9/sum(F9:I9), "")</f>
        <v/>
      </c>
      <c r="T19" s="47">
        <f>IF(AND( C9="Buy", ISBLANK(W9), B9&lt;&gt;"DIV", NOW()-A9 &gt; 365), (1-Index!$F$2*2)*((J9*D9)-(E9*D9)), "")</f>
        <v/>
      </c>
      <c r="U19" s="47">
        <f>IF(AND( C9="Buy", ISBLANK(W9), B9&lt;&gt;"DIV", NOW()-A9 &gt; 365), ((E9*D9)+T9), "")</f>
        <v/>
      </c>
      <c r="V19" s="47">
        <f>IF(AND( C9="Buy", ISBLANK(W9), B9&lt;&gt;"DIV", NOW()-A9 &gt; 365), D9, "")</f>
        <v/>
      </c>
      <c r="W19" s="47" t="n"/>
      <c r="X19" s="47" t="n"/>
      <c r="Y19" s="46">
        <f>IF(AND( C9="Buy", W9&lt;&gt;"", AA9&lt;&gt;"", B9&lt;&gt;"DIV"), Z9/sum(F9:I9), "")</f>
        <v/>
      </c>
      <c r="Z19" s="47" t="n"/>
      <c r="AA19" s="47" t="n"/>
      <c r="AB19" s="48" t="n"/>
      <c r="AC19" s="44">
        <f>if(B9="DIV", F9,"")</f>
        <v/>
      </c>
      <c r="AD19" s="49" t="n"/>
    </row>
    <row r="20">
      <c r="A20" s="38" t="n">
        <v>45811</v>
      </c>
      <c r="B20" s="39" t="inlineStr">
        <is>
          <t>NSE</t>
        </is>
      </c>
      <c r="C20" s="39" t="inlineStr">
        <is>
          <t>Buy</t>
        </is>
      </c>
      <c r="D20" s="40" t="n">
        <v>3</v>
      </c>
      <c r="E20" s="41" t="n">
        <v>425.19</v>
      </c>
      <c r="F20" s="41" t="n">
        <v>1275.57</v>
      </c>
      <c r="G20" s="39" t="inlineStr">
        <is>
          <t>~</t>
        </is>
      </c>
      <c r="H20" s="40" t="n">
        <v>1.27</v>
      </c>
      <c r="I20" s="40" t="n">
        <v>7.7</v>
      </c>
      <c r="J20" s="42">
        <f>Index!$C$2</f>
        <v/>
      </c>
      <c r="K20" s="43">
        <f>IF(AND( C10="Buy", ISBLANK(W10), B10&lt;&gt;"DIV"), L10/sum(F10:I10), "")</f>
        <v/>
      </c>
      <c r="L20" s="44">
        <f>IF(AND( C10="Buy", ISBLANK(W10), B10&lt;&gt;"DIV"), (1-Index!$F$2*2)*((J10*D10)-(E10*D10)), "")</f>
        <v/>
      </c>
      <c r="M20" s="44">
        <f>IF(AND( C10="Buy", ISBLANK(W10), B10&lt;&gt;"DIV"), ((E10*D10)+L10), "")</f>
        <v/>
      </c>
      <c r="N20" s="45">
        <f>IF(AND( C10="Buy", ISBLANK(W10), B10&lt;&gt;"DIV"), D10, "")</f>
        <v/>
      </c>
      <c r="O20" s="43">
        <f>IF(AND( C10="Buy", ISBLANK(W10), B10&lt;&gt;"DIV", NOW()-A10 &lt; 365), P10/sum(F10:I10), "")</f>
        <v/>
      </c>
      <c r="P20" s="44">
        <f>IF(AND( C10="Buy", ISBLANK(W10), B10&lt;&gt;"DIV", NOW()-A10 &lt; 365), (1-Index!$F$2*2)*((J10*D10)-(E10*D10)), "")</f>
        <v/>
      </c>
      <c r="Q20" s="44">
        <f>IF(AND( C10="Buy", ISBLANK(W10), B10&lt;&gt;"DIV", NOW()-A10 &lt; 365), ((E10*D10)+P10), "")</f>
        <v/>
      </c>
      <c r="R20" s="44">
        <f>IF(AND( C10="Buy", ISBLANK(W10), B10&lt;&gt;"DIV", NOW()-A10 &lt; 365), D10, "")</f>
        <v/>
      </c>
      <c r="S20" s="46">
        <f>IF(AND( C10="Buy", ISBLANK(W10), B10&lt;&gt;"DIV", NOW()-A10 &gt; 365), T10/sum(F10:I10), "")</f>
        <v/>
      </c>
      <c r="T20" s="47">
        <f>IF(AND( C10="Buy", ISBLANK(W10), B10&lt;&gt;"DIV", NOW()-A10 &gt; 365), (1-Index!$F$2*2)*((J10*D10)-(E10*D10)), "")</f>
        <v/>
      </c>
      <c r="U20" s="47">
        <f>IF(AND( C10="Buy", ISBLANK(W10), B10&lt;&gt;"DIV", NOW()-A10 &gt; 365), ((E10*D10)+T10), "")</f>
        <v/>
      </c>
      <c r="V20" s="47">
        <f>IF(AND( C10="Buy", ISBLANK(W10), B10&lt;&gt;"DIV", NOW()-A10 &gt; 365), D10, "")</f>
        <v/>
      </c>
      <c r="W20" s="47" t="n"/>
      <c r="X20" s="47" t="n"/>
      <c r="Y20" s="46">
        <f>IF(AND( C10="Buy", W10&lt;&gt;"", AA10&lt;&gt;"", B10&lt;&gt;"DIV"), Z10/sum(F10:I10), "")</f>
        <v/>
      </c>
      <c r="Z20" s="47" t="n"/>
      <c r="AA20" s="47" t="n"/>
      <c r="AB20" s="48" t="n"/>
      <c r="AC20" s="44">
        <f>if(B10="DIV", F10,"")</f>
        <v/>
      </c>
      <c r="AD20" s="49" t="n"/>
    </row>
    <row r="21">
      <c r="A21" s="38" t="n">
        <v>45811</v>
      </c>
      <c r="B21" s="39" t="inlineStr">
        <is>
          <t>NSE</t>
        </is>
      </c>
      <c r="C21" s="39" t="inlineStr">
        <is>
          <t>Buy</t>
        </is>
      </c>
      <c r="D21" s="40" t="n">
        <v>2</v>
      </c>
      <c r="E21" s="41" t="n">
        <v>425.19</v>
      </c>
      <c r="F21" s="41" t="n">
        <v>850.38</v>
      </c>
      <c r="G21" s="39" t="inlineStr">
        <is>
          <t>~</t>
        </is>
      </c>
      <c r="H21" s="40" t="n">
        <v>0.84</v>
      </c>
      <c r="I21" s="40" t="n">
        <v>5.14</v>
      </c>
      <c r="J21" s="42">
        <f>Index!$C$2</f>
        <v/>
      </c>
      <c r="K21" s="43">
        <f>IF(AND( C11="Buy", ISBLANK(W11), B11&lt;&gt;"DIV"), L11/sum(F11:I11), "")</f>
        <v/>
      </c>
      <c r="L21" s="44">
        <f>IF(AND( C11="Buy", ISBLANK(W11), B11&lt;&gt;"DIV"), (1-Index!$F$2*2)*((J11*D11)-(E11*D11)), "")</f>
        <v/>
      </c>
      <c r="M21" s="44">
        <f>IF(AND( C11="Buy", ISBLANK(W11), B11&lt;&gt;"DIV"), ((E11*D11)+L11), "")</f>
        <v/>
      </c>
      <c r="N21" s="45">
        <f>IF(AND( C11="Buy", ISBLANK(W11), B11&lt;&gt;"DIV"), D11, "")</f>
        <v/>
      </c>
      <c r="O21" s="43">
        <f>IF(AND( C11="Buy", ISBLANK(W11), B11&lt;&gt;"DIV", NOW()-A11 &lt; 365), P11/sum(F11:I11), "")</f>
        <v/>
      </c>
      <c r="P21" s="44">
        <f>IF(AND( C11="Buy", ISBLANK(W11), B11&lt;&gt;"DIV", NOW()-A11 &lt; 365), (1-Index!$F$2*2)*((J11*D11)-(E11*D11)), "")</f>
        <v/>
      </c>
      <c r="Q21" s="44">
        <f>IF(AND( C11="Buy", ISBLANK(W11), B11&lt;&gt;"DIV", NOW()-A11 &lt; 365), ((E11*D11)+P11), "")</f>
        <v/>
      </c>
      <c r="R21" s="44">
        <f>IF(AND( C11="Buy", ISBLANK(W11), B11&lt;&gt;"DIV", NOW()-A11 &lt; 365), D11, "")</f>
        <v/>
      </c>
      <c r="S21" s="46">
        <f>IF(AND( C11="Buy", ISBLANK(W11), B11&lt;&gt;"DIV", NOW()-A11 &gt; 365), T11/sum(F11:I11), "")</f>
        <v/>
      </c>
      <c r="T21" s="47">
        <f>IF(AND( C11="Buy", ISBLANK(W11), B11&lt;&gt;"DIV", NOW()-A11 &gt; 365), (1-Index!$F$2*2)*((J11*D11)-(E11*D11)), "")</f>
        <v/>
      </c>
      <c r="U21" s="47">
        <f>IF(AND( C11="Buy", ISBLANK(W11), B11&lt;&gt;"DIV", NOW()-A11 &gt; 365), ((E11*D11)+T11), "")</f>
        <v/>
      </c>
      <c r="V21" s="47">
        <f>IF(AND( C11="Buy", ISBLANK(W11), B11&lt;&gt;"DIV", NOW()-A11 &gt; 365), D11, "")</f>
        <v/>
      </c>
      <c r="W21" s="47" t="n"/>
      <c r="X21" s="47" t="n"/>
      <c r="Y21" s="46">
        <f>IF(AND( C11="Buy", W11&lt;&gt;"", AA11&lt;&gt;"", B11&lt;&gt;"DIV"), Z11/sum(F11:I11), "")</f>
        <v/>
      </c>
      <c r="Z21" s="47" t="n"/>
      <c r="AA21" s="47" t="n"/>
      <c r="AB21" s="48" t="n"/>
      <c r="AC21" s="44">
        <f>if(B11="DIV", F11,"")</f>
        <v/>
      </c>
      <c r="AD21" s="49" t="n"/>
    </row>
    <row r="22">
      <c r="A22" s="38" t="n">
        <v>45811</v>
      </c>
      <c r="B22" s="39" t="inlineStr">
        <is>
          <t>NSE</t>
        </is>
      </c>
      <c r="C22" s="39" t="inlineStr">
        <is>
          <t>Buy</t>
        </is>
      </c>
      <c r="D22" s="40" t="n">
        <v>5</v>
      </c>
      <c r="E22" s="41" t="n">
        <v>425.19</v>
      </c>
      <c r="F22" s="41" t="n">
        <v>2125.97</v>
      </c>
      <c r="G22" s="39" t="inlineStr">
        <is>
          <t>~</t>
        </is>
      </c>
      <c r="H22" s="40" t="n">
        <v>2.11</v>
      </c>
      <c r="I22" s="40" t="n">
        <v>12.86</v>
      </c>
      <c r="J22" s="42">
        <f>Index!$C$2</f>
        <v/>
      </c>
      <c r="K22" s="43">
        <f>IF(AND( C12="Buy", ISBLANK(W12), B12&lt;&gt;"DIV"), L12/sum(F12:I12), "")</f>
        <v/>
      </c>
      <c r="L22" s="44">
        <f>IF(AND( C12="Buy", ISBLANK(W12), B12&lt;&gt;"DIV"), (1-Index!$F$2*2)*((J12*D12)-(E12*D12)), "")</f>
        <v/>
      </c>
      <c r="M22" s="44">
        <f>IF(AND( C12="Buy", ISBLANK(W12), B12&lt;&gt;"DIV"), ((E12*D12)+L12), "")</f>
        <v/>
      </c>
      <c r="N22" s="45">
        <f>IF(AND( C12="Buy", ISBLANK(W12), B12&lt;&gt;"DIV"), D12, "")</f>
        <v/>
      </c>
      <c r="O22" s="43">
        <f>IF(AND( C12="Buy", ISBLANK(W12), B12&lt;&gt;"DIV", NOW()-A12 &lt; 365), P12/sum(F12:I12), "")</f>
        <v/>
      </c>
      <c r="P22" s="44">
        <f>IF(AND( C12="Buy", ISBLANK(W12), B12&lt;&gt;"DIV", NOW()-A12 &lt; 365), (1-Index!$F$2*2)*((J12*D12)-(E12*D12)), "")</f>
        <v/>
      </c>
      <c r="Q22" s="44">
        <f>IF(AND( C12="Buy", ISBLANK(W12), B12&lt;&gt;"DIV", NOW()-A12 &lt; 365), ((E12*D12)+P12), "")</f>
        <v/>
      </c>
      <c r="R22" s="44">
        <f>IF(AND( C12="Buy", ISBLANK(W12), B12&lt;&gt;"DIV", NOW()-A12 &lt; 365), D12, "")</f>
        <v/>
      </c>
      <c r="S22" s="46">
        <f>IF(AND( C12="Buy", ISBLANK(W12), B12&lt;&gt;"DIV", NOW()-A12 &gt; 365), T12/sum(F12:I12), "")</f>
        <v/>
      </c>
      <c r="T22" s="47">
        <f>IF(AND( C12="Buy", ISBLANK(W12), B12&lt;&gt;"DIV", NOW()-A12 &gt; 365), (1-Index!$F$2*2)*((J12*D12)-(E12*D12)), "")</f>
        <v/>
      </c>
      <c r="U22" s="47">
        <f>IF(AND( C12="Buy", ISBLANK(W12), B12&lt;&gt;"DIV", NOW()-A12 &gt; 365), ((E12*D12)+T12), "")</f>
        <v/>
      </c>
      <c r="V22" s="47">
        <f>IF(AND( C12="Buy", ISBLANK(W12), B12&lt;&gt;"DIV", NOW()-A12 &gt; 365), D12, "")</f>
        <v/>
      </c>
      <c r="W22" s="47" t="n"/>
      <c r="X22" s="47" t="n"/>
      <c r="Y22" s="46">
        <f>IF(AND( C12="Buy", W12&lt;&gt;"", AA12&lt;&gt;"", B12&lt;&gt;"DIV"), Z12/sum(F12:I12), "")</f>
        <v/>
      </c>
      <c r="Z22" s="47" t="n"/>
      <c r="AA22" s="47" t="n"/>
      <c r="AB22" s="48" t="n"/>
      <c r="AC22" s="44">
        <f>if(B12="DIV", F12,"")</f>
        <v/>
      </c>
      <c r="AD22" s="49" t="n"/>
    </row>
    <row r="23">
      <c r="A23" s="50" t="n">
        <v>45705</v>
      </c>
      <c r="B23" s="51" t="inlineStr">
        <is>
          <t>NSE</t>
        </is>
      </c>
      <c r="C23" s="51" t="inlineStr">
        <is>
          <t>Buy</t>
        </is>
      </c>
      <c r="D23" s="52" t="n">
        <v>12</v>
      </c>
      <c r="E23" s="53" t="n">
        <v>383.85</v>
      </c>
      <c r="F23" s="53" t="n">
        <v>4606.24</v>
      </c>
      <c r="G23" s="51" t="inlineStr">
        <is>
          <t>~</t>
        </is>
      </c>
      <c r="H23" s="52" t="n">
        <v>4.56</v>
      </c>
      <c r="I23" s="52" t="n">
        <v>27.88</v>
      </c>
      <c r="J23" s="42">
        <f>Index!$C$2</f>
        <v/>
      </c>
      <c r="K23" s="43">
        <f>IF(AND( C13="Buy", ISBLANK(W13), B13&lt;&gt;"DIV"), L13/sum(F13:I13), "")</f>
        <v/>
      </c>
      <c r="L23" s="44">
        <f>IF(AND( C13="Buy", ISBLANK(W13), B13&lt;&gt;"DIV"), (1-Index!$F$2*2)*((J13*D13)-(E13*D13)), "")</f>
        <v/>
      </c>
      <c r="M23" s="44">
        <f>IF(AND( C13="Buy", ISBLANK(W13), B13&lt;&gt;"DIV"), ((E13*D13)+L13), "")</f>
        <v/>
      </c>
      <c r="N23" s="45">
        <f>IF(AND( C13="Buy", ISBLANK(W13), B13&lt;&gt;"DIV"), D13, "")</f>
        <v/>
      </c>
      <c r="O23" s="43">
        <f>IF(AND( C13="Buy", ISBLANK(W13), B13&lt;&gt;"DIV", NOW()-A13 &lt; 365), P13/sum(F13:I13), "")</f>
        <v/>
      </c>
      <c r="P23" s="44">
        <f>IF(AND( C13="Buy", ISBLANK(W13), B13&lt;&gt;"DIV", NOW()-A13 &lt; 365), (1-Index!$F$2*2)*((J13*D13)-(E13*D13)), "")</f>
        <v/>
      </c>
      <c r="Q23" s="44">
        <f>IF(AND( C13="Buy", ISBLANK(W13), B13&lt;&gt;"DIV", NOW()-A13 &lt; 365), ((E13*D13)+P13), "")</f>
        <v/>
      </c>
      <c r="R23" s="44">
        <f>IF(AND( C13="Buy", ISBLANK(W13), B13&lt;&gt;"DIV", NOW()-A13 &lt; 365), D13, "")</f>
        <v/>
      </c>
      <c r="S23" s="46">
        <f>IF(AND( C13="Buy", ISBLANK(W13), B13&lt;&gt;"DIV", NOW()-A13 &gt; 365), T13/sum(F13:I13), "")</f>
        <v/>
      </c>
      <c r="T23" s="47">
        <f>IF(AND( C13="Buy", ISBLANK(W13), B13&lt;&gt;"DIV", NOW()-A13 &gt; 365), (1-Index!$F$2*2)*((J13*D13)-(E13*D13)), "")</f>
        <v/>
      </c>
      <c r="U23" s="47">
        <f>IF(AND( C13="Buy", ISBLANK(W13), B13&lt;&gt;"DIV", NOW()-A13 &gt; 365), ((E13*D13)+T13), "")</f>
        <v/>
      </c>
      <c r="V23" s="47">
        <f>IF(AND( C13="Buy", ISBLANK(W13), B13&lt;&gt;"DIV", NOW()-A13 &gt; 365), D13, "")</f>
        <v/>
      </c>
      <c r="W23" s="47" t="n"/>
      <c r="X23" s="47" t="n"/>
      <c r="Y23" s="46">
        <f>IF(AND( C13="Buy", W13&lt;&gt;"", AA13&lt;&gt;"", B13&lt;&gt;"DIV"), Z13/sum(F13:I13), "")</f>
        <v/>
      </c>
      <c r="Z23" s="47" t="n"/>
      <c r="AA23" s="47" t="n"/>
      <c r="AB23" s="48" t="n"/>
      <c r="AC23" s="44">
        <f>if(B13="DIV", F13,"")</f>
        <v/>
      </c>
      <c r="AD23" s="49" t="n"/>
    </row>
    <row r="24">
      <c r="A24" s="50" t="n">
        <v>45705</v>
      </c>
      <c r="B24" s="51" t="inlineStr">
        <is>
          <t>NSE</t>
        </is>
      </c>
      <c r="C24" s="51" t="inlineStr">
        <is>
          <t>Buy</t>
        </is>
      </c>
      <c r="D24" s="52" t="n">
        <v>8</v>
      </c>
      <c r="E24" s="53" t="n">
        <v>383.91</v>
      </c>
      <c r="F24" s="53" t="n">
        <v>3071.26</v>
      </c>
      <c r="G24" s="51" t="inlineStr">
        <is>
          <t>~</t>
        </is>
      </c>
      <c r="H24" s="52" t="n">
        <v>3.05</v>
      </c>
      <c r="I24" s="52" t="n">
        <v>18.61</v>
      </c>
      <c r="J24" s="42">
        <f>Index!$C$2</f>
        <v/>
      </c>
      <c r="K24" s="43">
        <f>IF(AND( C14="Buy", ISBLANK(W14), B14&lt;&gt;"DIV"), L14/sum(F14:I14), "")</f>
        <v/>
      </c>
      <c r="L24" s="44">
        <f>IF(AND( C14="Buy", ISBLANK(W14), B14&lt;&gt;"DIV"), (1-Index!$F$2*2)*((J14*D14)-(E14*D14)), "")</f>
        <v/>
      </c>
      <c r="M24" s="44">
        <f>IF(AND( C14="Buy", ISBLANK(W14), B14&lt;&gt;"DIV"), ((E14*D14)+L14), "")</f>
        <v/>
      </c>
      <c r="N24" s="45">
        <f>IF(AND( C14="Buy", ISBLANK(W14), B14&lt;&gt;"DIV"), D14, "")</f>
        <v/>
      </c>
      <c r="O24" s="43">
        <f>IF(AND( C14="Buy", ISBLANK(W14), B14&lt;&gt;"DIV", NOW()-A14 &lt; 365), P14/sum(F14:I14), "")</f>
        <v/>
      </c>
      <c r="P24" s="44">
        <f>IF(AND( C14="Buy", ISBLANK(W14), B14&lt;&gt;"DIV", NOW()-A14 &lt; 365), (1-Index!$F$2*2)*((J14*D14)-(E14*D14)), "")</f>
        <v/>
      </c>
      <c r="Q24" s="44">
        <f>IF(AND( C14="Buy", ISBLANK(W14), B14&lt;&gt;"DIV", NOW()-A14 &lt; 365), ((E14*D14)+P14), "")</f>
        <v/>
      </c>
      <c r="R24" s="44">
        <f>IF(AND( C14="Buy", ISBLANK(W14), B14&lt;&gt;"DIV", NOW()-A14 &lt; 365), D14, "")</f>
        <v/>
      </c>
      <c r="S24" s="46">
        <f>IF(AND( C14="Buy", ISBLANK(W14), B14&lt;&gt;"DIV", NOW()-A14 &gt; 365), T14/sum(F14:I14), "")</f>
        <v/>
      </c>
      <c r="T24" s="47">
        <f>IF(AND( C14="Buy", ISBLANK(W14), B14&lt;&gt;"DIV", NOW()-A14 &gt; 365), (1-Index!$F$2*2)*((J14*D14)-(E14*D14)), "")</f>
        <v/>
      </c>
      <c r="U24" s="47">
        <f>IF(AND( C14="Buy", ISBLANK(W14), B14&lt;&gt;"DIV", NOW()-A14 &gt; 365), ((E14*D14)+T14), "")</f>
        <v/>
      </c>
      <c r="V24" s="47">
        <f>IF(AND( C14="Buy", ISBLANK(W14), B14&lt;&gt;"DIV", NOW()-A14 &gt; 365), D14, "")</f>
        <v/>
      </c>
      <c r="W24" s="47" t="n"/>
      <c r="X24" s="47" t="n"/>
      <c r="Y24" s="46">
        <f>IF(AND( C14="Buy", W14&lt;&gt;"", AA14&lt;&gt;"", B14&lt;&gt;"DIV"), Z14/sum(F14:I14), "")</f>
        <v/>
      </c>
      <c r="Z24" s="47" t="n"/>
      <c r="AA24" s="47" t="n"/>
      <c r="AB24" s="48" t="n"/>
      <c r="AC24" s="44">
        <f>if(B14="DIV", F14,"")</f>
        <v/>
      </c>
      <c r="AD24" s="49" t="n"/>
    </row>
    <row r="25">
      <c r="E25" s="54" t="n"/>
      <c r="F25" s="54" t="n"/>
      <c r="G25" s="55" t="n"/>
      <c r="J25" s="54" t="n"/>
      <c r="K25" s="54" t="n"/>
      <c r="L25" s="54" t="n"/>
      <c r="M25" s="57" t="n"/>
      <c r="W25" s="54" t="n"/>
      <c r="X25" s="54" t="n"/>
      <c r="Y25" s="54" t="n"/>
      <c r="Z25" s="54" t="n"/>
      <c r="AA25" s="54" t="n"/>
      <c r="AB25" s="54" t="n"/>
      <c r="AC25" s="54" t="n"/>
    </row>
    <row r="26">
      <c r="E26" s="54" t="n"/>
      <c r="F26" s="54" t="n"/>
      <c r="G26" s="55" t="n"/>
      <c r="J26" s="54" t="n"/>
      <c r="K26" s="54" t="n"/>
      <c r="L26" s="54" t="n"/>
      <c r="M26" s="57" t="n"/>
      <c r="W26" s="54" t="n"/>
      <c r="X26" s="54" t="n"/>
      <c r="Y26" s="54" t="n"/>
      <c r="Z26" s="54" t="n"/>
      <c r="AA26" s="54" t="n"/>
      <c r="AB26" s="54" t="n"/>
      <c r="AC26" s="54" t="n"/>
    </row>
    <row r="27">
      <c r="E27" s="54" t="n"/>
      <c r="F27" s="54" t="n"/>
      <c r="G27" s="55" t="n"/>
      <c r="J27" s="54" t="n"/>
      <c r="K27" s="54" t="n"/>
      <c r="L27" s="54" t="n"/>
      <c r="M27" s="57" t="n"/>
      <c r="W27" s="54" t="n"/>
      <c r="X27" s="54" t="n"/>
      <c r="Y27" s="54" t="n"/>
      <c r="Z27" s="54" t="n"/>
      <c r="AA27" s="54" t="n"/>
      <c r="AB27" s="54" t="n"/>
      <c r="AC27" s="54" t="n"/>
    </row>
    <row r="28">
      <c r="E28" s="54" t="n"/>
      <c r="F28" s="54" t="n"/>
      <c r="G28" s="55" t="n"/>
      <c r="J28" s="54" t="n"/>
      <c r="K28" s="54" t="n"/>
      <c r="L28" s="54" t="n"/>
      <c r="M28" s="57" t="n"/>
      <c r="W28" s="54" t="n"/>
      <c r="X28" s="54" t="n"/>
      <c r="Y28" s="54" t="n"/>
      <c r="Z28" s="54" t="n"/>
      <c r="AA28" s="54" t="n"/>
      <c r="AB28" s="54" t="n"/>
      <c r="AC28" s="54" t="n"/>
    </row>
    <row r="29">
      <c r="E29" s="54" t="n"/>
      <c r="F29" s="54" t="n"/>
      <c r="G29" s="55" t="n"/>
      <c r="J29" s="54" t="n"/>
      <c r="K29" s="54" t="n"/>
      <c r="L29" s="54" t="n"/>
      <c r="M29" s="57" t="n"/>
      <c r="W29" s="54" t="n"/>
      <c r="X29" s="54" t="n"/>
      <c r="Y29" s="54" t="n"/>
      <c r="Z29" s="54" t="n"/>
      <c r="AA29" s="54" t="n"/>
      <c r="AB29" s="54" t="n"/>
      <c r="AC29" s="54" t="n"/>
    </row>
    <row r="30">
      <c r="E30" s="54" t="n"/>
      <c r="F30" s="54" t="n"/>
      <c r="G30" s="55" t="n"/>
      <c r="J30" s="54" t="n"/>
      <c r="K30" s="54" t="n"/>
      <c r="L30" s="54" t="n"/>
      <c r="M30" s="57" t="n"/>
      <c r="W30" s="54" t="n"/>
      <c r="X30" s="54" t="n"/>
      <c r="Y30" s="54" t="n"/>
      <c r="Z30" s="54" t="n"/>
      <c r="AA30" s="54" t="n"/>
      <c r="AB30" s="54" t="n"/>
      <c r="AC30" s="54" t="n"/>
    </row>
    <row r="31">
      <c r="E31" s="54" t="n"/>
      <c r="F31" s="54" t="n"/>
      <c r="G31" s="55" t="n"/>
      <c r="J31" s="54" t="n"/>
      <c r="K31" s="54" t="n"/>
      <c r="L31" s="54" t="n"/>
      <c r="M31" s="57" t="n"/>
      <c r="W31" s="54" t="n"/>
      <c r="X31" s="54" t="n"/>
      <c r="Y31" s="54" t="n"/>
      <c r="Z31" s="54" t="n"/>
      <c r="AA31" s="54" t="n"/>
      <c r="AB31" s="54" t="n"/>
      <c r="AC31" s="54" t="n"/>
    </row>
    <row r="32">
      <c r="E32" s="54" t="n"/>
      <c r="F32" s="54" t="n"/>
      <c r="G32" s="55" t="n"/>
      <c r="J32" s="54" t="n"/>
      <c r="K32" s="54" t="n"/>
      <c r="L32" s="54" t="n"/>
      <c r="M32" s="57" t="n"/>
      <c r="W32" s="54" t="n"/>
      <c r="X32" s="54" t="n"/>
      <c r="Y32" s="54" t="n"/>
      <c r="Z32" s="54" t="n"/>
      <c r="AA32" s="54" t="n"/>
      <c r="AB32" s="54" t="n"/>
      <c r="AC32" s="54" t="n"/>
    </row>
    <row r="33">
      <c r="E33" s="54" t="n"/>
      <c r="F33" s="54" t="n"/>
      <c r="G33" s="55" t="n"/>
      <c r="J33" s="54" t="n"/>
      <c r="K33" s="54" t="n"/>
      <c r="L33" s="54" t="n"/>
      <c r="M33" s="57" t="n"/>
      <c r="W33" s="54" t="n"/>
      <c r="X33" s="54" t="n"/>
      <c r="Y33" s="54" t="n"/>
      <c r="Z33" s="54" t="n"/>
      <c r="AA33" s="54" t="n"/>
      <c r="AB33" s="54" t="n"/>
      <c r="AC33" s="54" t="n"/>
    </row>
    <row r="34">
      <c r="E34" s="54" t="n"/>
      <c r="F34" s="54" t="n"/>
      <c r="G34" s="55" t="n"/>
      <c r="J34" s="54" t="n"/>
      <c r="K34" s="54" t="n"/>
      <c r="L34" s="54" t="n"/>
      <c r="M34" s="57" t="n"/>
      <c r="W34" s="54" t="n"/>
      <c r="X34" s="54" t="n"/>
      <c r="Y34" s="54" t="n"/>
      <c r="Z34" s="54" t="n"/>
      <c r="AA34" s="54" t="n"/>
      <c r="AB34" s="54" t="n"/>
      <c r="AC34" s="54" t="n"/>
    </row>
    <row r="35">
      <c r="E35" s="54" t="n"/>
      <c r="F35" s="54" t="n"/>
      <c r="G35" s="55" t="n"/>
      <c r="J35" s="54" t="n"/>
      <c r="K35" s="54" t="n"/>
      <c r="L35" s="54" t="n"/>
      <c r="M35" s="57" t="n"/>
      <c r="W35" s="54" t="n"/>
      <c r="X35" s="54" t="n"/>
      <c r="Y35" s="54" t="n"/>
      <c r="Z35" s="54" t="n"/>
      <c r="AA35" s="54" t="n"/>
      <c r="AB35" s="54" t="n"/>
      <c r="AC35" s="54" t="n"/>
    </row>
    <row r="36">
      <c r="E36" s="54" t="n"/>
      <c r="F36" s="54" t="n"/>
      <c r="G36" s="55" t="n"/>
      <c r="J36" s="54" t="n"/>
      <c r="K36" s="54" t="n"/>
      <c r="L36" s="54" t="n"/>
      <c r="M36" s="57" t="n"/>
      <c r="W36" s="54" t="n"/>
      <c r="X36" s="54" t="n"/>
      <c r="Y36" s="54" t="n"/>
      <c r="Z36" s="54" t="n"/>
      <c r="AA36" s="54" t="n"/>
      <c r="AB36" s="54" t="n"/>
      <c r="AC36" s="54" t="n"/>
    </row>
    <row r="37">
      <c r="E37" s="54" t="n"/>
      <c r="F37" s="54" t="n"/>
      <c r="G37" s="55" t="n"/>
      <c r="J37" s="54" t="n"/>
      <c r="K37" s="54" t="n"/>
      <c r="L37" s="54" t="n"/>
      <c r="M37" s="57" t="n"/>
      <c r="W37" s="54" t="n"/>
      <c r="X37" s="54" t="n"/>
      <c r="Y37" s="54" t="n"/>
      <c r="Z37" s="54" t="n"/>
      <c r="AA37" s="54" t="n"/>
      <c r="AB37" s="54" t="n"/>
      <c r="AC37" s="54" t="n"/>
    </row>
    <row r="38">
      <c r="E38" s="54" t="n"/>
      <c r="F38" s="54" t="n"/>
      <c r="G38" s="55" t="n"/>
      <c r="J38" s="54" t="n"/>
      <c r="K38" s="54" t="n"/>
      <c r="L38" s="54" t="n"/>
      <c r="M38" s="57" t="n"/>
      <c r="W38" s="54" t="n"/>
      <c r="X38" s="54" t="n"/>
      <c r="Y38" s="54" t="n"/>
      <c r="Z38" s="54" t="n"/>
      <c r="AA38" s="54" t="n"/>
      <c r="AB38" s="54" t="n"/>
      <c r="AC38" s="54" t="n"/>
    </row>
    <row r="39">
      <c r="E39" s="54" t="n"/>
      <c r="F39" s="54" t="n"/>
      <c r="G39" s="55" t="n"/>
      <c r="J39" s="54" t="n"/>
      <c r="K39" s="54" t="n"/>
      <c r="L39" s="54" t="n"/>
      <c r="M39" s="57" t="n"/>
      <c r="W39" s="54" t="n"/>
      <c r="X39" s="54" t="n"/>
      <c r="Y39" s="54" t="n"/>
      <c r="Z39" s="54" t="n"/>
      <c r="AA39" s="54" t="n"/>
      <c r="AB39" s="54" t="n"/>
      <c r="AC39" s="54" t="n"/>
    </row>
    <row r="40">
      <c r="E40" s="54" t="n"/>
      <c r="F40" s="54" t="n"/>
      <c r="G40" s="55" t="n"/>
      <c r="J40" s="54" t="n"/>
      <c r="K40" s="54" t="n"/>
      <c r="L40" s="54" t="n"/>
      <c r="M40" s="57" t="n"/>
      <c r="W40" s="54" t="n"/>
      <c r="X40" s="54" t="n"/>
      <c r="Y40" s="54" t="n"/>
      <c r="Z40" s="54" t="n"/>
      <c r="AA40" s="54" t="n"/>
      <c r="AB40" s="54" t="n"/>
      <c r="AC40" s="54" t="n"/>
    </row>
    <row r="41">
      <c r="E41" s="54" t="n"/>
      <c r="F41" s="54" t="n"/>
      <c r="G41" s="55" t="n"/>
      <c r="J41" s="54" t="n"/>
      <c r="K41" s="54" t="n"/>
      <c r="L41" s="54" t="n"/>
      <c r="M41" s="57" t="n"/>
      <c r="W41" s="54" t="n"/>
      <c r="X41" s="54" t="n"/>
      <c r="Y41" s="54" t="n"/>
      <c r="Z41" s="54" t="n"/>
      <c r="AA41" s="54" t="n"/>
      <c r="AB41" s="54" t="n"/>
      <c r="AC41" s="54" t="n"/>
    </row>
    <row r="42">
      <c r="E42" s="54" t="n"/>
      <c r="F42" s="54" t="n"/>
      <c r="G42" s="55" t="n"/>
      <c r="J42" s="54" t="n"/>
      <c r="K42" s="54" t="n"/>
      <c r="L42" s="54" t="n"/>
      <c r="M42" s="57" t="n"/>
      <c r="W42" s="54" t="n"/>
      <c r="X42" s="54" t="n"/>
      <c r="Y42" s="54" t="n"/>
      <c r="Z42" s="54" t="n"/>
      <c r="AA42" s="54" t="n"/>
      <c r="AB42" s="54" t="n"/>
      <c r="AC42" s="54" t="n"/>
    </row>
    <row r="43">
      <c r="E43" s="54" t="n"/>
      <c r="F43" s="54" t="n"/>
      <c r="G43" s="55" t="n"/>
      <c r="J43" s="54" t="n"/>
      <c r="K43" s="54" t="n"/>
      <c r="L43" s="54" t="n"/>
      <c r="M43" s="57" t="n"/>
      <c r="W43" s="54" t="n"/>
      <c r="X43" s="54" t="n"/>
      <c r="Y43" s="54" t="n"/>
      <c r="Z43" s="54" t="n"/>
      <c r="AA43" s="54" t="n"/>
      <c r="AB43" s="54" t="n"/>
      <c r="AC43" s="54" t="n"/>
    </row>
    <row r="44">
      <c r="E44" s="54" t="n"/>
      <c r="F44" s="54" t="n"/>
      <c r="G44" s="55" t="n"/>
      <c r="J44" s="54" t="n"/>
      <c r="K44" s="54" t="n"/>
      <c r="L44" s="54" t="n"/>
      <c r="M44" s="57" t="n"/>
      <c r="W44" s="54" t="n"/>
      <c r="X44" s="54" t="n"/>
      <c r="Y44" s="54" t="n"/>
      <c r="Z44" s="54" t="n"/>
      <c r="AA44" s="54" t="n"/>
      <c r="AB44" s="54" t="n"/>
      <c r="AC44" s="54" t="n"/>
    </row>
    <row r="45">
      <c r="E45" s="54" t="n"/>
      <c r="F45" s="54" t="n"/>
      <c r="G45" s="55" t="n"/>
      <c r="J45" s="54" t="n"/>
      <c r="K45" s="54" t="n"/>
      <c r="L45" s="54" t="n"/>
      <c r="M45" s="57" t="n"/>
      <c r="W45" s="54" t="n"/>
      <c r="X45" s="54" t="n"/>
      <c r="Y45" s="54" t="n"/>
      <c r="Z45" s="54" t="n"/>
      <c r="AA45" s="54" t="n"/>
      <c r="AB45" s="54" t="n"/>
      <c r="AC45" s="54" t="n"/>
    </row>
    <row r="46">
      <c r="E46" s="54" t="n"/>
      <c r="F46" s="54" t="n"/>
      <c r="G46" s="55" t="n"/>
      <c r="J46" s="54" t="n"/>
      <c r="K46" s="54" t="n"/>
      <c r="L46" s="54" t="n"/>
      <c r="M46" s="57" t="n"/>
      <c r="W46" s="54" t="n"/>
      <c r="X46" s="54" t="n"/>
      <c r="Y46" s="54" t="n"/>
      <c r="Z46" s="54" t="n"/>
      <c r="AA46" s="54" t="n"/>
      <c r="AB46" s="54" t="n"/>
      <c r="AC46" s="54" t="n"/>
    </row>
    <row r="47">
      <c r="E47" s="54" t="n"/>
      <c r="F47" s="54" t="n"/>
      <c r="G47" s="55" t="n"/>
      <c r="J47" s="54" t="n"/>
      <c r="K47" s="54" t="n"/>
      <c r="L47" s="54" t="n"/>
      <c r="M47" s="57" t="n"/>
      <c r="W47" s="54" t="n"/>
      <c r="X47" s="54" t="n"/>
      <c r="Y47" s="54" t="n"/>
      <c r="Z47" s="54" t="n"/>
      <c r="AA47" s="54" t="n"/>
      <c r="AB47" s="54" t="n"/>
      <c r="AC47" s="54" t="n"/>
    </row>
    <row r="48">
      <c r="E48" s="54" t="n"/>
      <c r="F48" s="54" t="n"/>
      <c r="G48" s="55" t="n"/>
      <c r="J48" s="54" t="n"/>
      <c r="K48" s="54" t="n"/>
      <c r="L48" s="54" t="n"/>
      <c r="M48" s="57" t="n"/>
      <c r="W48" s="54" t="n"/>
      <c r="X48" s="54" t="n"/>
      <c r="Y48" s="54" t="n"/>
      <c r="Z48" s="54" t="n"/>
      <c r="AA48" s="54" t="n"/>
      <c r="AB48" s="54" t="n"/>
      <c r="AC48" s="54" t="n"/>
    </row>
    <row r="49">
      <c r="E49" s="54" t="n"/>
      <c r="F49" s="54" t="n"/>
      <c r="G49" s="55" t="n"/>
      <c r="J49" s="54" t="n"/>
      <c r="K49" s="54" t="n"/>
      <c r="L49" s="54" t="n"/>
      <c r="M49" s="57" t="n"/>
      <c r="W49" s="54" t="n"/>
      <c r="X49" s="54" t="n"/>
      <c r="Y49" s="54" t="n"/>
      <c r="Z49" s="54" t="n"/>
      <c r="AA49" s="54" t="n"/>
      <c r="AB49" s="54" t="n"/>
      <c r="AC49" s="54" t="n"/>
    </row>
    <row r="50">
      <c r="E50" s="54" t="n"/>
      <c r="F50" s="54" t="n"/>
      <c r="G50" s="55" t="n"/>
      <c r="J50" s="54" t="n"/>
      <c r="K50" s="54" t="n"/>
      <c r="L50" s="54" t="n"/>
      <c r="M50" s="57" t="n"/>
      <c r="W50" s="54" t="n"/>
      <c r="X50" s="54" t="n"/>
      <c r="Y50" s="54" t="n"/>
      <c r="Z50" s="54" t="n"/>
      <c r="AA50" s="54" t="n"/>
      <c r="AB50" s="54" t="n"/>
      <c r="AC50" s="54" t="n"/>
    </row>
    <row r="51">
      <c r="E51" s="54" t="n"/>
      <c r="F51" s="54" t="n"/>
      <c r="G51" s="55" t="n"/>
      <c r="J51" s="54" t="n"/>
      <c r="K51" s="54" t="n"/>
      <c r="L51" s="54" t="n"/>
      <c r="M51" s="57" t="n"/>
      <c r="W51" s="54" t="n"/>
      <c r="X51" s="54" t="n"/>
      <c r="Y51" s="54" t="n"/>
      <c r="Z51" s="54" t="n"/>
      <c r="AA51" s="54" t="n"/>
      <c r="AB51" s="54" t="n"/>
      <c r="AC51" s="54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M947" s="57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M948" s="57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M949" s="57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M950" s="57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M951" s="57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M952" s="57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M953" s="57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M954" s="57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M955" s="57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M956" s="57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M957" s="57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M958" s="57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M959" s="57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M960" s="57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W963" s="54" t="n"/>
      <c r="X963" s="54" t="n"/>
      <c r="Y963" s="54" t="n"/>
      <c r="Z963" s="54" t="n"/>
      <c r="AA963" s="54" t="n"/>
      <c r="AB963" s="54" t="n"/>
      <c r="AC963" s="54" t="n"/>
    </row>
    <row r="964">
      <c r="E964" s="54" t="n"/>
      <c r="F964" s="54" t="n"/>
      <c r="G964" s="55" t="n"/>
      <c r="J964" s="54" t="n"/>
      <c r="K964" s="54" t="n"/>
      <c r="L964" s="54" t="n"/>
      <c r="W964" s="54" t="n"/>
      <c r="X964" s="54" t="n"/>
      <c r="Y964" s="54" t="n"/>
      <c r="Z964" s="54" t="n"/>
      <c r="AA964" s="54" t="n"/>
      <c r="AB964" s="54" t="n"/>
      <c r="AC964" s="54" t="n"/>
    </row>
    <row r="965">
      <c r="E965" s="54" t="n"/>
      <c r="F965" s="54" t="n"/>
      <c r="G965" s="55" t="n"/>
      <c r="J965" s="54" t="n"/>
      <c r="K965" s="54" t="n"/>
      <c r="L965" s="54" t="n"/>
      <c r="W965" s="54" t="n"/>
      <c r="X965" s="54" t="n"/>
      <c r="Y965" s="54" t="n"/>
      <c r="Z965" s="54" t="n"/>
      <c r="AA965" s="54" t="n"/>
      <c r="AB965" s="54" t="n"/>
      <c r="AC965" s="54" t="n"/>
    </row>
    <row r="966">
      <c r="E966" s="54" t="n"/>
      <c r="F966" s="54" t="n"/>
      <c r="G966" s="55" t="n"/>
      <c r="J966" s="54" t="n"/>
      <c r="K966" s="54" t="n"/>
      <c r="L966" s="54" t="n"/>
      <c r="W966" s="54" t="n"/>
      <c r="X966" s="54" t="n"/>
      <c r="Y966" s="54" t="n"/>
      <c r="Z966" s="54" t="n"/>
      <c r="AA966" s="54" t="n"/>
      <c r="AB966" s="54" t="n"/>
      <c r="AC966" s="54" t="n"/>
    </row>
    <row r="967">
      <c r="E967" s="54" t="n"/>
      <c r="F967" s="54" t="n"/>
      <c r="G967" s="55" t="n"/>
      <c r="J967" s="54" t="n"/>
      <c r="K967" s="54" t="n"/>
      <c r="L967" s="54" t="n"/>
      <c r="W967" s="54" t="n"/>
      <c r="X967" s="54" t="n"/>
      <c r="Y967" s="54" t="n"/>
      <c r="Z967" s="54" t="n"/>
      <c r="AA967" s="54" t="n"/>
      <c r="AB967" s="54" t="n"/>
      <c r="AC967" s="54" t="n"/>
    </row>
    <row r="968">
      <c r="E968" s="54" t="n"/>
      <c r="F968" s="54" t="n"/>
      <c r="G968" s="55" t="n"/>
      <c r="J968" s="54" t="n"/>
      <c r="K968" s="54" t="n"/>
      <c r="L968" s="54" t="n"/>
      <c r="W968" s="54" t="n"/>
      <c r="X968" s="54" t="n"/>
      <c r="Y968" s="54" t="n"/>
      <c r="Z968" s="54" t="n"/>
      <c r="AA968" s="54" t="n"/>
      <c r="AB968" s="54" t="n"/>
      <c r="AC968" s="54" t="n"/>
    </row>
    <row r="969">
      <c r="E969" s="54" t="n"/>
      <c r="F969" s="54" t="n"/>
      <c r="G969" s="55" t="n"/>
      <c r="J969" s="54" t="n"/>
      <c r="K969" s="54" t="n"/>
      <c r="L969" s="54" t="n"/>
      <c r="W969" s="54" t="n"/>
      <c r="X969" s="54" t="n"/>
      <c r="Y969" s="54" t="n"/>
      <c r="Z969" s="54" t="n"/>
      <c r="AA969" s="54" t="n"/>
      <c r="AB969" s="54" t="n"/>
      <c r="AC969" s="54" t="n"/>
    </row>
    <row r="970">
      <c r="E970" s="54" t="n"/>
      <c r="F970" s="54" t="n"/>
      <c r="G970" s="55" t="n"/>
      <c r="J970" s="54" t="n"/>
      <c r="K970" s="54" t="n"/>
      <c r="L970" s="54" t="n"/>
      <c r="W970" s="54" t="n"/>
      <c r="X970" s="54" t="n"/>
      <c r="Y970" s="54" t="n"/>
      <c r="Z970" s="54" t="n"/>
      <c r="AA970" s="54" t="n"/>
      <c r="AB970" s="54" t="n"/>
      <c r="AC970" s="54" t="n"/>
    </row>
    <row r="971">
      <c r="E971" s="54" t="n"/>
      <c r="F971" s="54" t="n"/>
      <c r="G971" s="55" t="n"/>
      <c r="J971" s="54" t="n"/>
      <c r="K971" s="54" t="n"/>
      <c r="L971" s="54" t="n"/>
      <c r="W971" s="54" t="n"/>
      <c r="X971" s="54" t="n"/>
      <c r="Y971" s="54" t="n"/>
      <c r="Z971" s="54" t="n"/>
      <c r="AA971" s="54" t="n"/>
      <c r="AB971" s="54" t="n"/>
      <c r="AC971" s="54" t="n"/>
    </row>
    <row r="972">
      <c r="E972" s="54" t="n"/>
      <c r="F972" s="54" t="n"/>
      <c r="G972" s="55" t="n"/>
      <c r="J972" s="54" t="n"/>
      <c r="K972" s="54" t="n"/>
      <c r="L972" s="54" t="n"/>
      <c r="W972" s="54" t="n"/>
      <c r="X972" s="54" t="n"/>
      <c r="Y972" s="54" t="n"/>
      <c r="Z972" s="54" t="n"/>
      <c r="AA972" s="54" t="n"/>
      <c r="AB972" s="54" t="n"/>
      <c r="AC972" s="54" t="n"/>
    </row>
    <row r="973">
      <c r="E973" s="54" t="n"/>
      <c r="F973" s="54" t="n"/>
      <c r="G973" s="55" t="n"/>
      <c r="J973" s="54" t="n"/>
      <c r="K973" s="54" t="n"/>
      <c r="L973" s="54" t="n"/>
      <c r="W973" s="54" t="n"/>
      <c r="X973" s="54" t="n"/>
      <c r="Y973" s="54" t="n"/>
      <c r="Z973" s="54" t="n"/>
      <c r="AA973" s="54" t="n"/>
      <c r="AB973" s="54" t="n"/>
      <c r="AC973" s="54" t="n"/>
    </row>
    <row r="974">
      <c r="E974" s="54" t="n"/>
      <c r="F974" s="54" t="n"/>
      <c r="G974" s="55" t="n"/>
      <c r="J974" s="54" t="n"/>
      <c r="K974" s="54" t="n"/>
      <c r="L974" s="54" t="n"/>
      <c r="W974" s="54" t="n"/>
      <c r="X974" s="54" t="n"/>
      <c r="Y974" s="54" t="n"/>
      <c r="Z974" s="54" t="n"/>
      <c r="AA974" s="54" t="n"/>
      <c r="AB974" s="54" t="n"/>
      <c r="AC974" s="54" t="n"/>
    </row>
    <row r="975">
      <c r="E975" s="54" t="n"/>
      <c r="F975" s="54" t="n"/>
      <c r="G975" s="55" t="n"/>
      <c r="J975" s="54" t="n"/>
      <c r="K975" s="54" t="n"/>
      <c r="L975" s="54" t="n"/>
      <c r="W975" s="54" t="n"/>
      <c r="X975" s="54" t="n"/>
      <c r="Y975" s="54" t="n"/>
      <c r="Z975" s="54" t="n"/>
      <c r="AA975" s="54" t="n"/>
      <c r="AB975" s="54" t="n"/>
      <c r="AC975" s="54" t="n"/>
    </row>
    <row r="976">
      <c r="E976" s="54" t="n"/>
      <c r="F976" s="54" t="n"/>
      <c r="G976" s="55" t="n"/>
      <c r="J976" s="54" t="n"/>
      <c r="K976" s="54" t="n"/>
      <c r="L976" s="54" t="n"/>
      <c r="W976" s="54" t="n"/>
      <c r="X976" s="54" t="n"/>
      <c r="Y976" s="54" t="n"/>
      <c r="Z976" s="54" t="n"/>
      <c r="AA976" s="54" t="n"/>
      <c r="AB976" s="54" t="n"/>
      <c r="AC976" s="54" t="n"/>
    </row>
    <row r="977">
      <c r="E977" s="54" t="n"/>
      <c r="F977" s="54" t="n"/>
      <c r="G977" s="55" t="n"/>
      <c r="J977" s="54" t="n"/>
      <c r="K977" s="54" t="n"/>
      <c r="L977" s="54" t="n"/>
      <c r="W977" s="54" t="n"/>
      <c r="X977" s="54" t="n"/>
      <c r="Y977" s="54" t="n"/>
      <c r="Z977" s="54" t="n"/>
      <c r="AA977" s="54" t="n"/>
      <c r="AB977" s="54" t="n"/>
      <c r="AC977" s="54" t="n"/>
    </row>
  </sheetData>
  <autoFilter ref="$A$4:$AO$44"/>
  <mergeCells count="5">
    <mergeCell ref="W2:AC3"/>
    <mergeCell ref="S3:V3"/>
    <mergeCell ref="K2:V2"/>
    <mergeCell ref="K3:N3"/>
    <mergeCell ref="O3:R3"/>
  </mergeCells>
  <conditionalFormatting sqref="C1:C96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4">
    <cfRule type="expression" priority="5" dxfId="1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NSE:OIL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>
        <f>IFERROR(__xludf.DUMMYFUNCTION("GOOGLEFINANCE($C$1, ""price"")"),495.0)</f>
        <v/>
      </c>
      <c r="D2" s="57" t="n"/>
      <c r="E2" s="60" t="inlineStr">
        <is>
          <t>Commission</t>
        </is>
      </c>
      <c r="F2" s="59" t="n">
        <v>0.007</v>
      </c>
      <c r="G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>
        <f>IFERROR(__xludf.DUMMYFUNCTION("GOOGLEFINANCE($C$1, ""high52"")"),524.0)</f>
        <v/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>
        <f>IFERROR(__xludf.DUMMYFUNCTION("GOOGLEFINANCE($C$1, ""low52"")"),325.0)</f>
        <v/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History'!$N$4:$N1007)</f>
        <v/>
      </c>
      <c r="D8" s="61" t="n"/>
      <c r="E8" s="66" t="inlineStr">
        <is>
          <t>ST Units</t>
        </is>
      </c>
      <c r="F8" s="65">
        <f>IFERROR(SUM('Trading History'!$R$4:$R1007), 0)</f>
        <v/>
      </c>
      <c r="G8" s="61" t="n"/>
      <c r="H8" s="67" t="inlineStr">
        <is>
          <t>LT Units</t>
        </is>
      </c>
      <c r="I8" s="65">
        <f>SUM('Trading History'!$V$4:$V1007)</f>
        <v/>
      </c>
      <c r="J8" s="61" t="n"/>
      <c r="K8" s="68" t="inlineStr">
        <is>
          <t>Units</t>
        </is>
      </c>
      <c r="L8" s="65">
        <f>SUM('Trading History'!$AB$4:$AB1007)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69" t="n"/>
      <c r="B9" s="70" t="inlineStr">
        <is>
          <t>Avg %</t>
        </is>
      </c>
      <c r="C9" s="59">
        <f>IFERROR(Index!C10/(Index!C8*Index!$C$2), 0)</f>
        <v/>
      </c>
      <c r="D9" s="61" t="n"/>
      <c r="E9" s="71" t="inlineStr">
        <is>
          <t>ST Avg %</t>
        </is>
      </c>
      <c r="F9" s="59">
        <f>IFERROR(Index!F10/(Index!F8*Index!$C$2), 0)</f>
        <v/>
      </c>
      <c r="G9" s="61" t="n"/>
      <c r="H9" s="72" t="inlineStr">
        <is>
          <t>LT Avg %</t>
        </is>
      </c>
      <c r="I9" s="59">
        <f>IFERROR(Index!I10/(Index!I8*Index!$C$2), 0)</f>
        <v/>
      </c>
      <c r="J9" s="61" t="n"/>
      <c r="K9" s="73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69" t="n"/>
      <c r="B10" s="70" t="inlineStr">
        <is>
          <t>Gain</t>
        </is>
      </c>
      <c r="C10" s="74">
        <f>SUM('Trading History'!$L$4:$L1007)</f>
        <v/>
      </c>
      <c r="D10" s="61" t="n"/>
      <c r="E10" s="71" t="inlineStr">
        <is>
          <t>ST Gain</t>
        </is>
      </c>
      <c r="F10" s="74">
        <f>SUM('Trading History'!$P$4:$P1007)</f>
        <v/>
      </c>
      <c r="G10" s="61" t="n"/>
      <c r="H10" s="72" t="inlineStr">
        <is>
          <t>LT Gain</t>
        </is>
      </c>
      <c r="I10" s="74">
        <f>SUM('Trading History'!$T$4:$T1007)</f>
        <v/>
      </c>
      <c r="J10" s="61" t="n"/>
      <c r="K10" s="73" t="inlineStr">
        <is>
          <t>Gain</t>
        </is>
      </c>
      <c r="L10" s="74">
        <f>SUM('Trading History'!$Z$4:$Z1007)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69" t="n"/>
      <c r="B11" s="70" t="inlineStr">
        <is>
          <t>Invested</t>
        </is>
      </c>
      <c r="C11" s="74">
        <f>Index!C12-Index!C10</f>
        <v/>
      </c>
      <c r="D11" s="61" t="n"/>
      <c r="E11" s="71" t="inlineStr">
        <is>
          <t>ST Invested</t>
        </is>
      </c>
      <c r="F11" s="74">
        <f>Index!F12-Index!F10</f>
        <v/>
      </c>
      <c r="G11" s="61" t="n"/>
      <c r="H11" s="72" t="inlineStr">
        <is>
          <t>LT Invested</t>
        </is>
      </c>
      <c r="I11" s="74">
        <f>Index!I12-Index!I10</f>
        <v/>
      </c>
      <c r="J11" s="61" t="n"/>
      <c r="K11" s="73" t="inlineStr">
        <is>
          <t>Invested</t>
        </is>
      </c>
      <c r="L11" s="74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69" t="n"/>
      <c r="B12" s="70" t="inlineStr">
        <is>
          <t>Gross</t>
        </is>
      </c>
      <c r="C12" s="74">
        <f>SUM('Trading History'!$M$4:$M1007)</f>
        <v/>
      </c>
      <c r="D12" s="61" t="n"/>
      <c r="E12" s="71" t="inlineStr">
        <is>
          <t>ST Gross</t>
        </is>
      </c>
      <c r="F12" s="74">
        <f>SUM('Trading History'!$Q$4:$Q1007)</f>
        <v/>
      </c>
      <c r="G12" s="61" t="n"/>
      <c r="H12" s="72" t="inlineStr">
        <is>
          <t>LT Gross</t>
        </is>
      </c>
      <c r="I12" s="74">
        <f>SUM('Trading History'!$U$4:$U1007)</f>
        <v/>
      </c>
      <c r="J12" s="61" t="n"/>
      <c r="K12" s="73" t="inlineStr">
        <is>
          <t>Gross</t>
        </is>
      </c>
      <c r="L12" s="74">
        <f>SUM('Trading History'!$AA$4:$AA1007)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69" t="n"/>
      <c r="B13" s="57" t="n"/>
      <c r="C13" s="75" t="n"/>
      <c r="D13" s="57" t="n"/>
      <c r="E13" s="2" t="n"/>
      <c r="F13" s="75" t="n"/>
      <c r="G13" s="57" t="n"/>
      <c r="H13" s="2" t="n"/>
      <c r="I13" s="75" t="n"/>
      <c r="J13" s="57" t="n"/>
      <c r="K13" s="73" t="inlineStr">
        <is>
          <t>Dividends</t>
        </is>
      </c>
      <c r="L13" s="74">
        <f>SUMIF('Trading History'!$B20:$B1007,"DIV",'Trading History'!$AC$4:$AC1007)</f>
        <v/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</row>
    <row r="14">
      <c r="A14" s="69" t="n"/>
      <c r="B14" s="57" t="n"/>
      <c r="C14" s="75" t="n"/>
      <c r="D14" s="57" t="n"/>
      <c r="E14" s="2" t="n"/>
      <c r="F14" s="75" t="n"/>
      <c r="G14" s="57" t="n"/>
      <c r="H14" s="2" t="n"/>
      <c r="I14" s="75" t="n"/>
      <c r="J14" s="57" t="n"/>
      <c r="K14" s="2" t="n"/>
      <c r="L14" s="75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</row>
    <row r="15">
      <c r="A15" s="63" t="n">
        <v>0.5</v>
      </c>
      <c r="B15" s="64" t="inlineStr">
        <is>
          <t>Units</t>
        </is>
      </c>
      <c r="C15" s="65">
        <f>SUMIFS('Trading History'!$N$4:$N1007, 'Trading History'!$K$4:$K1007, CONCAT("&gt;", $A15))</f>
        <v/>
      </c>
      <c r="D15" s="61" t="n"/>
      <c r="E15" s="66" t="inlineStr">
        <is>
          <t>ST Units</t>
        </is>
      </c>
      <c r="F15" s="65">
        <f>IFERROR(SUMIFS('Trading History'!$R$4:$R1007, 'Trading History'!$O$4:$O1007, CONCAT("&gt;", $A15)), 0)</f>
        <v/>
      </c>
      <c r="G15" s="61" t="n"/>
      <c r="H15" s="67" t="inlineStr">
        <is>
          <t>LT Units</t>
        </is>
      </c>
      <c r="I15" s="65">
        <f>SUMIFS('Trading History'!$V$4:$V1007, 'Trading History'!$S$4:$S1007, CONCAT("&gt;", $A15))</f>
        <v/>
      </c>
      <c r="J15" s="61" t="n"/>
      <c r="K15" s="68" t="inlineStr">
        <is>
          <t>Units</t>
        </is>
      </c>
      <c r="L15" s="65">
        <f>SUMIFS('Trading History'!$AB$4:$AB1007, 'Trading History'!$Y$4:$Y1007,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70" t="inlineStr">
        <is>
          <t>Avg %</t>
        </is>
      </c>
      <c r="C16" s="59">
        <f>IFERROR(Index!C17/(Index!C15*Index!$C$2), 0)</f>
        <v/>
      </c>
      <c r="D16" s="61" t="n"/>
      <c r="E16" s="71" t="inlineStr">
        <is>
          <t>ST Avg %</t>
        </is>
      </c>
      <c r="F16" s="59">
        <f>IFERROR(Index!F17/(Index!F15*Index!$C$2), 0)</f>
        <v/>
      </c>
      <c r="G16" s="61" t="n"/>
      <c r="H16" s="72" t="inlineStr">
        <is>
          <t>LT Avg %</t>
        </is>
      </c>
      <c r="I16" s="59">
        <f>IFERROR(Index!I17/(Index!I15*Index!$C$2), 0)</f>
        <v/>
      </c>
      <c r="J16" s="61" t="n"/>
      <c r="K16" s="73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70" t="inlineStr">
        <is>
          <t>Gain</t>
        </is>
      </c>
      <c r="C17" s="74">
        <f>SUMIFS('Trading History'!$L$4:$L1007, 'Trading History'!$K$4:$K1007, CONCAT("&gt;", $A15))</f>
        <v/>
      </c>
      <c r="D17" s="61" t="n"/>
      <c r="E17" s="71" t="inlineStr">
        <is>
          <t>ST Gain</t>
        </is>
      </c>
      <c r="F17" s="74">
        <f>SUMIFS('Trading History'!$P$4:$P1007, 'Trading History'!$O$4:$O1007, CONCAT("&gt;", $A15))</f>
        <v/>
      </c>
      <c r="G17" s="61" t="n"/>
      <c r="H17" s="72" t="inlineStr">
        <is>
          <t>LT Gain</t>
        </is>
      </c>
      <c r="I17" s="74">
        <f>SUMIFS('Trading History'!$T$4:$T1007, 'Trading History'!$S$4:$S1007, CONCAT("&gt;", $A15))</f>
        <v/>
      </c>
      <c r="J17" s="61" t="n"/>
      <c r="K17" s="73" t="inlineStr">
        <is>
          <t>Gain</t>
        </is>
      </c>
      <c r="L17" s="74">
        <f>SUMIFS('Trading History'!$Z$4:$Z1007, 'Trading History'!$Y$4:$Y1007,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70" t="inlineStr">
        <is>
          <t>Invested</t>
        </is>
      </c>
      <c r="C18" s="74">
        <f>Index!C19-Index!C17</f>
        <v/>
      </c>
      <c r="D18" s="61" t="n"/>
      <c r="E18" s="71" t="inlineStr">
        <is>
          <t>ST Invested</t>
        </is>
      </c>
      <c r="F18" s="74">
        <f>Index!F19-Index!F17</f>
        <v/>
      </c>
      <c r="G18" s="61" t="n"/>
      <c r="H18" s="72" t="inlineStr">
        <is>
          <t>LT Invested</t>
        </is>
      </c>
      <c r="I18" s="74">
        <f>Index!I19-Index!I17</f>
        <v/>
      </c>
      <c r="J18" s="61" t="n"/>
      <c r="K18" s="73" t="inlineStr">
        <is>
          <t>Invested</t>
        </is>
      </c>
      <c r="L18" s="74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70" t="inlineStr">
        <is>
          <t>Gross</t>
        </is>
      </c>
      <c r="C19" s="74">
        <f>SUMIFS('Trading History'!$M$4:$M1007, 'Trading History'!$K$4:$K1007, CONCAT("&gt;", $A15))</f>
        <v/>
      </c>
      <c r="D19" s="61" t="n"/>
      <c r="E19" s="71" t="inlineStr">
        <is>
          <t>ST Gross</t>
        </is>
      </c>
      <c r="F19" s="74">
        <f>SUMIFS('Trading History'!$Q$4:$Q1007, 'Trading History'!$O$4:$O1007, CONCAT("&gt;", $A15))</f>
        <v/>
      </c>
      <c r="G19" s="61" t="n"/>
      <c r="H19" s="72" t="inlineStr">
        <is>
          <t>LT Gross</t>
        </is>
      </c>
      <c r="I19" s="74">
        <f>SUMIFS('Trading History'!$U$4:$U1007, 'Trading History'!$S$4:$S1007, CONCAT("&gt;", $A15))</f>
        <v/>
      </c>
      <c r="J19" s="61" t="n"/>
      <c r="K19" s="73" t="inlineStr">
        <is>
          <t>Gross</t>
        </is>
      </c>
      <c r="L19" s="74">
        <f>SUMIFS('Trading History'!$AA$4:$AA1007, 'Trading History'!$Y$4:$Y1007,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63" t="n">
        <v>0.45</v>
      </c>
      <c r="B22" s="64" t="inlineStr">
        <is>
          <t>Units</t>
        </is>
      </c>
      <c r="C22" s="65">
        <f>SUMIFS('Trading History'!$N$4:$N1007, 'Trading History'!$K$4:$K1007, CONCAT("&gt;", $A22))</f>
        <v/>
      </c>
      <c r="D22" s="61" t="n"/>
      <c r="E22" s="66" t="inlineStr">
        <is>
          <t>ST Units</t>
        </is>
      </c>
      <c r="F22" s="65">
        <f>IFERROR(SUMIFS('Trading History'!$R$4:$R1007, 'Trading History'!$O$4:$O1007, CONCAT("&gt;", $A22)), 0)</f>
        <v/>
      </c>
      <c r="G22" s="61" t="n"/>
      <c r="H22" s="67" t="inlineStr">
        <is>
          <t>LT Units</t>
        </is>
      </c>
      <c r="I22" s="65">
        <f>SUMIFS('Trading History'!$V$4:$V1007, 'Trading History'!$S$4:$S1007, CONCAT("&gt;", $A22))</f>
        <v/>
      </c>
      <c r="J22" s="61" t="n"/>
      <c r="K22" s="68" t="inlineStr">
        <is>
          <t>Units</t>
        </is>
      </c>
      <c r="L22" s="65">
        <f>SUMIFS('Trading History'!$AB$4:$AB1007, 'Trading History'!$Y$4:$Y1007,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70" t="inlineStr">
        <is>
          <t>Avg %</t>
        </is>
      </c>
      <c r="C23" s="59">
        <f>IFERROR(Index!C24/(Index!C22*Index!$C$2), 0)</f>
        <v/>
      </c>
      <c r="D23" s="61" t="n"/>
      <c r="E23" s="71" t="inlineStr">
        <is>
          <t>ST Avg %</t>
        </is>
      </c>
      <c r="F23" s="59">
        <f>IFERROR(Index!F24/(Index!F22*Index!$C$2), 0)</f>
        <v/>
      </c>
      <c r="G23" s="61" t="n"/>
      <c r="H23" s="72" t="inlineStr">
        <is>
          <t>LT Avg %</t>
        </is>
      </c>
      <c r="I23" s="59">
        <f>IFERROR(Index!I24/(Index!I22*Index!$C$2), 0)</f>
        <v/>
      </c>
      <c r="J23" s="61" t="n"/>
      <c r="K23" s="73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70" t="inlineStr">
        <is>
          <t>Gain</t>
        </is>
      </c>
      <c r="C24" s="74">
        <f>SUMIFS('Trading History'!$L$4:$L1007, 'Trading History'!$K$4:$K1007, CONCAT("&gt;", $A22))</f>
        <v/>
      </c>
      <c r="D24" s="61" t="n"/>
      <c r="E24" s="71" t="inlineStr">
        <is>
          <t>ST Gain</t>
        </is>
      </c>
      <c r="F24" s="74">
        <f>SUMIFS('Trading History'!$P$4:$P1007, 'Trading History'!$O$4:$O1007, CONCAT("&gt;", $A22))</f>
        <v/>
      </c>
      <c r="G24" s="61" t="n"/>
      <c r="H24" s="72" t="inlineStr">
        <is>
          <t>LT Gain</t>
        </is>
      </c>
      <c r="I24" s="74">
        <f>SUMIFS('Trading History'!$T$4:$T1007, 'Trading History'!$S$4:$S1007, CONCAT("&gt;", $A22))</f>
        <v/>
      </c>
      <c r="J24" s="61" t="n"/>
      <c r="K24" s="73" t="inlineStr">
        <is>
          <t>Gain</t>
        </is>
      </c>
      <c r="L24" s="74">
        <f>SUMIFS('Trading History'!$Z$4:$Z1007, 'Trading History'!$Y$4:$Y1007,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70" t="inlineStr">
        <is>
          <t>Invested</t>
        </is>
      </c>
      <c r="C25" s="74">
        <f>Index!C26-Index!C24</f>
        <v/>
      </c>
      <c r="D25" s="61" t="n"/>
      <c r="E25" s="71" t="inlineStr">
        <is>
          <t>ST Invested</t>
        </is>
      </c>
      <c r="F25" s="74">
        <f>Index!F26-Index!F24</f>
        <v/>
      </c>
      <c r="G25" s="61" t="n"/>
      <c r="H25" s="72" t="inlineStr">
        <is>
          <t>LT Invested</t>
        </is>
      </c>
      <c r="I25" s="74">
        <f>Index!I26-Index!I24</f>
        <v/>
      </c>
      <c r="J25" s="61" t="n"/>
      <c r="K25" s="73" t="inlineStr">
        <is>
          <t>Invested</t>
        </is>
      </c>
      <c r="L25" s="74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70" t="inlineStr">
        <is>
          <t>Gross</t>
        </is>
      </c>
      <c r="C26" s="74">
        <f>SUMIFS('Trading History'!$M$4:$M1007, 'Trading History'!$K$4:$K1007, CONCAT("&gt;", $A22))</f>
        <v/>
      </c>
      <c r="D26" s="61" t="n"/>
      <c r="E26" s="71" t="inlineStr">
        <is>
          <t>ST Gross</t>
        </is>
      </c>
      <c r="F26" s="74">
        <f>SUMIFS('Trading History'!$Q$4:$Q1007, 'Trading History'!$O$4:$O1007, CONCAT("&gt;", $A22))</f>
        <v/>
      </c>
      <c r="G26" s="61" t="n"/>
      <c r="H26" s="72" t="inlineStr">
        <is>
          <t>LT Gross</t>
        </is>
      </c>
      <c r="I26" s="74">
        <f>SUMIFS('Trading History'!$U$4:$U1007, 'Trading History'!$S$4:$S1007, CONCAT("&gt;", $A22))</f>
        <v/>
      </c>
      <c r="J26" s="61" t="n"/>
      <c r="K26" s="73" t="inlineStr">
        <is>
          <t>Gross</t>
        </is>
      </c>
      <c r="L26" s="74">
        <f>SUMIFS('Trading History'!$AA$4:$AA1007, 'Trading History'!$Y$4:$Y1007,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63" t="n">
        <v>0.4</v>
      </c>
      <c r="B29" s="64" t="inlineStr">
        <is>
          <t>Units</t>
        </is>
      </c>
      <c r="C29" s="65">
        <f>SUMIFS('Trading History'!$N$4:$N1007, 'Trading History'!$K$4:$K1007, CONCAT("&gt;", $A29))</f>
        <v/>
      </c>
      <c r="D29" s="61" t="n"/>
      <c r="E29" s="66" t="inlineStr">
        <is>
          <t>ST Units</t>
        </is>
      </c>
      <c r="F29" s="65">
        <f>IFERROR(SUMIFS('Trading History'!$R$4:$R1007, 'Trading History'!$O$4:$O1007, CONCAT("&gt;", $A29)), 0)</f>
        <v/>
      </c>
      <c r="G29" s="61" t="n"/>
      <c r="H29" s="67" t="inlineStr">
        <is>
          <t>LT Units</t>
        </is>
      </c>
      <c r="I29" s="65">
        <f>SUMIFS('Trading History'!$V$4:$V1007, 'Trading History'!$S$4:$S1007, CONCAT("&gt;", $A29))</f>
        <v/>
      </c>
      <c r="J29" s="61" t="n"/>
      <c r="K29" s="68" t="inlineStr">
        <is>
          <t>Units</t>
        </is>
      </c>
      <c r="L29" s="65">
        <f>SUMIFS('Trading History'!$AB$4:$AB1007, 'Trading History'!$Y$4:$Y1007,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70" t="inlineStr">
        <is>
          <t>Avg %</t>
        </is>
      </c>
      <c r="C30" s="59">
        <f>IFERROR(Index!C31/(Index!C29*Index!$C$2), 0)</f>
        <v/>
      </c>
      <c r="D30" s="61" t="n"/>
      <c r="E30" s="71" t="inlineStr">
        <is>
          <t>ST Avg %</t>
        </is>
      </c>
      <c r="F30" s="59">
        <f>IFERROR(Index!F31/(Index!F29*Index!$C$2), 0)</f>
        <v/>
      </c>
      <c r="G30" s="61" t="n"/>
      <c r="H30" s="72" t="inlineStr">
        <is>
          <t>LT Avg %</t>
        </is>
      </c>
      <c r="I30" s="59">
        <f>IFERROR(Index!I31/(Index!I29*Index!$C$2), 0)</f>
        <v/>
      </c>
      <c r="J30" s="61" t="n"/>
      <c r="K30" s="73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70" t="inlineStr">
        <is>
          <t>Gain</t>
        </is>
      </c>
      <c r="C31" s="74">
        <f>SUMIFS('Trading History'!$L$4:$L1007, 'Trading History'!$K$4:$K1007, CONCAT("&gt;", $A29))</f>
        <v/>
      </c>
      <c r="D31" s="61" t="n"/>
      <c r="E31" s="71" t="inlineStr">
        <is>
          <t>ST Gain</t>
        </is>
      </c>
      <c r="F31" s="74">
        <f>SUMIFS('Trading History'!$P$4:$P1007, 'Trading History'!$O$4:$O1007, CONCAT("&gt;", $A29))</f>
        <v/>
      </c>
      <c r="G31" s="61" t="n"/>
      <c r="H31" s="72" t="inlineStr">
        <is>
          <t>LT Gain</t>
        </is>
      </c>
      <c r="I31" s="74">
        <f>SUMIFS('Trading History'!$T$4:$T1007, 'Trading History'!$S$4:$S1007, CONCAT("&gt;", $A29))</f>
        <v/>
      </c>
      <c r="J31" s="61" t="n"/>
      <c r="K31" s="73" t="inlineStr">
        <is>
          <t>Gain</t>
        </is>
      </c>
      <c r="L31" s="74">
        <f>SUMIFS('Trading History'!$Z$4:$Z1007, 'Trading History'!$Y$4:$Y1007,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70" t="inlineStr">
        <is>
          <t>Invested</t>
        </is>
      </c>
      <c r="C32" s="74">
        <f>Index!C33-Index!C31</f>
        <v/>
      </c>
      <c r="D32" s="61" t="n"/>
      <c r="E32" s="71" t="inlineStr">
        <is>
          <t>ST Invested</t>
        </is>
      </c>
      <c r="F32" s="74">
        <f>Index!F33-Index!F31</f>
        <v/>
      </c>
      <c r="G32" s="61" t="n"/>
      <c r="H32" s="72" t="inlineStr">
        <is>
          <t>LT Invested</t>
        </is>
      </c>
      <c r="I32" s="74">
        <f>Index!I33-Index!I31</f>
        <v/>
      </c>
      <c r="J32" s="61" t="n"/>
      <c r="K32" s="73" t="inlineStr">
        <is>
          <t>Invested</t>
        </is>
      </c>
      <c r="L32" s="74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70" t="inlineStr">
        <is>
          <t>Gross</t>
        </is>
      </c>
      <c r="C33" s="74">
        <f>SUMIFS('Trading History'!$M$4:$M1007, 'Trading History'!$K$4:$K1007, CONCAT("&gt;", $A29))</f>
        <v/>
      </c>
      <c r="D33" s="61" t="n"/>
      <c r="E33" s="71" t="inlineStr">
        <is>
          <t>ST Gross</t>
        </is>
      </c>
      <c r="F33" s="74">
        <f>SUMIFS('Trading History'!$Q$4:$Q1007, 'Trading History'!$O$4:$O1007, CONCAT("&gt;", $A29))</f>
        <v/>
      </c>
      <c r="G33" s="61" t="n"/>
      <c r="H33" s="72" t="inlineStr">
        <is>
          <t>LT Gross</t>
        </is>
      </c>
      <c r="I33" s="74">
        <f>SUMIFS('Trading History'!$U$4:$U1007, 'Trading History'!$S$4:$S1007, CONCAT("&gt;", $A29))</f>
        <v/>
      </c>
      <c r="J33" s="61" t="n"/>
      <c r="K33" s="73" t="inlineStr">
        <is>
          <t>Gross</t>
        </is>
      </c>
      <c r="L33" s="74">
        <f>SUMIFS('Trading History'!$AA$4:$AA1007, 'Trading History'!$Y$4:$Y1007,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63" t="n">
        <v>0.35</v>
      </c>
      <c r="B36" s="64" t="inlineStr">
        <is>
          <t>Units</t>
        </is>
      </c>
      <c r="C36" s="65">
        <f>SUMIFS('Trading History'!$N$4:$N1007, 'Trading History'!$K$4:$K1007, CONCAT("&gt;", $A36))</f>
        <v/>
      </c>
      <c r="D36" s="61" t="n"/>
      <c r="E36" s="66" t="inlineStr">
        <is>
          <t>ST Units</t>
        </is>
      </c>
      <c r="F36" s="65">
        <f>IFERROR(SUMIFS('Trading History'!$R$4:$R1007, 'Trading History'!$O$4:$O1007, CONCAT("&gt;", $A36)), 0)</f>
        <v/>
      </c>
      <c r="G36" s="61" t="n"/>
      <c r="H36" s="67" t="inlineStr">
        <is>
          <t>LT Units</t>
        </is>
      </c>
      <c r="I36" s="65">
        <f>SUMIFS('Trading History'!$V$4:$V1007, 'Trading History'!$S$4:$S1007, CONCAT("&gt;", $A36))</f>
        <v/>
      </c>
      <c r="J36" s="61" t="n"/>
      <c r="K36" s="68" t="inlineStr">
        <is>
          <t>Units</t>
        </is>
      </c>
      <c r="L36" s="65">
        <f>SUMIFS('Trading History'!$AB$4:$AB1007, 'Trading History'!$Y$4:$Y1007,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70" t="inlineStr">
        <is>
          <t>Avg %</t>
        </is>
      </c>
      <c r="C37" s="59">
        <f>IFERROR(Index!C38/(Index!C36*Index!$C$2), 0)</f>
        <v/>
      </c>
      <c r="D37" s="61" t="n"/>
      <c r="E37" s="71" t="inlineStr">
        <is>
          <t>ST Avg %</t>
        </is>
      </c>
      <c r="F37" s="59">
        <f>IFERROR(Index!F38/(Index!F36*Index!$C$2), 0)</f>
        <v/>
      </c>
      <c r="G37" s="61" t="n"/>
      <c r="H37" s="72" t="inlineStr">
        <is>
          <t>LT Avg %</t>
        </is>
      </c>
      <c r="I37" s="59">
        <f>IFERROR(Index!I38/(Index!I36*Index!$C$2), 0)</f>
        <v/>
      </c>
      <c r="J37" s="61" t="n"/>
      <c r="K37" s="73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70" t="inlineStr">
        <is>
          <t>Gain</t>
        </is>
      </c>
      <c r="C38" s="74">
        <f>SUMIFS('Trading History'!$L$4:$L1007, 'Trading History'!$K$4:$K1007, CONCAT("&gt;", $A36))</f>
        <v/>
      </c>
      <c r="D38" s="61" t="n"/>
      <c r="E38" s="71" t="inlineStr">
        <is>
          <t>ST Gain</t>
        </is>
      </c>
      <c r="F38" s="74">
        <f>SUMIFS('Trading History'!$P$4:$P1007, 'Trading History'!$O$4:$O1007, CONCAT("&gt;", $A36))</f>
        <v/>
      </c>
      <c r="G38" s="61" t="n"/>
      <c r="H38" s="72" t="inlineStr">
        <is>
          <t>LT Gain</t>
        </is>
      </c>
      <c r="I38" s="74">
        <f>SUMIFS('Trading History'!$T$4:$T1007, 'Trading History'!$S$4:$S1007, CONCAT("&gt;", $A36))</f>
        <v/>
      </c>
      <c r="J38" s="61" t="n"/>
      <c r="K38" s="73" t="inlineStr">
        <is>
          <t>Gain</t>
        </is>
      </c>
      <c r="L38" s="74">
        <f>SUMIFS('Trading History'!$Z$4:$Z1007, 'Trading History'!$Y$4:$Y1007,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70" t="inlineStr">
        <is>
          <t>Invested</t>
        </is>
      </c>
      <c r="C39" s="74">
        <f>Index!C40-Index!C38</f>
        <v/>
      </c>
      <c r="D39" s="61" t="n"/>
      <c r="E39" s="71" t="inlineStr">
        <is>
          <t>ST Invested</t>
        </is>
      </c>
      <c r="F39" s="74">
        <f>Index!F40-Index!F38</f>
        <v/>
      </c>
      <c r="G39" s="61" t="n"/>
      <c r="H39" s="72" t="inlineStr">
        <is>
          <t>LT Invested</t>
        </is>
      </c>
      <c r="I39" s="74">
        <f>Index!I40-Index!I38</f>
        <v/>
      </c>
      <c r="J39" s="61" t="n"/>
      <c r="K39" s="73" t="inlineStr">
        <is>
          <t>Invested</t>
        </is>
      </c>
      <c r="L39" s="74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70" t="inlineStr">
        <is>
          <t>Gross</t>
        </is>
      </c>
      <c r="C40" s="74">
        <f>SUMIFS('Trading History'!$M$4:$M1007, 'Trading History'!$K$4:$K1007, CONCAT("&gt;", $A36))</f>
        <v/>
      </c>
      <c r="D40" s="61" t="n"/>
      <c r="E40" s="71" t="inlineStr">
        <is>
          <t>ST Gross</t>
        </is>
      </c>
      <c r="F40" s="74">
        <f>SUMIFS('Trading History'!$Q$4:$Q1007, 'Trading History'!$O$4:$O1007, CONCAT("&gt;", $A36))</f>
        <v/>
      </c>
      <c r="G40" s="61" t="n"/>
      <c r="H40" s="72" t="inlineStr">
        <is>
          <t>LT Gross</t>
        </is>
      </c>
      <c r="I40" s="74">
        <f>SUMIFS('Trading History'!$U$4:$U1007, 'Trading History'!$S$4:$S1007, CONCAT("&gt;", $A36))</f>
        <v/>
      </c>
      <c r="J40" s="61" t="n"/>
      <c r="K40" s="73" t="inlineStr">
        <is>
          <t>Gross</t>
        </is>
      </c>
      <c r="L40" s="74">
        <f>SUMIFS('Trading History'!$AA$4:$AA1007, 'Trading History'!$Y$4:$Y1007,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63" t="n">
        <v>0.3</v>
      </c>
      <c r="B43" s="64" t="inlineStr">
        <is>
          <t>Units</t>
        </is>
      </c>
      <c r="C43" s="65">
        <f>SUMIFS('Trading History'!$N$4:$N1007, 'Trading History'!$K$4:$K1007, CONCAT("&gt;", $A43))</f>
        <v/>
      </c>
      <c r="D43" s="61" t="n"/>
      <c r="E43" s="66" t="inlineStr">
        <is>
          <t>ST Units</t>
        </is>
      </c>
      <c r="F43" s="65">
        <f>IFERROR(SUMIFS('Trading History'!$R$4:$R1007, 'Trading History'!$O$4:$O1007, CONCAT("&gt;", $A43)), 0)</f>
        <v/>
      </c>
      <c r="G43" s="61" t="n"/>
      <c r="H43" s="67" t="inlineStr">
        <is>
          <t>LT Units</t>
        </is>
      </c>
      <c r="I43" s="65">
        <f>SUMIFS('Trading History'!$V$4:$V1007, 'Trading History'!$S$4:$S1007, CONCAT("&gt;", $A43))</f>
        <v/>
      </c>
      <c r="J43" s="61" t="n"/>
      <c r="K43" s="68" t="inlineStr">
        <is>
          <t>Units</t>
        </is>
      </c>
      <c r="L43" s="65">
        <f>SUMIFS('Trading History'!$AB$4:$AB1007, 'Trading History'!$Y$4:$Y1007,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70" t="inlineStr">
        <is>
          <t>Avg %</t>
        </is>
      </c>
      <c r="C44" s="59">
        <f>IFERROR(Index!C45/(Index!C43*Index!$C$2), 0)</f>
        <v/>
      </c>
      <c r="D44" s="61" t="n"/>
      <c r="E44" s="71" t="inlineStr">
        <is>
          <t>ST Avg %</t>
        </is>
      </c>
      <c r="F44" s="59">
        <f>IFERROR(Index!F45/(Index!F43*Index!$C$2), 0)</f>
        <v/>
      </c>
      <c r="G44" s="61" t="n"/>
      <c r="H44" s="72" t="inlineStr">
        <is>
          <t>LT Avg %</t>
        </is>
      </c>
      <c r="I44" s="59">
        <f>IFERROR(Index!I45/(Index!I43*Index!$C$2), 0)</f>
        <v/>
      </c>
      <c r="J44" s="61" t="n"/>
      <c r="K44" s="73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70" t="inlineStr">
        <is>
          <t>Gain</t>
        </is>
      </c>
      <c r="C45" s="74">
        <f>SUMIFS('Trading History'!$L$4:$L1007, 'Trading History'!$K$4:$K1007, CONCAT("&gt;", $A43))</f>
        <v/>
      </c>
      <c r="D45" s="61" t="n"/>
      <c r="E45" s="71" t="inlineStr">
        <is>
          <t>ST Gain</t>
        </is>
      </c>
      <c r="F45" s="74">
        <f>SUMIFS('Trading History'!$P$4:$P1007, 'Trading History'!$O$4:$O1007, CONCAT("&gt;", $A43))</f>
        <v/>
      </c>
      <c r="G45" s="61" t="n"/>
      <c r="H45" s="72" t="inlineStr">
        <is>
          <t>LT Gain</t>
        </is>
      </c>
      <c r="I45" s="74">
        <f>SUMIFS('Trading History'!$T$4:$T1007, 'Trading History'!$S$4:$S1007, CONCAT("&gt;", $A43))</f>
        <v/>
      </c>
      <c r="J45" s="61" t="n"/>
      <c r="K45" s="73" t="inlineStr">
        <is>
          <t>Gain</t>
        </is>
      </c>
      <c r="L45" s="74">
        <f>SUMIFS('Trading History'!$Z$4:$Z1007, 'Trading History'!$Y$4:$Y1007,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70" t="inlineStr">
        <is>
          <t>Invested</t>
        </is>
      </c>
      <c r="C46" s="74">
        <f>Index!C47-Index!C45</f>
        <v/>
      </c>
      <c r="D46" s="61" t="n"/>
      <c r="E46" s="71" t="inlineStr">
        <is>
          <t>ST Invested</t>
        </is>
      </c>
      <c r="F46" s="74">
        <f>Index!F47-Index!F45</f>
        <v/>
      </c>
      <c r="G46" s="61" t="n"/>
      <c r="H46" s="72" t="inlineStr">
        <is>
          <t>LT Invested</t>
        </is>
      </c>
      <c r="I46" s="74">
        <f>Index!I47-Index!I45</f>
        <v/>
      </c>
      <c r="J46" s="61" t="n"/>
      <c r="K46" s="73" t="inlineStr">
        <is>
          <t>Invested</t>
        </is>
      </c>
      <c r="L46" s="74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70" t="inlineStr">
        <is>
          <t>Gross</t>
        </is>
      </c>
      <c r="C47" s="74">
        <f>SUMIFS('Trading History'!$M$4:$M1007, 'Trading History'!$K$4:$K1007, CONCAT("&gt;", $A43))</f>
        <v/>
      </c>
      <c r="D47" s="61" t="n"/>
      <c r="E47" s="71" t="inlineStr">
        <is>
          <t>ST Gross</t>
        </is>
      </c>
      <c r="F47" s="74">
        <f>SUMIFS('Trading History'!$Q$4:$Q1007, 'Trading History'!$O$4:$O1007, CONCAT("&gt;", $A43))</f>
        <v/>
      </c>
      <c r="G47" s="61" t="n"/>
      <c r="H47" s="72" t="inlineStr">
        <is>
          <t>LT Gross</t>
        </is>
      </c>
      <c r="I47" s="74">
        <f>SUMIFS('Trading History'!$U$4:$U1007, 'Trading History'!$S$4:$S1007, CONCAT("&gt;", $A43))</f>
        <v/>
      </c>
      <c r="J47" s="61" t="n"/>
      <c r="K47" s="73" t="inlineStr">
        <is>
          <t>Gross</t>
        </is>
      </c>
      <c r="L47" s="74">
        <f>SUMIFS('Trading History'!$AA$4:$AA1007, 'Trading History'!$Y$4:$Y1007,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63" t="n">
        <v>0.25</v>
      </c>
      <c r="B50" s="64" t="inlineStr">
        <is>
          <t>Units</t>
        </is>
      </c>
      <c r="C50" s="65">
        <f>SUMIFS('Trading History'!$N$4:$N1007, 'Trading History'!$K$4:$K1007, CONCAT("&gt;", $A50))</f>
        <v/>
      </c>
      <c r="D50" s="61" t="n"/>
      <c r="E50" s="66" t="inlineStr">
        <is>
          <t>ST Units</t>
        </is>
      </c>
      <c r="F50" s="65">
        <f>IFERROR(SUMIFS('Trading History'!$R$4:$R1007, 'Trading History'!$O$4:$O1007, CONCAT("&gt;", $A50)), 0)</f>
        <v/>
      </c>
      <c r="G50" s="61" t="n"/>
      <c r="H50" s="67" t="inlineStr">
        <is>
          <t>LT Units</t>
        </is>
      </c>
      <c r="I50" s="65">
        <f>SUMIFS('Trading History'!$V$4:$V1007, 'Trading History'!$S$4:$S1007, CONCAT("&gt;", $A50))</f>
        <v/>
      </c>
      <c r="J50" s="61" t="n"/>
      <c r="K50" s="68" t="inlineStr">
        <is>
          <t>Units</t>
        </is>
      </c>
      <c r="L50" s="65">
        <f>SUMIFS('Trading History'!$AB$4:$AB1007, 'Trading History'!$Y$4:$Y1007,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70" t="inlineStr">
        <is>
          <t>Avg %</t>
        </is>
      </c>
      <c r="C51" s="59">
        <f>IFERROR(Index!C52/(Index!C50*Index!$C$2), 0)</f>
        <v/>
      </c>
      <c r="D51" s="61" t="n"/>
      <c r="E51" s="71" t="inlineStr">
        <is>
          <t>ST Avg %</t>
        </is>
      </c>
      <c r="F51" s="59">
        <f>IFERROR(Index!F52/(Index!F50*Index!$C$2), 0)</f>
        <v/>
      </c>
      <c r="G51" s="61" t="n"/>
      <c r="H51" s="72" t="inlineStr">
        <is>
          <t>LT Avg %</t>
        </is>
      </c>
      <c r="I51" s="59">
        <f>IFERROR(Index!I52/(Index!I50*Index!$C$2), 0)</f>
        <v/>
      </c>
      <c r="J51" s="61" t="n"/>
      <c r="K51" s="73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70" t="inlineStr">
        <is>
          <t>Gain</t>
        </is>
      </c>
      <c r="C52" s="74">
        <f>SUMIFS('Trading History'!$L$4:$L1007, 'Trading History'!$K$4:$K1007, CONCAT("&gt;", $A50))</f>
        <v/>
      </c>
      <c r="D52" s="61" t="n"/>
      <c r="E52" s="71" t="inlineStr">
        <is>
          <t>ST Gain</t>
        </is>
      </c>
      <c r="F52" s="74">
        <f>SUMIFS('Trading History'!$P$4:$P1007, 'Trading History'!$O$4:$O1007, CONCAT("&gt;", $A50))</f>
        <v/>
      </c>
      <c r="G52" s="61" t="n"/>
      <c r="H52" s="72" t="inlineStr">
        <is>
          <t>LT Gain</t>
        </is>
      </c>
      <c r="I52" s="74">
        <f>SUMIFS('Trading History'!$T$4:$T1007, 'Trading History'!$S$4:$S1007, CONCAT("&gt;", $A50))</f>
        <v/>
      </c>
      <c r="J52" s="61" t="n"/>
      <c r="K52" s="73" t="inlineStr">
        <is>
          <t>Gain</t>
        </is>
      </c>
      <c r="L52" s="74">
        <f>SUMIFS('Trading History'!$Z$4:$Z1007, 'Trading History'!$Y$4:$Y1007,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70" t="inlineStr">
        <is>
          <t>Invested</t>
        </is>
      </c>
      <c r="C53" s="74">
        <f>Index!C54-Index!C52</f>
        <v/>
      </c>
      <c r="D53" s="61" t="n"/>
      <c r="E53" s="71" t="inlineStr">
        <is>
          <t>ST Invested</t>
        </is>
      </c>
      <c r="F53" s="74">
        <f>Index!F54-Index!F52</f>
        <v/>
      </c>
      <c r="G53" s="61" t="n"/>
      <c r="H53" s="72" t="inlineStr">
        <is>
          <t>LT Invested</t>
        </is>
      </c>
      <c r="I53" s="74">
        <f>Index!I54-Index!I52</f>
        <v/>
      </c>
      <c r="J53" s="61" t="n"/>
      <c r="K53" s="73" t="inlineStr">
        <is>
          <t>Invested</t>
        </is>
      </c>
      <c r="L53" s="74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70" t="inlineStr">
        <is>
          <t>Gross</t>
        </is>
      </c>
      <c r="C54" s="74">
        <f>SUMIFS('Trading History'!$M$4:$M1007, 'Trading History'!$K$4:$K1007, CONCAT("&gt;", $A50))</f>
        <v/>
      </c>
      <c r="D54" s="61" t="n"/>
      <c r="E54" s="71" t="inlineStr">
        <is>
          <t>ST Gross</t>
        </is>
      </c>
      <c r="F54" s="74">
        <f>SUMIFS('Trading History'!$Q$4:$Q1007, 'Trading History'!$O$4:$O1007, CONCAT("&gt;", $A50))</f>
        <v/>
      </c>
      <c r="G54" s="61" t="n"/>
      <c r="H54" s="72" t="inlineStr">
        <is>
          <t>LT Gross</t>
        </is>
      </c>
      <c r="I54" s="74">
        <f>SUMIFS('Trading History'!$U$4:$U1007, 'Trading History'!$S$4:$S1007, CONCAT("&gt;", $A50))</f>
        <v/>
      </c>
      <c r="J54" s="61" t="n"/>
      <c r="K54" s="73" t="inlineStr">
        <is>
          <t>Gross</t>
        </is>
      </c>
      <c r="L54" s="74">
        <f>SUMIFS('Trading History'!$AA$4:$AA1007, 'Trading History'!$Y$4:$Y1007,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63" t="n">
        <v>0.2</v>
      </c>
      <c r="B57" s="64" t="inlineStr">
        <is>
          <t>Units</t>
        </is>
      </c>
      <c r="C57" s="65">
        <f>SUMIFS('Trading History'!$N$4:$N1007, 'Trading History'!$K$4:$K1007, CONCAT("&gt;", $A57))</f>
        <v/>
      </c>
      <c r="D57" s="61" t="n"/>
      <c r="E57" s="66" t="inlineStr">
        <is>
          <t>ST Units</t>
        </is>
      </c>
      <c r="F57" s="65">
        <f>IFERROR(SUMIFS('Trading History'!$R$4:$R1007, 'Trading History'!$O$4:$O1007, CONCAT("&gt;", $A57)), 0)</f>
        <v/>
      </c>
      <c r="G57" s="61" t="n"/>
      <c r="H57" s="67" t="inlineStr">
        <is>
          <t>LT Units</t>
        </is>
      </c>
      <c r="I57" s="65">
        <f>SUMIFS('Trading History'!$V$4:$V1007, 'Trading History'!$S$4:$S1007, CONCAT("&gt;", $A57))</f>
        <v/>
      </c>
      <c r="J57" s="61" t="n"/>
      <c r="K57" s="68" t="inlineStr">
        <is>
          <t>Units</t>
        </is>
      </c>
      <c r="L57" s="65">
        <f>SUMIFS('Trading History'!$AB$4:$AB1007, 'Trading History'!$Y$4:$Y1007,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70" t="inlineStr">
        <is>
          <t>Avg %</t>
        </is>
      </c>
      <c r="C58" s="59">
        <f>IFERROR(Index!C59/(Index!C57*Index!$C$2), 0)</f>
        <v/>
      </c>
      <c r="D58" s="61" t="n"/>
      <c r="E58" s="71" t="inlineStr">
        <is>
          <t>ST Avg %</t>
        </is>
      </c>
      <c r="F58" s="59">
        <f>IFERROR(Index!F59/(Index!F57*Index!$C$2), 0)</f>
        <v/>
      </c>
      <c r="G58" s="61" t="n"/>
      <c r="H58" s="72" t="inlineStr">
        <is>
          <t>LT Avg %</t>
        </is>
      </c>
      <c r="I58" s="59">
        <f>IFERROR(Index!I59/(Index!I57*Index!$C$2), 0)</f>
        <v/>
      </c>
      <c r="J58" s="61" t="n"/>
      <c r="K58" s="73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70" t="inlineStr">
        <is>
          <t>Gain</t>
        </is>
      </c>
      <c r="C59" s="74">
        <f>SUMIFS('Trading History'!$L$4:$L1007, 'Trading History'!$K$4:$K1007, CONCAT("&gt;", $A57))</f>
        <v/>
      </c>
      <c r="D59" s="61" t="n"/>
      <c r="E59" s="71" t="inlineStr">
        <is>
          <t>ST Gain</t>
        </is>
      </c>
      <c r="F59" s="74">
        <f>SUMIFS('Trading History'!$P$4:$P1007, 'Trading History'!$O$4:$O1007, CONCAT("&gt;", $A57))</f>
        <v/>
      </c>
      <c r="G59" s="61" t="n"/>
      <c r="H59" s="72" t="inlineStr">
        <is>
          <t>LT Gain</t>
        </is>
      </c>
      <c r="I59" s="74">
        <f>SUMIFS('Trading History'!$T$4:$T1007, 'Trading History'!$S$4:$S1007, CONCAT("&gt;", $A57))</f>
        <v/>
      </c>
      <c r="J59" s="61" t="n"/>
      <c r="K59" s="73" t="inlineStr">
        <is>
          <t>Gain</t>
        </is>
      </c>
      <c r="L59" s="74">
        <f>SUMIFS('Trading History'!$Z$4:$Z1007, 'Trading History'!$Y$4:$Y1007,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70" t="inlineStr">
        <is>
          <t>Invested</t>
        </is>
      </c>
      <c r="C60" s="74">
        <f>Index!C61-Index!C59</f>
        <v/>
      </c>
      <c r="D60" s="61" t="n"/>
      <c r="E60" s="71" t="inlineStr">
        <is>
          <t>ST Invested</t>
        </is>
      </c>
      <c r="F60" s="74">
        <f>Index!F61-Index!F59</f>
        <v/>
      </c>
      <c r="G60" s="61" t="n"/>
      <c r="H60" s="72" t="inlineStr">
        <is>
          <t>LT Invested</t>
        </is>
      </c>
      <c r="I60" s="74">
        <f>Index!I61-Index!I59</f>
        <v/>
      </c>
      <c r="J60" s="61" t="n"/>
      <c r="K60" s="73" t="inlineStr">
        <is>
          <t>Invested</t>
        </is>
      </c>
      <c r="L60" s="74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70" t="inlineStr">
        <is>
          <t>Gross</t>
        </is>
      </c>
      <c r="C61" s="74">
        <f>SUMIFS('Trading History'!$M$4:$M1007, 'Trading History'!$K$4:$K1007, CONCAT("&gt;", $A57))</f>
        <v/>
      </c>
      <c r="D61" s="61" t="n"/>
      <c r="E61" s="71" t="inlineStr">
        <is>
          <t>ST Gross</t>
        </is>
      </c>
      <c r="F61" s="74">
        <f>SUMIFS('Trading History'!$Q$4:$Q1007, 'Trading History'!$O$4:$O1007, CONCAT("&gt;", $A57))</f>
        <v/>
      </c>
      <c r="G61" s="61" t="n"/>
      <c r="H61" s="72" t="inlineStr">
        <is>
          <t>LT Gross</t>
        </is>
      </c>
      <c r="I61" s="74">
        <f>SUMIFS('Trading History'!$U$4:$U1007, 'Trading History'!$S$4:$S1007, CONCAT("&gt;", $A57))</f>
        <v/>
      </c>
      <c r="J61" s="61" t="n"/>
      <c r="K61" s="73" t="inlineStr">
        <is>
          <t>Gross</t>
        </is>
      </c>
      <c r="L61" s="74">
        <f>SUMIFS('Trading History'!$AA$4:$AA1007, 'Trading History'!$Y$4:$Y1007,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63" t="n">
        <v>0.15</v>
      </c>
      <c r="B64" s="64" t="inlineStr">
        <is>
          <t>Units</t>
        </is>
      </c>
      <c r="C64" s="65">
        <f>SUMIFS('Trading History'!$N$4:$N1007, 'Trading History'!$K$4:$K1007, CONCAT("&gt;", $A64))</f>
        <v/>
      </c>
      <c r="D64" s="61" t="n"/>
      <c r="E64" s="66" t="inlineStr">
        <is>
          <t>ST Units</t>
        </is>
      </c>
      <c r="F64" s="65">
        <f>IFERROR(SUMIFS('Trading History'!$R$4:$R1007, 'Trading History'!$O$4:$O1007, CONCAT("&gt;", $A64)), 0)</f>
        <v/>
      </c>
      <c r="G64" s="61" t="n"/>
      <c r="H64" s="67" t="inlineStr">
        <is>
          <t>LT Units</t>
        </is>
      </c>
      <c r="I64" s="65">
        <f>SUMIFS('Trading History'!$V$4:$V1007, 'Trading History'!$S$4:$S1007, CONCAT("&gt;", $A64))</f>
        <v/>
      </c>
      <c r="J64" s="61" t="n"/>
      <c r="K64" s="68" t="inlineStr">
        <is>
          <t>Units</t>
        </is>
      </c>
      <c r="L64" s="65">
        <f>SUMIFS('Trading History'!$AB$4:$AB1007, 'Trading History'!$Y$4:$Y1007,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70" t="inlineStr">
        <is>
          <t>Avg %</t>
        </is>
      </c>
      <c r="C65" s="59">
        <f>IFERROR(Index!C66/(Index!C64*Index!$C$2), 0)</f>
        <v/>
      </c>
      <c r="D65" s="61" t="n"/>
      <c r="E65" s="71" t="inlineStr">
        <is>
          <t>ST Avg %</t>
        </is>
      </c>
      <c r="F65" s="59">
        <f>IFERROR(Index!F66/(Index!F64*Index!$C$2), 0)</f>
        <v/>
      </c>
      <c r="G65" s="61" t="n"/>
      <c r="H65" s="72" t="inlineStr">
        <is>
          <t>LT Avg %</t>
        </is>
      </c>
      <c r="I65" s="59">
        <f>IFERROR(Index!I66/(Index!I64*Index!$C$2), 0)</f>
        <v/>
      </c>
      <c r="J65" s="61" t="n"/>
      <c r="K65" s="73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70" t="inlineStr">
        <is>
          <t>Gain</t>
        </is>
      </c>
      <c r="C66" s="74">
        <f>SUMIFS('Trading History'!$L$4:$L1007, 'Trading History'!$K$4:$K1007, CONCAT("&gt;", $A64))</f>
        <v/>
      </c>
      <c r="D66" s="61" t="n"/>
      <c r="E66" s="71" t="inlineStr">
        <is>
          <t>ST Gain</t>
        </is>
      </c>
      <c r="F66" s="74">
        <f>SUMIFS('Trading History'!$P$4:$P1007, 'Trading History'!$O$4:$O1007, CONCAT("&gt;", $A64))</f>
        <v/>
      </c>
      <c r="G66" s="61" t="n"/>
      <c r="H66" s="72" t="inlineStr">
        <is>
          <t>LT Gain</t>
        </is>
      </c>
      <c r="I66" s="74">
        <f>SUMIFS('Trading History'!$T$4:$T1007, 'Trading History'!$S$4:$S1007, CONCAT("&gt;", $A64))</f>
        <v/>
      </c>
      <c r="J66" s="61" t="n"/>
      <c r="K66" s="73" t="inlineStr">
        <is>
          <t>Gain</t>
        </is>
      </c>
      <c r="L66" s="74">
        <f>SUMIFS('Trading History'!$Z$4:$Z1007, 'Trading History'!$Y$4:$Y1007,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70" t="inlineStr">
        <is>
          <t>Invested</t>
        </is>
      </c>
      <c r="C67" s="74">
        <f>Index!C68-Index!C66</f>
        <v/>
      </c>
      <c r="D67" s="61" t="n"/>
      <c r="E67" s="71" t="inlineStr">
        <is>
          <t>ST Invested</t>
        </is>
      </c>
      <c r="F67" s="74">
        <f>Index!F68-Index!F66</f>
        <v/>
      </c>
      <c r="G67" s="61" t="n"/>
      <c r="H67" s="72" t="inlineStr">
        <is>
          <t>LT Invested</t>
        </is>
      </c>
      <c r="I67" s="74">
        <f>Index!I68-Index!I66</f>
        <v/>
      </c>
      <c r="J67" s="61" t="n"/>
      <c r="K67" s="73" t="inlineStr">
        <is>
          <t>Invested</t>
        </is>
      </c>
      <c r="L67" s="74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70" t="inlineStr">
        <is>
          <t>Gross</t>
        </is>
      </c>
      <c r="C68" s="74">
        <f>SUMIFS('Trading History'!$M$4:$M1007, 'Trading History'!$K$4:$K1007, CONCAT("&gt;", $A64))</f>
        <v/>
      </c>
      <c r="D68" s="61" t="n"/>
      <c r="E68" s="71" t="inlineStr">
        <is>
          <t>ST Gross</t>
        </is>
      </c>
      <c r="F68" s="74">
        <f>SUMIFS('Trading History'!$Q$4:$Q1007, 'Trading History'!$O$4:$O1007, CONCAT("&gt;", $A64))</f>
        <v/>
      </c>
      <c r="G68" s="61" t="n"/>
      <c r="H68" s="72" t="inlineStr">
        <is>
          <t>LT Gross</t>
        </is>
      </c>
      <c r="I68" s="74">
        <f>SUMIFS('Trading History'!$U$4:$U1007, 'Trading History'!$S$4:$S1007, CONCAT("&gt;", $A64))</f>
        <v/>
      </c>
      <c r="J68" s="61" t="n"/>
      <c r="K68" s="73" t="inlineStr">
        <is>
          <t>Gross</t>
        </is>
      </c>
      <c r="L68" s="74">
        <f>SUMIFS('Trading History'!$AA$4:$AA1007, 'Trading History'!$Y$4:$Y1007,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63" t="n">
        <v>0.1</v>
      </c>
      <c r="B71" s="64" t="inlineStr">
        <is>
          <t>Units</t>
        </is>
      </c>
      <c r="C71" s="65">
        <f>SUMIFS('Trading History'!$N$4:$N1007, 'Trading History'!$K$4:$K1007, CONCAT("&gt;", $A71))</f>
        <v/>
      </c>
      <c r="D71" s="61" t="n"/>
      <c r="E71" s="66" t="inlineStr">
        <is>
          <t>ST Units</t>
        </is>
      </c>
      <c r="F71" s="65">
        <f>IFERROR(SUMIFS('Trading History'!$R$4:$R1007, 'Trading History'!$O$4:$O1007, CONCAT("&gt;", $A71)), 0)</f>
        <v/>
      </c>
      <c r="G71" s="61" t="n"/>
      <c r="H71" s="67" t="inlineStr">
        <is>
          <t>LT Units</t>
        </is>
      </c>
      <c r="I71" s="65">
        <f>SUMIFS('Trading History'!$V$4:$V1007, 'Trading History'!$S$4:$S1007, CONCAT("&gt;", $A71))</f>
        <v/>
      </c>
      <c r="J71" s="61" t="n"/>
      <c r="K71" s="68" t="inlineStr">
        <is>
          <t>Units</t>
        </is>
      </c>
      <c r="L71" s="65">
        <f>SUMIFS('Trading History'!$AB$4:$AB1007, 'Trading History'!$Y$4:$Y1007,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70" t="inlineStr">
        <is>
          <t>Avg %</t>
        </is>
      </c>
      <c r="C72" s="59">
        <f>IFERROR(Index!C73/(Index!C71*Index!$C$2), 0)</f>
        <v/>
      </c>
      <c r="D72" s="61" t="n"/>
      <c r="E72" s="71" t="inlineStr">
        <is>
          <t>ST Avg %</t>
        </is>
      </c>
      <c r="F72" s="59">
        <f>IFERROR(Index!F73/(Index!F71*Index!$C$2), 0)</f>
        <v/>
      </c>
      <c r="G72" s="61" t="n"/>
      <c r="H72" s="72" t="inlineStr">
        <is>
          <t>LT Avg %</t>
        </is>
      </c>
      <c r="I72" s="59">
        <f>IFERROR(Index!I73/(Index!I71*Index!$C$2), 0)</f>
        <v/>
      </c>
      <c r="J72" s="61" t="n"/>
      <c r="K72" s="73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70" t="inlineStr">
        <is>
          <t>Gain</t>
        </is>
      </c>
      <c r="C73" s="74">
        <f>SUMIFS('Trading History'!$L$4:$L1007, 'Trading History'!$K$4:$K1007, CONCAT("&gt;", $A71))</f>
        <v/>
      </c>
      <c r="D73" s="61" t="n"/>
      <c r="E73" s="71" t="inlineStr">
        <is>
          <t>ST Gain</t>
        </is>
      </c>
      <c r="F73" s="74">
        <f>SUMIFS('Trading History'!$P$4:$P1007, 'Trading History'!$O$4:$O1007, CONCAT("&gt;", $A71))</f>
        <v/>
      </c>
      <c r="G73" s="61" t="n"/>
      <c r="H73" s="72" t="inlineStr">
        <is>
          <t>LT Gain</t>
        </is>
      </c>
      <c r="I73" s="74">
        <f>SUMIFS('Trading History'!$T$4:$T1007, 'Trading History'!$S$4:$S1007, CONCAT("&gt;", $A71))</f>
        <v/>
      </c>
      <c r="J73" s="61" t="n"/>
      <c r="K73" s="73" t="inlineStr">
        <is>
          <t>Gain</t>
        </is>
      </c>
      <c r="L73" s="74">
        <f>SUMIFS('Trading History'!$Z$4:$Z1007, 'Trading History'!$Y$4:$Y1007,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70" t="inlineStr">
        <is>
          <t>Invested</t>
        </is>
      </c>
      <c r="C74" s="74">
        <f>Index!C75-Index!C73</f>
        <v/>
      </c>
      <c r="D74" s="61" t="n"/>
      <c r="E74" s="71" t="inlineStr">
        <is>
          <t>ST Invested</t>
        </is>
      </c>
      <c r="F74" s="74">
        <f>Index!F75-Index!F73</f>
        <v/>
      </c>
      <c r="G74" s="61" t="n"/>
      <c r="H74" s="72" t="inlineStr">
        <is>
          <t>LT Invested</t>
        </is>
      </c>
      <c r="I74" s="74">
        <f>Index!I75-Index!I73</f>
        <v/>
      </c>
      <c r="J74" s="61" t="n"/>
      <c r="K74" s="73" t="inlineStr">
        <is>
          <t>Invested</t>
        </is>
      </c>
      <c r="L74" s="74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70" t="inlineStr">
        <is>
          <t>Gross</t>
        </is>
      </c>
      <c r="C75" s="74">
        <f>SUMIFS('Trading History'!$M$4:$M1007, 'Trading History'!$K$4:$K1007, CONCAT("&gt;", $A71))</f>
        <v/>
      </c>
      <c r="D75" s="61" t="n"/>
      <c r="E75" s="71" t="inlineStr">
        <is>
          <t>ST Gross</t>
        </is>
      </c>
      <c r="F75" s="74">
        <f>SUMIFS('Trading History'!$Q$4:$Q1007, 'Trading History'!$O$4:$O1007, CONCAT("&gt;", $A71))</f>
        <v/>
      </c>
      <c r="G75" s="61" t="n"/>
      <c r="H75" s="72" t="inlineStr">
        <is>
          <t>LT Gross</t>
        </is>
      </c>
      <c r="I75" s="74">
        <f>SUMIFS('Trading History'!$U$4:$U1007, 'Trading History'!$S$4:$S1007, CONCAT("&gt;", $A71))</f>
        <v/>
      </c>
      <c r="J75" s="61" t="n"/>
      <c r="K75" s="73" t="inlineStr">
        <is>
          <t>Gross</t>
        </is>
      </c>
      <c r="L75" s="74">
        <f>SUMIFS('Trading History'!$AA$4:$AA1007, 'Trading History'!$Y$4:$Y1007,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63" t="n">
        <v>0.05</v>
      </c>
      <c r="B78" s="64" t="inlineStr">
        <is>
          <t>Units</t>
        </is>
      </c>
      <c r="C78" s="65">
        <f>SUMIFS('Trading History'!$N$4:$N1007, 'Trading History'!$K$4:$K1007, CONCAT("&gt;", $A78))</f>
        <v/>
      </c>
      <c r="D78" s="61" t="n"/>
      <c r="E78" s="66" t="inlineStr">
        <is>
          <t>ST Units</t>
        </is>
      </c>
      <c r="F78" s="65">
        <f>IFERROR(SUMIFS('Trading History'!$R$4:$R1007, 'Trading History'!$O$4:$O1007, CONCAT("&gt;", $A78)), 0)</f>
        <v/>
      </c>
      <c r="G78" s="61" t="n"/>
      <c r="H78" s="67" t="inlineStr">
        <is>
          <t>LT Units</t>
        </is>
      </c>
      <c r="I78" s="65">
        <f>SUMIFS('Trading History'!$V$4:$V1007, 'Trading History'!$S$4:$S1007, CONCAT("&gt;", $A78))</f>
        <v/>
      </c>
      <c r="J78" s="61" t="n"/>
      <c r="K78" s="68" t="inlineStr">
        <is>
          <t>Units</t>
        </is>
      </c>
      <c r="L78" s="65">
        <f>SUMIFS('Trading History'!$AB$4:$AB1007, 'Trading History'!$Y$4:$Y1007,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70" t="inlineStr">
        <is>
          <t>Avg %</t>
        </is>
      </c>
      <c r="C79" s="59">
        <f>IFERROR(Index!C80/(Index!C78*Index!$C$2), 0)</f>
        <v/>
      </c>
      <c r="D79" s="61" t="n"/>
      <c r="E79" s="71" t="inlineStr">
        <is>
          <t>ST Avg %</t>
        </is>
      </c>
      <c r="F79" s="59">
        <f>IFERROR(Index!F80/(Index!F78*Index!$C$2), 0)</f>
        <v/>
      </c>
      <c r="G79" s="61" t="n"/>
      <c r="H79" s="72" t="inlineStr">
        <is>
          <t>LT Avg %</t>
        </is>
      </c>
      <c r="I79" s="59">
        <f>IFERROR(Index!I80/(Index!I78*Index!$C$2), 0)</f>
        <v/>
      </c>
      <c r="J79" s="61" t="n"/>
      <c r="K79" s="73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70" t="inlineStr">
        <is>
          <t>Gain</t>
        </is>
      </c>
      <c r="C80" s="74">
        <f>SUMIFS('Trading History'!$L$4:$L1007, 'Trading History'!$K$4:$K1007, CONCAT("&gt;", $A78))</f>
        <v/>
      </c>
      <c r="D80" s="61" t="n"/>
      <c r="E80" s="71" t="inlineStr">
        <is>
          <t>ST Gain</t>
        </is>
      </c>
      <c r="F80" s="74">
        <f>SUMIFS('Trading History'!$P$4:$P1007, 'Trading History'!$O$4:$O1007, CONCAT("&gt;", $A78))</f>
        <v/>
      </c>
      <c r="G80" s="61" t="n"/>
      <c r="H80" s="72" t="inlineStr">
        <is>
          <t>LT Gain</t>
        </is>
      </c>
      <c r="I80" s="74">
        <f>SUMIFS('Trading History'!$T$4:$T1007, 'Trading History'!$S$4:$S1007, CONCAT("&gt;", $A78))</f>
        <v/>
      </c>
      <c r="J80" s="61" t="n"/>
      <c r="K80" s="73" t="inlineStr">
        <is>
          <t>Gain</t>
        </is>
      </c>
      <c r="L80" s="74">
        <f>SUMIFS('Trading History'!$Z$4:$Z1007, 'Trading History'!$Y$4:$Y1007,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70" t="inlineStr">
        <is>
          <t>Invested</t>
        </is>
      </c>
      <c r="C81" s="74">
        <f>Index!C82-Index!C80</f>
        <v/>
      </c>
      <c r="D81" s="61" t="n"/>
      <c r="E81" s="71" t="inlineStr">
        <is>
          <t>ST Invested</t>
        </is>
      </c>
      <c r="F81" s="74">
        <f>Index!F82-Index!F80</f>
        <v/>
      </c>
      <c r="G81" s="61" t="n"/>
      <c r="H81" s="72" t="inlineStr">
        <is>
          <t>LT Invested</t>
        </is>
      </c>
      <c r="I81" s="74">
        <f>Index!I82-Index!I80</f>
        <v/>
      </c>
      <c r="J81" s="61" t="n"/>
      <c r="K81" s="73" t="inlineStr">
        <is>
          <t>Invested</t>
        </is>
      </c>
      <c r="L81" s="74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70" t="inlineStr">
        <is>
          <t>Gross</t>
        </is>
      </c>
      <c r="C82" s="74">
        <f>SUMIFS('Trading History'!$M$4:$M1007, 'Trading History'!$K$4:$K1007, CONCAT("&gt;", $A78))</f>
        <v/>
      </c>
      <c r="D82" s="61" t="n"/>
      <c r="E82" s="71" t="inlineStr">
        <is>
          <t>ST Gross</t>
        </is>
      </c>
      <c r="F82" s="74">
        <f>SUMIFS('Trading History'!$Q$4:$Q1007, 'Trading History'!$O$4:$O1007, CONCAT("&gt;", $A78))</f>
        <v/>
      </c>
      <c r="G82" s="61" t="n"/>
      <c r="H82" s="72" t="inlineStr">
        <is>
          <t>LT Gross</t>
        </is>
      </c>
      <c r="I82" s="74">
        <f>SUMIFS('Trading History'!$U$4:$U1007, 'Trading History'!$S$4:$S1007, CONCAT("&gt;", $A78))</f>
        <v/>
      </c>
      <c r="J82" s="61" t="n"/>
      <c r="K82" s="73" t="inlineStr">
        <is>
          <t>Gross</t>
        </is>
      </c>
      <c r="L82" s="74">
        <f>SUMIFS('Trading History'!$AA$4:$AA1007, 'Trading History'!$Y$4:$Y1007,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63" t="n">
        <v>0</v>
      </c>
      <c r="B85" s="64" t="inlineStr">
        <is>
          <t>Units</t>
        </is>
      </c>
      <c r="C85" s="65">
        <f>SUMIFS('Trading History'!$N$4:$N1007, 'Trading History'!$K$4:$K1007, CONCAT("&gt;", $A85))</f>
        <v/>
      </c>
      <c r="D85" s="61" t="n"/>
      <c r="E85" s="66" t="inlineStr">
        <is>
          <t>ST Units</t>
        </is>
      </c>
      <c r="F85" s="65">
        <f>IFERROR(SUMIFS('Trading History'!$R$4:$R1007, 'Trading History'!$O$4:$O1007, CONCAT("&gt;", $A85)), 0)</f>
        <v/>
      </c>
      <c r="G85" s="61" t="n"/>
      <c r="H85" s="67" t="inlineStr">
        <is>
          <t>LT Units</t>
        </is>
      </c>
      <c r="I85" s="65">
        <f>SUMIFS('Trading History'!$V$4:$V1007, 'Trading History'!$S$4:$S1007, CONCAT("&gt;", $A85))</f>
        <v/>
      </c>
      <c r="J85" s="61" t="n"/>
      <c r="K85" s="68" t="inlineStr">
        <is>
          <t>Units</t>
        </is>
      </c>
      <c r="L85" s="65">
        <f>SUMIFS('Trading History'!$AB$4:$AB1007, 'Trading History'!$Y$4:$Y1007,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70" t="inlineStr">
        <is>
          <t>Avg %</t>
        </is>
      </c>
      <c r="C86" s="59">
        <f>IFERROR(Index!C87/(Index!C85*Index!$C$2), 0)</f>
        <v/>
      </c>
      <c r="D86" s="61" t="n"/>
      <c r="E86" s="71" t="inlineStr">
        <is>
          <t>ST Avg %</t>
        </is>
      </c>
      <c r="F86" s="59">
        <f>IFERROR(Index!F87/(Index!F85*Index!$C$2), 0)</f>
        <v/>
      </c>
      <c r="G86" s="61" t="n"/>
      <c r="H86" s="72" t="inlineStr">
        <is>
          <t>LT Avg %</t>
        </is>
      </c>
      <c r="I86" s="59">
        <f>IFERROR(Index!I87/(Index!I85*Index!$C$2), 0)</f>
        <v/>
      </c>
      <c r="J86" s="61" t="n"/>
      <c r="K86" s="73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70" t="inlineStr">
        <is>
          <t>Gain</t>
        </is>
      </c>
      <c r="C87" s="74">
        <f>SUMIFS('Trading History'!$L$4:$L1007, 'Trading History'!$K$4:$K1007, CONCAT("&gt;", $A85))</f>
        <v/>
      </c>
      <c r="D87" s="61" t="n"/>
      <c r="E87" s="71" t="inlineStr">
        <is>
          <t>ST Gain</t>
        </is>
      </c>
      <c r="F87" s="74">
        <f>SUMIFS('Trading History'!$P$4:$P1007, 'Trading History'!$O$4:$O1007, CONCAT("&gt;", $A85))</f>
        <v/>
      </c>
      <c r="G87" s="61" t="n"/>
      <c r="H87" s="72" t="inlineStr">
        <is>
          <t>LT Gain</t>
        </is>
      </c>
      <c r="I87" s="74">
        <f>SUMIFS('Trading History'!$T$4:$T1007, 'Trading History'!$S$4:$S1007, CONCAT("&gt;", $A85))</f>
        <v/>
      </c>
      <c r="J87" s="61" t="n"/>
      <c r="K87" s="73" t="inlineStr">
        <is>
          <t>Gain</t>
        </is>
      </c>
      <c r="L87" s="74">
        <f>SUMIFS('Trading History'!$Z$4:$Z1007, 'Trading History'!$Y$4:$Y1007,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70" t="inlineStr">
        <is>
          <t>Invested</t>
        </is>
      </c>
      <c r="C88" s="74">
        <f>Index!C89-Index!C87</f>
        <v/>
      </c>
      <c r="D88" s="61" t="n"/>
      <c r="E88" s="71" t="inlineStr">
        <is>
          <t>ST Invested</t>
        </is>
      </c>
      <c r="F88" s="74">
        <f>Index!F89-Index!F87</f>
        <v/>
      </c>
      <c r="G88" s="61" t="n"/>
      <c r="H88" s="72" t="inlineStr">
        <is>
          <t>LT Invested</t>
        </is>
      </c>
      <c r="I88" s="74">
        <f>Index!I89-Index!I87</f>
        <v/>
      </c>
      <c r="J88" s="61" t="n"/>
      <c r="K88" s="73" t="inlineStr">
        <is>
          <t>Invested</t>
        </is>
      </c>
      <c r="L88" s="74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70" t="inlineStr">
        <is>
          <t>Gross</t>
        </is>
      </c>
      <c r="C89" s="74">
        <f>SUMIFS('Trading History'!$M$4:$M1007, 'Trading History'!$K$4:$K1007, CONCAT("&gt;", $A85))</f>
        <v/>
      </c>
      <c r="D89" s="61" t="n"/>
      <c r="E89" s="71" t="inlineStr">
        <is>
          <t>ST Gross</t>
        </is>
      </c>
      <c r="F89" s="74">
        <f>SUMIFS('Trading History'!$Q$4:$Q1007, 'Trading History'!$O$4:$O1007, CONCAT("&gt;", $A85))</f>
        <v/>
      </c>
      <c r="G89" s="61" t="n"/>
      <c r="H89" s="72" t="inlineStr">
        <is>
          <t>LT Gross</t>
        </is>
      </c>
      <c r="I89" s="74">
        <f>SUMIFS('Trading History'!$U$4:$U1007, 'Trading History'!$S$4:$S1007, CONCAT("&gt;", $A85))</f>
        <v/>
      </c>
      <c r="J89" s="61" t="n"/>
      <c r="K89" s="73" t="inlineStr">
        <is>
          <t>Gross</t>
        </is>
      </c>
      <c r="L89" s="74">
        <f>SUMIFS('Trading History'!$AA$4:$AA1007, 'Trading History'!$Y$4:$Y1007,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2026-02-07T07:12:24Z</dcterms:created>
  <dcterms:modified xmlns:dcterms="http://purl.org/dc/terms/" xmlns:xsi="http://www.w3.org/2001/XMLSchema-instance" xsi:type="dcterms:W3CDTF">2026-02-07T07:12:24Z</dcterms:modified>
</cp:coreProperties>
</file>