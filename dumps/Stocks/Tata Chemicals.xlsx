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125672E_0624_4BBC_A9C2_E939878D0EAB_.wvu.FilterData" localSheetId="0" hidden="1">'Trading History'!$A$4:$AO$42</definedName>
    <definedName name="_xlnm._FilterDatabase" localSheetId="0" hidden="1">'Trading History'!$A$4:$AO$42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6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710</v>
      </c>
      <c r="F5" t="n">
        <v>3575.15</v>
      </c>
      <c r="G5" t="inlineStr">
        <is>
          <t>CN#252611665409</t>
        </is>
      </c>
      <c r="H5" t="n">
        <v>3.55</v>
      </c>
      <c r="I5" t="n">
        <v>21.6</v>
      </c>
      <c r="J5">
        <f>Index!$C$2</f>
        <v/>
      </c>
    </row>
    <row r="6">
      <c r="A6" s="95" t="n">
        <v>46049</v>
      </c>
      <c r="B6" s="0" t="inlineStr">
        <is>
          <t>NSE</t>
        </is>
      </c>
      <c r="C6" s="0" t="inlineStr">
        <is>
          <t>Buy</t>
        </is>
      </c>
      <c r="D6" s="0" t="n">
        <v>7</v>
      </c>
      <c r="E6" s="0" t="n">
        <v>713.7</v>
      </c>
      <c r="F6" s="0" t="n">
        <v>5031.32</v>
      </c>
      <c r="G6" s="0" t="inlineStr">
        <is>
          <t>~</t>
        </is>
      </c>
      <c r="H6" s="0" t="n">
        <v>5</v>
      </c>
      <c r="I6" s="0" t="n">
        <v>30.42</v>
      </c>
    </row>
    <row r="7">
      <c r="A7" s="95" t="n">
        <v>46049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713.95</v>
      </c>
      <c r="F7" s="0" t="n">
        <v>2157.04</v>
      </c>
      <c r="G7" s="0" t="inlineStr">
        <is>
          <t>~</t>
        </is>
      </c>
      <c r="H7" s="0" t="n">
        <v>2.14</v>
      </c>
      <c r="I7" s="0" t="n">
        <v>13.05</v>
      </c>
    </row>
    <row r="8">
      <c r="A8" s="95" t="n">
        <v>46027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755.25</v>
      </c>
      <c r="F8" s="0" t="n">
        <v>3803.04</v>
      </c>
      <c r="G8" s="0" t="inlineStr">
        <is>
          <t>~</t>
        </is>
      </c>
      <c r="H8" s="0" t="n">
        <v>3.77</v>
      </c>
      <c r="I8" s="0" t="n">
        <v>23.02</v>
      </c>
    </row>
    <row r="9">
      <c r="A9" s="95" t="n">
        <v>46017</v>
      </c>
      <c r="B9" s="0" t="inlineStr">
        <is>
          <t>BSE</t>
        </is>
      </c>
      <c r="C9" s="0" t="inlineStr">
        <is>
          <t>Buy</t>
        </is>
      </c>
      <c r="D9" s="0" t="n">
        <v>5</v>
      </c>
      <c r="E9" s="0" t="n">
        <v>768.05</v>
      </c>
      <c r="F9" s="0" t="n">
        <v>3867.5</v>
      </c>
      <c r="G9" s="0" t="inlineStr">
        <is>
          <t>~</t>
        </is>
      </c>
      <c r="H9" s="0" t="n">
        <v>3.85</v>
      </c>
      <c r="I9" s="0" t="n">
        <v>23.4</v>
      </c>
    </row>
    <row r="10">
      <c r="A10" s="95" t="n">
        <v>46015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770.85</v>
      </c>
      <c r="F10" s="0" t="n">
        <v>3881.52</v>
      </c>
      <c r="G10" s="0" t="inlineStr">
        <is>
          <t>~</t>
        </is>
      </c>
      <c r="H10" s="0" t="n">
        <v>3.83</v>
      </c>
      <c r="I10" s="0" t="n">
        <v>23.44</v>
      </c>
    </row>
    <row r="11">
      <c r="A11" s="95" t="n">
        <v>46014</v>
      </c>
      <c r="B11" s="0" t="inlineStr">
        <is>
          <t>NSE</t>
        </is>
      </c>
      <c r="C11" s="0" t="inlineStr">
        <is>
          <t>Buy</t>
        </is>
      </c>
      <c r="D11" s="0" t="n">
        <v>4</v>
      </c>
      <c r="E11" s="0" t="n">
        <v>774.45</v>
      </c>
      <c r="F11" s="0" t="n">
        <v>3119.72</v>
      </c>
      <c r="G11" s="0" t="inlineStr">
        <is>
          <t>~</t>
        </is>
      </c>
      <c r="H11" s="0" t="n">
        <v>3.09</v>
      </c>
      <c r="I11" s="0" t="n">
        <v>18.83</v>
      </c>
    </row>
    <row r="12">
      <c r="A12" s="95" t="n">
        <v>46014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774.45</v>
      </c>
      <c r="F12" s="0" t="n">
        <v>779.9299999999999</v>
      </c>
      <c r="G12" s="0" t="inlineStr">
        <is>
          <t>~</t>
        </is>
      </c>
      <c r="H12" s="0" t="n">
        <v>0.77</v>
      </c>
      <c r="I12" s="0" t="n">
        <v>4.71</v>
      </c>
    </row>
    <row r="13">
      <c r="A13" s="95" t="n">
        <v>46009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747</v>
      </c>
      <c r="F13" s="0" t="n">
        <v>3761.52</v>
      </c>
      <c r="G13" s="0" t="inlineStr">
        <is>
          <t>~</t>
        </is>
      </c>
      <c r="H13" s="0" t="n">
        <v>3.75</v>
      </c>
      <c r="I13" s="0" t="n">
        <v>22.77</v>
      </c>
    </row>
    <row r="14">
      <c r="A14" s="95" t="n">
        <v>46007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764.2</v>
      </c>
      <c r="F14" s="0" t="n">
        <v>769.59</v>
      </c>
      <c r="G14" s="0" t="inlineStr">
        <is>
          <t>~</t>
        </is>
      </c>
      <c r="H14" s="0" t="n">
        <v>0.76</v>
      </c>
      <c r="I14" s="0" t="n">
        <v>4.63</v>
      </c>
    </row>
    <row r="15">
      <c r="A15" s="95" t="n">
        <v>46007</v>
      </c>
      <c r="B15" s="0" t="inlineStr">
        <is>
          <t>NSE</t>
        </is>
      </c>
      <c r="C15" s="0" t="inlineStr">
        <is>
          <t>Buy</t>
        </is>
      </c>
      <c r="D15" s="0" t="n">
        <v>4</v>
      </c>
      <c r="E15" s="0" t="n">
        <v>764.25</v>
      </c>
      <c r="F15" s="0" t="n">
        <v>3078.68</v>
      </c>
      <c r="G15" s="0" t="inlineStr">
        <is>
          <t>~</t>
        </is>
      </c>
      <c r="H15" s="0" t="n">
        <v>3.05</v>
      </c>
      <c r="I15" s="0" t="n">
        <v>18.63</v>
      </c>
    </row>
    <row r="16">
      <c r="A16" s="95" t="n">
        <v>46002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756</v>
      </c>
      <c r="F16" s="0" t="n">
        <v>761.35</v>
      </c>
      <c r="G16" s="0" t="inlineStr">
        <is>
          <t>~</t>
        </is>
      </c>
      <c r="H16" s="0" t="n">
        <v>0.76</v>
      </c>
      <c r="I16" s="0" t="n">
        <v>4.59</v>
      </c>
    </row>
    <row r="17">
      <c r="A17" s="95" t="n">
        <v>46002</v>
      </c>
      <c r="B17" s="0" t="inlineStr">
        <is>
          <t>NSE</t>
        </is>
      </c>
      <c r="C17" s="0" t="inlineStr">
        <is>
          <t>Buy</t>
        </is>
      </c>
      <c r="D17" s="0" t="n">
        <v>4</v>
      </c>
      <c r="E17" s="0" t="n">
        <v>756</v>
      </c>
      <c r="F17" s="0" t="n">
        <v>3045.44</v>
      </c>
      <c r="G17" s="0" t="inlineStr">
        <is>
          <t>~</t>
        </is>
      </c>
      <c r="H17" s="0" t="n">
        <v>3.03</v>
      </c>
      <c r="I17" s="0" t="n">
        <v>18.41</v>
      </c>
    </row>
    <row r="18">
      <c r="A18" s="95" t="n">
        <v>46000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755.25</v>
      </c>
      <c r="F18" s="0" t="n">
        <v>3803.04</v>
      </c>
      <c r="G18" s="0" t="inlineStr">
        <is>
          <t>~</t>
        </is>
      </c>
      <c r="H18" s="0" t="n">
        <v>3.77</v>
      </c>
      <c r="I18" s="0" t="n">
        <v>23.02</v>
      </c>
    </row>
    <row r="19">
      <c r="A19" s="95" t="n">
        <v>45993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790.8</v>
      </c>
      <c r="F19" s="0" t="n">
        <v>796.41</v>
      </c>
      <c r="G19" s="0" t="inlineStr">
        <is>
          <t>~</t>
        </is>
      </c>
      <c r="H19" s="0" t="n">
        <v>0.8</v>
      </c>
      <c r="I19" s="0" t="n">
        <v>4.81</v>
      </c>
    </row>
    <row r="20">
      <c r="A20" s="95" t="n">
        <v>45993</v>
      </c>
      <c r="B20" s="0" t="inlineStr">
        <is>
          <t>NSE</t>
        </is>
      </c>
      <c r="C20" s="0" t="inlineStr">
        <is>
          <t>Buy</t>
        </is>
      </c>
      <c r="D20" s="0" t="n">
        <v>4</v>
      </c>
      <c r="E20" s="0" t="n">
        <v>790.8</v>
      </c>
      <c r="F20" s="0" t="n">
        <v>3185.6</v>
      </c>
      <c r="G20" s="0" t="inlineStr">
        <is>
          <t>~</t>
        </is>
      </c>
      <c r="H20" s="0" t="n">
        <v>3.18</v>
      </c>
      <c r="I20" s="0" t="n">
        <v>19.22</v>
      </c>
    </row>
    <row r="21">
      <c r="A21" s="95" t="n">
        <v>45989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804</v>
      </c>
      <c r="F21" s="0" t="n">
        <v>4048.49</v>
      </c>
      <c r="G21" s="0" t="inlineStr">
        <is>
          <t>~</t>
        </is>
      </c>
      <c r="H21" s="0" t="n">
        <v>4.01</v>
      </c>
      <c r="I21" s="0" t="n">
        <v>24.48</v>
      </c>
    </row>
    <row r="22">
      <c r="A22" s="95" t="n">
        <v>45988</v>
      </c>
      <c r="B22" s="0" t="inlineStr">
        <is>
          <t>BSE</t>
        </is>
      </c>
      <c r="C22" s="0" t="inlineStr">
        <is>
          <t>Buy</t>
        </is>
      </c>
      <c r="D22" s="0" t="n">
        <v>5</v>
      </c>
      <c r="E22" s="0" t="n">
        <v>812.9</v>
      </c>
      <c r="F22" s="0" t="n">
        <v>4093.29</v>
      </c>
      <c r="G22" s="0" t="inlineStr">
        <is>
          <t>~</t>
        </is>
      </c>
      <c r="H22" s="0" t="n">
        <v>4.04</v>
      </c>
      <c r="I22" s="0" t="n">
        <v>24.75</v>
      </c>
    </row>
    <row r="23">
      <c r="A23" s="95" t="n">
        <v>45982</v>
      </c>
      <c r="B23" s="0" t="inlineStr">
        <is>
          <t>NSE</t>
        </is>
      </c>
      <c r="C23" s="0" t="inlineStr">
        <is>
          <t>Buy</t>
        </is>
      </c>
      <c r="D23" s="0" t="n">
        <v>5</v>
      </c>
      <c r="E23" s="0" t="n">
        <v>812.45</v>
      </c>
      <c r="F23" s="0" t="n">
        <v>4091.01</v>
      </c>
      <c r="G23" s="0" t="inlineStr">
        <is>
          <t>~</t>
        </is>
      </c>
      <c r="H23" s="0" t="n">
        <v>4.06</v>
      </c>
      <c r="I23" s="0" t="n">
        <v>24.7</v>
      </c>
    </row>
    <row r="24">
      <c r="A24" s="95" t="n">
        <v>45979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830.05</v>
      </c>
      <c r="F24" s="0" t="n">
        <v>835.92</v>
      </c>
      <c r="G24" s="0" t="inlineStr">
        <is>
          <t>~</t>
        </is>
      </c>
      <c r="H24" s="0" t="n">
        <v>0.83</v>
      </c>
      <c r="I24" s="0" t="n">
        <v>5.04</v>
      </c>
    </row>
    <row r="25">
      <c r="A25" s="95" t="n">
        <v>45979</v>
      </c>
      <c r="B25" s="0" t="inlineStr">
        <is>
          <t>NSE</t>
        </is>
      </c>
      <c r="C25" s="0" t="inlineStr">
        <is>
          <t>Buy</t>
        </is>
      </c>
      <c r="D25" s="0" t="n">
        <v>4</v>
      </c>
      <c r="E25" s="0" t="n">
        <v>830.1</v>
      </c>
      <c r="F25" s="0" t="n">
        <v>3343.93</v>
      </c>
      <c r="G25" s="0" t="inlineStr">
        <is>
          <t>~</t>
        </is>
      </c>
      <c r="H25" s="0" t="n">
        <v>3.33</v>
      </c>
      <c r="I25" s="0" t="n">
        <v>20.2</v>
      </c>
    </row>
    <row r="26">
      <c r="A26" s="95" t="n">
        <v>45978</v>
      </c>
      <c r="B26" s="0" t="inlineStr">
        <is>
          <t>BSE</t>
        </is>
      </c>
      <c r="C26" s="0" t="inlineStr">
        <is>
          <t>Buy</t>
        </is>
      </c>
      <c r="D26" s="0" t="n">
        <v>5</v>
      </c>
      <c r="E26" s="0" t="n">
        <v>839</v>
      </c>
      <c r="F26" s="0" t="n">
        <v>4224.8</v>
      </c>
      <c r="G26" s="0" t="inlineStr">
        <is>
          <t>~</t>
        </is>
      </c>
      <c r="H26" s="0" t="n">
        <v>4.22</v>
      </c>
      <c r="I26" s="0" t="n">
        <v>25.58</v>
      </c>
    </row>
    <row r="27">
      <c r="A27" s="95" t="n">
        <v>45975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837.05</v>
      </c>
      <c r="F27" s="0" t="n">
        <v>4214.94</v>
      </c>
      <c r="G27" s="0" t="inlineStr">
        <is>
          <t>~</t>
        </is>
      </c>
      <c r="H27" s="0" t="n">
        <v>4.2</v>
      </c>
      <c r="I27" s="0" t="n">
        <v>25.49</v>
      </c>
    </row>
    <row r="28">
      <c r="A28" s="95" t="n">
        <v>45974</v>
      </c>
      <c r="B28" s="0" t="inlineStr">
        <is>
          <t>NSE</t>
        </is>
      </c>
      <c r="C28" s="0" t="inlineStr">
        <is>
          <t>Buy</t>
        </is>
      </c>
      <c r="D28" s="0" t="n">
        <v>3</v>
      </c>
      <c r="E28" s="0" t="n">
        <v>845.75</v>
      </c>
      <c r="F28" s="0" t="n">
        <v>2555.24</v>
      </c>
      <c r="G28" s="0" t="inlineStr">
        <is>
          <t>~</t>
        </is>
      </c>
      <c r="H28" s="0" t="n">
        <v>2.53</v>
      </c>
      <c r="I28" s="0" t="n">
        <v>15.46</v>
      </c>
    </row>
    <row r="29">
      <c r="A29" s="95" t="n">
        <v>45974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845.75</v>
      </c>
      <c r="F29" s="0" t="n">
        <v>1703.47</v>
      </c>
      <c r="G29" s="0" t="inlineStr">
        <is>
          <t>~</t>
        </is>
      </c>
      <c r="H29" s="0" t="n">
        <v>1.68</v>
      </c>
      <c r="I29" s="0" t="n">
        <v>10.29</v>
      </c>
    </row>
    <row r="30">
      <c r="A30" s="95" t="n">
        <v>45972</v>
      </c>
      <c r="B30" s="0" t="inlineStr">
        <is>
          <t>NSE</t>
        </is>
      </c>
      <c r="C30" s="0" t="inlineStr">
        <is>
          <t>Buy</t>
        </is>
      </c>
      <c r="D30" s="0" t="n">
        <v>5</v>
      </c>
      <c r="E30" s="0" t="n">
        <v>842.15</v>
      </c>
      <c r="F30" s="0" t="n">
        <v>4240.56</v>
      </c>
      <c r="G30" s="0" t="inlineStr">
        <is>
          <t>~</t>
        </is>
      </c>
      <c r="H30" s="0" t="n">
        <v>4.18</v>
      </c>
      <c r="I30" s="0" t="n">
        <v>25.63</v>
      </c>
    </row>
    <row r="31">
      <c r="A31" s="95" t="n">
        <v>45971</v>
      </c>
      <c r="B31" s="0" t="inlineStr">
        <is>
          <t>NSE</t>
        </is>
      </c>
      <c r="C31" s="0" t="inlineStr">
        <is>
          <t>Buy</t>
        </is>
      </c>
      <c r="D31" s="0" t="n">
        <v>5</v>
      </c>
      <c r="E31" s="0" t="n">
        <v>844.15</v>
      </c>
      <c r="F31" s="0" t="n">
        <v>4250.61</v>
      </c>
      <c r="G31" s="0" t="inlineStr">
        <is>
          <t>~</t>
        </is>
      </c>
      <c r="H31" s="0" t="n">
        <v>4.2</v>
      </c>
      <c r="I31" s="0" t="n">
        <v>25.66</v>
      </c>
    </row>
    <row r="32">
      <c r="A32" s="95" t="n">
        <v>45961</v>
      </c>
      <c r="B32" s="0" t="inlineStr">
        <is>
          <t>BSE</t>
        </is>
      </c>
      <c r="C32" s="0" t="inlineStr">
        <is>
          <t>Buy</t>
        </is>
      </c>
      <c r="D32" s="0" t="n">
        <v>5</v>
      </c>
      <c r="E32" s="0" t="n">
        <v>892.95</v>
      </c>
      <c r="F32" s="0" t="n">
        <v>4496.39</v>
      </c>
      <c r="G32" s="0" t="inlineStr">
        <is>
          <t>~</t>
        </is>
      </c>
      <c r="H32" s="0" t="n">
        <v>4.45</v>
      </c>
      <c r="I32" s="0" t="n">
        <v>27.19</v>
      </c>
    </row>
    <row r="33">
      <c r="A33" s="95" t="n">
        <v>45957</v>
      </c>
      <c r="B33" s="0" t="inlineStr">
        <is>
          <t>BSE</t>
        </is>
      </c>
      <c r="C33" s="0" t="inlineStr">
        <is>
          <t>Buy</t>
        </is>
      </c>
      <c r="D33" s="0" t="n">
        <v>5</v>
      </c>
      <c r="E33" s="0" t="n">
        <v>894.2</v>
      </c>
      <c r="F33" s="0" t="n">
        <v>4502.73</v>
      </c>
      <c r="G33" s="0" t="inlineStr">
        <is>
          <t>~</t>
        </is>
      </c>
      <c r="H33" s="0" t="n">
        <v>4.48</v>
      </c>
      <c r="I33" s="0" t="n">
        <v>27.25</v>
      </c>
    </row>
    <row r="34">
      <c r="A34" s="38" t="n">
        <v>45950</v>
      </c>
      <c r="B34" s="39" t="inlineStr">
        <is>
          <t>NSE</t>
        </is>
      </c>
      <c r="C34" s="39" t="inlineStr">
        <is>
          <t>Buy</t>
        </is>
      </c>
      <c r="D34" s="40" t="n">
        <v>10</v>
      </c>
      <c r="E34" s="41" t="n">
        <v>401.57</v>
      </c>
      <c r="F34" s="41">
        <f>D5*E5</f>
        <v/>
      </c>
      <c r="G34" s="39" t="inlineStr">
        <is>
          <t>~</t>
        </is>
      </c>
      <c r="H34" s="40" t="n"/>
      <c r="I34" s="40" t="n"/>
      <c r="J34" s="42">
        <f>Index!$C$2</f>
        <v/>
      </c>
      <c r="K34" s="43">
        <f>IF(AND( C5="Buy", ISBLANK(W5), B5&lt;&gt;"DIV"), L5/sum(F5:I5), "")</f>
        <v/>
      </c>
      <c r="L34" s="44">
        <f>IF(AND( C5="Buy", ISBLANK(W5), B5&lt;&gt;"DIV"), (1-Index!$F$2*2)*((J5*D5)-(E5*D5)), "")</f>
        <v/>
      </c>
      <c r="M34" s="44">
        <f>IF(AND( C5="Buy", ISBLANK(W5), B5&lt;&gt;"DIV"), ((E5*D5)+L5), "")</f>
        <v/>
      </c>
      <c r="N34" s="45">
        <f>IF(AND( C5="Buy", ISBLANK(W5), B5&lt;&gt;"DIV"), D5, "")</f>
        <v/>
      </c>
      <c r="O34" s="43">
        <f>IF(AND( C5="Buy", ISBLANK(W5), B5&lt;&gt;"DIV", NOW()-A5 &lt; 365), P5/sum(F5:I5), "")</f>
        <v/>
      </c>
      <c r="P34" s="44">
        <f>IF(AND( C5="Buy", ISBLANK(W5), B5&lt;&gt;"DIV", NOW()-A5 &lt; 365), (1-Index!$F$2*2)*((J5*D5)-(E5*D5)), "")</f>
        <v/>
      </c>
      <c r="Q34" s="44">
        <f>IF(AND( C5="Buy", ISBLANK(W5), B5&lt;&gt;"DIV", NOW()-A5 &lt; 365), ((E5*D5)+P5), "")</f>
        <v/>
      </c>
      <c r="R34" s="44">
        <f>IF(AND( C5="Buy", ISBLANK(W5), B5&lt;&gt;"DIV", NOW()-A5 &lt; 365), D5, "")</f>
        <v/>
      </c>
      <c r="S34" s="46">
        <f>IF(AND( C5="Buy", ISBLANK(W5), B5&lt;&gt;"DIV", NOW()-A5 &gt; 365), T5/sum(F5:I5), "")</f>
        <v/>
      </c>
      <c r="T34" s="47">
        <f>IF(AND( C5="Buy", ISBLANK(W5), B5&lt;&gt;"DIV", NOW()-A5 &gt; 365), (1-Index!$F$2*2)*((J5*D5)-(E5*D5)), "")</f>
        <v/>
      </c>
      <c r="U34" s="47">
        <f>IF(AND( C5="Buy", ISBLANK(W5), B5&lt;&gt;"DIV", NOW()-A5 &gt; 365), ((E5*D5)+T5), "")</f>
        <v/>
      </c>
      <c r="V34" s="47">
        <f>IF(AND( C5="Buy", ISBLANK(W5), B5&lt;&gt;"DIV", NOW()-A5 &gt; 365), D5, "")</f>
        <v/>
      </c>
      <c r="W34" s="47" t="n"/>
      <c r="X34" s="47" t="n"/>
      <c r="Y34" s="46">
        <f>IF(AND( C5="Buy", W5&lt;&gt;"", AA5&lt;&gt;"", B5&lt;&gt;"DIV"), Z5/sum(F5:I5), "")</f>
        <v/>
      </c>
      <c r="Z34" s="47" t="n"/>
      <c r="AA34" s="47" t="n"/>
      <c r="AB34" s="48" t="n"/>
      <c r="AC34" s="44">
        <f>if(B5="DIV", F5,"")</f>
        <v/>
      </c>
      <c r="AD34" s="49" t="n"/>
    </row>
    <row r="35">
      <c r="A35" s="38" t="n">
        <v>45947</v>
      </c>
      <c r="B35" s="39" t="inlineStr">
        <is>
          <t>NSE</t>
        </is>
      </c>
      <c r="C35" s="39" t="inlineStr">
        <is>
          <t>Buy</t>
        </is>
      </c>
      <c r="D35" s="40" t="n">
        <v>20</v>
      </c>
      <c r="E35" s="41" t="n">
        <v>400.62</v>
      </c>
      <c r="F35" s="41">
        <f>D6*E6</f>
        <v/>
      </c>
      <c r="G35" s="39" t="inlineStr">
        <is>
          <t>~</t>
        </is>
      </c>
      <c r="H35" s="40" t="n"/>
      <c r="I35" s="40" t="n"/>
      <c r="J35" s="42">
        <f>Index!$C$2</f>
        <v/>
      </c>
      <c r="K35" s="43">
        <f>IF(AND( C6="Buy", ISBLANK(W6), B6&lt;&gt;"DIV"), L6/sum(F6:I6), "")</f>
        <v/>
      </c>
      <c r="L35" s="44">
        <f>IF(AND( C6="Buy", ISBLANK(W6), B6&lt;&gt;"DIV"), (1-Index!$F$2*2)*((J6*D6)-(E6*D6)), "")</f>
        <v/>
      </c>
      <c r="M35" s="44">
        <f>IF(AND( C6="Buy", ISBLANK(W6), B6&lt;&gt;"DIV"), ((E6*D6)+L6), "")</f>
        <v/>
      </c>
      <c r="N35" s="45">
        <f>IF(AND( C6="Buy", ISBLANK(W6), B6&lt;&gt;"DIV"), D6, "")</f>
        <v/>
      </c>
      <c r="O35" s="43">
        <f>IF(AND( C6="Buy", ISBLANK(W6), B6&lt;&gt;"DIV", NOW()-A6 &lt; 365), P6/sum(F6:I6), "")</f>
        <v/>
      </c>
      <c r="P35" s="44">
        <f>IF(AND( C6="Buy", ISBLANK(W6), B6&lt;&gt;"DIV", NOW()-A6 &lt; 365), (1-Index!$F$2*2)*((J6*D6)-(E6*D6)), "")</f>
        <v/>
      </c>
      <c r="Q35" s="44">
        <f>IF(AND( C6="Buy", ISBLANK(W6), B6&lt;&gt;"DIV", NOW()-A6 &lt; 365), ((E6*D6)+P6), "")</f>
        <v/>
      </c>
      <c r="R35" s="44">
        <f>IF(AND( C6="Buy", ISBLANK(W6), B6&lt;&gt;"DIV", NOW()-A6 &lt; 365), D6, "")</f>
        <v/>
      </c>
      <c r="S35" s="46">
        <f>IF(AND( C6="Buy", ISBLANK(W6), B6&lt;&gt;"DIV", NOW()-A6 &gt; 365), T6/sum(F6:I6), "")</f>
        <v/>
      </c>
      <c r="T35" s="47">
        <f>IF(AND( C6="Buy", ISBLANK(W6), B6&lt;&gt;"DIV", NOW()-A6 &gt; 365), (1-Index!$F$2*2)*((J6*D6)-(E6*D6)), "")</f>
        <v/>
      </c>
      <c r="U35" s="47">
        <f>IF(AND( C6="Buy", ISBLANK(W6), B6&lt;&gt;"DIV", NOW()-A6 &gt; 365), ((E6*D6)+T6), "")</f>
        <v/>
      </c>
      <c r="V35" s="47">
        <f>IF(AND( C6="Buy", ISBLANK(W6), B6&lt;&gt;"DIV", NOW()-A6 &gt; 365), D6, "")</f>
        <v/>
      </c>
      <c r="W35" s="47" t="n"/>
      <c r="X35" s="47" t="n"/>
      <c r="Y35" s="46">
        <f>IF(AND( C6="Buy", W6&lt;&gt;"", AA6&lt;&gt;"", B6&lt;&gt;"DIV"), Z6/sum(F6:I6), "")</f>
        <v/>
      </c>
      <c r="Z35" s="47" t="n"/>
      <c r="AA35" s="47" t="n"/>
      <c r="AB35" s="48" t="n"/>
      <c r="AC35" s="44">
        <f>if(B6="DIV", F6,"")</f>
        <v/>
      </c>
      <c r="AD35" s="49" t="n"/>
    </row>
    <row r="36">
      <c r="A36" s="38" t="n">
        <v>45812</v>
      </c>
      <c r="B36" s="39" t="inlineStr">
        <is>
          <t>DIV</t>
        </is>
      </c>
      <c r="C36" s="39" t="inlineStr">
        <is>
          <t>Buy</t>
        </is>
      </c>
      <c r="D36" s="40" t="n">
        <v>20</v>
      </c>
      <c r="E36" s="41" t="n">
        <v>6</v>
      </c>
      <c r="F36" s="41" t="n">
        <v>120</v>
      </c>
      <c r="G36" s="39" t="inlineStr">
        <is>
          <t>Annual-Dividend of Rs.6.0000/- per share on Ex-Date: 04-JUN-2025</t>
        </is>
      </c>
      <c r="H36" s="40" t="n">
        <v>0</v>
      </c>
      <c r="I36" s="40" t="n">
        <v>0</v>
      </c>
      <c r="J36" s="42">
        <f>Index!$C$2</f>
        <v/>
      </c>
      <c r="K36" s="43">
        <f>IF(AND( C7="Buy", ISBLANK(W7), B7&lt;&gt;"DIV"), L7/sum(F7:I7), "")</f>
        <v/>
      </c>
      <c r="L36" s="44">
        <f>IF(AND( C7="Buy", ISBLANK(W7), B7&lt;&gt;"DIV"), (1-Index!$F$2*2)*((J7*D7)-(E7*D7)), "")</f>
        <v/>
      </c>
      <c r="M36" s="44">
        <f>IF(AND( C7="Buy", ISBLANK(W7), B7&lt;&gt;"DIV"), ((E7*D7)+L7), "")</f>
        <v/>
      </c>
      <c r="N36" s="45">
        <f>IF(AND( C7="Buy", ISBLANK(W7), B7&lt;&gt;"DIV"), D7, "")</f>
        <v/>
      </c>
      <c r="O36" s="43">
        <f>IF(AND( C7="Buy", ISBLANK(W7), B7&lt;&gt;"DIV", NOW()-A7 &lt; 365), P7/sum(F7:I7), "")</f>
        <v/>
      </c>
      <c r="P36" s="44">
        <f>IF(AND( C7="Buy", ISBLANK(W7), B7&lt;&gt;"DIV", NOW()-A7 &lt; 365), (1-Index!$F$2*2)*((J7*D7)-(E7*D7)), "")</f>
        <v/>
      </c>
      <c r="Q36" s="44">
        <f>IF(AND( C7="Buy", ISBLANK(W7), B7&lt;&gt;"DIV", NOW()-A7 &lt; 365), ((E7*D7)+P7), "")</f>
        <v/>
      </c>
      <c r="R36" s="44">
        <f>IF(AND( C7="Buy", ISBLANK(W7), B7&lt;&gt;"DIV", NOW()-A7 &lt; 365), D7, "")</f>
        <v/>
      </c>
      <c r="S36" s="46">
        <f>IF(AND( C7="Buy", ISBLANK(W7), B7&lt;&gt;"DIV", NOW()-A7 &gt; 365), T7/sum(F7:I7), "")</f>
        <v/>
      </c>
      <c r="T36" s="47">
        <f>IF(AND( C7="Buy", ISBLANK(W7), B7&lt;&gt;"DIV", NOW()-A7 &gt; 365), (1-Index!$F$2*2)*((J7*D7)-(E7*D7)), "")</f>
        <v/>
      </c>
      <c r="U36" s="47">
        <f>IF(AND( C7="Buy", ISBLANK(W7), B7&lt;&gt;"DIV", NOW()-A7 &gt; 365), ((E7*D7)+T7), "")</f>
        <v/>
      </c>
      <c r="V36" s="47">
        <f>IF(AND( C7="Buy", ISBLANK(W7), B7&lt;&gt;"DIV", NOW()-A7 &gt; 365), D7, "")</f>
        <v/>
      </c>
      <c r="W36" s="47" t="n"/>
      <c r="X36" s="47" t="n"/>
      <c r="Y36" s="46">
        <f>IF(AND( C7="Buy", W7&lt;&gt;"", AA7&lt;&gt;"", B7&lt;&gt;"DIV"), Z7/sum(F7:I7), "")</f>
        <v/>
      </c>
      <c r="Z36" s="47" t="n"/>
      <c r="AA36" s="47" t="n"/>
      <c r="AB36" s="48" t="n"/>
      <c r="AC36" s="44">
        <f>if(B7="DIV", F7,"")</f>
        <v/>
      </c>
      <c r="AD36" s="49" t="n"/>
    </row>
    <row r="37">
      <c r="A37" s="38" t="n">
        <v>45811</v>
      </c>
      <c r="B37" s="39" t="inlineStr">
        <is>
          <t>NSE</t>
        </is>
      </c>
      <c r="C37" s="39" t="inlineStr">
        <is>
          <t>Buy</t>
        </is>
      </c>
      <c r="D37" s="40" t="n">
        <v>5</v>
      </c>
      <c r="E37" s="41" t="n">
        <v>716.9</v>
      </c>
      <c r="F37" s="41" t="n">
        <v>3584.48</v>
      </c>
      <c r="G37" s="39" t="inlineStr">
        <is>
          <t>~</t>
        </is>
      </c>
      <c r="H37" s="40" t="n">
        <v>3.56</v>
      </c>
      <c r="I37" s="40" t="n">
        <v>21.67</v>
      </c>
      <c r="J37" s="42">
        <f>Index!$C$2</f>
        <v/>
      </c>
      <c r="K37" s="43">
        <f>IF(AND( C8="Buy", ISBLANK(W8), B8&lt;&gt;"DIV"), L8/sum(F8:I8), "")</f>
        <v/>
      </c>
      <c r="L37" s="44">
        <f>IF(AND( C8="Buy", ISBLANK(W8), B8&lt;&gt;"DIV"), (1-Index!$F$2*2)*((J8*D8)-(E8*D8)), "")</f>
        <v/>
      </c>
      <c r="M37" s="44">
        <f>IF(AND( C8="Buy", ISBLANK(W8), B8&lt;&gt;"DIV"), ((E8*D8)+L8), "")</f>
        <v/>
      </c>
      <c r="N37" s="45">
        <f>IF(AND( C8="Buy", ISBLANK(W8), B8&lt;&gt;"DIV"), D8, "")</f>
        <v/>
      </c>
      <c r="O37" s="43">
        <f>IF(AND( C8="Buy", ISBLANK(W8), B8&lt;&gt;"DIV", NOW()-A8 &lt; 365), P8/sum(F8:I8), "")</f>
        <v/>
      </c>
      <c r="P37" s="44">
        <f>IF(AND( C8="Buy", ISBLANK(W8), B8&lt;&gt;"DIV", NOW()-A8 &lt; 365), (1-Index!$F$2*2)*((J8*D8)-(E8*D8)), "")</f>
        <v/>
      </c>
      <c r="Q37" s="44">
        <f>IF(AND( C8="Buy", ISBLANK(W8), B8&lt;&gt;"DIV", NOW()-A8 &lt; 365), ((E8*D8)+P8), "")</f>
        <v/>
      </c>
      <c r="R37" s="44">
        <f>IF(AND( C8="Buy", ISBLANK(W8), B8&lt;&gt;"DIV", NOW()-A8 &lt; 365), D8, "")</f>
        <v/>
      </c>
      <c r="S37" s="46">
        <f>IF(AND( C8="Buy", ISBLANK(W8), B8&lt;&gt;"DIV", NOW()-A8 &gt; 365), T8/sum(F8:I8), "")</f>
        <v/>
      </c>
      <c r="T37" s="47">
        <f>IF(AND( C8="Buy", ISBLANK(W8), B8&lt;&gt;"DIV", NOW()-A8 &gt; 365), (1-Index!$F$2*2)*((J8*D8)-(E8*D8)), "")</f>
        <v/>
      </c>
      <c r="U37" s="47">
        <f>IF(AND( C8="Buy", ISBLANK(W8), B8&lt;&gt;"DIV", NOW()-A8 &gt; 365), ((E8*D8)+T8), "")</f>
        <v/>
      </c>
      <c r="V37" s="47">
        <f>IF(AND( C8="Buy", ISBLANK(W8), B8&lt;&gt;"DIV", NOW()-A8 &gt; 365), D8, "")</f>
        <v/>
      </c>
      <c r="W37" s="47" t="n"/>
      <c r="X37" s="47" t="n"/>
      <c r="Y37" s="46">
        <f>IF(AND( C8="Buy", W8&lt;&gt;"", AA8&lt;&gt;"", B8&lt;&gt;"DIV"), Z8/sum(F8:I8), "")</f>
        <v/>
      </c>
      <c r="Z37" s="47" t="n"/>
      <c r="AA37" s="47" t="n"/>
      <c r="AB37" s="48" t="n"/>
      <c r="AC37" s="44">
        <f>if(B8="DIV", F8,"")</f>
        <v/>
      </c>
      <c r="AD37" s="49" t="n"/>
    </row>
    <row r="38">
      <c r="A38" s="50" t="n">
        <v>45734</v>
      </c>
      <c r="B38" s="51" t="inlineStr">
        <is>
          <t>NSE</t>
        </is>
      </c>
      <c r="C38" s="51" t="inlineStr">
        <is>
          <t>Buy</t>
        </is>
      </c>
      <c r="D38" s="52" t="n">
        <v>5</v>
      </c>
      <c r="E38" s="53" t="n">
        <v>682.21</v>
      </c>
      <c r="F38" s="54">
        <f>E9*D9 + sum(H9:I9)</f>
        <v/>
      </c>
      <c r="G38" s="51" t="inlineStr">
        <is>
          <t>~</t>
        </is>
      </c>
      <c r="H38" s="52" t="n"/>
      <c r="I38" s="52" t="n">
        <v>24.05</v>
      </c>
      <c r="J38" s="42">
        <f>Index!$C$2</f>
        <v/>
      </c>
      <c r="K38" s="43">
        <f>IF(AND( C9="Buy", ISBLANK(W9), B9&lt;&gt;"DIV"), L9/sum(F9:I9), "")</f>
        <v/>
      </c>
      <c r="L38" s="44">
        <f>IF(AND( C9="Buy", ISBLANK(W9), B9&lt;&gt;"DIV"), (1-Index!$F$2*2)*((J9*D9)-(E9*D9)), "")</f>
        <v/>
      </c>
      <c r="M38" s="44">
        <f>IF(AND( C9="Buy", ISBLANK(W9), B9&lt;&gt;"DIV"), ((E9*D9)+L9), "")</f>
        <v/>
      </c>
      <c r="N38" s="45">
        <f>IF(AND( C9="Buy", ISBLANK(W9), B9&lt;&gt;"DIV"), D9, "")</f>
        <v/>
      </c>
      <c r="O38" s="43">
        <f>IF(AND( C9="Buy", ISBLANK(W9), B9&lt;&gt;"DIV", NOW()-A9 &lt; 365), P9/sum(F9:I9), "")</f>
        <v/>
      </c>
      <c r="P38" s="44">
        <f>IF(AND( C9="Buy", ISBLANK(W9), B9&lt;&gt;"DIV", NOW()-A9 &lt; 365), (1-Index!$F$2*2)*((J9*D9)-(E9*D9)), "")</f>
        <v/>
      </c>
      <c r="Q38" s="44">
        <f>IF(AND( C9="Buy", ISBLANK(W9), B9&lt;&gt;"DIV", NOW()-A9 &lt; 365), ((E9*D9)+P9), "")</f>
        <v/>
      </c>
      <c r="R38" s="44">
        <f>IF(AND( C9="Buy", ISBLANK(W9), B9&lt;&gt;"DIV", NOW()-A9 &lt; 365), D9, "")</f>
        <v/>
      </c>
      <c r="S38" s="46">
        <f>IF(AND( C9="Buy", ISBLANK(W9), B9&lt;&gt;"DIV", NOW()-A9 &gt; 365), T9/sum(F9:I9), "")</f>
        <v/>
      </c>
      <c r="T38" s="47">
        <f>IF(AND( C9="Buy", ISBLANK(W9), B9&lt;&gt;"DIV", NOW()-A9 &gt; 365), (1-Index!$F$2*2)*((J9*D9)-(E9*D9)), "")</f>
        <v/>
      </c>
      <c r="U38" s="47">
        <f>IF(AND( C9="Buy", ISBLANK(W9), B9&lt;&gt;"DIV", NOW()-A9 &gt; 365), ((E9*D9)+T9), "")</f>
        <v/>
      </c>
      <c r="V38" s="47">
        <f>IF(AND( C9="Buy", ISBLANK(W9), B9&lt;&gt;"DIV", NOW()-A9 &gt; 365), D9, "")</f>
        <v/>
      </c>
      <c r="W38" s="47" t="n"/>
      <c r="X38" s="47" t="n"/>
      <c r="Y38" s="46">
        <f>IF(AND( C9="Buy", W9&lt;&gt;"", AA9&lt;&gt;"", B9&lt;&gt;"DIV"), Z9/sum(F9:I9), "")</f>
        <v/>
      </c>
      <c r="Z38" s="47" t="n"/>
      <c r="AA38" s="47" t="n"/>
      <c r="AB38" s="48" t="n"/>
      <c r="AC38" s="44">
        <f>if(B9="DIV", F9,"")</f>
        <v/>
      </c>
      <c r="AD38" s="49" t="n"/>
    </row>
    <row r="39">
      <c r="A39" s="50" t="n">
        <v>45722</v>
      </c>
      <c r="B39" s="51" t="inlineStr">
        <is>
          <t>NSE</t>
        </is>
      </c>
      <c r="C39" s="51" t="inlineStr">
        <is>
          <t>Buy</t>
        </is>
      </c>
      <c r="D39" s="52" t="n">
        <v>10</v>
      </c>
      <c r="E39" s="53" t="n">
        <v>641.52</v>
      </c>
      <c r="F39" s="53" t="n">
        <v>6415.23</v>
      </c>
      <c r="G39" s="51" t="inlineStr">
        <is>
          <t>~</t>
        </is>
      </c>
      <c r="H39" s="52" t="n">
        <v>6.4</v>
      </c>
      <c r="I39" s="52" t="n">
        <v>38.83</v>
      </c>
      <c r="J39" s="42">
        <f>Index!$C$2</f>
        <v/>
      </c>
      <c r="K39" s="43">
        <f>IF(AND( C10="Buy", ISBLANK(W10), B10&lt;&gt;"DIV"), L10/sum(F10:I10), "")</f>
        <v/>
      </c>
      <c r="L39" s="44">
        <f>IF(AND( C10="Buy", ISBLANK(W10), B10&lt;&gt;"DIV"), (1-Index!$F$2*2)*((J10*D10)-(E10*D10)), "")</f>
        <v/>
      </c>
      <c r="M39" s="44">
        <f>IF(AND( C10="Buy", ISBLANK(W10), B10&lt;&gt;"DIV"), ((E10*D10)+L10), "")</f>
        <v/>
      </c>
      <c r="N39" s="45">
        <f>IF(AND( C10="Buy", ISBLANK(W10), B10&lt;&gt;"DIV"), D10, "")</f>
        <v/>
      </c>
      <c r="O39" s="43">
        <f>IF(AND( C10="Buy", ISBLANK(W10), B10&lt;&gt;"DIV", NOW()-A10 &lt; 365), P10/sum(F10:I10), "")</f>
        <v/>
      </c>
      <c r="P39" s="44">
        <f>IF(AND( C10="Buy", ISBLANK(W10), B10&lt;&gt;"DIV", NOW()-A10 &lt; 365), (1-Index!$F$2*2)*((J10*D10)-(E10*D10)), "")</f>
        <v/>
      </c>
      <c r="Q39" s="44">
        <f>IF(AND( C10="Buy", ISBLANK(W10), B10&lt;&gt;"DIV", NOW()-A10 &lt; 365), ((E10*D10)+P10), "")</f>
        <v/>
      </c>
      <c r="R39" s="44">
        <f>IF(AND( C10="Buy", ISBLANK(W10), B10&lt;&gt;"DIV", NOW()-A10 &lt; 365), D10, "")</f>
        <v/>
      </c>
      <c r="S39" s="46">
        <f>IF(AND( C10="Buy", ISBLANK(W10), B10&lt;&gt;"DIV", NOW()-A10 &gt; 365), T10/sum(F10:I10), "")</f>
        <v/>
      </c>
      <c r="T39" s="47">
        <f>IF(AND( C10="Buy", ISBLANK(W10), B10&lt;&gt;"DIV", NOW()-A10 &gt; 365), (1-Index!$F$2*2)*((J10*D10)-(E10*D10)), "")</f>
        <v/>
      </c>
      <c r="U39" s="47">
        <f>IF(AND( C10="Buy", ISBLANK(W10), B10&lt;&gt;"DIV", NOW()-A10 &gt; 365), ((E10*D10)+T10), "")</f>
        <v/>
      </c>
      <c r="V39" s="47">
        <f>IF(AND( C10="Buy", ISBLANK(W10), B10&lt;&gt;"DIV", NOW()-A10 &gt; 365), D10, "")</f>
        <v/>
      </c>
      <c r="W39" s="47" t="n"/>
      <c r="X39" s="47" t="n"/>
      <c r="Y39" s="46">
        <f>IF(AND( C10="Buy", W10&lt;&gt;"", AA10&lt;&gt;"", B10&lt;&gt;"DIV"), Z10/sum(F10:I10), "")</f>
        <v/>
      </c>
      <c r="Z39" s="47" t="n"/>
      <c r="AA39" s="47" t="n"/>
      <c r="AB39" s="48" t="n"/>
      <c r="AC39" s="44">
        <f>if(B10="DIV", F10,"")</f>
        <v/>
      </c>
      <c r="AD39" s="49" t="n"/>
    </row>
    <row r="40">
      <c r="A40" s="50" t="n">
        <v>44228</v>
      </c>
      <c r="B40" s="51" t="inlineStr">
        <is>
          <t>NSE</t>
        </is>
      </c>
      <c r="C40" s="51" t="inlineStr">
        <is>
          <t>Sell</t>
        </is>
      </c>
      <c r="D40" s="52" t="n">
        <v>50</v>
      </c>
      <c r="E40" s="53" t="n">
        <v>276.62</v>
      </c>
      <c r="F40" s="53" t="n">
        <v>13831.06</v>
      </c>
      <c r="G40" s="51" t="inlineStr">
        <is>
          <t>~</t>
        </is>
      </c>
      <c r="H40" s="52" t="n">
        <v>13.93</v>
      </c>
      <c r="I40" s="52" t="n">
        <v>82.51000000000001</v>
      </c>
      <c r="J40" s="42">
        <f>Index!$C$2</f>
        <v/>
      </c>
      <c r="K40" s="43">
        <f>IF(AND( C11="Buy", ISBLANK(W11), B11&lt;&gt;"DIV"), L11/sum(F11:I11), "")</f>
        <v/>
      </c>
      <c r="L40" s="44">
        <f>IF(AND( C11="Buy", ISBLANK(W11), B11&lt;&gt;"DIV"), (1-Index!$F$2*2)*((J11*D11)-(E11*D11)), "")</f>
        <v/>
      </c>
      <c r="M40" s="44">
        <f>IF(AND( C11="Buy", ISBLANK(W11), B11&lt;&gt;"DIV"), ((E11*D11)+L11), "")</f>
        <v/>
      </c>
      <c r="N40" s="45">
        <f>IF(AND( C11="Buy", ISBLANK(W11), B11&lt;&gt;"DIV"), D11, "")</f>
        <v/>
      </c>
      <c r="O40" s="43">
        <f>IF(AND( C11="Buy", ISBLANK(W11), B11&lt;&gt;"DIV", NOW()-A11 &lt; 365), P11/sum(F11:I11), "")</f>
        <v/>
      </c>
      <c r="P40" s="44">
        <f>IF(AND( C11="Buy", ISBLANK(W11), B11&lt;&gt;"DIV", NOW()-A11 &lt; 365), (1-Index!$F$2*2)*((J11*D11)-(E11*D11)), "")</f>
        <v/>
      </c>
      <c r="Q40" s="44">
        <f>IF(AND( C11="Buy", ISBLANK(W11), B11&lt;&gt;"DIV", NOW()-A11 &lt; 365), ((E11*D11)+P11), "")</f>
        <v/>
      </c>
      <c r="R40" s="44">
        <f>IF(AND( C11="Buy", ISBLANK(W11), B11&lt;&gt;"DIV", NOW()-A11 &lt; 365), D11, "")</f>
        <v/>
      </c>
      <c r="S40" s="46">
        <f>IF(AND( C11="Buy", ISBLANK(W11), B11&lt;&gt;"DIV", NOW()-A11 &gt; 365), T11/sum(F11:I11), "")</f>
        <v/>
      </c>
      <c r="T40" s="47">
        <f>IF(AND( C11="Buy", ISBLANK(W11), B11&lt;&gt;"DIV", NOW()-A11 &gt; 365), (1-Index!$F$2*2)*((J11*D11)-(E11*D11)), "")</f>
        <v/>
      </c>
      <c r="U40" s="47">
        <f>IF(AND( C11="Buy", ISBLANK(W11), B11&lt;&gt;"DIV", NOW()-A11 &gt; 365), ((E11*D11)+T11), "")</f>
        <v/>
      </c>
      <c r="V40" s="47">
        <f>IF(AND( C11="Buy", ISBLANK(W11), B11&lt;&gt;"DIV", NOW()-A11 &gt; 365), D11, "")</f>
        <v/>
      </c>
      <c r="W40" s="47" t="n"/>
      <c r="X40" s="47" t="n"/>
      <c r="Y40" s="46">
        <f>IF(AND( C11="Buy", W11&lt;&gt;"", AA11&lt;&gt;"", B11&lt;&gt;"DIV"), Z11/sum(F11:I11), "")</f>
        <v/>
      </c>
      <c r="Z40" s="47" t="n"/>
      <c r="AA40" s="47" t="n"/>
      <c r="AB40" s="48" t="n"/>
      <c r="AC40" s="44">
        <f>if(B11="DIV", F11,"")</f>
        <v/>
      </c>
      <c r="AD40" s="49" t="n"/>
    </row>
    <row r="41">
      <c r="A41" s="50" t="n">
        <v>43405</v>
      </c>
      <c r="B41" s="51" t="inlineStr">
        <is>
          <t>NSE</t>
        </is>
      </c>
      <c r="C41" s="51" t="inlineStr">
        <is>
          <t>Buy</t>
        </is>
      </c>
      <c r="D41" s="52" t="n">
        <v>50</v>
      </c>
      <c r="E41" s="53" t="n">
        <v>183.08</v>
      </c>
      <c r="F41" s="53" t="n">
        <v>9154.049999999999</v>
      </c>
      <c r="G41" s="51" t="inlineStr">
        <is>
          <t>~</t>
        </is>
      </c>
      <c r="H41" s="52" t="n">
        <v>9.1</v>
      </c>
      <c r="I41" s="52" t="n">
        <v>54.95</v>
      </c>
      <c r="J41" s="42">
        <f>Index!$C$2</f>
        <v/>
      </c>
      <c r="K41" s="47" t="n"/>
      <c r="L41" s="47">
        <f>IF(AND( C12="Buy", ISBLANK(W12), B12&lt;&gt;"DIV"), (1-Index!$F$2*2)*((J12*D12)-(E12*D12)), "")</f>
        <v/>
      </c>
      <c r="M41" s="55">
        <f>IF(AND( C12="Buy", ISBLANK(W12), B12&lt;&gt;"DIV"), ((E12*D12)+L12), "")</f>
        <v/>
      </c>
      <c r="N41" s="56">
        <f>IF(AND( C12="Buy", ISBLANK(W12), B12&lt;&gt;"DIV"), D12, "")</f>
        <v/>
      </c>
      <c r="O41" s="55" t="n"/>
      <c r="P41" s="47">
        <f>IF(AND( C12="Buy", ISBLANK(W12), B12&lt;&gt;"DIV", NOW()-A12 &lt; 365), (1-Index!$F$2*2)*((J12*D12)-(E12*D12)), "")</f>
        <v/>
      </c>
      <c r="Q41" s="55">
        <f>IF(AND( C12="Buy", ISBLANK(W12), B12&lt;&gt;"DIV", NOW()-A12 &lt; 365), ((E12*D12)+P12), "")</f>
        <v/>
      </c>
      <c r="R41" s="55">
        <f>IF(AND( C12="Buy", ISBLANK(W12), B12&lt;&gt;"DIV", NOW()-A12 &lt; 365), D12, "")</f>
        <v/>
      </c>
      <c r="S41" s="55" t="n"/>
      <c r="T41" s="55">
        <f>IF(AND( C12="Buy", ISBLANK(W12), B12&lt;&gt;"DIV", NOW()-A12 &gt; 365), (J12*D12)-(E12*D12)-(2*sum(H12:I12)), "")</f>
        <v/>
      </c>
      <c r="U41" s="55">
        <f>IF(AND( C12="Buy", ISBLANK(W12), B12&lt;&gt;"DIV", NOW()-A12 &gt; 365), ((E12*D12)+T12), "")</f>
        <v/>
      </c>
      <c r="V41" s="55">
        <f>IF(AND( C12="Buy", ISBLANK(W12), B12&lt;&gt;"DIV", NOW()-A12 &gt; 365), D12, "")</f>
        <v/>
      </c>
      <c r="W41" s="53" t="n">
        <v>276.62</v>
      </c>
      <c r="X41" s="50" t="n">
        <v>44228</v>
      </c>
      <c r="Y41" s="46">
        <f>IF(AND( C12="Buy", W12&lt;&gt;"", AA12&lt;&gt;"", B12&lt;&gt;"DIV"), Z12/sum(F12:I12), "")</f>
        <v/>
      </c>
      <c r="Z41" s="57">
        <f>(1-Index!$F$2*2)*((W12*D12)-(E12*D12))</f>
        <v/>
      </c>
      <c r="AA41" s="57">
        <f>((E12*D12)+Z12)</f>
        <v/>
      </c>
      <c r="AB41" s="58">
        <f>D12</f>
        <v/>
      </c>
      <c r="AC41" s="44">
        <f>if(B12="DIV", F12,"")</f>
        <v/>
      </c>
      <c r="AD41" s="4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59" t="n"/>
      <c r="AP41" s="59" t="n"/>
    </row>
    <row r="42">
      <c r="E42" s="60" t="n"/>
      <c r="F42" s="60" t="n"/>
      <c r="G42" s="61" t="n"/>
      <c r="J42" s="60" t="n"/>
      <c r="K42" s="60" t="n"/>
      <c r="L42" s="60" t="n"/>
      <c r="M42" s="63" t="n"/>
      <c r="W42" s="60" t="n"/>
      <c r="X42" s="60" t="n"/>
      <c r="Y42" s="60" t="n"/>
      <c r="Z42" s="60" t="n"/>
      <c r="AA42" s="60" t="n"/>
      <c r="AB42" s="60" t="n"/>
      <c r="AC42" s="60" t="n"/>
    </row>
    <row r="43">
      <c r="E43" s="60" t="n"/>
      <c r="F43" s="60" t="n"/>
      <c r="G43" s="61" t="n"/>
      <c r="J43" s="60" t="n"/>
      <c r="K43" s="60" t="n"/>
      <c r="L43" s="60" t="n"/>
      <c r="M43" s="63" t="n"/>
      <c r="W43" s="60" t="n"/>
      <c r="X43" s="60" t="n"/>
      <c r="Y43" s="60" t="n"/>
      <c r="Z43" s="60" t="n"/>
      <c r="AA43" s="60" t="n"/>
      <c r="AB43" s="60" t="n"/>
      <c r="AC43" s="60" t="n"/>
    </row>
    <row r="44">
      <c r="E44" s="60" t="n"/>
      <c r="F44" s="60" t="n"/>
      <c r="G44" s="61" t="n"/>
      <c r="J44" s="60" t="n"/>
      <c r="K44" s="60" t="n"/>
      <c r="L44" s="60" t="n"/>
      <c r="M44" s="63" t="n"/>
      <c r="W44" s="60" t="n"/>
      <c r="X44" s="60" t="n"/>
      <c r="Y44" s="60" t="n"/>
      <c r="Z44" s="60" t="n"/>
      <c r="AA44" s="60" t="n"/>
      <c r="AB44" s="60" t="n"/>
      <c r="AC44" s="60" t="n"/>
    </row>
    <row r="45">
      <c r="E45" s="60" t="n"/>
      <c r="F45" s="60" t="n"/>
      <c r="G45" s="61" t="n"/>
      <c r="J45" s="60" t="n"/>
      <c r="K45" s="60" t="n"/>
      <c r="L45" s="60" t="n"/>
      <c r="M45" s="63" t="n"/>
      <c r="W45" s="60" t="n"/>
      <c r="X45" s="60" t="n"/>
      <c r="Y45" s="60" t="n"/>
      <c r="Z45" s="60" t="n"/>
      <c r="AA45" s="60" t="n"/>
      <c r="AB45" s="60" t="n"/>
      <c r="AC45" s="60" t="n"/>
    </row>
    <row r="46">
      <c r="E46" s="60" t="n"/>
      <c r="F46" s="60" t="n"/>
      <c r="G46" s="61" t="n"/>
      <c r="J46" s="60" t="n"/>
      <c r="K46" s="60" t="n"/>
      <c r="L46" s="60" t="n"/>
      <c r="M46" s="63" t="n"/>
      <c r="W46" s="60" t="n"/>
      <c r="X46" s="60" t="n"/>
      <c r="Y46" s="60" t="n"/>
      <c r="Z46" s="60" t="n"/>
      <c r="AA46" s="60" t="n"/>
      <c r="AB46" s="60" t="n"/>
      <c r="AC46" s="60" t="n"/>
    </row>
    <row r="47">
      <c r="E47" s="60" t="n"/>
      <c r="F47" s="60" t="n"/>
      <c r="G47" s="61" t="n"/>
      <c r="J47" s="60" t="n"/>
      <c r="K47" s="60" t="n"/>
      <c r="L47" s="60" t="n"/>
      <c r="M47" s="63" t="n"/>
      <c r="W47" s="60" t="n"/>
      <c r="X47" s="60" t="n"/>
      <c r="Y47" s="60" t="n"/>
      <c r="Z47" s="60" t="n"/>
      <c r="AA47" s="60" t="n"/>
      <c r="AB47" s="60" t="n"/>
      <c r="AC47" s="60" t="n"/>
    </row>
    <row r="48">
      <c r="E48" s="60" t="n"/>
      <c r="F48" s="60" t="n"/>
      <c r="G48" s="61" t="n"/>
      <c r="J48" s="60" t="n"/>
      <c r="K48" s="60" t="n"/>
      <c r="L48" s="60" t="n"/>
      <c r="M48" s="63" t="n"/>
      <c r="W48" s="60" t="n"/>
      <c r="X48" s="60" t="n"/>
      <c r="Y48" s="60" t="n"/>
      <c r="Z48" s="60" t="n"/>
      <c r="AA48" s="60" t="n"/>
      <c r="AB48" s="60" t="n"/>
      <c r="AC48" s="60" t="n"/>
    </row>
    <row r="49">
      <c r="E49" s="60" t="n"/>
      <c r="F49" s="60" t="n"/>
      <c r="G49" s="61" t="n"/>
      <c r="J49" s="60" t="n"/>
      <c r="K49" s="60" t="n"/>
      <c r="L49" s="60" t="n"/>
      <c r="M49" s="63" t="n"/>
      <c r="W49" s="60" t="n"/>
      <c r="X49" s="60" t="n"/>
      <c r="Y49" s="60" t="n"/>
      <c r="Z49" s="60" t="n"/>
      <c r="AA49" s="60" t="n"/>
      <c r="AB49" s="60" t="n"/>
      <c r="AC49" s="60" t="n"/>
    </row>
    <row r="50">
      <c r="E50" s="60" t="n"/>
      <c r="F50" s="60" t="n"/>
      <c r="G50" s="61" t="n"/>
      <c r="J50" s="60" t="n"/>
      <c r="K50" s="60" t="n"/>
      <c r="L50" s="60" t="n"/>
      <c r="M50" s="63" t="n"/>
      <c r="W50" s="60" t="n"/>
      <c r="X50" s="60" t="n"/>
      <c r="Y50" s="60" t="n"/>
      <c r="Z50" s="60" t="n"/>
      <c r="AA50" s="60" t="n"/>
      <c r="AB50" s="60" t="n"/>
      <c r="AC50" s="60" t="n"/>
    </row>
    <row r="51">
      <c r="E51" s="60" t="n"/>
      <c r="F51" s="60" t="n"/>
      <c r="G51" s="61" t="n"/>
      <c r="J51" s="60" t="n"/>
      <c r="K51" s="60" t="n"/>
      <c r="L51" s="60" t="n"/>
      <c r="M51" s="63" t="n"/>
      <c r="W51" s="60" t="n"/>
      <c r="X51" s="60" t="n"/>
      <c r="Y51" s="60" t="n"/>
      <c r="Z51" s="60" t="n"/>
      <c r="AA51" s="60" t="n"/>
      <c r="AB51" s="60" t="n"/>
      <c r="AC51" s="60" t="n"/>
    </row>
    <row r="52">
      <c r="E52" s="60" t="n"/>
      <c r="F52" s="60" t="n"/>
      <c r="G52" s="61" t="n"/>
      <c r="J52" s="60" t="n"/>
      <c r="K52" s="60" t="n"/>
      <c r="L52" s="60" t="n"/>
      <c r="M52" s="63" t="n"/>
      <c r="W52" s="60" t="n"/>
      <c r="X52" s="60" t="n"/>
      <c r="Y52" s="60" t="n"/>
      <c r="Z52" s="60" t="n"/>
      <c r="AA52" s="60" t="n"/>
      <c r="AB52" s="60" t="n"/>
      <c r="AC52" s="60" t="n"/>
    </row>
    <row r="53">
      <c r="E53" s="60" t="n"/>
      <c r="F53" s="60" t="n"/>
      <c r="G53" s="61" t="n"/>
      <c r="J53" s="60" t="n"/>
      <c r="K53" s="60" t="n"/>
      <c r="L53" s="60" t="n"/>
      <c r="M53" s="63" t="n"/>
      <c r="W53" s="60" t="n"/>
      <c r="X53" s="60" t="n"/>
      <c r="Y53" s="60" t="n"/>
      <c r="Z53" s="60" t="n"/>
      <c r="AA53" s="60" t="n"/>
      <c r="AB53" s="60" t="n"/>
      <c r="AC53" s="60" t="n"/>
    </row>
    <row r="54">
      <c r="E54" s="60" t="n"/>
      <c r="F54" s="60" t="n"/>
      <c r="G54" s="61" t="n"/>
      <c r="J54" s="60" t="n"/>
      <c r="K54" s="60" t="n"/>
      <c r="L54" s="60" t="n"/>
      <c r="M54" s="63" t="n"/>
      <c r="W54" s="60" t="n"/>
      <c r="X54" s="60" t="n"/>
      <c r="Y54" s="60" t="n"/>
      <c r="Z54" s="60" t="n"/>
      <c r="AA54" s="60" t="n"/>
      <c r="AB54" s="60" t="n"/>
      <c r="AC54" s="60" t="n"/>
    </row>
    <row r="55">
      <c r="E55" s="60" t="n"/>
      <c r="F55" s="60" t="n"/>
      <c r="G55" s="61" t="n"/>
      <c r="J55" s="60" t="n"/>
      <c r="K55" s="60" t="n"/>
      <c r="L55" s="60" t="n"/>
      <c r="M55" s="63" t="n"/>
      <c r="W55" s="60" t="n"/>
      <c r="X55" s="60" t="n"/>
      <c r="Y55" s="60" t="n"/>
      <c r="Z55" s="60" t="n"/>
      <c r="AA55" s="60" t="n"/>
      <c r="AB55" s="60" t="n"/>
      <c r="AC55" s="60" t="n"/>
    </row>
    <row r="56">
      <c r="E56" s="60" t="n"/>
      <c r="F56" s="60" t="n"/>
      <c r="G56" s="61" t="n"/>
      <c r="J56" s="60" t="n"/>
      <c r="K56" s="60" t="n"/>
      <c r="L56" s="60" t="n"/>
      <c r="M56" s="63" t="n"/>
      <c r="W56" s="60" t="n"/>
      <c r="X56" s="60" t="n"/>
      <c r="Y56" s="60" t="n"/>
      <c r="Z56" s="60" t="n"/>
      <c r="AA56" s="60" t="n"/>
      <c r="AB56" s="60" t="n"/>
      <c r="AC56" s="60" t="n"/>
    </row>
    <row r="57">
      <c r="E57" s="60" t="n"/>
      <c r="F57" s="60" t="n"/>
      <c r="G57" s="61" t="n"/>
      <c r="J57" s="60" t="n"/>
      <c r="K57" s="60" t="n"/>
      <c r="L57" s="60" t="n"/>
      <c r="M57" s="63" t="n"/>
      <c r="W57" s="60" t="n"/>
      <c r="X57" s="60" t="n"/>
      <c r="Y57" s="60" t="n"/>
      <c r="Z57" s="60" t="n"/>
      <c r="AA57" s="60" t="n"/>
      <c r="AB57" s="60" t="n"/>
      <c r="AC57" s="60" t="n"/>
    </row>
    <row r="58">
      <c r="E58" s="60" t="n"/>
      <c r="F58" s="60" t="n"/>
      <c r="G58" s="61" t="n"/>
      <c r="J58" s="60" t="n"/>
      <c r="K58" s="60" t="n"/>
      <c r="L58" s="60" t="n"/>
      <c r="M58" s="63" t="n"/>
      <c r="W58" s="60" t="n"/>
      <c r="X58" s="60" t="n"/>
      <c r="Y58" s="60" t="n"/>
      <c r="Z58" s="60" t="n"/>
      <c r="AA58" s="60" t="n"/>
      <c r="AB58" s="60" t="n"/>
      <c r="AC58" s="60" t="n"/>
    </row>
    <row r="59">
      <c r="E59" s="60" t="n"/>
      <c r="F59" s="60" t="n"/>
      <c r="G59" s="61" t="n"/>
      <c r="J59" s="60" t="n"/>
      <c r="K59" s="60" t="n"/>
      <c r="L59" s="60" t="n"/>
      <c r="M59" s="63" t="n"/>
      <c r="W59" s="60" t="n"/>
      <c r="X59" s="60" t="n"/>
      <c r="Y59" s="60" t="n"/>
      <c r="Z59" s="60" t="n"/>
      <c r="AA59" s="60" t="n"/>
      <c r="AB59" s="60" t="n"/>
      <c r="AC59" s="60" t="n"/>
    </row>
    <row r="60">
      <c r="E60" s="60" t="n"/>
      <c r="F60" s="60" t="n"/>
      <c r="G60" s="61" t="n"/>
      <c r="J60" s="60" t="n"/>
      <c r="K60" s="60" t="n"/>
      <c r="L60" s="60" t="n"/>
      <c r="M60" s="63" t="n"/>
      <c r="W60" s="60" t="n"/>
      <c r="X60" s="60" t="n"/>
      <c r="Y60" s="60" t="n"/>
      <c r="Z60" s="60" t="n"/>
      <c r="AA60" s="60" t="n"/>
      <c r="AB60" s="60" t="n"/>
      <c r="AC60" s="60" t="n"/>
    </row>
    <row r="61">
      <c r="E61" s="60" t="n"/>
      <c r="F61" s="60" t="n"/>
      <c r="G61" s="61" t="n"/>
      <c r="J61" s="60" t="n"/>
      <c r="K61" s="60" t="n"/>
      <c r="L61" s="60" t="n"/>
      <c r="M61" s="63" t="n"/>
      <c r="W61" s="60" t="n"/>
      <c r="X61" s="60" t="n"/>
      <c r="Y61" s="60" t="n"/>
      <c r="Z61" s="60" t="n"/>
      <c r="AA61" s="60" t="n"/>
      <c r="AB61" s="60" t="n"/>
      <c r="AC61" s="60" t="n"/>
    </row>
    <row r="62">
      <c r="E62" s="60" t="n"/>
      <c r="F62" s="60" t="n"/>
      <c r="G62" s="61" t="n"/>
      <c r="J62" s="60" t="n"/>
      <c r="K62" s="60" t="n"/>
      <c r="L62" s="60" t="n"/>
      <c r="M62" s="63" t="n"/>
      <c r="W62" s="60" t="n"/>
      <c r="X62" s="60" t="n"/>
      <c r="Y62" s="60" t="n"/>
      <c r="Z62" s="60" t="n"/>
      <c r="AA62" s="60" t="n"/>
      <c r="AB62" s="60" t="n"/>
      <c r="AC62" s="60" t="n"/>
    </row>
    <row r="63">
      <c r="E63" s="60" t="n"/>
      <c r="F63" s="60" t="n"/>
      <c r="G63" s="61" t="n"/>
      <c r="J63" s="60" t="n"/>
      <c r="K63" s="60" t="n"/>
      <c r="L63" s="60" t="n"/>
      <c r="M63" s="63" t="n"/>
      <c r="W63" s="60" t="n"/>
      <c r="X63" s="60" t="n"/>
      <c r="Y63" s="60" t="n"/>
      <c r="Z63" s="60" t="n"/>
      <c r="AA63" s="60" t="n"/>
      <c r="AB63" s="60" t="n"/>
      <c r="AC63" s="60" t="n"/>
    </row>
    <row r="64">
      <c r="E64" s="60" t="n"/>
      <c r="F64" s="60" t="n"/>
      <c r="G64" s="61" t="n"/>
      <c r="J64" s="60" t="n"/>
      <c r="K64" s="60" t="n"/>
      <c r="L64" s="60" t="n"/>
      <c r="M64" s="63" t="n"/>
      <c r="W64" s="60" t="n"/>
      <c r="X64" s="60" t="n"/>
      <c r="Y64" s="60" t="n"/>
      <c r="Z64" s="60" t="n"/>
      <c r="AA64" s="60" t="n"/>
      <c r="AB64" s="60" t="n"/>
      <c r="AC64" s="60" t="n"/>
    </row>
    <row r="65">
      <c r="E65" s="60" t="n"/>
      <c r="F65" s="60" t="n"/>
      <c r="G65" s="61" t="n"/>
      <c r="J65" s="60" t="n"/>
      <c r="K65" s="60" t="n"/>
      <c r="L65" s="60" t="n"/>
      <c r="M65" s="63" t="n"/>
      <c r="W65" s="60" t="n"/>
      <c r="X65" s="60" t="n"/>
      <c r="Y65" s="60" t="n"/>
      <c r="Z65" s="60" t="n"/>
      <c r="AA65" s="60" t="n"/>
      <c r="AB65" s="60" t="n"/>
      <c r="AC65" s="60" t="n"/>
    </row>
    <row r="66">
      <c r="E66" s="60" t="n"/>
      <c r="F66" s="60" t="n"/>
      <c r="G66" s="61" t="n"/>
      <c r="J66" s="60" t="n"/>
      <c r="K66" s="60" t="n"/>
      <c r="L66" s="60" t="n"/>
      <c r="M66" s="63" t="n"/>
      <c r="W66" s="60" t="n"/>
      <c r="X66" s="60" t="n"/>
      <c r="Y66" s="60" t="n"/>
      <c r="Z66" s="60" t="n"/>
      <c r="AA66" s="60" t="n"/>
      <c r="AB66" s="60" t="n"/>
      <c r="AC66" s="60" t="n"/>
    </row>
    <row r="67">
      <c r="E67" s="60" t="n"/>
      <c r="F67" s="60" t="n"/>
      <c r="G67" s="61" t="n"/>
      <c r="J67" s="60" t="n"/>
      <c r="K67" s="60" t="n"/>
      <c r="L67" s="60" t="n"/>
      <c r="M67" s="63" t="n"/>
      <c r="W67" s="60" t="n"/>
      <c r="X67" s="60" t="n"/>
      <c r="Y67" s="60" t="n"/>
      <c r="Z67" s="60" t="n"/>
      <c r="AA67" s="60" t="n"/>
      <c r="AB67" s="60" t="n"/>
      <c r="AC67" s="60" t="n"/>
    </row>
    <row r="68">
      <c r="E68" s="60" t="n"/>
      <c r="F68" s="60" t="n"/>
      <c r="G68" s="61" t="n"/>
      <c r="J68" s="60" t="n"/>
      <c r="K68" s="60" t="n"/>
      <c r="L68" s="60" t="n"/>
      <c r="M68" s="63" t="n"/>
      <c r="W68" s="60" t="n"/>
      <c r="X68" s="60" t="n"/>
      <c r="Y68" s="60" t="n"/>
      <c r="Z68" s="60" t="n"/>
      <c r="AA68" s="60" t="n"/>
      <c r="AB68" s="60" t="n"/>
      <c r="AC68" s="60" t="n"/>
    </row>
    <row r="69">
      <c r="E69" s="60" t="n"/>
      <c r="F69" s="60" t="n"/>
      <c r="G69" s="61" t="n"/>
      <c r="J69" s="60" t="n"/>
      <c r="K69" s="60" t="n"/>
      <c r="L69" s="60" t="n"/>
      <c r="M69" s="63" t="n"/>
      <c r="W69" s="60" t="n"/>
      <c r="X69" s="60" t="n"/>
      <c r="Y69" s="60" t="n"/>
      <c r="Z69" s="60" t="n"/>
      <c r="AA69" s="60" t="n"/>
      <c r="AB69" s="60" t="n"/>
      <c r="AC69" s="60" t="n"/>
    </row>
    <row r="70">
      <c r="E70" s="60" t="n"/>
      <c r="F70" s="60" t="n"/>
      <c r="G70" s="61" t="n"/>
      <c r="J70" s="60" t="n"/>
      <c r="K70" s="60" t="n"/>
      <c r="L70" s="60" t="n"/>
      <c r="M70" s="63" t="n"/>
      <c r="W70" s="60" t="n"/>
      <c r="X70" s="60" t="n"/>
      <c r="Y70" s="60" t="n"/>
      <c r="Z70" s="60" t="n"/>
      <c r="AA70" s="60" t="n"/>
      <c r="AB70" s="60" t="n"/>
      <c r="AC70" s="60" t="n"/>
    </row>
    <row r="71">
      <c r="E71" s="60" t="n"/>
      <c r="F71" s="60" t="n"/>
      <c r="G71" s="61" t="n"/>
      <c r="J71" s="60" t="n"/>
      <c r="K71" s="60" t="n"/>
      <c r="L71" s="60" t="n"/>
      <c r="M71" s="63" t="n"/>
      <c r="W71" s="60" t="n"/>
      <c r="X71" s="60" t="n"/>
      <c r="Y71" s="60" t="n"/>
      <c r="Z71" s="60" t="n"/>
      <c r="AA71" s="60" t="n"/>
      <c r="AB71" s="60" t="n"/>
      <c r="AC71" s="60" t="n"/>
    </row>
    <row r="72">
      <c r="E72" s="60" t="n"/>
      <c r="F72" s="60" t="n"/>
      <c r="G72" s="61" t="n"/>
      <c r="J72" s="60" t="n"/>
      <c r="K72" s="60" t="n"/>
      <c r="L72" s="60" t="n"/>
      <c r="M72" s="63" t="n"/>
      <c r="W72" s="60" t="n"/>
      <c r="X72" s="60" t="n"/>
      <c r="Y72" s="60" t="n"/>
      <c r="Z72" s="60" t="n"/>
      <c r="AA72" s="60" t="n"/>
      <c r="AB72" s="60" t="n"/>
      <c r="AC72" s="60" t="n"/>
    </row>
    <row r="73">
      <c r="E73" s="60" t="n"/>
      <c r="F73" s="60" t="n"/>
      <c r="G73" s="61" t="n"/>
      <c r="J73" s="60" t="n"/>
      <c r="K73" s="60" t="n"/>
      <c r="L73" s="60" t="n"/>
      <c r="M73" s="63" t="n"/>
      <c r="W73" s="60" t="n"/>
      <c r="X73" s="60" t="n"/>
      <c r="Y73" s="60" t="n"/>
      <c r="Z73" s="60" t="n"/>
      <c r="AA73" s="60" t="n"/>
      <c r="AB73" s="60" t="n"/>
      <c r="AC73" s="60" t="n"/>
    </row>
    <row r="74">
      <c r="E74" s="60" t="n"/>
      <c r="F74" s="60" t="n"/>
      <c r="G74" s="61" t="n"/>
      <c r="J74" s="60" t="n"/>
      <c r="K74" s="60" t="n"/>
      <c r="L74" s="60" t="n"/>
      <c r="M74" s="63" t="n"/>
      <c r="W74" s="60" t="n"/>
      <c r="X74" s="60" t="n"/>
      <c r="Y74" s="60" t="n"/>
      <c r="Z74" s="60" t="n"/>
      <c r="AA74" s="60" t="n"/>
      <c r="AB74" s="60" t="n"/>
      <c r="AC74" s="60" t="n"/>
    </row>
    <row r="75">
      <c r="E75" s="60" t="n"/>
      <c r="F75" s="60" t="n"/>
      <c r="G75" s="61" t="n"/>
      <c r="J75" s="60" t="n"/>
      <c r="K75" s="60" t="n"/>
      <c r="L75" s="60" t="n"/>
      <c r="M75" s="63" t="n"/>
      <c r="W75" s="60" t="n"/>
      <c r="X75" s="60" t="n"/>
      <c r="Y75" s="60" t="n"/>
      <c r="Z75" s="60" t="n"/>
      <c r="AA75" s="60" t="n"/>
      <c r="AB75" s="60" t="n"/>
      <c r="AC75" s="60" t="n"/>
    </row>
    <row r="76">
      <c r="E76" s="60" t="n"/>
      <c r="F76" s="60" t="n"/>
      <c r="G76" s="61" t="n"/>
      <c r="J76" s="60" t="n"/>
      <c r="K76" s="60" t="n"/>
      <c r="L76" s="60" t="n"/>
      <c r="M76" s="63" t="n"/>
      <c r="W76" s="60" t="n"/>
      <c r="X76" s="60" t="n"/>
      <c r="Y76" s="60" t="n"/>
      <c r="Z76" s="60" t="n"/>
      <c r="AA76" s="60" t="n"/>
      <c r="AB76" s="60" t="n"/>
      <c r="AC76" s="60" t="n"/>
    </row>
    <row r="77">
      <c r="E77" s="60" t="n"/>
      <c r="F77" s="60" t="n"/>
      <c r="G77" s="61" t="n"/>
      <c r="J77" s="60" t="n"/>
      <c r="K77" s="60" t="n"/>
      <c r="L77" s="60" t="n"/>
      <c r="M77" s="63" t="n"/>
      <c r="W77" s="60" t="n"/>
      <c r="X77" s="60" t="n"/>
      <c r="Y77" s="60" t="n"/>
      <c r="Z77" s="60" t="n"/>
      <c r="AA77" s="60" t="n"/>
      <c r="AB77" s="60" t="n"/>
      <c r="AC77" s="60" t="n"/>
    </row>
    <row r="78">
      <c r="E78" s="60" t="n"/>
      <c r="F78" s="60" t="n"/>
      <c r="G78" s="61" t="n"/>
      <c r="J78" s="60" t="n"/>
      <c r="K78" s="60" t="n"/>
      <c r="L78" s="60" t="n"/>
      <c r="M78" s="63" t="n"/>
      <c r="W78" s="60" t="n"/>
      <c r="X78" s="60" t="n"/>
      <c r="Y78" s="60" t="n"/>
      <c r="Z78" s="60" t="n"/>
      <c r="AA78" s="60" t="n"/>
      <c r="AB78" s="60" t="n"/>
      <c r="AC78" s="60" t="n"/>
    </row>
    <row r="79">
      <c r="E79" s="60" t="n"/>
      <c r="F79" s="60" t="n"/>
      <c r="G79" s="61" t="n"/>
      <c r="J79" s="60" t="n"/>
      <c r="K79" s="60" t="n"/>
      <c r="L79" s="60" t="n"/>
      <c r="M79" s="63" t="n"/>
      <c r="W79" s="60" t="n"/>
      <c r="X79" s="60" t="n"/>
      <c r="Y79" s="60" t="n"/>
      <c r="Z79" s="60" t="n"/>
      <c r="AA79" s="60" t="n"/>
      <c r="AB79" s="60" t="n"/>
      <c r="AC79" s="60" t="n"/>
    </row>
    <row r="80">
      <c r="E80" s="60" t="n"/>
      <c r="F80" s="60" t="n"/>
      <c r="G80" s="61" t="n"/>
      <c r="J80" s="60" t="n"/>
      <c r="K80" s="60" t="n"/>
      <c r="L80" s="60" t="n"/>
      <c r="M80" s="63" t="n"/>
      <c r="W80" s="60" t="n"/>
      <c r="X80" s="60" t="n"/>
      <c r="Y80" s="60" t="n"/>
      <c r="Z80" s="60" t="n"/>
      <c r="AA80" s="60" t="n"/>
      <c r="AB80" s="60" t="n"/>
      <c r="AC80" s="60" t="n"/>
    </row>
    <row r="81">
      <c r="E81" s="60" t="n"/>
      <c r="F81" s="60" t="n"/>
      <c r="G81" s="61" t="n"/>
      <c r="J81" s="60" t="n"/>
      <c r="K81" s="60" t="n"/>
      <c r="L81" s="60" t="n"/>
      <c r="M81" s="63" t="n"/>
      <c r="W81" s="60" t="n"/>
      <c r="X81" s="60" t="n"/>
      <c r="Y81" s="60" t="n"/>
      <c r="Z81" s="60" t="n"/>
      <c r="AA81" s="60" t="n"/>
      <c r="AB81" s="60" t="n"/>
      <c r="AC81" s="60" t="n"/>
    </row>
    <row r="82">
      <c r="E82" s="60" t="n"/>
      <c r="F82" s="60" t="n"/>
      <c r="G82" s="61" t="n"/>
      <c r="J82" s="60" t="n"/>
      <c r="K82" s="60" t="n"/>
      <c r="L82" s="60" t="n"/>
      <c r="M82" s="63" t="n"/>
      <c r="W82" s="60" t="n"/>
      <c r="X82" s="60" t="n"/>
      <c r="Y82" s="60" t="n"/>
      <c r="Z82" s="60" t="n"/>
      <c r="AA82" s="60" t="n"/>
      <c r="AB82" s="60" t="n"/>
      <c r="AC82" s="60" t="n"/>
    </row>
    <row r="83">
      <c r="E83" s="60" t="n"/>
      <c r="F83" s="60" t="n"/>
      <c r="G83" s="61" t="n"/>
      <c r="J83" s="60" t="n"/>
      <c r="K83" s="60" t="n"/>
      <c r="L83" s="60" t="n"/>
      <c r="M83" s="63" t="n"/>
      <c r="W83" s="60" t="n"/>
      <c r="X83" s="60" t="n"/>
      <c r="Y83" s="60" t="n"/>
      <c r="Z83" s="60" t="n"/>
      <c r="AA83" s="60" t="n"/>
      <c r="AB83" s="60" t="n"/>
      <c r="AC83" s="60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M951" s="63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M952" s="63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M953" s="63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M954" s="63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M955" s="63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M956" s="63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M957" s="63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M958" s="63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M959" s="63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M960" s="63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M961" s="63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M962" s="63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M963" s="63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M964" s="63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M965" s="63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M966" s="63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M967" s="63" t="n"/>
      <c r="W967" s="60" t="n"/>
      <c r="X967" s="60" t="n"/>
      <c r="Y967" s="60" t="n"/>
      <c r="Z967" s="60" t="n"/>
      <c r="AA967" s="60" t="n"/>
      <c r="AB967" s="60" t="n"/>
      <c r="AC967" s="60" t="n"/>
    </row>
    <row r="968">
      <c r="E968" s="60" t="n"/>
      <c r="F968" s="60" t="n"/>
      <c r="G968" s="61" t="n"/>
      <c r="J968" s="60" t="n"/>
      <c r="K968" s="60" t="n"/>
      <c r="L968" s="60" t="n"/>
      <c r="M968" s="63" t="n"/>
      <c r="W968" s="60" t="n"/>
      <c r="X968" s="60" t="n"/>
      <c r="Y968" s="60" t="n"/>
      <c r="Z968" s="60" t="n"/>
      <c r="AA968" s="60" t="n"/>
      <c r="AB968" s="60" t="n"/>
      <c r="AC968" s="60" t="n"/>
    </row>
    <row r="969">
      <c r="E969" s="60" t="n"/>
      <c r="F969" s="60" t="n"/>
      <c r="G969" s="61" t="n"/>
      <c r="J969" s="60" t="n"/>
      <c r="K969" s="60" t="n"/>
      <c r="L969" s="60" t="n"/>
      <c r="M969" s="63" t="n"/>
      <c r="W969" s="60" t="n"/>
      <c r="X969" s="60" t="n"/>
      <c r="Y969" s="60" t="n"/>
      <c r="Z969" s="60" t="n"/>
      <c r="AA969" s="60" t="n"/>
      <c r="AB969" s="60" t="n"/>
      <c r="AC969" s="60" t="n"/>
    </row>
    <row r="970">
      <c r="E970" s="60" t="n"/>
      <c r="F970" s="60" t="n"/>
      <c r="G970" s="61" t="n"/>
      <c r="J970" s="60" t="n"/>
      <c r="K970" s="60" t="n"/>
      <c r="L970" s="60" t="n"/>
      <c r="M970" s="63" t="n"/>
      <c r="W970" s="60" t="n"/>
      <c r="X970" s="60" t="n"/>
      <c r="Y970" s="60" t="n"/>
      <c r="Z970" s="60" t="n"/>
      <c r="AA970" s="60" t="n"/>
      <c r="AB970" s="60" t="n"/>
      <c r="AC970" s="60" t="n"/>
    </row>
    <row r="971">
      <c r="E971" s="60" t="n"/>
      <c r="F971" s="60" t="n"/>
      <c r="G971" s="61" t="n"/>
      <c r="J971" s="60" t="n"/>
      <c r="K971" s="60" t="n"/>
      <c r="L971" s="60" t="n"/>
      <c r="M971" s="63" t="n"/>
      <c r="W971" s="60" t="n"/>
      <c r="X971" s="60" t="n"/>
      <c r="Y971" s="60" t="n"/>
      <c r="Z971" s="60" t="n"/>
      <c r="AA971" s="60" t="n"/>
      <c r="AB971" s="60" t="n"/>
      <c r="AC971" s="60" t="n"/>
    </row>
    <row r="972">
      <c r="E972" s="60" t="n"/>
      <c r="F972" s="60" t="n"/>
      <c r="G972" s="61" t="n"/>
      <c r="J972" s="60" t="n"/>
      <c r="K972" s="60" t="n"/>
      <c r="L972" s="60" t="n"/>
      <c r="M972" s="63" t="n"/>
      <c r="W972" s="60" t="n"/>
      <c r="X972" s="60" t="n"/>
      <c r="Y972" s="60" t="n"/>
      <c r="Z972" s="60" t="n"/>
      <c r="AA972" s="60" t="n"/>
      <c r="AB972" s="60" t="n"/>
      <c r="AC972" s="60" t="n"/>
    </row>
    <row r="973">
      <c r="E973" s="60" t="n"/>
      <c r="F973" s="60" t="n"/>
      <c r="G973" s="61" t="n"/>
      <c r="J973" s="60" t="n"/>
      <c r="K973" s="60" t="n"/>
      <c r="L973" s="60" t="n"/>
      <c r="M973" s="63" t="n"/>
      <c r="W973" s="60" t="n"/>
      <c r="X973" s="60" t="n"/>
      <c r="Y973" s="60" t="n"/>
      <c r="Z973" s="60" t="n"/>
      <c r="AA973" s="60" t="n"/>
      <c r="AB973" s="60" t="n"/>
      <c r="AC973" s="60" t="n"/>
    </row>
    <row r="974">
      <c r="E974" s="60" t="n"/>
      <c r="F974" s="60" t="n"/>
      <c r="G974" s="61" t="n"/>
      <c r="J974" s="60" t="n"/>
      <c r="K974" s="60" t="n"/>
      <c r="L974" s="60" t="n"/>
      <c r="M974" s="63" t="n"/>
      <c r="W974" s="60" t="n"/>
      <c r="X974" s="60" t="n"/>
      <c r="Y974" s="60" t="n"/>
      <c r="Z974" s="60" t="n"/>
      <c r="AA974" s="60" t="n"/>
      <c r="AB974" s="60" t="n"/>
      <c r="AC974" s="60" t="n"/>
    </row>
    <row r="975">
      <c r="E975" s="60" t="n"/>
      <c r="F975" s="60" t="n"/>
      <c r="G975" s="61" t="n"/>
      <c r="J975" s="60" t="n"/>
      <c r="K975" s="60" t="n"/>
      <c r="L975" s="60" t="n"/>
      <c r="M975" s="63" t="n"/>
      <c r="W975" s="60" t="n"/>
      <c r="X975" s="60" t="n"/>
      <c r="Y975" s="60" t="n"/>
      <c r="Z975" s="60" t="n"/>
      <c r="AA975" s="60" t="n"/>
      <c r="AB975" s="60" t="n"/>
      <c r="AC975" s="60" t="n"/>
    </row>
    <row r="976">
      <c r="E976" s="60" t="n"/>
      <c r="F976" s="60" t="n"/>
      <c r="G976" s="61" t="n"/>
      <c r="J976" s="60" t="n"/>
      <c r="K976" s="60" t="n"/>
      <c r="L976" s="60" t="n"/>
      <c r="M976" s="63" t="n"/>
      <c r="W976" s="60" t="n"/>
      <c r="X976" s="60" t="n"/>
      <c r="Y976" s="60" t="n"/>
      <c r="Z976" s="60" t="n"/>
      <c r="AA976" s="60" t="n"/>
      <c r="AB976" s="60" t="n"/>
      <c r="AC976" s="60" t="n"/>
    </row>
    <row r="977">
      <c r="E977" s="60" t="n"/>
      <c r="F977" s="60" t="n"/>
      <c r="G977" s="61" t="n"/>
      <c r="J977" s="60" t="n"/>
      <c r="K977" s="60" t="n"/>
      <c r="L977" s="60" t="n"/>
      <c r="M977" s="63" t="n"/>
      <c r="W977" s="60" t="n"/>
      <c r="X977" s="60" t="n"/>
      <c r="Y977" s="60" t="n"/>
      <c r="Z977" s="60" t="n"/>
      <c r="AA977" s="60" t="n"/>
      <c r="AB977" s="60" t="n"/>
      <c r="AC977" s="60" t="n"/>
    </row>
    <row r="978">
      <c r="E978" s="60" t="n"/>
      <c r="F978" s="60" t="n"/>
      <c r="G978" s="61" t="n"/>
      <c r="J978" s="60" t="n"/>
      <c r="K978" s="60" t="n"/>
      <c r="L978" s="60" t="n"/>
      <c r="W978" s="60" t="n"/>
      <c r="X978" s="60" t="n"/>
      <c r="Y978" s="60" t="n"/>
      <c r="Z978" s="60" t="n"/>
      <c r="AA978" s="60" t="n"/>
      <c r="AB978" s="60" t="n"/>
      <c r="AC978" s="60" t="n"/>
    </row>
    <row r="979">
      <c r="E979" s="60" t="n"/>
      <c r="F979" s="60" t="n"/>
      <c r="G979" s="61" t="n"/>
      <c r="J979" s="60" t="n"/>
      <c r="K979" s="60" t="n"/>
      <c r="L979" s="60" t="n"/>
      <c r="W979" s="60" t="n"/>
      <c r="X979" s="60" t="n"/>
      <c r="Y979" s="60" t="n"/>
      <c r="Z979" s="60" t="n"/>
      <c r="AA979" s="60" t="n"/>
      <c r="AB979" s="60" t="n"/>
      <c r="AC979" s="60" t="n"/>
    </row>
    <row r="980">
      <c r="E980" s="60" t="n"/>
      <c r="F980" s="60" t="n"/>
      <c r="G980" s="61" t="n"/>
      <c r="J980" s="60" t="n"/>
      <c r="K980" s="60" t="n"/>
      <c r="L980" s="60" t="n"/>
      <c r="W980" s="60" t="n"/>
      <c r="X980" s="60" t="n"/>
      <c r="Y980" s="60" t="n"/>
      <c r="Z980" s="60" t="n"/>
      <c r="AA980" s="60" t="n"/>
      <c r="AB980" s="60" t="n"/>
      <c r="AC980" s="60" t="n"/>
    </row>
    <row r="981">
      <c r="E981" s="60" t="n"/>
      <c r="F981" s="60" t="n"/>
      <c r="G981" s="61" t="n"/>
      <c r="J981" s="60" t="n"/>
      <c r="K981" s="60" t="n"/>
      <c r="L981" s="60" t="n"/>
      <c r="W981" s="60" t="n"/>
      <c r="X981" s="60" t="n"/>
      <c r="Y981" s="60" t="n"/>
      <c r="Z981" s="60" t="n"/>
      <c r="AA981" s="60" t="n"/>
      <c r="AB981" s="60" t="n"/>
      <c r="AC981" s="60" t="n"/>
    </row>
    <row r="982">
      <c r="E982" s="60" t="n"/>
      <c r="F982" s="60" t="n"/>
      <c r="G982" s="61" t="n"/>
      <c r="J982" s="60" t="n"/>
      <c r="K982" s="60" t="n"/>
      <c r="L982" s="60" t="n"/>
      <c r="W982" s="60" t="n"/>
      <c r="X982" s="60" t="n"/>
      <c r="Y982" s="60" t="n"/>
      <c r="Z982" s="60" t="n"/>
      <c r="AA982" s="60" t="n"/>
      <c r="AB982" s="60" t="n"/>
      <c r="AC982" s="60" t="n"/>
    </row>
    <row r="983">
      <c r="E983" s="60" t="n"/>
      <c r="F983" s="60" t="n"/>
      <c r="G983" s="61" t="n"/>
      <c r="J983" s="60" t="n"/>
      <c r="K983" s="60" t="n"/>
      <c r="L983" s="60" t="n"/>
      <c r="W983" s="60" t="n"/>
      <c r="X983" s="60" t="n"/>
      <c r="Y983" s="60" t="n"/>
      <c r="Z983" s="60" t="n"/>
      <c r="AA983" s="60" t="n"/>
      <c r="AB983" s="60" t="n"/>
      <c r="AC983" s="60" t="n"/>
    </row>
    <row r="984">
      <c r="E984" s="60" t="n"/>
      <c r="F984" s="60" t="n"/>
      <c r="G984" s="61" t="n"/>
      <c r="J984" s="60" t="n"/>
      <c r="K984" s="60" t="n"/>
      <c r="L984" s="60" t="n"/>
      <c r="W984" s="60" t="n"/>
      <c r="X984" s="60" t="n"/>
      <c r="Y984" s="60" t="n"/>
      <c r="Z984" s="60" t="n"/>
      <c r="AA984" s="60" t="n"/>
      <c r="AB984" s="60" t="n"/>
      <c r="AC984" s="60" t="n"/>
    </row>
    <row r="985">
      <c r="E985" s="60" t="n"/>
      <c r="F985" s="60" t="n"/>
      <c r="G985" s="61" t="n"/>
      <c r="J985" s="60" t="n"/>
      <c r="K985" s="60" t="n"/>
      <c r="L985" s="60" t="n"/>
      <c r="W985" s="60" t="n"/>
      <c r="X985" s="60" t="n"/>
      <c r="Y985" s="60" t="n"/>
      <c r="Z985" s="60" t="n"/>
      <c r="AA985" s="60" t="n"/>
      <c r="AB985" s="60" t="n"/>
      <c r="AC985" s="60" t="n"/>
    </row>
    <row r="986">
      <c r="E986" s="60" t="n"/>
      <c r="F986" s="60" t="n"/>
      <c r="G986" s="61" t="n"/>
      <c r="J986" s="60" t="n"/>
      <c r="K986" s="60" t="n"/>
      <c r="L986" s="60" t="n"/>
      <c r="W986" s="60" t="n"/>
      <c r="X986" s="60" t="n"/>
      <c r="Y986" s="60" t="n"/>
      <c r="Z986" s="60" t="n"/>
      <c r="AA986" s="60" t="n"/>
      <c r="AB986" s="60" t="n"/>
      <c r="AC986" s="60" t="n"/>
    </row>
    <row r="987">
      <c r="E987" s="60" t="n"/>
      <c r="F987" s="60" t="n"/>
      <c r="G987" s="61" t="n"/>
      <c r="J987" s="60" t="n"/>
      <c r="K987" s="60" t="n"/>
      <c r="L987" s="60" t="n"/>
      <c r="W987" s="60" t="n"/>
      <c r="X987" s="60" t="n"/>
      <c r="Y987" s="60" t="n"/>
      <c r="Z987" s="60" t="n"/>
      <c r="AA987" s="60" t="n"/>
      <c r="AB987" s="60" t="n"/>
      <c r="AC987" s="60" t="n"/>
    </row>
    <row r="988">
      <c r="E988" s="60" t="n"/>
      <c r="F988" s="60" t="n"/>
      <c r="G988" s="61" t="n"/>
      <c r="J988" s="60" t="n"/>
      <c r="K988" s="60" t="n"/>
      <c r="L988" s="60" t="n"/>
      <c r="W988" s="60" t="n"/>
      <c r="X988" s="60" t="n"/>
      <c r="Y988" s="60" t="n"/>
      <c r="Z988" s="60" t="n"/>
      <c r="AA988" s="60" t="n"/>
      <c r="AB988" s="60" t="n"/>
      <c r="AC988" s="60" t="n"/>
    </row>
    <row r="989">
      <c r="E989" s="60" t="n"/>
      <c r="F989" s="60" t="n"/>
      <c r="G989" s="61" t="n"/>
      <c r="J989" s="60" t="n"/>
      <c r="K989" s="60" t="n"/>
      <c r="L989" s="60" t="n"/>
      <c r="W989" s="60" t="n"/>
      <c r="X989" s="60" t="n"/>
      <c r="Y989" s="60" t="n"/>
      <c r="Z989" s="60" t="n"/>
      <c r="AA989" s="60" t="n"/>
      <c r="AB989" s="60" t="n"/>
      <c r="AC989" s="60" t="n"/>
    </row>
    <row r="990">
      <c r="E990" s="60" t="n"/>
      <c r="F990" s="60" t="n"/>
      <c r="G990" s="61" t="n"/>
      <c r="J990" s="60" t="n"/>
      <c r="K990" s="60" t="n"/>
      <c r="L990" s="60" t="n"/>
      <c r="W990" s="60" t="n"/>
      <c r="X990" s="60" t="n"/>
      <c r="Y990" s="60" t="n"/>
      <c r="Z990" s="60" t="n"/>
      <c r="AA990" s="60" t="n"/>
      <c r="AB990" s="60" t="n"/>
      <c r="AC990" s="60" t="n"/>
    </row>
    <row r="991">
      <c r="E991" s="60" t="n"/>
      <c r="F991" s="60" t="n"/>
      <c r="G991" s="61" t="n"/>
      <c r="J991" s="60" t="n"/>
      <c r="K991" s="60" t="n"/>
      <c r="L991" s="60" t="n"/>
      <c r="W991" s="60" t="n"/>
      <c r="X991" s="60" t="n"/>
      <c r="Y991" s="60" t="n"/>
      <c r="Z991" s="60" t="n"/>
      <c r="AA991" s="60" t="n"/>
      <c r="AB991" s="60" t="n"/>
      <c r="AC991" s="60" t="n"/>
    </row>
    <row r="992">
      <c r="E992" s="60" t="n"/>
      <c r="F992" s="60" t="n"/>
      <c r="G992" s="61" t="n"/>
      <c r="J992" s="60" t="n"/>
      <c r="K992" s="60" t="n"/>
      <c r="L992" s="60" t="n"/>
      <c r="W992" s="60" t="n"/>
      <c r="X992" s="60" t="n"/>
      <c r="Y992" s="60" t="n"/>
      <c r="Z992" s="60" t="n"/>
      <c r="AA992" s="60" t="n"/>
      <c r="AB992" s="60" t="n"/>
      <c r="AC992" s="60" t="n"/>
    </row>
    <row r="993">
      <c r="E993" s="60" t="n"/>
      <c r="F993" s="60" t="n"/>
      <c r="G993" s="61" t="n"/>
      <c r="J993" s="60" t="n"/>
      <c r="K993" s="60" t="n"/>
      <c r="L993" s="60" t="n"/>
      <c r="W993" s="60" t="n"/>
      <c r="X993" s="60" t="n"/>
      <c r="Y993" s="60" t="n"/>
      <c r="Z993" s="60" t="n"/>
      <c r="AA993" s="60" t="n"/>
      <c r="AB993" s="60" t="n"/>
      <c r="AC993" s="60" t="n"/>
    </row>
    <row r="994">
      <c r="E994" s="60" t="n"/>
      <c r="F994" s="60" t="n"/>
      <c r="G994" s="61" t="n"/>
      <c r="J994" s="60" t="n"/>
      <c r="K994" s="60" t="n"/>
      <c r="L994" s="60" t="n"/>
      <c r="W994" s="60" t="n"/>
      <c r="X994" s="60" t="n"/>
      <c r="Y994" s="60" t="n"/>
      <c r="Z994" s="60" t="n"/>
      <c r="AA994" s="60" t="n"/>
      <c r="AB994" s="60" t="n"/>
      <c r="AC994" s="60" t="n"/>
    </row>
  </sheetData>
  <autoFilter ref="$A$4:$AO$42"/>
  <mergeCells count="5">
    <mergeCell ref="W2:AC3"/>
    <mergeCell ref="S3:V3"/>
    <mergeCell ref="K2:V2"/>
    <mergeCell ref="K3:N3"/>
    <mergeCell ref="O3:R3"/>
  </mergeCells>
  <conditionalFormatting sqref="C1:C96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5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BOM:TATACHEM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 t="n">
        <v>717.5</v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 t="n">
        <v>1026.65</v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 t="n">
        <v>692</v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4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History'!$N$4:$N1007)</f>
        <v/>
      </c>
      <c r="D8" s="67" t="n"/>
      <c r="E8" s="72" t="inlineStr">
        <is>
          <t>ST Units</t>
        </is>
      </c>
      <c r="F8" s="71">
        <f>IFERROR(SUM('Trading History'!$R$4:$R1007), 0)</f>
        <v/>
      </c>
      <c r="G8" s="67" t="n"/>
      <c r="H8" s="73" t="inlineStr">
        <is>
          <t>LT Units</t>
        </is>
      </c>
      <c r="I8" s="71">
        <f>SUM('Trading History'!$V$4:$V1007)</f>
        <v/>
      </c>
      <c r="J8" s="67" t="n"/>
      <c r="K8" s="74" t="inlineStr">
        <is>
          <t>Units</t>
        </is>
      </c>
      <c r="L8" s="71">
        <f>SUM('Trading History'!$AB$4:$AB1007)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History'!$L$4:$L1007)</f>
        <v/>
      </c>
      <c r="D10" s="67" t="n"/>
      <c r="E10" s="77" t="inlineStr">
        <is>
          <t>ST Gain</t>
        </is>
      </c>
      <c r="F10" s="80">
        <f>SUM('Trading History'!$P$4:$P1007)</f>
        <v/>
      </c>
      <c r="G10" s="67" t="n"/>
      <c r="H10" s="78" t="inlineStr">
        <is>
          <t>LT Gain</t>
        </is>
      </c>
      <c r="I10" s="80">
        <f>SUM('Trading History'!$T$4:$T1007)</f>
        <v/>
      </c>
      <c r="J10" s="67" t="n"/>
      <c r="K10" s="79" t="inlineStr">
        <is>
          <t>Gain</t>
        </is>
      </c>
      <c r="L10" s="80">
        <f>SUM('Trading History'!$Z$4:$Z1007)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History'!$M$4:$M1007)</f>
        <v/>
      </c>
      <c r="D12" s="67" t="n"/>
      <c r="E12" s="77" t="inlineStr">
        <is>
          <t>ST Gross</t>
        </is>
      </c>
      <c r="F12" s="80">
        <f>SUM('Trading History'!$Q$4:$Q1007)</f>
        <v/>
      </c>
      <c r="G12" s="67" t="n"/>
      <c r="H12" s="78" t="inlineStr">
        <is>
          <t>LT Gross</t>
        </is>
      </c>
      <c r="I12" s="80">
        <f>SUM('Trading History'!$U$4:$U1007)</f>
        <v/>
      </c>
      <c r="J12" s="67" t="n"/>
      <c r="K12" s="79" t="inlineStr">
        <is>
          <t>Gross</t>
        </is>
      </c>
      <c r="L12" s="80">
        <f>SUM('Trading History'!$AA$4:$AA1007)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History'!$B17:$B1007,"DIV",'Trading History'!$AC$4:$AC1007)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History'!$N$4:$N1007, 'Trading History'!$K$4:$K1007, CONCAT("&gt;", $A15))</f>
        <v/>
      </c>
      <c r="D15" s="67" t="n"/>
      <c r="E15" s="72" t="inlineStr">
        <is>
          <t>ST Units</t>
        </is>
      </c>
      <c r="F15" s="71">
        <f>IFERROR(SUMIFS('Trading History'!$R$4:$R1007, 'Trading History'!$O$4:$O1007, CONCAT("&gt;", $A15)), 0)</f>
        <v/>
      </c>
      <c r="G15" s="67" t="n"/>
      <c r="H15" s="73" t="inlineStr">
        <is>
          <t>LT Units</t>
        </is>
      </c>
      <c r="I15" s="71">
        <f>SUMIFS('Trading History'!$V$4:$V1007, 'Trading History'!$S$4:$S1007, CONCAT("&gt;", $A15))</f>
        <v/>
      </c>
      <c r="J15" s="67" t="n"/>
      <c r="K15" s="74" t="inlineStr">
        <is>
          <t>Units</t>
        </is>
      </c>
      <c r="L15" s="71">
        <f>SUMIFS('Trading History'!$AB$4:$AB1007, 'Trading History'!$Y$4:$Y1007,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History'!$L$4:$L1007, 'Trading History'!$K$4:$K1007, CONCAT("&gt;", $A15))</f>
        <v/>
      </c>
      <c r="D17" s="67" t="n"/>
      <c r="E17" s="77" t="inlineStr">
        <is>
          <t>ST Gain</t>
        </is>
      </c>
      <c r="F17" s="80">
        <f>SUMIFS('Trading History'!$P$4:$P1007, 'Trading History'!$O$4:$O1007, CONCAT("&gt;", $A15))</f>
        <v/>
      </c>
      <c r="G17" s="67" t="n"/>
      <c r="H17" s="78" t="inlineStr">
        <is>
          <t>LT Gain</t>
        </is>
      </c>
      <c r="I17" s="80">
        <f>SUMIFS('Trading History'!$T$4:$T1007, 'Trading History'!$S$4:$S1007, CONCAT("&gt;", $A15))</f>
        <v/>
      </c>
      <c r="J17" s="67" t="n"/>
      <c r="K17" s="79" t="inlineStr">
        <is>
          <t>Gain</t>
        </is>
      </c>
      <c r="L17" s="80">
        <f>SUMIFS('Trading History'!$Z$4:$Z1007, 'Trading History'!$Y$4:$Y1007,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History'!$M$4:$M1007, 'Trading History'!$K$4:$K1007, CONCAT("&gt;", $A15))</f>
        <v/>
      </c>
      <c r="D19" s="67" t="n"/>
      <c r="E19" s="77" t="inlineStr">
        <is>
          <t>ST Gross</t>
        </is>
      </c>
      <c r="F19" s="80">
        <f>SUMIFS('Trading History'!$Q$4:$Q1007, 'Trading History'!$O$4:$O1007, CONCAT("&gt;", $A15))</f>
        <v/>
      </c>
      <c r="G19" s="67" t="n"/>
      <c r="H19" s="78" t="inlineStr">
        <is>
          <t>LT Gross</t>
        </is>
      </c>
      <c r="I19" s="80">
        <f>SUMIFS('Trading History'!$U$4:$U1007, 'Trading History'!$S$4:$S1007, CONCAT("&gt;", $A15))</f>
        <v/>
      </c>
      <c r="J19" s="67" t="n"/>
      <c r="K19" s="79" t="inlineStr">
        <is>
          <t>Gross</t>
        </is>
      </c>
      <c r="L19" s="80">
        <f>SUMIFS('Trading History'!$AA$4:$AA1007, 'Trading History'!$Y$4:$Y1007,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History'!$N$4:$N1007, 'Trading History'!$K$4:$K1007, CONCAT("&gt;", $A22))</f>
        <v/>
      </c>
      <c r="D22" s="67" t="n"/>
      <c r="E22" s="72" t="inlineStr">
        <is>
          <t>ST Units</t>
        </is>
      </c>
      <c r="F22" s="71">
        <f>IFERROR(SUMIFS('Trading History'!$R$4:$R1007, 'Trading History'!$O$4:$O1007, CONCAT("&gt;", $A22)), 0)</f>
        <v/>
      </c>
      <c r="G22" s="67" t="n"/>
      <c r="H22" s="73" t="inlineStr">
        <is>
          <t>LT Units</t>
        </is>
      </c>
      <c r="I22" s="71">
        <f>SUMIFS('Trading History'!$V$4:$V1007, 'Trading History'!$S$4:$S1007, CONCAT("&gt;", $A22))</f>
        <v/>
      </c>
      <c r="J22" s="67" t="n"/>
      <c r="K22" s="74" t="inlineStr">
        <is>
          <t>Units</t>
        </is>
      </c>
      <c r="L22" s="71">
        <f>SUMIFS('Trading History'!$AB$4:$AB1007, 'Trading History'!$Y$4:$Y1007,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History'!$L$4:$L1007, 'Trading History'!$K$4:$K1007, CONCAT("&gt;", $A22))</f>
        <v/>
      </c>
      <c r="D24" s="67" t="n"/>
      <c r="E24" s="77" t="inlineStr">
        <is>
          <t>ST Gain</t>
        </is>
      </c>
      <c r="F24" s="80">
        <f>SUMIFS('Trading History'!$P$4:$P1007, 'Trading History'!$O$4:$O1007, CONCAT("&gt;", $A22))</f>
        <v/>
      </c>
      <c r="G24" s="67" t="n"/>
      <c r="H24" s="78" t="inlineStr">
        <is>
          <t>LT Gain</t>
        </is>
      </c>
      <c r="I24" s="80">
        <f>SUMIFS('Trading History'!$T$4:$T1007, 'Trading History'!$S$4:$S1007, CONCAT("&gt;", $A22))</f>
        <v/>
      </c>
      <c r="J24" s="67" t="n"/>
      <c r="K24" s="79" t="inlineStr">
        <is>
          <t>Gain</t>
        </is>
      </c>
      <c r="L24" s="80">
        <f>SUMIFS('Trading History'!$Z$4:$Z1007, 'Trading History'!$Y$4:$Y1007,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History'!$M$4:$M1007, 'Trading History'!$K$4:$K1007, CONCAT("&gt;", $A22))</f>
        <v/>
      </c>
      <c r="D26" s="67" t="n"/>
      <c r="E26" s="77" t="inlineStr">
        <is>
          <t>ST Gross</t>
        </is>
      </c>
      <c r="F26" s="80">
        <f>SUMIFS('Trading History'!$Q$4:$Q1007, 'Trading History'!$O$4:$O1007, CONCAT("&gt;", $A22))</f>
        <v/>
      </c>
      <c r="G26" s="67" t="n"/>
      <c r="H26" s="78" t="inlineStr">
        <is>
          <t>LT Gross</t>
        </is>
      </c>
      <c r="I26" s="80">
        <f>SUMIFS('Trading History'!$U$4:$U1007, 'Trading History'!$S$4:$S1007, CONCAT("&gt;", $A22))</f>
        <v/>
      </c>
      <c r="J26" s="67" t="n"/>
      <c r="K26" s="79" t="inlineStr">
        <is>
          <t>Gross</t>
        </is>
      </c>
      <c r="L26" s="80">
        <f>SUMIFS('Trading History'!$AA$4:$AA1007, 'Trading History'!$Y$4:$Y1007,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History'!$N$4:$N1007, 'Trading History'!$K$4:$K1007, CONCAT("&gt;", $A29))</f>
        <v/>
      </c>
      <c r="D29" s="67" t="n"/>
      <c r="E29" s="72" t="inlineStr">
        <is>
          <t>ST Units</t>
        </is>
      </c>
      <c r="F29" s="71">
        <f>IFERROR(SUMIFS('Trading History'!$R$4:$R1007, 'Trading History'!$O$4:$O1007, CONCAT("&gt;", $A29)), 0)</f>
        <v/>
      </c>
      <c r="G29" s="67" t="n"/>
      <c r="H29" s="73" t="inlineStr">
        <is>
          <t>LT Units</t>
        </is>
      </c>
      <c r="I29" s="71">
        <f>SUMIFS('Trading History'!$V$4:$V1007, 'Trading History'!$S$4:$S1007, CONCAT("&gt;", $A29))</f>
        <v/>
      </c>
      <c r="J29" s="67" t="n"/>
      <c r="K29" s="74" t="inlineStr">
        <is>
          <t>Units</t>
        </is>
      </c>
      <c r="L29" s="71">
        <f>SUMIFS('Trading History'!$AB$4:$AB1007, 'Trading History'!$Y$4:$Y1007,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History'!$L$4:$L1007, 'Trading History'!$K$4:$K1007, CONCAT("&gt;", $A29))</f>
        <v/>
      </c>
      <c r="D31" s="67" t="n"/>
      <c r="E31" s="77" t="inlineStr">
        <is>
          <t>ST Gain</t>
        </is>
      </c>
      <c r="F31" s="80">
        <f>SUMIFS('Trading History'!$P$4:$P1007, 'Trading History'!$O$4:$O1007, CONCAT("&gt;", $A29))</f>
        <v/>
      </c>
      <c r="G31" s="67" t="n"/>
      <c r="H31" s="78" t="inlineStr">
        <is>
          <t>LT Gain</t>
        </is>
      </c>
      <c r="I31" s="80">
        <f>SUMIFS('Trading History'!$T$4:$T1007, 'Trading History'!$S$4:$S1007, CONCAT("&gt;", $A29))</f>
        <v/>
      </c>
      <c r="J31" s="67" t="n"/>
      <c r="K31" s="79" t="inlineStr">
        <is>
          <t>Gain</t>
        </is>
      </c>
      <c r="L31" s="80">
        <f>SUMIFS('Trading History'!$Z$4:$Z1007, 'Trading History'!$Y$4:$Y1007,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History'!$M$4:$M1007, 'Trading History'!$K$4:$K1007, CONCAT("&gt;", $A29))</f>
        <v/>
      </c>
      <c r="D33" s="67" t="n"/>
      <c r="E33" s="77" t="inlineStr">
        <is>
          <t>ST Gross</t>
        </is>
      </c>
      <c r="F33" s="80">
        <f>SUMIFS('Trading History'!$Q$4:$Q1007, 'Trading History'!$O$4:$O1007, CONCAT("&gt;", $A29))</f>
        <v/>
      </c>
      <c r="G33" s="67" t="n"/>
      <c r="H33" s="78" t="inlineStr">
        <is>
          <t>LT Gross</t>
        </is>
      </c>
      <c r="I33" s="80">
        <f>SUMIFS('Trading History'!$U$4:$U1007, 'Trading History'!$S$4:$S1007, CONCAT("&gt;", $A29))</f>
        <v/>
      </c>
      <c r="J33" s="67" t="n"/>
      <c r="K33" s="79" t="inlineStr">
        <is>
          <t>Gross</t>
        </is>
      </c>
      <c r="L33" s="80">
        <f>SUMIFS('Trading History'!$AA$4:$AA1007, 'Trading History'!$Y$4:$Y1007,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History'!$N$4:$N1007, 'Trading History'!$K$4:$K1007, CONCAT("&gt;", $A36))</f>
        <v/>
      </c>
      <c r="D36" s="67" t="n"/>
      <c r="E36" s="72" t="inlineStr">
        <is>
          <t>ST Units</t>
        </is>
      </c>
      <c r="F36" s="71">
        <f>IFERROR(SUMIFS('Trading History'!$R$4:$R1007, 'Trading History'!$O$4:$O1007, CONCAT("&gt;", $A36)), 0)</f>
        <v/>
      </c>
      <c r="G36" s="67" t="n"/>
      <c r="H36" s="73" t="inlineStr">
        <is>
          <t>LT Units</t>
        </is>
      </c>
      <c r="I36" s="71">
        <f>SUMIFS('Trading History'!$V$4:$V1007, 'Trading History'!$S$4:$S1007, CONCAT("&gt;", $A36))</f>
        <v/>
      </c>
      <c r="J36" s="67" t="n"/>
      <c r="K36" s="74" t="inlineStr">
        <is>
          <t>Units</t>
        </is>
      </c>
      <c r="L36" s="71">
        <f>SUMIFS('Trading History'!$AB$4:$AB1007, 'Trading History'!$Y$4:$Y1007,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History'!$L$4:$L1007, 'Trading History'!$K$4:$K1007, CONCAT("&gt;", $A36))</f>
        <v/>
      </c>
      <c r="D38" s="67" t="n"/>
      <c r="E38" s="77" t="inlineStr">
        <is>
          <t>ST Gain</t>
        </is>
      </c>
      <c r="F38" s="80">
        <f>SUMIFS('Trading History'!$P$4:$P1007, 'Trading History'!$O$4:$O1007, CONCAT("&gt;", $A36))</f>
        <v/>
      </c>
      <c r="G38" s="67" t="n"/>
      <c r="H38" s="78" t="inlineStr">
        <is>
          <t>LT Gain</t>
        </is>
      </c>
      <c r="I38" s="80">
        <f>SUMIFS('Trading History'!$T$4:$T1007, 'Trading History'!$S$4:$S1007, CONCAT("&gt;", $A36))</f>
        <v/>
      </c>
      <c r="J38" s="67" t="n"/>
      <c r="K38" s="79" t="inlineStr">
        <is>
          <t>Gain</t>
        </is>
      </c>
      <c r="L38" s="80">
        <f>SUMIFS('Trading History'!$Z$4:$Z1007, 'Trading History'!$Y$4:$Y1007,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History'!$M$4:$M1007, 'Trading History'!$K$4:$K1007, CONCAT("&gt;", $A36))</f>
        <v/>
      </c>
      <c r="D40" s="67" t="n"/>
      <c r="E40" s="77" t="inlineStr">
        <is>
          <t>ST Gross</t>
        </is>
      </c>
      <c r="F40" s="80">
        <f>SUMIFS('Trading History'!$Q$4:$Q1007, 'Trading History'!$O$4:$O1007, CONCAT("&gt;", $A36))</f>
        <v/>
      </c>
      <c r="G40" s="67" t="n"/>
      <c r="H40" s="78" t="inlineStr">
        <is>
          <t>LT Gross</t>
        </is>
      </c>
      <c r="I40" s="80">
        <f>SUMIFS('Trading History'!$U$4:$U1007, 'Trading History'!$S$4:$S1007, CONCAT("&gt;", $A36))</f>
        <v/>
      </c>
      <c r="J40" s="67" t="n"/>
      <c r="K40" s="79" t="inlineStr">
        <is>
          <t>Gross</t>
        </is>
      </c>
      <c r="L40" s="80">
        <f>SUMIFS('Trading History'!$AA$4:$AA1007, 'Trading History'!$Y$4:$Y1007,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History'!$N$4:$N1007, 'Trading History'!$K$4:$K1007, CONCAT("&gt;", $A43))</f>
        <v/>
      </c>
      <c r="D43" s="67" t="n"/>
      <c r="E43" s="72" t="inlineStr">
        <is>
          <t>ST Units</t>
        </is>
      </c>
      <c r="F43" s="71">
        <f>IFERROR(SUMIFS('Trading History'!$R$4:$R1007, 'Trading History'!$O$4:$O1007, CONCAT("&gt;", $A43)), 0)</f>
        <v/>
      </c>
      <c r="G43" s="67" t="n"/>
      <c r="H43" s="73" t="inlineStr">
        <is>
          <t>LT Units</t>
        </is>
      </c>
      <c r="I43" s="71">
        <f>SUMIFS('Trading History'!$V$4:$V1007, 'Trading History'!$S$4:$S1007, CONCAT("&gt;", $A43))</f>
        <v/>
      </c>
      <c r="J43" s="67" t="n"/>
      <c r="K43" s="74" t="inlineStr">
        <is>
          <t>Units</t>
        </is>
      </c>
      <c r="L43" s="71">
        <f>SUMIFS('Trading History'!$AB$4:$AB1007, 'Trading History'!$Y$4:$Y1007,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History'!$L$4:$L1007, 'Trading History'!$K$4:$K1007, CONCAT("&gt;", $A43))</f>
        <v/>
      </c>
      <c r="D45" s="67" t="n"/>
      <c r="E45" s="77" t="inlineStr">
        <is>
          <t>ST Gain</t>
        </is>
      </c>
      <c r="F45" s="80">
        <f>SUMIFS('Trading History'!$P$4:$P1007, 'Trading History'!$O$4:$O1007, CONCAT("&gt;", $A43))</f>
        <v/>
      </c>
      <c r="G45" s="67" t="n"/>
      <c r="H45" s="78" t="inlineStr">
        <is>
          <t>LT Gain</t>
        </is>
      </c>
      <c r="I45" s="80">
        <f>SUMIFS('Trading History'!$T$4:$T1007, 'Trading History'!$S$4:$S1007, CONCAT("&gt;", $A43))</f>
        <v/>
      </c>
      <c r="J45" s="67" t="n"/>
      <c r="K45" s="79" t="inlineStr">
        <is>
          <t>Gain</t>
        </is>
      </c>
      <c r="L45" s="80">
        <f>SUMIFS('Trading History'!$Z$4:$Z1007, 'Trading History'!$Y$4:$Y1007,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History'!$M$4:$M1007, 'Trading History'!$K$4:$K1007, CONCAT("&gt;", $A43))</f>
        <v/>
      </c>
      <c r="D47" s="67" t="n"/>
      <c r="E47" s="77" t="inlineStr">
        <is>
          <t>ST Gross</t>
        </is>
      </c>
      <c r="F47" s="80">
        <f>SUMIFS('Trading History'!$Q$4:$Q1007, 'Trading History'!$O$4:$O1007, CONCAT("&gt;", $A43))</f>
        <v/>
      </c>
      <c r="G47" s="67" t="n"/>
      <c r="H47" s="78" t="inlineStr">
        <is>
          <t>LT Gross</t>
        </is>
      </c>
      <c r="I47" s="80">
        <f>SUMIFS('Trading History'!$U$4:$U1007, 'Trading History'!$S$4:$S1007, CONCAT("&gt;", $A43))</f>
        <v/>
      </c>
      <c r="J47" s="67" t="n"/>
      <c r="K47" s="79" t="inlineStr">
        <is>
          <t>Gross</t>
        </is>
      </c>
      <c r="L47" s="80">
        <f>SUMIFS('Trading History'!$AA$4:$AA1007, 'Trading History'!$Y$4:$Y1007,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History'!$N$4:$N1007, 'Trading History'!$K$4:$K1007, CONCAT("&gt;", $A50))</f>
        <v/>
      </c>
      <c r="D50" s="67" t="n"/>
      <c r="E50" s="72" t="inlineStr">
        <is>
          <t>ST Units</t>
        </is>
      </c>
      <c r="F50" s="71">
        <f>IFERROR(SUMIFS('Trading History'!$R$4:$R1007, 'Trading History'!$O$4:$O1007, CONCAT("&gt;", $A50)), 0)</f>
        <v/>
      </c>
      <c r="G50" s="67" t="n"/>
      <c r="H50" s="73" t="inlineStr">
        <is>
          <t>LT Units</t>
        </is>
      </c>
      <c r="I50" s="71">
        <f>SUMIFS('Trading History'!$V$4:$V1007, 'Trading History'!$S$4:$S1007, CONCAT("&gt;", $A50))</f>
        <v/>
      </c>
      <c r="J50" s="67" t="n"/>
      <c r="K50" s="74" t="inlineStr">
        <is>
          <t>Units</t>
        </is>
      </c>
      <c r="L50" s="71">
        <f>SUMIFS('Trading History'!$AB$4:$AB1007, 'Trading History'!$Y$4:$Y1007,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History'!$L$4:$L1007, 'Trading History'!$K$4:$K1007, CONCAT("&gt;", $A50))</f>
        <v/>
      </c>
      <c r="D52" s="67" t="n"/>
      <c r="E52" s="77" t="inlineStr">
        <is>
          <t>ST Gain</t>
        </is>
      </c>
      <c r="F52" s="80">
        <f>SUMIFS('Trading History'!$P$4:$P1007, 'Trading History'!$O$4:$O1007, CONCAT("&gt;", $A50))</f>
        <v/>
      </c>
      <c r="G52" s="67" t="n"/>
      <c r="H52" s="78" t="inlineStr">
        <is>
          <t>LT Gain</t>
        </is>
      </c>
      <c r="I52" s="80">
        <f>SUMIFS('Trading History'!$T$4:$T1007, 'Trading History'!$S$4:$S1007, CONCAT("&gt;", $A50))</f>
        <v/>
      </c>
      <c r="J52" s="67" t="n"/>
      <c r="K52" s="79" t="inlineStr">
        <is>
          <t>Gain</t>
        </is>
      </c>
      <c r="L52" s="80">
        <f>SUMIFS('Trading History'!$Z$4:$Z1007, 'Trading History'!$Y$4:$Y1007,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History'!$M$4:$M1007, 'Trading History'!$K$4:$K1007, CONCAT("&gt;", $A50))</f>
        <v/>
      </c>
      <c r="D54" s="67" t="n"/>
      <c r="E54" s="77" t="inlineStr">
        <is>
          <t>ST Gross</t>
        </is>
      </c>
      <c r="F54" s="80">
        <f>SUMIFS('Trading History'!$Q$4:$Q1007, 'Trading History'!$O$4:$O1007, CONCAT("&gt;", $A50))</f>
        <v/>
      </c>
      <c r="G54" s="67" t="n"/>
      <c r="H54" s="78" t="inlineStr">
        <is>
          <t>LT Gross</t>
        </is>
      </c>
      <c r="I54" s="80">
        <f>SUMIFS('Trading History'!$U$4:$U1007, 'Trading History'!$S$4:$S1007, CONCAT("&gt;", $A50))</f>
        <v/>
      </c>
      <c r="J54" s="67" t="n"/>
      <c r="K54" s="79" t="inlineStr">
        <is>
          <t>Gross</t>
        </is>
      </c>
      <c r="L54" s="80">
        <f>SUMIFS('Trading History'!$AA$4:$AA1007, 'Trading History'!$Y$4:$Y1007,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History'!$N$4:$N1007, 'Trading History'!$K$4:$K1007, CONCAT("&gt;", $A57))</f>
        <v/>
      </c>
      <c r="D57" s="67" t="n"/>
      <c r="E57" s="72" t="inlineStr">
        <is>
          <t>ST Units</t>
        </is>
      </c>
      <c r="F57" s="71">
        <f>IFERROR(SUMIFS('Trading History'!$R$4:$R1007, 'Trading History'!$O$4:$O1007, CONCAT("&gt;", $A57)), 0)</f>
        <v/>
      </c>
      <c r="G57" s="67" t="n"/>
      <c r="H57" s="73" t="inlineStr">
        <is>
          <t>LT Units</t>
        </is>
      </c>
      <c r="I57" s="71">
        <f>SUMIFS('Trading History'!$V$4:$V1007, 'Trading History'!$S$4:$S1007, CONCAT("&gt;", $A57))</f>
        <v/>
      </c>
      <c r="J57" s="67" t="n"/>
      <c r="K57" s="74" t="inlineStr">
        <is>
          <t>Units</t>
        </is>
      </c>
      <c r="L57" s="71">
        <f>SUMIFS('Trading History'!$AB$4:$AB1007, 'Trading History'!$Y$4:$Y1007,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History'!$L$4:$L1007, 'Trading History'!$K$4:$K1007, CONCAT("&gt;", $A57))</f>
        <v/>
      </c>
      <c r="D59" s="67" t="n"/>
      <c r="E59" s="77" t="inlineStr">
        <is>
          <t>ST Gain</t>
        </is>
      </c>
      <c r="F59" s="80">
        <f>SUMIFS('Trading History'!$P$4:$P1007, 'Trading History'!$O$4:$O1007, CONCAT("&gt;", $A57))</f>
        <v/>
      </c>
      <c r="G59" s="67" t="n"/>
      <c r="H59" s="78" t="inlineStr">
        <is>
          <t>LT Gain</t>
        </is>
      </c>
      <c r="I59" s="80">
        <f>SUMIFS('Trading History'!$T$4:$T1007, 'Trading History'!$S$4:$S1007, CONCAT("&gt;", $A57))</f>
        <v/>
      </c>
      <c r="J59" s="67" t="n"/>
      <c r="K59" s="79" t="inlineStr">
        <is>
          <t>Gain</t>
        </is>
      </c>
      <c r="L59" s="80">
        <f>SUMIFS('Trading History'!$Z$4:$Z1007, 'Trading History'!$Y$4:$Y1007,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History'!$M$4:$M1007, 'Trading History'!$K$4:$K1007, CONCAT("&gt;", $A57))</f>
        <v/>
      </c>
      <c r="D61" s="67" t="n"/>
      <c r="E61" s="77" t="inlineStr">
        <is>
          <t>ST Gross</t>
        </is>
      </c>
      <c r="F61" s="80">
        <f>SUMIFS('Trading History'!$Q$4:$Q1007, 'Trading History'!$O$4:$O1007, CONCAT("&gt;", $A57))</f>
        <v/>
      </c>
      <c r="G61" s="67" t="n"/>
      <c r="H61" s="78" t="inlineStr">
        <is>
          <t>LT Gross</t>
        </is>
      </c>
      <c r="I61" s="80">
        <f>SUMIFS('Trading History'!$U$4:$U1007, 'Trading History'!$S$4:$S1007, CONCAT("&gt;", $A57))</f>
        <v/>
      </c>
      <c r="J61" s="67" t="n"/>
      <c r="K61" s="79" t="inlineStr">
        <is>
          <t>Gross</t>
        </is>
      </c>
      <c r="L61" s="80">
        <f>SUMIFS('Trading History'!$AA$4:$AA1007, 'Trading History'!$Y$4:$Y1007,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History'!$N$4:$N1007, 'Trading History'!$K$4:$K1007, CONCAT("&gt;", $A64))</f>
        <v/>
      </c>
      <c r="D64" s="67" t="n"/>
      <c r="E64" s="72" t="inlineStr">
        <is>
          <t>ST Units</t>
        </is>
      </c>
      <c r="F64" s="71">
        <f>IFERROR(SUMIFS('Trading History'!$R$4:$R1007, 'Trading History'!$O$4:$O1007, CONCAT("&gt;", $A64)), 0)</f>
        <v/>
      </c>
      <c r="G64" s="67" t="n"/>
      <c r="H64" s="73" t="inlineStr">
        <is>
          <t>LT Units</t>
        </is>
      </c>
      <c r="I64" s="71">
        <f>SUMIFS('Trading History'!$V$4:$V1007, 'Trading History'!$S$4:$S1007, CONCAT("&gt;", $A64))</f>
        <v/>
      </c>
      <c r="J64" s="67" t="n"/>
      <c r="K64" s="74" t="inlineStr">
        <is>
          <t>Units</t>
        </is>
      </c>
      <c r="L64" s="71">
        <f>SUMIFS('Trading History'!$AB$4:$AB1007, 'Trading History'!$Y$4:$Y1007,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History'!$L$4:$L1007, 'Trading History'!$K$4:$K1007, CONCAT("&gt;", $A64))</f>
        <v/>
      </c>
      <c r="D66" s="67" t="n"/>
      <c r="E66" s="77" t="inlineStr">
        <is>
          <t>ST Gain</t>
        </is>
      </c>
      <c r="F66" s="80">
        <f>SUMIFS('Trading History'!$P$4:$P1007, 'Trading History'!$O$4:$O1007, CONCAT("&gt;", $A64))</f>
        <v/>
      </c>
      <c r="G66" s="67" t="n"/>
      <c r="H66" s="78" t="inlineStr">
        <is>
          <t>LT Gain</t>
        </is>
      </c>
      <c r="I66" s="80">
        <f>SUMIFS('Trading History'!$T$4:$T1007, 'Trading History'!$S$4:$S1007, CONCAT("&gt;", $A64))</f>
        <v/>
      </c>
      <c r="J66" s="67" t="n"/>
      <c r="K66" s="79" t="inlineStr">
        <is>
          <t>Gain</t>
        </is>
      </c>
      <c r="L66" s="80">
        <f>SUMIFS('Trading History'!$Z$4:$Z1007, 'Trading History'!$Y$4:$Y1007,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History'!$M$4:$M1007, 'Trading History'!$K$4:$K1007, CONCAT("&gt;", $A64))</f>
        <v/>
      </c>
      <c r="D68" s="67" t="n"/>
      <c r="E68" s="77" t="inlineStr">
        <is>
          <t>ST Gross</t>
        </is>
      </c>
      <c r="F68" s="80">
        <f>SUMIFS('Trading History'!$Q$4:$Q1007, 'Trading History'!$O$4:$O1007, CONCAT("&gt;", $A64))</f>
        <v/>
      </c>
      <c r="G68" s="67" t="n"/>
      <c r="H68" s="78" t="inlineStr">
        <is>
          <t>LT Gross</t>
        </is>
      </c>
      <c r="I68" s="80">
        <f>SUMIFS('Trading History'!$U$4:$U1007, 'Trading History'!$S$4:$S1007, CONCAT("&gt;", $A64))</f>
        <v/>
      </c>
      <c r="J68" s="67" t="n"/>
      <c r="K68" s="79" t="inlineStr">
        <is>
          <t>Gross</t>
        </is>
      </c>
      <c r="L68" s="80">
        <f>SUMIFS('Trading History'!$AA$4:$AA1007, 'Trading History'!$Y$4:$Y1007,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History'!$N$4:$N1007, 'Trading History'!$K$4:$K1007, CONCAT("&gt;", $A71))</f>
        <v/>
      </c>
      <c r="D71" s="67" t="n"/>
      <c r="E71" s="72" t="inlineStr">
        <is>
          <t>ST Units</t>
        </is>
      </c>
      <c r="F71" s="71">
        <f>IFERROR(SUMIFS('Trading History'!$R$4:$R1007, 'Trading History'!$O$4:$O1007, CONCAT("&gt;", $A71)), 0)</f>
        <v/>
      </c>
      <c r="G71" s="67" t="n"/>
      <c r="H71" s="73" t="inlineStr">
        <is>
          <t>LT Units</t>
        </is>
      </c>
      <c r="I71" s="71">
        <f>SUMIFS('Trading History'!$V$4:$V1007, 'Trading History'!$S$4:$S1007, CONCAT("&gt;", $A71))</f>
        <v/>
      </c>
      <c r="J71" s="67" t="n"/>
      <c r="K71" s="74" t="inlineStr">
        <is>
          <t>Units</t>
        </is>
      </c>
      <c r="L71" s="71">
        <f>SUMIFS('Trading History'!$AB$4:$AB1007, 'Trading History'!$Y$4:$Y1007,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History'!$L$4:$L1007, 'Trading History'!$K$4:$K1007, CONCAT("&gt;", $A71))</f>
        <v/>
      </c>
      <c r="D73" s="67" t="n"/>
      <c r="E73" s="77" t="inlineStr">
        <is>
          <t>ST Gain</t>
        </is>
      </c>
      <c r="F73" s="80">
        <f>SUMIFS('Trading History'!$P$4:$P1007, 'Trading History'!$O$4:$O1007, CONCAT("&gt;", $A71))</f>
        <v/>
      </c>
      <c r="G73" s="67" t="n"/>
      <c r="H73" s="78" t="inlineStr">
        <is>
          <t>LT Gain</t>
        </is>
      </c>
      <c r="I73" s="80">
        <f>SUMIFS('Trading History'!$T$4:$T1007, 'Trading History'!$S$4:$S1007, CONCAT("&gt;", $A71))</f>
        <v/>
      </c>
      <c r="J73" s="67" t="n"/>
      <c r="K73" s="79" t="inlineStr">
        <is>
          <t>Gain</t>
        </is>
      </c>
      <c r="L73" s="80">
        <f>SUMIFS('Trading History'!$Z$4:$Z1007, 'Trading History'!$Y$4:$Y1007,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History'!$M$4:$M1007, 'Trading History'!$K$4:$K1007, CONCAT("&gt;", $A71))</f>
        <v/>
      </c>
      <c r="D75" s="67" t="n"/>
      <c r="E75" s="77" t="inlineStr">
        <is>
          <t>ST Gross</t>
        </is>
      </c>
      <c r="F75" s="80">
        <f>SUMIFS('Trading History'!$Q$4:$Q1007, 'Trading History'!$O$4:$O1007, CONCAT("&gt;", $A71))</f>
        <v/>
      </c>
      <c r="G75" s="67" t="n"/>
      <c r="H75" s="78" t="inlineStr">
        <is>
          <t>LT Gross</t>
        </is>
      </c>
      <c r="I75" s="80">
        <f>SUMIFS('Trading History'!$U$4:$U1007, 'Trading History'!$S$4:$S1007, CONCAT("&gt;", $A71))</f>
        <v/>
      </c>
      <c r="J75" s="67" t="n"/>
      <c r="K75" s="79" t="inlineStr">
        <is>
          <t>Gross</t>
        </is>
      </c>
      <c r="L75" s="80">
        <f>SUMIFS('Trading History'!$AA$4:$AA1007, 'Trading History'!$Y$4:$Y1007,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History'!$N$4:$N1007, 'Trading History'!$K$4:$K1007, CONCAT("&gt;", $A78))</f>
        <v/>
      </c>
      <c r="D78" s="67" t="n"/>
      <c r="E78" s="72" t="inlineStr">
        <is>
          <t>ST Units</t>
        </is>
      </c>
      <c r="F78" s="71">
        <f>IFERROR(SUMIFS('Trading History'!$R$4:$R1007, 'Trading History'!$O$4:$O1007, CONCAT("&gt;", $A78)), 0)</f>
        <v/>
      </c>
      <c r="G78" s="67" t="n"/>
      <c r="H78" s="73" t="inlineStr">
        <is>
          <t>LT Units</t>
        </is>
      </c>
      <c r="I78" s="71">
        <f>SUMIFS('Trading History'!$V$4:$V1007, 'Trading History'!$S$4:$S1007, CONCAT("&gt;", $A78))</f>
        <v/>
      </c>
      <c r="J78" s="67" t="n"/>
      <c r="K78" s="74" t="inlineStr">
        <is>
          <t>Units</t>
        </is>
      </c>
      <c r="L78" s="71">
        <f>SUMIFS('Trading History'!$AB$4:$AB1007, 'Trading History'!$Y$4:$Y1007,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History'!$L$4:$L1007, 'Trading History'!$K$4:$K1007, CONCAT("&gt;", $A78))</f>
        <v/>
      </c>
      <c r="D80" s="67" t="n"/>
      <c r="E80" s="77" t="inlineStr">
        <is>
          <t>ST Gain</t>
        </is>
      </c>
      <c r="F80" s="80">
        <f>SUMIFS('Trading History'!$P$4:$P1007, 'Trading History'!$O$4:$O1007, CONCAT("&gt;", $A78))</f>
        <v/>
      </c>
      <c r="G80" s="67" t="n"/>
      <c r="H80" s="78" t="inlineStr">
        <is>
          <t>LT Gain</t>
        </is>
      </c>
      <c r="I80" s="80">
        <f>SUMIFS('Trading History'!$T$4:$T1007, 'Trading History'!$S$4:$S1007, CONCAT("&gt;", $A78))</f>
        <v/>
      </c>
      <c r="J80" s="67" t="n"/>
      <c r="K80" s="79" t="inlineStr">
        <is>
          <t>Gain</t>
        </is>
      </c>
      <c r="L80" s="80">
        <f>SUMIFS('Trading History'!$Z$4:$Z1007, 'Trading History'!$Y$4:$Y1007,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History'!$M$4:$M1007, 'Trading History'!$K$4:$K1007, CONCAT("&gt;", $A78))</f>
        <v/>
      </c>
      <c r="D82" s="67" t="n"/>
      <c r="E82" s="77" t="inlineStr">
        <is>
          <t>ST Gross</t>
        </is>
      </c>
      <c r="F82" s="80">
        <f>SUMIFS('Trading History'!$Q$4:$Q1007, 'Trading History'!$O$4:$O1007, CONCAT("&gt;", $A78))</f>
        <v/>
      </c>
      <c r="G82" s="67" t="n"/>
      <c r="H82" s="78" t="inlineStr">
        <is>
          <t>LT Gross</t>
        </is>
      </c>
      <c r="I82" s="80">
        <f>SUMIFS('Trading History'!$U$4:$U1007, 'Trading History'!$S$4:$S1007, CONCAT("&gt;", $A78))</f>
        <v/>
      </c>
      <c r="J82" s="67" t="n"/>
      <c r="K82" s="79" t="inlineStr">
        <is>
          <t>Gross</t>
        </is>
      </c>
      <c r="L82" s="80">
        <f>SUMIFS('Trading History'!$AA$4:$AA1007, 'Trading History'!$Y$4:$Y1007,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History'!$N$4:$N1007, 'Trading History'!$K$4:$K1007, CONCAT("&gt;", $A85))</f>
        <v/>
      </c>
      <c r="D85" s="67" t="n"/>
      <c r="E85" s="72" t="inlineStr">
        <is>
          <t>ST Units</t>
        </is>
      </c>
      <c r="F85" s="71">
        <f>IFERROR(SUMIFS('Trading History'!$R$4:$R1007, 'Trading History'!$O$4:$O1007, CONCAT("&gt;", $A85)), 0)</f>
        <v/>
      </c>
      <c r="G85" s="67" t="n"/>
      <c r="H85" s="73" t="inlineStr">
        <is>
          <t>LT Units</t>
        </is>
      </c>
      <c r="I85" s="71">
        <f>SUMIFS('Trading History'!$V$4:$V1007, 'Trading History'!$S$4:$S1007, CONCAT("&gt;", $A85))</f>
        <v/>
      </c>
      <c r="J85" s="67" t="n"/>
      <c r="K85" s="74" t="inlineStr">
        <is>
          <t>Units</t>
        </is>
      </c>
      <c r="L85" s="71">
        <f>SUMIFS('Trading History'!$AB$4:$AB1007, 'Trading History'!$Y$4:$Y1007,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History'!$L$4:$L1007, 'Trading History'!$K$4:$K1007, CONCAT("&gt;", $A85))</f>
        <v/>
      </c>
      <c r="D87" s="67" t="n"/>
      <c r="E87" s="77" t="inlineStr">
        <is>
          <t>ST Gain</t>
        </is>
      </c>
      <c r="F87" s="80">
        <f>SUMIFS('Trading History'!$P$4:$P1007, 'Trading History'!$O$4:$O1007, CONCAT("&gt;", $A85))</f>
        <v/>
      </c>
      <c r="G87" s="67" t="n"/>
      <c r="H87" s="78" t="inlineStr">
        <is>
          <t>LT Gain</t>
        </is>
      </c>
      <c r="I87" s="80">
        <f>SUMIFS('Trading History'!$T$4:$T1007, 'Trading History'!$S$4:$S1007, CONCAT("&gt;", $A85))</f>
        <v/>
      </c>
      <c r="J87" s="67" t="n"/>
      <c r="K87" s="79" t="inlineStr">
        <is>
          <t>Gain</t>
        </is>
      </c>
      <c r="L87" s="80">
        <f>SUMIFS('Trading History'!$Z$4:$Z1007, 'Trading History'!$Y$4:$Y1007,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History'!$M$4:$M1007, 'Trading History'!$K$4:$K1007, CONCAT("&gt;", $A85))</f>
        <v/>
      </c>
      <c r="D89" s="67" t="n"/>
      <c r="E89" s="77" t="inlineStr">
        <is>
          <t>ST Gross</t>
        </is>
      </c>
      <c r="F89" s="80">
        <f>SUMIFS('Trading History'!$Q$4:$Q1007, 'Trading History'!$O$4:$O1007, CONCAT("&gt;", $A85))</f>
        <v/>
      </c>
      <c r="G89" s="67" t="n"/>
      <c r="H89" s="78" t="inlineStr">
        <is>
          <t>LT Gross</t>
        </is>
      </c>
      <c r="I89" s="80">
        <f>SUMIFS('Trading History'!$U$4:$U1007, 'Trading History'!$S$4:$S1007, CONCAT("&gt;", $A85))</f>
        <v/>
      </c>
      <c r="J89" s="67" t="n"/>
      <c r="K89" s="79" t="inlineStr">
        <is>
          <t>Gross</t>
        </is>
      </c>
      <c r="L89" s="80">
        <f>SUMIFS('Trading History'!$AA$4:$AA1007, 'Trading History'!$Y$4:$Y1007,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  <row r="1005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</row>
    <row r="1006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</row>
    <row r="1007">
      <c r="A1007" s="63" t="n"/>
      <c r="B1007" s="63" t="n"/>
      <c r="C1007" s="63" t="n"/>
      <c r="D1007" s="63" t="n"/>
      <c r="E1007" s="63" t="n"/>
      <c r="F1007" s="63" t="n"/>
      <c r="G1007" s="63" t="n"/>
      <c r="H1007" s="63" t="n"/>
      <c r="I1007" s="63" t="n"/>
      <c r="J1007" s="63" t="n"/>
      <c r="K1007" s="63" t="n"/>
      <c r="L1007" s="63" t="n"/>
      <c r="M1007" s="63" t="n"/>
      <c r="N1007" s="63" t="n"/>
      <c r="O1007" s="63" t="n"/>
      <c r="P1007" s="63" t="n"/>
      <c r="Q1007" s="63" t="n"/>
      <c r="R1007" s="63" t="n"/>
      <c r="S1007" s="63" t="n"/>
      <c r="T1007" s="63" t="n"/>
      <c r="U1007" s="63" t="n"/>
      <c r="V1007" s="63" t="n"/>
      <c r="W1007" s="63" t="n"/>
      <c r="X1007" s="63" t="n"/>
      <c r="Y1007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2026-02-07T07:12:32Z</dcterms:created>
  <dcterms:modified xmlns:dcterms="http://purl.org/dc/terms/" xmlns:xsi="http://www.w3.org/2001/XMLSchema-instance" xsi:type="dcterms:W3CDTF">2026-02-10T06:54:42Z</dcterms:modified>
</cp:coreProperties>
</file>