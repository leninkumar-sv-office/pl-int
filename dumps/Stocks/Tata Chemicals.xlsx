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125672E_0624_4BBC_A9C2_E939878D0EAB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6" t="n">
        <v>46063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719.15</v>
      </c>
      <c r="F5" t="n">
        <v>3621.27</v>
      </c>
      <c r="G5" t="inlineStr">
        <is>
          <t>CN#252611730667</t>
        </is>
      </c>
      <c r="H5" t="n">
        <v>3.59</v>
      </c>
      <c r="I5" t="n">
        <v>21.93</v>
      </c>
      <c r="J5">
        <f>Index!$C$2</f>
        <v/>
      </c>
    </row>
    <row r="6">
      <c r="A6" s="96" t="n">
        <v>46062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710</v>
      </c>
      <c r="F6" s="0" t="n">
        <v>3575.15</v>
      </c>
      <c r="G6" s="0" t="inlineStr">
        <is>
          <t>CN#252611665409</t>
        </is>
      </c>
      <c r="H6" s="0" t="n">
        <v>3.55</v>
      </c>
      <c r="I6" s="0" t="n">
        <v>21.6</v>
      </c>
      <c r="J6" s="0">
        <f>Index!$C$2</f>
        <v/>
      </c>
    </row>
    <row r="7">
      <c r="A7" s="95" t="n">
        <v>46049</v>
      </c>
      <c r="B7" s="0" t="inlineStr">
        <is>
          <t>NSE</t>
        </is>
      </c>
      <c r="C7" s="0" t="inlineStr">
        <is>
          <t>Buy</t>
        </is>
      </c>
      <c r="D7" s="0" t="n">
        <v>7</v>
      </c>
      <c r="E7" s="0" t="n">
        <v>713.7</v>
      </c>
      <c r="F7" s="0" t="n">
        <v>5031.32</v>
      </c>
      <c r="G7" s="0" t="inlineStr">
        <is>
          <t>~</t>
        </is>
      </c>
      <c r="H7" s="0" t="n">
        <v>5</v>
      </c>
      <c r="I7" s="0" t="n">
        <v>30.42</v>
      </c>
    </row>
    <row r="8">
      <c r="A8" s="95" t="n">
        <v>46049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713.95</v>
      </c>
      <c r="F8" s="0" t="n">
        <v>2157.04</v>
      </c>
      <c r="G8" s="0" t="inlineStr">
        <is>
          <t>~</t>
        </is>
      </c>
      <c r="H8" s="0" t="n">
        <v>2.14</v>
      </c>
      <c r="I8" s="0" t="n">
        <v>13.05</v>
      </c>
    </row>
    <row r="9">
      <c r="A9" s="95" t="n">
        <v>46027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755.25</v>
      </c>
      <c r="F9" s="0" t="n">
        <v>3803.04</v>
      </c>
      <c r="G9" s="0" t="inlineStr">
        <is>
          <t>~</t>
        </is>
      </c>
      <c r="H9" s="0" t="n">
        <v>3.77</v>
      </c>
      <c r="I9" s="0" t="n">
        <v>23.02</v>
      </c>
    </row>
    <row r="10">
      <c r="A10" s="95" t="n">
        <v>46017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768.05</v>
      </c>
      <c r="F10" s="0" t="n">
        <v>3867.5</v>
      </c>
      <c r="G10" s="0" t="inlineStr">
        <is>
          <t>~</t>
        </is>
      </c>
      <c r="H10" s="0" t="n">
        <v>3.85</v>
      </c>
      <c r="I10" s="0" t="n">
        <v>23.4</v>
      </c>
    </row>
    <row r="11">
      <c r="A11" s="95" t="n">
        <v>46015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770.85</v>
      </c>
      <c r="F11" s="0" t="n">
        <v>3881.52</v>
      </c>
      <c r="G11" s="0" t="inlineStr">
        <is>
          <t>~</t>
        </is>
      </c>
      <c r="H11" s="0" t="n">
        <v>3.83</v>
      </c>
      <c r="I11" s="0" t="n">
        <v>23.44</v>
      </c>
    </row>
    <row r="12">
      <c r="A12" s="95" t="n">
        <v>46014</v>
      </c>
      <c r="B12" s="0" t="inlineStr">
        <is>
          <t>NSE</t>
        </is>
      </c>
      <c r="C12" s="0" t="inlineStr">
        <is>
          <t>Buy</t>
        </is>
      </c>
      <c r="D12" s="0" t="n">
        <v>4</v>
      </c>
      <c r="E12" s="0" t="n">
        <v>774.45</v>
      </c>
      <c r="F12" s="0" t="n">
        <v>3119.72</v>
      </c>
      <c r="G12" s="0" t="inlineStr">
        <is>
          <t>~</t>
        </is>
      </c>
      <c r="H12" s="0" t="n">
        <v>3.09</v>
      </c>
      <c r="I12" s="0" t="n">
        <v>18.83</v>
      </c>
    </row>
    <row r="13">
      <c r="A13" s="95" t="n">
        <v>46014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774.45</v>
      </c>
      <c r="F13" s="0" t="n">
        <v>779.9299999999999</v>
      </c>
      <c r="G13" s="0" t="inlineStr">
        <is>
          <t>~</t>
        </is>
      </c>
      <c r="H13" s="0" t="n">
        <v>0.77</v>
      </c>
      <c r="I13" s="0" t="n">
        <v>4.71</v>
      </c>
    </row>
    <row r="14">
      <c r="A14" s="95" t="n">
        <v>46009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747</v>
      </c>
      <c r="F14" s="0" t="n">
        <v>3761.52</v>
      </c>
      <c r="G14" s="0" t="inlineStr">
        <is>
          <t>~</t>
        </is>
      </c>
      <c r="H14" s="0" t="n">
        <v>3.75</v>
      </c>
      <c r="I14" s="0" t="n">
        <v>22.77</v>
      </c>
    </row>
    <row r="15">
      <c r="A15" s="95" t="n">
        <v>46007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764.2</v>
      </c>
      <c r="F15" s="0" t="n">
        <v>769.59</v>
      </c>
      <c r="G15" s="0" t="inlineStr">
        <is>
          <t>~</t>
        </is>
      </c>
      <c r="H15" s="0" t="n">
        <v>0.76</v>
      </c>
      <c r="I15" s="0" t="n">
        <v>4.63</v>
      </c>
    </row>
    <row r="16">
      <c r="A16" s="95" t="n">
        <v>46007</v>
      </c>
      <c r="B16" s="0" t="inlineStr">
        <is>
          <t>NSE</t>
        </is>
      </c>
      <c r="C16" s="0" t="inlineStr">
        <is>
          <t>Buy</t>
        </is>
      </c>
      <c r="D16" s="0" t="n">
        <v>4</v>
      </c>
      <c r="E16" s="0" t="n">
        <v>764.25</v>
      </c>
      <c r="F16" s="0" t="n">
        <v>3078.68</v>
      </c>
      <c r="G16" s="0" t="inlineStr">
        <is>
          <t>~</t>
        </is>
      </c>
      <c r="H16" s="0" t="n">
        <v>3.05</v>
      </c>
      <c r="I16" s="0" t="n">
        <v>18.63</v>
      </c>
    </row>
    <row r="17">
      <c r="A17" s="95" t="n">
        <v>46002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756</v>
      </c>
      <c r="F17" s="0" t="n">
        <v>761.35</v>
      </c>
      <c r="G17" s="0" t="inlineStr">
        <is>
          <t>~</t>
        </is>
      </c>
      <c r="H17" s="0" t="n">
        <v>0.76</v>
      </c>
      <c r="I17" s="0" t="n">
        <v>4.59</v>
      </c>
    </row>
    <row r="18">
      <c r="A18" s="95" t="n">
        <v>46002</v>
      </c>
      <c r="B18" s="0" t="inlineStr">
        <is>
          <t>NSE</t>
        </is>
      </c>
      <c r="C18" s="0" t="inlineStr">
        <is>
          <t>Buy</t>
        </is>
      </c>
      <c r="D18" s="0" t="n">
        <v>4</v>
      </c>
      <c r="E18" s="0" t="n">
        <v>756</v>
      </c>
      <c r="F18" s="0" t="n">
        <v>3045.44</v>
      </c>
      <c r="G18" s="0" t="inlineStr">
        <is>
          <t>~</t>
        </is>
      </c>
      <c r="H18" s="0" t="n">
        <v>3.03</v>
      </c>
      <c r="I18" s="0" t="n">
        <v>18.41</v>
      </c>
    </row>
    <row r="19">
      <c r="A19" s="95" t="n">
        <v>46000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755.25</v>
      </c>
      <c r="F19" s="0" t="n">
        <v>3803.04</v>
      </c>
      <c r="G19" s="0" t="inlineStr">
        <is>
          <t>~</t>
        </is>
      </c>
      <c r="H19" s="0" t="n">
        <v>3.77</v>
      </c>
      <c r="I19" s="0" t="n">
        <v>23.02</v>
      </c>
    </row>
    <row r="20">
      <c r="A20" s="95" t="n">
        <v>45993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790.8</v>
      </c>
      <c r="F20" s="0" t="n">
        <v>796.41</v>
      </c>
      <c r="G20" s="0" t="inlineStr">
        <is>
          <t>~</t>
        </is>
      </c>
      <c r="H20" s="0" t="n">
        <v>0.8</v>
      </c>
      <c r="I20" s="0" t="n">
        <v>4.81</v>
      </c>
    </row>
    <row r="21">
      <c r="A21" s="95" t="n">
        <v>45993</v>
      </c>
      <c r="B21" s="0" t="inlineStr">
        <is>
          <t>NSE</t>
        </is>
      </c>
      <c r="C21" s="0" t="inlineStr">
        <is>
          <t>Buy</t>
        </is>
      </c>
      <c r="D21" s="0" t="n">
        <v>4</v>
      </c>
      <c r="E21" s="0" t="n">
        <v>790.8</v>
      </c>
      <c r="F21" s="0" t="n">
        <v>3185.6</v>
      </c>
      <c r="G21" s="0" t="inlineStr">
        <is>
          <t>~</t>
        </is>
      </c>
      <c r="H21" s="0" t="n">
        <v>3.18</v>
      </c>
      <c r="I21" s="0" t="n">
        <v>19.22</v>
      </c>
    </row>
    <row r="22">
      <c r="A22" s="95" t="n">
        <v>45989</v>
      </c>
      <c r="B22" s="0" t="inlineStr">
        <is>
          <t>NSE</t>
        </is>
      </c>
      <c r="C22" s="0" t="inlineStr">
        <is>
          <t>Buy</t>
        </is>
      </c>
      <c r="D22" s="0" t="n">
        <v>5</v>
      </c>
      <c r="E22" s="0" t="n">
        <v>804</v>
      </c>
      <c r="F22" s="0" t="n">
        <v>4048.49</v>
      </c>
      <c r="G22" s="0" t="inlineStr">
        <is>
          <t>~</t>
        </is>
      </c>
      <c r="H22" s="0" t="n">
        <v>4.01</v>
      </c>
      <c r="I22" s="0" t="n">
        <v>24.48</v>
      </c>
    </row>
    <row r="23">
      <c r="A23" s="95" t="n">
        <v>45988</v>
      </c>
      <c r="B23" s="0" t="inlineStr">
        <is>
          <t>BSE</t>
        </is>
      </c>
      <c r="C23" s="0" t="inlineStr">
        <is>
          <t>Buy</t>
        </is>
      </c>
      <c r="D23" s="0" t="n">
        <v>5</v>
      </c>
      <c r="E23" s="0" t="n">
        <v>812.9</v>
      </c>
      <c r="F23" s="0" t="n">
        <v>4093.29</v>
      </c>
      <c r="G23" s="0" t="inlineStr">
        <is>
          <t>~</t>
        </is>
      </c>
      <c r="H23" s="0" t="n">
        <v>4.04</v>
      </c>
      <c r="I23" s="0" t="n">
        <v>24.75</v>
      </c>
    </row>
    <row r="24">
      <c r="A24" s="95" t="n">
        <v>45982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812.45</v>
      </c>
      <c r="F24" s="0" t="n">
        <v>4091.01</v>
      </c>
      <c r="G24" s="0" t="inlineStr">
        <is>
          <t>~</t>
        </is>
      </c>
      <c r="H24" s="0" t="n">
        <v>4.06</v>
      </c>
      <c r="I24" s="0" t="n">
        <v>24.7</v>
      </c>
    </row>
    <row r="25">
      <c r="A25" s="95" t="n">
        <v>45979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830.05</v>
      </c>
      <c r="F25" s="0" t="n">
        <v>835.92</v>
      </c>
      <c r="G25" s="0" t="inlineStr">
        <is>
          <t>~</t>
        </is>
      </c>
      <c r="H25" s="0" t="n">
        <v>0.83</v>
      </c>
      <c r="I25" s="0" t="n">
        <v>5.04</v>
      </c>
    </row>
    <row r="26">
      <c r="A26" s="95" t="n">
        <v>45979</v>
      </c>
      <c r="B26" s="0" t="inlineStr">
        <is>
          <t>NSE</t>
        </is>
      </c>
      <c r="C26" s="0" t="inlineStr">
        <is>
          <t>Buy</t>
        </is>
      </c>
      <c r="D26" s="0" t="n">
        <v>4</v>
      </c>
      <c r="E26" s="0" t="n">
        <v>830.1</v>
      </c>
      <c r="F26" s="0" t="n">
        <v>3343.93</v>
      </c>
      <c r="G26" s="0" t="inlineStr">
        <is>
          <t>~</t>
        </is>
      </c>
      <c r="H26" s="0" t="n">
        <v>3.33</v>
      </c>
      <c r="I26" s="0" t="n">
        <v>20.2</v>
      </c>
    </row>
    <row r="27">
      <c r="A27" s="95" t="n">
        <v>45978</v>
      </c>
      <c r="B27" s="0" t="inlineStr">
        <is>
          <t>BSE</t>
        </is>
      </c>
      <c r="C27" s="0" t="inlineStr">
        <is>
          <t>Buy</t>
        </is>
      </c>
      <c r="D27" s="0" t="n">
        <v>5</v>
      </c>
      <c r="E27" s="0" t="n">
        <v>839</v>
      </c>
      <c r="F27" s="0" t="n">
        <v>4224.8</v>
      </c>
      <c r="G27" s="0" t="inlineStr">
        <is>
          <t>~</t>
        </is>
      </c>
      <c r="H27" s="0" t="n">
        <v>4.22</v>
      </c>
      <c r="I27" s="0" t="n">
        <v>25.58</v>
      </c>
    </row>
    <row r="28">
      <c r="A28" s="95" t="n">
        <v>45975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837.05</v>
      </c>
      <c r="F28" s="0" t="n">
        <v>4214.94</v>
      </c>
      <c r="G28" s="0" t="inlineStr">
        <is>
          <t>~</t>
        </is>
      </c>
      <c r="H28" s="0" t="n">
        <v>4.2</v>
      </c>
      <c r="I28" s="0" t="n">
        <v>25.49</v>
      </c>
    </row>
    <row r="29">
      <c r="A29" s="95" t="n">
        <v>45974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845.75</v>
      </c>
      <c r="F29" s="0" t="n">
        <v>2555.24</v>
      </c>
      <c r="G29" s="0" t="inlineStr">
        <is>
          <t>~</t>
        </is>
      </c>
      <c r="H29" s="0" t="n">
        <v>2.53</v>
      </c>
      <c r="I29" s="0" t="n">
        <v>15.46</v>
      </c>
    </row>
    <row r="30">
      <c r="A30" s="95" t="n">
        <v>45974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845.75</v>
      </c>
      <c r="F30" s="0" t="n">
        <v>1703.47</v>
      </c>
      <c r="G30" s="0" t="inlineStr">
        <is>
          <t>~</t>
        </is>
      </c>
      <c r="H30" s="0" t="n">
        <v>1.68</v>
      </c>
      <c r="I30" s="0" t="n">
        <v>10.29</v>
      </c>
    </row>
    <row r="31">
      <c r="A31" s="95" t="n">
        <v>45972</v>
      </c>
      <c r="B31" s="0" t="inlineStr">
        <is>
          <t>NSE</t>
        </is>
      </c>
      <c r="C31" s="0" t="inlineStr">
        <is>
          <t>Buy</t>
        </is>
      </c>
      <c r="D31" s="0" t="n">
        <v>5</v>
      </c>
      <c r="E31" s="0" t="n">
        <v>842.15</v>
      </c>
      <c r="F31" s="0" t="n">
        <v>4240.56</v>
      </c>
      <c r="G31" s="0" t="inlineStr">
        <is>
          <t>~</t>
        </is>
      </c>
      <c r="H31" s="0" t="n">
        <v>4.18</v>
      </c>
      <c r="I31" s="0" t="n">
        <v>25.63</v>
      </c>
    </row>
    <row r="32">
      <c r="A32" s="95" t="n">
        <v>45971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844.15</v>
      </c>
      <c r="F32" s="0" t="n">
        <v>4250.61</v>
      </c>
      <c r="G32" s="0" t="inlineStr">
        <is>
          <t>~</t>
        </is>
      </c>
      <c r="H32" s="0" t="n">
        <v>4.2</v>
      </c>
      <c r="I32" s="0" t="n">
        <v>25.66</v>
      </c>
    </row>
    <row r="33">
      <c r="A33" s="95" t="n">
        <v>45961</v>
      </c>
      <c r="B33" s="0" t="inlineStr">
        <is>
          <t>BSE</t>
        </is>
      </c>
      <c r="C33" s="0" t="inlineStr">
        <is>
          <t>Buy</t>
        </is>
      </c>
      <c r="D33" s="0" t="n">
        <v>5</v>
      </c>
      <c r="E33" s="0" t="n">
        <v>892.95</v>
      </c>
      <c r="F33" s="0" t="n">
        <v>4496.39</v>
      </c>
      <c r="G33" s="0" t="inlineStr">
        <is>
          <t>~</t>
        </is>
      </c>
      <c r="H33" s="0" t="n">
        <v>4.45</v>
      </c>
      <c r="I33" s="0" t="n">
        <v>27.19</v>
      </c>
    </row>
    <row r="34">
      <c r="A34" s="95" t="n">
        <v>45957</v>
      </c>
      <c r="B34" s="0" t="inlineStr">
        <is>
          <t>BSE</t>
        </is>
      </c>
      <c r="C34" s="0" t="inlineStr">
        <is>
          <t>Buy</t>
        </is>
      </c>
      <c r="D34" s="0" t="n">
        <v>5</v>
      </c>
      <c r="E34" s="0" t="n">
        <v>894.2</v>
      </c>
      <c r="F34" s="0" t="n">
        <v>4502.73</v>
      </c>
      <c r="G34" s="0" t="inlineStr">
        <is>
          <t>~</t>
        </is>
      </c>
      <c r="H34" s="0" t="n">
        <v>4.48</v>
      </c>
      <c r="I34" s="0" t="n">
        <v>27.25</v>
      </c>
    </row>
    <row r="35">
      <c r="A35" s="38" t="n">
        <v>45950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401.57</v>
      </c>
      <c r="F35" s="41">
        <f>D5*E5</f>
        <v/>
      </c>
      <c r="G35" s="39" t="inlineStr">
        <is>
          <t>~</t>
        </is>
      </c>
      <c r="H35" s="40" t="n"/>
      <c r="I35" s="40" t="n"/>
      <c r="J35" s="42">
        <f>Index!$C$2</f>
        <v/>
      </c>
      <c r="K35" s="43">
        <f>IF(AND( C5="Buy", ISBLANK(W5), B5&lt;&gt;"DIV"), L5/sum(F5:I5), "")</f>
        <v/>
      </c>
      <c r="L35" s="44">
        <f>IF(AND( C5="Buy", ISBLANK(W5), B5&lt;&gt;"DIV"), (1-Index!$F$2*2)*((J5*D5)-(E5*D5)), "")</f>
        <v/>
      </c>
      <c r="M35" s="44">
        <f>IF(AND( C5="Buy", ISBLANK(W5), B5&lt;&gt;"DIV"), ((E5*D5)+L5), "")</f>
        <v/>
      </c>
      <c r="N35" s="45">
        <f>IF(AND( C5="Buy", ISBLANK(W5), B5&lt;&gt;"DIV"), D5, "")</f>
        <v/>
      </c>
      <c r="O35" s="43">
        <f>IF(AND( C5="Buy", ISBLANK(W5), B5&lt;&gt;"DIV", NOW()-A5 &lt; 365), P5/sum(F5:I5), "")</f>
        <v/>
      </c>
      <c r="P35" s="44">
        <f>IF(AND( C5="Buy", ISBLANK(W5), B5&lt;&gt;"DIV", NOW()-A5 &lt; 365), (1-Index!$F$2*2)*((J5*D5)-(E5*D5)), "")</f>
        <v/>
      </c>
      <c r="Q35" s="44">
        <f>IF(AND( C5="Buy", ISBLANK(W5), B5&lt;&gt;"DIV", NOW()-A5 &lt; 365), ((E5*D5)+P5), "")</f>
        <v/>
      </c>
      <c r="R35" s="44">
        <f>IF(AND( C5="Buy", ISBLANK(W5), B5&lt;&gt;"DIV", NOW()-A5 &lt; 365), D5, "")</f>
        <v/>
      </c>
      <c r="S35" s="46">
        <f>IF(AND( C5="Buy", ISBLANK(W5), B5&lt;&gt;"DIV", NOW()-A5 &gt; 365), T5/sum(F5:I5), "")</f>
        <v/>
      </c>
      <c r="T35" s="47">
        <f>IF(AND( C5="Buy", ISBLANK(W5), B5&lt;&gt;"DIV", NOW()-A5 &gt; 365), (1-Index!$F$2*2)*((J5*D5)-(E5*D5)), "")</f>
        <v/>
      </c>
      <c r="U35" s="47">
        <f>IF(AND( C5="Buy", ISBLANK(W5), B5&lt;&gt;"DIV", NOW()-A5 &gt; 365), ((E5*D5)+T5), "")</f>
        <v/>
      </c>
      <c r="V35" s="47">
        <f>IF(AND( C5="Buy", ISBLANK(W5), B5&lt;&gt;"DIV", NOW()-A5 &gt; 365), D5, "")</f>
        <v/>
      </c>
      <c r="W35" s="47" t="n"/>
      <c r="X35" s="47" t="n"/>
      <c r="Y35" s="46">
        <f>IF(AND( C5="Buy", W5&lt;&gt;"", AA5&lt;&gt;"", B5&lt;&gt;"DIV"), Z5/sum(F5:I5), "")</f>
        <v/>
      </c>
      <c r="Z35" s="47" t="n"/>
      <c r="AA35" s="47" t="n"/>
      <c r="AB35" s="48" t="n"/>
      <c r="AC35" s="44">
        <f>if(B5="DIV", F5,"")</f>
        <v/>
      </c>
      <c r="AD35" s="49" t="n"/>
    </row>
    <row r="36">
      <c r="A36" s="38" t="n">
        <v>45947</v>
      </c>
      <c r="B36" s="39" t="inlineStr">
        <is>
          <t>NSE</t>
        </is>
      </c>
      <c r="C36" s="39" t="inlineStr">
        <is>
          <t>Buy</t>
        </is>
      </c>
      <c r="D36" s="40" t="n">
        <v>20</v>
      </c>
      <c r="E36" s="41" t="n">
        <v>400.62</v>
      </c>
      <c r="F36" s="41">
        <f>D6*E6</f>
        <v/>
      </c>
      <c r="G36" s="39" t="inlineStr">
        <is>
          <t>~</t>
        </is>
      </c>
      <c r="H36" s="40" t="n"/>
      <c r="I36" s="40" t="n"/>
      <c r="J36" s="42">
        <f>Index!$C$2</f>
        <v/>
      </c>
      <c r="K36" s="43">
        <f>IF(AND( C6="Buy", ISBLANK(W6), B6&lt;&gt;"DIV"), L6/sum(F6:I6), "")</f>
        <v/>
      </c>
      <c r="L36" s="44">
        <f>IF(AND( C6="Buy", ISBLANK(W6), B6&lt;&gt;"DIV"), (1-Index!$F$2*2)*((J6*D6)-(E6*D6)), "")</f>
        <v/>
      </c>
      <c r="M36" s="44">
        <f>IF(AND( C6="Buy", ISBLANK(W6), B6&lt;&gt;"DIV"), ((E6*D6)+L6), "")</f>
        <v/>
      </c>
      <c r="N36" s="45">
        <f>IF(AND( C6="Buy", ISBLANK(W6), B6&lt;&gt;"DIV"), D6, "")</f>
        <v/>
      </c>
      <c r="O36" s="43">
        <f>IF(AND( C6="Buy", ISBLANK(W6), B6&lt;&gt;"DIV", NOW()-A6 &lt; 365), P6/sum(F6:I6), "")</f>
        <v/>
      </c>
      <c r="P36" s="44">
        <f>IF(AND( C6="Buy", ISBLANK(W6), B6&lt;&gt;"DIV", NOW()-A6 &lt; 365), (1-Index!$F$2*2)*((J6*D6)-(E6*D6)), "")</f>
        <v/>
      </c>
      <c r="Q36" s="44">
        <f>IF(AND( C6="Buy", ISBLANK(W6), B6&lt;&gt;"DIV", NOW()-A6 &lt; 365), ((E6*D6)+P6), "")</f>
        <v/>
      </c>
      <c r="R36" s="44">
        <f>IF(AND( C6="Buy", ISBLANK(W6), B6&lt;&gt;"DIV", NOW()-A6 &lt; 365), D6, "")</f>
        <v/>
      </c>
      <c r="S36" s="46">
        <f>IF(AND( C6="Buy", ISBLANK(W6), B6&lt;&gt;"DIV", NOW()-A6 &gt; 365), T6/sum(F6:I6), "")</f>
        <v/>
      </c>
      <c r="T36" s="47">
        <f>IF(AND( C6="Buy", ISBLANK(W6), B6&lt;&gt;"DIV", NOW()-A6 &gt; 365), (1-Index!$F$2*2)*((J6*D6)-(E6*D6)), "")</f>
        <v/>
      </c>
      <c r="U36" s="47">
        <f>IF(AND( C6="Buy", ISBLANK(W6), B6&lt;&gt;"DIV", NOW()-A6 &gt; 365), ((E6*D6)+T6), "")</f>
        <v/>
      </c>
      <c r="V36" s="47">
        <f>IF(AND( C6="Buy", ISBLANK(W6), B6&lt;&gt;"DIV", NOW()-A6 &gt; 365), D6, "")</f>
        <v/>
      </c>
      <c r="W36" s="47" t="n"/>
      <c r="X36" s="47" t="n"/>
      <c r="Y36" s="46">
        <f>IF(AND( C6="Buy", W6&lt;&gt;"", AA6&lt;&gt;"", B6&lt;&gt;"DIV"), Z6/sum(F6:I6), "")</f>
        <v/>
      </c>
      <c r="Z36" s="47" t="n"/>
      <c r="AA36" s="47" t="n"/>
      <c r="AB36" s="48" t="n"/>
      <c r="AC36" s="44">
        <f>if(B6="DIV", F6,"")</f>
        <v/>
      </c>
      <c r="AD36" s="49" t="n"/>
    </row>
    <row r="37">
      <c r="A37" s="38" t="n">
        <v>45812</v>
      </c>
      <c r="B37" s="39" t="inlineStr">
        <is>
          <t>DIV</t>
        </is>
      </c>
      <c r="C37" s="39" t="inlineStr">
        <is>
          <t>Buy</t>
        </is>
      </c>
      <c r="D37" s="40" t="n">
        <v>20</v>
      </c>
      <c r="E37" s="41" t="n">
        <v>6</v>
      </c>
      <c r="F37" s="41" t="n">
        <v>120</v>
      </c>
      <c r="G37" s="39" t="inlineStr">
        <is>
          <t>Annual-Dividend of Rs.6.0000/- per share on Ex-Date: 04-JUN-2025</t>
        </is>
      </c>
      <c r="H37" s="40" t="n">
        <v>0</v>
      </c>
      <c r="I37" s="40" t="n">
        <v>0</v>
      </c>
      <c r="J37" s="42">
        <f>Index!$C$2</f>
        <v/>
      </c>
      <c r="K37" s="43">
        <f>IF(AND( C7="Buy", ISBLANK(W7), B7&lt;&gt;"DIV"), L7/sum(F7:I7), "")</f>
        <v/>
      </c>
      <c r="L37" s="44">
        <f>IF(AND( C7="Buy", ISBLANK(W7), B7&lt;&gt;"DIV"), (1-Index!$F$2*2)*((J7*D7)-(E7*D7)), "")</f>
        <v/>
      </c>
      <c r="M37" s="44">
        <f>IF(AND( C7="Buy", ISBLANK(W7), B7&lt;&gt;"DIV"), ((E7*D7)+L7), "")</f>
        <v/>
      </c>
      <c r="N37" s="45">
        <f>IF(AND( C7="Buy", ISBLANK(W7), B7&lt;&gt;"DIV"), D7, "")</f>
        <v/>
      </c>
      <c r="O37" s="43">
        <f>IF(AND( C7="Buy", ISBLANK(W7), B7&lt;&gt;"DIV", NOW()-A7 &lt; 365), P7/sum(F7:I7), "")</f>
        <v/>
      </c>
      <c r="P37" s="44">
        <f>IF(AND( C7="Buy", ISBLANK(W7), B7&lt;&gt;"DIV", NOW()-A7 &lt; 365), (1-Index!$F$2*2)*((J7*D7)-(E7*D7)), "")</f>
        <v/>
      </c>
      <c r="Q37" s="44">
        <f>IF(AND( C7="Buy", ISBLANK(W7), B7&lt;&gt;"DIV", NOW()-A7 &lt; 365), ((E7*D7)+P7), "")</f>
        <v/>
      </c>
      <c r="R37" s="44">
        <f>IF(AND( C7="Buy", ISBLANK(W7), B7&lt;&gt;"DIV", NOW()-A7 &lt; 365), D7, "")</f>
        <v/>
      </c>
      <c r="S37" s="46">
        <f>IF(AND( C7="Buy", ISBLANK(W7), B7&lt;&gt;"DIV", NOW()-A7 &gt; 365), T7/sum(F7:I7), "")</f>
        <v/>
      </c>
      <c r="T37" s="47">
        <f>IF(AND( C7="Buy", ISBLANK(W7), B7&lt;&gt;"DIV", NOW()-A7 &gt; 365), (1-Index!$F$2*2)*((J7*D7)-(E7*D7)), "")</f>
        <v/>
      </c>
      <c r="U37" s="47">
        <f>IF(AND( C7="Buy", ISBLANK(W7), B7&lt;&gt;"DIV", NOW()-A7 &gt; 365), ((E7*D7)+T7), "")</f>
        <v/>
      </c>
      <c r="V37" s="47">
        <f>IF(AND( C7="Buy", ISBLANK(W7), B7&lt;&gt;"DIV", NOW()-A7 &gt; 365), D7, "")</f>
        <v/>
      </c>
      <c r="W37" s="47" t="n"/>
      <c r="X37" s="47" t="n"/>
      <c r="Y37" s="46">
        <f>IF(AND( C7="Buy", W7&lt;&gt;"", AA7&lt;&gt;"", B7&lt;&gt;"DIV"), Z7/sum(F7:I7), "")</f>
        <v/>
      </c>
      <c r="Z37" s="47" t="n"/>
      <c r="AA37" s="47" t="n"/>
      <c r="AB37" s="48" t="n"/>
      <c r="AC37" s="44">
        <f>if(B7="DIV", F7,"")</f>
        <v/>
      </c>
      <c r="AD37" s="49" t="n"/>
    </row>
    <row r="38">
      <c r="A38" s="38" t="n">
        <v>45811</v>
      </c>
      <c r="B38" s="39" t="inlineStr">
        <is>
          <t>NSE</t>
        </is>
      </c>
      <c r="C38" s="39" t="inlineStr">
        <is>
          <t>Buy</t>
        </is>
      </c>
      <c r="D38" s="40" t="n">
        <v>5</v>
      </c>
      <c r="E38" s="41" t="n">
        <v>716.9</v>
      </c>
      <c r="F38" s="41" t="n">
        <v>3584.48</v>
      </c>
      <c r="G38" s="39" t="inlineStr">
        <is>
          <t>~</t>
        </is>
      </c>
      <c r="H38" s="40" t="n">
        <v>3.56</v>
      </c>
      <c r="I38" s="40" t="n">
        <v>21.67</v>
      </c>
      <c r="J38" s="42">
        <f>Index!$C$2</f>
        <v/>
      </c>
      <c r="K38" s="43">
        <f>IF(AND( C8="Buy", ISBLANK(W8), B8&lt;&gt;"DIV"), L8/sum(F8:I8), "")</f>
        <v/>
      </c>
      <c r="L38" s="44">
        <f>IF(AND( C8="Buy", ISBLANK(W8), B8&lt;&gt;"DIV"), (1-Index!$F$2*2)*((J8*D8)-(E8*D8)), "")</f>
        <v/>
      </c>
      <c r="M38" s="44">
        <f>IF(AND( C8="Buy", ISBLANK(W8), B8&lt;&gt;"DIV"), ((E8*D8)+L8), "")</f>
        <v/>
      </c>
      <c r="N38" s="45">
        <f>IF(AND( C8="Buy", ISBLANK(W8), B8&lt;&gt;"DIV"), D8, "")</f>
        <v/>
      </c>
      <c r="O38" s="43">
        <f>IF(AND( C8="Buy", ISBLANK(W8), B8&lt;&gt;"DIV", NOW()-A8 &lt; 365), P8/sum(F8:I8), "")</f>
        <v/>
      </c>
      <c r="P38" s="44">
        <f>IF(AND( C8="Buy", ISBLANK(W8), B8&lt;&gt;"DIV", NOW()-A8 &lt; 365), (1-Index!$F$2*2)*((J8*D8)-(E8*D8)), "")</f>
        <v/>
      </c>
      <c r="Q38" s="44">
        <f>IF(AND( C8="Buy", ISBLANK(W8), B8&lt;&gt;"DIV", NOW()-A8 &lt; 365), ((E8*D8)+P8), "")</f>
        <v/>
      </c>
      <c r="R38" s="44">
        <f>IF(AND( C8="Buy", ISBLANK(W8), B8&lt;&gt;"DIV", NOW()-A8 &lt; 365), D8, "")</f>
        <v/>
      </c>
      <c r="S38" s="46">
        <f>IF(AND( C8="Buy", ISBLANK(W8), B8&lt;&gt;"DIV", NOW()-A8 &gt; 365), T8/sum(F8:I8), "")</f>
        <v/>
      </c>
      <c r="T38" s="47">
        <f>IF(AND( C8="Buy", ISBLANK(W8), B8&lt;&gt;"DIV", NOW()-A8 &gt; 365), (1-Index!$F$2*2)*((J8*D8)-(E8*D8)), "")</f>
        <v/>
      </c>
      <c r="U38" s="47">
        <f>IF(AND( C8="Buy", ISBLANK(W8), B8&lt;&gt;"DIV", NOW()-A8 &gt; 365), ((E8*D8)+T8), "")</f>
        <v/>
      </c>
      <c r="V38" s="47">
        <f>IF(AND( C8="Buy", ISBLANK(W8), B8&lt;&gt;"DIV", NOW()-A8 &gt; 365), D8, "")</f>
        <v/>
      </c>
      <c r="W38" s="47" t="n"/>
      <c r="X38" s="47" t="n"/>
      <c r="Y38" s="46">
        <f>IF(AND( C8="Buy", W8&lt;&gt;"", AA8&lt;&gt;"", B8&lt;&gt;"DIV"), Z8/sum(F8:I8), "")</f>
        <v/>
      </c>
      <c r="Z38" s="47" t="n"/>
      <c r="AA38" s="47" t="n"/>
      <c r="AB38" s="48" t="n"/>
      <c r="AC38" s="44">
        <f>if(B8="DIV", F8,"")</f>
        <v/>
      </c>
      <c r="AD38" s="49" t="n"/>
    </row>
    <row r="39">
      <c r="A39" s="50" t="n">
        <v>45734</v>
      </c>
      <c r="B39" s="51" t="inlineStr">
        <is>
          <t>NSE</t>
        </is>
      </c>
      <c r="C39" s="51" t="inlineStr">
        <is>
          <t>Buy</t>
        </is>
      </c>
      <c r="D39" s="52" t="n">
        <v>5</v>
      </c>
      <c r="E39" s="53" t="n">
        <v>682.21</v>
      </c>
      <c r="F39" s="54">
        <f>E9*D9 + sum(H9:I9)</f>
        <v/>
      </c>
      <c r="G39" s="51" t="inlineStr">
        <is>
          <t>~</t>
        </is>
      </c>
      <c r="H39" s="52" t="n"/>
      <c r="I39" s="52" t="n">
        <v>24.05</v>
      </c>
      <c r="J39" s="42">
        <f>Index!$C$2</f>
        <v/>
      </c>
      <c r="K39" s="43">
        <f>IF(AND( C9="Buy", ISBLANK(W9), B9&lt;&gt;"DIV"), L9/sum(F9:I9), "")</f>
        <v/>
      </c>
      <c r="L39" s="44">
        <f>IF(AND( C9="Buy", ISBLANK(W9), B9&lt;&gt;"DIV"), (1-Index!$F$2*2)*((J9*D9)-(E9*D9)), "")</f>
        <v/>
      </c>
      <c r="M39" s="44">
        <f>IF(AND( C9="Buy", ISBLANK(W9), B9&lt;&gt;"DIV"), ((E9*D9)+L9), "")</f>
        <v/>
      </c>
      <c r="N39" s="45">
        <f>IF(AND( C9="Buy", ISBLANK(W9), B9&lt;&gt;"DIV"), D9, "")</f>
        <v/>
      </c>
      <c r="O39" s="43">
        <f>IF(AND( C9="Buy", ISBLANK(W9), B9&lt;&gt;"DIV", NOW()-A9 &lt; 365), P9/sum(F9:I9), "")</f>
        <v/>
      </c>
      <c r="P39" s="44">
        <f>IF(AND( C9="Buy", ISBLANK(W9), B9&lt;&gt;"DIV", NOW()-A9 &lt; 365), (1-Index!$F$2*2)*((J9*D9)-(E9*D9)), "")</f>
        <v/>
      </c>
      <c r="Q39" s="44">
        <f>IF(AND( C9="Buy", ISBLANK(W9), B9&lt;&gt;"DIV", NOW()-A9 &lt; 365), ((E9*D9)+P9), "")</f>
        <v/>
      </c>
      <c r="R39" s="44">
        <f>IF(AND( C9="Buy", ISBLANK(W9), B9&lt;&gt;"DIV", NOW()-A9 &lt; 365), D9, "")</f>
        <v/>
      </c>
      <c r="S39" s="46">
        <f>IF(AND( C9="Buy", ISBLANK(W9), B9&lt;&gt;"DIV", NOW()-A9 &gt; 365), T9/sum(F9:I9), "")</f>
        <v/>
      </c>
      <c r="T39" s="47">
        <f>IF(AND( C9="Buy", ISBLANK(W9), B9&lt;&gt;"DIV", NOW()-A9 &gt; 365), (1-Index!$F$2*2)*((J9*D9)-(E9*D9)), "")</f>
        <v/>
      </c>
      <c r="U39" s="47">
        <f>IF(AND( C9="Buy", ISBLANK(W9), B9&lt;&gt;"DIV", NOW()-A9 &gt; 365), ((E9*D9)+T9), "")</f>
        <v/>
      </c>
      <c r="V39" s="47">
        <f>IF(AND( C9="Buy", ISBLANK(W9), B9&lt;&gt;"DIV", NOW()-A9 &gt; 365), D9, "")</f>
        <v/>
      </c>
      <c r="W39" s="47" t="n"/>
      <c r="X39" s="47" t="n"/>
      <c r="Y39" s="46">
        <f>IF(AND( C9="Buy", W9&lt;&gt;"", AA9&lt;&gt;"", B9&lt;&gt;"DIV"), Z9/sum(F9:I9), "")</f>
        <v/>
      </c>
      <c r="Z39" s="47" t="n"/>
      <c r="AA39" s="47" t="n"/>
      <c r="AB39" s="48" t="n"/>
      <c r="AC39" s="44">
        <f>if(B9="DIV", F9,"")</f>
        <v/>
      </c>
      <c r="AD39" s="49" t="n"/>
    </row>
    <row r="40">
      <c r="A40" s="50" t="n">
        <v>45722</v>
      </c>
      <c r="B40" s="51" t="inlineStr">
        <is>
          <t>NSE</t>
        </is>
      </c>
      <c r="C40" s="51" t="inlineStr">
        <is>
          <t>Buy</t>
        </is>
      </c>
      <c r="D40" s="52" t="n">
        <v>10</v>
      </c>
      <c r="E40" s="53" t="n">
        <v>641.52</v>
      </c>
      <c r="F40" s="53" t="n">
        <v>6415.23</v>
      </c>
      <c r="G40" s="51" t="inlineStr">
        <is>
          <t>~</t>
        </is>
      </c>
      <c r="H40" s="52" t="n">
        <v>6.4</v>
      </c>
      <c r="I40" s="52" t="n">
        <v>38.83</v>
      </c>
      <c r="J40" s="42">
        <f>Index!$C$2</f>
        <v/>
      </c>
      <c r="K40" s="43">
        <f>IF(AND( C10="Buy", ISBLANK(W10), B10&lt;&gt;"DIV"), L10/sum(F10:I10), "")</f>
        <v/>
      </c>
      <c r="L40" s="44">
        <f>IF(AND( C10="Buy", ISBLANK(W10), B10&lt;&gt;"DIV"), (1-Index!$F$2*2)*((J10*D10)-(E10*D10)), "")</f>
        <v/>
      </c>
      <c r="M40" s="44">
        <f>IF(AND( C10="Buy", ISBLANK(W10), B10&lt;&gt;"DIV"), ((E10*D10)+L10), "")</f>
        <v/>
      </c>
      <c r="N40" s="45">
        <f>IF(AND( C10="Buy", ISBLANK(W10), B10&lt;&gt;"DIV"), D10, "")</f>
        <v/>
      </c>
      <c r="O40" s="43">
        <f>IF(AND( C10="Buy", ISBLANK(W10), B10&lt;&gt;"DIV", NOW()-A10 &lt; 365), P10/sum(F10:I10), "")</f>
        <v/>
      </c>
      <c r="P40" s="44">
        <f>IF(AND( C10="Buy", ISBLANK(W10), B10&lt;&gt;"DIV", NOW()-A10 &lt; 365), (1-Index!$F$2*2)*((J10*D10)-(E10*D10)), "")</f>
        <v/>
      </c>
      <c r="Q40" s="44">
        <f>IF(AND( C10="Buy", ISBLANK(W10), B10&lt;&gt;"DIV", NOW()-A10 &lt; 365), ((E10*D10)+P10), "")</f>
        <v/>
      </c>
      <c r="R40" s="44">
        <f>IF(AND( C10="Buy", ISBLANK(W10), B10&lt;&gt;"DIV", NOW()-A10 &lt; 365), D10, "")</f>
        <v/>
      </c>
      <c r="S40" s="46">
        <f>IF(AND( C10="Buy", ISBLANK(W10), B10&lt;&gt;"DIV", NOW()-A10 &gt; 365), T10/sum(F10:I10), "")</f>
        <v/>
      </c>
      <c r="T40" s="47">
        <f>IF(AND( C10="Buy", ISBLANK(W10), B10&lt;&gt;"DIV", NOW()-A10 &gt; 365), (1-Index!$F$2*2)*((J10*D10)-(E10*D10)), "")</f>
        <v/>
      </c>
      <c r="U40" s="47">
        <f>IF(AND( C10="Buy", ISBLANK(W10), B10&lt;&gt;"DIV", NOW()-A10 &gt; 365), ((E10*D10)+T10), "")</f>
        <v/>
      </c>
      <c r="V40" s="47">
        <f>IF(AND( C10="Buy", ISBLANK(W10), B10&lt;&gt;"DIV", NOW()-A10 &gt; 365), D10, "")</f>
        <v/>
      </c>
      <c r="W40" s="47" t="n"/>
      <c r="X40" s="47" t="n"/>
      <c r="Y40" s="46">
        <f>IF(AND( C10="Buy", W10&lt;&gt;"", AA10&lt;&gt;"", B10&lt;&gt;"DIV"), Z10/sum(F10:I10), "")</f>
        <v/>
      </c>
      <c r="Z40" s="47" t="n"/>
      <c r="AA40" s="47" t="n"/>
      <c r="AB40" s="48" t="n"/>
      <c r="AC40" s="44">
        <f>if(B10="DIV", F10,"")</f>
        <v/>
      </c>
      <c r="AD40" s="49" t="n"/>
    </row>
    <row r="41">
      <c r="A41" s="50" t="n">
        <v>44228</v>
      </c>
      <c r="B41" s="51" t="inlineStr">
        <is>
          <t>NSE</t>
        </is>
      </c>
      <c r="C41" s="51" t="inlineStr">
        <is>
          <t>Sell</t>
        </is>
      </c>
      <c r="D41" s="52" t="n">
        <v>50</v>
      </c>
      <c r="E41" s="53" t="n">
        <v>276.62</v>
      </c>
      <c r="F41" s="53" t="n">
        <v>13831.06</v>
      </c>
      <c r="G41" s="51" t="inlineStr">
        <is>
          <t>~</t>
        </is>
      </c>
      <c r="H41" s="52" t="n">
        <v>13.93</v>
      </c>
      <c r="I41" s="52" t="n">
        <v>82.51000000000001</v>
      </c>
      <c r="J41" s="42">
        <f>Index!$C$2</f>
        <v/>
      </c>
      <c r="K41" s="43">
        <f>IF(AND( C11="Buy", ISBLANK(W11), B11&lt;&gt;"DIV"), L11/sum(F11:I11), "")</f>
        <v/>
      </c>
      <c r="L41" s="44">
        <f>IF(AND( C11="Buy", ISBLANK(W11), B11&lt;&gt;"DIV"), (1-Index!$F$2*2)*((J11*D11)-(E11*D11)), "")</f>
        <v/>
      </c>
      <c r="M41" s="44">
        <f>IF(AND( C11="Buy", ISBLANK(W11), B11&lt;&gt;"DIV"), ((E11*D11)+L11), "")</f>
        <v/>
      </c>
      <c r="N41" s="45">
        <f>IF(AND( C11="Buy", ISBLANK(W11), B11&lt;&gt;"DIV"), D11, "")</f>
        <v/>
      </c>
      <c r="O41" s="43">
        <f>IF(AND( C11="Buy", ISBLANK(W11), B11&lt;&gt;"DIV", NOW()-A11 &lt; 365), P11/sum(F11:I11), "")</f>
        <v/>
      </c>
      <c r="P41" s="44">
        <f>IF(AND( C11="Buy", ISBLANK(W11), B11&lt;&gt;"DIV", NOW()-A11 &lt; 365), (1-Index!$F$2*2)*((J11*D11)-(E11*D11)), "")</f>
        <v/>
      </c>
      <c r="Q41" s="44">
        <f>IF(AND( C11="Buy", ISBLANK(W11), B11&lt;&gt;"DIV", NOW()-A11 &lt; 365), ((E11*D11)+P11), "")</f>
        <v/>
      </c>
      <c r="R41" s="44">
        <f>IF(AND( C11="Buy", ISBLANK(W11), B11&lt;&gt;"DIV", NOW()-A11 &lt; 365), D11, "")</f>
        <v/>
      </c>
      <c r="S41" s="46">
        <f>IF(AND( C11="Buy", ISBLANK(W11), B11&lt;&gt;"DIV", NOW()-A11 &gt; 365), T11/sum(F11:I11), "")</f>
        <v/>
      </c>
      <c r="T41" s="47">
        <f>IF(AND( C11="Buy", ISBLANK(W11), B11&lt;&gt;"DIV", NOW()-A11 &gt; 365), (1-Index!$F$2*2)*((J11*D11)-(E11*D11)), "")</f>
        <v/>
      </c>
      <c r="U41" s="47">
        <f>IF(AND( C11="Buy", ISBLANK(W11), B11&lt;&gt;"DIV", NOW()-A11 &gt; 365), ((E11*D11)+T11), "")</f>
        <v/>
      </c>
      <c r="V41" s="47">
        <f>IF(AND( C11="Buy", ISBLANK(W11), B11&lt;&gt;"DIV", NOW()-A11 &gt; 365), D11, "")</f>
        <v/>
      </c>
      <c r="W41" s="47" t="n"/>
      <c r="X41" s="47" t="n"/>
      <c r="Y41" s="46">
        <f>IF(AND( C11="Buy", W11&lt;&gt;"", AA11&lt;&gt;"", B11&lt;&gt;"DIV"), Z11/sum(F11:I11), "")</f>
        <v/>
      </c>
      <c r="Z41" s="47" t="n"/>
      <c r="AA41" s="47" t="n"/>
      <c r="AB41" s="48" t="n"/>
      <c r="AC41" s="44">
        <f>if(B11="DIV", F11,"")</f>
        <v/>
      </c>
      <c r="AD41" s="49" t="n"/>
    </row>
    <row r="42">
      <c r="A42" s="50" t="n">
        <v>43405</v>
      </c>
      <c r="B42" s="51" t="inlineStr">
        <is>
          <t>NSE</t>
        </is>
      </c>
      <c r="C42" s="51" t="inlineStr">
        <is>
          <t>Buy</t>
        </is>
      </c>
      <c r="D42" s="52" t="n">
        <v>50</v>
      </c>
      <c r="E42" s="53" t="n">
        <v>183.08</v>
      </c>
      <c r="F42" s="53" t="n">
        <v>9154.049999999999</v>
      </c>
      <c r="G42" s="51" t="inlineStr">
        <is>
          <t>~</t>
        </is>
      </c>
      <c r="H42" s="52" t="n">
        <v>9.1</v>
      </c>
      <c r="I42" s="52" t="n">
        <v>54.95</v>
      </c>
      <c r="J42" s="42">
        <f>Index!$C$2</f>
        <v/>
      </c>
      <c r="K42" s="47" t="n"/>
      <c r="L42" s="47">
        <f>IF(AND( C12="Buy", ISBLANK(W12), B12&lt;&gt;"DIV"), (1-Index!$F$2*2)*((J12*D12)-(E12*D12)), "")</f>
        <v/>
      </c>
      <c r="M42" s="55">
        <f>IF(AND( C12="Buy", ISBLANK(W12), B12&lt;&gt;"DIV"), ((E12*D12)+L12), "")</f>
        <v/>
      </c>
      <c r="N42" s="56">
        <f>IF(AND( C12="Buy", ISBLANK(W12), B12&lt;&gt;"DIV"), D12, "")</f>
        <v/>
      </c>
      <c r="O42" s="55" t="n"/>
      <c r="P42" s="47">
        <f>IF(AND( C12="Buy", ISBLANK(W12), B12&lt;&gt;"DIV", NOW()-A12 &lt; 365), (1-Index!$F$2*2)*((J12*D12)-(E12*D12)), "")</f>
        <v/>
      </c>
      <c r="Q42" s="55">
        <f>IF(AND( C12="Buy", ISBLANK(W12), B12&lt;&gt;"DIV", NOW()-A12 &lt; 365), ((E12*D12)+P12), "")</f>
        <v/>
      </c>
      <c r="R42" s="55">
        <f>IF(AND( C12="Buy", ISBLANK(W12), B12&lt;&gt;"DIV", NOW()-A12 &lt; 365), D12, "")</f>
        <v/>
      </c>
      <c r="S42" s="55" t="n"/>
      <c r="T42" s="55">
        <f>IF(AND( C12="Buy", ISBLANK(W12), B12&lt;&gt;"DIV", NOW()-A12 &gt; 365), (J12*D12)-(E12*D12)-(2*sum(H12:I12)), "")</f>
        <v/>
      </c>
      <c r="U42" s="55">
        <f>IF(AND( C12="Buy", ISBLANK(W12), B12&lt;&gt;"DIV", NOW()-A12 &gt; 365), ((E12*D12)+T12), "")</f>
        <v/>
      </c>
      <c r="V42" s="55">
        <f>IF(AND( C12="Buy", ISBLANK(W12), B12&lt;&gt;"DIV", NOW()-A12 &gt; 365), D12, "")</f>
        <v/>
      </c>
      <c r="W42" s="53" t="n">
        <v>276.62</v>
      </c>
      <c r="X42" s="50" t="n">
        <v>44228</v>
      </c>
      <c r="Y42" s="46">
        <f>IF(AND( C12="Buy", W12&lt;&gt;"", AA12&lt;&gt;"", B12&lt;&gt;"DIV"), Z12/sum(F12:I12), "")</f>
        <v/>
      </c>
      <c r="Z42" s="57">
        <f>(1-Index!$F$2*2)*((W12*D12)-(E12*D12))</f>
        <v/>
      </c>
      <c r="AA42" s="57">
        <f>((E12*D12)+Z12)</f>
        <v/>
      </c>
      <c r="AB42" s="58">
        <f>D12</f>
        <v/>
      </c>
      <c r="AC42" s="44">
        <f>if(B12="DIV", F12,"")</f>
        <v/>
      </c>
      <c r="AD42" s="4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</row>
    <row r="43">
      <c r="E43" s="60" t="n"/>
      <c r="F43" s="60" t="n"/>
      <c r="G43" s="61" t="n"/>
      <c r="J43" s="60" t="n"/>
      <c r="K43" s="60" t="n"/>
      <c r="L43" s="60" t="n"/>
      <c r="M43" s="63" t="n"/>
      <c r="W43" s="60" t="n"/>
      <c r="X43" s="60" t="n"/>
      <c r="Y43" s="60" t="n"/>
      <c r="Z43" s="60" t="n"/>
      <c r="AA43" s="60" t="n"/>
      <c r="AB43" s="60" t="n"/>
      <c r="AC43" s="60" t="n"/>
    </row>
    <row r="44">
      <c r="E44" s="60" t="n"/>
      <c r="F44" s="60" t="n"/>
      <c r="G44" s="61" t="n"/>
      <c r="J44" s="60" t="n"/>
      <c r="K44" s="60" t="n"/>
      <c r="L44" s="60" t="n"/>
      <c r="M44" s="63" t="n"/>
      <c r="W44" s="60" t="n"/>
      <c r="X44" s="60" t="n"/>
      <c r="Y44" s="60" t="n"/>
      <c r="Z44" s="60" t="n"/>
      <c r="AA44" s="60" t="n"/>
      <c r="AB44" s="60" t="n"/>
      <c r="AC44" s="60" t="n"/>
    </row>
    <row r="45">
      <c r="E45" s="60" t="n"/>
      <c r="F45" s="60" t="n"/>
      <c r="G45" s="61" t="n"/>
      <c r="J45" s="60" t="n"/>
      <c r="K45" s="60" t="n"/>
      <c r="L45" s="60" t="n"/>
      <c r="M45" s="63" t="n"/>
      <c r="W45" s="60" t="n"/>
      <c r="X45" s="60" t="n"/>
      <c r="Y45" s="60" t="n"/>
      <c r="Z45" s="60" t="n"/>
      <c r="AA45" s="60" t="n"/>
      <c r="AB45" s="60" t="n"/>
      <c r="AC45" s="60" t="n"/>
    </row>
    <row r="46">
      <c r="E46" s="60" t="n"/>
      <c r="F46" s="60" t="n"/>
      <c r="G46" s="61" t="n"/>
      <c r="J46" s="60" t="n"/>
      <c r="K46" s="60" t="n"/>
      <c r="L46" s="60" t="n"/>
      <c r="M46" s="63" t="n"/>
      <c r="W46" s="60" t="n"/>
      <c r="X46" s="60" t="n"/>
      <c r="Y46" s="60" t="n"/>
      <c r="Z46" s="60" t="n"/>
      <c r="AA46" s="60" t="n"/>
      <c r="AB46" s="60" t="n"/>
      <c r="AC46" s="60" t="n"/>
    </row>
    <row r="47">
      <c r="E47" s="60" t="n"/>
      <c r="F47" s="60" t="n"/>
      <c r="G47" s="61" t="n"/>
      <c r="J47" s="60" t="n"/>
      <c r="K47" s="60" t="n"/>
      <c r="L47" s="60" t="n"/>
      <c r="M47" s="63" t="n"/>
      <c r="W47" s="60" t="n"/>
      <c r="X47" s="60" t="n"/>
      <c r="Y47" s="60" t="n"/>
      <c r="Z47" s="60" t="n"/>
      <c r="AA47" s="60" t="n"/>
      <c r="AB47" s="60" t="n"/>
      <c r="AC47" s="60" t="n"/>
    </row>
    <row r="48">
      <c r="E48" s="60" t="n"/>
      <c r="F48" s="60" t="n"/>
      <c r="G48" s="61" t="n"/>
      <c r="J48" s="60" t="n"/>
      <c r="K48" s="60" t="n"/>
      <c r="L48" s="60" t="n"/>
      <c r="M48" s="63" t="n"/>
      <c r="W48" s="60" t="n"/>
      <c r="X48" s="60" t="n"/>
      <c r="Y48" s="60" t="n"/>
      <c r="Z48" s="60" t="n"/>
      <c r="AA48" s="60" t="n"/>
      <c r="AB48" s="60" t="n"/>
      <c r="AC48" s="60" t="n"/>
    </row>
    <row r="49">
      <c r="E49" s="60" t="n"/>
      <c r="F49" s="60" t="n"/>
      <c r="G49" s="61" t="n"/>
      <c r="J49" s="60" t="n"/>
      <c r="K49" s="60" t="n"/>
      <c r="L49" s="60" t="n"/>
      <c r="M49" s="63" t="n"/>
      <c r="W49" s="60" t="n"/>
      <c r="X49" s="60" t="n"/>
      <c r="Y49" s="60" t="n"/>
      <c r="Z49" s="60" t="n"/>
      <c r="AA49" s="60" t="n"/>
      <c r="AB49" s="60" t="n"/>
      <c r="AC49" s="60" t="n"/>
    </row>
    <row r="50">
      <c r="E50" s="60" t="n"/>
      <c r="F50" s="60" t="n"/>
      <c r="G50" s="61" t="n"/>
      <c r="J50" s="60" t="n"/>
      <c r="K50" s="60" t="n"/>
      <c r="L50" s="60" t="n"/>
      <c r="M50" s="63" t="n"/>
      <c r="W50" s="60" t="n"/>
      <c r="X50" s="60" t="n"/>
      <c r="Y50" s="60" t="n"/>
      <c r="Z50" s="60" t="n"/>
      <c r="AA50" s="60" t="n"/>
      <c r="AB50" s="60" t="n"/>
      <c r="AC50" s="60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M973" s="63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M974" s="63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M975" s="63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M976" s="63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M977" s="63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M978" s="63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W989" s="60" t="n"/>
      <c r="X989" s="60" t="n"/>
      <c r="Y989" s="60" t="n"/>
      <c r="Z989" s="60" t="n"/>
      <c r="AA989" s="60" t="n"/>
      <c r="AB989" s="60" t="n"/>
      <c r="AC989" s="60" t="n"/>
    </row>
    <row r="990">
      <c r="E990" s="60" t="n"/>
      <c r="F990" s="60" t="n"/>
      <c r="G990" s="61" t="n"/>
      <c r="J990" s="60" t="n"/>
      <c r="K990" s="60" t="n"/>
      <c r="L990" s="60" t="n"/>
      <c r="W990" s="60" t="n"/>
      <c r="X990" s="60" t="n"/>
      <c r="Y990" s="60" t="n"/>
      <c r="Z990" s="60" t="n"/>
      <c r="AA990" s="60" t="n"/>
      <c r="AB990" s="60" t="n"/>
      <c r="AC990" s="60" t="n"/>
    </row>
    <row r="991">
      <c r="E991" s="60" t="n"/>
      <c r="F991" s="60" t="n"/>
      <c r="G991" s="61" t="n"/>
      <c r="J991" s="60" t="n"/>
      <c r="K991" s="60" t="n"/>
      <c r="L991" s="60" t="n"/>
      <c r="W991" s="60" t="n"/>
      <c r="X991" s="60" t="n"/>
      <c r="Y991" s="60" t="n"/>
      <c r="Z991" s="60" t="n"/>
      <c r="AA991" s="60" t="n"/>
      <c r="AB991" s="60" t="n"/>
      <c r="AC991" s="60" t="n"/>
    </row>
    <row r="992">
      <c r="E992" s="60" t="n"/>
      <c r="F992" s="60" t="n"/>
      <c r="G992" s="61" t="n"/>
      <c r="J992" s="60" t="n"/>
      <c r="K992" s="60" t="n"/>
      <c r="L992" s="60" t="n"/>
      <c r="W992" s="60" t="n"/>
      <c r="X992" s="60" t="n"/>
      <c r="Y992" s="60" t="n"/>
      <c r="Z992" s="60" t="n"/>
      <c r="AA992" s="60" t="n"/>
      <c r="AB992" s="60" t="n"/>
      <c r="AC992" s="60" t="n"/>
    </row>
    <row r="993">
      <c r="E993" s="60" t="n"/>
      <c r="F993" s="60" t="n"/>
      <c r="G993" s="61" t="n"/>
      <c r="J993" s="60" t="n"/>
      <c r="K993" s="60" t="n"/>
      <c r="L993" s="60" t="n"/>
      <c r="W993" s="60" t="n"/>
      <c r="X993" s="60" t="n"/>
      <c r="Y993" s="60" t="n"/>
      <c r="Z993" s="60" t="n"/>
      <c r="AA993" s="60" t="n"/>
      <c r="AB993" s="60" t="n"/>
      <c r="AC993" s="60" t="n"/>
    </row>
    <row r="994">
      <c r="E994" s="60" t="n"/>
      <c r="F994" s="60" t="n"/>
      <c r="G994" s="61" t="n"/>
      <c r="J994" s="60" t="n"/>
      <c r="K994" s="60" t="n"/>
      <c r="L994" s="60" t="n"/>
      <c r="W994" s="60" t="n"/>
      <c r="X994" s="60" t="n"/>
      <c r="Y994" s="60" t="n"/>
      <c r="Z994" s="60" t="n"/>
      <c r="AA994" s="60" t="n"/>
      <c r="AB994" s="60" t="n"/>
      <c r="AC994" s="60" t="n"/>
    </row>
    <row r="995">
      <c r="E995" s="60" t="n"/>
      <c r="F995" s="60" t="n"/>
      <c r="G995" s="61" t="n"/>
      <c r="J995" s="60" t="n"/>
      <c r="K995" s="60" t="n"/>
      <c r="L995" s="60" t="n"/>
      <c r="W995" s="60" t="n"/>
      <c r="X995" s="60" t="n"/>
      <c r="Y995" s="60" t="n"/>
      <c r="Z995" s="60" t="n"/>
      <c r="AA995" s="60" t="n"/>
      <c r="AB995" s="60" t="n"/>
      <c r="AC995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BOM:TATACHEM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 t="n">
        <v>717.5</v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 t="n">
        <v>1026.65</v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 t="n">
        <v>692</v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4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2026-02-07T07:12:32Z</dcterms:created>
  <dcterms:modified xmlns:dcterms="http://purl.org/dc/terms/" xmlns:xsi="http://www.w3.org/2001/XMLSchema-instance" xsi:type="dcterms:W3CDTF">2026-02-10T23:09:17Z</dcterms:modified>
</cp:coreProperties>
</file>