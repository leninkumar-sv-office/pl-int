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</definedName>
    <definedName hidden="1" localSheetId="0" name="Z_0A4F5444_7A7D_4658_BA71_D50517255732_.wvu.FilterData">'Trading History'!$A$4:$AO$12</definedName>
  </definedNames>
  <calcPr/>
  <customWorkbookViews>
    <customWorkbookView activeSheetId="0" maximized="1" windowHeight="0" windowWidth="0" guid="{0A4F5444-7A7D-4658-BA71-D50517255732}" name="Filter 1"/>
  </customWorkbookViews>
</workbook>
</file>

<file path=xl/sharedStrings.xml><?xml version="1.0" encoding="utf-8"?>
<sst xmlns="http://schemas.openxmlformats.org/spreadsheetml/2006/main" count="290" uniqueCount="49">
  <si>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</si>
  <si>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</si>
  <si>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</si>
  <si>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</si>
  <si>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</si>
  <si>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</si>
  <si>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</si>
  <si>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</si>
  <si>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</si>
  <si>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</si>
  <si>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</si>
  <si>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</si>
  <si>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</si>
  <si>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</si>
  <si>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</si>
  <si>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</si>
  <si>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</si>
  <si>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</si>
  <si>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</si>
  <si>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</si>
  <si>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</si>
  <si>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</si>
  <si>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</si>
  <si>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</si>
  <si>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</si>
  <si>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</si>
  <si>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</si>
  <si>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Interim-Dividend of Rs.0.5000/- per share on Ex-Date: 14-AUG-2025</t>
  </si>
  <si>
    <t>NSE</t>
  </si>
  <si>
    <t>~</t>
  </si>
  <si>
    <t>Code</t>
  </si>
  <si>
    <t>NSE:MANAPPURAM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</si>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</sst>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164" xfId="0" applyBorder="1" applyFont="1" applyNumberFormat="1"/>
    <xf borderId="7" fillId="0" fontId="7" numFmtId="0" xfId="0" applyBorder="1" applyFont="1"/>
    <xf borderId="6" fillId="0" fontId="2" numFmtId="0" xfId="0" applyAlignment="1" applyBorder="1" applyFont="1">
      <alignment vertical="bottom"/>
    </xf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1" numFmtId="10" xfId="0" applyAlignment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88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5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4"/>
      <c r="J1" s="4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45883.0</v>
      </c>
      <c r="B5" s="39" t="s">
        <v>24</v>
      </c>
      <c r="C5" s="39" t="s">
        <v>26</v>
      </c>
      <c r="D5" s="40">
        <v>20.0</v>
      </c>
      <c r="E5" s="41">
        <v>0.5</v>
      </c>
      <c r="F5" s="41">
        <v>10.0</v>
      </c>
      <c r="G5" s="39" t="s">
        <v>27</v>
      </c>
      <c r="H5" s="41">
        <v>0.0</v>
      </c>
      <c r="I5" s="40">
        <v>0.0</v>
      </c>
      <c r="J5" s="42">
        <f>Index!$C$2</f>
        <v>304</v>
      </c>
      <c r="K5" s="43" t="str">
        <f t="shared" ref="K5:K6" si="1">IF(AND( C5="Buy", ISBLANK(W5), B5&lt;&gt;"DIV"), L5/sum(F5:I5), "")</f>
        <v/>
      </c>
      <c r="L5" s="44" t="str">
        <f>IF(AND( C5="Buy", ISBLANK(W5), B5&lt;&gt;"DIV"), (1-Index!$F$2*2)*((J5*D5)-(E5*D5)), "")</f>
        <v/>
      </c>
      <c r="M5" s="44" t="str">
        <f t="shared" ref="M5:M6" si="2">IF(AND( C5="Buy", ISBLANK(W5), B5&lt;&gt;"DIV"), ((E5*D5)+L5), "")</f>
        <v/>
      </c>
      <c r="N5" s="45" t="str">
        <f t="shared" ref="N5:N6" si="3">IF(AND( C5="Buy", ISBLANK(W5), B5&lt;&gt;"DIV"), D5, "")</f>
        <v/>
      </c>
      <c r="O5" s="43" t="str">
        <f t="shared" ref="O5:O6" si="4">IF(AND( C5="Buy", ISBLANK(W5), B5&lt;&gt;"DIV", NOW()-A5 &lt; 365), P5/sum(F5:I5), "")</f>
        <v/>
      </c>
      <c r="P5" s="44" t="str">
        <f>IF(AND( C5="Buy", ISBLANK(W5), B5&lt;&gt;"DIV", NOW()-A5 &lt; 365), (1-Index!$F$2*2)*((J5*D5)-(E5*D5)), "")</f>
        <v/>
      </c>
      <c r="Q5" s="44" t="str">
        <f t="shared" ref="Q5:Q6" si="5">IF(AND( C5="Buy", ISBLANK(W5), B5&lt;&gt;"DIV", NOW()-A5 &lt; 365), ((E5*D5)+P5), "")</f>
        <v/>
      </c>
      <c r="R5" s="44" t="str">
        <f t="shared" ref="R5:R6" si="6">IF(AND( C5="Buy", ISBLANK(W5), B5&lt;&gt;"DIV", NOW()-A5 &lt; 365), D5, "")</f>
        <v/>
      </c>
      <c r="S5" s="46" t="str">
        <f t="shared" ref="S5:S6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6" si="8">IF(AND( C5="Buy", ISBLANK(W5), B5&lt;&gt;"DIV", NOW()-A5 &gt; 365), ((E5*D5)+T5), "")</f>
        <v/>
      </c>
      <c r="V5" s="47" t="str">
        <f t="shared" ref="V5:V6" si="9">IF(AND( C5="Buy", ISBLANK(W5), B5&lt;&gt;"DIV", NOW()-A5 &gt; 365), D5, "")</f>
        <v/>
      </c>
      <c r="W5" s="48"/>
      <c r="X5" s="49"/>
      <c r="Y5" s="46" t="str">
        <f t="shared" ref="Y5:Y6" si="10">IF(AND( C5="Buy", W5&lt;&gt;"", AA5&lt;&gt;"", B5&lt;&gt;"DIV"), Z5/sum(F5:I5), "")</f>
        <v/>
      </c>
      <c r="Z5" s="49"/>
      <c r="AA5" s="49"/>
      <c r="AB5" s="50"/>
      <c r="AC5" s="49">
        <f t="shared" ref="AC5:AC6" si="11">if(B5="DIV", F5,"")</f>
        <v>10</v>
      </c>
      <c r="AD5" s="51"/>
    </row>
    <row r="6">
      <c r="A6" s="38">
        <v>45811.0</v>
      </c>
      <c r="B6" s="39" t="s">
        <v>28</v>
      </c>
      <c r="C6" s="39" t="s">
        <v>26</v>
      </c>
      <c r="D6" s="40">
        <v>20.0</v>
      </c>
      <c r="E6" s="41">
        <v>239.96</v>
      </c>
      <c r="F6" s="41">
        <v>4799.14</v>
      </c>
      <c r="G6" s="39" t="s">
        <v>29</v>
      </c>
      <c r="H6" s="41">
        <v>4.77</v>
      </c>
      <c r="I6" s="40">
        <v>28.97</v>
      </c>
      <c r="J6" s="42">
        <f>Index!$C$2</f>
        <v>304</v>
      </c>
      <c r="K6" s="43">
        <f t="shared" si="1"/>
        <v>0.2613077089</v>
      </c>
      <c r="L6" s="44">
        <f>IF(AND( C6="Buy", ISBLANK(W6), B6&lt;&gt;"DIV"), (1-Index!$F$2*2)*((J6*D6)-(E6*D6)), "")</f>
        <v>1262.8688</v>
      </c>
      <c r="M6" s="44">
        <f t="shared" si="2"/>
        <v>6062.0688</v>
      </c>
      <c r="N6" s="45">
        <f t="shared" si="3"/>
        <v>20</v>
      </c>
      <c r="O6" s="43">
        <f t="shared" si="4"/>
        <v>0.2613077089</v>
      </c>
      <c r="P6" s="44">
        <f>IF(AND( C6="Buy", ISBLANK(W6), B6&lt;&gt;"DIV", NOW()-A6 &lt; 365), (1-Index!$F$2*2)*((J6*D6)-(E6*D6)), "")</f>
        <v>1262.8688</v>
      </c>
      <c r="Q6" s="44">
        <f t="shared" si="5"/>
        <v>6062.0688</v>
      </c>
      <c r="R6" s="44">
        <f t="shared" si="6"/>
        <v>20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8"/>
      <c r="X6" s="49"/>
      <c r="Y6" s="46" t="str">
        <f t="shared" si="10"/>
        <v/>
      </c>
      <c r="Z6" s="49"/>
      <c r="AA6" s="49"/>
      <c r="AB6" s="50"/>
      <c r="AC6" s="49" t="str">
        <f t="shared" si="11"/>
        <v/>
      </c>
      <c r="AD6" s="51"/>
    </row>
    <row r="7">
      <c r="E7" s="52"/>
      <c r="F7" s="52"/>
      <c r="G7" s="53"/>
      <c r="H7" s="52"/>
      <c r="J7" s="52"/>
      <c r="K7" s="52"/>
      <c r="L7" s="52"/>
      <c r="M7" s="3"/>
      <c r="W7" s="52"/>
      <c r="X7" s="52"/>
      <c r="Y7" s="52"/>
      <c r="Z7" s="52"/>
      <c r="AA7" s="52"/>
      <c r="AB7" s="52"/>
      <c r="AC7" s="52"/>
    </row>
    <row r="8">
      <c r="E8" s="52"/>
      <c r="F8" s="52"/>
      <c r="G8" s="53"/>
      <c r="H8" s="52"/>
      <c r="J8" s="52"/>
      <c r="K8" s="52"/>
      <c r="L8" s="52"/>
      <c r="M8" s="3"/>
      <c r="W8" s="52"/>
      <c r="X8" s="52"/>
      <c r="Y8" s="52"/>
      <c r="Z8" s="52"/>
      <c r="AA8" s="52"/>
      <c r="AB8" s="52"/>
      <c r="AC8" s="52"/>
    </row>
    <row r="9">
      <c r="E9" s="52"/>
      <c r="F9" s="52"/>
      <c r="G9" s="53"/>
      <c r="H9" s="52"/>
      <c r="J9" s="52"/>
      <c r="K9" s="52"/>
      <c r="L9" s="52"/>
      <c r="M9" s="3"/>
      <c r="W9" s="52"/>
      <c r="X9" s="52"/>
      <c r="Y9" s="52"/>
      <c r="Z9" s="52"/>
      <c r="AA9" s="52"/>
      <c r="AB9" s="52"/>
      <c r="AC9" s="52"/>
    </row>
    <row r="10">
      <c r="E10" s="52"/>
      <c r="F10" s="52"/>
      <c r="G10" s="53"/>
      <c r="H10" s="52"/>
      <c r="J10" s="52"/>
      <c r="K10" s="52"/>
      <c r="L10" s="52"/>
      <c r="M10" s="3"/>
      <c r="W10" s="52"/>
      <c r="X10" s="52"/>
      <c r="Y10" s="52"/>
      <c r="Z10" s="52"/>
      <c r="AA10" s="52"/>
      <c r="AB10" s="52"/>
      <c r="AC10" s="52"/>
    </row>
    <row r="11">
      <c r="E11" s="52"/>
      <c r="F11" s="52"/>
      <c r="G11" s="53"/>
      <c r="H11" s="52"/>
      <c r="J11" s="52"/>
      <c r="K11" s="52"/>
      <c r="L11" s="52"/>
      <c r="M11" s="3"/>
      <c r="W11" s="52"/>
      <c r="X11" s="52"/>
      <c r="Y11" s="52"/>
      <c r="Z11" s="52"/>
      <c r="AA11" s="52"/>
      <c r="AB11" s="52"/>
      <c r="AC11" s="52"/>
    </row>
    <row r="12">
      <c r="E12" s="52"/>
      <c r="F12" s="52"/>
      <c r="G12" s="53"/>
      <c r="H12" s="52"/>
      <c r="J12" s="52"/>
      <c r="K12" s="52"/>
      <c r="L12" s="52"/>
      <c r="M12" s="3"/>
      <c r="W12" s="52"/>
      <c r="X12" s="52"/>
      <c r="Y12" s="52"/>
      <c r="Z12" s="52"/>
      <c r="AA12" s="52"/>
      <c r="AB12" s="52"/>
      <c r="AC12" s="52"/>
    </row>
    <row r="13">
      <c r="E13" s="52"/>
      <c r="F13" s="52"/>
      <c r="G13" s="53"/>
      <c r="H13" s="52"/>
      <c r="J13" s="52"/>
      <c r="K13" s="52"/>
      <c r="L13" s="52"/>
      <c r="M13" s="3"/>
      <c r="W13" s="52"/>
      <c r="X13" s="52"/>
      <c r="Y13" s="52"/>
      <c r="Z13" s="52"/>
      <c r="AA13" s="52"/>
      <c r="AB13" s="52"/>
      <c r="AC13" s="52"/>
    </row>
    <row r="14">
      <c r="E14" s="52"/>
      <c r="F14" s="52"/>
      <c r="G14" s="53"/>
      <c r="H14" s="52"/>
      <c r="J14" s="52"/>
      <c r="K14" s="52"/>
      <c r="L14" s="52"/>
      <c r="M14" s="3"/>
      <c r="W14" s="52"/>
      <c r="X14" s="52"/>
      <c r="Y14" s="52"/>
      <c r="Z14" s="52"/>
      <c r="AA14" s="52"/>
      <c r="AB14" s="52"/>
      <c r="AC14" s="52"/>
    </row>
    <row r="15">
      <c r="E15" s="52"/>
      <c r="F15" s="52"/>
      <c r="G15" s="53"/>
      <c r="H15" s="52"/>
      <c r="J15" s="52"/>
      <c r="K15" s="52"/>
      <c r="L15" s="52"/>
      <c r="M15" s="3"/>
      <c r="W15" s="52"/>
      <c r="X15" s="52"/>
      <c r="Y15" s="52"/>
      <c r="Z15" s="52"/>
      <c r="AA15" s="52"/>
      <c r="AB15" s="52"/>
      <c r="AC15" s="52"/>
    </row>
    <row r="16">
      <c r="E16" s="52"/>
      <c r="F16" s="52"/>
      <c r="G16" s="53"/>
      <c r="H16" s="52"/>
      <c r="J16" s="52"/>
      <c r="K16" s="52"/>
      <c r="L16" s="52"/>
      <c r="M16" s="3"/>
      <c r="W16" s="52"/>
      <c r="X16" s="52"/>
      <c r="Y16" s="52"/>
      <c r="Z16" s="52"/>
      <c r="AA16" s="52"/>
      <c r="AB16" s="52"/>
      <c r="AC16" s="52"/>
    </row>
    <row r="17">
      <c r="E17" s="52"/>
      <c r="F17" s="52"/>
      <c r="G17" s="53"/>
      <c r="H17" s="52"/>
      <c r="J17" s="52"/>
      <c r="K17" s="52"/>
      <c r="L17" s="52"/>
      <c r="M17" s="3"/>
      <c r="W17" s="52"/>
      <c r="X17" s="52"/>
      <c r="Y17" s="52"/>
      <c r="Z17" s="52"/>
      <c r="AA17" s="52"/>
      <c r="AB17" s="52"/>
      <c r="AC17" s="52"/>
    </row>
    <row r="18">
      <c r="E18" s="52"/>
      <c r="F18" s="52"/>
      <c r="G18" s="53"/>
      <c r="H18" s="52"/>
      <c r="J18" s="52"/>
      <c r="K18" s="52"/>
      <c r="L18" s="52"/>
      <c r="M18" s="3"/>
      <c r="W18" s="52"/>
      <c r="X18" s="52"/>
      <c r="Y18" s="52"/>
      <c r="Z18" s="52"/>
      <c r="AA18" s="52"/>
      <c r="AB18" s="52"/>
      <c r="AC18" s="52"/>
    </row>
    <row r="19">
      <c r="E19" s="52"/>
      <c r="F19" s="52"/>
      <c r="G19" s="53"/>
      <c r="H19" s="52"/>
      <c r="J19" s="52"/>
      <c r="K19" s="52"/>
      <c r="L19" s="52"/>
      <c r="M19" s="3"/>
      <c r="W19" s="52"/>
      <c r="X19" s="52"/>
      <c r="Y19" s="52"/>
      <c r="Z19" s="52"/>
      <c r="AA19" s="52"/>
      <c r="AB19" s="52"/>
      <c r="AC19" s="52"/>
    </row>
    <row r="20">
      <c r="E20" s="52"/>
      <c r="F20" s="52"/>
      <c r="G20" s="53"/>
      <c r="H20" s="52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H21" s="52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H22" s="52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H23" s="52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H24" s="52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H25" s="52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H26" s="52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H27" s="52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H28" s="52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H29" s="52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H30" s="52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H31" s="52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H32" s="52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H33" s="52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H34" s="52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H35" s="52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H36" s="52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H37" s="52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H38" s="52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H39" s="52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H40" s="52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H41" s="52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H42" s="52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H43" s="52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H44" s="52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H45" s="52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H46" s="52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H47" s="52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H48" s="52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H49" s="52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H50" s="52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H51" s="52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H52" s="52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H53" s="52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H54" s="52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H55" s="52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H56" s="52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H57" s="52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H58" s="52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H59" s="52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H60" s="52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H61" s="52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H62" s="52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H63" s="52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H64" s="52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H65" s="52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H66" s="52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H67" s="52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H68" s="52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H69" s="52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H70" s="52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H71" s="52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H72" s="52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H73" s="52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H74" s="52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H75" s="52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H76" s="52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H77" s="52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H78" s="52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H79" s="52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H80" s="52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H81" s="52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H82" s="52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H83" s="52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H84" s="52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H85" s="52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H86" s="52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H87" s="52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H88" s="52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H89" s="52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H90" s="52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H91" s="52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H92" s="52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H93" s="52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H94" s="52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H95" s="52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H96" s="52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H97" s="52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H98" s="52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H99" s="52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H100" s="52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H101" s="52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H102" s="52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H103" s="52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H104" s="52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H105" s="52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H106" s="52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H107" s="52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H108" s="52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H109" s="52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H110" s="52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H111" s="52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H112" s="52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H113" s="52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H114" s="52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H115" s="52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H116" s="52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H117" s="52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H118" s="52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H119" s="52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H120" s="52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H121" s="52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H122" s="52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H123" s="52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H124" s="52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H125" s="52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H126" s="52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H127" s="52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H128" s="52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H129" s="52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H130" s="52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H131" s="52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H132" s="52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H133" s="52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H134" s="52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H135" s="52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H136" s="52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H137" s="52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H138" s="52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H139" s="52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H140" s="52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H141" s="52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H142" s="52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H143" s="52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H144" s="52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H145" s="52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H146" s="52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H147" s="52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H148" s="52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H149" s="52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H150" s="52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H151" s="52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H152" s="52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H153" s="52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H154" s="52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H155" s="52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H156" s="52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H157" s="52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H158" s="52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H159" s="52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H160" s="52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H161" s="52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H162" s="52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H163" s="52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H164" s="52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H165" s="52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H166" s="52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H167" s="52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H168" s="52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H169" s="52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H170" s="52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H171" s="52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H172" s="52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H173" s="52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H174" s="52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H175" s="52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H176" s="52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H177" s="52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H178" s="52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H179" s="52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H180" s="52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H181" s="52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H182" s="52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H183" s="52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H184" s="52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H185" s="52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H186" s="52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H187" s="52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H188" s="52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H189" s="52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H190" s="52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H191" s="52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H192" s="52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H193" s="52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H194" s="52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H195" s="52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H196" s="52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H197" s="52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H198" s="52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H199" s="52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H200" s="52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H201" s="52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H202" s="52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H203" s="52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H204" s="52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H205" s="52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H206" s="52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H207" s="52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H208" s="52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H209" s="52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H210" s="52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H211" s="52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H212" s="52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H213" s="52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H214" s="52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H215" s="52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H216" s="52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H217" s="52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H218" s="52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H219" s="52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H220" s="52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H221" s="52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H222" s="52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H223" s="52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H224" s="52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H225" s="52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H226" s="52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H227" s="52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H228" s="52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H229" s="52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H230" s="52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H231" s="52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H232" s="52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H233" s="52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H234" s="52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H235" s="52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H236" s="52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H237" s="52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H238" s="52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H239" s="52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H240" s="52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H241" s="52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H242" s="52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H243" s="52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H244" s="52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H245" s="52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H246" s="52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H247" s="52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H248" s="52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H249" s="52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H250" s="52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H251" s="52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H252" s="52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H253" s="52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H254" s="52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H255" s="52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H256" s="52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H257" s="52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H258" s="52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H259" s="52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H260" s="52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H261" s="52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H262" s="52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H263" s="52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H264" s="52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H265" s="52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H266" s="52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H267" s="52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H268" s="52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H269" s="52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H270" s="52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H271" s="52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H272" s="52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H273" s="52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H274" s="52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H275" s="52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H276" s="52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H277" s="52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H278" s="52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H279" s="52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H280" s="52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H281" s="52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H282" s="52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H283" s="52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H284" s="52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H285" s="52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H286" s="52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H287" s="52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H288" s="52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H289" s="52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H290" s="52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H291" s="52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H292" s="52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H293" s="52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H294" s="52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H295" s="52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H296" s="52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H297" s="52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H298" s="52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H299" s="52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H300" s="52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H301" s="52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H302" s="52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H303" s="52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H304" s="52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H305" s="52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H306" s="52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H307" s="52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H308" s="52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H309" s="52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H310" s="52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H311" s="52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H312" s="52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H313" s="52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H314" s="52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H315" s="52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H316" s="52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H317" s="52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H318" s="52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H319" s="52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H320" s="52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H321" s="52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H322" s="52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H323" s="52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H324" s="52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H325" s="52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H326" s="52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H327" s="52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H328" s="52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H329" s="52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H330" s="52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H331" s="52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H332" s="52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H333" s="52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H334" s="52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H335" s="52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H336" s="52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H337" s="52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H338" s="52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H339" s="52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H340" s="52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H341" s="52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H342" s="52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H343" s="52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H344" s="52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H345" s="52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H346" s="52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H347" s="52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H348" s="52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H349" s="52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H350" s="52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H351" s="52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H352" s="52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H353" s="52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H354" s="52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H355" s="52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H356" s="52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H357" s="52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H358" s="52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H359" s="52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H360" s="52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H361" s="52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H362" s="52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H363" s="52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H364" s="52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H365" s="52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H366" s="52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H367" s="52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H368" s="52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H369" s="52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H370" s="52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H371" s="52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H372" s="52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H373" s="52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H374" s="52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H375" s="52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H376" s="52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H377" s="52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H378" s="52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H379" s="52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H380" s="52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H381" s="52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H382" s="52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H383" s="52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H384" s="52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H385" s="52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H386" s="52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H387" s="52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H388" s="52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H389" s="52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H390" s="52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H391" s="52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H392" s="52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H393" s="52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H394" s="52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H395" s="52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H396" s="52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H397" s="52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H398" s="52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H399" s="52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H400" s="52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H401" s="52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H402" s="52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H403" s="52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H404" s="52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H405" s="52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H406" s="52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H407" s="52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H408" s="52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H409" s="52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H410" s="52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H411" s="52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H412" s="52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H413" s="52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H414" s="52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H415" s="52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H416" s="52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H417" s="52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H418" s="52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H419" s="52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H420" s="52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H421" s="52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H422" s="52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H423" s="52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H424" s="52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H425" s="52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H426" s="52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H427" s="52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H428" s="52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H429" s="52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H430" s="52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H431" s="52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H432" s="52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H433" s="52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H434" s="52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H435" s="52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H436" s="52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H437" s="52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H438" s="52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H439" s="52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H440" s="52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H441" s="52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H442" s="52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H443" s="52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H444" s="52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H445" s="52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H446" s="52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H447" s="52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H448" s="52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H449" s="52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H450" s="52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H451" s="52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H452" s="52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H453" s="52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H454" s="52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H455" s="52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H456" s="52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H457" s="52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H458" s="52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H459" s="52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H460" s="52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H461" s="52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H462" s="52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H463" s="52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H464" s="52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H465" s="52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H466" s="52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H467" s="52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H468" s="52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H469" s="52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H470" s="52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H471" s="52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H472" s="52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H473" s="52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H474" s="52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H475" s="52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H476" s="52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H477" s="52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H478" s="52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H479" s="52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H480" s="52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H481" s="52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H482" s="52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H483" s="52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H484" s="52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H485" s="52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H486" s="52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H487" s="52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H488" s="52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H489" s="52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H490" s="52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H491" s="52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H492" s="52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H493" s="52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H494" s="52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H495" s="52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H496" s="52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H497" s="52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H498" s="52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H499" s="52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H500" s="52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H501" s="52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H502" s="52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H503" s="52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H504" s="52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H505" s="52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H506" s="52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H507" s="52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H508" s="52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H509" s="52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H510" s="52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H511" s="52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H512" s="52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H513" s="52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H514" s="52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H515" s="52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H516" s="52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H517" s="52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H518" s="52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H519" s="52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H520" s="52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H521" s="52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H522" s="52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H523" s="52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H524" s="52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H525" s="52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H526" s="52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H527" s="52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H528" s="52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H529" s="52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H530" s="52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H531" s="52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H532" s="52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H533" s="52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H534" s="52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H535" s="52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H536" s="52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H537" s="52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H538" s="52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H539" s="52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H540" s="52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H541" s="52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H542" s="52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H543" s="52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H544" s="52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H545" s="52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H546" s="52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H547" s="52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H548" s="52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H549" s="52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H550" s="52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H551" s="52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H552" s="52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H553" s="52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H554" s="52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H555" s="52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H556" s="52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H557" s="52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H558" s="52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H559" s="52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H560" s="52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H561" s="52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H562" s="52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H563" s="52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H564" s="52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H565" s="52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H566" s="52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H567" s="52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H568" s="52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H569" s="52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H570" s="52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H571" s="52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H572" s="52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H573" s="52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H574" s="52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H575" s="52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H576" s="52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H577" s="52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H578" s="52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H579" s="52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H580" s="52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H581" s="52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H582" s="52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H583" s="52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H584" s="52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H585" s="52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H586" s="52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H587" s="52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H588" s="52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H589" s="52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H590" s="52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H591" s="52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H592" s="52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H593" s="52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H594" s="52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H595" s="52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H596" s="52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H597" s="52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H598" s="52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H599" s="52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H600" s="52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H601" s="52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H602" s="52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H603" s="52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H604" s="52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H605" s="52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H606" s="52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H607" s="52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H608" s="52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H609" s="52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H610" s="52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H611" s="52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H612" s="52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H613" s="52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H614" s="52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H615" s="52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H616" s="52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H617" s="52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H618" s="52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H619" s="52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H620" s="52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H621" s="52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H622" s="52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H623" s="52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H624" s="52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H625" s="52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H626" s="52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H627" s="52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H628" s="52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H629" s="52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H630" s="52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H631" s="52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H632" s="52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H633" s="52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H634" s="52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H635" s="52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H636" s="52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H637" s="52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H638" s="52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H639" s="52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H640" s="52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H641" s="52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H642" s="52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H643" s="52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H644" s="52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H645" s="52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H646" s="52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H647" s="52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H648" s="52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H649" s="52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H650" s="52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H651" s="52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H652" s="52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H653" s="52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H654" s="52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H655" s="52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H656" s="52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H657" s="52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H658" s="52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H659" s="52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H660" s="52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H661" s="52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H662" s="52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H663" s="52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H664" s="52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H665" s="52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H666" s="52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H667" s="52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H668" s="52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H669" s="52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H670" s="52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H671" s="52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H672" s="52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H673" s="52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H674" s="52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H675" s="52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H676" s="52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H677" s="52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H678" s="52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H679" s="52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H680" s="52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H681" s="52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H682" s="52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H683" s="52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H684" s="52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H685" s="52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H686" s="52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H687" s="52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H688" s="52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H689" s="52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H690" s="52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H691" s="52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H692" s="52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H693" s="52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H694" s="52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H695" s="52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H696" s="52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H697" s="52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H698" s="52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H699" s="52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H700" s="52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H701" s="52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H702" s="52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H703" s="52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H704" s="52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H705" s="52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H706" s="52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H707" s="52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H708" s="52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H709" s="52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H710" s="52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H711" s="52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H712" s="52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H713" s="52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H714" s="52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H715" s="52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H716" s="52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H717" s="52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H718" s="52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H719" s="52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H720" s="52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H721" s="52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H722" s="52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H723" s="52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H724" s="52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H725" s="52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H726" s="52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H727" s="52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H728" s="52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H729" s="52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H730" s="52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H731" s="52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H732" s="52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H733" s="52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H734" s="52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H735" s="52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H736" s="52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H737" s="52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H738" s="52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H739" s="52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H740" s="52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H741" s="52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H742" s="52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H743" s="52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H744" s="52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H745" s="52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H746" s="52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H747" s="52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H748" s="52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H749" s="52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H750" s="52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H751" s="52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H752" s="52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H753" s="52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H754" s="52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H755" s="52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H756" s="52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H757" s="52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H758" s="52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H759" s="52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H760" s="52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H761" s="52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H762" s="52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H763" s="52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H764" s="52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H765" s="52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H766" s="52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H767" s="52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H768" s="52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H769" s="52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H770" s="52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H771" s="52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H772" s="52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H773" s="52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H774" s="52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H775" s="52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H776" s="52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H777" s="52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H778" s="52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H779" s="52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H780" s="52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H781" s="52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H782" s="52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H783" s="52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H784" s="52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H785" s="52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H786" s="52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H787" s="52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H788" s="52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H789" s="52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H790" s="52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H791" s="52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H792" s="52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H793" s="52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H794" s="52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H795" s="52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H796" s="52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H797" s="52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H798" s="52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H799" s="52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H800" s="52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H801" s="52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H802" s="52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H803" s="52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H804" s="52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H805" s="52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H806" s="52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H807" s="52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H808" s="52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H809" s="52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H810" s="52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H811" s="52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H812" s="52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H813" s="52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H814" s="52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H815" s="52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H816" s="52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H817" s="52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H818" s="52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H819" s="52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H820" s="52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H821" s="52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H822" s="52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H823" s="52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H824" s="52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H825" s="52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H826" s="52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H827" s="52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H828" s="52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H829" s="52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H830" s="52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H831" s="52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H832" s="52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H833" s="52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H834" s="52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H835" s="52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H836" s="52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H837" s="52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H838" s="52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H839" s="52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H840" s="52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H841" s="52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H842" s="52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H843" s="52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H844" s="52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H845" s="52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H846" s="52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H847" s="52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H848" s="52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H849" s="52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H850" s="52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H851" s="52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H852" s="52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H853" s="52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H854" s="52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H855" s="52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H856" s="52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H857" s="52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H858" s="52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H859" s="52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H860" s="52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H861" s="52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H862" s="52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H863" s="52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H864" s="52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H865" s="52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H866" s="52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H867" s="52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H868" s="52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H869" s="52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H870" s="52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H871" s="52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H872" s="52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H873" s="52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H874" s="52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H875" s="52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H876" s="52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H877" s="52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H878" s="52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H879" s="52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H880" s="52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H881" s="52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H882" s="52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H883" s="52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H884" s="52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H885" s="52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H886" s="52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H887" s="52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H888" s="52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H889" s="52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H890" s="52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H891" s="52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H892" s="52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H893" s="52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H894" s="52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H895" s="52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H896" s="52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H897" s="52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H898" s="52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H899" s="52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H900" s="52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H901" s="52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H902" s="52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H903" s="52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H904" s="52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H905" s="52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H906" s="52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H907" s="52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H908" s="52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H909" s="52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H910" s="52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H911" s="52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H912" s="52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H913" s="52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H914" s="52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H915" s="52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H916" s="52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H917" s="52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H918" s="52"/>
      <c r="J918" s="52"/>
      <c r="K918" s="52"/>
      <c r="L918" s="52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H919" s="52"/>
      <c r="J919" s="52"/>
      <c r="K919" s="52"/>
      <c r="L919" s="52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H920" s="52"/>
      <c r="J920" s="52"/>
      <c r="K920" s="52"/>
      <c r="L920" s="52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H921" s="52"/>
      <c r="J921" s="52"/>
      <c r="K921" s="52"/>
      <c r="L921" s="52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H922" s="52"/>
      <c r="J922" s="52"/>
      <c r="K922" s="52"/>
      <c r="L922" s="52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H923" s="52"/>
      <c r="J923" s="52"/>
      <c r="K923" s="52"/>
      <c r="L923" s="52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H924" s="52"/>
      <c r="J924" s="52"/>
      <c r="K924" s="52"/>
      <c r="L924" s="52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H925" s="52"/>
      <c r="J925" s="52"/>
      <c r="K925" s="52"/>
      <c r="L925" s="52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H926" s="52"/>
      <c r="J926" s="52"/>
      <c r="K926" s="52"/>
      <c r="L926" s="52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H927" s="52"/>
      <c r="J927" s="52"/>
      <c r="K927" s="52"/>
      <c r="L927" s="52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H928" s="52"/>
      <c r="J928" s="52"/>
      <c r="K928" s="52"/>
      <c r="L928" s="52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H929" s="52"/>
      <c r="J929" s="52"/>
      <c r="K929" s="52"/>
      <c r="L929" s="52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H930" s="52"/>
      <c r="J930" s="52"/>
      <c r="K930" s="52"/>
      <c r="L930" s="52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H931" s="52"/>
      <c r="J931" s="52"/>
      <c r="K931" s="52"/>
      <c r="L931" s="52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H932" s="52"/>
      <c r="J932" s="52"/>
      <c r="K932" s="52"/>
      <c r="L932" s="52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H933" s="52"/>
      <c r="J933" s="52"/>
      <c r="K933" s="52"/>
      <c r="L933" s="52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H934" s="52"/>
      <c r="J934" s="52"/>
      <c r="K934" s="52"/>
      <c r="L934" s="52"/>
      <c r="W934" s="52"/>
      <c r="X934" s="52"/>
      <c r="Y934" s="52"/>
      <c r="Z934" s="52"/>
      <c r="AA934" s="52"/>
      <c r="AB934" s="52"/>
      <c r="AC934" s="52"/>
    </row>
  </sheetData>
  <autoFilter ref="$A$4:$AD$6"/>
  <customSheetViews>
    <customSheetView guid="{0A4F5444-7A7D-4658-BA71-D50517255732}" filter="1" showAutoFilter="1">
      <autoFilter ref="$A$4:$AO$12"/>
    </customSheetView>
  </customSheetViews>
  <mergeCells count="5">
    <mergeCell ref="K2:V2"/>
    <mergeCell ref="W2:AC3"/>
    <mergeCell ref="K3:N3"/>
    <mergeCell ref="O3:R3"/>
    <mergeCell ref="S3:V3"/>
  </mergeCells>
  <conditionalFormatting sqref="C1:C934">
    <cfRule type="containsText" dxfId="0" priority="1" operator="containsText" text="Buy">
      <formula>NOT(ISERROR(SEARCH(("Buy"),(C1))))</formula>
    </cfRule>
  </conditionalFormatting>
  <conditionalFormatting sqref="C1:C934">
    <cfRule type="containsText" dxfId="1" priority="2" operator="containsText" text="Sell">
      <formula>NOT(ISERROR(SEARCH(("Sell"),(C1))))</formula>
    </cfRule>
  </conditionalFormatting>
  <conditionalFormatting sqref="B1:B2 B4:B934">
    <cfRule type="containsText" dxfId="2" priority="3" operator="containsText" text="DIV">
      <formula>NOT(ISERROR(SEARCH(("DIV"),(B1))))</formula>
    </cfRule>
  </conditionalFormatting>
  <conditionalFormatting sqref="A5:AD6">
    <cfRule type="expression" dxfId="1" priority="4">
      <formula>NOT(ISBLANK($W5))</formula>
    </cfRule>
  </conditionalFormatting>
  <conditionalFormatting sqref="K5:K6 O5:O6 S5:S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30</v>
      </c>
      <c r="C1" s="55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""price"")"),304.0)</f>
        <v>304</v>
      </c>
      <c r="D2" s="3"/>
      <c r="E2" s="57" t="s">
        <v>32</v>
      </c>
      <c r="F2" s="5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7" t="s">
        <v>33</v>
      </c>
      <c r="C3" s="56">
        <f>IFERROR(__xludf.DUMMYFUNCTION("GOOGLEFINANCE($C$1, ""high52"")"),321.6)</f>
        <v>321.6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7" t="s">
        <v>34</v>
      </c>
      <c r="C4" s="56">
        <f>IFERROR(__xludf.DUMMYFUNCTION("GOOGLEFINANCE($C$1, ""low52"")"),168.83)</f>
        <v>168.83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35</v>
      </c>
      <c r="B8" s="62" t="s">
        <v>18</v>
      </c>
      <c r="C8" s="63">
        <f>SUM('Trading History'!$N$4:$N1005)</f>
        <v>20</v>
      </c>
      <c r="D8" s="59"/>
      <c r="E8" s="64" t="s">
        <v>36</v>
      </c>
      <c r="F8" s="63">
        <f>IFERROR(SUM('Trading History'!$R$4:$R1005), 0)</f>
        <v>20</v>
      </c>
      <c r="G8" s="59"/>
      <c r="H8" s="65" t="s">
        <v>37</v>
      </c>
      <c r="I8" s="63">
        <f>SUM('Trading History'!$V$4:$V1005)</f>
        <v>0</v>
      </c>
      <c r="J8" s="59"/>
      <c r="K8" s="66" t="s">
        <v>18</v>
      </c>
      <c r="L8" s="63">
        <f>SUM('Trading History'!$AB$4:$AB1005)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38</v>
      </c>
      <c r="C9" s="58">
        <f>IFERROR(Index!C10/(Index!C8*Index!$C$2), 0)</f>
        <v>0.2077086842</v>
      </c>
      <c r="D9" s="59"/>
      <c r="E9" s="69" t="s">
        <v>39</v>
      </c>
      <c r="F9" s="58">
        <f>IFERROR(Index!F10/(Index!F8*Index!$C$2), 0)</f>
        <v>0.2077086842</v>
      </c>
      <c r="G9" s="59"/>
      <c r="H9" s="70" t="s">
        <v>40</v>
      </c>
      <c r="I9" s="58">
        <f>IFERROR(Index!I10/(Index!I8*Index!$C$2), 0)</f>
        <v>0</v>
      </c>
      <c r="J9" s="59"/>
      <c r="K9" s="71" t="s">
        <v>38</v>
      </c>
      <c r="L9" s="58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History'!$L$4:$L1005)</f>
        <v>1262.8688</v>
      </c>
      <c r="D10" s="59"/>
      <c r="E10" s="69" t="s">
        <v>41</v>
      </c>
      <c r="F10" s="72">
        <f>SUM('Trading History'!$P$4:$P1005)</f>
        <v>1262.8688</v>
      </c>
      <c r="G10" s="59"/>
      <c r="H10" s="70" t="s">
        <v>42</v>
      </c>
      <c r="I10" s="72">
        <f>SUM('Trading History'!$T$4:$T1005)</f>
        <v>0</v>
      </c>
      <c r="J10" s="59"/>
      <c r="K10" s="71" t="s">
        <v>16</v>
      </c>
      <c r="L10" s="72">
        <f>SUM('Trading History'!$Z$4:$Z1005)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43</v>
      </c>
      <c r="C11" s="72">
        <f>Index!C12-Index!C10</f>
        <v>4799.2</v>
      </c>
      <c r="D11" s="59"/>
      <c r="E11" s="69" t="s">
        <v>44</v>
      </c>
      <c r="F11" s="72">
        <f>Index!F12-Index!F10</f>
        <v>4799.2</v>
      </c>
      <c r="G11" s="59"/>
      <c r="H11" s="70" t="s">
        <v>45</v>
      </c>
      <c r="I11" s="72">
        <f>Index!I12-Index!I10</f>
        <v>0</v>
      </c>
      <c r="J11" s="59"/>
      <c r="K11" s="71" t="s">
        <v>43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History'!$M$4:$M1005)</f>
        <v>6062.0688</v>
      </c>
      <c r="D12" s="59"/>
      <c r="E12" s="69" t="s">
        <v>46</v>
      </c>
      <c r="F12" s="72">
        <f>SUM('Trading History'!$Q$4:$Q1005)</f>
        <v>6062.0688</v>
      </c>
      <c r="G12" s="59"/>
      <c r="H12" s="70" t="s">
        <v>47</v>
      </c>
      <c r="I12" s="72">
        <f>SUM('Trading History'!$U$4:$U1005)</f>
        <v>0</v>
      </c>
      <c r="J12" s="59"/>
      <c r="K12" s="71" t="s">
        <v>17</v>
      </c>
      <c r="L12" s="72">
        <f>SUM('Trading History'!$AA$4:$AA1005)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48</v>
      </c>
      <c r="L13" s="72">
        <f>SUMIF('Trading History'!$B7:$B1005,"DIV",'Trading History'!$AC$4:$AC1005)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History'!$N$4:$N1005, 'Trading History'!$K$4:$K1005, CONCAT("&gt;", $A15))</f>
        <v>0</v>
      </c>
      <c r="D15" s="59"/>
      <c r="E15" s="64" t="s">
        <v>36</v>
      </c>
      <c r="F15" s="63">
        <f>IFERROR(SUMIFS('Trading History'!$R$4:$R1005, 'Trading History'!$O$4:$O1005, CONCAT("&gt;", $A15)), 0)</f>
        <v>0</v>
      </c>
      <c r="G15" s="59"/>
      <c r="H15" s="65" t="s">
        <v>37</v>
      </c>
      <c r="I15" s="63">
        <f>SUMIFS('Trading History'!$V$4:$V1005, 'Trading History'!$S$4:$S1005, CONCAT("&gt;", $A15))</f>
        <v>0</v>
      </c>
      <c r="J15" s="59"/>
      <c r="K15" s="66" t="s">
        <v>18</v>
      </c>
      <c r="L15" s="63">
        <f>SUMIFS('Trading History'!$AB$4:$AB1005, 'Trading History'!$Y$4:$Y1005,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38</v>
      </c>
      <c r="C16" s="58">
        <f>IFERROR(Index!C17/(Index!C15*Index!$C$2), 0)</f>
        <v>0</v>
      </c>
      <c r="D16" s="59"/>
      <c r="E16" s="69" t="s">
        <v>39</v>
      </c>
      <c r="F16" s="58">
        <f>IFERROR(Index!F17/(Index!F15*Index!$C$2), 0)</f>
        <v>0</v>
      </c>
      <c r="G16" s="59"/>
      <c r="H16" s="70" t="s">
        <v>40</v>
      </c>
      <c r="I16" s="58">
        <f>IFERROR(Index!I17/(Index!I15*Index!$C$2), 0)</f>
        <v>0</v>
      </c>
      <c r="J16" s="59"/>
      <c r="K16" s="71" t="s">
        <v>38</v>
      </c>
      <c r="L16" s="58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History'!$L$4:$L1005, 'Trading History'!$K$4:$K1005, CONCAT("&gt;", $A15))</f>
        <v>0</v>
      </c>
      <c r="D17" s="59"/>
      <c r="E17" s="69" t="s">
        <v>41</v>
      </c>
      <c r="F17" s="72">
        <f>SUMIFS('Trading History'!$P$4:$P1005, 'Trading History'!$O$4:$O1005, CONCAT("&gt;", $A15))</f>
        <v>0</v>
      </c>
      <c r="G17" s="59"/>
      <c r="H17" s="70" t="s">
        <v>42</v>
      </c>
      <c r="I17" s="72">
        <f>SUMIFS('Trading History'!$T$4:$T1005, 'Trading History'!$S$4:$S1005, CONCAT("&gt;", $A15))</f>
        <v>0</v>
      </c>
      <c r="J17" s="59"/>
      <c r="K17" s="71" t="s">
        <v>16</v>
      </c>
      <c r="L17" s="72">
        <f>SUMIFS('Trading History'!$Z$4:$Z1005, 'Trading History'!$Y$4:$Y1005,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43</v>
      </c>
      <c r="C18" s="72">
        <f>Index!C19-Index!C17</f>
        <v>0</v>
      </c>
      <c r="D18" s="59"/>
      <c r="E18" s="69" t="s">
        <v>44</v>
      </c>
      <c r="F18" s="72">
        <f>Index!F19-Index!F17</f>
        <v>0</v>
      </c>
      <c r="G18" s="59"/>
      <c r="H18" s="70" t="s">
        <v>45</v>
      </c>
      <c r="I18" s="72">
        <f>Index!I19-Index!I17</f>
        <v>0</v>
      </c>
      <c r="J18" s="59"/>
      <c r="K18" s="71" t="s">
        <v>43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History'!$M$4:$M1005, 'Trading History'!$K$4:$K1005, CONCAT("&gt;", $A15))</f>
        <v>0</v>
      </c>
      <c r="D19" s="59"/>
      <c r="E19" s="69" t="s">
        <v>46</v>
      </c>
      <c r="F19" s="72">
        <f>SUMIFS('Trading History'!$Q$4:$Q1005, 'Trading History'!$O$4:$O1005, CONCAT("&gt;", $A15))</f>
        <v>0</v>
      </c>
      <c r="G19" s="59"/>
      <c r="H19" s="70" t="s">
        <v>47</v>
      </c>
      <c r="I19" s="72">
        <f>SUMIFS('Trading History'!$U$4:$U1005, 'Trading History'!$S$4:$S1005, CONCAT("&gt;", $A15))</f>
        <v>0</v>
      </c>
      <c r="J19" s="59"/>
      <c r="K19" s="71" t="s">
        <v>17</v>
      </c>
      <c r="L19" s="72">
        <f>SUMIFS('Trading History'!$AA$4:$AA1005, 'Trading History'!$Y$4:$Y1005,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1">
        <v>0.45</v>
      </c>
      <c r="B22" s="62" t="s">
        <v>18</v>
      </c>
      <c r="C22" s="63">
        <f>SUMIFS('Trading History'!$N$4:$N1005, 'Trading History'!$K$4:$K1005, CONCAT("&gt;", $A22))</f>
        <v>0</v>
      </c>
      <c r="D22" s="59"/>
      <c r="E22" s="64" t="s">
        <v>36</v>
      </c>
      <c r="F22" s="63">
        <f>IFERROR(SUMIFS('Trading History'!$R$4:$R1005, 'Trading History'!$O$4:$O1005, CONCAT("&gt;", $A22)), 0)</f>
        <v>0</v>
      </c>
      <c r="G22" s="59"/>
      <c r="H22" s="65" t="s">
        <v>37</v>
      </c>
      <c r="I22" s="63">
        <f>SUMIFS('Trading History'!$V$4:$V1005, 'Trading History'!$S$4:$S1005, CONCAT("&gt;", $A22))</f>
        <v>0</v>
      </c>
      <c r="J22" s="59"/>
      <c r="K22" s="66" t="s">
        <v>18</v>
      </c>
      <c r="L22" s="63">
        <f>SUMIFS('Trading History'!$AB$4:$AB1005, 'Trading History'!$Y$4:$Y1005,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38</v>
      </c>
      <c r="C23" s="58">
        <f>IFERROR(Index!C24/(Index!C22*Index!$C$2), 0)</f>
        <v>0</v>
      </c>
      <c r="D23" s="59"/>
      <c r="E23" s="69" t="s">
        <v>39</v>
      </c>
      <c r="F23" s="58">
        <f>IFERROR(Index!F24/(Index!F22*Index!$C$2), 0)</f>
        <v>0</v>
      </c>
      <c r="G23" s="59"/>
      <c r="H23" s="70" t="s">
        <v>40</v>
      </c>
      <c r="I23" s="58">
        <f>IFERROR(Index!I24/(Index!I22*Index!$C$2), 0)</f>
        <v>0</v>
      </c>
      <c r="J23" s="59"/>
      <c r="K23" s="71" t="s">
        <v>38</v>
      </c>
      <c r="L23" s="58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History'!$L$4:$L1005, 'Trading History'!$K$4:$K1005, CONCAT("&gt;", $A22))</f>
        <v>0</v>
      </c>
      <c r="D24" s="59"/>
      <c r="E24" s="69" t="s">
        <v>41</v>
      </c>
      <c r="F24" s="72">
        <f>SUMIFS('Trading History'!$P$4:$P1005, 'Trading History'!$O$4:$O1005, CONCAT("&gt;", $A22))</f>
        <v>0</v>
      </c>
      <c r="G24" s="59"/>
      <c r="H24" s="70" t="s">
        <v>42</v>
      </c>
      <c r="I24" s="72">
        <f>SUMIFS('Trading History'!$T$4:$T1005, 'Trading History'!$S$4:$S1005, CONCAT("&gt;", $A22))</f>
        <v>0</v>
      </c>
      <c r="J24" s="59"/>
      <c r="K24" s="71" t="s">
        <v>16</v>
      </c>
      <c r="L24" s="72">
        <f>SUMIFS('Trading History'!$Z$4:$Z1005, 'Trading History'!$Y$4:$Y1005,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43</v>
      </c>
      <c r="C25" s="72">
        <f>Index!C26-Index!C24</f>
        <v>0</v>
      </c>
      <c r="D25" s="59"/>
      <c r="E25" s="69" t="s">
        <v>44</v>
      </c>
      <c r="F25" s="72">
        <f>Index!F26-Index!F24</f>
        <v>0</v>
      </c>
      <c r="G25" s="59"/>
      <c r="H25" s="70" t="s">
        <v>45</v>
      </c>
      <c r="I25" s="72">
        <f>Index!I26-Index!I24</f>
        <v>0</v>
      </c>
      <c r="J25" s="59"/>
      <c r="K25" s="71" t="s">
        <v>43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History'!$M$4:$M1005, 'Trading History'!$K$4:$K1005, CONCAT("&gt;", $A22))</f>
        <v>0</v>
      </c>
      <c r="D26" s="59"/>
      <c r="E26" s="69" t="s">
        <v>46</v>
      </c>
      <c r="F26" s="72">
        <f>SUMIFS('Trading History'!$Q$4:$Q1005, 'Trading History'!$O$4:$O1005, CONCAT("&gt;", $A22))</f>
        <v>0</v>
      </c>
      <c r="G26" s="59"/>
      <c r="H26" s="70" t="s">
        <v>47</v>
      </c>
      <c r="I26" s="72">
        <f>SUMIFS('Trading History'!$U$4:$U1005, 'Trading History'!$S$4:$S1005, CONCAT("&gt;", $A22))</f>
        <v>0</v>
      </c>
      <c r="J26" s="59"/>
      <c r="K26" s="71" t="s">
        <v>17</v>
      </c>
      <c r="L26" s="72">
        <f>SUMIFS('Trading History'!$AA$4:$AA1005, 'Trading History'!$Y$4:$Y1005,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History'!$N$4:$N1005, 'Trading History'!$K$4:$K1005, CONCAT("&gt;", $A29))</f>
        <v>0</v>
      </c>
      <c r="D29" s="59"/>
      <c r="E29" s="64" t="s">
        <v>36</v>
      </c>
      <c r="F29" s="63">
        <f>IFERROR(SUMIFS('Trading History'!$R$4:$R1005, 'Trading History'!$O$4:$O1005, CONCAT("&gt;", $A29)), 0)</f>
        <v>0</v>
      </c>
      <c r="G29" s="59"/>
      <c r="H29" s="65" t="s">
        <v>37</v>
      </c>
      <c r="I29" s="63">
        <f>SUMIFS('Trading History'!$V$4:$V1005, 'Trading History'!$S$4:$S1005, CONCAT("&gt;", $A29))</f>
        <v>0</v>
      </c>
      <c r="J29" s="59"/>
      <c r="K29" s="66" t="s">
        <v>18</v>
      </c>
      <c r="L29" s="63">
        <f>SUMIFS('Trading History'!$AB$4:$AB1005, 'Trading History'!$Y$4:$Y1005,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38</v>
      </c>
      <c r="C30" s="58">
        <f>IFERROR(Index!C31/(Index!C29*Index!$C$2), 0)</f>
        <v>0</v>
      </c>
      <c r="D30" s="59"/>
      <c r="E30" s="69" t="s">
        <v>39</v>
      </c>
      <c r="F30" s="58">
        <f>IFERROR(Index!F31/(Index!F29*Index!$C$2), 0)</f>
        <v>0</v>
      </c>
      <c r="G30" s="59"/>
      <c r="H30" s="70" t="s">
        <v>40</v>
      </c>
      <c r="I30" s="58">
        <f>IFERROR(Index!I31/(Index!I29*Index!$C$2), 0)</f>
        <v>0</v>
      </c>
      <c r="J30" s="59"/>
      <c r="K30" s="71" t="s">
        <v>38</v>
      </c>
      <c r="L30" s="58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History'!$L$4:$L1005, 'Trading History'!$K$4:$K1005, CONCAT("&gt;", $A29))</f>
        <v>0</v>
      </c>
      <c r="D31" s="59"/>
      <c r="E31" s="69" t="s">
        <v>41</v>
      </c>
      <c r="F31" s="72">
        <f>SUMIFS('Trading History'!$P$4:$P1005, 'Trading History'!$O$4:$O1005, CONCAT("&gt;", $A29))</f>
        <v>0</v>
      </c>
      <c r="G31" s="59"/>
      <c r="H31" s="70" t="s">
        <v>42</v>
      </c>
      <c r="I31" s="72">
        <f>SUMIFS('Trading History'!$T$4:$T1005, 'Trading History'!$S$4:$S1005, CONCAT("&gt;", $A29))</f>
        <v>0</v>
      </c>
      <c r="J31" s="59"/>
      <c r="K31" s="71" t="s">
        <v>16</v>
      </c>
      <c r="L31" s="72">
        <f>SUMIFS('Trading History'!$Z$4:$Z1005, 'Trading History'!$Y$4:$Y1005,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43</v>
      </c>
      <c r="C32" s="72">
        <f>Index!C33-Index!C31</f>
        <v>0</v>
      </c>
      <c r="D32" s="59"/>
      <c r="E32" s="69" t="s">
        <v>44</v>
      </c>
      <c r="F32" s="72">
        <f>Index!F33-Index!F31</f>
        <v>0</v>
      </c>
      <c r="G32" s="59"/>
      <c r="H32" s="70" t="s">
        <v>45</v>
      </c>
      <c r="I32" s="72">
        <f>Index!I33-Index!I31</f>
        <v>0</v>
      </c>
      <c r="J32" s="59"/>
      <c r="K32" s="71" t="s">
        <v>43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History'!$M$4:$M1005, 'Trading History'!$K$4:$K1005, CONCAT("&gt;", $A29))</f>
        <v>0</v>
      </c>
      <c r="D33" s="59"/>
      <c r="E33" s="69" t="s">
        <v>46</v>
      </c>
      <c r="F33" s="72">
        <f>SUMIFS('Trading History'!$Q$4:$Q1005, 'Trading History'!$O$4:$O1005, CONCAT("&gt;", $A29))</f>
        <v>0</v>
      </c>
      <c r="G33" s="59"/>
      <c r="H33" s="70" t="s">
        <v>47</v>
      </c>
      <c r="I33" s="72">
        <f>SUMIFS('Trading History'!$U$4:$U1005, 'Trading History'!$S$4:$S1005, CONCAT("&gt;", $A29))</f>
        <v>0</v>
      </c>
      <c r="J33" s="59"/>
      <c r="K33" s="71" t="s">
        <v>17</v>
      </c>
      <c r="L33" s="72">
        <f>SUMIFS('Trading History'!$AA$4:$AA1005, 'Trading History'!$Y$4:$Y1005,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History'!$N$4:$N1005, 'Trading History'!$K$4:$K1005, CONCAT("&gt;", $A36))</f>
        <v>0</v>
      </c>
      <c r="D36" s="59"/>
      <c r="E36" s="64" t="s">
        <v>36</v>
      </c>
      <c r="F36" s="63">
        <f>IFERROR(SUMIFS('Trading History'!$R$4:$R1005, 'Trading History'!$O$4:$O1005, CONCAT("&gt;", $A36)), 0)</f>
        <v>0</v>
      </c>
      <c r="G36" s="59"/>
      <c r="H36" s="65" t="s">
        <v>37</v>
      </c>
      <c r="I36" s="63">
        <f>SUMIFS('Trading History'!$V$4:$V1005, 'Trading History'!$S$4:$S1005, CONCAT("&gt;", $A36))</f>
        <v>0</v>
      </c>
      <c r="J36" s="59"/>
      <c r="K36" s="66" t="s">
        <v>18</v>
      </c>
      <c r="L36" s="63">
        <f>SUMIFS('Trading History'!$AB$4:$AB1005, 'Trading History'!$Y$4:$Y1005,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38</v>
      </c>
      <c r="C37" s="58">
        <f>IFERROR(Index!C38/(Index!C36*Index!$C$2), 0)</f>
        <v>0</v>
      </c>
      <c r="D37" s="59"/>
      <c r="E37" s="69" t="s">
        <v>39</v>
      </c>
      <c r="F37" s="58">
        <f>IFERROR(Index!F38/(Index!F36*Index!$C$2), 0)</f>
        <v>0</v>
      </c>
      <c r="G37" s="59"/>
      <c r="H37" s="70" t="s">
        <v>40</v>
      </c>
      <c r="I37" s="58">
        <f>IFERROR(Index!I38/(Index!I36*Index!$C$2), 0)</f>
        <v>0</v>
      </c>
      <c r="J37" s="59"/>
      <c r="K37" s="71" t="s">
        <v>38</v>
      </c>
      <c r="L37" s="58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History'!$L$4:$L1005, 'Trading History'!$K$4:$K1005, CONCAT("&gt;", $A36))</f>
        <v>0</v>
      </c>
      <c r="D38" s="59"/>
      <c r="E38" s="69" t="s">
        <v>41</v>
      </c>
      <c r="F38" s="72">
        <f>SUMIFS('Trading History'!$P$4:$P1005, 'Trading History'!$O$4:$O1005, CONCAT("&gt;", $A36))</f>
        <v>0</v>
      </c>
      <c r="G38" s="59"/>
      <c r="H38" s="70" t="s">
        <v>42</v>
      </c>
      <c r="I38" s="72">
        <f>SUMIFS('Trading History'!$T$4:$T1005, 'Trading History'!$S$4:$S1005, CONCAT("&gt;", $A36))</f>
        <v>0</v>
      </c>
      <c r="J38" s="59"/>
      <c r="K38" s="71" t="s">
        <v>16</v>
      </c>
      <c r="L38" s="72">
        <f>SUMIFS('Trading History'!$Z$4:$Z1005, 'Trading History'!$Y$4:$Y1005,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43</v>
      </c>
      <c r="C39" s="72">
        <f>Index!C40-Index!C38</f>
        <v>0</v>
      </c>
      <c r="D39" s="59"/>
      <c r="E39" s="69" t="s">
        <v>44</v>
      </c>
      <c r="F39" s="72">
        <f>Index!F40-Index!F38</f>
        <v>0</v>
      </c>
      <c r="G39" s="59"/>
      <c r="H39" s="70" t="s">
        <v>45</v>
      </c>
      <c r="I39" s="72">
        <f>Index!I40-Index!I38</f>
        <v>0</v>
      </c>
      <c r="J39" s="59"/>
      <c r="K39" s="71" t="s">
        <v>43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History'!$M$4:$M1005, 'Trading History'!$K$4:$K1005, CONCAT("&gt;", $A36))</f>
        <v>0</v>
      </c>
      <c r="D40" s="59"/>
      <c r="E40" s="69" t="s">
        <v>46</v>
      </c>
      <c r="F40" s="72">
        <f>SUMIFS('Trading History'!$Q$4:$Q1005, 'Trading History'!$O$4:$O1005, CONCAT("&gt;", $A36))</f>
        <v>0</v>
      </c>
      <c r="G40" s="59"/>
      <c r="H40" s="70" t="s">
        <v>47</v>
      </c>
      <c r="I40" s="72">
        <f>SUMIFS('Trading History'!$U$4:$U1005, 'Trading History'!$S$4:$S1005, CONCAT("&gt;", $A36))</f>
        <v>0</v>
      </c>
      <c r="J40" s="59"/>
      <c r="K40" s="71" t="s">
        <v>17</v>
      </c>
      <c r="L40" s="72">
        <f>SUMIFS('Trading History'!$AA$4:$AA1005, 'Trading History'!$Y$4:$Y1005,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History'!$N$4:$N1005, 'Trading History'!$K$4:$K1005, CONCAT("&gt;", $A43))</f>
        <v>0</v>
      </c>
      <c r="D43" s="59"/>
      <c r="E43" s="64" t="s">
        <v>36</v>
      </c>
      <c r="F43" s="63">
        <f>IFERROR(SUMIFS('Trading History'!$R$4:$R1005, 'Trading History'!$O$4:$O1005, CONCAT("&gt;", $A43)), 0)</f>
        <v>0</v>
      </c>
      <c r="G43" s="59"/>
      <c r="H43" s="65" t="s">
        <v>37</v>
      </c>
      <c r="I43" s="63">
        <f>SUMIFS('Trading History'!$V$4:$V1005, 'Trading History'!$S$4:$S1005, CONCAT("&gt;", $A43))</f>
        <v>0</v>
      </c>
      <c r="J43" s="59"/>
      <c r="K43" s="66" t="s">
        <v>18</v>
      </c>
      <c r="L43" s="63">
        <f>SUMIFS('Trading History'!$AB$4:$AB1005, 'Trading History'!$Y$4:$Y1005,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38</v>
      </c>
      <c r="C44" s="58">
        <f>IFERROR(Index!C45/(Index!C43*Index!$C$2), 0)</f>
        <v>0</v>
      </c>
      <c r="D44" s="59"/>
      <c r="E44" s="69" t="s">
        <v>39</v>
      </c>
      <c r="F44" s="58">
        <f>IFERROR(Index!F45/(Index!F43*Index!$C$2), 0)</f>
        <v>0</v>
      </c>
      <c r="G44" s="59"/>
      <c r="H44" s="70" t="s">
        <v>40</v>
      </c>
      <c r="I44" s="58">
        <f>IFERROR(Index!I45/(Index!I43*Index!$C$2), 0)</f>
        <v>0</v>
      </c>
      <c r="J44" s="59"/>
      <c r="K44" s="71" t="s">
        <v>38</v>
      </c>
      <c r="L44" s="58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History'!$L$4:$L1005, 'Trading History'!$K$4:$K1005, CONCAT("&gt;", $A43))</f>
        <v>0</v>
      </c>
      <c r="D45" s="59"/>
      <c r="E45" s="69" t="s">
        <v>41</v>
      </c>
      <c r="F45" s="72">
        <f>SUMIFS('Trading History'!$P$4:$P1005, 'Trading History'!$O$4:$O1005, CONCAT("&gt;", $A43))</f>
        <v>0</v>
      </c>
      <c r="G45" s="59"/>
      <c r="H45" s="70" t="s">
        <v>42</v>
      </c>
      <c r="I45" s="72">
        <f>SUMIFS('Trading History'!$T$4:$T1005, 'Trading History'!$S$4:$S1005, CONCAT("&gt;", $A43))</f>
        <v>0</v>
      </c>
      <c r="J45" s="59"/>
      <c r="K45" s="71" t="s">
        <v>16</v>
      </c>
      <c r="L45" s="72">
        <f>SUMIFS('Trading History'!$Z$4:$Z1005, 'Trading History'!$Y$4:$Y1005,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43</v>
      </c>
      <c r="C46" s="72">
        <f>Index!C47-Index!C45</f>
        <v>0</v>
      </c>
      <c r="D46" s="59"/>
      <c r="E46" s="69" t="s">
        <v>44</v>
      </c>
      <c r="F46" s="72">
        <f>Index!F47-Index!F45</f>
        <v>0</v>
      </c>
      <c r="G46" s="59"/>
      <c r="H46" s="70" t="s">
        <v>45</v>
      </c>
      <c r="I46" s="72">
        <f>Index!I47-Index!I45</f>
        <v>0</v>
      </c>
      <c r="J46" s="59"/>
      <c r="K46" s="71" t="s">
        <v>43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History'!$M$4:$M1005, 'Trading History'!$K$4:$K1005, CONCAT("&gt;", $A43))</f>
        <v>0</v>
      </c>
      <c r="D47" s="59"/>
      <c r="E47" s="69" t="s">
        <v>46</v>
      </c>
      <c r="F47" s="72">
        <f>SUMIFS('Trading History'!$Q$4:$Q1005, 'Trading History'!$O$4:$O1005, CONCAT("&gt;", $A43))</f>
        <v>0</v>
      </c>
      <c r="G47" s="59"/>
      <c r="H47" s="70" t="s">
        <v>47</v>
      </c>
      <c r="I47" s="72">
        <f>SUMIFS('Trading History'!$U$4:$U1005, 'Trading History'!$S$4:$S1005, CONCAT("&gt;", $A43))</f>
        <v>0</v>
      </c>
      <c r="J47" s="59"/>
      <c r="K47" s="71" t="s">
        <v>17</v>
      </c>
      <c r="L47" s="72">
        <f>SUMIFS('Trading History'!$AA$4:$AA1005, 'Trading History'!$Y$4:$Y1005,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History'!$N$4:$N1005, 'Trading History'!$K$4:$K1005, CONCAT("&gt;", $A50))</f>
        <v>20</v>
      </c>
      <c r="D50" s="59"/>
      <c r="E50" s="64" t="s">
        <v>36</v>
      </c>
      <c r="F50" s="63">
        <f>IFERROR(SUMIFS('Trading History'!$R$4:$R1005, 'Trading History'!$O$4:$O1005, CONCAT("&gt;", $A50)), 0)</f>
        <v>20</v>
      </c>
      <c r="G50" s="59"/>
      <c r="H50" s="65" t="s">
        <v>37</v>
      </c>
      <c r="I50" s="63">
        <f>SUMIFS('Trading History'!$V$4:$V1005, 'Trading History'!$S$4:$S1005, CONCAT("&gt;", $A50))</f>
        <v>0</v>
      </c>
      <c r="J50" s="59"/>
      <c r="K50" s="66" t="s">
        <v>18</v>
      </c>
      <c r="L50" s="63">
        <f>SUMIFS('Trading History'!$AB$4:$AB1005, 'Trading History'!$Y$4:$Y1005,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38</v>
      </c>
      <c r="C51" s="58">
        <f>IFERROR(Index!C52/(Index!C50*Index!$C$2), 0)</f>
        <v>0.2077086842</v>
      </c>
      <c r="D51" s="59"/>
      <c r="E51" s="69" t="s">
        <v>39</v>
      </c>
      <c r="F51" s="58">
        <f>IFERROR(Index!F52/(Index!F50*Index!$C$2), 0)</f>
        <v>0.2077086842</v>
      </c>
      <c r="G51" s="59"/>
      <c r="H51" s="70" t="s">
        <v>40</v>
      </c>
      <c r="I51" s="58">
        <f>IFERROR(Index!I52/(Index!I50*Index!$C$2), 0)</f>
        <v>0</v>
      </c>
      <c r="J51" s="59"/>
      <c r="K51" s="71" t="s">
        <v>38</v>
      </c>
      <c r="L51" s="58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History'!$L$4:$L1005, 'Trading History'!$K$4:$K1005, CONCAT("&gt;", $A50))</f>
        <v>1262.8688</v>
      </c>
      <c r="D52" s="59"/>
      <c r="E52" s="69" t="s">
        <v>41</v>
      </c>
      <c r="F52" s="72">
        <f>SUMIFS('Trading History'!$P$4:$P1005, 'Trading History'!$O$4:$O1005, CONCAT("&gt;", $A50))</f>
        <v>1262.8688</v>
      </c>
      <c r="G52" s="59"/>
      <c r="H52" s="70" t="s">
        <v>42</v>
      </c>
      <c r="I52" s="72">
        <f>SUMIFS('Trading History'!$T$4:$T1005, 'Trading History'!$S$4:$S1005, CONCAT("&gt;", $A50))</f>
        <v>0</v>
      </c>
      <c r="J52" s="59"/>
      <c r="K52" s="71" t="s">
        <v>16</v>
      </c>
      <c r="L52" s="72">
        <f>SUMIFS('Trading History'!$Z$4:$Z1005, 'Trading History'!$Y$4:$Y1005,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43</v>
      </c>
      <c r="C53" s="72">
        <f>Index!C54-Index!C52</f>
        <v>4799.2</v>
      </c>
      <c r="D53" s="59"/>
      <c r="E53" s="69" t="s">
        <v>44</v>
      </c>
      <c r="F53" s="72">
        <f>Index!F54-Index!F52</f>
        <v>4799.2</v>
      </c>
      <c r="G53" s="59"/>
      <c r="H53" s="70" t="s">
        <v>45</v>
      </c>
      <c r="I53" s="72">
        <f>Index!I54-Index!I52</f>
        <v>0</v>
      </c>
      <c r="J53" s="59"/>
      <c r="K53" s="71" t="s">
        <v>43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History'!$M$4:$M1005, 'Trading History'!$K$4:$K1005, CONCAT("&gt;", $A50))</f>
        <v>6062.0688</v>
      </c>
      <c r="D54" s="59"/>
      <c r="E54" s="69" t="s">
        <v>46</v>
      </c>
      <c r="F54" s="72">
        <f>SUMIFS('Trading History'!$Q$4:$Q1005, 'Trading History'!$O$4:$O1005, CONCAT("&gt;", $A50))</f>
        <v>6062.0688</v>
      </c>
      <c r="G54" s="59"/>
      <c r="H54" s="70" t="s">
        <v>47</v>
      </c>
      <c r="I54" s="72">
        <f>SUMIFS('Trading History'!$U$4:$U1005, 'Trading History'!$S$4:$S1005, CONCAT("&gt;", $A50))</f>
        <v>0</v>
      </c>
      <c r="J54" s="59"/>
      <c r="K54" s="71" t="s">
        <v>17</v>
      </c>
      <c r="L54" s="72">
        <f>SUMIFS('Trading History'!$AA$4:$AA1005, 'Trading History'!$Y$4:$Y1005,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History'!$N$4:$N1005, 'Trading History'!$K$4:$K1005, CONCAT("&gt;", $A57))</f>
        <v>20</v>
      </c>
      <c r="D57" s="59"/>
      <c r="E57" s="64" t="s">
        <v>36</v>
      </c>
      <c r="F57" s="63">
        <f>IFERROR(SUMIFS('Trading History'!$R$4:$R1005, 'Trading History'!$O$4:$O1005, CONCAT("&gt;", $A57)), 0)</f>
        <v>20</v>
      </c>
      <c r="G57" s="59"/>
      <c r="H57" s="65" t="s">
        <v>37</v>
      </c>
      <c r="I57" s="63">
        <f>SUMIFS('Trading History'!$V$4:$V1005, 'Trading History'!$S$4:$S1005, CONCAT("&gt;", $A57))</f>
        <v>0</v>
      </c>
      <c r="J57" s="59"/>
      <c r="K57" s="66" t="s">
        <v>18</v>
      </c>
      <c r="L57" s="63">
        <f>SUMIFS('Trading History'!$AB$4:$AB1005, 'Trading History'!$Y$4:$Y1005,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38</v>
      </c>
      <c r="C58" s="58">
        <f>IFERROR(Index!C59/(Index!C57*Index!$C$2), 0)</f>
        <v>0.2077086842</v>
      </c>
      <c r="D58" s="59"/>
      <c r="E58" s="69" t="s">
        <v>39</v>
      </c>
      <c r="F58" s="58">
        <f>IFERROR(Index!F59/(Index!F57*Index!$C$2), 0)</f>
        <v>0.2077086842</v>
      </c>
      <c r="G58" s="59"/>
      <c r="H58" s="70" t="s">
        <v>40</v>
      </c>
      <c r="I58" s="58">
        <f>IFERROR(Index!I59/(Index!I57*Index!$C$2), 0)</f>
        <v>0</v>
      </c>
      <c r="J58" s="59"/>
      <c r="K58" s="71" t="s">
        <v>38</v>
      </c>
      <c r="L58" s="58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History'!$L$4:$L1005, 'Trading History'!$K$4:$K1005, CONCAT("&gt;", $A57))</f>
        <v>1262.8688</v>
      </c>
      <c r="D59" s="59"/>
      <c r="E59" s="69" t="s">
        <v>41</v>
      </c>
      <c r="F59" s="72">
        <f>SUMIFS('Trading History'!$P$4:$P1005, 'Trading History'!$O$4:$O1005, CONCAT("&gt;", $A57))</f>
        <v>1262.8688</v>
      </c>
      <c r="G59" s="59"/>
      <c r="H59" s="70" t="s">
        <v>42</v>
      </c>
      <c r="I59" s="72">
        <f>SUMIFS('Trading History'!$T$4:$T1005, 'Trading History'!$S$4:$S1005, CONCAT("&gt;", $A57))</f>
        <v>0</v>
      </c>
      <c r="J59" s="59"/>
      <c r="K59" s="71" t="s">
        <v>16</v>
      </c>
      <c r="L59" s="72">
        <f>SUMIFS('Trading History'!$Z$4:$Z1005, 'Trading History'!$Y$4:$Y1005,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43</v>
      </c>
      <c r="C60" s="72">
        <f>Index!C61-Index!C59</f>
        <v>4799.2</v>
      </c>
      <c r="D60" s="59"/>
      <c r="E60" s="69" t="s">
        <v>44</v>
      </c>
      <c r="F60" s="72">
        <f>Index!F61-Index!F59</f>
        <v>4799.2</v>
      </c>
      <c r="G60" s="59"/>
      <c r="H60" s="70" t="s">
        <v>45</v>
      </c>
      <c r="I60" s="72">
        <f>Index!I61-Index!I59</f>
        <v>0</v>
      </c>
      <c r="J60" s="59"/>
      <c r="K60" s="71" t="s">
        <v>43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History'!$M$4:$M1005, 'Trading History'!$K$4:$K1005, CONCAT("&gt;", $A57))</f>
        <v>6062.0688</v>
      </c>
      <c r="D61" s="59"/>
      <c r="E61" s="69" t="s">
        <v>46</v>
      </c>
      <c r="F61" s="72">
        <f>SUMIFS('Trading History'!$Q$4:$Q1005, 'Trading History'!$O$4:$O1005, CONCAT("&gt;", $A57))</f>
        <v>6062.0688</v>
      </c>
      <c r="G61" s="59"/>
      <c r="H61" s="70" t="s">
        <v>47</v>
      </c>
      <c r="I61" s="72">
        <f>SUMIFS('Trading History'!$U$4:$U1005, 'Trading History'!$S$4:$S1005, CONCAT("&gt;", $A57))</f>
        <v>0</v>
      </c>
      <c r="J61" s="59"/>
      <c r="K61" s="71" t="s">
        <v>17</v>
      </c>
      <c r="L61" s="72">
        <f>SUMIFS('Trading History'!$AA$4:$AA1005, 'Trading History'!$Y$4:$Y1005,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History'!$N$4:$N1005, 'Trading History'!$K$4:$K1005, CONCAT("&gt;", $A64))</f>
        <v>20</v>
      </c>
      <c r="D64" s="59"/>
      <c r="E64" s="64" t="s">
        <v>36</v>
      </c>
      <c r="F64" s="63">
        <f>IFERROR(SUMIFS('Trading History'!$R$4:$R1005, 'Trading History'!$O$4:$O1005, CONCAT("&gt;", $A64)), 0)</f>
        <v>20</v>
      </c>
      <c r="G64" s="59"/>
      <c r="H64" s="65" t="s">
        <v>37</v>
      </c>
      <c r="I64" s="63">
        <f>SUMIFS('Trading History'!$V$4:$V1005, 'Trading History'!$S$4:$S1005, CONCAT("&gt;", $A64))</f>
        <v>0</v>
      </c>
      <c r="J64" s="59"/>
      <c r="K64" s="66" t="s">
        <v>18</v>
      </c>
      <c r="L64" s="63">
        <f>SUMIFS('Trading History'!$AB$4:$AB1005, 'Trading History'!$Y$4:$Y1005,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38</v>
      </c>
      <c r="C65" s="58">
        <f>IFERROR(Index!C66/(Index!C64*Index!$C$2), 0)</f>
        <v>0.2077086842</v>
      </c>
      <c r="D65" s="59"/>
      <c r="E65" s="69" t="s">
        <v>39</v>
      </c>
      <c r="F65" s="58">
        <f>IFERROR(Index!F66/(Index!F64*Index!$C$2), 0)</f>
        <v>0.2077086842</v>
      </c>
      <c r="G65" s="59"/>
      <c r="H65" s="70" t="s">
        <v>40</v>
      </c>
      <c r="I65" s="58">
        <f>IFERROR(Index!I66/(Index!I64*Index!$C$2), 0)</f>
        <v>0</v>
      </c>
      <c r="J65" s="59"/>
      <c r="K65" s="71" t="s">
        <v>38</v>
      </c>
      <c r="L65" s="58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History'!$L$4:$L1005, 'Trading History'!$K$4:$K1005, CONCAT("&gt;", $A64))</f>
        <v>1262.8688</v>
      </c>
      <c r="D66" s="59"/>
      <c r="E66" s="69" t="s">
        <v>41</v>
      </c>
      <c r="F66" s="72">
        <f>SUMIFS('Trading History'!$P$4:$P1005, 'Trading History'!$O$4:$O1005, CONCAT("&gt;", $A64))</f>
        <v>1262.8688</v>
      </c>
      <c r="G66" s="59"/>
      <c r="H66" s="70" t="s">
        <v>42</v>
      </c>
      <c r="I66" s="72">
        <f>SUMIFS('Trading History'!$T$4:$T1005, 'Trading History'!$S$4:$S1005, CONCAT("&gt;", $A64))</f>
        <v>0</v>
      </c>
      <c r="J66" s="59"/>
      <c r="K66" s="71" t="s">
        <v>16</v>
      </c>
      <c r="L66" s="72">
        <f>SUMIFS('Trading History'!$Z$4:$Z1005, 'Trading History'!$Y$4:$Y1005,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43</v>
      </c>
      <c r="C67" s="72">
        <f>Index!C68-Index!C66</f>
        <v>4799.2</v>
      </c>
      <c r="D67" s="59"/>
      <c r="E67" s="69" t="s">
        <v>44</v>
      </c>
      <c r="F67" s="72">
        <f>Index!F68-Index!F66</f>
        <v>4799.2</v>
      </c>
      <c r="G67" s="59"/>
      <c r="H67" s="70" t="s">
        <v>45</v>
      </c>
      <c r="I67" s="72">
        <f>Index!I68-Index!I66</f>
        <v>0</v>
      </c>
      <c r="J67" s="59"/>
      <c r="K67" s="71" t="s">
        <v>43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History'!$M$4:$M1005, 'Trading History'!$K$4:$K1005, CONCAT("&gt;", $A64))</f>
        <v>6062.0688</v>
      </c>
      <c r="D68" s="59"/>
      <c r="E68" s="69" t="s">
        <v>46</v>
      </c>
      <c r="F68" s="72">
        <f>SUMIFS('Trading History'!$Q$4:$Q1005, 'Trading History'!$O$4:$O1005, CONCAT("&gt;", $A64))</f>
        <v>6062.0688</v>
      </c>
      <c r="G68" s="59"/>
      <c r="H68" s="70" t="s">
        <v>47</v>
      </c>
      <c r="I68" s="72">
        <f>SUMIFS('Trading History'!$U$4:$U1005, 'Trading History'!$S$4:$S1005, CONCAT("&gt;", $A64))</f>
        <v>0</v>
      </c>
      <c r="J68" s="59"/>
      <c r="K68" s="71" t="s">
        <v>17</v>
      </c>
      <c r="L68" s="72">
        <f>SUMIFS('Trading History'!$AA$4:$AA1005, 'Trading History'!$Y$4:$Y1005,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History'!$N$4:$N1005, 'Trading History'!$K$4:$K1005, CONCAT("&gt;", $A71))</f>
        <v>20</v>
      </c>
      <c r="D71" s="59"/>
      <c r="E71" s="64" t="s">
        <v>36</v>
      </c>
      <c r="F71" s="63">
        <f>IFERROR(SUMIFS('Trading History'!$R$4:$R1005, 'Trading History'!$O$4:$O1005, CONCAT("&gt;", $A71)), 0)</f>
        <v>20</v>
      </c>
      <c r="G71" s="59"/>
      <c r="H71" s="65" t="s">
        <v>37</v>
      </c>
      <c r="I71" s="63">
        <f>SUMIFS('Trading History'!$V$4:$V1005, 'Trading History'!$S$4:$S1005, CONCAT("&gt;", $A71))</f>
        <v>0</v>
      </c>
      <c r="J71" s="59"/>
      <c r="K71" s="66" t="s">
        <v>18</v>
      </c>
      <c r="L71" s="63">
        <f>SUMIFS('Trading History'!$AB$4:$AB1005, 'Trading History'!$Y$4:$Y1005,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38</v>
      </c>
      <c r="C72" s="58">
        <f>IFERROR(Index!C73/(Index!C71*Index!$C$2), 0)</f>
        <v>0.2077086842</v>
      </c>
      <c r="D72" s="59"/>
      <c r="E72" s="69" t="s">
        <v>39</v>
      </c>
      <c r="F72" s="58">
        <f>IFERROR(Index!F73/(Index!F71*Index!$C$2), 0)</f>
        <v>0.2077086842</v>
      </c>
      <c r="G72" s="59"/>
      <c r="H72" s="70" t="s">
        <v>40</v>
      </c>
      <c r="I72" s="58">
        <f>IFERROR(Index!I73/(Index!I71*Index!$C$2), 0)</f>
        <v>0</v>
      </c>
      <c r="J72" s="59"/>
      <c r="K72" s="71" t="s">
        <v>38</v>
      </c>
      <c r="L72" s="58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History'!$L$4:$L1005, 'Trading History'!$K$4:$K1005, CONCAT("&gt;", $A71))</f>
        <v>1262.8688</v>
      </c>
      <c r="D73" s="59"/>
      <c r="E73" s="69" t="s">
        <v>41</v>
      </c>
      <c r="F73" s="72">
        <f>SUMIFS('Trading History'!$P$4:$P1005, 'Trading History'!$O$4:$O1005, CONCAT("&gt;", $A71))</f>
        <v>1262.8688</v>
      </c>
      <c r="G73" s="59"/>
      <c r="H73" s="70" t="s">
        <v>42</v>
      </c>
      <c r="I73" s="72">
        <f>SUMIFS('Trading History'!$T$4:$T1005, 'Trading History'!$S$4:$S1005, CONCAT("&gt;", $A71))</f>
        <v>0</v>
      </c>
      <c r="J73" s="59"/>
      <c r="K73" s="71" t="s">
        <v>16</v>
      </c>
      <c r="L73" s="72">
        <f>SUMIFS('Trading History'!$Z$4:$Z1005, 'Trading History'!$Y$4:$Y1005,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43</v>
      </c>
      <c r="C74" s="72">
        <f>Index!C75-Index!C73</f>
        <v>4799.2</v>
      </c>
      <c r="D74" s="59"/>
      <c r="E74" s="69" t="s">
        <v>44</v>
      </c>
      <c r="F74" s="72">
        <f>Index!F75-Index!F73</f>
        <v>4799.2</v>
      </c>
      <c r="G74" s="59"/>
      <c r="H74" s="70" t="s">
        <v>45</v>
      </c>
      <c r="I74" s="72">
        <f>Index!I75-Index!I73</f>
        <v>0</v>
      </c>
      <c r="J74" s="59"/>
      <c r="K74" s="71" t="s">
        <v>43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History'!$M$4:$M1005, 'Trading History'!$K$4:$K1005, CONCAT("&gt;", $A71))</f>
        <v>6062.0688</v>
      </c>
      <c r="D75" s="59"/>
      <c r="E75" s="69" t="s">
        <v>46</v>
      </c>
      <c r="F75" s="72">
        <f>SUMIFS('Trading History'!$Q$4:$Q1005, 'Trading History'!$O$4:$O1005, CONCAT("&gt;", $A71))</f>
        <v>6062.0688</v>
      </c>
      <c r="G75" s="59"/>
      <c r="H75" s="70" t="s">
        <v>47</v>
      </c>
      <c r="I75" s="72">
        <f>SUMIFS('Trading History'!$U$4:$U1005, 'Trading History'!$S$4:$S1005, CONCAT("&gt;", $A71))</f>
        <v>0</v>
      </c>
      <c r="J75" s="59"/>
      <c r="K75" s="71" t="s">
        <v>17</v>
      </c>
      <c r="L75" s="72">
        <f>SUMIFS('Trading History'!$AA$4:$AA1005, 'Trading History'!$Y$4:$Y1005,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History'!$N$4:$N1005, 'Trading History'!$K$4:$K1005, CONCAT("&gt;", $A78))</f>
        <v>20</v>
      </c>
      <c r="D78" s="59"/>
      <c r="E78" s="64" t="s">
        <v>36</v>
      </c>
      <c r="F78" s="63">
        <f>IFERROR(SUMIFS('Trading History'!$R$4:$R1005, 'Trading History'!$O$4:$O1005, CONCAT("&gt;", $A78)), 0)</f>
        <v>20</v>
      </c>
      <c r="G78" s="59"/>
      <c r="H78" s="65" t="s">
        <v>37</v>
      </c>
      <c r="I78" s="63">
        <f>SUMIFS('Trading History'!$V$4:$V1005, 'Trading History'!$S$4:$S1005, CONCAT("&gt;", $A78))</f>
        <v>0</v>
      </c>
      <c r="J78" s="59"/>
      <c r="K78" s="66" t="s">
        <v>18</v>
      </c>
      <c r="L78" s="63">
        <f>SUMIFS('Trading History'!$AB$4:$AB1005, 'Trading History'!$Y$4:$Y1005,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38</v>
      </c>
      <c r="C79" s="58">
        <f>IFERROR(Index!C80/(Index!C78*Index!$C$2), 0)</f>
        <v>0.2077086842</v>
      </c>
      <c r="D79" s="59"/>
      <c r="E79" s="69" t="s">
        <v>39</v>
      </c>
      <c r="F79" s="58">
        <f>IFERROR(Index!F80/(Index!F78*Index!$C$2), 0)</f>
        <v>0.2077086842</v>
      </c>
      <c r="G79" s="59"/>
      <c r="H79" s="70" t="s">
        <v>40</v>
      </c>
      <c r="I79" s="58">
        <f>IFERROR(Index!I80/(Index!I78*Index!$C$2), 0)</f>
        <v>0</v>
      </c>
      <c r="J79" s="59"/>
      <c r="K79" s="71" t="s">
        <v>38</v>
      </c>
      <c r="L79" s="58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History'!$L$4:$L1005, 'Trading History'!$K$4:$K1005, CONCAT("&gt;", $A78))</f>
        <v>1262.8688</v>
      </c>
      <c r="D80" s="59"/>
      <c r="E80" s="69" t="s">
        <v>41</v>
      </c>
      <c r="F80" s="72">
        <f>SUMIFS('Trading History'!$P$4:$P1005, 'Trading History'!$O$4:$O1005, CONCAT("&gt;", $A78))</f>
        <v>1262.8688</v>
      </c>
      <c r="G80" s="59"/>
      <c r="H80" s="70" t="s">
        <v>42</v>
      </c>
      <c r="I80" s="72">
        <f>SUMIFS('Trading History'!$T$4:$T1005, 'Trading History'!$S$4:$S1005, CONCAT("&gt;", $A78))</f>
        <v>0</v>
      </c>
      <c r="J80" s="59"/>
      <c r="K80" s="71" t="s">
        <v>16</v>
      </c>
      <c r="L80" s="72">
        <f>SUMIFS('Trading History'!$Z$4:$Z1005, 'Trading History'!$Y$4:$Y1005,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43</v>
      </c>
      <c r="C81" s="72">
        <f>Index!C82-Index!C80</f>
        <v>4799.2</v>
      </c>
      <c r="D81" s="59"/>
      <c r="E81" s="69" t="s">
        <v>44</v>
      </c>
      <c r="F81" s="72">
        <f>Index!F82-Index!F80</f>
        <v>4799.2</v>
      </c>
      <c r="G81" s="59"/>
      <c r="H81" s="70" t="s">
        <v>45</v>
      </c>
      <c r="I81" s="72">
        <f>Index!I82-Index!I80</f>
        <v>0</v>
      </c>
      <c r="J81" s="59"/>
      <c r="K81" s="71" t="s">
        <v>43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History'!$M$4:$M1005, 'Trading History'!$K$4:$K1005, CONCAT("&gt;", $A78))</f>
        <v>6062.0688</v>
      </c>
      <c r="D82" s="59"/>
      <c r="E82" s="69" t="s">
        <v>46</v>
      </c>
      <c r="F82" s="72">
        <f>SUMIFS('Trading History'!$Q$4:$Q1005, 'Trading History'!$O$4:$O1005, CONCAT("&gt;", $A78))</f>
        <v>6062.0688</v>
      </c>
      <c r="G82" s="59"/>
      <c r="H82" s="70" t="s">
        <v>47</v>
      </c>
      <c r="I82" s="72">
        <f>SUMIFS('Trading History'!$U$4:$U1005, 'Trading History'!$S$4:$S1005, CONCAT("&gt;", $A78))</f>
        <v>0</v>
      </c>
      <c r="J82" s="59"/>
      <c r="K82" s="71" t="s">
        <v>17</v>
      </c>
      <c r="L82" s="72">
        <f>SUMIFS('Trading History'!$AA$4:$AA1005, 'Trading History'!$Y$4:$Y1005,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History'!$N$4:$N1005, 'Trading History'!$K$4:$K1005, CONCAT("&gt;", $A85))</f>
        <v>20</v>
      </c>
      <c r="D85" s="59"/>
      <c r="E85" s="64" t="s">
        <v>36</v>
      </c>
      <c r="F85" s="63">
        <f>IFERROR(SUMIFS('Trading History'!$R$4:$R1005, 'Trading History'!$O$4:$O1005, CONCAT("&gt;", $A85)), 0)</f>
        <v>20</v>
      </c>
      <c r="G85" s="59"/>
      <c r="H85" s="65" t="s">
        <v>37</v>
      </c>
      <c r="I85" s="63">
        <f>SUMIFS('Trading History'!$V$4:$V1005, 'Trading History'!$S$4:$S1005, CONCAT("&gt;", $A85))</f>
        <v>0</v>
      </c>
      <c r="J85" s="59"/>
      <c r="K85" s="66" t="s">
        <v>18</v>
      </c>
      <c r="L85" s="63">
        <f>SUMIFS('Trading History'!$AB$4:$AB1005, 'Trading History'!$Y$4:$Y1005,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38</v>
      </c>
      <c r="C86" s="58">
        <f>IFERROR(Index!C87/(Index!C85*Index!$C$2), 0)</f>
        <v>0.2077086842</v>
      </c>
      <c r="D86" s="59"/>
      <c r="E86" s="69" t="s">
        <v>39</v>
      </c>
      <c r="F86" s="58">
        <f>IFERROR(Index!F87/(Index!F85*Index!$C$2), 0)</f>
        <v>0.2077086842</v>
      </c>
      <c r="G86" s="59"/>
      <c r="H86" s="70" t="s">
        <v>40</v>
      </c>
      <c r="I86" s="58">
        <f>IFERROR(Index!I87/(Index!I85*Index!$C$2), 0)</f>
        <v>0</v>
      </c>
      <c r="J86" s="59"/>
      <c r="K86" s="71" t="s">
        <v>38</v>
      </c>
      <c r="L86" s="58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History'!$L$4:$L1005, 'Trading History'!$K$4:$K1005, CONCAT("&gt;", $A85))</f>
        <v>1262.8688</v>
      </c>
      <c r="D87" s="59"/>
      <c r="E87" s="69" t="s">
        <v>41</v>
      </c>
      <c r="F87" s="72">
        <f>SUMIFS('Trading History'!$P$4:$P1005, 'Trading History'!$O$4:$O1005, CONCAT("&gt;", $A85))</f>
        <v>1262.8688</v>
      </c>
      <c r="G87" s="59"/>
      <c r="H87" s="70" t="s">
        <v>42</v>
      </c>
      <c r="I87" s="72">
        <f>SUMIFS('Trading History'!$T$4:$T1005, 'Trading History'!$S$4:$S1005, CONCAT("&gt;", $A85))</f>
        <v>0</v>
      </c>
      <c r="J87" s="59"/>
      <c r="K87" s="71" t="s">
        <v>16</v>
      </c>
      <c r="L87" s="72">
        <f>SUMIFS('Trading History'!$Z$4:$Z1005, 'Trading History'!$Y$4:$Y1005,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43</v>
      </c>
      <c r="C88" s="72">
        <f>Index!C89-Index!C87</f>
        <v>4799.2</v>
      </c>
      <c r="D88" s="59"/>
      <c r="E88" s="69" t="s">
        <v>44</v>
      </c>
      <c r="F88" s="72">
        <f>Index!F89-Index!F87</f>
        <v>4799.2</v>
      </c>
      <c r="G88" s="59"/>
      <c r="H88" s="70" t="s">
        <v>45</v>
      </c>
      <c r="I88" s="72">
        <f>Index!I89-Index!I87</f>
        <v>0</v>
      </c>
      <c r="J88" s="59"/>
      <c r="K88" s="71" t="s">
        <v>43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History'!$M$4:$M1005, 'Trading History'!$K$4:$K1005, CONCAT("&gt;", $A85))</f>
        <v>6062.0688</v>
      </c>
      <c r="D89" s="59"/>
      <c r="E89" s="69" t="s">
        <v>46</v>
      </c>
      <c r="F89" s="72">
        <f>SUMIFS('Trading History'!$Q$4:$Q1005, 'Trading History'!$O$4:$O1005, CONCAT("&gt;", $A85))</f>
        <v>6062.0688</v>
      </c>
      <c r="G89" s="59"/>
      <c r="H89" s="70" t="s">
        <v>47</v>
      </c>
      <c r="I89" s="72">
        <f>SUMIFS('Trading History'!$U$4:$U1005, 'Trading History'!$S$4:$S1005, CONCAT("&gt;", $A85))</f>
        <v>0</v>
      </c>
      <c r="J89" s="59"/>
      <c r="K89" s="71" t="s">
        <v>17</v>
      </c>
      <c r="L89" s="72">
        <f>SUMIFS('Trading History'!$AA$4:$AA1005, 'Trading History'!$Y$4:$Y1005,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