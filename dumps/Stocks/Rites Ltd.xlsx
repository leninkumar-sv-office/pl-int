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0061D24_2C1D_4659_BF1E_811A7D7654A1_.wvu.FilterData" localSheetId="0" hidden="1">'Trading History'!$A$4:$AO$104</definedName>
    <definedName name="_xlnm._FilterDatabase" localSheetId="0" hidden="1">'Trading History'!$A$4:$AO$104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8.38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8.380000000000001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" customWidth="1" style="85" min="25" max="26"/>
    <col width="8.380000000000001" customWidth="1" style="85" min="27" max="27"/>
    <col width="7" customWidth="1" style="85" min="28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7" t="n">
        <v>45954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249.45</v>
      </c>
      <c r="F5" t="n">
        <v>2494.5</v>
      </c>
      <c r="G5" t="inlineStr">
        <is>
          <t>~</t>
        </is>
      </c>
      <c r="J5">
        <f>Index!$C$2</f>
        <v/>
      </c>
    </row>
    <row r="6">
      <c r="A6" s="97" t="n">
        <v>45953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249.75</v>
      </c>
      <c r="F6" s="0" t="n">
        <v>2497.5</v>
      </c>
      <c r="G6" s="0" t="inlineStr">
        <is>
          <t>~</t>
        </is>
      </c>
      <c r="J6" s="0">
        <f>Index!$C$2</f>
        <v/>
      </c>
    </row>
    <row r="7">
      <c r="A7" s="97" t="n">
        <v>46062</v>
      </c>
      <c r="B7" s="0" t="inlineStr">
        <is>
          <t>NSE</t>
        </is>
      </c>
      <c r="C7" s="0" t="inlineStr">
        <is>
          <t>Buy</t>
        </is>
      </c>
      <c r="D7" s="0" t="n">
        <v>20</v>
      </c>
      <c r="E7" s="0" t="n">
        <v>227.09</v>
      </c>
      <c r="F7" s="0" t="n">
        <v>4564.6</v>
      </c>
      <c r="G7" s="0" t="inlineStr">
        <is>
          <t>CN#252611665409</t>
        </is>
      </c>
      <c r="I7" s="0" t="n">
        <v>22.8</v>
      </c>
      <c r="J7" s="0">
        <f>Index!$C$2</f>
        <v/>
      </c>
    </row>
    <row r="8">
      <c r="A8" s="97" t="n">
        <v>46059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220.23</v>
      </c>
      <c r="F8" s="0" t="n">
        <v>2213.3</v>
      </c>
      <c r="G8" s="0" t="inlineStr">
        <is>
          <t>CN#252611604850</t>
        </is>
      </c>
      <c r="I8" s="0" t="n">
        <v>11</v>
      </c>
      <c r="J8" s="0">
        <f>Index!$C$2</f>
        <v/>
      </c>
    </row>
    <row r="9">
      <c r="A9" s="97" t="n">
        <v>46057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223.75</v>
      </c>
      <c r="F9" s="0" t="n">
        <v>2248.7</v>
      </c>
      <c r="G9" s="0" t="inlineStr">
        <is>
          <t>CN#252611485581</t>
        </is>
      </c>
      <c r="I9" s="0" t="n">
        <v>11.2</v>
      </c>
      <c r="J9" s="0">
        <f>Index!$C$2</f>
        <v/>
      </c>
    </row>
    <row r="10">
      <c r="A10" s="97" t="n">
        <v>46049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218.46</v>
      </c>
      <c r="F10" s="0" t="n">
        <v>2195.5</v>
      </c>
      <c r="G10" s="0" t="inlineStr">
        <is>
          <t>CN#252611030591</t>
        </is>
      </c>
      <c r="I10" s="0" t="n">
        <v>10.9</v>
      </c>
      <c r="J10" s="0">
        <f>Index!$C$2</f>
        <v/>
      </c>
    </row>
    <row r="11">
      <c r="A11" s="97" t="n">
        <v>46015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243.55</v>
      </c>
      <c r="F11" s="0" t="n">
        <v>2447.7</v>
      </c>
      <c r="G11" s="0" t="inlineStr">
        <is>
          <t>CN#252609755521</t>
        </is>
      </c>
      <c r="I11" s="0" t="n">
        <v>12.2</v>
      </c>
      <c r="J11" s="0">
        <f>Index!$C$2</f>
        <v/>
      </c>
    </row>
    <row r="12">
      <c r="A12" s="97" t="n">
        <v>46008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224.2</v>
      </c>
      <c r="F12" s="0" t="n">
        <v>2253.2</v>
      </c>
      <c r="G12" s="0" t="inlineStr">
        <is>
          <t>CN#252609476500</t>
        </is>
      </c>
      <c r="I12" s="0" t="n">
        <v>11.2</v>
      </c>
      <c r="J12" s="0">
        <f>Index!$C$2</f>
        <v/>
      </c>
    </row>
    <row r="13">
      <c r="A13" s="97" t="n">
        <v>46007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226.9</v>
      </c>
      <c r="F13" s="0" t="n">
        <v>2280.3</v>
      </c>
      <c r="G13" s="0" t="inlineStr">
        <is>
          <t>CN#252609425003</t>
        </is>
      </c>
      <c r="I13" s="0" t="n">
        <v>11.3</v>
      </c>
      <c r="J13" s="0">
        <f>Index!$C$2</f>
        <v/>
      </c>
    </row>
    <row r="14">
      <c r="A14" s="97" t="n">
        <v>46002</v>
      </c>
      <c r="B14" s="0" t="inlineStr">
        <is>
          <t>BSE</t>
        </is>
      </c>
      <c r="C14" s="0" t="inlineStr">
        <is>
          <t>Buy</t>
        </is>
      </c>
      <c r="D14" s="0" t="n">
        <v>20</v>
      </c>
      <c r="E14" s="0" t="n">
        <v>224.975</v>
      </c>
      <c r="F14" s="0" t="n">
        <v>4522</v>
      </c>
      <c r="G14" s="0" t="inlineStr">
        <is>
          <t>CN#252609267726</t>
        </is>
      </c>
      <c r="I14" s="0" t="n">
        <v>22.5</v>
      </c>
      <c r="J14" s="0">
        <f>Index!$C$2</f>
        <v/>
      </c>
    </row>
    <row r="15">
      <c r="A15" s="97" t="n">
        <v>45996</v>
      </c>
      <c r="B15" s="0" t="inlineStr">
        <is>
          <t>NSE</t>
        </is>
      </c>
      <c r="C15" s="0" t="inlineStr">
        <is>
          <t>Buy</t>
        </is>
      </c>
      <c r="D15" s="0" t="n">
        <v>60</v>
      </c>
      <c r="E15" s="0" t="n">
        <v>228.2595</v>
      </c>
      <c r="F15" s="0" t="n">
        <v>13763.97</v>
      </c>
      <c r="G15" s="0" t="inlineStr">
        <is>
          <t>CN#252609039305</t>
        </is>
      </c>
      <c r="I15" s="0" t="n">
        <v>68.40000000000001</v>
      </c>
      <c r="J15" s="0">
        <f>Index!$C$2</f>
        <v/>
      </c>
    </row>
    <row r="16">
      <c r="A16" s="97" t="n">
        <v>45982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249.8</v>
      </c>
      <c r="F16" s="0" t="n">
        <v>2510.5</v>
      </c>
      <c r="G16" s="0" t="inlineStr">
        <is>
          <t>CN#252608495287</t>
        </is>
      </c>
      <c r="I16" s="0" t="n">
        <v>12.5</v>
      </c>
      <c r="J16" s="0">
        <f>Index!$C$2</f>
        <v/>
      </c>
    </row>
    <row r="17">
      <c r="A17" s="97" t="n">
        <v>45981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249.966</v>
      </c>
      <c r="F17" s="0" t="n">
        <v>2512.16</v>
      </c>
      <c r="G17" s="0" t="inlineStr">
        <is>
          <t>CN#252608441505</t>
        </is>
      </c>
      <c r="I17" s="0" t="n">
        <v>12.5</v>
      </c>
      <c r="J17" s="0">
        <f>Index!$C$2</f>
        <v/>
      </c>
    </row>
    <row r="18">
      <c r="A18" s="97" t="n">
        <v>45979</v>
      </c>
      <c r="B18" s="0" t="inlineStr">
        <is>
          <t>BSE</t>
        </is>
      </c>
      <c r="C18" s="0" t="inlineStr">
        <is>
          <t>Buy</t>
        </is>
      </c>
      <c r="D18" s="0" t="n">
        <v>10</v>
      </c>
      <c r="E18" s="0" t="n">
        <v>249.69</v>
      </c>
      <c r="F18" s="0" t="n">
        <v>2509.4</v>
      </c>
      <c r="G18" s="0" t="inlineStr">
        <is>
          <t>CN#252608322011</t>
        </is>
      </c>
      <c r="I18" s="0" t="n">
        <v>12.5</v>
      </c>
      <c r="J18" s="0">
        <f>Index!$C$2</f>
        <v/>
      </c>
    </row>
    <row r="19">
      <c r="A19" s="97" t="n">
        <v>45978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248.38</v>
      </c>
      <c r="F19" s="0" t="n">
        <v>4992.4</v>
      </c>
      <c r="G19" s="0" t="inlineStr">
        <is>
          <t>CN#252608260909</t>
        </is>
      </c>
      <c r="I19" s="0" t="n">
        <v>24.8</v>
      </c>
      <c r="J19" s="0">
        <f>Index!$C$2</f>
        <v/>
      </c>
    </row>
    <row r="20">
      <c r="A20" s="97" t="n">
        <v>45975</v>
      </c>
      <c r="B20" s="0" t="inlineStr">
        <is>
          <t>BSE</t>
        </is>
      </c>
      <c r="C20" s="0" t="inlineStr">
        <is>
          <t>Buy</t>
        </is>
      </c>
      <c r="D20" s="0" t="n">
        <v>10</v>
      </c>
      <c r="E20" s="0" t="n">
        <v>243.9</v>
      </c>
      <c r="F20" s="0" t="n">
        <v>2451.2</v>
      </c>
      <c r="G20" s="0" t="inlineStr">
        <is>
          <t>CN#252608199734</t>
        </is>
      </c>
      <c r="I20" s="0" t="n">
        <v>12.2</v>
      </c>
      <c r="J20" s="0">
        <f>Index!$C$2</f>
        <v/>
      </c>
    </row>
    <row r="21">
      <c r="A21" s="97" t="n">
        <v>45959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244.95</v>
      </c>
      <c r="F21" s="0" t="n">
        <v>2461.7</v>
      </c>
      <c r="G21" s="0" t="inlineStr">
        <is>
          <t>CN#252607497001</t>
        </is>
      </c>
      <c r="I21" s="0" t="n">
        <v>12.2</v>
      </c>
      <c r="J21" s="0">
        <f>Index!$C$2</f>
        <v/>
      </c>
    </row>
    <row r="22">
      <c r="A22" s="97" t="n">
        <v>45957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245.88</v>
      </c>
      <c r="F22" s="0" t="n">
        <v>2471.1</v>
      </c>
      <c r="G22" s="0" t="inlineStr">
        <is>
          <t>CN#252607382790</t>
        </is>
      </c>
      <c r="I22" s="0" t="n">
        <v>12.3</v>
      </c>
      <c r="J22" s="0">
        <f>Index!$C$2</f>
        <v/>
      </c>
    </row>
    <row r="23">
      <c r="A23" s="38" t="n">
        <v>45950</v>
      </c>
      <c r="B23" s="39" t="inlineStr">
        <is>
          <t>BSE</t>
        </is>
      </c>
      <c r="C23" s="39" t="inlineStr">
        <is>
          <t>Buy</t>
        </is>
      </c>
      <c r="D23" s="40" t="n">
        <v>20</v>
      </c>
      <c r="E23" s="41" t="n">
        <v>248.81</v>
      </c>
      <c r="F23" s="41">
        <f>D5*E5</f>
        <v/>
      </c>
      <c r="G23" s="39" t="inlineStr">
        <is>
          <t>~</t>
        </is>
      </c>
      <c r="H23" s="40" t="n"/>
      <c r="I23" s="40" t="n"/>
      <c r="J23" s="42">
        <f>Index!$C$2</f>
        <v/>
      </c>
      <c r="K23" s="43">
        <f>IF(AND( C5="Buy", ISBLANK(W5), B5&lt;&gt;"DIV"), L5/sum(F5:I5), "")</f>
        <v/>
      </c>
      <c r="L23" s="44">
        <f>IF(AND( C5="Buy", ISBLANK(W5), B5&lt;&gt;"DIV"), (1-Index!$F$2*2)*((J5*D5)-(E5*D5)), "")</f>
        <v/>
      </c>
      <c r="M23" s="44">
        <f>IF(AND( C5="Buy", ISBLANK(W5), B5&lt;&gt;"DIV"), ((E5*D5)+L5), "")</f>
        <v/>
      </c>
      <c r="N23" s="45">
        <f>IF(AND( C5="Buy", ISBLANK(W5), B5&lt;&gt;"DIV"), D5, "")</f>
        <v/>
      </c>
      <c r="O23" s="43">
        <f>IF(AND( C5="Buy", ISBLANK(W5), B5&lt;&gt;"DIV", NOW()-A5 &lt; 365), P5/sum(F5:I5), "")</f>
        <v/>
      </c>
      <c r="P23" s="44">
        <f>IF(AND( C5="Buy", ISBLANK(W5), B5&lt;&gt;"DIV", NOW()-A5 &lt; 365), (1-Index!$F$2*2)*((J5*D5)-(E5*D5)), "")</f>
        <v/>
      </c>
      <c r="Q23" s="44">
        <f>IF(AND( C5="Buy", ISBLANK(W5), B5&lt;&gt;"DIV", NOW()-A5 &lt; 365), ((E5*D5)+P5), "")</f>
        <v/>
      </c>
      <c r="R23" s="44">
        <f>IF(AND( C5="Buy", ISBLANK(W5), B5&lt;&gt;"DIV", NOW()-A5 &lt; 365), D5, "")</f>
        <v/>
      </c>
      <c r="S23" s="46">
        <f>IF(AND( C5="Buy", ISBLANK(W5), B5&lt;&gt;"DIV", NOW()-A5 &gt; 365), T5/sum(F5:I5), "")</f>
        <v/>
      </c>
      <c r="T23" s="47">
        <f>IF(AND( C5="Buy", ISBLANK(W5), B5&lt;&gt;"DIV", NOW()-A5 &gt; 365), (1-Index!$F$2*2)*((J5*D5)-(E5*D5)), "")</f>
        <v/>
      </c>
      <c r="U23" s="47">
        <f>IF(AND( C5="Buy", ISBLANK(W5), B5&lt;&gt;"DIV", NOW()-A5 &gt; 365), ((E5*D5)+T5), "")</f>
        <v/>
      </c>
      <c r="V23" s="47">
        <f>IF(AND( C5="Buy", ISBLANK(W5), B5&lt;&gt;"DIV", NOW()-A5 &gt; 365), D5, "")</f>
        <v/>
      </c>
      <c r="W23" s="47" t="n"/>
      <c r="X23" s="47" t="n"/>
      <c r="Y23" s="46">
        <f>IF(AND( C5="Buy", W5&lt;&gt;"", AA5&lt;&gt;"", B5&lt;&gt;"DIV"), Z5/sum(F5:I5), "")</f>
        <v/>
      </c>
      <c r="Z23" s="47" t="n"/>
      <c r="AA23" s="47" t="n"/>
      <c r="AB23" s="48" t="n"/>
      <c r="AC23" s="44">
        <f>if(B5="DIV", F5,"")</f>
        <v/>
      </c>
      <c r="AD23" s="49" t="n"/>
    </row>
    <row r="24">
      <c r="A24" s="38" t="n">
        <v>45917</v>
      </c>
      <c r="B24" s="39" t="inlineStr">
        <is>
          <t>DIV</t>
        </is>
      </c>
      <c r="C24" s="39" t="inlineStr">
        <is>
          <t>Buy</t>
        </is>
      </c>
      <c r="D24" s="40" t="n">
        <v>10</v>
      </c>
      <c r="E24" s="41" t="n">
        <v>2.65</v>
      </c>
      <c r="F24" s="41">
        <f>(D6*E6)</f>
        <v/>
      </c>
      <c r="G24" s="39" t="n"/>
      <c r="H24" s="40" t="n"/>
      <c r="I24" s="40" t="n"/>
      <c r="J24" s="42">
        <f>Index!$C$2</f>
        <v/>
      </c>
      <c r="K24" s="43">
        <f>IF(AND( C6="Buy", ISBLANK(W6), B6&lt;&gt;"DIV"), L6/sum(F6:I6), "")</f>
        <v/>
      </c>
      <c r="L24" s="44">
        <f>IF(AND( C6="Buy", ISBLANK(W6), B6&lt;&gt;"DIV"), (1-Index!$F$2*2)*((J6*D6)-(E6*D6)), "")</f>
        <v/>
      </c>
      <c r="M24" s="44">
        <f>IF(AND( C6="Buy", ISBLANK(W6), B6&lt;&gt;"DIV"), ((E6*D6)+L6), "")</f>
        <v/>
      </c>
      <c r="N24" s="45">
        <f>IF(AND( C6="Buy", ISBLANK(W6), B6&lt;&gt;"DIV"), D6, "")</f>
        <v/>
      </c>
      <c r="O24" s="43">
        <f>IF(AND( C6="Buy", ISBLANK(W6), B6&lt;&gt;"DIV", NOW()-A6 &lt; 365), P6/sum(F6:I6), "")</f>
        <v/>
      </c>
      <c r="P24" s="44">
        <f>IF(AND( C6="Buy", ISBLANK(W6), B6&lt;&gt;"DIV", NOW()-A6 &lt; 365), (1-Index!$F$2*2)*((J6*D6)-(E6*D6)), "")</f>
        <v/>
      </c>
      <c r="Q24" s="44">
        <f>IF(AND( C6="Buy", ISBLANK(W6), B6&lt;&gt;"DIV", NOW()-A6 &lt; 365), ((E6*D6)+P6), "")</f>
        <v/>
      </c>
      <c r="R24" s="44">
        <f>IF(AND( C6="Buy", ISBLANK(W6), B6&lt;&gt;"DIV", NOW()-A6 &lt; 365), D6, "")</f>
        <v/>
      </c>
      <c r="S24" s="46">
        <f>IF(AND( C6="Buy", ISBLANK(W6), B6&lt;&gt;"DIV", NOW()-A6 &gt; 365), T6/sum(F6:I6), "")</f>
        <v/>
      </c>
      <c r="T24" s="47">
        <f>IF(AND( C6="Buy", ISBLANK(W6), B6&lt;&gt;"DIV", NOW()-A6 &gt; 365), (1-Index!$F$2*2)*((J6*D6)-(E6*D6)), "")</f>
        <v/>
      </c>
      <c r="U24" s="47">
        <f>IF(AND( C6="Buy", ISBLANK(W6), B6&lt;&gt;"DIV", NOW()-A6 &gt; 365), ((E6*D6)+T6), "")</f>
        <v/>
      </c>
      <c r="V24" s="47">
        <f>IF(AND( C6="Buy", ISBLANK(W6), B6&lt;&gt;"DIV", NOW()-A6 &gt; 365), D6, "")</f>
        <v/>
      </c>
      <c r="W24" s="47" t="n"/>
      <c r="X24" s="47" t="n"/>
      <c r="Y24" s="46">
        <f>IF(AND( C6="Buy", W6&lt;&gt;"", AA6&lt;&gt;"", B6&lt;&gt;"DIV"), Z6/sum(F6:I6), "")</f>
        <v/>
      </c>
      <c r="Z24" s="47" t="n"/>
      <c r="AA24" s="47" t="n"/>
      <c r="AB24" s="48" t="n"/>
      <c r="AC24" s="44">
        <f>if(B6="DIV", F6,"")</f>
        <v/>
      </c>
      <c r="AD24" s="49" t="n"/>
    </row>
    <row r="25">
      <c r="A25" s="38" t="n">
        <v>45917</v>
      </c>
      <c r="B25" s="39" t="inlineStr">
        <is>
          <t>DIV</t>
        </is>
      </c>
      <c r="C25" s="39" t="inlineStr">
        <is>
          <t>Buy</t>
        </is>
      </c>
      <c r="D25" s="40" t="n">
        <v>10</v>
      </c>
      <c r="E25" s="41" t="n">
        <v>2.65</v>
      </c>
      <c r="F25" s="41">
        <f>(D7*E7)</f>
        <v/>
      </c>
      <c r="G25" s="39" t="n"/>
      <c r="H25" s="40" t="n"/>
      <c r="I25" s="40" t="n"/>
      <c r="J25" s="42">
        <f>Index!$C$2</f>
        <v/>
      </c>
      <c r="K25" s="43">
        <f>IF(AND( C7="Buy", ISBLANK(W7), B7&lt;&gt;"DIV"), L7/sum(F7:I7), "")</f>
        <v/>
      </c>
      <c r="L25" s="44">
        <f>IF(AND( C7="Buy", ISBLANK(W7), B7&lt;&gt;"DIV"), (1-Index!$F$2*2)*((J7*D7)-(E7*D7)), "")</f>
        <v/>
      </c>
      <c r="M25" s="44">
        <f>IF(AND( C7="Buy", ISBLANK(W7), B7&lt;&gt;"DIV"), ((E7*D7)+L7), "")</f>
        <v/>
      </c>
      <c r="N25" s="45">
        <f>IF(AND( C7="Buy", ISBLANK(W7), B7&lt;&gt;"DIV"), D7, "")</f>
        <v/>
      </c>
      <c r="O25" s="43">
        <f>IF(AND( C7="Buy", ISBLANK(W7), B7&lt;&gt;"DIV", NOW()-A7 &lt; 365), P7/sum(F7:I7), "")</f>
        <v/>
      </c>
      <c r="P25" s="44">
        <f>IF(AND( C7="Buy", ISBLANK(W7), B7&lt;&gt;"DIV", NOW()-A7 &lt; 365), (1-Index!$F$2*2)*((J7*D7)-(E7*D7)), "")</f>
        <v/>
      </c>
      <c r="Q25" s="44">
        <f>IF(AND( C7="Buy", ISBLANK(W7), B7&lt;&gt;"DIV", NOW()-A7 &lt; 365), ((E7*D7)+P7), "")</f>
        <v/>
      </c>
      <c r="R25" s="44">
        <f>IF(AND( C7="Buy", ISBLANK(W7), B7&lt;&gt;"DIV", NOW()-A7 &lt; 365), D7, "")</f>
        <v/>
      </c>
      <c r="S25" s="46">
        <f>IF(AND( C7="Buy", ISBLANK(W7), B7&lt;&gt;"DIV", NOW()-A7 &gt; 365), T7/sum(F7:I7), "")</f>
        <v/>
      </c>
      <c r="T25" s="47">
        <f>IF(AND( C7="Buy", ISBLANK(W7), B7&lt;&gt;"DIV", NOW()-A7 &gt; 365), (1-Index!$F$2*2)*((J7*D7)-(E7*D7)), "")</f>
        <v/>
      </c>
      <c r="U25" s="47">
        <f>IF(AND( C7="Buy", ISBLANK(W7), B7&lt;&gt;"DIV", NOW()-A7 &gt; 365), ((E7*D7)+T7), "")</f>
        <v/>
      </c>
      <c r="V25" s="47">
        <f>IF(AND( C7="Buy", ISBLANK(W7), B7&lt;&gt;"DIV", NOW()-A7 &gt; 365), D7, "")</f>
        <v/>
      </c>
      <c r="W25" s="47" t="n"/>
      <c r="X25" s="47" t="n"/>
      <c r="Y25" s="46">
        <f>IF(AND( C7="Buy", W7&lt;&gt;"", AA7&lt;&gt;"", B7&lt;&gt;"DIV"), Z7/sum(F7:I7), "")</f>
        <v/>
      </c>
      <c r="Z25" s="47" t="n"/>
      <c r="AA25" s="47" t="n"/>
      <c r="AB25" s="48" t="n"/>
      <c r="AC25" s="44">
        <f>if(B7="DIV", F7,"")</f>
        <v/>
      </c>
      <c r="AD25" s="49" t="n"/>
    </row>
    <row r="26">
      <c r="A26" s="38" t="n">
        <v>45897</v>
      </c>
      <c r="B26" s="39" t="inlineStr">
        <is>
          <t>BSE</t>
        </is>
      </c>
      <c r="C26" s="39" t="inlineStr">
        <is>
          <t>Buy</t>
        </is>
      </c>
      <c r="D26" s="40" t="n">
        <v>10</v>
      </c>
      <c r="E26" s="41" t="n">
        <v>248.6</v>
      </c>
      <c r="F26" s="41" t="n">
        <v>2486</v>
      </c>
      <c r="G26" s="39" t="inlineStr">
        <is>
          <t>~</t>
        </is>
      </c>
      <c r="H26" s="40" t="n">
        <v>2.47</v>
      </c>
      <c r="I26" s="40" t="n">
        <v>15.03</v>
      </c>
      <c r="J26" s="42">
        <f>Index!$C$2</f>
        <v/>
      </c>
      <c r="K26" s="43">
        <f>IF(AND( C8="Buy", ISBLANK(W8), B8&lt;&gt;"DIV"), L8/sum(F8:I8), "")</f>
        <v/>
      </c>
      <c r="L26" s="44">
        <f>IF(AND( C8="Buy", ISBLANK(W8), B8&lt;&gt;"DIV"), (1-Index!$F$2*2)*((J8*D8)-(E8*D8)), "")</f>
        <v/>
      </c>
      <c r="M26" s="44">
        <f>IF(AND( C8="Buy", ISBLANK(W8), B8&lt;&gt;"DIV"), ((E8*D8)+L8), "")</f>
        <v/>
      </c>
      <c r="N26" s="45">
        <f>IF(AND( C8="Buy", ISBLANK(W8), B8&lt;&gt;"DIV"), D8, "")</f>
        <v/>
      </c>
      <c r="O26" s="43">
        <f>IF(AND( C8="Buy", ISBLANK(W8), B8&lt;&gt;"DIV", NOW()-A8 &lt; 365), P8/sum(F8:I8), "")</f>
        <v/>
      </c>
      <c r="P26" s="44">
        <f>IF(AND( C8="Buy", ISBLANK(W8), B8&lt;&gt;"DIV", NOW()-A8 &lt; 365), (1-Index!$F$2*2)*((J8*D8)-(E8*D8)), "")</f>
        <v/>
      </c>
      <c r="Q26" s="44">
        <f>IF(AND( C8="Buy", ISBLANK(W8), B8&lt;&gt;"DIV", NOW()-A8 &lt; 365), ((E8*D8)+P8), "")</f>
        <v/>
      </c>
      <c r="R26" s="44">
        <f>IF(AND( C8="Buy", ISBLANK(W8), B8&lt;&gt;"DIV", NOW()-A8 &lt; 365), D8, "")</f>
        <v/>
      </c>
      <c r="S26" s="46">
        <f>IF(AND( C8="Buy", ISBLANK(W8), B8&lt;&gt;"DIV", NOW()-A8 &gt; 365), T8/sum(F8:I8), "")</f>
        <v/>
      </c>
      <c r="T26" s="47">
        <f>IF(AND( C8="Buy", ISBLANK(W8), B8&lt;&gt;"DIV", NOW()-A8 &gt; 365), (1-Index!$F$2*2)*((J8*D8)-(E8*D8)), "")</f>
        <v/>
      </c>
      <c r="U26" s="47">
        <f>IF(AND( C8="Buy", ISBLANK(W8), B8&lt;&gt;"DIV", NOW()-A8 &gt; 365), ((E8*D8)+T8), "")</f>
        <v/>
      </c>
      <c r="V26" s="47">
        <f>IF(AND( C8="Buy", ISBLANK(W8), B8&lt;&gt;"DIV", NOW()-A8 &gt; 365), D8, "")</f>
        <v/>
      </c>
      <c r="W26" s="47" t="n"/>
      <c r="X26" s="47" t="n"/>
      <c r="Y26" s="46">
        <f>IF(AND( C8="Buy", W8&lt;&gt;"", AA8&lt;&gt;"", B8&lt;&gt;"DIV"), Z8/sum(F8:I8), "")</f>
        <v/>
      </c>
      <c r="Z26" s="47" t="n"/>
      <c r="AA26" s="47" t="n"/>
      <c r="AB26" s="48" t="n"/>
      <c r="AC26" s="44">
        <f>if(B8="DIV", F8,"")</f>
        <v/>
      </c>
      <c r="AD26" s="49" t="n"/>
    </row>
    <row r="27">
      <c r="A27" s="38" t="n">
        <v>45881</v>
      </c>
      <c r="B27" s="39" t="inlineStr">
        <is>
          <t>DIV</t>
        </is>
      </c>
      <c r="C27" s="39" t="inlineStr">
        <is>
          <t>Buy</t>
        </is>
      </c>
      <c r="D27" s="40" t="n">
        <v>10</v>
      </c>
      <c r="E27" s="41" t="n">
        <v>1.3</v>
      </c>
      <c r="F27" s="41" t="n">
        <v>13</v>
      </c>
      <c r="G27" s="39" t="inlineStr">
        <is>
          <t>Interim-Dividend of Rs.1.3000/- per share on Ex-Date: 12-AUG-2025</t>
        </is>
      </c>
      <c r="H27" s="40" t="n">
        <v>0</v>
      </c>
      <c r="I27" s="40" t="n">
        <v>0</v>
      </c>
      <c r="J27" s="42">
        <f>Index!$C$2</f>
        <v/>
      </c>
      <c r="K27" s="43">
        <f>IF(AND( C9="Buy", ISBLANK(W9), B9&lt;&gt;"DIV"), L9/sum(F9:I9), "")</f>
        <v/>
      </c>
      <c r="L27" s="44">
        <f>IF(AND( C9="Buy", ISBLANK(W9), B9&lt;&gt;"DIV"), (1-Index!$F$2*2)*((J9*D9)-(E9*D9)), "")</f>
        <v/>
      </c>
      <c r="M27" s="44">
        <f>IF(AND( C9="Buy", ISBLANK(W9), B9&lt;&gt;"DIV"), ((E9*D9)+L9), "")</f>
        <v/>
      </c>
      <c r="N27" s="45">
        <f>IF(AND( C9="Buy", ISBLANK(W9), B9&lt;&gt;"DIV"), D9, "")</f>
        <v/>
      </c>
      <c r="O27" s="43">
        <f>IF(AND( C9="Buy", ISBLANK(W9), B9&lt;&gt;"DIV", NOW()-A9 &lt; 365), P9/sum(F9:I9), "")</f>
        <v/>
      </c>
      <c r="P27" s="44">
        <f>IF(AND( C9="Buy", ISBLANK(W9), B9&lt;&gt;"DIV", NOW()-A9 &lt; 365), (1-Index!$F$2*2)*((J9*D9)-(E9*D9)), "")</f>
        <v/>
      </c>
      <c r="Q27" s="44">
        <f>IF(AND( C9="Buy", ISBLANK(W9), B9&lt;&gt;"DIV", NOW()-A9 &lt; 365), ((E9*D9)+P9), "")</f>
        <v/>
      </c>
      <c r="R27" s="44">
        <f>IF(AND( C9="Buy", ISBLANK(W9), B9&lt;&gt;"DIV", NOW()-A9 &lt; 365), D9, "")</f>
        <v/>
      </c>
      <c r="S27" s="46">
        <f>IF(AND( C9="Buy", ISBLANK(W9), B9&lt;&gt;"DIV", NOW()-A9 &gt; 365), T9/sum(F9:I9), "")</f>
        <v/>
      </c>
      <c r="T27" s="47">
        <f>IF(AND( C9="Buy", ISBLANK(W9), B9&lt;&gt;"DIV", NOW()-A9 &gt; 365), (1-Index!$F$2*2)*((J9*D9)-(E9*D9)), "")</f>
        <v/>
      </c>
      <c r="U27" s="47">
        <f>IF(AND( C9="Buy", ISBLANK(W9), B9&lt;&gt;"DIV", NOW()-A9 &gt; 365), ((E9*D9)+T9), "")</f>
        <v/>
      </c>
      <c r="V27" s="47">
        <f>IF(AND( C9="Buy", ISBLANK(W9), B9&lt;&gt;"DIV", NOW()-A9 &gt; 365), D9, "")</f>
        <v/>
      </c>
      <c r="W27" s="47" t="n"/>
      <c r="X27" s="47" t="n"/>
      <c r="Y27" s="46">
        <f>IF(AND( C9="Buy", W9&lt;&gt;"", AA9&lt;&gt;"", B9&lt;&gt;"DIV"), Z9/sum(F9:I9), "")</f>
        <v/>
      </c>
      <c r="Z27" s="47" t="n"/>
      <c r="AA27" s="47" t="n"/>
      <c r="AB27" s="48" t="n"/>
      <c r="AC27" s="44">
        <f>if(B9="DIV", F9,"")</f>
        <v/>
      </c>
      <c r="AD27" s="49" t="n"/>
    </row>
    <row r="28">
      <c r="A28" s="38" t="n">
        <v>45820</v>
      </c>
      <c r="B28" s="39" t="inlineStr">
        <is>
          <t>NSE</t>
        </is>
      </c>
      <c r="C28" s="39" t="inlineStr">
        <is>
          <t>Sell</t>
        </is>
      </c>
      <c r="D28" s="40" t="n">
        <v>100</v>
      </c>
      <c r="E28" s="41" t="n">
        <v>301.79</v>
      </c>
      <c r="F28" s="41" t="n">
        <v>30179.17</v>
      </c>
      <c r="G28" s="39" t="inlineStr">
        <is>
          <t>~</t>
        </is>
      </c>
      <c r="H28" s="40" t="n">
        <v>30.34</v>
      </c>
      <c r="I28" s="40" t="n">
        <v>180.49</v>
      </c>
      <c r="J28" s="42">
        <f>Index!$C$2</f>
        <v/>
      </c>
      <c r="K28" s="43">
        <f>IF(AND( C10="Buy", ISBLANK(W10), B10&lt;&gt;"DIV"), L10/sum(F10:I10), "")</f>
        <v/>
      </c>
      <c r="L28" s="44">
        <f>IF(AND( C10="Buy", ISBLANK(W10), B10&lt;&gt;"DIV"), (1-Index!$F$2*2)*((J10*D10)-(E10*D10)), "")</f>
        <v/>
      </c>
      <c r="M28" s="44">
        <f>IF(AND( C10="Buy", ISBLANK(W10), B10&lt;&gt;"DIV"), ((E10*D10)+L10), "")</f>
        <v/>
      </c>
      <c r="N28" s="45">
        <f>IF(AND( C10="Buy", ISBLANK(W10), B10&lt;&gt;"DIV"), D10, "")</f>
        <v/>
      </c>
      <c r="O28" s="43">
        <f>IF(AND( C10="Buy", ISBLANK(W10), B10&lt;&gt;"DIV", NOW()-A10 &lt; 365), P10/sum(F10:I10), "")</f>
        <v/>
      </c>
      <c r="P28" s="44">
        <f>IF(AND( C10="Buy", ISBLANK(W10), B10&lt;&gt;"DIV", NOW()-A10 &lt; 365), (1-Index!$F$2*2)*((J10*D10)-(E10*D10)), "")</f>
        <v/>
      </c>
      <c r="Q28" s="44">
        <f>IF(AND( C10="Buy", ISBLANK(W10), B10&lt;&gt;"DIV", NOW()-A10 &lt; 365), ((E10*D10)+P10), "")</f>
        <v/>
      </c>
      <c r="R28" s="44">
        <f>IF(AND( C10="Buy", ISBLANK(W10), B10&lt;&gt;"DIV", NOW()-A10 &lt; 365), D10, "")</f>
        <v/>
      </c>
      <c r="S28" s="46">
        <f>IF(AND( C10="Buy", ISBLANK(W10), B10&lt;&gt;"DIV", NOW()-A10 &gt; 365), T10/sum(F10:I10), "")</f>
        <v/>
      </c>
      <c r="T28" s="47">
        <f>IF(AND( C10="Buy", ISBLANK(W10), B10&lt;&gt;"DIV", NOW()-A10 &gt; 365), (1-Index!$F$2*2)*((J10*D10)-(E10*D10)), "")</f>
        <v/>
      </c>
      <c r="U28" s="47">
        <f>IF(AND( C10="Buy", ISBLANK(W10), B10&lt;&gt;"DIV", NOW()-A10 &gt; 365), ((E10*D10)+T10), "")</f>
        <v/>
      </c>
      <c r="V28" s="47">
        <f>IF(AND( C10="Buy", ISBLANK(W10), B10&lt;&gt;"DIV", NOW()-A10 &gt; 365), D10, "")</f>
        <v/>
      </c>
      <c r="W28" s="47" t="n"/>
      <c r="X28" s="47" t="n"/>
      <c r="Y28" s="46">
        <f>IF(AND( C10="Buy", W10&lt;&gt;"", AA10&lt;&gt;"", B10&lt;&gt;"DIV"), Z10/sum(F10:I10), "")</f>
        <v/>
      </c>
      <c r="Z28" s="47" t="n"/>
      <c r="AA28" s="47" t="n"/>
      <c r="AB28" s="48" t="n"/>
      <c r="AC28" s="44">
        <f>if(B10="DIV", F10,"")</f>
        <v/>
      </c>
      <c r="AD28" s="49" t="n"/>
    </row>
    <row r="29">
      <c r="A29" s="38" t="n">
        <v>45811</v>
      </c>
      <c r="B29" s="39" t="inlineStr">
        <is>
          <t>NSE</t>
        </is>
      </c>
      <c r="C29" s="39" t="inlineStr">
        <is>
          <t>Buy</t>
        </is>
      </c>
      <c r="D29" s="40" t="n">
        <v>10</v>
      </c>
      <c r="E29" s="41" t="n">
        <v>283.65</v>
      </c>
      <c r="F29" s="41" t="n">
        <v>2836.5</v>
      </c>
      <c r="G29" s="39" t="inlineStr">
        <is>
          <t>~</t>
        </is>
      </c>
      <c r="H29" s="40" t="n">
        <v>2.82</v>
      </c>
      <c r="I29" s="40" t="n">
        <v>17.18</v>
      </c>
      <c r="J29" s="42">
        <f>Index!$C$2</f>
        <v/>
      </c>
      <c r="K29" s="43">
        <f>IF(AND( C11="Buy", ISBLANK(W11), B11&lt;&gt;"DIV"), L11/sum(F11:I11), "")</f>
        <v/>
      </c>
      <c r="L29" s="44">
        <f>IF(AND( C11="Buy", ISBLANK(W11), B11&lt;&gt;"DIV"), (1-Index!$F$2*2)*((J11*D11)-(E11*D11)), "")</f>
        <v/>
      </c>
      <c r="M29" s="44">
        <f>IF(AND( C11="Buy", ISBLANK(W11), B11&lt;&gt;"DIV"), ((E11*D11)+L11), "")</f>
        <v/>
      </c>
      <c r="N29" s="45">
        <f>IF(AND( C11="Buy", ISBLANK(W11), B11&lt;&gt;"DIV"), D11, "")</f>
        <v/>
      </c>
      <c r="O29" s="43">
        <f>IF(AND( C11="Buy", ISBLANK(W11), B11&lt;&gt;"DIV", NOW()-A11 &lt; 365), P11/sum(F11:I11), "")</f>
        <v/>
      </c>
      <c r="P29" s="44">
        <f>IF(AND( C11="Buy", ISBLANK(W11), B11&lt;&gt;"DIV", NOW()-A11 &lt; 365), (1-Index!$F$2*2)*((J11*D11)-(E11*D11)), "")</f>
        <v/>
      </c>
      <c r="Q29" s="44">
        <f>IF(AND( C11="Buy", ISBLANK(W11), B11&lt;&gt;"DIV", NOW()-A11 &lt; 365), ((E11*D11)+P11), "")</f>
        <v/>
      </c>
      <c r="R29" s="44">
        <f>IF(AND( C11="Buy", ISBLANK(W11), B11&lt;&gt;"DIV", NOW()-A11 &lt; 365), D11, "")</f>
        <v/>
      </c>
      <c r="S29" s="46">
        <f>IF(AND( C11="Buy", ISBLANK(W11), B11&lt;&gt;"DIV", NOW()-A11 &gt; 365), T11/sum(F11:I11), "")</f>
        <v/>
      </c>
      <c r="T29" s="47">
        <f>IF(AND( C11="Buy", ISBLANK(W11), B11&lt;&gt;"DIV", NOW()-A11 &gt; 365), (1-Index!$F$2*2)*((J11*D11)-(E11*D11)), "")</f>
        <v/>
      </c>
      <c r="U29" s="47">
        <f>IF(AND( C11="Buy", ISBLANK(W11), B11&lt;&gt;"DIV", NOW()-A11 &gt; 365), ((E11*D11)+T11), "")</f>
        <v/>
      </c>
      <c r="V29" s="47">
        <f>IF(AND( C11="Buy", ISBLANK(W11), B11&lt;&gt;"DIV", NOW()-A11 &gt; 365), D11, "")</f>
        <v/>
      </c>
      <c r="W29" s="47" t="n"/>
      <c r="X29" s="47" t="n"/>
      <c r="Y29" s="46">
        <f>IF(AND( C11="Buy", W11&lt;&gt;"", AA11&lt;&gt;"", B11&lt;&gt;"DIV"), Z11/sum(F11:I11), "")</f>
        <v/>
      </c>
      <c r="Z29" s="47" t="n"/>
      <c r="AA29" s="47" t="n"/>
      <c r="AB29" s="48" t="n"/>
      <c r="AC29" s="44">
        <f>if(B11="DIV", F11,"")</f>
        <v/>
      </c>
      <c r="AD29" s="49" t="n"/>
    </row>
    <row r="30">
      <c r="A30" s="50" t="n">
        <v>45712</v>
      </c>
      <c r="B30" s="51" t="inlineStr">
        <is>
          <t>NSE</t>
        </is>
      </c>
      <c r="C30" s="51" t="inlineStr">
        <is>
          <t>Buy</t>
        </is>
      </c>
      <c r="D30" s="52" t="n">
        <v>23</v>
      </c>
      <c r="E30" s="53" t="n">
        <v>214.56</v>
      </c>
      <c r="F30" s="53" t="n">
        <v>4934.98</v>
      </c>
      <c r="G30" s="51" t="inlineStr">
        <is>
          <t>~</t>
        </is>
      </c>
      <c r="H30" s="52" t="n">
        <v>4.89</v>
      </c>
      <c r="I30" s="52" t="n">
        <v>29.94</v>
      </c>
      <c r="J30" s="42">
        <f>Index!$C$2</f>
        <v/>
      </c>
      <c r="K30" s="43">
        <f>IF(AND( C12="Buy", ISBLANK(W12), B12&lt;&gt;"DIV"), L12/sum(F12:I12), "")</f>
        <v/>
      </c>
      <c r="L30" s="44">
        <f>IF(AND( C12="Buy", ISBLANK(W12), B12&lt;&gt;"DIV"), (1-Index!$F$2*2)*((J12*D12)-(E12*D12)), "")</f>
        <v/>
      </c>
      <c r="M30" s="44">
        <f>IF(AND( C12="Buy", ISBLANK(W12), B12&lt;&gt;"DIV"), ((E12*D12)+L12), "")</f>
        <v/>
      </c>
      <c r="N30" s="45">
        <f>IF(AND( C12="Buy", ISBLANK(W12), B12&lt;&gt;"DIV"), D12, "")</f>
        <v/>
      </c>
      <c r="O30" s="43">
        <f>IF(AND( C12="Buy", ISBLANK(W12), B12&lt;&gt;"DIV", NOW()-A12 &lt; 365), P12/sum(F12:I12), "")</f>
        <v/>
      </c>
      <c r="P30" s="44">
        <f>IF(AND( C12="Buy", ISBLANK(W12), B12&lt;&gt;"DIV", NOW()-A12 &lt; 365), (1-Index!$F$2*2)*((J12*D12)-(E12*D12)), "")</f>
        <v/>
      </c>
      <c r="Q30" s="44">
        <f>IF(AND( C12="Buy", ISBLANK(W12), B12&lt;&gt;"DIV", NOW()-A12 &lt; 365), ((E12*D12)+P12), "")</f>
        <v/>
      </c>
      <c r="R30" s="44">
        <f>IF(AND( C12="Buy", ISBLANK(W12), B12&lt;&gt;"DIV", NOW()-A12 &lt; 365), D12, "")</f>
        <v/>
      </c>
      <c r="S30" s="46">
        <f>IF(AND( C12="Buy", ISBLANK(W12), B12&lt;&gt;"DIV", NOW()-A12 &gt; 365), T12/sum(F12:I12), "")</f>
        <v/>
      </c>
      <c r="T30" s="47">
        <f>IF(AND( C12="Buy", ISBLANK(W12), B12&lt;&gt;"DIV", NOW()-A12 &gt; 365), (1-Index!$F$2*2)*((J12*D12)-(E12*D12)), "")</f>
        <v/>
      </c>
      <c r="U30" s="47">
        <f>IF(AND( C12="Buy", ISBLANK(W12), B12&lt;&gt;"DIV", NOW()-A12 &gt; 365), ((E12*D12)+T12), "")</f>
        <v/>
      </c>
      <c r="V30" s="47">
        <f>IF(AND( C12="Buy", ISBLANK(W12), B12&lt;&gt;"DIV", NOW()-A12 &gt; 365), D12, "")</f>
        <v/>
      </c>
      <c r="W30" s="41" t="n">
        <v>301.79</v>
      </c>
      <c r="X30" s="38" t="n">
        <v>45820</v>
      </c>
      <c r="Y30" s="46" t="n">
        <v>0.3980437763</v>
      </c>
      <c r="Z30" s="54" t="n">
        <v>1978.20194</v>
      </c>
      <c r="AA30" s="54" t="n">
        <v>6913.08194</v>
      </c>
      <c r="AB30" s="55" t="n">
        <v>23</v>
      </c>
      <c r="AC30" s="44">
        <f>if(B12="DIV", F12,"")</f>
        <v/>
      </c>
      <c r="AD30" s="56" t="inlineStr">
        <is>
          <t>SBI Securities</t>
        </is>
      </c>
    </row>
    <row r="31">
      <c r="A31" s="50" t="n">
        <v>45712</v>
      </c>
      <c r="B31" s="51" t="inlineStr">
        <is>
          <t>NSE</t>
        </is>
      </c>
      <c r="C31" s="51" t="inlineStr">
        <is>
          <t>Buy</t>
        </is>
      </c>
      <c r="D31" s="52" t="n">
        <v>7</v>
      </c>
      <c r="E31" s="53" t="n">
        <v>214.56</v>
      </c>
      <c r="F31" s="53" t="n">
        <v>1501.94</v>
      </c>
      <c r="G31" s="51" t="inlineStr">
        <is>
          <t>~</t>
        </is>
      </c>
      <c r="H31" s="52" t="n">
        <v>1.49</v>
      </c>
      <c r="I31" s="52" t="n">
        <v>9.1</v>
      </c>
      <c r="J31" s="42">
        <f>Index!$C$2</f>
        <v/>
      </c>
      <c r="K31" s="43">
        <f>IF(AND( C13="Buy", ISBLANK(W13), B13&lt;&gt;"DIV"), L13/sum(F13:I13), "")</f>
        <v/>
      </c>
      <c r="L31" s="44">
        <f>IF(AND( C13="Buy", ISBLANK(W13), B13&lt;&gt;"DIV"), (1-Index!$F$2*2)*((J13*D13)-(E13*D13)), "")</f>
        <v/>
      </c>
      <c r="M31" s="44">
        <f>IF(AND( C13="Buy", ISBLANK(W13), B13&lt;&gt;"DIV"), ((E13*D13)+L13), "")</f>
        <v/>
      </c>
      <c r="N31" s="45">
        <f>IF(AND( C13="Buy", ISBLANK(W13), B13&lt;&gt;"DIV"), D13, "")</f>
        <v/>
      </c>
      <c r="O31" s="43">
        <f>IF(AND( C13="Buy", ISBLANK(W13), B13&lt;&gt;"DIV", NOW()-A13 &lt; 365), P13/sum(F13:I13), "")</f>
        <v/>
      </c>
      <c r="P31" s="44">
        <f>IF(AND( C13="Buy", ISBLANK(W13), B13&lt;&gt;"DIV", NOW()-A13 &lt; 365), (1-Index!$F$2*2)*((J13*D13)-(E13*D13)), "")</f>
        <v/>
      </c>
      <c r="Q31" s="44">
        <f>IF(AND( C13="Buy", ISBLANK(W13), B13&lt;&gt;"DIV", NOW()-A13 &lt; 365), ((E13*D13)+P13), "")</f>
        <v/>
      </c>
      <c r="R31" s="44">
        <f>IF(AND( C13="Buy", ISBLANK(W13), B13&lt;&gt;"DIV", NOW()-A13 &lt; 365), D13, "")</f>
        <v/>
      </c>
      <c r="S31" s="46">
        <f>IF(AND( C13="Buy", ISBLANK(W13), B13&lt;&gt;"DIV", NOW()-A13 &gt; 365), T13/sum(F13:I13), "")</f>
        <v/>
      </c>
      <c r="T31" s="47">
        <f>IF(AND( C13="Buy", ISBLANK(W13), B13&lt;&gt;"DIV", NOW()-A13 &gt; 365), (1-Index!$F$2*2)*((J13*D13)-(E13*D13)), "")</f>
        <v/>
      </c>
      <c r="U31" s="47">
        <f>IF(AND( C13="Buy", ISBLANK(W13), B13&lt;&gt;"DIV", NOW()-A13 &gt; 365), ((E13*D13)+T13), "")</f>
        <v/>
      </c>
      <c r="V31" s="47">
        <f>IF(AND( C13="Buy", ISBLANK(W13), B13&lt;&gt;"DIV", NOW()-A13 &gt; 365), D13, "")</f>
        <v/>
      </c>
      <c r="W31" s="41" t="n">
        <v>301.79</v>
      </c>
      <c r="X31" s="38" t="n">
        <v>45820</v>
      </c>
      <c r="Y31" s="46" t="n">
        <v>0.3980492684</v>
      </c>
      <c r="Z31" s="54" t="n">
        <v>602.06146</v>
      </c>
      <c r="AA31" s="54" t="n">
        <v>2103.98146</v>
      </c>
      <c r="AB31" s="55" t="n">
        <v>7</v>
      </c>
      <c r="AC31" s="44">
        <f>if(B13="DIV", F13,"")</f>
        <v/>
      </c>
      <c r="AD31" s="56" t="inlineStr">
        <is>
          <t>SBI Securities</t>
        </is>
      </c>
    </row>
    <row r="32">
      <c r="A32" s="50" t="n">
        <v>45705</v>
      </c>
      <c r="B32" s="51" t="inlineStr">
        <is>
          <t>NSE</t>
        </is>
      </c>
      <c r="C32" s="51" t="inlineStr">
        <is>
          <t>Buy</t>
        </is>
      </c>
      <c r="D32" s="52" t="n">
        <v>13</v>
      </c>
      <c r="E32" s="53" t="n">
        <v>202.73</v>
      </c>
      <c r="F32" s="53" t="n">
        <v>2635.5</v>
      </c>
      <c r="G32" s="51" t="inlineStr">
        <is>
          <t>~</t>
        </is>
      </c>
      <c r="H32" s="52" t="n">
        <v>2.62</v>
      </c>
      <c r="I32" s="52" t="n">
        <v>15.98</v>
      </c>
      <c r="J32" s="42">
        <f>Index!$C$2</f>
        <v/>
      </c>
      <c r="K32" s="43">
        <f>IF(AND( C14="Buy", ISBLANK(W14), B14&lt;&gt;"DIV"), L14/sum(F14:I14), "")</f>
        <v/>
      </c>
      <c r="L32" s="44">
        <f>IF(AND( C14="Buy", ISBLANK(W14), B14&lt;&gt;"DIV"), (1-Index!$F$2*2)*((J14*D14)-(E14*D14)), "")</f>
        <v/>
      </c>
      <c r="M32" s="44">
        <f>IF(AND( C14="Buy", ISBLANK(W14), B14&lt;&gt;"DIV"), ((E14*D14)+L14), "")</f>
        <v/>
      </c>
      <c r="N32" s="45">
        <f>IF(AND( C14="Buy", ISBLANK(W14), B14&lt;&gt;"DIV"), D14, "")</f>
        <v/>
      </c>
      <c r="O32" s="43">
        <f>IF(AND( C14="Buy", ISBLANK(W14), B14&lt;&gt;"DIV", NOW()-A14 &lt; 365), P14/sum(F14:I14), "")</f>
        <v/>
      </c>
      <c r="P32" s="44">
        <f>IF(AND( C14="Buy", ISBLANK(W14), B14&lt;&gt;"DIV", NOW()-A14 &lt; 365), (1-Index!$F$2*2)*((J14*D14)-(E14*D14)), "")</f>
        <v/>
      </c>
      <c r="Q32" s="44">
        <f>IF(AND( C14="Buy", ISBLANK(W14), B14&lt;&gt;"DIV", NOW()-A14 &lt; 365), ((E14*D14)+P14), "")</f>
        <v/>
      </c>
      <c r="R32" s="44">
        <f>IF(AND( C14="Buy", ISBLANK(W14), B14&lt;&gt;"DIV", NOW()-A14 &lt; 365), D14, "")</f>
        <v/>
      </c>
      <c r="S32" s="46">
        <f>IF(AND( C14="Buy", ISBLANK(W14), B14&lt;&gt;"DIV", NOW()-A14 &gt; 365), T14/sum(F14:I14), "")</f>
        <v/>
      </c>
      <c r="T32" s="47">
        <f>IF(AND( C14="Buy", ISBLANK(W14), B14&lt;&gt;"DIV", NOW()-A14 &gt; 365), (1-Index!$F$2*2)*((J14*D14)-(E14*D14)), "")</f>
        <v/>
      </c>
      <c r="U32" s="47">
        <f>IF(AND( C14="Buy", ISBLANK(W14), B14&lt;&gt;"DIV", NOW()-A14 &gt; 365), ((E14*D14)+T14), "")</f>
        <v/>
      </c>
      <c r="V32" s="47">
        <f>IF(AND( C14="Buy", ISBLANK(W14), B14&lt;&gt;"DIV", NOW()-A14 &gt; 365), D14, "")</f>
        <v/>
      </c>
      <c r="W32" s="41" t="n">
        <v>301.79</v>
      </c>
      <c r="X32" s="38" t="n">
        <v>45820</v>
      </c>
      <c r="Y32" s="46" t="n">
        <v>0.4784111676</v>
      </c>
      <c r="Z32" s="54" t="n">
        <v>1269.75108</v>
      </c>
      <c r="AA32" s="54" t="n">
        <v>3905.24108</v>
      </c>
      <c r="AB32" s="55" t="n">
        <v>13</v>
      </c>
      <c r="AC32" s="44">
        <f>if(B14="DIV", F14,"")</f>
        <v/>
      </c>
      <c r="AD32" s="56" t="inlineStr">
        <is>
          <t>SBI Securities</t>
        </is>
      </c>
    </row>
    <row r="33">
      <c r="A33" s="50" t="n">
        <v>45705</v>
      </c>
      <c r="B33" s="51" t="inlineStr">
        <is>
          <t>NSE</t>
        </is>
      </c>
      <c r="C33" s="51" t="inlineStr">
        <is>
          <t>Buy</t>
        </is>
      </c>
      <c r="D33" s="52" t="n">
        <v>13</v>
      </c>
      <c r="E33" s="53" t="n">
        <v>202.73</v>
      </c>
      <c r="F33" s="53" t="n">
        <v>2635.5</v>
      </c>
      <c r="G33" s="51" t="inlineStr">
        <is>
          <t>~</t>
        </is>
      </c>
      <c r="H33" s="52" t="n">
        <v>2.62</v>
      </c>
      <c r="I33" s="52" t="n">
        <v>15.98</v>
      </c>
      <c r="J33" s="42">
        <f>Index!$C$2</f>
        <v/>
      </c>
      <c r="K33" s="43">
        <f>IF(AND( C15="Buy", ISBLANK(W15), B15&lt;&gt;"DIV"), L15/sum(F15:I15), "")</f>
        <v/>
      </c>
      <c r="L33" s="44">
        <f>IF(AND( C15="Buy", ISBLANK(W15), B15&lt;&gt;"DIV"), (1-Index!$F$2*2)*((J15*D15)-(E15*D15)), "")</f>
        <v/>
      </c>
      <c r="M33" s="44">
        <f>IF(AND( C15="Buy", ISBLANK(W15), B15&lt;&gt;"DIV"), ((E15*D15)+L15), "")</f>
        <v/>
      </c>
      <c r="N33" s="45">
        <f>IF(AND( C15="Buy", ISBLANK(W15), B15&lt;&gt;"DIV"), D15, "")</f>
        <v/>
      </c>
      <c r="O33" s="43">
        <f>IF(AND( C15="Buy", ISBLANK(W15), B15&lt;&gt;"DIV", NOW()-A15 &lt; 365), P15/sum(F15:I15), "")</f>
        <v/>
      </c>
      <c r="P33" s="44">
        <f>IF(AND( C15="Buy", ISBLANK(W15), B15&lt;&gt;"DIV", NOW()-A15 &lt; 365), (1-Index!$F$2*2)*((J15*D15)-(E15*D15)), "")</f>
        <v/>
      </c>
      <c r="Q33" s="44">
        <f>IF(AND( C15="Buy", ISBLANK(W15), B15&lt;&gt;"DIV", NOW()-A15 &lt; 365), ((E15*D15)+P15), "")</f>
        <v/>
      </c>
      <c r="R33" s="44">
        <f>IF(AND( C15="Buy", ISBLANK(W15), B15&lt;&gt;"DIV", NOW()-A15 &lt; 365), D15, "")</f>
        <v/>
      </c>
      <c r="S33" s="46">
        <f>IF(AND( C15="Buy", ISBLANK(W15), B15&lt;&gt;"DIV", NOW()-A15 &gt; 365), T15/sum(F15:I15), "")</f>
        <v/>
      </c>
      <c r="T33" s="47">
        <f>IF(AND( C15="Buy", ISBLANK(W15), B15&lt;&gt;"DIV", NOW()-A15 &gt; 365), (1-Index!$F$2*2)*((J15*D15)-(E15*D15)), "")</f>
        <v/>
      </c>
      <c r="U33" s="47">
        <f>IF(AND( C15="Buy", ISBLANK(W15), B15&lt;&gt;"DIV", NOW()-A15 &gt; 365), ((E15*D15)+T15), "")</f>
        <v/>
      </c>
      <c r="V33" s="47">
        <f>IF(AND( C15="Buy", ISBLANK(W15), B15&lt;&gt;"DIV", NOW()-A15 &gt; 365), D15, "")</f>
        <v/>
      </c>
      <c r="W33" s="41" t="n">
        <v>301.79</v>
      </c>
      <c r="X33" s="38" t="n">
        <v>45820</v>
      </c>
      <c r="Y33" s="46" t="n">
        <v>0.4784111676</v>
      </c>
      <c r="Z33" s="54" t="n">
        <v>1269.75108</v>
      </c>
      <c r="AA33" s="54" t="n">
        <v>3905.24108</v>
      </c>
      <c r="AB33" s="55" t="n">
        <v>13</v>
      </c>
      <c r="AC33" s="44">
        <f>if(B15="DIV", F15,"")</f>
        <v/>
      </c>
      <c r="AD33" s="56" t="inlineStr">
        <is>
          <t>SBI Securities</t>
        </is>
      </c>
    </row>
    <row r="34">
      <c r="A34" s="50" t="n">
        <v>45705</v>
      </c>
      <c r="B34" s="51" t="inlineStr">
        <is>
          <t>NSE</t>
        </is>
      </c>
      <c r="C34" s="51" t="inlineStr">
        <is>
          <t>Buy</t>
        </is>
      </c>
      <c r="D34" s="52" t="n">
        <v>3</v>
      </c>
      <c r="E34" s="53" t="n">
        <v>202.73</v>
      </c>
      <c r="F34" s="53" t="n">
        <v>608.1799999999999</v>
      </c>
      <c r="G34" s="51" t="inlineStr">
        <is>
          <t>~</t>
        </is>
      </c>
      <c r="H34" s="52" t="n">
        <v>0.6</v>
      </c>
      <c r="I34" s="52" t="n">
        <v>3.68</v>
      </c>
      <c r="J34" s="42">
        <f>Index!$C$2</f>
        <v/>
      </c>
      <c r="K34" s="43">
        <f>IF(AND( C16="Buy", ISBLANK(W16), B16&lt;&gt;"DIV"), L16/sum(F16:I16), "")</f>
        <v/>
      </c>
      <c r="L34" s="44">
        <f>IF(AND( C16="Buy", ISBLANK(W16), B16&lt;&gt;"DIV"), (1-Index!$F$2*2)*((J16*D16)-(E16*D16)), "")</f>
        <v/>
      </c>
      <c r="M34" s="44">
        <f>IF(AND( C16="Buy", ISBLANK(W16), B16&lt;&gt;"DIV"), ((E16*D16)+L16), "")</f>
        <v/>
      </c>
      <c r="N34" s="45">
        <f>IF(AND( C16="Buy", ISBLANK(W16), B16&lt;&gt;"DIV"), D16, "")</f>
        <v/>
      </c>
      <c r="O34" s="43">
        <f>IF(AND( C16="Buy", ISBLANK(W16), B16&lt;&gt;"DIV", NOW()-A16 &lt; 365), P16/sum(F16:I16), "")</f>
        <v/>
      </c>
      <c r="P34" s="44">
        <f>IF(AND( C16="Buy", ISBLANK(W16), B16&lt;&gt;"DIV", NOW()-A16 &lt; 365), (1-Index!$F$2*2)*((J16*D16)-(E16*D16)), "")</f>
        <v/>
      </c>
      <c r="Q34" s="44">
        <f>IF(AND( C16="Buy", ISBLANK(W16), B16&lt;&gt;"DIV", NOW()-A16 &lt; 365), ((E16*D16)+P16), "")</f>
        <v/>
      </c>
      <c r="R34" s="44">
        <f>IF(AND( C16="Buy", ISBLANK(W16), B16&lt;&gt;"DIV", NOW()-A16 &lt; 365), D16, "")</f>
        <v/>
      </c>
      <c r="S34" s="46">
        <f>IF(AND( C16="Buy", ISBLANK(W16), B16&lt;&gt;"DIV", NOW()-A16 &gt; 365), T16/sum(F16:I16), "")</f>
        <v/>
      </c>
      <c r="T34" s="47">
        <f>IF(AND( C16="Buy", ISBLANK(W16), B16&lt;&gt;"DIV", NOW()-A16 &gt; 365), (1-Index!$F$2*2)*((J16*D16)-(E16*D16)), "")</f>
        <v/>
      </c>
      <c r="U34" s="47">
        <f>IF(AND( C16="Buy", ISBLANK(W16), B16&lt;&gt;"DIV", NOW()-A16 &gt; 365), ((E16*D16)+T16), "")</f>
        <v/>
      </c>
      <c r="V34" s="47">
        <f>IF(AND( C16="Buy", ISBLANK(W16), B16&lt;&gt;"DIV", NOW()-A16 &gt; 365), D16, "")</f>
        <v/>
      </c>
      <c r="W34" s="41" t="n">
        <v>301.79</v>
      </c>
      <c r="X34" s="38" t="n">
        <v>45820</v>
      </c>
      <c r="Y34" s="46" t="n">
        <v>0.4784303955</v>
      </c>
      <c r="Z34" s="54" t="n">
        <v>293.01948</v>
      </c>
      <c r="AA34" s="54" t="n">
        <v>901.20948</v>
      </c>
      <c r="AB34" s="55" t="n">
        <v>3</v>
      </c>
      <c r="AC34" s="44">
        <f>if(B16="DIV", F16,"")</f>
        <v/>
      </c>
      <c r="AD34" s="56" t="inlineStr">
        <is>
          <t>SBI Securities</t>
        </is>
      </c>
    </row>
    <row r="35">
      <c r="A35" s="50" t="n">
        <v>45705</v>
      </c>
      <c r="B35" s="51" t="inlineStr">
        <is>
          <t>NSE</t>
        </is>
      </c>
      <c r="C35" s="51" t="inlineStr">
        <is>
          <t>Buy</t>
        </is>
      </c>
      <c r="D35" s="52" t="n">
        <v>3</v>
      </c>
      <c r="E35" s="53" t="n">
        <v>202.73</v>
      </c>
      <c r="F35" s="53" t="n">
        <v>608.1799999999999</v>
      </c>
      <c r="G35" s="51" t="inlineStr">
        <is>
          <t>~</t>
        </is>
      </c>
      <c r="H35" s="52" t="n">
        <v>0.6</v>
      </c>
      <c r="I35" s="52" t="n">
        <v>3.68</v>
      </c>
      <c r="J35" s="42">
        <f>Index!$C$2</f>
        <v/>
      </c>
      <c r="K35" s="43">
        <f>IF(AND( C17="Buy", ISBLANK(W17), B17&lt;&gt;"DIV"), L17/sum(F17:I17), "")</f>
        <v/>
      </c>
      <c r="L35" s="44">
        <f>IF(AND( C17="Buy", ISBLANK(W17), B17&lt;&gt;"DIV"), (1-Index!$F$2*2)*((J17*D17)-(E17*D17)), "")</f>
        <v/>
      </c>
      <c r="M35" s="44">
        <f>IF(AND( C17="Buy", ISBLANK(W17), B17&lt;&gt;"DIV"), ((E17*D17)+L17), "")</f>
        <v/>
      </c>
      <c r="N35" s="45">
        <f>IF(AND( C17="Buy", ISBLANK(W17), B17&lt;&gt;"DIV"), D17, "")</f>
        <v/>
      </c>
      <c r="O35" s="43">
        <f>IF(AND( C17="Buy", ISBLANK(W17), B17&lt;&gt;"DIV", NOW()-A17 &lt; 365), P17/sum(F17:I17), "")</f>
        <v/>
      </c>
      <c r="P35" s="44">
        <f>IF(AND( C17="Buy", ISBLANK(W17), B17&lt;&gt;"DIV", NOW()-A17 &lt; 365), (1-Index!$F$2*2)*((J17*D17)-(E17*D17)), "")</f>
        <v/>
      </c>
      <c r="Q35" s="44">
        <f>IF(AND( C17="Buy", ISBLANK(W17), B17&lt;&gt;"DIV", NOW()-A17 &lt; 365), ((E17*D17)+P17), "")</f>
        <v/>
      </c>
      <c r="R35" s="44">
        <f>IF(AND( C17="Buy", ISBLANK(W17), B17&lt;&gt;"DIV", NOW()-A17 &lt; 365), D17, "")</f>
        <v/>
      </c>
      <c r="S35" s="46">
        <f>IF(AND( C17="Buy", ISBLANK(W17), B17&lt;&gt;"DIV", NOW()-A17 &gt; 365), T17/sum(F17:I17), "")</f>
        <v/>
      </c>
      <c r="T35" s="47">
        <f>IF(AND( C17="Buy", ISBLANK(W17), B17&lt;&gt;"DIV", NOW()-A17 &gt; 365), (1-Index!$F$2*2)*((J17*D17)-(E17*D17)), "")</f>
        <v/>
      </c>
      <c r="U35" s="47">
        <f>IF(AND( C17="Buy", ISBLANK(W17), B17&lt;&gt;"DIV", NOW()-A17 &gt; 365), ((E17*D17)+T17), "")</f>
        <v/>
      </c>
      <c r="V35" s="47">
        <f>IF(AND( C17="Buy", ISBLANK(W17), B17&lt;&gt;"DIV", NOW()-A17 &gt; 365), D17, "")</f>
        <v/>
      </c>
      <c r="W35" s="41" t="n">
        <v>301.79</v>
      </c>
      <c r="X35" s="38" t="n">
        <v>45820</v>
      </c>
      <c r="Y35" s="46" t="n">
        <v>0.4784303955</v>
      </c>
      <c r="Z35" s="54" t="n">
        <v>293.01948</v>
      </c>
      <c r="AA35" s="54" t="n">
        <v>901.20948</v>
      </c>
      <c r="AB35" s="55" t="n">
        <v>3</v>
      </c>
      <c r="AC35" s="44">
        <f>if(B17="DIV", F17,"")</f>
        <v/>
      </c>
      <c r="AD35" s="56" t="inlineStr">
        <is>
          <t>SBI Securities</t>
        </is>
      </c>
    </row>
    <row r="36">
      <c r="A36" s="50" t="n">
        <v>45705</v>
      </c>
      <c r="B36" s="51" t="inlineStr">
        <is>
          <t>NSE</t>
        </is>
      </c>
      <c r="C36" s="51" t="inlineStr">
        <is>
          <t>Buy</t>
        </is>
      </c>
      <c r="D36" s="52" t="n">
        <v>13</v>
      </c>
      <c r="E36" s="53" t="n">
        <v>202.73</v>
      </c>
      <c r="F36" s="53" t="n">
        <v>2635.5</v>
      </c>
      <c r="G36" s="51" t="inlineStr">
        <is>
          <t>~</t>
        </is>
      </c>
      <c r="H36" s="52" t="n">
        <v>2.62</v>
      </c>
      <c r="I36" s="52" t="n">
        <v>15.98</v>
      </c>
      <c r="J36" s="42">
        <f>Index!$C$2</f>
        <v/>
      </c>
      <c r="K36" s="43">
        <f>IF(AND( C18="Buy", ISBLANK(W18), B18&lt;&gt;"DIV"), L18/sum(F18:I18), "")</f>
        <v/>
      </c>
      <c r="L36" s="44">
        <f>IF(AND( C18="Buy", ISBLANK(W18), B18&lt;&gt;"DIV"), (1-Index!$F$2*2)*((J18*D18)-(E18*D18)), "")</f>
        <v/>
      </c>
      <c r="M36" s="44">
        <f>IF(AND( C18="Buy", ISBLANK(W18), B18&lt;&gt;"DIV"), ((E18*D18)+L18), "")</f>
        <v/>
      </c>
      <c r="N36" s="45">
        <f>IF(AND( C18="Buy", ISBLANK(W18), B18&lt;&gt;"DIV"), D18, "")</f>
        <v/>
      </c>
      <c r="O36" s="43">
        <f>IF(AND( C18="Buy", ISBLANK(W18), B18&lt;&gt;"DIV", NOW()-A18 &lt; 365), P18/sum(F18:I18), "")</f>
        <v/>
      </c>
      <c r="P36" s="44">
        <f>IF(AND( C18="Buy", ISBLANK(W18), B18&lt;&gt;"DIV", NOW()-A18 &lt; 365), (1-Index!$F$2*2)*((J18*D18)-(E18*D18)), "")</f>
        <v/>
      </c>
      <c r="Q36" s="44">
        <f>IF(AND( C18="Buy", ISBLANK(W18), B18&lt;&gt;"DIV", NOW()-A18 &lt; 365), ((E18*D18)+P18), "")</f>
        <v/>
      </c>
      <c r="R36" s="44">
        <f>IF(AND( C18="Buy", ISBLANK(W18), B18&lt;&gt;"DIV", NOW()-A18 &lt; 365), D18, "")</f>
        <v/>
      </c>
      <c r="S36" s="46">
        <f>IF(AND( C18="Buy", ISBLANK(W18), B18&lt;&gt;"DIV", NOW()-A18 &gt; 365), T18/sum(F18:I18), "")</f>
        <v/>
      </c>
      <c r="T36" s="47">
        <f>IF(AND( C18="Buy", ISBLANK(W18), B18&lt;&gt;"DIV", NOW()-A18 &gt; 365), (1-Index!$F$2*2)*((J18*D18)-(E18*D18)), "")</f>
        <v/>
      </c>
      <c r="U36" s="47">
        <f>IF(AND( C18="Buy", ISBLANK(W18), B18&lt;&gt;"DIV", NOW()-A18 &gt; 365), ((E18*D18)+T18), "")</f>
        <v/>
      </c>
      <c r="V36" s="47">
        <f>IF(AND( C18="Buy", ISBLANK(W18), B18&lt;&gt;"DIV", NOW()-A18 &gt; 365), D18, "")</f>
        <v/>
      </c>
      <c r="W36" s="41" t="n">
        <v>301.79</v>
      </c>
      <c r="X36" s="38" t="n">
        <v>45820</v>
      </c>
      <c r="Y36" s="46" t="n">
        <v>0.4784111676</v>
      </c>
      <c r="Z36" s="54" t="n">
        <v>1269.75108</v>
      </c>
      <c r="AA36" s="54" t="n">
        <v>3905.24108</v>
      </c>
      <c r="AB36" s="55" t="n">
        <v>13</v>
      </c>
      <c r="AC36" s="44">
        <f>if(B18="DIV", F18,"")</f>
        <v/>
      </c>
      <c r="AD36" s="56" t="inlineStr">
        <is>
          <t>SBI Securities</t>
        </is>
      </c>
    </row>
    <row r="37">
      <c r="A37" s="50" t="n">
        <v>45699</v>
      </c>
      <c r="B37" s="51" t="inlineStr">
        <is>
          <t>NSE</t>
        </is>
      </c>
      <c r="C37" s="51" t="inlineStr">
        <is>
          <t>Buy</t>
        </is>
      </c>
      <c r="D37" s="52" t="n">
        <v>20</v>
      </c>
      <c r="E37" s="53" t="n">
        <v>223.07</v>
      </c>
      <c r="F37" s="53" t="n">
        <v>4461.44</v>
      </c>
      <c r="G37" s="51" t="inlineStr">
        <is>
          <t>~</t>
        </is>
      </c>
      <c r="H37" s="52" t="n">
        <v>4.43</v>
      </c>
      <c r="I37" s="52" t="n">
        <v>27.01</v>
      </c>
      <c r="J37" s="42">
        <f>Index!$C$2</f>
        <v/>
      </c>
      <c r="K37" s="43">
        <f>IF(AND( C19="Buy", ISBLANK(W19), B19&lt;&gt;"DIV"), L19/sum(F19:I19), "")</f>
        <v/>
      </c>
      <c r="L37" s="44">
        <f>IF(AND( C19="Buy", ISBLANK(W19), B19&lt;&gt;"DIV"), (1-Index!$F$2*2)*((J19*D19)-(E19*D19)), "")</f>
        <v/>
      </c>
      <c r="M37" s="44">
        <f>IF(AND( C19="Buy", ISBLANK(W19), B19&lt;&gt;"DIV"), ((E19*D19)+L19), "")</f>
        <v/>
      </c>
      <c r="N37" s="45">
        <f>IF(AND( C19="Buy", ISBLANK(W19), B19&lt;&gt;"DIV"), D19, "")</f>
        <v/>
      </c>
      <c r="O37" s="43">
        <f>IF(AND( C19="Buy", ISBLANK(W19), B19&lt;&gt;"DIV", NOW()-A19 &lt; 365), P19/sum(F19:I19), "")</f>
        <v/>
      </c>
      <c r="P37" s="44">
        <f>IF(AND( C19="Buy", ISBLANK(W19), B19&lt;&gt;"DIV", NOW()-A19 &lt; 365), (1-Index!$F$2*2)*((J19*D19)-(E19*D19)), "")</f>
        <v/>
      </c>
      <c r="Q37" s="44">
        <f>IF(AND( C19="Buy", ISBLANK(W19), B19&lt;&gt;"DIV", NOW()-A19 &lt; 365), ((E19*D19)+P19), "")</f>
        <v/>
      </c>
      <c r="R37" s="44">
        <f>IF(AND( C19="Buy", ISBLANK(W19), B19&lt;&gt;"DIV", NOW()-A19 &lt; 365), D19, "")</f>
        <v/>
      </c>
      <c r="S37" s="46">
        <f>IF(AND( C19="Buy", ISBLANK(W19), B19&lt;&gt;"DIV", NOW()-A19 &gt; 365), T19/sum(F19:I19), "")</f>
        <v/>
      </c>
      <c r="T37" s="47">
        <f>IF(AND( C19="Buy", ISBLANK(W19), B19&lt;&gt;"DIV", NOW()-A19 &gt; 365), (1-Index!$F$2*2)*((J19*D19)-(E19*D19)), "")</f>
        <v/>
      </c>
      <c r="U37" s="47">
        <f>IF(AND( C19="Buy", ISBLANK(W19), B19&lt;&gt;"DIV", NOW()-A19 &gt; 365), ((E19*D19)+T19), "")</f>
        <v/>
      </c>
      <c r="V37" s="47">
        <f>IF(AND( C19="Buy", ISBLANK(W19), B19&lt;&gt;"DIV", NOW()-A19 &gt; 365), D19, "")</f>
        <v/>
      </c>
      <c r="W37" s="41" t="n">
        <v>301.79</v>
      </c>
      <c r="X37" s="38" t="n">
        <v>45820</v>
      </c>
      <c r="Y37" s="46" t="n">
        <v>0.3455152152</v>
      </c>
      <c r="Z37" s="54" t="n">
        <v>1552.3584</v>
      </c>
      <c r="AA37" s="54" t="n">
        <v>6013.7584</v>
      </c>
      <c r="AB37" s="55" t="n">
        <v>20</v>
      </c>
      <c r="AC37" s="44">
        <f>if(B19="DIV", F19,"")</f>
        <v/>
      </c>
      <c r="AD37" s="56" t="inlineStr">
        <is>
          <t>SBI Securities</t>
        </is>
      </c>
    </row>
    <row r="38">
      <c r="A38" s="50" t="n">
        <v>45694</v>
      </c>
      <c r="B38" s="51" t="inlineStr">
        <is>
          <t>NSE</t>
        </is>
      </c>
      <c r="C38" s="51" t="inlineStr">
        <is>
          <t>Buy</t>
        </is>
      </c>
      <c r="D38" s="52" t="n">
        <v>5</v>
      </c>
      <c r="E38" s="53" t="n">
        <v>237.07</v>
      </c>
      <c r="F38" s="53" t="n">
        <v>1185.36</v>
      </c>
      <c r="G38" s="51" t="inlineStr">
        <is>
          <t>~</t>
        </is>
      </c>
      <c r="H38" s="52" t="n">
        <v>1.18</v>
      </c>
      <c r="I38" s="52" t="n">
        <v>7.18</v>
      </c>
      <c r="J38" s="42">
        <f>Index!$C$2</f>
        <v/>
      </c>
      <c r="K38" s="43">
        <f>IF(AND( C20="Buy", ISBLANK(W20), B20&lt;&gt;"DIV"), L20/sum(F20:I20), "")</f>
        <v/>
      </c>
      <c r="L38" s="44">
        <f>IF(AND( C20="Buy", ISBLANK(W20), B20&lt;&gt;"DIV"), (1-Index!$F$2*2)*((J20*D20)-(E20*D20)), "")</f>
        <v/>
      </c>
      <c r="M38" s="44">
        <f>IF(AND( C20="Buy", ISBLANK(W20), B20&lt;&gt;"DIV"), ((E20*D20)+L20), "")</f>
        <v/>
      </c>
      <c r="N38" s="45">
        <f>IF(AND( C20="Buy", ISBLANK(W20), B20&lt;&gt;"DIV"), D20, "")</f>
        <v/>
      </c>
      <c r="O38" s="43">
        <f>IF(AND( C20="Buy", ISBLANK(W20), B20&lt;&gt;"DIV", NOW()-A20 &lt; 365), P20/sum(F20:I20), "")</f>
        <v/>
      </c>
      <c r="P38" s="44">
        <f>IF(AND( C20="Buy", ISBLANK(W20), B20&lt;&gt;"DIV", NOW()-A20 &lt; 365), (1-Index!$F$2*2)*((J20*D20)-(E20*D20)), "")</f>
        <v/>
      </c>
      <c r="Q38" s="44">
        <f>IF(AND( C20="Buy", ISBLANK(W20), B20&lt;&gt;"DIV", NOW()-A20 &lt; 365), ((E20*D20)+P20), "")</f>
        <v/>
      </c>
      <c r="R38" s="44">
        <f>IF(AND( C20="Buy", ISBLANK(W20), B20&lt;&gt;"DIV", NOW()-A20 &lt; 365), D20, "")</f>
        <v/>
      </c>
      <c r="S38" s="46">
        <f>IF(AND( C20="Buy", ISBLANK(W20), B20&lt;&gt;"DIV", NOW()-A20 &gt; 365), T20/sum(F20:I20), "")</f>
        <v/>
      </c>
      <c r="T38" s="47">
        <f>IF(AND( C20="Buy", ISBLANK(W20), B20&lt;&gt;"DIV", NOW()-A20 &gt; 365), (1-Index!$F$2*2)*((J20*D20)-(E20*D20)), "")</f>
        <v/>
      </c>
      <c r="U38" s="47">
        <f>IF(AND( C20="Buy", ISBLANK(W20), B20&lt;&gt;"DIV", NOW()-A20 &gt; 365), ((E20*D20)+T20), "")</f>
        <v/>
      </c>
      <c r="V38" s="47">
        <f>IF(AND( C20="Buy", ISBLANK(W20), B20&lt;&gt;"DIV", NOW()-A20 &gt; 365), D20, "")</f>
        <v/>
      </c>
      <c r="W38" s="41" t="n">
        <v>301.79</v>
      </c>
      <c r="X38" s="38" t="n">
        <v>45820</v>
      </c>
      <c r="Y38" s="46" t="n">
        <v>0.2672901518</v>
      </c>
      <c r="Z38" s="54" t="n">
        <v>319.0696</v>
      </c>
      <c r="AA38" s="54" t="n">
        <v>1504.4196</v>
      </c>
      <c r="AB38" s="55" t="n">
        <v>5</v>
      </c>
      <c r="AC38" s="44">
        <f>if(B20="DIV", F20,"")</f>
        <v/>
      </c>
      <c r="AD38" s="56" t="inlineStr">
        <is>
          <t>SBI Securities</t>
        </is>
      </c>
    </row>
    <row r="39">
      <c r="A39" s="50" t="n">
        <v>45316</v>
      </c>
      <c r="B39" s="51" t="inlineStr">
        <is>
          <t>NSE</t>
        </is>
      </c>
      <c r="C39" s="51" t="inlineStr">
        <is>
          <t>Sell</t>
        </is>
      </c>
      <c r="D39" s="52" t="n">
        <v>50</v>
      </c>
      <c r="E39" s="53" t="n">
        <v>640.52</v>
      </c>
      <c r="F39" s="53" t="n">
        <v>32025.84</v>
      </c>
      <c r="G39" s="51" t="inlineStr">
        <is>
          <t>~</t>
        </is>
      </c>
      <c r="H39" s="52" t="n">
        <v>32.26</v>
      </c>
      <c r="I39" s="52" t="n">
        <v>191.9</v>
      </c>
      <c r="J39" s="42">
        <f>Index!$C$2</f>
        <v/>
      </c>
      <c r="K39" s="43">
        <f>IF(AND( C21="Buy", ISBLANK(W21), B21&lt;&gt;"DIV"), L21/sum(F21:I21), "")</f>
        <v/>
      </c>
      <c r="L39" s="44">
        <f>IF(AND( C21="Buy", ISBLANK(W21), B21&lt;&gt;"DIV"), (1-Index!$F$2*2)*((J21*D21)-(E21*D21)), "")</f>
        <v/>
      </c>
      <c r="M39" s="44">
        <f>IF(AND( C21="Buy", ISBLANK(W21), B21&lt;&gt;"DIV"), ((E21*D21)+L21), "")</f>
        <v/>
      </c>
      <c r="N39" s="45">
        <f>IF(AND( C21="Buy", ISBLANK(W21), B21&lt;&gt;"DIV"), D21, "")</f>
        <v/>
      </c>
      <c r="O39" s="43">
        <f>IF(AND( C21="Buy", ISBLANK(W21), B21&lt;&gt;"DIV", NOW()-A21 &lt; 365), P21/sum(F21:I21), "")</f>
        <v/>
      </c>
      <c r="P39" s="44">
        <f>IF(AND( C21="Buy", ISBLANK(W21), B21&lt;&gt;"DIV", NOW()-A21 &lt; 365), (1-Index!$F$2*2)*((J21*D21)-(E21*D21)), "")</f>
        <v/>
      </c>
      <c r="Q39" s="44">
        <f>IF(AND( C21="Buy", ISBLANK(W21), B21&lt;&gt;"DIV", NOW()-A21 &lt; 365), ((E21*D21)+P21), "")</f>
        <v/>
      </c>
      <c r="R39" s="44">
        <f>IF(AND( C21="Buy", ISBLANK(W21), B21&lt;&gt;"DIV", NOW()-A21 &lt; 365), D21, "")</f>
        <v/>
      </c>
      <c r="S39" s="46">
        <f>IF(AND( C21="Buy", ISBLANK(W21), B21&lt;&gt;"DIV", NOW()-A21 &gt; 365), T21/sum(F21:I21), "")</f>
        <v/>
      </c>
      <c r="T39" s="47">
        <f>IF(AND( C21="Buy", ISBLANK(W21), B21&lt;&gt;"DIV", NOW()-A21 &gt; 365), (1-Index!$F$2*2)*((J21*D21)-(E21*D21)), "")</f>
        <v/>
      </c>
      <c r="U39" s="47">
        <f>IF(AND( C21="Buy", ISBLANK(W21), B21&lt;&gt;"DIV", NOW()-A21 &gt; 365), ((E21*D21)+T21), "")</f>
        <v/>
      </c>
      <c r="V39" s="47">
        <f>IF(AND( C21="Buy", ISBLANK(W21), B21&lt;&gt;"DIV", NOW()-A21 &gt; 365), D21, "")</f>
        <v/>
      </c>
      <c r="W39" s="47" t="n"/>
      <c r="X39" s="47" t="n"/>
      <c r="Y39" s="46">
        <f>IF(AND( C21="Buy", W21&lt;&gt;"", AA21&lt;&gt;"", B21&lt;&gt;"DIV"), Z21/sum(F21:I21), "")</f>
        <v/>
      </c>
      <c r="Z39" s="47" t="n"/>
      <c r="AA39" s="47" t="n"/>
      <c r="AB39" s="48" t="n"/>
      <c r="AC39" s="44">
        <f>if(B21="DIV", F21,"")</f>
        <v/>
      </c>
      <c r="AD39" s="49" t="n"/>
    </row>
    <row r="40">
      <c r="A40" s="57" t="n">
        <v>45238</v>
      </c>
      <c r="B40" s="58" t="inlineStr">
        <is>
          <t>DIV</t>
        </is>
      </c>
      <c r="C40" s="58" t="inlineStr">
        <is>
          <t>Buy</t>
        </is>
      </c>
      <c r="D40" s="60" t="n">
        <v>50</v>
      </c>
      <c r="E40" s="42" t="n">
        <v>4.5</v>
      </c>
      <c r="F40" s="42" t="n">
        <v>225</v>
      </c>
      <c r="G40" s="60" t="inlineStr">
        <is>
          <t>Interim-Dividend of Rs.4.5000/- per share on Ex-Date: 08-NOV-2023</t>
        </is>
      </c>
      <c r="H40" s="60" t="n">
        <v>0</v>
      </c>
      <c r="I40" s="60" t="n">
        <v>0</v>
      </c>
      <c r="J40" s="42">
        <f>Index!$C$2</f>
        <v/>
      </c>
      <c r="K40" s="43">
        <f>IF(AND( C22="Buy", ISBLANK(W22), B22&lt;&gt;"DIV"), L22/sum(F22:I22), "")</f>
        <v/>
      </c>
      <c r="L40" s="44">
        <f>IF(AND( C22="Buy", ISBLANK(W22), B22&lt;&gt;"DIV"), (1-Index!$F$2*2)*((J22*D22)-(E22*D22)), "")</f>
        <v/>
      </c>
      <c r="M40" s="44">
        <f>IF(AND( C22="Buy", ISBLANK(W22), B22&lt;&gt;"DIV"), ((E22*D22)+L22), "")</f>
        <v/>
      </c>
      <c r="N40" s="45">
        <f>IF(AND( C22="Buy", ISBLANK(W22), B22&lt;&gt;"DIV"), D22, "")</f>
        <v/>
      </c>
      <c r="O40" s="43">
        <f>IF(AND( C22="Buy", ISBLANK(W22), B22&lt;&gt;"DIV", NOW()-A22 &lt; 365), P22/sum(F22:I22), "")</f>
        <v/>
      </c>
      <c r="P40" s="44">
        <f>IF(AND( C22="Buy", ISBLANK(W22), B22&lt;&gt;"DIV", NOW()-A22 &lt; 365), (1-Index!$F$2*2)*((J22*D22)-(E22*D22)), "")</f>
        <v/>
      </c>
      <c r="Q40" s="44">
        <f>IF(AND( C22="Buy", ISBLANK(W22), B22&lt;&gt;"DIV", NOW()-A22 &lt; 365), ((E22*D22)+P22), "")</f>
        <v/>
      </c>
      <c r="R40" s="44">
        <f>IF(AND( C22="Buy", ISBLANK(W22), B22&lt;&gt;"DIV", NOW()-A22 &lt; 365), D22, "")</f>
        <v/>
      </c>
      <c r="S40" s="46">
        <f>IF(AND( C22="Buy", ISBLANK(W22), B22&lt;&gt;"DIV", NOW()-A22 &gt; 365), T22/sum(F22:I22), "")</f>
        <v/>
      </c>
      <c r="T40" s="47">
        <f>IF(AND( C22="Buy", ISBLANK(W22), B22&lt;&gt;"DIV", NOW()-A22 &gt; 365), (1-Index!$F$2*2)*((J22*D22)-(E22*D22)), "")</f>
        <v/>
      </c>
      <c r="U40" s="47">
        <f>IF(AND( C22="Buy", ISBLANK(W22), B22&lt;&gt;"DIV", NOW()-A22 &gt; 365), ((E22*D22)+T22), "")</f>
        <v/>
      </c>
      <c r="V40" s="47">
        <f>IF(AND( C22="Buy", ISBLANK(W22), B22&lt;&gt;"DIV", NOW()-A22 &gt; 365), D22, "")</f>
        <v/>
      </c>
      <c r="W40" s="47" t="n"/>
      <c r="X40" s="47" t="n"/>
      <c r="Y40" s="46">
        <f>IF(AND( C22="Buy", W22&lt;&gt;"", AA22&lt;&gt;"", B22&lt;&gt;"DIV"), Z22/sum(F22:I22), "")</f>
        <v/>
      </c>
      <c r="Z40" s="47" t="n"/>
      <c r="AA40" s="47" t="n"/>
      <c r="AB40" s="48" t="n"/>
      <c r="AC40" s="44">
        <f>if(B22="DIV", F22,"")</f>
        <v/>
      </c>
      <c r="AD40" s="56" t="inlineStr">
        <is>
          <t>SBI Securities</t>
        </is>
      </c>
    </row>
    <row r="41">
      <c r="A41" s="57" t="n">
        <v>45225</v>
      </c>
      <c r="B41" s="58" t="inlineStr">
        <is>
          <t>NSE</t>
        </is>
      </c>
      <c r="C41" s="58" t="inlineStr">
        <is>
          <t>Buy</t>
        </is>
      </c>
      <c r="D41" s="60" t="n">
        <v>5</v>
      </c>
      <c r="E41" s="42" t="n">
        <v>434.402</v>
      </c>
      <c r="F41" s="42" t="n">
        <v>2187.44</v>
      </c>
      <c r="G41" s="60" t="inlineStr">
        <is>
          <t>~</t>
        </is>
      </c>
      <c r="H41" s="60" t="n">
        <v>2.19</v>
      </c>
      <c r="I41" s="60" t="n">
        <v>13.25</v>
      </c>
      <c r="J41" s="42">
        <f>Index!$C$2</f>
        <v/>
      </c>
      <c r="K41" s="47" t="n"/>
      <c r="L41" s="47">
        <f>IF(AND( C23="Buy", ISBLANK(W23), B23&lt;&gt;"DIV"), (1-Index!$F$2*2)*((J23*D23)-(E23*D23)), "")</f>
        <v/>
      </c>
      <c r="M41" s="61">
        <f>IF(AND( C23="Buy", ISBLANK(W23), B23&lt;&gt;"DIV"), ((E23*D23)+L23), "")</f>
        <v/>
      </c>
      <c r="N41" s="62">
        <f>IF(AND( C23="Buy", ISBLANK(W23), B23&lt;&gt;"DIV"), D23, "")</f>
        <v/>
      </c>
      <c r="O41" s="61" t="n"/>
      <c r="P41" s="47">
        <f>IF(AND( C23="Buy", ISBLANK(W23), B23&lt;&gt;"DIV", NOW()-A23 &lt; 365), (1-Index!$F$2*2)*((J23*D23)-(E23*D23)), "")</f>
        <v/>
      </c>
      <c r="Q41" s="61">
        <f>IF(AND( C23="Buy", ISBLANK(W23), B23&lt;&gt;"DIV", NOW()-A23 &lt; 365), ((E23*D23)+P23), "")</f>
        <v/>
      </c>
      <c r="R41" s="61">
        <f>IF(AND( C23="Buy", ISBLANK(W23), B23&lt;&gt;"DIV", NOW()-A23 &lt; 365), D23, "")</f>
        <v/>
      </c>
      <c r="S41" s="61" t="n"/>
      <c r="T41" s="61">
        <f>IF(AND( C23="Buy", ISBLANK(W23), B23&lt;&gt;"DIV", NOW()-A23 &gt; 365), (J23*D23)-(E23*D23)-(2*sum(H23:I23)), "")</f>
        <v/>
      </c>
      <c r="U41" s="61">
        <f>IF(AND( C23="Buy", ISBLANK(W23), B23&lt;&gt;"DIV", NOW()-A23 &gt; 365), ((E23*D23)+T23), "")</f>
        <v/>
      </c>
      <c r="V41" s="61">
        <f>IF(AND( C23="Buy", ISBLANK(W23), B23&lt;&gt;"DIV", NOW()-A23 &gt; 365), D23, "")</f>
        <v/>
      </c>
      <c r="W41" s="53" t="n">
        <v>640.52</v>
      </c>
      <c r="X41" s="50" t="n">
        <v>45316</v>
      </c>
      <c r="Y41" s="46" t="n">
        <v>0.4612878323</v>
      </c>
      <c r="Z41" s="54" t="n">
        <v>1016.16174</v>
      </c>
      <c r="AA41" s="54" t="n">
        <v>3188.17174</v>
      </c>
      <c r="AB41" s="55" t="n">
        <v>5</v>
      </c>
      <c r="AC41" s="44">
        <f>if(B23="DIV", F23,"")</f>
        <v/>
      </c>
      <c r="AD41" s="56" t="inlineStr">
        <is>
          <t>SBI Securities</t>
        </is>
      </c>
    </row>
    <row r="42">
      <c r="A42" s="57" t="n">
        <v>45191</v>
      </c>
      <c r="B42" s="58" t="inlineStr">
        <is>
          <t>NSE</t>
        </is>
      </c>
      <c r="C42" s="58" t="inlineStr">
        <is>
          <t>Buy</t>
        </is>
      </c>
      <c r="D42" s="60" t="n">
        <v>10</v>
      </c>
      <c r="E42" s="42" t="n">
        <v>485.448</v>
      </c>
      <c r="F42" s="42" t="n">
        <v>4889.12</v>
      </c>
      <c r="G42" s="60" t="inlineStr">
        <is>
          <t>~</t>
        </is>
      </c>
      <c r="H42" s="60" t="n">
        <v>4.94</v>
      </c>
      <c r="I42" s="60" t="n">
        <v>29.68</v>
      </c>
      <c r="J42" s="42">
        <f>Index!$C$2</f>
        <v/>
      </c>
      <c r="K42" s="47" t="n"/>
      <c r="L42" s="47">
        <f>IF(AND( C24="Buy", ISBLANK(W24), B24&lt;&gt;"DIV"), (1-Index!$F$2*2)*((J24*D24)-(E24*D24)), "")</f>
        <v/>
      </c>
      <c r="M42" s="61">
        <f>IF(AND( C24="Buy", ISBLANK(W24), B24&lt;&gt;"DIV"), ((E24*D24)+L24), "")</f>
        <v/>
      </c>
      <c r="N42" s="62">
        <f>IF(AND( C24="Buy", ISBLANK(W24), B24&lt;&gt;"DIV"), D24, "")</f>
        <v/>
      </c>
      <c r="O42" s="61" t="n"/>
      <c r="P42" s="47">
        <f>IF(AND( C24="Buy", ISBLANK(W24), B24&lt;&gt;"DIV", NOW()-A24 &lt; 365), (1-Index!$F$2*2)*((J24*D24)-(E24*D24)), "")</f>
        <v/>
      </c>
      <c r="Q42" s="61">
        <f>IF(AND( C24="Buy", ISBLANK(W24), B24&lt;&gt;"DIV", NOW()-A24 &lt; 365), ((E24*D24)+P24), "")</f>
        <v/>
      </c>
      <c r="R42" s="61">
        <f>IF(AND( C24="Buy", ISBLANK(W24), B24&lt;&gt;"DIV", NOW()-A24 &lt; 365), D24, "")</f>
        <v/>
      </c>
      <c r="S42" s="61" t="n"/>
      <c r="T42" s="61">
        <f>IF(AND( C24="Buy", ISBLANK(W24), B24&lt;&gt;"DIV", NOW()-A24 &gt; 365), (J24*D24)-(E24*D24)-(2*sum(H24:I24)), "")</f>
        <v/>
      </c>
      <c r="U42" s="61">
        <f>IF(AND( C24="Buy", ISBLANK(W24), B24&lt;&gt;"DIV", NOW()-A24 &gt; 365), ((E24*D24)+T24), "")</f>
        <v/>
      </c>
      <c r="V42" s="61">
        <f>IF(AND( C24="Buy", ISBLANK(W24), B24&lt;&gt;"DIV", NOW()-A24 &gt; 365), D24, "")</f>
        <v/>
      </c>
      <c r="W42" s="53" t="n">
        <v>640.52</v>
      </c>
      <c r="X42" s="50" t="n">
        <v>45316</v>
      </c>
      <c r="Y42" s="46" t="n">
        <v>0.3105383144</v>
      </c>
      <c r="Z42" s="54" t="n">
        <v>1529.00992</v>
      </c>
      <c r="AA42" s="54" t="n">
        <v>6383.48992</v>
      </c>
      <c r="AB42" s="55" t="n">
        <v>10</v>
      </c>
      <c r="AC42" s="44">
        <f>if(B24="DIV", F24,"")</f>
        <v/>
      </c>
      <c r="AD42" s="56" t="inlineStr">
        <is>
          <t>SBI Securities</t>
        </is>
      </c>
    </row>
    <row r="43">
      <c r="A43" s="57" t="n">
        <v>45181</v>
      </c>
      <c r="B43" s="58" t="inlineStr">
        <is>
          <t>NSE</t>
        </is>
      </c>
      <c r="C43" s="58" t="inlineStr">
        <is>
          <t>Buy</t>
        </is>
      </c>
      <c r="D43" s="60" t="n">
        <v>5</v>
      </c>
      <c r="E43" s="42" t="n">
        <v>528.498</v>
      </c>
      <c r="F43" s="42" t="n">
        <v>2661.21</v>
      </c>
      <c r="G43" s="60" t="inlineStr">
        <is>
          <t>~</t>
        </is>
      </c>
      <c r="H43" s="60" t="n">
        <v>2.64</v>
      </c>
      <c r="I43" s="60" t="n">
        <v>16.07</v>
      </c>
      <c r="J43" s="42">
        <f>Index!$C$2</f>
        <v/>
      </c>
      <c r="K43" s="47" t="n"/>
      <c r="L43" s="47">
        <f>IF(AND( C25="Buy", ISBLANK(W25), B25&lt;&gt;"DIV"), (1-Index!$F$2*2)*((J25*D25)-(E25*D25)), "")</f>
        <v/>
      </c>
      <c r="M43" s="61">
        <f>IF(AND( C25="Buy", ISBLANK(W25), B25&lt;&gt;"DIV"), ((E25*D25)+L25), "")</f>
        <v/>
      </c>
      <c r="N43" s="62">
        <f>IF(AND( C25="Buy", ISBLANK(W25), B25&lt;&gt;"DIV"), D25, "")</f>
        <v/>
      </c>
      <c r="O43" s="61" t="n"/>
      <c r="P43" s="47">
        <f>IF(AND( C25="Buy", ISBLANK(W25), B25&lt;&gt;"DIV", NOW()-A25 &lt; 365), (1-Index!$F$2*2)*((J25*D25)-(E25*D25)), "")</f>
        <v/>
      </c>
      <c r="Q43" s="61">
        <f>IF(AND( C25="Buy", ISBLANK(W25), B25&lt;&gt;"DIV", NOW()-A25 &lt; 365), ((E25*D25)+P25), "")</f>
        <v/>
      </c>
      <c r="R43" s="61">
        <f>IF(AND( C25="Buy", ISBLANK(W25), B25&lt;&gt;"DIV", NOW()-A25 &lt; 365), D25, "")</f>
        <v/>
      </c>
      <c r="S43" s="61" t="n"/>
      <c r="T43" s="61">
        <f>IF(AND( C25="Buy", ISBLANK(W25), B25&lt;&gt;"DIV", NOW()-A25 &gt; 365), (J25*D25)-(E25*D25)-(2*sum(H25:I25)), "")</f>
        <v/>
      </c>
      <c r="U43" s="61">
        <f>IF(AND( C25="Buy", ISBLANK(W25), B25&lt;&gt;"DIV", NOW()-A25 &gt; 365), ((E25*D25)+T25), "")</f>
        <v/>
      </c>
      <c r="V43" s="61">
        <f>IF(AND( C25="Buy", ISBLANK(W25), B25&lt;&gt;"DIV", NOW()-A25 &gt; 365), D25, "")</f>
        <v/>
      </c>
      <c r="W43" s="53" t="n">
        <v>640.52</v>
      </c>
      <c r="X43" s="50" t="n">
        <v>45316</v>
      </c>
      <c r="Y43" s="46" t="n">
        <v>0.2060764724</v>
      </c>
      <c r="Z43" s="54" t="n">
        <v>552.26846</v>
      </c>
      <c r="AA43" s="54" t="n">
        <v>3194.75846</v>
      </c>
      <c r="AB43" s="55" t="n">
        <v>5</v>
      </c>
      <c r="AC43" s="44">
        <f>if(B25="DIV", F25,"")</f>
        <v/>
      </c>
      <c r="AD43" s="56" t="inlineStr">
        <is>
          <t>SBI Securities</t>
        </is>
      </c>
    </row>
    <row r="44">
      <c r="A44" s="57" t="n">
        <v>45177</v>
      </c>
      <c r="B44" s="58" t="inlineStr">
        <is>
          <t>DIV</t>
        </is>
      </c>
      <c r="C44" s="58" t="inlineStr">
        <is>
          <t>Buy</t>
        </is>
      </c>
      <c r="D44" s="60" t="n">
        <v>30</v>
      </c>
      <c r="E44" s="42" t="n">
        <v>6</v>
      </c>
      <c r="F44" s="42" t="n">
        <v>180</v>
      </c>
      <c r="G44" s="60" t="inlineStr">
        <is>
          <t>Final-Dividend of Rs.6.0000/- per share on Ex-Date: 08-SEP-2023</t>
        </is>
      </c>
      <c r="H44" s="60" t="n">
        <v>0</v>
      </c>
      <c r="I44" s="60" t="n">
        <v>0</v>
      </c>
      <c r="J44" s="42">
        <f>Index!$C$2</f>
        <v/>
      </c>
      <c r="K44" s="47" t="n"/>
      <c r="L44" s="47">
        <f>IF(AND( C26="Buy", ISBLANK(W26), B26&lt;&gt;"DIV"), (1-Index!$F$2*2)*((J26*D26)-(E26*D26)), "")</f>
        <v/>
      </c>
      <c r="M44" s="61">
        <f>IF(AND( C26="Buy", ISBLANK(W26), B26&lt;&gt;"DIV"), ((E26*D26)+L26), "")</f>
        <v/>
      </c>
      <c r="N44" s="62">
        <f>IF(AND( C26="Buy", ISBLANK(W26), B26&lt;&gt;"DIV"), D26, "")</f>
        <v/>
      </c>
      <c r="O44" s="61" t="n"/>
      <c r="P44" s="47">
        <f>IF(AND( C26="Buy", ISBLANK(W26), B26&lt;&gt;"DIV", NOW()-A26 &lt; 365), (1-Index!$F$2*2)*((J26*D26)-(E26*D26)), "")</f>
        <v/>
      </c>
      <c r="Q44" s="61">
        <f>IF(AND( C26="Buy", ISBLANK(W26), B26&lt;&gt;"DIV", NOW()-A26 &lt; 365), ((E26*D26)+P26), "")</f>
        <v/>
      </c>
      <c r="R44" s="61">
        <f>IF(AND( C26="Buy", ISBLANK(W26), B26&lt;&gt;"DIV", NOW()-A26 &lt; 365), D26, "")</f>
        <v/>
      </c>
      <c r="S44" s="61" t="n"/>
      <c r="T44" s="61">
        <f>IF(AND( C26="Buy", ISBLANK(W26), B26&lt;&gt;"DIV", NOW()-A26 &gt; 365), (J26*D26)-(E26*D26)-(2*sum(H26:I26)), "")</f>
        <v/>
      </c>
      <c r="U44" s="61">
        <f>IF(AND( C26="Buy", ISBLANK(W26), B26&lt;&gt;"DIV", NOW()-A26 &gt; 365), ((E26*D26)+T26), "")</f>
        <v/>
      </c>
      <c r="V44" s="61">
        <f>IF(AND( C26="Buy", ISBLANK(W26), B26&lt;&gt;"DIV", NOW()-A26 &gt; 365), D26, "")</f>
        <v/>
      </c>
      <c r="W44" s="47" t="n"/>
      <c r="X44" s="47" t="n"/>
      <c r="Y44" s="46">
        <f>IF(AND( C26="Buy", W26&lt;&gt;"", AA26&lt;&gt;"", B26&lt;&gt;"DIV"), Z26/sum(F26:I26), "")</f>
        <v/>
      </c>
      <c r="Z44" s="47" t="n"/>
      <c r="AA44" s="47" t="n"/>
      <c r="AB44" s="48" t="n"/>
      <c r="AC44" s="44">
        <f>if(B26="DIV", F26,"")</f>
        <v/>
      </c>
      <c r="AD44" s="56" t="inlineStr">
        <is>
          <t>SBI Securities</t>
        </is>
      </c>
    </row>
    <row r="45">
      <c r="A45" s="57" t="n">
        <v>45162</v>
      </c>
      <c r="B45" s="58" t="inlineStr">
        <is>
          <t>NSE</t>
        </is>
      </c>
      <c r="C45" s="58" t="inlineStr">
        <is>
          <t>Buy</t>
        </is>
      </c>
      <c r="D45" s="60" t="n">
        <v>1</v>
      </c>
      <c r="E45" s="42" t="n">
        <v>474.2</v>
      </c>
      <c r="F45" s="42" t="n">
        <v>477.55</v>
      </c>
      <c r="G45" s="60" t="inlineStr">
        <is>
          <t>~</t>
        </is>
      </c>
      <c r="H45" s="60" t="n">
        <v>0.47</v>
      </c>
      <c r="I45" s="60" t="n">
        <v>2.88</v>
      </c>
      <c r="J45" s="42">
        <f>Index!$C$2</f>
        <v/>
      </c>
      <c r="K45" s="47" t="n"/>
      <c r="L45" s="47">
        <f>IF(AND( C27="Buy", ISBLANK(W27), B27&lt;&gt;"DIV"), (1-Index!$F$2*2)*((J27*D27)-(E27*D27)), "")</f>
        <v/>
      </c>
      <c r="M45" s="61">
        <f>IF(AND( C27="Buy", ISBLANK(W27), B27&lt;&gt;"DIV"), ((E27*D27)+L27), "")</f>
        <v/>
      </c>
      <c r="N45" s="62">
        <f>IF(AND( C27="Buy", ISBLANK(W27), B27&lt;&gt;"DIV"), D27, "")</f>
        <v/>
      </c>
      <c r="O45" s="61" t="n"/>
      <c r="P45" s="47">
        <f>IF(AND( C27="Buy", ISBLANK(W27), B27&lt;&gt;"DIV", NOW()-A27 &lt; 365), (1-Index!$F$2*2)*((J27*D27)-(E27*D27)), "")</f>
        <v/>
      </c>
      <c r="Q45" s="61">
        <f>IF(AND( C27="Buy", ISBLANK(W27), B27&lt;&gt;"DIV", NOW()-A27 &lt; 365), ((E27*D27)+P27), "")</f>
        <v/>
      </c>
      <c r="R45" s="61">
        <f>IF(AND( C27="Buy", ISBLANK(W27), B27&lt;&gt;"DIV", NOW()-A27 &lt; 365), D27, "")</f>
        <v/>
      </c>
      <c r="S45" s="61" t="n"/>
      <c r="T45" s="61">
        <f>IF(AND( C27="Buy", ISBLANK(W27), B27&lt;&gt;"DIV", NOW()-A27 &gt; 365), (J27*D27)-(E27*D27)-(2*sum(H27:I27)), "")</f>
        <v/>
      </c>
      <c r="U45" s="61">
        <f>IF(AND( C27="Buy", ISBLANK(W27), B27&lt;&gt;"DIV", NOW()-A27 &gt; 365), ((E27*D27)+T27), "")</f>
        <v/>
      </c>
      <c r="V45" s="61">
        <f>IF(AND( C27="Buy", ISBLANK(W27), B27&lt;&gt;"DIV", NOW()-A27 &gt; 365), D27, "")</f>
        <v/>
      </c>
      <c r="W45" s="53" t="n">
        <v>640.52</v>
      </c>
      <c r="X45" s="50" t="n">
        <v>45316</v>
      </c>
      <c r="Y45" s="46" t="n">
        <v>0.341009607</v>
      </c>
      <c r="Z45" s="54" t="n">
        <v>163.99152</v>
      </c>
      <c r="AA45" s="54" t="n">
        <v>638.19152</v>
      </c>
      <c r="AB45" s="55" t="n">
        <v>1</v>
      </c>
      <c r="AC45" s="44">
        <f>if(B27="DIV", F27,"")</f>
        <v/>
      </c>
      <c r="AD45" s="56" t="inlineStr">
        <is>
          <t>SBI Securities</t>
        </is>
      </c>
    </row>
    <row r="46">
      <c r="A46" s="57" t="n">
        <v>45162</v>
      </c>
      <c r="B46" s="58" t="inlineStr">
        <is>
          <t>NSE</t>
        </is>
      </c>
      <c r="C46" s="58" t="inlineStr">
        <is>
          <t>Buy</t>
        </is>
      </c>
      <c r="D46" s="60" t="n">
        <v>4</v>
      </c>
      <c r="E46" s="42" t="n">
        <v>474</v>
      </c>
      <c r="F46" s="42" t="n">
        <v>1909.44</v>
      </c>
      <c r="G46" s="60" t="inlineStr">
        <is>
          <t>~</t>
        </is>
      </c>
      <c r="H46" s="60" t="n">
        <v>1.88</v>
      </c>
      <c r="I46" s="60" t="n">
        <v>11.56</v>
      </c>
      <c r="J46" s="42">
        <f>Index!$C$2</f>
        <v/>
      </c>
      <c r="K46" s="47" t="n"/>
      <c r="L46" s="47">
        <f>IF(AND( C28="Buy", ISBLANK(W28), B28&lt;&gt;"DIV"), (1-Index!$F$2*2)*((J28*D28)-(E28*D28)), "")</f>
        <v/>
      </c>
      <c r="M46" s="61">
        <f>IF(AND( C28="Buy", ISBLANK(W28), B28&lt;&gt;"DIV"), ((E28*D28)+L28), "")</f>
        <v/>
      </c>
      <c r="N46" s="62">
        <f>IF(AND( C28="Buy", ISBLANK(W28), B28&lt;&gt;"DIV"), D28, "")</f>
        <v/>
      </c>
      <c r="O46" s="61" t="n"/>
      <c r="P46" s="47">
        <f>IF(AND( C28="Buy", ISBLANK(W28), B28&lt;&gt;"DIV", NOW()-A28 &lt; 365), (1-Index!$F$2*2)*((J28*D28)-(E28*D28)), "")</f>
        <v/>
      </c>
      <c r="Q46" s="61">
        <f>IF(AND( C28="Buy", ISBLANK(W28), B28&lt;&gt;"DIV", NOW()-A28 &lt; 365), ((E28*D28)+P28), "")</f>
        <v/>
      </c>
      <c r="R46" s="61">
        <f>IF(AND( C28="Buy", ISBLANK(W28), B28&lt;&gt;"DIV", NOW()-A28 &lt; 365), D28, "")</f>
        <v/>
      </c>
      <c r="S46" s="61" t="n"/>
      <c r="T46" s="61">
        <f>IF(AND( C28="Buy", ISBLANK(W28), B28&lt;&gt;"DIV", NOW()-A28 &gt; 365), (J28*D28)-(E28*D28)-(2*sum(H28:I28)), "")</f>
        <v/>
      </c>
      <c r="U46" s="61">
        <f>IF(AND( C28="Buy", ISBLANK(W28), B28&lt;&gt;"DIV", NOW()-A28 &gt; 365), ((E28*D28)+T28), "")</f>
        <v/>
      </c>
      <c r="V46" s="61">
        <f>IF(AND( C28="Buy", ISBLANK(W28), B28&lt;&gt;"DIV", NOW()-A28 &gt; 365), D28, "")</f>
        <v/>
      </c>
      <c r="W46" s="53" t="n">
        <v>640.52</v>
      </c>
      <c r="X46" s="50" t="n">
        <v>45316</v>
      </c>
      <c r="Y46" s="46" t="n">
        <v>0.3415475121</v>
      </c>
      <c r="Z46" s="54" t="n">
        <v>656.75488</v>
      </c>
      <c r="AA46" s="54" t="n">
        <v>2552.75488</v>
      </c>
      <c r="AB46" s="55" t="n">
        <v>4</v>
      </c>
      <c r="AC46" s="44">
        <f>if(B28="DIV", F28,"")</f>
        <v/>
      </c>
      <c r="AD46" s="56" t="inlineStr">
        <is>
          <t>SBI Securities</t>
        </is>
      </c>
    </row>
    <row r="47">
      <c r="A47" s="57" t="n">
        <v>45145</v>
      </c>
      <c r="B47" s="58" t="inlineStr">
        <is>
          <t>DIV</t>
        </is>
      </c>
      <c r="C47" s="58" t="inlineStr">
        <is>
          <t>Buy</t>
        </is>
      </c>
      <c r="D47" s="60" t="n">
        <v>25</v>
      </c>
      <c r="E47" s="42" t="n">
        <v>3.75</v>
      </c>
      <c r="F47" s="42" t="n">
        <v>93.75</v>
      </c>
      <c r="G47" s="60" t="inlineStr">
        <is>
          <t>Interim-Dividend of Rs.3.7500/- per share on Ex-Date: 07-AUG-2023</t>
        </is>
      </c>
      <c r="H47" s="60" t="n">
        <v>0</v>
      </c>
      <c r="I47" s="60" t="n">
        <v>0</v>
      </c>
      <c r="J47" s="42">
        <f>Index!$C$2</f>
        <v/>
      </c>
      <c r="K47" s="47" t="n"/>
      <c r="L47" s="47">
        <f>IF(AND( C29="Buy", ISBLANK(W29), B29&lt;&gt;"DIV"), (1-Index!$F$2*2)*((J29*D29)-(E29*D29)), "")</f>
        <v/>
      </c>
      <c r="M47" s="61">
        <f>IF(AND( C29="Buy", ISBLANK(W29), B29&lt;&gt;"DIV"), ((E29*D29)+L29), "")</f>
        <v/>
      </c>
      <c r="N47" s="62">
        <f>IF(AND( C29="Buy", ISBLANK(W29), B29&lt;&gt;"DIV"), D29, "")</f>
        <v/>
      </c>
      <c r="O47" s="61" t="n"/>
      <c r="P47" s="47">
        <f>IF(AND( C29="Buy", ISBLANK(W29), B29&lt;&gt;"DIV", NOW()-A29 &lt; 365), (1-Index!$F$2*2)*((J29*D29)-(E29*D29)), "")</f>
        <v/>
      </c>
      <c r="Q47" s="61">
        <f>IF(AND( C29="Buy", ISBLANK(W29), B29&lt;&gt;"DIV", NOW()-A29 &lt; 365), ((E29*D29)+P29), "")</f>
        <v/>
      </c>
      <c r="R47" s="61">
        <f>IF(AND( C29="Buy", ISBLANK(W29), B29&lt;&gt;"DIV", NOW()-A29 &lt; 365), D29, "")</f>
        <v/>
      </c>
      <c r="S47" s="61" t="n"/>
      <c r="T47" s="61">
        <f>IF(AND( C29="Buy", ISBLANK(W29), B29&lt;&gt;"DIV", NOW()-A29 &gt; 365), (J29*D29)-(E29*D29)-(2*sum(H29:I29)), "")</f>
        <v/>
      </c>
      <c r="U47" s="61">
        <f>IF(AND( C29="Buy", ISBLANK(W29), B29&lt;&gt;"DIV", NOW()-A29 &gt; 365), ((E29*D29)+T29), "")</f>
        <v/>
      </c>
      <c r="V47" s="61">
        <f>IF(AND( C29="Buy", ISBLANK(W29), B29&lt;&gt;"DIV", NOW()-A29 &gt; 365), D29, "")</f>
        <v/>
      </c>
      <c r="W47" s="47" t="n"/>
      <c r="X47" s="47" t="n"/>
      <c r="Y47" s="46">
        <f>IF(AND( C29="Buy", W29&lt;&gt;"", AA29&lt;&gt;"", B29&lt;&gt;"DIV"), Z29/sum(F29:I29), "")</f>
        <v/>
      </c>
      <c r="Z47" s="47" t="n"/>
      <c r="AA47" s="47" t="n"/>
      <c r="AB47" s="48" t="n"/>
      <c r="AC47" s="44">
        <f>if(B29="DIV", F29,"")</f>
        <v/>
      </c>
      <c r="AD47" s="56" t="inlineStr">
        <is>
          <t>SBI Securities</t>
        </is>
      </c>
    </row>
    <row r="48">
      <c r="A48" s="57" t="n">
        <v>45034</v>
      </c>
      <c r="B48" s="58" t="inlineStr">
        <is>
          <t>NSE</t>
        </is>
      </c>
      <c r="C48" s="58" t="inlineStr">
        <is>
          <t>Buy</t>
        </is>
      </c>
      <c r="D48" s="60" t="n">
        <v>5</v>
      </c>
      <c r="E48" s="42" t="n">
        <v>347.95</v>
      </c>
      <c r="F48" s="42" t="n">
        <v>1752.1</v>
      </c>
      <c r="G48" s="60" t="inlineStr">
        <is>
          <t>~</t>
        </is>
      </c>
      <c r="H48" s="60" t="n">
        <v>1.74</v>
      </c>
      <c r="I48" s="60" t="n">
        <v>10.61</v>
      </c>
      <c r="J48" s="42">
        <f>Index!$C$2</f>
        <v/>
      </c>
      <c r="K48" s="47" t="n"/>
      <c r="L48" s="47">
        <f>IF(AND( C30="Buy", ISBLANK(W30), B30&lt;&gt;"DIV"), (1-Index!$F$2*2)*((J30*D30)-(E30*D30)), "")</f>
        <v/>
      </c>
      <c r="M48" s="61">
        <f>IF(AND( C30="Buy", ISBLANK(W30), B30&lt;&gt;"DIV"), ((E30*D30)+L30), "")</f>
        <v/>
      </c>
      <c r="N48" s="62">
        <f>IF(AND( C30="Buy", ISBLANK(W30), B30&lt;&gt;"DIV"), D30, "")</f>
        <v/>
      </c>
      <c r="O48" s="61" t="n"/>
      <c r="P48" s="47">
        <f>IF(AND( C30="Buy", ISBLANK(W30), B30&lt;&gt;"DIV", NOW()-A30 &lt; 365), (1-Index!$F$2*2)*((J30*D30)-(E30*D30)), "")</f>
        <v/>
      </c>
      <c r="Q48" s="61">
        <f>IF(AND( C30="Buy", ISBLANK(W30), B30&lt;&gt;"DIV", NOW()-A30 &lt; 365), ((E30*D30)+P30), "")</f>
        <v/>
      </c>
      <c r="R48" s="61">
        <f>IF(AND( C30="Buy", ISBLANK(W30), B30&lt;&gt;"DIV", NOW()-A30 &lt; 365), D30, "")</f>
        <v/>
      </c>
      <c r="S48" s="61" t="n"/>
      <c r="T48" s="61">
        <f>IF(AND( C30="Buy", ISBLANK(W30), B30&lt;&gt;"DIV", NOW()-A30 &gt; 365), (J30*D30)-(E30*D30)-(2*sum(H30:I30)), "")</f>
        <v/>
      </c>
      <c r="U48" s="61">
        <f>IF(AND( C30="Buy", ISBLANK(W30), B30&lt;&gt;"DIV", NOW()-A30 &gt; 365), ((E30*D30)+T30), "")</f>
        <v/>
      </c>
      <c r="V48" s="61">
        <f>IF(AND( C30="Buy", ISBLANK(W30), B30&lt;&gt;"DIV", NOW()-A30 &gt; 365), D30, "")</f>
        <v/>
      </c>
      <c r="W48" s="53" t="n">
        <v>640.52</v>
      </c>
      <c r="X48" s="50" t="n">
        <v>45316</v>
      </c>
      <c r="Y48" s="46" t="n">
        <v>0.8174615886</v>
      </c>
      <c r="Z48" s="54" t="n">
        <v>1442.3701</v>
      </c>
      <c r="AA48" s="54" t="n">
        <v>3182.1201</v>
      </c>
      <c r="AB48" s="55" t="n">
        <v>5</v>
      </c>
      <c r="AC48" s="44">
        <f>if(B30="DIV", F30,"")</f>
        <v/>
      </c>
      <c r="AD48" s="56" t="inlineStr">
        <is>
          <t>SBI Securities</t>
        </is>
      </c>
    </row>
    <row r="49">
      <c r="A49" s="57" t="n">
        <v>44981</v>
      </c>
      <c r="B49" s="58" t="inlineStr">
        <is>
          <t>NSE</t>
        </is>
      </c>
      <c r="C49" s="58" t="inlineStr">
        <is>
          <t>Buy</t>
        </is>
      </c>
      <c r="D49" s="60" t="n">
        <v>10</v>
      </c>
      <c r="E49" s="42" t="n">
        <v>333.751</v>
      </c>
      <c r="F49" s="42" t="n">
        <v>3361.19</v>
      </c>
      <c r="G49" s="60" t="inlineStr">
        <is>
          <t>~</t>
        </is>
      </c>
      <c r="H49" s="60" t="n">
        <v>3.34</v>
      </c>
      <c r="I49" s="60" t="n">
        <v>20.35</v>
      </c>
      <c r="J49" s="42">
        <f>Index!$C$2</f>
        <v/>
      </c>
      <c r="K49" s="47" t="n"/>
      <c r="L49" s="47">
        <f>IF(AND( C31="Buy", ISBLANK(W31), B31&lt;&gt;"DIV"), (1-Index!$F$2*2)*((J31*D31)-(E31*D31)), "")</f>
        <v/>
      </c>
      <c r="M49" s="61">
        <f>IF(AND( C31="Buy", ISBLANK(W31), B31&lt;&gt;"DIV"), ((E31*D31)+L31), "")</f>
        <v/>
      </c>
      <c r="N49" s="62">
        <f>IF(AND( C31="Buy", ISBLANK(W31), B31&lt;&gt;"DIV"), D31, "")</f>
        <v/>
      </c>
      <c r="O49" s="61" t="n"/>
      <c r="P49" s="47">
        <f>IF(AND( C31="Buy", ISBLANK(W31), B31&lt;&gt;"DIV", NOW()-A31 &lt; 365), (1-Index!$F$2*2)*((J31*D31)-(E31*D31)), "")</f>
        <v/>
      </c>
      <c r="Q49" s="61">
        <f>IF(AND( C31="Buy", ISBLANK(W31), B31&lt;&gt;"DIV", NOW()-A31 &lt; 365), ((E31*D31)+P31), "")</f>
        <v/>
      </c>
      <c r="R49" s="61">
        <f>IF(AND( C31="Buy", ISBLANK(W31), B31&lt;&gt;"DIV", NOW()-A31 &lt; 365), D31, "")</f>
        <v/>
      </c>
      <c r="S49" s="61" t="n"/>
      <c r="T49" s="61">
        <f>IF(AND( C31="Buy", ISBLANK(W31), B31&lt;&gt;"DIV", NOW()-A31 &gt; 365), (J31*D31)-(E31*D31)-(2*sum(H31:I31)), "")</f>
        <v/>
      </c>
      <c r="U49" s="61">
        <f>IF(AND( C31="Buy", ISBLANK(W31), B31&lt;&gt;"DIV", NOW()-A31 &gt; 365), ((E31*D31)+T31), "")</f>
        <v/>
      </c>
      <c r="V49" s="61">
        <f>IF(AND( C31="Buy", ISBLANK(W31), B31&lt;&gt;"DIV", NOW()-A31 &gt; 365), D31, "")</f>
        <v/>
      </c>
      <c r="W49" s="53" t="n">
        <v>640.52</v>
      </c>
      <c r="X49" s="50" t="n">
        <v>45316</v>
      </c>
      <c r="Y49" s="46" t="n">
        <v>0.8936040096</v>
      </c>
      <c r="Z49" s="54" t="n">
        <v>3024.74234</v>
      </c>
      <c r="AA49" s="54" t="n">
        <v>6362.25234</v>
      </c>
      <c r="AB49" s="55" t="n">
        <v>10</v>
      </c>
      <c r="AC49" s="44">
        <f>if(B31="DIV", F31,"")</f>
        <v/>
      </c>
      <c r="AD49" s="56" t="inlineStr">
        <is>
          <t>SBI Securities</t>
        </is>
      </c>
    </row>
    <row r="50">
      <c r="A50" s="57" t="n">
        <v>44974</v>
      </c>
      <c r="B50" s="58" t="inlineStr">
        <is>
          <t>DIV</t>
        </is>
      </c>
      <c r="C50" s="58" t="inlineStr">
        <is>
          <t>Buy</t>
        </is>
      </c>
      <c r="D50" s="60" t="n">
        <v>10</v>
      </c>
      <c r="E50" s="42" t="n">
        <v>6</v>
      </c>
      <c r="F50" s="42" t="n">
        <v>60</v>
      </c>
      <c r="G50" s="60" t="inlineStr">
        <is>
          <t>Interim-Dividend of Rs.6.0000/- per share on Ex-Date: 17-FEB-2023</t>
        </is>
      </c>
      <c r="H50" s="60" t="n">
        <v>0</v>
      </c>
      <c r="I50" s="60" t="n">
        <v>0</v>
      </c>
      <c r="J50" s="42">
        <f>Index!$C$2</f>
        <v/>
      </c>
      <c r="K50" s="47" t="n"/>
      <c r="L50" s="47">
        <f>IF(AND( C32="Buy", ISBLANK(W32), B32&lt;&gt;"DIV"), (1-Index!$F$2*2)*((J32*D32)-(E32*D32)), "")</f>
        <v/>
      </c>
      <c r="M50" s="61">
        <f>IF(AND( C32="Buy", ISBLANK(W32), B32&lt;&gt;"DIV"), ((E32*D32)+L32), "")</f>
        <v/>
      </c>
      <c r="N50" s="62">
        <f>IF(AND( C32="Buy", ISBLANK(W32), B32&lt;&gt;"DIV"), D32, "")</f>
        <v/>
      </c>
      <c r="O50" s="61" t="n"/>
      <c r="P50" s="47">
        <f>IF(AND( C32="Buy", ISBLANK(W32), B32&lt;&gt;"DIV", NOW()-A32 &lt; 365), (1-Index!$F$2*2)*((J32*D32)-(E32*D32)), "")</f>
        <v/>
      </c>
      <c r="Q50" s="61">
        <f>IF(AND( C32="Buy", ISBLANK(W32), B32&lt;&gt;"DIV", NOW()-A32 &lt; 365), ((E32*D32)+P32), "")</f>
        <v/>
      </c>
      <c r="R50" s="61">
        <f>IF(AND( C32="Buy", ISBLANK(W32), B32&lt;&gt;"DIV", NOW()-A32 &lt; 365), D32, "")</f>
        <v/>
      </c>
      <c r="S50" s="61" t="n"/>
      <c r="T50" s="61">
        <f>IF(AND( C32="Buy", ISBLANK(W32), B32&lt;&gt;"DIV", NOW()-A32 &gt; 365), (J32*D32)-(E32*D32)-(2*sum(H32:I32)), "")</f>
        <v/>
      </c>
      <c r="U50" s="61">
        <f>IF(AND( C32="Buy", ISBLANK(W32), B32&lt;&gt;"DIV", NOW()-A32 &gt; 365), ((E32*D32)+T32), "")</f>
        <v/>
      </c>
      <c r="V50" s="61">
        <f>IF(AND( C32="Buy", ISBLANK(W32), B32&lt;&gt;"DIV", NOW()-A32 &gt; 365), D32, "")</f>
        <v/>
      </c>
      <c r="W50" s="47" t="n"/>
      <c r="X50" s="47" t="n"/>
      <c r="Y50" s="46">
        <f>IF(AND( C32="Buy", W32&lt;&gt;"", AA32&lt;&gt;"", B32&lt;&gt;"DIV"), Z32/sum(F32:I32), "")</f>
        <v/>
      </c>
      <c r="Z50" s="47" t="n"/>
      <c r="AA50" s="47" t="n"/>
      <c r="AB50" s="48" t="n"/>
      <c r="AC50" s="44">
        <f>if(B32="DIV", F32,"")</f>
        <v/>
      </c>
      <c r="AD50" s="56" t="inlineStr">
        <is>
          <t>SBI Securities</t>
        </is>
      </c>
    </row>
    <row r="51">
      <c r="A51" s="57" t="n">
        <v>44953</v>
      </c>
      <c r="B51" s="58" t="inlineStr">
        <is>
          <t>NSE</t>
        </is>
      </c>
      <c r="C51" s="58" t="inlineStr">
        <is>
          <t>Buy</t>
        </is>
      </c>
      <c r="D51" s="60" t="n">
        <v>10</v>
      </c>
      <c r="E51" s="42" t="n">
        <v>332.597</v>
      </c>
      <c r="F51" s="42" t="n">
        <v>3349.53</v>
      </c>
      <c r="G51" s="60" t="inlineStr">
        <is>
          <t>~</t>
        </is>
      </c>
      <c r="H51" s="60" t="n">
        <v>3.29</v>
      </c>
      <c r="I51" s="60" t="n">
        <v>20.24</v>
      </c>
      <c r="J51" s="42">
        <f>Index!$C$2</f>
        <v/>
      </c>
      <c r="K51" s="47" t="n"/>
      <c r="L51" s="47">
        <f>IF(AND( C33="Buy", ISBLANK(W33), B33&lt;&gt;"DIV"), (1-Index!$F$2*2)*((J33*D33)-(E33*D33)), "")</f>
        <v/>
      </c>
      <c r="M51" s="61">
        <f>IF(AND( C33="Buy", ISBLANK(W33), B33&lt;&gt;"DIV"), ((E33*D33)+L33), "")</f>
        <v/>
      </c>
      <c r="N51" s="62">
        <f>IF(AND( C33="Buy", ISBLANK(W33), B33&lt;&gt;"DIV"), D33, "")</f>
        <v/>
      </c>
      <c r="O51" s="61" t="n"/>
      <c r="P51" s="47">
        <f>IF(AND( C33="Buy", ISBLANK(W33), B33&lt;&gt;"DIV", NOW()-A33 &lt; 365), (1-Index!$F$2*2)*((J33*D33)-(E33*D33)), "")</f>
        <v/>
      </c>
      <c r="Q51" s="61">
        <f>IF(AND( C33="Buy", ISBLANK(W33), B33&lt;&gt;"DIV", NOW()-A33 &lt; 365), ((E33*D33)+P33), "")</f>
        <v/>
      </c>
      <c r="R51" s="61">
        <f>IF(AND( C33="Buy", ISBLANK(W33), B33&lt;&gt;"DIV", NOW()-A33 &lt; 365), D33, "")</f>
        <v/>
      </c>
      <c r="S51" s="61" t="n"/>
      <c r="T51" s="61">
        <f>IF(AND( C33="Buy", ISBLANK(W33), B33&lt;&gt;"DIV", NOW()-A33 &gt; 365), (J33*D33)-(E33*D33)-(2*sum(H33:I33)), "")</f>
        <v/>
      </c>
      <c r="U51" s="61">
        <f>IF(AND( C33="Buy", ISBLANK(W33), B33&lt;&gt;"DIV", NOW()-A33 &gt; 365), ((E33*D33)+T33), "")</f>
        <v/>
      </c>
      <c r="V51" s="61">
        <f>IF(AND( C33="Buy", ISBLANK(W33), B33&lt;&gt;"DIV", NOW()-A33 &gt; 365), D33, "")</f>
        <v/>
      </c>
      <c r="W51" s="53" t="n">
        <v>640.52</v>
      </c>
      <c r="X51" s="50" t="n">
        <v>45316</v>
      </c>
      <c r="Y51" s="46" t="n">
        <v>0.9001087381</v>
      </c>
      <c r="Z51" s="54" t="n">
        <v>3036.12078</v>
      </c>
      <c r="AA51" s="54" t="n">
        <v>6362.09078</v>
      </c>
      <c r="AB51" s="55" t="n">
        <v>10</v>
      </c>
      <c r="AC51" s="44">
        <f>if(B33="DIV", F33,"")</f>
        <v/>
      </c>
      <c r="AD51" s="56" t="inlineStr">
        <is>
          <t>SBI Securities</t>
        </is>
      </c>
    </row>
    <row r="52">
      <c r="E52" s="63" t="n"/>
      <c r="F52" s="63" t="n"/>
      <c r="G52" s="64" t="n"/>
      <c r="J52" s="63" t="n"/>
      <c r="K52" s="63" t="n"/>
      <c r="L52" s="63" t="n"/>
      <c r="M52" s="66" t="n"/>
      <c r="W52" s="63" t="n"/>
      <c r="X52" s="63" t="n"/>
      <c r="Y52" s="63" t="n"/>
      <c r="Z52" s="63" t="n"/>
      <c r="AA52" s="63" t="n"/>
      <c r="AB52" s="63" t="n"/>
      <c r="AC52" s="63" t="n"/>
    </row>
    <row r="53">
      <c r="E53" s="63" t="n"/>
      <c r="F53" s="63" t="n"/>
      <c r="G53" s="64" t="n"/>
      <c r="J53" s="63" t="n"/>
      <c r="K53" s="63" t="n"/>
      <c r="L53" s="63" t="n"/>
      <c r="M53" s="66" t="n"/>
      <c r="W53" s="63" t="n"/>
      <c r="X53" s="63" t="n"/>
      <c r="Y53" s="63" t="n"/>
      <c r="Z53" s="63" t="n"/>
      <c r="AA53" s="63" t="n"/>
      <c r="AB53" s="63" t="n"/>
      <c r="AC53" s="63" t="n"/>
    </row>
    <row r="54">
      <c r="E54" s="63" t="n"/>
      <c r="F54" s="63" t="n"/>
      <c r="G54" s="64" t="n"/>
      <c r="J54" s="63" t="n"/>
      <c r="K54" s="63" t="n"/>
      <c r="L54" s="63" t="n"/>
      <c r="M54" s="66" t="n"/>
      <c r="W54" s="63" t="n"/>
      <c r="X54" s="63" t="n"/>
      <c r="Y54" s="63" t="n"/>
      <c r="Z54" s="63" t="n"/>
      <c r="AA54" s="63" t="n"/>
      <c r="AB54" s="63" t="n"/>
      <c r="AC54" s="63" t="n"/>
    </row>
    <row r="55">
      <c r="E55" s="63" t="n"/>
      <c r="F55" s="63" t="n"/>
      <c r="G55" s="64" t="n"/>
      <c r="J55" s="63" t="n"/>
      <c r="K55" s="63" t="n"/>
      <c r="L55" s="63" t="n"/>
      <c r="M55" s="66" t="n"/>
      <c r="W55" s="63" t="n"/>
      <c r="X55" s="63" t="n"/>
      <c r="Y55" s="63" t="n"/>
      <c r="Z55" s="63" t="n"/>
      <c r="AA55" s="63" t="n"/>
      <c r="AB55" s="63" t="n"/>
      <c r="AC55" s="63" t="n"/>
    </row>
    <row r="56">
      <c r="E56" s="63" t="n"/>
      <c r="F56" s="63" t="n"/>
      <c r="G56" s="64" t="n"/>
      <c r="J56" s="63" t="n"/>
      <c r="K56" s="63" t="n"/>
      <c r="L56" s="63" t="n"/>
      <c r="M56" s="66" t="n"/>
      <c r="W56" s="63" t="n"/>
      <c r="X56" s="63" t="n"/>
      <c r="Y56" s="63" t="n"/>
      <c r="Z56" s="63" t="n"/>
      <c r="AA56" s="63" t="n"/>
      <c r="AB56" s="63" t="n"/>
      <c r="AC56" s="63" t="n"/>
    </row>
    <row r="57">
      <c r="E57" s="63" t="n"/>
      <c r="F57" s="63" t="n"/>
      <c r="G57" s="64" t="n"/>
      <c r="J57" s="63" t="n"/>
      <c r="K57" s="63" t="n"/>
      <c r="L57" s="63" t="n"/>
      <c r="M57" s="66" t="n"/>
      <c r="W57" s="63" t="n"/>
      <c r="X57" s="63" t="n"/>
      <c r="Y57" s="63" t="n"/>
      <c r="Z57" s="63" t="n"/>
      <c r="AA57" s="63" t="n"/>
      <c r="AB57" s="63" t="n"/>
      <c r="AC57" s="63" t="n"/>
    </row>
    <row r="58">
      <c r="E58" s="63" t="n"/>
      <c r="F58" s="63" t="n"/>
      <c r="G58" s="64" t="n"/>
      <c r="J58" s="63" t="n"/>
      <c r="K58" s="63" t="n"/>
      <c r="L58" s="63" t="n"/>
      <c r="M58" s="66" t="n"/>
      <c r="W58" s="63" t="n"/>
      <c r="X58" s="63" t="n"/>
      <c r="Y58" s="63" t="n"/>
      <c r="Z58" s="63" t="n"/>
      <c r="AA58" s="63" t="n"/>
      <c r="AB58" s="63" t="n"/>
      <c r="AC58" s="63" t="n"/>
    </row>
    <row r="59">
      <c r="E59" s="63" t="n"/>
      <c r="F59" s="63" t="n"/>
      <c r="G59" s="64" t="n"/>
      <c r="J59" s="63" t="n"/>
      <c r="K59" s="63" t="n"/>
      <c r="L59" s="63" t="n"/>
      <c r="M59" s="66" t="n"/>
      <c r="W59" s="63" t="n"/>
      <c r="X59" s="63" t="n"/>
      <c r="Y59" s="63" t="n"/>
      <c r="Z59" s="63" t="n"/>
      <c r="AA59" s="63" t="n"/>
      <c r="AB59" s="63" t="n"/>
      <c r="AC59" s="63" t="n"/>
    </row>
    <row r="60">
      <c r="E60" s="63" t="n"/>
      <c r="F60" s="63" t="n"/>
      <c r="G60" s="64" t="n"/>
      <c r="J60" s="63" t="n"/>
      <c r="K60" s="63" t="n"/>
      <c r="L60" s="63" t="n"/>
      <c r="M60" s="66" t="n"/>
      <c r="W60" s="63" t="n"/>
      <c r="X60" s="63" t="n"/>
      <c r="Y60" s="63" t="n"/>
      <c r="Z60" s="63" t="n"/>
      <c r="AA60" s="63" t="n"/>
      <c r="AB60" s="63" t="n"/>
      <c r="AC60" s="63" t="n"/>
    </row>
    <row r="61">
      <c r="E61" s="63" t="n"/>
      <c r="F61" s="63" t="n"/>
      <c r="G61" s="64" t="n"/>
      <c r="J61" s="63" t="n"/>
      <c r="K61" s="63" t="n"/>
      <c r="L61" s="63" t="n"/>
      <c r="M61" s="66" t="n"/>
      <c r="W61" s="63" t="n"/>
      <c r="X61" s="63" t="n"/>
      <c r="Y61" s="63" t="n"/>
      <c r="Z61" s="63" t="n"/>
      <c r="AA61" s="63" t="n"/>
      <c r="AB61" s="63" t="n"/>
      <c r="AC61" s="63" t="n"/>
    </row>
    <row r="62">
      <c r="E62" s="63" t="n"/>
      <c r="F62" s="63" t="n"/>
      <c r="G62" s="64" t="n"/>
      <c r="J62" s="63" t="n"/>
      <c r="K62" s="63" t="n"/>
      <c r="L62" s="63" t="n"/>
      <c r="M62" s="66" t="n"/>
      <c r="W62" s="63" t="n"/>
      <c r="X62" s="63" t="n"/>
      <c r="Y62" s="63" t="n"/>
      <c r="Z62" s="63" t="n"/>
      <c r="AA62" s="63" t="n"/>
      <c r="AB62" s="63" t="n"/>
      <c r="AC62" s="63" t="n"/>
    </row>
    <row r="63">
      <c r="E63" s="63" t="n"/>
      <c r="F63" s="63" t="n"/>
      <c r="G63" s="64" t="n"/>
      <c r="J63" s="63" t="n"/>
      <c r="K63" s="63" t="n"/>
      <c r="L63" s="63" t="n"/>
      <c r="M63" s="66" t="n"/>
      <c r="W63" s="63" t="n"/>
      <c r="X63" s="63" t="n"/>
      <c r="Y63" s="63" t="n"/>
      <c r="Z63" s="63" t="n"/>
      <c r="AA63" s="63" t="n"/>
      <c r="AB63" s="63" t="n"/>
      <c r="AC63" s="63" t="n"/>
    </row>
    <row r="64">
      <c r="E64" s="63" t="n"/>
      <c r="F64" s="63" t="n"/>
      <c r="G64" s="64" t="n"/>
      <c r="J64" s="63" t="n"/>
      <c r="K64" s="63" t="n"/>
      <c r="L64" s="63" t="n"/>
      <c r="M64" s="66" t="n"/>
      <c r="W64" s="63" t="n"/>
      <c r="X64" s="63" t="n"/>
      <c r="Y64" s="63" t="n"/>
      <c r="Z64" s="63" t="n"/>
      <c r="AA64" s="63" t="n"/>
      <c r="AB64" s="63" t="n"/>
      <c r="AC64" s="63" t="n"/>
    </row>
    <row r="65">
      <c r="E65" s="63" t="n"/>
      <c r="F65" s="63" t="n"/>
      <c r="G65" s="64" t="n"/>
      <c r="J65" s="63" t="n"/>
      <c r="K65" s="63" t="n"/>
      <c r="L65" s="63" t="n"/>
      <c r="M65" s="66" t="n"/>
      <c r="W65" s="63" t="n"/>
      <c r="X65" s="63" t="n"/>
      <c r="Y65" s="63" t="n"/>
      <c r="Z65" s="63" t="n"/>
      <c r="AA65" s="63" t="n"/>
      <c r="AB65" s="63" t="n"/>
      <c r="AC65" s="63" t="n"/>
    </row>
    <row r="66">
      <c r="E66" s="63" t="n"/>
      <c r="F66" s="63" t="n"/>
      <c r="G66" s="64" t="n"/>
      <c r="J66" s="63" t="n"/>
      <c r="K66" s="63" t="n"/>
      <c r="L66" s="63" t="n"/>
      <c r="M66" s="66" t="n"/>
      <c r="W66" s="63" t="n"/>
      <c r="X66" s="63" t="n"/>
      <c r="Y66" s="63" t="n"/>
      <c r="Z66" s="63" t="n"/>
      <c r="AA66" s="63" t="n"/>
      <c r="AB66" s="63" t="n"/>
      <c r="AC66" s="63" t="n"/>
    </row>
    <row r="67">
      <c r="E67" s="63" t="n"/>
      <c r="F67" s="63" t="n"/>
      <c r="G67" s="64" t="n"/>
      <c r="J67" s="63" t="n"/>
      <c r="K67" s="63" t="n"/>
      <c r="L67" s="63" t="n"/>
      <c r="M67" s="66" t="n"/>
      <c r="W67" s="63" t="n"/>
      <c r="X67" s="63" t="n"/>
      <c r="Y67" s="63" t="n"/>
      <c r="Z67" s="63" t="n"/>
      <c r="AA67" s="63" t="n"/>
      <c r="AB67" s="63" t="n"/>
      <c r="AC67" s="63" t="n"/>
    </row>
    <row r="68">
      <c r="E68" s="63" t="n"/>
      <c r="F68" s="63" t="n"/>
      <c r="G68" s="64" t="n"/>
      <c r="J68" s="63" t="n"/>
      <c r="K68" s="63" t="n"/>
      <c r="L68" s="63" t="n"/>
      <c r="M68" s="66" t="n"/>
      <c r="W68" s="63" t="n"/>
      <c r="X68" s="63" t="n"/>
      <c r="Y68" s="63" t="n"/>
      <c r="Z68" s="63" t="n"/>
      <c r="AA68" s="63" t="n"/>
      <c r="AB68" s="63" t="n"/>
      <c r="AC68" s="63" t="n"/>
    </row>
    <row r="69">
      <c r="E69" s="63" t="n"/>
      <c r="F69" s="63" t="n"/>
      <c r="G69" s="64" t="n"/>
      <c r="J69" s="63" t="n"/>
      <c r="K69" s="63" t="n"/>
      <c r="L69" s="63" t="n"/>
      <c r="M69" s="66" t="n"/>
      <c r="W69" s="63" t="n"/>
      <c r="X69" s="63" t="n"/>
      <c r="Y69" s="63" t="n"/>
      <c r="Z69" s="63" t="n"/>
      <c r="AA69" s="63" t="n"/>
      <c r="AB69" s="63" t="n"/>
      <c r="AC69" s="63" t="n"/>
    </row>
    <row r="70">
      <c r="E70" s="63" t="n"/>
      <c r="F70" s="63" t="n"/>
      <c r="G70" s="64" t="n"/>
      <c r="J70" s="63" t="n"/>
      <c r="K70" s="63" t="n"/>
      <c r="L70" s="63" t="n"/>
      <c r="M70" s="66" t="n"/>
      <c r="W70" s="63" t="n"/>
      <c r="X70" s="63" t="n"/>
      <c r="Y70" s="63" t="n"/>
      <c r="Z70" s="63" t="n"/>
      <c r="AA70" s="63" t="n"/>
      <c r="AB70" s="63" t="n"/>
      <c r="AC70" s="63" t="n"/>
    </row>
    <row r="71">
      <c r="E71" s="63" t="n"/>
      <c r="F71" s="63" t="n"/>
      <c r="G71" s="64" t="n"/>
      <c r="J71" s="63" t="n"/>
      <c r="K71" s="63" t="n"/>
      <c r="L71" s="63" t="n"/>
      <c r="M71" s="66" t="n"/>
      <c r="W71" s="63" t="n"/>
      <c r="X71" s="63" t="n"/>
      <c r="Y71" s="63" t="n"/>
      <c r="Z71" s="63" t="n"/>
      <c r="AA71" s="63" t="n"/>
      <c r="AB71" s="63" t="n"/>
      <c r="AC71" s="63" t="n"/>
    </row>
    <row r="72">
      <c r="E72" s="63" t="n"/>
      <c r="F72" s="63" t="n"/>
      <c r="G72" s="64" t="n"/>
      <c r="J72" s="63" t="n"/>
      <c r="K72" s="63" t="n"/>
      <c r="L72" s="63" t="n"/>
      <c r="M72" s="66" t="n"/>
      <c r="W72" s="63" t="n"/>
      <c r="X72" s="63" t="n"/>
      <c r="Y72" s="63" t="n"/>
      <c r="Z72" s="63" t="n"/>
      <c r="AA72" s="63" t="n"/>
      <c r="AB72" s="63" t="n"/>
      <c r="AC72" s="63" t="n"/>
    </row>
    <row r="73">
      <c r="E73" s="63" t="n"/>
      <c r="F73" s="63" t="n"/>
      <c r="G73" s="64" t="n"/>
      <c r="J73" s="63" t="n"/>
      <c r="K73" s="63" t="n"/>
      <c r="L73" s="63" t="n"/>
      <c r="M73" s="66" t="n"/>
      <c r="W73" s="63" t="n"/>
      <c r="X73" s="63" t="n"/>
      <c r="Y73" s="63" t="n"/>
      <c r="Z73" s="63" t="n"/>
      <c r="AA73" s="63" t="n"/>
      <c r="AB73" s="63" t="n"/>
      <c r="AC73" s="63" t="n"/>
    </row>
    <row r="74">
      <c r="E74" s="63" t="n"/>
      <c r="F74" s="63" t="n"/>
      <c r="G74" s="64" t="n"/>
      <c r="J74" s="63" t="n"/>
      <c r="K74" s="63" t="n"/>
      <c r="L74" s="63" t="n"/>
      <c r="M74" s="66" t="n"/>
      <c r="W74" s="63" t="n"/>
      <c r="X74" s="63" t="n"/>
      <c r="Y74" s="63" t="n"/>
      <c r="Z74" s="63" t="n"/>
      <c r="AA74" s="63" t="n"/>
      <c r="AB74" s="63" t="n"/>
      <c r="AC74" s="63" t="n"/>
    </row>
    <row r="75">
      <c r="E75" s="63" t="n"/>
      <c r="F75" s="63" t="n"/>
      <c r="G75" s="64" t="n"/>
      <c r="J75" s="63" t="n"/>
      <c r="K75" s="63" t="n"/>
      <c r="L75" s="63" t="n"/>
      <c r="M75" s="66" t="n"/>
      <c r="W75" s="63" t="n"/>
      <c r="X75" s="63" t="n"/>
      <c r="Y75" s="63" t="n"/>
      <c r="Z75" s="63" t="n"/>
      <c r="AA75" s="63" t="n"/>
      <c r="AB75" s="63" t="n"/>
      <c r="AC75" s="63" t="n"/>
    </row>
    <row r="76">
      <c r="E76" s="63" t="n"/>
      <c r="F76" s="63" t="n"/>
      <c r="G76" s="64" t="n"/>
      <c r="J76" s="63" t="n"/>
      <c r="K76" s="63" t="n"/>
      <c r="L76" s="63" t="n"/>
      <c r="M76" s="66" t="n"/>
      <c r="W76" s="63" t="n"/>
      <c r="X76" s="63" t="n"/>
      <c r="Y76" s="63" t="n"/>
      <c r="Z76" s="63" t="n"/>
      <c r="AA76" s="63" t="n"/>
      <c r="AB76" s="63" t="n"/>
      <c r="AC76" s="63" t="n"/>
    </row>
    <row r="77">
      <c r="E77" s="63" t="n"/>
      <c r="F77" s="63" t="n"/>
      <c r="G77" s="64" t="n"/>
      <c r="J77" s="63" t="n"/>
      <c r="K77" s="63" t="n"/>
      <c r="L77" s="63" t="n"/>
      <c r="M77" s="66" t="n"/>
      <c r="W77" s="63" t="n"/>
      <c r="X77" s="63" t="n"/>
      <c r="Y77" s="63" t="n"/>
      <c r="Z77" s="63" t="n"/>
      <c r="AA77" s="63" t="n"/>
      <c r="AB77" s="63" t="n"/>
      <c r="AC77" s="63" t="n"/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M1027" s="66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M1028" s="66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  <row r="1044">
      <c r="E1044" s="63" t="n"/>
      <c r="F1044" s="63" t="n"/>
      <c r="G1044" s="64" t="n"/>
      <c r="J1044" s="63" t="n"/>
      <c r="K1044" s="63" t="n"/>
      <c r="L1044" s="63" t="n"/>
      <c r="W1044" s="63" t="n"/>
      <c r="X1044" s="63" t="n"/>
      <c r="Y1044" s="63" t="n"/>
      <c r="Z1044" s="63" t="n"/>
      <c r="AA1044" s="63" t="n"/>
      <c r="AB1044" s="63" t="n"/>
      <c r="AC1044" s="63" t="n"/>
    </row>
    <row r="1045">
      <c r="E1045" s="63" t="n"/>
      <c r="F1045" s="63" t="n"/>
      <c r="G1045" s="64" t="n"/>
      <c r="J1045" s="63" t="n"/>
      <c r="K1045" s="63" t="n"/>
      <c r="L1045" s="63" t="n"/>
      <c r="W1045" s="63" t="n"/>
      <c r="X1045" s="63" t="n"/>
      <c r="Y1045" s="63" t="n"/>
      <c r="Z1045" s="63" t="n"/>
      <c r="AA1045" s="63" t="n"/>
      <c r="AB1045" s="63" t="n"/>
      <c r="AC1045" s="63" t="n"/>
    </row>
  </sheetData>
  <autoFilter ref="$A$4:$AO$104"/>
  <mergeCells count="5">
    <mergeCell ref="W2:AC3"/>
    <mergeCell ref="S3:V3"/>
    <mergeCell ref="K2:V2"/>
    <mergeCell ref="K3:N3"/>
    <mergeCell ref="O3:R3"/>
  </mergeCells>
  <conditionalFormatting sqref="C1:C102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27">
    <cfRule type="containsText" priority="3" operator="containsText" dxfId="2" text="DIV">
      <formula>NOT(ISERROR(SEARCH(("DIV"),(B1))))</formula>
    </cfRule>
  </conditionalFormatting>
  <conditionalFormatting sqref="A5:AD33">
    <cfRule type="expression" priority="4" dxfId="1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NSE:RITES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>
        <f>IFERROR(__xludf.DUMMYFUNCTION("GOOGLEFINANCE($C$1, ""price"")"),227.0)</f>
        <v/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>
        <f>IFERROR(__xludf.DUMMYFUNCTION("GOOGLEFINANCE($C$1, ""high52"")"),316.0)</f>
        <v/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>
        <f>IFERROR(__xludf.DUMMYFUNCTION("GOOGLEFINANCE($C$1, ""low52"")"),192.4)</f>
        <v/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6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History'!$N$4:$N1006)</f>
        <v/>
      </c>
      <c r="D8" s="70" t="n"/>
      <c r="E8" s="75" t="inlineStr">
        <is>
          <t>ST Units</t>
        </is>
      </c>
      <c r="F8" s="74">
        <f>IFERROR(SUM('Trading History'!$R$4:$R1006), 0)</f>
        <v/>
      </c>
      <c r="G8" s="70" t="n"/>
      <c r="H8" s="76" t="inlineStr">
        <is>
          <t>LT Units</t>
        </is>
      </c>
      <c r="I8" s="74">
        <f>SUM('Trading History'!$V$4:$V1006)</f>
        <v/>
      </c>
      <c r="J8" s="70" t="n"/>
      <c r="K8" s="77" t="inlineStr">
        <is>
          <t>Units</t>
        </is>
      </c>
      <c r="L8" s="74">
        <f>SUM('Trading History'!$AB$4:$AB1006)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History'!$L$4:$L1006)</f>
        <v/>
      </c>
      <c r="D10" s="70" t="n"/>
      <c r="E10" s="80" t="inlineStr">
        <is>
          <t>ST Gain</t>
        </is>
      </c>
      <c r="F10" s="83">
        <f>SUM('Trading History'!$P$4:$P1006)</f>
        <v/>
      </c>
      <c r="G10" s="70" t="n"/>
      <c r="H10" s="81" t="inlineStr">
        <is>
          <t>LT Gain</t>
        </is>
      </c>
      <c r="I10" s="83">
        <f>SUM('Trading History'!$T$4:$T1006)</f>
        <v/>
      </c>
      <c r="J10" s="70" t="n"/>
      <c r="K10" s="82" t="inlineStr">
        <is>
          <t>Gain</t>
        </is>
      </c>
      <c r="L10" s="83">
        <f>SUM('Trading History'!$Z$4:$Z1006)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History'!$M$4:$M1006)</f>
        <v/>
      </c>
      <c r="D12" s="70" t="n"/>
      <c r="E12" s="80" t="inlineStr">
        <is>
          <t>ST Gross</t>
        </is>
      </c>
      <c r="F12" s="83">
        <f>SUM('Trading History'!$Q$4:$Q1006)</f>
        <v/>
      </c>
      <c r="G12" s="70" t="n"/>
      <c r="H12" s="81" t="inlineStr">
        <is>
          <t>LT Gross</t>
        </is>
      </c>
      <c r="I12" s="83">
        <f>SUM('Trading History'!$U$4:$U1006)</f>
        <v/>
      </c>
      <c r="J12" s="70" t="n"/>
      <c r="K12" s="82" t="inlineStr">
        <is>
          <t>Gross</t>
        </is>
      </c>
      <c r="L12" s="83">
        <f>SUM('Trading History'!$AA$4:$AA1006)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History'!$B19:$B1006,"DIV",'Trading History'!$AC$4:$AC1006)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History'!$N$4:$N1006, 'Trading History'!$K$4:$K1006, CONCAT("&gt;", $A15))</f>
        <v/>
      </c>
      <c r="D15" s="70" t="n"/>
      <c r="E15" s="75" t="inlineStr">
        <is>
          <t>ST Units</t>
        </is>
      </c>
      <c r="F15" s="74">
        <f>IFERROR(SUMIFS('Trading History'!$R$4:$R1006, 'Trading History'!$O$4:$O1006, CONCAT("&gt;", $A15)), 0)</f>
        <v/>
      </c>
      <c r="G15" s="70" t="n"/>
      <c r="H15" s="76" t="inlineStr">
        <is>
          <t>LT Units</t>
        </is>
      </c>
      <c r="I15" s="74">
        <f>SUMIFS('Trading History'!$V$4:$V1006, 'Trading History'!$S$4:$S1006, CONCAT("&gt;", $A15))</f>
        <v/>
      </c>
      <c r="J15" s="70" t="n"/>
      <c r="K15" s="77" t="inlineStr">
        <is>
          <t>Units</t>
        </is>
      </c>
      <c r="L15" s="74">
        <f>SUMIFS('Trading History'!$AB$4:$AB1006, 'Trading History'!$Y$4:$Y1006,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History'!$L$4:$L1006, 'Trading History'!$K$4:$K1006, CONCAT("&gt;", $A15))</f>
        <v/>
      </c>
      <c r="D17" s="70" t="n"/>
      <c r="E17" s="80" t="inlineStr">
        <is>
          <t>ST Gain</t>
        </is>
      </c>
      <c r="F17" s="83">
        <f>SUMIFS('Trading History'!$P$4:$P1006, 'Trading History'!$O$4:$O1006, CONCAT("&gt;", $A15))</f>
        <v/>
      </c>
      <c r="G17" s="70" t="n"/>
      <c r="H17" s="81" t="inlineStr">
        <is>
          <t>LT Gain</t>
        </is>
      </c>
      <c r="I17" s="83">
        <f>SUMIFS('Trading History'!$T$4:$T1006, 'Trading History'!$S$4:$S1006, CONCAT("&gt;", $A15))</f>
        <v/>
      </c>
      <c r="J17" s="70" t="n"/>
      <c r="K17" s="82" t="inlineStr">
        <is>
          <t>Gain</t>
        </is>
      </c>
      <c r="L17" s="83">
        <f>SUMIFS('Trading History'!$Z$4:$Z1006, 'Trading History'!$Y$4:$Y1006,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History'!$M$4:$M1006, 'Trading History'!$K$4:$K1006, CONCAT("&gt;", $A15))</f>
        <v/>
      </c>
      <c r="D19" s="70" t="n"/>
      <c r="E19" s="80" t="inlineStr">
        <is>
          <t>ST Gross</t>
        </is>
      </c>
      <c r="F19" s="83">
        <f>SUMIFS('Trading History'!$Q$4:$Q1006, 'Trading History'!$O$4:$O1006, CONCAT("&gt;", $A15))</f>
        <v/>
      </c>
      <c r="G19" s="70" t="n"/>
      <c r="H19" s="81" t="inlineStr">
        <is>
          <t>LT Gross</t>
        </is>
      </c>
      <c r="I19" s="83">
        <f>SUMIFS('Trading History'!$U$4:$U1006, 'Trading History'!$S$4:$S1006, CONCAT("&gt;", $A15))</f>
        <v/>
      </c>
      <c r="J19" s="70" t="n"/>
      <c r="K19" s="82" t="inlineStr">
        <is>
          <t>Gross</t>
        </is>
      </c>
      <c r="L19" s="83">
        <f>SUMIFS('Trading History'!$AA$4:$AA1006, 'Trading History'!$Y$4:$Y1006,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History'!$N$4:$N1006, 'Trading History'!$K$4:$K1006, CONCAT("&gt;", $A22))</f>
        <v/>
      </c>
      <c r="D22" s="70" t="n"/>
      <c r="E22" s="75" t="inlineStr">
        <is>
          <t>ST Units</t>
        </is>
      </c>
      <c r="F22" s="74">
        <f>IFERROR(SUMIFS('Trading History'!$R$4:$R1006, 'Trading History'!$O$4:$O1006, CONCAT("&gt;", $A22)), 0)</f>
        <v/>
      </c>
      <c r="G22" s="70" t="n"/>
      <c r="H22" s="76" t="inlineStr">
        <is>
          <t>LT Units</t>
        </is>
      </c>
      <c r="I22" s="74">
        <f>SUMIFS('Trading History'!$V$4:$V1006, 'Trading History'!$S$4:$S1006, CONCAT("&gt;", $A22))</f>
        <v/>
      </c>
      <c r="J22" s="70" t="n"/>
      <c r="K22" s="77" t="inlineStr">
        <is>
          <t>Units</t>
        </is>
      </c>
      <c r="L22" s="74">
        <f>SUMIFS('Trading History'!$AB$4:$AB1006, 'Trading History'!$Y$4:$Y1006,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History'!$L$4:$L1006, 'Trading History'!$K$4:$K1006, CONCAT("&gt;", $A22))</f>
        <v/>
      </c>
      <c r="D24" s="70" t="n"/>
      <c r="E24" s="80" t="inlineStr">
        <is>
          <t>ST Gain</t>
        </is>
      </c>
      <c r="F24" s="83">
        <f>SUMIFS('Trading History'!$P$4:$P1006, 'Trading History'!$O$4:$O1006, CONCAT("&gt;", $A22))</f>
        <v/>
      </c>
      <c r="G24" s="70" t="n"/>
      <c r="H24" s="81" t="inlineStr">
        <is>
          <t>LT Gain</t>
        </is>
      </c>
      <c r="I24" s="83">
        <f>SUMIFS('Trading History'!$T$4:$T1006, 'Trading History'!$S$4:$S1006, CONCAT("&gt;", $A22))</f>
        <v/>
      </c>
      <c r="J24" s="70" t="n"/>
      <c r="K24" s="82" t="inlineStr">
        <is>
          <t>Gain</t>
        </is>
      </c>
      <c r="L24" s="83">
        <f>SUMIFS('Trading History'!$Z$4:$Z1006, 'Trading History'!$Y$4:$Y1006,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History'!$M$4:$M1006, 'Trading History'!$K$4:$K1006, CONCAT("&gt;", $A22))</f>
        <v/>
      </c>
      <c r="D26" s="70" t="n"/>
      <c r="E26" s="80" t="inlineStr">
        <is>
          <t>ST Gross</t>
        </is>
      </c>
      <c r="F26" s="83">
        <f>SUMIFS('Trading History'!$Q$4:$Q1006, 'Trading History'!$O$4:$O1006, CONCAT("&gt;", $A22))</f>
        <v/>
      </c>
      <c r="G26" s="70" t="n"/>
      <c r="H26" s="81" t="inlineStr">
        <is>
          <t>LT Gross</t>
        </is>
      </c>
      <c r="I26" s="83">
        <f>SUMIFS('Trading History'!$U$4:$U1006, 'Trading History'!$S$4:$S1006, CONCAT("&gt;", $A22))</f>
        <v/>
      </c>
      <c r="J26" s="70" t="n"/>
      <c r="K26" s="82" t="inlineStr">
        <is>
          <t>Gross</t>
        </is>
      </c>
      <c r="L26" s="83">
        <f>SUMIFS('Trading History'!$AA$4:$AA1006, 'Trading History'!$Y$4:$Y1006,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History'!$N$4:$N1006, 'Trading History'!$K$4:$K1006, CONCAT("&gt;", $A29))</f>
        <v/>
      </c>
      <c r="D29" s="70" t="n"/>
      <c r="E29" s="75" t="inlineStr">
        <is>
          <t>ST Units</t>
        </is>
      </c>
      <c r="F29" s="74">
        <f>IFERROR(SUMIFS('Trading History'!$R$4:$R1006, 'Trading History'!$O$4:$O1006, CONCAT("&gt;", $A29)), 0)</f>
        <v/>
      </c>
      <c r="G29" s="70" t="n"/>
      <c r="H29" s="76" t="inlineStr">
        <is>
          <t>LT Units</t>
        </is>
      </c>
      <c r="I29" s="74">
        <f>SUMIFS('Trading History'!$V$4:$V1006, 'Trading History'!$S$4:$S1006, CONCAT("&gt;", $A29))</f>
        <v/>
      </c>
      <c r="J29" s="70" t="n"/>
      <c r="K29" s="77" t="inlineStr">
        <is>
          <t>Units</t>
        </is>
      </c>
      <c r="L29" s="74">
        <f>SUMIFS('Trading History'!$AB$4:$AB1006, 'Trading History'!$Y$4:$Y1006,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History'!$L$4:$L1006, 'Trading History'!$K$4:$K1006, CONCAT("&gt;", $A29))</f>
        <v/>
      </c>
      <c r="D31" s="70" t="n"/>
      <c r="E31" s="80" t="inlineStr">
        <is>
          <t>ST Gain</t>
        </is>
      </c>
      <c r="F31" s="83">
        <f>SUMIFS('Trading History'!$P$4:$P1006, 'Trading History'!$O$4:$O1006, CONCAT("&gt;", $A29))</f>
        <v/>
      </c>
      <c r="G31" s="70" t="n"/>
      <c r="H31" s="81" t="inlineStr">
        <is>
          <t>LT Gain</t>
        </is>
      </c>
      <c r="I31" s="83">
        <f>SUMIFS('Trading History'!$T$4:$T1006, 'Trading History'!$S$4:$S1006, CONCAT("&gt;", $A29))</f>
        <v/>
      </c>
      <c r="J31" s="70" t="n"/>
      <c r="K31" s="82" t="inlineStr">
        <is>
          <t>Gain</t>
        </is>
      </c>
      <c r="L31" s="83">
        <f>SUMIFS('Trading History'!$Z$4:$Z1006, 'Trading History'!$Y$4:$Y1006,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History'!$M$4:$M1006, 'Trading History'!$K$4:$K1006, CONCAT("&gt;", $A29))</f>
        <v/>
      </c>
      <c r="D33" s="70" t="n"/>
      <c r="E33" s="80" t="inlineStr">
        <is>
          <t>ST Gross</t>
        </is>
      </c>
      <c r="F33" s="83">
        <f>SUMIFS('Trading History'!$Q$4:$Q1006, 'Trading History'!$O$4:$O1006, CONCAT("&gt;", $A29))</f>
        <v/>
      </c>
      <c r="G33" s="70" t="n"/>
      <c r="H33" s="81" t="inlineStr">
        <is>
          <t>LT Gross</t>
        </is>
      </c>
      <c r="I33" s="83">
        <f>SUMIFS('Trading History'!$U$4:$U1006, 'Trading History'!$S$4:$S1006, CONCAT("&gt;", $A29))</f>
        <v/>
      </c>
      <c r="J33" s="70" t="n"/>
      <c r="K33" s="82" t="inlineStr">
        <is>
          <t>Gross</t>
        </is>
      </c>
      <c r="L33" s="83">
        <f>SUMIFS('Trading History'!$AA$4:$AA1006, 'Trading History'!$Y$4:$Y1006,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History'!$N$4:$N1006, 'Trading History'!$K$4:$K1006, CONCAT("&gt;", $A36))</f>
        <v/>
      </c>
      <c r="D36" s="70" t="n"/>
      <c r="E36" s="75" t="inlineStr">
        <is>
          <t>ST Units</t>
        </is>
      </c>
      <c r="F36" s="74">
        <f>IFERROR(SUMIFS('Trading History'!$R$4:$R1006, 'Trading History'!$O$4:$O1006, CONCAT("&gt;", $A36)), 0)</f>
        <v/>
      </c>
      <c r="G36" s="70" t="n"/>
      <c r="H36" s="76" t="inlineStr">
        <is>
          <t>LT Units</t>
        </is>
      </c>
      <c r="I36" s="74">
        <f>SUMIFS('Trading History'!$V$4:$V1006, 'Trading History'!$S$4:$S1006, CONCAT("&gt;", $A36))</f>
        <v/>
      </c>
      <c r="J36" s="70" t="n"/>
      <c r="K36" s="77" t="inlineStr">
        <is>
          <t>Units</t>
        </is>
      </c>
      <c r="L36" s="74">
        <f>SUMIFS('Trading History'!$AB$4:$AB1006, 'Trading History'!$Y$4:$Y1006,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History'!$L$4:$L1006, 'Trading History'!$K$4:$K1006, CONCAT("&gt;", $A36))</f>
        <v/>
      </c>
      <c r="D38" s="70" t="n"/>
      <c r="E38" s="80" t="inlineStr">
        <is>
          <t>ST Gain</t>
        </is>
      </c>
      <c r="F38" s="83">
        <f>SUMIFS('Trading History'!$P$4:$P1006, 'Trading History'!$O$4:$O1006, CONCAT("&gt;", $A36))</f>
        <v/>
      </c>
      <c r="G38" s="70" t="n"/>
      <c r="H38" s="81" t="inlineStr">
        <is>
          <t>LT Gain</t>
        </is>
      </c>
      <c r="I38" s="83">
        <f>SUMIFS('Trading History'!$T$4:$T1006, 'Trading History'!$S$4:$S1006, CONCAT("&gt;", $A36))</f>
        <v/>
      </c>
      <c r="J38" s="70" t="n"/>
      <c r="K38" s="82" t="inlineStr">
        <is>
          <t>Gain</t>
        </is>
      </c>
      <c r="L38" s="83">
        <f>SUMIFS('Trading History'!$Z$4:$Z1006, 'Trading History'!$Y$4:$Y1006,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History'!$M$4:$M1006, 'Trading History'!$K$4:$K1006, CONCAT("&gt;", $A36))</f>
        <v/>
      </c>
      <c r="D40" s="70" t="n"/>
      <c r="E40" s="80" t="inlineStr">
        <is>
          <t>ST Gross</t>
        </is>
      </c>
      <c r="F40" s="83">
        <f>SUMIFS('Trading History'!$Q$4:$Q1006, 'Trading History'!$O$4:$O1006, CONCAT("&gt;", $A36))</f>
        <v/>
      </c>
      <c r="G40" s="70" t="n"/>
      <c r="H40" s="81" t="inlineStr">
        <is>
          <t>LT Gross</t>
        </is>
      </c>
      <c r="I40" s="83">
        <f>SUMIFS('Trading History'!$U$4:$U1006, 'Trading History'!$S$4:$S1006, CONCAT("&gt;", $A36))</f>
        <v/>
      </c>
      <c r="J40" s="70" t="n"/>
      <c r="K40" s="82" t="inlineStr">
        <is>
          <t>Gross</t>
        </is>
      </c>
      <c r="L40" s="83">
        <f>SUMIFS('Trading History'!$AA$4:$AA1006, 'Trading History'!$Y$4:$Y1006,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History'!$N$4:$N1006, 'Trading History'!$K$4:$K1006, CONCAT("&gt;", $A43))</f>
        <v/>
      </c>
      <c r="D43" s="70" t="n"/>
      <c r="E43" s="75" t="inlineStr">
        <is>
          <t>ST Units</t>
        </is>
      </c>
      <c r="F43" s="74">
        <f>IFERROR(SUMIFS('Trading History'!$R$4:$R1006, 'Trading History'!$O$4:$O1006, CONCAT("&gt;", $A43)), 0)</f>
        <v/>
      </c>
      <c r="G43" s="70" t="n"/>
      <c r="H43" s="76" t="inlineStr">
        <is>
          <t>LT Units</t>
        </is>
      </c>
      <c r="I43" s="74">
        <f>SUMIFS('Trading History'!$V$4:$V1006, 'Trading History'!$S$4:$S1006, CONCAT("&gt;", $A43))</f>
        <v/>
      </c>
      <c r="J43" s="70" t="n"/>
      <c r="K43" s="77" t="inlineStr">
        <is>
          <t>Units</t>
        </is>
      </c>
      <c r="L43" s="74">
        <f>SUMIFS('Trading History'!$AB$4:$AB1006, 'Trading History'!$Y$4:$Y1006,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History'!$L$4:$L1006, 'Trading History'!$K$4:$K1006, CONCAT("&gt;", $A43))</f>
        <v/>
      </c>
      <c r="D45" s="70" t="n"/>
      <c r="E45" s="80" t="inlineStr">
        <is>
          <t>ST Gain</t>
        </is>
      </c>
      <c r="F45" s="83">
        <f>SUMIFS('Trading History'!$P$4:$P1006, 'Trading History'!$O$4:$O1006, CONCAT("&gt;", $A43))</f>
        <v/>
      </c>
      <c r="G45" s="70" t="n"/>
      <c r="H45" s="81" t="inlineStr">
        <is>
          <t>LT Gain</t>
        </is>
      </c>
      <c r="I45" s="83">
        <f>SUMIFS('Trading History'!$T$4:$T1006, 'Trading History'!$S$4:$S1006, CONCAT("&gt;", $A43))</f>
        <v/>
      </c>
      <c r="J45" s="70" t="n"/>
      <c r="K45" s="82" t="inlineStr">
        <is>
          <t>Gain</t>
        </is>
      </c>
      <c r="L45" s="83">
        <f>SUMIFS('Trading History'!$Z$4:$Z1006, 'Trading History'!$Y$4:$Y1006,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History'!$M$4:$M1006, 'Trading History'!$K$4:$K1006, CONCAT("&gt;", $A43))</f>
        <v/>
      </c>
      <c r="D47" s="70" t="n"/>
      <c r="E47" s="80" t="inlineStr">
        <is>
          <t>ST Gross</t>
        </is>
      </c>
      <c r="F47" s="83">
        <f>SUMIFS('Trading History'!$Q$4:$Q1006, 'Trading History'!$O$4:$O1006, CONCAT("&gt;", $A43))</f>
        <v/>
      </c>
      <c r="G47" s="70" t="n"/>
      <c r="H47" s="81" t="inlineStr">
        <is>
          <t>LT Gross</t>
        </is>
      </c>
      <c r="I47" s="83">
        <f>SUMIFS('Trading History'!$U$4:$U1006, 'Trading History'!$S$4:$S1006, CONCAT("&gt;", $A43))</f>
        <v/>
      </c>
      <c r="J47" s="70" t="n"/>
      <c r="K47" s="82" t="inlineStr">
        <is>
          <t>Gross</t>
        </is>
      </c>
      <c r="L47" s="83">
        <f>SUMIFS('Trading History'!$AA$4:$AA1006, 'Trading History'!$Y$4:$Y1006,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History'!$N$4:$N1006, 'Trading History'!$K$4:$K1006, CONCAT("&gt;", $A50))</f>
        <v/>
      </c>
      <c r="D50" s="70" t="n"/>
      <c r="E50" s="75" t="inlineStr">
        <is>
          <t>ST Units</t>
        </is>
      </c>
      <c r="F50" s="74">
        <f>IFERROR(SUMIFS('Trading History'!$R$4:$R1006, 'Trading History'!$O$4:$O1006, CONCAT("&gt;", $A50)), 0)</f>
        <v/>
      </c>
      <c r="G50" s="70" t="n"/>
      <c r="H50" s="76" t="inlineStr">
        <is>
          <t>LT Units</t>
        </is>
      </c>
      <c r="I50" s="74">
        <f>SUMIFS('Trading History'!$V$4:$V1006, 'Trading History'!$S$4:$S1006, CONCAT("&gt;", $A50))</f>
        <v/>
      </c>
      <c r="J50" s="70" t="n"/>
      <c r="K50" s="77" t="inlineStr">
        <is>
          <t>Units</t>
        </is>
      </c>
      <c r="L50" s="74">
        <f>SUMIFS('Trading History'!$AB$4:$AB1006, 'Trading History'!$Y$4:$Y1006,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History'!$L$4:$L1006, 'Trading History'!$K$4:$K1006, CONCAT("&gt;", $A50))</f>
        <v/>
      </c>
      <c r="D52" s="70" t="n"/>
      <c r="E52" s="80" t="inlineStr">
        <is>
          <t>ST Gain</t>
        </is>
      </c>
      <c r="F52" s="83">
        <f>SUMIFS('Trading History'!$P$4:$P1006, 'Trading History'!$O$4:$O1006, CONCAT("&gt;", $A50))</f>
        <v/>
      </c>
      <c r="G52" s="70" t="n"/>
      <c r="H52" s="81" t="inlineStr">
        <is>
          <t>LT Gain</t>
        </is>
      </c>
      <c r="I52" s="83">
        <f>SUMIFS('Trading History'!$T$4:$T1006, 'Trading History'!$S$4:$S1006, CONCAT("&gt;", $A50))</f>
        <v/>
      </c>
      <c r="J52" s="70" t="n"/>
      <c r="K52" s="82" t="inlineStr">
        <is>
          <t>Gain</t>
        </is>
      </c>
      <c r="L52" s="83">
        <f>SUMIFS('Trading History'!$Z$4:$Z1006, 'Trading History'!$Y$4:$Y1006,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History'!$M$4:$M1006, 'Trading History'!$K$4:$K1006, CONCAT("&gt;", $A50))</f>
        <v/>
      </c>
      <c r="D54" s="70" t="n"/>
      <c r="E54" s="80" t="inlineStr">
        <is>
          <t>ST Gross</t>
        </is>
      </c>
      <c r="F54" s="83">
        <f>SUMIFS('Trading History'!$Q$4:$Q1006, 'Trading History'!$O$4:$O1006, CONCAT("&gt;", $A50))</f>
        <v/>
      </c>
      <c r="G54" s="70" t="n"/>
      <c r="H54" s="81" t="inlineStr">
        <is>
          <t>LT Gross</t>
        </is>
      </c>
      <c r="I54" s="83">
        <f>SUMIFS('Trading History'!$U$4:$U1006, 'Trading History'!$S$4:$S1006, CONCAT("&gt;", $A50))</f>
        <v/>
      </c>
      <c r="J54" s="70" t="n"/>
      <c r="K54" s="82" t="inlineStr">
        <is>
          <t>Gross</t>
        </is>
      </c>
      <c r="L54" s="83">
        <f>SUMIFS('Trading History'!$AA$4:$AA1006, 'Trading History'!$Y$4:$Y1006,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History'!$N$4:$N1006, 'Trading History'!$K$4:$K1006, CONCAT("&gt;", $A57))</f>
        <v/>
      </c>
      <c r="D57" s="70" t="n"/>
      <c r="E57" s="75" t="inlineStr">
        <is>
          <t>ST Units</t>
        </is>
      </c>
      <c r="F57" s="74">
        <f>IFERROR(SUMIFS('Trading History'!$R$4:$R1006, 'Trading History'!$O$4:$O1006, CONCAT("&gt;", $A57)), 0)</f>
        <v/>
      </c>
      <c r="G57" s="70" t="n"/>
      <c r="H57" s="76" t="inlineStr">
        <is>
          <t>LT Units</t>
        </is>
      </c>
      <c r="I57" s="74">
        <f>SUMIFS('Trading History'!$V$4:$V1006, 'Trading History'!$S$4:$S1006, CONCAT("&gt;", $A57))</f>
        <v/>
      </c>
      <c r="J57" s="70" t="n"/>
      <c r="K57" s="77" t="inlineStr">
        <is>
          <t>Units</t>
        </is>
      </c>
      <c r="L57" s="74">
        <f>SUMIFS('Trading History'!$AB$4:$AB1006, 'Trading History'!$Y$4:$Y1006,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History'!$L$4:$L1006, 'Trading History'!$K$4:$K1006, CONCAT("&gt;", $A57))</f>
        <v/>
      </c>
      <c r="D59" s="70" t="n"/>
      <c r="E59" s="80" t="inlineStr">
        <is>
          <t>ST Gain</t>
        </is>
      </c>
      <c r="F59" s="83">
        <f>SUMIFS('Trading History'!$P$4:$P1006, 'Trading History'!$O$4:$O1006, CONCAT("&gt;", $A57))</f>
        <v/>
      </c>
      <c r="G59" s="70" t="n"/>
      <c r="H59" s="81" t="inlineStr">
        <is>
          <t>LT Gain</t>
        </is>
      </c>
      <c r="I59" s="83">
        <f>SUMIFS('Trading History'!$T$4:$T1006, 'Trading History'!$S$4:$S1006, CONCAT("&gt;", $A57))</f>
        <v/>
      </c>
      <c r="J59" s="70" t="n"/>
      <c r="K59" s="82" t="inlineStr">
        <is>
          <t>Gain</t>
        </is>
      </c>
      <c r="L59" s="83">
        <f>SUMIFS('Trading History'!$Z$4:$Z1006, 'Trading History'!$Y$4:$Y1006,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History'!$M$4:$M1006, 'Trading History'!$K$4:$K1006, CONCAT("&gt;", $A57))</f>
        <v/>
      </c>
      <c r="D61" s="70" t="n"/>
      <c r="E61" s="80" t="inlineStr">
        <is>
          <t>ST Gross</t>
        </is>
      </c>
      <c r="F61" s="83">
        <f>SUMIFS('Trading History'!$Q$4:$Q1006, 'Trading History'!$O$4:$O1006, CONCAT("&gt;", $A57))</f>
        <v/>
      </c>
      <c r="G61" s="70" t="n"/>
      <c r="H61" s="81" t="inlineStr">
        <is>
          <t>LT Gross</t>
        </is>
      </c>
      <c r="I61" s="83">
        <f>SUMIFS('Trading History'!$U$4:$U1006, 'Trading History'!$S$4:$S1006, CONCAT("&gt;", $A57))</f>
        <v/>
      </c>
      <c r="J61" s="70" t="n"/>
      <c r="K61" s="82" t="inlineStr">
        <is>
          <t>Gross</t>
        </is>
      </c>
      <c r="L61" s="83">
        <f>SUMIFS('Trading History'!$AA$4:$AA1006, 'Trading History'!$Y$4:$Y1006,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History'!$N$4:$N1006, 'Trading History'!$K$4:$K1006, CONCAT("&gt;", $A64))</f>
        <v/>
      </c>
      <c r="D64" s="70" t="n"/>
      <c r="E64" s="75" t="inlineStr">
        <is>
          <t>ST Units</t>
        </is>
      </c>
      <c r="F64" s="74">
        <f>IFERROR(SUMIFS('Trading History'!$R$4:$R1006, 'Trading History'!$O$4:$O1006, CONCAT("&gt;", $A64)), 0)</f>
        <v/>
      </c>
      <c r="G64" s="70" t="n"/>
      <c r="H64" s="76" t="inlineStr">
        <is>
          <t>LT Units</t>
        </is>
      </c>
      <c r="I64" s="74">
        <f>SUMIFS('Trading History'!$V$4:$V1006, 'Trading History'!$S$4:$S1006, CONCAT("&gt;", $A64))</f>
        <v/>
      </c>
      <c r="J64" s="70" t="n"/>
      <c r="K64" s="77" t="inlineStr">
        <is>
          <t>Units</t>
        </is>
      </c>
      <c r="L64" s="74">
        <f>SUMIFS('Trading History'!$AB$4:$AB1006, 'Trading History'!$Y$4:$Y1006,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History'!$L$4:$L1006, 'Trading History'!$K$4:$K1006, CONCAT("&gt;", $A64))</f>
        <v/>
      </c>
      <c r="D66" s="70" t="n"/>
      <c r="E66" s="80" t="inlineStr">
        <is>
          <t>ST Gain</t>
        </is>
      </c>
      <c r="F66" s="83">
        <f>SUMIFS('Trading History'!$P$4:$P1006, 'Trading History'!$O$4:$O1006, CONCAT("&gt;", $A64))</f>
        <v/>
      </c>
      <c r="G66" s="70" t="n"/>
      <c r="H66" s="81" t="inlineStr">
        <is>
          <t>LT Gain</t>
        </is>
      </c>
      <c r="I66" s="83">
        <f>SUMIFS('Trading History'!$T$4:$T1006, 'Trading History'!$S$4:$S1006, CONCAT("&gt;", $A64))</f>
        <v/>
      </c>
      <c r="J66" s="70" t="n"/>
      <c r="K66" s="82" t="inlineStr">
        <is>
          <t>Gain</t>
        </is>
      </c>
      <c r="L66" s="83">
        <f>SUMIFS('Trading History'!$Z$4:$Z1006, 'Trading History'!$Y$4:$Y1006,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History'!$M$4:$M1006, 'Trading History'!$K$4:$K1006, CONCAT("&gt;", $A64))</f>
        <v/>
      </c>
      <c r="D68" s="70" t="n"/>
      <c r="E68" s="80" t="inlineStr">
        <is>
          <t>ST Gross</t>
        </is>
      </c>
      <c r="F68" s="83">
        <f>SUMIFS('Trading History'!$Q$4:$Q1006, 'Trading History'!$O$4:$O1006, CONCAT("&gt;", $A64))</f>
        <v/>
      </c>
      <c r="G68" s="70" t="n"/>
      <c r="H68" s="81" t="inlineStr">
        <is>
          <t>LT Gross</t>
        </is>
      </c>
      <c r="I68" s="83">
        <f>SUMIFS('Trading History'!$U$4:$U1006, 'Trading History'!$S$4:$S1006, CONCAT("&gt;", $A64))</f>
        <v/>
      </c>
      <c r="J68" s="70" t="n"/>
      <c r="K68" s="82" t="inlineStr">
        <is>
          <t>Gross</t>
        </is>
      </c>
      <c r="L68" s="83">
        <f>SUMIFS('Trading History'!$AA$4:$AA1006, 'Trading History'!$Y$4:$Y1006,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History'!$N$4:$N1006, 'Trading History'!$K$4:$K1006, CONCAT("&gt;", $A71))</f>
        <v/>
      </c>
      <c r="D71" s="70" t="n"/>
      <c r="E71" s="75" t="inlineStr">
        <is>
          <t>ST Units</t>
        </is>
      </c>
      <c r="F71" s="74">
        <f>IFERROR(SUMIFS('Trading History'!$R$4:$R1006, 'Trading History'!$O$4:$O1006, CONCAT("&gt;", $A71)), 0)</f>
        <v/>
      </c>
      <c r="G71" s="70" t="n"/>
      <c r="H71" s="76" t="inlineStr">
        <is>
          <t>LT Units</t>
        </is>
      </c>
      <c r="I71" s="74">
        <f>SUMIFS('Trading History'!$V$4:$V1006, 'Trading History'!$S$4:$S1006, CONCAT("&gt;", $A71))</f>
        <v/>
      </c>
      <c r="J71" s="70" t="n"/>
      <c r="K71" s="77" t="inlineStr">
        <is>
          <t>Units</t>
        </is>
      </c>
      <c r="L71" s="74">
        <f>SUMIFS('Trading History'!$AB$4:$AB1006, 'Trading History'!$Y$4:$Y1006,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History'!$L$4:$L1006, 'Trading History'!$K$4:$K1006, CONCAT("&gt;", $A71))</f>
        <v/>
      </c>
      <c r="D73" s="70" t="n"/>
      <c r="E73" s="80" t="inlineStr">
        <is>
          <t>ST Gain</t>
        </is>
      </c>
      <c r="F73" s="83">
        <f>SUMIFS('Trading History'!$P$4:$P1006, 'Trading History'!$O$4:$O1006, CONCAT("&gt;", $A71))</f>
        <v/>
      </c>
      <c r="G73" s="70" t="n"/>
      <c r="H73" s="81" t="inlineStr">
        <is>
          <t>LT Gain</t>
        </is>
      </c>
      <c r="I73" s="83">
        <f>SUMIFS('Trading History'!$T$4:$T1006, 'Trading History'!$S$4:$S1006, CONCAT("&gt;", $A71))</f>
        <v/>
      </c>
      <c r="J73" s="70" t="n"/>
      <c r="K73" s="82" t="inlineStr">
        <is>
          <t>Gain</t>
        </is>
      </c>
      <c r="L73" s="83">
        <f>SUMIFS('Trading History'!$Z$4:$Z1006, 'Trading History'!$Y$4:$Y1006,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History'!$M$4:$M1006, 'Trading History'!$K$4:$K1006, CONCAT("&gt;", $A71))</f>
        <v/>
      </c>
      <c r="D75" s="70" t="n"/>
      <c r="E75" s="80" t="inlineStr">
        <is>
          <t>ST Gross</t>
        </is>
      </c>
      <c r="F75" s="83">
        <f>SUMIFS('Trading History'!$Q$4:$Q1006, 'Trading History'!$O$4:$O1006, CONCAT("&gt;", $A71))</f>
        <v/>
      </c>
      <c r="G75" s="70" t="n"/>
      <c r="H75" s="81" t="inlineStr">
        <is>
          <t>LT Gross</t>
        </is>
      </c>
      <c r="I75" s="83">
        <f>SUMIFS('Trading History'!$U$4:$U1006, 'Trading History'!$S$4:$S1006, CONCAT("&gt;", $A71))</f>
        <v/>
      </c>
      <c r="J75" s="70" t="n"/>
      <c r="K75" s="82" t="inlineStr">
        <is>
          <t>Gross</t>
        </is>
      </c>
      <c r="L75" s="83">
        <f>SUMIFS('Trading History'!$AA$4:$AA1006, 'Trading History'!$Y$4:$Y1006,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History'!$N$4:$N1006, 'Trading History'!$K$4:$K1006, CONCAT("&gt;", $A78))</f>
        <v/>
      </c>
      <c r="D78" s="70" t="n"/>
      <c r="E78" s="75" t="inlineStr">
        <is>
          <t>ST Units</t>
        </is>
      </c>
      <c r="F78" s="74">
        <f>IFERROR(SUMIFS('Trading History'!$R$4:$R1006, 'Trading History'!$O$4:$O1006, CONCAT("&gt;", $A78)), 0)</f>
        <v/>
      </c>
      <c r="G78" s="70" t="n"/>
      <c r="H78" s="76" t="inlineStr">
        <is>
          <t>LT Units</t>
        </is>
      </c>
      <c r="I78" s="74">
        <f>SUMIFS('Trading History'!$V$4:$V1006, 'Trading History'!$S$4:$S1006, CONCAT("&gt;", $A78))</f>
        <v/>
      </c>
      <c r="J78" s="70" t="n"/>
      <c r="K78" s="77" t="inlineStr">
        <is>
          <t>Units</t>
        </is>
      </c>
      <c r="L78" s="74">
        <f>SUMIFS('Trading History'!$AB$4:$AB1006, 'Trading History'!$Y$4:$Y1006,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History'!$L$4:$L1006, 'Trading History'!$K$4:$K1006, CONCAT("&gt;", $A78))</f>
        <v/>
      </c>
      <c r="D80" s="70" t="n"/>
      <c r="E80" s="80" t="inlineStr">
        <is>
          <t>ST Gain</t>
        </is>
      </c>
      <c r="F80" s="83">
        <f>SUMIFS('Trading History'!$P$4:$P1006, 'Trading History'!$O$4:$O1006, CONCAT("&gt;", $A78))</f>
        <v/>
      </c>
      <c r="G80" s="70" t="n"/>
      <c r="H80" s="81" t="inlineStr">
        <is>
          <t>LT Gain</t>
        </is>
      </c>
      <c r="I80" s="83">
        <f>SUMIFS('Trading History'!$T$4:$T1006, 'Trading History'!$S$4:$S1006, CONCAT("&gt;", $A78))</f>
        <v/>
      </c>
      <c r="J80" s="70" t="n"/>
      <c r="K80" s="82" t="inlineStr">
        <is>
          <t>Gain</t>
        </is>
      </c>
      <c r="L80" s="83">
        <f>SUMIFS('Trading History'!$Z$4:$Z1006, 'Trading History'!$Y$4:$Y1006,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History'!$M$4:$M1006, 'Trading History'!$K$4:$K1006, CONCAT("&gt;", $A78))</f>
        <v/>
      </c>
      <c r="D82" s="70" t="n"/>
      <c r="E82" s="80" t="inlineStr">
        <is>
          <t>ST Gross</t>
        </is>
      </c>
      <c r="F82" s="83">
        <f>SUMIFS('Trading History'!$Q$4:$Q1006, 'Trading History'!$O$4:$O1006, CONCAT("&gt;", $A78))</f>
        <v/>
      </c>
      <c r="G82" s="70" t="n"/>
      <c r="H82" s="81" t="inlineStr">
        <is>
          <t>LT Gross</t>
        </is>
      </c>
      <c r="I82" s="83">
        <f>SUMIFS('Trading History'!$U$4:$U1006, 'Trading History'!$S$4:$S1006, CONCAT("&gt;", $A78))</f>
        <v/>
      </c>
      <c r="J82" s="70" t="n"/>
      <c r="K82" s="82" t="inlineStr">
        <is>
          <t>Gross</t>
        </is>
      </c>
      <c r="L82" s="83">
        <f>SUMIFS('Trading History'!$AA$4:$AA1006, 'Trading History'!$Y$4:$Y1006,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History'!$N$4:$N1006, 'Trading History'!$K$4:$K1006, CONCAT("&gt;", $A85))</f>
        <v/>
      </c>
      <c r="D85" s="70" t="n"/>
      <c r="E85" s="75" t="inlineStr">
        <is>
          <t>ST Units</t>
        </is>
      </c>
      <c r="F85" s="74">
        <f>IFERROR(SUMIFS('Trading History'!$R$4:$R1006, 'Trading History'!$O$4:$O1006, CONCAT("&gt;", $A85)), 0)</f>
        <v/>
      </c>
      <c r="G85" s="70" t="n"/>
      <c r="H85" s="76" t="inlineStr">
        <is>
          <t>LT Units</t>
        </is>
      </c>
      <c r="I85" s="74">
        <f>SUMIFS('Trading History'!$V$4:$V1006, 'Trading History'!$S$4:$S1006, CONCAT("&gt;", $A85))</f>
        <v/>
      </c>
      <c r="J85" s="70" t="n"/>
      <c r="K85" s="77" t="inlineStr">
        <is>
          <t>Units</t>
        </is>
      </c>
      <c r="L85" s="74">
        <f>SUMIFS('Trading History'!$AB$4:$AB1006, 'Trading History'!$Y$4:$Y1006,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History'!$L$4:$L1006, 'Trading History'!$K$4:$K1006, CONCAT("&gt;", $A85))</f>
        <v/>
      </c>
      <c r="D87" s="70" t="n"/>
      <c r="E87" s="80" t="inlineStr">
        <is>
          <t>ST Gain</t>
        </is>
      </c>
      <c r="F87" s="83">
        <f>SUMIFS('Trading History'!$P$4:$P1006, 'Trading History'!$O$4:$O1006, CONCAT("&gt;", $A85))</f>
        <v/>
      </c>
      <c r="G87" s="70" t="n"/>
      <c r="H87" s="81" t="inlineStr">
        <is>
          <t>LT Gain</t>
        </is>
      </c>
      <c r="I87" s="83">
        <f>SUMIFS('Trading History'!$T$4:$T1006, 'Trading History'!$S$4:$S1006, CONCAT("&gt;", $A85))</f>
        <v/>
      </c>
      <c r="J87" s="70" t="n"/>
      <c r="K87" s="82" t="inlineStr">
        <is>
          <t>Gain</t>
        </is>
      </c>
      <c r="L87" s="83">
        <f>SUMIFS('Trading History'!$Z$4:$Z1006, 'Trading History'!$Y$4:$Y1006,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History'!$M$4:$M1006, 'Trading History'!$K$4:$K1006, CONCAT("&gt;", $A85))</f>
        <v/>
      </c>
      <c r="D89" s="70" t="n"/>
      <c r="E89" s="80" t="inlineStr">
        <is>
          <t>ST Gross</t>
        </is>
      </c>
      <c r="F89" s="83">
        <f>SUMIFS('Trading History'!$Q$4:$Q1006, 'Trading History'!$O$4:$O1006, CONCAT("&gt;", $A85))</f>
        <v/>
      </c>
      <c r="G89" s="70" t="n"/>
      <c r="H89" s="81" t="inlineStr">
        <is>
          <t>LT Gross</t>
        </is>
      </c>
      <c r="I89" s="83">
        <f>SUMIFS('Trading History'!$U$4:$U1006, 'Trading History'!$S$4:$S1006, CONCAT("&gt;", $A85))</f>
        <v/>
      </c>
      <c r="J89" s="70" t="n"/>
      <c r="K89" s="82" t="inlineStr">
        <is>
          <t>Gross</t>
        </is>
      </c>
      <c r="L89" s="83">
        <f>SUMIFS('Trading History'!$AA$4:$AA1006, 'Trading History'!$Y$4:$Y1006,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2026-02-12T03:15:51Z</dcterms:created>
  <dcterms:modified xmlns:dcterms="http://purl.org/dc/terms/" xmlns:xsi="http://www.w3.org/2001/XMLSchema-instance" xsi:type="dcterms:W3CDTF">2026-02-12T06:52:34Z</dcterms:modified>
</cp:coreProperties>
</file>