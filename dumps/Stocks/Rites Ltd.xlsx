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D7E2042_242B_4FDE_B2E0_197C8B035822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45981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249.966</v>
      </c>
      <c r="F5" t="n">
        <v>2512.16</v>
      </c>
      <c r="G5" t="inlineStr">
        <is>
          <t>CN#252608441505</t>
        </is>
      </c>
      <c r="I5" t="n">
        <v>12.5</v>
      </c>
      <c r="J5">
        <f>Index!$C$2</f>
        <v/>
      </c>
    </row>
    <row r="6">
      <c r="A6" s="99" t="n">
        <v>45979</v>
      </c>
      <c r="B6" s="0" t="inlineStr">
        <is>
          <t>BSE</t>
        </is>
      </c>
      <c r="C6" s="0" t="inlineStr">
        <is>
          <t>Buy</t>
        </is>
      </c>
      <c r="D6" s="0" t="n">
        <v>10</v>
      </c>
      <c r="E6" s="0" t="n">
        <v>249.69</v>
      </c>
      <c r="F6" s="0" t="n">
        <v>2509.4</v>
      </c>
      <c r="G6" s="0" t="inlineStr">
        <is>
          <t>CN#252608322011</t>
        </is>
      </c>
      <c r="I6" s="0" t="n">
        <v>12.5</v>
      </c>
      <c r="J6" s="0">
        <f>Index!$C$2</f>
        <v/>
      </c>
    </row>
    <row r="7">
      <c r="A7" s="99" t="n">
        <v>45957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245.88</v>
      </c>
      <c r="F7" s="0" t="n">
        <v>2471.1</v>
      </c>
      <c r="G7" s="0" t="inlineStr">
        <is>
          <t>CN#252607382790</t>
        </is>
      </c>
      <c r="I7" s="0" t="n">
        <v>12.3</v>
      </c>
      <c r="J7" s="0">
        <f>Index!$C$2</f>
        <v/>
      </c>
    </row>
    <row r="8">
      <c r="A8" s="99" t="n">
        <v>46062</v>
      </c>
      <c r="B8" s="0" t="inlineStr">
        <is>
          <t>NSE</t>
        </is>
      </c>
      <c r="C8" s="0" t="inlineStr">
        <is>
          <t>Buy</t>
        </is>
      </c>
      <c r="D8" s="0" t="n">
        <v>20</v>
      </c>
      <c r="E8" s="0" t="n">
        <v>227.09</v>
      </c>
      <c r="F8" s="0" t="n">
        <v>4574.07</v>
      </c>
      <c r="G8" s="0" t="inlineStr">
        <is>
          <t>CN#252611665409</t>
        </is>
      </c>
      <c r="H8" s="0" t="n">
        <v>4.54</v>
      </c>
      <c r="I8" s="0" t="n">
        <v>27.73</v>
      </c>
      <c r="J8" s="0">
        <f>Index!$C$2</f>
        <v/>
      </c>
    </row>
    <row r="9">
      <c r="A9" s="98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223.75</v>
      </c>
      <c r="F9" s="0" t="n">
        <v>2253.41</v>
      </c>
      <c r="G9" s="0" t="inlineStr">
        <is>
          <t>~</t>
        </is>
      </c>
      <c r="H9" s="0" t="n">
        <v>2.25</v>
      </c>
      <c r="I9" s="0" t="n">
        <v>13.66</v>
      </c>
    </row>
    <row r="10">
      <c r="A10" s="98" t="n">
        <v>46049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218.46</v>
      </c>
      <c r="F10" s="0" t="n">
        <v>2200.07</v>
      </c>
      <c r="G10" s="0" t="inlineStr">
        <is>
          <t>~</t>
        </is>
      </c>
      <c r="H10" s="0" t="n">
        <v>2.18</v>
      </c>
      <c r="I10" s="0" t="n">
        <v>13.29</v>
      </c>
    </row>
    <row r="11">
      <c r="A11" s="98" t="n">
        <v>46015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243.55</v>
      </c>
      <c r="F11" s="0" t="n">
        <v>2452.82</v>
      </c>
      <c r="G11" s="0" t="inlineStr">
        <is>
          <t>~</t>
        </is>
      </c>
      <c r="H11" s="0" t="n">
        <v>2.43</v>
      </c>
      <c r="I11" s="0" t="n">
        <v>14.89</v>
      </c>
    </row>
    <row r="12">
      <c r="A12" s="98" t="n">
        <v>46008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224.2</v>
      </c>
      <c r="F12" s="0" t="n">
        <v>2257.89</v>
      </c>
      <c r="G12" s="0" t="inlineStr">
        <is>
          <t>~</t>
        </is>
      </c>
      <c r="H12" s="0" t="n">
        <v>2.25</v>
      </c>
      <c r="I12" s="0" t="n">
        <v>13.64</v>
      </c>
    </row>
    <row r="13">
      <c r="A13" s="98" t="n">
        <v>46007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226.9</v>
      </c>
      <c r="F13" s="0" t="n">
        <v>2285.06</v>
      </c>
      <c r="G13" s="0" t="inlineStr">
        <is>
          <t>~</t>
        </is>
      </c>
      <c r="H13" s="0" t="n">
        <v>2.26</v>
      </c>
      <c r="I13" s="0" t="n">
        <v>13.8</v>
      </c>
    </row>
    <row r="14">
      <c r="A14" s="98" t="n">
        <v>46002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224.95</v>
      </c>
      <c r="F14" s="0" t="n">
        <v>2265.39</v>
      </c>
      <c r="G14" s="0" t="inlineStr">
        <is>
          <t>~</t>
        </is>
      </c>
      <c r="H14" s="0" t="n">
        <v>2.26</v>
      </c>
      <c r="I14" s="0" t="n">
        <v>13.63</v>
      </c>
    </row>
    <row r="15">
      <c r="A15" s="98" t="n">
        <v>46002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225</v>
      </c>
      <c r="F15" s="0" t="n">
        <v>2266.03</v>
      </c>
      <c r="G15" s="0" t="inlineStr">
        <is>
          <t>~</t>
        </is>
      </c>
      <c r="H15" s="0" t="n">
        <v>2.26</v>
      </c>
      <c r="I15" s="0" t="n">
        <v>13.77</v>
      </c>
    </row>
    <row r="16">
      <c r="A16" s="98" t="n">
        <v>45996</v>
      </c>
      <c r="B16" s="0" t="inlineStr">
        <is>
          <t>NSE</t>
        </is>
      </c>
      <c r="C16" s="0" t="inlineStr">
        <is>
          <t>Buy</t>
        </is>
      </c>
      <c r="D16" s="0" t="n">
        <v>57</v>
      </c>
      <c r="E16" s="0" t="n">
        <v>228.26</v>
      </c>
      <c r="F16" s="0" t="n">
        <v>13102.98</v>
      </c>
      <c r="G16" s="0" t="inlineStr">
        <is>
          <t>~</t>
        </is>
      </c>
      <c r="H16" s="0" t="n">
        <v>12.97</v>
      </c>
      <c r="I16" s="0" t="n">
        <v>79.19</v>
      </c>
    </row>
    <row r="17">
      <c r="A17" s="98" t="n">
        <v>45996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228.25</v>
      </c>
      <c r="F17" s="0" t="n">
        <v>689.6</v>
      </c>
      <c r="G17" s="0" t="inlineStr">
        <is>
          <t>~</t>
        </is>
      </c>
      <c r="H17" s="0" t="n">
        <v>0.6899999999999999</v>
      </c>
      <c r="I17" s="0" t="n">
        <v>4.16</v>
      </c>
    </row>
    <row r="18">
      <c r="A18" s="98" t="n">
        <v>45982</v>
      </c>
      <c r="B18" s="0" t="inlineStr">
        <is>
          <t>BSE</t>
        </is>
      </c>
      <c r="C18" s="0" t="inlineStr">
        <is>
          <t>Buy</t>
        </is>
      </c>
      <c r="D18" s="0" t="n">
        <v>10</v>
      </c>
      <c r="E18" s="0" t="n">
        <v>249.8</v>
      </c>
      <c r="F18" s="0" t="n">
        <v>2515.74</v>
      </c>
      <c r="G18" s="0" t="inlineStr">
        <is>
          <t>~</t>
        </is>
      </c>
      <c r="H18" s="0" t="n">
        <v>2.5</v>
      </c>
      <c r="I18" s="0" t="n">
        <v>15.24</v>
      </c>
    </row>
    <row r="19">
      <c r="A19" s="98" t="n">
        <v>45981</v>
      </c>
      <c r="B19" s="0" t="inlineStr">
        <is>
          <t>NSE</t>
        </is>
      </c>
      <c r="C19" s="0" t="inlineStr">
        <is>
          <t>Buy</t>
        </is>
      </c>
      <c r="D19" s="0" t="n">
        <v>9</v>
      </c>
      <c r="E19" s="0" t="n">
        <v>249.97</v>
      </c>
      <c r="F19" s="0" t="n">
        <v>2265.67</v>
      </c>
      <c r="G19" s="0" t="inlineStr">
        <is>
          <t>~</t>
        </is>
      </c>
      <c r="H19" s="0" t="n">
        <v>2.24</v>
      </c>
      <c r="I19" s="0" t="n">
        <v>13.7</v>
      </c>
    </row>
    <row r="20">
      <c r="A20" s="98" t="n">
        <v>45981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249.93</v>
      </c>
      <c r="F20" s="0" t="n">
        <v>251.7</v>
      </c>
      <c r="G20" s="0" t="inlineStr">
        <is>
          <t>~</t>
        </is>
      </c>
      <c r="H20" s="0" t="n">
        <v>0.25</v>
      </c>
      <c r="I20" s="0" t="n">
        <v>1.52</v>
      </c>
    </row>
    <row r="21">
      <c r="A21" s="98" t="n">
        <v>45979</v>
      </c>
      <c r="B21" s="0" t="inlineStr">
        <is>
          <t>BSE</t>
        </is>
      </c>
      <c r="C21" s="0" t="inlineStr">
        <is>
          <t>Buy</t>
        </is>
      </c>
      <c r="D21" s="0" t="n">
        <v>1</v>
      </c>
      <c r="E21" s="0" t="n">
        <v>249.6</v>
      </c>
      <c r="F21" s="0" t="n">
        <v>251.37</v>
      </c>
      <c r="G21" s="0" t="inlineStr">
        <is>
          <t>~</t>
        </is>
      </c>
      <c r="H21" s="0" t="n">
        <v>0.25</v>
      </c>
      <c r="I21" s="0" t="n">
        <v>1.52</v>
      </c>
    </row>
    <row r="22">
      <c r="A22" s="98" t="n">
        <v>45979</v>
      </c>
      <c r="B22" s="0" t="inlineStr">
        <is>
          <t>BSE</t>
        </is>
      </c>
      <c r="C22" s="0" t="inlineStr">
        <is>
          <t>Buy</t>
        </is>
      </c>
      <c r="D22" s="0" t="n">
        <v>9</v>
      </c>
      <c r="E22" s="0" t="n">
        <v>249.7</v>
      </c>
      <c r="F22" s="0" t="n">
        <v>2263.26</v>
      </c>
      <c r="G22" s="0" t="inlineStr">
        <is>
          <t>~</t>
        </is>
      </c>
      <c r="H22" s="0" t="n">
        <v>2.26</v>
      </c>
      <c r="I22" s="0" t="n">
        <v>13.7</v>
      </c>
    </row>
    <row r="23">
      <c r="A23" s="98" t="n">
        <v>45978</v>
      </c>
      <c r="B23" s="0" t="inlineStr">
        <is>
          <t>NSE</t>
        </is>
      </c>
      <c r="C23" s="0" t="inlineStr">
        <is>
          <t>Buy</t>
        </is>
      </c>
      <c r="D23" s="0" t="n">
        <v>20</v>
      </c>
      <c r="E23" s="0" t="n">
        <v>248.38</v>
      </c>
      <c r="F23" s="0" t="n">
        <v>5002.78</v>
      </c>
      <c r="G23" s="0" t="inlineStr">
        <is>
          <t>~</t>
        </is>
      </c>
      <c r="H23" s="0" t="n">
        <v>4.99</v>
      </c>
      <c r="I23" s="0" t="n">
        <v>30.19</v>
      </c>
    </row>
    <row r="24">
      <c r="A24" s="98" t="n">
        <v>45975</v>
      </c>
      <c r="B24" s="0" t="inlineStr">
        <is>
          <t>BSE</t>
        </is>
      </c>
      <c r="C24" s="0" t="inlineStr">
        <is>
          <t>Buy</t>
        </is>
      </c>
      <c r="D24" s="0" t="n">
        <v>10</v>
      </c>
      <c r="E24" s="0" t="n">
        <v>243.9</v>
      </c>
      <c r="F24" s="0" t="n">
        <v>2456.31</v>
      </c>
      <c r="G24" s="0" t="inlineStr">
        <is>
          <t>~</t>
        </is>
      </c>
      <c r="H24" s="0" t="n">
        <v>2.44</v>
      </c>
      <c r="I24" s="0" t="n">
        <v>14.87</v>
      </c>
    </row>
    <row r="25">
      <c r="A25" s="98" t="n">
        <v>45975</v>
      </c>
      <c r="B25" s="0" t="inlineStr">
        <is>
          <t>DIV</t>
        </is>
      </c>
      <c r="C25" s="0" t="inlineStr">
        <is>
          <t>Buy</t>
        </is>
      </c>
      <c r="D25" s="0" t="n">
        <v>80</v>
      </c>
      <c r="E25" s="0" t="n">
        <v>2</v>
      </c>
      <c r="F25" s="0" t="n">
        <v>160</v>
      </c>
      <c r="G25" s="0" t="inlineStr">
        <is>
          <t>Interim-Dividend of Rs.2.0000/- per share on Ex-Date: 14-NOV-2025  Interim-Dividend of Rs.2.0000/- per share on Ex-Date: 14-NOV-2025</t>
        </is>
      </c>
      <c r="H25" s="0" t="n">
        <v>0</v>
      </c>
      <c r="I25" s="0" t="n">
        <v>0</v>
      </c>
    </row>
    <row r="26">
      <c r="A26" s="98" t="n">
        <v>45959</v>
      </c>
      <c r="B26" s="0" t="inlineStr">
        <is>
          <t>NSE</t>
        </is>
      </c>
      <c r="C26" s="0" t="inlineStr">
        <is>
          <t>Buy</t>
        </is>
      </c>
      <c r="D26" s="0" t="n">
        <v>10</v>
      </c>
      <c r="E26" s="0" t="n">
        <v>244.95</v>
      </c>
      <c r="F26" s="0" t="n">
        <v>2466.81</v>
      </c>
      <c r="G26" s="0" t="inlineStr">
        <is>
          <t>~</t>
        </is>
      </c>
      <c r="H26" s="0" t="n">
        <v>2.44</v>
      </c>
      <c r="I26" s="0" t="n">
        <v>14.87</v>
      </c>
    </row>
    <row r="27">
      <c r="A27" s="98" t="n">
        <v>45957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245.88</v>
      </c>
      <c r="F27" s="0" t="n">
        <v>247.63</v>
      </c>
      <c r="G27" s="0" t="inlineStr">
        <is>
          <t>~</t>
        </is>
      </c>
      <c r="H27" s="0" t="n">
        <v>0.25</v>
      </c>
      <c r="I27" s="0" t="n">
        <v>1.5</v>
      </c>
    </row>
    <row r="28">
      <c r="A28" s="98" t="n">
        <v>45957</v>
      </c>
      <c r="B28" s="0" t="inlineStr">
        <is>
          <t>NSE</t>
        </is>
      </c>
      <c r="C28" s="0" t="inlineStr">
        <is>
          <t>Buy</t>
        </is>
      </c>
      <c r="D28" s="0" t="n">
        <v>8</v>
      </c>
      <c r="E28" s="0" t="n">
        <v>245.88</v>
      </c>
      <c r="F28" s="0" t="n">
        <v>1981.01</v>
      </c>
      <c r="G28" s="0" t="inlineStr">
        <is>
          <t>~</t>
        </is>
      </c>
      <c r="H28" s="0" t="n">
        <v>1.97</v>
      </c>
      <c r="I28" s="0" t="n">
        <v>12</v>
      </c>
    </row>
    <row r="29">
      <c r="A29" s="98" t="n">
        <v>45957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245.88</v>
      </c>
      <c r="F29" s="0" t="n">
        <v>247.63</v>
      </c>
      <c r="G29" s="0" t="inlineStr">
        <is>
          <t>~</t>
        </is>
      </c>
      <c r="H29" s="0" t="n">
        <v>0.25</v>
      </c>
      <c r="I29" s="0" t="n">
        <v>1.5</v>
      </c>
    </row>
    <row r="30">
      <c r="A30" s="98" t="n">
        <v>45954</v>
      </c>
      <c r="B30" s="0" t="inlineStr">
        <is>
          <t>NSE</t>
        </is>
      </c>
      <c r="C30" s="0" t="inlineStr">
        <is>
          <t>Buy</t>
        </is>
      </c>
      <c r="D30" s="0" t="n">
        <v>7</v>
      </c>
      <c r="E30" s="0" t="n">
        <v>247.5</v>
      </c>
      <c r="F30" s="0" t="n">
        <v>1744.82</v>
      </c>
      <c r="G30" s="0" t="inlineStr">
        <is>
          <t>~</t>
        </is>
      </c>
      <c r="H30" s="0" t="n">
        <v>1.74</v>
      </c>
      <c r="I30" s="0" t="n">
        <v>10.58</v>
      </c>
    </row>
    <row r="31">
      <c r="A31" s="98" t="n">
        <v>45954</v>
      </c>
      <c r="B31" s="0" t="inlineStr">
        <is>
          <t>NSE</t>
        </is>
      </c>
      <c r="C31" s="0" t="inlineStr">
        <is>
          <t>Buy</t>
        </is>
      </c>
      <c r="D31" s="0" t="n">
        <v>3</v>
      </c>
      <c r="E31" s="0" t="n">
        <v>247.5</v>
      </c>
      <c r="F31" s="0" t="n">
        <v>747.75</v>
      </c>
      <c r="G31" s="0" t="inlineStr">
        <is>
          <t>~</t>
        </is>
      </c>
      <c r="H31" s="0" t="n">
        <v>0.74</v>
      </c>
      <c r="I31" s="0" t="n">
        <v>4.51</v>
      </c>
    </row>
    <row r="32">
      <c r="A32" s="98" t="n">
        <v>45953</v>
      </c>
      <c r="B32" s="0" t="inlineStr">
        <is>
          <t>NSE</t>
        </is>
      </c>
      <c r="C32" s="0" t="inlineStr">
        <is>
          <t>Buy</t>
        </is>
      </c>
      <c r="D32" s="0" t="n">
        <v>9</v>
      </c>
      <c r="E32" s="0" t="n">
        <v>247.99</v>
      </c>
      <c r="F32" s="0" t="n">
        <v>2247.71</v>
      </c>
      <c r="G32" s="0" t="inlineStr">
        <is>
          <t>~</t>
        </is>
      </c>
      <c r="H32" s="0" t="n">
        <v>2.22</v>
      </c>
      <c r="I32" s="0" t="n">
        <v>13.58</v>
      </c>
    </row>
    <row r="33">
      <c r="A33" s="98" t="n">
        <v>45953</v>
      </c>
      <c r="B33" s="0" t="inlineStr">
        <is>
          <t>NSE</t>
        </is>
      </c>
      <c r="C33" s="0" t="inlineStr">
        <is>
          <t>Buy</t>
        </is>
      </c>
      <c r="D33" s="0" t="n">
        <v>1</v>
      </c>
      <c r="E33" s="0" t="n">
        <v>247.99</v>
      </c>
      <c r="F33" s="0" t="n">
        <v>249.75</v>
      </c>
      <c r="G33" s="0" t="inlineStr">
        <is>
          <t>~</t>
        </is>
      </c>
      <c r="H33" s="0" t="n">
        <v>0.25</v>
      </c>
      <c r="I33" s="0" t="n">
        <v>1.51</v>
      </c>
    </row>
    <row r="34">
      <c r="A34" s="98" t="n">
        <v>45950</v>
      </c>
      <c r="B34" s="0" t="inlineStr">
        <is>
          <t>BSE</t>
        </is>
      </c>
      <c r="C34" s="0" t="inlineStr">
        <is>
          <t>Buy</t>
        </is>
      </c>
      <c r="D34" s="0" t="n">
        <v>20</v>
      </c>
      <c r="E34" s="0" t="n">
        <v>247.05</v>
      </c>
      <c r="F34" s="0" t="n">
        <v>4976.18</v>
      </c>
      <c r="G34" s="0" t="inlineStr">
        <is>
          <t>~</t>
        </is>
      </c>
      <c r="H34" s="0" t="n">
        <v>4.94</v>
      </c>
      <c r="I34" s="0" t="n">
        <v>30.24</v>
      </c>
    </row>
    <row r="35">
      <c r="A35" s="98" t="n">
        <v>45917</v>
      </c>
      <c r="B35" s="0" t="inlineStr">
        <is>
          <t>DIV</t>
        </is>
      </c>
      <c r="C35" s="0" t="inlineStr">
        <is>
          <t>Buy</t>
        </is>
      </c>
      <c r="D35" s="0" t="n">
        <v>20</v>
      </c>
      <c r="E35" s="0" t="n">
        <v>2.65</v>
      </c>
      <c r="F35" s="0" t="n">
        <v>53</v>
      </c>
      <c r="G35" s="0" t="inlineStr">
        <is>
          <t>Final-Dividend of Rs.2.6500/- per share on Ex-Date: 17-SEP-2025  Final-Dividend of Rs.2.6500/- per share on Ex-Date: 17-SEP-2025</t>
        </is>
      </c>
      <c r="H35" s="0" t="n">
        <v>0</v>
      </c>
      <c r="I35" s="0" t="n">
        <v>0</v>
      </c>
    </row>
    <row r="36">
      <c r="A36" s="98" t="n">
        <v>45897</v>
      </c>
      <c r="B36" s="0" t="inlineStr">
        <is>
          <t>BSE</t>
        </is>
      </c>
      <c r="C36" s="0" t="inlineStr">
        <is>
          <t>Buy</t>
        </is>
      </c>
      <c r="D36" s="0" t="n">
        <v>10</v>
      </c>
      <c r="E36" s="0" t="n">
        <v>246.85</v>
      </c>
      <c r="F36" s="0" t="n">
        <v>2486</v>
      </c>
      <c r="G36" s="0" t="inlineStr">
        <is>
          <t>~</t>
        </is>
      </c>
      <c r="H36" s="0" t="n">
        <v>2.47</v>
      </c>
      <c r="I36" s="0" t="n">
        <v>15.03</v>
      </c>
    </row>
    <row r="37">
      <c r="A37" s="38" t="n">
        <v>45950</v>
      </c>
      <c r="B37" s="39" t="inlineStr">
        <is>
          <t>BSE</t>
        </is>
      </c>
      <c r="C37" s="39" t="inlineStr">
        <is>
          <t>Buy</t>
        </is>
      </c>
      <c r="D37" s="40" t="n">
        <v>20</v>
      </c>
      <c r="E37" s="41" t="n">
        <v>248.81</v>
      </c>
      <c r="F37" s="41">
        <f>D5*E5</f>
        <v/>
      </c>
      <c r="G37" s="39" t="inlineStr">
        <is>
          <t>~</t>
        </is>
      </c>
      <c r="H37" s="40" t="n"/>
      <c r="I37" s="40" t="n"/>
      <c r="J37" s="42">
        <f>Index!$C$2</f>
        <v/>
      </c>
      <c r="K37" s="43">
        <f>IF(AND( C5="Buy", ISBLANK(W5), B5&lt;&gt;"DIV"), L5/sum(F5:I5), "")</f>
        <v/>
      </c>
      <c r="L37" s="44">
        <f>IF(AND( C5="Buy", ISBLANK(W5), B5&lt;&gt;"DIV"), (1-Index!$F$2*2)*((J5*D5)-(E5*D5)), "")</f>
        <v/>
      </c>
      <c r="M37" s="44">
        <f>IF(AND( C5="Buy", ISBLANK(W5), B5&lt;&gt;"DIV"), ((E5*D5)+L5), "")</f>
        <v/>
      </c>
      <c r="N37" s="45">
        <f>IF(AND( C5="Buy", ISBLANK(W5), B5&lt;&gt;"DIV"), D5, "")</f>
        <v/>
      </c>
      <c r="O37" s="43">
        <f>IF(AND( C5="Buy", ISBLANK(W5), B5&lt;&gt;"DIV", NOW()-A5 &lt; 365), P5/sum(F5:I5), "")</f>
        <v/>
      </c>
      <c r="P37" s="44">
        <f>IF(AND( C5="Buy", ISBLANK(W5), B5&lt;&gt;"DIV", NOW()-A5 &lt; 365), (1-Index!$F$2*2)*((J5*D5)-(E5*D5)), "")</f>
        <v/>
      </c>
      <c r="Q37" s="44">
        <f>IF(AND( C5="Buy", ISBLANK(W5), B5&lt;&gt;"DIV", NOW()-A5 &lt; 365), ((E5*D5)+P5), "")</f>
        <v/>
      </c>
      <c r="R37" s="44">
        <f>IF(AND( C5="Buy", ISBLANK(W5), B5&lt;&gt;"DIV", NOW()-A5 &lt; 365), D5, "")</f>
        <v/>
      </c>
      <c r="S37" s="46">
        <f>IF(AND( C5="Buy", ISBLANK(W5), B5&lt;&gt;"DIV", NOW()-A5 &gt; 365), T5/sum(F5:I5), "")</f>
        <v/>
      </c>
      <c r="T37" s="47">
        <f>IF(AND( C5="Buy", ISBLANK(W5), B5&lt;&gt;"DIV", NOW()-A5 &gt; 365), (1-Index!$F$2*2)*((J5*D5)-(E5*D5)), "")</f>
        <v/>
      </c>
      <c r="U37" s="47">
        <f>IF(AND( C5="Buy", ISBLANK(W5), B5&lt;&gt;"DIV", NOW()-A5 &gt; 365), ((E5*D5)+T5), "")</f>
        <v/>
      </c>
      <c r="V37" s="47">
        <f>IF(AND( C5="Buy", ISBLANK(W5), B5&lt;&gt;"DIV", NOW()-A5 &gt; 365), D5, "")</f>
        <v/>
      </c>
      <c r="W37" s="47" t="n"/>
      <c r="X37" s="47" t="n"/>
      <c r="Y37" s="46">
        <f>IF(AND( C5="Buy", W5&lt;&gt;"", AA5&lt;&gt;"", B5&lt;&gt;"DIV"), Z5/sum(F5:I5), "")</f>
        <v/>
      </c>
      <c r="Z37" s="47" t="n"/>
      <c r="AA37" s="47" t="n"/>
      <c r="AB37" s="48" t="n"/>
      <c r="AC37" s="44">
        <f>if(B5="DIV", F5,"")</f>
        <v/>
      </c>
      <c r="AD37" s="49" t="n"/>
    </row>
    <row r="38">
      <c r="A38" s="38" t="n">
        <v>45917</v>
      </c>
      <c r="B38" s="39" t="inlineStr">
        <is>
          <t>DIV</t>
        </is>
      </c>
      <c r="C38" s="39" t="inlineStr">
        <is>
          <t>Buy</t>
        </is>
      </c>
      <c r="D38" s="40" t="n">
        <v>10</v>
      </c>
      <c r="E38" s="41" t="n">
        <v>2.65</v>
      </c>
      <c r="F38" s="41">
        <f>(D6*E6)</f>
        <v/>
      </c>
      <c r="G38" s="39" t="n"/>
      <c r="H38" s="40" t="n"/>
      <c r="I38" s="40" t="n"/>
      <c r="J38" s="42">
        <f>Index!$C$2</f>
        <v/>
      </c>
      <c r="K38" s="43">
        <f>IF(AND( C6="Buy", ISBLANK(W6), B6&lt;&gt;"DIV"), L6/sum(F6:I6), "")</f>
        <v/>
      </c>
      <c r="L38" s="44">
        <f>IF(AND( C6="Buy", ISBLANK(W6), B6&lt;&gt;"DIV"), (1-Index!$F$2*2)*((J6*D6)-(E6*D6)), "")</f>
        <v/>
      </c>
      <c r="M38" s="44">
        <f>IF(AND( C6="Buy", ISBLANK(W6), B6&lt;&gt;"DIV"), ((E6*D6)+L6), "")</f>
        <v/>
      </c>
      <c r="N38" s="45">
        <f>IF(AND( C6="Buy", ISBLANK(W6), B6&lt;&gt;"DIV"), D6, "")</f>
        <v/>
      </c>
      <c r="O38" s="43">
        <f>IF(AND( C6="Buy", ISBLANK(W6), B6&lt;&gt;"DIV", NOW()-A6 &lt; 365), P6/sum(F6:I6), "")</f>
        <v/>
      </c>
      <c r="P38" s="44">
        <f>IF(AND( C6="Buy", ISBLANK(W6), B6&lt;&gt;"DIV", NOW()-A6 &lt; 365), (1-Index!$F$2*2)*((J6*D6)-(E6*D6)), "")</f>
        <v/>
      </c>
      <c r="Q38" s="44">
        <f>IF(AND( C6="Buy", ISBLANK(W6), B6&lt;&gt;"DIV", NOW()-A6 &lt; 365), ((E6*D6)+P6), "")</f>
        <v/>
      </c>
      <c r="R38" s="44">
        <f>IF(AND( C6="Buy", ISBLANK(W6), B6&lt;&gt;"DIV", NOW()-A6 &lt; 365), D6, "")</f>
        <v/>
      </c>
      <c r="S38" s="46">
        <f>IF(AND( C6="Buy", ISBLANK(W6), B6&lt;&gt;"DIV", NOW()-A6 &gt; 365), T6/sum(F6:I6), "")</f>
        <v/>
      </c>
      <c r="T38" s="47">
        <f>IF(AND( C6="Buy", ISBLANK(W6), B6&lt;&gt;"DIV", NOW()-A6 &gt; 365), (1-Index!$F$2*2)*((J6*D6)-(E6*D6)), "")</f>
        <v/>
      </c>
      <c r="U38" s="47">
        <f>IF(AND( C6="Buy", ISBLANK(W6), B6&lt;&gt;"DIV", NOW()-A6 &gt; 365), ((E6*D6)+T6), "")</f>
        <v/>
      </c>
      <c r="V38" s="47">
        <f>IF(AND( C6="Buy", ISBLANK(W6), B6&lt;&gt;"DIV", NOW()-A6 &gt; 365), D6, "")</f>
        <v/>
      </c>
      <c r="W38" s="47" t="n"/>
      <c r="X38" s="47" t="n"/>
      <c r="Y38" s="46">
        <f>IF(AND( C6="Buy", W6&lt;&gt;"", AA6&lt;&gt;"", B6&lt;&gt;"DIV"), Z6/sum(F6:I6), "")</f>
        <v/>
      </c>
      <c r="Z38" s="47" t="n"/>
      <c r="AA38" s="47" t="n"/>
      <c r="AB38" s="48" t="n"/>
      <c r="AC38" s="44">
        <f>if(B6="DIV", F6,"")</f>
        <v/>
      </c>
      <c r="AD38" s="49" t="n"/>
    </row>
    <row r="39">
      <c r="A39" s="38" t="n">
        <v>45917</v>
      </c>
      <c r="B39" s="39" t="inlineStr">
        <is>
          <t>DIV</t>
        </is>
      </c>
      <c r="C39" s="39" t="inlineStr">
        <is>
          <t>Buy</t>
        </is>
      </c>
      <c r="D39" s="40" t="n">
        <v>10</v>
      </c>
      <c r="E39" s="41" t="n">
        <v>2.65</v>
      </c>
      <c r="F39" s="41">
        <f>(D7*E7)</f>
        <v/>
      </c>
      <c r="G39" s="39" t="n"/>
      <c r="H39" s="40" t="n"/>
      <c r="I39" s="40" t="n"/>
      <c r="J39" s="42">
        <f>Index!$C$2</f>
        <v/>
      </c>
      <c r="K39" s="43">
        <f>IF(AND( C7="Buy", ISBLANK(W7), B7&lt;&gt;"DIV"), L7/sum(F7:I7), "")</f>
        <v/>
      </c>
      <c r="L39" s="44">
        <f>IF(AND( C7="Buy", ISBLANK(W7), B7&lt;&gt;"DIV"), (1-Index!$F$2*2)*((J7*D7)-(E7*D7)), "")</f>
        <v/>
      </c>
      <c r="M39" s="44">
        <f>IF(AND( C7="Buy", ISBLANK(W7), B7&lt;&gt;"DIV"), ((E7*D7)+L7), "")</f>
        <v/>
      </c>
      <c r="N39" s="45">
        <f>IF(AND( C7="Buy", ISBLANK(W7), B7&lt;&gt;"DIV"), D7, "")</f>
        <v/>
      </c>
      <c r="O39" s="43">
        <f>IF(AND( C7="Buy", ISBLANK(W7), B7&lt;&gt;"DIV", NOW()-A7 &lt; 365), P7/sum(F7:I7), "")</f>
        <v/>
      </c>
      <c r="P39" s="44">
        <f>IF(AND( C7="Buy", ISBLANK(W7), B7&lt;&gt;"DIV", NOW()-A7 &lt; 365), (1-Index!$F$2*2)*((J7*D7)-(E7*D7)), "")</f>
        <v/>
      </c>
      <c r="Q39" s="44">
        <f>IF(AND( C7="Buy", ISBLANK(W7), B7&lt;&gt;"DIV", NOW()-A7 &lt; 365), ((E7*D7)+P7), "")</f>
        <v/>
      </c>
      <c r="R39" s="44">
        <f>IF(AND( C7="Buy", ISBLANK(W7), B7&lt;&gt;"DIV", NOW()-A7 &lt; 365), D7, "")</f>
        <v/>
      </c>
      <c r="S39" s="46">
        <f>IF(AND( C7="Buy", ISBLANK(W7), B7&lt;&gt;"DIV", NOW()-A7 &gt; 365), T7/sum(F7:I7), "")</f>
        <v/>
      </c>
      <c r="T39" s="47">
        <f>IF(AND( C7="Buy", ISBLANK(W7), B7&lt;&gt;"DIV", NOW()-A7 &gt; 365), (1-Index!$F$2*2)*((J7*D7)-(E7*D7)), "")</f>
        <v/>
      </c>
      <c r="U39" s="47">
        <f>IF(AND( C7="Buy", ISBLANK(W7), B7&lt;&gt;"DIV", NOW()-A7 &gt; 365), ((E7*D7)+T7), "")</f>
        <v/>
      </c>
      <c r="V39" s="47">
        <f>IF(AND( C7="Buy", ISBLANK(W7), B7&lt;&gt;"DIV", NOW()-A7 &gt; 365), D7, "")</f>
        <v/>
      </c>
      <c r="W39" s="47" t="n"/>
      <c r="X39" s="47" t="n"/>
      <c r="Y39" s="46">
        <f>IF(AND( C7="Buy", W7&lt;&gt;"", AA7&lt;&gt;"", B7&lt;&gt;"DIV"), Z7/sum(F7:I7), "")</f>
        <v/>
      </c>
      <c r="Z39" s="47" t="n"/>
      <c r="AA39" s="47" t="n"/>
      <c r="AB39" s="48" t="n"/>
      <c r="AC39" s="44">
        <f>if(B7="DIV", F7,"")</f>
        <v/>
      </c>
      <c r="AD39" s="49" t="n"/>
    </row>
    <row r="40">
      <c r="A40" s="38" t="n">
        <v>45897</v>
      </c>
      <c r="B40" s="39" t="inlineStr">
        <is>
          <t>BSE</t>
        </is>
      </c>
      <c r="C40" s="39" t="inlineStr">
        <is>
          <t>Buy</t>
        </is>
      </c>
      <c r="D40" s="40" t="n">
        <v>10</v>
      </c>
      <c r="E40" s="41" t="n">
        <v>248.6</v>
      </c>
      <c r="F40" s="41" t="n">
        <v>2486</v>
      </c>
      <c r="G40" s="39" t="inlineStr">
        <is>
          <t>~</t>
        </is>
      </c>
      <c r="H40" s="40" t="n">
        <v>2.47</v>
      </c>
      <c r="I40" s="40" t="n">
        <v>15.03</v>
      </c>
      <c r="J40" s="42">
        <f>Index!$C$2</f>
        <v/>
      </c>
      <c r="K40" s="43">
        <f>IF(AND( C8="Buy", ISBLANK(W8), B8&lt;&gt;"DIV"), L8/sum(F8:I8), "")</f>
        <v/>
      </c>
      <c r="L40" s="44">
        <f>IF(AND( C8="Buy", ISBLANK(W8), B8&lt;&gt;"DIV"), (1-Index!$F$2*2)*((J8*D8)-(E8*D8)), "")</f>
        <v/>
      </c>
      <c r="M40" s="44">
        <f>IF(AND( C8="Buy", ISBLANK(W8), B8&lt;&gt;"DIV"), ((E8*D8)+L8), "")</f>
        <v/>
      </c>
      <c r="N40" s="45">
        <f>IF(AND( C8="Buy", ISBLANK(W8), B8&lt;&gt;"DIV"), D8, "")</f>
        <v/>
      </c>
      <c r="O40" s="43">
        <f>IF(AND( C8="Buy", ISBLANK(W8), B8&lt;&gt;"DIV", NOW()-A8 &lt; 365), P8/sum(F8:I8), "")</f>
        <v/>
      </c>
      <c r="P40" s="44">
        <f>IF(AND( C8="Buy", ISBLANK(W8), B8&lt;&gt;"DIV", NOW()-A8 &lt; 365), (1-Index!$F$2*2)*((J8*D8)-(E8*D8)), "")</f>
        <v/>
      </c>
      <c r="Q40" s="44">
        <f>IF(AND( C8="Buy", ISBLANK(W8), B8&lt;&gt;"DIV", NOW()-A8 &lt; 365), ((E8*D8)+P8), "")</f>
        <v/>
      </c>
      <c r="R40" s="44">
        <f>IF(AND( C8="Buy", ISBLANK(W8), B8&lt;&gt;"DIV", NOW()-A8 &lt; 365), D8, "")</f>
        <v/>
      </c>
      <c r="S40" s="46">
        <f>IF(AND( C8="Buy", ISBLANK(W8), B8&lt;&gt;"DIV", NOW()-A8 &gt; 365), T8/sum(F8:I8), "")</f>
        <v/>
      </c>
      <c r="T40" s="47">
        <f>IF(AND( C8="Buy", ISBLANK(W8), B8&lt;&gt;"DIV", NOW()-A8 &gt; 365), (1-Index!$F$2*2)*((J8*D8)-(E8*D8)), "")</f>
        <v/>
      </c>
      <c r="U40" s="47">
        <f>IF(AND( C8="Buy", ISBLANK(W8), B8&lt;&gt;"DIV", NOW()-A8 &gt; 365), ((E8*D8)+T8), "")</f>
        <v/>
      </c>
      <c r="V40" s="47">
        <f>IF(AND( C8="Buy", ISBLANK(W8), B8&lt;&gt;"DIV", NOW()-A8 &gt; 365), D8, "")</f>
        <v/>
      </c>
      <c r="W40" s="47" t="n"/>
      <c r="X40" s="47" t="n"/>
      <c r="Y40" s="46">
        <f>IF(AND( C8="Buy", W8&lt;&gt;"", AA8&lt;&gt;"", B8&lt;&gt;"DIV"), Z8/sum(F8:I8), "")</f>
        <v/>
      </c>
      <c r="Z40" s="47" t="n"/>
      <c r="AA40" s="47" t="n"/>
      <c r="AB40" s="48" t="n"/>
      <c r="AC40" s="44">
        <f>if(B8="DIV", F8,"")</f>
        <v/>
      </c>
      <c r="AD40" s="49" t="n"/>
    </row>
    <row r="41">
      <c r="A41" s="38" t="n">
        <v>45881</v>
      </c>
      <c r="B41" s="39" t="inlineStr">
        <is>
          <t>DIV</t>
        </is>
      </c>
      <c r="C41" s="39" t="inlineStr">
        <is>
          <t>Buy</t>
        </is>
      </c>
      <c r="D41" s="40" t="n">
        <v>10</v>
      </c>
      <c r="E41" s="41" t="n">
        <v>1.3</v>
      </c>
      <c r="F41" s="41" t="n">
        <v>13</v>
      </c>
      <c r="G41" s="39" t="inlineStr">
        <is>
          <t>Interim-Dividend of Rs.1.3000/- per share on Ex-Date: 12-AUG-2025</t>
        </is>
      </c>
      <c r="H41" s="40" t="n">
        <v>0</v>
      </c>
      <c r="I41" s="40" t="n">
        <v>0</v>
      </c>
      <c r="J41" s="42">
        <f>Index!$C$2</f>
        <v/>
      </c>
      <c r="K41" s="43">
        <f>IF(AND( C9="Buy", ISBLANK(W9), B9&lt;&gt;"DIV"), L9/sum(F9:I9), "")</f>
        <v/>
      </c>
      <c r="L41" s="44">
        <f>IF(AND( C9="Buy", ISBLANK(W9), B9&lt;&gt;"DIV"), (1-Index!$F$2*2)*((J9*D9)-(E9*D9)), "")</f>
        <v/>
      </c>
      <c r="M41" s="44">
        <f>IF(AND( C9="Buy", ISBLANK(W9), B9&lt;&gt;"DIV"), ((E9*D9)+L9), "")</f>
        <v/>
      </c>
      <c r="N41" s="45">
        <f>IF(AND( C9="Buy", ISBLANK(W9), B9&lt;&gt;"DIV"), D9, "")</f>
        <v/>
      </c>
      <c r="O41" s="43">
        <f>IF(AND( C9="Buy", ISBLANK(W9), B9&lt;&gt;"DIV", NOW()-A9 &lt; 365), P9/sum(F9:I9), "")</f>
        <v/>
      </c>
      <c r="P41" s="44">
        <f>IF(AND( C9="Buy", ISBLANK(W9), B9&lt;&gt;"DIV", NOW()-A9 &lt; 365), (1-Index!$F$2*2)*((J9*D9)-(E9*D9)), "")</f>
        <v/>
      </c>
      <c r="Q41" s="44">
        <f>IF(AND( C9="Buy", ISBLANK(W9), B9&lt;&gt;"DIV", NOW()-A9 &lt; 365), ((E9*D9)+P9), "")</f>
        <v/>
      </c>
      <c r="R41" s="44">
        <f>IF(AND( C9="Buy", ISBLANK(W9), B9&lt;&gt;"DIV", NOW()-A9 &lt; 365), D9, "")</f>
        <v/>
      </c>
      <c r="S41" s="46">
        <f>IF(AND( C9="Buy", ISBLANK(W9), B9&lt;&gt;"DIV", NOW()-A9 &gt; 365), T9/sum(F9:I9), "")</f>
        <v/>
      </c>
      <c r="T41" s="47">
        <f>IF(AND( C9="Buy", ISBLANK(W9), B9&lt;&gt;"DIV", NOW()-A9 &gt; 365), (1-Index!$F$2*2)*((J9*D9)-(E9*D9)), "")</f>
        <v/>
      </c>
      <c r="U41" s="47">
        <f>IF(AND( C9="Buy", ISBLANK(W9), B9&lt;&gt;"DIV", NOW()-A9 &gt; 365), ((E9*D9)+T9), "")</f>
        <v/>
      </c>
      <c r="V41" s="47">
        <f>IF(AND( C9="Buy", ISBLANK(W9), B9&lt;&gt;"DIV", NOW()-A9 &gt; 365), D9, "")</f>
        <v/>
      </c>
      <c r="W41" s="47" t="n"/>
      <c r="X41" s="47" t="n"/>
      <c r="Y41" s="46">
        <f>IF(AND( C9="Buy", W9&lt;&gt;"", AA9&lt;&gt;"", B9&lt;&gt;"DIV"), Z9/sum(F9:I9), "")</f>
        <v/>
      </c>
      <c r="Z41" s="47" t="n"/>
      <c r="AA41" s="47" t="n"/>
      <c r="AB41" s="48" t="n"/>
      <c r="AC41" s="44">
        <f>if(B9="DIV", F9,"")</f>
        <v/>
      </c>
      <c r="AD41" s="49" t="n"/>
    </row>
    <row r="42">
      <c r="A42" s="38" t="n">
        <v>45820</v>
      </c>
      <c r="B42" s="39" t="inlineStr">
        <is>
          <t>NSE</t>
        </is>
      </c>
      <c r="C42" s="39" t="inlineStr">
        <is>
          <t>Sell</t>
        </is>
      </c>
      <c r="D42" s="40" t="n">
        <v>100</v>
      </c>
      <c r="E42" s="41" t="n">
        <v>301.79</v>
      </c>
      <c r="F42" s="41" t="n">
        <v>30179.17</v>
      </c>
      <c r="G42" s="39" t="inlineStr">
        <is>
          <t>~</t>
        </is>
      </c>
      <c r="H42" s="40" t="n">
        <v>30.34</v>
      </c>
      <c r="I42" s="40" t="n">
        <v>180.49</v>
      </c>
      <c r="J42" s="42">
        <f>Index!$C$2</f>
        <v/>
      </c>
      <c r="K42" s="43">
        <f>IF(AND( C10="Buy", ISBLANK(W10), B10&lt;&gt;"DIV"), L10/sum(F10:I10), "")</f>
        <v/>
      </c>
      <c r="L42" s="44">
        <f>IF(AND( C10="Buy", ISBLANK(W10), B10&lt;&gt;"DIV"), (1-Index!$F$2*2)*((J10*D10)-(E10*D10)), "")</f>
        <v/>
      </c>
      <c r="M42" s="44">
        <f>IF(AND( C10="Buy", ISBLANK(W10), B10&lt;&gt;"DIV"), ((E10*D10)+L10), "")</f>
        <v/>
      </c>
      <c r="N42" s="45">
        <f>IF(AND( C10="Buy", ISBLANK(W10), B10&lt;&gt;"DIV"), D10, "")</f>
        <v/>
      </c>
      <c r="O42" s="43">
        <f>IF(AND( C10="Buy", ISBLANK(W10), B10&lt;&gt;"DIV", NOW()-A10 &lt; 365), P10/sum(F10:I10), "")</f>
        <v/>
      </c>
      <c r="P42" s="44">
        <f>IF(AND( C10="Buy", ISBLANK(W10), B10&lt;&gt;"DIV", NOW()-A10 &lt; 365), (1-Index!$F$2*2)*((J10*D10)-(E10*D10)), "")</f>
        <v/>
      </c>
      <c r="Q42" s="44">
        <f>IF(AND( C10="Buy", ISBLANK(W10), B10&lt;&gt;"DIV", NOW()-A10 &lt; 365), ((E10*D10)+P10), "")</f>
        <v/>
      </c>
      <c r="R42" s="44">
        <f>IF(AND( C10="Buy", ISBLANK(W10), B10&lt;&gt;"DIV", NOW()-A10 &lt; 365), D10, "")</f>
        <v/>
      </c>
      <c r="S42" s="46">
        <f>IF(AND( C10="Buy", ISBLANK(W10), B10&lt;&gt;"DIV", NOW()-A10 &gt; 365), T10/sum(F10:I10), "")</f>
        <v/>
      </c>
      <c r="T42" s="47">
        <f>IF(AND( C10="Buy", ISBLANK(W10), B10&lt;&gt;"DIV", NOW()-A10 &gt; 365), (1-Index!$F$2*2)*((J10*D10)-(E10*D10)), "")</f>
        <v/>
      </c>
      <c r="U42" s="47">
        <f>IF(AND( C10="Buy", ISBLANK(W10), B10&lt;&gt;"DIV", NOW()-A10 &gt; 365), ((E10*D10)+T10), "")</f>
        <v/>
      </c>
      <c r="V42" s="47">
        <f>IF(AND( C10="Buy", ISBLANK(W10), B10&lt;&gt;"DIV", NOW()-A10 &gt; 365), D10, "")</f>
        <v/>
      </c>
      <c r="W42" s="47" t="n"/>
      <c r="X42" s="47" t="n"/>
      <c r="Y42" s="46">
        <f>IF(AND( C10="Buy", W10&lt;&gt;"", AA10&lt;&gt;"", B10&lt;&gt;"DIV"), Z10/sum(F10:I10), "")</f>
        <v/>
      </c>
      <c r="Z42" s="47" t="n"/>
      <c r="AA42" s="47" t="n"/>
      <c r="AB42" s="48" t="n"/>
      <c r="AC42" s="44">
        <f>if(B10="DIV", F10,"")</f>
        <v/>
      </c>
      <c r="AD42" s="49" t="n"/>
    </row>
    <row r="43">
      <c r="A43" s="38" t="n">
        <v>45811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283.65</v>
      </c>
      <c r="F43" s="41" t="n">
        <v>2836.5</v>
      </c>
      <c r="G43" s="39" t="inlineStr">
        <is>
          <t>~</t>
        </is>
      </c>
      <c r="H43" s="40" t="n">
        <v>2.82</v>
      </c>
      <c r="I43" s="40" t="n">
        <v>17.18</v>
      </c>
      <c r="J43" s="42">
        <f>Index!$C$2</f>
        <v/>
      </c>
      <c r="K43" s="43">
        <f>IF(AND( C11="Buy", ISBLANK(W11), B11&lt;&gt;"DIV"), L11/sum(F11:I11), "")</f>
        <v/>
      </c>
      <c r="L43" s="44">
        <f>IF(AND( C11="Buy", ISBLANK(W11), B11&lt;&gt;"DIV"), (1-Index!$F$2*2)*((J11*D11)-(E11*D11)), "")</f>
        <v/>
      </c>
      <c r="M43" s="44">
        <f>IF(AND( C11="Buy", ISBLANK(W11), B11&lt;&gt;"DIV"), ((E11*D11)+L11), "")</f>
        <v/>
      </c>
      <c r="N43" s="45">
        <f>IF(AND( C11="Buy", ISBLANK(W11), B11&lt;&gt;"DIV"), D11, "")</f>
        <v/>
      </c>
      <c r="O43" s="43">
        <f>IF(AND( C11="Buy", ISBLANK(W11), B11&lt;&gt;"DIV", NOW()-A11 &lt; 365), P11/sum(F11:I11), "")</f>
        <v/>
      </c>
      <c r="P43" s="44">
        <f>IF(AND( C11="Buy", ISBLANK(W11), B11&lt;&gt;"DIV", NOW()-A11 &lt; 365), (1-Index!$F$2*2)*((J11*D11)-(E11*D11)), "")</f>
        <v/>
      </c>
      <c r="Q43" s="44">
        <f>IF(AND( C11="Buy", ISBLANK(W11), B11&lt;&gt;"DIV", NOW()-A11 &lt; 365), ((E11*D11)+P11), "")</f>
        <v/>
      </c>
      <c r="R43" s="44">
        <f>IF(AND( C11="Buy", ISBLANK(W11), B11&lt;&gt;"DIV", NOW()-A11 &lt; 365), D11, "")</f>
        <v/>
      </c>
      <c r="S43" s="46">
        <f>IF(AND( C11="Buy", ISBLANK(W11), B11&lt;&gt;"DIV", NOW()-A11 &gt; 365), T11/sum(F11:I11), "")</f>
        <v/>
      </c>
      <c r="T43" s="47">
        <f>IF(AND( C11="Buy", ISBLANK(W11), B11&lt;&gt;"DIV", NOW()-A11 &gt; 365), (1-Index!$F$2*2)*((J11*D11)-(E11*D11)), "")</f>
        <v/>
      </c>
      <c r="U43" s="47">
        <f>IF(AND( C11="Buy", ISBLANK(W11), B11&lt;&gt;"DIV", NOW()-A11 &gt; 365), ((E11*D11)+T11), "")</f>
        <v/>
      </c>
      <c r="V43" s="47">
        <f>IF(AND( C11="Buy", ISBLANK(W11), B11&lt;&gt;"DIV", NOW()-A11 &gt; 365), D11, "")</f>
        <v/>
      </c>
      <c r="W43" s="47" t="n"/>
      <c r="X43" s="47" t="n"/>
      <c r="Y43" s="46">
        <f>IF(AND( C11="Buy", W11&lt;&gt;"", AA11&lt;&gt;"", B11&lt;&gt;"DIV"), Z11/sum(F11:I11), "")</f>
        <v/>
      </c>
      <c r="Z43" s="47" t="n"/>
      <c r="AA43" s="47" t="n"/>
      <c r="AB43" s="48" t="n"/>
      <c r="AC43" s="44">
        <f>if(B11="DIV", F11,"")</f>
        <v/>
      </c>
      <c r="AD43" s="49" t="n"/>
    </row>
    <row r="44">
      <c r="A44" s="50" t="n">
        <v>45712</v>
      </c>
      <c r="B44" s="51" t="inlineStr">
        <is>
          <t>NSE</t>
        </is>
      </c>
      <c r="C44" s="51" t="inlineStr">
        <is>
          <t>Buy</t>
        </is>
      </c>
      <c r="D44" s="52" t="n">
        <v>23</v>
      </c>
      <c r="E44" s="53" t="n">
        <v>214.56</v>
      </c>
      <c r="F44" s="53" t="n">
        <v>4934.98</v>
      </c>
      <c r="G44" s="51" t="inlineStr">
        <is>
          <t>~</t>
        </is>
      </c>
      <c r="H44" s="52" t="n">
        <v>4.89</v>
      </c>
      <c r="I44" s="52" t="n">
        <v>29.94</v>
      </c>
      <c r="J44" s="42">
        <f>Index!$C$2</f>
        <v/>
      </c>
      <c r="K44" s="43">
        <f>IF(AND( C12="Buy", ISBLANK(W12), B12&lt;&gt;"DIV"), L12/sum(F12:I12), "")</f>
        <v/>
      </c>
      <c r="L44" s="44">
        <f>IF(AND( C12="Buy", ISBLANK(W12), B12&lt;&gt;"DIV"), (1-Index!$F$2*2)*((J12*D12)-(E12*D12)), "")</f>
        <v/>
      </c>
      <c r="M44" s="44">
        <f>IF(AND( C12="Buy", ISBLANK(W12), B12&lt;&gt;"DIV"), ((E12*D12)+L12), "")</f>
        <v/>
      </c>
      <c r="N44" s="45">
        <f>IF(AND( C12="Buy", ISBLANK(W12), B12&lt;&gt;"DIV"), D12, "")</f>
        <v/>
      </c>
      <c r="O44" s="43">
        <f>IF(AND( C12="Buy", ISBLANK(W12), B12&lt;&gt;"DIV", NOW()-A12 &lt; 365), P12/sum(F12:I12), "")</f>
        <v/>
      </c>
      <c r="P44" s="44">
        <f>IF(AND( C12="Buy", ISBLANK(W12), B12&lt;&gt;"DIV", NOW()-A12 &lt; 365), (1-Index!$F$2*2)*((J12*D12)-(E12*D12)), "")</f>
        <v/>
      </c>
      <c r="Q44" s="44">
        <f>IF(AND( C12="Buy", ISBLANK(W12), B12&lt;&gt;"DIV", NOW()-A12 &lt; 365), ((E12*D12)+P12), "")</f>
        <v/>
      </c>
      <c r="R44" s="44">
        <f>IF(AND( C12="Buy", ISBLANK(W12), B12&lt;&gt;"DIV", NOW()-A12 &lt; 365), D12, "")</f>
        <v/>
      </c>
      <c r="S44" s="46">
        <f>IF(AND( C12="Buy", ISBLANK(W12), B12&lt;&gt;"DIV", NOW()-A12 &gt; 365), T12/sum(F12:I12), "")</f>
        <v/>
      </c>
      <c r="T44" s="47">
        <f>IF(AND( C12="Buy", ISBLANK(W12), B12&lt;&gt;"DIV", NOW()-A12 &gt; 365), (1-Index!$F$2*2)*((J12*D12)-(E12*D12)), "")</f>
        <v/>
      </c>
      <c r="U44" s="47">
        <f>IF(AND( C12="Buy", ISBLANK(W12), B12&lt;&gt;"DIV", NOW()-A12 &gt; 365), ((E12*D12)+T12), "")</f>
        <v/>
      </c>
      <c r="V44" s="47">
        <f>IF(AND( C12="Buy", ISBLANK(W12), B12&lt;&gt;"DIV", NOW()-A12 &gt; 365), D12, "")</f>
        <v/>
      </c>
      <c r="W44" s="41" t="n">
        <v>301.79</v>
      </c>
      <c r="X44" s="38" t="n">
        <v>45820</v>
      </c>
      <c r="Y44" s="46">
        <f>IF(AND( C12="Buy", W12&lt;&gt;"", AA12&lt;&gt;"", B12&lt;&gt;"DIV"), Z12/sum(F12:I12), "")</f>
        <v/>
      </c>
      <c r="Z44" s="54">
        <f>(1-Index!$F$2*2)*((W12*D12)-(E12*D12))</f>
        <v/>
      </c>
      <c r="AA44" s="54">
        <f>((E12*D12)+Z12)</f>
        <v/>
      </c>
      <c r="AB44" s="55">
        <f>D12</f>
        <v/>
      </c>
      <c r="AC44" s="44">
        <f>if(B12="DIV", F12,"")</f>
        <v/>
      </c>
      <c r="AD44" s="56" t="inlineStr">
        <is>
          <t>SBI Securities</t>
        </is>
      </c>
    </row>
    <row r="45">
      <c r="A45" s="50" t="n">
        <v>45712</v>
      </c>
      <c r="B45" s="51" t="inlineStr">
        <is>
          <t>NSE</t>
        </is>
      </c>
      <c r="C45" s="51" t="inlineStr">
        <is>
          <t>Buy</t>
        </is>
      </c>
      <c r="D45" s="52" t="n">
        <v>7</v>
      </c>
      <c r="E45" s="53" t="n">
        <v>214.56</v>
      </c>
      <c r="F45" s="53" t="n">
        <v>1501.94</v>
      </c>
      <c r="G45" s="51" t="inlineStr">
        <is>
          <t>~</t>
        </is>
      </c>
      <c r="H45" s="52" t="n">
        <v>1.49</v>
      </c>
      <c r="I45" s="52" t="n">
        <v>9.1</v>
      </c>
      <c r="J45" s="42">
        <f>Index!$C$2</f>
        <v/>
      </c>
      <c r="K45" s="43">
        <f>IF(AND( C13="Buy", ISBLANK(W13), B13&lt;&gt;"DIV"), L13/sum(F13:I13), "")</f>
        <v/>
      </c>
      <c r="L45" s="44">
        <f>IF(AND( C13="Buy", ISBLANK(W13), B13&lt;&gt;"DIV"), (1-Index!$F$2*2)*((J13*D13)-(E13*D13)), "")</f>
        <v/>
      </c>
      <c r="M45" s="44">
        <f>IF(AND( C13="Buy", ISBLANK(W13), B13&lt;&gt;"DIV"), ((E13*D13)+L13), "")</f>
        <v/>
      </c>
      <c r="N45" s="45">
        <f>IF(AND( C13="Buy", ISBLANK(W13), B13&lt;&gt;"DIV"), D13, "")</f>
        <v/>
      </c>
      <c r="O45" s="43">
        <f>IF(AND( C13="Buy", ISBLANK(W13), B13&lt;&gt;"DIV", NOW()-A13 &lt; 365), P13/sum(F13:I13), "")</f>
        <v/>
      </c>
      <c r="P45" s="44">
        <f>IF(AND( C13="Buy", ISBLANK(W13), B13&lt;&gt;"DIV", NOW()-A13 &lt; 365), (1-Index!$F$2*2)*((J13*D13)-(E13*D13)), "")</f>
        <v/>
      </c>
      <c r="Q45" s="44">
        <f>IF(AND( C13="Buy", ISBLANK(W13), B13&lt;&gt;"DIV", NOW()-A13 &lt; 365), ((E13*D13)+P13), "")</f>
        <v/>
      </c>
      <c r="R45" s="44">
        <f>IF(AND( C13="Buy", ISBLANK(W13), B13&lt;&gt;"DIV", NOW()-A13 &lt; 365), D13, "")</f>
        <v/>
      </c>
      <c r="S45" s="46">
        <f>IF(AND( C13="Buy", ISBLANK(W13), B13&lt;&gt;"DIV", NOW()-A13 &gt; 365), T13/sum(F13:I13), "")</f>
        <v/>
      </c>
      <c r="T45" s="47">
        <f>IF(AND( C13="Buy", ISBLANK(W13), B13&lt;&gt;"DIV", NOW()-A13 &gt; 365), (1-Index!$F$2*2)*((J13*D13)-(E13*D13)), "")</f>
        <v/>
      </c>
      <c r="U45" s="47">
        <f>IF(AND( C13="Buy", ISBLANK(W13), B13&lt;&gt;"DIV", NOW()-A13 &gt; 365), ((E13*D13)+T13), "")</f>
        <v/>
      </c>
      <c r="V45" s="47">
        <f>IF(AND( C13="Buy", ISBLANK(W13), B13&lt;&gt;"DIV", NOW()-A13 &gt; 365), D13, "")</f>
        <v/>
      </c>
      <c r="W45" s="41" t="n">
        <v>301.79</v>
      </c>
      <c r="X45" s="38" t="n">
        <v>45820</v>
      </c>
      <c r="Y45" s="46">
        <f>IF(AND( C13="Buy", W13&lt;&gt;"", AA13&lt;&gt;"", B13&lt;&gt;"DIV"), Z13/sum(F13:I13), "")</f>
        <v/>
      </c>
      <c r="Z45" s="54">
        <f>(1-Index!$F$2*2)*((W13*D13)-(E13*D13))</f>
        <v/>
      </c>
      <c r="AA45" s="54">
        <f>((E13*D13)+Z13)</f>
        <v/>
      </c>
      <c r="AB45" s="55">
        <f>D13</f>
        <v/>
      </c>
      <c r="AC45" s="44">
        <f>if(B13="DIV", F13,"")</f>
        <v/>
      </c>
      <c r="AD45" s="56" t="inlineStr">
        <is>
          <t>SBI Securities</t>
        </is>
      </c>
    </row>
    <row r="46">
      <c r="A46" s="50" t="n">
        <v>45705</v>
      </c>
      <c r="B46" s="51" t="inlineStr">
        <is>
          <t>NSE</t>
        </is>
      </c>
      <c r="C46" s="51" t="inlineStr">
        <is>
          <t>Buy</t>
        </is>
      </c>
      <c r="D46" s="52" t="n">
        <v>13</v>
      </c>
      <c r="E46" s="53" t="n">
        <v>202.73</v>
      </c>
      <c r="F46" s="53" t="n">
        <v>2635.5</v>
      </c>
      <c r="G46" s="51" t="inlineStr">
        <is>
          <t>~</t>
        </is>
      </c>
      <c r="H46" s="52" t="n">
        <v>2.62</v>
      </c>
      <c r="I46" s="52" t="n">
        <v>15.98</v>
      </c>
      <c r="J46" s="42">
        <f>Index!$C$2</f>
        <v/>
      </c>
      <c r="K46" s="43">
        <f>IF(AND( C14="Buy", ISBLANK(W14), B14&lt;&gt;"DIV"), L14/sum(F14:I14), "")</f>
        <v/>
      </c>
      <c r="L46" s="44">
        <f>IF(AND( C14="Buy", ISBLANK(W14), B14&lt;&gt;"DIV"), (1-Index!$F$2*2)*((J14*D14)-(E14*D14)), "")</f>
        <v/>
      </c>
      <c r="M46" s="44">
        <f>IF(AND( C14="Buy", ISBLANK(W14), B14&lt;&gt;"DIV"), ((E14*D14)+L14), "")</f>
        <v/>
      </c>
      <c r="N46" s="45">
        <f>IF(AND( C14="Buy", ISBLANK(W14), B14&lt;&gt;"DIV"), D14, "")</f>
        <v/>
      </c>
      <c r="O46" s="43">
        <f>IF(AND( C14="Buy", ISBLANK(W14), B14&lt;&gt;"DIV", NOW()-A14 &lt; 365), P14/sum(F14:I14), "")</f>
        <v/>
      </c>
      <c r="P46" s="44">
        <f>IF(AND( C14="Buy", ISBLANK(W14), B14&lt;&gt;"DIV", NOW()-A14 &lt; 365), (1-Index!$F$2*2)*((J14*D14)-(E14*D14)), "")</f>
        <v/>
      </c>
      <c r="Q46" s="44">
        <f>IF(AND( C14="Buy", ISBLANK(W14), B14&lt;&gt;"DIV", NOW()-A14 &lt; 365), ((E14*D14)+P14), "")</f>
        <v/>
      </c>
      <c r="R46" s="44">
        <f>IF(AND( C14="Buy", ISBLANK(W14), B14&lt;&gt;"DIV", NOW()-A14 &lt; 365), D14, "")</f>
        <v/>
      </c>
      <c r="S46" s="46">
        <f>IF(AND( C14="Buy", ISBLANK(W14), B14&lt;&gt;"DIV", NOW()-A14 &gt; 365), T14/sum(F14:I14), "")</f>
        <v/>
      </c>
      <c r="T46" s="47">
        <f>IF(AND( C14="Buy", ISBLANK(W14), B14&lt;&gt;"DIV", NOW()-A14 &gt; 365), (1-Index!$F$2*2)*((J14*D14)-(E14*D14)), "")</f>
        <v/>
      </c>
      <c r="U46" s="47">
        <f>IF(AND( C14="Buy", ISBLANK(W14), B14&lt;&gt;"DIV", NOW()-A14 &gt; 365), ((E14*D14)+T14), "")</f>
        <v/>
      </c>
      <c r="V46" s="47">
        <f>IF(AND( C14="Buy", ISBLANK(W14), B14&lt;&gt;"DIV", NOW()-A14 &gt; 365), D14, "")</f>
        <v/>
      </c>
      <c r="W46" s="41" t="n">
        <v>301.79</v>
      </c>
      <c r="X46" s="38" t="n">
        <v>45820</v>
      </c>
      <c r="Y46" s="46">
        <f>IF(AND( C14="Buy", W14&lt;&gt;"", AA14&lt;&gt;"", B14&lt;&gt;"DIV"), Z14/sum(F14:I14), "")</f>
        <v/>
      </c>
      <c r="Z46" s="54">
        <f>(1-Index!$F$2*2)*((W14*D14)-(E14*D14))</f>
        <v/>
      </c>
      <c r="AA46" s="54">
        <f>((E14*D14)+Z14)</f>
        <v/>
      </c>
      <c r="AB46" s="55">
        <f>D14</f>
        <v/>
      </c>
      <c r="AC46" s="44">
        <f>if(B14="DIV", F14,"")</f>
        <v/>
      </c>
      <c r="AD46" s="56" t="inlineStr">
        <is>
          <t>SBI Securities</t>
        </is>
      </c>
    </row>
    <row r="47">
      <c r="A47" s="50" t="n">
        <v>45705</v>
      </c>
      <c r="B47" s="51" t="inlineStr">
        <is>
          <t>NSE</t>
        </is>
      </c>
      <c r="C47" s="51" t="inlineStr">
        <is>
          <t>Buy</t>
        </is>
      </c>
      <c r="D47" s="52" t="n">
        <v>13</v>
      </c>
      <c r="E47" s="53" t="n">
        <v>202.73</v>
      </c>
      <c r="F47" s="53" t="n">
        <v>2635.5</v>
      </c>
      <c r="G47" s="51" t="inlineStr">
        <is>
          <t>~</t>
        </is>
      </c>
      <c r="H47" s="52" t="n">
        <v>2.62</v>
      </c>
      <c r="I47" s="52" t="n">
        <v>15.98</v>
      </c>
      <c r="J47" s="42">
        <f>Index!$C$2</f>
        <v/>
      </c>
      <c r="K47" s="43">
        <f>IF(AND( C15="Buy", ISBLANK(W15), B15&lt;&gt;"DIV"), L15/sum(F15:I15), "")</f>
        <v/>
      </c>
      <c r="L47" s="44">
        <f>IF(AND( C15="Buy", ISBLANK(W15), B15&lt;&gt;"DIV"), (1-Index!$F$2*2)*((J15*D15)-(E15*D15)), "")</f>
        <v/>
      </c>
      <c r="M47" s="44">
        <f>IF(AND( C15="Buy", ISBLANK(W15), B15&lt;&gt;"DIV"), ((E15*D15)+L15), "")</f>
        <v/>
      </c>
      <c r="N47" s="45">
        <f>IF(AND( C15="Buy", ISBLANK(W15), B15&lt;&gt;"DIV"), D15, "")</f>
        <v/>
      </c>
      <c r="O47" s="43">
        <f>IF(AND( C15="Buy", ISBLANK(W15), B15&lt;&gt;"DIV", NOW()-A15 &lt; 365), P15/sum(F15:I15), "")</f>
        <v/>
      </c>
      <c r="P47" s="44">
        <f>IF(AND( C15="Buy", ISBLANK(W15), B15&lt;&gt;"DIV", NOW()-A15 &lt; 365), (1-Index!$F$2*2)*((J15*D15)-(E15*D15)), "")</f>
        <v/>
      </c>
      <c r="Q47" s="44">
        <f>IF(AND( C15="Buy", ISBLANK(W15), B15&lt;&gt;"DIV", NOW()-A15 &lt; 365), ((E15*D15)+P15), "")</f>
        <v/>
      </c>
      <c r="R47" s="44">
        <f>IF(AND( C15="Buy", ISBLANK(W15), B15&lt;&gt;"DIV", NOW()-A15 &lt; 365), D15, "")</f>
        <v/>
      </c>
      <c r="S47" s="46">
        <f>IF(AND( C15="Buy", ISBLANK(W15), B15&lt;&gt;"DIV", NOW()-A15 &gt; 365), T15/sum(F15:I15), "")</f>
        <v/>
      </c>
      <c r="T47" s="47">
        <f>IF(AND( C15="Buy", ISBLANK(W15), B15&lt;&gt;"DIV", NOW()-A15 &gt; 365), (1-Index!$F$2*2)*((J15*D15)-(E15*D15)), "")</f>
        <v/>
      </c>
      <c r="U47" s="47">
        <f>IF(AND( C15="Buy", ISBLANK(W15), B15&lt;&gt;"DIV", NOW()-A15 &gt; 365), ((E15*D15)+T15), "")</f>
        <v/>
      </c>
      <c r="V47" s="47">
        <f>IF(AND( C15="Buy", ISBLANK(W15), B15&lt;&gt;"DIV", NOW()-A15 &gt; 365), D15, "")</f>
        <v/>
      </c>
      <c r="W47" s="41" t="n">
        <v>301.79</v>
      </c>
      <c r="X47" s="38" t="n">
        <v>45820</v>
      </c>
      <c r="Y47" s="46">
        <f>IF(AND( C15="Buy", W15&lt;&gt;"", AA15&lt;&gt;"", B15&lt;&gt;"DIV"), Z15/sum(F15:I15), "")</f>
        <v/>
      </c>
      <c r="Z47" s="54">
        <f>(1-Index!$F$2*2)*((W15*D15)-(E15*D15))</f>
        <v/>
      </c>
      <c r="AA47" s="54">
        <f>((E15*D15)+Z15)</f>
        <v/>
      </c>
      <c r="AB47" s="55">
        <f>D15</f>
        <v/>
      </c>
      <c r="AC47" s="44">
        <f>if(B15="DIV", F15,"")</f>
        <v/>
      </c>
      <c r="AD47" s="56" t="inlineStr">
        <is>
          <t>SBI Securities</t>
        </is>
      </c>
    </row>
    <row r="48">
      <c r="A48" s="50" t="n">
        <v>45705</v>
      </c>
      <c r="B48" s="51" t="inlineStr">
        <is>
          <t>NSE</t>
        </is>
      </c>
      <c r="C48" s="51" t="inlineStr">
        <is>
          <t>Buy</t>
        </is>
      </c>
      <c r="D48" s="52" t="n">
        <v>3</v>
      </c>
      <c r="E48" s="53" t="n">
        <v>202.73</v>
      </c>
      <c r="F48" s="53" t="n">
        <v>608.1799999999999</v>
      </c>
      <c r="G48" s="51" t="inlineStr">
        <is>
          <t>~</t>
        </is>
      </c>
      <c r="H48" s="52" t="n">
        <v>0.6</v>
      </c>
      <c r="I48" s="52" t="n">
        <v>3.68</v>
      </c>
      <c r="J48" s="42">
        <f>Index!$C$2</f>
        <v/>
      </c>
      <c r="K48" s="43">
        <f>IF(AND( C16="Buy", ISBLANK(W16), B16&lt;&gt;"DIV"), L16/sum(F16:I16), "")</f>
        <v/>
      </c>
      <c r="L48" s="44">
        <f>IF(AND( C16="Buy", ISBLANK(W16), B16&lt;&gt;"DIV"), (1-Index!$F$2*2)*((J16*D16)-(E16*D16)), "")</f>
        <v/>
      </c>
      <c r="M48" s="44">
        <f>IF(AND( C16="Buy", ISBLANK(W16), B16&lt;&gt;"DIV"), ((E16*D16)+L16), "")</f>
        <v/>
      </c>
      <c r="N48" s="45">
        <f>IF(AND( C16="Buy", ISBLANK(W16), B16&lt;&gt;"DIV"), D16, "")</f>
        <v/>
      </c>
      <c r="O48" s="43">
        <f>IF(AND( C16="Buy", ISBLANK(W16), B16&lt;&gt;"DIV", NOW()-A16 &lt; 365), P16/sum(F16:I16), "")</f>
        <v/>
      </c>
      <c r="P48" s="44">
        <f>IF(AND( C16="Buy", ISBLANK(W16), B16&lt;&gt;"DIV", NOW()-A16 &lt; 365), (1-Index!$F$2*2)*((J16*D16)-(E16*D16)), "")</f>
        <v/>
      </c>
      <c r="Q48" s="44">
        <f>IF(AND( C16="Buy", ISBLANK(W16), B16&lt;&gt;"DIV", NOW()-A16 &lt; 365), ((E16*D16)+P16), "")</f>
        <v/>
      </c>
      <c r="R48" s="44">
        <f>IF(AND( C16="Buy", ISBLANK(W16), B16&lt;&gt;"DIV", NOW()-A16 &lt; 365), D16, "")</f>
        <v/>
      </c>
      <c r="S48" s="46">
        <f>IF(AND( C16="Buy", ISBLANK(W16), B16&lt;&gt;"DIV", NOW()-A16 &gt; 365), T16/sum(F16:I16), "")</f>
        <v/>
      </c>
      <c r="T48" s="47">
        <f>IF(AND( C16="Buy", ISBLANK(W16), B16&lt;&gt;"DIV", NOW()-A16 &gt; 365), (1-Index!$F$2*2)*((J16*D16)-(E16*D16)), "")</f>
        <v/>
      </c>
      <c r="U48" s="47">
        <f>IF(AND( C16="Buy", ISBLANK(W16), B16&lt;&gt;"DIV", NOW()-A16 &gt; 365), ((E16*D16)+T16), "")</f>
        <v/>
      </c>
      <c r="V48" s="47">
        <f>IF(AND( C16="Buy", ISBLANK(W16), B16&lt;&gt;"DIV", NOW()-A16 &gt; 365), D16, "")</f>
        <v/>
      </c>
      <c r="W48" s="41" t="n">
        <v>301.79</v>
      </c>
      <c r="X48" s="38" t="n">
        <v>45820</v>
      </c>
      <c r="Y48" s="46">
        <f>IF(AND( C16="Buy", W16&lt;&gt;"", AA16&lt;&gt;"", B16&lt;&gt;"DIV"), Z16/sum(F16:I16), "")</f>
        <v/>
      </c>
      <c r="Z48" s="54">
        <f>(1-Index!$F$2*2)*((W16*D16)-(E16*D16))</f>
        <v/>
      </c>
      <c r="AA48" s="54">
        <f>((E16*D16)+Z16)</f>
        <v/>
      </c>
      <c r="AB48" s="55">
        <f>D16</f>
        <v/>
      </c>
      <c r="AC48" s="44">
        <f>if(B16="DIV", F16,"")</f>
        <v/>
      </c>
      <c r="AD48" s="56" t="inlineStr">
        <is>
          <t>SBI Securities</t>
        </is>
      </c>
    </row>
    <row r="49">
      <c r="A49" s="50" t="n">
        <v>45705</v>
      </c>
      <c r="B49" s="51" t="inlineStr">
        <is>
          <t>NSE</t>
        </is>
      </c>
      <c r="C49" s="51" t="inlineStr">
        <is>
          <t>Buy</t>
        </is>
      </c>
      <c r="D49" s="52" t="n">
        <v>3</v>
      </c>
      <c r="E49" s="53" t="n">
        <v>202.73</v>
      </c>
      <c r="F49" s="53" t="n">
        <v>608.1799999999999</v>
      </c>
      <c r="G49" s="51" t="inlineStr">
        <is>
          <t>~</t>
        </is>
      </c>
      <c r="H49" s="52" t="n">
        <v>0.6</v>
      </c>
      <c r="I49" s="52" t="n">
        <v>3.68</v>
      </c>
      <c r="J49" s="42">
        <f>Index!$C$2</f>
        <v/>
      </c>
      <c r="K49" s="43">
        <f>IF(AND( C17="Buy", ISBLANK(W17), B17&lt;&gt;"DIV"), L17/sum(F17:I17), "")</f>
        <v/>
      </c>
      <c r="L49" s="44">
        <f>IF(AND( C17="Buy", ISBLANK(W17), B17&lt;&gt;"DIV"), (1-Index!$F$2*2)*((J17*D17)-(E17*D17)), "")</f>
        <v/>
      </c>
      <c r="M49" s="44">
        <f>IF(AND( C17="Buy", ISBLANK(W17), B17&lt;&gt;"DIV"), ((E17*D17)+L17), "")</f>
        <v/>
      </c>
      <c r="N49" s="45">
        <f>IF(AND( C17="Buy", ISBLANK(W17), B17&lt;&gt;"DIV"), D17, "")</f>
        <v/>
      </c>
      <c r="O49" s="43">
        <f>IF(AND( C17="Buy", ISBLANK(W17), B17&lt;&gt;"DIV", NOW()-A17 &lt; 365), P17/sum(F17:I17), "")</f>
        <v/>
      </c>
      <c r="P49" s="44">
        <f>IF(AND( C17="Buy", ISBLANK(W17), B17&lt;&gt;"DIV", NOW()-A17 &lt; 365), (1-Index!$F$2*2)*((J17*D17)-(E17*D17)), "")</f>
        <v/>
      </c>
      <c r="Q49" s="44">
        <f>IF(AND( C17="Buy", ISBLANK(W17), B17&lt;&gt;"DIV", NOW()-A17 &lt; 365), ((E17*D17)+P17), "")</f>
        <v/>
      </c>
      <c r="R49" s="44">
        <f>IF(AND( C17="Buy", ISBLANK(W17), B17&lt;&gt;"DIV", NOW()-A17 &lt; 365), D17, "")</f>
        <v/>
      </c>
      <c r="S49" s="46">
        <f>IF(AND( C17="Buy", ISBLANK(W17), B17&lt;&gt;"DIV", NOW()-A17 &gt; 365), T17/sum(F17:I17), "")</f>
        <v/>
      </c>
      <c r="T49" s="47">
        <f>IF(AND( C17="Buy", ISBLANK(W17), B17&lt;&gt;"DIV", NOW()-A17 &gt; 365), (1-Index!$F$2*2)*((J17*D17)-(E17*D17)), "")</f>
        <v/>
      </c>
      <c r="U49" s="47">
        <f>IF(AND( C17="Buy", ISBLANK(W17), B17&lt;&gt;"DIV", NOW()-A17 &gt; 365), ((E17*D17)+T17), "")</f>
        <v/>
      </c>
      <c r="V49" s="47">
        <f>IF(AND( C17="Buy", ISBLANK(W17), B17&lt;&gt;"DIV", NOW()-A17 &gt; 365), D17, "")</f>
        <v/>
      </c>
      <c r="W49" s="41" t="n">
        <v>301.79</v>
      </c>
      <c r="X49" s="38" t="n">
        <v>45820</v>
      </c>
      <c r="Y49" s="46">
        <f>IF(AND( C17="Buy", W17&lt;&gt;"", AA17&lt;&gt;"", B17&lt;&gt;"DIV"), Z17/sum(F17:I17), "")</f>
        <v/>
      </c>
      <c r="Z49" s="54">
        <f>(1-Index!$F$2*2)*((W17*D17)-(E17*D17))</f>
        <v/>
      </c>
      <c r="AA49" s="54">
        <f>((E17*D17)+Z17)</f>
        <v/>
      </c>
      <c r="AB49" s="55">
        <f>D17</f>
        <v/>
      </c>
      <c r="AC49" s="44">
        <f>if(B17="DIV", F17,"")</f>
        <v/>
      </c>
      <c r="AD49" s="56" t="inlineStr">
        <is>
          <t>SBI Securities</t>
        </is>
      </c>
    </row>
    <row r="50">
      <c r="A50" s="50" t="n">
        <v>45705</v>
      </c>
      <c r="B50" s="51" t="inlineStr">
        <is>
          <t>NSE</t>
        </is>
      </c>
      <c r="C50" s="51" t="inlineStr">
        <is>
          <t>Buy</t>
        </is>
      </c>
      <c r="D50" s="52" t="n">
        <v>13</v>
      </c>
      <c r="E50" s="53" t="n">
        <v>202.73</v>
      </c>
      <c r="F50" s="53" t="n">
        <v>2635.5</v>
      </c>
      <c r="G50" s="51" t="inlineStr">
        <is>
          <t>~</t>
        </is>
      </c>
      <c r="H50" s="52" t="n">
        <v>2.62</v>
      </c>
      <c r="I50" s="52" t="n">
        <v>15.98</v>
      </c>
      <c r="J50" s="42">
        <f>Index!$C$2</f>
        <v/>
      </c>
      <c r="K50" s="43">
        <f>IF(AND( C18="Buy", ISBLANK(W18), B18&lt;&gt;"DIV"), L18/sum(F18:I18), "")</f>
        <v/>
      </c>
      <c r="L50" s="44">
        <f>IF(AND( C18="Buy", ISBLANK(W18), B18&lt;&gt;"DIV"), (1-Index!$F$2*2)*((J18*D18)-(E18*D18)), "")</f>
        <v/>
      </c>
      <c r="M50" s="44">
        <f>IF(AND( C18="Buy", ISBLANK(W18), B18&lt;&gt;"DIV"), ((E18*D18)+L18), "")</f>
        <v/>
      </c>
      <c r="N50" s="45">
        <f>IF(AND( C18="Buy", ISBLANK(W18), B18&lt;&gt;"DIV"), D18, "")</f>
        <v/>
      </c>
      <c r="O50" s="43">
        <f>IF(AND( C18="Buy", ISBLANK(W18), B18&lt;&gt;"DIV", NOW()-A18 &lt; 365), P18/sum(F18:I18), "")</f>
        <v/>
      </c>
      <c r="P50" s="44">
        <f>IF(AND( C18="Buy", ISBLANK(W18), B18&lt;&gt;"DIV", NOW()-A18 &lt; 365), (1-Index!$F$2*2)*((J18*D18)-(E18*D18)), "")</f>
        <v/>
      </c>
      <c r="Q50" s="44">
        <f>IF(AND( C18="Buy", ISBLANK(W18), B18&lt;&gt;"DIV", NOW()-A18 &lt; 365), ((E18*D18)+P18), "")</f>
        <v/>
      </c>
      <c r="R50" s="44">
        <f>IF(AND( C18="Buy", ISBLANK(W18), B18&lt;&gt;"DIV", NOW()-A18 &lt; 365), D18, "")</f>
        <v/>
      </c>
      <c r="S50" s="46">
        <f>IF(AND( C18="Buy", ISBLANK(W18), B18&lt;&gt;"DIV", NOW()-A18 &gt; 365), T18/sum(F18:I18), "")</f>
        <v/>
      </c>
      <c r="T50" s="47">
        <f>IF(AND( C18="Buy", ISBLANK(W18), B18&lt;&gt;"DIV", NOW()-A18 &gt; 365), (1-Index!$F$2*2)*((J18*D18)-(E18*D18)), "")</f>
        <v/>
      </c>
      <c r="U50" s="47">
        <f>IF(AND( C18="Buy", ISBLANK(W18), B18&lt;&gt;"DIV", NOW()-A18 &gt; 365), ((E18*D18)+T18), "")</f>
        <v/>
      </c>
      <c r="V50" s="47">
        <f>IF(AND( C18="Buy", ISBLANK(W18), B18&lt;&gt;"DIV", NOW()-A18 &gt; 365), D18, "")</f>
        <v/>
      </c>
      <c r="W50" s="41" t="n">
        <v>301.79</v>
      </c>
      <c r="X50" s="38" t="n">
        <v>45820</v>
      </c>
      <c r="Y50" s="46">
        <f>IF(AND( C18="Buy", W18&lt;&gt;"", AA18&lt;&gt;"", B18&lt;&gt;"DIV"), Z18/sum(F18:I18), "")</f>
        <v/>
      </c>
      <c r="Z50" s="54">
        <f>(1-Index!$F$2*2)*((W18*D18)-(E18*D18))</f>
        <v/>
      </c>
      <c r="AA50" s="54">
        <f>((E18*D18)+Z18)</f>
        <v/>
      </c>
      <c r="AB50" s="55">
        <f>D18</f>
        <v/>
      </c>
      <c r="AC50" s="44">
        <f>if(B18="DIV", F18,"")</f>
        <v/>
      </c>
      <c r="AD50" s="56" t="inlineStr">
        <is>
          <t>SBI Securities</t>
        </is>
      </c>
    </row>
    <row r="51">
      <c r="A51" s="50" t="n">
        <v>45699</v>
      </c>
      <c r="B51" s="51" t="inlineStr">
        <is>
          <t>NSE</t>
        </is>
      </c>
      <c r="C51" s="51" t="inlineStr">
        <is>
          <t>Buy</t>
        </is>
      </c>
      <c r="D51" s="52" t="n">
        <v>20</v>
      </c>
      <c r="E51" s="53" t="n">
        <v>223.07</v>
      </c>
      <c r="F51" s="53" t="n">
        <v>4461.44</v>
      </c>
      <c r="G51" s="51" t="inlineStr">
        <is>
          <t>~</t>
        </is>
      </c>
      <c r="H51" s="52" t="n">
        <v>4.43</v>
      </c>
      <c r="I51" s="52" t="n">
        <v>27.01</v>
      </c>
      <c r="J51" s="42">
        <f>Index!$C$2</f>
        <v/>
      </c>
      <c r="K51" s="43">
        <f>IF(AND( C19="Buy", ISBLANK(W19), B19&lt;&gt;"DIV"), L19/sum(F19:I19), "")</f>
        <v/>
      </c>
      <c r="L51" s="44">
        <f>IF(AND( C19="Buy", ISBLANK(W19), B19&lt;&gt;"DIV"), (1-Index!$F$2*2)*((J19*D19)-(E19*D19)), "")</f>
        <v/>
      </c>
      <c r="M51" s="44">
        <f>IF(AND( C19="Buy", ISBLANK(W19), B19&lt;&gt;"DIV"), ((E19*D19)+L19), "")</f>
        <v/>
      </c>
      <c r="N51" s="45">
        <f>IF(AND( C19="Buy", ISBLANK(W19), B19&lt;&gt;"DIV"), D19, "")</f>
        <v/>
      </c>
      <c r="O51" s="43">
        <f>IF(AND( C19="Buy", ISBLANK(W19), B19&lt;&gt;"DIV", NOW()-A19 &lt; 365), P19/sum(F19:I19), "")</f>
        <v/>
      </c>
      <c r="P51" s="44">
        <f>IF(AND( C19="Buy", ISBLANK(W19), B19&lt;&gt;"DIV", NOW()-A19 &lt; 365), (1-Index!$F$2*2)*((J19*D19)-(E19*D19)), "")</f>
        <v/>
      </c>
      <c r="Q51" s="44">
        <f>IF(AND( C19="Buy", ISBLANK(W19), B19&lt;&gt;"DIV", NOW()-A19 &lt; 365), ((E19*D19)+P19), "")</f>
        <v/>
      </c>
      <c r="R51" s="44">
        <f>IF(AND( C19="Buy", ISBLANK(W19), B19&lt;&gt;"DIV", NOW()-A19 &lt; 365), D19, "")</f>
        <v/>
      </c>
      <c r="S51" s="46">
        <f>IF(AND( C19="Buy", ISBLANK(W19), B19&lt;&gt;"DIV", NOW()-A19 &gt; 365), T19/sum(F19:I19), "")</f>
        <v/>
      </c>
      <c r="T51" s="47">
        <f>IF(AND( C19="Buy", ISBLANK(W19), B19&lt;&gt;"DIV", NOW()-A19 &gt; 365), (1-Index!$F$2*2)*((J19*D19)-(E19*D19)), "")</f>
        <v/>
      </c>
      <c r="U51" s="47">
        <f>IF(AND( C19="Buy", ISBLANK(W19), B19&lt;&gt;"DIV", NOW()-A19 &gt; 365), ((E19*D19)+T19), "")</f>
        <v/>
      </c>
      <c r="V51" s="47">
        <f>IF(AND( C19="Buy", ISBLANK(W19), B19&lt;&gt;"DIV", NOW()-A19 &gt; 365), D19, "")</f>
        <v/>
      </c>
      <c r="W51" s="41" t="n">
        <v>301.79</v>
      </c>
      <c r="X51" s="38" t="n">
        <v>45820</v>
      </c>
      <c r="Y51" s="46">
        <f>IF(AND( C19="Buy", W19&lt;&gt;"", AA19&lt;&gt;"", B19&lt;&gt;"DIV"), Z19/sum(F19:I19), "")</f>
        <v/>
      </c>
      <c r="Z51" s="54">
        <f>(1-Index!$F$2*2)*((W19*D19)-(E19*D19))</f>
        <v/>
      </c>
      <c r="AA51" s="54">
        <f>((E19*D19)+Z19)</f>
        <v/>
      </c>
      <c r="AB51" s="55">
        <f>D19</f>
        <v/>
      </c>
      <c r="AC51" s="44">
        <f>if(B19="DIV", F19,"")</f>
        <v/>
      </c>
      <c r="AD51" s="56" t="inlineStr">
        <is>
          <t>SBI Securities</t>
        </is>
      </c>
    </row>
    <row r="52">
      <c r="A52" s="50" t="n">
        <v>45694</v>
      </c>
      <c r="B52" s="51" t="inlineStr">
        <is>
          <t>NSE</t>
        </is>
      </c>
      <c r="C52" s="51" t="inlineStr">
        <is>
          <t>Buy</t>
        </is>
      </c>
      <c r="D52" s="52" t="n">
        <v>5</v>
      </c>
      <c r="E52" s="53" t="n">
        <v>237.07</v>
      </c>
      <c r="F52" s="53" t="n">
        <v>1185.36</v>
      </c>
      <c r="G52" s="51" t="inlineStr">
        <is>
          <t>~</t>
        </is>
      </c>
      <c r="H52" s="52" t="n">
        <v>1.18</v>
      </c>
      <c r="I52" s="52" t="n">
        <v>7.18</v>
      </c>
      <c r="J52" s="42">
        <f>Index!$C$2</f>
        <v/>
      </c>
      <c r="K52" s="43">
        <f>IF(AND( C20="Buy", ISBLANK(W20), B20&lt;&gt;"DIV"), L20/sum(F20:I20), "")</f>
        <v/>
      </c>
      <c r="L52" s="44">
        <f>IF(AND( C20="Buy", ISBLANK(W20), B20&lt;&gt;"DIV"), (1-Index!$F$2*2)*((J20*D20)-(E20*D20)), "")</f>
        <v/>
      </c>
      <c r="M52" s="44">
        <f>IF(AND( C20="Buy", ISBLANK(W20), B20&lt;&gt;"DIV"), ((E20*D20)+L20), "")</f>
        <v/>
      </c>
      <c r="N52" s="45">
        <f>IF(AND( C20="Buy", ISBLANK(W20), B20&lt;&gt;"DIV"), D20, "")</f>
        <v/>
      </c>
      <c r="O52" s="43">
        <f>IF(AND( C20="Buy", ISBLANK(W20), B20&lt;&gt;"DIV", NOW()-A20 &lt; 365), P20/sum(F20:I20), "")</f>
        <v/>
      </c>
      <c r="P52" s="44">
        <f>IF(AND( C20="Buy", ISBLANK(W20), B20&lt;&gt;"DIV", NOW()-A20 &lt; 365), (1-Index!$F$2*2)*((J20*D20)-(E20*D20)), "")</f>
        <v/>
      </c>
      <c r="Q52" s="44">
        <f>IF(AND( C20="Buy", ISBLANK(W20), B20&lt;&gt;"DIV", NOW()-A20 &lt; 365), ((E20*D20)+P20), "")</f>
        <v/>
      </c>
      <c r="R52" s="44">
        <f>IF(AND( C20="Buy", ISBLANK(W20), B20&lt;&gt;"DIV", NOW()-A20 &lt; 365), D20, "")</f>
        <v/>
      </c>
      <c r="S52" s="46">
        <f>IF(AND( C20="Buy", ISBLANK(W20), B20&lt;&gt;"DIV", NOW()-A20 &gt; 365), T20/sum(F20:I20), "")</f>
        <v/>
      </c>
      <c r="T52" s="47">
        <f>IF(AND( C20="Buy", ISBLANK(W20), B20&lt;&gt;"DIV", NOW()-A20 &gt; 365), (1-Index!$F$2*2)*((J20*D20)-(E20*D20)), "")</f>
        <v/>
      </c>
      <c r="U52" s="47">
        <f>IF(AND( C20="Buy", ISBLANK(W20), B20&lt;&gt;"DIV", NOW()-A20 &gt; 365), ((E20*D20)+T20), "")</f>
        <v/>
      </c>
      <c r="V52" s="47">
        <f>IF(AND( C20="Buy", ISBLANK(W20), B20&lt;&gt;"DIV", NOW()-A20 &gt; 365), D20, "")</f>
        <v/>
      </c>
      <c r="W52" s="41" t="n">
        <v>301.79</v>
      </c>
      <c r="X52" s="38" t="n">
        <v>45820</v>
      </c>
      <c r="Y52" s="46">
        <f>IF(AND( C20="Buy", W20&lt;&gt;"", AA20&lt;&gt;"", B20&lt;&gt;"DIV"), Z20/sum(F20:I20), "")</f>
        <v/>
      </c>
      <c r="Z52" s="54">
        <f>(1-Index!$F$2*2)*((W20*D20)-(E20*D20))</f>
        <v/>
      </c>
      <c r="AA52" s="54">
        <f>((E20*D20)+Z20)</f>
        <v/>
      </c>
      <c r="AB52" s="55">
        <f>D20</f>
        <v/>
      </c>
      <c r="AC52" s="44">
        <f>if(B20="DIV", F20,"")</f>
        <v/>
      </c>
      <c r="AD52" s="56" t="inlineStr">
        <is>
          <t>SBI Securities</t>
        </is>
      </c>
    </row>
    <row r="53">
      <c r="A53" s="50" t="n">
        <v>45316</v>
      </c>
      <c r="B53" s="51" t="inlineStr">
        <is>
          <t>NSE</t>
        </is>
      </c>
      <c r="C53" s="51" t="inlineStr">
        <is>
          <t>Sell</t>
        </is>
      </c>
      <c r="D53" s="52" t="n">
        <v>50</v>
      </c>
      <c r="E53" s="53" t="n">
        <v>640.52</v>
      </c>
      <c r="F53" s="53" t="n">
        <v>32025.84</v>
      </c>
      <c r="G53" s="51" t="inlineStr">
        <is>
          <t>~</t>
        </is>
      </c>
      <c r="H53" s="52" t="n">
        <v>32.26</v>
      </c>
      <c r="I53" s="52" t="n">
        <v>191.9</v>
      </c>
      <c r="J53" s="42">
        <f>Index!$C$2</f>
        <v/>
      </c>
      <c r="K53" s="43">
        <f>IF(AND( C21="Buy", ISBLANK(W21), B21&lt;&gt;"DIV"), L21/sum(F21:I21), "")</f>
        <v/>
      </c>
      <c r="L53" s="44">
        <f>IF(AND( C21="Buy", ISBLANK(W21), B21&lt;&gt;"DIV"), (1-Index!$F$2*2)*((J21*D21)-(E21*D21)), "")</f>
        <v/>
      </c>
      <c r="M53" s="44">
        <f>IF(AND( C21="Buy", ISBLANK(W21), B21&lt;&gt;"DIV"), ((E21*D21)+L21), "")</f>
        <v/>
      </c>
      <c r="N53" s="45">
        <f>IF(AND( C21="Buy", ISBLANK(W21), B21&lt;&gt;"DIV"), D21, "")</f>
        <v/>
      </c>
      <c r="O53" s="43">
        <f>IF(AND( C21="Buy", ISBLANK(W21), B21&lt;&gt;"DIV", NOW()-A21 &lt; 365), P21/sum(F21:I21), "")</f>
        <v/>
      </c>
      <c r="P53" s="44">
        <f>IF(AND( C21="Buy", ISBLANK(W21), B21&lt;&gt;"DIV", NOW()-A21 &lt; 365), (1-Index!$F$2*2)*((J21*D21)-(E21*D21)), "")</f>
        <v/>
      </c>
      <c r="Q53" s="44">
        <f>IF(AND( C21="Buy", ISBLANK(W21), B21&lt;&gt;"DIV", NOW()-A21 &lt; 365), ((E21*D21)+P21), "")</f>
        <v/>
      </c>
      <c r="R53" s="44">
        <f>IF(AND( C21="Buy", ISBLANK(W21), B21&lt;&gt;"DIV", NOW()-A21 &lt; 365), D21, "")</f>
        <v/>
      </c>
      <c r="S53" s="46">
        <f>IF(AND( C21="Buy", ISBLANK(W21), B21&lt;&gt;"DIV", NOW()-A21 &gt; 365), T21/sum(F21:I21), "")</f>
        <v/>
      </c>
      <c r="T53" s="47">
        <f>IF(AND( C21="Buy", ISBLANK(W21), B21&lt;&gt;"DIV", NOW()-A21 &gt; 365), (1-Index!$F$2*2)*((J21*D21)-(E21*D21)), "")</f>
        <v/>
      </c>
      <c r="U53" s="47">
        <f>IF(AND( C21="Buy", ISBLANK(W21), B21&lt;&gt;"DIV", NOW()-A21 &gt; 365), ((E21*D21)+T21), "")</f>
        <v/>
      </c>
      <c r="V53" s="47">
        <f>IF(AND( C21="Buy", ISBLANK(W21), B21&lt;&gt;"DIV", NOW()-A21 &gt; 365), D21, "")</f>
        <v/>
      </c>
      <c r="W53" s="47" t="n"/>
      <c r="X53" s="47" t="n"/>
      <c r="Y53" s="46">
        <f>IF(AND( C21="Buy", W21&lt;&gt;"", AA21&lt;&gt;"", B21&lt;&gt;"DIV"), Z21/sum(F21:I21), "")</f>
        <v/>
      </c>
      <c r="Z53" s="47" t="n"/>
      <c r="AA53" s="47" t="n"/>
      <c r="AB53" s="48" t="n"/>
      <c r="AC53" s="44">
        <f>if(B21="DIV", F21,"")</f>
        <v/>
      </c>
      <c r="AD53" s="49" t="n"/>
    </row>
    <row r="54">
      <c r="A54" s="57" t="n">
        <v>45238</v>
      </c>
      <c r="B54" s="58" t="inlineStr">
        <is>
          <t>DIV</t>
        </is>
      </c>
      <c r="C54" s="58" t="inlineStr">
        <is>
          <t>Buy</t>
        </is>
      </c>
      <c r="D54" s="60" t="n">
        <v>50</v>
      </c>
      <c r="E54" s="42" t="n">
        <v>4.5</v>
      </c>
      <c r="F54" s="42" t="n">
        <v>225</v>
      </c>
      <c r="G54" s="60" t="inlineStr">
        <is>
          <t>Interim-Dividend of Rs.4.5000/- per share on Ex-Date: 08-NOV-2023</t>
        </is>
      </c>
      <c r="H54" s="60" t="n">
        <v>0</v>
      </c>
      <c r="I54" s="60" t="n">
        <v>0</v>
      </c>
      <c r="J54" s="42">
        <f>Index!$C$2</f>
        <v/>
      </c>
      <c r="K54" s="43">
        <f>IF(AND( C22="Buy", ISBLANK(W22), B22&lt;&gt;"DIV"), L22/sum(F22:I22), "")</f>
        <v/>
      </c>
      <c r="L54" s="44">
        <f>IF(AND( C22="Buy", ISBLANK(W22), B22&lt;&gt;"DIV"), (1-Index!$F$2*2)*((J22*D22)-(E22*D22)), "")</f>
        <v/>
      </c>
      <c r="M54" s="44">
        <f>IF(AND( C22="Buy", ISBLANK(W22), B22&lt;&gt;"DIV"), ((E22*D22)+L22), "")</f>
        <v/>
      </c>
      <c r="N54" s="45">
        <f>IF(AND( C22="Buy", ISBLANK(W22), B22&lt;&gt;"DIV"), D22, "")</f>
        <v/>
      </c>
      <c r="O54" s="43">
        <f>IF(AND( C22="Buy", ISBLANK(W22), B22&lt;&gt;"DIV", NOW()-A22 &lt; 365), P22/sum(F22:I22), "")</f>
        <v/>
      </c>
      <c r="P54" s="44">
        <f>IF(AND( C22="Buy", ISBLANK(W22), B22&lt;&gt;"DIV", NOW()-A22 &lt; 365), (1-Index!$F$2*2)*((J22*D22)-(E22*D22)), "")</f>
        <v/>
      </c>
      <c r="Q54" s="44">
        <f>IF(AND( C22="Buy", ISBLANK(W22), B22&lt;&gt;"DIV", NOW()-A22 &lt; 365), ((E22*D22)+P22), "")</f>
        <v/>
      </c>
      <c r="R54" s="44">
        <f>IF(AND( C22="Buy", ISBLANK(W22), B22&lt;&gt;"DIV", NOW()-A22 &lt; 365), D22, "")</f>
        <v/>
      </c>
      <c r="S54" s="46">
        <f>IF(AND( C22="Buy", ISBLANK(W22), B22&lt;&gt;"DIV", NOW()-A22 &gt; 365), T22/sum(F22:I22), "")</f>
        <v/>
      </c>
      <c r="T54" s="47">
        <f>IF(AND( C22="Buy", ISBLANK(W22), B22&lt;&gt;"DIV", NOW()-A22 &gt; 365), (1-Index!$F$2*2)*((J22*D22)-(E22*D22)), "")</f>
        <v/>
      </c>
      <c r="U54" s="47">
        <f>IF(AND( C22="Buy", ISBLANK(W22), B22&lt;&gt;"DIV", NOW()-A22 &gt; 365), ((E22*D22)+T22), "")</f>
        <v/>
      </c>
      <c r="V54" s="47">
        <f>IF(AND( C22="Buy", ISBLANK(W22), B22&lt;&gt;"DIV", NOW()-A22 &gt; 365), D22, "")</f>
        <v/>
      </c>
      <c r="W54" s="47" t="n"/>
      <c r="X54" s="47" t="n"/>
      <c r="Y54" s="46">
        <f>IF(AND( C22="Buy", W22&lt;&gt;"", AA22&lt;&gt;"", B22&lt;&gt;"DIV"), Z22/sum(F22:I22), "")</f>
        <v/>
      </c>
      <c r="Z54" s="47" t="n"/>
      <c r="AA54" s="47" t="n"/>
      <c r="AB54" s="48" t="n"/>
      <c r="AC54" s="44">
        <f>if(B22="DIV", F22,"")</f>
        <v/>
      </c>
      <c r="AD54" s="56" t="inlineStr">
        <is>
          <t>SBI Securities</t>
        </is>
      </c>
    </row>
    <row r="55">
      <c r="A55" s="57" t="n">
        <v>45225</v>
      </c>
      <c r="B55" s="58" t="inlineStr">
        <is>
          <t>NSE</t>
        </is>
      </c>
      <c r="C55" s="58" t="inlineStr">
        <is>
          <t>Buy</t>
        </is>
      </c>
      <c r="D55" s="60" t="n">
        <v>5</v>
      </c>
      <c r="E55" s="42" t="n">
        <v>434.402</v>
      </c>
      <c r="F55" s="42" t="n">
        <v>2187.44</v>
      </c>
      <c r="G55" s="60" t="inlineStr">
        <is>
          <t>~</t>
        </is>
      </c>
      <c r="H55" s="60" t="n">
        <v>2.19</v>
      </c>
      <c r="I55" s="60" t="n">
        <v>13.25</v>
      </c>
      <c r="J55" s="42">
        <f>Index!$C$2</f>
        <v/>
      </c>
      <c r="K55" s="47" t="n"/>
      <c r="L55" s="47">
        <f>IF(AND( C23="Buy", ISBLANK(W23), B23&lt;&gt;"DIV"), (1-Index!$F$2*2)*((J23*D23)-(E23*D23)), "")</f>
        <v/>
      </c>
      <c r="M55" s="61">
        <f>IF(AND( C23="Buy", ISBLANK(W23), B23&lt;&gt;"DIV"), ((E23*D23)+L23), "")</f>
        <v/>
      </c>
      <c r="N55" s="62">
        <f>IF(AND( C23="Buy", ISBLANK(W23), B23&lt;&gt;"DIV"), D23, "")</f>
        <v/>
      </c>
      <c r="O55" s="61" t="n"/>
      <c r="P55" s="47">
        <f>IF(AND( C23="Buy", ISBLANK(W23), B23&lt;&gt;"DIV", NOW()-A23 &lt; 365), (1-Index!$F$2*2)*((J23*D23)-(E23*D23)), "")</f>
        <v/>
      </c>
      <c r="Q55" s="61">
        <f>IF(AND( C23="Buy", ISBLANK(W23), B23&lt;&gt;"DIV", NOW()-A23 &lt; 365), ((E23*D23)+P23), "")</f>
        <v/>
      </c>
      <c r="R55" s="61">
        <f>IF(AND( C23="Buy", ISBLANK(W23), B23&lt;&gt;"DIV", NOW()-A23 &lt; 365), D23, "")</f>
        <v/>
      </c>
      <c r="S55" s="61" t="n"/>
      <c r="T55" s="61">
        <f>IF(AND( C23="Buy", ISBLANK(W23), B23&lt;&gt;"DIV", NOW()-A23 &gt; 365), (J23*D23)-(E23*D23)-(2*sum(H23:I23)), "")</f>
        <v/>
      </c>
      <c r="U55" s="61">
        <f>IF(AND( C23="Buy", ISBLANK(W23), B23&lt;&gt;"DIV", NOW()-A23 &gt; 365), ((E23*D23)+T23), "")</f>
        <v/>
      </c>
      <c r="V55" s="61">
        <f>IF(AND( C23="Buy", ISBLANK(W23), B23&lt;&gt;"DIV", NOW()-A23 &gt; 365), D23, "")</f>
        <v/>
      </c>
      <c r="W55" s="53" t="n">
        <v>640.52</v>
      </c>
      <c r="X55" s="50" t="n">
        <v>45316</v>
      </c>
      <c r="Y55" s="46">
        <f>IF(AND( C23="Buy", W23&lt;&gt;"", AA23&lt;&gt;"", B23&lt;&gt;"DIV"), Z23/sum(F23:I23), "")</f>
        <v/>
      </c>
      <c r="Z55" s="54">
        <f>(1-Index!$F$2*2)*((W23*D23)-(E23*D23))</f>
        <v/>
      </c>
      <c r="AA55" s="54">
        <f>((E23*D23)+Z23)</f>
        <v/>
      </c>
      <c r="AB55" s="55">
        <f>D23</f>
        <v/>
      </c>
      <c r="AC55" s="44">
        <f>if(B23="DIV", F23,"")</f>
        <v/>
      </c>
      <c r="AD55" s="56" t="inlineStr">
        <is>
          <t>SBI Securities</t>
        </is>
      </c>
    </row>
    <row r="56">
      <c r="A56" s="57" t="n">
        <v>45191</v>
      </c>
      <c r="B56" s="58" t="inlineStr">
        <is>
          <t>NSE</t>
        </is>
      </c>
      <c r="C56" s="58" t="inlineStr">
        <is>
          <t>Buy</t>
        </is>
      </c>
      <c r="D56" s="60" t="n">
        <v>10</v>
      </c>
      <c r="E56" s="42" t="n">
        <v>485.448</v>
      </c>
      <c r="F56" s="42" t="n">
        <v>4889.12</v>
      </c>
      <c r="G56" s="60" t="inlineStr">
        <is>
          <t>~</t>
        </is>
      </c>
      <c r="H56" s="60" t="n">
        <v>4.94</v>
      </c>
      <c r="I56" s="60" t="n">
        <v>29.68</v>
      </c>
      <c r="J56" s="42">
        <f>Index!$C$2</f>
        <v/>
      </c>
      <c r="K56" s="47" t="n"/>
      <c r="L56" s="47">
        <f>IF(AND( C24="Buy", ISBLANK(W24), B24&lt;&gt;"DIV"), (1-Index!$F$2*2)*((J24*D24)-(E24*D24)), "")</f>
        <v/>
      </c>
      <c r="M56" s="61">
        <f>IF(AND( C24="Buy", ISBLANK(W24), B24&lt;&gt;"DIV"), ((E24*D24)+L24), "")</f>
        <v/>
      </c>
      <c r="N56" s="62">
        <f>IF(AND( C24="Buy", ISBLANK(W24), B24&lt;&gt;"DIV"), D24, "")</f>
        <v/>
      </c>
      <c r="O56" s="61" t="n"/>
      <c r="P56" s="47">
        <f>IF(AND( C24="Buy", ISBLANK(W24), B24&lt;&gt;"DIV", NOW()-A24 &lt; 365), (1-Index!$F$2*2)*((J24*D24)-(E24*D24)), "")</f>
        <v/>
      </c>
      <c r="Q56" s="61">
        <f>IF(AND( C24="Buy", ISBLANK(W24), B24&lt;&gt;"DIV", NOW()-A24 &lt; 365), ((E24*D24)+P24), "")</f>
        <v/>
      </c>
      <c r="R56" s="61">
        <f>IF(AND( C24="Buy", ISBLANK(W24), B24&lt;&gt;"DIV", NOW()-A24 &lt; 365), D24, "")</f>
        <v/>
      </c>
      <c r="S56" s="61" t="n"/>
      <c r="T56" s="61">
        <f>IF(AND( C24="Buy", ISBLANK(W24), B24&lt;&gt;"DIV", NOW()-A24 &gt; 365), (J24*D24)-(E24*D24)-(2*sum(H24:I24)), "")</f>
        <v/>
      </c>
      <c r="U56" s="61">
        <f>IF(AND( C24="Buy", ISBLANK(W24), B24&lt;&gt;"DIV", NOW()-A24 &gt; 365), ((E24*D24)+T24), "")</f>
        <v/>
      </c>
      <c r="V56" s="61">
        <f>IF(AND( C24="Buy", ISBLANK(W24), B24&lt;&gt;"DIV", NOW()-A24 &gt; 365), D24, "")</f>
        <v/>
      </c>
      <c r="W56" s="53" t="n">
        <v>640.52</v>
      </c>
      <c r="X56" s="50" t="n">
        <v>45316</v>
      </c>
      <c r="Y56" s="46">
        <f>IF(AND( C24="Buy", W24&lt;&gt;"", AA24&lt;&gt;"", B24&lt;&gt;"DIV"), Z24/sum(F24:I24), "")</f>
        <v/>
      </c>
      <c r="Z56" s="54">
        <f>(1-Index!$F$2*2)*((W24*D24)-(E24*D24))</f>
        <v/>
      </c>
      <c r="AA56" s="54">
        <f>((E24*D24)+Z24)</f>
        <v/>
      </c>
      <c r="AB56" s="55">
        <f>D24</f>
        <v/>
      </c>
      <c r="AC56" s="44">
        <f>if(B24="DIV", F24,"")</f>
        <v/>
      </c>
      <c r="AD56" s="56" t="inlineStr">
        <is>
          <t>SBI Securities</t>
        </is>
      </c>
    </row>
    <row r="57">
      <c r="A57" s="57" t="n">
        <v>45181</v>
      </c>
      <c r="B57" s="58" t="inlineStr">
        <is>
          <t>NSE</t>
        </is>
      </c>
      <c r="C57" s="58" t="inlineStr">
        <is>
          <t>Buy</t>
        </is>
      </c>
      <c r="D57" s="60" t="n">
        <v>5</v>
      </c>
      <c r="E57" s="42" t="n">
        <v>528.498</v>
      </c>
      <c r="F57" s="42" t="n">
        <v>2661.21</v>
      </c>
      <c r="G57" s="60" t="inlineStr">
        <is>
          <t>~</t>
        </is>
      </c>
      <c r="H57" s="60" t="n">
        <v>2.64</v>
      </c>
      <c r="I57" s="60" t="n">
        <v>16.07</v>
      </c>
      <c r="J57" s="42">
        <f>Index!$C$2</f>
        <v/>
      </c>
      <c r="K57" s="47" t="n"/>
      <c r="L57" s="47">
        <f>IF(AND( C25="Buy", ISBLANK(W25), B25&lt;&gt;"DIV"), (1-Index!$F$2*2)*((J25*D25)-(E25*D25)), "")</f>
        <v/>
      </c>
      <c r="M57" s="61">
        <f>IF(AND( C25="Buy", ISBLANK(W25), B25&lt;&gt;"DIV"), ((E25*D25)+L25), "")</f>
        <v/>
      </c>
      <c r="N57" s="62">
        <f>IF(AND( C25="Buy", ISBLANK(W25), B25&lt;&gt;"DIV"), D25, "")</f>
        <v/>
      </c>
      <c r="O57" s="61" t="n"/>
      <c r="P57" s="47">
        <f>IF(AND( C25="Buy", ISBLANK(W25), B25&lt;&gt;"DIV", NOW()-A25 &lt; 365), (1-Index!$F$2*2)*((J25*D25)-(E25*D25)), "")</f>
        <v/>
      </c>
      <c r="Q57" s="61">
        <f>IF(AND( C25="Buy", ISBLANK(W25), B25&lt;&gt;"DIV", NOW()-A25 &lt; 365), ((E25*D25)+P25), "")</f>
        <v/>
      </c>
      <c r="R57" s="61">
        <f>IF(AND( C25="Buy", ISBLANK(W25), B25&lt;&gt;"DIV", NOW()-A25 &lt; 365), D25, "")</f>
        <v/>
      </c>
      <c r="S57" s="61" t="n"/>
      <c r="T57" s="61">
        <f>IF(AND( C25="Buy", ISBLANK(W25), B25&lt;&gt;"DIV", NOW()-A25 &gt; 365), (J25*D25)-(E25*D25)-(2*sum(H25:I25)), "")</f>
        <v/>
      </c>
      <c r="U57" s="61">
        <f>IF(AND( C25="Buy", ISBLANK(W25), B25&lt;&gt;"DIV", NOW()-A25 &gt; 365), ((E25*D25)+T25), "")</f>
        <v/>
      </c>
      <c r="V57" s="61">
        <f>IF(AND( C25="Buy", ISBLANK(W25), B25&lt;&gt;"DIV", NOW()-A25 &gt; 365), D25, "")</f>
        <v/>
      </c>
      <c r="W57" s="53" t="n">
        <v>640.52</v>
      </c>
      <c r="X57" s="50" t="n">
        <v>45316</v>
      </c>
      <c r="Y57" s="46">
        <f>IF(AND( C25="Buy", W25&lt;&gt;"", AA25&lt;&gt;"", B25&lt;&gt;"DIV"), Z25/sum(F25:I25), "")</f>
        <v/>
      </c>
      <c r="Z57" s="54">
        <f>(1-Index!$F$2*2)*((W25*D25)-(E25*D25))</f>
        <v/>
      </c>
      <c r="AA57" s="54">
        <f>((E25*D25)+Z25)</f>
        <v/>
      </c>
      <c r="AB57" s="55">
        <f>D25</f>
        <v/>
      </c>
      <c r="AC57" s="44">
        <f>if(B25="DIV", F25,"")</f>
        <v/>
      </c>
      <c r="AD57" s="56" t="inlineStr">
        <is>
          <t>SBI Securities</t>
        </is>
      </c>
    </row>
    <row r="58">
      <c r="A58" s="57" t="n">
        <v>45177</v>
      </c>
      <c r="B58" s="58" t="inlineStr">
        <is>
          <t>DIV</t>
        </is>
      </c>
      <c r="C58" s="58" t="inlineStr">
        <is>
          <t>Buy</t>
        </is>
      </c>
      <c r="D58" s="60" t="n">
        <v>30</v>
      </c>
      <c r="E58" s="42" t="n">
        <v>6</v>
      </c>
      <c r="F58" s="42" t="n">
        <v>180</v>
      </c>
      <c r="G58" s="60" t="inlineStr">
        <is>
          <t>Final-Dividend of Rs.6.0000/- per share on Ex-Date: 08-SEP-2023</t>
        </is>
      </c>
      <c r="H58" s="60" t="n">
        <v>0</v>
      </c>
      <c r="I58" s="60" t="n">
        <v>0</v>
      </c>
      <c r="J58" s="42">
        <f>Index!$C$2</f>
        <v/>
      </c>
      <c r="K58" s="47" t="n"/>
      <c r="L58" s="47">
        <f>IF(AND( C26="Buy", ISBLANK(W26), B26&lt;&gt;"DIV"), (1-Index!$F$2*2)*((J26*D26)-(E26*D26)), "")</f>
        <v/>
      </c>
      <c r="M58" s="61">
        <f>IF(AND( C26="Buy", ISBLANK(W26), B26&lt;&gt;"DIV"), ((E26*D26)+L26), "")</f>
        <v/>
      </c>
      <c r="N58" s="62">
        <f>IF(AND( C26="Buy", ISBLANK(W26), B26&lt;&gt;"DIV"), D26, "")</f>
        <v/>
      </c>
      <c r="O58" s="61" t="n"/>
      <c r="P58" s="47">
        <f>IF(AND( C26="Buy", ISBLANK(W26), B26&lt;&gt;"DIV", NOW()-A26 &lt; 365), (1-Index!$F$2*2)*((J26*D26)-(E26*D26)), "")</f>
        <v/>
      </c>
      <c r="Q58" s="61">
        <f>IF(AND( C26="Buy", ISBLANK(W26), B26&lt;&gt;"DIV", NOW()-A26 &lt; 365), ((E26*D26)+P26), "")</f>
        <v/>
      </c>
      <c r="R58" s="61">
        <f>IF(AND( C26="Buy", ISBLANK(W26), B26&lt;&gt;"DIV", NOW()-A26 &lt; 365), D26, "")</f>
        <v/>
      </c>
      <c r="S58" s="61" t="n"/>
      <c r="T58" s="61">
        <f>IF(AND( C26="Buy", ISBLANK(W26), B26&lt;&gt;"DIV", NOW()-A26 &gt; 365), (J26*D26)-(E26*D26)-(2*sum(H26:I26)), "")</f>
        <v/>
      </c>
      <c r="U58" s="61">
        <f>IF(AND( C26="Buy", ISBLANK(W26), B26&lt;&gt;"DIV", NOW()-A26 &gt; 365), ((E26*D26)+T26), "")</f>
        <v/>
      </c>
      <c r="V58" s="61">
        <f>IF(AND( C26="Buy", ISBLANK(W26), B26&lt;&gt;"DIV", NOW()-A26 &gt; 365), D26, "")</f>
        <v/>
      </c>
      <c r="W58" s="47" t="n"/>
      <c r="X58" s="47" t="n"/>
      <c r="Y58" s="46">
        <f>IF(AND( C26="Buy", W26&lt;&gt;"", AA26&lt;&gt;"", B26&lt;&gt;"DIV"), Z26/sum(F26:I26), "")</f>
        <v/>
      </c>
      <c r="Z58" s="47" t="n"/>
      <c r="AA58" s="47" t="n"/>
      <c r="AB58" s="48" t="n"/>
      <c r="AC58" s="44">
        <f>if(B26="DIV", F26,"")</f>
        <v/>
      </c>
      <c r="AD58" s="56" t="inlineStr">
        <is>
          <t>SBI Securities</t>
        </is>
      </c>
    </row>
    <row r="59">
      <c r="A59" s="57" t="n">
        <v>45162</v>
      </c>
      <c r="B59" s="58" t="inlineStr">
        <is>
          <t>NSE</t>
        </is>
      </c>
      <c r="C59" s="58" t="inlineStr">
        <is>
          <t>Buy</t>
        </is>
      </c>
      <c r="D59" s="60" t="n">
        <v>1</v>
      </c>
      <c r="E59" s="42" t="n">
        <v>474.2</v>
      </c>
      <c r="F59" s="42" t="n">
        <v>477.55</v>
      </c>
      <c r="G59" s="60" t="inlineStr">
        <is>
          <t>~</t>
        </is>
      </c>
      <c r="H59" s="60" t="n">
        <v>0.47</v>
      </c>
      <c r="I59" s="60" t="n">
        <v>2.88</v>
      </c>
      <c r="J59" s="42">
        <f>Index!$C$2</f>
        <v/>
      </c>
      <c r="K59" s="47" t="n"/>
      <c r="L59" s="47">
        <f>IF(AND( C27="Buy", ISBLANK(W27), B27&lt;&gt;"DIV"), (1-Index!$F$2*2)*((J27*D27)-(E27*D27)), "")</f>
        <v/>
      </c>
      <c r="M59" s="61">
        <f>IF(AND( C27="Buy", ISBLANK(W27), B27&lt;&gt;"DIV"), ((E27*D27)+L27), "")</f>
        <v/>
      </c>
      <c r="N59" s="62">
        <f>IF(AND( C27="Buy", ISBLANK(W27), B27&lt;&gt;"DIV"), D27, "")</f>
        <v/>
      </c>
      <c r="O59" s="61" t="n"/>
      <c r="P59" s="47">
        <f>IF(AND( C27="Buy", ISBLANK(W27), B27&lt;&gt;"DIV", NOW()-A27 &lt; 365), (1-Index!$F$2*2)*((J27*D27)-(E27*D27)), "")</f>
        <v/>
      </c>
      <c r="Q59" s="61">
        <f>IF(AND( C27="Buy", ISBLANK(W27), B27&lt;&gt;"DIV", NOW()-A27 &lt; 365), ((E27*D27)+P27), "")</f>
        <v/>
      </c>
      <c r="R59" s="61">
        <f>IF(AND( C27="Buy", ISBLANK(W27), B27&lt;&gt;"DIV", NOW()-A27 &lt; 365), D27, "")</f>
        <v/>
      </c>
      <c r="S59" s="61" t="n"/>
      <c r="T59" s="61">
        <f>IF(AND( C27="Buy", ISBLANK(W27), B27&lt;&gt;"DIV", NOW()-A27 &gt; 365), (J27*D27)-(E27*D27)-(2*sum(H27:I27)), "")</f>
        <v/>
      </c>
      <c r="U59" s="61">
        <f>IF(AND( C27="Buy", ISBLANK(W27), B27&lt;&gt;"DIV", NOW()-A27 &gt; 365), ((E27*D27)+T27), "")</f>
        <v/>
      </c>
      <c r="V59" s="61">
        <f>IF(AND( C27="Buy", ISBLANK(W27), B27&lt;&gt;"DIV", NOW()-A27 &gt; 365), D27, "")</f>
        <v/>
      </c>
      <c r="W59" s="53" t="n">
        <v>640.52</v>
      </c>
      <c r="X59" s="50" t="n">
        <v>45316</v>
      </c>
      <c r="Y59" s="46">
        <f>IF(AND( C27="Buy", W27&lt;&gt;"", AA27&lt;&gt;"", B27&lt;&gt;"DIV"), Z27/sum(F27:I27), "")</f>
        <v/>
      </c>
      <c r="Z59" s="54">
        <f>(1-Index!$F$2*2)*((W27*D27)-(E27*D27))</f>
        <v/>
      </c>
      <c r="AA59" s="54">
        <f>((E27*D27)+Z27)</f>
        <v/>
      </c>
      <c r="AB59" s="55">
        <f>D27</f>
        <v/>
      </c>
      <c r="AC59" s="44">
        <f>if(B27="DIV", F27,"")</f>
        <v/>
      </c>
      <c r="AD59" s="56" t="inlineStr">
        <is>
          <t>SBI Securities</t>
        </is>
      </c>
    </row>
    <row r="60">
      <c r="A60" s="57" t="n">
        <v>45162</v>
      </c>
      <c r="B60" s="58" t="inlineStr">
        <is>
          <t>NSE</t>
        </is>
      </c>
      <c r="C60" s="58" t="inlineStr">
        <is>
          <t>Buy</t>
        </is>
      </c>
      <c r="D60" s="60" t="n">
        <v>4</v>
      </c>
      <c r="E60" s="42" t="n">
        <v>474</v>
      </c>
      <c r="F60" s="42" t="n">
        <v>1909.44</v>
      </c>
      <c r="G60" s="60" t="inlineStr">
        <is>
          <t>~</t>
        </is>
      </c>
      <c r="H60" s="60" t="n">
        <v>1.88</v>
      </c>
      <c r="I60" s="60" t="n">
        <v>11.56</v>
      </c>
      <c r="J60" s="42">
        <f>Index!$C$2</f>
        <v/>
      </c>
      <c r="K60" s="47" t="n"/>
      <c r="L60" s="47">
        <f>IF(AND( C28="Buy", ISBLANK(W28), B28&lt;&gt;"DIV"), (1-Index!$F$2*2)*((J28*D28)-(E28*D28)), "")</f>
        <v/>
      </c>
      <c r="M60" s="61">
        <f>IF(AND( C28="Buy", ISBLANK(W28), B28&lt;&gt;"DIV"), ((E28*D28)+L28), "")</f>
        <v/>
      </c>
      <c r="N60" s="62">
        <f>IF(AND( C28="Buy", ISBLANK(W28), B28&lt;&gt;"DIV"), D28, "")</f>
        <v/>
      </c>
      <c r="O60" s="61" t="n"/>
      <c r="P60" s="47">
        <f>IF(AND( C28="Buy", ISBLANK(W28), B28&lt;&gt;"DIV", NOW()-A28 &lt; 365), (1-Index!$F$2*2)*((J28*D28)-(E28*D28)), "")</f>
        <v/>
      </c>
      <c r="Q60" s="61">
        <f>IF(AND( C28="Buy", ISBLANK(W28), B28&lt;&gt;"DIV", NOW()-A28 &lt; 365), ((E28*D28)+P28), "")</f>
        <v/>
      </c>
      <c r="R60" s="61">
        <f>IF(AND( C28="Buy", ISBLANK(W28), B28&lt;&gt;"DIV", NOW()-A28 &lt; 365), D28, "")</f>
        <v/>
      </c>
      <c r="S60" s="61" t="n"/>
      <c r="T60" s="61">
        <f>IF(AND( C28="Buy", ISBLANK(W28), B28&lt;&gt;"DIV", NOW()-A28 &gt; 365), (J28*D28)-(E28*D28)-(2*sum(H28:I28)), "")</f>
        <v/>
      </c>
      <c r="U60" s="61">
        <f>IF(AND( C28="Buy", ISBLANK(W28), B28&lt;&gt;"DIV", NOW()-A28 &gt; 365), ((E28*D28)+T28), "")</f>
        <v/>
      </c>
      <c r="V60" s="61">
        <f>IF(AND( C28="Buy", ISBLANK(W28), B28&lt;&gt;"DIV", NOW()-A28 &gt; 365), D28, "")</f>
        <v/>
      </c>
      <c r="W60" s="53" t="n">
        <v>640.52</v>
      </c>
      <c r="X60" s="50" t="n">
        <v>45316</v>
      </c>
      <c r="Y60" s="46">
        <f>IF(AND( C28="Buy", W28&lt;&gt;"", AA28&lt;&gt;"", B28&lt;&gt;"DIV"), Z28/sum(F28:I28), "")</f>
        <v/>
      </c>
      <c r="Z60" s="54">
        <f>(1-Index!$F$2*2)*((W28*D28)-(E28*D28))</f>
        <v/>
      </c>
      <c r="AA60" s="54">
        <f>((E28*D28)+Z28)</f>
        <v/>
      </c>
      <c r="AB60" s="55">
        <f>D28</f>
        <v/>
      </c>
      <c r="AC60" s="44">
        <f>if(B28="DIV", F28,"")</f>
        <v/>
      </c>
      <c r="AD60" s="56" t="inlineStr">
        <is>
          <t>SBI Securities</t>
        </is>
      </c>
    </row>
    <row r="61">
      <c r="A61" s="57" t="n">
        <v>45145</v>
      </c>
      <c r="B61" s="58" t="inlineStr">
        <is>
          <t>DIV</t>
        </is>
      </c>
      <c r="C61" s="58" t="inlineStr">
        <is>
          <t>Buy</t>
        </is>
      </c>
      <c r="D61" s="60" t="n">
        <v>25</v>
      </c>
      <c r="E61" s="42" t="n">
        <v>3.75</v>
      </c>
      <c r="F61" s="42" t="n">
        <v>93.75</v>
      </c>
      <c r="G61" s="60" t="inlineStr">
        <is>
          <t>Interim-Dividend of Rs.3.7500/- per share on Ex-Date: 07-AUG-2023</t>
        </is>
      </c>
      <c r="H61" s="60" t="n">
        <v>0</v>
      </c>
      <c r="I61" s="60" t="n">
        <v>0</v>
      </c>
      <c r="J61" s="42">
        <f>Index!$C$2</f>
        <v/>
      </c>
      <c r="K61" s="47" t="n"/>
      <c r="L61" s="47">
        <f>IF(AND( C29="Buy", ISBLANK(W29), B29&lt;&gt;"DIV"), (1-Index!$F$2*2)*((J29*D29)-(E29*D29)), "")</f>
        <v/>
      </c>
      <c r="M61" s="61">
        <f>IF(AND( C29="Buy", ISBLANK(W29), B29&lt;&gt;"DIV"), ((E29*D29)+L29), "")</f>
        <v/>
      </c>
      <c r="N61" s="62">
        <f>IF(AND( C29="Buy", ISBLANK(W29), B29&lt;&gt;"DIV"), D29, "")</f>
        <v/>
      </c>
      <c r="O61" s="61" t="n"/>
      <c r="P61" s="47">
        <f>IF(AND( C29="Buy", ISBLANK(W29), B29&lt;&gt;"DIV", NOW()-A29 &lt; 365), (1-Index!$F$2*2)*((J29*D29)-(E29*D29)), "")</f>
        <v/>
      </c>
      <c r="Q61" s="61">
        <f>IF(AND( C29="Buy", ISBLANK(W29), B29&lt;&gt;"DIV", NOW()-A29 &lt; 365), ((E29*D29)+P29), "")</f>
        <v/>
      </c>
      <c r="R61" s="61">
        <f>IF(AND( C29="Buy", ISBLANK(W29), B29&lt;&gt;"DIV", NOW()-A29 &lt; 365), D29, "")</f>
        <v/>
      </c>
      <c r="S61" s="61" t="n"/>
      <c r="T61" s="61">
        <f>IF(AND( C29="Buy", ISBLANK(W29), B29&lt;&gt;"DIV", NOW()-A29 &gt; 365), (J29*D29)-(E29*D29)-(2*sum(H29:I29)), "")</f>
        <v/>
      </c>
      <c r="U61" s="61">
        <f>IF(AND( C29="Buy", ISBLANK(W29), B29&lt;&gt;"DIV", NOW()-A29 &gt; 365), ((E29*D29)+T29), "")</f>
        <v/>
      </c>
      <c r="V61" s="61">
        <f>IF(AND( C29="Buy", ISBLANK(W29), B29&lt;&gt;"DIV", NOW()-A29 &gt; 365), D29, "")</f>
        <v/>
      </c>
      <c r="W61" s="47" t="n"/>
      <c r="X61" s="47" t="n"/>
      <c r="Y61" s="46">
        <f>IF(AND( C29="Buy", W29&lt;&gt;"", AA29&lt;&gt;"", B29&lt;&gt;"DIV"), Z29/sum(F29:I29), "")</f>
        <v/>
      </c>
      <c r="Z61" s="47" t="n"/>
      <c r="AA61" s="47" t="n"/>
      <c r="AB61" s="48" t="n"/>
      <c r="AC61" s="44">
        <f>if(B29="DIV", F29,"")</f>
        <v/>
      </c>
      <c r="AD61" s="56" t="inlineStr">
        <is>
          <t>SBI Securities</t>
        </is>
      </c>
    </row>
    <row r="62">
      <c r="A62" s="57" t="n">
        <v>45034</v>
      </c>
      <c r="B62" s="58" t="inlineStr">
        <is>
          <t>NSE</t>
        </is>
      </c>
      <c r="C62" s="58" t="inlineStr">
        <is>
          <t>Buy</t>
        </is>
      </c>
      <c r="D62" s="60" t="n">
        <v>5</v>
      </c>
      <c r="E62" s="42" t="n">
        <v>347.95</v>
      </c>
      <c r="F62" s="42" t="n">
        <v>1752.1</v>
      </c>
      <c r="G62" s="60" t="inlineStr">
        <is>
          <t>~</t>
        </is>
      </c>
      <c r="H62" s="60" t="n">
        <v>1.74</v>
      </c>
      <c r="I62" s="60" t="n">
        <v>10.61</v>
      </c>
      <c r="J62" s="42">
        <f>Index!$C$2</f>
        <v/>
      </c>
      <c r="K62" s="47" t="n"/>
      <c r="L62" s="47">
        <f>IF(AND( C30="Buy", ISBLANK(W30), B30&lt;&gt;"DIV"), (1-Index!$F$2*2)*((J30*D30)-(E30*D30)), "")</f>
        <v/>
      </c>
      <c r="M62" s="61">
        <f>IF(AND( C30="Buy", ISBLANK(W30), B30&lt;&gt;"DIV"), ((E30*D30)+L30), "")</f>
        <v/>
      </c>
      <c r="N62" s="62">
        <f>IF(AND( C30="Buy", ISBLANK(W30), B30&lt;&gt;"DIV"), D30, "")</f>
        <v/>
      </c>
      <c r="O62" s="61" t="n"/>
      <c r="P62" s="47">
        <f>IF(AND( C30="Buy", ISBLANK(W30), B30&lt;&gt;"DIV", NOW()-A30 &lt; 365), (1-Index!$F$2*2)*((J30*D30)-(E30*D30)), "")</f>
        <v/>
      </c>
      <c r="Q62" s="61">
        <f>IF(AND( C30="Buy", ISBLANK(W30), B30&lt;&gt;"DIV", NOW()-A30 &lt; 365), ((E30*D30)+P30), "")</f>
        <v/>
      </c>
      <c r="R62" s="61">
        <f>IF(AND( C30="Buy", ISBLANK(W30), B30&lt;&gt;"DIV", NOW()-A30 &lt; 365), D30, "")</f>
        <v/>
      </c>
      <c r="S62" s="61" t="n"/>
      <c r="T62" s="61">
        <f>IF(AND( C30="Buy", ISBLANK(W30), B30&lt;&gt;"DIV", NOW()-A30 &gt; 365), (J30*D30)-(E30*D30)-(2*sum(H30:I30)), "")</f>
        <v/>
      </c>
      <c r="U62" s="61">
        <f>IF(AND( C30="Buy", ISBLANK(W30), B30&lt;&gt;"DIV", NOW()-A30 &gt; 365), ((E30*D30)+T30), "")</f>
        <v/>
      </c>
      <c r="V62" s="61">
        <f>IF(AND( C30="Buy", ISBLANK(W30), B30&lt;&gt;"DIV", NOW()-A30 &gt; 365), D30, "")</f>
        <v/>
      </c>
      <c r="W62" s="53" t="n">
        <v>640.52</v>
      </c>
      <c r="X62" s="50" t="n">
        <v>45316</v>
      </c>
      <c r="Y62" s="46">
        <f>IF(AND( C30="Buy", W30&lt;&gt;"", AA30&lt;&gt;"", B30&lt;&gt;"DIV"), Z30/sum(F30:I30), "")</f>
        <v/>
      </c>
      <c r="Z62" s="54">
        <f>(1-Index!$F$2*2)*((W30*D30)-(E30*D30))</f>
        <v/>
      </c>
      <c r="AA62" s="54">
        <f>((E30*D30)+Z30)</f>
        <v/>
      </c>
      <c r="AB62" s="55">
        <f>D30</f>
        <v/>
      </c>
      <c r="AC62" s="44">
        <f>if(B30="DIV", F30,"")</f>
        <v/>
      </c>
      <c r="AD62" s="56" t="inlineStr">
        <is>
          <t>SBI Securities</t>
        </is>
      </c>
    </row>
    <row r="63">
      <c r="A63" s="57" t="n">
        <v>44981</v>
      </c>
      <c r="B63" s="58" t="inlineStr">
        <is>
          <t>NSE</t>
        </is>
      </c>
      <c r="C63" s="58" t="inlineStr">
        <is>
          <t>Buy</t>
        </is>
      </c>
      <c r="D63" s="60" t="n">
        <v>10</v>
      </c>
      <c r="E63" s="42" t="n">
        <v>333.751</v>
      </c>
      <c r="F63" s="42" t="n">
        <v>3361.19</v>
      </c>
      <c r="G63" s="60" t="inlineStr">
        <is>
          <t>~</t>
        </is>
      </c>
      <c r="H63" s="60" t="n">
        <v>3.34</v>
      </c>
      <c r="I63" s="60" t="n">
        <v>20.35</v>
      </c>
      <c r="J63" s="42">
        <f>Index!$C$2</f>
        <v/>
      </c>
      <c r="K63" s="47" t="n"/>
      <c r="L63" s="47">
        <f>IF(AND( C31="Buy", ISBLANK(W31), B31&lt;&gt;"DIV"), (1-Index!$F$2*2)*((J31*D31)-(E31*D31)), "")</f>
        <v/>
      </c>
      <c r="M63" s="61">
        <f>IF(AND( C31="Buy", ISBLANK(W31), B31&lt;&gt;"DIV"), ((E31*D31)+L31), "")</f>
        <v/>
      </c>
      <c r="N63" s="62">
        <f>IF(AND( C31="Buy", ISBLANK(W31), B31&lt;&gt;"DIV"), D31, "")</f>
        <v/>
      </c>
      <c r="O63" s="61" t="n"/>
      <c r="P63" s="47">
        <f>IF(AND( C31="Buy", ISBLANK(W31), B31&lt;&gt;"DIV", NOW()-A31 &lt; 365), (1-Index!$F$2*2)*((J31*D31)-(E31*D31)), "")</f>
        <v/>
      </c>
      <c r="Q63" s="61">
        <f>IF(AND( C31="Buy", ISBLANK(W31), B31&lt;&gt;"DIV", NOW()-A31 &lt; 365), ((E31*D31)+P31), "")</f>
        <v/>
      </c>
      <c r="R63" s="61">
        <f>IF(AND( C31="Buy", ISBLANK(W31), B31&lt;&gt;"DIV", NOW()-A31 &lt; 365), D31, "")</f>
        <v/>
      </c>
      <c r="S63" s="61" t="n"/>
      <c r="T63" s="61">
        <f>IF(AND( C31="Buy", ISBLANK(W31), B31&lt;&gt;"DIV", NOW()-A31 &gt; 365), (J31*D31)-(E31*D31)-(2*sum(H31:I31)), "")</f>
        <v/>
      </c>
      <c r="U63" s="61">
        <f>IF(AND( C31="Buy", ISBLANK(W31), B31&lt;&gt;"DIV", NOW()-A31 &gt; 365), ((E31*D31)+T31), "")</f>
        <v/>
      </c>
      <c r="V63" s="61">
        <f>IF(AND( C31="Buy", ISBLANK(W31), B31&lt;&gt;"DIV", NOW()-A31 &gt; 365), D31, "")</f>
        <v/>
      </c>
      <c r="W63" s="53" t="n">
        <v>640.52</v>
      </c>
      <c r="X63" s="50" t="n">
        <v>45316</v>
      </c>
      <c r="Y63" s="46">
        <f>IF(AND( C31="Buy", W31&lt;&gt;"", AA31&lt;&gt;"", B31&lt;&gt;"DIV"), Z31/sum(F31:I31), "")</f>
        <v/>
      </c>
      <c r="Z63" s="54">
        <f>(1-Index!$F$2*2)*((W31*D31)-(E31*D31))</f>
        <v/>
      </c>
      <c r="AA63" s="54">
        <f>((E31*D31)+Z31)</f>
        <v/>
      </c>
      <c r="AB63" s="55">
        <f>D31</f>
        <v/>
      </c>
      <c r="AC63" s="44">
        <f>if(B31="DIV", F31,"")</f>
        <v/>
      </c>
      <c r="AD63" s="56" t="inlineStr">
        <is>
          <t>SBI Securities</t>
        </is>
      </c>
    </row>
    <row r="64">
      <c r="A64" s="57" t="n">
        <v>44974</v>
      </c>
      <c r="B64" s="58" t="inlineStr">
        <is>
          <t>DIV</t>
        </is>
      </c>
      <c r="C64" s="58" t="inlineStr">
        <is>
          <t>Buy</t>
        </is>
      </c>
      <c r="D64" s="60" t="n">
        <v>10</v>
      </c>
      <c r="E64" s="42" t="n">
        <v>6</v>
      </c>
      <c r="F64" s="42" t="n">
        <v>60</v>
      </c>
      <c r="G64" s="60" t="inlineStr">
        <is>
          <t>Interim-Dividend of Rs.6.0000/- per share on Ex-Date: 17-FEB-2023</t>
        </is>
      </c>
      <c r="H64" s="60" t="n">
        <v>0</v>
      </c>
      <c r="I64" s="60" t="n">
        <v>0</v>
      </c>
      <c r="J64" s="42">
        <f>Index!$C$2</f>
        <v/>
      </c>
      <c r="K64" s="47" t="n"/>
      <c r="L64" s="47">
        <f>IF(AND( C32="Buy", ISBLANK(W32), B32&lt;&gt;"DIV"), (1-Index!$F$2*2)*((J32*D32)-(E32*D32)), "")</f>
        <v/>
      </c>
      <c r="M64" s="61">
        <f>IF(AND( C32="Buy", ISBLANK(W32), B32&lt;&gt;"DIV"), ((E32*D32)+L32), "")</f>
        <v/>
      </c>
      <c r="N64" s="62">
        <f>IF(AND( C32="Buy", ISBLANK(W32), B32&lt;&gt;"DIV"), D32, "")</f>
        <v/>
      </c>
      <c r="O64" s="61" t="n"/>
      <c r="P64" s="47">
        <f>IF(AND( C32="Buy", ISBLANK(W32), B32&lt;&gt;"DIV", NOW()-A32 &lt; 365), (1-Index!$F$2*2)*((J32*D32)-(E32*D32)), "")</f>
        <v/>
      </c>
      <c r="Q64" s="61">
        <f>IF(AND( C32="Buy", ISBLANK(W32), B32&lt;&gt;"DIV", NOW()-A32 &lt; 365), ((E32*D32)+P32), "")</f>
        <v/>
      </c>
      <c r="R64" s="61">
        <f>IF(AND( C32="Buy", ISBLANK(W32), B32&lt;&gt;"DIV", NOW()-A32 &lt; 365), D32, "")</f>
        <v/>
      </c>
      <c r="S64" s="61" t="n"/>
      <c r="T64" s="61">
        <f>IF(AND( C32="Buy", ISBLANK(W32), B32&lt;&gt;"DIV", NOW()-A32 &gt; 365), (J32*D32)-(E32*D32)-(2*sum(H32:I32)), "")</f>
        <v/>
      </c>
      <c r="U64" s="61">
        <f>IF(AND( C32="Buy", ISBLANK(W32), B32&lt;&gt;"DIV", NOW()-A32 &gt; 365), ((E32*D32)+T32), "")</f>
        <v/>
      </c>
      <c r="V64" s="61">
        <f>IF(AND( C32="Buy", ISBLANK(W32), B32&lt;&gt;"DIV", NOW()-A32 &gt; 365), D32, "")</f>
        <v/>
      </c>
      <c r="W64" s="47" t="n"/>
      <c r="X64" s="47" t="n"/>
      <c r="Y64" s="46">
        <f>IF(AND( C32="Buy", W32&lt;&gt;"", AA32&lt;&gt;"", B32&lt;&gt;"DIV"), Z32/sum(F32:I32), "")</f>
        <v/>
      </c>
      <c r="Z64" s="47" t="n"/>
      <c r="AA64" s="47" t="n"/>
      <c r="AB64" s="48" t="n"/>
      <c r="AC64" s="44">
        <f>if(B32="DIV", F32,"")</f>
        <v/>
      </c>
      <c r="AD64" s="56" t="inlineStr">
        <is>
          <t>SBI Securities</t>
        </is>
      </c>
    </row>
    <row r="65">
      <c r="A65" s="57" t="n">
        <v>44953</v>
      </c>
      <c r="B65" s="58" t="inlineStr">
        <is>
          <t>NSE</t>
        </is>
      </c>
      <c r="C65" s="58" t="inlineStr">
        <is>
          <t>Buy</t>
        </is>
      </c>
      <c r="D65" s="60" t="n">
        <v>10</v>
      </c>
      <c r="E65" s="42" t="n">
        <v>332.597</v>
      </c>
      <c r="F65" s="42" t="n">
        <v>3349.53</v>
      </c>
      <c r="G65" s="60" t="inlineStr">
        <is>
          <t>~</t>
        </is>
      </c>
      <c r="H65" s="60" t="n">
        <v>3.29</v>
      </c>
      <c r="I65" s="60" t="n">
        <v>20.24</v>
      </c>
      <c r="J65" s="42">
        <f>Index!$C$2</f>
        <v/>
      </c>
      <c r="K65" s="47" t="n"/>
      <c r="L65" s="47">
        <f>IF(AND( C33="Buy", ISBLANK(W33), B33&lt;&gt;"DIV"), (1-Index!$F$2*2)*((J33*D33)-(E33*D33)), "")</f>
        <v/>
      </c>
      <c r="M65" s="61">
        <f>IF(AND( C33="Buy", ISBLANK(W33), B33&lt;&gt;"DIV"), ((E33*D33)+L33), "")</f>
        <v/>
      </c>
      <c r="N65" s="62">
        <f>IF(AND( C33="Buy", ISBLANK(W33), B33&lt;&gt;"DIV"), D33, "")</f>
        <v/>
      </c>
      <c r="O65" s="61" t="n"/>
      <c r="P65" s="47">
        <f>IF(AND( C33="Buy", ISBLANK(W33), B33&lt;&gt;"DIV", NOW()-A33 &lt; 365), (1-Index!$F$2*2)*((J33*D33)-(E33*D33)), "")</f>
        <v/>
      </c>
      <c r="Q65" s="61">
        <f>IF(AND( C33="Buy", ISBLANK(W33), B33&lt;&gt;"DIV", NOW()-A33 &lt; 365), ((E33*D33)+P33), "")</f>
        <v/>
      </c>
      <c r="R65" s="61">
        <f>IF(AND( C33="Buy", ISBLANK(W33), B33&lt;&gt;"DIV", NOW()-A33 &lt; 365), D33, "")</f>
        <v/>
      </c>
      <c r="S65" s="61" t="n"/>
      <c r="T65" s="61">
        <f>IF(AND( C33="Buy", ISBLANK(W33), B33&lt;&gt;"DIV", NOW()-A33 &gt; 365), (J33*D33)-(E33*D33)-(2*sum(H33:I33)), "")</f>
        <v/>
      </c>
      <c r="U65" s="61">
        <f>IF(AND( C33="Buy", ISBLANK(W33), B33&lt;&gt;"DIV", NOW()-A33 &gt; 365), ((E33*D33)+T33), "")</f>
        <v/>
      </c>
      <c r="V65" s="61">
        <f>IF(AND( C33="Buy", ISBLANK(W33), B33&lt;&gt;"DIV", NOW()-A33 &gt; 365), D33, "")</f>
        <v/>
      </c>
      <c r="W65" s="53" t="n">
        <v>640.52</v>
      </c>
      <c r="X65" s="50" t="n">
        <v>45316</v>
      </c>
      <c r="Y65" s="46">
        <f>IF(AND( C33="Buy", W33&lt;&gt;"", AA33&lt;&gt;"", B33&lt;&gt;"DIV"), Z33/sum(F33:I33), "")</f>
        <v/>
      </c>
      <c r="Z65" s="54">
        <f>(1-Index!$F$2*2)*((W33*D33)-(E33*D33))</f>
        <v/>
      </c>
      <c r="AA65" s="54">
        <f>((E33*D33)+Z33)</f>
        <v/>
      </c>
      <c r="AB65" s="55">
        <f>D33</f>
        <v/>
      </c>
      <c r="AC65" s="44">
        <f>if(B33="DIV", F33,"")</f>
        <v/>
      </c>
      <c r="AD65" s="56" t="inlineStr">
        <is>
          <t>SBI Securities</t>
        </is>
      </c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M1028" s="66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M1029" s="66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M1030" s="66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M1031" s="66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M1032" s="66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M1033" s="66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M1034" s="66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M1035" s="66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M1036" s="66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M1037" s="66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M1038" s="66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M1039" s="66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M1040" s="66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M1041" s="66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M1042" s="66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  <row r="1045">
      <c r="E1045" s="63" t="n"/>
      <c r="F1045" s="63" t="n"/>
      <c r="G1045" s="64" t="n"/>
      <c r="J1045" s="63" t="n"/>
      <c r="K1045" s="63" t="n"/>
      <c r="L1045" s="63" t="n"/>
      <c r="W1045" s="63" t="n"/>
      <c r="X1045" s="63" t="n"/>
      <c r="Y1045" s="63" t="n"/>
      <c r="Z1045" s="63" t="n"/>
      <c r="AA1045" s="63" t="n"/>
      <c r="AB1045" s="63" t="n"/>
      <c r="AC1045" s="63" t="n"/>
    </row>
    <row r="1046">
      <c r="E1046" s="63" t="n"/>
      <c r="F1046" s="63" t="n"/>
      <c r="G1046" s="64" t="n"/>
      <c r="J1046" s="63" t="n"/>
      <c r="K1046" s="63" t="n"/>
      <c r="L1046" s="63" t="n"/>
      <c r="W1046" s="63" t="n"/>
      <c r="X1046" s="63" t="n"/>
      <c r="Y1046" s="63" t="n"/>
      <c r="Z1046" s="63" t="n"/>
      <c r="AA1046" s="63" t="n"/>
      <c r="AB1046" s="63" t="n"/>
      <c r="AC1046" s="63" t="n"/>
    </row>
    <row r="1047">
      <c r="E1047" s="63" t="n"/>
      <c r="F1047" s="63" t="n"/>
      <c r="G1047" s="64" t="n"/>
      <c r="J1047" s="63" t="n"/>
      <c r="K1047" s="63" t="n"/>
      <c r="L1047" s="63" t="n"/>
      <c r="W1047" s="63" t="n"/>
      <c r="X1047" s="63" t="n"/>
      <c r="Y1047" s="63" t="n"/>
      <c r="Z1047" s="63" t="n"/>
      <c r="AA1047" s="63" t="n"/>
      <c r="AB1047" s="63" t="n"/>
      <c r="AC1047" s="63" t="n"/>
    </row>
    <row r="1048">
      <c r="E1048" s="63" t="n"/>
      <c r="F1048" s="63" t="n"/>
      <c r="G1048" s="64" t="n"/>
      <c r="J1048" s="63" t="n"/>
      <c r="K1048" s="63" t="n"/>
      <c r="L1048" s="63" t="n"/>
      <c r="W1048" s="63" t="n"/>
      <c r="X1048" s="63" t="n"/>
      <c r="Y1048" s="63" t="n"/>
      <c r="Z1048" s="63" t="n"/>
      <c r="AA1048" s="63" t="n"/>
      <c r="AB1048" s="63" t="n"/>
      <c r="AC1048" s="63" t="n"/>
    </row>
    <row r="1049">
      <c r="E1049" s="63" t="n"/>
      <c r="F1049" s="63" t="n"/>
      <c r="G1049" s="64" t="n"/>
      <c r="J1049" s="63" t="n"/>
      <c r="K1049" s="63" t="n"/>
      <c r="L1049" s="63" t="n"/>
      <c r="W1049" s="63" t="n"/>
      <c r="X1049" s="63" t="n"/>
      <c r="Y1049" s="63" t="n"/>
      <c r="Z1049" s="63" t="n"/>
      <c r="AA1049" s="63" t="n"/>
      <c r="AB1049" s="63" t="n"/>
      <c r="AC1049" s="63" t="n"/>
    </row>
    <row r="1050">
      <c r="E1050" s="63" t="n"/>
      <c r="F1050" s="63" t="n"/>
      <c r="G1050" s="64" t="n"/>
      <c r="J1050" s="63" t="n"/>
      <c r="K1050" s="63" t="n"/>
      <c r="L1050" s="63" t="n"/>
      <c r="W1050" s="63" t="n"/>
      <c r="X1050" s="63" t="n"/>
      <c r="Y1050" s="63" t="n"/>
      <c r="Z1050" s="63" t="n"/>
      <c r="AA1050" s="63" t="n"/>
      <c r="AB1050" s="63" t="n"/>
      <c r="AC1050" s="63" t="n"/>
    </row>
    <row r="1051">
      <c r="E1051" s="63" t="n"/>
      <c r="F1051" s="63" t="n"/>
      <c r="G1051" s="64" t="n"/>
      <c r="J1051" s="63" t="n"/>
      <c r="K1051" s="63" t="n"/>
      <c r="L1051" s="63" t="n"/>
      <c r="W1051" s="63" t="n"/>
      <c r="X1051" s="63" t="n"/>
      <c r="Y1051" s="63" t="n"/>
      <c r="Z1051" s="63" t="n"/>
      <c r="AA1051" s="63" t="n"/>
      <c r="AB1051" s="63" t="n"/>
      <c r="AC1051" s="63" t="n"/>
    </row>
    <row r="1052">
      <c r="E1052" s="63" t="n"/>
      <c r="F1052" s="63" t="n"/>
      <c r="G1052" s="64" t="n"/>
      <c r="J1052" s="63" t="n"/>
      <c r="K1052" s="63" t="n"/>
      <c r="L1052" s="63" t="n"/>
      <c r="W1052" s="63" t="n"/>
      <c r="X1052" s="63" t="n"/>
      <c r="Y1052" s="63" t="n"/>
      <c r="Z1052" s="63" t="n"/>
      <c r="AA1052" s="63" t="n"/>
      <c r="AB1052" s="63" t="n"/>
      <c r="AC1052" s="63" t="n"/>
    </row>
    <row r="1053">
      <c r="E1053" s="63" t="n"/>
      <c r="F1053" s="63" t="n"/>
      <c r="G1053" s="64" t="n"/>
      <c r="J1053" s="63" t="n"/>
      <c r="K1053" s="63" t="n"/>
      <c r="L1053" s="63" t="n"/>
      <c r="W1053" s="63" t="n"/>
      <c r="X1053" s="63" t="n"/>
      <c r="Y1053" s="63" t="n"/>
      <c r="Z1053" s="63" t="n"/>
      <c r="AA1053" s="63" t="n"/>
      <c r="AB1053" s="63" t="n"/>
      <c r="AC1053" s="63" t="n"/>
    </row>
    <row r="1054">
      <c r="E1054" s="63" t="n"/>
      <c r="F1054" s="63" t="n"/>
      <c r="G1054" s="64" t="n"/>
      <c r="J1054" s="63" t="n"/>
      <c r="K1054" s="63" t="n"/>
      <c r="L1054" s="63" t="n"/>
      <c r="W1054" s="63" t="n"/>
      <c r="X1054" s="63" t="n"/>
      <c r="Y1054" s="63" t="n"/>
      <c r="Z1054" s="63" t="n"/>
      <c r="AA1054" s="63" t="n"/>
      <c r="AB1054" s="63" t="n"/>
      <c r="AC1054" s="63" t="n"/>
    </row>
    <row r="1055">
      <c r="E1055" s="63" t="n"/>
      <c r="F1055" s="63" t="n"/>
      <c r="G1055" s="64" t="n"/>
      <c r="J1055" s="63" t="n"/>
      <c r="K1055" s="63" t="n"/>
      <c r="L1055" s="63" t="n"/>
      <c r="W1055" s="63" t="n"/>
      <c r="X1055" s="63" t="n"/>
      <c r="Y1055" s="63" t="n"/>
      <c r="Z1055" s="63" t="n"/>
      <c r="AA1055" s="63" t="n"/>
      <c r="AB1055" s="63" t="n"/>
      <c r="AC1055" s="63" t="n"/>
    </row>
    <row r="1056">
      <c r="E1056" s="63" t="n"/>
      <c r="F1056" s="63" t="n"/>
      <c r="G1056" s="64" t="n"/>
      <c r="J1056" s="63" t="n"/>
      <c r="K1056" s="63" t="n"/>
      <c r="L1056" s="63" t="n"/>
      <c r="W1056" s="63" t="n"/>
      <c r="X1056" s="63" t="n"/>
      <c r="Y1056" s="63" t="n"/>
      <c r="Z1056" s="63" t="n"/>
      <c r="AA1056" s="63" t="n"/>
      <c r="AB1056" s="63" t="n"/>
      <c r="AC1056" s="63" t="n"/>
    </row>
    <row r="1057">
      <c r="E1057" s="63" t="n"/>
      <c r="F1057" s="63" t="n"/>
      <c r="G1057" s="64" t="n"/>
      <c r="J1057" s="63" t="n"/>
      <c r="K1057" s="63" t="n"/>
      <c r="L1057" s="63" t="n"/>
      <c r="W1057" s="63" t="n"/>
      <c r="X1057" s="63" t="n"/>
      <c r="Y1057" s="63" t="n"/>
      <c r="Z1057" s="63" t="n"/>
      <c r="AA1057" s="63" t="n"/>
      <c r="AB1057" s="63" t="n"/>
      <c r="AC1057" s="63" t="n"/>
    </row>
    <row r="1058">
      <c r="E1058" s="63" t="n"/>
      <c r="F1058" s="63" t="n"/>
      <c r="G1058" s="64" t="n"/>
      <c r="J1058" s="63" t="n"/>
      <c r="K1058" s="63" t="n"/>
      <c r="L1058" s="63" t="n"/>
      <c r="W1058" s="63" t="n"/>
      <c r="X1058" s="63" t="n"/>
      <c r="Y1058" s="63" t="n"/>
      <c r="Z1058" s="63" t="n"/>
      <c r="AA1058" s="63" t="n"/>
      <c r="AB1058" s="63" t="n"/>
      <c r="AC1058" s="63" t="n"/>
    </row>
    <row r="1059">
      <c r="E1059" s="63" t="n"/>
      <c r="F1059" s="63" t="n"/>
      <c r="G1059" s="64" t="n"/>
      <c r="J1059" s="63" t="n"/>
      <c r="K1059" s="63" t="n"/>
      <c r="L1059" s="63" t="n"/>
      <c r="W1059" s="63" t="n"/>
      <c r="X1059" s="63" t="n"/>
      <c r="Y1059" s="63" t="n"/>
      <c r="Z1059" s="63" t="n"/>
      <c r="AA1059" s="63" t="n"/>
      <c r="AB1059" s="63" t="n"/>
      <c r="AC1059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223.22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316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192.4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2026-02-07T07:12:27Z</dcterms:created>
  <dcterms:modified xmlns:dcterms="http://purl.org/dc/terms/" xmlns:xsi="http://www.w3.org/2001/XMLSchema-instance" xsi:type="dcterms:W3CDTF">2026-02-12T00:09:55Z</dcterms:modified>
</cp:coreProperties>
</file>