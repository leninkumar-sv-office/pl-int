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History'!$A$4:$AF$67</definedName>
    <definedName hidden="1" localSheetId="1" name="Z_606AF79E_0DE2_4F5D_B2E4_1F7FFA39592C_.wvu.FilterData">'Trading History'!$A$4:$AQ$89</definedName>
  </definedNames>
  <calcPr/>
  <customWorkbookViews>
    <customWorkbookView activeSheetId="0" maximized="1" windowHeight="0" windowWidth="0" guid="{606AF79E-0DE2-4F5D-B2E4-1F7FFA39592C}" name="Filter 1"/>
  </customWorkbookViews>
</workbook>
</file>

<file path=xl/sharedStrings.xml><?xml version="1.0" encoding="utf-8"?>
<sst xmlns="http://schemas.openxmlformats.org/spreadsheetml/2006/main" count="268" uniqueCount="57">
  <si>
    <t>Current Price</t>
  </si>
  <si>
    <t>UnRealised</t>
  </si>
  <si>
    <t>Gain</t>
  </si>
  <si>
    <t>ST Gain</t>
  </si>
  <si>
    <t>LT Gain</t>
  </si>
  <si>
    <t>Units</t>
  </si>
  <si>
    <t>ST Units</t>
  </si>
  <si>
    <t>LT Units</t>
  </si>
  <si>
    <t>Gross</t>
  </si>
  <si>
    <t>ST Gross</t>
  </si>
  <si>
    <t>LT Gross</t>
  </si>
  <si>
    <t>Avg %</t>
  </si>
  <si>
    <t>ST Avg %</t>
  </si>
  <si>
    <t>LT Avg %</t>
  </si>
  <si>
    <t>TPF</t>
  </si>
  <si>
    <t>ST TPF</t>
  </si>
  <si>
    <t>LT TPF</t>
  </si>
  <si>
    <t>UPF</t>
  </si>
  <si>
    <t>ST UPF</t>
  </si>
  <si>
    <t>LT UPF</t>
  </si>
  <si>
    <t>Invested</t>
  </si>
  <si>
    <t>ST Invested</t>
  </si>
  <si>
    <t>LT Invested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</si>
  <si>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</si>
  <si>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</si>
  <si>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</si>
  <si>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</si>
  <si>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</si>
  <si>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</si>
  <si>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</si>
  <si>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</si>
  <si>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</si>
  <si>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</si>
  <si>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</si>
  <si>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</si>
  <si>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</si>
  <si>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</si>
  <si>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 xml:space="preserve"> Gain</t>
  </si>
  <si>
    <t xml:space="preserve"> Gross</t>
  </si>
  <si>
    <t xml:space="preserve"> Units</t>
  </si>
  <si>
    <t xml:space="preserve"> TPF</t>
  </si>
  <si>
    <t xml:space="preserve"> UPF</t>
  </si>
  <si>
    <t>Price</t>
  </si>
  <si>
    <t>Date</t>
  </si>
  <si>
    <t>DIV</t>
  </si>
  <si>
    <t>Broker</t>
  </si>
  <si>
    <t>NSE</t>
  </si>
  <si>
    <t>Buy</t>
  </si>
  <si>
    <t>~</t>
  </si>
  <si>
    <t>SBI Securities</t>
  </si>
  <si>
    <t>Sell</t>
  </si>
  <si>
    <t>BSE</t>
  </si>
  <si>
    <t>Annual-Dividend of Rs.6.2500/- per share on Ex-Date: 03-AUG-2023</t>
  </si>
  <si>
    <t>Dividend of Rs.0.0925/- per share on 20-AUG-2020 Final-Dividend of Rs.0.1000/- per share on Ex-Date: 20-AUG-2020</t>
  </si>
  <si>
    <t>Interim-Dividend of Rs.5.0000/- per share on Ex-Date: 05-MAR-2020</t>
  </si>
  <si>
    <t>Dividend of Rs.4.0000/- per share on 30-JUL-2019</t>
  </si>
  <si>
    <t>Dividend of Rs.6.0000/- per share on 30-JUL-2018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</si>
</sst>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0" numFmtId="164" xfId="0" applyFill="1" applyFont="1" applyNumberForma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3" fillId="3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right" vertical="bottom"/>
    </xf>
    <xf borderId="3" fillId="4" fontId="2" numFmtId="164" xfId="0" applyAlignment="1" applyBorder="1" applyFill="1" applyFont="1" applyNumberFormat="1">
      <alignment vertical="bottom"/>
    </xf>
    <xf borderId="3" fillId="5" fontId="2" numFmtId="164" xfId="0" applyAlignment="1" applyBorder="1" applyFill="1" applyFont="1" applyNumberFormat="1">
      <alignment vertical="bottom"/>
    </xf>
    <xf borderId="3" fillId="6" fontId="2" numFmtId="164" xfId="0" applyAlignment="1" applyBorder="1" applyFill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2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1" numFmtId="10" xfId="0" applyAlignment="1" applyBorder="1" applyFont="1" applyNumberForma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horizontal="center" vertical="top"/>
    </xf>
    <xf borderId="5" fillId="7" fontId="2" numFmtId="0" xfId="0" applyAlignment="1" applyBorder="1" applyFont="1">
      <alignment horizontal="center" vertical="top"/>
    </xf>
    <xf borderId="5" fillId="7" fontId="2" numFmtId="164" xfId="0" applyAlignment="1" applyBorder="1" applyFont="1" applyNumberFormat="1">
      <alignment horizontal="center" vertical="top"/>
    </xf>
    <xf borderId="3" fillId="7" fontId="2" numFmtId="0" xfId="0" applyAlignment="1" applyBorder="1" applyFont="1">
      <alignment horizontal="center" vertical="top"/>
    </xf>
    <xf borderId="5" fillId="3" fontId="2" numFmtId="164" xfId="0" applyAlignment="1" applyBorder="1" applyFont="1" applyNumberFormat="1">
      <alignment horizontal="center" vertical="bottom"/>
    </xf>
    <xf borderId="5" fillId="3" fontId="2" numFmtId="0" xfId="0" applyAlignment="1" applyBorder="1" applyFont="1">
      <alignment horizontal="center" vertical="bottom"/>
    </xf>
    <xf borderId="5" fillId="4" fontId="2" numFmtId="164" xfId="0" applyAlignment="1" applyBorder="1" applyFont="1" applyNumberFormat="1">
      <alignment horizontal="center" vertical="bottom"/>
    </xf>
    <xf borderId="5" fillId="5" fontId="2" numFmtId="164" xfId="0" applyAlignment="1" applyBorder="1" applyFont="1" applyNumberFormat="1">
      <alignment horizontal="center" vertical="bottom"/>
    </xf>
    <xf borderId="5" fillId="6" fontId="2" numFmtId="164" xfId="0" applyAlignment="1" applyBorder="1" applyFont="1" applyNumberForma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8" fontId="2" numFmtId="164" xfId="0" applyAlignment="1" applyBorder="1" applyFill="1" applyFont="1" applyNumberFormat="1">
      <alignment horizontal="center" vertical="bottom"/>
    </xf>
    <xf borderId="6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4" fillId="0" fontId="0" numFmtId="164" xfId="0" applyBorder="1" applyFont="1" applyNumberFormat="1"/>
    <xf borderId="6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5" numFmtId="164" xfId="0" applyBorder="1" applyFont="1" applyNumberFormat="1"/>
    <xf borderId="6" fillId="0" fontId="5" numFmtId="0" xfId="0" applyAlignment="1" applyBorder="1" applyFont="1">
      <alignment vertical="bottom"/>
    </xf>
    <xf borderId="4" fillId="0" fontId="5" numFmtId="0" xfId="0" applyBorder="1" applyFont="1"/>
    <xf borderId="4" fillId="0" fontId="5" numFmtId="4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5" fillId="0" fontId="1" numFmtId="164" xfId="0" applyAlignment="1" applyBorder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6" fillId="0" fontId="5" numFmtId="164" xfId="0" applyAlignment="1" applyBorder="1" applyFont="1" applyNumberFormat="1">
      <alignment vertical="bottom"/>
    </xf>
    <xf borderId="4" fillId="0" fontId="5" numFmtId="165" xfId="0" applyAlignment="1" applyBorder="1" applyFont="1" applyNumberFormat="1">
      <alignment horizontal="left" readingOrder="0" vertical="top"/>
    </xf>
    <xf borderId="0" fillId="0" fontId="6" numFmtId="164" xfId="0" applyFont="1" applyNumberForma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 t="s">
        <v>0</v>
      </c>
      <c r="C2" s="2">
        <f>IFERROR(__xludf.DUMMYFUNCTION("GOOGLEFINANCE(""NSE:AVANTIFEED"", ""price"")"),1191.25)</f>
        <v>1191.25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"/>
      <c r="B4" s="5" t="s">
        <v>1</v>
      </c>
      <c r="C4" s="6"/>
      <c r="D4" s="6"/>
      <c r="E4" s="6"/>
      <c r="F4" s="6"/>
      <c r="G4" s="6"/>
      <c r="H4" s="6"/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"/>
      <c r="C5" s="1"/>
      <c r="D5" s="1"/>
      <c r="E5" s="3"/>
      <c r="F5" s="1"/>
      <c r="G5" s="1"/>
      <c r="H5" s="3"/>
      <c r="I5" s="1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"/>
      <c r="B6" s="8" t="s">
        <v>2</v>
      </c>
      <c r="C6" s="9" t="str">
        <f>sum('Trading History'!J4:J1003)</f>
        <v>#REF!</v>
      </c>
      <c r="D6" s="4"/>
      <c r="E6" s="10" t="s">
        <v>3</v>
      </c>
      <c r="F6" s="9">
        <f>sum('Trading History'!O4:O1003)</f>
        <v>0</v>
      </c>
      <c r="G6" s="4"/>
      <c r="H6" s="11" t="s">
        <v>4</v>
      </c>
      <c r="I6" s="9" t="str">
        <f>sum('Trading History'!T4:T1003)</f>
        <v>#REF!</v>
      </c>
      <c r="J6" s="4"/>
      <c r="K6" s="12" t="s">
        <v>2</v>
      </c>
      <c r="L6" s="9">
        <f>sum('Trading History'!AB4:AB1003)</f>
        <v>38577.88264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"/>
      <c r="B7" s="8" t="s">
        <v>5</v>
      </c>
      <c r="C7" s="13">
        <f>sum('Trading History'!L4:L1003)</f>
        <v>50</v>
      </c>
      <c r="D7" s="4"/>
      <c r="E7" s="10" t="s">
        <v>6</v>
      </c>
      <c r="F7" s="13">
        <f>sum('Trading History'!Q4:Q1003)</f>
        <v>0</v>
      </c>
      <c r="G7" s="4"/>
      <c r="H7" s="11" t="s">
        <v>7</v>
      </c>
      <c r="I7" s="13">
        <f>sum('Trading History'!V4:V1003)</f>
        <v>50</v>
      </c>
      <c r="J7" s="4"/>
      <c r="K7" s="12" t="s">
        <v>5</v>
      </c>
      <c r="L7" s="13">
        <f>sum('Trading History'!AA4:AA1003)</f>
        <v>341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"/>
      <c r="B8" s="8" t="s">
        <v>8</v>
      </c>
      <c r="C8" s="9" t="str">
        <f>sum('Trading History'!K4:K1003)</f>
        <v>#REF!</v>
      </c>
      <c r="D8" s="4"/>
      <c r="E8" s="10" t="s">
        <v>9</v>
      </c>
      <c r="F8" s="9">
        <f>sum('Trading History'!P4:P1003)</f>
        <v>0</v>
      </c>
      <c r="G8" s="4"/>
      <c r="H8" s="11" t="s">
        <v>10</v>
      </c>
      <c r="I8" s="9" t="str">
        <f>sum('Trading History'!U4:U1003)</f>
        <v>#REF!</v>
      </c>
      <c r="J8" s="4"/>
      <c r="K8" s="12" t="s">
        <v>8</v>
      </c>
      <c r="L8" s="9">
        <f>sum('Trading History'!AC4:AC1003)</f>
        <v>179246.795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"/>
      <c r="B9" s="8" t="s">
        <v>11</v>
      </c>
      <c r="C9" s="14" t="str">
        <f>Index!C6/(Index!C7*Index!$C$2)</f>
        <v>#REF!</v>
      </c>
      <c r="D9" s="4"/>
      <c r="E9" s="10" t="s">
        <v>12</v>
      </c>
      <c r="F9" s="14">
        <f>IFERROR(Index!F6/(Index!F7*Index!$C$2), 0)</f>
        <v>0</v>
      </c>
      <c r="G9" s="4"/>
      <c r="H9" s="11" t="s">
        <v>13</v>
      </c>
      <c r="I9" s="14">
        <f>IFERROR(Index!I6/(Index!I7*Index!$C$2), 0)</f>
        <v>0</v>
      </c>
      <c r="J9" s="4"/>
      <c r="K9" s="12" t="s">
        <v>11</v>
      </c>
      <c r="L9" s="14">
        <f>IFERROR(Index!L6/(Index!L7*AVERAGE('Trading History'!Y4:Y1003)),0)</f>
        <v>0.2182984436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"/>
      <c r="B10" s="8" t="s">
        <v>14</v>
      </c>
      <c r="C10" s="15" t="str">
        <f>AVERAGE('Trading History'!M4:M1003)</f>
        <v>#REF!</v>
      </c>
      <c r="D10" s="4"/>
      <c r="E10" s="10" t="s">
        <v>15</v>
      </c>
      <c r="F10" s="15">
        <f>IFERROR(AVERAGE('Trading History'!R4:R1003), 0)</f>
        <v>0</v>
      </c>
      <c r="G10" s="4"/>
      <c r="H10" s="11" t="s">
        <v>16</v>
      </c>
      <c r="I10" s="15">
        <f>IFERROR(AVERAGE('Trading History'!W4:W1003), 0)</f>
        <v>0</v>
      </c>
      <c r="J10" s="4"/>
      <c r="K10" s="12" t="s">
        <v>14</v>
      </c>
      <c r="L10" s="15">
        <f>IFERROR(AVERAGE('Trading History'!AD4:AD1003), 0)</f>
        <v>0.5836189397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"/>
      <c r="B11" s="8" t="s">
        <v>17</v>
      </c>
      <c r="C11" s="15" t="str">
        <f>AVERAGE('Trading History'!N4:N1003)</f>
        <v>#REF!</v>
      </c>
      <c r="D11" s="4"/>
      <c r="E11" s="10" t="s">
        <v>18</v>
      </c>
      <c r="F11" s="15">
        <f>IFERROR(AVERAGE('Trading History'!S4:S1003), 0)</f>
        <v>0</v>
      </c>
      <c r="G11" s="4"/>
      <c r="H11" s="11" t="s">
        <v>19</v>
      </c>
      <c r="I11" s="15">
        <f>IFERROR(AVERAGE('Trading History'!X4:X1003), 0)</f>
        <v>0</v>
      </c>
      <c r="J11" s="4"/>
      <c r="K11" s="12" t="s">
        <v>20</v>
      </c>
      <c r="L11" s="15">
        <f>Index!L8-Index!L6</f>
        <v>140668.9123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"/>
      <c r="B12" s="8" t="s">
        <v>20</v>
      </c>
      <c r="C12" s="9" t="str">
        <f>Index!C8-Index!C6</f>
        <v>#REF!</v>
      </c>
      <c r="D12" s="4"/>
      <c r="E12" s="10" t="s">
        <v>21</v>
      </c>
      <c r="F12" s="9">
        <f>Index!F8-Index!F6</f>
        <v>0</v>
      </c>
      <c r="G12" s="4"/>
      <c r="H12" s="11" t="s">
        <v>22</v>
      </c>
      <c r="I12" s="9" t="str">
        <f>Index!I8-Index!I6</f>
        <v>#REF!</v>
      </c>
      <c r="J12" s="4"/>
      <c r="K12" s="12" t="s">
        <v>23</v>
      </c>
      <c r="L12" s="9">
        <f>SUMIF('Trading History'!B4:B1003,"DIV",'Trading History'!AE:AE)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1">
    <mergeCell ref="B4:I4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22.5"/>
    <col customWidth="1" min="7" max="7" width="7.25"/>
    <col customWidth="1" min="8" max="8" width="6.63"/>
    <col customWidth="1" min="9" max="9" width="12.5"/>
    <col customWidth="1" min="10" max="10" width="10.13"/>
    <col customWidth="1" min="11" max="11" width="8.38"/>
    <col customWidth="1" min="12" max="12" width="7.63"/>
    <col customWidth="1" min="13" max="13" width="6.63"/>
    <col customWidth="1" min="14" max="14" width="6.88"/>
    <col customWidth="1" min="15" max="15" width="9.75"/>
    <col customWidth="1" min="16" max="16" width="8.75"/>
    <col customWidth="1" min="17" max="17" width="8.13"/>
    <col customWidth="1" min="18" max="18" width="7.13"/>
    <col customWidth="1" min="19" max="19" width="7.25"/>
    <col customWidth="1" min="20" max="20" width="9.5"/>
    <col customWidth="1" min="21" max="21" width="8.38"/>
    <col customWidth="1" min="22" max="22" width="7.63"/>
    <col customWidth="1" min="23" max="23" width="6.63"/>
    <col customWidth="1" min="24" max="24" width="6.88"/>
    <col customWidth="1" min="25" max="25" width="7.88"/>
    <col customWidth="1" min="26" max="26" width="10.63"/>
    <col customWidth="1" min="27" max="27" width="7.63"/>
    <col customWidth="1" min="28" max="28" width="8.38"/>
    <col customWidth="1" min="29" max="29" width="9.25"/>
    <col customWidth="1" min="30" max="30" width="6.63"/>
    <col customWidth="1" min="31" max="31" width="7.0"/>
    <col customWidth="1" min="32" max="32" width="16.38"/>
  </cols>
  <sheetData>
    <row r="1">
      <c r="A1" s="16"/>
      <c r="B1" s="17"/>
      <c r="C1" s="1"/>
      <c r="D1" s="18"/>
      <c r="E1" s="17"/>
      <c r="F1" s="17"/>
      <c r="G1" s="17"/>
      <c r="H1" s="17"/>
      <c r="I1" s="17"/>
      <c r="J1" s="19"/>
      <c r="K1" s="3"/>
      <c r="L1" s="3"/>
      <c r="M1" s="19"/>
      <c r="N1" s="19"/>
      <c r="O1" s="19"/>
      <c r="P1" s="3"/>
      <c r="Q1" s="3"/>
      <c r="R1" s="19"/>
      <c r="S1" s="19"/>
      <c r="T1" s="19"/>
      <c r="U1" s="3"/>
      <c r="V1" s="3"/>
      <c r="W1" s="19"/>
      <c r="X1" s="19"/>
      <c r="Y1" s="19"/>
      <c r="Z1" s="19"/>
      <c r="AA1" s="3"/>
      <c r="AB1" s="19"/>
      <c r="AC1" s="19"/>
      <c r="AD1" s="19"/>
      <c r="AE1" s="19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6"/>
      <c r="B2" s="17"/>
      <c r="C2" s="1"/>
      <c r="D2" s="18"/>
      <c r="E2" s="17"/>
      <c r="F2" s="17"/>
      <c r="G2" s="17"/>
      <c r="H2" s="17"/>
      <c r="I2" s="20"/>
      <c r="J2" s="21" t="s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22" t="s">
        <v>24</v>
      </c>
      <c r="AE2" s="23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4"/>
      <c r="B3" s="3"/>
      <c r="C3" s="3"/>
      <c r="D3" s="25"/>
      <c r="E3" s="19"/>
      <c r="F3" s="19"/>
      <c r="G3" s="19"/>
      <c r="H3" s="19"/>
      <c r="I3" s="20"/>
      <c r="J3" s="26" t="s">
        <v>25</v>
      </c>
      <c r="K3" s="6"/>
      <c r="L3" s="6"/>
      <c r="M3" s="6"/>
      <c r="N3" s="7"/>
      <c r="O3" s="27" t="s">
        <v>26</v>
      </c>
      <c r="P3" s="6"/>
      <c r="Q3" s="6"/>
      <c r="R3" s="6"/>
      <c r="S3" s="7"/>
      <c r="T3" s="28" t="s">
        <v>27</v>
      </c>
      <c r="U3" s="6"/>
      <c r="V3" s="6"/>
      <c r="W3" s="6"/>
      <c r="X3" s="7"/>
      <c r="Y3" s="6"/>
      <c r="Z3" s="6"/>
      <c r="AA3" s="6"/>
      <c r="AB3" s="6"/>
      <c r="AC3" s="6"/>
      <c r="AD3" s="6"/>
      <c r="AE3" s="7"/>
      <c r="AF3" s="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29" t="s">
        <v>28</v>
      </c>
      <c r="B4" s="30" t="s">
        <v>29</v>
      </c>
      <c r="C4" s="30" t="s">
        <v>30</v>
      </c>
      <c r="D4" s="30" t="s">
        <v>31</v>
      </c>
      <c r="E4" s="31" t="s">
        <v>32</v>
      </c>
      <c r="F4" s="31" t="s">
        <v>33</v>
      </c>
      <c r="G4" s="30" t="s">
        <v>34</v>
      </c>
      <c r="H4" s="31" t="s">
        <v>35</v>
      </c>
      <c r="I4" s="32" t="s">
        <v>36</v>
      </c>
      <c r="J4" s="33" t="s">
        <v>2</v>
      </c>
      <c r="K4" s="33" t="s">
        <v>8</v>
      </c>
      <c r="L4" s="34" t="s">
        <v>5</v>
      </c>
      <c r="M4" s="33" t="s">
        <v>14</v>
      </c>
      <c r="N4" s="33" t="s">
        <v>17</v>
      </c>
      <c r="O4" s="35" t="s">
        <v>37</v>
      </c>
      <c r="P4" s="35" t="s">
        <v>38</v>
      </c>
      <c r="Q4" s="35" t="s">
        <v>39</v>
      </c>
      <c r="R4" s="35" t="s">
        <v>40</v>
      </c>
      <c r="S4" s="35" t="s">
        <v>41</v>
      </c>
      <c r="T4" s="36" t="s">
        <v>2</v>
      </c>
      <c r="U4" s="36" t="s">
        <v>8</v>
      </c>
      <c r="V4" s="36" t="s">
        <v>5</v>
      </c>
      <c r="W4" s="36" t="s">
        <v>14</v>
      </c>
      <c r="X4" s="36" t="s">
        <v>17</v>
      </c>
      <c r="Y4" s="37" t="s">
        <v>42</v>
      </c>
      <c r="Z4" s="37" t="s">
        <v>43</v>
      </c>
      <c r="AA4" s="38" t="s">
        <v>5</v>
      </c>
      <c r="AB4" s="37" t="s">
        <v>2</v>
      </c>
      <c r="AC4" s="37" t="s">
        <v>8</v>
      </c>
      <c r="AD4" s="37" t="s">
        <v>14</v>
      </c>
      <c r="AE4" s="39" t="s">
        <v>44</v>
      </c>
      <c r="AF4" s="31" t="s">
        <v>45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40">
        <v>45282.0</v>
      </c>
      <c r="B5" s="41" t="s">
        <v>46</v>
      </c>
      <c r="C5" s="41" t="s">
        <v>47</v>
      </c>
      <c r="D5" s="42">
        <v>10.0</v>
      </c>
      <c r="E5" s="43">
        <v>399.296</v>
      </c>
      <c r="F5" s="44">
        <v>4021.34</v>
      </c>
      <c r="G5" s="41" t="s">
        <v>48</v>
      </c>
      <c r="H5" s="45">
        <v>3.99</v>
      </c>
      <c r="I5" s="42">
        <v>24.35</v>
      </c>
      <c r="J5" s="46" t="str">
        <f t="shared" ref="J5:J8" si="1">IF(AND( C5="Buy", ISBLANK(Y5), B5&lt;&gt;"DIV"), (#REF!*D5)-(E5*D5), "")</f>
        <v>#REF!</v>
      </c>
      <c r="K5" s="47" t="str">
        <f t="shared" ref="K5:K40" si="2">IF(AND( C5="Buy", ISBLANK(Y5), B5&lt;&gt;"DIV"), #REF!*D5, "")</f>
        <v>#REF!</v>
      </c>
      <c r="L5" s="48">
        <f t="shared" ref="L5:L40" si="3">IF(AND( C5="Buy", ISBLANK(Y5), B5&lt;&gt;"DIV"), D5, "")</f>
        <v>10</v>
      </c>
      <c r="M5" s="49" t="str">
        <f t="shared" ref="M5:M64" si="4">IF(AND(B5&lt;&gt;"DIV", C5="Buy", ISBLANK(Y5)), J5/(NOW()-A5),"")</f>
        <v>#REF!</v>
      </c>
      <c r="N5" s="50" t="str">
        <f t="shared" ref="N5:N12" si="5">IF(AND(B5&lt;&gt;"DIV", C5="Buy", ISBLANK(Y5)), J5/D5,"")</f>
        <v>#REF!</v>
      </c>
      <c r="O5" s="46" t="str">
        <f t="shared" ref="O5:O12" si="6">IF(AND( C5="Buy", ISBLANK(Y5), B5&lt;&gt;"DIV", NOW()-A5 &lt; 365), (#REF!*D5)-(E5*D5), "")</f>
        <v/>
      </c>
      <c r="P5" s="51" t="str">
        <f t="shared" ref="P5:P12" si="7">IF(AND( C5="Buy", ISBLANK(Y5), B5&lt;&gt;"DIV", NOW()-A5 &lt; 365), #REF!*D5, "")</f>
        <v/>
      </c>
      <c r="Q5" s="51" t="str">
        <f t="shared" ref="Q5:Q12" si="8">IF(AND( C5="Buy", ISBLANK(Y5), B5&lt;&gt;"DIV", NOW()-A5 &lt; 365), D5, "")</f>
        <v/>
      </c>
      <c r="R5" s="52" t="str">
        <f t="shared" ref="R5:R12" si="9">IF(AND(B5&lt;&gt;"DIV", C5="Buy", ISBLANK(Y5), NOW()-A5 &lt; 365), J5/(NOW()-A5),"")</f>
        <v/>
      </c>
      <c r="S5" s="51" t="str">
        <f t="shared" ref="S5:S12" si="10">IF(AND(B5&lt;&gt;"DIV", C5="Buy", ISBLANK(Y5), NOW()-A5 &lt; 365), J5/D5,"")</f>
        <v/>
      </c>
      <c r="T5" s="53" t="str">
        <f t="shared" ref="T5:T12" si="11">IF(AND( C5="Buy", ISBLANK(Y5), B5&lt;&gt;"DIV", NOW()-A5 &gt; 365), (#REF!*D5)-(E5*D5), "")</f>
        <v>#REF!</v>
      </c>
      <c r="U5" s="53" t="str">
        <f t="shared" ref="U5:U12" si="12">IF(AND( C5="Buy", ISBLANK(Y5), B5&lt;&gt;"DIV", NOW()-A5 &gt; 365), #REF!*D5, "")</f>
        <v>#REF!</v>
      </c>
      <c r="V5" s="53">
        <f t="shared" ref="V5:V12" si="13">IF(AND( C5="Buy", ISBLANK(Y5), B5&lt;&gt;"DIV", NOW()-A5 &gt; 365), D5, "")</f>
        <v>10</v>
      </c>
      <c r="W5" s="54" t="str">
        <f t="shared" ref="W5:W12" si="14">IF(AND(B5&lt;&gt;"DIV", C5="Buy", ISBLANK(Y5), NOW()-A5 &gt; 365), J5/(NOW()-A5),"")</f>
        <v>#REF!</v>
      </c>
      <c r="X5" s="53" t="str">
        <f t="shared" ref="X5:X12" si="15">IF(AND(B5&lt;&gt;"DIV", C5="Buy", ISBLANK(Y5), NOW()-A5 &gt; 365), J5/D5,"")</f>
        <v>#REF!</v>
      </c>
      <c r="Y5" s="50"/>
      <c r="Z5" s="46"/>
      <c r="AA5" s="48"/>
      <c r="AB5" s="46"/>
      <c r="AC5" s="46"/>
      <c r="AD5" s="46"/>
      <c r="AE5" s="46" t="str">
        <f t="shared" ref="AE5:AE64" si="16">if(B5="DIV", F5,"")</f>
        <v/>
      </c>
      <c r="AF5" s="55" t="s">
        <v>49</v>
      </c>
    </row>
    <row r="6">
      <c r="A6" s="40">
        <v>45278.0</v>
      </c>
      <c r="B6" s="41" t="s">
        <v>46</v>
      </c>
      <c r="C6" s="41" t="s">
        <v>47</v>
      </c>
      <c r="D6" s="42">
        <v>10.0</v>
      </c>
      <c r="E6" s="43">
        <v>396.805</v>
      </c>
      <c r="F6" s="44">
        <v>3996.05</v>
      </c>
      <c r="G6" s="41" t="s">
        <v>48</v>
      </c>
      <c r="H6" s="45">
        <v>3.96</v>
      </c>
      <c r="I6" s="42">
        <v>24.09</v>
      </c>
      <c r="J6" s="46" t="str">
        <f t="shared" si="1"/>
        <v>#REF!</v>
      </c>
      <c r="K6" s="56" t="str">
        <f t="shared" si="2"/>
        <v>#REF!</v>
      </c>
      <c r="L6" s="48">
        <f t="shared" si="3"/>
        <v>10</v>
      </c>
      <c r="M6" s="49" t="str">
        <f t="shared" si="4"/>
        <v>#REF!</v>
      </c>
      <c r="N6" s="50" t="str">
        <f t="shared" si="5"/>
        <v>#REF!</v>
      </c>
      <c r="O6" s="46" t="str">
        <f t="shared" si="6"/>
        <v/>
      </c>
      <c r="P6" s="51" t="str">
        <f t="shared" si="7"/>
        <v/>
      </c>
      <c r="Q6" s="51" t="str">
        <f t="shared" si="8"/>
        <v/>
      </c>
      <c r="R6" s="52" t="str">
        <f t="shared" si="9"/>
        <v/>
      </c>
      <c r="S6" s="51" t="str">
        <f t="shared" si="10"/>
        <v/>
      </c>
      <c r="T6" s="53" t="str">
        <f t="shared" si="11"/>
        <v>#REF!</v>
      </c>
      <c r="U6" s="53" t="str">
        <f t="shared" si="12"/>
        <v>#REF!</v>
      </c>
      <c r="V6" s="53">
        <f t="shared" si="13"/>
        <v>10</v>
      </c>
      <c r="W6" s="54" t="str">
        <f t="shared" si="14"/>
        <v>#REF!</v>
      </c>
      <c r="X6" s="53" t="str">
        <f t="shared" si="15"/>
        <v>#REF!</v>
      </c>
      <c r="Y6" s="50"/>
      <c r="Z6" s="46"/>
      <c r="AA6" s="48"/>
      <c r="AB6" s="46"/>
      <c r="AC6" s="46"/>
      <c r="AD6" s="46"/>
      <c r="AE6" s="46" t="str">
        <f t="shared" si="16"/>
        <v/>
      </c>
      <c r="AF6" s="55" t="s">
        <v>49</v>
      </c>
    </row>
    <row r="7">
      <c r="A7" s="40">
        <v>45258.0</v>
      </c>
      <c r="B7" s="41" t="s">
        <v>46</v>
      </c>
      <c r="C7" s="41" t="s">
        <v>47</v>
      </c>
      <c r="D7" s="42">
        <v>7.0</v>
      </c>
      <c r="E7" s="43">
        <v>396.4</v>
      </c>
      <c r="F7" s="44">
        <v>2794.47</v>
      </c>
      <c r="G7" s="41" t="s">
        <v>48</v>
      </c>
      <c r="H7" s="45">
        <v>2.77</v>
      </c>
      <c r="I7" s="42">
        <v>16.9</v>
      </c>
      <c r="J7" s="46" t="str">
        <f t="shared" si="1"/>
        <v>#REF!</v>
      </c>
      <c r="K7" s="56" t="str">
        <f t="shared" si="2"/>
        <v>#REF!</v>
      </c>
      <c r="L7" s="48">
        <f t="shared" si="3"/>
        <v>7</v>
      </c>
      <c r="M7" s="49" t="str">
        <f t="shared" si="4"/>
        <v>#REF!</v>
      </c>
      <c r="N7" s="50" t="str">
        <f t="shared" si="5"/>
        <v>#REF!</v>
      </c>
      <c r="O7" s="46" t="str">
        <f t="shared" si="6"/>
        <v/>
      </c>
      <c r="P7" s="51" t="str">
        <f t="shared" si="7"/>
        <v/>
      </c>
      <c r="Q7" s="51" t="str">
        <f t="shared" si="8"/>
        <v/>
      </c>
      <c r="R7" s="52" t="str">
        <f t="shared" si="9"/>
        <v/>
      </c>
      <c r="S7" s="51" t="str">
        <f t="shared" si="10"/>
        <v/>
      </c>
      <c r="T7" s="53" t="str">
        <f t="shared" si="11"/>
        <v>#REF!</v>
      </c>
      <c r="U7" s="53" t="str">
        <f t="shared" si="12"/>
        <v>#REF!</v>
      </c>
      <c r="V7" s="53">
        <f t="shared" si="13"/>
        <v>7</v>
      </c>
      <c r="W7" s="54" t="str">
        <f t="shared" si="14"/>
        <v>#REF!</v>
      </c>
      <c r="X7" s="53" t="str">
        <f t="shared" si="15"/>
        <v>#REF!</v>
      </c>
      <c r="Y7" s="50"/>
      <c r="Z7" s="46"/>
      <c r="AA7" s="48"/>
      <c r="AB7" s="46"/>
      <c r="AC7" s="46"/>
      <c r="AD7" s="46"/>
      <c r="AE7" s="46" t="str">
        <f t="shared" si="16"/>
        <v/>
      </c>
      <c r="AF7" s="55" t="s">
        <v>49</v>
      </c>
    </row>
    <row r="8">
      <c r="A8" s="40">
        <v>45225.0</v>
      </c>
      <c r="B8" s="41" t="s">
        <v>46</v>
      </c>
      <c r="C8" s="41" t="s">
        <v>47</v>
      </c>
      <c r="D8" s="42">
        <v>4.0</v>
      </c>
      <c r="E8" s="43">
        <v>389.605</v>
      </c>
      <c r="F8" s="44">
        <v>1569.46</v>
      </c>
      <c r="G8" s="41" t="s">
        <v>48</v>
      </c>
      <c r="H8" s="45">
        <v>1.57</v>
      </c>
      <c r="I8" s="42">
        <v>9.49</v>
      </c>
      <c r="J8" s="46" t="str">
        <f t="shared" si="1"/>
        <v>#REF!</v>
      </c>
      <c r="K8" s="56" t="str">
        <f t="shared" si="2"/>
        <v>#REF!</v>
      </c>
      <c r="L8" s="48">
        <f t="shared" si="3"/>
        <v>4</v>
      </c>
      <c r="M8" s="49" t="str">
        <f t="shared" si="4"/>
        <v>#REF!</v>
      </c>
      <c r="N8" s="50" t="str">
        <f t="shared" si="5"/>
        <v>#REF!</v>
      </c>
      <c r="O8" s="46" t="str">
        <f t="shared" si="6"/>
        <v/>
      </c>
      <c r="P8" s="51" t="str">
        <f t="shared" si="7"/>
        <v/>
      </c>
      <c r="Q8" s="51" t="str">
        <f t="shared" si="8"/>
        <v/>
      </c>
      <c r="R8" s="52" t="str">
        <f t="shared" si="9"/>
        <v/>
      </c>
      <c r="S8" s="51" t="str">
        <f t="shared" si="10"/>
        <v/>
      </c>
      <c r="T8" s="53" t="str">
        <f t="shared" si="11"/>
        <v>#REF!</v>
      </c>
      <c r="U8" s="53" t="str">
        <f t="shared" si="12"/>
        <v>#REF!</v>
      </c>
      <c r="V8" s="53">
        <f t="shared" si="13"/>
        <v>4</v>
      </c>
      <c r="W8" s="54" t="str">
        <f t="shared" si="14"/>
        <v>#REF!</v>
      </c>
      <c r="X8" s="53" t="str">
        <f t="shared" si="15"/>
        <v>#REF!</v>
      </c>
      <c r="Y8" s="50"/>
      <c r="Z8" s="46"/>
      <c r="AA8" s="48"/>
      <c r="AB8" s="46" t="str">
        <f t="shared" ref="AB8:AB10" si="17">if(B8="DIV", F8,"")</f>
        <v/>
      </c>
      <c r="AC8" s="46"/>
      <c r="AD8" s="46"/>
      <c r="AE8" s="46" t="str">
        <f t="shared" si="16"/>
        <v/>
      </c>
      <c r="AF8" s="55" t="s">
        <v>49</v>
      </c>
    </row>
    <row r="9">
      <c r="A9" s="40">
        <v>45183.0</v>
      </c>
      <c r="B9" s="41" t="s">
        <v>46</v>
      </c>
      <c r="C9" s="41" t="s">
        <v>50</v>
      </c>
      <c r="D9" s="42">
        <v>36.0</v>
      </c>
      <c r="E9" s="43">
        <v>456.382222</v>
      </c>
      <c r="F9" s="44">
        <v>16545.32</v>
      </c>
      <c r="G9" s="41" t="s">
        <v>48</v>
      </c>
      <c r="H9" s="45">
        <v>16.68</v>
      </c>
      <c r="I9" s="42">
        <v>98.8</v>
      </c>
      <c r="J9" s="46" t="str">
        <f>IF(AND( C9="Buy", ISBLANK(Y9), B9&lt;&gt;"DIV"), ((#REF!*D9)-(E9*D9)+I9), "")</f>
        <v/>
      </c>
      <c r="K9" s="56" t="str">
        <f t="shared" si="2"/>
        <v/>
      </c>
      <c r="L9" s="48" t="str">
        <f t="shared" si="3"/>
        <v/>
      </c>
      <c r="M9" s="49" t="str">
        <f t="shared" si="4"/>
        <v/>
      </c>
      <c r="N9" s="50" t="str">
        <f t="shared" si="5"/>
        <v/>
      </c>
      <c r="O9" s="46" t="str">
        <f t="shared" si="6"/>
        <v/>
      </c>
      <c r="P9" s="51" t="str">
        <f t="shared" si="7"/>
        <v/>
      </c>
      <c r="Q9" s="51" t="str">
        <f t="shared" si="8"/>
        <v/>
      </c>
      <c r="R9" s="52" t="str">
        <f t="shared" si="9"/>
        <v/>
      </c>
      <c r="S9" s="51" t="str">
        <f t="shared" si="10"/>
        <v/>
      </c>
      <c r="T9" s="53" t="str">
        <f t="shared" si="11"/>
        <v/>
      </c>
      <c r="U9" s="53" t="str">
        <f t="shared" si="12"/>
        <v/>
      </c>
      <c r="V9" s="53" t="str">
        <f t="shared" si="13"/>
        <v/>
      </c>
      <c r="W9" s="54" t="str">
        <f t="shared" si="14"/>
        <v/>
      </c>
      <c r="X9" s="53" t="str">
        <f t="shared" si="15"/>
        <v/>
      </c>
      <c r="Y9" s="50"/>
      <c r="Z9" s="46"/>
      <c r="AA9" s="48"/>
      <c r="AB9" s="46" t="str">
        <f t="shared" si="17"/>
        <v/>
      </c>
      <c r="AC9" s="46"/>
      <c r="AD9" s="46"/>
      <c r="AE9" s="46" t="str">
        <f t="shared" si="16"/>
        <v/>
      </c>
      <c r="AF9" s="55" t="s">
        <v>49</v>
      </c>
    </row>
    <row r="10">
      <c r="A10" s="40">
        <v>45181.0</v>
      </c>
      <c r="B10" s="41" t="s">
        <v>51</v>
      </c>
      <c r="C10" s="41" t="s">
        <v>47</v>
      </c>
      <c r="D10" s="42">
        <v>4.0</v>
      </c>
      <c r="E10" s="43">
        <v>430.9025</v>
      </c>
      <c r="F10" s="44">
        <v>1735.79</v>
      </c>
      <c r="G10" s="41" t="s">
        <v>48</v>
      </c>
      <c r="H10" s="45">
        <v>1.72</v>
      </c>
      <c r="I10" s="42">
        <v>10.47</v>
      </c>
      <c r="J10" s="46" t="str">
        <f t="shared" ref="J10:J12" si="18">IF(AND( C10="Buy", ISBLANK(Y10), B10&lt;&gt;"DIV"), (#REF!*D10)-(E10*D10), "")</f>
        <v>#REF!</v>
      </c>
      <c r="K10" s="56" t="str">
        <f t="shared" si="2"/>
        <v>#REF!</v>
      </c>
      <c r="L10" s="48">
        <f t="shared" si="3"/>
        <v>4</v>
      </c>
      <c r="M10" s="49" t="str">
        <f t="shared" si="4"/>
        <v>#REF!</v>
      </c>
      <c r="N10" s="50" t="str">
        <f t="shared" si="5"/>
        <v>#REF!</v>
      </c>
      <c r="O10" s="46" t="str">
        <f t="shared" si="6"/>
        <v/>
      </c>
      <c r="P10" s="51" t="str">
        <f t="shared" si="7"/>
        <v/>
      </c>
      <c r="Q10" s="51" t="str">
        <f t="shared" si="8"/>
        <v/>
      </c>
      <c r="R10" s="52" t="str">
        <f t="shared" si="9"/>
        <v/>
      </c>
      <c r="S10" s="51" t="str">
        <f t="shared" si="10"/>
        <v/>
      </c>
      <c r="T10" s="53" t="str">
        <f t="shared" si="11"/>
        <v>#REF!</v>
      </c>
      <c r="U10" s="53" t="str">
        <f t="shared" si="12"/>
        <v>#REF!</v>
      </c>
      <c r="V10" s="53">
        <f t="shared" si="13"/>
        <v>4</v>
      </c>
      <c r="W10" s="54" t="str">
        <f t="shared" si="14"/>
        <v>#REF!</v>
      </c>
      <c r="X10" s="53" t="str">
        <f t="shared" si="15"/>
        <v>#REF!</v>
      </c>
      <c r="Y10" s="50"/>
      <c r="Z10" s="46"/>
      <c r="AA10" s="48"/>
      <c r="AB10" s="46" t="str">
        <f t="shared" si="17"/>
        <v/>
      </c>
      <c r="AC10" s="46"/>
      <c r="AD10" s="46"/>
      <c r="AE10" s="46" t="str">
        <f t="shared" si="16"/>
        <v/>
      </c>
      <c r="AF10" s="55" t="s">
        <v>49</v>
      </c>
    </row>
    <row r="11">
      <c r="A11" s="40">
        <v>45180.0</v>
      </c>
      <c r="B11" s="41" t="s">
        <v>46</v>
      </c>
      <c r="C11" s="41" t="s">
        <v>47</v>
      </c>
      <c r="D11" s="42">
        <v>10.0</v>
      </c>
      <c r="E11" s="43">
        <v>441.304</v>
      </c>
      <c r="F11" s="44">
        <v>4444.36</v>
      </c>
      <c r="G11" s="41" t="s">
        <v>48</v>
      </c>
      <c r="H11" s="45">
        <v>4.4</v>
      </c>
      <c r="I11" s="42">
        <v>26.96</v>
      </c>
      <c r="J11" s="46" t="str">
        <f t="shared" si="18"/>
        <v>#REF!</v>
      </c>
      <c r="K11" s="56" t="str">
        <f t="shared" si="2"/>
        <v>#REF!</v>
      </c>
      <c r="L11" s="48">
        <f t="shared" si="3"/>
        <v>10</v>
      </c>
      <c r="M11" s="49" t="str">
        <f t="shared" si="4"/>
        <v>#REF!</v>
      </c>
      <c r="N11" s="50" t="str">
        <f t="shared" si="5"/>
        <v>#REF!</v>
      </c>
      <c r="O11" s="46" t="str">
        <f t="shared" si="6"/>
        <v/>
      </c>
      <c r="P11" s="51" t="str">
        <f t="shared" si="7"/>
        <v/>
      </c>
      <c r="Q11" s="51" t="str">
        <f t="shared" si="8"/>
        <v/>
      </c>
      <c r="R11" s="52" t="str">
        <f t="shared" si="9"/>
        <v/>
      </c>
      <c r="S11" s="51" t="str">
        <f t="shared" si="10"/>
        <v/>
      </c>
      <c r="T11" s="53" t="str">
        <f t="shared" si="11"/>
        <v>#REF!</v>
      </c>
      <c r="U11" s="53" t="str">
        <f t="shared" si="12"/>
        <v>#REF!</v>
      </c>
      <c r="V11" s="53">
        <f t="shared" si="13"/>
        <v>10</v>
      </c>
      <c r="W11" s="54" t="str">
        <f t="shared" si="14"/>
        <v>#REF!</v>
      </c>
      <c r="X11" s="53" t="str">
        <f t="shared" si="15"/>
        <v>#REF!</v>
      </c>
      <c r="Y11" s="50"/>
      <c r="Z11" s="46"/>
      <c r="AA11" s="48"/>
      <c r="AB11" s="46"/>
      <c r="AC11" s="46"/>
      <c r="AD11" s="46"/>
      <c r="AE11" s="46" t="str">
        <f t="shared" si="16"/>
        <v/>
      </c>
      <c r="AF11" s="55" t="s">
        <v>49</v>
      </c>
    </row>
    <row r="12">
      <c r="A12" s="40">
        <v>45162.0</v>
      </c>
      <c r="B12" s="41" t="s">
        <v>51</v>
      </c>
      <c r="C12" s="41" t="s">
        <v>47</v>
      </c>
      <c r="D12" s="42">
        <v>5.0</v>
      </c>
      <c r="E12" s="43">
        <v>430.0</v>
      </c>
      <c r="F12" s="44">
        <v>2165.25</v>
      </c>
      <c r="G12" s="41" t="s">
        <v>48</v>
      </c>
      <c r="H12" s="45">
        <v>2.13</v>
      </c>
      <c r="I12" s="42">
        <v>13.12</v>
      </c>
      <c r="J12" s="46" t="str">
        <f t="shared" si="18"/>
        <v>#REF!</v>
      </c>
      <c r="K12" s="56" t="str">
        <f t="shared" si="2"/>
        <v>#REF!</v>
      </c>
      <c r="L12" s="48">
        <f t="shared" si="3"/>
        <v>5</v>
      </c>
      <c r="M12" s="49" t="str">
        <f t="shared" si="4"/>
        <v>#REF!</v>
      </c>
      <c r="N12" s="50" t="str">
        <f t="shared" si="5"/>
        <v>#REF!</v>
      </c>
      <c r="O12" s="46" t="str">
        <f t="shared" si="6"/>
        <v/>
      </c>
      <c r="P12" s="51" t="str">
        <f t="shared" si="7"/>
        <v/>
      </c>
      <c r="Q12" s="51" t="str">
        <f t="shared" si="8"/>
        <v/>
      </c>
      <c r="R12" s="52" t="str">
        <f t="shared" si="9"/>
        <v/>
      </c>
      <c r="S12" s="51" t="str">
        <f t="shared" si="10"/>
        <v/>
      </c>
      <c r="T12" s="53" t="str">
        <f t="shared" si="11"/>
        <v>#REF!</v>
      </c>
      <c r="U12" s="53" t="str">
        <f t="shared" si="12"/>
        <v>#REF!</v>
      </c>
      <c r="V12" s="53">
        <f t="shared" si="13"/>
        <v>5</v>
      </c>
      <c r="W12" s="54" t="str">
        <f t="shared" si="14"/>
        <v>#REF!</v>
      </c>
      <c r="X12" s="53" t="str">
        <f t="shared" si="15"/>
        <v>#REF!</v>
      </c>
      <c r="Y12" s="50"/>
      <c r="Z12" s="46"/>
      <c r="AA12" s="48"/>
      <c r="AB12" s="46"/>
      <c r="AC12" s="46"/>
      <c r="AD12" s="46"/>
      <c r="AE12" s="46" t="str">
        <f t="shared" si="16"/>
        <v/>
      </c>
      <c r="AF12" s="55" t="s">
        <v>49</v>
      </c>
    </row>
    <row r="13">
      <c r="A13" s="40">
        <v>45141.0</v>
      </c>
      <c r="B13" s="41" t="s">
        <v>44</v>
      </c>
      <c r="C13" s="41" t="s">
        <v>47</v>
      </c>
      <c r="D13" s="42">
        <v>26.0</v>
      </c>
      <c r="E13" s="43">
        <v>6.25</v>
      </c>
      <c r="F13" s="44">
        <v>162.5</v>
      </c>
      <c r="G13" s="41" t="s">
        <v>52</v>
      </c>
      <c r="H13" s="45">
        <v>0.0</v>
      </c>
      <c r="I13" s="42">
        <v>0.0</v>
      </c>
      <c r="J13" s="46" t="str">
        <f t="shared" ref="J13:J40" si="22">IF(AND( C13="Buy", ISBLANK(Y13), B13&lt;&gt;"DIV"), ((#REF!*D13)-(E13*D13)+I13), "")</f>
        <v/>
      </c>
      <c r="K13" s="56" t="str">
        <f t="shared" si="2"/>
        <v/>
      </c>
      <c r="L13" s="48" t="str">
        <f t="shared" si="3"/>
        <v/>
      </c>
      <c r="M13" s="49" t="str">
        <f t="shared" si="4"/>
        <v/>
      </c>
      <c r="N13" s="50"/>
      <c r="O13" s="46" t="str">
        <f t="shared" ref="O13:Q13" si="19">if(C13="DIV", G13,"")</f>
        <v/>
      </c>
      <c r="P13" s="46" t="str">
        <f t="shared" si="19"/>
        <v/>
      </c>
      <c r="Q13" s="46" t="str">
        <f t="shared" si="19"/>
        <v/>
      </c>
      <c r="R13" s="46" t="str">
        <f t="shared" ref="R13:R64" si="24">if(#REF!="DIV", J13,"")</f>
        <v>#REF!</v>
      </c>
      <c r="S13" s="46" t="str">
        <f t="shared" ref="S13:V13" si="20">if(F13="DIV", K13,"")</f>
        <v/>
      </c>
      <c r="T13" s="46" t="str">
        <f t="shared" si="20"/>
        <v/>
      </c>
      <c r="U13" s="46" t="str">
        <f t="shared" si="20"/>
        <v/>
      </c>
      <c r="V13" s="46" t="str">
        <f t="shared" si="20"/>
        <v/>
      </c>
      <c r="W13" s="46" t="str">
        <f t="shared" ref="W13:X13" si="21">if(J13="DIV", Y13,"")</f>
        <v/>
      </c>
      <c r="X13" s="46" t="str">
        <f t="shared" si="21"/>
        <v/>
      </c>
      <c r="Y13" s="50"/>
      <c r="Z13" s="46"/>
      <c r="AA13" s="48"/>
      <c r="AB13" s="46"/>
      <c r="AC13" s="46"/>
      <c r="AD13" s="46"/>
      <c r="AE13" s="46">
        <f t="shared" si="16"/>
        <v>162.5</v>
      </c>
      <c r="AF13" s="55" t="s">
        <v>49</v>
      </c>
    </row>
    <row r="14">
      <c r="A14" s="40">
        <v>45141.0</v>
      </c>
      <c r="B14" s="41" t="s">
        <v>44</v>
      </c>
      <c r="C14" s="41" t="s">
        <v>47</v>
      </c>
      <c r="D14" s="42">
        <v>10.0</v>
      </c>
      <c r="E14" s="43">
        <v>6.25</v>
      </c>
      <c r="F14" s="44">
        <v>62.5</v>
      </c>
      <c r="G14" s="41" t="s">
        <v>52</v>
      </c>
      <c r="H14" s="45">
        <v>0.0</v>
      </c>
      <c r="I14" s="42">
        <v>0.0</v>
      </c>
      <c r="J14" s="46" t="str">
        <f t="shared" si="22"/>
        <v/>
      </c>
      <c r="K14" s="56" t="str">
        <f t="shared" si="2"/>
        <v/>
      </c>
      <c r="L14" s="48" t="str">
        <f t="shared" si="3"/>
        <v/>
      </c>
      <c r="M14" s="49" t="str">
        <f t="shared" si="4"/>
        <v/>
      </c>
      <c r="N14" s="50"/>
      <c r="O14" s="46" t="str">
        <f t="shared" ref="O14:Q14" si="23">if(C14="DIV", G14,"")</f>
        <v/>
      </c>
      <c r="P14" s="46" t="str">
        <f t="shared" si="23"/>
        <v/>
      </c>
      <c r="Q14" s="46" t="str">
        <f t="shared" si="23"/>
        <v/>
      </c>
      <c r="R14" s="46" t="str">
        <f t="shared" si="24"/>
        <v>#REF!</v>
      </c>
      <c r="S14" s="46" t="str">
        <f t="shared" ref="S14:V14" si="25">if(F14="DIV", K14,"")</f>
        <v/>
      </c>
      <c r="T14" s="46" t="str">
        <f t="shared" si="25"/>
        <v/>
      </c>
      <c r="U14" s="46" t="str">
        <f t="shared" si="25"/>
        <v/>
      </c>
      <c r="V14" s="46" t="str">
        <f t="shared" si="25"/>
        <v/>
      </c>
      <c r="W14" s="46" t="str">
        <f t="shared" ref="W14:X14" si="26">if(J14="DIV", Y14,"")</f>
        <v/>
      </c>
      <c r="X14" s="46" t="str">
        <f t="shared" si="26"/>
        <v/>
      </c>
      <c r="Y14" s="50"/>
      <c r="Z14" s="46"/>
      <c r="AA14" s="48"/>
      <c r="AB14" s="46"/>
      <c r="AC14" s="46"/>
      <c r="AD14" s="46"/>
      <c r="AE14" s="46">
        <f t="shared" si="16"/>
        <v>62.5</v>
      </c>
      <c r="AF14" s="55" t="s">
        <v>49</v>
      </c>
    </row>
    <row r="15">
      <c r="A15" s="40">
        <v>45131.0</v>
      </c>
      <c r="B15" s="41" t="s">
        <v>46</v>
      </c>
      <c r="C15" s="41" t="s">
        <v>47</v>
      </c>
      <c r="D15" s="42">
        <v>4.0</v>
      </c>
      <c r="E15" s="43">
        <v>401.95</v>
      </c>
      <c r="F15" s="44">
        <v>1619.16</v>
      </c>
      <c r="G15" s="41" t="s">
        <v>48</v>
      </c>
      <c r="H15" s="45">
        <v>1.6</v>
      </c>
      <c r="I15" s="42">
        <v>9.76</v>
      </c>
      <c r="J15" s="46" t="str">
        <f t="shared" si="22"/>
        <v/>
      </c>
      <c r="K15" s="56" t="str">
        <f t="shared" si="2"/>
        <v/>
      </c>
      <c r="L15" s="48" t="str">
        <f t="shared" si="3"/>
        <v/>
      </c>
      <c r="M15" s="49" t="str">
        <f t="shared" si="4"/>
        <v/>
      </c>
      <c r="N15" s="50"/>
      <c r="O15" s="46" t="str">
        <f t="shared" ref="O15:Q15" si="27">if(C15="DIV", G15,"")</f>
        <v/>
      </c>
      <c r="P15" s="46" t="str">
        <f t="shared" si="27"/>
        <v/>
      </c>
      <c r="Q15" s="46" t="str">
        <f t="shared" si="27"/>
        <v/>
      </c>
      <c r="R15" s="46" t="str">
        <f t="shared" si="24"/>
        <v>#REF!</v>
      </c>
      <c r="S15" s="46" t="str">
        <f t="shared" ref="S15:V15" si="28">if(F15="DIV", K15,"")</f>
        <v/>
      </c>
      <c r="T15" s="46" t="str">
        <f t="shared" si="28"/>
        <v/>
      </c>
      <c r="U15" s="46" t="str">
        <f t="shared" si="28"/>
        <v/>
      </c>
      <c r="V15" s="46" t="str">
        <f t="shared" si="28"/>
        <v/>
      </c>
      <c r="W15" s="46" t="str">
        <f t="shared" ref="W15:X15" si="29">if(J15="DIV", Y15,"")</f>
        <v/>
      </c>
      <c r="X15" s="46" t="str">
        <f t="shared" si="29"/>
        <v/>
      </c>
      <c r="Y15" s="50">
        <v>456.382222</v>
      </c>
      <c r="Z15" s="46">
        <v>45183.0</v>
      </c>
      <c r="AA15" s="48">
        <f t="shared" ref="AA15:AA21" si="33">D15</f>
        <v>4</v>
      </c>
      <c r="AB15" s="46">
        <f t="shared" ref="AB15:AB21" si="34">(Y15-E15)*D15-H15-I15</f>
        <v>206.368888</v>
      </c>
      <c r="AC15" s="46">
        <f t="shared" ref="AC15:AC21" si="35">Y15*D15</f>
        <v>1825.528888</v>
      </c>
      <c r="AD15" s="46">
        <f t="shared" ref="AD15:AD21" si="36">AB15/(NOW()-Z15)</f>
        <v>0.2338630024</v>
      </c>
      <c r="AE15" s="46" t="str">
        <f t="shared" si="16"/>
        <v/>
      </c>
      <c r="AF15" s="55" t="s">
        <v>49</v>
      </c>
    </row>
    <row r="16">
      <c r="A16" s="40">
        <v>45131.0</v>
      </c>
      <c r="B16" s="41" t="s">
        <v>46</v>
      </c>
      <c r="C16" s="41" t="s">
        <v>47</v>
      </c>
      <c r="D16" s="42">
        <v>2.0</v>
      </c>
      <c r="E16" s="43">
        <v>401.955</v>
      </c>
      <c r="F16" s="44">
        <v>809.59</v>
      </c>
      <c r="G16" s="41" t="s">
        <v>48</v>
      </c>
      <c r="H16" s="45">
        <v>0.8</v>
      </c>
      <c r="I16" s="42">
        <v>4.89</v>
      </c>
      <c r="J16" s="46" t="str">
        <f t="shared" si="22"/>
        <v/>
      </c>
      <c r="K16" s="56" t="str">
        <f t="shared" si="2"/>
        <v/>
      </c>
      <c r="L16" s="48" t="str">
        <f t="shared" si="3"/>
        <v/>
      </c>
      <c r="M16" s="49" t="str">
        <f t="shared" si="4"/>
        <v/>
      </c>
      <c r="N16" s="50"/>
      <c r="O16" s="46" t="str">
        <f t="shared" ref="O16:Q16" si="30">if(C16="DIV", G16,"")</f>
        <v/>
      </c>
      <c r="P16" s="46" t="str">
        <f t="shared" si="30"/>
        <v/>
      </c>
      <c r="Q16" s="46" t="str">
        <f t="shared" si="30"/>
        <v/>
      </c>
      <c r="R16" s="46" t="str">
        <f t="shared" si="24"/>
        <v>#REF!</v>
      </c>
      <c r="S16" s="46" t="str">
        <f t="shared" ref="S16:V16" si="31">if(F16="DIV", K16,"")</f>
        <v/>
      </c>
      <c r="T16" s="46" t="str">
        <f t="shared" si="31"/>
        <v/>
      </c>
      <c r="U16" s="46" t="str">
        <f t="shared" si="31"/>
        <v/>
      </c>
      <c r="V16" s="46" t="str">
        <f t="shared" si="31"/>
        <v/>
      </c>
      <c r="W16" s="46" t="str">
        <f t="shared" ref="W16:X16" si="32">if(J16="DIV", Y16,"")</f>
        <v/>
      </c>
      <c r="X16" s="46" t="str">
        <f t="shared" si="32"/>
        <v/>
      </c>
      <c r="Y16" s="50">
        <v>456.382222</v>
      </c>
      <c r="Z16" s="46">
        <v>45183.0</v>
      </c>
      <c r="AA16" s="48">
        <f t="shared" si="33"/>
        <v>2</v>
      </c>
      <c r="AB16" s="46">
        <f t="shared" si="34"/>
        <v>103.164444</v>
      </c>
      <c r="AC16" s="46">
        <f t="shared" si="35"/>
        <v>912.764444</v>
      </c>
      <c r="AD16" s="46">
        <f t="shared" si="36"/>
        <v>0.1169088366</v>
      </c>
      <c r="AE16" s="46" t="str">
        <f t="shared" si="16"/>
        <v/>
      </c>
      <c r="AF16" s="55" t="s">
        <v>49</v>
      </c>
    </row>
    <row r="17">
      <c r="A17" s="40">
        <v>45034.0</v>
      </c>
      <c r="B17" s="41" t="s">
        <v>51</v>
      </c>
      <c r="C17" s="41" t="s">
        <v>47</v>
      </c>
      <c r="D17" s="42">
        <v>8.0</v>
      </c>
      <c r="E17" s="43">
        <v>361.3</v>
      </c>
      <c r="F17" s="44">
        <v>2910.96</v>
      </c>
      <c r="G17" s="41" t="s">
        <v>48</v>
      </c>
      <c r="H17" s="45">
        <v>2.9</v>
      </c>
      <c r="I17" s="42">
        <v>17.66</v>
      </c>
      <c r="J17" s="46" t="str">
        <f t="shared" si="22"/>
        <v/>
      </c>
      <c r="K17" s="56" t="str">
        <f t="shared" si="2"/>
        <v/>
      </c>
      <c r="L17" s="48" t="str">
        <f t="shared" si="3"/>
        <v/>
      </c>
      <c r="M17" s="49" t="str">
        <f t="shared" si="4"/>
        <v/>
      </c>
      <c r="N17" s="50"/>
      <c r="O17" s="46" t="str">
        <f t="shared" ref="O17:Q17" si="37">if(C17="DIV", G17,"")</f>
        <v/>
      </c>
      <c r="P17" s="46" t="str">
        <f t="shared" si="37"/>
        <v/>
      </c>
      <c r="Q17" s="46" t="str">
        <f t="shared" si="37"/>
        <v/>
      </c>
      <c r="R17" s="46" t="str">
        <f t="shared" si="24"/>
        <v>#REF!</v>
      </c>
      <c r="S17" s="46" t="str">
        <f t="shared" ref="S17:V17" si="38">if(F17="DIV", K17,"")</f>
        <v/>
      </c>
      <c r="T17" s="46" t="str">
        <f t="shared" si="38"/>
        <v/>
      </c>
      <c r="U17" s="46" t="str">
        <f t="shared" si="38"/>
        <v/>
      </c>
      <c r="V17" s="46" t="str">
        <f t="shared" si="38"/>
        <v/>
      </c>
      <c r="W17" s="46" t="str">
        <f t="shared" ref="W17:X17" si="39">if(J17="DIV", Y17,"")</f>
        <v/>
      </c>
      <c r="X17" s="46" t="str">
        <f t="shared" si="39"/>
        <v/>
      </c>
      <c r="Y17" s="50">
        <v>456.382222</v>
      </c>
      <c r="Z17" s="46">
        <v>45183.0</v>
      </c>
      <c r="AA17" s="48">
        <f t="shared" si="33"/>
        <v>8</v>
      </c>
      <c r="AB17" s="46">
        <f t="shared" si="34"/>
        <v>740.097776</v>
      </c>
      <c r="AC17" s="46">
        <f t="shared" si="35"/>
        <v>3651.057776</v>
      </c>
      <c r="AD17" s="46">
        <f t="shared" si="36"/>
        <v>0.8386995231</v>
      </c>
      <c r="AE17" s="46" t="str">
        <f t="shared" si="16"/>
        <v/>
      </c>
      <c r="AF17" s="55" t="s">
        <v>49</v>
      </c>
    </row>
    <row r="18">
      <c r="A18" s="40">
        <v>45034.0</v>
      </c>
      <c r="B18" s="41" t="s">
        <v>51</v>
      </c>
      <c r="C18" s="41" t="s">
        <v>47</v>
      </c>
      <c r="D18" s="42">
        <v>2.0</v>
      </c>
      <c r="E18" s="43">
        <v>361.45</v>
      </c>
      <c r="F18" s="44">
        <v>728.06</v>
      </c>
      <c r="G18" s="41" t="s">
        <v>48</v>
      </c>
      <c r="H18" s="45">
        <v>0.72</v>
      </c>
      <c r="I18" s="42">
        <v>4.44</v>
      </c>
      <c r="J18" s="46" t="str">
        <f t="shared" si="22"/>
        <v/>
      </c>
      <c r="K18" s="56" t="str">
        <f t="shared" si="2"/>
        <v/>
      </c>
      <c r="L18" s="48" t="str">
        <f t="shared" si="3"/>
        <v/>
      </c>
      <c r="M18" s="49" t="str">
        <f t="shared" si="4"/>
        <v/>
      </c>
      <c r="N18" s="50"/>
      <c r="O18" s="46" t="str">
        <f t="shared" ref="O18:Q18" si="40">if(C18="DIV", G18,"")</f>
        <v/>
      </c>
      <c r="P18" s="46" t="str">
        <f t="shared" si="40"/>
        <v/>
      </c>
      <c r="Q18" s="46" t="str">
        <f t="shared" si="40"/>
        <v/>
      </c>
      <c r="R18" s="46" t="str">
        <f t="shared" si="24"/>
        <v>#REF!</v>
      </c>
      <c r="S18" s="46" t="str">
        <f t="shared" ref="S18:V18" si="41">if(F18="DIV", K18,"")</f>
        <v/>
      </c>
      <c r="T18" s="46" t="str">
        <f t="shared" si="41"/>
        <v/>
      </c>
      <c r="U18" s="46" t="str">
        <f t="shared" si="41"/>
        <v/>
      </c>
      <c r="V18" s="46" t="str">
        <f t="shared" si="41"/>
        <v/>
      </c>
      <c r="W18" s="46" t="str">
        <f t="shared" ref="W18:X18" si="42">if(J18="DIV", Y18,"")</f>
        <v/>
      </c>
      <c r="X18" s="46" t="str">
        <f t="shared" si="42"/>
        <v/>
      </c>
      <c r="Y18" s="50">
        <v>456.382222</v>
      </c>
      <c r="Z18" s="46">
        <v>45183.0</v>
      </c>
      <c r="AA18" s="48">
        <f t="shared" si="33"/>
        <v>2</v>
      </c>
      <c r="AB18" s="46">
        <f t="shared" si="34"/>
        <v>184.704444</v>
      </c>
      <c r="AC18" s="46">
        <f t="shared" si="35"/>
        <v>912.764444</v>
      </c>
      <c r="AD18" s="46">
        <f t="shared" si="36"/>
        <v>0.2093122478</v>
      </c>
      <c r="AE18" s="46" t="str">
        <f t="shared" si="16"/>
        <v/>
      </c>
      <c r="AF18" s="55" t="s">
        <v>49</v>
      </c>
    </row>
    <row r="19">
      <c r="A19" s="40">
        <v>44953.0</v>
      </c>
      <c r="B19" s="41" t="s">
        <v>46</v>
      </c>
      <c r="C19" s="41" t="s">
        <v>47</v>
      </c>
      <c r="D19" s="42">
        <v>1.0</v>
      </c>
      <c r="E19" s="43">
        <v>376.05</v>
      </c>
      <c r="F19" s="44">
        <v>378.72</v>
      </c>
      <c r="G19" s="41" t="s">
        <v>48</v>
      </c>
      <c r="H19" s="45">
        <v>0.38</v>
      </c>
      <c r="I19" s="42">
        <v>2.29</v>
      </c>
      <c r="J19" s="46" t="str">
        <f t="shared" si="22"/>
        <v/>
      </c>
      <c r="K19" s="56" t="str">
        <f t="shared" si="2"/>
        <v/>
      </c>
      <c r="L19" s="48" t="str">
        <f t="shared" si="3"/>
        <v/>
      </c>
      <c r="M19" s="49" t="str">
        <f t="shared" si="4"/>
        <v/>
      </c>
      <c r="N19" s="50"/>
      <c r="O19" s="46" t="str">
        <f t="shared" ref="O19:Q19" si="43">if(C19="DIV", G19,"")</f>
        <v/>
      </c>
      <c r="P19" s="46" t="str">
        <f t="shared" si="43"/>
        <v/>
      </c>
      <c r="Q19" s="46" t="str">
        <f t="shared" si="43"/>
        <v/>
      </c>
      <c r="R19" s="46" t="str">
        <f t="shared" si="24"/>
        <v>#REF!</v>
      </c>
      <c r="S19" s="46" t="str">
        <f t="shared" ref="S19:V19" si="44">if(F19="DIV", K19,"")</f>
        <v/>
      </c>
      <c r="T19" s="46" t="str">
        <f t="shared" si="44"/>
        <v/>
      </c>
      <c r="U19" s="46" t="str">
        <f t="shared" si="44"/>
        <v/>
      </c>
      <c r="V19" s="46" t="str">
        <f t="shared" si="44"/>
        <v/>
      </c>
      <c r="W19" s="46" t="str">
        <f t="shared" ref="W19:X19" si="45">if(J19="DIV", Y19,"")</f>
        <v/>
      </c>
      <c r="X19" s="46" t="str">
        <f t="shared" si="45"/>
        <v/>
      </c>
      <c r="Y19" s="50">
        <v>456.382222</v>
      </c>
      <c r="Z19" s="46">
        <v>45183.0</v>
      </c>
      <c r="AA19" s="48">
        <f t="shared" si="33"/>
        <v>1</v>
      </c>
      <c r="AB19" s="46">
        <f t="shared" si="34"/>
        <v>77.662222</v>
      </c>
      <c r="AC19" s="46">
        <f t="shared" si="35"/>
        <v>456.382222</v>
      </c>
      <c r="AD19" s="46">
        <f t="shared" si="36"/>
        <v>0.08800900457</v>
      </c>
      <c r="AE19" s="46" t="str">
        <f t="shared" si="16"/>
        <v/>
      </c>
      <c r="AF19" s="55" t="s">
        <v>49</v>
      </c>
    </row>
    <row r="20">
      <c r="A20" s="40">
        <v>44953.0</v>
      </c>
      <c r="B20" s="41" t="s">
        <v>46</v>
      </c>
      <c r="C20" s="41" t="s">
        <v>47</v>
      </c>
      <c r="D20" s="42">
        <v>9.0</v>
      </c>
      <c r="E20" s="43">
        <v>376.046667</v>
      </c>
      <c r="F20" s="44">
        <v>3408.42</v>
      </c>
      <c r="G20" s="41" t="s">
        <v>48</v>
      </c>
      <c r="H20" s="45">
        <v>3.34</v>
      </c>
      <c r="I20" s="42">
        <v>20.63</v>
      </c>
      <c r="J20" s="46" t="str">
        <f t="shared" si="22"/>
        <v/>
      </c>
      <c r="K20" s="56" t="str">
        <f t="shared" si="2"/>
        <v/>
      </c>
      <c r="L20" s="48" t="str">
        <f t="shared" si="3"/>
        <v/>
      </c>
      <c r="M20" s="49" t="str">
        <f t="shared" si="4"/>
        <v/>
      </c>
      <c r="N20" s="50"/>
      <c r="O20" s="46" t="str">
        <f t="shared" ref="O20:Q20" si="46">if(C20="DIV", G20,"")</f>
        <v/>
      </c>
      <c r="P20" s="46" t="str">
        <f t="shared" si="46"/>
        <v/>
      </c>
      <c r="Q20" s="46" t="str">
        <f t="shared" si="46"/>
        <v/>
      </c>
      <c r="R20" s="46" t="str">
        <f t="shared" si="24"/>
        <v>#REF!</v>
      </c>
      <c r="S20" s="46" t="str">
        <f t="shared" ref="S20:V20" si="47">if(F20="DIV", K20,"")</f>
        <v/>
      </c>
      <c r="T20" s="46" t="str">
        <f t="shared" si="47"/>
        <v/>
      </c>
      <c r="U20" s="46" t="str">
        <f t="shared" si="47"/>
        <v/>
      </c>
      <c r="V20" s="46" t="str">
        <f t="shared" si="47"/>
        <v/>
      </c>
      <c r="W20" s="46" t="str">
        <f t="shared" ref="W20:X20" si="48">if(J20="DIV", Y20,"")</f>
        <v/>
      </c>
      <c r="X20" s="46" t="str">
        <f t="shared" si="48"/>
        <v/>
      </c>
      <c r="Y20" s="50">
        <v>456.382222</v>
      </c>
      <c r="Z20" s="46">
        <v>45183.0</v>
      </c>
      <c r="AA20" s="48">
        <f t="shared" si="33"/>
        <v>9</v>
      </c>
      <c r="AB20" s="46">
        <f t="shared" si="34"/>
        <v>699.049995</v>
      </c>
      <c r="AC20" s="46">
        <f t="shared" si="35"/>
        <v>4107.439998</v>
      </c>
      <c r="AD20" s="46">
        <f t="shared" si="36"/>
        <v>0.7921830283</v>
      </c>
      <c r="AE20" s="46" t="str">
        <f t="shared" si="16"/>
        <v/>
      </c>
      <c r="AF20" s="55" t="s">
        <v>49</v>
      </c>
    </row>
    <row r="21">
      <c r="A21" s="40">
        <v>44950.0</v>
      </c>
      <c r="B21" s="41" t="s">
        <v>46</v>
      </c>
      <c r="C21" s="41" t="s">
        <v>47</v>
      </c>
      <c r="D21" s="42">
        <v>10.0</v>
      </c>
      <c r="E21" s="43">
        <v>388.005</v>
      </c>
      <c r="F21" s="44">
        <v>3907.45</v>
      </c>
      <c r="G21" s="41" t="s">
        <v>48</v>
      </c>
      <c r="H21" s="45">
        <v>3.86</v>
      </c>
      <c r="I21" s="42">
        <v>23.59</v>
      </c>
      <c r="J21" s="46" t="str">
        <f t="shared" si="22"/>
        <v/>
      </c>
      <c r="K21" s="56" t="str">
        <f t="shared" si="2"/>
        <v/>
      </c>
      <c r="L21" s="48" t="str">
        <f t="shared" si="3"/>
        <v/>
      </c>
      <c r="M21" s="49" t="str">
        <f t="shared" si="4"/>
        <v/>
      </c>
      <c r="N21" s="50"/>
      <c r="O21" s="46" t="str">
        <f t="shared" ref="O21:Q21" si="49">if(C21="DIV", G21,"")</f>
        <v/>
      </c>
      <c r="P21" s="46" t="str">
        <f t="shared" si="49"/>
        <v/>
      </c>
      <c r="Q21" s="46" t="str">
        <f t="shared" si="49"/>
        <v/>
      </c>
      <c r="R21" s="46" t="str">
        <f t="shared" si="24"/>
        <v>#REF!</v>
      </c>
      <c r="S21" s="46" t="str">
        <f t="shared" ref="S21:V21" si="50">if(F21="DIV", K21,"")</f>
        <v/>
      </c>
      <c r="T21" s="46" t="str">
        <f t="shared" si="50"/>
        <v/>
      </c>
      <c r="U21" s="46" t="str">
        <f t="shared" si="50"/>
        <v/>
      </c>
      <c r="V21" s="46" t="str">
        <f t="shared" si="50"/>
        <v/>
      </c>
      <c r="W21" s="46" t="str">
        <f t="shared" ref="W21:X21" si="51">if(J21="DIV", Y21,"")</f>
        <v/>
      </c>
      <c r="X21" s="46" t="str">
        <f t="shared" si="51"/>
        <v/>
      </c>
      <c r="Y21" s="50">
        <v>456.382222</v>
      </c>
      <c r="Z21" s="46">
        <v>45183.0</v>
      </c>
      <c r="AA21" s="48">
        <f t="shared" si="33"/>
        <v>10</v>
      </c>
      <c r="AB21" s="46">
        <f t="shared" si="34"/>
        <v>656.32222</v>
      </c>
      <c r="AC21" s="46">
        <f t="shared" si="35"/>
        <v>4563.82222</v>
      </c>
      <c r="AD21" s="46">
        <f t="shared" si="36"/>
        <v>0.7437627172</v>
      </c>
      <c r="AE21" s="46" t="str">
        <f t="shared" si="16"/>
        <v/>
      </c>
      <c r="AF21" s="55" t="s">
        <v>49</v>
      </c>
    </row>
    <row r="22">
      <c r="A22" s="40">
        <v>44232.0</v>
      </c>
      <c r="B22" s="41" t="s">
        <v>46</v>
      </c>
      <c r="C22" s="41" t="s">
        <v>50</v>
      </c>
      <c r="D22" s="42">
        <v>55.0</v>
      </c>
      <c r="E22" s="43">
        <v>508.531818</v>
      </c>
      <c r="F22" s="44">
        <v>28165.9</v>
      </c>
      <c r="G22" s="41"/>
      <c r="H22" s="45">
        <v>28.33</v>
      </c>
      <c r="I22" s="42">
        <v>168.47</v>
      </c>
      <c r="J22" s="46" t="str">
        <f t="shared" si="22"/>
        <v/>
      </c>
      <c r="K22" s="56" t="str">
        <f t="shared" si="2"/>
        <v/>
      </c>
      <c r="L22" s="48" t="str">
        <f t="shared" si="3"/>
        <v/>
      </c>
      <c r="M22" s="49" t="str">
        <f t="shared" si="4"/>
        <v/>
      </c>
      <c r="N22" s="50"/>
      <c r="O22" s="46" t="str">
        <f t="shared" ref="O22:Q22" si="52">if(C22="DIV", G22,"")</f>
        <v/>
      </c>
      <c r="P22" s="46" t="str">
        <f t="shared" si="52"/>
        <v/>
      </c>
      <c r="Q22" s="46" t="str">
        <f t="shared" si="52"/>
        <v/>
      </c>
      <c r="R22" s="46" t="str">
        <f t="shared" si="24"/>
        <v>#REF!</v>
      </c>
      <c r="S22" s="46" t="str">
        <f t="shared" ref="S22:V22" si="53">if(F22="DIV", K22,"")</f>
        <v/>
      </c>
      <c r="T22" s="46" t="str">
        <f t="shared" si="53"/>
        <v/>
      </c>
      <c r="U22" s="46" t="str">
        <f t="shared" si="53"/>
        <v/>
      </c>
      <c r="V22" s="46" t="str">
        <f t="shared" si="53"/>
        <v/>
      </c>
      <c r="W22" s="46" t="str">
        <f t="shared" ref="W22:X22" si="54">if(J22="DIV", Y22,"")</f>
        <v/>
      </c>
      <c r="X22" s="46" t="str">
        <f t="shared" si="54"/>
        <v/>
      </c>
      <c r="Y22" s="50"/>
      <c r="Z22" s="46"/>
      <c r="AA22" s="48"/>
      <c r="AB22" s="46"/>
      <c r="AC22" s="46"/>
      <c r="AD22" s="46"/>
      <c r="AE22" s="46" t="str">
        <f t="shared" si="16"/>
        <v/>
      </c>
      <c r="AF22" s="55" t="s">
        <v>49</v>
      </c>
    </row>
    <row r="23">
      <c r="A23" s="40">
        <v>44228.0</v>
      </c>
      <c r="B23" s="41" t="s">
        <v>46</v>
      </c>
      <c r="C23" s="41" t="s">
        <v>50</v>
      </c>
      <c r="D23" s="42">
        <v>50.0</v>
      </c>
      <c r="E23" s="43">
        <v>514.3094</v>
      </c>
      <c r="F23" s="44">
        <v>25896.47</v>
      </c>
      <c r="G23" s="41"/>
      <c r="H23" s="45">
        <v>26.08</v>
      </c>
      <c r="I23" s="42">
        <v>154.95</v>
      </c>
      <c r="J23" s="46" t="str">
        <f t="shared" si="22"/>
        <v/>
      </c>
      <c r="K23" s="56" t="str">
        <f t="shared" si="2"/>
        <v/>
      </c>
      <c r="L23" s="48" t="str">
        <f t="shared" si="3"/>
        <v/>
      </c>
      <c r="M23" s="49" t="str">
        <f t="shared" si="4"/>
        <v/>
      </c>
      <c r="N23" s="50"/>
      <c r="O23" s="46" t="str">
        <f t="shared" ref="O23:Q23" si="55">if(C23="DIV", G23,"")</f>
        <v/>
      </c>
      <c r="P23" s="46" t="str">
        <f t="shared" si="55"/>
        <v/>
      </c>
      <c r="Q23" s="46" t="str">
        <f t="shared" si="55"/>
        <v/>
      </c>
      <c r="R23" s="46" t="str">
        <f t="shared" si="24"/>
        <v>#REF!</v>
      </c>
      <c r="S23" s="46" t="str">
        <f t="shared" ref="S23:V23" si="56">if(F23="DIV", K23,"")</f>
        <v/>
      </c>
      <c r="T23" s="46" t="str">
        <f t="shared" si="56"/>
        <v/>
      </c>
      <c r="U23" s="46" t="str">
        <f t="shared" si="56"/>
        <v/>
      </c>
      <c r="V23" s="46" t="str">
        <f t="shared" si="56"/>
        <v/>
      </c>
      <c r="W23" s="46" t="str">
        <f t="shared" ref="W23:X23" si="57">if(J23="DIV", Y23,"")</f>
        <v/>
      </c>
      <c r="X23" s="46" t="str">
        <f t="shared" si="57"/>
        <v/>
      </c>
      <c r="Y23" s="50"/>
      <c r="Z23" s="46"/>
      <c r="AA23" s="48"/>
      <c r="AB23" s="46"/>
      <c r="AC23" s="46"/>
      <c r="AD23" s="46"/>
      <c r="AE23" s="46" t="str">
        <f t="shared" si="16"/>
        <v/>
      </c>
      <c r="AF23" s="55" t="s">
        <v>49</v>
      </c>
    </row>
    <row r="24">
      <c r="A24" s="40">
        <v>44152.0</v>
      </c>
      <c r="B24" s="41" t="s">
        <v>46</v>
      </c>
      <c r="C24" s="41" t="s">
        <v>47</v>
      </c>
      <c r="D24" s="42">
        <v>5.0</v>
      </c>
      <c r="E24" s="43">
        <v>484.596</v>
      </c>
      <c r="F24" s="44">
        <v>2439.72</v>
      </c>
      <c r="G24" s="41"/>
      <c r="H24" s="45">
        <v>1.97</v>
      </c>
      <c r="I24" s="42">
        <v>14.75</v>
      </c>
      <c r="J24" s="46" t="str">
        <f t="shared" si="22"/>
        <v/>
      </c>
      <c r="K24" s="56" t="str">
        <f t="shared" si="2"/>
        <v/>
      </c>
      <c r="L24" s="48" t="str">
        <f t="shared" si="3"/>
        <v/>
      </c>
      <c r="M24" s="49" t="str">
        <f t="shared" si="4"/>
        <v/>
      </c>
      <c r="N24" s="50"/>
      <c r="O24" s="46" t="str">
        <f t="shared" ref="O24:Q24" si="58">if(C24="DIV", G24,"")</f>
        <v/>
      </c>
      <c r="P24" s="46" t="str">
        <f t="shared" si="58"/>
        <v/>
      </c>
      <c r="Q24" s="46" t="str">
        <f t="shared" si="58"/>
        <v/>
      </c>
      <c r="R24" s="46" t="str">
        <f t="shared" si="24"/>
        <v>#REF!</v>
      </c>
      <c r="S24" s="46" t="str">
        <f t="shared" ref="S24:V24" si="59">if(F24="DIV", K24,"")</f>
        <v/>
      </c>
      <c r="T24" s="46" t="str">
        <f t="shared" si="59"/>
        <v/>
      </c>
      <c r="U24" s="46" t="str">
        <f t="shared" si="59"/>
        <v/>
      </c>
      <c r="V24" s="46" t="str">
        <f t="shared" si="59"/>
        <v/>
      </c>
      <c r="W24" s="46" t="str">
        <f t="shared" ref="W24:X24" si="60">if(J24="DIV", Y24,"")</f>
        <v/>
      </c>
      <c r="X24" s="46" t="str">
        <f t="shared" si="60"/>
        <v/>
      </c>
      <c r="Y24" s="50">
        <v>508.531818</v>
      </c>
      <c r="Z24" s="46">
        <v>44232.0</v>
      </c>
      <c r="AA24" s="48">
        <f>D24</f>
        <v>5</v>
      </c>
      <c r="AB24" s="46">
        <f>(Y24-E24)*D24-H24-I24</f>
        <v>102.95909</v>
      </c>
      <c r="AC24" s="46">
        <f>Y24*D24</f>
        <v>2542.65909</v>
      </c>
      <c r="AD24" s="46">
        <f>AB24/(NOW()-Z24)</f>
        <v>0.05615639088</v>
      </c>
      <c r="AE24" s="46" t="str">
        <f t="shared" si="16"/>
        <v/>
      </c>
      <c r="AF24" s="55" t="s">
        <v>49</v>
      </c>
    </row>
    <row r="25">
      <c r="A25" s="40">
        <v>44089.0</v>
      </c>
      <c r="B25" s="41" t="s">
        <v>46</v>
      </c>
      <c r="C25" s="41" t="s">
        <v>50</v>
      </c>
      <c r="D25" s="42">
        <v>20.0</v>
      </c>
      <c r="E25" s="43">
        <v>532.7895</v>
      </c>
      <c r="F25" s="44">
        <v>10731.39</v>
      </c>
      <c r="G25" s="41"/>
      <c r="H25" s="45">
        <v>10.56</v>
      </c>
      <c r="I25" s="42">
        <v>65.05</v>
      </c>
      <c r="J25" s="46" t="str">
        <f t="shared" si="22"/>
        <v/>
      </c>
      <c r="K25" s="56" t="str">
        <f t="shared" si="2"/>
        <v/>
      </c>
      <c r="L25" s="48" t="str">
        <f t="shared" si="3"/>
        <v/>
      </c>
      <c r="M25" s="49" t="str">
        <f t="shared" si="4"/>
        <v/>
      </c>
      <c r="N25" s="50"/>
      <c r="O25" s="46" t="str">
        <f t="shared" ref="O25:Q25" si="61">if(C25="DIV", G25,"")</f>
        <v/>
      </c>
      <c r="P25" s="46" t="str">
        <f t="shared" si="61"/>
        <v/>
      </c>
      <c r="Q25" s="46" t="str">
        <f t="shared" si="61"/>
        <v/>
      </c>
      <c r="R25" s="46" t="str">
        <f t="shared" si="24"/>
        <v>#REF!</v>
      </c>
      <c r="S25" s="46" t="str">
        <f t="shared" ref="S25:V25" si="62">if(F25="DIV", K25,"")</f>
        <v/>
      </c>
      <c r="T25" s="46" t="str">
        <f t="shared" si="62"/>
        <v/>
      </c>
      <c r="U25" s="46" t="str">
        <f t="shared" si="62"/>
        <v/>
      </c>
      <c r="V25" s="46" t="str">
        <f t="shared" si="62"/>
        <v/>
      </c>
      <c r="W25" s="46" t="str">
        <f t="shared" ref="W25:X25" si="63">if(J25="DIV", Y25,"")</f>
        <v/>
      </c>
      <c r="X25" s="46" t="str">
        <f t="shared" si="63"/>
        <v/>
      </c>
      <c r="Y25" s="50"/>
      <c r="Z25" s="46"/>
      <c r="AA25" s="48"/>
      <c r="AB25" s="46"/>
      <c r="AC25" s="46"/>
      <c r="AD25" s="46"/>
      <c r="AE25" s="46" t="str">
        <f t="shared" si="16"/>
        <v/>
      </c>
      <c r="AF25" s="55" t="s">
        <v>49</v>
      </c>
    </row>
    <row r="26">
      <c r="A26" s="40">
        <v>44063.0</v>
      </c>
      <c r="B26" s="41" t="s">
        <v>44</v>
      </c>
      <c r="C26" s="41" t="s">
        <v>47</v>
      </c>
      <c r="D26" s="42">
        <v>120.0</v>
      </c>
      <c r="E26" s="43">
        <v>0.09</v>
      </c>
      <c r="F26" s="44">
        <v>11.1</v>
      </c>
      <c r="G26" s="41" t="s">
        <v>53</v>
      </c>
      <c r="H26" s="45">
        <v>0.0</v>
      </c>
      <c r="I26" s="42">
        <v>0.0</v>
      </c>
      <c r="J26" s="46" t="str">
        <f t="shared" si="22"/>
        <v/>
      </c>
      <c r="K26" s="56" t="str">
        <f t="shared" si="2"/>
        <v/>
      </c>
      <c r="L26" s="48" t="str">
        <f t="shared" si="3"/>
        <v/>
      </c>
      <c r="M26" s="49" t="str">
        <f t="shared" si="4"/>
        <v/>
      </c>
      <c r="N26" s="50"/>
      <c r="O26" s="46" t="str">
        <f t="shared" ref="O26:Q26" si="64">if(C26="DIV", G26,"")</f>
        <v/>
      </c>
      <c r="P26" s="46" t="str">
        <f t="shared" si="64"/>
        <v/>
      </c>
      <c r="Q26" s="46" t="str">
        <f t="shared" si="64"/>
        <v/>
      </c>
      <c r="R26" s="46" t="str">
        <f t="shared" si="24"/>
        <v>#REF!</v>
      </c>
      <c r="S26" s="46" t="str">
        <f t="shared" ref="S26:V26" si="65">if(F26="DIV", K26,"")</f>
        <v/>
      </c>
      <c r="T26" s="46" t="str">
        <f t="shared" si="65"/>
        <v/>
      </c>
      <c r="U26" s="46" t="str">
        <f t="shared" si="65"/>
        <v/>
      </c>
      <c r="V26" s="46" t="str">
        <f t="shared" si="65"/>
        <v/>
      </c>
      <c r="W26" s="46" t="str">
        <f t="shared" ref="W26:X26" si="66">if(J26="DIV", Y26,"")</f>
        <v/>
      </c>
      <c r="X26" s="46" t="str">
        <f t="shared" si="66"/>
        <v/>
      </c>
      <c r="Y26" s="50"/>
      <c r="Z26" s="46"/>
      <c r="AA26" s="48"/>
      <c r="AB26" s="46"/>
      <c r="AC26" s="46"/>
      <c r="AD26" s="46"/>
      <c r="AE26" s="46">
        <f t="shared" si="16"/>
        <v>11.1</v>
      </c>
      <c r="AF26" s="55" t="s">
        <v>49</v>
      </c>
    </row>
    <row r="27">
      <c r="A27" s="40">
        <v>44043.0</v>
      </c>
      <c r="B27" s="41" t="s">
        <v>46</v>
      </c>
      <c r="C27" s="41" t="s">
        <v>47</v>
      </c>
      <c r="D27" s="42">
        <v>10.0</v>
      </c>
      <c r="E27" s="43">
        <v>450.099</v>
      </c>
      <c r="F27" s="44">
        <v>4533.01</v>
      </c>
      <c r="G27" s="41"/>
      <c r="H27" s="45">
        <v>4.57</v>
      </c>
      <c r="I27" s="42">
        <v>27.44</v>
      </c>
      <c r="J27" s="46" t="str">
        <f t="shared" si="22"/>
        <v/>
      </c>
      <c r="K27" s="56" t="str">
        <f t="shared" si="2"/>
        <v/>
      </c>
      <c r="L27" s="48" t="str">
        <f t="shared" si="3"/>
        <v/>
      </c>
      <c r="M27" s="49" t="str">
        <f t="shared" si="4"/>
        <v/>
      </c>
      <c r="N27" s="50"/>
      <c r="O27" s="46" t="str">
        <f t="shared" ref="O27:Q27" si="67">if(C27="DIV", G27,"")</f>
        <v/>
      </c>
      <c r="P27" s="46" t="str">
        <f t="shared" si="67"/>
        <v/>
      </c>
      <c r="Q27" s="46" t="str">
        <f t="shared" si="67"/>
        <v/>
      </c>
      <c r="R27" s="46" t="str">
        <f t="shared" si="24"/>
        <v>#REF!</v>
      </c>
      <c r="S27" s="46" t="str">
        <f t="shared" ref="S27:V27" si="68">if(F27="DIV", K27,"")</f>
        <v/>
      </c>
      <c r="T27" s="46" t="str">
        <f t="shared" si="68"/>
        <v/>
      </c>
      <c r="U27" s="46" t="str">
        <f t="shared" si="68"/>
        <v/>
      </c>
      <c r="V27" s="46" t="str">
        <f t="shared" si="68"/>
        <v/>
      </c>
      <c r="W27" s="46" t="str">
        <f t="shared" ref="W27:X27" si="69">if(J27="DIV", Y27,"")</f>
        <v/>
      </c>
      <c r="X27" s="46" t="str">
        <f t="shared" si="69"/>
        <v/>
      </c>
      <c r="Y27" s="50">
        <v>508.531818</v>
      </c>
      <c r="Z27" s="46">
        <v>44232.0</v>
      </c>
      <c r="AA27" s="48">
        <f t="shared" ref="AA27:AA38" si="73">D27</f>
        <v>10</v>
      </c>
      <c r="AB27" s="46">
        <f t="shared" ref="AB27:AB38" si="74">(Y27-E27)*D27-H27-I27</f>
        <v>552.31818</v>
      </c>
      <c r="AC27" s="46">
        <f t="shared" ref="AC27:AC38" si="75">Y27*D27</f>
        <v>5085.31818</v>
      </c>
      <c r="AD27" s="46">
        <f t="shared" ref="AD27:AD38" si="76">AB27/(NOW()-Z27)</f>
        <v>0.3012477636</v>
      </c>
      <c r="AE27" s="46" t="str">
        <f t="shared" si="16"/>
        <v/>
      </c>
      <c r="AF27" s="55" t="s">
        <v>49</v>
      </c>
    </row>
    <row r="28">
      <c r="A28" s="40">
        <v>44036.0</v>
      </c>
      <c r="B28" s="41" t="s">
        <v>46</v>
      </c>
      <c r="C28" s="41" t="s">
        <v>47</v>
      </c>
      <c r="D28" s="42">
        <v>5.0</v>
      </c>
      <c r="E28" s="43">
        <v>442.196</v>
      </c>
      <c r="F28" s="44">
        <v>2226.52</v>
      </c>
      <c r="G28" s="41"/>
      <c r="H28" s="45">
        <v>2.23</v>
      </c>
      <c r="I28" s="42">
        <v>13.29</v>
      </c>
      <c r="J28" s="46" t="str">
        <f t="shared" si="22"/>
        <v/>
      </c>
      <c r="K28" s="56" t="str">
        <f t="shared" si="2"/>
        <v/>
      </c>
      <c r="L28" s="48" t="str">
        <f t="shared" si="3"/>
        <v/>
      </c>
      <c r="M28" s="49" t="str">
        <f t="shared" si="4"/>
        <v/>
      </c>
      <c r="N28" s="50"/>
      <c r="O28" s="46" t="str">
        <f t="shared" ref="O28:Q28" si="70">if(C28="DIV", G28,"")</f>
        <v/>
      </c>
      <c r="P28" s="46" t="str">
        <f t="shared" si="70"/>
        <v/>
      </c>
      <c r="Q28" s="46" t="str">
        <f t="shared" si="70"/>
        <v/>
      </c>
      <c r="R28" s="46" t="str">
        <f t="shared" si="24"/>
        <v>#REF!</v>
      </c>
      <c r="S28" s="46" t="str">
        <f t="shared" ref="S28:V28" si="71">if(F28="DIV", K28,"")</f>
        <v/>
      </c>
      <c r="T28" s="46" t="str">
        <f t="shared" si="71"/>
        <v/>
      </c>
      <c r="U28" s="46" t="str">
        <f t="shared" si="71"/>
        <v/>
      </c>
      <c r="V28" s="46" t="str">
        <f t="shared" si="71"/>
        <v/>
      </c>
      <c r="W28" s="46" t="str">
        <f t="shared" ref="W28:X28" si="72">if(J28="DIV", Y28,"")</f>
        <v/>
      </c>
      <c r="X28" s="46" t="str">
        <f t="shared" si="72"/>
        <v/>
      </c>
      <c r="Y28" s="50">
        <v>508.531818</v>
      </c>
      <c r="Z28" s="46">
        <v>44232.0</v>
      </c>
      <c r="AA28" s="48">
        <f t="shared" si="73"/>
        <v>5</v>
      </c>
      <c r="AB28" s="46">
        <f t="shared" si="74"/>
        <v>316.15909</v>
      </c>
      <c r="AC28" s="46">
        <f t="shared" si="75"/>
        <v>2542.65909</v>
      </c>
      <c r="AD28" s="46">
        <f t="shared" si="76"/>
        <v>0.1724408543</v>
      </c>
      <c r="AE28" s="46" t="str">
        <f t="shared" si="16"/>
        <v/>
      </c>
      <c r="AF28" s="55" t="s">
        <v>49</v>
      </c>
    </row>
    <row r="29">
      <c r="A29" s="40">
        <v>43966.0</v>
      </c>
      <c r="B29" s="41" t="s">
        <v>46</v>
      </c>
      <c r="C29" s="41" t="s">
        <v>47</v>
      </c>
      <c r="D29" s="42">
        <v>5.0</v>
      </c>
      <c r="E29" s="43">
        <v>423.05</v>
      </c>
      <c r="F29" s="44">
        <v>2125.85</v>
      </c>
      <c r="G29" s="41"/>
      <c r="H29" s="45">
        <v>0.0</v>
      </c>
      <c r="I29" s="42">
        <v>10.6</v>
      </c>
      <c r="J29" s="46" t="str">
        <f t="shared" si="22"/>
        <v/>
      </c>
      <c r="K29" s="56" t="str">
        <f t="shared" si="2"/>
        <v/>
      </c>
      <c r="L29" s="48" t="str">
        <f t="shared" si="3"/>
        <v/>
      </c>
      <c r="M29" s="49" t="str">
        <f t="shared" si="4"/>
        <v/>
      </c>
      <c r="N29" s="50"/>
      <c r="O29" s="46" t="str">
        <f t="shared" ref="O29:Q29" si="77">if(C29="DIV", G29,"")</f>
        <v/>
      </c>
      <c r="P29" s="46" t="str">
        <f t="shared" si="77"/>
        <v/>
      </c>
      <c r="Q29" s="46" t="str">
        <f t="shared" si="77"/>
        <v/>
      </c>
      <c r="R29" s="46" t="str">
        <f t="shared" si="24"/>
        <v>#REF!</v>
      </c>
      <c r="S29" s="46" t="str">
        <f t="shared" ref="S29:V29" si="78">if(F29="DIV", K29,"")</f>
        <v/>
      </c>
      <c r="T29" s="46" t="str">
        <f t="shared" si="78"/>
        <v/>
      </c>
      <c r="U29" s="46" t="str">
        <f t="shared" si="78"/>
        <v/>
      </c>
      <c r="V29" s="46" t="str">
        <f t="shared" si="78"/>
        <v/>
      </c>
      <c r="W29" s="46" t="str">
        <f t="shared" ref="W29:X29" si="79">if(J29="DIV", Y29,"")</f>
        <v/>
      </c>
      <c r="X29" s="46" t="str">
        <f t="shared" si="79"/>
        <v/>
      </c>
      <c r="Y29" s="50">
        <v>508.531818</v>
      </c>
      <c r="Z29" s="46">
        <v>44232.0</v>
      </c>
      <c r="AA29" s="48">
        <f t="shared" si="73"/>
        <v>5</v>
      </c>
      <c r="AB29" s="46">
        <f t="shared" si="74"/>
        <v>416.80909</v>
      </c>
      <c r="AC29" s="46">
        <f t="shared" si="75"/>
        <v>2542.65909</v>
      </c>
      <c r="AD29" s="46">
        <f t="shared" si="76"/>
        <v>0.2273378114</v>
      </c>
      <c r="AE29" s="46" t="str">
        <f t="shared" si="16"/>
        <v/>
      </c>
      <c r="AF29" s="55" t="s">
        <v>49</v>
      </c>
    </row>
    <row r="30">
      <c r="A30" s="40">
        <v>43959.0</v>
      </c>
      <c r="B30" s="41" t="s">
        <v>46</v>
      </c>
      <c r="C30" s="41" t="s">
        <v>47</v>
      </c>
      <c r="D30" s="42">
        <v>10.0</v>
      </c>
      <c r="E30" s="43">
        <v>404.65</v>
      </c>
      <c r="F30" s="44">
        <v>4066.7</v>
      </c>
      <c r="G30" s="41"/>
      <c r="H30" s="45">
        <v>0.0</v>
      </c>
      <c r="I30" s="42">
        <v>20.2</v>
      </c>
      <c r="J30" s="46" t="str">
        <f t="shared" si="22"/>
        <v/>
      </c>
      <c r="K30" s="56" t="str">
        <f t="shared" si="2"/>
        <v/>
      </c>
      <c r="L30" s="48" t="str">
        <f t="shared" si="3"/>
        <v/>
      </c>
      <c r="M30" s="49" t="str">
        <f t="shared" si="4"/>
        <v/>
      </c>
      <c r="N30" s="50"/>
      <c r="O30" s="46" t="str">
        <f t="shared" ref="O30:Q30" si="80">if(C30="DIV", G30,"")</f>
        <v/>
      </c>
      <c r="P30" s="46" t="str">
        <f t="shared" si="80"/>
        <v/>
      </c>
      <c r="Q30" s="46" t="str">
        <f t="shared" si="80"/>
        <v/>
      </c>
      <c r="R30" s="46" t="str">
        <f t="shared" si="24"/>
        <v>#REF!</v>
      </c>
      <c r="S30" s="46" t="str">
        <f t="shared" ref="S30:V30" si="81">if(F30="DIV", K30,"")</f>
        <v/>
      </c>
      <c r="T30" s="46" t="str">
        <f t="shared" si="81"/>
        <v/>
      </c>
      <c r="U30" s="46" t="str">
        <f t="shared" si="81"/>
        <v/>
      </c>
      <c r="V30" s="46" t="str">
        <f t="shared" si="81"/>
        <v/>
      </c>
      <c r="W30" s="46" t="str">
        <f t="shared" ref="W30:X30" si="82">if(J30="DIV", Y30,"")</f>
        <v/>
      </c>
      <c r="X30" s="46" t="str">
        <f t="shared" si="82"/>
        <v/>
      </c>
      <c r="Y30" s="50">
        <v>508.531818</v>
      </c>
      <c r="Z30" s="46">
        <v>44232.0</v>
      </c>
      <c r="AA30" s="48">
        <f t="shared" si="73"/>
        <v>10</v>
      </c>
      <c r="AB30" s="46">
        <f t="shared" si="74"/>
        <v>1018.61818</v>
      </c>
      <c r="AC30" s="46">
        <f t="shared" si="75"/>
        <v>5085.31818</v>
      </c>
      <c r="AD30" s="46">
        <f t="shared" si="76"/>
        <v>0.5555791206</v>
      </c>
      <c r="AE30" s="46" t="str">
        <f t="shared" si="16"/>
        <v/>
      </c>
      <c r="AF30" s="55" t="s">
        <v>49</v>
      </c>
    </row>
    <row r="31">
      <c r="A31" s="40">
        <v>43956.0</v>
      </c>
      <c r="B31" s="41" t="s">
        <v>46</v>
      </c>
      <c r="C31" s="41" t="s">
        <v>47</v>
      </c>
      <c r="D31" s="42">
        <v>10.0</v>
      </c>
      <c r="E31" s="43">
        <v>406.4</v>
      </c>
      <c r="F31" s="44">
        <v>4084.3</v>
      </c>
      <c r="G31" s="41"/>
      <c r="H31" s="45">
        <v>0.0</v>
      </c>
      <c r="I31" s="42">
        <v>20.3</v>
      </c>
      <c r="J31" s="46" t="str">
        <f t="shared" si="22"/>
        <v/>
      </c>
      <c r="K31" s="56" t="str">
        <f t="shared" si="2"/>
        <v/>
      </c>
      <c r="L31" s="48" t="str">
        <f t="shared" si="3"/>
        <v/>
      </c>
      <c r="M31" s="49" t="str">
        <f t="shared" si="4"/>
        <v/>
      </c>
      <c r="N31" s="50"/>
      <c r="O31" s="46" t="str">
        <f t="shared" ref="O31:Q31" si="83">if(C31="DIV", G31,"")</f>
        <v/>
      </c>
      <c r="P31" s="46" t="str">
        <f t="shared" si="83"/>
        <v/>
      </c>
      <c r="Q31" s="46" t="str">
        <f t="shared" si="83"/>
        <v/>
      </c>
      <c r="R31" s="46" t="str">
        <f t="shared" si="24"/>
        <v>#REF!</v>
      </c>
      <c r="S31" s="46" t="str">
        <f t="shared" ref="S31:V31" si="84">if(F31="DIV", K31,"")</f>
        <v/>
      </c>
      <c r="T31" s="46" t="str">
        <f t="shared" si="84"/>
        <v/>
      </c>
      <c r="U31" s="46" t="str">
        <f t="shared" si="84"/>
        <v/>
      </c>
      <c r="V31" s="46" t="str">
        <f t="shared" si="84"/>
        <v/>
      </c>
      <c r="W31" s="46" t="str">
        <f t="shared" ref="W31:X31" si="85">if(J31="DIV", Y31,"")</f>
        <v/>
      </c>
      <c r="X31" s="46" t="str">
        <f t="shared" si="85"/>
        <v/>
      </c>
      <c r="Y31" s="50">
        <v>508.531818</v>
      </c>
      <c r="Z31" s="46">
        <v>44232.0</v>
      </c>
      <c r="AA31" s="48">
        <f t="shared" si="73"/>
        <v>10</v>
      </c>
      <c r="AB31" s="46">
        <f t="shared" si="74"/>
        <v>1001.01818</v>
      </c>
      <c r="AC31" s="46">
        <f t="shared" si="75"/>
        <v>5085.31818</v>
      </c>
      <c r="AD31" s="46">
        <f t="shared" si="76"/>
        <v>0.5459796527</v>
      </c>
      <c r="AE31" s="46" t="str">
        <f t="shared" si="16"/>
        <v/>
      </c>
      <c r="AF31" s="55" t="s">
        <v>49</v>
      </c>
    </row>
    <row r="32">
      <c r="A32" s="40">
        <v>43944.0</v>
      </c>
      <c r="B32" s="41" t="s">
        <v>46</v>
      </c>
      <c r="C32" s="41" t="s">
        <v>47</v>
      </c>
      <c r="D32" s="42">
        <v>10.0</v>
      </c>
      <c r="E32" s="43">
        <v>406.9</v>
      </c>
      <c r="F32" s="44">
        <v>4089.3</v>
      </c>
      <c r="G32" s="41"/>
      <c r="H32" s="45">
        <v>0.0</v>
      </c>
      <c r="I32" s="42">
        <v>20.3</v>
      </c>
      <c r="J32" s="46" t="str">
        <f t="shared" si="22"/>
        <v/>
      </c>
      <c r="K32" s="56" t="str">
        <f t="shared" si="2"/>
        <v/>
      </c>
      <c r="L32" s="48" t="str">
        <f t="shared" si="3"/>
        <v/>
      </c>
      <c r="M32" s="49" t="str">
        <f t="shared" si="4"/>
        <v/>
      </c>
      <c r="N32" s="50"/>
      <c r="O32" s="46" t="str">
        <f t="shared" ref="O32:Q32" si="86">if(C32="DIV", G32,"")</f>
        <v/>
      </c>
      <c r="P32" s="46" t="str">
        <f t="shared" si="86"/>
        <v/>
      </c>
      <c r="Q32" s="46" t="str">
        <f t="shared" si="86"/>
        <v/>
      </c>
      <c r="R32" s="46" t="str">
        <f t="shared" si="24"/>
        <v>#REF!</v>
      </c>
      <c r="S32" s="46" t="str">
        <f t="shared" ref="S32:V32" si="87">if(F32="DIV", K32,"")</f>
        <v/>
      </c>
      <c r="T32" s="46" t="str">
        <f t="shared" si="87"/>
        <v/>
      </c>
      <c r="U32" s="46" t="str">
        <f t="shared" si="87"/>
        <v/>
      </c>
      <c r="V32" s="46" t="str">
        <f t="shared" si="87"/>
        <v/>
      </c>
      <c r="W32" s="46" t="str">
        <f t="shared" ref="W32:X32" si="88">if(J32="DIV", Y32,"")</f>
        <v/>
      </c>
      <c r="X32" s="46" t="str">
        <f t="shared" si="88"/>
        <v/>
      </c>
      <c r="Y32" s="50">
        <v>508.531818</v>
      </c>
      <c r="Z32" s="46">
        <v>44232.0</v>
      </c>
      <c r="AA32" s="48">
        <f t="shared" si="73"/>
        <v>10</v>
      </c>
      <c r="AB32" s="46">
        <f t="shared" si="74"/>
        <v>996.01818</v>
      </c>
      <c r="AC32" s="46">
        <f t="shared" si="75"/>
        <v>5085.31818</v>
      </c>
      <c r="AD32" s="46">
        <f t="shared" si="76"/>
        <v>0.5432525311</v>
      </c>
      <c r="AE32" s="46" t="str">
        <f t="shared" si="16"/>
        <v/>
      </c>
      <c r="AF32" s="55" t="s">
        <v>49</v>
      </c>
    </row>
    <row r="33">
      <c r="A33" s="40">
        <v>43921.0</v>
      </c>
      <c r="B33" s="41" t="s">
        <v>46</v>
      </c>
      <c r="C33" s="41" t="s">
        <v>47</v>
      </c>
      <c r="D33" s="42">
        <v>10.0</v>
      </c>
      <c r="E33" s="43">
        <v>289.645</v>
      </c>
      <c r="F33" s="44">
        <v>2916.95</v>
      </c>
      <c r="G33" s="41"/>
      <c r="H33" s="45">
        <v>2.92</v>
      </c>
      <c r="I33" s="42">
        <v>17.53</v>
      </c>
      <c r="J33" s="46" t="str">
        <f t="shared" si="22"/>
        <v/>
      </c>
      <c r="K33" s="56" t="str">
        <f t="shared" si="2"/>
        <v/>
      </c>
      <c r="L33" s="48" t="str">
        <f t="shared" si="3"/>
        <v/>
      </c>
      <c r="M33" s="49" t="str">
        <f t="shared" si="4"/>
        <v/>
      </c>
      <c r="N33" s="50"/>
      <c r="O33" s="46" t="str">
        <f t="shared" ref="O33:Q33" si="89">if(C33="DIV", G33,"")</f>
        <v/>
      </c>
      <c r="P33" s="46" t="str">
        <f t="shared" si="89"/>
        <v/>
      </c>
      <c r="Q33" s="46" t="str">
        <f t="shared" si="89"/>
        <v/>
      </c>
      <c r="R33" s="46" t="str">
        <f t="shared" si="24"/>
        <v>#REF!</v>
      </c>
      <c r="S33" s="46" t="str">
        <f t="shared" ref="S33:V33" si="90">if(F33="DIV", K33,"")</f>
        <v/>
      </c>
      <c r="T33" s="46" t="str">
        <f t="shared" si="90"/>
        <v/>
      </c>
      <c r="U33" s="46" t="str">
        <f t="shared" si="90"/>
        <v/>
      </c>
      <c r="V33" s="46" t="str">
        <f t="shared" si="90"/>
        <v/>
      </c>
      <c r="W33" s="46" t="str">
        <f t="shared" ref="W33:X33" si="91">if(J33="DIV", Y33,"")</f>
        <v/>
      </c>
      <c r="X33" s="46" t="str">
        <f t="shared" si="91"/>
        <v/>
      </c>
      <c r="Y33" s="50">
        <v>514.3094</v>
      </c>
      <c r="Z33" s="46">
        <v>44228.0</v>
      </c>
      <c r="AA33" s="48">
        <f t="shared" si="73"/>
        <v>10</v>
      </c>
      <c r="AB33" s="46">
        <f t="shared" si="74"/>
        <v>2226.194</v>
      </c>
      <c r="AC33" s="46">
        <f t="shared" si="75"/>
        <v>5143.094</v>
      </c>
      <c r="AD33" s="46">
        <f t="shared" si="76"/>
        <v>1.211577038</v>
      </c>
      <c r="AE33" s="46" t="str">
        <f t="shared" si="16"/>
        <v/>
      </c>
      <c r="AF33" s="55" t="s">
        <v>49</v>
      </c>
    </row>
    <row r="34">
      <c r="A34" s="40">
        <v>43909.0</v>
      </c>
      <c r="B34" s="41" t="s">
        <v>46</v>
      </c>
      <c r="C34" s="41" t="s">
        <v>47</v>
      </c>
      <c r="D34" s="42">
        <v>10.0</v>
      </c>
      <c r="E34" s="43">
        <v>285.763</v>
      </c>
      <c r="F34" s="44">
        <v>2877.67</v>
      </c>
      <c r="G34" s="41"/>
      <c r="H34" s="45">
        <v>2.78</v>
      </c>
      <c r="I34" s="42">
        <v>17.29</v>
      </c>
      <c r="J34" s="46" t="str">
        <f t="shared" si="22"/>
        <v/>
      </c>
      <c r="K34" s="56" t="str">
        <f t="shared" si="2"/>
        <v/>
      </c>
      <c r="L34" s="48" t="str">
        <f t="shared" si="3"/>
        <v/>
      </c>
      <c r="M34" s="49" t="str">
        <f t="shared" si="4"/>
        <v/>
      </c>
      <c r="N34" s="50"/>
      <c r="O34" s="46" t="str">
        <f t="shared" ref="O34:Q34" si="92">if(C34="DIV", G34,"")</f>
        <v/>
      </c>
      <c r="P34" s="46" t="str">
        <f t="shared" si="92"/>
        <v/>
      </c>
      <c r="Q34" s="46" t="str">
        <f t="shared" si="92"/>
        <v/>
      </c>
      <c r="R34" s="46" t="str">
        <f t="shared" si="24"/>
        <v>#REF!</v>
      </c>
      <c r="S34" s="46" t="str">
        <f t="shared" ref="S34:V34" si="93">if(F34="DIV", K34,"")</f>
        <v/>
      </c>
      <c r="T34" s="46" t="str">
        <f t="shared" si="93"/>
        <v/>
      </c>
      <c r="U34" s="46" t="str">
        <f t="shared" si="93"/>
        <v/>
      </c>
      <c r="V34" s="46" t="str">
        <f t="shared" si="93"/>
        <v/>
      </c>
      <c r="W34" s="46" t="str">
        <f t="shared" ref="W34:X34" si="94">if(J34="DIV", Y34,"")</f>
        <v/>
      </c>
      <c r="X34" s="46" t="str">
        <f t="shared" si="94"/>
        <v/>
      </c>
      <c r="Y34" s="50">
        <v>514.3094</v>
      </c>
      <c r="Z34" s="46">
        <v>44228.0</v>
      </c>
      <c r="AA34" s="48">
        <f t="shared" si="73"/>
        <v>10</v>
      </c>
      <c r="AB34" s="46">
        <f t="shared" si="74"/>
        <v>2265.394</v>
      </c>
      <c r="AC34" s="46">
        <f t="shared" si="75"/>
        <v>5143.094</v>
      </c>
      <c r="AD34" s="46">
        <f t="shared" si="76"/>
        <v>1.232911126</v>
      </c>
      <c r="AE34" s="46" t="str">
        <f t="shared" si="16"/>
        <v/>
      </c>
      <c r="AF34" s="55" t="s">
        <v>49</v>
      </c>
    </row>
    <row r="35">
      <c r="A35" s="40">
        <v>43906.0</v>
      </c>
      <c r="B35" s="41" t="s">
        <v>46</v>
      </c>
      <c r="C35" s="41" t="s">
        <v>47</v>
      </c>
      <c r="D35" s="42">
        <v>10.0</v>
      </c>
      <c r="E35" s="43">
        <v>308.099</v>
      </c>
      <c r="F35" s="44">
        <v>3102.71</v>
      </c>
      <c r="G35" s="41"/>
      <c r="H35" s="45">
        <v>3.18</v>
      </c>
      <c r="I35" s="42">
        <v>18.53</v>
      </c>
      <c r="J35" s="46" t="str">
        <f t="shared" si="22"/>
        <v/>
      </c>
      <c r="K35" s="56" t="str">
        <f t="shared" si="2"/>
        <v/>
      </c>
      <c r="L35" s="48" t="str">
        <f t="shared" si="3"/>
        <v/>
      </c>
      <c r="M35" s="49" t="str">
        <f t="shared" si="4"/>
        <v/>
      </c>
      <c r="N35" s="50"/>
      <c r="O35" s="46" t="str">
        <f t="shared" ref="O35:Q35" si="95">if(C35="DIV", G35,"")</f>
        <v/>
      </c>
      <c r="P35" s="46" t="str">
        <f t="shared" si="95"/>
        <v/>
      </c>
      <c r="Q35" s="46" t="str">
        <f t="shared" si="95"/>
        <v/>
      </c>
      <c r="R35" s="46" t="str">
        <f t="shared" si="24"/>
        <v>#REF!</v>
      </c>
      <c r="S35" s="46" t="str">
        <f t="shared" ref="S35:V35" si="96">if(F35="DIV", K35,"")</f>
        <v/>
      </c>
      <c r="T35" s="46" t="str">
        <f t="shared" si="96"/>
        <v/>
      </c>
      <c r="U35" s="46" t="str">
        <f t="shared" si="96"/>
        <v/>
      </c>
      <c r="V35" s="46" t="str">
        <f t="shared" si="96"/>
        <v/>
      </c>
      <c r="W35" s="46" t="str">
        <f t="shared" ref="W35:X35" si="97">if(J35="DIV", Y35,"")</f>
        <v/>
      </c>
      <c r="X35" s="46" t="str">
        <f t="shared" si="97"/>
        <v/>
      </c>
      <c r="Y35" s="50">
        <v>514.3094</v>
      </c>
      <c r="Z35" s="46">
        <v>44228.0</v>
      </c>
      <c r="AA35" s="48">
        <f t="shared" si="73"/>
        <v>10</v>
      </c>
      <c r="AB35" s="46">
        <f t="shared" si="74"/>
        <v>2040.394</v>
      </c>
      <c r="AC35" s="46">
        <f t="shared" si="75"/>
        <v>5143.094</v>
      </c>
      <c r="AD35" s="46">
        <f t="shared" si="76"/>
        <v>1.110457812</v>
      </c>
      <c r="AE35" s="46" t="str">
        <f t="shared" si="16"/>
        <v/>
      </c>
      <c r="AF35" s="55" t="s">
        <v>49</v>
      </c>
    </row>
    <row r="36">
      <c r="A36" s="40">
        <v>43901.0</v>
      </c>
      <c r="B36" s="41" t="s">
        <v>46</v>
      </c>
      <c r="C36" s="41" t="s">
        <v>47</v>
      </c>
      <c r="D36" s="42">
        <v>10.0</v>
      </c>
      <c r="E36" s="43">
        <v>362.954</v>
      </c>
      <c r="F36" s="44">
        <v>3654.96</v>
      </c>
      <c r="G36" s="41"/>
      <c r="H36" s="45">
        <v>3.63</v>
      </c>
      <c r="I36" s="42">
        <v>21.83</v>
      </c>
      <c r="J36" s="46" t="str">
        <f t="shared" si="22"/>
        <v/>
      </c>
      <c r="K36" s="56" t="str">
        <f t="shared" si="2"/>
        <v/>
      </c>
      <c r="L36" s="48" t="str">
        <f t="shared" si="3"/>
        <v/>
      </c>
      <c r="M36" s="49" t="str">
        <f t="shared" si="4"/>
        <v/>
      </c>
      <c r="N36" s="50"/>
      <c r="O36" s="46" t="str">
        <f t="shared" ref="O36:Q36" si="98">if(C36="DIV", G36,"")</f>
        <v/>
      </c>
      <c r="P36" s="46" t="str">
        <f t="shared" si="98"/>
        <v/>
      </c>
      <c r="Q36" s="46" t="str">
        <f t="shared" si="98"/>
        <v/>
      </c>
      <c r="R36" s="46" t="str">
        <f t="shared" si="24"/>
        <v>#REF!</v>
      </c>
      <c r="S36" s="46" t="str">
        <f t="shared" ref="S36:V36" si="99">if(F36="DIV", K36,"")</f>
        <v/>
      </c>
      <c r="T36" s="46" t="str">
        <f t="shared" si="99"/>
        <v/>
      </c>
      <c r="U36" s="46" t="str">
        <f t="shared" si="99"/>
        <v/>
      </c>
      <c r="V36" s="46" t="str">
        <f t="shared" si="99"/>
        <v/>
      </c>
      <c r="W36" s="46" t="str">
        <f t="shared" ref="W36:X36" si="100">if(J36="DIV", Y36,"")</f>
        <v/>
      </c>
      <c r="X36" s="46" t="str">
        <f t="shared" si="100"/>
        <v/>
      </c>
      <c r="Y36" s="50">
        <v>514.3094</v>
      </c>
      <c r="Z36" s="46">
        <v>44228.0</v>
      </c>
      <c r="AA36" s="48">
        <f t="shared" si="73"/>
        <v>10</v>
      </c>
      <c r="AB36" s="46">
        <f t="shared" si="74"/>
        <v>1488.094</v>
      </c>
      <c r="AC36" s="46">
        <f t="shared" si="75"/>
        <v>5143.094</v>
      </c>
      <c r="AD36" s="46">
        <f t="shared" si="76"/>
        <v>0.8098757433</v>
      </c>
      <c r="AE36" s="46" t="str">
        <f t="shared" si="16"/>
        <v/>
      </c>
      <c r="AF36" s="55" t="s">
        <v>49</v>
      </c>
    </row>
    <row r="37">
      <c r="A37" s="40">
        <v>43896.0</v>
      </c>
      <c r="B37" s="41" t="s">
        <v>46</v>
      </c>
      <c r="C37" s="41" t="s">
        <v>47</v>
      </c>
      <c r="D37" s="42">
        <v>10.0</v>
      </c>
      <c r="E37" s="43">
        <v>393.833</v>
      </c>
      <c r="F37" s="44">
        <v>3965.97</v>
      </c>
      <c r="G37" s="41"/>
      <c r="H37" s="45">
        <v>3.99</v>
      </c>
      <c r="I37" s="42">
        <v>23.68</v>
      </c>
      <c r="J37" s="46" t="str">
        <f t="shared" si="22"/>
        <v/>
      </c>
      <c r="K37" s="56" t="str">
        <f t="shared" si="2"/>
        <v/>
      </c>
      <c r="L37" s="48" t="str">
        <f t="shared" si="3"/>
        <v/>
      </c>
      <c r="M37" s="49" t="str">
        <f t="shared" si="4"/>
        <v/>
      </c>
      <c r="N37" s="50"/>
      <c r="O37" s="46" t="str">
        <f t="shared" ref="O37:Q37" si="101">if(C37="DIV", G37,"")</f>
        <v/>
      </c>
      <c r="P37" s="46" t="str">
        <f t="shared" si="101"/>
        <v/>
      </c>
      <c r="Q37" s="46" t="str">
        <f t="shared" si="101"/>
        <v/>
      </c>
      <c r="R37" s="46" t="str">
        <f t="shared" si="24"/>
        <v>#REF!</v>
      </c>
      <c r="S37" s="46" t="str">
        <f t="shared" ref="S37:V37" si="102">if(F37="DIV", K37,"")</f>
        <v/>
      </c>
      <c r="T37" s="46" t="str">
        <f t="shared" si="102"/>
        <v/>
      </c>
      <c r="U37" s="46" t="str">
        <f t="shared" si="102"/>
        <v/>
      </c>
      <c r="V37" s="46" t="str">
        <f t="shared" si="102"/>
        <v/>
      </c>
      <c r="W37" s="46" t="str">
        <f t="shared" ref="W37:X37" si="103">if(J37="DIV", Y37,"")</f>
        <v/>
      </c>
      <c r="X37" s="46" t="str">
        <f t="shared" si="103"/>
        <v/>
      </c>
      <c r="Y37" s="50">
        <v>514.3094</v>
      </c>
      <c r="Z37" s="46">
        <v>44228.0</v>
      </c>
      <c r="AA37" s="48">
        <f t="shared" si="73"/>
        <v>10</v>
      </c>
      <c r="AB37" s="46">
        <f t="shared" si="74"/>
        <v>1177.094</v>
      </c>
      <c r="AC37" s="46">
        <f t="shared" si="75"/>
        <v>5143.094</v>
      </c>
      <c r="AD37" s="46">
        <f t="shared" si="76"/>
        <v>0.6406180511</v>
      </c>
      <c r="AE37" s="46" t="str">
        <f t="shared" si="16"/>
        <v/>
      </c>
      <c r="AF37" s="55" t="s">
        <v>49</v>
      </c>
    </row>
    <row r="38">
      <c r="A38" s="40">
        <v>43895.0</v>
      </c>
      <c r="B38" s="41" t="s">
        <v>46</v>
      </c>
      <c r="C38" s="41" t="s">
        <v>47</v>
      </c>
      <c r="D38" s="42">
        <v>10.0</v>
      </c>
      <c r="E38" s="43">
        <v>418.004</v>
      </c>
      <c r="F38" s="44">
        <v>4209.36</v>
      </c>
      <c r="G38" s="41"/>
      <c r="H38" s="45">
        <v>4.16</v>
      </c>
      <c r="I38" s="42">
        <v>25.2</v>
      </c>
      <c r="J38" s="46" t="str">
        <f t="shared" si="22"/>
        <v/>
      </c>
      <c r="K38" s="56" t="str">
        <f t="shared" si="2"/>
        <v/>
      </c>
      <c r="L38" s="48" t="str">
        <f t="shared" si="3"/>
        <v/>
      </c>
      <c r="M38" s="49" t="str">
        <f t="shared" si="4"/>
        <v/>
      </c>
      <c r="N38" s="50"/>
      <c r="O38" s="46" t="str">
        <f t="shared" ref="O38:Q38" si="104">if(C38="DIV", G38,"")</f>
        <v/>
      </c>
      <c r="P38" s="46" t="str">
        <f t="shared" si="104"/>
        <v/>
      </c>
      <c r="Q38" s="46" t="str">
        <f t="shared" si="104"/>
        <v/>
      </c>
      <c r="R38" s="46" t="str">
        <f t="shared" si="24"/>
        <v>#REF!</v>
      </c>
      <c r="S38" s="46" t="str">
        <f t="shared" ref="S38:V38" si="105">if(F38="DIV", K38,"")</f>
        <v/>
      </c>
      <c r="T38" s="46" t="str">
        <f t="shared" si="105"/>
        <v/>
      </c>
      <c r="U38" s="46" t="str">
        <f t="shared" si="105"/>
        <v/>
      </c>
      <c r="V38" s="46" t="str">
        <f t="shared" si="105"/>
        <v/>
      </c>
      <c r="W38" s="46" t="str">
        <f t="shared" ref="W38:X38" si="106">if(J38="DIV", Y38,"")</f>
        <v/>
      </c>
      <c r="X38" s="46" t="str">
        <f t="shared" si="106"/>
        <v/>
      </c>
      <c r="Y38" s="50">
        <v>532.7895</v>
      </c>
      <c r="Z38" s="46">
        <v>44089.0</v>
      </c>
      <c r="AA38" s="48">
        <f t="shared" si="73"/>
        <v>10</v>
      </c>
      <c r="AB38" s="46">
        <f t="shared" si="74"/>
        <v>1118.495</v>
      </c>
      <c r="AC38" s="46">
        <f t="shared" si="75"/>
        <v>5327.895</v>
      </c>
      <c r="AD38" s="46">
        <f t="shared" si="76"/>
        <v>0.565915411</v>
      </c>
      <c r="AE38" s="46" t="str">
        <f t="shared" si="16"/>
        <v/>
      </c>
      <c r="AF38" s="55" t="s">
        <v>49</v>
      </c>
    </row>
    <row r="39">
      <c r="A39" s="40">
        <v>43895.0</v>
      </c>
      <c r="B39" s="41" t="s">
        <v>44</v>
      </c>
      <c r="C39" s="41" t="s">
        <v>47</v>
      </c>
      <c r="D39" s="42">
        <v>10.0</v>
      </c>
      <c r="E39" s="43">
        <v>5.0</v>
      </c>
      <c r="F39" s="44">
        <v>50.0</v>
      </c>
      <c r="G39" s="41" t="s">
        <v>54</v>
      </c>
      <c r="H39" s="45">
        <v>0.0</v>
      </c>
      <c r="I39" s="42">
        <v>0.0</v>
      </c>
      <c r="J39" s="46" t="str">
        <f t="shared" si="22"/>
        <v/>
      </c>
      <c r="K39" s="56" t="str">
        <f t="shared" si="2"/>
        <v/>
      </c>
      <c r="L39" s="48" t="str">
        <f t="shared" si="3"/>
        <v/>
      </c>
      <c r="M39" s="49" t="str">
        <f t="shared" si="4"/>
        <v/>
      </c>
      <c r="N39" s="50"/>
      <c r="O39" s="46" t="str">
        <f t="shared" ref="O39:Q39" si="107">if(C39="DIV", G39,"")</f>
        <v/>
      </c>
      <c r="P39" s="46" t="str">
        <f t="shared" si="107"/>
        <v/>
      </c>
      <c r="Q39" s="46" t="str">
        <f t="shared" si="107"/>
        <v/>
      </c>
      <c r="R39" s="46" t="str">
        <f t="shared" si="24"/>
        <v>#REF!</v>
      </c>
      <c r="S39" s="46" t="str">
        <f t="shared" ref="S39:V39" si="108">if(F39="DIV", K39,"")</f>
        <v/>
      </c>
      <c r="T39" s="46" t="str">
        <f t="shared" si="108"/>
        <v/>
      </c>
      <c r="U39" s="46" t="str">
        <f t="shared" si="108"/>
        <v/>
      </c>
      <c r="V39" s="46" t="str">
        <f t="shared" si="108"/>
        <v/>
      </c>
      <c r="W39" s="46" t="str">
        <f t="shared" ref="W39:X39" si="109">if(J39="DIV", Y39,"")</f>
        <v/>
      </c>
      <c r="X39" s="46" t="str">
        <f t="shared" si="109"/>
        <v/>
      </c>
      <c r="Y39" s="50"/>
      <c r="Z39" s="46"/>
      <c r="AA39" s="48"/>
      <c r="AB39" s="46"/>
      <c r="AC39" s="46"/>
      <c r="AD39" s="46"/>
      <c r="AE39" s="46">
        <f t="shared" si="16"/>
        <v>50</v>
      </c>
      <c r="AF39" s="55" t="s">
        <v>49</v>
      </c>
      <c r="AG39" s="55"/>
    </row>
    <row r="40">
      <c r="A40" s="40">
        <v>43892.0</v>
      </c>
      <c r="B40" s="41" t="s">
        <v>46</v>
      </c>
      <c r="C40" s="41" t="s">
        <v>47</v>
      </c>
      <c r="D40" s="42">
        <v>5.0</v>
      </c>
      <c r="E40" s="43">
        <v>478.046</v>
      </c>
      <c r="F40" s="44">
        <v>2407.02</v>
      </c>
      <c r="G40" s="41"/>
      <c r="H40" s="45">
        <v>2.39</v>
      </c>
      <c r="I40" s="42">
        <v>14.38</v>
      </c>
      <c r="J40" s="46" t="str">
        <f t="shared" si="22"/>
        <v/>
      </c>
      <c r="K40" s="56" t="str">
        <f t="shared" si="2"/>
        <v/>
      </c>
      <c r="L40" s="48" t="str">
        <f t="shared" si="3"/>
        <v/>
      </c>
      <c r="M40" s="49" t="str">
        <f t="shared" si="4"/>
        <v/>
      </c>
      <c r="N40" s="50"/>
      <c r="O40" s="46" t="str">
        <f t="shared" ref="O40:Q40" si="110">if(C40="DIV", G40,"")</f>
        <v/>
      </c>
      <c r="P40" s="46" t="str">
        <f t="shared" si="110"/>
        <v/>
      </c>
      <c r="Q40" s="46" t="str">
        <f t="shared" si="110"/>
        <v/>
      </c>
      <c r="R40" s="46" t="str">
        <f t="shared" si="24"/>
        <v>#REF!</v>
      </c>
      <c r="S40" s="46" t="str">
        <f t="shared" ref="S40:V40" si="111">if(F40="DIV", K40,"")</f>
        <v/>
      </c>
      <c r="T40" s="46" t="str">
        <f t="shared" si="111"/>
        <v/>
      </c>
      <c r="U40" s="46" t="str">
        <f t="shared" si="111"/>
        <v/>
      </c>
      <c r="V40" s="46" t="str">
        <f t="shared" si="111"/>
        <v/>
      </c>
      <c r="W40" s="46" t="str">
        <f t="shared" ref="W40:X40" si="112">if(J40="DIV", Y40,"")</f>
        <v/>
      </c>
      <c r="X40" s="46" t="str">
        <f t="shared" si="112"/>
        <v/>
      </c>
      <c r="Y40" s="50">
        <v>532.7895</v>
      </c>
      <c r="Z40" s="46">
        <v>44089.0</v>
      </c>
      <c r="AA40" s="48">
        <f>D40</f>
        <v>5</v>
      </c>
      <c r="AB40" s="46">
        <f>(Y40-E40)*D40-H40-I40</f>
        <v>256.9475</v>
      </c>
      <c r="AC40" s="46">
        <f>Y40*D40</f>
        <v>2663.9475</v>
      </c>
      <c r="AD40" s="46">
        <f>AB40/(NOW()-Z40)</f>
        <v>0.1300055432</v>
      </c>
      <c r="AE40" s="46" t="str">
        <f t="shared" si="16"/>
        <v/>
      </c>
      <c r="AF40" s="55" t="s">
        <v>49</v>
      </c>
    </row>
    <row r="41">
      <c r="A41" s="40">
        <v>43831.0</v>
      </c>
      <c r="B41" s="41" t="s">
        <v>46</v>
      </c>
      <c r="C41" s="41" t="s">
        <v>50</v>
      </c>
      <c r="D41" s="42">
        <v>25.0</v>
      </c>
      <c r="E41" s="43">
        <v>592.6104</v>
      </c>
      <c r="F41" s="44">
        <v>14920.76</v>
      </c>
      <c r="G41" s="41"/>
      <c r="H41" s="45">
        <v>15.11</v>
      </c>
      <c r="I41" s="42">
        <v>90.38</v>
      </c>
      <c r="J41" s="46" t="str">
        <f t="shared" ref="J41:J43" si="116">IF(AND( C41="Buy", ISBLANK(#REF!), B41&lt;&gt;"DIV"), ((#REF!*D41)-(E41*D41)+I41), "")</f>
        <v/>
      </c>
      <c r="K41" s="56" t="str">
        <f t="shared" ref="K41:K43" si="117">IF(AND( C41="Buy", ISBLANK(#REF!), B41&lt;&gt;"DIV"), #REF!*D41, "")</f>
        <v/>
      </c>
      <c r="L41" s="48" t="str">
        <f t="shared" ref="L41:L43" si="118">IF(AND( C41="Buy", ISBLANK(#REF!), B41&lt;&gt;"DIV"), D41, "")</f>
        <v/>
      </c>
      <c r="M41" s="49" t="str">
        <f t="shared" si="4"/>
        <v/>
      </c>
      <c r="N41" s="50"/>
      <c r="O41" s="46" t="str">
        <f t="shared" ref="O41:Q41" si="113">if(C41="DIV", G41,"")</f>
        <v/>
      </c>
      <c r="P41" s="46" t="str">
        <f t="shared" si="113"/>
        <v/>
      </c>
      <c r="Q41" s="46" t="str">
        <f t="shared" si="113"/>
        <v/>
      </c>
      <c r="R41" s="46" t="str">
        <f t="shared" si="24"/>
        <v>#REF!</v>
      </c>
      <c r="S41" s="46" t="str">
        <f t="shared" ref="S41:V41" si="114">if(F41="DIV", K41,"")</f>
        <v/>
      </c>
      <c r="T41" s="46" t="str">
        <f t="shared" si="114"/>
        <v/>
      </c>
      <c r="U41" s="46" t="str">
        <f t="shared" si="114"/>
        <v/>
      </c>
      <c r="V41" s="46" t="str">
        <f t="shared" si="114"/>
        <v/>
      </c>
      <c r="W41" s="46" t="str">
        <f t="shared" ref="W41:X41" si="115">if(J41="DIV", Y41,"")</f>
        <v/>
      </c>
      <c r="X41" s="46" t="str">
        <f t="shared" si="115"/>
        <v/>
      </c>
      <c r="Y41" s="50"/>
      <c r="Z41" s="46"/>
      <c r="AA41" s="48"/>
      <c r="AB41" s="46"/>
      <c r="AC41" s="46"/>
      <c r="AD41" s="46"/>
      <c r="AE41" s="46" t="str">
        <f t="shared" si="16"/>
        <v/>
      </c>
      <c r="AF41" s="55" t="s">
        <v>49</v>
      </c>
    </row>
    <row r="42">
      <c r="A42" s="40">
        <v>43823.0</v>
      </c>
      <c r="B42" s="41" t="s">
        <v>46</v>
      </c>
      <c r="C42" s="41" t="s">
        <v>50</v>
      </c>
      <c r="D42" s="42">
        <v>20.0</v>
      </c>
      <c r="E42" s="43">
        <v>577.2645</v>
      </c>
      <c r="F42" s="44">
        <v>11627.69</v>
      </c>
      <c r="G42" s="41"/>
      <c r="H42" s="45">
        <v>11.74</v>
      </c>
      <c r="I42" s="42">
        <v>70.57</v>
      </c>
      <c r="J42" s="46" t="str">
        <f t="shared" si="116"/>
        <v/>
      </c>
      <c r="K42" s="56" t="str">
        <f t="shared" si="117"/>
        <v/>
      </c>
      <c r="L42" s="48" t="str">
        <f t="shared" si="118"/>
        <v/>
      </c>
      <c r="M42" s="49" t="str">
        <f t="shared" si="4"/>
        <v/>
      </c>
      <c r="N42" s="50"/>
      <c r="O42" s="46" t="str">
        <f t="shared" ref="O42:Q42" si="119">if(C42="DIV", G42,"")</f>
        <v/>
      </c>
      <c r="P42" s="46" t="str">
        <f t="shared" si="119"/>
        <v/>
      </c>
      <c r="Q42" s="46" t="str">
        <f t="shared" si="119"/>
        <v/>
      </c>
      <c r="R42" s="46" t="str">
        <f t="shared" si="24"/>
        <v>#REF!</v>
      </c>
      <c r="S42" s="46" t="str">
        <f t="shared" ref="S42:V42" si="120">if(F42="DIV", K42,"")</f>
        <v/>
      </c>
      <c r="T42" s="46" t="str">
        <f t="shared" si="120"/>
        <v/>
      </c>
      <c r="U42" s="46" t="str">
        <f t="shared" si="120"/>
        <v/>
      </c>
      <c r="V42" s="46" t="str">
        <f t="shared" si="120"/>
        <v/>
      </c>
      <c r="W42" s="46" t="str">
        <f t="shared" ref="W42:X42" si="121">if(J42="DIV", Y42,"")</f>
        <v/>
      </c>
      <c r="X42" s="46" t="str">
        <f t="shared" si="121"/>
        <v/>
      </c>
      <c r="Y42" s="50"/>
      <c r="Z42" s="46"/>
      <c r="AA42" s="48"/>
      <c r="AB42" s="46"/>
      <c r="AC42" s="46"/>
      <c r="AD42" s="46"/>
      <c r="AE42" s="46" t="str">
        <f t="shared" si="16"/>
        <v/>
      </c>
      <c r="AF42" s="55" t="s">
        <v>49</v>
      </c>
    </row>
    <row r="43">
      <c r="A43" s="40">
        <v>43822.0</v>
      </c>
      <c r="B43" s="41" t="s">
        <v>46</v>
      </c>
      <c r="C43" s="41" t="s">
        <v>50</v>
      </c>
      <c r="D43" s="42">
        <v>20.0</v>
      </c>
      <c r="E43" s="43">
        <v>580.9665</v>
      </c>
      <c r="F43" s="44">
        <v>11702.13</v>
      </c>
      <c r="G43" s="41"/>
      <c r="H43" s="45">
        <v>11.88</v>
      </c>
      <c r="I43" s="42">
        <v>70.99</v>
      </c>
      <c r="J43" s="46" t="str">
        <f t="shared" si="116"/>
        <v/>
      </c>
      <c r="K43" s="56" t="str">
        <f t="shared" si="117"/>
        <v/>
      </c>
      <c r="L43" s="48" t="str">
        <f t="shared" si="118"/>
        <v/>
      </c>
      <c r="M43" s="49" t="str">
        <f t="shared" si="4"/>
        <v/>
      </c>
      <c r="N43" s="50"/>
      <c r="O43" s="46" t="str">
        <f t="shared" ref="O43:Q43" si="122">if(C43="DIV", G43,"")</f>
        <v/>
      </c>
      <c r="P43" s="46" t="str">
        <f t="shared" si="122"/>
        <v/>
      </c>
      <c r="Q43" s="46" t="str">
        <f t="shared" si="122"/>
        <v/>
      </c>
      <c r="R43" s="46" t="str">
        <f t="shared" si="24"/>
        <v>#REF!</v>
      </c>
      <c r="S43" s="46" t="str">
        <f t="shared" ref="S43:V43" si="123">if(F43="DIV", K43,"")</f>
        <v/>
      </c>
      <c r="T43" s="46" t="str">
        <f t="shared" si="123"/>
        <v/>
      </c>
      <c r="U43" s="46" t="str">
        <f t="shared" si="123"/>
        <v/>
      </c>
      <c r="V43" s="46" t="str">
        <f t="shared" si="123"/>
        <v/>
      </c>
      <c r="W43" s="46" t="str">
        <f t="shared" ref="W43:X43" si="124">if(J43="DIV", Y43,"")</f>
        <v/>
      </c>
      <c r="X43" s="46" t="str">
        <f t="shared" si="124"/>
        <v/>
      </c>
      <c r="Y43" s="50"/>
      <c r="Z43" s="46"/>
      <c r="AA43" s="48"/>
      <c r="AB43" s="46"/>
      <c r="AC43" s="46"/>
      <c r="AD43" s="46"/>
      <c r="AE43" s="46" t="str">
        <f t="shared" si="16"/>
        <v/>
      </c>
      <c r="AF43" s="55" t="s">
        <v>49</v>
      </c>
    </row>
    <row r="44">
      <c r="A44" s="40">
        <v>43819.0</v>
      </c>
      <c r="B44" s="41" t="s">
        <v>46</v>
      </c>
      <c r="C44" s="41" t="s">
        <v>50</v>
      </c>
      <c r="D44" s="42">
        <v>30.0</v>
      </c>
      <c r="E44" s="43">
        <v>570.971</v>
      </c>
      <c r="F44" s="44">
        <v>17251.48</v>
      </c>
      <c r="G44" s="41"/>
      <c r="H44" s="45">
        <v>17.54</v>
      </c>
      <c r="I44" s="42">
        <v>104.83</v>
      </c>
      <c r="J44" s="46" t="str">
        <f t="shared" ref="J44:J64" si="128">IF(AND( C44="Buy", ISBLANK(Y44), B44&lt;&gt;"DIV"), ((#REF!*D44)-(E44*D44)+I44), "")</f>
        <v/>
      </c>
      <c r="K44" s="56" t="str">
        <f t="shared" ref="K44:K64" si="129">IF(AND( C44="Buy", ISBLANK(Y44), B44&lt;&gt;"DIV"), #REF!*D44, "")</f>
        <v/>
      </c>
      <c r="L44" s="48" t="str">
        <f t="shared" ref="L44:L64" si="130">IF(AND( C44="Buy", ISBLANK(Y44), B44&lt;&gt;"DIV"), D44, "")</f>
        <v/>
      </c>
      <c r="M44" s="49" t="str">
        <f t="shared" si="4"/>
        <v/>
      </c>
      <c r="N44" s="50"/>
      <c r="O44" s="46" t="str">
        <f t="shared" ref="O44:Q44" si="125">if(C44="DIV", G44,"")</f>
        <v/>
      </c>
      <c r="P44" s="46" t="str">
        <f t="shared" si="125"/>
        <v/>
      </c>
      <c r="Q44" s="46" t="str">
        <f t="shared" si="125"/>
        <v/>
      </c>
      <c r="R44" s="46" t="str">
        <f t="shared" si="24"/>
        <v>#REF!</v>
      </c>
      <c r="S44" s="46" t="str">
        <f t="shared" ref="S44:V44" si="126">if(F44="DIV", K44,"")</f>
        <v/>
      </c>
      <c r="T44" s="46" t="str">
        <f t="shared" si="126"/>
        <v/>
      </c>
      <c r="U44" s="46" t="str">
        <f t="shared" si="126"/>
        <v/>
      </c>
      <c r="V44" s="46" t="str">
        <f t="shared" si="126"/>
        <v/>
      </c>
      <c r="W44" s="46" t="str">
        <f t="shared" ref="W44:X44" si="127">if(J44="DIV", Y44,"")</f>
        <v/>
      </c>
      <c r="X44" s="46" t="str">
        <f t="shared" si="127"/>
        <v/>
      </c>
      <c r="Y44" s="50"/>
      <c r="Z44" s="46"/>
      <c r="AA44" s="48"/>
      <c r="AB44" s="46"/>
      <c r="AC44" s="46"/>
      <c r="AD44" s="46"/>
      <c r="AE44" s="46" t="str">
        <f t="shared" si="16"/>
        <v/>
      </c>
      <c r="AF44" s="55" t="s">
        <v>49</v>
      </c>
    </row>
    <row r="45">
      <c r="A45" s="40">
        <v>43818.0</v>
      </c>
      <c r="B45" s="41" t="s">
        <v>46</v>
      </c>
      <c r="C45" s="41" t="s">
        <v>47</v>
      </c>
      <c r="D45" s="42">
        <v>5.0</v>
      </c>
      <c r="E45" s="43">
        <v>581.792</v>
      </c>
      <c r="F45" s="44">
        <v>2914.03</v>
      </c>
      <c r="G45" s="41"/>
      <c r="H45" s="45">
        <v>2.155</v>
      </c>
      <c r="I45" s="42">
        <v>2.925</v>
      </c>
      <c r="J45" s="46" t="str">
        <f t="shared" si="128"/>
        <v/>
      </c>
      <c r="K45" s="56" t="str">
        <f t="shared" si="129"/>
        <v/>
      </c>
      <c r="L45" s="48" t="str">
        <f t="shared" si="130"/>
        <v/>
      </c>
      <c r="M45" s="49" t="str">
        <f t="shared" si="4"/>
        <v/>
      </c>
      <c r="N45" s="50"/>
      <c r="O45" s="46" t="str">
        <f t="shared" ref="O45:Q45" si="131">if(C45="DIV", G45,"")</f>
        <v/>
      </c>
      <c r="P45" s="46" t="str">
        <f t="shared" si="131"/>
        <v/>
      </c>
      <c r="Q45" s="46" t="str">
        <f t="shared" si="131"/>
        <v/>
      </c>
      <c r="R45" s="46" t="str">
        <f t="shared" si="24"/>
        <v>#REF!</v>
      </c>
      <c r="S45" s="46" t="str">
        <f t="shared" ref="S45:V45" si="132">if(F45="DIV", K45,"")</f>
        <v/>
      </c>
      <c r="T45" s="46" t="str">
        <f t="shared" si="132"/>
        <v/>
      </c>
      <c r="U45" s="46" t="str">
        <f t="shared" si="132"/>
        <v/>
      </c>
      <c r="V45" s="46" t="str">
        <f t="shared" si="132"/>
        <v/>
      </c>
      <c r="W45" s="46" t="str">
        <f t="shared" ref="W45:X45" si="133">if(J45="DIV", Y45,"")</f>
        <v/>
      </c>
      <c r="X45" s="46" t="str">
        <f t="shared" si="133"/>
        <v/>
      </c>
      <c r="Y45" s="50">
        <v>532.7895</v>
      </c>
      <c r="Z45" s="46">
        <v>44089.0</v>
      </c>
      <c r="AA45" s="48">
        <f t="shared" ref="AA45:AA46" si="137">D45</f>
        <v>5</v>
      </c>
      <c r="AB45" s="46">
        <f t="shared" ref="AB45:AB46" si="138">(Y45-E45)*D45-H45-I45</f>
        <v>-250.0925</v>
      </c>
      <c r="AC45" s="46">
        <f t="shared" ref="AC45:AC46" si="139">Y45*D45</f>
        <v>2663.9475</v>
      </c>
      <c r="AD45" s="46">
        <f t="shared" ref="AD45:AD46" si="140">AB45/(NOW()-Z45)</f>
        <v>-0.1265371771</v>
      </c>
      <c r="AE45" s="46" t="str">
        <f t="shared" si="16"/>
        <v/>
      </c>
      <c r="AF45" s="55" t="s">
        <v>49</v>
      </c>
    </row>
    <row r="46">
      <c r="A46" s="40">
        <v>43818.0</v>
      </c>
      <c r="B46" s="41" t="s">
        <v>46</v>
      </c>
      <c r="C46" s="41" t="s">
        <v>47</v>
      </c>
      <c r="D46" s="42">
        <v>5.0</v>
      </c>
      <c r="E46" s="43">
        <v>581.792</v>
      </c>
      <c r="F46" s="44">
        <v>2914.03</v>
      </c>
      <c r="G46" s="41"/>
      <c r="H46" s="45">
        <v>2.155</v>
      </c>
      <c r="I46" s="42">
        <v>2.925</v>
      </c>
      <c r="J46" s="46" t="str">
        <f t="shared" si="128"/>
        <v/>
      </c>
      <c r="K46" s="56" t="str">
        <f t="shared" si="129"/>
        <v/>
      </c>
      <c r="L46" s="48" t="str">
        <f t="shared" si="130"/>
        <v/>
      </c>
      <c r="M46" s="49" t="str">
        <f t="shared" si="4"/>
        <v/>
      </c>
      <c r="N46" s="50"/>
      <c r="O46" s="46" t="str">
        <f t="shared" ref="O46:Q46" si="134">if(C46="DIV", G46,"")</f>
        <v/>
      </c>
      <c r="P46" s="46" t="str">
        <f t="shared" si="134"/>
        <v/>
      </c>
      <c r="Q46" s="46" t="str">
        <f t="shared" si="134"/>
        <v/>
      </c>
      <c r="R46" s="46" t="str">
        <f t="shared" si="24"/>
        <v>#REF!</v>
      </c>
      <c r="S46" s="46" t="str">
        <f t="shared" ref="S46:V46" si="135">if(F46="DIV", K46,"")</f>
        <v/>
      </c>
      <c r="T46" s="46" t="str">
        <f t="shared" si="135"/>
        <v/>
      </c>
      <c r="U46" s="46" t="str">
        <f t="shared" si="135"/>
        <v/>
      </c>
      <c r="V46" s="46" t="str">
        <f t="shared" si="135"/>
        <v/>
      </c>
      <c r="W46" s="46" t="str">
        <f t="shared" ref="W46:X46" si="136">if(J46="DIV", Y46,"")</f>
        <v/>
      </c>
      <c r="X46" s="46" t="str">
        <f t="shared" si="136"/>
        <v/>
      </c>
      <c r="Y46" s="50">
        <v>574.903</v>
      </c>
      <c r="Z46" s="46">
        <v>43818.0</v>
      </c>
      <c r="AA46" s="48">
        <f t="shared" si="137"/>
        <v>5</v>
      </c>
      <c r="AB46" s="46">
        <f t="shared" si="138"/>
        <v>-39.525</v>
      </c>
      <c r="AC46" s="46">
        <f t="shared" si="139"/>
        <v>2874.515</v>
      </c>
      <c r="AD46" s="46">
        <f t="shared" si="140"/>
        <v>-0.01758671587</v>
      </c>
      <c r="AE46" s="46" t="str">
        <f t="shared" si="16"/>
        <v/>
      </c>
      <c r="AF46" s="55" t="s">
        <v>49</v>
      </c>
    </row>
    <row r="47">
      <c r="A47" s="40">
        <v>43818.0</v>
      </c>
      <c r="B47" s="41" t="s">
        <v>46</v>
      </c>
      <c r="C47" s="41" t="s">
        <v>50</v>
      </c>
      <c r="D47" s="42">
        <v>10.0</v>
      </c>
      <c r="E47" s="43">
        <v>574.903</v>
      </c>
      <c r="F47" s="44">
        <v>5759.03</v>
      </c>
      <c r="G47" s="41"/>
      <c r="H47" s="45">
        <v>4.27</v>
      </c>
      <c r="I47" s="42">
        <v>5.7</v>
      </c>
      <c r="J47" s="46" t="str">
        <f t="shared" si="128"/>
        <v/>
      </c>
      <c r="K47" s="56" t="str">
        <f t="shared" si="129"/>
        <v/>
      </c>
      <c r="L47" s="48" t="str">
        <f t="shared" si="130"/>
        <v/>
      </c>
      <c r="M47" s="49" t="str">
        <f t="shared" si="4"/>
        <v/>
      </c>
      <c r="N47" s="50"/>
      <c r="O47" s="46" t="str">
        <f t="shared" ref="O47:Q47" si="141">if(C47="DIV", G47,"")</f>
        <v/>
      </c>
      <c r="P47" s="46" t="str">
        <f t="shared" si="141"/>
        <v/>
      </c>
      <c r="Q47" s="46" t="str">
        <f t="shared" si="141"/>
        <v/>
      </c>
      <c r="R47" s="46" t="str">
        <f t="shared" si="24"/>
        <v>#REF!</v>
      </c>
      <c r="S47" s="46" t="str">
        <f t="shared" ref="S47:V47" si="142">if(F47="DIV", K47,"")</f>
        <v/>
      </c>
      <c r="T47" s="46" t="str">
        <f t="shared" si="142"/>
        <v/>
      </c>
      <c r="U47" s="46" t="str">
        <f t="shared" si="142"/>
        <v/>
      </c>
      <c r="V47" s="46" t="str">
        <f t="shared" si="142"/>
        <v/>
      </c>
      <c r="W47" s="46" t="str">
        <f t="shared" ref="W47:X47" si="143">if(J47="DIV", Y47,"")</f>
        <v/>
      </c>
      <c r="X47" s="46" t="str">
        <f t="shared" si="143"/>
        <v/>
      </c>
      <c r="Y47" s="50"/>
      <c r="Z47" s="46"/>
      <c r="AA47" s="48"/>
      <c r="AB47" s="46"/>
      <c r="AC47" s="46"/>
      <c r="AD47" s="46"/>
      <c r="AE47" s="46" t="str">
        <f t="shared" si="16"/>
        <v/>
      </c>
      <c r="AF47" s="55" t="s">
        <v>49</v>
      </c>
    </row>
    <row r="48">
      <c r="A48" s="40">
        <v>43812.0</v>
      </c>
      <c r="B48" s="41" t="s">
        <v>46</v>
      </c>
      <c r="C48" s="41" t="s">
        <v>50</v>
      </c>
      <c r="D48" s="42">
        <v>20.0</v>
      </c>
      <c r="E48" s="43">
        <v>508.1195</v>
      </c>
      <c r="F48" s="44">
        <v>10232.19</v>
      </c>
      <c r="G48" s="41"/>
      <c r="H48" s="45">
        <v>7.82</v>
      </c>
      <c r="I48" s="42">
        <v>61.99</v>
      </c>
      <c r="J48" s="46" t="str">
        <f t="shared" si="128"/>
        <v/>
      </c>
      <c r="K48" s="56" t="str">
        <f t="shared" si="129"/>
        <v/>
      </c>
      <c r="L48" s="48" t="str">
        <f t="shared" si="130"/>
        <v/>
      </c>
      <c r="M48" s="49" t="str">
        <f t="shared" si="4"/>
        <v/>
      </c>
      <c r="N48" s="50"/>
      <c r="O48" s="46" t="str">
        <f t="shared" ref="O48:Q48" si="144">if(C48="DIV", G48,"")</f>
        <v/>
      </c>
      <c r="P48" s="46" t="str">
        <f t="shared" si="144"/>
        <v/>
      </c>
      <c r="Q48" s="46" t="str">
        <f t="shared" si="144"/>
        <v/>
      </c>
      <c r="R48" s="46" t="str">
        <f t="shared" si="24"/>
        <v>#REF!</v>
      </c>
      <c r="S48" s="46" t="str">
        <f t="shared" ref="S48:V48" si="145">if(F48="DIV", K48,"")</f>
        <v/>
      </c>
      <c r="T48" s="46" t="str">
        <f t="shared" si="145"/>
        <v/>
      </c>
      <c r="U48" s="46" t="str">
        <f t="shared" si="145"/>
        <v/>
      </c>
      <c r="V48" s="46" t="str">
        <f t="shared" si="145"/>
        <v/>
      </c>
      <c r="W48" s="46" t="str">
        <f t="shared" ref="W48:X48" si="146">if(J48="DIV", Y48,"")</f>
        <v/>
      </c>
      <c r="X48" s="46" t="str">
        <f t="shared" si="146"/>
        <v/>
      </c>
      <c r="Y48" s="50"/>
      <c r="Z48" s="46"/>
      <c r="AA48" s="48"/>
      <c r="AB48" s="46"/>
      <c r="AC48" s="46"/>
      <c r="AD48" s="46"/>
      <c r="AE48" s="46" t="str">
        <f t="shared" si="16"/>
        <v/>
      </c>
      <c r="AF48" s="55" t="s">
        <v>49</v>
      </c>
    </row>
    <row r="49">
      <c r="A49" s="40">
        <v>43811.0</v>
      </c>
      <c r="B49" s="41" t="s">
        <v>46</v>
      </c>
      <c r="C49" s="41" t="s">
        <v>50</v>
      </c>
      <c r="D49" s="42">
        <v>25.0</v>
      </c>
      <c r="E49" s="43">
        <v>501.9024</v>
      </c>
      <c r="F49" s="44">
        <v>12633.31</v>
      </c>
      <c r="G49" s="41"/>
      <c r="H49" s="45">
        <v>9.28</v>
      </c>
      <c r="I49" s="42">
        <v>76.41</v>
      </c>
      <c r="J49" s="46" t="str">
        <f t="shared" si="128"/>
        <v/>
      </c>
      <c r="K49" s="56" t="str">
        <f t="shared" si="129"/>
        <v/>
      </c>
      <c r="L49" s="48" t="str">
        <f t="shared" si="130"/>
        <v/>
      </c>
      <c r="M49" s="49" t="str">
        <f t="shared" si="4"/>
        <v/>
      </c>
      <c r="N49" s="50"/>
      <c r="O49" s="46" t="str">
        <f t="shared" ref="O49:Q49" si="147">if(C49="DIV", G49,"")</f>
        <v/>
      </c>
      <c r="P49" s="46" t="str">
        <f t="shared" si="147"/>
        <v/>
      </c>
      <c r="Q49" s="46" t="str">
        <f t="shared" si="147"/>
        <v/>
      </c>
      <c r="R49" s="46" t="str">
        <f t="shared" si="24"/>
        <v>#REF!</v>
      </c>
      <c r="S49" s="46" t="str">
        <f t="shared" ref="S49:V49" si="148">if(F49="DIV", K49,"")</f>
        <v/>
      </c>
      <c r="T49" s="46" t="str">
        <f t="shared" si="148"/>
        <v/>
      </c>
      <c r="U49" s="46" t="str">
        <f t="shared" si="148"/>
        <v/>
      </c>
      <c r="V49" s="46" t="str">
        <f t="shared" si="148"/>
        <v/>
      </c>
      <c r="W49" s="46" t="str">
        <f t="shared" ref="W49:X49" si="149">if(J49="DIV", Y49,"")</f>
        <v/>
      </c>
      <c r="X49" s="46" t="str">
        <f t="shared" si="149"/>
        <v/>
      </c>
      <c r="Y49" s="50"/>
      <c r="Z49" s="46"/>
      <c r="AA49" s="48"/>
      <c r="AB49" s="46"/>
      <c r="AC49" s="46"/>
      <c r="AD49" s="46"/>
      <c r="AE49" s="46" t="str">
        <f t="shared" si="16"/>
        <v/>
      </c>
      <c r="AF49" s="55" t="s">
        <v>49</v>
      </c>
    </row>
    <row r="50">
      <c r="A50" s="40">
        <v>43803.0</v>
      </c>
      <c r="B50" s="41" t="s">
        <v>46</v>
      </c>
      <c r="C50" s="41" t="s">
        <v>50</v>
      </c>
      <c r="D50" s="42">
        <v>30.0</v>
      </c>
      <c r="E50" s="43">
        <v>511.707333</v>
      </c>
      <c r="F50" s="44">
        <v>15458.32</v>
      </c>
      <c r="G50" s="41"/>
      <c r="H50" s="45">
        <v>13.78</v>
      </c>
      <c r="I50" s="42">
        <v>93.4</v>
      </c>
      <c r="J50" s="46" t="str">
        <f t="shared" si="128"/>
        <v/>
      </c>
      <c r="K50" s="56" t="str">
        <f t="shared" si="129"/>
        <v/>
      </c>
      <c r="L50" s="48" t="str">
        <f t="shared" si="130"/>
        <v/>
      </c>
      <c r="M50" s="49" t="str">
        <f t="shared" si="4"/>
        <v/>
      </c>
      <c r="N50" s="50"/>
      <c r="O50" s="46" t="str">
        <f t="shared" ref="O50:Q50" si="150">if(C50="DIV", G50,"")</f>
        <v/>
      </c>
      <c r="P50" s="46" t="str">
        <f t="shared" si="150"/>
        <v/>
      </c>
      <c r="Q50" s="46" t="str">
        <f t="shared" si="150"/>
        <v/>
      </c>
      <c r="R50" s="46" t="str">
        <f t="shared" si="24"/>
        <v>#REF!</v>
      </c>
      <c r="S50" s="46" t="str">
        <f t="shared" ref="S50:V50" si="151">if(F50="DIV", K50,"")</f>
        <v/>
      </c>
      <c r="T50" s="46" t="str">
        <f t="shared" si="151"/>
        <v/>
      </c>
      <c r="U50" s="46" t="str">
        <f t="shared" si="151"/>
        <v/>
      </c>
      <c r="V50" s="46" t="str">
        <f t="shared" si="151"/>
        <v/>
      </c>
      <c r="W50" s="46" t="str">
        <f t="shared" ref="W50:X50" si="152">if(J50="DIV", Y50,"")</f>
        <v/>
      </c>
      <c r="X50" s="46" t="str">
        <f t="shared" si="152"/>
        <v/>
      </c>
      <c r="Y50" s="50"/>
      <c r="Z50" s="46"/>
      <c r="AA50" s="48"/>
      <c r="AB50" s="46"/>
      <c r="AC50" s="46"/>
      <c r="AD50" s="46"/>
      <c r="AE50" s="46" t="str">
        <f t="shared" si="16"/>
        <v/>
      </c>
      <c r="AF50" s="55" t="s">
        <v>49</v>
      </c>
    </row>
    <row r="51">
      <c r="A51" s="40">
        <v>43676.0</v>
      </c>
      <c r="B51" s="41" t="s">
        <v>44</v>
      </c>
      <c r="C51" s="41" t="s">
        <v>47</v>
      </c>
      <c r="D51" s="42">
        <v>175.0</v>
      </c>
      <c r="E51" s="43">
        <v>4.0</v>
      </c>
      <c r="F51" s="44">
        <v>700.0</v>
      </c>
      <c r="G51" s="41" t="s">
        <v>55</v>
      </c>
      <c r="H51" s="45">
        <v>0.0</v>
      </c>
      <c r="I51" s="42">
        <v>0.0</v>
      </c>
      <c r="J51" s="46" t="str">
        <f t="shared" si="128"/>
        <v/>
      </c>
      <c r="K51" s="56" t="str">
        <f t="shared" si="129"/>
        <v/>
      </c>
      <c r="L51" s="48" t="str">
        <f t="shared" si="130"/>
        <v/>
      </c>
      <c r="M51" s="49" t="str">
        <f t="shared" si="4"/>
        <v/>
      </c>
      <c r="N51" s="50"/>
      <c r="O51" s="46" t="str">
        <f t="shared" ref="O51:Q51" si="153">if(C51="DIV", G51,"")</f>
        <v/>
      </c>
      <c r="P51" s="46" t="str">
        <f t="shared" si="153"/>
        <v/>
      </c>
      <c r="Q51" s="46" t="str">
        <f t="shared" si="153"/>
        <v/>
      </c>
      <c r="R51" s="46" t="str">
        <f t="shared" si="24"/>
        <v>#REF!</v>
      </c>
      <c r="S51" s="46" t="str">
        <f t="shared" ref="S51:V51" si="154">if(F51="DIV", K51,"")</f>
        <v/>
      </c>
      <c r="T51" s="46" t="str">
        <f t="shared" si="154"/>
        <v/>
      </c>
      <c r="U51" s="46" t="str">
        <f t="shared" si="154"/>
        <v/>
      </c>
      <c r="V51" s="46" t="str">
        <f t="shared" si="154"/>
        <v/>
      </c>
      <c r="W51" s="46" t="str">
        <f t="shared" ref="W51:X51" si="155">if(J51="DIV", Y51,"")</f>
        <v/>
      </c>
      <c r="X51" s="46" t="str">
        <f t="shared" si="155"/>
        <v/>
      </c>
      <c r="Y51" s="50"/>
      <c r="Z51" s="46"/>
      <c r="AA51" s="48"/>
      <c r="AB51" s="46"/>
      <c r="AC51" s="46"/>
      <c r="AD51" s="46"/>
      <c r="AE51" s="46">
        <f t="shared" si="16"/>
        <v>700</v>
      </c>
      <c r="AF51" s="55" t="s">
        <v>49</v>
      </c>
    </row>
    <row r="52">
      <c r="A52" s="40">
        <v>43647.0</v>
      </c>
      <c r="B52" s="41" t="s">
        <v>46</v>
      </c>
      <c r="C52" s="41" t="s">
        <v>47</v>
      </c>
      <c r="D52" s="42">
        <v>10.0</v>
      </c>
      <c r="E52" s="43">
        <v>351.349</v>
      </c>
      <c r="F52" s="44">
        <v>3538.41</v>
      </c>
      <c r="G52" s="41"/>
      <c r="H52" s="45">
        <v>3.51</v>
      </c>
      <c r="I52" s="42">
        <v>21.4</v>
      </c>
      <c r="J52" s="46" t="str">
        <f t="shared" si="128"/>
        <v/>
      </c>
      <c r="K52" s="56" t="str">
        <f t="shared" si="129"/>
        <v/>
      </c>
      <c r="L52" s="48" t="str">
        <f t="shared" si="130"/>
        <v/>
      </c>
      <c r="M52" s="49" t="str">
        <f t="shared" si="4"/>
        <v/>
      </c>
      <c r="N52" s="50"/>
      <c r="O52" s="46" t="str">
        <f t="shared" ref="O52:Q52" si="156">if(C52="DIV", G52,"")</f>
        <v/>
      </c>
      <c r="P52" s="46" t="str">
        <f t="shared" si="156"/>
        <v/>
      </c>
      <c r="Q52" s="46" t="str">
        <f t="shared" si="156"/>
        <v/>
      </c>
      <c r="R52" s="46" t="str">
        <f t="shared" si="24"/>
        <v>#REF!</v>
      </c>
      <c r="S52" s="46" t="str">
        <f t="shared" ref="S52:V52" si="157">if(F52="DIV", K52,"")</f>
        <v/>
      </c>
      <c r="T52" s="46" t="str">
        <f t="shared" si="157"/>
        <v/>
      </c>
      <c r="U52" s="46" t="str">
        <f t="shared" si="157"/>
        <v/>
      </c>
      <c r="V52" s="46" t="str">
        <f t="shared" si="157"/>
        <v/>
      </c>
      <c r="W52" s="46" t="str">
        <f t="shared" ref="W52:X52" si="158">if(J52="DIV", Y52,"")</f>
        <v/>
      </c>
      <c r="X52" s="46" t="str">
        <f t="shared" si="158"/>
        <v/>
      </c>
      <c r="Y52" s="50">
        <v>574.903</v>
      </c>
      <c r="Z52" s="46">
        <v>43818.0</v>
      </c>
      <c r="AA52" s="48">
        <f t="shared" ref="AA52:AA62" si="162">D52</f>
        <v>10</v>
      </c>
      <c r="AB52" s="46">
        <f t="shared" ref="AB52:AB62" si="163">(Y52-E52)*D52-H52-I52</f>
        <v>2210.63</v>
      </c>
      <c r="AC52" s="46">
        <f t="shared" ref="AC52:AC62" si="164">Y52*D52</f>
        <v>5749.03</v>
      </c>
      <c r="AD52" s="46">
        <f t="shared" ref="AD52:AD62" si="165">AB52/(NOW()-Z52)</f>
        <v>0.9836235727</v>
      </c>
      <c r="AE52" s="46" t="str">
        <f t="shared" si="16"/>
        <v/>
      </c>
      <c r="AF52" s="55" t="s">
        <v>49</v>
      </c>
    </row>
    <row r="53">
      <c r="A53" s="40">
        <v>43382.0</v>
      </c>
      <c r="B53" s="41" t="s">
        <v>46</v>
      </c>
      <c r="C53" s="41" t="s">
        <v>47</v>
      </c>
      <c r="D53" s="42">
        <v>10.0</v>
      </c>
      <c r="E53" s="43">
        <v>370.404</v>
      </c>
      <c r="F53" s="44">
        <v>3730.06</v>
      </c>
      <c r="G53" s="41"/>
      <c r="H53" s="45">
        <v>3.68</v>
      </c>
      <c r="I53" s="42">
        <v>22.38</v>
      </c>
      <c r="J53" s="46" t="str">
        <f t="shared" si="128"/>
        <v/>
      </c>
      <c r="K53" s="56" t="str">
        <f t="shared" si="129"/>
        <v/>
      </c>
      <c r="L53" s="48" t="str">
        <f t="shared" si="130"/>
        <v/>
      </c>
      <c r="M53" s="49" t="str">
        <f t="shared" si="4"/>
        <v/>
      </c>
      <c r="N53" s="50"/>
      <c r="O53" s="46" t="str">
        <f t="shared" ref="O53:Q53" si="159">if(C53="DIV", G53,"")</f>
        <v/>
      </c>
      <c r="P53" s="46" t="str">
        <f t="shared" si="159"/>
        <v/>
      </c>
      <c r="Q53" s="46" t="str">
        <f t="shared" si="159"/>
        <v/>
      </c>
      <c r="R53" s="46" t="str">
        <f t="shared" si="24"/>
        <v>#REF!</v>
      </c>
      <c r="S53" s="46" t="str">
        <f t="shared" ref="S53:V53" si="160">if(F53="DIV", K53,"")</f>
        <v/>
      </c>
      <c r="T53" s="46" t="str">
        <f t="shared" si="160"/>
        <v/>
      </c>
      <c r="U53" s="46" t="str">
        <f t="shared" si="160"/>
        <v/>
      </c>
      <c r="V53" s="46" t="str">
        <f t="shared" si="160"/>
        <v/>
      </c>
      <c r="W53" s="46" t="str">
        <f t="shared" ref="W53:X53" si="161">if(J53="DIV", Y53,"")</f>
        <v/>
      </c>
      <c r="X53" s="46" t="str">
        <f t="shared" si="161"/>
        <v/>
      </c>
      <c r="Y53" s="50">
        <v>574.903</v>
      </c>
      <c r="Z53" s="46">
        <v>43818.0</v>
      </c>
      <c r="AA53" s="48">
        <f t="shared" si="162"/>
        <v>10</v>
      </c>
      <c r="AB53" s="46">
        <f t="shared" si="163"/>
        <v>2018.93</v>
      </c>
      <c r="AC53" s="46">
        <f t="shared" si="164"/>
        <v>5749.03</v>
      </c>
      <c r="AD53" s="46">
        <f t="shared" si="165"/>
        <v>0.8983263322</v>
      </c>
      <c r="AE53" s="46" t="str">
        <f t="shared" si="16"/>
        <v/>
      </c>
      <c r="AF53" s="55" t="s">
        <v>49</v>
      </c>
    </row>
    <row r="54">
      <c r="A54" s="40">
        <v>43376.0</v>
      </c>
      <c r="B54" s="41" t="s">
        <v>46</v>
      </c>
      <c r="C54" s="41" t="s">
        <v>47</v>
      </c>
      <c r="D54" s="42">
        <v>20.0</v>
      </c>
      <c r="E54" s="43">
        <v>367.0</v>
      </c>
      <c r="F54" s="44">
        <v>7391.8</v>
      </c>
      <c r="G54" s="41"/>
      <c r="H54" s="45">
        <v>7.328</v>
      </c>
      <c r="I54" s="42">
        <v>44.472</v>
      </c>
      <c r="J54" s="46" t="str">
        <f t="shared" si="128"/>
        <v/>
      </c>
      <c r="K54" s="56" t="str">
        <f t="shared" si="129"/>
        <v/>
      </c>
      <c r="L54" s="48" t="str">
        <f t="shared" si="130"/>
        <v/>
      </c>
      <c r="M54" s="49" t="str">
        <f t="shared" si="4"/>
        <v/>
      </c>
      <c r="N54" s="50"/>
      <c r="O54" s="46" t="str">
        <f t="shared" ref="O54:Q54" si="166">if(C54="DIV", G54,"")</f>
        <v/>
      </c>
      <c r="P54" s="46" t="str">
        <f t="shared" si="166"/>
        <v/>
      </c>
      <c r="Q54" s="46" t="str">
        <f t="shared" si="166"/>
        <v/>
      </c>
      <c r="R54" s="46" t="str">
        <f t="shared" si="24"/>
        <v>#REF!</v>
      </c>
      <c r="S54" s="46" t="str">
        <f t="shared" ref="S54:V54" si="167">if(F54="DIV", K54,"")</f>
        <v/>
      </c>
      <c r="T54" s="46" t="str">
        <f t="shared" si="167"/>
        <v/>
      </c>
      <c r="U54" s="46" t="str">
        <f t="shared" si="167"/>
        <v/>
      </c>
      <c r="V54" s="46" t="str">
        <f t="shared" si="167"/>
        <v/>
      </c>
      <c r="W54" s="46" t="str">
        <f t="shared" ref="W54:X54" si="168">if(J54="DIV", Y54,"")</f>
        <v/>
      </c>
      <c r="X54" s="46" t="str">
        <f t="shared" si="168"/>
        <v/>
      </c>
      <c r="Y54" s="50">
        <v>577.2645</v>
      </c>
      <c r="Z54" s="46">
        <v>43823.0</v>
      </c>
      <c r="AA54" s="48">
        <f t="shared" si="162"/>
        <v>20</v>
      </c>
      <c r="AB54" s="46">
        <f t="shared" si="163"/>
        <v>4153.49</v>
      </c>
      <c r="AC54" s="46">
        <f t="shared" si="164"/>
        <v>11545.29</v>
      </c>
      <c r="AD54" s="46">
        <f t="shared" si="165"/>
        <v>1.852223178</v>
      </c>
      <c r="AE54" s="46" t="str">
        <f t="shared" si="16"/>
        <v/>
      </c>
      <c r="AF54" s="55" t="s">
        <v>49</v>
      </c>
    </row>
    <row r="55">
      <c r="A55" s="40">
        <v>43376.0</v>
      </c>
      <c r="B55" s="41" t="s">
        <v>46</v>
      </c>
      <c r="C55" s="41" t="s">
        <v>47</v>
      </c>
      <c r="D55" s="42">
        <v>5.0</v>
      </c>
      <c r="E55" s="43">
        <v>367.0</v>
      </c>
      <c r="F55" s="44">
        <v>1847.95</v>
      </c>
      <c r="G55" s="41"/>
      <c r="H55" s="45">
        <v>1.832</v>
      </c>
      <c r="I55" s="42">
        <v>11.118</v>
      </c>
      <c r="J55" s="46" t="str">
        <f t="shared" si="128"/>
        <v/>
      </c>
      <c r="K55" s="56" t="str">
        <f t="shared" si="129"/>
        <v/>
      </c>
      <c r="L55" s="48" t="str">
        <f t="shared" si="130"/>
        <v/>
      </c>
      <c r="M55" s="49" t="str">
        <f t="shared" si="4"/>
        <v/>
      </c>
      <c r="N55" s="50"/>
      <c r="O55" s="46" t="str">
        <f t="shared" ref="O55:Q55" si="169">if(C55="DIV", G55,"")</f>
        <v/>
      </c>
      <c r="P55" s="46" t="str">
        <f t="shared" si="169"/>
        <v/>
      </c>
      <c r="Q55" s="46" t="str">
        <f t="shared" si="169"/>
        <v/>
      </c>
      <c r="R55" s="46" t="str">
        <f t="shared" si="24"/>
        <v>#REF!</v>
      </c>
      <c r="S55" s="46" t="str">
        <f t="shared" ref="S55:V55" si="170">if(F55="DIV", K55,"")</f>
        <v/>
      </c>
      <c r="T55" s="46" t="str">
        <f t="shared" si="170"/>
        <v/>
      </c>
      <c r="U55" s="46" t="str">
        <f t="shared" si="170"/>
        <v/>
      </c>
      <c r="V55" s="46" t="str">
        <f t="shared" si="170"/>
        <v/>
      </c>
      <c r="W55" s="46" t="str">
        <f t="shared" ref="W55:X55" si="171">if(J55="DIV", Y55,"")</f>
        <v/>
      </c>
      <c r="X55" s="46" t="str">
        <f t="shared" si="171"/>
        <v/>
      </c>
      <c r="Y55" s="50">
        <v>580.9665</v>
      </c>
      <c r="Z55" s="46">
        <v>43822.0</v>
      </c>
      <c r="AA55" s="48">
        <f t="shared" si="162"/>
        <v>5</v>
      </c>
      <c r="AB55" s="46">
        <f t="shared" si="163"/>
        <v>1056.8825</v>
      </c>
      <c r="AC55" s="46">
        <f t="shared" si="164"/>
        <v>2904.8325</v>
      </c>
      <c r="AD55" s="46">
        <f t="shared" si="165"/>
        <v>0.4711001304</v>
      </c>
      <c r="AE55" s="46" t="str">
        <f t="shared" si="16"/>
        <v/>
      </c>
      <c r="AF55" s="55" t="s">
        <v>49</v>
      </c>
    </row>
    <row r="56">
      <c r="A56" s="40">
        <v>43369.0</v>
      </c>
      <c r="B56" s="41" t="s">
        <v>46</v>
      </c>
      <c r="C56" s="41" t="s">
        <v>47</v>
      </c>
      <c r="D56" s="42">
        <v>15.0</v>
      </c>
      <c r="E56" s="43">
        <v>414.058667</v>
      </c>
      <c r="F56" s="44">
        <v>6254.418</v>
      </c>
      <c r="G56" s="41"/>
      <c r="H56" s="45">
        <v>6.22</v>
      </c>
      <c r="I56" s="42">
        <v>37.296</v>
      </c>
      <c r="J56" s="46" t="str">
        <f t="shared" si="128"/>
        <v/>
      </c>
      <c r="K56" s="56" t="str">
        <f t="shared" si="129"/>
        <v/>
      </c>
      <c r="L56" s="48" t="str">
        <f t="shared" si="130"/>
        <v/>
      </c>
      <c r="M56" s="49" t="str">
        <f t="shared" si="4"/>
        <v/>
      </c>
      <c r="N56" s="50"/>
      <c r="O56" s="46" t="str">
        <f t="shared" ref="O56:Q56" si="172">if(C56="DIV", G56,"")</f>
        <v/>
      </c>
      <c r="P56" s="46" t="str">
        <f t="shared" si="172"/>
        <v/>
      </c>
      <c r="Q56" s="46" t="str">
        <f t="shared" si="172"/>
        <v/>
      </c>
      <c r="R56" s="46" t="str">
        <f t="shared" si="24"/>
        <v>#REF!</v>
      </c>
      <c r="S56" s="46" t="str">
        <f t="shared" ref="S56:V56" si="173">if(F56="DIV", K56,"")</f>
        <v/>
      </c>
      <c r="T56" s="46" t="str">
        <f t="shared" si="173"/>
        <v/>
      </c>
      <c r="U56" s="46" t="str">
        <f t="shared" si="173"/>
        <v/>
      </c>
      <c r="V56" s="46" t="str">
        <f t="shared" si="173"/>
        <v/>
      </c>
      <c r="W56" s="46" t="str">
        <f t="shared" ref="W56:X56" si="174">if(J56="DIV", Y56,"")</f>
        <v/>
      </c>
      <c r="X56" s="46" t="str">
        <f t="shared" si="174"/>
        <v/>
      </c>
      <c r="Y56" s="50">
        <v>580.9665</v>
      </c>
      <c r="Z56" s="46">
        <v>43822.0</v>
      </c>
      <c r="AA56" s="48">
        <f t="shared" si="162"/>
        <v>15</v>
      </c>
      <c r="AB56" s="46">
        <f t="shared" si="163"/>
        <v>2460.101495</v>
      </c>
      <c r="AC56" s="46">
        <f t="shared" si="164"/>
        <v>8714.4975</v>
      </c>
      <c r="AD56" s="46">
        <f t="shared" si="165"/>
        <v>1.096578035</v>
      </c>
      <c r="AE56" s="46" t="str">
        <f t="shared" si="16"/>
        <v/>
      </c>
      <c r="AF56" s="55" t="s">
        <v>49</v>
      </c>
    </row>
    <row r="57">
      <c r="A57" s="40">
        <v>43369.0</v>
      </c>
      <c r="B57" s="41" t="s">
        <v>46</v>
      </c>
      <c r="C57" s="41" t="s">
        <v>47</v>
      </c>
      <c r="D57" s="42">
        <v>10.0</v>
      </c>
      <c r="E57" s="43">
        <v>414.059</v>
      </c>
      <c r="F57" s="44">
        <v>4169.612</v>
      </c>
      <c r="G57" s="41"/>
      <c r="H57" s="45">
        <v>4.148</v>
      </c>
      <c r="I57" s="42">
        <v>24.864</v>
      </c>
      <c r="J57" s="46" t="str">
        <f t="shared" si="128"/>
        <v/>
      </c>
      <c r="K57" s="56" t="str">
        <f t="shared" si="129"/>
        <v/>
      </c>
      <c r="L57" s="48" t="str">
        <f t="shared" si="130"/>
        <v/>
      </c>
      <c r="M57" s="49" t="str">
        <f t="shared" si="4"/>
        <v/>
      </c>
      <c r="N57" s="50"/>
      <c r="O57" s="46" t="str">
        <f t="shared" ref="O57:Q57" si="175">if(C57="DIV", G57,"")</f>
        <v/>
      </c>
      <c r="P57" s="46" t="str">
        <f t="shared" si="175"/>
        <v/>
      </c>
      <c r="Q57" s="46" t="str">
        <f t="shared" si="175"/>
        <v/>
      </c>
      <c r="R57" s="46" t="str">
        <f t="shared" si="24"/>
        <v>#REF!</v>
      </c>
      <c r="S57" s="46" t="str">
        <f t="shared" ref="S57:V57" si="176">if(F57="DIV", K57,"")</f>
        <v/>
      </c>
      <c r="T57" s="46" t="str">
        <f t="shared" si="176"/>
        <v/>
      </c>
      <c r="U57" s="46" t="str">
        <f t="shared" si="176"/>
        <v/>
      </c>
      <c r="V57" s="46" t="str">
        <f t="shared" si="176"/>
        <v/>
      </c>
      <c r="W57" s="46" t="str">
        <f t="shared" ref="W57:X57" si="177">if(J57="DIV", Y57,"")</f>
        <v/>
      </c>
      <c r="X57" s="46" t="str">
        <f t="shared" si="177"/>
        <v/>
      </c>
      <c r="Y57" s="50">
        <v>570.971</v>
      </c>
      <c r="Z57" s="46">
        <v>43819.0</v>
      </c>
      <c r="AA57" s="48">
        <f t="shared" si="162"/>
        <v>10</v>
      </c>
      <c r="AB57" s="46">
        <f t="shared" si="163"/>
        <v>1540.108</v>
      </c>
      <c r="AC57" s="46">
        <f t="shared" si="164"/>
        <v>5709.71</v>
      </c>
      <c r="AD57" s="46">
        <f t="shared" si="165"/>
        <v>0.6855787195</v>
      </c>
      <c r="AE57" s="46" t="str">
        <f t="shared" si="16"/>
        <v/>
      </c>
      <c r="AF57" s="55" t="s">
        <v>49</v>
      </c>
    </row>
    <row r="58">
      <c r="A58" s="40">
        <v>43354.0</v>
      </c>
      <c r="B58" s="41" t="s">
        <v>46</v>
      </c>
      <c r="C58" s="41" t="s">
        <v>47</v>
      </c>
      <c r="D58" s="42">
        <v>20.0</v>
      </c>
      <c r="E58" s="43">
        <v>416.0965</v>
      </c>
      <c r="F58" s="44">
        <v>8380.07333</v>
      </c>
      <c r="G58" s="41"/>
      <c r="H58" s="45">
        <v>8.0</v>
      </c>
      <c r="I58" s="42">
        <v>50.07333</v>
      </c>
      <c r="J58" s="46" t="str">
        <f t="shared" si="128"/>
        <v/>
      </c>
      <c r="K58" s="56" t="str">
        <f t="shared" si="129"/>
        <v/>
      </c>
      <c r="L58" s="48" t="str">
        <f t="shared" si="130"/>
        <v/>
      </c>
      <c r="M58" s="49" t="str">
        <f t="shared" si="4"/>
        <v/>
      </c>
      <c r="N58" s="50"/>
      <c r="O58" s="46" t="str">
        <f t="shared" ref="O58:Q58" si="178">if(C58="DIV", G58,"")</f>
        <v/>
      </c>
      <c r="P58" s="46" t="str">
        <f t="shared" si="178"/>
        <v/>
      </c>
      <c r="Q58" s="46" t="str">
        <f t="shared" si="178"/>
        <v/>
      </c>
      <c r="R58" s="46" t="str">
        <f t="shared" si="24"/>
        <v>#REF!</v>
      </c>
      <c r="S58" s="46" t="str">
        <f t="shared" ref="S58:V58" si="179">if(F58="DIV", K58,"")</f>
        <v/>
      </c>
      <c r="T58" s="46" t="str">
        <f t="shared" si="179"/>
        <v/>
      </c>
      <c r="U58" s="46" t="str">
        <f t="shared" si="179"/>
        <v/>
      </c>
      <c r="V58" s="46" t="str">
        <f t="shared" si="179"/>
        <v/>
      </c>
      <c r="W58" s="46" t="str">
        <f t="shared" ref="W58:X58" si="180">if(J58="DIV", Y58,"")</f>
        <v/>
      </c>
      <c r="X58" s="46" t="str">
        <f t="shared" si="180"/>
        <v/>
      </c>
      <c r="Y58" s="50">
        <v>570.971</v>
      </c>
      <c r="Z58" s="46">
        <v>43819.0</v>
      </c>
      <c r="AA58" s="48">
        <f t="shared" si="162"/>
        <v>20</v>
      </c>
      <c r="AB58" s="46">
        <f t="shared" si="163"/>
        <v>3039.41667</v>
      </c>
      <c r="AC58" s="46">
        <f t="shared" si="164"/>
        <v>11419.42</v>
      </c>
      <c r="AD58" s="46">
        <f t="shared" si="165"/>
        <v>1.352995627</v>
      </c>
      <c r="AE58" s="46" t="str">
        <f t="shared" si="16"/>
        <v/>
      </c>
      <c r="AF58" s="55" t="s">
        <v>49</v>
      </c>
    </row>
    <row r="59">
      <c r="A59" s="40">
        <v>43354.0</v>
      </c>
      <c r="B59" s="41" t="s">
        <v>46</v>
      </c>
      <c r="C59" s="41" t="s">
        <v>47</v>
      </c>
      <c r="D59" s="42">
        <v>10.0</v>
      </c>
      <c r="E59" s="43">
        <v>416.096</v>
      </c>
      <c r="F59" s="44">
        <v>4190.0366</v>
      </c>
      <c r="G59" s="41"/>
      <c r="H59" s="45">
        <v>4.0</v>
      </c>
      <c r="I59" s="42">
        <v>25.03666</v>
      </c>
      <c r="J59" s="46" t="str">
        <f t="shared" si="128"/>
        <v/>
      </c>
      <c r="K59" s="56" t="str">
        <f t="shared" si="129"/>
        <v/>
      </c>
      <c r="L59" s="48" t="str">
        <f t="shared" si="130"/>
        <v/>
      </c>
      <c r="M59" s="49" t="str">
        <f t="shared" si="4"/>
        <v/>
      </c>
      <c r="N59" s="50"/>
      <c r="O59" s="46" t="str">
        <f t="shared" ref="O59:Q59" si="181">if(C59="DIV", G59,"")</f>
        <v/>
      </c>
      <c r="P59" s="46" t="str">
        <f t="shared" si="181"/>
        <v/>
      </c>
      <c r="Q59" s="46" t="str">
        <f t="shared" si="181"/>
        <v/>
      </c>
      <c r="R59" s="46" t="str">
        <f t="shared" si="24"/>
        <v>#REF!</v>
      </c>
      <c r="S59" s="46" t="str">
        <f t="shared" ref="S59:V59" si="182">if(F59="DIV", K59,"")</f>
        <v/>
      </c>
      <c r="T59" s="46" t="str">
        <f t="shared" si="182"/>
        <v/>
      </c>
      <c r="U59" s="46" t="str">
        <f t="shared" si="182"/>
        <v/>
      </c>
      <c r="V59" s="46" t="str">
        <f t="shared" si="182"/>
        <v/>
      </c>
      <c r="W59" s="46" t="str">
        <f t="shared" ref="W59:X59" si="183">if(J59="DIV", Y59,"")</f>
        <v/>
      </c>
      <c r="X59" s="46" t="str">
        <f t="shared" si="183"/>
        <v/>
      </c>
      <c r="Y59" s="50">
        <v>574.903</v>
      </c>
      <c r="Z59" s="46">
        <v>43818.0</v>
      </c>
      <c r="AA59" s="48">
        <f t="shared" si="162"/>
        <v>10</v>
      </c>
      <c r="AB59" s="46">
        <f t="shared" si="163"/>
        <v>1559.03334</v>
      </c>
      <c r="AC59" s="46">
        <f t="shared" si="164"/>
        <v>5749.03</v>
      </c>
      <c r="AD59" s="46">
        <f t="shared" si="165"/>
        <v>0.6936945323</v>
      </c>
      <c r="AE59" s="46" t="str">
        <f t="shared" si="16"/>
        <v/>
      </c>
      <c r="AF59" s="55" t="s">
        <v>49</v>
      </c>
    </row>
    <row r="60">
      <c r="A60" s="40">
        <v>43312.0</v>
      </c>
      <c r="B60" s="41" t="s">
        <v>46</v>
      </c>
      <c r="C60" s="41" t="s">
        <v>47</v>
      </c>
      <c r="D60" s="42">
        <v>20.0</v>
      </c>
      <c r="E60" s="43">
        <v>464.205</v>
      </c>
      <c r="F60" s="44">
        <v>9348.9111</v>
      </c>
      <c r="G60" s="41"/>
      <c r="H60" s="45">
        <v>9.2133</v>
      </c>
      <c r="I60" s="42">
        <v>55.6933</v>
      </c>
      <c r="J60" s="46" t="str">
        <f t="shared" si="128"/>
        <v/>
      </c>
      <c r="K60" s="56" t="str">
        <f t="shared" si="129"/>
        <v/>
      </c>
      <c r="L60" s="48" t="str">
        <f t="shared" si="130"/>
        <v/>
      </c>
      <c r="M60" s="49" t="str">
        <f t="shared" si="4"/>
        <v/>
      </c>
      <c r="N60" s="50"/>
      <c r="O60" s="46" t="str">
        <f t="shared" ref="O60:Q60" si="184">if(C60="DIV", G60,"")</f>
        <v/>
      </c>
      <c r="P60" s="46" t="str">
        <f t="shared" si="184"/>
        <v/>
      </c>
      <c r="Q60" s="46" t="str">
        <f t="shared" si="184"/>
        <v/>
      </c>
      <c r="R60" s="46" t="str">
        <f t="shared" si="24"/>
        <v>#REF!</v>
      </c>
      <c r="S60" s="46" t="str">
        <f t="shared" ref="S60:V60" si="185">if(F60="DIV", K60,"")</f>
        <v/>
      </c>
      <c r="T60" s="46" t="str">
        <f t="shared" si="185"/>
        <v/>
      </c>
      <c r="U60" s="46" t="str">
        <f t="shared" si="185"/>
        <v/>
      </c>
      <c r="V60" s="46" t="str">
        <f t="shared" si="185"/>
        <v/>
      </c>
      <c r="W60" s="46" t="str">
        <f t="shared" ref="W60:X60" si="186">if(J60="DIV", Y60,"")</f>
        <v/>
      </c>
      <c r="X60" s="46" t="str">
        <f t="shared" si="186"/>
        <v/>
      </c>
      <c r="Y60" s="50">
        <v>508.1195</v>
      </c>
      <c r="Z60" s="46">
        <v>43812.0</v>
      </c>
      <c r="AA60" s="48">
        <f t="shared" si="162"/>
        <v>20</v>
      </c>
      <c r="AB60" s="46">
        <f t="shared" si="163"/>
        <v>813.3834</v>
      </c>
      <c r="AC60" s="46">
        <f t="shared" si="164"/>
        <v>10162.39</v>
      </c>
      <c r="AD60" s="46">
        <f t="shared" si="165"/>
        <v>0.3609526861</v>
      </c>
      <c r="AE60" s="46" t="str">
        <f t="shared" si="16"/>
        <v/>
      </c>
      <c r="AF60" s="55" t="s">
        <v>49</v>
      </c>
    </row>
    <row r="61">
      <c r="A61" s="40">
        <v>43312.0</v>
      </c>
      <c r="B61" s="41" t="s">
        <v>46</v>
      </c>
      <c r="C61" s="41" t="s">
        <v>47</v>
      </c>
      <c r="D61" s="42">
        <v>25.0</v>
      </c>
      <c r="E61" s="43">
        <v>464.2044</v>
      </c>
      <c r="F61" s="44">
        <v>11686.1388</v>
      </c>
      <c r="G61" s="41"/>
      <c r="H61" s="45">
        <v>11.51666</v>
      </c>
      <c r="I61" s="42">
        <v>69.6166</v>
      </c>
      <c r="J61" s="46" t="str">
        <f t="shared" si="128"/>
        <v/>
      </c>
      <c r="K61" s="56" t="str">
        <f t="shared" si="129"/>
        <v/>
      </c>
      <c r="L61" s="48" t="str">
        <f t="shared" si="130"/>
        <v/>
      </c>
      <c r="M61" s="49" t="str">
        <f t="shared" si="4"/>
        <v/>
      </c>
      <c r="N61" s="50"/>
      <c r="O61" s="46" t="str">
        <f t="shared" ref="O61:Q61" si="187">if(C61="DIV", G61,"")</f>
        <v/>
      </c>
      <c r="P61" s="46" t="str">
        <f t="shared" si="187"/>
        <v/>
      </c>
      <c r="Q61" s="46" t="str">
        <f t="shared" si="187"/>
        <v/>
      </c>
      <c r="R61" s="46" t="str">
        <f t="shared" si="24"/>
        <v>#REF!</v>
      </c>
      <c r="S61" s="46" t="str">
        <f t="shared" ref="S61:V61" si="188">if(F61="DIV", K61,"")</f>
        <v/>
      </c>
      <c r="T61" s="46" t="str">
        <f t="shared" si="188"/>
        <v/>
      </c>
      <c r="U61" s="46" t="str">
        <f t="shared" si="188"/>
        <v/>
      </c>
      <c r="V61" s="46" t="str">
        <f t="shared" si="188"/>
        <v/>
      </c>
      <c r="W61" s="46" t="str">
        <f t="shared" ref="W61:X61" si="189">if(J61="DIV", Y61,"")</f>
        <v/>
      </c>
      <c r="X61" s="46" t="str">
        <f t="shared" si="189"/>
        <v/>
      </c>
      <c r="Y61" s="50">
        <v>501.9024</v>
      </c>
      <c r="Z61" s="46">
        <v>43811.0</v>
      </c>
      <c r="AA61" s="48">
        <f t="shared" si="162"/>
        <v>25</v>
      </c>
      <c r="AB61" s="46">
        <f t="shared" si="163"/>
        <v>861.31674</v>
      </c>
      <c r="AC61" s="46">
        <f t="shared" si="164"/>
        <v>12547.56</v>
      </c>
      <c r="AD61" s="46">
        <f t="shared" si="165"/>
        <v>0.382054376</v>
      </c>
      <c r="AE61" s="46" t="str">
        <f t="shared" si="16"/>
        <v/>
      </c>
      <c r="AF61" s="55" t="s">
        <v>49</v>
      </c>
    </row>
    <row r="62">
      <c r="A62" s="40">
        <v>43312.0</v>
      </c>
      <c r="B62" s="41" t="s">
        <v>46</v>
      </c>
      <c r="C62" s="41" t="s">
        <v>47</v>
      </c>
      <c r="D62" s="42">
        <v>10.0</v>
      </c>
      <c r="E62" s="43">
        <v>464.204</v>
      </c>
      <c r="F62" s="44">
        <v>4674.45454</v>
      </c>
      <c r="G62" s="41"/>
      <c r="H62" s="45">
        <v>4.60727</v>
      </c>
      <c r="I62" s="42">
        <v>27.8472</v>
      </c>
      <c r="J62" s="46" t="str">
        <f t="shared" si="128"/>
        <v/>
      </c>
      <c r="K62" s="56" t="str">
        <f t="shared" si="129"/>
        <v/>
      </c>
      <c r="L62" s="48" t="str">
        <f t="shared" si="130"/>
        <v/>
      </c>
      <c r="M62" s="49" t="str">
        <f t="shared" si="4"/>
        <v/>
      </c>
      <c r="N62" s="50"/>
      <c r="O62" s="46" t="str">
        <f t="shared" ref="O62:Q62" si="190">if(C62="DIV", G62,"")</f>
        <v/>
      </c>
      <c r="P62" s="46" t="str">
        <f t="shared" si="190"/>
        <v/>
      </c>
      <c r="Q62" s="46" t="str">
        <f t="shared" si="190"/>
        <v/>
      </c>
      <c r="R62" s="46" t="str">
        <f t="shared" si="24"/>
        <v>#REF!</v>
      </c>
      <c r="S62" s="46" t="str">
        <f t="shared" ref="S62:V62" si="191">if(F62="DIV", K62,"")</f>
        <v/>
      </c>
      <c r="T62" s="46" t="str">
        <f t="shared" si="191"/>
        <v/>
      </c>
      <c r="U62" s="46" t="str">
        <f t="shared" si="191"/>
        <v/>
      </c>
      <c r="V62" s="46" t="str">
        <f t="shared" si="191"/>
        <v/>
      </c>
      <c r="W62" s="46" t="str">
        <f t="shared" ref="W62:X62" si="192">if(J62="DIV", Y62,"")</f>
        <v/>
      </c>
      <c r="X62" s="46" t="str">
        <f t="shared" si="192"/>
        <v/>
      </c>
      <c r="Y62" s="50">
        <v>511.707333</v>
      </c>
      <c r="Z62" s="46">
        <v>43803.0</v>
      </c>
      <c r="AA62" s="48">
        <f t="shared" si="162"/>
        <v>10</v>
      </c>
      <c r="AB62" s="46">
        <f t="shared" si="163"/>
        <v>442.57886</v>
      </c>
      <c r="AC62" s="46">
        <f t="shared" si="164"/>
        <v>5117.07333</v>
      </c>
      <c r="AD62" s="46">
        <f t="shared" si="165"/>
        <v>0.1956205897</v>
      </c>
      <c r="AE62" s="46" t="str">
        <f t="shared" si="16"/>
        <v/>
      </c>
      <c r="AF62" s="55" t="s">
        <v>49</v>
      </c>
    </row>
    <row r="63">
      <c r="A63" s="40">
        <v>43311.0</v>
      </c>
      <c r="B63" s="41" t="s">
        <v>44</v>
      </c>
      <c r="C63" s="41" t="s">
        <v>47</v>
      </c>
      <c r="D63" s="42">
        <v>20.0</v>
      </c>
      <c r="E63" s="43">
        <v>6.0</v>
      </c>
      <c r="F63" s="44">
        <v>120.0</v>
      </c>
      <c r="G63" s="41" t="s">
        <v>56</v>
      </c>
      <c r="H63" s="45">
        <v>0.0</v>
      </c>
      <c r="I63" s="42">
        <v>0.0</v>
      </c>
      <c r="J63" s="46" t="str">
        <f t="shared" si="128"/>
        <v/>
      </c>
      <c r="K63" s="56" t="str">
        <f t="shared" si="129"/>
        <v/>
      </c>
      <c r="L63" s="48" t="str">
        <f t="shared" si="130"/>
        <v/>
      </c>
      <c r="M63" s="49" t="str">
        <f t="shared" si="4"/>
        <v/>
      </c>
      <c r="N63" s="50"/>
      <c r="O63" s="46" t="str">
        <f t="shared" ref="O63:Q63" si="193">if(C63="DIV", G63,"")</f>
        <v/>
      </c>
      <c r="P63" s="46" t="str">
        <f t="shared" si="193"/>
        <v/>
      </c>
      <c r="Q63" s="46" t="str">
        <f t="shared" si="193"/>
        <v/>
      </c>
      <c r="R63" s="46" t="str">
        <f t="shared" si="24"/>
        <v>#REF!</v>
      </c>
      <c r="S63" s="46" t="str">
        <f t="shared" ref="S63:V63" si="194">if(F63="DIV", K63,"")</f>
        <v/>
      </c>
      <c r="T63" s="46" t="str">
        <f t="shared" si="194"/>
        <v/>
      </c>
      <c r="U63" s="46" t="str">
        <f t="shared" si="194"/>
        <v/>
      </c>
      <c r="V63" s="46" t="str">
        <f t="shared" si="194"/>
        <v/>
      </c>
      <c r="W63" s="46" t="str">
        <f t="shared" ref="W63:X63" si="195">if(J63="DIV", Y63,"")</f>
        <v/>
      </c>
      <c r="X63" s="46" t="str">
        <f t="shared" si="195"/>
        <v/>
      </c>
      <c r="Y63" s="50"/>
      <c r="Z63" s="46"/>
      <c r="AA63" s="48"/>
      <c r="AB63" s="46"/>
      <c r="AC63" s="46"/>
      <c r="AD63" s="46"/>
      <c r="AE63" s="46">
        <f t="shared" si="16"/>
        <v>120</v>
      </c>
      <c r="AF63" s="55" t="s">
        <v>49</v>
      </c>
      <c r="AG63" s="44"/>
      <c r="AH63" s="41"/>
      <c r="AI63" s="45"/>
      <c r="AJ63" s="45"/>
      <c r="AK63" s="46"/>
      <c r="AL63" s="56"/>
      <c r="AM63" s="48"/>
      <c r="AN63" s="49"/>
      <c r="AO63" s="50"/>
      <c r="AP63" s="57"/>
      <c r="AQ63" s="48"/>
      <c r="AR63" s="46"/>
      <c r="AS63" s="46"/>
      <c r="AT63" s="51"/>
      <c r="AU63" s="46"/>
      <c r="AV63" s="55"/>
    </row>
    <row r="64">
      <c r="A64" s="40">
        <v>43307.0</v>
      </c>
      <c r="B64" s="41" t="s">
        <v>46</v>
      </c>
      <c r="C64" s="41" t="s">
        <v>47</v>
      </c>
      <c r="D64" s="42">
        <v>20.0</v>
      </c>
      <c r="E64" s="43">
        <v>455.113</v>
      </c>
      <c r="F64" s="44">
        <v>9166.44</v>
      </c>
      <c r="G64" s="41"/>
      <c r="H64" s="45">
        <v>9.17</v>
      </c>
      <c r="I64" s="42">
        <v>54.97</v>
      </c>
      <c r="J64" s="46" t="str">
        <f t="shared" si="128"/>
        <v/>
      </c>
      <c r="K64" s="56" t="str">
        <f t="shared" si="129"/>
        <v/>
      </c>
      <c r="L64" s="48" t="str">
        <f t="shared" si="130"/>
        <v/>
      </c>
      <c r="M64" s="49" t="str">
        <f t="shared" si="4"/>
        <v/>
      </c>
      <c r="N64" s="50"/>
      <c r="O64" s="46" t="str">
        <f t="shared" ref="O64:Q64" si="196">if(C64="DIV", G64,"")</f>
        <v/>
      </c>
      <c r="P64" s="46" t="str">
        <f t="shared" si="196"/>
        <v/>
      </c>
      <c r="Q64" s="46" t="str">
        <f t="shared" si="196"/>
        <v/>
      </c>
      <c r="R64" s="46" t="str">
        <f t="shared" si="24"/>
        <v>#REF!</v>
      </c>
      <c r="S64" s="46" t="str">
        <f t="shared" ref="S64:V64" si="197">if(F64="DIV", K64,"")</f>
        <v/>
      </c>
      <c r="T64" s="46" t="str">
        <f t="shared" si="197"/>
        <v/>
      </c>
      <c r="U64" s="46" t="str">
        <f t="shared" si="197"/>
        <v/>
      </c>
      <c r="V64" s="46" t="str">
        <f t="shared" si="197"/>
        <v/>
      </c>
      <c r="W64" s="46" t="str">
        <f t="shared" ref="W64:X64" si="198">if(J64="DIV", Y64,"")</f>
        <v/>
      </c>
      <c r="X64" s="46" t="str">
        <f t="shared" si="198"/>
        <v/>
      </c>
      <c r="Y64" s="50">
        <v>511.707333</v>
      </c>
      <c r="Z64" s="46">
        <v>43803.0</v>
      </c>
      <c r="AA64" s="48">
        <f>D64</f>
        <v>20</v>
      </c>
      <c r="AB64" s="46">
        <f>(Y64-E64)*D64-H64-I64</f>
        <v>1067.74666</v>
      </c>
      <c r="AC64" s="46">
        <f>Y64*D64</f>
        <v>10234.14666</v>
      </c>
      <c r="AD64" s="46">
        <f>AB64/(NOW()-Z64)</f>
        <v>0.4719457934</v>
      </c>
      <c r="AE64" s="46" t="str">
        <f t="shared" si="16"/>
        <v/>
      </c>
      <c r="AF64" s="55" t="s">
        <v>49</v>
      </c>
    </row>
    <row r="65">
      <c r="E65" s="58"/>
      <c r="F65" s="58"/>
      <c r="G65" s="59"/>
      <c r="H65" s="58"/>
      <c r="J65" s="58"/>
      <c r="K65" s="1"/>
      <c r="M65" s="58"/>
      <c r="N65" s="58"/>
      <c r="Y65" s="58"/>
      <c r="Z65" s="58"/>
      <c r="AB65" s="58"/>
      <c r="AC65" s="58"/>
      <c r="AD65" s="58"/>
      <c r="AE65" s="58"/>
    </row>
    <row r="66">
      <c r="E66" s="58"/>
      <c r="F66" s="58"/>
      <c r="G66" s="59"/>
      <c r="H66" s="58"/>
      <c r="J66" s="58"/>
      <c r="K66" s="1"/>
      <c r="M66" s="58"/>
      <c r="N66" s="58"/>
      <c r="Y66" s="58"/>
      <c r="Z66" s="58"/>
      <c r="AB66" s="58"/>
      <c r="AC66" s="58"/>
      <c r="AD66" s="58"/>
      <c r="AE66" s="58"/>
    </row>
    <row r="67">
      <c r="E67" s="58"/>
      <c r="F67" s="58"/>
      <c r="G67" s="59"/>
      <c r="H67" s="58"/>
      <c r="J67" s="58"/>
      <c r="K67" s="1"/>
      <c r="M67" s="58"/>
      <c r="N67" s="58"/>
      <c r="Y67" s="58"/>
      <c r="Z67" s="58"/>
      <c r="AB67" s="58"/>
      <c r="AC67" s="58"/>
      <c r="AD67" s="58"/>
      <c r="AE67" s="58"/>
    </row>
    <row r="68">
      <c r="E68" s="58"/>
      <c r="F68" s="58"/>
      <c r="G68" s="59"/>
      <c r="H68" s="58"/>
      <c r="J68" s="58"/>
      <c r="K68" s="1"/>
      <c r="M68" s="58"/>
      <c r="N68" s="58"/>
      <c r="Y68" s="58"/>
      <c r="Z68" s="58"/>
      <c r="AB68" s="58"/>
      <c r="AC68" s="58"/>
      <c r="AD68" s="58"/>
      <c r="AE68" s="58"/>
    </row>
    <row r="69">
      <c r="E69" s="58"/>
      <c r="F69" s="58"/>
      <c r="G69" s="59"/>
      <c r="H69" s="58"/>
      <c r="J69" s="58"/>
      <c r="K69" s="1"/>
      <c r="M69" s="58"/>
      <c r="N69" s="58"/>
      <c r="Y69" s="58"/>
      <c r="Z69" s="58"/>
      <c r="AB69" s="58"/>
      <c r="AC69" s="58"/>
      <c r="AD69" s="58"/>
      <c r="AE69" s="58"/>
    </row>
    <row r="70">
      <c r="E70" s="58"/>
      <c r="F70" s="58"/>
      <c r="G70" s="59"/>
      <c r="H70" s="58"/>
      <c r="J70" s="58"/>
      <c r="K70" s="1"/>
      <c r="M70" s="58"/>
      <c r="N70" s="58"/>
      <c r="Y70" s="58"/>
      <c r="Z70" s="58"/>
      <c r="AB70" s="58"/>
      <c r="AC70" s="58"/>
      <c r="AD70" s="58"/>
      <c r="AE70" s="58"/>
    </row>
    <row r="71">
      <c r="E71" s="58"/>
      <c r="F71" s="58"/>
      <c r="G71" s="59"/>
      <c r="H71" s="58"/>
      <c r="J71" s="58"/>
      <c r="K71" s="1"/>
      <c r="M71" s="58"/>
      <c r="N71" s="58"/>
      <c r="Y71" s="58"/>
      <c r="Z71" s="58"/>
      <c r="AB71" s="58"/>
      <c r="AC71" s="58"/>
      <c r="AD71" s="58"/>
      <c r="AE71" s="58"/>
    </row>
    <row r="72">
      <c r="E72" s="58"/>
      <c r="F72" s="58"/>
      <c r="G72" s="59"/>
      <c r="H72" s="58"/>
      <c r="J72" s="58"/>
      <c r="K72" s="1"/>
      <c r="M72" s="58"/>
      <c r="N72" s="58"/>
      <c r="Y72" s="58"/>
      <c r="Z72" s="58"/>
      <c r="AB72" s="58"/>
      <c r="AC72" s="58"/>
      <c r="AD72" s="58"/>
      <c r="AE72" s="58"/>
    </row>
    <row r="73">
      <c r="E73" s="58"/>
      <c r="F73" s="58"/>
      <c r="G73" s="59"/>
      <c r="H73" s="58"/>
      <c r="J73" s="58"/>
      <c r="K73" s="1"/>
      <c r="M73" s="58"/>
      <c r="N73" s="58"/>
      <c r="Y73" s="58"/>
      <c r="Z73" s="58"/>
      <c r="AB73" s="58"/>
      <c r="AC73" s="58"/>
      <c r="AD73" s="58"/>
      <c r="AE73" s="58"/>
    </row>
    <row r="74">
      <c r="E74" s="58"/>
      <c r="F74" s="58"/>
      <c r="G74" s="59"/>
      <c r="H74" s="58"/>
      <c r="J74" s="58"/>
      <c r="K74" s="1"/>
      <c r="M74" s="58"/>
      <c r="N74" s="58"/>
      <c r="Y74" s="58"/>
      <c r="Z74" s="58"/>
      <c r="AB74" s="58"/>
      <c r="AC74" s="58"/>
      <c r="AD74" s="58"/>
      <c r="AE74" s="58"/>
    </row>
    <row r="75">
      <c r="E75" s="58"/>
      <c r="F75" s="58"/>
      <c r="G75" s="59"/>
      <c r="H75" s="58"/>
      <c r="J75" s="58"/>
      <c r="K75" s="1"/>
      <c r="M75" s="58"/>
      <c r="N75" s="58"/>
      <c r="Y75" s="58"/>
      <c r="Z75" s="58"/>
      <c r="AB75" s="58"/>
      <c r="AC75" s="58"/>
      <c r="AD75" s="58"/>
      <c r="AE75" s="58"/>
    </row>
    <row r="76">
      <c r="E76" s="58"/>
      <c r="F76" s="58"/>
      <c r="G76" s="59"/>
      <c r="H76" s="58"/>
      <c r="J76" s="58"/>
      <c r="K76" s="1"/>
      <c r="M76" s="58"/>
      <c r="N76" s="58"/>
      <c r="Y76" s="58"/>
      <c r="Z76" s="58"/>
      <c r="AB76" s="58"/>
      <c r="AC76" s="58"/>
      <c r="AD76" s="58"/>
      <c r="AE76" s="58"/>
    </row>
    <row r="77">
      <c r="E77" s="58"/>
      <c r="F77" s="58"/>
      <c r="G77" s="59"/>
      <c r="H77" s="58"/>
      <c r="J77" s="58"/>
      <c r="K77" s="1"/>
      <c r="M77" s="58"/>
      <c r="N77" s="58"/>
      <c r="Y77" s="58"/>
      <c r="Z77" s="58"/>
      <c r="AB77" s="58"/>
      <c r="AC77" s="58"/>
      <c r="AD77" s="58"/>
      <c r="AE77" s="58"/>
    </row>
    <row r="78">
      <c r="E78" s="58"/>
      <c r="F78" s="58"/>
      <c r="G78" s="59"/>
      <c r="H78" s="58"/>
      <c r="J78" s="58"/>
      <c r="K78" s="1"/>
      <c r="M78" s="58"/>
      <c r="N78" s="58"/>
      <c r="Y78" s="58"/>
      <c r="Z78" s="58"/>
      <c r="AB78" s="58"/>
      <c r="AC78" s="58"/>
      <c r="AD78" s="58"/>
      <c r="AE78" s="58"/>
    </row>
    <row r="79">
      <c r="E79" s="58"/>
      <c r="F79" s="58"/>
      <c r="G79" s="59"/>
      <c r="H79" s="58"/>
      <c r="J79" s="58"/>
      <c r="K79" s="1"/>
      <c r="M79" s="58"/>
      <c r="N79" s="58"/>
      <c r="Y79" s="58"/>
      <c r="Z79" s="58"/>
      <c r="AB79" s="58"/>
      <c r="AC79" s="58"/>
      <c r="AD79" s="58"/>
      <c r="AE79" s="58"/>
    </row>
    <row r="80">
      <c r="E80" s="58"/>
      <c r="F80" s="58"/>
      <c r="G80" s="59"/>
      <c r="H80" s="58"/>
      <c r="J80" s="58"/>
      <c r="K80" s="1"/>
      <c r="M80" s="58"/>
      <c r="N80" s="58"/>
      <c r="Y80" s="58"/>
      <c r="Z80" s="58"/>
      <c r="AB80" s="58"/>
      <c r="AC80" s="58"/>
      <c r="AD80" s="58"/>
      <c r="AE80" s="58"/>
    </row>
    <row r="81">
      <c r="E81" s="58"/>
      <c r="F81" s="58"/>
      <c r="G81" s="59"/>
      <c r="H81" s="58"/>
      <c r="J81" s="58"/>
      <c r="K81" s="1"/>
      <c r="M81" s="58"/>
      <c r="N81" s="58"/>
      <c r="Y81" s="58"/>
      <c r="Z81" s="58"/>
      <c r="AB81" s="58"/>
      <c r="AC81" s="58"/>
      <c r="AD81" s="58"/>
      <c r="AE81" s="58"/>
    </row>
    <row r="82">
      <c r="E82" s="58"/>
      <c r="F82" s="58"/>
      <c r="G82" s="59"/>
      <c r="H82" s="58"/>
      <c r="J82" s="58"/>
      <c r="K82" s="1"/>
      <c r="M82" s="58"/>
      <c r="N82" s="58"/>
      <c r="Y82" s="58"/>
      <c r="Z82" s="58"/>
      <c r="AB82" s="58"/>
      <c r="AC82" s="58"/>
      <c r="AD82" s="58"/>
      <c r="AE82" s="58"/>
    </row>
    <row r="83">
      <c r="E83" s="58"/>
      <c r="F83" s="58"/>
      <c r="G83" s="59"/>
      <c r="H83" s="58"/>
      <c r="J83" s="58"/>
      <c r="K83" s="1"/>
      <c r="M83" s="58"/>
      <c r="N83" s="58"/>
      <c r="Y83" s="58"/>
      <c r="Z83" s="58"/>
      <c r="AB83" s="58"/>
      <c r="AC83" s="58"/>
      <c r="AD83" s="58"/>
      <c r="AE83" s="58"/>
    </row>
    <row r="84">
      <c r="E84" s="58"/>
      <c r="F84" s="58"/>
      <c r="G84" s="59"/>
      <c r="H84" s="58"/>
      <c r="J84" s="58"/>
      <c r="K84" s="1"/>
      <c r="M84" s="58"/>
      <c r="N84" s="58"/>
      <c r="Y84" s="58"/>
      <c r="Z84" s="58"/>
      <c r="AB84" s="58"/>
      <c r="AC84" s="58"/>
      <c r="AD84" s="58"/>
      <c r="AE84" s="58"/>
    </row>
    <row r="85">
      <c r="E85" s="58"/>
      <c r="F85" s="58"/>
      <c r="G85" s="59"/>
      <c r="H85" s="58"/>
      <c r="J85" s="58"/>
      <c r="K85" s="1"/>
      <c r="M85" s="58"/>
      <c r="N85" s="58"/>
      <c r="Y85" s="58"/>
      <c r="Z85" s="58"/>
      <c r="AB85" s="58"/>
      <c r="AC85" s="58"/>
      <c r="AD85" s="58"/>
      <c r="AE85" s="58"/>
    </row>
    <row r="86">
      <c r="E86" s="58"/>
      <c r="F86" s="58"/>
      <c r="G86" s="59"/>
      <c r="H86" s="58"/>
      <c r="J86" s="58"/>
      <c r="K86" s="1"/>
      <c r="M86" s="58"/>
      <c r="N86" s="58"/>
      <c r="Y86" s="58"/>
      <c r="Z86" s="58"/>
      <c r="AB86" s="58"/>
      <c r="AC86" s="58"/>
      <c r="AD86" s="58"/>
      <c r="AE86" s="58"/>
    </row>
    <row r="87">
      <c r="E87" s="58"/>
      <c r="F87" s="58"/>
      <c r="G87" s="59"/>
      <c r="H87" s="58"/>
      <c r="J87" s="58"/>
      <c r="K87" s="1"/>
      <c r="M87" s="58"/>
      <c r="N87" s="58"/>
      <c r="Y87" s="58"/>
      <c r="Z87" s="58"/>
      <c r="AB87" s="58"/>
      <c r="AC87" s="58"/>
      <c r="AD87" s="58"/>
      <c r="AE87" s="58"/>
    </row>
    <row r="88">
      <c r="E88" s="58"/>
      <c r="F88" s="58"/>
      <c r="G88" s="59"/>
      <c r="H88" s="58"/>
      <c r="J88" s="58"/>
      <c r="K88" s="1"/>
      <c r="M88" s="58"/>
      <c r="N88" s="58"/>
      <c r="Y88" s="58"/>
      <c r="Z88" s="58"/>
      <c r="AB88" s="58"/>
      <c r="AC88" s="58"/>
      <c r="AD88" s="58"/>
      <c r="AE88" s="58"/>
    </row>
    <row r="89">
      <c r="E89" s="58"/>
      <c r="F89" s="58"/>
      <c r="G89" s="59"/>
      <c r="H89" s="58"/>
      <c r="J89" s="58"/>
      <c r="K89" s="1"/>
      <c r="M89" s="58"/>
      <c r="N89" s="58"/>
      <c r="Y89" s="58"/>
      <c r="Z89" s="58"/>
      <c r="AB89" s="58"/>
      <c r="AC89" s="58"/>
      <c r="AD89" s="58"/>
      <c r="AE89" s="58"/>
    </row>
    <row r="90">
      <c r="E90" s="58"/>
      <c r="F90" s="58"/>
      <c r="G90" s="59"/>
      <c r="H90" s="58"/>
      <c r="J90" s="58"/>
      <c r="K90" s="1"/>
      <c r="M90" s="58"/>
      <c r="N90" s="58"/>
      <c r="Y90" s="58"/>
      <c r="Z90" s="58"/>
      <c r="AB90" s="58"/>
      <c r="AC90" s="58"/>
      <c r="AD90" s="58"/>
      <c r="AE90" s="58"/>
    </row>
    <row r="91">
      <c r="E91" s="58"/>
      <c r="F91" s="58"/>
      <c r="G91" s="59"/>
      <c r="H91" s="58"/>
      <c r="J91" s="58"/>
      <c r="K91" s="1"/>
      <c r="M91" s="58"/>
      <c r="N91" s="58"/>
      <c r="Y91" s="58"/>
      <c r="Z91" s="58"/>
      <c r="AB91" s="58"/>
      <c r="AC91" s="58"/>
      <c r="AD91" s="58"/>
      <c r="AE91" s="58"/>
    </row>
    <row r="92">
      <c r="E92" s="58"/>
      <c r="F92" s="58"/>
      <c r="G92" s="59"/>
      <c r="H92" s="58"/>
      <c r="J92" s="58"/>
      <c r="K92" s="1"/>
      <c r="M92" s="58"/>
      <c r="N92" s="58"/>
      <c r="Y92" s="58"/>
      <c r="Z92" s="58"/>
      <c r="AB92" s="58"/>
      <c r="AC92" s="58"/>
      <c r="AD92" s="58"/>
      <c r="AE92" s="58"/>
    </row>
    <row r="93">
      <c r="E93" s="58"/>
      <c r="F93" s="58"/>
      <c r="G93" s="59"/>
      <c r="H93" s="58"/>
      <c r="J93" s="58"/>
      <c r="K93" s="1"/>
      <c r="M93" s="58"/>
      <c r="N93" s="58"/>
      <c r="Y93" s="58"/>
      <c r="Z93" s="58"/>
      <c r="AB93" s="58"/>
      <c r="AC93" s="58"/>
      <c r="AD93" s="58"/>
      <c r="AE93" s="58"/>
    </row>
    <row r="94">
      <c r="E94" s="58"/>
      <c r="F94" s="58"/>
      <c r="G94" s="59"/>
      <c r="H94" s="58"/>
      <c r="J94" s="58"/>
      <c r="K94" s="1"/>
      <c r="M94" s="58"/>
      <c r="N94" s="58"/>
      <c r="Y94" s="58"/>
      <c r="Z94" s="58"/>
      <c r="AB94" s="58"/>
      <c r="AC94" s="58"/>
      <c r="AD94" s="58"/>
      <c r="AE94" s="58"/>
    </row>
    <row r="95">
      <c r="E95" s="58"/>
      <c r="F95" s="58"/>
      <c r="G95" s="59"/>
      <c r="H95" s="58"/>
      <c r="J95" s="58"/>
      <c r="K95" s="1"/>
      <c r="M95" s="58"/>
      <c r="N95" s="58"/>
      <c r="Y95" s="58"/>
      <c r="Z95" s="58"/>
      <c r="AB95" s="58"/>
      <c r="AC95" s="58"/>
      <c r="AD95" s="58"/>
      <c r="AE95" s="58"/>
    </row>
    <row r="96">
      <c r="E96" s="58"/>
      <c r="F96" s="58"/>
      <c r="G96" s="59"/>
      <c r="H96" s="58"/>
      <c r="J96" s="58"/>
      <c r="K96" s="1"/>
      <c r="M96" s="58"/>
      <c r="N96" s="58"/>
      <c r="Y96" s="58"/>
      <c r="Z96" s="58"/>
      <c r="AB96" s="58"/>
      <c r="AC96" s="58"/>
      <c r="AD96" s="58"/>
      <c r="AE96" s="58"/>
    </row>
    <row r="97">
      <c r="E97" s="58"/>
      <c r="F97" s="58"/>
      <c r="G97" s="59"/>
      <c r="H97" s="58"/>
      <c r="J97" s="58"/>
      <c r="K97" s="1"/>
      <c r="M97" s="58"/>
      <c r="N97" s="58"/>
      <c r="Y97" s="58"/>
      <c r="Z97" s="58"/>
      <c r="AB97" s="58"/>
      <c r="AC97" s="58"/>
      <c r="AD97" s="58"/>
      <c r="AE97" s="58"/>
    </row>
    <row r="98">
      <c r="E98" s="58"/>
      <c r="F98" s="58"/>
      <c r="G98" s="59"/>
      <c r="H98" s="58"/>
      <c r="J98" s="58"/>
      <c r="K98" s="1"/>
      <c r="M98" s="58"/>
      <c r="N98" s="58"/>
      <c r="Y98" s="58"/>
      <c r="Z98" s="58"/>
      <c r="AB98" s="58"/>
      <c r="AC98" s="58"/>
      <c r="AD98" s="58"/>
      <c r="AE98" s="58"/>
    </row>
    <row r="99">
      <c r="E99" s="58"/>
      <c r="F99" s="58"/>
      <c r="G99" s="59"/>
      <c r="H99" s="58"/>
      <c r="J99" s="58"/>
      <c r="K99" s="1"/>
      <c r="M99" s="58"/>
      <c r="N99" s="58"/>
      <c r="Y99" s="58"/>
      <c r="Z99" s="58"/>
      <c r="AB99" s="58"/>
      <c r="AC99" s="58"/>
      <c r="AD99" s="58"/>
      <c r="AE99" s="58"/>
    </row>
    <row r="100">
      <c r="E100" s="58"/>
      <c r="F100" s="58"/>
      <c r="G100" s="59"/>
      <c r="H100" s="58"/>
      <c r="J100" s="58"/>
      <c r="K100" s="1"/>
      <c r="M100" s="58"/>
      <c r="N100" s="58"/>
      <c r="Y100" s="58"/>
      <c r="Z100" s="58"/>
      <c r="AB100" s="58"/>
      <c r="AC100" s="58"/>
      <c r="AD100" s="58"/>
      <c r="AE100" s="58"/>
    </row>
    <row r="101">
      <c r="E101" s="58"/>
      <c r="F101" s="58"/>
      <c r="G101" s="59"/>
      <c r="H101" s="58"/>
      <c r="J101" s="58"/>
      <c r="K101" s="1"/>
      <c r="M101" s="58"/>
      <c r="N101" s="58"/>
      <c r="Y101" s="58"/>
      <c r="Z101" s="58"/>
      <c r="AB101" s="58"/>
      <c r="AC101" s="58"/>
      <c r="AD101" s="58"/>
      <c r="AE101" s="58"/>
    </row>
    <row r="102">
      <c r="E102" s="58"/>
      <c r="F102" s="58"/>
      <c r="G102" s="59"/>
      <c r="H102" s="58"/>
      <c r="J102" s="58"/>
      <c r="K102" s="1"/>
      <c r="M102" s="58"/>
      <c r="N102" s="58"/>
      <c r="Y102" s="58"/>
      <c r="Z102" s="58"/>
      <c r="AB102" s="58"/>
      <c r="AC102" s="58"/>
      <c r="AD102" s="58"/>
      <c r="AE102" s="58"/>
    </row>
    <row r="103">
      <c r="E103" s="58"/>
      <c r="F103" s="58"/>
      <c r="G103" s="59"/>
      <c r="H103" s="58"/>
      <c r="J103" s="58"/>
      <c r="K103" s="1"/>
      <c r="M103" s="58"/>
      <c r="N103" s="58"/>
      <c r="Y103" s="58"/>
      <c r="Z103" s="58"/>
      <c r="AB103" s="58"/>
      <c r="AC103" s="58"/>
      <c r="AD103" s="58"/>
      <c r="AE103" s="58"/>
    </row>
    <row r="104">
      <c r="E104" s="58"/>
      <c r="F104" s="58"/>
      <c r="G104" s="59"/>
      <c r="H104" s="58"/>
      <c r="J104" s="58"/>
      <c r="K104" s="1"/>
      <c r="M104" s="58"/>
      <c r="N104" s="58"/>
      <c r="Y104" s="58"/>
      <c r="Z104" s="58"/>
      <c r="AB104" s="58"/>
      <c r="AC104" s="58"/>
      <c r="AD104" s="58"/>
      <c r="AE104" s="58"/>
    </row>
    <row r="105">
      <c r="E105" s="58"/>
      <c r="F105" s="58"/>
      <c r="G105" s="59"/>
      <c r="H105" s="58"/>
      <c r="J105" s="58"/>
      <c r="K105" s="1"/>
      <c r="M105" s="58"/>
      <c r="N105" s="58"/>
      <c r="Y105" s="58"/>
      <c r="Z105" s="58"/>
      <c r="AB105" s="58"/>
      <c r="AC105" s="58"/>
      <c r="AD105" s="58"/>
      <c r="AE105" s="58"/>
    </row>
    <row r="106">
      <c r="E106" s="58"/>
      <c r="F106" s="58"/>
      <c r="G106" s="59"/>
      <c r="H106" s="58"/>
      <c r="J106" s="58"/>
      <c r="K106" s="1"/>
      <c r="M106" s="58"/>
      <c r="N106" s="58"/>
      <c r="Y106" s="58"/>
      <c r="Z106" s="58"/>
      <c r="AB106" s="58"/>
      <c r="AC106" s="58"/>
      <c r="AD106" s="58"/>
      <c r="AE106" s="58"/>
    </row>
    <row r="107">
      <c r="E107" s="58"/>
      <c r="F107" s="58"/>
      <c r="G107" s="59"/>
      <c r="H107" s="58"/>
      <c r="J107" s="58"/>
      <c r="K107" s="1"/>
      <c r="M107" s="58"/>
      <c r="N107" s="58"/>
      <c r="Y107" s="58"/>
      <c r="Z107" s="58"/>
      <c r="AB107" s="58"/>
      <c r="AC107" s="58"/>
      <c r="AD107" s="58"/>
      <c r="AE107" s="58"/>
    </row>
    <row r="108">
      <c r="E108" s="58"/>
      <c r="F108" s="58"/>
      <c r="G108" s="59"/>
      <c r="H108" s="58"/>
      <c r="J108" s="58"/>
      <c r="K108" s="1"/>
      <c r="M108" s="58"/>
      <c r="N108" s="58"/>
      <c r="Y108" s="58"/>
      <c r="Z108" s="58"/>
      <c r="AB108" s="58"/>
      <c r="AC108" s="58"/>
      <c r="AD108" s="58"/>
      <c r="AE108" s="58"/>
    </row>
    <row r="109">
      <c r="E109" s="58"/>
      <c r="F109" s="58"/>
      <c r="G109" s="59"/>
      <c r="H109" s="58"/>
      <c r="J109" s="58"/>
      <c r="K109" s="1"/>
      <c r="M109" s="58"/>
      <c r="N109" s="58"/>
      <c r="Y109" s="58"/>
      <c r="Z109" s="58"/>
      <c r="AB109" s="58"/>
      <c r="AC109" s="58"/>
      <c r="AD109" s="58"/>
      <c r="AE109" s="58"/>
    </row>
    <row r="110">
      <c r="E110" s="58"/>
      <c r="F110" s="58"/>
      <c r="G110" s="59"/>
      <c r="H110" s="58"/>
      <c r="J110" s="58"/>
      <c r="K110" s="1"/>
      <c r="M110" s="58"/>
      <c r="N110" s="58"/>
      <c r="Y110" s="58"/>
      <c r="Z110" s="58"/>
      <c r="AB110" s="58"/>
      <c r="AC110" s="58"/>
      <c r="AD110" s="58"/>
      <c r="AE110" s="58"/>
    </row>
    <row r="111">
      <c r="E111" s="58"/>
      <c r="F111" s="58"/>
      <c r="G111" s="59"/>
      <c r="H111" s="58"/>
      <c r="J111" s="58"/>
      <c r="K111" s="1"/>
      <c r="M111" s="58"/>
      <c r="N111" s="58"/>
      <c r="Y111" s="58"/>
      <c r="Z111" s="58"/>
      <c r="AB111" s="58"/>
      <c r="AC111" s="58"/>
      <c r="AD111" s="58"/>
      <c r="AE111" s="58"/>
    </row>
    <row r="112">
      <c r="E112" s="58"/>
      <c r="F112" s="58"/>
      <c r="G112" s="59"/>
      <c r="H112" s="58"/>
      <c r="J112" s="58"/>
      <c r="K112" s="1"/>
      <c r="M112" s="58"/>
      <c r="N112" s="58"/>
      <c r="Y112" s="58"/>
      <c r="Z112" s="58"/>
      <c r="AB112" s="58"/>
      <c r="AC112" s="58"/>
      <c r="AD112" s="58"/>
      <c r="AE112" s="58"/>
    </row>
    <row r="113">
      <c r="E113" s="58"/>
      <c r="F113" s="58"/>
      <c r="G113" s="59"/>
      <c r="H113" s="58"/>
      <c r="J113" s="58"/>
      <c r="K113" s="1"/>
      <c r="M113" s="58"/>
      <c r="N113" s="58"/>
      <c r="Y113" s="58"/>
      <c r="Z113" s="58"/>
      <c r="AB113" s="58"/>
      <c r="AC113" s="58"/>
      <c r="AD113" s="58"/>
      <c r="AE113" s="58"/>
    </row>
    <row r="114">
      <c r="E114" s="58"/>
      <c r="F114" s="58"/>
      <c r="G114" s="59"/>
      <c r="H114" s="58"/>
      <c r="J114" s="58"/>
      <c r="K114" s="1"/>
      <c r="M114" s="58"/>
      <c r="N114" s="58"/>
      <c r="Y114" s="58"/>
      <c r="Z114" s="58"/>
      <c r="AB114" s="58"/>
      <c r="AC114" s="58"/>
      <c r="AD114" s="58"/>
      <c r="AE114" s="58"/>
    </row>
    <row r="115">
      <c r="E115" s="58"/>
      <c r="F115" s="58"/>
      <c r="G115" s="59"/>
      <c r="H115" s="58"/>
      <c r="J115" s="58"/>
      <c r="K115" s="1"/>
      <c r="M115" s="58"/>
      <c r="N115" s="58"/>
      <c r="Y115" s="58"/>
      <c r="Z115" s="58"/>
      <c r="AB115" s="58"/>
      <c r="AC115" s="58"/>
      <c r="AD115" s="58"/>
      <c r="AE115" s="58"/>
    </row>
    <row r="116">
      <c r="E116" s="58"/>
      <c r="F116" s="58"/>
      <c r="G116" s="59"/>
      <c r="H116" s="58"/>
      <c r="J116" s="58"/>
      <c r="K116" s="1"/>
      <c r="M116" s="58"/>
      <c r="N116" s="58"/>
      <c r="Y116" s="58"/>
      <c r="Z116" s="58"/>
      <c r="AB116" s="58"/>
      <c r="AC116" s="58"/>
      <c r="AD116" s="58"/>
      <c r="AE116" s="58"/>
    </row>
    <row r="117">
      <c r="E117" s="58"/>
      <c r="F117" s="58"/>
      <c r="G117" s="59"/>
      <c r="H117" s="58"/>
      <c r="J117" s="58"/>
      <c r="K117" s="1"/>
      <c r="M117" s="58"/>
      <c r="N117" s="58"/>
      <c r="Y117" s="58"/>
      <c r="Z117" s="58"/>
      <c r="AB117" s="58"/>
      <c r="AC117" s="58"/>
      <c r="AD117" s="58"/>
      <c r="AE117" s="58"/>
    </row>
    <row r="118">
      <c r="E118" s="58"/>
      <c r="F118" s="58"/>
      <c r="G118" s="59"/>
      <c r="H118" s="58"/>
      <c r="J118" s="58"/>
      <c r="K118" s="1"/>
      <c r="M118" s="58"/>
      <c r="N118" s="58"/>
      <c r="Y118" s="58"/>
      <c r="Z118" s="58"/>
      <c r="AB118" s="58"/>
      <c r="AC118" s="58"/>
      <c r="AD118" s="58"/>
      <c r="AE118" s="58"/>
    </row>
    <row r="119">
      <c r="E119" s="58"/>
      <c r="F119" s="58"/>
      <c r="G119" s="59"/>
      <c r="H119" s="58"/>
      <c r="J119" s="58"/>
      <c r="K119" s="1"/>
      <c r="M119" s="58"/>
      <c r="N119" s="58"/>
      <c r="Y119" s="58"/>
      <c r="Z119" s="58"/>
      <c r="AB119" s="58"/>
      <c r="AC119" s="58"/>
      <c r="AD119" s="58"/>
      <c r="AE119" s="58"/>
    </row>
    <row r="120">
      <c r="E120" s="58"/>
      <c r="F120" s="58"/>
      <c r="G120" s="59"/>
      <c r="H120" s="58"/>
      <c r="J120" s="58"/>
      <c r="K120" s="1"/>
      <c r="M120" s="58"/>
      <c r="N120" s="58"/>
      <c r="Y120" s="58"/>
      <c r="Z120" s="58"/>
      <c r="AB120" s="58"/>
      <c r="AC120" s="58"/>
      <c r="AD120" s="58"/>
      <c r="AE120" s="58"/>
    </row>
    <row r="121">
      <c r="E121" s="58"/>
      <c r="F121" s="58"/>
      <c r="G121" s="59"/>
      <c r="H121" s="58"/>
      <c r="J121" s="58"/>
      <c r="K121" s="1"/>
      <c r="M121" s="58"/>
      <c r="N121" s="58"/>
      <c r="Y121" s="58"/>
      <c r="Z121" s="58"/>
      <c r="AB121" s="58"/>
      <c r="AC121" s="58"/>
      <c r="AD121" s="58"/>
      <c r="AE121" s="58"/>
    </row>
    <row r="122">
      <c r="E122" s="58"/>
      <c r="F122" s="58"/>
      <c r="G122" s="59"/>
      <c r="H122" s="58"/>
      <c r="J122" s="58"/>
      <c r="K122" s="1"/>
      <c r="M122" s="58"/>
      <c r="N122" s="58"/>
      <c r="Y122" s="58"/>
      <c r="Z122" s="58"/>
      <c r="AB122" s="58"/>
      <c r="AC122" s="58"/>
      <c r="AD122" s="58"/>
      <c r="AE122" s="58"/>
    </row>
    <row r="123">
      <c r="E123" s="58"/>
      <c r="F123" s="58"/>
      <c r="G123" s="59"/>
      <c r="H123" s="58"/>
      <c r="J123" s="58"/>
      <c r="K123" s="1"/>
      <c r="M123" s="58"/>
      <c r="N123" s="58"/>
      <c r="Y123" s="58"/>
      <c r="Z123" s="58"/>
      <c r="AB123" s="58"/>
      <c r="AC123" s="58"/>
      <c r="AD123" s="58"/>
      <c r="AE123" s="58"/>
    </row>
    <row r="124">
      <c r="E124" s="58"/>
      <c r="F124" s="58"/>
      <c r="G124" s="59"/>
      <c r="H124" s="58"/>
      <c r="J124" s="58"/>
      <c r="K124" s="1"/>
      <c r="M124" s="58"/>
      <c r="N124" s="58"/>
      <c r="Y124" s="58"/>
      <c r="Z124" s="58"/>
      <c r="AB124" s="58"/>
      <c r="AC124" s="58"/>
      <c r="AD124" s="58"/>
      <c r="AE124" s="58"/>
    </row>
    <row r="125">
      <c r="E125" s="58"/>
      <c r="F125" s="58"/>
      <c r="G125" s="59"/>
      <c r="H125" s="58"/>
      <c r="J125" s="58"/>
      <c r="K125" s="1"/>
      <c r="M125" s="58"/>
      <c r="N125" s="58"/>
      <c r="Y125" s="58"/>
      <c r="Z125" s="58"/>
      <c r="AB125" s="58"/>
      <c r="AC125" s="58"/>
      <c r="AD125" s="58"/>
      <c r="AE125" s="58"/>
    </row>
    <row r="126">
      <c r="E126" s="58"/>
      <c r="F126" s="58"/>
      <c r="G126" s="59"/>
      <c r="H126" s="58"/>
      <c r="J126" s="58"/>
      <c r="K126" s="1"/>
      <c r="M126" s="58"/>
      <c r="N126" s="58"/>
      <c r="Y126" s="58"/>
      <c r="Z126" s="58"/>
      <c r="AB126" s="58"/>
      <c r="AC126" s="58"/>
      <c r="AD126" s="58"/>
      <c r="AE126" s="58"/>
    </row>
    <row r="127">
      <c r="E127" s="58"/>
      <c r="F127" s="58"/>
      <c r="G127" s="59"/>
      <c r="H127" s="58"/>
      <c r="J127" s="58"/>
      <c r="K127" s="1"/>
      <c r="M127" s="58"/>
      <c r="N127" s="58"/>
      <c r="Y127" s="58"/>
      <c r="Z127" s="58"/>
      <c r="AB127" s="58"/>
      <c r="AC127" s="58"/>
      <c r="AD127" s="58"/>
      <c r="AE127" s="58"/>
    </row>
    <row r="128">
      <c r="E128" s="58"/>
      <c r="F128" s="58"/>
      <c r="G128" s="59"/>
      <c r="H128" s="58"/>
      <c r="J128" s="58"/>
      <c r="K128" s="1"/>
      <c r="M128" s="58"/>
      <c r="N128" s="58"/>
      <c r="Y128" s="58"/>
      <c r="Z128" s="58"/>
      <c r="AB128" s="58"/>
      <c r="AC128" s="58"/>
      <c r="AD128" s="58"/>
      <c r="AE128" s="58"/>
    </row>
    <row r="129">
      <c r="E129" s="58"/>
      <c r="F129" s="58"/>
      <c r="G129" s="59"/>
      <c r="H129" s="58"/>
      <c r="J129" s="58"/>
      <c r="K129" s="1"/>
      <c r="M129" s="58"/>
      <c r="N129" s="58"/>
      <c r="Y129" s="58"/>
      <c r="Z129" s="58"/>
      <c r="AB129" s="58"/>
      <c r="AC129" s="58"/>
      <c r="AD129" s="58"/>
      <c r="AE129" s="58"/>
    </row>
    <row r="130">
      <c r="E130" s="58"/>
      <c r="F130" s="58"/>
      <c r="G130" s="59"/>
      <c r="H130" s="58"/>
      <c r="J130" s="58"/>
      <c r="K130" s="1"/>
      <c r="M130" s="58"/>
      <c r="N130" s="58"/>
      <c r="Y130" s="58"/>
      <c r="Z130" s="58"/>
      <c r="AB130" s="58"/>
      <c r="AC130" s="58"/>
      <c r="AD130" s="58"/>
      <c r="AE130" s="58"/>
    </row>
    <row r="131">
      <c r="E131" s="58"/>
      <c r="F131" s="58"/>
      <c r="G131" s="59"/>
      <c r="H131" s="58"/>
      <c r="J131" s="58"/>
      <c r="K131" s="1"/>
      <c r="M131" s="58"/>
      <c r="N131" s="58"/>
      <c r="Y131" s="58"/>
      <c r="Z131" s="58"/>
      <c r="AB131" s="58"/>
      <c r="AC131" s="58"/>
      <c r="AD131" s="58"/>
      <c r="AE131" s="58"/>
    </row>
    <row r="132">
      <c r="E132" s="58"/>
      <c r="F132" s="58"/>
      <c r="G132" s="59"/>
      <c r="H132" s="58"/>
      <c r="J132" s="58"/>
      <c r="K132" s="1"/>
      <c r="M132" s="58"/>
      <c r="N132" s="58"/>
      <c r="Y132" s="58"/>
      <c r="Z132" s="58"/>
      <c r="AB132" s="58"/>
      <c r="AC132" s="58"/>
      <c r="AD132" s="58"/>
      <c r="AE132" s="58"/>
    </row>
    <row r="133">
      <c r="E133" s="58"/>
      <c r="F133" s="58"/>
      <c r="G133" s="59"/>
      <c r="H133" s="58"/>
      <c r="J133" s="58"/>
      <c r="K133" s="1"/>
      <c r="M133" s="58"/>
      <c r="N133" s="58"/>
      <c r="Y133" s="58"/>
      <c r="Z133" s="58"/>
      <c r="AB133" s="58"/>
      <c r="AC133" s="58"/>
      <c r="AD133" s="58"/>
      <c r="AE133" s="58"/>
    </row>
    <row r="134">
      <c r="E134" s="58"/>
      <c r="F134" s="58"/>
      <c r="G134" s="59"/>
      <c r="H134" s="58"/>
      <c r="J134" s="58"/>
      <c r="K134" s="1"/>
      <c r="M134" s="58"/>
      <c r="N134" s="58"/>
      <c r="Y134" s="58"/>
      <c r="Z134" s="58"/>
      <c r="AB134" s="58"/>
      <c r="AC134" s="58"/>
      <c r="AD134" s="58"/>
      <c r="AE134" s="58"/>
    </row>
    <row r="135">
      <c r="E135" s="58"/>
      <c r="F135" s="58"/>
      <c r="G135" s="59"/>
      <c r="H135" s="58"/>
      <c r="J135" s="58"/>
      <c r="K135" s="1"/>
      <c r="M135" s="58"/>
      <c r="N135" s="58"/>
      <c r="Y135" s="58"/>
      <c r="Z135" s="58"/>
      <c r="AB135" s="58"/>
      <c r="AC135" s="58"/>
      <c r="AD135" s="58"/>
      <c r="AE135" s="58"/>
    </row>
    <row r="136">
      <c r="E136" s="58"/>
      <c r="F136" s="58"/>
      <c r="G136" s="59"/>
      <c r="H136" s="58"/>
      <c r="J136" s="58"/>
      <c r="K136" s="1"/>
      <c r="M136" s="58"/>
      <c r="N136" s="58"/>
      <c r="Y136" s="58"/>
      <c r="Z136" s="58"/>
      <c r="AB136" s="58"/>
      <c r="AC136" s="58"/>
      <c r="AD136" s="58"/>
      <c r="AE136" s="58"/>
    </row>
    <row r="137">
      <c r="E137" s="58"/>
      <c r="F137" s="58"/>
      <c r="G137" s="59"/>
      <c r="H137" s="58"/>
      <c r="J137" s="58"/>
      <c r="K137" s="1"/>
      <c r="M137" s="58"/>
      <c r="N137" s="58"/>
      <c r="Y137" s="58"/>
      <c r="Z137" s="58"/>
      <c r="AB137" s="58"/>
      <c r="AC137" s="58"/>
      <c r="AD137" s="58"/>
      <c r="AE137" s="58"/>
    </row>
    <row r="138">
      <c r="E138" s="58"/>
      <c r="F138" s="58"/>
      <c r="G138" s="59"/>
      <c r="H138" s="58"/>
      <c r="J138" s="58"/>
      <c r="K138" s="1"/>
      <c r="M138" s="58"/>
      <c r="N138" s="58"/>
      <c r="Y138" s="58"/>
      <c r="Z138" s="58"/>
      <c r="AB138" s="58"/>
      <c r="AC138" s="58"/>
      <c r="AD138" s="58"/>
      <c r="AE138" s="58"/>
    </row>
    <row r="139">
      <c r="E139" s="58"/>
      <c r="F139" s="58"/>
      <c r="G139" s="59"/>
      <c r="H139" s="58"/>
      <c r="J139" s="58"/>
      <c r="K139" s="1"/>
      <c r="M139" s="58"/>
      <c r="N139" s="58"/>
      <c r="Y139" s="58"/>
      <c r="Z139" s="58"/>
      <c r="AB139" s="58"/>
      <c r="AC139" s="58"/>
      <c r="AD139" s="58"/>
      <c r="AE139" s="58"/>
    </row>
    <row r="140">
      <c r="E140" s="58"/>
      <c r="F140" s="58"/>
      <c r="G140" s="59"/>
      <c r="H140" s="58"/>
      <c r="J140" s="58"/>
      <c r="K140" s="1"/>
      <c r="M140" s="58"/>
      <c r="N140" s="58"/>
      <c r="Y140" s="58"/>
      <c r="Z140" s="58"/>
      <c r="AB140" s="58"/>
      <c r="AC140" s="58"/>
      <c r="AD140" s="58"/>
      <c r="AE140" s="58"/>
    </row>
    <row r="141">
      <c r="E141" s="58"/>
      <c r="F141" s="58"/>
      <c r="G141" s="59"/>
      <c r="H141" s="58"/>
      <c r="J141" s="58"/>
      <c r="K141" s="1"/>
      <c r="M141" s="58"/>
      <c r="N141" s="58"/>
      <c r="Y141" s="58"/>
      <c r="Z141" s="58"/>
      <c r="AB141" s="58"/>
      <c r="AC141" s="58"/>
      <c r="AD141" s="58"/>
      <c r="AE141" s="58"/>
    </row>
    <row r="142">
      <c r="E142" s="58"/>
      <c r="F142" s="58"/>
      <c r="G142" s="59"/>
      <c r="H142" s="58"/>
      <c r="J142" s="58"/>
      <c r="K142" s="1"/>
      <c r="M142" s="58"/>
      <c r="N142" s="58"/>
      <c r="Y142" s="58"/>
      <c r="Z142" s="58"/>
      <c r="AB142" s="58"/>
      <c r="AC142" s="58"/>
      <c r="AD142" s="58"/>
      <c r="AE142" s="58"/>
    </row>
    <row r="143">
      <c r="E143" s="58"/>
      <c r="F143" s="58"/>
      <c r="G143" s="59"/>
      <c r="H143" s="58"/>
      <c r="J143" s="58"/>
      <c r="K143" s="1"/>
      <c r="M143" s="58"/>
      <c r="N143" s="58"/>
      <c r="Y143" s="58"/>
      <c r="Z143" s="58"/>
      <c r="AB143" s="58"/>
      <c r="AC143" s="58"/>
      <c r="AD143" s="58"/>
      <c r="AE143" s="58"/>
    </row>
    <row r="144">
      <c r="E144" s="58"/>
      <c r="F144" s="58"/>
      <c r="G144" s="59"/>
      <c r="H144" s="58"/>
      <c r="J144" s="58"/>
      <c r="K144" s="1"/>
      <c r="M144" s="58"/>
      <c r="N144" s="58"/>
      <c r="Y144" s="58"/>
      <c r="Z144" s="58"/>
      <c r="AB144" s="58"/>
      <c r="AC144" s="58"/>
      <c r="AD144" s="58"/>
      <c r="AE144" s="58"/>
    </row>
    <row r="145">
      <c r="E145" s="58"/>
      <c r="F145" s="58"/>
      <c r="G145" s="59"/>
      <c r="H145" s="58"/>
      <c r="J145" s="58"/>
      <c r="K145" s="1"/>
      <c r="M145" s="58"/>
      <c r="N145" s="58"/>
      <c r="Y145" s="58"/>
      <c r="Z145" s="58"/>
      <c r="AB145" s="58"/>
      <c r="AC145" s="58"/>
      <c r="AD145" s="58"/>
      <c r="AE145" s="58"/>
    </row>
    <row r="146">
      <c r="E146" s="58"/>
      <c r="F146" s="58"/>
      <c r="G146" s="59"/>
      <c r="H146" s="58"/>
      <c r="J146" s="58"/>
      <c r="K146" s="1"/>
      <c r="M146" s="58"/>
      <c r="N146" s="58"/>
      <c r="Y146" s="58"/>
      <c r="Z146" s="58"/>
      <c r="AB146" s="58"/>
      <c r="AC146" s="58"/>
      <c r="AD146" s="58"/>
      <c r="AE146" s="58"/>
    </row>
    <row r="147">
      <c r="E147" s="58"/>
      <c r="F147" s="58"/>
      <c r="G147" s="59"/>
      <c r="H147" s="58"/>
      <c r="J147" s="58"/>
      <c r="K147" s="1"/>
      <c r="M147" s="58"/>
      <c r="N147" s="58"/>
      <c r="Y147" s="58"/>
      <c r="Z147" s="58"/>
      <c r="AB147" s="58"/>
      <c r="AC147" s="58"/>
      <c r="AD147" s="58"/>
      <c r="AE147" s="58"/>
    </row>
    <row r="148">
      <c r="E148" s="58"/>
      <c r="F148" s="58"/>
      <c r="G148" s="59"/>
      <c r="H148" s="58"/>
      <c r="J148" s="58"/>
      <c r="K148" s="1"/>
      <c r="M148" s="58"/>
      <c r="N148" s="58"/>
      <c r="Y148" s="58"/>
      <c r="Z148" s="58"/>
      <c r="AB148" s="58"/>
      <c r="AC148" s="58"/>
      <c r="AD148" s="58"/>
      <c r="AE148" s="58"/>
    </row>
    <row r="149">
      <c r="E149" s="58"/>
      <c r="F149" s="58"/>
      <c r="G149" s="59"/>
      <c r="H149" s="58"/>
      <c r="J149" s="58"/>
      <c r="K149" s="1"/>
      <c r="M149" s="58"/>
      <c r="N149" s="58"/>
      <c r="Y149" s="58"/>
      <c r="Z149" s="58"/>
      <c r="AB149" s="58"/>
      <c r="AC149" s="58"/>
      <c r="AD149" s="58"/>
      <c r="AE149" s="58"/>
    </row>
    <row r="150">
      <c r="E150" s="58"/>
      <c r="F150" s="58"/>
      <c r="G150" s="59"/>
      <c r="H150" s="58"/>
      <c r="J150" s="58"/>
      <c r="K150" s="1"/>
      <c r="M150" s="58"/>
      <c r="N150" s="58"/>
      <c r="Y150" s="58"/>
      <c r="Z150" s="58"/>
      <c r="AB150" s="58"/>
      <c r="AC150" s="58"/>
      <c r="AD150" s="58"/>
      <c r="AE150" s="58"/>
    </row>
    <row r="151">
      <c r="E151" s="58"/>
      <c r="F151" s="58"/>
      <c r="G151" s="59"/>
      <c r="H151" s="58"/>
      <c r="J151" s="58"/>
      <c r="K151" s="1"/>
      <c r="M151" s="58"/>
      <c r="N151" s="58"/>
      <c r="Y151" s="58"/>
      <c r="Z151" s="58"/>
      <c r="AB151" s="58"/>
      <c r="AC151" s="58"/>
      <c r="AD151" s="58"/>
      <c r="AE151" s="58"/>
    </row>
    <row r="152">
      <c r="E152" s="58"/>
      <c r="F152" s="58"/>
      <c r="G152" s="59"/>
      <c r="H152" s="58"/>
      <c r="J152" s="58"/>
      <c r="K152" s="1"/>
      <c r="M152" s="58"/>
      <c r="N152" s="58"/>
      <c r="Y152" s="58"/>
      <c r="Z152" s="58"/>
      <c r="AB152" s="58"/>
      <c r="AC152" s="58"/>
      <c r="AD152" s="58"/>
      <c r="AE152" s="58"/>
    </row>
    <row r="153">
      <c r="E153" s="58"/>
      <c r="F153" s="58"/>
      <c r="G153" s="59"/>
      <c r="H153" s="58"/>
      <c r="J153" s="58"/>
      <c r="K153" s="1"/>
      <c r="M153" s="58"/>
      <c r="N153" s="58"/>
      <c r="Y153" s="58"/>
      <c r="Z153" s="58"/>
      <c r="AB153" s="58"/>
      <c r="AC153" s="58"/>
      <c r="AD153" s="58"/>
      <c r="AE153" s="58"/>
    </row>
    <row r="154">
      <c r="E154" s="58"/>
      <c r="F154" s="58"/>
      <c r="G154" s="59"/>
      <c r="H154" s="58"/>
      <c r="J154" s="58"/>
      <c r="K154" s="1"/>
      <c r="M154" s="58"/>
      <c r="N154" s="58"/>
      <c r="Y154" s="58"/>
      <c r="Z154" s="58"/>
      <c r="AB154" s="58"/>
      <c r="AC154" s="58"/>
      <c r="AD154" s="58"/>
      <c r="AE154" s="58"/>
    </row>
    <row r="155">
      <c r="E155" s="58"/>
      <c r="F155" s="58"/>
      <c r="G155" s="59"/>
      <c r="H155" s="58"/>
      <c r="J155" s="58"/>
      <c r="K155" s="1"/>
      <c r="M155" s="58"/>
      <c r="N155" s="58"/>
      <c r="Y155" s="58"/>
      <c r="Z155" s="58"/>
      <c r="AB155" s="58"/>
      <c r="AC155" s="58"/>
      <c r="AD155" s="58"/>
      <c r="AE155" s="58"/>
    </row>
    <row r="156">
      <c r="E156" s="58"/>
      <c r="F156" s="58"/>
      <c r="G156" s="59"/>
      <c r="H156" s="58"/>
      <c r="J156" s="58"/>
      <c r="K156" s="1"/>
      <c r="M156" s="58"/>
      <c r="N156" s="58"/>
      <c r="Y156" s="58"/>
      <c r="Z156" s="58"/>
      <c r="AB156" s="58"/>
      <c r="AC156" s="58"/>
      <c r="AD156" s="58"/>
      <c r="AE156" s="58"/>
    </row>
    <row r="157">
      <c r="E157" s="58"/>
      <c r="F157" s="58"/>
      <c r="G157" s="59"/>
      <c r="H157" s="58"/>
      <c r="J157" s="58"/>
      <c r="K157" s="1"/>
      <c r="M157" s="58"/>
      <c r="N157" s="58"/>
      <c r="Y157" s="58"/>
      <c r="Z157" s="58"/>
      <c r="AB157" s="58"/>
      <c r="AC157" s="58"/>
      <c r="AD157" s="58"/>
      <c r="AE157" s="58"/>
    </row>
    <row r="158">
      <c r="E158" s="58"/>
      <c r="F158" s="58"/>
      <c r="G158" s="59"/>
      <c r="H158" s="58"/>
      <c r="J158" s="58"/>
      <c r="K158" s="1"/>
      <c r="M158" s="58"/>
      <c r="N158" s="58"/>
      <c r="Y158" s="58"/>
      <c r="Z158" s="58"/>
      <c r="AB158" s="58"/>
      <c r="AC158" s="58"/>
      <c r="AD158" s="58"/>
      <c r="AE158" s="58"/>
    </row>
    <row r="159">
      <c r="E159" s="58"/>
      <c r="F159" s="58"/>
      <c r="G159" s="59"/>
      <c r="H159" s="58"/>
      <c r="J159" s="58"/>
      <c r="K159" s="1"/>
      <c r="M159" s="58"/>
      <c r="N159" s="58"/>
      <c r="Y159" s="58"/>
      <c r="Z159" s="58"/>
      <c r="AB159" s="58"/>
      <c r="AC159" s="58"/>
      <c r="AD159" s="58"/>
      <c r="AE159" s="58"/>
    </row>
    <row r="160">
      <c r="E160" s="58"/>
      <c r="F160" s="58"/>
      <c r="G160" s="59"/>
      <c r="H160" s="58"/>
      <c r="J160" s="58"/>
      <c r="K160" s="1"/>
      <c r="M160" s="58"/>
      <c r="N160" s="58"/>
      <c r="Y160" s="58"/>
      <c r="Z160" s="58"/>
      <c r="AB160" s="58"/>
      <c r="AC160" s="58"/>
      <c r="AD160" s="58"/>
      <c r="AE160" s="58"/>
    </row>
    <row r="161">
      <c r="E161" s="58"/>
      <c r="F161" s="58"/>
      <c r="G161" s="59"/>
      <c r="H161" s="58"/>
      <c r="J161" s="58"/>
      <c r="K161" s="1"/>
      <c r="M161" s="58"/>
      <c r="N161" s="58"/>
      <c r="Y161" s="58"/>
      <c r="Z161" s="58"/>
      <c r="AB161" s="58"/>
      <c r="AC161" s="58"/>
      <c r="AD161" s="58"/>
      <c r="AE161" s="58"/>
    </row>
    <row r="162">
      <c r="E162" s="58"/>
      <c r="F162" s="58"/>
      <c r="G162" s="59"/>
      <c r="H162" s="58"/>
      <c r="J162" s="58"/>
      <c r="K162" s="1"/>
      <c r="M162" s="58"/>
      <c r="N162" s="58"/>
      <c r="Y162" s="58"/>
      <c r="Z162" s="58"/>
      <c r="AB162" s="58"/>
      <c r="AC162" s="58"/>
      <c r="AD162" s="58"/>
      <c r="AE162" s="58"/>
    </row>
    <row r="163">
      <c r="E163" s="58"/>
      <c r="F163" s="58"/>
      <c r="G163" s="59"/>
      <c r="H163" s="58"/>
      <c r="J163" s="58"/>
      <c r="K163" s="1"/>
      <c r="M163" s="58"/>
      <c r="N163" s="58"/>
      <c r="Y163" s="58"/>
      <c r="Z163" s="58"/>
      <c r="AB163" s="58"/>
      <c r="AC163" s="58"/>
      <c r="AD163" s="58"/>
      <c r="AE163" s="58"/>
    </row>
    <row r="164">
      <c r="E164" s="58"/>
      <c r="F164" s="58"/>
      <c r="G164" s="59"/>
      <c r="H164" s="58"/>
      <c r="J164" s="58"/>
      <c r="K164" s="1"/>
      <c r="M164" s="58"/>
      <c r="N164" s="58"/>
      <c r="Y164" s="58"/>
      <c r="Z164" s="58"/>
      <c r="AB164" s="58"/>
      <c r="AC164" s="58"/>
      <c r="AD164" s="58"/>
      <c r="AE164" s="58"/>
    </row>
    <row r="165">
      <c r="E165" s="58"/>
      <c r="F165" s="58"/>
      <c r="G165" s="59"/>
      <c r="H165" s="58"/>
      <c r="J165" s="58"/>
      <c r="K165" s="1"/>
      <c r="M165" s="58"/>
      <c r="N165" s="58"/>
      <c r="Y165" s="58"/>
      <c r="Z165" s="58"/>
      <c r="AB165" s="58"/>
      <c r="AC165" s="58"/>
      <c r="AD165" s="58"/>
      <c r="AE165" s="58"/>
    </row>
    <row r="166">
      <c r="E166" s="58"/>
      <c r="F166" s="58"/>
      <c r="G166" s="59"/>
      <c r="H166" s="58"/>
      <c r="J166" s="58"/>
      <c r="K166" s="1"/>
      <c r="M166" s="58"/>
      <c r="N166" s="58"/>
      <c r="Y166" s="58"/>
      <c r="Z166" s="58"/>
      <c r="AB166" s="58"/>
      <c r="AC166" s="58"/>
      <c r="AD166" s="58"/>
      <c r="AE166" s="58"/>
    </row>
    <row r="167">
      <c r="E167" s="58"/>
      <c r="F167" s="58"/>
      <c r="G167" s="59"/>
      <c r="H167" s="58"/>
      <c r="J167" s="58"/>
      <c r="K167" s="1"/>
      <c r="M167" s="58"/>
      <c r="N167" s="58"/>
      <c r="Y167" s="58"/>
      <c r="Z167" s="58"/>
      <c r="AB167" s="58"/>
      <c r="AC167" s="58"/>
      <c r="AD167" s="58"/>
      <c r="AE167" s="58"/>
    </row>
    <row r="168">
      <c r="E168" s="58"/>
      <c r="F168" s="58"/>
      <c r="G168" s="59"/>
      <c r="H168" s="58"/>
      <c r="J168" s="58"/>
      <c r="K168" s="1"/>
      <c r="M168" s="58"/>
      <c r="N168" s="58"/>
      <c r="Y168" s="58"/>
      <c r="Z168" s="58"/>
      <c r="AB168" s="58"/>
      <c r="AC168" s="58"/>
      <c r="AD168" s="58"/>
      <c r="AE168" s="58"/>
    </row>
    <row r="169">
      <c r="E169" s="58"/>
      <c r="F169" s="58"/>
      <c r="G169" s="59"/>
      <c r="H169" s="58"/>
      <c r="J169" s="58"/>
      <c r="K169" s="1"/>
      <c r="M169" s="58"/>
      <c r="N169" s="58"/>
      <c r="Y169" s="58"/>
      <c r="Z169" s="58"/>
      <c r="AB169" s="58"/>
      <c r="AC169" s="58"/>
      <c r="AD169" s="58"/>
      <c r="AE169" s="58"/>
    </row>
    <row r="170">
      <c r="E170" s="58"/>
      <c r="F170" s="58"/>
      <c r="G170" s="59"/>
      <c r="H170" s="58"/>
      <c r="J170" s="58"/>
      <c r="K170" s="1"/>
      <c r="M170" s="58"/>
      <c r="N170" s="58"/>
      <c r="Y170" s="58"/>
      <c r="Z170" s="58"/>
      <c r="AB170" s="58"/>
      <c r="AC170" s="58"/>
      <c r="AD170" s="58"/>
      <c r="AE170" s="58"/>
    </row>
    <row r="171">
      <c r="E171" s="58"/>
      <c r="F171" s="58"/>
      <c r="G171" s="59"/>
      <c r="H171" s="58"/>
      <c r="J171" s="58"/>
      <c r="K171" s="1"/>
      <c r="M171" s="58"/>
      <c r="N171" s="58"/>
      <c r="Y171" s="58"/>
      <c r="Z171" s="58"/>
      <c r="AB171" s="58"/>
      <c r="AC171" s="58"/>
      <c r="AD171" s="58"/>
      <c r="AE171" s="58"/>
    </row>
    <row r="172">
      <c r="E172" s="58"/>
      <c r="F172" s="58"/>
      <c r="G172" s="59"/>
      <c r="H172" s="58"/>
      <c r="J172" s="58"/>
      <c r="K172" s="1"/>
      <c r="M172" s="58"/>
      <c r="N172" s="58"/>
      <c r="Y172" s="58"/>
      <c r="Z172" s="58"/>
      <c r="AB172" s="58"/>
      <c r="AC172" s="58"/>
      <c r="AD172" s="58"/>
      <c r="AE172" s="58"/>
    </row>
    <row r="173">
      <c r="E173" s="58"/>
      <c r="F173" s="58"/>
      <c r="G173" s="59"/>
      <c r="H173" s="58"/>
      <c r="J173" s="58"/>
      <c r="K173" s="1"/>
      <c r="M173" s="58"/>
      <c r="N173" s="58"/>
      <c r="Y173" s="58"/>
      <c r="Z173" s="58"/>
      <c r="AB173" s="58"/>
      <c r="AC173" s="58"/>
      <c r="AD173" s="58"/>
      <c r="AE173" s="58"/>
    </row>
    <row r="174">
      <c r="E174" s="58"/>
      <c r="F174" s="58"/>
      <c r="G174" s="59"/>
      <c r="H174" s="58"/>
      <c r="J174" s="58"/>
      <c r="K174" s="1"/>
      <c r="M174" s="58"/>
      <c r="N174" s="58"/>
      <c r="Y174" s="58"/>
      <c r="Z174" s="58"/>
      <c r="AB174" s="58"/>
      <c r="AC174" s="58"/>
      <c r="AD174" s="58"/>
      <c r="AE174" s="58"/>
    </row>
    <row r="175">
      <c r="E175" s="58"/>
      <c r="F175" s="58"/>
      <c r="G175" s="59"/>
      <c r="H175" s="58"/>
      <c r="J175" s="58"/>
      <c r="K175" s="1"/>
      <c r="M175" s="58"/>
      <c r="N175" s="58"/>
      <c r="Y175" s="58"/>
      <c r="Z175" s="58"/>
      <c r="AB175" s="58"/>
      <c r="AC175" s="58"/>
      <c r="AD175" s="58"/>
      <c r="AE175" s="58"/>
    </row>
    <row r="176">
      <c r="E176" s="58"/>
      <c r="F176" s="58"/>
      <c r="G176" s="59"/>
      <c r="H176" s="58"/>
      <c r="J176" s="58"/>
      <c r="K176" s="1"/>
      <c r="M176" s="58"/>
      <c r="N176" s="58"/>
      <c r="Y176" s="58"/>
      <c r="Z176" s="58"/>
      <c r="AB176" s="58"/>
      <c r="AC176" s="58"/>
      <c r="AD176" s="58"/>
      <c r="AE176" s="58"/>
    </row>
    <row r="177">
      <c r="E177" s="58"/>
      <c r="F177" s="58"/>
      <c r="G177" s="59"/>
      <c r="H177" s="58"/>
      <c r="J177" s="58"/>
      <c r="K177" s="1"/>
      <c r="M177" s="58"/>
      <c r="N177" s="58"/>
      <c r="Y177" s="58"/>
      <c r="Z177" s="58"/>
      <c r="AB177" s="58"/>
      <c r="AC177" s="58"/>
      <c r="AD177" s="58"/>
      <c r="AE177" s="58"/>
    </row>
    <row r="178">
      <c r="E178" s="58"/>
      <c r="F178" s="58"/>
      <c r="G178" s="59"/>
      <c r="H178" s="58"/>
      <c r="J178" s="58"/>
      <c r="K178" s="1"/>
      <c r="M178" s="58"/>
      <c r="N178" s="58"/>
      <c r="Y178" s="58"/>
      <c r="Z178" s="58"/>
      <c r="AB178" s="58"/>
      <c r="AC178" s="58"/>
      <c r="AD178" s="58"/>
      <c r="AE178" s="58"/>
    </row>
    <row r="179">
      <c r="E179" s="58"/>
      <c r="F179" s="58"/>
      <c r="G179" s="59"/>
      <c r="H179" s="58"/>
      <c r="J179" s="58"/>
      <c r="K179" s="1"/>
      <c r="M179" s="58"/>
      <c r="N179" s="58"/>
      <c r="Y179" s="58"/>
      <c r="Z179" s="58"/>
      <c r="AB179" s="58"/>
      <c r="AC179" s="58"/>
      <c r="AD179" s="58"/>
      <c r="AE179" s="58"/>
    </row>
    <row r="180">
      <c r="E180" s="58"/>
      <c r="F180" s="58"/>
      <c r="G180" s="59"/>
      <c r="H180" s="58"/>
      <c r="J180" s="58"/>
      <c r="K180" s="1"/>
      <c r="M180" s="58"/>
      <c r="N180" s="58"/>
      <c r="Y180" s="58"/>
      <c r="Z180" s="58"/>
      <c r="AB180" s="58"/>
      <c r="AC180" s="58"/>
      <c r="AD180" s="58"/>
      <c r="AE180" s="58"/>
    </row>
    <row r="181">
      <c r="E181" s="58"/>
      <c r="F181" s="58"/>
      <c r="G181" s="59"/>
      <c r="H181" s="58"/>
      <c r="J181" s="58"/>
      <c r="K181" s="1"/>
      <c r="M181" s="58"/>
      <c r="N181" s="58"/>
      <c r="Y181" s="58"/>
      <c r="Z181" s="58"/>
      <c r="AB181" s="58"/>
      <c r="AC181" s="58"/>
      <c r="AD181" s="58"/>
      <c r="AE181" s="58"/>
    </row>
    <row r="182">
      <c r="E182" s="58"/>
      <c r="F182" s="58"/>
      <c r="G182" s="59"/>
      <c r="H182" s="58"/>
      <c r="J182" s="58"/>
      <c r="K182" s="1"/>
      <c r="M182" s="58"/>
      <c r="N182" s="58"/>
      <c r="Y182" s="58"/>
      <c r="Z182" s="58"/>
      <c r="AB182" s="58"/>
      <c r="AC182" s="58"/>
      <c r="AD182" s="58"/>
      <c r="AE182" s="58"/>
    </row>
    <row r="183">
      <c r="E183" s="58"/>
      <c r="F183" s="58"/>
      <c r="G183" s="59"/>
      <c r="H183" s="58"/>
      <c r="J183" s="58"/>
      <c r="K183" s="1"/>
      <c r="M183" s="58"/>
      <c r="N183" s="58"/>
      <c r="Y183" s="58"/>
      <c r="Z183" s="58"/>
      <c r="AB183" s="58"/>
      <c r="AC183" s="58"/>
      <c r="AD183" s="58"/>
      <c r="AE183" s="58"/>
    </row>
    <row r="184">
      <c r="E184" s="58"/>
      <c r="F184" s="58"/>
      <c r="G184" s="59"/>
      <c r="H184" s="58"/>
      <c r="J184" s="58"/>
      <c r="K184" s="1"/>
      <c r="M184" s="58"/>
      <c r="N184" s="58"/>
      <c r="Y184" s="58"/>
      <c r="Z184" s="58"/>
      <c r="AB184" s="58"/>
      <c r="AC184" s="58"/>
      <c r="AD184" s="58"/>
      <c r="AE184" s="58"/>
    </row>
    <row r="185">
      <c r="E185" s="58"/>
      <c r="F185" s="58"/>
      <c r="G185" s="59"/>
      <c r="H185" s="58"/>
      <c r="J185" s="58"/>
      <c r="K185" s="1"/>
      <c r="M185" s="58"/>
      <c r="N185" s="58"/>
      <c r="Y185" s="58"/>
      <c r="Z185" s="58"/>
      <c r="AB185" s="58"/>
      <c r="AC185" s="58"/>
      <c r="AD185" s="58"/>
      <c r="AE185" s="58"/>
    </row>
    <row r="186">
      <c r="E186" s="58"/>
      <c r="F186" s="58"/>
      <c r="G186" s="59"/>
      <c r="H186" s="58"/>
      <c r="J186" s="58"/>
      <c r="K186" s="1"/>
      <c r="M186" s="58"/>
      <c r="N186" s="58"/>
      <c r="Y186" s="58"/>
      <c r="Z186" s="58"/>
      <c r="AB186" s="58"/>
      <c r="AC186" s="58"/>
      <c r="AD186" s="58"/>
      <c r="AE186" s="58"/>
    </row>
    <row r="187">
      <c r="E187" s="58"/>
      <c r="F187" s="58"/>
      <c r="G187" s="59"/>
      <c r="H187" s="58"/>
      <c r="J187" s="58"/>
      <c r="K187" s="1"/>
      <c r="M187" s="58"/>
      <c r="N187" s="58"/>
      <c r="Y187" s="58"/>
      <c r="Z187" s="58"/>
      <c r="AB187" s="58"/>
      <c r="AC187" s="58"/>
      <c r="AD187" s="58"/>
      <c r="AE187" s="58"/>
    </row>
    <row r="188">
      <c r="E188" s="58"/>
      <c r="F188" s="58"/>
      <c r="G188" s="59"/>
      <c r="H188" s="58"/>
      <c r="J188" s="58"/>
      <c r="K188" s="1"/>
      <c r="M188" s="58"/>
      <c r="N188" s="58"/>
      <c r="Y188" s="58"/>
      <c r="Z188" s="58"/>
      <c r="AB188" s="58"/>
      <c r="AC188" s="58"/>
      <c r="AD188" s="58"/>
      <c r="AE188" s="58"/>
    </row>
    <row r="189">
      <c r="E189" s="58"/>
      <c r="F189" s="58"/>
      <c r="G189" s="59"/>
      <c r="H189" s="58"/>
      <c r="J189" s="58"/>
      <c r="K189" s="1"/>
      <c r="M189" s="58"/>
      <c r="N189" s="58"/>
      <c r="Y189" s="58"/>
      <c r="Z189" s="58"/>
      <c r="AB189" s="58"/>
      <c r="AC189" s="58"/>
      <c r="AD189" s="58"/>
      <c r="AE189" s="58"/>
    </row>
    <row r="190">
      <c r="E190" s="58"/>
      <c r="F190" s="58"/>
      <c r="G190" s="59"/>
      <c r="H190" s="58"/>
      <c r="J190" s="58"/>
      <c r="K190" s="1"/>
      <c r="M190" s="58"/>
      <c r="N190" s="58"/>
      <c r="Y190" s="58"/>
      <c r="Z190" s="58"/>
      <c r="AB190" s="58"/>
      <c r="AC190" s="58"/>
      <c r="AD190" s="58"/>
      <c r="AE190" s="58"/>
    </row>
    <row r="191">
      <c r="E191" s="58"/>
      <c r="F191" s="58"/>
      <c r="G191" s="59"/>
      <c r="H191" s="58"/>
      <c r="J191" s="58"/>
      <c r="K191" s="1"/>
      <c r="M191" s="58"/>
      <c r="N191" s="58"/>
      <c r="Y191" s="58"/>
      <c r="Z191" s="58"/>
      <c r="AB191" s="58"/>
      <c r="AC191" s="58"/>
      <c r="AD191" s="58"/>
      <c r="AE191" s="58"/>
    </row>
    <row r="192">
      <c r="E192" s="58"/>
      <c r="F192" s="58"/>
      <c r="G192" s="59"/>
      <c r="H192" s="58"/>
      <c r="J192" s="58"/>
      <c r="K192" s="1"/>
      <c r="M192" s="58"/>
      <c r="N192" s="58"/>
      <c r="Y192" s="58"/>
      <c r="Z192" s="58"/>
      <c r="AB192" s="58"/>
      <c r="AC192" s="58"/>
      <c r="AD192" s="58"/>
      <c r="AE192" s="58"/>
    </row>
    <row r="193">
      <c r="E193" s="58"/>
      <c r="F193" s="58"/>
      <c r="G193" s="59"/>
      <c r="H193" s="58"/>
      <c r="J193" s="58"/>
      <c r="K193" s="1"/>
      <c r="M193" s="58"/>
      <c r="N193" s="58"/>
      <c r="Y193" s="58"/>
      <c r="Z193" s="58"/>
      <c r="AB193" s="58"/>
      <c r="AC193" s="58"/>
      <c r="AD193" s="58"/>
      <c r="AE193" s="58"/>
    </row>
    <row r="194">
      <c r="E194" s="58"/>
      <c r="F194" s="58"/>
      <c r="G194" s="59"/>
      <c r="H194" s="58"/>
      <c r="J194" s="58"/>
      <c r="K194" s="1"/>
      <c r="M194" s="58"/>
      <c r="N194" s="58"/>
      <c r="Y194" s="58"/>
      <c r="Z194" s="58"/>
      <c r="AB194" s="58"/>
      <c r="AC194" s="58"/>
      <c r="AD194" s="58"/>
      <c r="AE194" s="58"/>
    </row>
    <row r="195">
      <c r="E195" s="58"/>
      <c r="F195" s="58"/>
      <c r="G195" s="59"/>
      <c r="H195" s="58"/>
      <c r="J195" s="58"/>
      <c r="K195" s="1"/>
      <c r="M195" s="58"/>
      <c r="N195" s="58"/>
      <c r="Y195" s="58"/>
      <c r="Z195" s="58"/>
      <c r="AB195" s="58"/>
      <c r="AC195" s="58"/>
      <c r="AD195" s="58"/>
      <c r="AE195" s="58"/>
    </row>
    <row r="196">
      <c r="E196" s="58"/>
      <c r="F196" s="58"/>
      <c r="G196" s="59"/>
      <c r="H196" s="58"/>
      <c r="J196" s="58"/>
      <c r="K196" s="1"/>
      <c r="M196" s="58"/>
      <c r="N196" s="58"/>
      <c r="Y196" s="58"/>
      <c r="Z196" s="58"/>
      <c r="AB196" s="58"/>
      <c r="AC196" s="58"/>
      <c r="AD196" s="58"/>
      <c r="AE196" s="58"/>
    </row>
    <row r="197">
      <c r="E197" s="58"/>
      <c r="F197" s="58"/>
      <c r="G197" s="59"/>
      <c r="H197" s="58"/>
      <c r="J197" s="58"/>
      <c r="K197" s="1"/>
      <c r="M197" s="58"/>
      <c r="N197" s="58"/>
      <c r="Y197" s="58"/>
      <c r="Z197" s="58"/>
      <c r="AB197" s="58"/>
      <c r="AC197" s="58"/>
      <c r="AD197" s="58"/>
      <c r="AE197" s="58"/>
    </row>
    <row r="198">
      <c r="E198" s="58"/>
      <c r="F198" s="58"/>
      <c r="G198" s="59"/>
      <c r="H198" s="58"/>
      <c r="J198" s="58"/>
      <c r="K198" s="1"/>
      <c r="M198" s="58"/>
      <c r="N198" s="58"/>
      <c r="Y198" s="58"/>
      <c r="Z198" s="58"/>
      <c r="AB198" s="58"/>
      <c r="AC198" s="58"/>
      <c r="AD198" s="58"/>
      <c r="AE198" s="58"/>
    </row>
    <row r="199">
      <c r="E199" s="58"/>
      <c r="F199" s="58"/>
      <c r="G199" s="59"/>
      <c r="H199" s="58"/>
      <c r="J199" s="58"/>
      <c r="K199" s="1"/>
      <c r="M199" s="58"/>
      <c r="N199" s="58"/>
      <c r="Y199" s="58"/>
      <c r="Z199" s="58"/>
      <c r="AB199" s="58"/>
      <c r="AC199" s="58"/>
      <c r="AD199" s="58"/>
      <c r="AE199" s="58"/>
    </row>
    <row r="200">
      <c r="E200" s="58"/>
      <c r="F200" s="58"/>
      <c r="G200" s="59"/>
      <c r="H200" s="58"/>
      <c r="J200" s="58"/>
      <c r="K200" s="1"/>
      <c r="M200" s="58"/>
      <c r="N200" s="58"/>
      <c r="Y200" s="58"/>
      <c r="Z200" s="58"/>
      <c r="AB200" s="58"/>
      <c r="AC200" s="58"/>
      <c r="AD200" s="58"/>
      <c r="AE200" s="58"/>
    </row>
    <row r="201">
      <c r="E201" s="58"/>
      <c r="F201" s="58"/>
      <c r="G201" s="59"/>
      <c r="H201" s="58"/>
      <c r="J201" s="58"/>
      <c r="K201" s="1"/>
      <c r="M201" s="58"/>
      <c r="N201" s="58"/>
      <c r="Y201" s="58"/>
      <c r="Z201" s="58"/>
      <c r="AB201" s="58"/>
      <c r="AC201" s="58"/>
      <c r="AD201" s="58"/>
      <c r="AE201" s="58"/>
    </row>
    <row r="202">
      <c r="E202" s="58"/>
      <c r="F202" s="58"/>
      <c r="G202" s="59"/>
      <c r="H202" s="58"/>
      <c r="J202" s="58"/>
      <c r="K202" s="1"/>
      <c r="M202" s="58"/>
      <c r="N202" s="58"/>
      <c r="Y202" s="58"/>
      <c r="Z202" s="58"/>
      <c r="AB202" s="58"/>
      <c r="AC202" s="58"/>
      <c r="AD202" s="58"/>
      <c r="AE202" s="58"/>
    </row>
    <row r="203">
      <c r="E203" s="58"/>
      <c r="F203" s="58"/>
      <c r="G203" s="59"/>
      <c r="H203" s="58"/>
      <c r="J203" s="58"/>
      <c r="K203" s="1"/>
      <c r="M203" s="58"/>
      <c r="N203" s="58"/>
      <c r="Y203" s="58"/>
      <c r="Z203" s="58"/>
      <c r="AB203" s="58"/>
      <c r="AC203" s="58"/>
      <c r="AD203" s="58"/>
      <c r="AE203" s="58"/>
    </row>
    <row r="204">
      <c r="E204" s="58"/>
      <c r="F204" s="58"/>
      <c r="G204" s="59"/>
      <c r="H204" s="58"/>
      <c r="J204" s="58"/>
      <c r="K204" s="1"/>
      <c r="M204" s="58"/>
      <c r="N204" s="58"/>
      <c r="Y204" s="58"/>
      <c r="Z204" s="58"/>
      <c r="AB204" s="58"/>
      <c r="AC204" s="58"/>
      <c r="AD204" s="58"/>
      <c r="AE204" s="58"/>
    </row>
    <row r="205">
      <c r="E205" s="58"/>
      <c r="F205" s="58"/>
      <c r="G205" s="59"/>
      <c r="H205" s="58"/>
      <c r="J205" s="58"/>
      <c r="K205" s="1"/>
      <c r="M205" s="58"/>
      <c r="N205" s="58"/>
      <c r="Y205" s="58"/>
      <c r="Z205" s="58"/>
      <c r="AB205" s="58"/>
      <c r="AC205" s="58"/>
      <c r="AD205" s="58"/>
      <c r="AE205" s="58"/>
    </row>
    <row r="206">
      <c r="E206" s="58"/>
      <c r="F206" s="58"/>
      <c r="G206" s="59"/>
      <c r="H206" s="58"/>
      <c r="J206" s="58"/>
      <c r="K206" s="1"/>
      <c r="M206" s="58"/>
      <c r="N206" s="58"/>
      <c r="Y206" s="58"/>
      <c r="Z206" s="58"/>
      <c r="AB206" s="58"/>
      <c r="AC206" s="58"/>
      <c r="AD206" s="58"/>
      <c r="AE206" s="58"/>
    </row>
    <row r="207">
      <c r="E207" s="58"/>
      <c r="F207" s="58"/>
      <c r="G207" s="59"/>
      <c r="H207" s="58"/>
      <c r="J207" s="58"/>
      <c r="K207" s="1"/>
      <c r="M207" s="58"/>
      <c r="N207" s="58"/>
      <c r="Y207" s="58"/>
      <c r="Z207" s="58"/>
      <c r="AB207" s="58"/>
      <c r="AC207" s="58"/>
      <c r="AD207" s="58"/>
      <c r="AE207" s="58"/>
    </row>
    <row r="208">
      <c r="E208" s="58"/>
      <c r="F208" s="58"/>
      <c r="G208" s="59"/>
      <c r="H208" s="58"/>
      <c r="J208" s="58"/>
      <c r="K208" s="1"/>
      <c r="M208" s="58"/>
      <c r="N208" s="58"/>
      <c r="Y208" s="58"/>
      <c r="Z208" s="58"/>
      <c r="AB208" s="58"/>
      <c r="AC208" s="58"/>
      <c r="AD208" s="58"/>
      <c r="AE208" s="58"/>
    </row>
    <row r="209">
      <c r="E209" s="58"/>
      <c r="F209" s="58"/>
      <c r="G209" s="59"/>
      <c r="H209" s="58"/>
      <c r="J209" s="58"/>
      <c r="K209" s="1"/>
      <c r="M209" s="58"/>
      <c r="N209" s="58"/>
      <c r="Y209" s="58"/>
      <c r="Z209" s="58"/>
      <c r="AB209" s="58"/>
      <c r="AC209" s="58"/>
      <c r="AD209" s="58"/>
      <c r="AE209" s="58"/>
    </row>
    <row r="210">
      <c r="E210" s="58"/>
      <c r="F210" s="58"/>
      <c r="G210" s="59"/>
      <c r="H210" s="58"/>
      <c r="J210" s="58"/>
      <c r="K210" s="1"/>
      <c r="M210" s="58"/>
      <c r="N210" s="58"/>
      <c r="Y210" s="58"/>
      <c r="Z210" s="58"/>
      <c r="AB210" s="58"/>
      <c r="AC210" s="58"/>
      <c r="AD210" s="58"/>
      <c r="AE210" s="58"/>
    </row>
    <row r="211">
      <c r="E211" s="58"/>
      <c r="F211" s="58"/>
      <c r="G211" s="59"/>
      <c r="H211" s="58"/>
      <c r="J211" s="58"/>
      <c r="K211" s="1"/>
      <c r="M211" s="58"/>
      <c r="N211" s="58"/>
      <c r="Y211" s="58"/>
      <c r="Z211" s="58"/>
      <c r="AB211" s="58"/>
      <c r="AC211" s="58"/>
      <c r="AD211" s="58"/>
      <c r="AE211" s="58"/>
    </row>
    <row r="212">
      <c r="E212" s="58"/>
      <c r="F212" s="58"/>
      <c r="G212" s="59"/>
      <c r="H212" s="58"/>
      <c r="J212" s="58"/>
      <c r="K212" s="1"/>
      <c r="M212" s="58"/>
      <c r="N212" s="58"/>
      <c r="Y212" s="58"/>
      <c r="Z212" s="58"/>
      <c r="AB212" s="58"/>
      <c r="AC212" s="58"/>
      <c r="AD212" s="58"/>
      <c r="AE212" s="58"/>
    </row>
    <row r="213">
      <c r="E213" s="58"/>
      <c r="F213" s="58"/>
      <c r="G213" s="59"/>
      <c r="H213" s="58"/>
      <c r="J213" s="58"/>
      <c r="K213" s="1"/>
      <c r="M213" s="58"/>
      <c r="N213" s="58"/>
      <c r="Y213" s="58"/>
      <c r="Z213" s="58"/>
      <c r="AB213" s="58"/>
      <c r="AC213" s="58"/>
      <c r="AD213" s="58"/>
      <c r="AE213" s="58"/>
    </row>
    <row r="214">
      <c r="E214" s="58"/>
      <c r="F214" s="58"/>
      <c r="G214" s="59"/>
      <c r="H214" s="58"/>
      <c r="J214" s="58"/>
      <c r="K214" s="1"/>
      <c r="M214" s="58"/>
      <c r="N214" s="58"/>
      <c r="Y214" s="58"/>
      <c r="Z214" s="58"/>
      <c r="AB214" s="58"/>
      <c r="AC214" s="58"/>
      <c r="AD214" s="58"/>
      <c r="AE214" s="58"/>
    </row>
    <row r="215">
      <c r="E215" s="58"/>
      <c r="F215" s="58"/>
      <c r="G215" s="59"/>
      <c r="H215" s="58"/>
      <c r="J215" s="58"/>
      <c r="K215" s="1"/>
      <c r="M215" s="58"/>
      <c r="N215" s="58"/>
      <c r="Y215" s="58"/>
      <c r="Z215" s="58"/>
      <c r="AB215" s="58"/>
      <c r="AC215" s="58"/>
      <c r="AD215" s="58"/>
      <c r="AE215" s="58"/>
    </row>
    <row r="216">
      <c r="E216" s="58"/>
      <c r="F216" s="58"/>
      <c r="G216" s="59"/>
      <c r="H216" s="58"/>
      <c r="J216" s="58"/>
      <c r="K216" s="1"/>
      <c r="M216" s="58"/>
      <c r="N216" s="58"/>
      <c r="Y216" s="58"/>
      <c r="Z216" s="58"/>
      <c r="AB216" s="58"/>
      <c r="AC216" s="58"/>
      <c r="AD216" s="58"/>
      <c r="AE216" s="58"/>
    </row>
    <row r="217">
      <c r="E217" s="58"/>
      <c r="F217" s="58"/>
      <c r="G217" s="59"/>
      <c r="H217" s="58"/>
      <c r="J217" s="58"/>
      <c r="K217" s="1"/>
      <c r="M217" s="58"/>
      <c r="N217" s="58"/>
      <c r="Y217" s="58"/>
      <c r="Z217" s="58"/>
      <c r="AB217" s="58"/>
      <c r="AC217" s="58"/>
      <c r="AD217" s="58"/>
      <c r="AE217" s="58"/>
    </row>
    <row r="218">
      <c r="E218" s="58"/>
      <c r="F218" s="58"/>
      <c r="G218" s="59"/>
      <c r="H218" s="58"/>
      <c r="J218" s="58"/>
      <c r="K218" s="1"/>
      <c r="M218" s="58"/>
      <c r="N218" s="58"/>
      <c r="Y218" s="58"/>
      <c r="Z218" s="58"/>
      <c r="AB218" s="58"/>
      <c r="AC218" s="58"/>
      <c r="AD218" s="58"/>
      <c r="AE218" s="58"/>
    </row>
    <row r="219">
      <c r="E219" s="58"/>
      <c r="F219" s="58"/>
      <c r="G219" s="59"/>
      <c r="H219" s="58"/>
      <c r="J219" s="58"/>
      <c r="K219" s="1"/>
      <c r="M219" s="58"/>
      <c r="N219" s="58"/>
      <c r="Y219" s="58"/>
      <c r="Z219" s="58"/>
      <c r="AB219" s="58"/>
      <c r="AC219" s="58"/>
      <c r="AD219" s="58"/>
      <c r="AE219" s="58"/>
    </row>
    <row r="220">
      <c r="E220" s="58"/>
      <c r="F220" s="58"/>
      <c r="G220" s="59"/>
      <c r="H220" s="58"/>
      <c r="J220" s="58"/>
      <c r="K220" s="1"/>
      <c r="M220" s="58"/>
      <c r="N220" s="58"/>
      <c r="Y220" s="58"/>
      <c r="Z220" s="58"/>
      <c r="AB220" s="58"/>
      <c r="AC220" s="58"/>
      <c r="AD220" s="58"/>
      <c r="AE220" s="58"/>
    </row>
    <row r="221">
      <c r="E221" s="58"/>
      <c r="F221" s="58"/>
      <c r="G221" s="59"/>
      <c r="H221" s="58"/>
      <c r="J221" s="58"/>
      <c r="K221" s="1"/>
      <c r="M221" s="58"/>
      <c r="N221" s="58"/>
      <c r="Y221" s="58"/>
      <c r="Z221" s="58"/>
      <c r="AB221" s="58"/>
      <c r="AC221" s="58"/>
      <c r="AD221" s="58"/>
      <c r="AE221" s="58"/>
    </row>
    <row r="222">
      <c r="E222" s="58"/>
      <c r="F222" s="58"/>
      <c r="G222" s="59"/>
      <c r="H222" s="58"/>
      <c r="J222" s="58"/>
      <c r="K222" s="1"/>
      <c r="M222" s="58"/>
      <c r="N222" s="58"/>
      <c r="Y222" s="58"/>
      <c r="Z222" s="58"/>
      <c r="AB222" s="58"/>
      <c r="AC222" s="58"/>
      <c r="AD222" s="58"/>
      <c r="AE222" s="58"/>
    </row>
    <row r="223">
      <c r="E223" s="58"/>
      <c r="F223" s="58"/>
      <c r="G223" s="59"/>
      <c r="H223" s="58"/>
      <c r="J223" s="58"/>
      <c r="K223" s="1"/>
      <c r="M223" s="58"/>
      <c r="N223" s="58"/>
      <c r="Y223" s="58"/>
      <c r="Z223" s="58"/>
      <c r="AB223" s="58"/>
      <c r="AC223" s="58"/>
      <c r="AD223" s="58"/>
      <c r="AE223" s="58"/>
    </row>
    <row r="224">
      <c r="E224" s="58"/>
      <c r="F224" s="58"/>
      <c r="G224" s="59"/>
      <c r="H224" s="58"/>
      <c r="J224" s="58"/>
      <c r="K224" s="1"/>
      <c r="M224" s="58"/>
      <c r="N224" s="58"/>
      <c r="Y224" s="58"/>
      <c r="Z224" s="58"/>
      <c r="AB224" s="58"/>
      <c r="AC224" s="58"/>
      <c r="AD224" s="58"/>
      <c r="AE224" s="58"/>
    </row>
    <row r="225">
      <c r="E225" s="58"/>
      <c r="F225" s="58"/>
      <c r="G225" s="59"/>
      <c r="H225" s="58"/>
      <c r="J225" s="58"/>
      <c r="K225" s="1"/>
      <c r="M225" s="58"/>
      <c r="N225" s="58"/>
      <c r="Y225" s="58"/>
      <c r="Z225" s="58"/>
      <c r="AB225" s="58"/>
      <c r="AC225" s="58"/>
      <c r="AD225" s="58"/>
      <c r="AE225" s="58"/>
    </row>
    <row r="226">
      <c r="E226" s="58"/>
      <c r="F226" s="58"/>
      <c r="G226" s="59"/>
      <c r="H226" s="58"/>
      <c r="J226" s="58"/>
      <c r="K226" s="1"/>
      <c r="M226" s="58"/>
      <c r="N226" s="58"/>
      <c r="Y226" s="58"/>
      <c r="Z226" s="58"/>
      <c r="AB226" s="58"/>
      <c r="AC226" s="58"/>
      <c r="AD226" s="58"/>
      <c r="AE226" s="58"/>
    </row>
    <row r="227">
      <c r="E227" s="58"/>
      <c r="F227" s="58"/>
      <c r="G227" s="59"/>
      <c r="H227" s="58"/>
      <c r="J227" s="58"/>
      <c r="K227" s="1"/>
      <c r="M227" s="58"/>
      <c r="N227" s="58"/>
      <c r="Y227" s="58"/>
      <c r="Z227" s="58"/>
      <c r="AB227" s="58"/>
      <c r="AC227" s="58"/>
      <c r="AD227" s="58"/>
      <c r="AE227" s="58"/>
    </row>
    <row r="228">
      <c r="E228" s="58"/>
      <c r="F228" s="58"/>
      <c r="G228" s="59"/>
      <c r="H228" s="58"/>
      <c r="J228" s="58"/>
      <c r="K228" s="1"/>
      <c r="M228" s="58"/>
      <c r="N228" s="58"/>
      <c r="Y228" s="58"/>
      <c r="Z228" s="58"/>
      <c r="AB228" s="58"/>
      <c r="AC228" s="58"/>
      <c r="AD228" s="58"/>
      <c r="AE228" s="58"/>
    </row>
    <row r="229">
      <c r="E229" s="58"/>
      <c r="F229" s="58"/>
      <c r="G229" s="59"/>
      <c r="H229" s="58"/>
      <c r="J229" s="58"/>
      <c r="K229" s="1"/>
      <c r="M229" s="58"/>
      <c r="N229" s="58"/>
      <c r="Y229" s="58"/>
      <c r="Z229" s="58"/>
      <c r="AB229" s="58"/>
      <c r="AC229" s="58"/>
      <c r="AD229" s="58"/>
      <c r="AE229" s="58"/>
    </row>
    <row r="230">
      <c r="E230" s="58"/>
      <c r="F230" s="58"/>
      <c r="G230" s="59"/>
      <c r="H230" s="58"/>
      <c r="J230" s="58"/>
      <c r="K230" s="1"/>
      <c r="M230" s="58"/>
      <c r="N230" s="58"/>
      <c r="Y230" s="58"/>
      <c r="Z230" s="58"/>
      <c r="AB230" s="58"/>
      <c r="AC230" s="58"/>
      <c r="AD230" s="58"/>
      <c r="AE230" s="58"/>
    </row>
    <row r="231">
      <c r="E231" s="58"/>
      <c r="F231" s="58"/>
      <c r="G231" s="59"/>
      <c r="H231" s="58"/>
      <c r="J231" s="58"/>
      <c r="K231" s="1"/>
      <c r="M231" s="58"/>
      <c r="N231" s="58"/>
      <c r="Y231" s="58"/>
      <c r="Z231" s="58"/>
      <c r="AB231" s="58"/>
      <c r="AC231" s="58"/>
      <c r="AD231" s="58"/>
      <c r="AE231" s="58"/>
    </row>
    <row r="232">
      <c r="E232" s="58"/>
      <c r="F232" s="58"/>
      <c r="G232" s="59"/>
      <c r="H232" s="58"/>
      <c r="J232" s="58"/>
      <c r="K232" s="1"/>
      <c r="M232" s="58"/>
      <c r="N232" s="58"/>
      <c r="Y232" s="58"/>
      <c r="Z232" s="58"/>
      <c r="AB232" s="58"/>
      <c r="AC232" s="58"/>
      <c r="AD232" s="58"/>
      <c r="AE232" s="58"/>
    </row>
    <row r="233">
      <c r="E233" s="58"/>
      <c r="F233" s="58"/>
      <c r="G233" s="59"/>
      <c r="H233" s="58"/>
      <c r="J233" s="58"/>
      <c r="K233" s="1"/>
      <c r="M233" s="58"/>
      <c r="N233" s="58"/>
      <c r="Y233" s="58"/>
      <c r="Z233" s="58"/>
      <c r="AB233" s="58"/>
      <c r="AC233" s="58"/>
      <c r="AD233" s="58"/>
      <c r="AE233" s="58"/>
    </row>
    <row r="234">
      <c r="E234" s="58"/>
      <c r="F234" s="58"/>
      <c r="G234" s="59"/>
      <c r="H234" s="58"/>
      <c r="J234" s="58"/>
      <c r="K234" s="1"/>
      <c r="M234" s="58"/>
      <c r="N234" s="58"/>
      <c r="Y234" s="58"/>
      <c r="Z234" s="58"/>
      <c r="AB234" s="58"/>
      <c r="AC234" s="58"/>
      <c r="AD234" s="58"/>
      <c r="AE234" s="58"/>
    </row>
    <row r="235">
      <c r="E235" s="58"/>
      <c r="F235" s="58"/>
      <c r="G235" s="59"/>
      <c r="H235" s="58"/>
      <c r="J235" s="58"/>
      <c r="K235" s="1"/>
      <c r="M235" s="58"/>
      <c r="N235" s="58"/>
      <c r="Y235" s="58"/>
      <c r="Z235" s="58"/>
      <c r="AB235" s="58"/>
      <c r="AC235" s="58"/>
      <c r="AD235" s="58"/>
      <c r="AE235" s="58"/>
    </row>
    <row r="236">
      <c r="E236" s="58"/>
      <c r="F236" s="58"/>
      <c r="G236" s="59"/>
      <c r="H236" s="58"/>
      <c r="J236" s="58"/>
      <c r="K236" s="1"/>
      <c r="M236" s="58"/>
      <c r="N236" s="58"/>
      <c r="Y236" s="58"/>
      <c r="Z236" s="58"/>
      <c r="AB236" s="58"/>
      <c r="AC236" s="58"/>
      <c r="AD236" s="58"/>
      <c r="AE236" s="58"/>
    </row>
    <row r="237">
      <c r="E237" s="58"/>
      <c r="F237" s="58"/>
      <c r="G237" s="59"/>
      <c r="H237" s="58"/>
      <c r="J237" s="58"/>
      <c r="K237" s="1"/>
      <c r="M237" s="58"/>
      <c r="N237" s="58"/>
      <c r="Y237" s="58"/>
      <c r="Z237" s="58"/>
      <c r="AB237" s="58"/>
      <c r="AC237" s="58"/>
      <c r="AD237" s="58"/>
      <c r="AE237" s="58"/>
    </row>
    <row r="238">
      <c r="E238" s="58"/>
      <c r="F238" s="58"/>
      <c r="G238" s="59"/>
      <c r="H238" s="58"/>
      <c r="J238" s="58"/>
      <c r="K238" s="1"/>
      <c r="M238" s="58"/>
      <c r="N238" s="58"/>
      <c r="Y238" s="58"/>
      <c r="Z238" s="58"/>
      <c r="AB238" s="58"/>
      <c r="AC238" s="58"/>
      <c r="AD238" s="58"/>
      <c r="AE238" s="58"/>
    </row>
    <row r="239">
      <c r="E239" s="58"/>
      <c r="F239" s="58"/>
      <c r="G239" s="59"/>
      <c r="H239" s="58"/>
      <c r="J239" s="58"/>
      <c r="K239" s="1"/>
      <c r="M239" s="58"/>
      <c r="N239" s="58"/>
      <c r="Y239" s="58"/>
      <c r="Z239" s="58"/>
      <c r="AB239" s="58"/>
      <c r="AC239" s="58"/>
      <c r="AD239" s="58"/>
      <c r="AE239" s="58"/>
    </row>
    <row r="240">
      <c r="E240" s="58"/>
      <c r="F240" s="58"/>
      <c r="G240" s="59"/>
      <c r="H240" s="58"/>
      <c r="J240" s="58"/>
      <c r="K240" s="1"/>
      <c r="M240" s="58"/>
      <c r="N240" s="58"/>
      <c r="Y240" s="58"/>
      <c r="Z240" s="58"/>
      <c r="AB240" s="58"/>
      <c r="AC240" s="58"/>
      <c r="AD240" s="58"/>
      <c r="AE240" s="58"/>
    </row>
    <row r="241">
      <c r="E241" s="58"/>
      <c r="F241" s="58"/>
      <c r="G241" s="59"/>
      <c r="H241" s="58"/>
      <c r="J241" s="58"/>
      <c r="K241" s="1"/>
      <c r="M241" s="58"/>
      <c r="N241" s="58"/>
      <c r="Y241" s="58"/>
      <c r="Z241" s="58"/>
      <c r="AB241" s="58"/>
      <c r="AC241" s="58"/>
      <c r="AD241" s="58"/>
      <c r="AE241" s="58"/>
    </row>
    <row r="242">
      <c r="E242" s="58"/>
      <c r="F242" s="58"/>
      <c r="G242" s="59"/>
      <c r="H242" s="58"/>
      <c r="J242" s="58"/>
      <c r="K242" s="1"/>
      <c r="M242" s="58"/>
      <c r="N242" s="58"/>
      <c r="Y242" s="58"/>
      <c r="Z242" s="58"/>
      <c r="AB242" s="58"/>
      <c r="AC242" s="58"/>
      <c r="AD242" s="58"/>
      <c r="AE242" s="58"/>
    </row>
    <row r="243">
      <c r="E243" s="58"/>
      <c r="F243" s="58"/>
      <c r="G243" s="59"/>
      <c r="H243" s="58"/>
      <c r="J243" s="58"/>
      <c r="K243" s="1"/>
      <c r="M243" s="58"/>
      <c r="N243" s="58"/>
      <c r="Y243" s="58"/>
      <c r="Z243" s="58"/>
      <c r="AB243" s="58"/>
      <c r="AC243" s="58"/>
      <c r="AD243" s="58"/>
      <c r="AE243" s="58"/>
    </row>
    <row r="244">
      <c r="E244" s="58"/>
      <c r="F244" s="58"/>
      <c r="G244" s="59"/>
      <c r="H244" s="58"/>
      <c r="J244" s="58"/>
      <c r="K244" s="1"/>
      <c r="M244" s="58"/>
      <c r="N244" s="58"/>
      <c r="Y244" s="58"/>
      <c r="Z244" s="58"/>
      <c r="AB244" s="58"/>
      <c r="AC244" s="58"/>
      <c r="AD244" s="58"/>
      <c r="AE244" s="58"/>
    </row>
    <row r="245">
      <c r="E245" s="58"/>
      <c r="F245" s="58"/>
      <c r="G245" s="59"/>
      <c r="H245" s="58"/>
      <c r="J245" s="58"/>
      <c r="K245" s="1"/>
      <c r="M245" s="58"/>
      <c r="N245" s="58"/>
      <c r="Y245" s="58"/>
      <c r="Z245" s="58"/>
      <c r="AB245" s="58"/>
      <c r="AC245" s="58"/>
      <c r="AD245" s="58"/>
      <c r="AE245" s="58"/>
    </row>
    <row r="246">
      <c r="E246" s="58"/>
      <c r="F246" s="58"/>
      <c r="G246" s="59"/>
      <c r="H246" s="58"/>
      <c r="J246" s="58"/>
      <c r="K246" s="1"/>
      <c r="M246" s="58"/>
      <c r="N246" s="58"/>
      <c r="Y246" s="58"/>
      <c r="Z246" s="58"/>
      <c r="AB246" s="58"/>
      <c r="AC246" s="58"/>
      <c r="AD246" s="58"/>
      <c r="AE246" s="58"/>
    </row>
    <row r="247">
      <c r="E247" s="58"/>
      <c r="F247" s="58"/>
      <c r="G247" s="59"/>
      <c r="H247" s="58"/>
      <c r="J247" s="58"/>
      <c r="K247" s="1"/>
      <c r="M247" s="58"/>
      <c r="N247" s="58"/>
      <c r="Y247" s="58"/>
      <c r="Z247" s="58"/>
      <c r="AB247" s="58"/>
      <c r="AC247" s="58"/>
      <c r="AD247" s="58"/>
      <c r="AE247" s="58"/>
    </row>
    <row r="248">
      <c r="E248" s="58"/>
      <c r="F248" s="58"/>
      <c r="G248" s="59"/>
      <c r="H248" s="58"/>
      <c r="J248" s="58"/>
      <c r="K248" s="1"/>
      <c r="M248" s="58"/>
      <c r="N248" s="58"/>
      <c r="Y248" s="58"/>
      <c r="Z248" s="58"/>
      <c r="AB248" s="58"/>
      <c r="AC248" s="58"/>
      <c r="AD248" s="58"/>
      <c r="AE248" s="58"/>
    </row>
    <row r="249">
      <c r="E249" s="58"/>
      <c r="F249" s="58"/>
      <c r="G249" s="59"/>
      <c r="H249" s="58"/>
      <c r="J249" s="58"/>
      <c r="K249" s="1"/>
      <c r="M249" s="58"/>
      <c r="N249" s="58"/>
      <c r="Y249" s="58"/>
      <c r="Z249" s="58"/>
      <c r="AB249" s="58"/>
      <c r="AC249" s="58"/>
      <c r="AD249" s="58"/>
      <c r="AE249" s="58"/>
    </row>
    <row r="250">
      <c r="E250" s="58"/>
      <c r="F250" s="58"/>
      <c r="G250" s="59"/>
      <c r="H250" s="58"/>
      <c r="J250" s="58"/>
      <c r="K250" s="1"/>
      <c r="M250" s="58"/>
      <c r="N250" s="58"/>
      <c r="Y250" s="58"/>
      <c r="Z250" s="58"/>
      <c r="AB250" s="58"/>
      <c r="AC250" s="58"/>
      <c r="AD250" s="58"/>
      <c r="AE250" s="58"/>
    </row>
    <row r="251">
      <c r="E251" s="58"/>
      <c r="F251" s="58"/>
      <c r="G251" s="59"/>
      <c r="H251" s="58"/>
      <c r="J251" s="58"/>
      <c r="K251" s="1"/>
      <c r="M251" s="58"/>
      <c r="N251" s="58"/>
      <c r="Y251" s="58"/>
      <c r="Z251" s="58"/>
      <c r="AB251" s="58"/>
      <c r="AC251" s="58"/>
      <c r="AD251" s="58"/>
      <c r="AE251" s="58"/>
    </row>
    <row r="252">
      <c r="E252" s="58"/>
      <c r="F252" s="58"/>
      <c r="G252" s="59"/>
      <c r="H252" s="58"/>
      <c r="J252" s="58"/>
      <c r="K252" s="1"/>
      <c r="M252" s="58"/>
      <c r="N252" s="58"/>
      <c r="Y252" s="58"/>
      <c r="Z252" s="58"/>
      <c r="AB252" s="58"/>
      <c r="AC252" s="58"/>
      <c r="AD252" s="58"/>
      <c r="AE252" s="58"/>
    </row>
    <row r="253">
      <c r="E253" s="58"/>
      <c r="F253" s="58"/>
      <c r="G253" s="59"/>
      <c r="H253" s="58"/>
      <c r="J253" s="58"/>
      <c r="K253" s="1"/>
      <c r="M253" s="58"/>
      <c r="N253" s="58"/>
      <c r="Y253" s="58"/>
      <c r="Z253" s="58"/>
      <c r="AB253" s="58"/>
      <c r="AC253" s="58"/>
      <c r="AD253" s="58"/>
      <c r="AE253" s="58"/>
    </row>
    <row r="254">
      <c r="E254" s="58"/>
      <c r="F254" s="58"/>
      <c r="G254" s="59"/>
      <c r="H254" s="58"/>
      <c r="J254" s="58"/>
      <c r="K254" s="1"/>
      <c r="M254" s="58"/>
      <c r="N254" s="58"/>
      <c r="Y254" s="58"/>
      <c r="Z254" s="58"/>
      <c r="AB254" s="58"/>
      <c r="AC254" s="58"/>
      <c r="AD254" s="58"/>
      <c r="AE254" s="58"/>
    </row>
    <row r="255">
      <c r="E255" s="58"/>
      <c r="F255" s="58"/>
      <c r="G255" s="59"/>
      <c r="H255" s="58"/>
      <c r="J255" s="58"/>
      <c r="K255" s="1"/>
      <c r="M255" s="58"/>
      <c r="N255" s="58"/>
      <c r="Y255" s="58"/>
      <c r="Z255" s="58"/>
      <c r="AB255" s="58"/>
      <c r="AC255" s="58"/>
      <c r="AD255" s="58"/>
      <c r="AE255" s="58"/>
    </row>
    <row r="256">
      <c r="E256" s="58"/>
      <c r="F256" s="58"/>
      <c r="G256" s="59"/>
      <c r="H256" s="58"/>
      <c r="J256" s="58"/>
      <c r="K256" s="1"/>
      <c r="M256" s="58"/>
      <c r="N256" s="58"/>
      <c r="Y256" s="58"/>
      <c r="Z256" s="58"/>
      <c r="AB256" s="58"/>
      <c r="AC256" s="58"/>
      <c r="AD256" s="58"/>
      <c r="AE256" s="58"/>
    </row>
    <row r="257">
      <c r="E257" s="58"/>
      <c r="F257" s="58"/>
      <c r="G257" s="59"/>
      <c r="H257" s="58"/>
      <c r="J257" s="58"/>
      <c r="K257" s="1"/>
      <c r="M257" s="58"/>
      <c r="N257" s="58"/>
      <c r="Y257" s="58"/>
      <c r="Z257" s="58"/>
      <c r="AB257" s="58"/>
      <c r="AC257" s="58"/>
      <c r="AD257" s="58"/>
      <c r="AE257" s="58"/>
    </row>
    <row r="258">
      <c r="E258" s="58"/>
      <c r="F258" s="58"/>
      <c r="G258" s="59"/>
      <c r="H258" s="58"/>
      <c r="J258" s="58"/>
      <c r="K258" s="1"/>
      <c r="M258" s="58"/>
      <c r="N258" s="58"/>
      <c r="Y258" s="58"/>
      <c r="Z258" s="58"/>
      <c r="AB258" s="58"/>
      <c r="AC258" s="58"/>
      <c r="AD258" s="58"/>
      <c r="AE258" s="58"/>
    </row>
    <row r="259">
      <c r="E259" s="58"/>
      <c r="F259" s="58"/>
      <c r="G259" s="59"/>
      <c r="H259" s="58"/>
      <c r="J259" s="58"/>
      <c r="K259" s="1"/>
      <c r="M259" s="58"/>
      <c r="N259" s="58"/>
      <c r="Y259" s="58"/>
      <c r="Z259" s="58"/>
      <c r="AB259" s="58"/>
      <c r="AC259" s="58"/>
      <c r="AD259" s="58"/>
      <c r="AE259" s="58"/>
    </row>
    <row r="260">
      <c r="E260" s="58"/>
      <c r="F260" s="58"/>
      <c r="G260" s="59"/>
      <c r="H260" s="58"/>
      <c r="J260" s="58"/>
      <c r="K260" s="1"/>
      <c r="M260" s="58"/>
      <c r="N260" s="58"/>
      <c r="Y260" s="58"/>
      <c r="Z260" s="58"/>
      <c r="AB260" s="58"/>
      <c r="AC260" s="58"/>
      <c r="AD260" s="58"/>
      <c r="AE260" s="58"/>
    </row>
    <row r="261">
      <c r="E261" s="58"/>
      <c r="F261" s="58"/>
      <c r="G261" s="59"/>
      <c r="H261" s="58"/>
      <c r="J261" s="58"/>
      <c r="K261" s="1"/>
      <c r="M261" s="58"/>
      <c r="N261" s="58"/>
      <c r="Y261" s="58"/>
      <c r="Z261" s="58"/>
      <c r="AB261" s="58"/>
      <c r="AC261" s="58"/>
      <c r="AD261" s="58"/>
      <c r="AE261" s="58"/>
    </row>
    <row r="262">
      <c r="E262" s="58"/>
      <c r="F262" s="58"/>
      <c r="G262" s="59"/>
      <c r="H262" s="58"/>
      <c r="J262" s="58"/>
      <c r="K262" s="1"/>
      <c r="M262" s="58"/>
      <c r="N262" s="58"/>
      <c r="Y262" s="58"/>
      <c r="Z262" s="58"/>
      <c r="AB262" s="58"/>
      <c r="AC262" s="58"/>
      <c r="AD262" s="58"/>
      <c r="AE262" s="58"/>
    </row>
    <row r="263">
      <c r="E263" s="58"/>
      <c r="F263" s="58"/>
      <c r="G263" s="59"/>
      <c r="H263" s="58"/>
      <c r="J263" s="58"/>
      <c r="K263" s="1"/>
      <c r="M263" s="58"/>
      <c r="N263" s="58"/>
      <c r="Y263" s="58"/>
      <c r="Z263" s="58"/>
      <c r="AB263" s="58"/>
      <c r="AC263" s="58"/>
      <c r="AD263" s="58"/>
      <c r="AE263" s="58"/>
    </row>
    <row r="264">
      <c r="E264" s="58"/>
      <c r="F264" s="58"/>
      <c r="G264" s="59"/>
      <c r="H264" s="58"/>
      <c r="J264" s="58"/>
      <c r="K264" s="1"/>
      <c r="M264" s="58"/>
      <c r="N264" s="58"/>
      <c r="Y264" s="58"/>
      <c r="Z264" s="58"/>
      <c r="AB264" s="58"/>
      <c r="AC264" s="58"/>
      <c r="AD264" s="58"/>
      <c r="AE264" s="58"/>
    </row>
    <row r="265">
      <c r="E265" s="58"/>
      <c r="F265" s="58"/>
      <c r="G265" s="59"/>
      <c r="H265" s="58"/>
      <c r="J265" s="58"/>
      <c r="K265" s="1"/>
      <c r="M265" s="58"/>
      <c r="N265" s="58"/>
      <c r="Y265" s="58"/>
      <c r="Z265" s="58"/>
      <c r="AB265" s="58"/>
      <c r="AC265" s="58"/>
      <c r="AD265" s="58"/>
      <c r="AE265" s="58"/>
    </row>
    <row r="266">
      <c r="E266" s="58"/>
      <c r="F266" s="58"/>
      <c r="G266" s="59"/>
      <c r="H266" s="58"/>
      <c r="J266" s="58"/>
      <c r="K266" s="1"/>
      <c r="M266" s="58"/>
      <c r="N266" s="58"/>
      <c r="Y266" s="58"/>
      <c r="Z266" s="58"/>
      <c r="AB266" s="58"/>
      <c r="AC266" s="58"/>
      <c r="AD266" s="58"/>
      <c r="AE266" s="58"/>
    </row>
    <row r="267">
      <c r="E267" s="58"/>
      <c r="F267" s="58"/>
      <c r="G267" s="59"/>
      <c r="H267" s="58"/>
      <c r="J267" s="58"/>
      <c r="K267" s="1"/>
      <c r="M267" s="58"/>
      <c r="N267" s="58"/>
      <c r="Y267" s="58"/>
      <c r="Z267" s="58"/>
      <c r="AB267" s="58"/>
      <c r="AC267" s="58"/>
      <c r="AD267" s="58"/>
      <c r="AE267" s="58"/>
    </row>
    <row r="268">
      <c r="E268" s="58"/>
      <c r="F268" s="58"/>
      <c r="G268" s="59"/>
      <c r="H268" s="58"/>
      <c r="J268" s="58"/>
      <c r="K268" s="1"/>
      <c r="M268" s="58"/>
      <c r="N268" s="58"/>
      <c r="Y268" s="58"/>
      <c r="Z268" s="58"/>
      <c r="AB268" s="58"/>
      <c r="AC268" s="58"/>
      <c r="AD268" s="58"/>
      <c r="AE268" s="58"/>
    </row>
    <row r="269">
      <c r="E269" s="58"/>
      <c r="F269" s="58"/>
      <c r="G269" s="59"/>
      <c r="H269" s="58"/>
      <c r="J269" s="58"/>
      <c r="K269" s="1"/>
      <c r="M269" s="58"/>
      <c r="N269" s="58"/>
      <c r="Y269" s="58"/>
      <c r="Z269" s="58"/>
      <c r="AB269" s="58"/>
      <c r="AC269" s="58"/>
      <c r="AD269" s="58"/>
      <c r="AE269" s="58"/>
    </row>
    <row r="270">
      <c r="E270" s="58"/>
      <c r="F270" s="58"/>
      <c r="G270" s="59"/>
      <c r="H270" s="58"/>
      <c r="J270" s="58"/>
      <c r="K270" s="1"/>
      <c r="M270" s="58"/>
      <c r="N270" s="58"/>
      <c r="Y270" s="58"/>
      <c r="Z270" s="58"/>
      <c r="AB270" s="58"/>
      <c r="AC270" s="58"/>
      <c r="AD270" s="58"/>
      <c r="AE270" s="58"/>
    </row>
    <row r="271">
      <c r="E271" s="58"/>
      <c r="F271" s="58"/>
      <c r="G271" s="59"/>
      <c r="H271" s="58"/>
      <c r="J271" s="58"/>
      <c r="K271" s="1"/>
      <c r="M271" s="58"/>
      <c r="N271" s="58"/>
      <c r="Y271" s="58"/>
      <c r="Z271" s="58"/>
      <c r="AB271" s="58"/>
      <c r="AC271" s="58"/>
      <c r="AD271" s="58"/>
      <c r="AE271" s="58"/>
    </row>
    <row r="272">
      <c r="E272" s="58"/>
      <c r="F272" s="58"/>
      <c r="G272" s="59"/>
      <c r="H272" s="58"/>
      <c r="J272" s="58"/>
      <c r="K272" s="1"/>
      <c r="M272" s="58"/>
      <c r="N272" s="58"/>
      <c r="Y272" s="58"/>
      <c r="Z272" s="58"/>
      <c r="AB272" s="58"/>
      <c r="AC272" s="58"/>
      <c r="AD272" s="58"/>
      <c r="AE272" s="58"/>
    </row>
    <row r="273">
      <c r="E273" s="58"/>
      <c r="F273" s="58"/>
      <c r="G273" s="59"/>
      <c r="H273" s="58"/>
      <c r="J273" s="58"/>
      <c r="K273" s="1"/>
      <c r="M273" s="58"/>
      <c r="N273" s="58"/>
      <c r="Y273" s="58"/>
      <c r="Z273" s="58"/>
      <c r="AB273" s="58"/>
      <c r="AC273" s="58"/>
      <c r="AD273" s="58"/>
      <c r="AE273" s="58"/>
    </row>
    <row r="274">
      <c r="E274" s="58"/>
      <c r="F274" s="58"/>
      <c r="G274" s="59"/>
      <c r="H274" s="58"/>
      <c r="J274" s="58"/>
      <c r="K274" s="1"/>
      <c r="M274" s="58"/>
      <c r="N274" s="58"/>
      <c r="Y274" s="58"/>
      <c r="Z274" s="58"/>
      <c r="AB274" s="58"/>
      <c r="AC274" s="58"/>
      <c r="AD274" s="58"/>
      <c r="AE274" s="58"/>
    </row>
    <row r="275">
      <c r="E275" s="58"/>
      <c r="F275" s="58"/>
      <c r="G275" s="59"/>
      <c r="H275" s="58"/>
      <c r="J275" s="58"/>
      <c r="K275" s="1"/>
      <c r="M275" s="58"/>
      <c r="N275" s="58"/>
      <c r="Y275" s="58"/>
      <c r="Z275" s="58"/>
      <c r="AB275" s="58"/>
      <c r="AC275" s="58"/>
      <c r="AD275" s="58"/>
      <c r="AE275" s="58"/>
    </row>
    <row r="276">
      <c r="E276" s="58"/>
      <c r="F276" s="58"/>
      <c r="G276" s="59"/>
      <c r="H276" s="58"/>
      <c r="J276" s="58"/>
      <c r="K276" s="1"/>
      <c r="M276" s="58"/>
      <c r="N276" s="58"/>
      <c r="Y276" s="58"/>
      <c r="Z276" s="58"/>
      <c r="AB276" s="58"/>
      <c r="AC276" s="58"/>
      <c r="AD276" s="58"/>
      <c r="AE276" s="58"/>
    </row>
    <row r="277">
      <c r="E277" s="58"/>
      <c r="F277" s="58"/>
      <c r="G277" s="59"/>
      <c r="H277" s="58"/>
      <c r="J277" s="58"/>
      <c r="K277" s="1"/>
      <c r="M277" s="58"/>
      <c r="N277" s="58"/>
      <c r="Y277" s="58"/>
      <c r="Z277" s="58"/>
      <c r="AB277" s="58"/>
      <c r="AC277" s="58"/>
      <c r="AD277" s="58"/>
      <c r="AE277" s="58"/>
    </row>
    <row r="278">
      <c r="E278" s="58"/>
      <c r="F278" s="58"/>
      <c r="G278" s="59"/>
      <c r="H278" s="58"/>
      <c r="J278" s="58"/>
      <c r="K278" s="1"/>
      <c r="M278" s="58"/>
      <c r="N278" s="58"/>
      <c r="Y278" s="58"/>
      <c r="Z278" s="58"/>
      <c r="AB278" s="58"/>
      <c r="AC278" s="58"/>
      <c r="AD278" s="58"/>
      <c r="AE278" s="58"/>
    </row>
    <row r="279">
      <c r="E279" s="58"/>
      <c r="F279" s="58"/>
      <c r="G279" s="59"/>
      <c r="H279" s="58"/>
      <c r="J279" s="58"/>
      <c r="K279" s="1"/>
      <c r="M279" s="58"/>
      <c r="N279" s="58"/>
      <c r="Y279" s="58"/>
      <c r="Z279" s="58"/>
      <c r="AB279" s="58"/>
      <c r="AC279" s="58"/>
      <c r="AD279" s="58"/>
      <c r="AE279" s="58"/>
    </row>
    <row r="280">
      <c r="E280" s="58"/>
      <c r="F280" s="58"/>
      <c r="G280" s="59"/>
      <c r="H280" s="58"/>
      <c r="J280" s="58"/>
      <c r="K280" s="1"/>
      <c r="M280" s="58"/>
      <c r="N280" s="58"/>
      <c r="Y280" s="58"/>
      <c r="Z280" s="58"/>
      <c r="AB280" s="58"/>
      <c r="AC280" s="58"/>
      <c r="AD280" s="58"/>
      <c r="AE280" s="58"/>
    </row>
    <row r="281">
      <c r="E281" s="58"/>
      <c r="F281" s="58"/>
      <c r="G281" s="59"/>
      <c r="H281" s="58"/>
      <c r="J281" s="58"/>
      <c r="K281" s="1"/>
      <c r="M281" s="58"/>
      <c r="N281" s="58"/>
      <c r="Y281" s="58"/>
      <c r="Z281" s="58"/>
      <c r="AB281" s="58"/>
      <c r="AC281" s="58"/>
      <c r="AD281" s="58"/>
      <c r="AE281" s="58"/>
    </row>
    <row r="282">
      <c r="E282" s="58"/>
      <c r="F282" s="58"/>
      <c r="G282" s="59"/>
      <c r="H282" s="58"/>
      <c r="J282" s="58"/>
      <c r="K282" s="1"/>
      <c r="M282" s="58"/>
      <c r="N282" s="58"/>
      <c r="Y282" s="58"/>
      <c r="Z282" s="58"/>
      <c r="AB282" s="58"/>
      <c r="AC282" s="58"/>
      <c r="AD282" s="58"/>
      <c r="AE282" s="58"/>
    </row>
    <row r="283">
      <c r="E283" s="58"/>
      <c r="F283" s="58"/>
      <c r="G283" s="59"/>
      <c r="H283" s="58"/>
      <c r="J283" s="58"/>
      <c r="K283" s="1"/>
      <c r="M283" s="58"/>
      <c r="N283" s="58"/>
      <c r="Y283" s="58"/>
      <c r="Z283" s="58"/>
      <c r="AB283" s="58"/>
      <c r="AC283" s="58"/>
      <c r="AD283" s="58"/>
      <c r="AE283" s="58"/>
    </row>
    <row r="284">
      <c r="E284" s="58"/>
      <c r="F284" s="58"/>
      <c r="G284" s="59"/>
      <c r="H284" s="58"/>
      <c r="J284" s="58"/>
      <c r="K284" s="1"/>
      <c r="M284" s="58"/>
      <c r="N284" s="58"/>
      <c r="Y284" s="58"/>
      <c r="Z284" s="58"/>
      <c r="AB284" s="58"/>
      <c r="AC284" s="58"/>
      <c r="AD284" s="58"/>
      <c r="AE284" s="58"/>
    </row>
    <row r="285">
      <c r="E285" s="58"/>
      <c r="F285" s="58"/>
      <c r="G285" s="59"/>
      <c r="H285" s="58"/>
      <c r="J285" s="58"/>
      <c r="K285" s="1"/>
      <c r="M285" s="58"/>
      <c r="N285" s="58"/>
      <c r="Y285" s="58"/>
      <c r="Z285" s="58"/>
      <c r="AB285" s="58"/>
      <c r="AC285" s="58"/>
      <c r="AD285" s="58"/>
      <c r="AE285" s="58"/>
    </row>
    <row r="286">
      <c r="E286" s="58"/>
      <c r="F286" s="58"/>
      <c r="G286" s="59"/>
      <c r="H286" s="58"/>
      <c r="J286" s="58"/>
      <c r="K286" s="1"/>
      <c r="M286" s="58"/>
      <c r="N286" s="58"/>
      <c r="Y286" s="58"/>
      <c r="Z286" s="58"/>
      <c r="AB286" s="58"/>
      <c r="AC286" s="58"/>
      <c r="AD286" s="58"/>
      <c r="AE286" s="58"/>
    </row>
    <row r="287">
      <c r="E287" s="58"/>
      <c r="F287" s="58"/>
      <c r="G287" s="59"/>
      <c r="H287" s="58"/>
      <c r="J287" s="58"/>
      <c r="K287" s="1"/>
      <c r="M287" s="58"/>
      <c r="N287" s="58"/>
      <c r="Y287" s="58"/>
      <c r="Z287" s="58"/>
      <c r="AB287" s="58"/>
      <c r="AC287" s="58"/>
      <c r="AD287" s="58"/>
      <c r="AE287" s="58"/>
    </row>
    <row r="288">
      <c r="E288" s="58"/>
      <c r="F288" s="58"/>
      <c r="G288" s="59"/>
      <c r="H288" s="58"/>
      <c r="J288" s="58"/>
      <c r="K288" s="1"/>
      <c r="M288" s="58"/>
      <c r="N288" s="58"/>
      <c r="Y288" s="58"/>
      <c r="Z288" s="58"/>
      <c r="AB288" s="58"/>
      <c r="AC288" s="58"/>
      <c r="AD288" s="58"/>
      <c r="AE288" s="58"/>
    </row>
    <row r="289">
      <c r="E289" s="58"/>
      <c r="F289" s="58"/>
      <c r="G289" s="59"/>
      <c r="H289" s="58"/>
      <c r="J289" s="58"/>
      <c r="K289" s="1"/>
      <c r="M289" s="58"/>
      <c r="N289" s="58"/>
      <c r="Y289" s="58"/>
      <c r="Z289" s="58"/>
      <c r="AB289" s="58"/>
      <c r="AC289" s="58"/>
      <c r="AD289" s="58"/>
      <c r="AE289" s="58"/>
    </row>
    <row r="290">
      <c r="E290" s="58"/>
      <c r="F290" s="58"/>
      <c r="G290" s="59"/>
      <c r="H290" s="58"/>
      <c r="J290" s="58"/>
      <c r="K290" s="1"/>
      <c r="M290" s="58"/>
      <c r="N290" s="58"/>
      <c r="Y290" s="58"/>
      <c r="Z290" s="58"/>
      <c r="AB290" s="58"/>
      <c r="AC290" s="58"/>
      <c r="AD290" s="58"/>
      <c r="AE290" s="58"/>
    </row>
    <row r="291">
      <c r="E291" s="58"/>
      <c r="F291" s="58"/>
      <c r="G291" s="59"/>
      <c r="H291" s="58"/>
      <c r="J291" s="58"/>
      <c r="K291" s="1"/>
      <c r="M291" s="58"/>
      <c r="N291" s="58"/>
      <c r="Y291" s="58"/>
      <c r="Z291" s="58"/>
      <c r="AB291" s="58"/>
      <c r="AC291" s="58"/>
      <c r="AD291" s="58"/>
      <c r="AE291" s="58"/>
    </row>
    <row r="292">
      <c r="E292" s="58"/>
      <c r="F292" s="58"/>
      <c r="G292" s="59"/>
      <c r="H292" s="58"/>
      <c r="J292" s="58"/>
      <c r="K292" s="1"/>
      <c r="M292" s="58"/>
      <c r="N292" s="58"/>
      <c r="Y292" s="58"/>
      <c r="Z292" s="58"/>
      <c r="AB292" s="58"/>
      <c r="AC292" s="58"/>
      <c r="AD292" s="58"/>
      <c r="AE292" s="58"/>
    </row>
    <row r="293">
      <c r="E293" s="58"/>
      <c r="F293" s="58"/>
      <c r="G293" s="59"/>
      <c r="H293" s="58"/>
      <c r="J293" s="58"/>
      <c r="K293" s="1"/>
      <c r="M293" s="58"/>
      <c r="N293" s="58"/>
      <c r="Y293" s="58"/>
      <c r="Z293" s="58"/>
      <c r="AB293" s="58"/>
      <c r="AC293" s="58"/>
      <c r="AD293" s="58"/>
      <c r="AE293" s="58"/>
    </row>
    <row r="294">
      <c r="E294" s="58"/>
      <c r="F294" s="58"/>
      <c r="G294" s="59"/>
      <c r="H294" s="58"/>
      <c r="J294" s="58"/>
      <c r="K294" s="1"/>
      <c r="M294" s="58"/>
      <c r="N294" s="58"/>
      <c r="Y294" s="58"/>
      <c r="Z294" s="58"/>
      <c r="AB294" s="58"/>
      <c r="AC294" s="58"/>
      <c r="AD294" s="58"/>
      <c r="AE294" s="58"/>
    </row>
    <row r="295">
      <c r="E295" s="58"/>
      <c r="F295" s="58"/>
      <c r="G295" s="59"/>
      <c r="H295" s="58"/>
      <c r="J295" s="58"/>
      <c r="K295" s="1"/>
      <c r="M295" s="58"/>
      <c r="N295" s="58"/>
      <c r="Y295" s="58"/>
      <c r="Z295" s="58"/>
      <c r="AB295" s="58"/>
      <c r="AC295" s="58"/>
      <c r="AD295" s="58"/>
      <c r="AE295" s="58"/>
    </row>
    <row r="296">
      <c r="E296" s="58"/>
      <c r="F296" s="58"/>
      <c r="G296" s="59"/>
      <c r="H296" s="58"/>
      <c r="J296" s="58"/>
      <c r="K296" s="1"/>
      <c r="M296" s="58"/>
      <c r="N296" s="58"/>
      <c r="Y296" s="58"/>
      <c r="Z296" s="58"/>
      <c r="AB296" s="58"/>
      <c r="AC296" s="58"/>
      <c r="AD296" s="58"/>
      <c r="AE296" s="58"/>
    </row>
    <row r="297">
      <c r="E297" s="58"/>
      <c r="F297" s="58"/>
      <c r="G297" s="59"/>
      <c r="H297" s="58"/>
      <c r="J297" s="58"/>
      <c r="K297" s="1"/>
      <c r="M297" s="58"/>
      <c r="N297" s="58"/>
      <c r="Y297" s="58"/>
      <c r="Z297" s="58"/>
      <c r="AB297" s="58"/>
      <c r="AC297" s="58"/>
      <c r="AD297" s="58"/>
      <c r="AE297" s="58"/>
    </row>
    <row r="298">
      <c r="E298" s="58"/>
      <c r="F298" s="58"/>
      <c r="G298" s="59"/>
      <c r="H298" s="58"/>
      <c r="J298" s="58"/>
      <c r="K298" s="1"/>
      <c r="M298" s="58"/>
      <c r="N298" s="58"/>
      <c r="Y298" s="58"/>
      <c r="Z298" s="58"/>
      <c r="AB298" s="58"/>
      <c r="AC298" s="58"/>
      <c r="AD298" s="58"/>
      <c r="AE298" s="58"/>
    </row>
    <row r="299">
      <c r="E299" s="58"/>
      <c r="F299" s="58"/>
      <c r="G299" s="59"/>
      <c r="H299" s="58"/>
      <c r="J299" s="58"/>
      <c r="K299" s="1"/>
      <c r="M299" s="58"/>
      <c r="N299" s="58"/>
      <c r="Y299" s="58"/>
      <c r="Z299" s="58"/>
      <c r="AB299" s="58"/>
      <c r="AC299" s="58"/>
      <c r="AD299" s="58"/>
      <c r="AE299" s="58"/>
    </row>
    <row r="300">
      <c r="E300" s="58"/>
      <c r="F300" s="58"/>
      <c r="G300" s="59"/>
      <c r="H300" s="58"/>
      <c r="J300" s="58"/>
      <c r="K300" s="1"/>
      <c r="M300" s="58"/>
      <c r="N300" s="58"/>
      <c r="Y300" s="58"/>
      <c r="Z300" s="58"/>
      <c r="AB300" s="58"/>
      <c r="AC300" s="58"/>
      <c r="AD300" s="58"/>
      <c r="AE300" s="58"/>
    </row>
    <row r="301">
      <c r="E301" s="58"/>
      <c r="F301" s="58"/>
      <c r="G301" s="59"/>
      <c r="H301" s="58"/>
      <c r="J301" s="58"/>
      <c r="K301" s="1"/>
      <c r="M301" s="58"/>
      <c r="N301" s="58"/>
      <c r="Y301" s="58"/>
      <c r="Z301" s="58"/>
      <c r="AB301" s="58"/>
      <c r="AC301" s="58"/>
      <c r="AD301" s="58"/>
      <c r="AE301" s="58"/>
    </row>
    <row r="302">
      <c r="E302" s="58"/>
      <c r="F302" s="58"/>
      <c r="G302" s="59"/>
      <c r="H302" s="58"/>
      <c r="J302" s="58"/>
      <c r="K302" s="1"/>
      <c r="M302" s="58"/>
      <c r="N302" s="58"/>
      <c r="Y302" s="58"/>
      <c r="Z302" s="58"/>
      <c r="AB302" s="58"/>
      <c r="AC302" s="58"/>
      <c r="AD302" s="58"/>
      <c r="AE302" s="58"/>
    </row>
    <row r="303">
      <c r="E303" s="58"/>
      <c r="F303" s="58"/>
      <c r="G303" s="59"/>
      <c r="H303" s="58"/>
      <c r="J303" s="58"/>
      <c r="K303" s="1"/>
      <c r="M303" s="58"/>
      <c r="N303" s="58"/>
      <c r="Y303" s="58"/>
      <c r="Z303" s="58"/>
      <c r="AB303" s="58"/>
      <c r="AC303" s="58"/>
      <c r="AD303" s="58"/>
      <c r="AE303" s="58"/>
    </row>
    <row r="304">
      <c r="E304" s="58"/>
      <c r="F304" s="58"/>
      <c r="G304" s="59"/>
      <c r="H304" s="58"/>
      <c r="J304" s="58"/>
      <c r="K304" s="1"/>
      <c r="M304" s="58"/>
      <c r="N304" s="58"/>
      <c r="Y304" s="58"/>
      <c r="Z304" s="58"/>
      <c r="AB304" s="58"/>
      <c r="AC304" s="58"/>
      <c r="AD304" s="58"/>
      <c r="AE304" s="58"/>
    </row>
    <row r="305">
      <c r="E305" s="58"/>
      <c r="F305" s="58"/>
      <c r="G305" s="59"/>
      <c r="H305" s="58"/>
      <c r="J305" s="58"/>
      <c r="K305" s="1"/>
      <c r="M305" s="58"/>
      <c r="N305" s="58"/>
      <c r="Y305" s="58"/>
      <c r="Z305" s="58"/>
      <c r="AB305" s="58"/>
      <c r="AC305" s="58"/>
      <c r="AD305" s="58"/>
      <c r="AE305" s="58"/>
    </row>
    <row r="306">
      <c r="E306" s="58"/>
      <c r="F306" s="58"/>
      <c r="G306" s="59"/>
      <c r="H306" s="58"/>
      <c r="J306" s="58"/>
      <c r="K306" s="1"/>
      <c r="M306" s="58"/>
      <c r="N306" s="58"/>
      <c r="Y306" s="58"/>
      <c r="Z306" s="58"/>
      <c r="AB306" s="58"/>
      <c r="AC306" s="58"/>
      <c r="AD306" s="58"/>
      <c r="AE306" s="58"/>
    </row>
    <row r="307">
      <c r="E307" s="58"/>
      <c r="F307" s="58"/>
      <c r="G307" s="59"/>
      <c r="H307" s="58"/>
      <c r="J307" s="58"/>
      <c r="K307" s="1"/>
      <c r="M307" s="58"/>
      <c r="N307" s="58"/>
      <c r="Y307" s="58"/>
      <c r="Z307" s="58"/>
      <c r="AB307" s="58"/>
      <c r="AC307" s="58"/>
      <c r="AD307" s="58"/>
      <c r="AE307" s="58"/>
    </row>
    <row r="308">
      <c r="E308" s="58"/>
      <c r="F308" s="58"/>
      <c r="G308" s="59"/>
      <c r="H308" s="58"/>
      <c r="J308" s="58"/>
      <c r="K308" s="1"/>
      <c r="M308" s="58"/>
      <c r="N308" s="58"/>
      <c r="Y308" s="58"/>
      <c r="Z308" s="58"/>
      <c r="AB308" s="58"/>
      <c r="AC308" s="58"/>
      <c r="AD308" s="58"/>
      <c r="AE308" s="58"/>
    </row>
    <row r="309">
      <c r="E309" s="58"/>
      <c r="F309" s="58"/>
      <c r="G309" s="59"/>
      <c r="H309" s="58"/>
      <c r="J309" s="58"/>
      <c r="K309" s="1"/>
      <c r="M309" s="58"/>
      <c r="N309" s="58"/>
      <c r="Y309" s="58"/>
      <c r="Z309" s="58"/>
      <c r="AB309" s="58"/>
      <c r="AC309" s="58"/>
      <c r="AD309" s="58"/>
      <c r="AE309" s="58"/>
    </row>
    <row r="310">
      <c r="E310" s="58"/>
      <c r="F310" s="58"/>
      <c r="G310" s="59"/>
      <c r="H310" s="58"/>
      <c r="J310" s="58"/>
      <c r="K310" s="1"/>
      <c r="M310" s="58"/>
      <c r="N310" s="58"/>
      <c r="Y310" s="58"/>
      <c r="Z310" s="58"/>
      <c r="AB310" s="58"/>
      <c r="AC310" s="58"/>
      <c r="AD310" s="58"/>
      <c r="AE310" s="58"/>
    </row>
    <row r="311">
      <c r="E311" s="58"/>
      <c r="F311" s="58"/>
      <c r="G311" s="59"/>
      <c r="H311" s="58"/>
      <c r="J311" s="58"/>
      <c r="K311" s="1"/>
      <c r="M311" s="58"/>
      <c r="N311" s="58"/>
      <c r="Y311" s="58"/>
      <c r="Z311" s="58"/>
      <c r="AB311" s="58"/>
      <c r="AC311" s="58"/>
      <c r="AD311" s="58"/>
      <c r="AE311" s="58"/>
    </row>
    <row r="312">
      <c r="E312" s="58"/>
      <c r="F312" s="58"/>
      <c r="G312" s="59"/>
      <c r="H312" s="58"/>
      <c r="J312" s="58"/>
      <c r="K312" s="1"/>
      <c r="M312" s="58"/>
      <c r="N312" s="58"/>
      <c r="Y312" s="58"/>
      <c r="Z312" s="58"/>
      <c r="AB312" s="58"/>
      <c r="AC312" s="58"/>
      <c r="AD312" s="58"/>
      <c r="AE312" s="58"/>
    </row>
    <row r="313">
      <c r="E313" s="58"/>
      <c r="F313" s="58"/>
      <c r="G313" s="59"/>
      <c r="H313" s="58"/>
      <c r="J313" s="58"/>
      <c r="K313" s="1"/>
      <c r="M313" s="58"/>
      <c r="N313" s="58"/>
      <c r="Y313" s="58"/>
      <c r="Z313" s="58"/>
      <c r="AB313" s="58"/>
      <c r="AC313" s="58"/>
      <c r="AD313" s="58"/>
      <c r="AE313" s="58"/>
    </row>
    <row r="314">
      <c r="E314" s="58"/>
      <c r="F314" s="58"/>
      <c r="G314" s="59"/>
      <c r="H314" s="58"/>
      <c r="J314" s="58"/>
      <c r="K314" s="1"/>
      <c r="M314" s="58"/>
      <c r="N314" s="58"/>
      <c r="Y314" s="58"/>
      <c r="Z314" s="58"/>
      <c r="AB314" s="58"/>
      <c r="AC314" s="58"/>
      <c r="AD314" s="58"/>
      <c r="AE314" s="58"/>
    </row>
    <row r="315">
      <c r="E315" s="58"/>
      <c r="F315" s="58"/>
      <c r="G315" s="59"/>
      <c r="H315" s="58"/>
      <c r="J315" s="58"/>
      <c r="K315" s="1"/>
      <c r="M315" s="58"/>
      <c r="N315" s="58"/>
      <c r="Y315" s="58"/>
      <c r="Z315" s="58"/>
      <c r="AB315" s="58"/>
      <c r="AC315" s="58"/>
      <c r="AD315" s="58"/>
      <c r="AE315" s="58"/>
    </row>
    <row r="316">
      <c r="E316" s="58"/>
      <c r="F316" s="58"/>
      <c r="G316" s="59"/>
      <c r="H316" s="58"/>
      <c r="J316" s="58"/>
      <c r="K316" s="1"/>
      <c r="M316" s="58"/>
      <c r="N316" s="58"/>
      <c r="Y316" s="58"/>
      <c r="Z316" s="58"/>
      <c r="AB316" s="58"/>
      <c r="AC316" s="58"/>
      <c r="AD316" s="58"/>
      <c r="AE316" s="58"/>
    </row>
    <row r="317">
      <c r="E317" s="58"/>
      <c r="F317" s="58"/>
      <c r="G317" s="59"/>
      <c r="H317" s="58"/>
      <c r="J317" s="58"/>
      <c r="K317" s="1"/>
      <c r="M317" s="58"/>
      <c r="N317" s="58"/>
      <c r="Y317" s="58"/>
      <c r="Z317" s="58"/>
      <c r="AB317" s="58"/>
      <c r="AC317" s="58"/>
      <c r="AD317" s="58"/>
      <c r="AE317" s="58"/>
    </row>
    <row r="318">
      <c r="E318" s="58"/>
      <c r="F318" s="58"/>
      <c r="G318" s="59"/>
      <c r="H318" s="58"/>
      <c r="J318" s="58"/>
      <c r="K318" s="1"/>
      <c r="M318" s="58"/>
      <c r="N318" s="58"/>
      <c r="Y318" s="58"/>
      <c r="Z318" s="58"/>
      <c r="AB318" s="58"/>
      <c r="AC318" s="58"/>
      <c r="AD318" s="58"/>
      <c r="AE318" s="58"/>
    </row>
    <row r="319">
      <c r="E319" s="58"/>
      <c r="F319" s="58"/>
      <c r="G319" s="59"/>
      <c r="H319" s="58"/>
      <c r="J319" s="58"/>
      <c r="K319" s="1"/>
      <c r="M319" s="58"/>
      <c r="N319" s="58"/>
      <c r="Y319" s="58"/>
      <c r="Z319" s="58"/>
      <c r="AB319" s="58"/>
      <c r="AC319" s="58"/>
      <c r="AD319" s="58"/>
      <c r="AE319" s="58"/>
    </row>
    <row r="320">
      <c r="E320" s="58"/>
      <c r="F320" s="58"/>
      <c r="G320" s="59"/>
      <c r="H320" s="58"/>
      <c r="J320" s="58"/>
      <c r="K320" s="1"/>
      <c r="M320" s="58"/>
      <c r="N320" s="58"/>
      <c r="Y320" s="58"/>
      <c r="Z320" s="58"/>
      <c r="AB320" s="58"/>
      <c r="AC320" s="58"/>
      <c r="AD320" s="58"/>
      <c r="AE320" s="58"/>
    </row>
    <row r="321">
      <c r="E321" s="58"/>
      <c r="F321" s="58"/>
      <c r="G321" s="59"/>
      <c r="H321" s="58"/>
      <c r="J321" s="58"/>
      <c r="K321" s="1"/>
      <c r="M321" s="58"/>
      <c r="N321" s="58"/>
      <c r="Y321" s="58"/>
      <c r="Z321" s="58"/>
      <c r="AB321" s="58"/>
      <c r="AC321" s="58"/>
      <c r="AD321" s="58"/>
      <c r="AE321" s="58"/>
    </row>
    <row r="322">
      <c r="E322" s="58"/>
      <c r="F322" s="58"/>
      <c r="G322" s="59"/>
      <c r="H322" s="58"/>
      <c r="J322" s="58"/>
      <c r="K322" s="1"/>
      <c r="M322" s="58"/>
      <c r="N322" s="58"/>
      <c r="Y322" s="58"/>
      <c r="Z322" s="58"/>
      <c r="AB322" s="58"/>
      <c r="AC322" s="58"/>
      <c r="AD322" s="58"/>
      <c r="AE322" s="58"/>
    </row>
    <row r="323">
      <c r="E323" s="58"/>
      <c r="F323" s="58"/>
      <c r="G323" s="59"/>
      <c r="H323" s="58"/>
      <c r="J323" s="58"/>
      <c r="K323" s="1"/>
      <c r="M323" s="58"/>
      <c r="N323" s="58"/>
      <c r="Y323" s="58"/>
      <c r="Z323" s="58"/>
      <c r="AB323" s="58"/>
      <c r="AC323" s="58"/>
      <c r="AD323" s="58"/>
      <c r="AE323" s="58"/>
    </row>
    <row r="324">
      <c r="E324" s="58"/>
      <c r="F324" s="58"/>
      <c r="G324" s="59"/>
      <c r="H324" s="58"/>
      <c r="J324" s="58"/>
      <c r="K324" s="1"/>
      <c r="M324" s="58"/>
      <c r="N324" s="58"/>
      <c r="Y324" s="58"/>
      <c r="Z324" s="58"/>
      <c r="AB324" s="58"/>
      <c r="AC324" s="58"/>
      <c r="AD324" s="58"/>
      <c r="AE324" s="58"/>
    </row>
    <row r="325">
      <c r="E325" s="58"/>
      <c r="F325" s="58"/>
      <c r="G325" s="59"/>
      <c r="H325" s="58"/>
      <c r="J325" s="58"/>
      <c r="K325" s="1"/>
      <c r="M325" s="58"/>
      <c r="N325" s="58"/>
      <c r="Y325" s="58"/>
      <c r="Z325" s="58"/>
      <c r="AB325" s="58"/>
      <c r="AC325" s="58"/>
      <c r="AD325" s="58"/>
      <c r="AE325" s="58"/>
    </row>
    <row r="326">
      <c r="E326" s="58"/>
      <c r="F326" s="58"/>
      <c r="G326" s="59"/>
      <c r="H326" s="58"/>
      <c r="J326" s="58"/>
      <c r="K326" s="1"/>
      <c r="M326" s="58"/>
      <c r="N326" s="58"/>
      <c r="Y326" s="58"/>
      <c r="Z326" s="58"/>
      <c r="AB326" s="58"/>
      <c r="AC326" s="58"/>
      <c r="AD326" s="58"/>
      <c r="AE326" s="58"/>
    </row>
    <row r="327">
      <c r="E327" s="58"/>
      <c r="F327" s="58"/>
      <c r="G327" s="59"/>
      <c r="H327" s="58"/>
      <c r="J327" s="58"/>
      <c r="K327" s="1"/>
      <c r="M327" s="58"/>
      <c r="N327" s="58"/>
      <c r="Y327" s="58"/>
      <c r="Z327" s="58"/>
      <c r="AB327" s="58"/>
      <c r="AC327" s="58"/>
      <c r="AD327" s="58"/>
      <c r="AE327" s="58"/>
    </row>
    <row r="328">
      <c r="E328" s="58"/>
      <c r="F328" s="58"/>
      <c r="G328" s="59"/>
      <c r="H328" s="58"/>
      <c r="J328" s="58"/>
      <c r="K328" s="1"/>
      <c r="M328" s="58"/>
      <c r="N328" s="58"/>
      <c r="Y328" s="58"/>
      <c r="Z328" s="58"/>
      <c r="AB328" s="58"/>
      <c r="AC328" s="58"/>
      <c r="AD328" s="58"/>
      <c r="AE328" s="58"/>
    </row>
    <row r="329">
      <c r="E329" s="58"/>
      <c r="F329" s="58"/>
      <c r="G329" s="59"/>
      <c r="H329" s="58"/>
      <c r="J329" s="58"/>
      <c r="K329" s="1"/>
      <c r="M329" s="58"/>
      <c r="N329" s="58"/>
      <c r="Y329" s="58"/>
      <c r="Z329" s="58"/>
      <c r="AB329" s="58"/>
      <c r="AC329" s="58"/>
      <c r="AD329" s="58"/>
      <c r="AE329" s="58"/>
    </row>
    <row r="330">
      <c r="E330" s="58"/>
      <c r="F330" s="58"/>
      <c r="G330" s="59"/>
      <c r="H330" s="58"/>
      <c r="J330" s="58"/>
      <c r="K330" s="1"/>
      <c r="M330" s="58"/>
      <c r="N330" s="58"/>
      <c r="Y330" s="58"/>
      <c r="Z330" s="58"/>
      <c r="AB330" s="58"/>
      <c r="AC330" s="58"/>
      <c r="AD330" s="58"/>
      <c r="AE330" s="58"/>
    </row>
    <row r="331">
      <c r="E331" s="58"/>
      <c r="F331" s="58"/>
      <c r="G331" s="59"/>
      <c r="H331" s="58"/>
      <c r="J331" s="58"/>
      <c r="K331" s="1"/>
      <c r="M331" s="58"/>
      <c r="N331" s="58"/>
      <c r="Y331" s="58"/>
      <c r="Z331" s="58"/>
      <c r="AB331" s="58"/>
      <c r="AC331" s="58"/>
      <c r="AD331" s="58"/>
      <c r="AE331" s="58"/>
    </row>
    <row r="332">
      <c r="E332" s="58"/>
      <c r="F332" s="58"/>
      <c r="G332" s="59"/>
      <c r="H332" s="58"/>
      <c r="J332" s="58"/>
      <c r="K332" s="1"/>
      <c r="M332" s="58"/>
      <c r="N332" s="58"/>
      <c r="Y332" s="58"/>
      <c r="Z332" s="58"/>
      <c r="AB332" s="58"/>
      <c r="AC332" s="58"/>
      <c r="AD332" s="58"/>
      <c r="AE332" s="58"/>
    </row>
    <row r="333">
      <c r="E333" s="58"/>
      <c r="F333" s="58"/>
      <c r="G333" s="59"/>
      <c r="H333" s="58"/>
      <c r="J333" s="58"/>
      <c r="K333" s="1"/>
      <c r="M333" s="58"/>
      <c r="N333" s="58"/>
      <c r="Y333" s="58"/>
      <c r="Z333" s="58"/>
      <c r="AB333" s="58"/>
      <c r="AC333" s="58"/>
      <c r="AD333" s="58"/>
      <c r="AE333" s="58"/>
    </row>
    <row r="334">
      <c r="E334" s="58"/>
      <c r="F334" s="58"/>
      <c r="G334" s="59"/>
      <c r="H334" s="58"/>
      <c r="J334" s="58"/>
      <c r="K334" s="1"/>
      <c r="M334" s="58"/>
      <c r="N334" s="58"/>
      <c r="Y334" s="58"/>
      <c r="Z334" s="58"/>
      <c r="AB334" s="58"/>
      <c r="AC334" s="58"/>
      <c r="AD334" s="58"/>
      <c r="AE334" s="58"/>
    </row>
    <row r="335">
      <c r="E335" s="58"/>
      <c r="F335" s="58"/>
      <c r="G335" s="59"/>
      <c r="H335" s="58"/>
      <c r="J335" s="58"/>
      <c r="K335" s="1"/>
      <c r="M335" s="58"/>
      <c r="N335" s="58"/>
      <c r="Y335" s="58"/>
      <c r="Z335" s="58"/>
      <c r="AB335" s="58"/>
      <c r="AC335" s="58"/>
      <c r="AD335" s="58"/>
      <c r="AE335" s="58"/>
    </row>
    <row r="336">
      <c r="E336" s="58"/>
      <c r="F336" s="58"/>
      <c r="G336" s="59"/>
      <c r="H336" s="58"/>
      <c r="J336" s="58"/>
      <c r="K336" s="1"/>
      <c r="M336" s="58"/>
      <c r="N336" s="58"/>
      <c r="Y336" s="58"/>
      <c r="Z336" s="58"/>
      <c r="AB336" s="58"/>
      <c r="AC336" s="58"/>
      <c r="AD336" s="58"/>
      <c r="AE336" s="58"/>
    </row>
    <row r="337">
      <c r="E337" s="58"/>
      <c r="F337" s="58"/>
      <c r="G337" s="59"/>
      <c r="H337" s="58"/>
      <c r="J337" s="58"/>
      <c r="K337" s="1"/>
      <c r="M337" s="58"/>
      <c r="N337" s="58"/>
      <c r="Y337" s="58"/>
      <c r="Z337" s="58"/>
      <c r="AB337" s="58"/>
      <c r="AC337" s="58"/>
      <c r="AD337" s="58"/>
      <c r="AE337" s="58"/>
    </row>
    <row r="338">
      <c r="E338" s="58"/>
      <c r="F338" s="58"/>
      <c r="G338" s="59"/>
      <c r="H338" s="58"/>
      <c r="J338" s="58"/>
      <c r="K338" s="1"/>
      <c r="M338" s="58"/>
      <c r="N338" s="58"/>
      <c r="Y338" s="58"/>
      <c r="Z338" s="58"/>
      <c r="AB338" s="58"/>
      <c r="AC338" s="58"/>
      <c r="AD338" s="58"/>
      <c r="AE338" s="58"/>
    </row>
    <row r="339">
      <c r="E339" s="58"/>
      <c r="F339" s="58"/>
      <c r="G339" s="59"/>
      <c r="H339" s="58"/>
      <c r="J339" s="58"/>
      <c r="K339" s="1"/>
      <c r="M339" s="58"/>
      <c r="N339" s="58"/>
      <c r="Y339" s="58"/>
      <c r="Z339" s="58"/>
      <c r="AB339" s="58"/>
      <c r="AC339" s="58"/>
      <c r="AD339" s="58"/>
      <c r="AE339" s="58"/>
    </row>
    <row r="340">
      <c r="E340" s="58"/>
      <c r="F340" s="58"/>
      <c r="G340" s="59"/>
      <c r="H340" s="58"/>
      <c r="J340" s="58"/>
      <c r="K340" s="1"/>
      <c r="M340" s="58"/>
      <c r="N340" s="58"/>
      <c r="Y340" s="58"/>
      <c r="Z340" s="58"/>
      <c r="AB340" s="58"/>
      <c r="AC340" s="58"/>
      <c r="AD340" s="58"/>
      <c r="AE340" s="58"/>
    </row>
    <row r="341">
      <c r="E341" s="58"/>
      <c r="F341" s="58"/>
      <c r="G341" s="59"/>
      <c r="H341" s="58"/>
      <c r="J341" s="58"/>
      <c r="K341" s="1"/>
      <c r="M341" s="58"/>
      <c r="N341" s="58"/>
      <c r="Y341" s="58"/>
      <c r="Z341" s="58"/>
      <c r="AB341" s="58"/>
      <c r="AC341" s="58"/>
      <c r="AD341" s="58"/>
      <c r="AE341" s="58"/>
    </row>
    <row r="342">
      <c r="E342" s="58"/>
      <c r="F342" s="58"/>
      <c r="G342" s="59"/>
      <c r="H342" s="58"/>
      <c r="J342" s="58"/>
      <c r="K342" s="1"/>
      <c r="M342" s="58"/>
      <c r="N342" s="58"/>
      <c r="Y342" s="58"/>
      <c r="Z342" s="58"/>
      <c r="AB342" s="58"/>
      <c r="AC342" s="58"/>
      <c r="AD342" s="58"/>
      <c r="AE342" s="58"/>
    </row>
    <row r="343">
      <c r="E343" s="58"/>
      <c r="F343" s="58"/>
      <c r="G343" s="59"/>
      <c r="H343" s="58"/>
      <c r="J343" s="58"/>
      <c r="K343" s="1"/>
      <c r="M343" s="58"/>
      <c r="N343" s="58"/>
      <c r="Y343" s="58"/>
      <c r="Z343" s="58"/>
      <c r="AB343" s="58"/>
      <c r="AC343" s="58"/>
      <c r="AD343" s="58"/>
      <c r="AE343" s="58"/>
    </row>
    <row r="344">
      <c r="E344" s="58"/>
      <c r="F344" s="58"/>
      <c r="G344" s="59"/>
      <c r="H344" s="58"/>
      <c r="J344" s="58"/>
      <c r="K344" s="1"/>
      <c r="M344" s="58"/>
      <c r="N344" s="58"/>
      <c r="Y344" s="58"/>
      <c r="Z344" s="58"/>
      <c r="AB344" s="58"/>
      <c r="AC344" s="58"/>
      <c r="AD344" s="58"/>
      <c r="AE344" s="58"/>
    </row>
    <row r="345">
      <c r="E345" s="58"/>
      <c r="F345" s="58"/>
      <c r="G345" s="59"/>
      <c r="H345" s="58"/>
      <c r="J345" s="58"/>
      <c r="K345" s="1"/>
      <c r="M345" s="58"/>
      <c r="N345" s="58"/>
      <c r="Y345" s="58"/>
      <c r="Z345" s="58"/>
      <c r="AB345" s="58"/>
      <c r="AC345" s="58"/>
      <c r="AD345" s="58"/>
      <c r="AE345" s="58"/>
    </row>
    <row r="346">
      <c r="E346" s="58"/>
      <c r="F346" s="58"/>
      <c r="G346" s="59"/>
      <c r="H346" s="58"/>
      <c r="J346" s="58"/>
      <c r="K346" s="1"/>
      <c r="M346" s="58"/>
      <c r="N346" s="58"/>
      <c r="Y346" s="58"/>
      <c r="Z346" s="58"/>
      <c r="AB346" s="58"/>
      <c r="AC346" s="58"/>
      <c r="AD346" s="58"/>
      <c r="AE346" s="58"/>
    </row>
    <row r="347">
      <c r="E347" s="58"/>
      <c r="F347" s="58"/>
      <c r="G347" s="59"/>
      <c r="H347" s="58"/>
      <c r="J347" s="58"/>
      <c r="K347" s="1"/>
      <c r="M347" s="58"/>
      <c r="N347" s="58"/>
      <c r="Y347" s="58"/>
      <c r="Z347" s="58"/>
      <c r="AB347" s="58"/>
      <c r="AC347" s="58"/>
      <c r="AD347" s="58"/>
      <c r="AE347" s="58"/>
    </row>
    <row r="348">
      <c r="E348" s="58"/>
      <c r="F348" s="58"/>
      <c r="G348" s="59"/>
      <c r="H348" s="58"/>
      <c r="J348" s="58"/>
      <c r="K348" s="1"/>
      <c r="M348" s="58"/>
      <c r="N348" s="58"/>
      <c r="Y348" s="58"/>
      <c r="Z348" s="58"/>
      <c r="AB348" s="58"/>
      <c r="AC348" s="58"/>
      <c r="AD348" s="58"/>
      <c r="AE348" s="58"/>
    </row>
    <row r="349">
      <c r="E349" s="58"/>
      <c r="F349" s="58"/>
      <c r="G349" s="59"/>
      <c r="H349" s="58"/>
      <c r="J349" s="58"/>
      <c r="K349" s="1"/>
      <c r="M349" s="58"/>
      <c r="N349" s="58"/>
      <c r="Y349" s="58"/>
      <c r="Z349" s="58"/>
      <c r="AB349" s="58"/>
      <c r="AC349" s="58"/>
      <c r="AD349" s="58"/>
      <c r="AE349" s="58"/>
    </row>
    <row r="350">
      <c r="E350" s="58"/>
      <c r="F350" s="58"/>
      <c r="G350" s="59"/>
      <c r="H350" s="58"/>
      <c r="J350" s="58"/>
      <c r="K350" s="1"/>
      <c r="M350" s="58"/>
      <c r="N350" s="58"/>
      <c r="Y350" s="58"/>
      <c r="Z350" s="58"/>
      <c r="AB350" s="58"/>
      <c r="AC350" s="58"/>
      <c r="AD350" s="58"/>
      <c r="AE350" s="58"/>
    </row>
    <row r="351">
      <c r="E351" s="58"/>
      <c r="F351" s="58"/>
      <c r="G351" s="59"/>
      <c r="H351" s="58"/>
      <c r="J351" s="58"/>
      <c r="K351" s="1"/>
      <c r="M351" s="58"/>
      <c r="N351" s="58"/>
      <c r="Y351" s="58"/>
      <c r="Z351" s="58"/>
      <c r="AB351" s="58"/>
      <c r="AC351" s="58"/>
      <c r="AD351" s="58"/>
      <c r="AE351" s="58"/>
    </row>
    <row r="352">
      <c r="E352" s="58"/>
      <c r="F352" s="58"/>
      <c r="G352" s="59"/>
      <c r="H352" s="58"/>
      <c r="J352" s="58"/>
      <c r="K352" s="1"/>
      <c r="M352" s="58"/>
      <c r="N352" s="58"/>
      <c r="Y352" s="58"/>
      <c r="Z352" s="58"/>
      <c r="AB352" s="58"/>
      <c r="AC352" s="58"/>
      <c r="AD352" s="58"/>
      <c r="AE352" s="58"/>
    </row>
    <row r="353">
      <c r="E353" s="58"/>
      <c r="F353" s="58"/>
      <c r="G353" s="59"/>
      <c r="H353" s="58"/>
      <c r="J353" s="58"/>
      <c r="K353" s="1"/>
      <c r="M353" s="58"/>
      <c r="N353" s="58"/>
      <c r="Y353" s="58"/>
      <c r="Z353" s="58"/>
      <c r="AB353" s="58"/>
      <c r="AC353" s="58"/>
      <c r="AD353" s="58"/>
      <c r="AE353" s="58"/>
    </row>
    <row r="354">
      <c r="E354" s="58"/>
      <c r="F354" s="58"/>
      <c r="G354" s="59"/>
      <c r="H354" s="58"/>
      <c r="J354" s="58"/>
      <c r="K354" s="1"/>
      <c r="M354" s="58"/>
      <c r="N354" s="58"/>
      <c r="Y354" s="58"/>
      <c r="Z354" s="58"/>
      <c r="AB354" s="58"/>
      <c r="AC354" s="58"/>
      <c r="AD354" s="58"/>
      <c r="AE354" s="58"/>
    </row>
    <row r="355">
      <c r="E355" s="58"/>
      <c r="F355" s="58"/>
      <c r="G355" s="59"/>
      <c r="H355" s="58"/>
      <c r="J355" s="58"/>
      <c r="K355" s="1"/>
      <c r="M355" s="58"/>
      <c r="N355" s="58"/>
      <c r="Y355" s="58"/>
      <c r="Z355" s="58"/>
      <c r="AB355" s="58"/>
      <c r="AC355" s="58"/>
      <c r="AD355" s="58"/>
      <c r="AE355" s="58"/>
    </row>
    <row r="356">
      <c r="E356" s="58"/>
      <c r="F356" s="58"/>
      <c r="G356" s="59"/>
      <c r="H356" s="58"/>
      <c r="J356" s="58"/>
      <c r="K356" s="1"/>
      <c r="M356" s="58"/>
      <c r="N356" s="58"/>
      <c r="Y356" s="58"/>
      <c r="Z356" s="58"/>
      <c r="AB356" s="58"/>
      <c r="AC356" s="58"/>
      <c r="AD356" s="58"/>
      <c r="AE356" s="58"/>
    </row>
    <row r="357">
      <c r="E357" s="58"/>
      <c r="F357" s="58"/>
      <c r="G357" s="59"/>
      <c r="H357" s="58"/>
      <c r="J357" s="58"/>
      <c r="K357" s="1"/>
      <c r="M357" s="58"/>
      <c r="N357" s="58"/>
      <c r="Y357" s="58"/>
      <c r="Z357" s="58"/>
      <c r="AB357" s="58"/>
      <c r="AC357" s="58"/>
      <c r="AD357" s="58"/>
      <c r="AE357" s="58"/>
    </row>
    <row r="358">
      <c r="E358" s="58"/>
      <c r="F358" s="58"/>
      <c r="G358" s="59"/>
      <c r="H358" s="58"/>
      <c r="J358" s="58"/>
      <c r="K358" s="1"/>
      <c r="M358" s="58"/>
      <c r="N358" s="58"/>
      <c r="Y358" s="58"/>
      <c r="Z358" s="58"/>
      <c r="AB358" s="58"/>
      <c r="AC358" s="58"/>
      <c r="AD358" s="58"/>
      <c r="AE358" s="58"/>
    </row>
    <row r="359">
      <c r="E359" s="58"/>
      <c r="F359" s="58"/>
      <c r="G359" s="59"/>
      <c r="H359" s="58"/>
      <c r="J359" s="58"/>
      <c r="K359" s="1"/>
      <c r="M359" s="58"/>
      <c r="N359" s="58"/>
      <c r="Y359" s="58"/>
      <c r="Z359" s="58"/>
      <c r="AB359" s="58"/>
      <c r="AC359" s="58"/>
      <c r="AD359" s="58"/>
      <c r="AE359" s="58"/>
    </row>
    <row r="360">
      <c r="E360" s="58"/>
      <c r="F360" s="58"/>
      <c r="G360" s="59"/>
      <c r="H360" s="58"/>
      <c r="J360" s="58"/>
      <c r="K360" s="1"/>
      <c r="M360" s="58"/>
      <c r="N360" s="58"/>
      <c r="Y360" s="58"/>
      <c r="Z360" s="58"/>
      <c r="AB360" s="58"/>
      <c r="AC360" s="58"/>
      <c r="AD360" s="58"/>
      <c r="AE360" s="58"/>
    </row>
    <row r="361">
      <c r="E361" s="58"/>
      <c r="F361" s="58"/>
      <c r="G361" s="59"/>
      <c r="H361" s="58"/>
      <c r="J361" s="58"/>
      <c r="K361" s="1"/>
      <c r="M361" s="58"/>
      <c r="N361" s="58"/>
      <c r="Y361" s="58"/>
      <c r="Z361" s="58"/>
      <c r="AB361" s="58"/>
      <c r="AC361" s="58"/>
      <c r="AD361" s="58"/>
      <c r="AE361" s="58"/>
    </row>
    <row r="362">
      <c r="E362" s="58"/>
      <c r="F362" s="58"/>
      <c r="G362" s="59"/>
      <c r="H362" s="58"/>
      <c r="J362" s="58"/>
      <c r="K362" s="1"/>
      <c r="M362" s="58"/>
      <c r="N362" s="58"/>
      <c r="Y362" s="58"/>
      <c r="Z362" s="58"/>
      <c r="AB362" s="58"/>
      <c r="AC362" s="58"/>
      <c r="AD362" s="58"/>
      <c r="AE362" s="58"/>
    </row>
    <row r="363">
      <c r="E363" s="58"/>
      <c r="F363" s="58"/>
      <c r="G363" s="59"/>
      <c r="H363" s="58"/>
      <c r="J363" s="58"/>
      <c r="K363" s="1"/>
      <c r="M363" s="58"/>
      <c r="N363" s="58"/>
      <c r="Y363" s="58"/>
      <c r="Z363" s="58"/>
      <c r="AB363" s="58"/>
      <c r="AC363" s="58"/>
      <c r="AD363" s="58"/>
      <c r="AE363" s="58"/>
    </row>
    <row r="364">
      <c r="E364" s="58"/>
      <c r="F364" s="58"/>
      <c r="G364" s="59"/>
      <c r="H364" s="58"/>
      <c r="J364" s="58"/>
      <c r="K364" s="1"/>
      <c r="M364" s="58"/>
      <c r="N364" s="58"/>
      <c r="Y364" s="58"/>
      <c r="Z364" s="58"/>
      <c r="AB364" s="58"/>
      <c r="AC364" s="58"/>
      <c r="AD364" s="58"/>
      <c r="AE364" s="58"/>
    </row>
    <row r="365">
      <c r="E365" s="58"/>
      <c r="F365" s="58"/>
      <c r="G365" s="59"/>
      <c r="H365" s="58"/>
      <c r="J365" s="58"/>
      <c r="K365" s="1"/>
      <c r="M365" s="58"/>
      <c r="N365" s="58"/>
      <c r="Y365" s="58"/>
      <c r="Z365" s="58"/>
      <c r="AB365" s="58"/>
      <c r="AC365" s="58"/>
      <c r="AD365" s="58"/>
      <c r="AE365" s="58"/>
    </row>
    <row r="366">
      <c r="E366" s="58"/>
      <c r="F366" s="58"/>
      <c r="G366" s="59"/>
      <c r="H366" s="58"/>
      <c r="J366" s="58"/>
      <c r="K366" s="1"/>
      <c r="M366" s="58"/>
      <c r="N366" s="58"/>
      <c r="Y366" s="58"/>
      <c r="Z366" s="58"/>
      <c r="AB366" s="58"/>
      <c r="AC366" s="58"/>
      <c r="AD366" s="58"/>
      <c r="AE366" s="58"/>
    </row>
    <row r="367">
      <c r="E367" s="58"/>
      <c r="F367" s="58"/>
      <c r="G367" s="59"/>
      <c r="H367" s="58"/>
      <c r="J367" s="58"/>
      <c r="K367" s="1"/>
      <c r="M367" s="58"/>
      <c r="N367" s="58"/>
      <c r="Y367" s="58"/>
      <c r="Z367" s="58"/>
      <c r="AB367" s="58"/>
      <c r="AC367" s="58"/>
      <c r="AD367" s="58"/>
      <c r="AE367" s="58"/>
    </row>
    <row r="368">
      <c r="E368" s="58"/>
      <c r="F368" s="58"/>
      <c r="G368" s="59"/>
      <c r="H368" s="58"/>
      <c r="J368" s="58"/>
      <c r="K368" s="1"/>
      <c r="M368" s="58"/>
      <c r="N368" s="58"/>
      <c r="Y368" s="58"/>
      <c r="Z368" s="58"/>
      <c r="AB368" s="58"/>
      <c r="AC368" s="58"/>
      <c r="AD368" s="58"/>
      <c r="AE368" s="58"/>
    </row>
    <row r="369">
      <c r="E369" s="58"/>
      <c r="F369" s="58"/>
      <c r="G369" s="59"/>
      <c r="H369" s="58"/>
      <c r="J369" s="58"/>
      <c r="K369" s="1"/>
      <c r="M369" s="58"/>
      <c r="N369" s="58"/>
      <c r="Y369" s="58"/>
      <c r="Z369" s="58"/>
      <c r="AB369" s="58"/>
      <c r="AC369" s="58"/>
      <c r="AD369" s="58"/>
      <c r="AE369" s="58"/>
    </row>
    <row r="370">
      <c r="E370" s="58"/>
      <c r="F370" s="58"/>
      <c r="G370" s="59"/>
      <c r="H370" s="58"/>
      <c r="J370" s="58"/>
      <c r="K370" s="1"/>
      <c r="M370" s="58"/>
      <c r="N370" s="58"/>
      <c r="Y370" s="58"/>
      <c r="Z370" s="58"/>
      <c r="AB370" s="58"/>
      <c r="AC370" s="58"/>
      <c r="AD370" s="58"/>
      <c r="AE370" s="58"/>
    </row>
    <row r="371">
      <c r="E371" s="58"/>
      <c r="F371" s="58"/>
      <c r="G371" s="59"/>
      <c r="H371" s="58"/>
      <c r="J371" s="58"/>
      <c r="K371" s="1"/>
      <c r="M371" s="58"/>
      <c r="N371" s="58"/>
      <c r="Y371" s="58"/>
      <c r="Z371" s="58"/>
      <c r="AB371" s="58"/>
      <c r="AC371" s="58"/>
      <c r="AD371" s="58"/>
      <c r="AE371" s="58"/>
    </row>
    <row r="372">
      <c r="E372" s="58"/>
      <c r="F372" s="58"/>
      <c r="G372" s="59"/>
      <c r="H372" s="58"/>
      <c r="J372" s="58"/>
      <c r="K372" s="1"/>
      <c r="M372" s="58"/>
      <c r="N372" s="58"/>
      <c r="Y372" s="58"/>
      <c r="Z372" s="58"/>
      <c r="AB372" s="58"/>
      <c r="AC372" s="58"/>
      <c r="AD372" s="58"/>
      <c r="AE372" s="58"/>
    </row>
    <row r="373">
      <c r="E373" s="58"/>
      <c r="F373" s="58"/>
      <c r="G373" s="59"/>
      <c r="H373" s="58"/>
      <c r="J373" s="58"/>
      <c r="K373" s="1"/>
      <c r="M373" s="58"/>
      <c r="N373" s="58"/>
      <c r="Y373" s="58"/>
      <c r="Z373" s="58"/>
      <c r="AB373" s="58"/>
      <c r="AC373" s="58"/>
      <c r="AD373" s="58"/>
      <c r="AE373" s="58"/>
    </row>
    <row r="374">
      <c r="E374" s="58"/>
      <c r="F374" s="58"/>
      <c r="G374" s="59"/>
      <c r="H374" s="58"/>
      <c r="J374" s="58"/>
      <c r="K374" s="1"/>
      <c r="M374" s="58"/>
      <c r="N374" s="58"/>
      <c r="Y374" s="58"/>
      <c r="Z374" s="58"/>
      <c r="AB374" s="58"/>
      <c r="AC374" s="58"/>
      <c r="AD374" s="58"/>
      <c r="AE374" s="58"/>
    </row>
    <row r="375">
      <c r="E375" s="58"/>
      <c r="F375" s="58"/>
      <c r="G375" s="59"/>
      <c r="H375" s="58"/>
      <c r="J375" s="58"/>
      <c r="K375" s="1"/>
      <c r="M375" s="58"/>
      <c r="N375" s="58"/>
      <c r="Y375" s="58"/>
      <c r="Z375" s="58"/>
      <c r="AB375" s="58"/>
      <c r="AC375" s="58"/>
      <c r="AD375" s="58"/>
      <c r="AE375" s="58"/>
    </row>
    <row r="376">
      <c r="E376" s="58"/>
      <c r="F376" s="58"/>
      <c r="G376" s="59"/>
      <c r="H376" s="58"/>
      <c r="J376" s="58"/>
      <c r="K376" s="1"/>
      <c r="M376" s="58"/>
      <c r="N376" s="58"/>
      <c r="Y376" s="58"/>
      <c r="Z376" s="58"/>
      <c r="AB376" s="58"/>
      <c r="AC376" s="58"/>
      <c r="AD376" s="58"/>
      <c r="AE376" s="58"/>
    </row>
    <row r="377">
      <c r="E377" s="58"/>
      <c r="F377" s="58"/>
      <c r="G377" s="59"/>
      <c r="H377" s="58"/>
      <c r="J377" s="58"/>
      <c r="K377" s="1"/>
      <c r="M377" s="58"/>
      <c r="N377" s="58"/>
      <c r="Y377" s="58"/>
      <c r="Z377" s="58"/>
      <c r="AB377" s="58"/>
      <c r="AC377" s="58"/>
      <c r="AD377" s="58"/>
      <c r="AE377" s="58"/>
    </row>
    <row r="378">
      <c r="E378" s="58"/>
      <c r="F378" s="58"/>
      <c r="G378" s="59"/>
      <c r="H378" s="58"/>
      <c r="J378" s="58"/>
      <c r="K378" s="1"/>
      <c r="M378" s="58"/>
      <c r="N378" s="58"/>
      <c r="Y378" s="58"/>
      <c r="Z378" s="58"/>
      <c r="AB378" s="58"/>
      <c r="AC378" s="58"/>
      <c r="AD378" s="58"/>
      <c r="AE378" s="58"/>
    </row>
    <row r="379">
      <c r="E379" s="58"/>
      <c r="F379" s="58"/>
      <c r="G379" s="59"/>
      <c r="H379" s="58"/>
      <c r="J379" s="58"/>
      <c r="K379" s="1"/>
      <c r="M379" s="58"/>
      <c r="N379" s="58"/>
      <c r="Y379" s="58"/>
      <c r="Z379" s="58"/>
      <c r="AB379" s="58"/>
      <c r="AC379" s="58"/>
      <c r="AD379" s="58"/>
      <c r="AE379" s="58"/>
    </row>
    <row r="380">
      <c r="E380" s="58"/>
      <c r="F380" s="58"/>
      <c r="G380" s="59"/>
      <c r="H380" s="58"/>
      <c r="J380" s="58"/>
      <c r="K380" s="1"/>
      <c r="M380" s="58"/>
      <c r="N380" s="58"/>
      <c r="Y380" s="58"/>
      <c r="Z380" s="58"/>
      <c r="AB380" s="58"/>
      <c r="AC380" s="58"/>
      <c r="AD380" s="58"/>
      <c r="AE380" s="58"/>
    </row>
    <row r="381">
      <c r="E381" s="58"/>
      <c r="F381" s="58"/>
      <c r="G381" s="59"/>
      <c r="H381" s="58"/>
      <c r="J381" s="58"/>
      <c r="K381" s="1"/>
      <c r="M381" s="58"/>
      <c r="N381" s="58"/>
      <c r="Y381" s="58"/>
      <c r="Z381" s="58"/>
      <c r="AB381" s="58"/>
      <c r="AC381" s="58"/>
      <c r="AD381" s="58"/>
      <c r="AE381" s="58"/>
    </row>
    <row r="382">
      <c r="E382" s="58"/>
      <c r="F382" s="58"/>
      <c r="G382" s="59"/>
      <c r="H382" s="58"/>
      <c r="J382" s="58"/>
      <c r="K382" s="1"/>
      <c r="M382" s="58"/>
      <c r="N382" s="58"/>
      <c r="Y382" s="58"/>
      <c r="Z382" s="58"/>
      <c r="AB382" s="58"/>
      <c r="AC382" s="58"/>
      <c r="AD382" s="58"/>
      <c r="AE382" s="58"/>
    </row>
    <row r="383">
      <c r="E383" s="58"/>
      <c r="F383" s="58"/>
      <c r="G383" s="59"/>
      <c r="H383" s="58"/>
      <c r="J383" s="58"/>
      <c r="K383" s="1"/>
      <c r="M383" s="58"/>
      <c r="N383" s="58"/>
      <c r="Y383" s="58"/>
      <c r="Z383" s="58"/>
      <c r="AB383" s="58"/>
      <c r="AC383" s="58"/>
      <c r="AD383" s="58"/>
      <c r="AE383" s="58"/>
    </row>
    <row r="384">
      <c r="E384" s="58"/>
      <c r="F384" s="58"/>
      <c r="G384" s="59"/>
      <c r="H384" s="58"/>
      <c r="J384" s="58"/>
      <c r="K384" s="1"/>
      <c r="M384" s="58"/>
      <c r="N384" s="58"/>
      <c r="Y384" s="58"/>
      <c r="Z384" s="58"/>
      <c r="AB384" s="58"/>
      <c r="AC384" s="58"/>
      <c r="AD384" s="58"/>
      <c r="AE384" s="58"/>
    </row>
    <row r="385">
      <c r="E385" s="58"/>
      <c r="F385" s="58"/>
      <c r="G385" s="59"/>
      <c r="H385" s="58"/>
      <c r="J385" s="58"/>
      <c r="K385" s="1"/>
      <c r="M385" s="58"/>
      <c r="N385" s="58"/>
      <c r="Y385" s="58"/>
      <c r="Z385" s="58"/>
      <c r="AB385" s="58"/>
      <c r="AC385" s="58"/>
      <c r="AD385" s="58"/>
      <c r="AE385" s="58"/>
    </row>
    <row r="386">
      <c r="E386" s="58"/>
      <c r="F386" s="58"/>
      <c r="G386" s="59"/>
      <c r="H386" s="58"/>
      <c r="J386" s="58"/>
      <c r="K386" s="1"/>
      <c r="M386" s="58"/>
      <c r="N386" s="58"/>
      <c r="Y386" s="58"/>
      <c r="Z386" s="58"/>
      <c r="AB386" s="58"/>
      <c r="AC386" s="58"/>
      <c r="AD386" s="58"/>
      <c r="AE386" s="58"/>
    </row>
    <row r="387">
      <c r="E387" s="58"/>
      <c r="F387" s="58"/>
      <c r="G387" s="59"/>
      <c r="H387" s="58"/>
      <c r="J387" s="58"/>
      <c r="K387" s="1"/>
      <c r="M387" s="58"/>
      <c r="N387" s="58"/>
      <c r="Y387" s="58"/>
      <c r="Z387" s="58"/>
      <c r="AB387" s="58"/>
      <c r="AC387" s="58"/>
      <c r="AD387" s="58"/>
      <c r="AE387" s="58"/>
    </row>
    <row r="388">
      <c r="E388" s="58"/>
      <c r="F388" s="58"/>
      <c r="G388" s="59"/>
      <c r="H388" s="58"/>
      <c r="J388" s="58"/>
      <c r="K388" s="1"/>
      <c r="M388" s="58"/>
      <c r="N388" s="58"/>
      <c r="Y388" s="58"/>
      <c r="Z388" s="58"/>
      <c r="AB388" s="58"/>
      <c r="AC388" s="58"/>
      <c r="AD388" s="58"/>
      <c r="AE388" s="58"/>
    </row>
    <row r="389">
      <c r="E389" s="58"/>
      <c r="F389" s="58"/>
      <c r="G389" s="59"/>
      <c r="H389" s="58"/>
      <c r="J389" s="58"/>
      <c r="K389" s="1"/>
      <c r="M389" s="58"/>
      <c r="N389" s="58"/>
      <c r="Y389" s="58"/>
      <c r="Z389" s="58"/>
      <c r="AB389" s="58"/>
      <c r="AC389" s="58"/>
      <c r="AD389" s="58"/>
      <c r="AE389" s="58"/>
    </row>
    <row r="390">
      <c r="E390" s="58"/>
      <c r="F390" s="58"/>
      <c r="G390" s="59"/>
      <c r="H390" s="58"/>
      <c r="J390" s="58"/>
      <c r="K390" s="1"/>
      <c r="M390" s="58"/>
      <c r="N390" s="58"/>
      <c r="Y390" s="58"/>
      <c r="Z390" s="58"/>
      <c r="AB390" s="58"/>
      <c r="AC390" s="58"/>
      <c r="AD390" s="58"/>
      <c r="AE390" s="58"/>
    </row>
    <row r="391">
      <c r="E391" s="58"/>
      <c r="F391" s="58"/>
      <c r="G391" s="59"/>
      <c r="H391" s="58"/>
      <c r="J391" s="58"/>
      <c r="K391" s="1"/>
      <c r="M391" s="58"/>
      <c r="N391" s="58"/>
      <c r="Y391" s="58"/>
      <c r="Z391" s="58"/>
      <c r="AB391" s="58"/>
      <c r="AC391" s="58"/>
      <c r="AD391" s="58"/>
      <c r="AE391" s="58"/>
    </row>
    <row r="392">
      <c r="E392" s="58"/>
      <c r="F392" s="58"/>
      <c r="G392" s="59"/>
      <c r="H392" s="58"/>
      <c r="J392" s="58"/>
      <c r="K392" s="1"/>
      <c r="M392" s="58"/>
      <c r="N392" s="58"/>
      <c r="Y392" s="58"/>
      <c r="Z392" s="58"/>
      <c r="AB392" s="58"/>
      <c r="AC392" s="58"/>
      <c r="AD392" s="58"/>
      <c r="AE392" s="58"/>
    </row>
    <row r="393">
      <c r="E393" s="58"/>
      <c r="F393" s="58"/>
      <c r="G393" s="59"/>
      <c r="H393" s="58"/>
      <c r="J393" s="58"/>
      <c r="K393" s="1"/>
      <c r="M393" s="58"/>
      <c r="N393" s="58"/>
      <c r="Y393" s="58"/>
      <c r="Z393" s="58"/>
      <c r="AB393" s="58"/>
      <c r="AC393" s="58"/>
      <c r="AD393" s="58"/>
      <c r="AE393" s="58"/>
    </row>
    <row r="394">
      <c r="E394" s="58"/>
      <c r="F394" s="58"/>
      <c r="G394" s="59"/>
      <c r="H394" s="58"/>
      <c r="J394" s="58"/>
      <c r="K394" s="1"/>
      <c r="M394" s="58"/>
      <c r="N394" s="58"/>
      <c r="Y394" s="58"/>
      <c r="Z394" s="58"/>
      <c r="AB394" s="58"/>
      <c r="AC394" s="58"/>
      <c r="AD394" s="58"/>
      <c r="AE394" s="58"/>
    </row>
    <row r="395">
      <c r="E395" s="58"/>
      <c r="F395" s="58"/>
      <c r="G395" s="59"/>
      <c r="H395" s="58"/>
      <c r="J395" s="58"/>
      <c r="K395" s="1"/>
      <c r="M395" s="58"/>
      <c r="N395" s="58"/>
      <c r="Y395" s="58"/>
      <c r="Z395" s="58"/>
      <c r="AB395" s="58"/>
      <c r="AC395" s="58"/>
      <c r="AD395" s="58"/>
      <c r="AE395" s="58"/>
    </row>
    <row r="396">
      <c r="E396" s="58"/>
      <c r="F396" s="58"/>
      <c r="G396" s="59"/>
      <c r="H396" s="58"/>
      <c r="J396" s="58"/>
      <c r="K396" s="1"/>
      <c r="M396" s="58"/>
      <c r="N396" s="58"/>
      <c r="Y396" s="58"/>
      <c r="Z396" s="58"/>
      <c r="AB396" s="58"/>
      <c r="AC396" s="58"/>
      <c r="AD396" s="58"/>
      <c r="AE396" s="58"/>
    </row>
    <row r="397">
      <c r="E397" s="58"/>
      <c r="F397" s="58"/>
      <c r="G397" s="59"/>
      <c r="H397" s="58"/>
      <c r="J397" s="58"/>
      <c r="K397" s="1"/>
      <c r="M397" s="58"/>
      <c r="N397" s="58"/>
      <c r="Y397" s="58"/>
      <c r="Z397" s="58"/>
      <c r="AB397" s="58"/>
      <c r="AC397" s="58"/>
      <c r="AD397" s="58"/>
      <c r="AE397" s="58"/>
    </row>
    <row r="398">
      <c r="E398" s="58"/>
      <c r="F398" s="58"/>
      <c r="G398" s="59"/>
      <c r="H398" s="58"/>
      <c r="J398" s="58"/>
      <c r="K398" s="1"/>
      <c r="M398" s="58"/>
      <c r="N398" s="58"/>
      <c r="Y398" s="58"/>
      <c r="Z398" s="58"/>
      <c r="AB398" s="58"/>
      <c r="AC398" s="58"/>
      <c r="AD398" s="58"/>
      <c r="AE398" s="58"/>
    </row>
    <row r="399">
      <c r="E399" s="58"/>
      <c r="F399" s="58"/>
      <c r="G399" s="59"/>
      <c r="H399" s="58"/>
      <c r="J399" s="58"/>
      <c r="K399" s="1"/>
      <c r="M399" s="58"/>
      <c r="N399" s="58"/>
      <c r="Y399" s="58"/>
      <c r="Z399" s="58"/>
      <c r="AB399" s="58"/>
      <c r="AC399" s="58"/>
      <c r="AD399" s="58"/>
      <c r="AE399" s="58"/>
    </row>
    <row r="400">
      <c r="E400" s="58"/>
      <c r="F400" s="58"/>
      <c r="G400" s="59"/>
      <c r="H400" s="58"/>
      <c r="J400" s="58"/>
      <c r="K400" s="1"/>
      <c r="M400" s="58"/>
      <c r="N400" s="58"/>
      <c r="Y400" s="58"/>
      <c r="Z400" s="58"/>
      <c r="AB400" s="58"/>
      <c r="AC400" s="58"/>
      <c r="AD400" s="58"/>
      <c r="AE400" s="58"/>
    </row>
    <row r="401">
      <c r="E401" s="58"/>
      <c r="F401" s="58"/>
      <c r="G401" s="59"/>
      <c r="H401" s="58"/>
      <c r="J401" s="58"/>
      <c r="K401" s="1"/>
      <c r="M401" s="58"/>
      <c r="N401" s="58"/>
      <c r="Y401" s="58"/>
      <c r="Z401" s="58"/>
      <c r="AB401" s="58"/>
      <c r="AC401" s="58"/>
      <c r="AD401" s="58"/>
      <c r="AE401" s="58"/>
    </row>
    <row r="402">
      <c r="E402" s="58"/>
      <c r="F402" s="58"/>
      <c r="G402" s="59"/>
      <c r="H402" s="58"/>
      <c r="J402" s="58"/>
      <c r="K402" s="1"/>
      <c r="M402" s="58"/>
      <c r="N402" s="58"/>
      <c r="Y402" s="58"/>
      <c r="Z402" s="58"/>
      <c r="AB402" s="58"/>
      <c r="AC402" s="58"/>
      <c r="AD402" s="58"/>
      <c r="AE402" s="58"/>
    </row>
    <row r="403">
      <c r="E403" s="58"/>
      <c r="F403" s="58"/>
      <c r="G403" s="59"/>
      <c r="H403" s="58"/>
      <c r="J403" s="58"/>
      <c r="K403" s="1"/>
      <c r="M403" s="58"/>
      <c r="N403" s="58"/>
      <c r="Y403" s="58"/>
      <c r="Z403" s="58"/>
      <c r="AB403" s="58"/>
      <c r="AC403" s="58"/>
      <c r="AD403" s="58"/>
      <c r="AE403" s="58"/>
    </row>
    <row r="404">
      <c r="E404" s="58"/>
      <c r="F404" s="58"/>
      <c r="G404" s="59"/>
      <c r="H404" s="58"/>
      <c r="J404" s="58"/>
      <c r="K404" s="1"/>
      <c r="M404" s="58"/>
      <c r="N404" s="58"/>
      <c r="Y404" s="58"/>
      <c r="Z404" s="58"/>
      <c r="AB404" s="58"/>
      <c r="AC404" s="58"/>
      <c r="AD404" s="58"/>
      <c r="AE404" s="58"/>
    </row>
    <row r="405">
      <c r="E405" s="58"/>
      <c r="F405" s="58"/>
      <c r="G405" s="59"/>
      <c r="H405" s="58"/>
      <c r="J405" s="58"/>
      <c r="K405" s="1"/>
      <c r="M405" s="58"/>
      <c r="N405" s="58"/>
      <c r="Y405" s="58"/>
      <c r="Z405" s="58"/>
      <c r="AB405" s="58"/>
      <c r="AC405" s="58"/>
      <c r="AD405" s="58"/>
      <c r="AE405" s="58"/>
    </row>
    <row r="406">
      <c r="E406" s="58"/>
      <c r="F406" s="58"/>
      <c r="G406" s="59"/>
      <c r="H406" s="58"/>
      <c r="J406" s="58"/>
      <c r="K406" s="1"/>
      <c r="M406" s="58"/>
      <c r="N406" s="58"/>
      <c r="Y406" s="58"/>
      <c r="Z406" s="58"/>
      <c r="AB406" s="58"/>
      <c r="AC406" s="58"/>
      <c r="AD406" s="58"/>
      <c r="AE406" s="58"/>
    </row>
    <row r="407">
      <c r="E407" s="58"/>
      <c r="F407" s="58"/>
      <c r="G407" s="59"/>
      <c r="H407" s="58"/>
      <c r="J407" s="58"/>
      <c r="K407" s="1"/>
      <c r="M407" s="58"/>
      <c r="N407" s="58"/>
      <c r="Y407" s="58"/>
      <c r="Z407" s="58"/>
      <c r="AB407" s="58"/>
      <c r="AC407" s="58"/>
      <c r="AD407" s="58"/>
      <c r="AE407" s="58"/>
    </row>
    <row r="408">
      <c r="E408" s="58"/>
      <c r="F408" s="58"/>
      <c r="G408" s="59"/>
      <c r="H408" s="58"/>
      <c r="J408" s="58"/>
      <c r="K408" s="1"/>
      <c r="M408" s="58"/>
      <c r="N408" s="58"/>
      <c r="Y408" s="58"/>
      <c r="Z408" s="58"/>
      <c r="AB408" s="58"/>
      <c r="AC408" s="58"/>
      <c r="AD408" s="58"/>
      <c r="AE408" s="58"/>
    </row>
    <row r="409">
      <c r="E409" s="58"/>
      <c r="F409" s="58"/>
      <c r="G409" s="59"/>
      <c r="H409" s="58"/>
      <c r="J409" s="58"/>
      <c r="K409" s="1"/>
      <c r="M409" s="58"/>
      <c r="N409" s="58"/>
      <c r="Y409" s="58"/>
      <c r="Z409" s="58"/>
      <c r="AB409" s="58"/>
      <c r="AC409" s="58"/>
      <c r="AD409" s="58"/>
      <c r="AE409" s="58"/>
    </row>
    <row r="410">
      <c r="E410" s="58"/>
      <c r="F410" s="58"/>
      <c r="G410" s="59"/>
      <c r="H410" s="58"/>
      <c r="J410" s="58"/>
      <c r="K410" s="1"/>
      <c r="M410" s="58"/>
      <c r="N410" s="58"/>
      <c r="Y410" s="58"/>
      <c r="Z410" s="58"/>
      <c r="AB410" s="58"/>
      <c r="AC410" s="58"/>
      <c r="AD410" s="58"/>
      <c r="AE410" s="58"/>
    </row>
    <row r="411">
      <c r="E411" s="58"/>
      <c r="F411" s="58"/>
      <c r="G411" s="59"/>
      <c r="H411" s="58"/>
      <c r="J411" s="58"/>
      <c r="K411" s="1"/>
      <c r="M411" s="58"/>
      <c r="N411" s="58"/>
      <c r="Y411" s="58"/>
      <c r="Z411" s="58"/>
      <c r="AB411" s="58"/>
      <c r="AC411" s="58"/>
      <c r="AD411" s="58"/>
      <c r="AE411" s="58"/>
    </row>
    <row r="412">
      <c r="E412" s="58"/>
      <c r="F412" s="58"/>
      <c r="G412" s="59"/>
      <c r="H412" s="58"/>
      <c r="J412" s="58"/>
      <c r="K412" s="1"/>
      <c r="M412" s="58"/>
      <c r="N412" s="58"/>
      <c r="Y412" s="58"/>
      <c r="Z412" s="58"/>
      <c r="AB412" s="58"/>
      <c r="AC412" s="58"/>
      <c r="AD412" s="58"/>
      <c r="AE412" s="58"/>
    </row>
    <row r="413">
      <c r="E413" s="58"/>
      <c r="F413" s="58"/>
      <c r="G413" s="59"/>
      <c r="H413" s="58"/>
      <c r="J413" s="58"/>
      <c r="K413" s="1"/>
      <c r="M413" s="58"/>
      <c r="N413" s="58"/>
      <c r="Y413" s="58"/>
      <c r="Z413" s="58"/>
      <c r="AB413" s="58"/>
      <c r="AC413" s="58"/>
      <c r="AD413" s="58"/>
      <c r="AE413" s="58"/>
    </row>
    <row r="414">
      <c r="E414" s="58"/>
      <c r="F414" s="58"/>
      <c r="G414" s="59"/>
      <c r="H414" s="58"/>
      <c r="J414" s="58"/>
      <c r="K414" s="1"/>
      <c r="M414" s="58"/>
      <c r="N414" s="58"/>
      <c r="Y414" s="58"/>
      <c r="Z414" s="58"/>
      <c r="AB414" s="58"/>
      <c r="AC414" s="58"/>
      <c r="AD414" s="58"/>
      <c r="AE414" s="58"/>
    </row>
    <row r="415">
      <c r="E415" s="58"/>
      <c r="F415" s="58"/>
      <c r="G415" s="59"/>
      <c r="H415" s="58"/>
      <c r="J415" s="58"/>
      <c r="K415" s="1"/>
      <c r="M415" s="58"/>
      <c r="N415" s="58"/>
      <c r="Y415" s="58"/>
      <c r="Z415" s="58"/>
      <c r="AB415" s="58"/>
      <c r="AC415" s="58"/>
      <c r="AD415" s="58"/>
      <c r="AE415" s="58"/>
    </row>
    <row r="416">
      <c r="E416" s="58"/>
      <c r="F416" s="58"/>
      <c r="G416" s="59"/>
      <c r="H416" s="58"/>
      <c r="J416" s="58"/>
      <c r="K416" s="1"/>
      <c r="M416" s="58"/>
      <c r="N416" s="58"/>
      <c r="Y416" s="58"/>
      <c r="Z416" s="58"/>
      <c r="AB416" s="58"/>
      <c r="AC416" s="58"/>
      <c r="AD416" s="58"/>
      <c r="AE416" s="58"/>
    </row>
    <row r="417">
      <c r="E417" s="58"/>
      <c r="F417" s="58"/>
      <c r="G417" s="59"/>
      <c r="H417" s="58"/>
      <c r="J417" s="58"/>
      <c r="K417" s="1"/>
      <c r="M417" s="58"/>
      <c r="N417" s="58"/>
      <c r="Y417" s="58"/>
      <c r="Z417" s="58"/>
      <c r="AB417" s="58"/>
      <c r="AC417" s="58"/>
      <c r="AD417" s="58"/>
      <c r="AE417" s="58"/>
    </row>
    <row r="418">
      <c r="E418" s="58"/>
      <c r="F418" s="58"/>
      <c r="G418" s="59"/>
      <c r="H418" s="58"/>
      <c r="J418" s="58"/>
      <c r="K418" s="1"/>
      <c r="M418" s="58"/>
      <c r="N418" s="58"/>
      <c r="Y418" s="58"/>
      <c r="Z418" s="58"/>
      <c r="AB418" s="58"/>
      <c r="AC418" s="58"/>
      <c r="AD418" s="58"/>
      <c r="AE418" s="58"/>
    </row>
    <row r="419">
      <c r="E419" s="58"/>
      <c r="F419" s="58"/>
      <c r="G419" s="59"/>
      <c r="H419" s="58"/>
      <c r="J419" s="58"/>
      <c r="K419" s="1"/>
      <c r="M419" s="58"/>
      <c r="N419" s="58"/>
      <c r="Y419" s="58"/>
      <c r="Z419" s="58"/>
      <c r="AB419" s="58"/>
      <c r="AC419" s="58"/>
      <c r="AD419" s="58"/>
      <c r="AE419" s="58"/>
    </row>
    <row r="420">
      <c r="E420" s="58"/>
      <c r="F420" s="58"/>
      <c r="G420" s="59"/>
      <c r="H420" s="58"/>
      <c r="J420" s="58"/>
      <c r="K420" s="1"/>
      <c r="M420" s="58"/>
      <c r="N420" s="58"/>
      <c r="Y420" s="58"/>
      <c r="Z420" s="58"/>
      <c r="AB420" s="58"/>
      <c r="AC420" s="58"/>
      <c r="AD420" s="58"/>
      <c r="AE420" s="58"/>
    </row>
    <row r="421">
      <c r="E421" s="58"/>
      <c r="F421" s="58"/>
      <c r="G421" s="59"/>
      <c r="H421" s="58"/>
      <c r="J421" s="58"/>
      <c r="K421" s="1"/>
      <c r="M421" s="58"/>
      <c r="N421" s="58"/>
      <c r="Y421" s="58"/>
      <c r="Z421" s="58"/>
      <c r="AB421" s="58"/>
      <c r="AC421" s="58"/>
      <c r="AD421" s="58"/>
      <c r="AE421" s="58"/>
    </row>
    <row r="422">
      <c r="E422" s="58"/>
      <c r="F422" s="58"/>
      <c r="G422" s="59"/>
      <c r="H422" s="58"/>
      <c r="J422" s="58"/>
      <c r="K422" s="1"/>
      <c r="M422" s="58"/>
      <c r="N422" s="58"/>
      <c r="Y422" s="58"/>
      <c r="Z422" s="58"/>
      <c r="AB422" s="58"/>
      <c r="AC422" s="58"/>
      <c r="AD422" s="58"/>
      <c r="AE422" s="58"/>
    </row>
    <row r="423">
      <c r="E423" s="58"/>
      <c r="F423" s="58"/>
      <c r="G423" s="59"/>
      <c r="H423" s="58"/>
      <c r="J423" s="58"/>
      <c r="K423" s="1"/>
      <c r="M423" s="58"/>
      <c r="N423" s="58"/>
      <c r="Y423" s="58"/>
      <c r="Z423" s="58"/>
      <c r="AB423" s="58"/>
      <c r="AC423" s="58"/>
      <c r="AD423" s="58"/>
      <c r="AE423" s="58"/>
    </row>
    <row r="424">
      <c r="E424" s="58"/>
      <c r="F424" s="58"/>
      <c r="G424" s="59"/>
      <c r="H424" s="58"/>
      <c r="J424" s="58"/>
      <c r="K424" s="1"/>
      <c r="M424" s="58"/>
      <c r="N424" s="58"/>
      <c r="Y424" s="58"/>
      <c r="Z424" s="58"/>
      <c r="AB424" s="58"/>
      <c r="AC424" s="58"/>
      <c r="AD424" s="58"/>
      <c r="AE424" s="58"/>
    </row>
    <row r="425">
      <c r="E425" s="58"/>
      <c r="F425" s="58"/>
      <c r="G425" s="59"/>
      <c r="H425" s="58"/>
      <c r="J425" s="58"/>
      <c r="K425" s="1"/>
      <c r="M425" s="58"/>
      <c r="N425" s="58"/>
      <c r="Y425" s="58"/>
      <c r="Z425" s="58"/>
      <c r="AB425" s="58"/>
      <c r="AC425" s="58"/>
      <c r="AD425" s="58"/>
      <c r="AE425" s="58"/>
    </row>
    <row r="426">
      <c r="E426" s="58"/>
      <c r="F426" s="58"/>
      <c r="G426" s="59"/>
      <c r="H426" s="58"/>
      <c r="J426" s="58"/>
      <c r="K426" s="1"/>
      <c r="M426" s="58"/>
      <c r="N426" s="58"/>
      <c r="Y426" s="58"/>
      <c r="Z426" s="58"/>
      <c r="AB426" s="58"/>
      <c r="AC426" s="58"/>
      <c r="AD426" s="58"/>
      <c r="AE426" s="58"/>
    </row>
    <row r="427">
      <c r="E427" s="58"/>
      <c r="F427" s="58"/>
      <c r="G427" s="59"/>
      <c r="H427" s="58"/>
      <c r="J427" s="58"/>
      <c r="K427" s="1"/>
      <c r="M427" s="58"/>
      <c r="N427" s="58"/>
      <c r="Y427" s="58"/>
      <c r="Z427" s="58"/>
      <c r="AB427" s="58"/>
      <c r="AC427" s="58"/>
      <c r="AD427" s="58"/>
      <c r="AE427" s="58"/>
    </row>
    <row r="428">
      <c r="E428" s="58"/>
      <c r="F428" s="58"/>
      <c r="G428" s="59"/>
      <c r="H428" s="58"/>
      <c r="J428" s="58"/>
      <c r="K428" s="1"/>
      <c r="M428" s="58"/>
      <c r="N428" s="58"/>
      <c r="Y428" s="58"/>
      <c r="Z428" s="58"/>
      <c r="AB428" s="58"/>
      <c r="AC428" s="58"/>
      <c r="AD428" s="58"/>
      <c r="AE428" s="58"/>
    </row>
    <row r="429">
      <c r="E429" s="58"/>
      <c r="F429" s="58"/>
      <c r="G429" s="59"/>
      <c r="H429" s="58"/>
      <c r="J429" s="58"/>
      <c r="K429" s="1"/>
      <c r="M429" s="58"/>
      <c r="N429" s="58"/>
      <c r="Y429" s="58"/>
      <c r="Z429" s="58"/>
      <c r="AB429" s="58"/>
      <c r="AC429" s="58"/>
      <c r="AD429" s="58"/>
      <c r="AE429" s="58"/>
    </row>
    <row r="430">
      <c r="E430" s="58"/>
      <c r="F430" s="58"/>
      <c r="G430" s="59"/>
      <c r="H430" s="58"/>
      <c r="J430" s="58"/>
      <c r="K430" s="1"/>
      <c r="M430" s="58"/>
      <c r="N430" s="58"/>
      <c r="Y430" s="58"/>
      <c r="Z430" s="58"/>
      <c r="AB430" s="58"/>
      <c r="AC430" s="58"/>
      <c r="AD430" s="58"/>
      <c r="AE430" s="58"/>
    </row>
    <row r="431">
      <c r="E431" s="58"/>
      <c r="F431" s="58"/>
      <c r="G431" s="59"/>
      <c r="H431" s="58"/>
      <c r="J431" s="58"/>
      <c r="K431" s="1"/>
      <c r="M431" s="58"/>
      <c r="N431" s="58"/>
      <c r="Y431" s="58"/>
      <c r="Z431" s="58"/>
      <c r="AB431" s="58"/>
      <c r="AC431" s="58"/>
      <c r="AD431" s="58"/>
      <c r="AE431" s="58"/>
    </row>
    <row r="432">
      <c r="E432" s="58"/>
      <c r="F432" s="58"/>
      <c r="G432" s="59"/>
      <c r="H432" s="58"/>
      <c r="J432" s="58"/>
      <c r="K432" s="1"/>
      <c r="M432" s="58"/>
      <c r="N432" s="58"/>
      <c r="Y432" s="58"/>
      <c r="Z432" s="58"/>
      <c r="AB432" s="58"/>
      <c r="AC432" s="58"/>
      <c r="AD432" s="58"/>
      <c r="AE432" s="58"/>
    </row>
    <row r="433">
      <c r="E433" s="58"/>
      <c r="F433" s="58"/>
      <c r="G433" s="59"/>
      <c r="H433" s="58"/>
      <c r="J433" s="58"/>
      <c r="K433" s="1"/>
      <c r="M433" s="58"/>
      <c r="N433" s="58"/>
      <c r="Y433" s="58"/>
      <c r="Z433" s="58"/>
      <c r="AB433" s="58"/>
      <c r="AC433" s="58"/>
      <c r="AD433" s="58"/>
      <c r="AE433" s="58"/>
    </row>
    <row r="434">
      <c r="E434" s="58"/>
      <c r="F434" s="58"/>
      <c r="G434" s="59"/>
      <c r="H434" s="58"/>
      <c r="J434" s="58"/>
      <c r="K434" s="1"/>
      <c r="M434" s="58"/>
      <c r="N434" s="58"/>
      <c r="Y434" s="58"/>
      <c r="Z434" s="58"/>
      <c r="AB434" s="58"/>
      <c r="AC434" s="58"/>
      <c r="AD434" s="58"/>
      <c r="AE434" s="58"/>
    </row>
    <row r="435">
      <c r="E435" s="58"/>
      <c r="F435" s="58"/>
      <c r="G435" s="59"/>
      <c r="H435" s="58"/>
      <c r="J435" s="58"/>
      <c r="K435" s="1"/>
      <c r="M435" s="58"/>
      <c r="N435" s="58"/>
      <c r="Y435" s="58"/>
      <c r="Z435" s="58"/>
      <c r="AB435" s="58"/>
      <c r="AC435" s="58"/>
      <c r="AD435" s="58"/>
      <c r="AE435" s="58"/>
    </row>
    <row r="436">
      <c r="E436" s="58"/>
      <c r="F436" s="58"/>
      <c r="G436" s="59"/>
      <c r="H436" s="58"/>
      <c r="J436" s="58"/>
      <c r="K436" s="1"/>
      <c r="M436" s="58"/>
      <c r="N436" s="58"/>
      <c r="Y436" s="58"/>
      <c r="Z436" s="58"/>
      <c r="AB436" s="58"/>
      <c r="AC436" s="58"/>
      <c r="AD436" s="58"/>
      <c r="AE436" s="58"/>
    </row>
    <row r="437">
      <c r="E437" s="58"/>
      <c r="F437" s="58"/>
      <c r="G437" s="59"/>
      <c r="H437" s="58"/>
      <c r="J437" s="58"/>
      <c r="K437" s="1"/>
      <c r="M437" s="58"/>
      <c r="N437" s="58"/>
      <c r="Y437" s="58"/>
      <c r="Z437" s="58"/>
      <c r="AB437" s="58"/>
      <c r="AC437" s="58"/>
      <c r="AD437" s="58"/>
      <c r="AE437" s="58"/>
    </row>
    <row r="438">
      <c r="E438" s="58"/>
      <c r="F438" s="58"/>
      <c r="G438" s="59"/>
      <c r="H438" s="58"/>
      <c r="J438" s="58"/>
      <c r="K438" s="1"/>
      <c r="M438" s="58"/>
      <c r="N438" s="58"/>
      <c r="Y438" s="58"/>
      <c r="Z438" s="58"/>
      <c r="AB438" s="58"/>
      <c r="AC438" s="58"/>
      <c r="AD438" s="58"/>
      <c r="AE438" s="58"/>
    </row>
    <row r="439">
      <c r="E439" s="58"/>
      <c r="F439" s="58"/>
      <c r="G439" s="59"/>
      <c r="H439" s="58"/>
      <c r="J439" s="58"/>
      <c r="K439" s="1"/>
      <c r="M439" s="58"/>
      <c r="N439" s="58"/>
      <c r="Y439" s="58"/>
      <c r="Z439" s="58"/>
      <c r="AB439" s="58"/>
      <c r="AC439" s="58"/>
      <c r="AD439" s="58"/>
      <c r="AE439" s="58"/>
    </row>
    <row r="440">
      <c r="E440" s="58"/>
      <c r="F440" s="58"/>
      <c r="G440" s="59"/>
      <c r="H440" s="58"/>
      <c r="J440" s="58"/>
      <c r="K440" s="1"/>
      <c r="M440" s="58"/>
      <c r="N440" s="58"/>
      <c r="Y440" s="58"/>
      <c r="Z440" s="58"/>
      <c r="AB440" s="58"/>
      <c r="AC440" s="58"/>
      <c r="AD440" s="58"/>
      <c r="AE440" s="58"/>
    </row>
    <row r="441">
      <c r="E441" s="58"/>
      <c r="F441" s="58"/>
      <c r="G441" s="59"/>
      <c r="H441" s="58"/>
      <c r="J441" s="58"/>
      <c r="K441" s="1"/>
      <c r="M441" s="58"/>
      <c r="N441" s="58"/>
      <c r="Y441" s="58"/>
      <c r="Z441" s="58"/>
      <c r="AB441" s="58"/>
      <c r="AC441" s="58"/>
      <c r="AD441" s="58"/>
      <c r="AE441" s="58"/>
    </row>
    <row r="442">
      <c r="E442" s="58"/>
      <c r="F442" s="58"/>
      <c r="G442" s="59"/>
      <c r="H442" s="58"/>
      <c r="J442" s="58"/>
      <c r="K442" s="1"/>
      <c r="M442" s="58"/>
      <c r="N442" s="58"/>
      <c r="Y442" s="58"/>
      <c r="Z442" s="58"/>
      <c r="AB442" s="58"/>
      <c r="AC442" s="58"/>
      <c r="AD442" s="58"/>
      <c r="AE442" s="58"/>
    </row>
    <row r="443">
      <c r="E443" s="58"/>
      <c r="F443" s="58"/>
      <c r="G443" s="59"/>
      <c r="H443" s="58"/>
      <c r="J443" s="58"/>
      <c r="K443" s="1"/>
      <c r="M443" s="58"/>
      <c r="N443" s="58"/>
      <c r="Y443" s="58"/>
      <c r="Z443" s="58"/>
      <c r="AB443" s="58"/>
      <c r="AC443" s="58"/>
      <c r="AD443" s="58"/>
      <c r="AE443" s="58"/>
    </row>
    <row r="444">
      <c r="E444" s="58"/>
      <c r="F444" s="58"/>
      <c r="G444" s="59"/>
      <c r="H444" s="58"/>
      <c r="J444" s="58"/>
      <c r="K444" s="1"/>
      <c r="M444" s="58"/>
      <c r="N444" s="58"/>
      <c r="Y444" s="58"/>
      <c r="Z444" s="58"/>
      <c r="AB444" s="58"/>
      <c r="AC444" s="58"/>
      <c r="AD444" s="58"/>
      <c r="AE444" s="58"/>
    </row>
    <row r="445">
      <c r="E445" s="58"/>
      <c r="F445" s="58"/>
      <c r="G445" s="59"/>
      <c r="H445" s="58"/>
      <c r="J445" s="58"/>
      <c r="K445" s="1"/>
      <c r="M445" s="58"/>
      <c r="N445" s="58"/>
      <c r="Y445" s="58"/>
      <c r="Z445" s="58"/>
      <c r="AB445" s="58"/>
      <c r="AC445" s="58"/>
      <c r="AD445" s="58"/>
      <c r="AE445" s="58"/>
    </row>
    <row r="446">
      <c r="E446" s="58"/>
      <c r="F446" s="58"/>
      <c r="G446" s="59"/>
      <c r="H446" s="58"/>
      <c r="J446" s="58"/>
      <c r="K446" s="1"/>
      <c r="M446" s="58"/>
      <c r="N446" s="58"/>
      <c r="Y446" s="58"/>
      <c r="Z446" s="58"/>
      <c r="AB446" s="58"/>
      <c r="AC446" s="58"/>
      <c r="AD446" s="58"/>
      <c r="AE446" s="58"/>
    </row>
    <row r="447">
      <c r="E447" s="58"/>
      <c r="F447" s="58"/>
      <c r="G447" s="59"/>
      <c r="H447" s="58"/>
      <c r="J447" s="58"/>
      <c r="K447" s="1"/>
      <c r="M447" s="58"/>
      <c r="N447" s="58"/>
      <c r="Y447" s="58"/>
      <c r="Z447" s="58"/>
      <c r="AB447" s="58"/>
      <c r="AC447" s="58"/>
      <c r="AD447" s="58"/>
      <c r="AE447" s="58"/>
    </row>
    <row r="448">
      <c r="E448" s="58"/>
      <c r="F448" s="58"/>
      <c r="G448" s="59"/>
      <c r="H448" s="58"/>
      <c r="J448" s="58"/>
      <c r="K448" s="1"/>
      <c r="M448" s="58"/>
      <c r="N448" s="58"/>
      <c r="Y448" s="58"/>
      <c r="Z448" s="58"/>
      <c r="AB448" s="58"/>
      <c r="AC448" s="58"/>
      <c r="AD448" s="58"/>
      <c r="AE448" s="58"/>
    </row>
    <row r="449">
      <c r="E449" s="58"/>
      <c r="F449" s="58"/>
      <c r="G449" s="59"/>
      <c r="H449" s="58"/>
      <c r="J449" s="58"/>
      <c r="K449" s="1"/>
      <c r="M449" s="58"/>
      <c r="N449" s="58"/>
      <c r="Y449" s="58"/>
      <c r="Z449" s="58"/>
      <c r="AB449" s="58"/>
      <c r="AC449" s="58"/>
      <c r="AD449" s="58"/>
      <c r="AE449" s="58"/>
    </row>
    <row r="450">
      <c r="E450" s="58"/>
      <c r="F450" s="58"/>
      <c r="G450" s="59"/>
      <c r="H450" s="58"/>
      <c r="J450" s="58"/>
      <c r="K450" s="1"/>
      <c r="M450" s="58"/>
      <c r="N450" s="58"/>
      <c r="Y450" s="58"/>
      <c r="Z450" s="58"/>
      <c r="AB450" s="58"/>
      <c r="AC450" s="58"/>
      <c r="AD450" s="58"/>
      <c r="AE450" s="58"/>
    </row>
    <row r="451">
      <c r="E451" s="58"/>
      <c r="F451" s="58"/>
      <c r="G451" s="59"/>
      <c r="H451" s="58"/>
      <c r="J451" s="58"/>
      <c r="K451" s="1"/>
      <c r="M451" s="58"/>
      <c r="N451" s="58"/>
      <c r="Y451" s="58"/>
      <c r="Z451" s="58"/>
      <c r="AB451" s="58"/>
      <c r="AC451" s="58"/>
      <c r="AD451" s="58"/>
      <c r="AE451" s="58"/>
    </row>
    <row r="452">
      <c r="E452" s="58"/>
      <c r="F452" s="58"/>
      <c r="G452" s="59"/>
      <c r="H452" s="58"/>
      <c r="J452" s="58"/>
      <c r="K452" s="1"/>
      <c r="M452" s="58"/>
      <c r="N452" s="58"/>
      <c r="Y452" s="58"/>
      <c r="Z452" s="58"/>
      <c r="AB452" s="58"/>
      <c r="AC452" s="58"/>
      <c r="AD452" s="58"/>
      <c r="AE452" s="58"/>
    </row>
    <row r="453">
      <c r="E453" s="58"/>
      <c r="F453" s="58"/>
      <c r="G453" s="59"/>
      <c r="H453" s="58"/>
      <c r="J453" s="58"/>
      <c r="K453" s="1"/>
      <c r="M453" s="58"/>
      <c r="N453" s="58"/>
      <c r="Y453" s="58"/>
      <c r="Z453" s="58"/>
      <c r="AB453" s="58"/>
      <c r="AC453" s="58"/>
      <c r="AD453" s="58"/>
      <c r="AE453" s="58"/>
    </row>
    <row r="454">
      <c r="E454" s="58"/>
      <c r="F454" s="58"/>
      <c r="G454" s="59"/>
      <c r="H454" s="58"/>
      <c r="J454" s="58"/>
      <c r="K454" s="1"/>
      <c r="M454" s="58"/>
      <c r="N454" s="58"/>
      <c r="Y454" s="58"/>
      <c r="Z454" s="58"/>
      <c r="AB454" s="58"/>
      <c r="AC454" s="58"/>
      <c r="AD454" s="58"/>
      <c r="AE454" s="58"/>
    </row>
    <row r="455">
      <c r="E455" s="58"/>
      <c r="F455" s="58"/>
      <c r="G455" s="59"/>
      <c r="H455" s="58"/>
      <c r="J455" s="58"/>
      <c r="K455" s="1"/>
      <c r="M455" s="58"/>
      <c r="N455" s="58"/>
      <c r="Y455" s="58"/>
      <c r="Z455" s="58"/>
      <c r="AB455" s="58"/>
      <c r="AC455" s="58"/>
      <c r="AD455" s="58"/>
      <c r="AE455" s="58"/>
    </row>
    <row r="456">
      <c r="E456" s="58"/>
      <c r="F456" s="58"/>
      <c r="G456" s="59"/>
      <c r="H456" s="58"/>
      <c r="J456" s="58"/>
      <c r="K456" s="1"/>
      <c r="M456" s="58"/>
      <c r="N456" s="58"/>
      <c r="Y456" s="58"/>
      <c r="Z456" s="58"/>
      <c r="AB456" s="58"/>
      <c r="AC456" s="58"/>
      <c r="AD456" s="58"/>
      <c r="AE456" s="58"/>
    </row>
    <row r="457">
      <c r="E457" s="58"/>
      <c r="F457" s="58"/>
      <c r="G457" s="59"/>
      <c r="H457" s="58"/>
      <c r="J457" s="58"/>
      <c r="K457" s="1"/>
      <c r="M457" s="58"/>
      <c r="N457" s="58"/>
      <c r="Y457" s="58"/>
      <c r="Z457" s="58"/>
      <c r="AB457" s="58"/>
      <c r="AC457" s="58"/>
      <c r="AD457" s="58"/>
      <c r="AE457" s="58"/>
    </row>
    <row r="458">
      <c r="E458" s="58"/>
      <c r="F458" s="58"/>
      <c r="G458" s="59"/>
      <c r="H458" s="58"/>
      <c r="J458" s="58"/>
      <c r="K458" s="1"/>
      <c r="M458" s="58"/>
      <c r="N458" s="58"/>
      <c r="Y458" s="58"/>
      <c r="Z458" s="58"/>
      <c r="AB458" s="58"/>
      <c r="AC458" s="58"/>
      <c r="AD458" s="58"/>
      <c r="AE458" s="58"/>
    </row>
    <row r="459">
      <c r="E459" s="58"/>
      <c r="F459" s="58"/>
      <c r="G459" s="59"/>
      <c r="H459" s="58"/>
      <c r="J459" s="58"/>
      <c r="K459" s="1"/>
      <c r="M459" s="58"/>
      <c r="N459" s="58"/>
      <c r="Y459" s="58"/>
      <c r="Z459" s="58"/>
      <c r="AB459" s="58"/>
      <c r="AC459" s="58"/>
      <c r="AD459" s="58"/>
      <c r="AE459" s="58"/>
    </row>
    <row r="460">
      <c r="E460" s="58"/>
      <c r="F460" s="58"/>
      <c r="G460" s="59"/>
      <c r="H460" s="58"/>
      <c r="J460" s="58"/>
      <c r="K460" s="1"/>
      <c r="M460" s="58"/>
      <c r="N460" s="58"/>
      <c r="Y460" s="58"/>
      <c r="Z460" s="58"/>
      <c r="AB460" s="58"/>
      <c r="AC460" s="58"/>
      <c r="AD460" s="58"/>
      <c r="AE460" s="58"/>
    </row>
    <row r="461">
      <c r="E461" s="58"/>
      <c r="F461" s="58"/>
      <c r="G461" s="59"/>
      <c r="H461" s="58"/>
      <c r="J461" s="58"/>
      <c r="K461" s="1"/>
      <c r="M461" s="58"/>
      <c r="N461" s="58"/>
      <c r="Y461" s="58"/>
      <c r="Z461" s="58"/>
      <c r="AB461" s="58"/>
      <c r="AC461" s="58"/>
      <c r="AD461" s="58"/>
      <c r="AE461" s="58"/>
    </row>
    <row r="462">
      <c r="E462" s="58"/>
      <c r="F462" s="58"/>
      <c r="G462" s="59"/>
      <c r="H462" s="58"/>
      <c r="J462" s="58"/>
      <c r="K462" s="1"/>
      <c r="M462" s="58"/>
      <c r="N462" s="58"/>
      <c r="Y462" s="58"/>
      <c r="Z462" s="58"/>
      <c r="AB462" s="58"/>
      <c r="AC462" s="58"/>
      <c r="AD462" s="58"/>
      <c r="AE462" s="58"/>
    </row>
    <row r="463">
      <c r="E463" s="58"/>
      <c r="F463" s="58"/>
      <c r="G463" s="59"/>
      <c r="H463" s="58"/>
      <c r="J463" s="58"/>
      <c r="K463" s="1"/>
      <c r="M463" s="58"/>
      <c r="N463" s="58"/>
      <c r="Y463" s="58"/>
      <c r="Z463" s="58"/>
      <c r="AB463" s="58"/>
      <c r="AC463" s="58"/>
      <c r="AD463" s="58"/>
      <c r="AE463" s="58"/>
    </row>
    <row r="464">
      <c r="E464" s="58"/>
      <c r="F464" s="58"/>
      <c r="G464" s="59"/>
      <c r="H464" s="58"/>
      <c r="J464" s="58"/>
      <c r="K464" s="1"/>
      <c r="M464" s="58"/>
      <c r="N464" s="58"/>
      <c r="Y464" s="58"/>
      <c r="Z464" s="58"/>
      <c r="AB464" s="58"/>
      <c r="AC464" s="58"/>
      <c r="AD464" s="58"/>
      <c r="AE464" s="58"/>
    </row>
    <row r="465">
      <c r="E465" s="58"/>
      <c r="F465" s="58"/>
      <c r="G465" s="59"/>
      <c r="H465" s="58"/>
      <c r="J465" s="58"/>
      <c r="K465" s="1"/>
      <c r="M465" s="58"/>
      <c r="N465" s="58"/>
      <c r="Y465" s="58"/>
      <c r="Z465" s="58"/>
      <c r="AB465" s="58"/>
      <c r="AC465" s="58"/>
      <c r="AD465" s="58"/>
      <c r="AE465" s="58"/>
    </row>
    <row r="466">
      <c r="E466" s="58"/>
      <c r="F466" s="58"/>
      <c r="G466" s="59"/>
      <c r="H466" s="58"/>
      <c r="J466" s="58"/>
      <c r="K466" s="1"/>
      <c r="M466" s="58"/>
      <c r="N466" s="58"/>
      <c r="Y466" s="58"/>
      <c r="Z466" s="58"/>
      <c r="AB466" s="58"/>
      <c r="AC466" s="58"/>
      <c r="AD466" s="58"/>
      <c r="AE466" s="58"/>
    </row>
    <row r="467">
      <c r="E467" s="58"/>
      <c r="F467" s="58"/>
      <c r="G467" s="59"/>
      <c r="H467" s="58"/>
      <c r="J467" s="58"/>
      <c r="K467" s="1"/>
      <c r="M467" s="58"/>
      <c r="N467" s="58"/>
      <c r="Y467" s="58"/>
      <c r="Z467" s="58"/>
      <c r="AB467" s="58"/>
      <c r="AC467" s="58"/>
      <c r="AD467" s="58"/>
      <c r="AE467" s="58"/>
    </row>
    <row r="468">
      <c r="E468" s="58"/>
      <c r="F468" s="58"/>
      <c r="G468" s="59"/>
      <c r="H468" s="58"/>
      <c r="J468" s="58"/>
      <c r="K468" s="1"/>
      <c r="M468" s="58"/>
      <c r="N468" s="58"/>
      <c r="Y468" s="58"/>
      <c r="Z468" s="58"/>
      <c r="AB468" s="58"/>
      <c r="AC468" s="58"/>
      <c r="AD468" s="58"/>
      <c r="AE468" s="58"/>
    </row>
    <row r="469">
      <c r="E469" s="58"/>
      <c r="F469" s="58"/>
      <c r="G469" s="59"/>
      <c r="H469" s="58"/>
      <c r="J469" s="58"/>
      <c r="K469" s="1"/>
      <c r="M469" s="58"/>
      <c r="N469" s="58"/>
      <c r="Y469" s="58"/>
      <c r="Z469" s="58"/>
      <c r="AB469" s="58"/>
      <c r="AC469" s="58"/>
      <c r="AD469" s="58"/>
      <c r="AE469" s="58"/>
    </row>
    <row r="470">
      <c r="E470" s="58"/>
      <c r="F470" s="58"/>
      <c r="G470" s="59"/>
      <c r="H470" s="58"/>
      <c r="J470" s="58"/>
      <c r="K470" s="1"/>
      <c r="M470" s="58"/>
      <c r="N470" s="58"/>
      <c r="Y470" s="58"/>
      <c r="Z470" s="58"/>
      <c r="AB470" s="58"/>
      <c r="AC470" s="58"/>
      <c r="AD470" s="58"/>
      <c r="AE470" s="58"/>
    </row>
    <row r="471">
      <c r="E471" s="58"/>
      <c r="F471" s="58"/>
      <c r="G471" s="59"/>
      <c r="H471" s="58"/>
      <c r="J471" s="58"/>
      <c r="K471" s="1"/>
      <c r="M471" s="58"/>
      <c r="N471" s="58"/>
      <c r="Y471" s="58"/>
      <c r="Z471" s="58"/>
      <c r="AB471" s="58"/>
      <c r="AC471" s="58"/>
      <c r="AD471" s="58"/>
      <c r="AE471" s="58"/>
    </row>
    <row r="472">
      <c r="E472" s="58"/>
      <c r="F472" s="58"/>
      <c r="G472" s="59"/>
      <c r="H472" s="58"/>
      <c r="J472" s="58"/>
      <c r="K472" s="1"/>
      <c r="M472" s="58"/>
      <c r="N472" s="58"/>
      <c r="Y472" s="58"/>
      <c r="Z472" s="58"/>
      <c r="AB472" s="58"/>
      <c r="AC472" s="58"/>
      <c r="AD472" s="58"/>
      <c r="AE472" s="58"/>
    </row>
    <row r="473">
      <c r="E473" s="58"/>
      <c r="F473" s="58"/>
      <c r="G473" s="59"/>
      <c r="H473" s="58"/>
      <c r="J473" s="58"/>
      <c r="K473" s="1"/>
      <c r="M473" s="58"/>
      <c r="N473" s="58"/>
      <c r="Y473" s="58"/>
      <c r="Z473" s="58"/>
      <c r="AB473" s="58"/>
      <c r="AC473" s="58"/>
      <c r="AD473" s="58"/>
      <c r="AE473" s="58"/>
    </row>
    <row r="474">
      <c r="E474" s="58"/>
      <c r="F474" s="58"/>
      <c r="G474" s="59"/>
      <c r="H474" s="58"/>
      <c r="J474" s="58"/>
      <c r="K474" s="1"/>
      <c r="M474" s="58"/>
      <c r="N474" s="58"/>
      <c r="Y474" s="58"/>
      <c r="Z474" s="58"/>
      <c r="AB474" s="58"/>
      <c r="AC474" s="58"/>
      <c r="AD474" s="58"/>
      <c r="AE474" s="58"/>
    </row>
    <row r="475">
      <c r="E475" s="58"/>
      <c r="F475" s="58"/>
      <c r="G475" s="59"/>
      <c r="H475" s="58"/>
      <c r="J475" s="58"/>
      <c r="K475" s="1"/>
      <c r="M475" s="58"/>
      <c r="N475" s="58"/>
      <c r="Y475" s="58"/>
      <c r="Z475" s="58"/>
      <c r="AB475" s="58"/>
      <c r="AC475" s="58"/>
      <c r="AD475" s="58"/>
      <c r="AE475" s="58"/>
    </row>
    <row r="476">
      <c r="E476" s="58"/>
      <c r="F476" s="58"/>
      <c r="G476" s="59"/>
      <c r="H476" s="58"/>
      <c r="J476" s="58"/>
      <c r="K476" s="1"/>
      <c r="M476" s="58"/>
      <c r="N476" s="58"/>
      <c r="Y476" s="58"/>
      <c r="Z476" s="58"/>
      <c r="AB476" s="58"/>
      <c r="AC476" s="58"/>
      <c r="AD476" s="58"/>
      <c r="AE476" s="58"/>
    </row>
    <row r="477">
      <c r="E477" s="58"/>
      <c r="F477" s="58"/>
      <c r="G477" s="59"/>
      <c r="H477" s="58"/>
      <c r="J477" s="58"/>
      <c r="K477" s="1"/>
      <c r="M477" s="58"/>
      <c r="N477" s="58"/>
      <c r="Y477" s="58"/>
      <c r="Z477" s="58"/>
      <c r="AB477" s="58"/>
      <c r="AC477" s="58"/>
      <c r="AD477" s="58"/>
      <c r="AE477" s="58"/>
    </row>
    <row r="478">
      <c r="E478" s="58"/>
      <c r="F478" s="58"/>
      <c r="G478" s="59"/>
      <c r="H478" s="58"/>
      <c r="J478" s="58"/>
      <c r="K478" s="1"/>
      <c r="M478" s="58"/>
      <c r="N478" s="58"/>
      <c r="Y478" s="58"/>
      <c r="Z478" s="58"/>
      <c r="AB478" s="58"/>
      <c r="AC478" s="58"/>
      <c r="AD478" s="58"/>
      <c r="AE478" s="58"/>
    </row>
    <row r="479">
      <c r="E479" s="58"/>
      <c r="F479" s="58"/>
      <c r="G479" s="59"/>
      <c r="H479" s="58"/>
      <c r="J479" s="58"/>
      <c r="K479" s="1"/>
      <c r="M479" s="58"/>
      <c r="N479" s="58"/>
      <c r="Y479" s="58"/>
      <c r="Z479" s="58"/>
      <c r="AB479" s="58"/>
      <c r="AC479" s="58"/>
      <c r="AD479" s="58"/>
      <c r="AE479" s="58"/>
    </row>
    <row r="480">
      <c r="E480" s="58"/>
      <c r="F480" s="58"/>
      <c r="G480" s="59"/>
      <c r="H480" s="58"/>
      <c r="J480" s="58"/>
      <c r="K480" s="1"/>
      <c r="M480" s="58"/>
      <c r="N480" s="58"/>
      <c r="Y480" s="58"/>
      <c r="Z480" s="58"/>
      <c r="AB480" s="58"/>
      <c r="AC480" s="58"/>
      <c r="AD480" s="58"/>
      <c r="AE480" s="58"/>
    </row>
    <row r="481">
      <c r="E481" s="58"/>
      <c r="F481" s="58"/>
      <c r="G481" s="59"/>
      <c r="H481" s="58"/>
      <c r="J481" s="58"/>
      <c r="K481" s="1"/>
      <c r="M481" s="58"/>
      <c r="N481" s="58"/>
      <c r="Y481" s="58"/>
      <c r="Z481" s="58"/>
      <c r="AB481" s="58"/>
      <c r="AC481" s="58"/>
      <c r="AD481" s="58"/>
      <c r="AE481" s="58"/>
    </row>
    <row r="482">
      <c r="E482" s="58"/>
      <c r="F482" s="58"/>
      <c r="G482" s="59"/>
      <c r="H482" s="58"/>
      <c r="J482" s="58"/>
      <c r="K482" s="1"/>
      <c r="M482" s="58"/>
      <c r="N482" s="58"/>
      <c r="Y482" s="58"/>
      <c r="Z482" s="58"/>
      <c r="AB482" s="58"/>
      <c r="AC482" s="58"/>
      <c r="AD482" s="58"/>
      <c r="AE482" s="58"/>
    </row>
    <row r="483">
      <c r="E483" s="58"/>
      <c r="F483" s="58"/>
      <c r="G483" s="59"/>
      <c r="H483" s="58"/>
      <c r="J483" s="58"/>
      <c r="K483" s="1"/>
      <c r="M483" s="58"/>
      <c r="N483" s="58"/>
      <c r="Y483" s="58"/>
      <c r="Z483" s="58"/>
      <c r="AB483" s="58"/>
      <c r="AC483" s="58"/>
      <c r="AD483" s="58"/>
      <c r="AE483" s="58"/>
    </row>
    <row r="484">
      <c r="E484" s="58"/>
      <c r="F484" s="58"/>
      <c r="G484" s="59"/>
      <c r="H484" s="58"/>
      <c r="J484" s="58"/>
      <c r="K484" s="1"/>
      <c r="M484" s="58"/>
      <c r="N484" s="58"/>
      <c r="Y484" s="58"/>
      <c r="Z484" s="58"/>
      <c r="AB484" s="58"/>
      <c r="AC484" s="58"/>
      <c r="AD484" s="58"/>
      <c r="AE484" s="58"/>
    </row>
    <row r="485">
      <c r="E485" s="58"/>
      <c r="F485" s="58"/>
      <c r="G485" s="59"/>
      <c r="H485" s="58"/>
      <c r="J485" s="58"/>
      <c r="K485" s="1"/>
      <c r="M485" s="58"/>
      <c r="N485" s="58"/>
      <c r="Y485" s="58"/>
      <c r="Z485" s="58"/>
      <c r="AB485" s="58"/>
      <c r="AC485" s="58"/>
      <c r="AD485" s="58"/>
      <c r="AE485" s="58"/>
    </row>
    <row r="486">
      <c r="E486" s="58"/>
      <c r="F486" s="58"/>
      <c r="G486" s="59"/>
      <c r="H486" s="58"/>
      <c r="J486" s="58"/>
      <c r="K486" s="1"/>
      <c r="M486" s="58"/>
      <c r="N486" s="58"/>
      <c r="Y486" s="58"/>
      <c r="Z486" s="58"/>
      <c r="AB486" s="58"/>
      <c r="AC486" s="58"/>
      <c r="AD486" s="58"/>
      <c r="AE486" s="58"/>
    </row>
    <row r="487">
      <c r="E487" s="58"/>
      <c r="F487" s="58"/>
      <c r="G487" s="59"/>
      <c r="H487" s="58"/>
      <c r="J487" s="58"/>
      <c r="K487" s="1"/>
      <c r="M487" s="58"/>
      <c r="N487" s="58"/>
      <c r="Y487" s="58"/>
      <c r="Z487" s="58"/>
      <c r="AB487" s="58"/>
      <c r="AC487" s="58"/>
      <c r="AD487" s="58"/>
      <c r="AE487" s="58"/>
    </row>
    <row r="488">
      <c r="E488" s="58"/>
      <c r="F488" s="58"/>
      <c r="G488" s="59"/>
      <c r="H488" s="58"/>
      <c r="J488" s="58"/>
      <c r="K488" s="1"/>
      <c r="M488" s="58"/>
      <c r="N488" s="58"/>
      <c r="Y488" s="58"/>
      <c r="Z488" s="58"/>
      <c r="AB488" s="58"/>
      <c r="AC488" s="58"/>
      <c r="AD488" s="58"/>
      <c r="AE488" s="58"/>
    </row>
    <row r="489">
      <c r="E489" s="58"/>
      <c r="F489" s="58"/>
      <c r="G489" s="59"/>
      <c r="H489" s="58"/>
      <c r="J489" s="58"/>
      <c r="K489" s="1"/>
      <c r="M489" s="58"/>
      <c r="N489" s="58"/>
      <c r="Y489" s="58"/>
      <c r="Z489" s="58"/>
      <c r="AB489" s="58"/>
      <c r="AC489" s="58"/>
      <c r="AD489" s="58"/>
      <c r="AE489" s="58"/>
    </row>
    <row r="490">
      <c r="E490" s="58"/>
      <c r="F490" s="58"/>
      <c r="G490" s="59"/>
      <c r="H490" s="58"/>
      <c r="J490" s="58"/>
      <c r="K490" s="1"/>
      <c r="M490" s="58"/>
      <c r="N490" s="58"/>
      <c r="Y490" s="58"/>
      <c r="Z490" s="58"/>
      <c r="AB490" s="58"/>
      <c r="AC490" s="58"/>
      <c r="AD490" s="58"/>
      <c r="AE490" s="58"/>
    </row>
    <row r="491">
      <c r="E491" s="58"/>
      <c r="F491" s="58"/>
      <c r="G491" s="59"/>
      <c r="H491" s="58"/>
      <c r="J491" s="58"/>
      <c r="K491" s="1"/>
      <c r="M491" s="58"/>
      <c r="N491" s="58"/>
      <c r="Y491" s="58"/>
      <c r="Z491" s="58"/>
      <c r="AB491" s="58"/>
      <c r="AC491" s="58"/>
      <c r="AD491" s="58"/>
      <c r="AE491" s="58"/>
    </row>
    <row r="492">
      <c r="E492" s="58"/>
      <c r="F492" s="58"/>
      <c r="G492" s="59"/>
      <c r="H492" s="58"/>
      <c r="J492" s="58"/>
      <c r="K492" s="1"/>
      <c r="M492" s="58"/>
      <c r="N492" s="58"/>
      <c r="Y492" s="58"/>
      <c r="Z492" s="58"/>
      <c r="AB492" s="58"/>
      <c r="AC492" s="58"/>
      <c r="AD492" s="58"/>
      <c r="AE492" s="58"/>
    </row>
    <row r="493">
      <c r="E493" s="58"/>
      <c r="F493" s="58"/>
      <c r="G493" s="59"/>
      <c r="H493" s="58"/>
      <c r="J493" s="58"/>
      <c r="K493" s="1"/>
      <c r="M493" s="58"/>
      <c r="N493" s="58"/>
      <c r="Y493" s="58"/>
      <c r="Z493" s="58"/>
      <c r="AB493" s="58"/>
      <c r="AC493" s="58"/>
      <c r="AD493" s="58"/>
      <c r="AE493" s="58"/>
    </row>
    <row r="494">
      <c r="E494" s="58"/>
      <c r="F494" s="58"/>
      <c r="G494" s="59"/>
      <c r="H494" s="58"/>
      <c r="J494" s="58"/>
      <c r="K494" s="1"/>
      <c r="M494" s="58"/>
      <c r="N494" s="58"/>
      <c r="Y494" s="58"/>
      <c r="Z494" s="58"/>
      <c r="AB494" s="58"/>
      <c r="AC494" s="58"/>
      <c r="AD494" s="58"/>
      <c r="AE494" s="58"/>
    </row>
    <row r="495">
      <c r="E495" s="58"/>
      <c r="F495" s="58"/>
      <c r="G495" s="59"/>
      <c r="H495" s="58"/>
      <c r="J495" s="58"/>
      <c r="K495" s="1"/>
      <c r="M495" s="58"/>
      <c r="N495" s="58"/>
      <c r="Y495" s="58"/>
      <c r="Z495" s="58"/>
      <c r="AB495" s="58"/>
      <c r="AC495" s="58"/>
      <c r="AD495" s="58"/>
      <c r="AE495" s="58"/>
    </row>
    <row r="496">
      <c r="E496" s="58"/>
      <c r="F496" s="58"/>
      <c r="G496" s="59"/>
      <c r="H496" s="58"/>
      <c r="J496" s="58"/>
      <c r="K496" s="1"/>
      <c r="M496" s="58"/>
      <c r="N496" s="58"/>
      <c r="Y496" s="58"/>
      <c r="Z496" s="58"/>
      <c r="AB496" s="58"/>
      <c r="AC496" s="58"/>
      <c r="AD496" s="58"/>
      <c r="AE496" s="58"/>
    </row>
    <row r="497">
      <c r="E497" s="58"/>
      <c r="F497" s="58"/>
      <c r="G497" s="59"/>
      <c r="H497" s="58"/>
      <c r="J497" s="58"/>
      <c r="K497" s="1"/>
      <c r="M497" s="58"/>
      <c r="N497" s="58"/>
      <c r="Y497" s="58"/>
      <c r="Z497" s="58"/>
      <c r="AB497" s="58"/>
      <c r="AC497" s="58"/>
      <c r="AD497" s="58"/>
      <c r="AE497" s="58"/>
    </row>
    <row r="498">
      <c r="E498" s="58"/>
      <c r="F498" s="58"/>
      <c r="G498" s="59"/>
      <c r="H498" s="58"/>
      <c r="J498" s="58"/>
      <c r="K498" s="1"/>
      <c r="M498" s="58"/>
      <c r="N498" s="58"/>
      <c r="Y498" s="58"/>
      <c r="Z498" s="58"/>
      <c r="AB498" s="58"/>
      <c r="AC498" s="58"/>
      <c r="AD498" s="58"/>
      <c r="AE498" s="58"/>
    </row>
    <row r="499">
      <c r="E499" s="58"/>
      <c r="F499" s="58"/>
      <c r="G499" s="59"/>
      <c r="H499" s="58"/>
      <c r="J499" s="58"/>
      <c r="K499" s="1"/>
      <c r="M499" s="58"/>
      <c r="N499" s="58"/>
      <c r="Y499" s="58"/>
      <c r="Z499" s="58"/>
      <c r="AB499" s="58"/>
      <c r="AC499" s="58"/>
      <c r="AD499" s="58"/>
      <c r="AE499" s="58"/>
    </row>
    <row r="500">
      <c r="E500" s="58"/>
      <c r="F500" s="58"/>
      <c r="G500" s="59"/>
      <c r="H500" s="58"/>
      <c r="J500" s="58"/>
      <c r="K500" s="1"/>
      <c r="M500" s="58"/>
      <c r="N500" s="58"/>
      <c r="Y500" s="58"/>
      <c r="Z500" s="58"/>
      <c r="AB500" s="58"/>
      <c r="AC500" s="58"/>
      <c r="AD500" s="58"/>
      <c r="AE500" s="58"/>
    </row>
    <row r="501">
      <c r="E501" s="58"/>
      <c r="F501" s="58"/>
      <c r="G501" s="59"/>
      <c r="H501" s="58"/>
      <c r="J501" s="58"/>
      <c r="K501" s="1"/>
      <c r="M501" s="58"/>
      <c r="N501" s="58"/>
      <c r="Y501" s="58"/>
      <c r="Z501" s="58"/>
      <c r="AB501" s="58"/>
      <c r="AC501" s="58"/>
      <c r="AD501" s="58"/>
      <c r="AE501" s="58"/>
    </row>
    <row r="502">
      <c r="E502" s="58"/>
      <c r="F502" s="58"/>
      <c r="G502" s="59"/>
      <c r="H502" s="58"/>
      <c r="J502" s="58"/>
      <c r="K502" s="1"/>
      <c r="M502" s="58"/>
      <c r="N502" s="58"/>
      <c r="Y502" s="58"/>
      <c r="Z502" s="58"/>
      <c r="AB502" s="58"/>
      <c r="AC502" s="58"/>
      <c r="AD502" s="58"/>
      <c r="AE502" s="58"/>
    </row>
    <row r="503">
      <c r="E503" s="58"/>
      <c r="F503" s="58"/>
      <c r="G503" s="59"/>
      <c r="H503" s="58"/>
      <c r="J503" s="58"/>
      <c r="K503" s="1"/>
      <c r="M503" s="58"/>
      <c r="N503" s="58"/>
      <c r="Y503" s="58"/>
      <c r="Z503" s="58"/>
      <c r="AB503" s="58"/>
      <c r="AC503" s="58"/>
      <c r="AD503" s="58"/>
      <c r="AE503" s="58"/>
    </row>
    <row r="504">
      <c r="E504" s="58"/>
      <c r="F504" s="58"/>
      <c r="G504" s="59"/>
      <c r="H504" s="58"/>
      <c r="J504" s="58"/>
      <c r="K504" s="1"/>
      <c r="M504" s="58"/>
      <c r="N504" s="58"/>
      <c r="Y504" s="58"/>
      <c r="Z504" s="58"/>
      <c r="AB504" s="58"/>
      <c r="AC504" s="58"/>
      <c r="AD504" s="58"/>
      <c r="AE504" s="58"/>
    </row>
    <row r="505">
      <c r="E505" s="58"/>
      <c r="F505" s="58"/>
      <c r="G505" s="59"/>
      <c r="H505" s="58"/>
      <c r="J505" s="58"/>
      <c r="K505" s="1"/>
      <c r="M505" s="58"/>
      <c r="N505" s="58"/>
      <c r="Y505" s="58"/>
      <c r="Z505" s="58"/>
      <c r="AB505" s="58"/>
      <c r="AC505" s="58"/>
      <c r="AD505" s="58"/>
      <c r="AE505" s="58"/>
    </row>
    <row r="506">
      <c r="E506" s="58"/>
      <c r="F506" s="58"/>
      <c r="G506" s="59"/>
      <c r="H506" s="58"/>
      <c r="J506" s="58"/>
      <c r="K506" s="1"/>
      <c r="M506" s="58"/>
      <c r="N506" s="58"/>
      <c r="Y506" s="58"/>
      <c r="Z506" s="58"/>
      <c r="AB506" s="58"/>
      <c r="AC506" s="58"/>
      <c r="AD506" s="58"/>
      <c r="AE506" s="58"/>
    </row>
    <row r="507">
      <c r="E507" s="58"/>
      <c r="F507" s="58"/>
      <c r="G507" s="59"/>
      <c r="H507" s="58"/>
      <c r="J507" s="58"/>
      <c r="K507" s="1"/>
      <c r="M507" s="58"/>
      <c r="N507" s="58"/>
      <c r="Y507" s="58"/>
      <c r="Z507" s="58"/>
      <c r="AB507" s="58"/>
      <c r="AC507" s="58"/>
      <c r="AD507" s="58"/>
      <c r="AE507" s="58"/>
    </row>
    <row r="508">
      <c r="E508" s="58"/>
      <c r="F508" s="58"/>
      <c r="G508" s="59"/>
      <c r="H508" s="58"/>
      <c r="J508" s="58"/>
      <c r="K508" s="1"/>
      <c r="M508" s="58"/>
      <c r="N508" s="58"/>
      <c r="Y508" s="58"/>
      <c r="Z508" s="58"/>
      <c r="AB508" s="58"/>
      <c r="AC508" s="58"/>
      <c r="AD508" s="58"/>
      <c r="AE508" s="58"/>
    </row>
    <row r="509">
      <c r="E509" s="58"/>
      <c r="F509" s="58"/>
      <c r="G509" s="59"/>
      <c r="H509" s="58"/>
      <c r="J509" s="58"/>
      <c r="K509" s="1"/>
      <c r="M509" s="58"/>
      <c r="N509" s="58"/>
      <c r="Y509" s="58"/>
      <c r="Z509" s="58"/>
      <c r="AB509" s="58"/>
      <c r="AC509" s="58"/>
      <c r="AD509" s="58"/>
      <c r="AE509" s="58"/>
    </row>
    <row r="510">
      <c r="E510" s="58"/>
      <c r="F510" s="58"/>
      <c r="G510" s="59"/>
      <c r="H510" s="58"/>
      <c r="J510" s="58"/>
      <c r="K510" s="1"/>
      <c r="M510" s="58"/>
      <c r="N510" s="58"/>
      <c r="Y510" s="58"/>
      <c r="Z510" s="58"/>
      <c r="AB510" s="58"/>
      <c r="AC510" s="58"/>
      <c r="AD510" s="58"/>
      <c r="AE510" s="58"/>
    </row>
    <row r="511">
      <c r="E511" s="58"/>
      <c r="F511" s="58"/>
      <c r="G511" s="59"/>
      <c r="H511" s="58"/>
      <c r="J511" s="58"/>
      <c r="K511" s="1"/>
      <c r="M511" s="58"/>
      <c r="N511" s="58"/>
      <c r="Y511" s="58"/>
      <c r="Z511" s="58"/>
      <c r="AB511" s="58"/>
      <c r="AC511" s="58"/>
      <c r="AD511" s="58"/>
      <c r="AE511" s="58"/>
    </row>
    <row r="512">
      <c r="E512" s="58"/>
      <c r="F512" s="58"/>
      <c r="G512" s="59"/>
      <c r="H512" s="58"/>
      <c r="J512" s="58"/>
      <c r="K512" s="1"/>
      <c r="M512" s="58"/>
      <c r="N512" s="58"/>
      <c r="Y512" s="58"/>
      <c r="Z512" s="58"/>
      <c r="AB512" s="58"/>
      <c r="AC512" s="58"/>
      <c r="AD512" s="58"/>
      <c r="AE512" s="58"/>
    </row>
    <row r="513">
      <c r="E513" s="58"/>
      <c r="F513" s="58"/>
      <c r="G513" s="59"/>
      <c r="H513" s="58"/>
      <c r="J513" s="58"/>
      <c r="K513" s="1"/>
      <c r="M513" s="58"/>
      <c r="N513" s="58"/>
      <c r="Y513" s="58"/>
      <c r="Z513" s="58"/>
      <c r="AB513" s="58"/>
      <c r="AC513" s="58"/>
      <c r="AD513" s="58"/>
      <c r="AE513" s="58"/>
    </row>
    <row r="514">
      <c r="E514" s="58"/>
      <c r="F514" s="58"/>
      <c r="G514" s="59"/>
      <c r="H514" s="58"/>
      <c r="J514" s="58"/>
      <c r="K514" s="1"/>
      <c r="M514" s="58"/>
      <c r="N514" s="58"/>
      <c r="Y514" s="58"/>
      <c r="Z514" s="58"/>
      <c r="AB514" s="58"/>
      <c r="AC514" s="58"/>
      <c r="AD514" s="58"/>
      <c r="AE514" s="58"/>
    </row>
    <row r="515">
      <c r="E515" s="58"/>
      <c r="F515" s="58"/>
      <c r="G515" s="59"/>
      <c r="H515" s="58"/>
      <c r="J515" s="58"/>
      <c r="K515" s="1"/>
      <c r="M515" s="58"/>
      <c r="N515" s="58"/>
      <c r="Y515" s="58"/>
      <c r="Z515" s="58"/>
      <c r="AB515" s="58"/>
      <c r="AC515" s="58"/>
      <c r="AD515" s="58"/>
      <c r="AE515" s="58"/>
    </row>
    <row r="516">
      <c r="E516" s="58"/>
      <c r="F516" s="58"/>
      <c r="G516" s="59"/>
      <c r="H516" s="58"/>
      <c r="J516" s="58"/>
      <c r="K516" s="1"/>
      <c r="M516" s="58"/>
      <c r="N516" s="58"/>
      <c r="Y516" s="58"/>
      <c r="Z516" s="58"/>
      <c r="AB516" s="58"/>
      <c r="AC516" s="58"/>
      <c r="AD516" s="58"/>
      <c r="AE516" s="58"/>
    </row>
    <row r="517">
      <c r="E517" s="58"/>
      <c r="F517" s="58"/>
      <c r="G517" s="59"/>
      <c r="H517" s="58"/>
      <c r="J517" s="58"/>
      <c r="K517" s="1"/>
      <c r="M517" s="58"/>
      <c r="N517" s="58"/>
      <c r="Y517" s="58"/>
      <c r="Z517" s="58"/>
      <c r="AB517" s="58"/>
      <c r="AC517" s="58"/>
      <c r="AD517" s="58"/>
      <c r="AE517" s="58"/>
    </row>
    <row r="518">
      <c r="E518" s="58"/>
      <c r="F518" s="58"/>
      <c r="G518" s="59"/>
      <c r="H518" s="58"/>
      <c r="J518" s="58"/>
      <c r="K518" s="1"/>
      <c r="M518" s="58"/>
      <c r="N518" s="58"/>
      <c r="Y518" s="58"/>
      <c r="Z518" s="58"/>
      <c r="AB518" s="58"/>
      <c r="AC518" s="58"/>
      <c r="AD518" s="58"/>
      <c r="AE518" s="58"/>
    </row>
    <row r="519">
      <c r="E519" s="58"/>
      <c r="F519" s="58"/>
      <c r="G519" s="59"/>
      <c r="H519" s="58"/>
      <c r="J519" s="58"/>
      <c r="K519" s="1"/>
      <c r="M519" s="58"/>
      <c r="N519" s="58"/>
      <c r="Y519" s="58"/>
      <c r="Z519" s="58"/>
      <c r="AB519" s="58"/>
      <c r="AC519" s="58"/>
      <c r="AD519" s="58"/>
      <c r="AE519" s="58"/>
    </row>
    <row r="520">
      <c r="E520" s="58"/>
      <c r="F520" s="58"/>
      <c r="G520" s="59"/>
      <c r="H520" s="58"/>
      <c r="J520" s="58"/>
      <c r="K520" s="1"/>
      <c r="M520" s="58"/>
      <c r="N520" s="58"/>
      <c r="Y520" s="58"/>
      <c r="Z520" s="58"/>
      <c r="AB520" s="58"/>
      <c r="AC520" s="58"/>
      <c r="AD520" s="58"/>
      <c r="AE520" s="58"/>
    </row>
    <row r="521">
      <c r="E521" s="58"/>
      <c r="F521" s="58"/>
      <c r="G521" s="59"/>
      <c r="H521" s="58"/>
      <c r="J521" s="58"/>
      <c r="K521" s="1"/>
      <c r="M521" s="58"/>
      <c r="N521" s="58"/>
      <c r="Y521" s="58"/>
      <c r="Z521" s="58"/>
      <c r="AB521" s="58"/>
      <c r="AC521" s="58"/>
      <c r="AD521" s="58"/>
      <c r="AE521" s="58"/>
    </row>
    <row r="522">
      <c r="E522" s="58"/>
      <c r="F522" s="58"/>
      <c r="G522" s="59"/>
      <c r="H522" s="58"/>
      <c r="J522" s="58"/>
      <c r="K522" s="1"/>
      <c r="M522" s="58"/>
      <c r="N522" s="58"/>
      <c r="Y522" s="58"/>
      <c r="Z522" s="58"/>
      <c r="AB522" s="58"/>
      <c r="AC522" s="58"/>
      <c r="AD522" s="58"/>
      <c r="AE522" s="58"/>
    </row>
    <row r="523">
      <c r="E523" s="58"/>
      <c r="F523" s="58"/>
      <c r="G523" s="59"/>
      <c r="H523" s="58"/>
      <c r="J523" s="58"/>
      <c r="K523" s="1"/>
      <c r="M523" s="58"/>
      <c r="N523" s="58"/>
      <c r="Y523" s="58"/>
      <c r="Z523" s="58"/>
      <c r="AB523" s="58"/>
      <c r="AC523" s="58"/>
      <c r="AD523" s="58"/>
      <c r="AE523" s="58"/>
    </row>
    <row r="524">
      <c r="E524" s="58"/>
      <c r="F524" s="58"/>
      <c r="G524" s="59"/>
      <c r="H524" s="58"/>
      <c r="J524" s="58"/>
      <c r="K524" s="1"/>
      <c r="M524" s="58"/>
      <c r="N524" s="58"/>
      <c r="Y524" s="58"/>
      <c r="Z524" s="58"/>
      <c r="AB524" s="58"/>
      <c r="AC524" s="58"/>
      <c r="AD524" s="58"/>
      <c r="AE524" s="58"/>
    </row>
    <row r="525">
      <c r="E525" s="58"/>
      <c r="F525" s="58"/>
      <c r="G525" s="59"/>
      <c r="H525" s="58"/>
      <c r="J525" s="58"/>
      <c r="K525" s="1"/>
      <c r="M525" s="58"/>
      <c r="N525" s="58"/>
      <c r="Y525" s="58"/>
      <c r="Z525" s="58"/>
      <c r="AB525" s="58"/>
      <c r="AC525" s="58"/>
      <c r="AD525" s="58"/>
      <c r="AE525" s="58"/>
    </row>
    <row r="526">
      <c r="E526" s="58"/>
      <c r="F526" s="58"/>
      <c r="G526" s="59"/>
      <c r="H526" s="58"/>
      <c r="J526" s="58"/>
      <c r="K526" s="1"/>
      <c r="M526" s="58"/>
      <c r="N526" s="58"/>
      <c r="Y526" s="58"/>
      <c r="Z526" s="58"/>
      <c r="AB526" s="58"/>
      <c r="AC526" s="58"/>
      <c r="AD526" s="58"/>
      <c r="AE526" s="58"/>
    </row>
    <row r="527">
      <c r="E527" s="58"/>
      <c r="F527" s="58"/>
      <c r="G527" s="59"/>
      <c r="H527" s="58"/>
      <c r="J527" s="58"/>
      <c r="K527" s="1"/>
      <c r="M527" s="58"/>
      <c r="N527" s="58"/>
      <c r="Y527" s="58"/>
      <c r="Z527" s="58"/>
      <c r="AB527" s="58"/>
      <c r="AC527" s="58"/>
      <c r="AD527" s="58"/>
      <c r="AE527" s="58"/>
    </row>
    <row r="528">
      <c r="E528" s="58"/>
      <c r="F528" s="58"/>
      <c r="G528" s="59"/>
      <c r="H528" s="58"/>
      <c r="J528" s="58"/>
      <c r="K528" s="1"/>
      <c r="M528" s="58"/>
      <c r="N528" s="58"/>
      <c r="Y528" s="58"/>
      <c r="Z528" s="58"/>
      <c r="AB528" s="58"/>
      <c r="AC528" s="58"/>
      <c r="AD528" s="58"/>
      <c r="AE528" s="58"/>
    </row>
    <row r="529">
      <c r="E529" s="58"/>
      <c r="F529" s="58"/>
      <c r="G529" s="59"/>
      <c r="H529" s="58"/>
      <c r="J529" s="58"/>
      <c r="K529" s="1"/>
      <c r="M529" s="58"/>
      <c r="N529" s="58"/>
      <c r="Y529" s="58"/>
      <c r="Z529" s="58"/>
      <c r="AB529" s="58"/>
      <c r="AC529" s="58"/>
      <c r="AD529" s="58"/>
      <c r="AE529" s="58"/>
    </row>
    <row r="530">
      <c r="E530" s="58"/>
      <c r="F530" s="58"/>
      <c r="G530" s="59"/>
      <c r="H530" s="58"/>
      <c r="J530" s="58"/>
      <c r="K530" s="1"/>
      <c r="M530" s="58"/>
      <c r="N530" s="58"/>
      <c r="Y530" s="58"/>
      <c r="Z530" s="58"/>
      <c r="AB530" s="58"/>
      <c r="AC530" s="58"/>
      <c r="AD530" s="58"/>
      <c r="AE530" s="58"/>
    </row>
    <row r="531">
      <c r="E531" s="58"/>
      <c r="F531" s="58"/>
      <c r="G531" s="59"/>
      <c r="H531" s="58"/>
      <c r="J531" s="58"/>
      <c r="K531" s="1"/>
      <c r="M531" s="58"/>
      <c r="N531" s="58"/>
      <c r="Y531" s="58"/>
      <c r="Z531" s="58"/>
      <c r="AB531" s="58"/>
      <c r="AC531" s="58"/>
      <c r="AD531" s="58"/>
      <c r="AE531" s="58"/>
    </row>
    <row r="532">
      <c r="E532" s="58"/>
      <c r="F532" s="58"/>
      <c r="G532" s="59"/>
      <c r="H532" s="58"/>
      <c r="J532" s="58"/>
      <c r="K532" s="1"/>
      <c r="M532" s="58"/>
      <c r="N532" s="58"/>
      <c r="Y532" s="58"/>
      <c r="Z532" s="58"/>
      <c r="AB532" s="58"/>
      <c r="AC532" s="58"/>
      <c r="AD532" s="58"/>
      <c r="AE532" s="58"/>
    </row>
    <row r="533">
      <c r="E533" s="58"/>
      <c r="F533" s="58"/>
      <c r="G533" s="59"/>
      <c r="H533" s="58"/>
      <c r="J533" s="58"/>
      <c r="K533" s="1"/>
      <c r="M533" s="58"/>
      <c r="N533" s="58"/>
      <c r="Y533" s="58"/>
      <c r="Z533" s="58"/>
      <c r="AB533" s="58"/>
      <c r="AC533" s="58"/>
      <c r="AD533" s="58"/>
      <c r="AE533" s="58"/>
    </row>
    <row r="534">
      <c r="E534" s="58"/>
      <c r="F534" s="58"/>
      <c r="G534" s="59"/>
      <c r="H534" s="58"/>
      <c r="J534" s="58"/>
      <c r="K534" s="1"/>
      <c r="M534" s="58"/>
      <c r="N534" s="58"/>
      <c r="Y534" s="58"/>
      <c r="Z534" s="58"/>
      <c r="AB534" s="58"/>
      <c r="AC534" s="58"/>
      <c r="AD534" s="58"/>
      <c r="AE534" s="58"/>
    </row>
    <row r="535">
      <c r="E535" s="58"/>
      <c r="F535" s="58"/>
      <c r="G535" s="59"/>
      <c r="H535" s="58"/>
      <c r="J535" s="58"/>
      <c r="K535" s="1"/>
      <c r="M535" s="58"/>
      <c r="N535" s="58"/>
      <c r="Y535" s="58"/>
      <c r="Z535" s="58"/>
      <c r="AB535" s="58"/>
      <c r="AC535" s="58"/>
      <c r="AD535" s="58"/>
      <c r="AE535" s="58"/>
    </row>
    <row r="536">
      <c r="E536" s="58"/>
      <c r="F536" s="58"/>
      <c r="G536" s="59"/>
      <c r="H536" s="58"/>
      <c r="J536" s="58"/>
      <c r="K536" s="1"/>
      <c r="M536" s="58"/>
      <c r="N536" s="58"/>
      <c r="Y536" s="58"/>
      <c r="Z536" s="58"/>
      <c r="AB536" s="58"/>
      <c r="AC536" s="58"/>
      <c r="AD536" s="58"/>
      <c r="AE536" s="58"/>
    </row>
    <row r="537">
      <c r="E537" s="58"/>
      <c r="F537" s="58"/>
      <c r="G537" s="59"/>
      <c r="H537" s="58"/>
      <c r="J537" s="58"/>
      <c r="K537" s="1"/>
      <c r="M537" s="58"/>
      <c r="N537" s="58"/>
      <c r="Y537" s="58"/>
      <c r="Z537" s="58"/>
      <c r="AB537" s="58"/>
      <c r="AC537" s="58"/>
      <c r="AD537" s="58"/>
      <c r="AE537" s="58"/>
    </row>
    <row r="538">
      <c r="E538" s="58"/>
      <c r="F538" s="58"/>
      <c r="G538" s="59"/>
      <c r="H538" s="58"/>
      <c r="J538" s="58"/>
      <c r="K538" s="1"/>
      <c r="M538" s="58"/>
      <c r="N538" s="58"/>
      <c r="Y538" s="58"/>
      <c r="Z538" s="58"/>
      <c r="AB538" s="58"/>
      <c r="AC538" s="58"/>
      <c r="AD538" s="58"/>
      <c r="AE538" s="58"/>
    </row>
    <row r="539">
      <c r="E539" s="58"/>
      <c r="F539" s="58"/>
      <c r="G539" s="59"/>
      <c r="H539" s="58"/>
      <c r="J539" s="58"/>
      <c r="K539" s="1"/>
      <c r="M539" s="58"/>
      <c r="N539" s="58"/>
      <c r="Y539" s="58"/>
      <c r="Z539" s="58"/>
      <c r="AB539" s="58"/>
      <c r="AC539" s="58"/>
      <c r="AD539" s="58"/>
      <c r="AE539" s="58"/>
    </row>
    <row r="540">
      <c r="E540" s="58"/>
      <c r="F540" s="58"/>
      <c r="G540" s="59"/>
      <c r="H540" s="58"/>
      <c r="J540" s="58"/>
      <c r="K540" s="1"/>
      <c r="M540" s="58"/>
      <c r="N540" s="58"/>
      <c r="Y540" s="58"/>
      <c r="Z540" s="58"/>
      <c r="AB540" s="58"/>
      <c r="AC540" s="58"/>
      <c r="AD540" s="58"/>
      <c r="AE540" s="58"/>
    </row>
    <row r="541">
      <c r="E541" s="58"/>
      <c r="F541" s="58"/>
      <c r="G541" s="59"/>
      <c r="H541" s="58"/>
      <c r="J541" s="58"/>
      <c r="K541" s="1"/>
      <c r="M541" s="58"/>
      <c r="N541" s="58"/>
      <c r="Y541" s="58"/>
      <c r="Z541" s="58"/>
      <c r="AB541" s="58"/>
      <c r="AC541" s="58"/>
      <c r="AD541" s="58"/>
      <c r="AE541" s="58"/>
    </row>
    <row r="542">
      <c r="E542" s="58"/>
      <c r="F542" s="58"/>
      <c r="G542" s="59"/>
      <c r="H542" s="58"/>
      <c r="J542" s="58"/>
      <c r="K542" s="1"/>
      <c r="M542" s="58"/>
      <c r="N542" s="58"/>
      <c r="Y542" s="58"/>
      <c r="Z542" s="58"/>
      <c r="AB542" s="58"/>
      <c r="AC542" s="58"/>
      <c r="AD542" s="58"/>
      <c r="AE542" s="58"/>
    </row>
    <row r="543">
      <c r="E543" s="58"/>
      <c r="F543" s="58"/>
      <c r="G543" s="59"/>
      <c r="H543" s="58"/>
      <c r="J543" s="58"/>
      <c r="K543" s="1"/>
      <c r="M543" s="58"/>
      <c r="N543" s="58"/>
      <c r="Y543" s="58"/>
      <c r="Z543" s="58"/>
      <c r="AB543" s="58"/>
      <c r="AC543" s="58"/>
      <c r="AD543" s="58"/>
      <c r="AE543" s="58"/>
    </row>
    <row r="544">
      <c r="E544" s="58"/>
      <c r="F544" s="58"/>
      <c r="G544" s="59"/>
      <c r="H544" s="58"/>
      <c r="J544" s="58"/>
      <c r="K544" s="1"/>
      <c r="M544" s="58"/>
      <c r="N544" s="58"/>
      <c r="Y544" s="58"/>
      <c r="Z544" s="58"/>
      <c r="AB544" s="58"/>
      <c r="AC544" s="58"/>
      <c r="AD544" s="58"/>
      <c r="AE544" s="58"/>
    </row>
    <row r="545">
      <c r="E545" s="58"/>
      <c r="F545" s="58"/>
      <c r="G545" s="59"/>
      <c r="H545" s="58"/>
      <c r="J545" s="58"/>
      <c r="K545" s="1"/>
      <c r="M545" s="58"/>
      <c r="N545" s="58"/>
      <c r="Y545" s="58"/>
      <c r="Z545" s="58"/>
      <c r="AB545" s="58"/>
      <c r="AC545" s="58"/>
      <c r="AD545" s="58"/>
      <c r="AE545" s="58"/>
    </row>
    <row r="546">
      <c r="E546" s="58"/>
      <c r="F546" s="58"/>
      <c r="G546" s="59"/>
      <c r="H546" s="58"/>
      <c r="J546" s="58"/>
      <c r="K546" s="1"/>
      <c r="M546" s="58"/>
      <c r="N546" s="58"/>
      <c r="Y546" s="58"/>
      <c r="Z546" s="58"/>
      <c r="AB546" s="58"/>
      <c r="AC546" s="58"/>
      <c r="AD546" s="58"/>
      <c r="AE546" s="58"/>
    </row>
    <row r="547">
      <c r="E547" s="58"/>
      <c r="F547" s="58"/>
      <c r="G547" s="59"/>
      <c r="H547" s="58"/>
      <c r="J547" s="58"/>
      <c r="K547" s="1"/>
      <c r="M547" s="58"/>
      <c r="N547" s="58"/>
      <c r="Y547" s="58"/>
      <c r="Z547" s="58"/>
      <c r="AB547" s="58"/>
      <c r="AC547" s="58"/>
      <c r="AD547" s="58"/>
      <c r="AE547" s="58"/>
    </row>
    <row r="548">
      <c r="E548" s="58"/>
      <c r="F548" s="58"/>
      <c r="G548" s="59"/>
      <c r="H548" s="58"/>
      <c r="J548" s="58"/>
      <c r="K548" s="1"/>
      <c r="M548" s="58"/>
      <c r="N548" s="58"/>
      <c r="Y548" s="58"/>
      <c r="Z548" s="58"/>
      <c r="AB548" s="58"/>
      <c r="AC548" s="58"/>
      <c r="AD548" s="58"/>
      <c r="AE548" s="58"/>
    </row>
    <row r="549">
      <c r="E549" s="58"/>
      <c r="F549" s="58"/>
      <c r="G549" s="59"/>
      <c r="H549" s="58"/>
      <c r="J549" s="58"/>
      <c r="K549" s="1"/>
      <c r="M549" s="58"/>
      <c r="N549" s="58"/>
      <c r="Y549" s="58"/>
      <c r="Z549" s="58"/>
      <c r="AB549" s="58"/>
      <c r="AC549" s="58"/>
      <c r="AD549" s="58"/>
      <c r="AE549" s="58"/>
    </row>
    <row r="550">
      <c r="E550" s="58"/>
      <c r="F550" s="58"/>
      <c r="G550" s="59"/>
      <c r="H550" s="58"/>
      <c r="J550" s="58"/>
      <c r="K550" s="1"/>
      <c r="M550" s="58"/>
      <c r="N550" s="58"/>
      <c r="Y550" s="58"/>
      <c r="Z550" s="58"/>
      <c r="AB550" s="58"/>
      <c r="AC550" s="58"/>
      <c r="AD550" s="58"/>
      <c r="AE550" s="58"/>
    </row>
    <row r="551">
      <c r="E551" s="58"/>
      <c r="F551" s="58"/>
      <c r="G551" s="59"/>
      <c r="H551" s="58"/>
      <c r="J551" s="58"/>
      <c r="K551" s="1"/>
      <c r="M551" s="58"/>
      <c r="N551" s="58"/>
      <c r="Y551" s="58"/>
      <c r="Z551" s="58"/>
      <c r="AB551" s="58"/>
      <c r="AC551" s="58"/>
      <c r="AD551" s="58"/>
      <c r="AE551" s="58"/>
    </row>
    <row r="552">
      <c r="E552" s="58"/>
      <c r="F552" s="58"/>
      <c r="G552" s="59"/>
      <c r="H552" s="58"/>
      <c r="J552" s="58"/>
      <c r="K552" s="1"/>
      <c r="M552" s="58"/>
      <c r="N552" s="58"/>
      <c r="Y552" s="58"/>
      <c r="Z552" s="58"/>
      <c r="AB552" s="58"/>
      <c r="AC552" s="58"/>
      <c r="AD552" s="58"/>
      <c r="AE552" s="58"/>
    </row>
    <row r="553">
      <c r="E553" s="58"/>
      <c r="F553" s="58"/>
      <c r="G553" s="59"/>
      <c r="H553" s="58"/>
      <c r="J553" s="58"/>
      <c r="K553" s="1"/>
      <c r="M553" s="58"/>
      <c r="N553" s="58"/>
      <c r="Y553" s="58"/>
      <c r="Z553" s="58"/>
      <c r="AB553" s="58"/>
      <c r="AC553" s="58"/>
      <c r="AD553" s="58"/>
      <c r="AE553" s="58"/>
    </row>
    <row r="554">
      <c r="E554" s="58"/>
      <c r="F554" s="58"/>
      <c r="G554" s="59"/>
      <c r="H554" s="58"/>
      <c r="J554" s="58"/>
      <c r="K554" s="1"/>
      <c r="M554" s="58"/>
      <c r="N554" s="58"/>
      <c r="Y554" s="58"/>
      <c r="Z554" s="58"/>
      <c r="AB554" s="58"/>
      <c r="AC554" s="58"/>
      <c r="AD554" s="58"/>
      <c r="AE554" s="58"/>
    </row>
    <row r="555">
      <c r="E555" s="58"/>
      <c r="F555" s="58"/>
      <c r="G555" s="59"/>
      <c r="H555" s="58"/>
      <c r="J555" s="58"/>
      <c r="K555" s="1"/>
      <c r="M555" s="58"/>
      <c r="N555" s="58"/>
      <c r="Y555" s="58"/>
      <c r="Z555" s="58"/>
      <c r="AB555" s="58"/>
      <c r="AC555" s="58"/>
      <c r="AD555" s="58"/>
      <c r="AE555" s="58"/>
    </row>
    <row r="556">
      <c r="E556" s="58"/>
      <c r="F556" s="58"/>
      <c r="G556" s="59"/>
      <c r="H556" s="58"/>
      <c r="J556" s="58"/>
      <c r="K556" s="1"/>
      <c r="M556" s="58"/>
      <c r="N556" s="58"/>
      <c r="Y556" s="58"/>
      <c r="Z556" s="58"/>
      <c r="AB556" s="58"/>
      <c r="AC556" s="58"/>
      <c r="AD556" s="58"/>
      <c r="AE556" s="58"/>
    </row>
    <row r="557">
      <c r="E557" s="58"/>
      <c r="F557" s="58"/>
      <c r="G557" s="59"/>
      <c r="H557" s="58"/>
      <c r="J557" s="58"/>
      <c r="K557" s="1"/>
      <c r="M557" s="58"/>
      <c r="N557" s="58"/>
      <c r="Y557" s="58"/>
      <c r="Z557" s="58"/>
      <c r="AB557" s="58"/>
      <c r="AC557" s="58"/>
      <c r="AD557" s="58"/>
      <c r="AE557" s="58"/>
    </row>
    <row r="558">
      <c r="E558" s="58"/>
      <c r="F558" s="58"/>
      <c r="G558" s="59"/>
      <c r="H558" s="58"/>
      <c r="J558" s="58"/>
      <c r="K558" s="1"/>
      <c r="M558" s="58"/>
      <c r="N558" s="58"/>
      <c r="Y558" s="58"/>
      <c r="Z558" s="58"/>
      <c r="AB558" s="58"/>
      <c r="AC558" s="58"/>
      <c r="AD558" s="58"/>
      <c r="AE558" s="58"/>
    </row>
    <row r="559">
      <c r="E559" s="58"/>
      <c r="F559" s="58"/>
      <c r="G559" s="59"/>
      <c r="H559" s="58"/>
      <c r="J559" s="58"/>
      <c r="K559" s="1"/>
      <c r="M559" s="58"/>
      <c r="N559" s="58"/>
      <c r="Y559" s="58"/>
      <c r="Z559" s="58"/>
      <c r="AB559" s="58"/>
      <c r="AC559" s="58"/>
      <c r="AD559" s="58"/>
      <c r="AE559" s="58"/>
    </row>
    <row r="560">
      <c r="E560" s="58"/>
      <c r="F560" s="58"/>
      <c r="G560" s="59"/>
      <c r="H560" s="58"/>
      <c r="J560" s="58"/>
      <c r="K560" s="1"/>
      <c r="M560" s="58"/>
      <c r="N560" s="58"/>
      <c r="Y560" s="58"/>
      <c r="Z560" s="58"/>
      <c r="AB560" s="58"/>
      <c r="AC560" s="58"/>
      <c r="AD560" s="58"/>
      <c r="AE560" s="58"/>
    </row>
    <row r="561">
      <c r="E561" s="58"/>
      <c r="F561" s="58"/>
      <c r="G561" s="59"/>
      <c r="H561" s="58"/>
      <c r="J561" s="58"/>
      <c r="K561" s="1"/>
      <c r="M561" s="58"/>
      <c r="N561" s="58"/>
      <c r="Y561" s="58"/>
      <c r="Z561" s="58"/>
      <c r="AB561" s="58"/>
      <c r="AC561" s="58"/>
      <c r="AD561" s="58"/>
      <c r="AE561" s="58"/>
    </row>
    <row r="562">
      <c r="E562" s="58"/>
      <c r="F562" s="58"/>
      <c r="G562" s="59"/>
      <c r="H562" s="58"/>
      <c r="J562" s="58"/>
      <c r="K562" s="1"/>
      <c r="M562" s="58"/>
      <c r="N562" s="58"/>
      <c r="Y562" s="58"/>
      <c r="Z562" s="58"/>
      <c r="AB562" s="58"/>
      <c r="AC562" s="58"/>
      <c r="AD562" s="58"/>
      <c r="AE562" s="58"/>
    </row>
    <row r="563">
      <c r="E563" s="58"/>
      <c r="F563" s="58"/>
      <c r="G563" s="59"/>
      <c r="H563" s="58"/>
      <c r="J563" s="58"/>
      <c r="K563" s="1"/>
      <c r="M563" s="58"/>
      <c r="N563" s="58"/>
      <c r="Y563" s="58"/>
      <c r="Z563" s="58"/>
      <c r="AB563" s="58"/>
      <c r="AC563" s="58"/>
      <c r="AD563" s="58"/>
      <c r="AE563" s="58"/>
    </row>
    <row r="564">
      <c r="E564" s="58"/>
      <c r="F564" s="58"/>
      <c r="G564" s="59"/>
      <c r="H564" s="58"/>
      <c r="J564" s="58"/>
      <c r="K564" s="1"/>
      <c r="M564" s="58"/>
      <c r="N564" s="58"/>
      <c r="Y564" s="58"/>
      <c r="Z564" s="58"/>
      <c r="AB564" s="58"/>
      <c r="AC564" s="58"/>
      <c r="AD564" s="58"/>
      <c r="AE564" s="58"/>
    </row>
    <row r="565">
      <c r="E565" s="58"/>
      <c r="F565" s="58"/>
      <c r="G565" s="59"/>
      <c r="H565" s="58"/>
      <c r="J565" s="58"/>
      <c r="K565" s="1"/>
      <c r="M565" s="58"/>
      <c r="N565" s="58"/>
      <c r="Y565" s="58"/>
      <c r="Z565" s="58"/>
      <c r="AB565" s="58"/>
      <c r="AC565" s="58"/>
      <c r="AD565" s="58"/>
      <c r="AE565" s="58"/>
    </row>
    <row r="566">
      <c r="E566" s="58"/>
      <c r="F566" s="58"/>
      <c r="G566" s="59"/>
      <c r="H566" s="58"/>
      <c r="J566" s="58"/>
      <c r="K566" s="1"/>
      <c r="M566" s="58"/>
      <c r="N566" s="58"/>
      <c r="Y566" s="58"/>
      <c r="Z566" s="58"/>
      <c r="AB566" s="58"/>
      <c r="AC566" s="58"/>
      <c r="AD566" s="58"/>
      <c r="AE566" s="58"/>
    </row>
    <row r="567">
      <c r="E567" s="58"/>
      <c r="F567" s="58"/>
      <c r="G567" s="59"/>
      <c r="H567" s="58"/>
      <c r="J567" s="58"/>
      <c r="K567" s="1"/>
      <c r="M567" s="58"/>
      <c r="N567" s="58"/>
      <c r="Y567" s="58"/>
      <c r="Z567" s="58"/>
      <c r="AB567" s="58"/>
      <c r="AC567" s="58"/>
      <c r="AD567" s="58"/>
      <c r="AE567" s="58"/>
    </row>
    <row r="568">
      <c r="E568" s="58"/>
      <c r="F568" s="58"/>
      <c r="G568" s="59"/>
      <c r="H568" s="58"/>
      <c r="J568" s="58"/>
      <c r="K568" s="1"/>
      <c r="M568" s="58"/>
      <c r="N568" s="58"/>
      <c r="Y568" s="58"/>
      <c r="Z568" s="58"/>
      <c r="AB568" s="58"/>
      <c r="AC568" s="58"/>
      <c r="AD568" s="58"/>
      <c r="AE568" s="58"/>
    </row>
    <row r="569">
      <c r="E569" s="58"/>
      <c r="F569" s="58"/>
      <c r="G569" s="59"/>
      <c r="H569" s="58"/>
      <c r="J569" s="58"/>
      <c r="K569" s="1"/>
      <c r="M569" s="58"/>
      <c r="N569" s="58"/>
      <c r="Y569" s="58"/>
      <c r="Z569" s="58"/>
      <c r="AB569" s="58"/>
      <c r="AC569" s="58"/>
      <c r="AD569" s="58"/>
      <c r="AE569" s="58"/>
    </row>
    <row r="570">
      <c r="E570" s="58"/>
      <c r="F570" s="58"/>
      <c r="G570" s="59"/>
      <c r="H570" s="58"/>
      <c r="J570" s="58"/>
      <c r="K570" s="1"/>
      <c r="M570" s="58"/>
      <c r="N570" s="58"/>
      <c r="Y570" s="58"/>
      <c r="Z570" s="58"/>
      <c r="AB570" s="58"/>
      <c r="AC570" s="58"/>
      <c r="AD570" s="58"/>
      <c r="AE570" s="58"/>
    </row>
    <row r="571">
      <c r="E571" s="58"/>
      <c r="F571" s="58"/>
      <c r="G571" s="59"/>
      <c r="H571" s="58"/>
      <c r="J571" s="58"/>
      <c r="K571" s="1"/>
      <c r="M571" s="58"/>
      <c r="N571" s="58"/>
      <c r="Y571" s="58"/>
      <c r="Z571" s="58"/>
      <c r="AB571" s="58"/>
      <c r="AC571" s="58"/>
      <c r="AD571" s="58"/>
      <c r="AE571" s="58"/>
    </row>
    <row r="572">
      <c r="E572" s="58"/>
      <c r="F572" s="58"/>
      <c r="G572" s="59"/>
      <c r="H572" s="58"/>
      <c r="J572" s="58"/>
      <c r="K572" s="1"/>
      <c r="M572" s="58"/>
      <c r="N572" s="58"/>
      <c r="Y572" s="58"/>
      <c r="Z572" s="58"/>
      <c r="AB572" s="58"/>
      <c r="AC572" s="58"/>
      <c r="AD572" s="58"/>
      <c r="AE572" s="58"/>
    </row>
    <row r="573">
      <c r="E573" s="58"/>
      <c r="F573" s="58"/>
      <c r="G573" s="59"/>
      <c r="H573" s="58"/>
      <c r="J573" s="58"/>
      <c r="K573" s="1"/>
      <c r="M573" s="58"/>
      <c r="N573" s="58"/>
      <c r="Y573" s="58"/>
      <c r="Z573" s="58"/>
      <c r="AB573" s="58"/>
      <c r="AC573" s="58"/>
      <c r="AD573" s="58"/>
      <c r="AE573" s="58"/>
    </row>
    <row r="574">
      <c r="E574" s="58"/>
      <c r="F574" s="58"/>
      <c r="G574" s="59"/>
      <c r="H574" s="58"/>
      <c r="J574" s="58"/>
      <c r="K574" s="1"/>
      <c r="M574" s="58"/>
      <c r="N574" s="58"/>
      <c r="Y574" s="58"/>
      <c r="Z574" s="58"/>
      <c r="AB574" s="58"/>
      <c r="AC574" s="58"/>
      <c r="AD574" s="58"/>
      <c r="AE574" s="58"/>
    </row>
    <row r="575">
      <c r="E575" s="58"/>
      <c r="F575" s="58"/>
      <c r="G575" s="59"/>
      <c r="H575" s="58"/>
      <c r="J575" s="58"/>
      <c r="K575" s="1"/>
      <c r="M575" s="58"/>
      <c r="N575" s="58"/>
      <c r="Y575" s="58"/>
      <c r="Z575" s="58"/>
      <c r="AB575" s="58"/>
      <c r="AC575" s="58"/>
      <c r="AD575" s="58"/>
      <c r="AE575" s="58"/>
    </row>
    <row r="576">
      <c r="E576" s="58"/>
      <c r="F576" s="58"/>
      <c r="G576" s="59"/>
      <c r="H576" s="58"/>
      <c r="J576" s="58"/>
      <c r="K576" s="1"/>
      <c r="M576" s="58"/>
      <c r="N576" s="58"/>
      <c r="Y576" s="58"/>
      <c r="Z576" s="58"/>
      <c r="AB576" s="58"/>
      <c r="AC576" s="58"/>
      <c r="AD576" s="58"/>
      <c r="AE576" s="58"/>
    </row>
    <row r="577">
      <c r="E577" s="58"/>
      <c r="F577" s="58"/>
      <c r="G577" s="59"/>
      <c r="H577" s="58"/>
      <c r="J577" s="58"/>
      <c r="K577" s="1"/>
      <c r="M577" s="58"/>
      <c r="N577" s="58"/>
      <c r="Y577" s="58"/>
      <c r="Z577" s="58"/>
      <c r="AB577" s="58"/>
      <c r="AC577" s="58"/>
      <c r="AD577" s="58"/>
      <c r="AE577" s="58"/>
    </row>
    <row r="578">
      <c r="E578" s="58"/>
      <c r="F578" s="58"/>
      <c r="G578" s="59"/>
      <c r="H578" s="58"/>
      <c r="J578" s="58"/>
      <c r="K578" s="1"/>
      <c r="M578" s="58"/>
      <c r="N578" s="58"/>
      <c r="Y578" s="58"/>
      <c r="Z578" s="58"/>
      <c r="AB578" s="58"/>
      <c r="AC578" s="58"/>
      <c r="AD578" s="58"/>
      <c r="AE578" s="58"/>
    </row>
    <row r="579">
      <c r="E579" s="58"/>
      <c r="F579" s="58"/>
      <c r="G579" s="59"/>
      <c r="H579" s="58"/>
      <c r="J579" s="58"/>
      <c r="K579" s="1"/>
      <c r="M579" s="58"/>
      <c r="N579" s="58"/>
      <c r="Y579" s="58"/>
      <c r="Z579" s="58"/>
      <c r="AB579" s="58"/>
      <c r="AC579" s="58"/>
      <c r="AD579" s="58"/>
      <c r="AE579" s="58"/>
    </row>
    <row r="580">
      <c r="E580" s="58"/>
      <c r="F580" s="58"/>
      <c r="G580" s="59"/>
      <c r="H580" s="58"/>
      <c r="J580" s="58"/>
      <c r="K580" s="1"/>
      <c r="M580" s="58"/>
      <c r="N580" s="58"/>
      <c r="Y580" s="58"/>
      <c r="Z580" s="58"/>
      <c r="AB580" s="58"/>
      <c r="AC580" s="58"/>
      <c r="AD580" s="58"/>
      <c r="AE580" s="58"/>
    </row>
    <row r="581">
      <c r="E581" s="58"/>
      <c r="F581" s="58"/>
      <c r="G581" s="59"/>
      <c r="H581" s="58"/>
      <c r="J581" s="58"/>
      <c r="K581" s="1"/>
      <c r="M581" s="58"/>
      <c r="N581" s="58"/>
      <c r="Y581" s="58"/>
      <c r="Z581" s="58"/>
      <c r="AB581" s="58"/>
      <c r="AC581" s="58"/>
      <c r="AD581" s="58"/>
      <c r="AE581" s="58"/>
    </row>
    <row r="582">
      <c r="E582" s="58"/>
      <c r="F582" s="58"/>
      <c r="G582" s="59"/>
      <c r="H582" s="58"/>
      <c r="J582" s="58"/>
      <c r="K582" s="1"/>
      <c r="M582" s="58"/>
      <c r="N582" s="58"/>
      <c r="Y582" s="58"/>
      <c r="Z582" s="58"/>
      <c r="AB582" s="58"/>
      <c r="AC582" s="58"/>
      <c r="AD582" s="58"/>
      <c r="AE582" s="58"/>
    </row>
    <row r="583">
      <c r="E583" s="58"/>
      <c r="F583" s="58"/>
      <c r="G583" s="59"/>
      <c r="H583" s="58"/>
      <c r="J583" s="58"/>
      <c r="K583" s="1"/>
      <c r="M583" s="58"/>
      <c r="N583" s="58"/>
      <c r="Y583" s="58"/>
      <c r="Z583" s="58"/>
      <c r="AB583" s="58"/>
      <c r="AC583" s="58"/>
      <c r="AD583" s="58"/>
      <c r="AE583" s="58"/>
    </row>
    <row r="584">
      <c r="E584" s="58"/>
      <c r="F584" s="58"/>
      <c r="G584" s="59"/>
      <c r="H584" s="58"/>
      <c r="J584" s="58"/>
      <c r="K584" s="1"/>
      <c r="M584" s="58"/>
      <c r="N584" s="58"/>
      <c r="Y584" s="58"/>
      <c r="Z584" s="58"/>
      <c r="AB584" s="58"/>
      <c r="AC584" s="58"/>
      <c r="AD584" s="58"/>
      <c r="AE584" s="58"/>
    </row>
    <row r="585">
      <c r="E585" s="58"/>
      <c r="F585" s="58"/>
      <c r="G585" s="59"/>
      <c r="H585" s="58"/>
      <c r="J585" s="58"/>
      <c r="K585" s="1"/>
      <c r="M585" s="58"/>
      <c r="N585" s="58"/>
      <c r="Y585" s="58"/>
      <c r="Z585" s="58"/>
      <c r="AB585" s="58"/>
      <c r="AC585" s="58"/>
      <c r="AD585" s="58"/>
      <c r="AE585" s="58"/>
    </row>
    <row r="586">
      <c r="E586" s="58"/>
      <c r="F586" s="58"/>
      <c r="G586" s="59"/>
      <c r="H586" s="58"/>
      <c r="J586" s="58"/>
      <c r="K586" s="1"/>
      <c r="M586" s="58"/>
      <c r="N586" s="58"/>
      <c r="Y586" s="58"/>
      <c r="Z586" s="58"/>
      <c r="AB586" s="58"/>
      <c r="AC586" s="58"/>
      <c r="AD586" s="58"/>
      <c r="AE586" s="58"/>
    </row>
    <row r="587">
      <c r="E587" s="58"/>
      <c r="F587" s="58"/>
      <c r="G587" s="59"/>
      <c r="H587" s="58"/>
      <c r="J587" s="58"/>
      <c r="K587" s="1"/>
      <c r="M587" s="58"/>
      <c r="N587" s="58"/>
      <c r="Y587" s="58"/>
      <c r="Z587" s="58"/>
      <c r="AB587" s="58"/>
      <c r="AC587" s="58"/>
      <c r="AD587" s="58"/>
      <c r="AE587" s="58"/>
    </row>
    <row r="588">
      <c r="E588" s="58"/>
      <c r="F588" s="58"/>
      <c r="G588" s="59"/>
      <c r="H588" s="58"/>
      <c r="J588" s="58"/>
      <c r="K588" s="1"/>
      <c r="M588" s="58"/>
      <c r="N588" s="58"/>
      <c r="Y588" s="58"/>
      <c r="Z588" s="58"/>
      <c r="AB588" s="58"/>
      <c r="AC588" s="58"/>
      <c r="AD588" s="58"/>
      <c r="AE588" s="58"/>
    </row>
    <row r="589">
      <c r="E589" s="58"/>
      <c r="F589" s="58"/>
      <c r="G589" s="59"/>
      <c r="H589" s="58"/>
      <c r="J589" s="58"/>
      <c r="K589" s="1"/>
      <c r="M589" s="58"/>
      <c r="N589" s="58"/>
      <c r="Y589" s="58"/>
      <c r="Z589" s="58"/>
      <c r="AB589" s="58"/>
      <c r="AC589" s="58"/>
      <c r="AD589" s="58"/>
      <c r="AE589" s="58"/>
    </row>
    <row r="590">
      <c r="E590" s="58"/>
      <c r="F590" s="58"/>
      <c r="G590" s="59"/>
      <c r="H590" s="58"/>
      <c r="J590" s="58"/>
      <c r="K590" s="1"/>
      <c r="M590" s="58"/>
      <c r="N590" s="58"/>
      <c r="Y590" s="58"/>
      <c r="Z590" s="58"/>
      <c r="AB590" s="58"/>
      <c r="AC590" s="58"/>
      <c r="AD590" s="58"/>
      <c r="AE590" s="58"/>
    </row>
    <row r="591">
      <c r="E591" s="58"/>
      <c r="F591" s="58"/>
      <c r="G591" s="59"/>
      <c r="H591" s="58"/>
      <c r="J591" s="58"/>
      <c r="K591" s="1"/>
      <c r="M591" s="58"/>
      <c r="N591" s="58"/>
      <c r="Y591" s="58"/>
      <c r="Z591" s="58"/>
      <c r="AB591" s="58"/>
      <c r="AC591" s="58"/>
      <c r="AD591" s="58"/>
      <c r="AE591" s="58"/>
    </row>
    <row r="592">
      <c r="E592" s="58"/>
      <c r="F592" s="58"/>
      <c r="G592" s="59"/>
      <c r="H592" s="58"/>
      <c r="J592" s="58"/>
      <c r="K592" s="1"/>
      <c r="M592" s="58"/>
      <c r="N592" s="58"/>
      <c r="Y592" s="58"/>
      <c r="Z592" s="58"/>
      <c r="AB592" s="58"/>
      <c r="AC592" s="58"/>
      <c r="AD592" s="58"/>
      <c r="AE592" s="58"/>
    </row>
    <row r="593">
      <c r="E593" s="58"/>
      <c r="F593" s="58"/>
      <c r="G593" s="59"/>
      <c r="H593" s="58"/>
      <c r="J593" s="58"/>
      <c r="K593" s="1"/>
      <c r="M593" s="58"/>
      <c r="N593" s="58"/>
      <c r="Y593" s="58"/>
      <c r="Z593" s="58"/>
      <c r="AB593" s="58"/>
      <c r="AC593" s="58"/>
      <c r="AD593" s="58"/>
      <c r="AE593" s="58"/>
    </row>
    <row r="594">
      <c r="E594" s="58"/>
      <c r="F594" s="58"/>
      <c r="G594" s="59"/>
      <c r="H594" s="58"/>
      <c r="J594" s="58"/>
      <c r="K594" s="1"/>
      <c r="M594" s="58"/>
      <c r="N594" s="58"/>
      <c r="Y594" s="58"/>
      <c r="Z594" s="58"/>
      <c r="AB594" s="58"/>
      <c r="AC594" s="58"/>
      <c r="AD594" s="58"/>
      <c r="AE594" s="58"/>
    </row>
    <row r="595">
      <c r="E595" s="58"/>
      <c r="F595" s="58"/>
      <c r="G595" s="59"/>
      <c r="H595" s="58"/>
      <c r="J595" s="58"/>
      <c r="K595" s="1"/>
      <c r="M595" s="58"/>
      <c r="N595" s="58"/>
      <c r="Y595" s="58"/>
      <c r="Z595" s="58"/>
      <c r="AB595" s="58"/>
      <c r="AC595" s="58"/>
      <c r="AD595" s="58"/>
      <c r="AE595" s="58"/>
    </row>
    <row r="596">
      <c r="E596" s="58"/>
      <c r="F596" s="58"/>
      <c r="G596" s="59"/>
      <c r="H596" s="58"/>
      <c r="J596" s="58"/>
      <c r="K596" s="1"/>
      <c r="M596" s="58"/>
      <c r="N596" s="58"/>
      <c r="Y596" s="58"/>
      <c r="Z596" s="58"/>
      <c r="AB596" s="58"/>
      <c r="AC596" s="58"/>
      <c r="AD596" s="58"/>
      <c r="AE596" s="58"/>
    </row>
    <row r="597">
      <c r="E597" s="58"/>
      <c r="F597" s="58"/>
      <c r="G597" s="59"/>
      <c r="H597" s="58"/>
      <c r="J597" s="58"/>
      <c r="K597" s="1"/>
      <c r="M597" s="58"/>
      <c r="N597" s="58"/>
      <c r="Y597" s="58"/>
      <c r="Z597" s="58"/>
      <c r="AB597" s="58"/>
      <c r="AC597" s="58"/>
      <c r="AD597" s="58"/>
      <c r="AE597" s="58"/>
    </row>
    <row r="598">
      <c r="E598" s="58"/>
      <c r="F598" s="58"/>
      <c r="G598" s="59"/>
      <c r="H598" s="58"/>
      <c r="J598" s="58"/>
      <c r="K598" s="1"/>
      <c r="M598" s="58"/>
      <c r="N598" s="58"/>
      <c r="Y598" s="58"/>
      <c r="Z598" s="58"/>
      <c r="AB598" s="58"/>
      <c r="AC598" s="58"/>
      <c r="AD598" s="58"/>
      <c r="AE598" s="58"/>
    </row>
    <row r="599">
      <c r="E599" s="58"/>
      <c r="F599" s="58"/>
      <c r="G599" s="59"/>
      <c r="H599" s="58"/>
      <c r="J599" s="58"/>
      <c r="K599" s="1"/>
      <c r="M599" s="58"/>
      <c r="N599" s="58"/>
      <c r="Y599" s="58"/>
      <c r="Z599" s="58"/>
      <c r="AB599" s="58"/>
      <c r="AC599" s="58"/>
      <c r="AD599" s="58"/>
      <c r="AE599" s="58"/>
    </row>
    <row r="600">
      <c r="E600" s="58"/>
      <c r="F600" s="58"/>
      <c r="G600" s="59"/>
      <c r="H600" s="58"/>
      <c r="J600" s="58"/>
      <c r="K600" s="1"/>
      <c r="M600" s="58"/>
      <c r="N600" s="58"/>
      <c r="Y600" s="58"/>
      <c r="Z600" s="58"/>
      <c r="AB600" s="58"/>
      <c r="AC600" s="58"/>
      <c r="AD600" s="58"/>
      <c r="AE600" s="58"/>
    </row>
    <row r="601">
      <c r="E601" s="58"/>
      <c r="F601" s="58"/>
      <c r="G601" s="59"/>
      <c r="H601" s="58"/>
      <c r="J601" s="58"/>
      <c r="K601" s="1"/>
      <c r="M601" s="58"/>
      <c r="N601" s="58"/>
      <c r="Y601" s="58"/>
      <c r="Z601" s="58"/>
      <c r="AB601" s="58"/>
      <c r="AC601" s="58"/>
      <c r="AD601" s="58"/>
      <c r="AE601" s="58"/>
    </row>
    <row r="602">
      <c r="E602" s="58"/>
      <c r="F602" s="58"/>
      <c r="G602" s="59"/>
      <c r="H602" s="58"/>
      <c r="J602" s="58"/>
      <c r="K602" s="1"/>
      <c r="M602" s="58"/>
      <c r="N602" s="58"/>
      <c r="Y602" s="58"/>
      <c r="Z602" s="58"/>
      <c r="AB602" s="58"/>
      <c r="AC602" s="58"/>
      <c r="AD602" s="58"/>
      <c r="AE602" s="58"/>
    </row>
    <row r="603">
      <c r="E603" s="58"/>
      <c r="F603" s="58"/>
      <c r="G603" s="59"/>
      <c r="H603" s="58"/>
      <c r="J603" s="58"/>
      <c r="K603" s="1"/>
      <c r="M603" s="58"/>
      <c r="N603" s="58"/>
      <c r="Y603" s="58"/>
      <c r="Z603" s="58"/>
      <c r="AB603" s="58"/>
      <c r="AC603" s="58"/>
      <c r="AD603" s="58"/>
      <c r="AE603" s="58"/>
    </row>
    <row r="604">
      <c r="E604" s="58"/>
      <c r="F604" s="58"/>
      <c r="G604" s="59"/>
      <c r="H604" s="58"/>
      <c r="J604" s="58"/>
      <c r="K604" s="1"/>
      <c r="M604" s="58"/>
      <c r="N604" s="58"/>
      <c r="Y604" s="58"/>
      <c r="Z604" s="58"/>
      <c r="AB604" s="58"/>
      <c r="AC604" s="58"/>
      <c r="AD604" s="58"/>
      <c r="AE604" s="58"/>
    </row>
    <row r="605">
      <c r="E605" s="58"/>
      <c r="F605" s="58"/>
      <c r="G605" s="59"/>
      <c r="H605" s="58"/>
      <c r="J605" s="58"/>
      <c r="K605" s="1"/>
      <c r="M605" s="58"/>
      <c r="N605" s="58"/>
      <c r="Y605" s="58"/>
      <c r="Z605" s="58"/>
      <c r="AB605" s="58"/>
      <c r="AC605" s="58"/>
      <c r="AD605" s="58"/>
      <c r="AE605" s="58"/>
    </row>
    <row r="606">
      <c r="E606" s="58"/>
      <c r="F606" s="58"/>
      <c r="G606" s="59"/>
      <c r="H606" s="58"/>
      <c r="J606" s="58"/>
      <c r="K606" s="1"/>
      <c r="M606" s="58"/>
      <c r="N606" s="58"/>
      <c r="Y606" s="58"/>
      <c r="Z606" s="58"/>
      <c r="AB606" s="58"/>
      <c r="AC606" s="58"/>
      <c r="AD606" s="58"/>
      <c r="AE606" s="58"/>
    </row>
    <row r="607">
      <c r="E607" s="58"/>
      <c r="F607" s="58"/>
      <c r="G607" s="59"/>
      <c r="H607" s="58"/>
      <c r="J607" s="58"/>
      <c r="K607" s="1"/>
      <c r="M607" s="58"/>
      <c r="N607" s="58"/>
      <c r="Y607" s="58"/>
      <c r="Z607" s="58"/>
      <c r="AB607" s="58"/>
      <c r="AC607" s="58"/>
      <c r="AD607" s="58"/>
      <c r="AE607" s="58"/>
    </row>
    <row r="608">
      <c r="E608" s="58"/>
      <c r="F608" s="58"/>
      <c r="G608" s="59"/>
      <c r="H608" s="58"/>
      <c r="J608" s="58"/>
      <c r="K608" s="1"/>
      <c r="M608" s="58"/>
      <c r="N608" s="58"/>
      <c r="Y608" s="58"/>
      <c r="Z608" s="58"/>
      <c r="AB608" s="58"/>
      <c r="AC608" s="58"/>
      <c r="AD608" s="58"/>
      <c r="AE608" s="58"/>
    </row>
    <row r="609">
      <c r="E609" s="58"/>
      <c r="F609" s="58"/>
      <c r="G609" s="59"/>
      <c r="H609" s="58"/>
      <c r="J609" s="58"/>
      <c r="K609" s="1"/>
      <c r="M609" s="58"/>
      <c r="N609" s="58"/>
      <c r="Y609" s="58"/>
      <c r="Z609" s="58"/>
      <c r="AB609" s="58"/>
      <c r="AC609" s="58"/>
      <c r="AD609" s="58"/>
      <c r="AE609" s="58"/>
    </row>
    <row r="610">
      <c r="E610" s="58"/>
      <c r="F610" s="58"/>
      <c r="G610" s="59"/>
      <c r="H610" s="58"/>
      <c r="J610" s="58"/>
      <c r="K610" s="1"/>
      <c r="M610" s="58"/>
      <c r="N610" s="58"/>
      <c r="Y610" s="58"/>
      <c r="Z610" s="58"/>
      <c r="AB610" s="58"/>
      <c r="AC610" s="58"/>
      <c r="AD610" s="58"/>
      <c r="AE610" s="58"/>
    </row>
    <row r="611">
      <c r="E611" s="58"/>
      <c r="F611" s="58"/>
      <c r="G611" s="59"/>
      <c r="H611" s="58"/>
      <c r="J611" s="58"/>
      <c r="K611" s="1"/>
      <c r="M611" s="58"/>
      <c r="N611" s="58"/>
      <c r="Y611" s="58"/>
      <c r="Z611" s="58"/>
      <c r="AB611" s="58"/>
      <c r="AC611" s="58"/>
      <c r="AD611" s="58"/>
      <c r="AE611" s="58"/>
    </row>
    <row r="612">
      <c r="E612" s="58"/>
      <c r="F612" s="58"/>
      <c r="G612" s="59"/>
      <c r="H612" s="58"/>
      <c r="J612" s="58"/>
      <c r="K612" s="1"/>
      <c r="M612" s="58"/>
      <c r="N612" s="58"/>
      <c r="Y612" s="58"/>
      <c r="Z612" s="58"/>
      <c r="AB612" s="58"/>
      <c r="AC612" s="58"/>
      <c r="AD612" s="58"/>
      <c r="AE612" s="58"/>
    </row>
    <row r="613">
      <c r="E613" s="58"/>
      <c r="F613" s="58"/>
      <c r="G613" s="59"/>
      <c r="H613" s="58"/>
      <c r="J613" s="58"/>
      <c r="K613" s="1"/>
      <c r="M613" s="58"/>
      <c r="N613" s="58"/>
      <c r="Y613" s="58"/>
      <c r="Z613" s="58"/>
      <c r="AB613" s="58"/>
      <c r="AC613" s="58"/>
      <c r="AD613" s="58"/>
      <c r="AE613" s="58"/>
    </row>
    <row r="614">
      <c r="E614" s="58"/>
      <c r="F614" s="58"/>
      <c r="G614" s="59"/>
      <c r="H614" s="58"/>
      <c r="J614" s="58"/>
      <c r="K614" s="1"/>
      <c r="M614" s="58"/>
      <c r="N614" s="58"/>
      <c r="Y614" s="58"/>
      <c r="Z614" s="58"/>
      <c r="AB614" s="58"/>
      <c r="AC614" s="58"/>
      <c r="AD614" s="58"/>
      <c r="AE614" s="58"/>
    </row>
    <row r="615">
      <c r="E615" s="58"/>
      <c r="F615" s="58"/>
      <c r="G615" s="59"/>
      <c r="H615" s="58"/>
      <c r="J615" s="58"/>
      <c r="K615" s="1"/>
      <c r="M615" s="58"/>
      <c r="N615" s="58"/>
      <c r="Y615" s="58"/>
      <c r="Z615" s="58"/>
      <c r="AB615" s="58"/>
      <c r="AC615" s="58"/>
      <c r="AD615" s="58"/>
      <c r="AE615" s="58"/>
    </row>
    <row r="616">
      <c r="E616" s="58"/>
      <c r="F616" s="58"/>
      <c r="G616" s="59"/>
      <c r="H616" s="58"/>
      <c r="J616" s="58"/>
      <c r="K616" s="1"/>
      <c r="M616" s="58"/>
      <c r="N616" s="58"/>
      <c r="Y616" s="58"/>
      <c r="Z616" s="58"/>
      <c r="AB616" s="58"/>
      <c r="AC616" s="58"/>
      <c r="AD616" s="58"/>
      <c r="AE616" s="58"/>
    </row>
    <row r="617">
      <c r="E617" s="58"/>
      <c r="F617" s="58"/>
      <c r="G617" s="59"/>
      <c r="H617" s="58"/>
      <c r="J617" s="58"/>
      <c r="K617" s="1"/>
      <c r="M617" s="58"/>
      <c r="N617" s="58"/>
      <c r="Y617" s="58"/>
      <c r="Z617" s="58"/>
      <c r="AB617" s="58"/>
      <c r="AC617" s="58"/>
      <c r="AD617" s="58"/>
      <c r="AE617" s="58"/>
    </row>
    <row r="618">
      <c r="E618" s="58"/>
      <c r="F618" s="58"/>
      <c r="G618" s="59"/>
      <c r="H618" s="58"/>
      <c r="J618" s="58"/>
      <c r="K618" s="1"/>
      <c r="M618" s="58"/>
      <c r="N618" s="58"/>
      <c r="Y618" s="58"/>
      <c r="Z618" s="58"/>
      <c r="AB618" s="58"/>
      <c r="AC618" s="58"/>
      <c r="AD618" s="58"/>
      <c r="AE618" s="58"/>
    </row>
    <row r="619">
      <c r="E619" s="58"/>
      <c r="F619" s="58"/>
      <c r="G619" s="59"/>
      <c r="H619" s="58"/>
      <c r="J619" s="58"/>
      <c r="K619" s="1"/>
      <c r="M619" s="58"/>
      <c r="N619" s="58"/>
      <c r="Y619" s="58"/>
      <c r="Z619" s="58"/>
      <c r="AB619" s="58"/>
      <c r="AC619" s="58"/>
      <c r="AD619" s="58"/>
      <c r="AE619" s="58"/>
    </row>
    <row r="620">
      <c r="E620" s="58"/>
      <c r="F620" s="58"/>
      <c r="G620" s="59"/>
      <c r="H620" s="58"/>
      <c r="J620" s="58"/>
      <c r="K620" s="1"/>
      <c r="M620" s="58"/>
      <c r="N620" s="58"/>
      <c r="Y620" s="58"/>
      <c r="Z620" s="58"/>
      <c r="AB620" s="58"/>
      <c r="AC620" s="58"/>
      <c r="AD620" s="58"/>
      <c r="AE620" s="58"/>
    </row>
    <row r="621">
      <c r="E621" s="58"/>
      <c r="F621" s="58"/>
      <c r="G621" s="59"/>
      <c r="H621" s="58"/>
      <c r="J621" s="58"/>
      <c r="K621" s="1"/>
      <c r="M621" s="58"/>
      <c r="N621" s="58"/>
      <c r="Y621" s="58"/>
      <c r="Z621" s="58"/>
      <c r="AB621" s="58"/>
      <c r="AC621" s="58"/>
      <c r="AD621" s="58"/>
      <c r="AE621" s="58"/>
    </row>
    <row r="622">
      <c r="E622" s="58"/>
      <c r="F622" s="58"/>
      <c r="G622" s="59"/>
      <c r="H622" s="58"/>
      <c r="J622" s="58"/>
      <c r="K622" s="1"/>
      <c r="M622" s="58"/>
      <c r="N622" s="58"/>
      <c r="Y622" s="58"/>
      <c r="Z622" s="58"/>
      <c r="AB622" s="58"/>
      <c r="AC622" s="58"/>
      <c r="AD622" s="58"/>
      <c r="AE622" s="58"/>
    </row>
    <row r="623">
      <c r="E623" s="58"/>
      <c r="F623" s="58"/>
      <c r="G623" s="59"/>
      <c r="H623" s="58"/>
      <c r="J623" s="58"/>
      <c r="K623" s="1"/>
      <c r="M623" s="58"/>
      <c r="N623" s="58"/>
      <c r="Y623" s="58"/>
      <c r="Z623" s="58"/>
      <c r="AB623" s="58"/>
      <c r="AC623" s="58"/>
      <c r="AD623" s="58"/>
      <c r="AE623" s="58"/>
    </row>
    <row r="624">
      <c r="E624" s="58"/>
      <c r="F624" s="58"/>
      <c r="G624" s="59"/>
      <c r="H624" s="58"/>
      <c r="J624" s="58"/>
      <c r="K624" s="1"/>
      <c r="M624" s="58"/>
      <c r="N624" s="58"/>
      <c r="Y624" s="58"/>
      <c r="Z624" s="58"/>
      <c r="AB624" s="58"/>
      <c r="AC624" s="58"/>
      <c r="AD624" s="58"/>
      <c r="AE624" s="58"/>
    </row>
    <row r="625">
      <c r="E625" s="58"/>
      <c r="F625" s="58"/>
      <c r="G625" s="59"/>
      <c r="H625" s="58"/>
      <c r="J625" s="58"/>
      <c r="K625" s="1"/>
      <c r="M625" s="58"/>
      <c r="N625" s="58"/>
      <c r="Y625" s="58"/>
      <c r="Z625" s="58"/>
      <c r="AB625" s="58"/>
      <c r="AC625" s="58"/>
      <c r="AD625" s="58"/>
      <c r="AE625" s="58"/>
    </row>
    <row r="626">
      <c r="E626" s="58"/>
      <c r="F626" s="58"/>
      <c r="G626" s="59"/>
      <c r="H626" s="58"/>
      <c r="J626" s="58"/>
      <c r="K626" s="1"/>
      <c r="M626" s="58"/>
      <c r="N626" s="58"/>
      <c r="Y626" s="58"/>
      <c r="Z626" s="58"/>
      <c r="AB626" s="58"/>
      <c r="AC626" s="58"/>
      <c r="AD626" s="58"/>
      <c r="AE626" s="58"/>
    </row>
    <row r="627">
      <c r="E627" s="58"/>
      <c r="F627" s="58"/>
      <c r="G627" s="59"/>
      <c r="H627" s="58"/>
      <c r="J627" s="58"/>
      <c r="K627" s="1"/>
      <c r="M627" s="58"/>
      <c r="N627" s="58"/>
      <c r="Y627" s="58"/>
      <c r="Z627" s="58"/>
      <c r="AB627" s="58"/>
      <c r="AC627" s="58"/>
      <c r="AD627" s="58"/>
      <c r="AE627" s="58"/>
    </row>
    <row r="628">
      <c r="E628" s="58"/>
      <c r="F628" s="58"/>
      <c r="G628" s="59"/>
      <c r="H628" s="58"/>
      <c r="J628" s="58"/>
      <c r="K628" s="1"/>
      <c r="M628" s="58"/>
      <c r="N628" s="58"/>
      <c r="Y628" s="58"/>
      <c r="Z628" s="58"/>
      <c r="AB628" s="58"/>
      <c r="AC628" s="58"/>
      <c r="AD628" s="58"/>
      <c r="AE628" s="58"/>
    </row>
    <row r="629">
      <c r="E629" s="58"/>
      <c r="F629" s="58"/>
      <c r="G629" s="59"/>
      <c r="H629" s="58"/>
      <c r="J629" s="58"/>
      <c r="K629" s="1"/>
      <c r="M629" s="58"/>
      <c r="N629" s="58"/>
      <c r="Y629" s="58"/>
      <c r="Z629" s="58"/>
      <c r="AB629" s="58"/>
      <c r="AC629" s="58"/>
      <c r="AD629" s="58"/>
      <c r="AE629" s="58"/>
    </row>
    <row r="630">
      <c r="E630" s="58"/>
      <c r="F630" s="58"/>
      <c r="G630" s="59"/>
      <c r="H630" s="58"/>
      <c r="J630" s="58"/>
      <c r="K630" s="1"/>
      <c r="M630" s="58"/>
      <c r="N630" s="58"/>
      <c r="Y630" s="58"/>
      <c r="Z630" s="58"/>
      <c r="AB630" s="58"/>
      <c r="AC630" s="58"/>
      <c r="AD630" s="58"/>
      <c r="AE630" s="58"/>
    </row>
    <row r="631">
      <c r="E631" s="58"/>
      <c r="F631" s="58"/>
      <c r="G631" s="59"/>
      <c r="H631" s="58"/>
      <c r="J631" s="58"/>
      <c r="K631" s="1"/>
      <c r="M631" s="58"/>
      <c r="N631" s="58"/>
      <c r="Y631" s="58"/>
      <c r="Z631" s="58"/>
      <c r="AB631" s="58"/>
      <c r="AC631" s="58"/>
      <c r="AD631" s="58"/>
      <c r="AE631" s="58"/>
    </row>
    <row r="632">
      <c r="E632" s="58"/>
      <c r="F632" s="58"/>
      <c r="G632" s="59"/>
      <c r="H632" s="58"/>
      <c r="J632" s="58"/>
      <c r="K632" s="1"/>
      <c r="M632" s="58"/>
      <c r="N632" s="58"/>
      <c r="Y632" s="58"/>
      <c r="Z632" s="58"/>
      <c r="AB632" s="58"/>
      <c r="AC632" s="58"/>
      <c r="AD632" s="58"/>
      <c r="AE632" s="58"/>
    </row>
    <row r="633">
      <c r="E633" s="58"/>
      <c r="F633" s="58"/>
      <c r="G633" s="59"/>
      <c r="H633" s="58"/>
      <c r="J633" s="58"/>
      <c r="K633" s="1"/>
      <c r="M633" s="58"/>
      <c r="N633" s="58"/>
      <c r="Y633" s="58"/>
      <c r="Z633" s="58"/>
      <c r="AB633" s="58"/>
      <c r="AC633" s="58"/>
      <c r="AD633" s="58"/>
      <c r="AE633" s="58"/>
    </row>
    <row r="634">
      <c r="E634" s="58"/>
      <c r="F634" s="58"/>
      <c r="G634" s="59"/>
      <c r="H634" s="58"/>
      <c r="J634" s="58"/>
      <c r="K634" s="1"/>
      <c r="M634" s="58"/>
      <c r="N634" s="58"/>
      <c r="Y634" s="58"/>
      <c r="Z634" s="58"/>
      <c r="AB634" s="58"/>
      <c r="AC634" s="58"/>
      <c r="AD634" s="58"/>
      <c r="AE634" s="58"/>
    </row>
    <row r="635">
      <c r="E635" s="58"/>
      <c r="F635" s="58"/>
      <c r="G635" s="59"/>
      <c r="H635" s="58"/>
      <c r="J635" s="58"/>
      <c r="K635" s="1"/>
      <c r="M635" s="58"/>
      <c r="N635" s="58"/>
      <c r="Y635" s="58"/>
      <c r="Z635" s="58"/>
      <c r="AB635" s="58"/>
      <c r="AC635" s="58"/>
      <c r="AD635" s="58"/>
      <c r="AE635" s="58"/>
    </row>
    <row r="636">
      <c r="E636" s="58"/>
      <c r="F636" s="58"/>
      <c r="G636" s="59"/>
      <c r="H636" s="58"/>
      <c r="J636" s="58"/>
      <c r="K636" s="1"/>
      <c r="M636" s="58"/>
      <c r="N636" s="58"/>
      <c r="Y636" s="58"/>
      <c r="Z636" s="58"/>
      <c r="AB636" s="58"/>
      <c r="AC636" s="58"/>
      <c r="AD636" s="58"/>
      <c r="AE636" s="58"/>
    </row>
    <row r="637">
      <c r="E637" s="58"/>
      <c r="F637" s="58"/>
      <c r="G637" s="59"/>
      <c r="H637" s="58"/>
      <c r="J637" s="58"/>
      <c r="K637" s="1"/>
      <c r="M637" s="58"/>
      <c r="N637" s="58"/>
      <c r="Y637" s="58"/>
      <c r="Z637" s="58"/>
      <c r="AB637" s="58"/>
      <c r="AC637" s="58"/>
      <c r="AD637" s="58"/>
      <c r="AE637" s="58"/>
    </row>
    <row r="638">
      <c r="E638" s="58"/>
      <c r="F638" s="58"/>
      <c r="G638" s="59"/>
      <c r="H638" s="58"/>
      <c r="J638" s="58"/>
      <c r="K638" s="1"/>
      <c r="M638" s="58"/>
      <c r="N638" s="58"/>
      <c r="Y638" s="58"/>
      <c r="Z638" s="58"/>
      <c r="AB638" s="58"/>
      <c r="AC638" s="58"/>
      <c r="AD638" s="58"/>
      <c r="AE638" s="58"/>
    </row>
    <row r="639">
      <c r="E639" s="58"/>
      <c r="F639" s="58"/>
      <c r="G639" s="59"/>
      <c r="H639" s="58"/>
      <c r="J639" s="58"/>
      <c r="K639" s="1"/>
      <c r="M639" s="58"/>
      <c r="N639" s="58"/>
      <c r="Y639" s="58"/>
      <c r="Z639" s="58"/>
      <c r="AB639" s="58"/>
      <c r="AC639" s="58"/>
      <c r="AD639" s="58"/>
      <c r="AE639" s="58"/>
    </row>
    <row r="640">
      <c r="E640" s="58"/>
      <c r="F640" s="58"/>
      <c r="G640" s="59"/>
      <c r="H640" s="58"/>
      <c r="J640" s="58"/>
      <c r="K640" s="1"/>
      <c r="M640" s="58"/>
      <c r="N640" s="58"/>
      <c r="Y640" s="58"/>
      <c r="Z640" s="58"/>
      <c r="AB640" s="58"/>
      <c r="AC640" s="58"/>
      <c r="AD640" s="58"/>
      <c r="AE640" s="58"/>
    </row>
    <row r="641">
      <c r="E641" s="58"/>
      <c r="F641" s="58"/>
      <c r="G641" s="59"/>
      <c r="H641" s="58"/>
      <c r="J641" s="58"/>
      <c r="K641" s="1"/>
      <c r="M641" s="58"/>
      <c r="N641" s="58"/>
      <c r="Y641" s="58"/>
      <c r="Z641" s="58"/>
      <c r="AB641" s="58"/>
      <c r="AC641" s="58"/>
      <c r="AD641" s="58"/>
      <c r="AE641" s="58"/>
    </row>
    <row r="642">
      <c r="E642" s="58"/>
      <c r="F642" s="58"/>
      <c r="G642" s="59"/>
      <c r="H642" s="58"/>
      <c r="J642" s="58"/>
      <c r="K642" s="1"/>
      <c r="M642" s="58"/>
      <c r="N642" s="58"/>
      <c r="Y642" s="58"/>
      <c r="Z642" s="58"/>
      <c r="AB642" s="58"/>
      <c r="AC642" s="58"/>
      <c r="AD642" s="58"/>
      <c r="AE642" s="58"/>
    </row>
    <row r="643">
      <c r="E643" s="58"/>
      <c r="F643" s="58"/>
      <c r="G643" s="59"/>
      <c r="H643" s="58"/>
      <c r="J643" s="58"/>
      <c r="K643" s="1"/>
      <c r="M643" s="58"/>
      <c r="N643" s="58"/>
      <c r="Y643" s="58"/>
      <c r="Z643" s="58"/>
      <c r="AB643" s="58"/>
      <c r="AC643" s="58"/>
      <c r="AD643" s="58"/>
      <c r="AE643" s="58"/>
    </row>
    <row r="644">
      <c r="E644" s="58"/>
      <c r="F644" s="58"/>
      <c r="G644" s="59"/>
      <c r="H644" s="58"/>
      <c r="J644" s="58"/>
      <c r="K644" s="1"/>
      <c r="M644" s="58"/>
      <c r="N644" s="58"/>
      <c r="Y644" s="58"/>
      <c r="Z644" s="58"/>
      <c r="AB644" s="58"/>
      <c r="AC644" s="58"/>
      <c r="AD644" s="58"/>
      <c r="AE644" s="58"/>
    </row>
    <row r="645">
      <c r="E645" s="58"/>
      <c r="F645" s="58"/>
      <c r="G645" s="59"/>
      <c r="H645" s="58"/>
      <c r="J645" s="58"/>
      <c r="K645" s="1"/>
      <c r="M645" s="58"/>
      <c r="N645" s="58"/>
      <c r="Y645" s="58"/>
      <c r="Z645" s="58"/>
      <c r="AB645" s="58"/>
      <c r="AC645" s="58"/>
      <c r="AD645" s="58"/>
      <c r="AE645" s="58"/>
    </row>
    <row r="646">
      <c r="E646" s="58"/>
      <c r="F646" s="58"/>
      <c r="G646" s="59"/>
      <c r="H646" s="58"/>
      <c r="J646" s="58"/>
      <c r="K646" s="1"/>
      <c r="M646" s="58"/>
      <c r="N646" s="58"/>
      <c r="Y646" s="58"/>
      <c r="Z646" s="58"/>
      <c r="AB646" s="58"/>
      <c r="AC646" s="58"/>
      <c r="AD646" s="58"/>
      <c r="AE646" s="58"/>
    </row>
    <row r="647">
      <c r="E647" s="58"/>
      <c r="F647" s="58"/>
      <c r="G647" s="59"/>
      <c r="H647" s="58"/>
      <c r="J647" s="58"/>
      <c r="K647" s="1"/>
      <c r="M647" s="58"/>
      <c r="N647" s="58"/>
      <c r="Y647" s="58"/>
      <c r="Z647" s="58"/>
      <c r="AB647" s="58"/>
      <c r="AC647" s="58"/>
      <c r="AD647" s="58"/>
      <c r="AE647" s="58"/>
    </row>
    <row r="648">
      <c r="E648" s="58"/>
      <c r="F648" s="58"/>
      <c r="G648" s="59"/>
      <c r="H648" s="58"/>
      <c r="J648" s="58"/>
      <c r="K648" s="1"/>
      <c r="M648" s="58"/>
      <c r="N648" s="58"/>
      <c r="Y648" s="58"/>
      <c r="Z648" s="58"/>
      <c r="AB648" s="58"/>
      <c r="AC648" s="58"/>
      <c r="AD648" s="58"/>
      <c r="AE648" s="58"/>
    </row>
    <row r="649">
      <c r="E649" s="58"/>
      <c r="F649" s="58"/>
      <c r="G649" s="59"/>
      <c r="H649" s="58"/>
      <c r="J649" s="58"/>
      <c r="K649" s="1"/>
      <c r="M649" s="58"/>
      <c r="N649" s="58"/>
      <c r="Y649" s="58"/>
      <c r="Z649" s="58"/>
      <c r="AB649" s="58"/>
      <c r="AC649" s="58"/>
      <c r="AD649" s="58"/>
      <c r="AE649" s="58"/>
    </row>
    <row r="650">
      <c r="E650" s="58"/>
      <c r="F650" s="58"/>
      <c r="G650" s="59"/>
      <c r="H650" s="58"/>
      <c r="J650" s="58"/>
      <c r="K650" s="1"/>
      <c r="M650" s="58"/>
      <c r="N650" s="58"/>
      <c r="Y650" s="58"/>
      <c r="Z650" s="58"/>
      <c r="AB650" s="58"/>
      <c r="AC650" s="58"/>
      <c r="AD650" s="58"/>
      <c r="AE650" s="58"/>
    </row>
    <row r="651">
      <c r="E651" s="58"/>
      <c r="F651" s="58"/>
      <c r="G651" s="59"/>
      <c r="H651" s="58"/>
      <c r="J651" s="58"/>
      <c r="K651" s="1"/>
      <c r="M651" s="58"/>
      <c r="N651" s="58"/>
      <c r="Y651" s="58"/>
      <c r="Z651" s="58"/>
      <c r="AB651" s="58"/>
      <c r="AC651" s="58"/>
      <c r="AD651" s="58"/>
      <c r="AE651" s="58"/>
    </row>
    <row r="652">
      <c r="E652" s="58"/>
      <c r="F652" s="58"/>
      <c r="G652" s="59"/>
      <c r="H652" s="58"/>
      <c r="J652" s="58"/>
      <c r="K652" s="1"/>
      <c r="M652" s="58"/>
      <c r="N652" s="58"/>
      <c r="Y652" s="58"/>
      <c r="Z652" s="58"/>
      <c r="AB652" s="58"/>
      <c r="AC652" s="58"/>
      <c r="AD652" s="58"/>
      <c r="AE652" s="58"/>
    </row>
    <row r="653">
      <c r="E653" s="58"/>
      <c r="F653" s="58"/>
      <c r="G653" s="59"/>
      <c r="H653" s="58"/>
      <c r="J653" s="58"/>
      <c r="K653" s="1"/>
      <c r="M653" s="58"/>
      <c r="N653" s="58"/>
      <c r="Y653" s="58"/>
      <c r="Z653" s="58"/>
      <c r="AB653" s="58"/>
      <c r="AC653" s="58"/>
      <c r="AD653" s="58"/>
      <c r="AE653" s="58"/>
    </row>
    <row r="654">
      <c r="E654" s="58"/>
      <c r="F654" s="58"/>
      <c r="G654" s="59"/>
      <c r="H654" s="58"/>
      <c r="J654" s="58"/>
      <c r="K654" s="1"/>
      <c r="M654" s="58"/>
      <c r="N654" s="58"/>
      <c r="Y654" s="58"/>
      <c r="Z654" s="58"/>
      <c r="AB654" s="58"/>
      <c r="AC654" s="58"/>
      <c r="AD654" s="58"/>
      <c r="AE654" s="58"/>
    </row>
    <row r="655">
      <c r="E655" s="58"/>
      <c r="F655" s="58"/>
      <c r="G655" s="59"/>
      <c r="H655" s="58"/>
      <c r="J655" s="58"/>
      <c r="K655" s="1"/>
      <c r="M655" s="58"/>
      <c r="N655" s="58"/>
      <c r="Y655" s="58"/>
      <c r="Z655" s="58"/>
      <c r="AB655" s="58"/>
      <c r="AC655" s="58"/>
      <c r="AD655" s="58"/>
      <c r="AE655" s="58"/>
    </row>
    <row r="656">
      <c r="E656" s="58"/>
      <c r="F656" s="58"/>
      <c r="G656" s="59"/>
      <c r="H656" s="58"/>
      <c r="J656" s="58"/>
      <c r="K656" s="1"/>
      <c r="M656" s="58"/>
      <c r="N656" s="58"/>
      <c r="Y656" s="58"/>
      <c r="Z656" s="58"/>
      <c r="AB656" s="58"/>
      <c r="AC656" s="58"/>
      <c r="AD656" s="58"/>
      <c r="AE656" s="58"/>
    </row>
    <row r="657">
      <c r="E657" s="58"/>
      <c r="F657" s="58"/>
      <c r="G657" s="59"/>
      <c r="H657" s="58"/>
      <c r="J657" s="58"/>
      <c r="K657" s="1"/>
      <c r="M657" s="58"/>
      <c r="N657" s="58"/>
      <c r="Y657" s="58"/>
      <c r="Z657" s="58"/>
      <c r="AB657" s="58"/>
      <c r="AC657" s="58"/>
      <c r="AD657" s="58"/>
      <c r="AE657" s="58"/>
    </row>
    <row r="658">
      <c r="E658" s="58"/>
      <c r="F658" s="58"/>
      <c r="G658" s="59"/>
      <c r="H658" s="58"/>
      <c r="J658" s="58"/>
      <c r="K658" s="1"/>
      <c r="M658" s="58"/>
      <c r="N658" s="58"/>
      <c r="Y658" s="58"/>
      <c r="Z658" s="58"/>
      <c r="AB658" s="58"/>
      <c r="AC658" s="58"/>
      <c r="AD658" s="58"/>
      <c r="AE658" s="58"/>
    </row>
    <row r="659">
      <c r="E659" s="58"/>
      <c r="F659" s="58"/>
      <c r="G659" s="59"/>
      <c r="H659" s="58"/>
      <c r="J659" s="58"/>
      <c r="K659" s="1"/>
      <c r="M659" s="58"/>
      <c r="N659" s="58"/>
      <c r="Y659" s="58"/>
      <c r="Z659" s="58"/>
      <c r="AB659" s="58"/>
      <c r="AC659" s="58"/>
      <c r="AD659" s="58"/>
      <c r="AE659" s="58"/>
    </row>
    <row r="660">
      <c r="E660" s="58"/>
      <c r="F660" s="58"/>
      <c r="G660" s="59"/>
      <c r="H660" s="58"/>
      <c r="J660" s="58"/>
      <c r="K660" s="1"/>
      <c r="M660" s="58"/>
      <c r="N660" s="58"/>
      <c r="Y660" s="58"/>
      <c r="Z660" s="58"/>
      <c r="AB660" s="58"/>
      <c r="AC660" s="58"/>
      <c r="AD660" s="58"/>
      <c r="AE660" s="58"/>
    </row>
    <row r="661">
      <c r="E661" s="58"/>
      <c r="F661" s="58"/>
      <c r="G661" s="59"/>
      <c r="H661" s="58"/>
      <c r="J661" s="58"/>
      <c r="K661" s="1"/>
      <c r="M661" s="58"/>
      <c r="N661" s="58"/>
      <c r="Y661" s="58"/>
      <c r="Z661" s="58"/>
      <c r="AB661" s="58"/>
      <c r="AC661" s="58"/>
      <c r="AD661" s="58"/>
      <c r="AE661" s="58"/>
    </row>
    <row r="662">
      <c r="E662" s="58"/>
      <c r="F662" s="58"/>
      <c r="G662" s="59"/>
      <c r="H662" s="58"/>
      <c r="J662" s="58"/>
      <c r="K662" s="1"/>
      <c r="M662" s="58"/>
      <c r="N662" s="58"/>
      <c r="Y662" s="58"/>
      <c r="Z662" s="58"/>
      <c r="AB662" s="58"/>
      <c r="AC662" s="58"/>
      <c r="AD662" s="58"/>
      <c r="AE662" s="58"/>
    </row>
    <row r="663">
      <c r="E663" s="58"/>
      <c r="F663" s="58"/>
      <c r="G663" s="59"/>
      <c r="H663" s="58"/>
      <c r="J663" s="58"/>
      <c r="K663" s="1"/>
      <c r="M663" s="58"/>
      <c r="N663" s="58"/>
      <c r="Y663" s="58"/>
      <c r="Z663" s="58"/>
      <c r="AB663" s="58"/>
      <c r="AC663" s="58"/>
      <c r="AD663" s="58"/>
      <c r="AE663" s="58"/>
    </row>
    <row r="664">
      <c r="E664" s="58"/>
      <c r="F664" s="58"/>
      <c r="G664" s="59"/>
      <c r="H664" s="58"/>
      <c r="J664" s="58"/>
      <c r="K664" s="1"/>
      <c r="M664" s="58"/>
      <c r="N664" s="58"/>
      <c r="Y664" s="58"/>
      <c r="Z664" s="58"/>
      <c r="AB664" s="58"/>
      <c r="AC664" s="58"/>
      <c r="AD664" s="58"/>
      <c r="AE664" s="58"/>
    </row>
    <row r="665">
      <c r="E665" s="58"/>
      <c r="F665" s="58"/>
      <c r="G665" s="59"/>
      <c r="H665" s="58"/>
      <c r="J665" s="58"/>
      <c r="K665" s="1"/>
      <c r="M665" s="58"/>
      <c r="N665" s="58"/>
      <c r="Y665" s="58"/>
      <c r="Z665" s="58"/>
      <c r="AB665" s="58"/>
      <c r="AC665" s="58"/>
      <c r="AD665" s="58"/>
      <c r="AE665" s="58"/>
    </row>
    <row r="666">
      <c r="E666" s="58"/>
      <c r="F666" s="58"/>
      <c r="G666" s="59"/>
      <c r="H666" s="58"/>
      <c r="J666" s="58"/>
      <c r="K666" s="1"/>
      <c r="M666" s="58"/>
      <c r="N666" s="58"/>
      <c r="Y666" s="58"/>
      <c r="Z666" s="58"/>
      <c r="AB666" s="58"/>
      <c r="AC666" s="58"/>
      <c r="AD666" s="58"/>
      <c r="AE666" s="58"/>
    </row>
    <row r="667">
      <c r="E667" s="58"/>
      <c r="F667" s="58"/>
      <c r="G667" s="59"/>
      <c r="H667" s="58"/>
      <c r="J667" s="58"/>
      <c r="K667" s="1"/>
      <c r="M667" s="58"/>
      <c r="N667" s="58"/>
      <c r="Y667" s="58"/>
      <c r="Z667" s="58"/>
      <c r="AB667" s="58"/>
      <c r="AC667" s="58"/>
      <c r="AD667" s="58"/>
      <c r="AE667" s="58"/>
    </row>
    <row r="668">
      <c r="E668" s="58"/>
      <c r="F668" s="58"/>
      <c r="G668" s="59"/>
      <c r="H668" s="58"/>
      <c r="J668" s="58"/>
      <c r="K668" s="1"/>
      <c r="M668" s="58"/>
      <c r="N668" s="58"/>
      <c r="Y668" s="58"/>
      <c r="Z668" s="58"/>
      <c r="AB668" s="58"/>
      <c r="AC668" s="58"/>
      <c r="AD668" s="58"/>
      <c r="AE668" s="58"/>
    </row>
    <row r="669">
      <c r="E669" s="58"/>
      <c r="F669" s="58"/>
      <c r="G669" s="59"/>
      <c r="H669" s="58"/>
      <c r="J669" s="58"/>
      <c r="K669" s="1"/>
      <c r="M669" s="58"/>
      <c r="N669" s="58"/>
      <c r="Y669" s="58"/>
      <c r="Z669" s="58"/>
      <c r="AB669" s="58"/>
      <c r="AC669" s="58"/>
      <c r="AD669" s="58"/>
      <c r="AE669" s="58"/>
    </row>
    <row r="670">
      <c r="E670" s="58"/>
      <c r="F670" s="58"/>
      <c r="G670" s="59"/>
      <c r="H670" s="58"/>
      <c r="J670" s="58"/>
      <c r="K670" s="1"/>
      <c r="M670" s="58"/>
      <c r="N670" s="58"/>
      <c r="Y670" s="58"/>
      <c r="Z670" s="58"/>
      <c r="AB670" s="58"/>
      <c r="AC670" s="58"/>
      <c r="AD670" s="58"/>
      <c r="AE670" s="58"/>
    </row>
    <row r="671">
      <c r="E671" s="58"/>
      <c r="F671" s="58"/>
      <c r="G671" s="59"/>
      <c r="H671" s="58"/>
      <c r="J671" s="58"/>
      <c r="K671" s="1"/>
      <c r="M671" s="58"/>
      <c r="N671" s="58"/>
      <c r="Y671" s="58"/>
      <c r="Z671" s="58"/>
      <c r="AB671" s="58"/>
      <c r="AC671" s="58"/>
      <c r="AD671" s="58"/>
      <c r="AE671" s="58"/>
    </row>
    <row r="672">
      <c r="E672" s="58"/>
      <c r="F672" s="58"/>
      <c r="G672" s="59"/>
      <c r="H672" s="58"/>
      <c r="J672" s="58"/>
      <c r="K672" s="1"/>
      <c r="M672" s="58"/>
      <c r="N672" s="58"/>
      <c r="Y672" s="58"/>
      <c r="Z672" s="58"/>
      <c r="AB672" s="58"/>
      <c r="AC672" s="58"/>
      <c r="AD672" s="58"/>
      <c r="AE672" s="58"/>
    </row>
    <row r="673">
      <c r="E673" s="58"/>
      <c r="F673" s="58"/>
      <c r="G673" s="59"/>
      <c r="H673" s="58"/>
      <c r="J673" s="58"/>
      <c r="K673" s="1"/>
      <c r="M673" s="58"/>
      <c r="N673" s="58"/>
      <c r="Y673" s="58"/>
      <c r="Z673" s="58"/>
      <c r="AB673" s="58"/>
      <c r="AC673" s="58"/>
      <c r="AD673" s="58"/>
      <c r="AE673" s="58"/>
    </row>
    <row r="674">
      <c r="E674" s="58"/>
      <c r="F674" s="58"/>
      <c r="G674" s="59"/>
      <c r="H674" s="58"/>
      <c r="J674" s="58"/>
      <c r="K674" s="1"/>
      <c r="M674" s="58"/>
      <c r="N674" s="58"/>
      <c r="Y674" s="58"/>
      <c r="Z674" s="58"/>
      <c r="AB674" s="58"/>
      <c r="AC674" s="58"/>
      <c r="AD674" s="58"/>
      <c r="AE674" s="58"/>
    </row>
    <row r="675">
      <c r="E675" s="58"/>
      <c r="F675" s="58"/>
      <c r="G675" s="59"/>
      <c r="H675" s="58"/>
      <c r="J675" s="58"/>
      <c r="K675" s="1"/>
      <c r="M675" s="58"/>
      <c r="N675" s="58"/>
      <c r="Y675" s="58"/>
      <c r="Z675" s="58"/>
      <c r="AB675" s="58"/>
      <c r="AC675" s="58"/>
      <c r="AD675" s="58"/>
      <c r="AE675" s="58"/>
    </row>
    <row r="676">
      <c r="E676" s="58"/>
      <c r="F676" s="58"/>
      <c r="G676" s="59"/>
      <c r="H676" s="58"/>
      <c r="J676" s="58"/>
      <c r="K676" s="1"/>
      <c r="M676" s="58"/>
      <c r="N676" s="58"/>
      <c r="Y676" s="58"/>
      <c r="Z676" s="58"/>
      <c r="AB676" s="58"/>
      <c r="AC676" s="58"/>
      <c r="AD676" s="58"/>
      <c r="AE676" s="58"/>
    </row>
    <row r="677">
      <c r="E677" s="58"/>
      <c r="F677" s="58"/>
      <c r="G677" s="59"/>
      <c r="H677" s="58"/>
      <c r="J677" s="58"/>
      <c r="K677" s="1"/>
      <c r="M677" s="58"/>
      <c r="N677" s="58"/>
      <c r="Y677" s="58"/>
      <c r="Z677" s="58"/>
      <c r="AB677" s="58"/>
      <c r="AC677" s="58"/>
      <c r="AD677" s="58"/>
      <c r="AE677" s="58"/>
    </row>
    <row r="678">
      <c r="E678" s="58"/>
      <c r="F678" s="58"/>
      <c r="G678" s="59"/>
      <c r="H678" s="58"/>
      <c r="J678" s="58"/>
      <c r="K678" s="1"/>
      <c r="M678" s="58"/>
      <c r="N678" s="58"/>
      <c r="Y678" s="58"/>
      <c r="Z678" s="58"/>
      <c r="AB678" s="58"/>
      <c r="AC678" s="58"/>
      <c r="AD678" s="58"/>
      <c r="AE678" s="58"/>
    </row>
    <row r="679">
      <c r="E679" s="58"/>
      <c r="F679" s="58"/>
      <c r="G679" s="59"/>
      <c r="H679" s="58"/>
      <c r="J679" s="58"/>
      <c r="K679" s="1"/>
      <c r="M679" s="58"/>
      <c r="N679" s="58"/>
      <c r="Y679" s="58"/>
      <c r="Z679" s="58"/>
      <c r="AB679" s="58"/>
      <c r="AC679" s="58"/>
      <c r="AD679" s="58"/>
      <c r="AE679" s="58"/>
    </row>
    <row r="680">
      <c r="E680" s="58"/>
      <c r="F680" s="58"/>
      <c r="G680" s="59"/>
      <c r="H680" s="58"/>
      <c r="J680" s="58"/>
      <c r="K680" s="1"/>
      <c r="M680" s="58"/>
      <c r="N680" s="58"/>
      <c r="Y680" s="58"/>
      <c r="Z680" s="58"/>
      <c r="AB680" s="58"/>
      <c r="AC680" s="58"/>
      <c r="AD680" s="58"/>
      <c r="AE680" s="58"/>
    </row>
    <row r="681">
      <c r="E681" s="58"/>
      <c r="F681" s="58"/>
      <c r="G681" s="59"/>
      <c r="H681" s="58"/>
      <c r="J681" s="58"/>
      <c r="K681" s="1"/>
      <c r="M681" s="58"/>
      <c r="N681" s="58"/>
      <c r="Y681" s="58"/>
      <c r="Z681" s="58"/>
      <c r="AB681" s="58"/>
      <c r="AC681" s="58"/>
      <c r="AD681" s="58"/>
      <c r="AE681" s="58"/>
    </row>
    <row r="682">
      <c r="E682" s="58"/>
      <c r="F682" s="58"/>
      <c r="G682" s="59"/>
      <c r="H682" s="58"/>
      <c r="J682" s="58"/>
      <c r="K682" s="1"/>
      <c r="M682" s="58"/>
      <c r="N682" s="58"/>
      <c r="Y682" s="58"/>
      <c r="Z682" s="58"/>
      <c r="AB682" s="58"/>
      <c r="AC682" s="58"/>
      <c r="AD682" s="58"/>
      <c r="AE682" s="58"/>
    </row>
    <row r="683">
      <c r="E683" s="58"/>
      <c r="F683" s="58"/>
      <c r="G683" s="59"/>
      <c r="H683" s="58"/>
      <c r="J683" s="58"/>
      <c r="K683" s="1"/>
      <c r="M683" s="58"/>
      <c r="N683" s="58"/>
      <c r="Y683" s="58"/>
      <c r="Z683" s="58"/>
      <c r="AB683" s="58"/>
      <c r="AC683" s="58"/>
      <c r="AD683" s="58"/>
      <c r="AE683" s="58"/>
    </row>
    <row r="684">
      <c r="E684" s="58"/>
      <c r="F684" s="58"/>
      <c r="G684" s="59"/>
      <c r="H684" s="58"/>
      <c r="J684" s="58"/>
      <c r="K684" s="1"/>
      <c r="M684" s="58"/>
      <c r="N684" s="58"/>
      <c r="Y684" s="58"/>
      <c r="Z684" s="58"/>
      <c r="AB684" s="58"/>
      <c r="AC684" s="58"/>
      <c r="AD684" s="58"/>
      <c r="AE684" s="58"/>
    </row>
    <row r="685">
      <c r="E685" s="58"/>
      <c r="F685" s="58"/>
      <c r="G685" s="59"/>
      <c r="H685" s="58"/>
      <c r="J685" s="58"/>
      <c r="K685" s="1"/>
      <c r="M685" s="58"/>
      <c r="N685" s="58"/>
      <c r="Y685" s="58"/>
      <c r="Z685" s="58"/>
      <c r="AB685" s="58"/>
      <c r="AC685" s="58"/>
      <c r="AD685" s="58"/>
      <c r="AE685" s="58"/>
    </row>
    <row r="686">
      <c r="E686" s="58"/>
      <c r="F686" s="58"/>
      <c r="G686" s="59"/>
      <c r="H686" s="58"/>
      <c r="J686" s="58"/>
      <c r="K686" s="1"/>
      <c r="M686" s="58"/>
      <c r="N686" s="58"/>
      <c r="Y686" s="58"/>
      <c r="Z686" s="58"/>
      <c r="AB686" s="58"/>
      <c r="AC686" s="58"/>
      <c r="AD686" s="58"/>
      <c r="AE686" s="58"/>
    </row>
    <row r="687">
      <c r="E687" s="58"/>
      <c r="F687" s="58"/>
      <c r="G687" s="59"/>
      <c r="H687" s="58"/>
      <c r="J687" s="58"/>
      <c r="K687" s="1"/>
      <c r="M687" s="58"/>
      <c r="N687" s="58"/>
      <c r="Y687" s="58"/>
      <c r="Z687" s="58"/>
      <c r="AB687" s="58"/>
      <c r="AC687" s="58"/>
      <c r="AD687" s="58"/>
      <c r="AE687" s="58"/>
    </row>
    <row r="688">
      <c r="E688" s="58"/>
      <c r="F688" s="58"/>
      <c r="G688" s="59"/>
      <c r="H688" s="58"/>
      <c r="J688" s="58"/>
      <c r="K688" s="1"/>
      <c r="M688" s="58"/>
      <c r="N688" s="58"/>
      <c r="Y688" s="58"/>
      <c r="Z688" s="58"/>
      <c r="AB688" s="58"/>
      <c r="AC688" s="58"/>
      <c r="AD688" s="58"/>
      <c r="AE688" s="58"/>
    </row>
    <row r="689">
      <c r="E689" s="58"/>
      <c r="F689" s="58"/>
      <c r="G689" s="59"/>
      <c r="H689" s="58"/>
      <c r="J689" s="58"/>
      <c r="K689" s="1"/>
      <c r="M689" s="58"/>
      <c r="N689" s="58"/>
      <c r="Y689" s="58"/>
      <c r="Z689" s="58"/>
      <c r="AB689" s="58"/>
      <c r="AC689" s="58"/>
      <c r="AD689" s="58"/>
      <c r="AE689" s="58"/>
    </row>
    <row r="690">
      <c r="E690" s="58"/>
      <c r="F690" s="58"/>
      <c r="G690" s="59"/>
      <c r="H690" s="58"/>
      <c r="J690" s="58"/>
      <c r="K690" s="1"/>
      <c r="M690" s="58"/>
      <c r="N690" s="58"/>
      <c r="Y690" s="58"/>
      <c r="Z690" s="58"/>
      <c r="AB690" s="58"/>
      <c r="AC690" s="58"/>
      <c r="AD690" s="58"/>
      <c r="AE690" s="58"/>
    </row>
    <row r="691">
      <c r="E691" s="58"/>
      <c r="F691" s="58"/>
      <c r="G691" s="59"/>
      <c r="H691" s="58"/>
      <c r="J691" s="58"/>
      <c r="K691" s="1"/>
      <c r="M691" s="58"/>
      <c r="N691" s="58"/>
      <c r="Y691" s="58"/>
      <c r="Z691" s="58"/>
      <c r="AB691" s="58"/>
      <c r="AC691" s="58"/>
      <c r="AD691" s="58"/>
      <c r="AE691" s="58"/>
    </row>
    <row r="692">
      <c r="E692" s="58"/>
      <c r="F692" s="58"/>
      <c r="G692" s="59"/>
      <c r="H692" s="58"/>
      <c r="J692" s="58"/>
      <c r="K692" s="1"/>
      <c r="M692" s="58"/>
      <c r="N692" s="58"/>
      <c r="Y692" s="58"/>
      <c r="Z692" s="58"/>
      <c r="AB692" s="58"/>
      <c r="AC692" s="58"/>
      <c r="AD692" s="58"/>
      <c r="AE692" s="58"/>
    </row>
    <row r="693">
      <c r="E693" s="58"/>
      <c r="F693" s="58"/>
      <c r="G693" s="59"/>
      <c r="H693" s="58"/>
      <c r="J693" s="58"/>
      <c r="K693" s="1"/>
      <c r="M693" s="58"/>
      <c r="N693" s="58"/>
      <c r="Y693" s="58"/>
      <c r="Z693" s="58"/>
      <c r="AB693" s="58"/>
      <c r="AC693" s="58"/>
      <c r="AD693" s="58"/>
      <c r="AE693" s="58"/>
    </row>
    <row r="694">
      <c r="E694" s="58"/>
      <c r="F694" s="58"/>
      <c r="G694" s="59"/>
      <c r="H694" s="58"/>
      <c r="J694" s="58"/>
      <c r="K694" s="1"/>
      <c r="M694" s="58"/>
      <c r="N694" s="58"/>
      <c r="Y694" s="58"/>
      <c r="Z694" s="58"/>
      <c r="AB694" s="58"/>
      <c r="AC694" s="58"/>
      <c r="AD694" s="58"/>
      <c r="AE694" s="58"/>
    </row>
    <row r="695">
      <c r="E695" s="58"/>
      <c r="F695" s="58"/>
      <c r="G695" s="59"/>
      <c r="H695" s="58"/>
      <c r="J695" s="58"/>
      <c r="K695" s="1"/>
      <c r="M695" s="58"/>
      <c r="N695" s="58"/>
      <c r="Y695" s="58"/>
      <c r="Z695" s="58"/>
      <c r="AB695" s="58"/>
      <c r="AC695" s="58"/>
      <c r="AD695" s="58"/>
      <c r="AE695" s="58"/>
    </row>
    <row r="696">
      <c r="E696" s="58"/>
      <c r="F696" s="58"/>
      <c r="G696" s="59"/>
      <c r="H696" s="58"/>
      <c r="J696" s="58"/>
      <c r="K696" s="1"/>
      <c r="M696" s="58"/>
      <c r="N696" s="58"/>
      <c r="Y696" s="58"/>
      <c r="Z696" s="58"/>
      <c r="AB696" s="58"/>
      <c r="AC696" s="58"/>
      <c r="AD696" s="58"/>
      <c r="AE696" s="58"/>
    </row>
    <row r="697">
      <c r="E697" s="58"/>
      <c r="F697" s="58"/>
      <c r="G697" s="59"/>
      <c r="H697" s="58"/>
      <c r="J697" s="58"/>
      <c r="K697" s="1"/>
      <c r="M697" s="58"/>
      <c r="N697" s="58"/>
      <c r="Y697" s="58"/>
      <c r="Z697" s="58"/>
      <c r="AB697" s="58"/>
      <c r="AC697" s="58"/>
      <c r="AD697" s="58"/>
      <c r="AE697" s="58"/>
    </row>
    <row r="698">
      <c r="E698" s="58"/>
      <c r="F698" s="58"/>
      <c r="G698" s="59"/>
      <c r="H698" s="58"/>
      <c r="J698" s="58"/>
      <c r="K698" s="1"/>
      <c r="M698" s="58"/>
      <c r="N698" s="58"/>
      <c r="Y698" s="58"/>
      <c r="Z698" s="58"/>
      <c r="AB698" s="58"/>
      <c r="AC698" s="58"/>
      <c r="AD698" s="58"/>
      <c r="AE698" s="58"/>
    </row>
    <row r="699">
      <c r="E699" s="58"/>
      <c r="F699" s="58"/>
      <c r="G699" s="59"/>
      <c r="H699" s="58"/>
      <c r="J699" s="58"/>
      <c r="K699" s="1"/>
      <c r="M699" s="58"/>
      <c r="N699" s="58"/>
      <c r="Y699" s="58"/>
      <c r="Z699" s="58"/>
      <c r="AB699" s="58"/>
      <c r="AC699" s="58"/>
      <c r="AD699" s="58"/>
      <c r="AE699" s="58"/>
    </row>
    <row r="700">
      <c r="E700" s="58"/>
      <c r="F700" s="58"/>
      <c r="G700" s="59"/>
      <c r="H700" s="58"/>
      <c r="J700" s="58"/>
      <c r="K700" s="1"/>
      <c r="M700" s="58"/>
      <c r="N700" s="58"/>
      <c r="Y700" s="58"/>
      <c r="Z700" s="58"/>
      <c r="AB700" s="58"/>
      <c r="AC700" s="58"/>
      <c r="AD700" s="58"/>
      <c r="AE700" s="58"/>
    </row>
    <row r="701">
      <c r="E701" s="58"/>
      <c r="F701" s="58"/>
      <c r="G701" s="59"/>
      <c r="H701" s="58"/>
      <c r="J701" s="58"/>
      <c r="K701" s="1"/>
      <c r="M701" s="58"/>
      <c r="N701" s="58"/>
      <c r="Y701" s="58"/>
      <c r="Z701" s="58"/>
      <c r="AB701" s="58"/>
      <c r="AC701" s="58"/>
      <c r="AD701" s="58"/>
      <c r="AE701" s="58"/>
    </row>
    <row r="702">
      <c r="E702" s="58"/>
      <c r="F702" s="58"/>
      <c r="G702" s="59"/>
      <c r="H702" s="58"/>
      <c r="J702" s="58"/>
      <c r="K702" s="1"/>
      <c r="M702" s="58"/>
      <c r="N702" s="58"/>
      <c r="Y702" s="58"/>
      <c r="Z702" s="58"/>
      <c r="AB702" s="58"/>
      <c r="AC702" s="58"/>
      <c r="AD702" s="58"/>
      <c r="AE702" s="58"/>
    </row>
    <row r="703">
      <c r="E703" s="58"/>
      <c r="F703" s="58"/>
      <c r="G703" s="59"/>
      <c r="H703" s="58"/>
      <c r="J703" s="58"/>
      <c r="K703" s="1"/>
      <c r="M703" s="58"/>
      <c r="N703" s="58"/>
      <c r="Y703" s="58"/>
      <c r="Z703" s="58"/>
      <c r="AB703" s="58"/>
      <c r="AC703" s="58"/>
      <c r="AD703" s="58"/>
      <c r="AE703" s="58"/>
    </row>
    <row r="704">
      <c r="E704" s="58"/>
      <c r="F704" s="58"/>
      <c r="G704" s="59"/>
      <c r="H704" s="58"/>
      <c r="J704" s="58"/>
      <c r="K704" s="1"/>
      <c r="M704" s="58"/>
      <c r="N704" s="58"/>
      <c r="Y704" s="58"/>
      <c r="Z704" s="58"/>
      <c r="AB704" s="58"/>
      <c r="AC704" s="58"/>
      <c r="AD704" s="58"/>
      <c r="AE704" s="58"/>
    </row>
    <row r="705">
      <c r="E705" s="58"/>
      <c r="F705" s="58"/>
      <c r="G705" s="59"/>
      <c r="H705" s="58"/>
      <c r="J705" s="58"/>
      <c r="K705" s="1"/>
      <c r="M705" s="58"/>
      <c r="N705" s="58"/>
      <c r="Y705" s="58"/>
      <c r="Z705" s="58"/>
      <c r="AB705" s="58"/>
      <c r="AC705" s="58"/>
      <c r="AD705" s="58"/>
      <c r="AE705" s="58"/>
    </row>
    <row r="706">
      <c r="E706" s="58"/>
      <c r="F706" s="58"/>
      <c r="G706" s="59"/>
      <c r="H706" s="58"/>
      <c r="J706" s="58"/>
      <c r="K706" s="1"/>
      <c r="M706" s="58"/>
      <c r="N706" s="58"/>
      <c r="Y706" s="58"/>
      <c r="Z706" s="58"/>
      <c r="AB706" s="58"/>
      <c r="AC706" s="58"/>
      <c r="AD706" s="58"/>
      <c r="AE706" s="58"/>
    </row>
    <row r="707">
      <c r="E707" s="58"/>
      <c r="F707" s="58"/>
      <c r="G707" s="59"/>
      <c r="H707" s="58"/>
      <c r="J707" s="58"/>
      <c r="K707" s="1"/>
      <c r="M707" s="58"/>
      <c r="N707" s="58"/>
      <c r="Y707" s="58"/>
      <c r="Z707" s="58"/>
      <c r="AB707" s="58"/>
      <c r="AC707" s="58"/>
      <c r="AD707" s="58"/>
      <c r="AE707" s="58"/>
    </row>
    <row r="708">
      <c r="E708" s="58"/>
      <c r="F708" s="58"/>
      <c r="G708" s="59"/>
      <c r="H708" s="58"/>
      <c r="J708" s="58"/>
      <c r="K708" s="1"/>
      <c r="M708" s="58"/>
      <c r="N708" s="58"/>
      <c r="Y708" s="58"/>
      <c r="Z708" s="58"/>
      <c r="AB708" s="58"/>
      <c r="AC708" s="58"/>
      <c r="AD708" s="58"/>
      <c r="AE708" s="58"/>
    </row>
    <row r="709">
      <c r="E709" s="58"/>
      <c r="F709" s="58"/>
      <c r="G709" s="59"/>
      <c r="H709" s="58"/>
      <c r="J709" s="58"/>
      <c r="K709" s="1"/>
      <c r="M709" s="58"/>
      <c r="N709" s="58"/>
      <c r="Y709" s="58"/>
      <c r="Z709" s="58"/>
      <c r="AB709" s="58"/>
      <c r="AC709" s="58"/>
      <c r="AD709" s="58"/>
      <c r="AE709" s="58"/>
    </row>
    <row r="710">
      <c r="E710" s="58"/>
      <c r="F710" s="58"/>
      <c r="G710" s="59"/>
      <c r="H710" s="58"/>
      <c r="J710" s="58"/>
      <c r="K710" s="1"/>
      <c r="M710" s="58"/>
      <c r="N710" s="58"/>
      <c r="Y710" s="58"/>
      <c r="Z710" s="58"/>
      <c r="AB710" s="58"/>
      <c r="AC710" s="58"/>
      <c r="AD710" s="58"/>
      <c r="AE710" s="58"/>
    </row>
    <row r="711">
      <c r="E711" s="58"/>
      <c r="F711" s="58"/>
      <c r="G711" s="59"/>
      <c r="H711" s="58"/>
      <c r="J711" s="58"/>
      <c r="K711" s="1"/>
      <c r="M711" s="58"/>
      <c r="N711" s="58"/>
      <c r="Y711" s="58"/>
      <c r="Z711" s="58"/>
      <c r="AB711" s="58"/>
      <c r="AC711" s="58"/>
      <c r="AD711" s="58"/>
      <c r="AE711" s="58"/>
    </row>
    <row r="712">
      <c r="E712" s="58"/>
      <c r="F712" s="58"/>
      <c r="G712" s="59"/>
      <c r="H712" s="58"/>
      <c r="J712" s="58"/>
      <c r="K712" s="1"/>
      <c r="M712" s="58"/>
      <c r="N712" s="58"/>
      <c r="Y712" s="58"/>
      <c r="Z712" s="58"/>
      <c r="AB712" s="58"/>
      <c r="AC712" s="58"/>
      <c r="AD712" s="58"/>
      <c r="AE712" s="58"/>
    </row>
    <row r="713">
      <c r="E713" s="58"/>
      <c r="F713" s="58"/>
      <c r="G713" s="59"/>
      <c r="H713" s="58"/>
      <c r="J713" s="58"/>
      <c r="K713" s="1"/>
      <c r="M713" s="58"/>
      <c r="N713" s="58"/>
      <c r="Y713" s="58"/>
      <c r="Z713" s="58"/>
      <c r="AB713" s="58"/>
      <c r="AC713" s="58"/>
      <c r="AD713" s="58"/>
      <c r="AE713" s="58"/>
    </row>
    <row r="714">
      <c r="E714" s="58"/>
      <c r="F714" s="58"/>
      <c r="G714" s="59"/>
      <c r="H714" s="58"/>
      <c r="J714" s="58"/>
      <c r="K714" s="1"/>
      <c r="M714" s="58"/>
      <c r="N714" s="58"/>
      <c r="Y714" s="58"/>
      <c r="Z714" s="58"/>
      <c r="AB714" s="58"/>
      <c r="AC714" s="58"/>
      <c r="AD714" s="58"/>
      <c r="AE714" s="58"/>
    </row>
    <row r="715">
      <c r="E715" s="58"/>
      <c r="F715" s="58"/>
      <c r="G715" s="59"/>
      <c r="H715" s="58"/>
      <c r="J715" s="58"/>
      <c r="K715" s="1"/>
      <c r="M715" s="58"/>
      <c r="N715" s="58"/>
      <c r="Y715" s="58"/>
      <c r="Z715" s="58"/>
      <c r="AB715" s="58"/>
      <c r="AC715" s="58"/>
      <c r="AD715" s="58"/>
      <c r="AE715" s="58"/>
    </row>
    <row r="716">
      <c r="E716" s="58"/>
      <c r="F716" s="58"/>
      <c r="G716" s="59"/>
      <c r="H716" s="58"/>
      <c r="J716" s="58"/>
      <c r="K716" s="1"/>
      <c r="M716" s="58"/>
      <c r="N716" s="58"/>
      <c r="Y716" s="58"/>
      <c r="Z716" s="58"/>
      <c r="AB716" s="58"/>
      <c r="AC716" s="58"/>
      <c r="AD716" s="58"/>
      <c r="AE716" s="58"/>
    </row>
    <row r="717">
      <c r="E717" s="58"/>
      <c r="F717" s="58"/>
      <c r="G717" s="59"/>
      <c r="H717" s="58"/>
      <c r="J717" s="58"/>
      <c r="K717" s="1"/>
      <c r="M717" s="58"/>
      <c r="N717" s="58"/>
      <c r="Y717" s="58"/>
      <c r="Z717" s="58"/>
      <c r="AB717" s="58"/>
      <c r="AC717" s="58"/>
      <c r="AD717" s="58"/>
      <c r="AE717" s="58"/>
    </row>
    <row r="718">
      <c r="E718" s="58"/>
      <c r="F718" s="58"/>
      <c r="G718" s="59"/>
      <c r="H718" s="58"/>
      <c r="J718" s="58"/>
      <c r="K718" s="1"/>
      <c r="M718" s="58"/>
      <c r="N718" s="58"/>
      <c r="Y718" s="58"/>
      <c r="Z718" s="58"/>
      <c r="AB718" s="58"/>
      <c r="AC718" s="58"/>
      <c r="AD718" s="58"/>
      <c r="AE718" s="58"/>
    </row>
    <row r="719">
      <c r="E719" s="58"/>
      <c r="F719" s="58"/>
      <c r="G719" s="59"/>
      <c r="H719" s="58"/>
      <c r="J719" s="58"/>
      <c r="K719" s="1"/>
      <c r="M719" s="58"/>
      <c r="N719" s="58"/>
      <c r="Y719" s="58"/>
      <c r="Z719" s="58"/>
      <c r="AB719" s="58"/>
      <c r="AC719" s="58"/>
      <c r="AD719" s="58"/>
      <c r="AE719" s="58"/>
    </row>
    <row r="720">
      <c r="E720" s="58"/>
      <c r="F720" s="58"/>
      <c r="G720" s="59"/>
      <c r="H720" s="58"/>
      <c r="J720" s="58"/>
      <c r="K720" s="1"/>
      <c r="M720" s="58"/>
      <c r="N720" s="58"/>
      <c r="Y720" s="58"/>
      <c r="Z720" s="58"/>
      <c r="AB720" s="58"/>
      <c r="AC720" s="58"/>
      <c r="AD720" s="58"/>
      <c r="AE720" s="58"/>
    </row>
    <row r="721">
      <c r="E721" s="58"/>
      <c r="F721" s="58"/>
      <c r="G721" s="59"/>
      <c r="H721" s="58"/>
      <c r="J721" s="58"/>
      <c r="K721" s="1"/>
      <c r="M721" s="58"/>
      <c r="N721" s="58"/>
      <c r="Y721" s="58"/>
      <c r="Z721" s="58"/>
      <c r="AB721" s="58"/>
      <c r="AC721" s="58"/>
      <c r="AD721" s="58"/>
      <c r="AE721" s="58"/>
    </row>
    <row r="722">
      <c r="E722" s="58"/>
      <c r="F722" s="58"/>
      <c r="G722" s="59"/>
      <c r="H722" s="58"/>
      <c r="J722" s="58"/>
      <c r="K722" s="1"/>
      <c r="M722" s="58"/>
      <c r="N722" s="58"/>
      <c r="Y722" s="58"/>
      <c r="Z722" s="58"/>
      <c r="AB722" s="58"/>
      <c r="AC722" s="58"/>
      <c r="AD722" s="58"/>
      <c r="AE722" s="58"/>
    </row>
    <row r="723">
      <c r="E723" s="58"/>
      <c r="F723" s="58"/>
      <c r="G723" s="59"/>
      <c r="H723" s="58"/>
      <c r="J723" s="58"/>
      <c r="K723" s="1"/>
      <c r="M723" s="58"/>
      <c r="N723" s="58"/>
      <c r="Y723" s="58"/>
      <c r="Z723" s="58"/>
      <c r="AB723" s="58"/>
      <c r="AC723" s="58"/>
      <c r="AD723" s="58"/>
      <c r="AE723" s="58"/>
    </row>
    <row r="724">
      <c r="E724" s="58"/>
      <c r="F724" s="58"/>
      <c r="G724" s="59"/>
      <c r="H724" s="58"/>
      <c r="J724" s="58"/>
      <c r="K724" s="1"/>
      <c r="M724" s="58"/>
      <c r="N724" s="58"/>
      <c r="Y724" s="58"/>
      <c r="Z724" s="58"/>
      <c r="AB724" s="58"/>
      <c r="AC724" s="58"/>
      <c r="AD724" s="58"/>
      <c r="AE724" s="58"/>
    </row>
    <row r="725">
      <c r="E725" s="58"/>
      <c r="F725" s="58"/>
      <c r="G725" s="59"/>
      <c r="H725" s="58"/>
      <c r="J725" s="58"/>
      <c r="K725" s="1"/>
      <c r="M725" s="58"/>
      <c r="N725" s="58"/>
      <c r="Y725" s="58"/>
      <c r="Z725" s="58"/>
      <c r="AB725" s="58"/>
      <c r="AC725" s="58"/>
      <c r="AD725" s="58"/>
      <c r="AE725" s="58"/>
    </row>
    <row r="726">
      <c r="E726" s="58"/>
      <c r="F726" s="58"/>
      <c r="G726" s="59"/>
      <c r="H726" s="58"/>
      <c r="J726" s="58"/>
      <c r="K726" s="1"/>
      <c r="M726" s="58"/>
      <c r="N726" s="58"/>
      <c r="Y726" s="58"/>
      <c r="Z726" s="58"/>
      <c r="AB726" s="58"/>
      <c r="AC726" s="58"/>
      <c r="AD726" s="58"/>
      <c r="AE726" s="58"/>
    </row>
    <row r="727">
      <c r="E727" s="58"/>
      <c r="F727" s="58"/>
      <c r="G727" s="59"/>
      <c r="H727" s="58"/>
      <c r="J727" s="58"/>
      <c r="K727" s="1"/>
      <c r="M727" s="58"/>
      <c r="N727" s="58"/>
      <c r="Y727" s="58"/>
      <c r="Z727" s="58"/>
      <c r="AB727" s="58"/>
      <c r="AC727" s="58"/>
      <c r="AD727" s="58"/>
      <c r="AE727" s="58"/>
    </row>
    <row r="728">
      <c r="E728" s="58"/>
      <c r="F728" s="58"/>
      <c r="G728" s="59"/>
      <c r="H728" s="58"/>
      <c r="J728" s="58"/>
      <c r="K728" s="1"/>
      <c r="M728" s="58"/>
      <c r="N728" s="58"/>
      <c r="Y728" s="58"/>
      <c r="Z728" s="58"/>
      <c r="AB728" s="58"/>
      <c r="AC728" s="58"/>
      <c r="AD728" s="58"/>
      <c r="AE728" s="58"/>
    </row>
    <row r="729">
      <c r="E729" s="58"/>
      <c r="F729" s="58"/>
      <c r="G729" s="59"/>
      <c r="H729" s="58"/>
      <c r="J729" s="58"/>
      <c r="K729" s="1"/>
      <c r="M729" s="58"/>
      <c r="N729" s="58"/>
      <c r="Y729" s="58"/>
      <c r="Z729" s="58"/>
      <c r="AB729" s="58"/>
      <c r="AC729" s="58"/>
      <c r="AD729" s="58"/>
      <c r="AE729" s="58"/>
    </row>
    <row r="730">
      <c r="E730" s="58"/>
      <c r="F730" s="58"/>
      <c r="G730" s="59"/>
      <c r="H730" s="58"/>
      <c r="J730" s="58"/>
      <c r="K730" s="1"/>
      <c r="M730" s="58"/>
      <c r="N730" s="58"/>
      <c r="Y730" s="58"/>
      <c r="Z730" s="58"/>
      <c r="AB730" s="58"/>
      <c r="AC730" s="58"/>
      <c r="AD730" s="58"/>
      <c r="AE730" s="58"/>
    </row>
    <row r="731">
      <c r="E731" s="58"/>
      <c r="F731" s="58"/>
      <c r="G731" s="59"/>
      <c r="H731" s="58"/>
      <c r="J731" s="58"/>
      <c r="K731" s="1"/>
      <c r="M731" s="58"/>
      <c r="N731" s="58"/>
      <c r="Y731" s="58"/>
      <c r="Z731" s="58"/>
      <c r="AB731" s="58"/>
      <c r="AC731" s="58"/>
      <c r="AD731" s="58"/>
      <c r="AE731" s="58"/>
    </row>
    <row r="732">
      <c r="E732" s="58"/>
      <c r="F732" s="58"/>
      <c r="G732" s="59"/>
      <c r="H732" s="58"/>
      <c r="J732" s="58"/>
      <c r="K732" s="1"/>
      <c r="M732" s="58"/>
      <c r="N732" s="58"/>
      <c r="Y732" s="58"/>
      <c r="Z732" s="58"/>
      <c r="AB732" s="58"/>
      <c r="AC732" s="58"/>
      <c r="AD732" s="58"/>
      <c r="AE732" s="58"/>
    </row>
    <row r="733">
      <c r="E733" s="58"/>
      <c r="F733" s="58"/>
      <c r="G733" s="59"/>
      <c r="H733" s="58"/>
      <c r="J733" s="58"/>
      <c r="K733" s="1"/>
      <c r="M733" s="58"/>
      <c r="N733" s="58"/>
      <c r="Y733" s="58"/>
      <c r="Z733" s="58"/>
      <c r="AB733" s="58"/>
      <c r="AC733" s="58"/>
      <c r="AD733" s="58"/>
      <c r="AE733" s="58"/>
    </row>
    <row r="734">
      <c r="E734" s="58"/>
      <c r="F734" s="58"/>
      <c r="G734" s="59"/>
      <c r="H734" s="58"/>
      <c r="J734" s="58"/>
      <c r="K734" s="1"/>
      <c r="M734" s="58"/>
      <c r="N734" s="58"/>
      <c r="Y734" s="58"/>
      <c r="Z734" s="58"/>
      <c r="AB734" s="58"/>
      <c r="AC734" s="58"/>
      <c r="AD734" s="58"/>
      <c r="AE734" s="58"/>
    </row>
    <row r="735">
      <c r="E735" s="58"/>
      <c r="F735" s="58"/>
      <c r="G735" s="59"/>
      <c r="H735" s="58"/>
      <c r="J735" s="58"/>
      <c r="K735" s="1"/>
      <c r="M735" s="58"/>
      <c r="N735" s="58"/>
      <c r="Y735" s="58"/>
      <c r="Z735" s="58"/>
      <c r="AB735" s="58"/>
      <c r="AC735" s="58"/>
      <c r="AD735" s="58"/>
      <c r="AE735" s="58"/>
    </row>
    <row r="736">
      <c r="E736" s="58"/>
      <c r="F736" s="58"/>
      <c r="G736" s="59"/>
      <c r="H736" s="58"/>
      <c r="J736" s="58"/>
      <c r="K736" s="1"/>
      <c r="M736" s="58"/>
      <c r="N736" s="58"/>
      <c r="Y736" s="58"/>
      <c r="Z736" s="58"/>
      <c r="AB736" s="58"/>
      <c r="AC736" s="58"/>
      <c r="AD736" s="58"/>
      <c r="AE736" s="58"/>
    </row>
    <row r="737">
      <c r="E737" s="58"/>
      <c r="F737" s="58"/>
      <c r="G737" s="59"/>
      <c r="H737" s="58"/>
      <c r="J737" s="58"/>
      <c r="K737" s="1"/>
      <c r="M737" s="58"/>
      <c r="N737" s="58"/>
      <c r="Y737" s="58"/>
      <c r="Z737" s="58"/>
      <c r="AB737" s="58"/>
      <c r="AC737" s="58"/>
      <c r="AD737" s="58"/>
      <c r="AE737" s="58"/>
    </row>
    <row r="738">
      <c r="E738" s="58"/>
      <c r="F738" s="58"/>
      <c r="G738" s="59"/>
      <c r="H738" s="58"/>
      <c r="J738" s="58"/>
      <c r="K738" s="1"/>
      <c r="M738" s="58"/>
      <c r="N738" s="58"/>
      <c r="Y738" s="58"/>
      <c r="Z738" s="58"/>
      <c r="AB738" s="58"/>
      <c r="AC738" s="58"/>
      <c r="AD738" s="58"/>
      <c r="AE738" s="58"/>
    </row>
    <row r="739">
      <c r="E739" s="58"/>
      <c r="F739" s="58"/>
      <c r="G739" s="59"/>
      <c r="H739" s="58"/>
      <c r="J739" s="58"/>
      <c r="K739" s="1"/>
      <c r="M739" s="58"/>
      <c r="N739" s="58"/>
      <c r="Y739" s="58"/>
      <c r="Z739" s="58"/>
      <c r="AB739" s="58"/>
      <c r="AC739" s="58"/>
      <c r="AD739" s="58"/>
      <c r="AE739" s="58"/>
    </row>
    <row r="740">
      <c r="E740" s="58"/>
      <c r="F740" s="58"/>
      <c r="G740" s="59"/>
      <c r="H740" s="58"/>
      <c r="J740" s="58"/>
      <c r="K740" s="1"/>
      <c r="M740" s="58"/>
      <c r="N740" s="58"/>
      <c r="Y740" s="58"/>
      <c r="Z740" s="58"/>
      <c r="AB740" s="58"/>
      <c r="AC740" s="58"/>
      <c r="AD740" s="58"/>
      <c r="AE740" s="58"/>
    </row>
    <row r="741">
      <c r="E741" s="58"/>
      <c r="F741" s="58"/>
      <c r="G741" s="59"/>
      <c r="H741" s="58"/>
      <c r="J741" s="58"/>
      <c r="K741" s="1"/>
      <c r="M741" s="58"/>
      <c r="N741" s="58"/>
      <c r="Y741" s="58"/>
      <c r="Z741" s="58"/>
      <c r="AB741" s="58"/>
      <c r="AC741" s="58"/>
      <c r="AD741" s="58"/>
      <c r="AE741" s="58"/>
    </row>
    <row r="742">
      <c r="E742" s="58"/>
      <c r="F742" s="58"/>
      <c r="G742" s="59"/>
      <c r="H742" s="58"/>
      <c r="J742" s="58"/>
      <c r="K742" s="1"/>
      <c r="M742" s="58"/>
      <c r="N742" s="58"/>
      <c r="Y742" s="58"/>
      <c r="Z742" s="58"/>
      <c r="AB742" s="58"/>
      <c r="AC742" s="58"/>
      <c r="AD742" s="58"/>
      <c r="AE742" s="58"/>
    </row>
    <row r="743">
      <c r="E743" s="58"/>
      <c r="F743" s="58"/>
      <c r="G743" s="59"/>
      <c r="H743" s="58"/>
      <c r="J743" s="58"/>
      <c r="K743" s="1"/>
      <c r="M743" s="58"/>
      <c r="N743" s="58"/>
      <c r="Y743" s="58"/>
      <c r="Z743" s="58"/>
      <c r="AB743" s="58"/>
      <c r="AC743" s="58"/>
      <c r="AD743" s="58"/>
      <c r="AE743" s="58"/>
    </row>
    <row r="744">
      <c r="E744" s="58"/>
      <c r="F744" s="58"/>
      <c r="G744" s="59"/>
      <c r="H744" s="58"/>
      <c r="J744" s="58"/>
      <c r="K744" s="1"/>
      <c r="M744" s="58"/>
      <c r="N744" s="58"/>
      <c r="Y744" s="58"/>
      <c r="Z744" s="58"/>
      <c r="AB744" s="58"/>
      <c r="AC744" s="58"/>
      <c r="AD744" s="58"/>
      <c r="AE744" s="58"/>
    </row>
    <row r="745">
      <c r="E745" s="58"/>
      <c r="F745" s="58"/>
      <c r="G745" s="59"/>
      <c r="H745" s="58"/>
      <c r="J745" s="58"/>
      <c r="K745" s="1"/>
      <c r="M745" s="58"/>
      <c r="N745" s="58"/>
      <c r="Y745" s="58"/>
      <c r="Z745" s="58"/>
      <c r="AB745" s="58"/>
      <c r="AC745" s="58"/>
      <c r="AD745" s="58"/>
      <c r="AE745" s="58"/>
    </row>
    <row r="746">
      <c r="E746" s="58"/>
      <c r="F746" s="58"/>
      <c r="G746" s="59"/>
      <c r="H746" s="58"/>
      <c r="J746" s="58"/>
      <c r="K746" s="1"/>
      <c r="M746" s="58"/>
      <c r="N746" s="58"/>
      <c r="Y746" s="58"/>
      <c r="Z746" s="58"/>
      <c r="AB746" s="58"/>
      <c r="AC746" s="58"/>
      <c r="AD746" s="58"/>
      <c r="AE746" s="58"/>
    </row>
    <row r="747">
      <c r="E747" s="58"/>
      <c r="F747" s="58"/>
      <c r="G747" s="59"/>
      <c r="H747" s="58"/>
      <c r="J747" s="58"/>
      <c r="K747" s="1"/>
      <c r="M747" s="58"/>
      <c r="N747" s="58"/>
      <c r="Y747" s="58"/>
      <c r="Z747" s="58"/>
      <c r="AB747" s="58"/>
      <c r="AC747" s="58"/>
      <c r="AD747" s="58"/>
      <c r="AE747" s="58"/>
    </row>
    <row r="748">
      <c r="E748" s="58"/>
      <c r="F748" s="58"/>
      <c r="G748" s="59"/>
      <c r="H748" s="58"/>
      <c r="J748" s="58"/>
      <c r="K748" s="1"/>
      <c r="M748" s="58"/>
      <c r="N748" s="58"/>
      <c r="Y748" s="58"/>
      <c r="Z748" s="58"/>
      <c r="AB748" s="58"/>
      <c r="AC748" s="58"/>
      <c r="AD748" s="58"/>
      <c r="AE748" s="58"/>
    </row>
    <row r="749">
      <c r="E749" s="58"/>
      <c r="F749" s="58"/>
      <c r="G749" s="59"/>
      <c r="H749" s="58"/>
      <c r="J749" s="58"/>
      <c r="K749" s="1"/>
      <c r="M749" s="58"/>
      <c r="N749" s="58"/>
      <c r="Y749" s="58"/>
      <c r="Z749" s="58"/>
      <c r="AB749" s="58"/>
      <c r="AC749" s="58"/>
      <c r="AD749" s="58"/>
      <c r="AE749" s="58"/>
    </row>
    <row r="750">
      <c r="E750" s="58"/>
      <c r="F750" s="58"/>
      <c r="G750" s="59"/>
      <c r="H750" s="58"/>
      <c r="J750" s="58"/>
      <c r="K750" s="1"/>
      <c r="M750" s="58"/>
      <c r="N750" s="58"/>
      <c r="Y750" s="58"/>
      <c r="Z750" s="58"/>
      <c r="AB750" s="58"/>
      <c r="AC750" s="58"/>
      <c r="AD750" s="58"/>
      <c r="AE750" s="58"/>
    </row>
    <row r="751">
      <c r="E751" s="58"/>
      <c r="F751" s="58"/>
      <c r="G751" s="59"/>
      <c r="H751" s="58"/>
      <c r="J751" s="58"/>
      <c r="K751" s="1"/>
      <c r="M751" s="58"/>
      <c r="N751" s="58"/>
      <c r="Y751" s="58"/>
      <c r="Z751" s="58"/>
      <c r="AB751" s="58"/>
      <c r="AC751" s="58"/>
      <c r="AD751" s="58"/>
      <c r="AE751" s="58"/>
    </row>
    <row r="752">
      <c r="E752" s="58"/>
      <c r="F752" s="58"/>
      <c r="G752" s="59"/>
      <c r="H752" s="58"/>
      <c r="J752" s="58"/>
      <c r="K752" s="1"/>
      <c r="M752" s="58"/>
      <c r="N752" s="58"/>
      <c r="Y752" s="58"/>
      <c r="Z752" s="58"/>
      <c r="AB752" s="58"/>
      <c r="AC752" s="58"/>
      <c r="AD752" s="58"/>
      <c r="AE752" s="58"/>
    </row>
    <row r="753">
      <c r="E753" s="58"/>
      <c r="F753" s="58"/>
      <c r="G753" s="59"/>
      <c r="H753" s="58"/>
      <c r="J753" s="58"/>
      <c r="K753" s="1"/>
      <c r="M753" s="58"/>
      <c r="N753" s="58"/>
      <c r="Y753" s="58"/>
      <c r="Z753" s="58"/>
      <c r="AB753" s="58"/>
      <c r="AC753" s="58"/>
      <c r="AD753" s="58"/>
      <c r="AE753" s="58"/>
    </row>
    <row r="754">
      <c r="E754" s="58"/>
      <c r="F754" s="58"/>
      <c r="G754" s="59"/>
      <c r="H754" s="58"/>
      <c r="J754" s="58"/>
      <c r="K754" s="1"/>
      <c r="M754" s="58"/>
      <c r="N754" s="58"/>
      <c r="Y754" s="58"/>
      <c r="Z754" s="58"/>
      <c r="AB754" s="58"/>
      <c r="AC754" s="58"/>
      <c r="AD754" s="58"/>
      <c r="AE754" s="58"/>
    </row>
    <row r="755">
      <c r="E755" s="58"/>
      <c r="F755" s="58"/>
      <c r="G755" s="59"/>
      <c r="H755" s="58"/>
      <c r="J755" s="58"/>
      <c r="K755" s="1"/>
      <c r="M755" s="58"/>
      <c r="N755" s="58"/>
      <c r="Y755" s="58"/>
      <c r="Z755" s="58"/>
      <c r="AB755" s="58"/>
      <c r="AC755" s="58"/>
      <c r="AD755" s="58"/>
      <c r="AE755" s="58"/>
    </row>
    <row r="756">
      <c r="E756" s="58"/>
      <c r="F756" s="58"/>
      <c r="G756" s="59"/>
      <c r="H756" s="58"/>
      <c r="J756" s="58"/>
      <c r="K756" s="1"/>
      <c r="M756" s="58"/>
      <c r="N756" s="58"/>
      <c r="Y756" s="58"/>
      <c r="Z756" s="58"/>
      <c r="AB756" s="58"/>
      <c r="AC756" s="58"/>
      <c r="AD756" s="58"/>
      <c r="AE756" s="58"/>
    </row>
    <row r="757">
      <c r="E757" s="58"/>
      <c r="F757" s="58"/>
      <c r="G757" s="59"/>
      <c r="H757" s="58"/>
      <c r="J757" s="58"/>
      <c r="K757" s="1"/>
      <c r="M757" s="58"/>
      <c r="N757" s="58"/>
      <c r="Y757" s="58"/>
      <c r="Z757" s="58"/>
      <c r="AB757" s="58"/>
      <c r="AC757" s="58"/>
      <c r="AD757" s="58"/>
      <c r="AE757" s="58"/>
    </row>
    <row r="758">
      <c r="E758" s="58"/>
      <c r="F758" s="58"/>
      <c r="G758" s="59"/>
      <c r="H758" s="58"/>
      <c r="J758" s="58"/>
      <c r="K758" s="1"/>
      <c r="M758" s="58"/>
      <c r="N758" s="58"/>
      <c r="Y758" s="58"/>
      <c r="Z758" s="58"/>
      <c r="AB758" s="58"/>
      <c r="AC758" s="58"/>
      <c r="AD758" s="58"/>
      <c r="AE758" s="58"/>
    </row>
    <row r="759">
      <c r="E759" s="58"/>
      <c r="F759" s="58"/>
      <c r="G759" s="59"/>
      <c r="H759" s="58"/>
      <c r="J759" s="58"/>
      <c r="K759" s="1"/>
      <c r="M759" s="58"/>
      <c r="N759" s="58"/>
      <c r="Y759" s="58"/>
      <c r="Z759" s="58"/>
      <c r="AB759" s="58"/>
      <c r="AC759" s="58"/>
      <c r="AD759" s="58"/>
      <c r="AE759" s="58"/>
    </row>
    <row r="760">
      <c r="E760" s="58"/>
      <c r="F760" s="58"/>
      <c r="G760" s="59"/>
      <c r="H760" s="58"/>
      <c r="J760" s="58"/>
      <c r="K760" s="1"/>
      <c r="M760" s="58"/>
      <c r="N760" s="58"/>
      <c r="Y760" s="58"/>
      <c r="Z760" s="58"/>
      <c r="AB760" s="58"/>
      <c r="AC760" s="58"/>
      <c r="AD760" s="58"/>
      <c r="AE760" s="58"/>
    </row>
    <row r="761">
      <c r="E761" s="58"/>
      <c r="F761" s="58"/>
      <c r="G761" s="59"/>
      <c r="H761" s="58"/>
      <c r="J761" s="58"/>
      <c r="K761" s="1"/>
      <c r="M761" s="58"/>
      <c r="N761" s="58"/>
      <c r="Y761" s="58"/>
      <c r="Z761" s="58"/>
      <c r="AB761" s="58"/>
      <c r="AC761" s="58"/>
      <c r="AD761" s="58"/>
      <c r="AE761" s="58"/>
    </row>
    <row r="762">
      <c r="E762" s="58"/>
      <c r="F762" s="58"/>
      <c r="G762" s="59"/>
      <c r="H762" s="58"/>
      <c r="J762" s="58"/>
      <c r="K762" s="1"/>
      <c r="M762" s="58"/>
      <c r="N762" s="58"/>
      <c r="Y762" s="58"/>
      <c r="Z762" s="58"/>
      <c r="AB762" s="58"/>
      <c r="AC762" s="58"/>
      <c r="AD762" s="58"/>
      <c r="AE762" s="58"/>
    </row>
    <row r="763">
      <c r="E763" s="58"/>
      <c r="F763" s="58"/>
      <c r="G763" s="59"/>
      <c r="H763" s="58"/>
      <c r="J763" s="58"/>
      <c r="K763" s="1"/>
      <c r="M763" s="58"/>
      <c r="N763" s="58"/>
      <c r="Y763" s="58"/>
      <c r="Z763" s="58"/>
      <c r="AB763" s="58"/>
      <c r="AC763" s="58"/>
      <c r="AD763" s="58"/>
      <c r="AE763" s="58"/>
    </row>
    <row r="764">
      <c r="E764" s="58"/>
      <c r="F764" s="58"/>
      <c r="G764" s="59"/>
      <c r="H764" s="58"/>
      <c r="J764" s="58"/>
      <c r="K764" s="1"/>
      <c r="M764" s="58"/>
      <c r="N764" s="58"/>
      <c r="Y764" s="58"/>
      <c r="Z764" s="58"/>
      <c r="AB764" s="58"/>
      <c r="AC764" s="58"/>
      <c r="AD764" s="58"/>
      <c r="AE764" s="58"/>
    </row>
    <row r="765">
      <c r="E765" s="58"/>
      <c r="F765" s="58"/>
      <c r="G765" s="59"/>
      <c r="H765" s="58"/>
      <c r="J765" s="58"/>
      <c r="K765" s="1"/>
      <c r="M765" s="58"/>
      <c r="N765" s="58"/>
      <c r="Y765" s="58"/>
      <c r="Z765" s="58"/>
      <c r="AB765" s="58"/>
      <c r="AC765" s="58"/>
      <c r="AD765" s="58"/>
      <c r="AE765" s="58"/>
    </row>
    <row r="766">
      <c r="E766" s="58"/>
      <c r="F766" s="58"/>
      <c r="G766" s="59"/>
      <c r="H766" s="58"/>
      <c r="J766" s="58"/>
      <c r="K766" s="1"/>
      <c r="M766" s="58"/>
      <c r="N766" s="58"/>
      <c r="Y766" s="58"/>
      <c r="Z766" s="58"/>
      <c r="AB766" s="58"/>
      <c r="AC766" s="58"/>
      <c r="AD766" s="58"/>
      <c r="AE766" s="58"/>
    </row>
    <row r="767">
      <c r="E767" s="58"/>
      <c r="F767" s="58"/>
      <c r="G767" s="59"/>
      <c r="H767" s="58"/>
      <c r="J767" s="58"/>
      <c r="K767" s="1"/>
      <c r="M767" s="58"/>
      <c r="N767" s="58"/>
      <c r="Y767" s="58"/>
      <c r="Z767" s="58"/>
      <c r="AB767" s="58"/>
      <c r="AC767" s="58"/>
      <c r="AD767" s="58"/>
      <c r="AE767" s="58"/>
    </row>
    <row r="768">
      <c r="E768" s="58"/>
      <c r="F768" s="58"/>
      <c r="G768" s="59"/>
      <c r="H768" s="58"/>
      <c r="J768" s="58"/>
      <c r="K768" s="1"/>
      <c r="M768" s="58"/>
      <c r="N768" s="58"/>
      <c r="Y768" s="58"/>
      <c r="Z768" s="58"/>
      <c r="AB768" s="58"/>
      <c r="AC768" s="58"/>
      <c r="AD768" s="58"/>
      <c r="AE768" s="58"/>
    </row>
    <row r="769">
      <c r="E769" s="58"/>
      <c r="F769" s="58"/>
      <c r="G769" s="59"/>
      <c r="H769" s="58"/>
      <c r="J769" s="58"/>
      <c r="K769" s="1"/>
      <c r="M769" s="58"/>
      <c r="N769" s="58"/>
      <c r="Y769" s="58"/>
      <c r="Z769" s="58"/>
      <c r="AB769" s="58"/>
      <c r="AC769" s="58"/>
      <c r="AD769" s="58"/>
      <c r="AE769" s="58"/>
    </row>
    <row r="770">
      <c r="E770" s="58"/>
      <c r="F770" s="58"/>
      <c r="G770" s="59"/>
      <c r="H770" s="58"/>
      <c r="J770" s="58"/>
      <c r="K770" s="1"/>
      <c r="M770" s="58"/>
      <c r="N770" s="58"/>
      <c r="Y770" s="58"/>
      <c r="Z770" s="58"/>
      <c r="AB770" s="58"/>
      <c r="AC770" s="58"/>
      <c r="AD770" s="58"/>
      <c r="AE770" s="58"/>
    </row>
    <row r="771">
      <c r="E771" s="58"/>
      <c r="F771" s="58"/>
      <c r="G771" s="59"/>
      <c r="H771" s="58"/>
      <c r="J771" s="58"/>
      <c r="K771" s="1"/>
      <c r="M771" s="58"/>
      <c r="N771" s="58"/>
      <c r="Y771" s="58"/>
      <c r="Z771" s="58"/>
      <c r="AB771" s="58"/>
      <c r="AC771" s="58"/>
      <c r="AD771" s="58"/>
      <c r="AE771" s="58"/>
    </row>
    <row r="772">
      <c r="E772" s="58"/>
      <c r="F772" s="58"/>
      <c r="G772" s="59"/>
      <c r="H772" s="58"/>
      <c r="J772" s="58"/>
      <c r="K772" s="1"/>
      <c r="M772" s="58"/>
      <c r="N772" s="58"/>
      <c r="Y772" s="58"/>
      <c r="Z772" s="58"/>
      <c r="AB772" s="58"/>
      <c r="AC772" s="58"/>
      <c r="AD772" s="58"/>
      <c r="AE772" s="58"/>
    </row>
    <row r="773">
      <c r="E773" s="58"/>
      <c r="F773" s="58"/>
      <c r="G773" s="59"/>
      <c r="H773" s="58"/>
      <c r="J773" s="58"/>
      <c r="K773" s="1"/>
      <c r="M773" s="58"/>
      <c r="N773" s="58"/>
      <c r="Y773" s="58"/>
      <c r="Z773" s="58"/>
      <c r="AB773" s="58"/>
      <c r="AC773" s="58"/>
      <c r="AD773" s="58"/>
      <c r="AE773" s="58"/>
    </row>
    <row r="774">
      <c r="E774" s="58"/>
      <c r="F774" s="58"/>
      <c r="G774" s="59"/>
      <c r="H774" s="58"/>
      <c r="J774" s="58"/>
      <c r="K774" s="1"/>
      <c r="M774" s="58"/>
      <c r="N774" s="58"/>
      <c r="Y774" s="58"/>
      <c r="Z774" s="58"/>
      <c r="AB774" s="58"/>
      <c r="AC774" s="58"/>
      <c r="AD774" s="58"/>
      <c r="AE774" s="58"/>
    </row>
    <row r="775">
      <c r="E775" s="58"/>
      <c r="F775" s="58"/>
      <c r="G775" s="59"/>
      <c r="H775" s="58"/>
      <c r="J775" s="58"/>
      <c r="K775" s="1"/>
      <c r="M775" s="58"/>
      <c r="N775" s="58"/>
      <c r="Y775" s="58"/>
      <c r="Z775" s="58"/>
      <c r="AB775" s="58"/>
      <c r="AC775" s="58"/>
      <c r="AD775" s="58"/>
      <c r="AE775" s="58"/>
    </row>
    <row r="776">
      <c r="E776" s="58"/>
      <c r="F776" s="58"/>
      <c r="G776" s="59"/>
      <c r="H776" s="58"/>
      <c r="J776" s="58"/>
      <c r="K776" s="1"/>
      <c r="M776" s="58"/>
      <c r="N776" s="58"/>
      <c r="Y776" s="58"/>
      <c r="Z776" s="58"/>
      <c r="AB776" s="58"/>
      <c r="AC776" s="58"/>
      <c r="AD776" s="58"/>
      <c r="AE776" s="58"/>
    </row>
    <row r="777">
      <c r="E777" s="58"/>
      <c r="F777" s="58"/>
      <c r="G777" s="59"/>
      <c r="H777" s="58"/>
      <c r="J777" s="58"/>
      <c r="K777" s="1"/>
      <c r="M777" s="58"/>
      <c r="N777" s="58"/>
      <c r="Y777" s="58"/>
      <c r="Z777" s="58"/>
      <c r="AB777" s="58"/>
      <c r="AC777" s="58"/>
      <c r="AD777" s="58"/>
      <c r="AE777" s="58"/>
    </row>
    <row r="778">
      <c r="E778" s="58"/>
      <c r="F778" s="58"/>
      <c r="G778" s="59"/>
      <c r="H778" s="58"/>
      <c r="J778" s="58"/>
      <c r="K778" s="1"/>
      <c r="M778" s="58"/>
      <c r="N778" s="58"/>
      <c r="Y778" s="58"/>
      <c r="Z778" s="58"/>
      <c r="AB778" s="58"/>
      <c r="AC778" s="58"/>
      <c r="AD778" s="58"/>
      <c r="AE778" s="58"/>
    </row>
    <row r="779">
      <c r="E779" s="58"/>
      <c r="F779" s="58"/>
      <c r="G779" s="59"/>
      <c r="H779" s="58"/>
      <c r="J779" s="58"/>
      <c r="K779" s="1"/>
      <c r="M779" s="58"/>
      <c r="N779" s="58"/>
      <c r="Y779" s="58"/>
      <c r="Z779" s="58"/>
      <c r="AB779" s="58"/>
      <c r="AC779" s="58"/>
      <c r="AD779" s="58"/>
      <c r="AE779" s="58"/>
    </row>
    <row r="780">
      <c r="E780" s="58"/>
      <c r="F780" s="58"/>
      <c r="G780" s="59"/>
      <c r="H780" s="58"/>
      <c r="J780" s="58"/>
      <c r="K780" s="1"/>
      <c r="M780" s="58"/>
      <c r="N780" s="58"/>
      <c r="Y780" s="58"/>
      <c r="Z780" s="58"/>
      <c r="AB780" s="58"/>
      <c r="AC780" s="58"/>
      <c r="AD780" s="58"/>
      <c r="AE780" s="58"/>
    </row>
    <row r="781">
      <c r="E781" s="58"/>
      <c r="F781" s="58"/>
      <c r="G781" s="59"/>
      <c r="H781" s="58"/>
      <c r="J781" s="58"/>
      <c r="K781" s="1"/>
      <c r="M781" s="58"/>
      <c r="N781" s="58"/>
      <c r="Y781" s="58"/>
      <c r="Z781" s="58"/>
      <c r="AB781" s="58"/>
      <c r="AC781" s="58"/>
      <c r="AD781" s="58"/>
      <c r="AE781" s="58"/>
    </row>
    <row r="782">
      <c r="E782" s="58"/>
      <c r="F782" s="58"/>
      <c r="G782" s="59"/>
      <c r="H782" s="58"/>
      <c r="J782" s="58"/>
      <c r="K782" s="1"/>
      <c r="M782" s="58"/>
      <c r="N782" s="58"/>
      <c r="Y782" s="58"/>
      <c r="Z782" s="58"/>
      <c r="AB782" s="58"/>
      <c r="AC782" s="58"/>
      <c r="AD782" s="58"/>
      <c r="AE782" s="58"/>
    </row>
    <row r="783">
      <c r="E783" s="58"/>
      <c r="F783" s="58"/>
      <c r="G783" s="59"/>
      <c r="H783" s="58"/>
      <c r="J783" s="58"/>
      <c r="K783" s="1"/>
      <c r="M783" s="58"/>
      <c r="N783" s="58"/>
      <c r="Y783" s="58"/>
      <c r="Z783" s="58"/>
      <c r="AB783" s="58"/>
      <c r="AC783" s="58"/>
      <c r="AD783" s="58"/>
      <c r="AE783" s="58"/>
    </row>
    <row r="784">
      <c r="E784" s="58"/>
      <c r="F784" s="58"/>
      <c r="G784" s="59"/>
      <c r="H784" s="58"/>
      <c r="J784" s="58"/>
      <c r="K784" s="1"/>
      <c r="M784" s="58"/>
      <c r="N784" s="58"/>
      <c r="Y784" s="58"/>
      <c r="Z784" s="58"/>
      <c r="AB784" s="58"/>
      <c r="AC784" s="58"/>
      <c r="AD784" s="58"/>
      <c r="AE784" s="58"/>
    </row>
    <row r="785">
      <c r="E785" s="58"/>
      <c r="F785" s="58"/>
      <c r="G785" s="59"/>
      <c r="H785" s="58"/>
      <c r="J785" s="58"/>
      <c r="K785" s="1"/>
      <c r="M785" s="58"/>
      <c r="N785" s="58"/>
      <c r="Y785" s="58"/>
      <c r="Z785" s="58"/>
      <c r="AB785" s="58"/>
      <c r="AC785" s="58"/>
      <c r="AD785" s="58"/>
      <c r="AE785" s="58"/>
    </row>
    <row r="786">
      <c r="E786" s="58"/>
      <c r="F786" s="58"/>
      <c r="G786" s="59"/>
      <c r="H786" s="58"/>
      <c r="J786" s="58"/>
      <c r="K786" s="1"/>
      <c r="M786" s="58"/>
      <c r="N786" s="58"/>
      <c r="Y786" s="58"/>
      <c r="Z786" s="58"/>
      <c r="AB786" s="58"/>
      <c r="AC786" s="58"/>
      <c r="AD786" s="58"/>
      <c r="AE786" s="58"/>
    </row>
    <row r="787">
      <c r="E787" s="58"/>
      <c r="F787" s="58"/>
      <c r="G787" s="59"/>
      <c r="H787" s="58"/>
      <c r="J787" s="58"/>
      <c r="K787" s="1"/>
      <c r="M787" s="58"/>
      <c r="N787" s="58"/>
      <c r="Y787" s="58"/>
      <c r="Z787" s="58"/>
      <c r="AB787" s="58"/>
      <c r="AC787" s="58"/>
      <c r="AD787" s="58"/>
      <c r="AE787" s="58"/>
    </row>
    <row r="788">
      <c r="E788" s="58"/>
      <c r="F788" s="58"/>
      <c r="G788" s="59"/>
      <c r="H788" s="58"/>
      <c r="J788" s="58"/>
      <c r="K788" s="1"/>
      <c r="M788" s="58"/>
      <c r="N788" s="58"/>
      <c r="Y788" s="58"/>
      <c r="Z788" s="58"/>
      <c r="AB788" s="58"/>
      <c r="AC788" s="58"/>
      <c r="AD788" s="58"/>
      <c r="AE788" s="58"/>
    </row>
    <row r="789">
      <c r="E789" s="58"/>
      <c r="F789" s="58"/>
      <c r="G789" s="59"/>
      <c r="H789" s="58"/>
      <c r="J789" s="58"/>
      <c r="K789" s="1"/>
      <c r="M789" s="58"/>
      <c r="N789" s="58"/>
      <c r="Y789" s="58"/>
      <c r="Z789" s="58"/>
      <c r="AB789" s="58"/>
      <c r="AC789" s="58"/>
      <c r="AD789" s="58"/>
      <c r="AE789" s="58"/>
    </row>
    <row r="790">
      <c r="E790" s="58"/>
      <c r="F790" s="58"/>
      <c r="G790" s="59"/>
      <c r="H790" s="58"/>
      <c r="J790" s="58"/>
      <c r="K790" s="1"/>
      <c r="M790" s="58"/>
      <c r="N790" s="58"/>
      <c r="Y790" s="58"/>
      <c r="Z790" s="58"/>
      <c r="AB790" s="58"/>
      <c r="AC790" s="58"/>
      <c r="AD790" s="58"/>
      <c r="AE790" s="58"/>
    </row>
    <row r="791">
      <c r="E791" s="58"/>
      <c r="F791" s="58"/>
      <c r="G791" s="59"/>
      <c r="H791" s="58"/>
      <c r="J791" s="58"/>
      <c r="K791" s="1"/>
      <c r="M791" s="58"/>
      <c r="N791" s="58"/>
      <c r="Y791" s="58"/>
      <c r="Z791" s="58"/>
      <c r="AB791" s="58"/>
      <c r="AC791" s="58"/>
      <c r="AD791" s="58"/>
      <c r="AE791" s="58"/>
    </row>
    <row r="792">
      <c r="E792" s="58"/>
      <c r="F792" s="58"/>
      <c r="G792" s="59"/>
      <c r="H792" s="58"/>
      <c r="J792" s="58"/>
      <c r="K792" s="1"/>
      <c r="M792" s="58"/>
      <c r="N792" s="58"/>
      <c r="Y792" s="58"/>
      <c r="Z792" s="58"/>
      <c r="AB792" s="58"/>
      <c r="AC792" s="58"/>
      <c r="AD792" s="58"/>
      <c r="AE792" s="58"/>
    </row>
    <row r="793">
      <c r="E793" s="58"/>
      <c r="F793" s="58"/>
      <c r="G793" s="59"/>
      <c r="H793" s="58"/>
      <c r="J793" s="58"/>
      <c r="K793" s="1"/>
      <c r="M793" s="58"/>
      <c r="N793" s="58"/>
      <c r="Y793" s="58"/>
      <c r="Z793" s="58"/>
      <c r="AB793" s="58"/>
      <c r="AC793" s="58"/>
      <c r="AD793" s="58"/>
      <c r="AE793" s="58"/>
    </row>
    <row r="794">
      <c r="E794" s="58"/>
      <c r="F794" s="58"/>
      <c r="G794" s="59"/>
      <c r="H794" s="58"/>
      <c r="J794" s="58"/>
      <c r="K794" s="1"/>
      <c r="M794" s="58"/>
      <c r="N794" s="58"/>
      <c r="Y794" s="58"/>
      <c r="Z794" s="58"/>
      <c r="AB794" s="58"/>
      <c r="AC794" s="58"/>
      <c r="AD794" s="58"/>
      <c r="AE794" s="58"/>
    </row>
    <row r="795">
      <c r="E795" s="58"/>
      <c r="F795" s="58"/>
      <c r="G795" s="59"/>
      <c r="H795" s="58"/>
      <c r="J795" s="58"/>
      <c r="K795" s="1"/>
      <c r="M795" s="58"/>
      <c r="N795" s="58"/>
      <c r="Y795" s="58"/>
      <c r="Z795" s="58"/>
      <c r="AB795" s="58"/>
      <c r="AC795" s="58"/>
      <c r="AD795" s="58"/>
      <c r="AE795" s="58"/>
    </row>
    <row r="796">
      <c r="E796" s="58"/>
      <c r="F796" s="58"/>
      <c r="G796" s="59"/>
      <c r="H796" s="58"/>
      <c r="J796" s="58"/>
      <c r="K796" s="1"/>
      <c r="M796" s="58"/>
      <c r="N796" s="58"/>
      <c r="Y796" s="58"/>
      <c r="Z796" s="58"/>
      <c r="AB796" s="58"/>
      <c r="AC796" s="58"/>
      <c r="AD796" s="58"/>
      <c r="AE796" s="58"/>
    </row>
    <row r="797">
      <c r="E797" s="58"/>
      <c r="F797" s="58"/>
      <c r="G797" s="59"/>
      <c r="H797" s="58"/>
      <c r="J797" s="58"/>
      <c r="K797" s="1"/>
      <c r="M797" s="58"/>
      <c r="N797" s="58"/>
      <c r="Y797" s="58"/>
      <c r="Z797" s="58"/>
      <c r="AB797" s="58"/>
      <c r="AC797" s="58"/>
      <c r="AD797" s="58"/>
      <c r="AE797" s="58"/>
    </row>
    <row r="798">
      <c r="E798" s="58"/>
      <c r="F798" s="58"/>
      <c r="G798" s="59"/>
      <c r="H798" s="58"/>
      <c r="J798" s="58"/>
      <c r="K798" s="1"/>
      <c r="M798" s="58"/>
      <c r="N798" s="58"/>
      <c r="Y798" s="58"/>
      <c r="Z798" s="58"/>
      <c r="AB798" s="58"/>
      <c r="AC798" s="58"/>
      <c r="AD798" s="58"/>
      <c r="AE798" s="58"/>
    </row>
    <row r="799">
      <c r="E799" s="58"/>
      <c r="F799" s="58"/>
      <c r="G799" s="59"/>
      <c r="H799" s="58"/>
      <c r="J799" s="58"/>
      <c r="K799" s="1"/>
      <c r="M799" s="58"/>
      <c r="N799" s="58"/>
      <c r="Y799" s="58"/>
      <c r="Z799" s="58"/>
      <c r="AB799" s="58"/>
      <c r="AC799" s="58"/>
      <c r="AD799" s="58"/>
      <c r="AE799" s="58"/>
    </row>
    <row r="800">
      <c r="E800" s="58"/>
      <c r="F800" s="58"/>
      <c r="G800" s="59"/>
      <c r="H800" s="58"/>
      <c r="J800" s="58"/>
      <c r="K800" s="1"/>
      <c r="M800" s="58"/>
      <c r="N800" s="58"/>
      <c r="Y800" s="58"/>
      <c r="Z800" s="58"/>
      <c r="AB800" s="58"/>
      <c r="AC800" s="58"/>
      <c r="AD800" s="58"/>
      <c r="AE800" s="58"/>
    </row>
    <row r="801">
      <c r="E801" s="58"/>
      <c r="F801" s="58"/>
      <c r="G801" s="59"/>
      <c r="H801" s="58"/>
      <c r="J801" s="58"/>
      <c r="K801" s="1"/>
      <c r="M801" s="58"/>
      <c r="N801" s="58"/>
      <c r="Y801" s="58"/>
      <c r="Z801" s="58"/>
      <c r="AB801" s="58"/>
      <c r="AC801" s="58"/>
      <c r="AD801" s="58"/>
      <c r="AE801" s="58"/>
    </row>
    <row r="802">
      <c r="E802" s="58"/>
      <c r="F802" s="58"/>
      <c r="G802" s="59"/>
      <c r="H802" s="58"/>
      <c r="J802" s="58"/>
      <c r="K802" s="1"/>
      <c r="M802" s="58"/>
      <c r="N802" s="58"/>
      <c r="Y802" s="58"/>
      <c r="Z802" s="58"/>
      <c r="AB802" s="58"/>
      <c r="AC802" s="58"/>
      <c r="AD802" s="58"/>
      <c r="AE802" s="58"/>
    </row>
    <row r="803">
      <c r="E803" s="58"/>
      <c r="F803" s="58"/>
      <c r="G803" s="59"/>
      <c r="H803" s="58"/>
      <c r="J803" s="58"/>
      <c r="K803" s="1"/>
      <c r="M803" s="58"/>
      <c r="N803" s="58"/>
      <c r="Y803" s="58"/>
      <c r="Z803" s="58"/>
      <c r="AB803" s="58"/>
      <c r="AC803" s="58"/>
      <c r="AD803" s="58"/>
      <c r="AE803" s="58"/>
    </row>
    <row r="804">
      <c r="E804" s="58"/>
      <c r="F804" s="58"/>
      <c r="G804" s="59"/>
      <c r="H804" s="58"/>
      <c r="J804" s="58"/>
      <c r="K804" s="1"/>
      <c r="M804" s="58"/>
      <c r="N804" s="58"/>
      <c r="Y804" s="58"/>
      <c r="Z804" s="58"/>
      <c r="AB804" s="58"/>
      <c r="AC804" s="58"/>
      <c r="AD804" s="58"/>
      <c r="AE804" s="58"/>
    </row>
    <row r="805">
      <c r="E805" s="58"/>
      <c r="F805" s="58"/>
      <c r="G805" s="59"/>
      <c r="H805" s="58"/>
      <c r="J805" s="58"/>
      <c r="K805" s="1"/>
      <c r="M805" s="58"/>
      <c r="N805" s="58"/>
      <c r="Y805" s="58"/>
      <c r="Z805" s="58"/>
      <c r="AB805" s="58"/>
      <c r="AC805" s="58"/>
      <c r="AD805" s="58"/>
      <c r="AE805" s="58"/>
    </row>
    <row r="806">
      <c r="E806" s="58"/>
      <c r="F806" s="58"/>
      <c r="G806" s="59"/>
      <c r="H806" s="58"/>
      <c r="J806" s="58"/>
      <c r="K806" s="1"/>
      <c r="M806" s="58"/>
      <c r="N806" s="58"/>
      <c r="Y806" s="58"/>
      <c r="Z806" s="58"/>
      <c r="AB806" s="58"/>
      <c r="AC806" s="58"/>
      <c r="AD806" s="58"/>
      <c r="AE806" s="58"/>
    </row>
    <row r="807">
      <c r="E807" s="58"/>
      <c r="F807" s="58"/>
      <c r="G807" s="59"/>
      <c r="H807" s="58"/>
      <c r="J807" s="58"/>
      <c r="K807" s="1"/>
      <c r="M807" s="58"/>
      <c r="N807" s="58"/>
      <c r="Y807" s="58"/>
      <c r="Z807" s="58"/>
      <c r="AB807" s="58"/>
      <c r="AC807" s="58"/>
      <c r="AD807" s="58"/>
      <c r="AE807" s="58"/>
    </row>
    <row r="808">
      <c r="E808" s="58"/>
      <c r="F808" s="58"/>
      <c r="G808" s="59"/>
      <c r="H808" s="58"/>
      <c r="J808" s="58"/>
      <c r="K808" s="1"/>
      <c r="M808" s="58"/>
      <c r="N808" s="58"/>
      <c r="Y808" s="58"/>
      <c r="Z808" s="58"/>
      <c r="AB808" s="58"/>
      <c r="AC808" s="58"/>
      <c r="AD808" s="58"/>
      <c r="AE808" s="58"/>
    </row>
    <row r="809">
      <c r="E809" s="58"/>
      <c r="F809" s="58"/>
      <c r="G809" s="59"/>
      <c r="H809" s="58"/>
      <c r="J809" s="58"/>
      <c r="K809" s="1"/>
      <c r="M809" s="58"/>
      <c r="N809" s="58"/>
      <c r="Y809" s="58"/>
      <c r="Z809" s="58"/>
      <c r="AB809" s="58"/>
      <c r="AC809" s="58"/>
      <c r="AD809" s="58"/>
      <c r="AE809" s="58"/>
    </row>
    <row r="810">
      <c r="E810" s="58"/>
      <c r="F810" s="58"/>
      <c r="G810" s="59"/>
      <c r="H810" s="58"/>
      <c r="J810" s="58"/>
      <c r="K810" s="1"/>
      <c r="M810" s="58"/>
      <c r="N810" s="58"/>
      <c r="Y810" s="58"/>
      <c r="Z810" s="58"/>
      <c r="AB810" s="58"/>
      <c r="AC810" s="58"/>
      <c r="AD810" s="58"/>
      <c r="AE810" s="58"/>
    </row>
    <row r="811">
      <c r="E811" s="58"/>
      <c r="F811" s="58"/>
      <c r="G811" s="59"/>
      <c r="H811" s="58"/>
      <c r="J811" s="58"/>
      <c r="K811" s="1"/>
      <c r="M811" s="58"/>
      <c r="N811" s="58"/>
      <c r="Y811" s="58"/>
      <c r="Z811" s="58"/>
      <c r="AB811" s="58"/>
      <c r="AC811" s="58"/>
      <c r="AD811" s="58"/>
      <c r="AE811" s="58"/>
    </row>
    <row r="812">
      <c r="E812" s="58"/>
      <c r="F812" s="58"/>
      <c r="G812" s="59"/>
      <c r="H812" s="58"/>
      <c r="J812" s="58"/>
      <c r="K812" s="1"/>
      <c r="M812" s="58"/>
      <c r="N812" s="58"/>
      <c r="Y812" s="58"/>
      <c r="Z812" s="58"/>
      <c r="AB812" s="58"/>
      <c r="AC812" s="58"/>
      <c r="AD812" s="58"/>
      <c r="AE812" s="58"/>
    </row>
    <row r="813">
      <c r="E813" s="58"/>
      <c r="F813" s="58"/>
      <c r="G813" s="59"/>
      <c r="H813" s="58"/>
      <c r="J813" s="58"/>
      <c r="K813" s="1"/>
      <c r="M813" s="58"/>
      <c r="N813" s="58"/>
      <c r="Y813" s="58"/>
      <c r="Z813" s="58"/>
      <c r="AB813" s="58"/>
      <c r="AC813" s="58"/>
      <c r="AD813" s="58"/>
      <c r="AE813" s="58"/>
    </row>
    <row r="814">
      <c r="E814" s="58"/>
      <c r="F814" s="58"/>
      <c r="G814" s="59"/>
      <c r="H814" s="58"/>
      <c r="J814" s="58"/>
      <c r="K814" s="1"/>
      <c r="M814" s="58"/>
      <c r="N814" s="58"/>
      <c r="Y814" s="58"/>
      <c r="Z814" s="58"/>
      <c r="AB814" s="58"/>
      <c r="AC814" s="58"/>
      <c r="AD814" s="58"/>
      <c r="AE814" s="58"/>
    </row>
    <row r="815">
      <c r="E815" s="58"/>
      <c r="F815" s="58"/>
      <c r="G815" s="59"/>
      <c r="H815" s="58"/>
      <c r="J815" s="58"/>
      <c r="K815" s="1"/>
      <c r="M815" s="58"/>
      <c r="N815" s="58"/>
      <c r="Y815" s="58"/>
      <c r="Z815" s="58"/>
      <c r="AB815" s="58"/>
      <c r="AC815" s="58"/>
      <c r="AD815" s="58"/>
      <c r="AE815" s="58"/>
    </row>
    <row r="816">
      <c r="E816" s="58"/>
      <c r="F816" s="58"/>
      <c r="G816" s="59"/>
      <c r="H816" s="58"/>
      <c r="J816" s="58"/>
      <c r="K816" s="1"/>
      <c r="M816" s="58"/>
      <c r="N816" s="58"/>
      <c r="Y816" s="58"/>
      <c r="Z816" s="58"/>
      <c r="AB816" s="58"/>
      <c r="AC816" s="58"/>
      <c r="AD816" s="58"/>
      <c r="AE816" s="58"/>
    </row>
    <row r="817">
      <c r="E817" s="58"/>
      <c r="F817" s="58"/>
      <c r="G817" s="59"/>
      <c r="H817" s="58"/>
      <c r="J817" s="58"/>
      <c r="K817" s="1"/>
      <c r="M817" s="58"/>
      <c r="N817" s="58"/>
      <c r="Y817" s="58"/>
      <c r="Z817" s="58"/>
      <c r="AB817" s="58"/>
      <c r="AC817" s="58"/>
      <c r="AD817" s="58"/>
      <c r="AE817" s="58"/>
    </row>
    <row r="818">
      <c r="E818" s="58"/>
      <c r="F818" s="58"/>
      <c r="G818" s="59"/>
      <c r="H818" s="58"/>
      <c r="J818" s="58"/>
      <c r="K818" s="1"/>
      <c r="M818" s="58"/>
      <c r="N818" s="58"/>
      <c r="Y818" s="58"/>
      <c r="Z818" s="58"/>
      <c r="AB818" s="58"/>
      <c r="AC818" s="58"/>
      <c r="AD818" s="58"/>
      <c r="AE818" s="58"/>
    </row>
    <row r="819">
      <c r="E819" s="58"/>
      <c r="F819" s="58"/>
      <c r="G819" s="59"/>
      <c r="H819" s="58"/>
      <c r="J819" s="58"/>
      <c r="K819" s="1"/>
      <c r="M819" s="58"/>
      <c r="N819" s="58"/>
      <c r="Y819" s="58"/>
      <c r="Z819" s="58"/>
      <c r="AB819" s="58"/>
      <c r="AC819" s="58"/>
      <c r="AD819" s="58"/>
      <c r="AE819" s="58"/>
    </row>
    <row r="820">
      <c r="E820" s="58"/>
      <c r="F820" s="58"/>
      <c r="G820" s="59"/>
      <c r="H820" s="58"/>
      <c r="J820" s="58"/>
      <c r="K820" s="1"/>
      <c r="M820" s="58"/>
      <c r="N820" s="58"/>
      <c r="Y820" s="58"/>
      <c r="Z820" s="58"/>
      <c r="AB820" s="58"/>
      <c r="AC820" s="58"/>
      <c r="AD820" s="58"/>
      <c r="AE820" s="58"/>
    </row>
    <row r="821">
      <c r="E821" s="58"/>
      <c r="F821" s="58"/>
      <c r="G821" s="59"/>
      <c r="H821" s="58"/>
      <c r="J821" s="58"/>
      <c r="K821" s="1"/>
      <c r="M821" s="58"/>
      <c r="N821" s="58"/>
      <c r="Y821" s="58"/>
      <c r="Z821" s="58"/>
      <c r="AB821" s="58"/>
      <c r="AC821" s="58"/>
      <c r="AD821" s="58"/>
      <c r="AE821" s="58"/>
    </row>
    <row r="822">
      <c r="E822" s="58"/>
      <c r="F822" s="58"/>
      <c r="G822" s="59"/>
      <c r="H822" s="58"/>
      <c r="J822" s="58"/>
      <c r="K822" s="1"/>
      <c r="M822" s="58"/>
      <c r="N822" s="58"/>
      <c r="Y822" s="58"/>
      <c r="Z822" s="58"/>
      <c r="AB822" s="58"/>
      <c r="AC822" s="58"/>
      <c r="AD822" s="58"/>
      <c r="AE822" s="58"/>
    </row>
    <row r="823">
      <c r="E823" s="58"/>
      <c r="F823" s="58"/>
      <c r="G823" s="59"/>
      <c r="H823" s="58"/>
      <c r="J823" s="58"/>
      <c r="K823" s="1"/>
      <c r="M823" s="58"/>
      <c r="N823" s="58"/>
      <c r="Y823" s="58"/>
      <c r="Z823" s="58"/>
      <c r="AB823" s="58"/>
      <c r="AC823" s="58"/>
      <c r="AD823" s="58"/>
      <c r="AE823" s="58"/>
    </row>
    <row r="824">
      <c r="E824" s="58"/>
      <c r="F824" s="58"/>
      <c r="G824" s="59"/>
      <c r="H824" s="58"/>
      <c r="J824" s="58"/>
      <c r="K824" s="1"/>
      <c r="M824" s="58"/>
      <c r="N824" s="58"/>
      <c r="Y824" s="58"/>
      <c r="Z824" s="58"/>
      <c r="AB824" s="58"/>
      <c r="AC824" s="58"/>
      <c r="AD824" s="58"/>
      <c r="AE824" s="58"/>
    </row>
    <row r="825">
      <c r="E825" s="58"/>
      <c r="F825" s="58"/>
      <c r="G825" s="59"/>
      <c r="H825" s="58"/>
      <c r="J825" s="58"/>
      <c r="K825" s="1"/>
      <c r="M825" s="58"/>
      <c r="N825" s="58"/>
      <c r="Y825" s="58"/>
      <c r="Z825" s="58"/>
      <c r="AB825" s="58"/>
      <c r="AC825" s="58"/>
      <c r="AD825" s="58"/>
      <c r="AE825" s="58"/>
    </row>
    <row r="826">
      <c r="E826" s="58"/>
      <c r="F826" s="58"/>
      <c r="G826" s="59"/>
      <c r="H826" s="58"/>
      <c r="J826" s="58"/>
      <c r="K826" s="1"/>
      <c r="M826" s="58"/>
      <c r="N826" s="58"/>
      <c r="Y826" s="58"/>
      <c r="Z826" s="58"/>
      <c r="AB826" s="58"/>
      <c r="AC826" s="58"/>
      <c r="AD826" s="58"/>
      <c r="AE826" s="58"/>
    </row>
    <row r="827">
      <c r="E827" s="58"/>
      <c r="F827" s="58"/>
      <c r="G827" s="59"/>
      <c r="H827" s="58"/>
      <c r="J827" s="58"/>
      <c r="K827" s="1"/>
      <c r="M827" s="58"/>
      <c r="N827" s="58"/>
      <c r="Y827" s="58"/>
      <c r="Z827" s="58"/>
      <c r="AB827" s="58"/>
      <c r="AC827" s="58"/>
      <c r="AD827" s="58"/>
      <c r="AE827" s="58"/>
    </row>
    <row r="828">
      <c r="E828" s="58"/>
      <c r="F828" s="58"/>
      <c r="G828" s="59"/>
      <c r="H828" s="58"/>
      <c r="J828" s="58"/>
      <c r="K828" s="1"/>
      <c r="M828" s="58"/>
      <c r="N828" s="58"/>
      <c r="Y828" s="58"/>
      <c r="Z828" s="58"/>
      <c r="AB828" s="58"/>
      <c r="AC828" s="58"/>
      <c r="AD828" s="58"/>
      <c r="AE828" s="58"/>
    </row>
    <row r="829">
      <c r="E829" s="58"/>
      <c r="F829" s="58"/>
      <c r="G829" s="59"/>
      <c r="H829" s="58"/>
      <c r="J829" s="58"/>
      <c r="K829" s="1"/>
      <c r="M829" s="58"/>
      <c r="N829" s="58"/>
      <c r="Y829" s="58"/>
      <c r="Z829" s="58"/>
      <c r="AB829" s="58"/>
      <c r="AC829" s="58"/>
      <c r="AD829" s="58"/>
      <c r="AE829" s="58"/>
    </row>
    <row r="830">
      <c r="E830" s="58"/>
      <c r="F830" s="58"/>
      <c r="G830" s="59"/>
      <c r="H830" s="58"/>
      <c r="J830" s="58"/>
      <c r="K830" s="1"/>
      <c r="M830" s="58"/>
      <c r="N830" s="58"/>
      <c r="Y830" s="58"/>
      <c r="Z830" s="58"/>
      <c r="AB830" s="58"/>
      <c r="AC830" s="58"/>
      <c r="AD830" s="58"/>
      <c r="AE830" s="58"/>
    </row>
    <row r="831">
      <c r="E831" s="58"/>
      <c r="F831" s="58"/>
      <c r="G831" s="59"/>
      <c r="H831" s="58"/>
      <c r="J831" s="58"/>
      <c r="K831" s="1"/>
      <c r="M831" s="58"/>
      <c r="N831" s="58"/>
      <c r="Y831" s="58"/>
      <c r="Z831" s="58"/>
      <c r="AB831" s="58"/>
      <c r="AC831" s="58"/>
      <c r="AD831" s="58"/>
      <c r="AE831" s="58"/>
    </row>
    <row r="832">
      <c r="E832" s="58"/>
      <c r="F832" s="58"/>
      <c r="G832" s="59"/>
      <c r="H832" s="58"/>
      <c r="J832" s="58"/>
      <c r="K832" s="1"/>
      <c r="M832" s="58"/>
      <c r="N832" s="58"/>
      <c r="Y832" s="58"/>
      <c r="Z832" s="58"/>
      <c r="AB832" s="58"/>
      <c r="AC832" s="58"/>
      <c r="AD832" s="58"/>
      <c r="AE832" s="58"/>
    </row>
    <row r="833">
      <c r="E833" s="58"/>
      <c r="F833" s="58"/>
      <c r="G833" s="59"/>
      <c r="H833" s="58"/>
      <c r="J833" s="58"/>
      <c r="K833" s="1"/>
      <c r="M833" s="58"/>
      <c r="N833" s="58"/>
      <c r="Y833" s="58"/>
      <c r="Z833" s="58"/>
      <c r="AB833" s="58"/>
      <c r="AC833" s="58"/>
      <c r="AD833" s="58"/>
      <c r="AE833" s="58"/>
    </row>
    <row r="834">
      <c r="E834" s="58"/>
      <c r="F834" s="58"/>
      <c r="G834" s="59"/>
      <c r="H834" s="58"/>
      <c r="J834" s="58"/>
      <c r="K834" s="1"/>
      <c r="M834" s="58"/>
      <c r="N834" s="58"/>
      <c r="Y834" s="58"/>
      <c r="Z834" s="58"/>
      <c r="AB834" s="58"/>
      <c r="AC834" s="58"/>
      <c r="AD834" s="58"/>
      <c r="AE834" s="58"/>
    </row>
    <row r="835">
      <c r="E835" s="58"/>
      <c r="F835" s="58"/>
      <c r="G835" s="59"/>
      <c r="H835" s="58"/>
      <c r="J835" s="58"/>
      <c r="K835" s="1"/>
      <c r="M835" s="58"/>
      <c r="N835" s="58"/>
      <c r="Y835" s="58"/>
      <c r="Z835" s="58"/>
      <c r="AB835" s="58"/>
      <c r="AC835" s="58"/>
      <c r="AD835" s="58"/>
      <c r="AE835" s="58"/>
    </row>
    <row r="836">
      <c r="E836" s="58"/>
      <c r="F836" s="58"/>
      <c r="G836" s="59"/>
      <c r="H836" s="58"/>
      <c r="J836" s="58"/>
      <c r="K836" s="1"/>
      <c r="M836" s="58"/>
      <c r="N836" s="58"/>
      <c r="Y836" s="58"/>
      <c r="Z836" s="58"/>
      <c r="AB836" s="58"/>
      <c r="AC836" s="58"/>
      <c r="AD836" s="58"/>
      <c r="AE836" s="58"/>
    </row>
    <row r="837">
      <c r="E837" s="58"/>
      <c r="F837" s="58"/>
      <c r="G837" s="59"/>
      <c r="H837" s="58"/>
      <c r="J837" s="58"/>
      <c r="K837" s="1"/>
      <c r="M837" s="58"/>
      <c r="N837" s="58"/>
      <c r="Y837" s="58"/>
      <c r="Z837" s="58"/>
      <c r="AB837" s="58"/>
      <c r="AC837" s="58"/>
      <c r="AD837" s="58"/>
      <c r="AE837" s="58"/>
    </row>
    <row r="838">
      <c r="E838" s="58"/>
      <c r="F838" s="58"/>
      <c r="G838" s="59"/>
      <c r="H838" s="58"/>
      <c r="J838" s="58"/>
      <c r="K838" s="1"/>
      <c r="M838" s="58"/>
      <c r="N838" s="58"/>
      <c r="Y838" s="58"/>
      <c r="Z838" s="58"/>
      <c r="AB838" s="58"/>
      <c r="AC838" s="58"/>
      <c r="AD838" s="58"/>
      <c r="AE838" s="58"/>
    </row>
    <row r="839">
      <c r="E839" s="58"/>
      <c r="F839" s="58"/>
      <c r="G839" s="59"/>
      <c r="H839" s="58"/>
      <c r="J839" s="58"/>
      <c r="K839" s="1"/>
      <c r="M839" s="58"/>
      <c r="N839" s="58"/>
      <c r="Y839" s="58"/>
      <c r="Z839" s="58"/>
      <c r="AB839" s="58"/>
      <c r="AC839" s="58"/>
      <c r="AD839" s="58"/>
      <c r="AE839" s="58"/>
    </row>
    <row r="840">
      <c r="E840" s="58"/>
      <c r="F840" s="58"/>
      <c r="G840" s="59"/>
      <c r="H840" s="58"/>
      <c r="J840" s="58"/>
      <c r="K840" s="1"/>
      <c r="M840" s="58"/>
      <c r="N840" s="58"/>
      <c r="Y840" s="58"/>
      <c r="Z840" s="58"/>
      <c r="AB840" s="58"/>
      <c r="AC840" s="58"/>
      <c r="AD840" s="58"/>
      <c r="AE840" s="58"/>
    </row>
    <row r="841">
      <c r="E841" s="58"/>
      <c r="F841" s="58"/>
      <c r="G841" s="59"/>
      <c r="H841" s="58"/>
      <c r="J841" s="58"/>
      <c r="K841" s="1"/>
      <c r="M841" s="58"/>
      <c r="N841" s="58"/>
      <c r="Y841" s="58"/>
      <c r="Z841" s="58"/>
      <c r="AB841" s="58"/>
      <c r="AC841" s="58"/>
      <c r="AD841" s="58"/>
      <c r="AE841" s="58"/>
    </row>
    <row r="842">
      <c r="E842" s="58"/>
      <c r="F842" s="58"/>
      <c r="G842" s="59"/>
      <c r="H842" s="58"/>
      <c r="J842" s="58"/>
      <c r="K842" s="1"/>
      <c r="M842" s="58"/>
      <c r="N842" s="58"/>
      <c r="Y842" s="58"/>
      <c r="Z842" s="58"/>
      <c r="AB842" s="58"/>
      <c r="AC842" s="58"/>
      <c r="AD842" s="58"/>
      <c r="AE842" s="58"/>
    </row>
    <row r="843">
      <c r="E843" s="58"/>
      <c r="F843" s="58"/>
      <c r="G843" s="59"/>
      <c r="H843" s="58"/>
      <c r="J843" s="58"/>
      <c r="K843" s="1"/>
      <c r="M843" s="58"/>
      <c r="N843" s="58"/>
      <c r="Y843" s="58"/>
      <c r="Z843" s="58"/>
      <c r="AB843" s="58"/>
      <c r="AC843" s="58"/>
      <c r="AD843" s="58"/>
      <c r="AE843" s="58"/>
    </row>
    <row r="844">
      <c r="E844" s="58"/>
      <c r="F844" s="58"/>
      <c r="G844" s="59"/>
      <c r="H844" s="58"/>
      <c r="J844" s="58"/>
      <c r="K844" s="1"/>
      <c r="M844" s="58"/>
      <c r="N844" s="58"/>
      <c r="Y844" s="58"/>
      <c r="Z844" s="58"/>
      <c r="AB844" s="58"/>
      <c r="AC844" s="58"/>
      <c r="AD844" s="58"/>
      <c r="AE844" s="58"/>
    </row>
    <row r="845">
      <c r="E845" s="58"/>
      <c r="F845" s="58"/>
      <c r="G845" s="59"/>
      <c r="H845" s="58"/>
      <c r="J845" s="58"/>
      <c r="K845" s="1"/>
      <c r="M845" s="58"/>
      <c r="N845" s="58"/>
      <c r="Y845" s="58"/>
      <c r="Z845" s="58"/>
      <c r="AB845" s="58"/>
      <c r="AC845" s="58"/>
      <c r="AD845" s="58"/>
      <c r="AE845" s="58"/>
    </row>
    <row r="846">
      <c r="E846" s="58"/>
      <c r="F846" s="58"/>
      <c r="G846" s="59"/>
      <c r="H846" s="58"/>
      <c r="J846" s="58"/>
      <c r="K846" s="1"/>
      <c r="M846" s="58"/>
      <c r="N846" s="58"/>
      <c r="Y846" s="58"/>
      <c r="Z846" s="58"/>
      <c r="AB846" s="58"/>
      <c r="AC846" s="58"/>
      <c r="AD846" s="58"/>
      <c r="AE846" s="58"/>
    </row>
    <row r="847">
      <c r="E847" s="58"/>
      <c r="F847" s="58"/>
      <c r="G847" s="59"/>
      <c r="H847" s="58"/>
      <c r="J847" s="58"/>
      <c r="K847" s="1"/>
      <c r="M847" s="58"/>
      <c r="N847" s="58"/>
      <c r="Y847" s="58"/>
      <c r="Z847" s="58"/>
      <c r="AB847" s="58"/>
      <c r="AC847" s="58"/>
      <c r="AD847" s="58"/>
      <c r="AE847" s="58"/>
    </row>
    <row r="848">
      <c r="E848" s="58"/>
      <c r="F848" s="58"/>
      <c r="G848" s="59"/>
      <c r="H848" s="58"/>
      <c r="J848" s="58"/>
      <c r="K848" s="1"/>
      <c r="M848" s="58"/>
      <c r="N848" s="58"/>
      <c r="Y848" s="58"/>
      <c r="Z848" s="58"/>
      <c r="AB848" s="58"/>
      <c r="AC848" s="58"/>
      <c r="AD848" s="58"/>
      <c r="AE848" s="58"/>
    </row>
    <row r="849">
      <c r="E849" s="58"/>
      <c r="F849" s="58"/>
      <c r="G849" s="59"/>
      <c r="H849" s="58"/>
      <c r="J849" s="58"/>
      <c r="K849" s="1"/>
      <c r="M849" s="58"/>
      <c r="N849" s="58"/>
      <c r="Y849" s="58"/>
      <c r="Z849" s="58"/>
      <c r="AB849" s="58"/>
      <c r="AC849" s="58"/>
      <c r="AD849" s="58"/>
      <c r="AE849" s="58"/>
    </row>
    <row r="850">
      <c r="E850" s="58"/>
      <c r="F850" s="58"/>
      <c r="G850" s="59"/>
      <c r="H850" s="58"/>
      <c r="J850" s="58"/>
      <c r="K850" s="1"/>
      <c r="M850" s="58"/>
      <c r="N850" s="58"/>
      <c r="Y850" s="58"/>
      <c r="Z850" s="58"/>
      <c r="AB850" s="58"/>
      <c r="AC850" s="58"/>
      <c r="AD850" s="58"/>
      <c r="AE850" s="58"/>
    </row>
    <row r="851">
      <c r="E851" s="58"/>
      <c r="F851" s="58"/>
      <c r="G851" s="59"/>
      <c r="H851" s="58"/>
      <c r="J851" s="58"/>
      <c r="K851" s="1"/>
      <c r="M851" s="58"/>
      <c r="N851" s="58"/>
      <c r="Y851" s="58"/>
      <c r="Z851" s="58"/>
      <c r="AB851" s="58"/>
      <c r="AC851" s="58"/>
      <c r="AD851" s="58"/>
      <c r="AE851" s="58"/>
    </row>
    <row r="852">
      <c r="E852" s="58"/>
      <c r="F852" s="58"/>
      <c r="G852" s="59"/>
      <c r="H852" s="58"/>
      <c r="J852" s="58"/>
      <c r="K852" s="1"/>
      <c r="M852" s="58"/>
      <c r="N852" s="58"/>
      <c r="Y852" s="58"/>
      <c r="Z852" s="58"/>
      <c r="AB852" s="58"/>
      <c r="AC852" s="58"/>
      <c r="AD852" s="58"/>
      <c r="AE852" s="58"/>
    </row>
    <row r="853">
      <c r="E853" s="58"/>
      <c r="F853" s="58"/>
      <c r="G853" s="59"/>
      <c r="H853" s="58"/>
      <c r="J853" s="58"/>
      <c r="K853" s="1"/>
      <c r="M853" s="58"/>
      <c r="N853" s="58"/>
      <c r="Y853" s="58"/>
      <c r="Z853" s="58"/>
      <c r="AB853" s="58"/>
      <c r="AC853" s="58"/>
      <c r="AD853" s="58"/>
      <c r="AE853" s="58"/>
    </row>
    <row r="854">
      <c r="E854" s="58"/>
      <c r="F854" s="58"/>
      <c r="G854" s="59"/>
      <c r="H854" s="58"/>
      <c r="J854" s="58"/>
      <c r="K854" s="1"/>
      <c r="M854" s="58"/>
      <c r="N854" s="58"/>
      <c r="Y854" s="58"/>
      <c r="Z854" s="58"/>
      <c r="AB854" s="58"/>
      <c r="AC854" s="58"/>
      <c r="AD854" s="58"/>
      <c r="AE854" s="58"/>
    </row>
    <row r="855">
      <c r="E855" s="58"/>
      <c r="F855" s="58"/>
      <c r="G855" s="59"/>
      <c r="H855" s="58"/>
      <c r="J855" s="58"/>
      <c r="K855" s="1"/>
      <c r="M855" s="58"/>
      <c r="N855" s="58"/>
      <c r="Y855" s="58"/>
      <c r="Z855" s="58"/>
      <c r="AB855" s="58"/>
      <c r="AC855" s="58"/>
      <c r="AD855" s="58"/>
      <c r="AE855" s="58"/>
    </row>
    <row r="856">
      <c r="E856" s="58"/>
      <c r="F856" s="58"/>
      <c r="G856" s="59"/>
      <c r="H856" s="58"/>
      <c r="J856" s="58"/>
      <c r="K856" s="1"/>
      <c r="M856" s="58"/>
      <c r="N856" s="58"/>
      <c r="Y856" s="58"/>
      <c r="Z856" s="58"/>
      <c r="AB856" s="58"/>
      <c r="AC856" s="58"/>
      <c r="AD856" s="58"/>
      <c r="AE856" s="58"/>
    </row>
    <row r="857">
      <c r="E857" s="58"/>
      <c r="F857" s="58"/>
      <c r="G857" s="59"/>
      <c r="H857" s="58"/>
      <c r="J857" s="58"/>
      <c r="K857" s="1"/>
      <c r="M857" s="58"/>
      <c r="N857" s="58"/>
      <c r="Y857" s="58"/>
      <c r="Z857" s="58"/>
      <c r="AB857" s="58"/>
      <c r="AC857" s="58"/>
      <c r="AD857" s="58"/>
      <c r="AE857" s="58"/>
    </row>
    <row r="858">
      <c r="E858" s="58"/>
      <c r="F858" s="58"/>
      <c r="G858" s="59"/>
      <c r="H858" s="58"/>
      <c r="J858" s="58"/>
      <c r="K858" s="1"/>
      <c r="M858" s="58"/>
      <c r="N858" s="58"/>
      <c r="Y858" s="58"/>
      <c r="Z858" s="58"/>
      <c r="AB858" s="58"/>
      <c r="AC858" s="58"/>
      <c r="AD858" s="58"/>
      <c r="AE858" s="58"/>
    </row>
    <row r="859">
      <c r="E859" s="58"/>
      <c r="F859" s="58"/>
      <c r="G859" s="59"/>
      <c r="H859" s="58"/>
      <c r="J859" s="58"/>
      <c r="K859" s="1"/>
      <c r="M859" s="58"/>
      <c r="N859" s="58"/>
      <c r="Y859" s="58"/>
      <c r="Z859" s="58"/>
      <c r="AB859" s="58"/>
      <c r="AC859" s="58"/>
      <c r="AD859" s="58"/>
      <c r="AE859" s="58"/>
    </row>
    <row r="860">
      <c r="E860" s="58"/>
      <c r="F860" s="58"/>
      <c r="G860" s="59"/>
      <c r="H860" s="58"/>
      <c r="J860" s="58"/>
      <c r="K860" s="1"/>
      <c r="M860" s="58"/>
      <c r="N860" s="58"/>
      <c r="Y860" s="58"/>
      <c r="Z860" s="58"/>
      <c r="AB860" s="58"/>
      <c r="AC860" s="58"/>
      <c r="AD860" s="58"/>
      <c r="AE860" s="58"/>
    </row>
    <row r="861">
      <c r="E861" s="58"/>
      <c r="F861" s="58"/>
      <c r="G861" s="59"/>
      <c r="H861" s="58"/>
      <c r="J861" s="58"/>
      <c r="K861" s="1"/>
      <c r="M861" s="58"/>
      <c r="N861" s="58"/>
      <c r="Y861" s="58"/>
      <c r="Z861" s="58"/>
      <c r="AB861" s="58"/>
      <c r="AC861" s="58"/>
      <c r="AD861" s="58"/>
      <c r="AE861" s="58"/>
    </row>
    <row r="862">
      <c r="E862" s="58"/>
      <c r="F862" s="58"/>
      <c r="G862" s="59"/>
      <c r="H862" s="58"/>
      <c r="J862" s="58"/>
      <c r="K862" s="1"/>
      <c r="M862" s="58"/>
      <c r="N862" s="58"/>
      <c r="Y862" s="58"/>
      <c r="Z862" s="58"/>
      <c r="AB862" s="58"/>
      <c r="AC862" s="58"/>
      <c r="AD862" s="58"/>
      <c r="AE862" s="58"/>
    </row>
    <row r="863">
      <c r="E863" s="58"/>
      <c r="F863" s="58"/>
      <c r="G863" s="59"/>
      <c r="H863" s="58"/>
      <c r="J863" s="58"/>
      <c r="K863" s="1"/>
      <c r="M863" s="58"/>
      <c r="N863" s="58"/>
      <c r="Y863" s="58"/>
      <c r="Z863" s="58"/>
      <c r="AB863" s="58"/>
      <c r="AC863" s="58"/>
      <c r="AD863" s="58"/>
      <c r="AE863" s="58"/>
    </row>
    <row r="864">
      <c r="E864" s="58"/>
      <c r="F864" s="58"/>
      <c r="G864" s="59"/>
      <c r="H864" s="58"/>
      <c r="J864" s="58"/>
      <c r="K864" s="1"/>
      <c r="M864" s="58"/>
      <c r="N864" s="58"/>
      <c r="Y864" s="58"/>
      <c r="Z864" s="58"/>
      <c r="AB864" s="58"/>
      <c r="AC864" s="58"/>
      <c r="AD864" s="58"/>
      <c r="AE864" s="58"/>
    </row>
    <row r="865">
      <c r="E865" s="58"/>
      <c r="F865" s="58"/>
      <c r="G865" s="59"/>
      <c r="H865" s="58"/>
      <c r="J865" s="58"/>
      <c r="K865" s="1"/>
      <c r="M865" s="58"/>
      <c r="N865" s="58"/>
      <c r="Y865" s="58"/>
      <c r="Z865" s="58"/>
      <c r="AB865" s="58"/>
      <c r="AC865" s="58"/>
      <c r="AD865" s="58"/>
      <c r="AE865" s="58"/>
    </row>
    <row r="866">
      <c r="E866" s="58"/>
      <c r="F866" s="58"/>
      <c r="G866" s="59"/>
      <c r="H866" s="58"/>
      <c r="J866" s="58"/>
      <c r="K866" s="1"/>
      <c r="M866" s="58"/>
      <c r="N866" s="58"/>
      <c r="Y866" s="58"/>
      <c r="Z866" s="58"/>
      <c r="AB866" s="58"/>
      <c r="AC866" s="58"/>
      <c r="AD866" s="58"/>
      <c r="AE866" s="58"/>
    </row>
    <row r="867">
      <c r="E867" s="58"/>
      <c r="F867" s="58"/>
      <c r="G867" s="59"/>
      <c r="H867" s="58"/>
      <c r="J867" s="58"/>
      <c r="K867" s="1"/>
      <c r="M867" s="58"/>
      <c r="N867" s="58"/>
      <c r="Y867" s="58"/>
      <c r="Z867" s="58"/>
      <c r="AB867" s="58"/>
      <c r="AC867" s="58"/>
      <c r="AD867" s="58"/>
      <c r="AE867" s="58"/>
    </row>
    <row r="868">
      <c r="E868" s="58"/>
      <c r="F868" s="58"/>
      <c r="G868" s="59"/>
      <c r="H868" s="58"/>
      <c r="J868" s="58"/>
      <c r="K868" s="1"/>
      <c r="M868" s="58"/>
      <c r="N868" s="58"/>
      <c r="Y868" s="58"/>
      <c r="Z868" s="58"/>
      <c r="AB868" s="58"/>
      <c r="AC868" s="58"/>
      <c r="AD868" s="58"/>
      <c r="AE868" s="58"/>
    </row>
    <row r="869">
      <c r="E869" s="58"/>
      <c r="F869" s="58"/>
      <c r="G869" s="59"/>
      <c r="H869" s="58"/>
      <c r="J869" s="58"/>
      <c r="K869" s="1"/>
      <c r="M869" s="58"/>
      <c r="N869" s="58"/>
      <c r="Y869" s="58"/>
      <c r="Z869" s="58"/>
      <c r="AB869" s="58"/>
      <c r="AC869" s="58"/>
      <c r="AD869" s="58"/>
      <c r="AE869" s="58"/>
    </row>
    <row r="870">
      <c r="E870" s="58"/>
      <c r="F870" s="58"/>
      <c r="G870" s="59"/>
      <c r="H870" s="58"/>
      <c r="J870" s="58"/>
      <c r="K870" s="1"/>
      <c r="M870" s="58"/>
      <c r="N870" s="58"/>
      <c r="Y870" s="58"/>
      <c r="Z870" s="58"/>
      <c r="AB870" s="58"/>
      <c r="AC870" s="58"/>
      <c r="AD870" s="58"/>
      <c r="AE870" s="58"/>
    </row>
    <row r="871">
      <c r="E871" s="58"/>
      <c r="F871" s="58"/>
      <c r="G871" s="59"/>
      <c r="H871" s="58"/>
      <c r="J871" s="58"/>
      <c r="K871" s="1"/>
      <c r="M871" s="58"/>
      <c r="N871" s="58"/>
      <c r="Y871" s="58"/>
      <c r="Z871" s="58"/>
      <c r="AB871" s="58"/>
      <c r="AC871" s="58"/>
      <c r="AD871" s="58"/>
      <c r="AE871" s="58"/>
    </row>
    <row r="872">
      <c r="E872" s="58"/>
      <c r="F872" s="58"/>
      <c r="G872" s="59"/>
      <c r="H872" s="58"/>
      <c r="J872" s="58"/>
      <c r="K872" s="1"/>
      <c r="M872" s="58"/>
      <c r="N872" s="58"/>
      <c r="Y872" s="58"/>
      <c r="Z872" s="58"/>
      <c r="AB872" s="58"/>
      <c r="AC872" s="58"/>
      <c r="AD872" s="58"/>
      <c r="AE872" s="58"/>
    </row>
    <row r="873">
      <c r="E873" s="58"/>
      <c r="F873" s="58"/>
      <c r="G873" s="59"/>
      <c r="H873" s="58"/>
      <c r="J873" s="58"/>
      <c r="K873" s="1"/>
      <c r="M873" s="58"/>
      <c r="N873" s="58"/>
      <c r="Y873" s="58"/>
      <c r="Z873" s="58"/>
      <c r="AB873" s="58"/>
      <c r="AC873" s="58"/>
      <c r="AD873" s="58"/>
      <c r="AE873" s="58"/>
    </row>
    <row r="874">
      <c r="E874" s="58"/>
      <c r="F874" s="58"/>
      <c r="G874" s="59"/>
      <c r="H874" s="58"/>
      <c r="J874" s="58"/>
      <c r="K874" s="1"/>
      <c r="M874" s="58"/>
      <c r="N874" s="58"/>
      <c r="Y874" s="58"/>
      <c r="Z874" s="58"/>
      <c r="AB874" s="58"/>
      <c r="AC874" s="58"/>
      <c r="AD874" s="58"/>
      <c r="AE874" s="58"/>
    </row>
    <row r="875">
      <c r="E875" s="58"/>
      <c r="F875" s="58"/>
      <c r="G875" s="59"/>
      <c r="H875" s="58"/>
      <c r="J875" s="58"/>
      <c r="K875" s="1"/>
      <c r="M875" s="58"/>
      <c r="N875" s="58"/>
      <c r="Y875" s="58"/>
      <c r="Z875" s="58"/>
      <c r="AB875" s="58"/>
      <c r="AC875" s="58"/>
      <c r="AD875" s="58"/>
      <c r="AE875" s="58"/>
    </row>
    <row r="876">
      <c r="E876" s="58"/>
      <c r="F876" s="58"/>
      <c r="G876" s="59"/>
      <c r="H876" s="58"/>
      <c r="J876" s="58"/>
      <c r="K876" s="1"/>
      <c r="M876" s="58"/>
      <c r="N876" s="58"/>
      <c r="Y876" s="58"/>
      <c r="Z876" s="58"/>
      <c r="AB876" s="58"/>
      <c r="AC876" s="58"/>
      <c r="AD876" s="58"/>
      <c r="AE876" s="58"/>
    </row>
    <row r="877">
      <c r="E877" s="58"/>
      <c r="F877" s="58"/>
      <c r="G877" s="59"/>
      <c r="H877" s="58"/>
      <c r="J877" s="58"/>
      <c r="K877" s="1"/>
      <c r="M877" s="58"/>
      <c r="N877" s="58"/>
      <c r="Y877" s="58"/>
      <c r="Z877" s="58"/>
      <c r="AB877" s="58"/>
      <c r="AC877" s="58"/>
      <c r="AD877" s="58"/>
      <c r="AE877" s="58"/>
    </row>
    <row r="878">
      <c r="E878" s="58"/>
      <c r="F878" s="58"/>
      <c r="G878" s="59"/>
      <c r="H878" s="58"/>
      <c r="J878" s="58"/>
      <c r="K878" s="1"/>
      <c r="M878" s="58"/>
      <c r="N878" s="58"/>
      <c r="Y878" s="58"/>
      <c r="Z878" s="58"/>
      <c r="AB878" s="58"/>
      <c r="AC878" s="58"/>
      <c r="AD878" s="58"/>
      <c r="AE878" s="58"/>
    </row>
    <row r="879">
      <c r="E879" s="58"/>
      <c r="F879" s="58"/>
      <c r="G879" s="59"/>
      <c r="H879" s="58"/>
      <c r="J879" s="58"/>
      <c r="K879" s="1"/>
      <c r="M879" s="58"/>
      <c r="N879" s="58"/>
      <c r="Y879" s="58"/>
      <c r="Z879" s="58"/>
      <c r="AB879" s="58"/>
      <c r="AC879" s="58"/>
      <c r="AD879" s="58"/>
      <c r="AE879" s="58"/>
    </row>
    <row r="880">
      <c r="E880" s="58"/>
      <c r="F880" s="58"/>
      <c r="G880" s="59"/>
      <c r="H880" s="58"/>
      <c r="J880" s="58"/>
      <c r="K880" s="1"/>
      <c r="M880" s="58"/>
      <c r="N880" s="58"/>
      <c r="Y880" s="58"/>
      <c r="Z880" s="58"/>
      <c r="AB880" s="58"/>
      <c r="AC880" s="58"/>
      <c r="AD880" s="58"/>
      <c r="AE880" s="58"/>
    </row>
    <row r="881">
      <c r="E881" s="58"/>
      <c r="F881" s="58"/>
      <c r="G881" s="59"/>
      <c r="H881" s="58"/>
      <c r="J881" s="58"/>
      <c r="K881" s="1"/>
      <c r="M881" s="58"/>
      <c r="N881" s="58"/>
      <c r="Y881" s="58"/>
      <c r="Z881" s="58"/>
      <c r="AB881" s="58"/>
      <c r="AC881" s="58"/>
      <c r="AD881" s="58"/>
      <c r="AE881" s="58"/>
    </row>
    <row r="882">
      <c r="E882" s="58"/>
      <c r="F882" s="58"/>
      <c r="G882" s="59"/>
      <c r="H882" s="58"/>
      <c r="J882" s="58"/>
      <c r="K882" s="1"/>
      <c r="M882" s="58"/>
      <c r="N882" s="58"/>
      <c r="Y882" s="58"/>
      <c r="Z882" s="58"/>
      <c r="AB882" s="58"/>
      <c r="AC882" s="58"/>
      <c r="AD882" s="58"/>
      <c r="AE882" s="58"/>
    </row>
    <row r="883">
      <c r="E883" s="58"/>
      <c r="F883" s="58"/>
      <c r="G883" s="59"/>
      <c r="H883" s="58"/>
      <c r="J883" s="58"/>
      <c r="K883" s="1"/>
      <c r="M883" s="58"/>
      <c r="N883" s="58"/>
      <c r="Y883" s="58"/>
      <c r="Z883" s="58"/>
      <c r="AB883" s="58"/>
      <c r="AC883" s="58"/>
      <c r="AD883" s="58"/>
      <c r="AE883" s="58"/>
    </row>
    <row r="884">
      <c r="E884" s="58"/>
      <c r="F884" s="58"/>
      <c r="G884" s="59"/>
      <c r="H884" s="58"/>
      <c r="J884" s="58"/>
      <c r="K884" s="1"/>
      <c r="M884" s="58"/>
      <c r="N884" s="58"/>
      <c r="Y884" s="58"/>
      <c r="Z884" s="58"/>
      <c r="AB884" s="58"/>
      <c r="AC884" s="58"/>
      <c r="AD884" s="58"/>
      <c r="AE884" s="58"/>
    </row>
    <row r="885">
      <c r="E885" s="58"/>
      <c r="F885" s="58"/>
      <c r="G885" s="59"/>
      <c r="H885" s="58"/>
      <c r="J885" s="58"/>
      <c r="K885" s="1"/>
      <c r="M885" s="58"/>
      <c r="N885" s="58"/>
      <c r="Y885" s="58"/>
      <c r="Z885" s="58"/>
      <c r="AB885" s="58"/>
      <c r="AC885" s="58"/>
      <c r="AD885" s="58"/>
      <c r="AE885" s="58"/>
    </row>
    <row r="886">
      <c r="E886" s="58"/>
      <c r="F886" s="58"/>
      <c r="G886" s="59"/>
      <c r="H886" s="58"/>
      <c r="J886" s="58"/>
      <c r="K886" s="1"/>
      <c r="M886" s="58"/>
      <c r="N886" s="58"/>
      <c r="Y886" s="58"/>
      <c r="Z886" s="58"/>
      <c r="AB886" s="58"/>
      <c r="AC886" s="58"/>
      <c r="AD886" s="58"/>
      <c r="AE886" s="58"/>
    </row>
    <row r="887">
      <c r="E887" s="58"/>
      <c r="F887" s="58"/>
      <c r="G887" s="59"/>
      <c r="H887" s="58"/>
      <c r="J887" s="58"/>
      <c r="K887" s="1"/>
      <c r="M887" s="58"/>
      <c r="N887" s="58"/>
      <c r="Y887" s="58"/>
      <c r="Z887" s="58"/>
      <c r="AB887" s="58"/>
      <c r="AC887" s="58"/>
      <c r="AD887" s="58"/>
      <c r="AE887" s="58"/>
    </row>
    <row r="888">
      <c r="E888" s="58"/>
      <c r="F888" s="58"/>
      <c r="G888" s="59"/>
      <c r="H888" s="58"/>
      <c r="J888" s="58"/>
      <c r="K888" s="1"/>
      <c r="M888" s="58"/>
      <c r="N888" s="58"/>
      <c r="Y888" s="58"/>
      <c r="Z888" s="58"/>
      <c r="AB888" s="58"/>
      <c r="AC888" s="58"/>
      <c r="AD888" s="58"/>
      <c r="AE888" s="58"/>
    </row>
    <row r="889">
      <c r="E889" s="58"/>
      <c r="F889" s="58"/>
      <c r="G889" s="59"/>
      <c r="H889" s="58"/>
      <c r="J889" s="58"/>
      <c r="K889" s="1"/>
      <c r="M889" s="58"/>
      <c r="N889" s="58"/>
      <c r="Y889" s="58"/>
      <c r="Z889" s="58"/>
      <c r="AB889" s="58"/>
      <c r="AC889" s="58"/>
      <c r="AD889" s="58"/>
      <c r="AE889" s="58"/>
    </row>
    <row r="890">
      <c r="E890" s="58"/>
      <c r="F890" s="58"/>
      <c r="G890" s="59"/>
      <c r="H890" s="58"/>
      <c r="J890" s="58"/>
      <c r="K890" s="1"/>
      <c r="M890" s="58"/>
      <c r="N890" s="58"/>
      <c r="Y890" s="58"/>
      <c r="Z890" s="58"/>
      <c r="AB890" s="58"/>
      <c r="AC890" s="58"/>
      <c r="AD890" s="58"/>
      <c r="AE890" s="58"/>
    </row>
    <row r="891">
      <c r="E891" s="58"/>
      <c r="F891" s="58"/>
      <c r="G891" s="59"/>
      <c r="H891" s="58"/>
      <c r="J891" s="58"/>
      <c r="K891" s="1"/>
      <c r="M891" s="58"/>
      <c r="N891" s="58"/>
      <c r="Y891" s="58"/>
      <c r="Z891" s="58"/>
      <c r="AB891" s="58"/>
      <c r="AC891" s="58"/>
      <c r="AD891" s="58"/>
      <c r="AE891" s="58"/>
    </row>
    <row r="892">
      <c r="E892" s="58"/>
      <c r="F892" s="58"/>
      <c r="G892" s="59"/>
      <c r="H892" s="58"/>
      <c r="J892" s="58"/>
      <c r="K892" s="1"/>
      <c r="M892" s="58"/>
      <c r="N892" s="58"/>
      <c r="Y892" s="58"/>
      <c r="Z892" s="58"/>
      <c r="AB892" s="58"/>
      <c r="AC892" s="58"/>
      <c r="AD892" s="58"/>
      <c r="AE892" s="58"/>
    </row>
    <row r="893">
      <c r="E893" s="58"/>
      <c r="F893" s="58"/>
      <c r="G893" s="59"/>
      <c r="H893" s="58"/>
      <c r="J893" s="58"/>
      <c r="K893" s="1"/>
      <c r="M893" s="58"/>
      <c r="N893" s="58"/>
      <c r="Y893" s="58"/>
      <c r="Z893" s="58"/>
      <c r="AB893" s="58"/>
      <c r="AC893" s="58"/>
      <c r="AD893" s="58"/>
      <c r="AE893" s="58"/>
    </row>
    <row r="894">
      <c r="E894" s="58"/>
      <c r="F894" s="58"/>
      <c r="G894" s="59"/>
      <c r="H894" s="58"/>
      <c r="J894" s="58"/>
      <c r="K894" s="1"/>
      <c r="M894" s="58"/>
      <c r="N894" s="58"/>
      <c r="Y894" s="58"/>
      <c r="Z894" s="58"/>
      <c r="AB894" s="58"/>
      <c r="AC894" s="58"/>
      <c r="AD894" s="58"/>
      <c r="AE894" s="58"/>
    </row>
    <row r="895">
      <c r="E895" s="58"/>
      <c r="F895" s="58"/>
      <c r="G895" s="59"/>
      <c r="H895" s="58"/>
      <c r="J895" s="58"/>
      <c r="K895" s="1"/>
      <c r="M895" s="58"/>
      <c r="N895" s="58"/>
      <c r="Y895" s="58"/>
      <c r="Z895" s="58"/>
      <c r="AB895" s="58"/>
      <c r="AC895" s="58"/>
      <c r="AD895" s="58"/>
      <c r="AE895" s="58"/>
    </row>
    <row r="896">
      <c r="E896" s="58"/>
      <c r="F896" s="58"/>
      <c r="G896" s="59"/>
      <c r="H896" s="58"/>
      <c r="J896" s="58"/>
      <c r="K896" s="1"/>
      <c r="M896" s="58"/>
      <c r="N896" s="58"/>
      <c r="Y896" s="58"/>
      <c r="Z896" s="58"/>
      <c r="AB896" s="58"/>
      <c r="AC896" s="58"/>
      <c r="AD896" s="58"/>
      <c r="AE896" s="58"/>
    </row>
    <row r="897">
      <c r="E897" s="58"/>
      <c r="F897" s="58"/>
      <c r="G897" s="59"/>
      <c r="H897" s="58"/>
      <c r="J897" s="58"/>
      <c r="K897" s="1"/>
      <c r="M897" s="58"/>
      <c r="N897" s="58"/>
      <c r="Y897" s="58"/>
      <c r="Z897" s="58"/>
      <c r="AB897" s="58"/>
      <c r="AC897" s="58"/>
      <c r="AD897" s="58"/>
      <c r="AE897" s="58"/>
    </row>
    <row r="898">
      <c r="E898" s="58"/>
      <c r="F898" s="58"/>
      <c r="G898" s="59"/>
      <c r="H898" s="58"/>
      <c r="J898" s="58"/>
      <c r="K898" s="1"/>
      <c r="M898" s="58"/>
      <c r="N898" s="58"/>
      <c r="Y898" s="58"/>
      <c r="Z898" s="58"/>
      <c r="AB898" s="58"/>
      <c r="AC898" s="58"/>
      <c r="AD898" s="58"/>
      <c r="AE898" s="58"/>
    </row>
    <row r="899">
      <c r="E899" s="58"/>
      <c r="F899" s="58"/>
      <c r="G899" s="59"/>
      <c r="H899" s="58"/>
      <c r="J899" s="58"/>
      <c r="K899" s="1"/>
      <c r="M899" s="58"/>
      <c r="N899" s="58"/>
      <c r="Y899" s="58"/>
      <c r="Z899" s="58"/>
      <c r="AB899" s="58"/>
      <c r="AC899" s="58"/>
      <c r="AD899" s="58"/>
      <c r="AE899" s="58"/>
    </row>
    <row r="900">
      <c r="E900" s="58"/>
      <c r="F900" s="58"/>
      <c r="G900" s="59"/>
      <c r="H900" s="58"/>
      <c r="J900" s="58"/>
      <c r="K900" s="1"/>
      <c r="M900" s="58"/>
      <c r="N900" s="58"/>
      <c r="Y900" s="58"/>
      <c r="Z900" s="58"/>
      <c r="AB900" s="58"/>
      <c r="AC900" s="58"/>
      <c r="AD900" s="58"/>
      <c r="AE900" s="58"/>
    </row>
    <row r="901">
      <c r="E901" s="58"/>
      <c r="F901" s="58"/>
      <c r="G901" s="59"/>
      <c r="H901" s="58"/>
      <c r="J901" s="58"/>
      <c r="K901" s="1"/>
      <c r="M901" s="58"/>
      <c r="N901" s="58"/>
      <c r="Y901" s="58"/>
      <c r="Z901" s="58"/>
      <c r="AB901" s="58"/>
      <c r="AC901" s="58"/>
      <c r="AD901" s="58"/>
      <c r="AE901" s="58"/>
    </row>
    <row r="902">
      <c r="E902" s="58"/>
      <c r="F902" s="58"/>
      <c r="G902" s="59"/>
      <c r="H902" s="58"/>
      <c r="J902" s="58"/>
      <c r="K902" s="1"/>
      <c r="M902" s="58"/>
      <c r="N902" s="58"/>
      <c r="Y902" s="58"/>
      <c r="Z902" s="58"/>
      <c r="AB902" s="58"/>
      <c r="AC902" s="58"/>
      <c r="AD902" s="58"/>
      <c r="AE902" s="58"/>
    </row>
    <row r="903">
      <c r="E903" s="58"/>
      <c r="F903" s="58"/>
      <c r="G903" s="59"/>
      <c r="H903" s="58"/>
      <c r="J903" s="58"/>
      <c r="K903" s="1"/>
      <c r="M903" s="58"/>
      <c r="N903" s="58"/>
      <c r="Y903" s="58"/>
      <c r="Z903" s="58"/>
      <c r="AB903" s="58"/>
      <c r="AC903" s="58"/>
      <c r="AD903" s="58"/>
      <c r="AE903" s="58"/>
    </row>
    <row r="904">
      <c r="E904" s="58"/>
      <c r="F904" s="58"/>
      <c r="G904" s="59"/>
      <c r="H904" s="58"/>
      <c r="J904" s="58"/>
      <c r="K904" s="1"/>
      <c r="M904" s="58"/>
      <c r="N904" s="58"/>
      <c r="Y904" s="58"/>
      <c r="Z904" s="58"/>
      <c r="AB904" s="58"/>
      <c r="AC904" s="58"/>
      <c r="AD904" s="58"/>
      <c r="AE904" s="58"/>
    </row>
    <row r="905">
      <c r="E905" s="58"/>
      <c r="F905" s="58"/>
      <c r="G905" s="59"/>
      <c r="H905" s="58"/>
      <c r="J905" s="58"/>
      <c r="K905" s="1"/>
      <c r="M905" s="58"/>
      <c r="N905" s="58"/>
      <c r="Y905" s="58"/>
      <c r="Z905" s="58"/>
      <c r="AB905" s="58"/>
      <c r="AC905" s="58"/>
      <c r="AD905" s="58"/>
      <c r="AE905" s="58"/>
    </row>
    <row r="906">
      <c r="E906" s="58"/>
      <c r="F906" s="58"/>
      <c r="G906" s="59"/>
      <c r="H906" s="58"/>
      <c r="J906" s="58"/>
      <c r="K906" s="1"/>
      <c r="M906" s="58"/>
      <c r="N906" s="58"/>
      <c r="Y906" s="58"/>
      <c r="Z906" s="58"/>
      <c r="AB906" s="58"/>
      <c r="AC906" s="58"/>
      <c r="AD906" s="58"/>
      <c r="AE906" s="58"/>
    </row>
    <row r="907">
      <c r="E907" s="58"/>
      <c r="F907" s="58"/>
      <c r="G907" s="59"/>
      <c r="H907" s="58"/>
      <c r="J907" s="58"/>
      <c r="K907" s="1"/>
      <c r="M907" s="58"/>
      <c r="N907" s="58"/>
      <c r="Y907" s="58"/>
      <c r="Z907" s="58"/>
      <c r="AB907" s="58"/>
      <c r="AC907" s="58"/>
      <c r="AD907" s="58"/>
      <c r="AE907" s="58"/>
    </row>
    <row r="908">
      <c r="E908" s="58"/>
      <c r="F908" s="58"/>
      <c r="G908" s="59"/>
      <c r="H908" s="58"/>
      <c r="J908" s="58"/>
      <c r="K908" s="1"/>
      <c r="M908" s="58"/>
      <c r="N908" s="58"/>
      <c r="Y908" s="58"/>
      <c r="Z908" s="58"/>
      <c r="AB908" s="58"/>
      <c r="AC908" s="58"/>
      <c r="AD908" s="58"/>
      <c r="AE908" s="58"/>
    </row>
    <row r="909">
      <c r="E909" s="58"/>
      <c r="F909" s="58"/>
      <c r="G909" s="59"/>
      <c r="H909" s="58"/>
      <c r="J909" s="58"/>
      <c r="K909" s="1"/>
      <c r="M909" s="58"/>
      <c r="N909" s="58"/>
      <c r="Y909" s="58"/>
      <c r="Z909" s="58"/>
      <c r="AB909" s="58"/>
      <c r="AC909" s="58"/>
      <c r="AD909" s="58"/>
      <c r="AE909" s="58"/>
    </row>
    <row r="910">
      <c r="E910" s="58"/>
      <c r="F910" s="58"/>
      <c r="G910" s="59"/>
      <c r="H910" s="58"/>
      <c r="J910" s="58"/>
      <c r="K910" s="1"/>
      <c r="M910" s="58"/>
      <c r="N910" s="58"/>
      <c r="Y910" s="58"/>
      <c r="Z910" s="58"/>
      <c r="AB910" s="58"/>
      <c r="AC910" s="58"/>
      <c r="AD910" s="58"/>
      <c r="AE910" s="58"/>
    </row>
    <row r="911">
      <c r="E911" s="58"/>
      <c r="F911" s="58"/>
      <c r="G911" s="59"/>
      <c r="H911" s="58"/>
      <c r="J911" s="58"/>
      <c r="K911" s="1"/>
      <c r="M911" s="58"/>
      <c r="N911" s="58"/>
      <c r="Y911" s="58"/>
      <c r="Z911" s="58"/>
      <c r="AB911" s="58"/>
      <c r="AC911" s="58"/>
      <c r="AD911" s="58"/>
      <c r="AE911" s="58"/>
    </row>
    <row r="912">
      <c r="E912" s="58"/>
      <c r="F912" s="58"/>
      <c r="G912" s="59"/>
      <c r="H912" s="58"/>
      <c r="J912" s="58"/>
      <c r="K912" s="1"/>
      <c r="M912" s="58"/>
      <c r="N912" s="58"/>
      <c r="Y912" s="58"/>
      <c r="Z912" s="58"/>
      <c r="AB912" s="58"/>
      <c r="AC912" s="58"/>
      <c r="AD912" s="58"/>
      <c r="AE912" s="58"/>
    </row>
    <row r="913">
      <c r="E913" s="58"/>
      <c r="F913" s="58"/>
      <c r="G913" s="59"/>
      <c r="H913" s="58"/>
      <c r="J913" s="58"/>
      <c r="K913" s="1"/>
      <c r="M913" s="58"/>
      <c r="N913" s="58"/>
      <c r="Y913" s="58"/>
      <c r="Z913" s="58"/>
      <c r="AB913" s="58"/>
      <c r="AC913" s="58"/>
      <c r="AD913" s="58"/>
      <c r="AE913" s="58"/>
    </row>
    <row r="914">
      <c r="E914" s="58"/>
      <c r="F914" s="58"/>
      <c r="G914" s="59"/>
      <c r="H914" s="58"/>
      <c r="J914" s="58"/>
      <c r="K914" s="1"/>
      <c r="M914" s="58"/>
      <c r="N914" s="58"/>
      <c r="Y914" s="58"/>
      <c r="Z914" s="58"/>
      <c r="AB914" s="58"/>
      <c r="AC914" s="58"/>
      <c r="AD914" s="58"/>
      <c r="AE914" s="58"/>
    </row>
    <row r="915">
      <c r="E915" s="58"/>
      <c r="F915" s="58"/>
      <c r="G915" s="59"/>
      <c r="H915" s="58"/>
      <c r="J915" s="58"/>
      <c r="K915" s="1"/>
      <c r="M915" s="58"/>
      <c r="N915" s="58"/>
      <c r="Y915" s="58"/>
      <c r="Z915" s="58"/>
      <c r="AB915" s="58"/>
      <c r="AC915" s="58"/>
      <c r="AD915" s="58"/>
      <c r="AE915" s="58"/>
    </row>
    <row r="916">
      <c r="E916" s="58"/>
      <c r="F916" s="58"/>
      <c r="G916" s="59"/>
      <c r="H916" s="58"/>
      <c r="J916" s="58"/>
      <c r="K916" s="1"/>
      <c r="M916" s="58"/>
      <c r="N916" s="58"/>
      <c r="Y916" s="58"/>
      <c r="Z916" s="58"/>
      <c r="AB916" s="58"/>
      <c r="AC916" s="58"/>
      <c r="AD916" s="58"/>
      <c r="AE916" s="58"/>
    </row>
    <row r="917">
      <c r="E917" s="58"/>
      <c r="F917" s="58"/>
      <c r="G917" s="59"/>
      <c r="H917" s="58"/>
      <c r="J917" s="58"/>
      <c r="K917" s="1"/>
      <c r="M917" s="58"/>
      <c r="N917" s="58"/>
      <c r="Y917" s="58"/>
      <c r="Z917" s="58"/>
      <c r="AB917" s="58"/>
      <c r="AC917" s="58"/>
      <c r="AD917" s="58"/>
      <c r="AE917" s="58"/>
    </row>
    <row r="918">
      <c r="E918" s="58"/>
      <c r="F918" s="58"/>
      <c r="G918" s="59"/>
      <c r="H918" s="58"/>
      <c r="J918" s="58"/>
      <c r="K918" s="1"/>
      <c r="M918" s="58"/>
      <c r="N918" s="58"/>
      <c r="Y918" s="58"/>
      <c r="Z918" s="58"/>
      <c r="AB918" s="58"/>
      <c r="AC918" s="58"/>
      <c r="AD918" s="58"/>
      <c r="AE918" s="58"/>
    </row>
    <row r="919">
      <c r="E919" s="58"/>
      <c r="F919" s="58"/>
      <c r="G919" s="59"/>
      <c r="H919" s="58"/>
      <c r="J919" s="58"/>
      <c r="K919" s="1"/>
      <c r="M919" s="58"/>
      <c r="N919" s="58"/>
      <c r="Y919" s="58"/>
      <c r="Z919" s="58"/>
      <c r="AB919" s="58"/>
      <c r="AC919" s="58"/>
      <c r="AD919" s="58"/>
      <c r="AE919" s="58"/>
    </row>
    <row r="920">
      <c r="E920" s="58"/>
      <c r="F920" s="58"/>
      <c r="G920" s="59"/>
      <c r="H920" s="58"/>
      <c r="J920" s="58"/>
      <c r="K920" s="1"/>
      <c r="M920" s="58"/>
      <c r="N920" s="58"/>
      <c r="Y920" s="58"/>
      <c r="Z920" s="58"/>
      <c r="AB920" s="58"/>
      <c r="AC920" s="58"/>
      <c r="AD920" s="58"/>
      <c r="AE920" s="58"/>
    </row>
    <row r="921">
      <c r="E921" s="58"/>
      <c r="F921" s="58"/>
      <c r="G921" s="59"/>
      <c r="H921" s="58"/>
      <c r="J921" s="58"/>
      <c r="K921" s="1"/>
      <c r="M921" s="58"/>
      <c r="N921" s="58"/>
      <c r="Y921" s="58"/>
      <c r="Z921" s="58"/>
      <c r="AB921" s="58"/>
      <c r="AC921" s="58"/>
      <c r="AD921" s="58"/>
      <c r="AE921" s="58"/>
    </row>
    <row r="922">
      <c r="E922" s="58"/>
      <c r="F922" s="58"/>
      <c r="G922" s="59"/>
      <c r="H922" s="58"/>
      <c r="J922" s="58"/>
      <c r="K922" s="1"/>
      <c r="M922" s="58"/>
      <c r="N922" s="58"/>
      <c r="Y922" s="58"/>
      <c r="Z922" s="58"/>
      <c r="AB922" s="58"/>
      <c r="AC922" s="58"/>
      <c r="AD922" s="58"/>
      <c r="AE922" s="58"/>
    </row>
    <row r="923">
      <c r="E923" s="58"/>
      <c r="F923" s="58"/>
      <c r="G923" s="59"/>
      <c r="H923" s="58"/>
      <c r="J923" s="58"/>
      <c r="K923" s="1"/>
      <c r="M923" s="58"/>
      <c r="N923" s="58"/>
      <c r="Y923" s="58"/>
      <c r="Z923" s="58"/>
      <c r="AB923" s="58"/>
      <c r="AC923" s="58"/>
      <c r="AD923" s="58"/>
      <c r="AE923" s="58"/>
    </row>
    <row r="924">
      <c r="E924" s="58"/>
      <c r="F924" s="58"/>
      <c r="G924" s="59"/>
      <c r="H924" s="58"/>
      <c r="J924" s="58"/>
      <c r="K924" s="1"/>
      <c r="M924" s="58"/>
      <c r="N924" s="58"/>
      <c r="Y924" s="58"/>
      <c r="Z924" s="58"/>
      <c r="AB924" s="58"/>
      <c r="AC924" s="58"/>
      <c r="AD924" s="58"/>
      <c r="AE924" s="58"/>
    </row>
    <row r="925">
      <c r="E925" s="58"/>
      <c r="F925" s="58"/>
      <c r="G925" s="59"/>
      <c r="H925" s="58"/>
      <c r="J925" s="58"/>
      <c r="K925" s="1"/>
      <c r="M925" s="58"/>
      <c r="N925" s="58"/>
      <c r="Y925" s="58"/>
      <c r="Z925" s="58"/>
      <c r="AB925" s="58"/>
      <c r="AC925" s="58"/>
      <c r="AD925" s="58"/>
      <c r="AE925" s="58"/>
    </row>
    <row r="926">
      <c r="E926" s="58"/>
      <c r="F926" s="58"/>
      <c r="G926" s="59"/>
      <c r="H926" s="58"/>
      <c r="J926" s="58"/>
      <c r="K926" s="1"/>
      <c r="M926" s="58"/>
      <c r="N926" s="58"/>
      <c r="Y926" s="58"/>
      <c r="Z926" s="58"/>
      <c r="AB926" s="58"/>
      <c r="AC926" s="58"/>
      <c r="AD926" s="58"/>
      <c r="AE926" s="58"/>
    </row>
    <row r="927">
      <c r="E927" s="58"/>
      <c r="F927" s="58"/>
      <c r="G927" s="59"/>
      <c r="H927" s="58"/>
      <c r="J927" s="58"/>
      <c r="K927" s="1"/>
      <c r="M927" s="58"/>
      <c r="N927" s="58"/>
      <c r="Y927" s="58"/>
      <c r="Z927" s="58"/>
      <c r="AB927" s="58"/>
      <c r="AC927" s="58"/>
      <c r="AD927" s="58"/>
      <c r="AE927" s="58"/>
    </row>
    <row r="928">
      <c r="E928" s="58"/>
      <c r="F928" s="58"/>
      <c r="G928" s="59"/>
      <c r="H928" s="58"/>
      <c r="J928" s="58"/>
      <c r="K928" s="1"/>
      <c r="M928" s="58"/>
      <c r="N928" s="58"/>
      <c r="Y928" s="58"/>
      <c r="Z928" s="58"/>
      <c r="AB928" s="58"/>
      <c r="AC928" s="58"/>
      <c r="AD928" s="58"/>
      <c r="AE928" s="58"/>
    </row>
    <row r="929">
      <c r="E929" s="58"/>
      <c r="F929" s="58"/>
      <c r="G929" s="59"/>
      <c r="H929" s="58"/>
      <c r="J929" s="58"/>
      <c r="K929" s="1"/>
      <c r="M929" s="58"/>
      <c r="N929" s="58"/>
      <c r="Y929" s="58"/>
      <c r="Z929" s="58"/>
      <c r="AB929" s="58"/>
      <c r="AC929" s="58"/>
      <c r="AD929" s="58"/>
      <c r="AE929" s="58"/>
    </row>
    <row r="930">
      <c r="E930" s="58"/>
      <c r="F930" s="58"/>
      <c r="G930" s="59"/>
      <c r="H930" s="58"/>
      <c r="J930" s="58"/>
      <c r="K930" s="1"/>
      <c r="M930" s="58"/>
      <c r="N930" s="58"/>
      <c r="Y930" s="58"/>
      <c r="Z930" s="58"/>
      <c r="AB930" s="58"/>
      <c r="AC930" s="58"/>
      <c r="AD930" s="58"/>
      <c r="AE930" s="58"/>
    </row>
    <row r="931">
      <c r="E931" s="58"/>
      <c r="F931" s="58"/>
      <c r="G931" s="59"/>
      <c r="H931" s="58"/>
      <c r="J931" s="58"/>
      <c r="K931" s="1"/>
      <c r="M931" s="58"/>
      <c r="N931" s="58"/>
      <c r="Y931" s="58"/>
      <c r="Z931" s="58"/>
      <c r="AB931" s="58"/>
      <c r="AC931" s="58"/>
      <c r="AD931" s="58"/>
      <c r="AE931" s="58"/>
    </row>
    <row r="932">
      <c r="E932" s="58"/>
      <c r="F932" s="58"/>
      <c r="G932" s="59"/>
      <c r="H932" s="58"/>
      <c r="J932" s="58"/>
      <c r="K932" s="1"/>
      <c r="M932" s="58"/>
      <c r="N932" s="58"/>
      <c r="Y932" s="58"/>
      <c r="Z932" s="58"/>
      <c r="AB932" s="58"/>
      <c r="AC932" s="58"/>
      <c r="AD932" s="58"/>
      <c r="AE932" s="58"/>
    </row>
    <row r="933">
      <c r="E933" s="58"/>
      <c r="F933" s="58"/>
      <c r="G933" s="59"/>
      <c r="H933" s="58"/>
      <c r="J933" s="58"/>
      <c r="K933" s="1"/>
      <c r="M933" s="58"/>
      <c r="N933" s="58"/>
      <c r="Y933" s="58"/>
      <c r="Z933" s="58"/>
      <c r="AB933" s="58"/>
      <c r="AC933" s="58"/>
      <c r="AD933" s="58"/>
      <c r="AE933" s="58"/>
    </row>
    <row r="934">
      <c r="E934" s="58"/>
      <c r="F934" s="58"/>
      <c r="G934" s="59"/>
      <c r="H934" s="58"/>
      <c r="J934" s="58"/>
      <c r="K934" s="1"/>
      <c r="M934" s="58"/>
      <c r="N934" s="58"/>
      <c r="Y934" s="58"/>
      <c r="Z934" s="58"/>
      <c r="AB934" s="58"/>
      <c r="AC934" s="58"/>
      <c r="AD934" s="58"/>
      <c r="AE934" s="58"/>
    </row>
    <row r="935">
      <c r="E935" s="58"/>
      <c r="F935" s="58"/>
      <c r="G935" s="59"/>
      <c r="H935" s="58"/>
      <c r="J935" s="58"/>
      <c r="K935" s="1"/>
      <c r="M935" s="58"/>
      <c r="N935" s="58"/>
      <c r="Y935" s="58"/>
      <c r="Z935" s="58"/>
      <c r="AB935" s="58"/>
      <c r="AC935" s="58"/>
      <c r="AD935" s="58"/>
      <c r="AE935" s="58"/>
    </row>
    <row r="936">
      <c r="E936" s="58"/>
      <c r="F936" s="58"/>
      <c r="G936" s="59"/>
      <c r="H936" s="58"/>
      <c r="J936" s="58"/>
      <c r="K936" s="1"/>
      <c r="M936" s="58"/>
      <c r="N936" s="58"/>
      <c r="Y936" s="58"/>
      <c r="Z936" s="58"/>
      <c r="AB936" s="58"/>
      <c r="AC936" s="58"/>
      <c r="AD936" s="58"/>
      <c r="AE936" s="58"/>
    </row>
    <row r="937">
      <c r="E937" s="58"/>
      <c r="F937" s="58"/>
      <c r="G937" s="59"/>
      <c r="H937" s="58"/>
      <c r="J937" s="58"/>
      <c r="K937" s="1"/>
      <c r="M937" s="58"/>
      <c r="N937" s="58"/>
      <c r="Y937" s="58"/>
      <c r="Z937" s="58"/>
      <c r="AB937" s="58"/>
      <c r="AC937" s="58"/>
      <c r="AD937" s="58"/>
      <c r="AE937" s="58"/>
    </row>
    <row r="938">
      <c r="E938" s="58"/>
      <c r="F938" s="58"/>
      <c r="G938" s="59"/>
      <c r="H938" s="58"/>
      <c r="J938" s="58"/>
      <c r="K938" s="1"/>
      <c r="M938" s="58"/>
      <c r="N938" s="58"/>
      <c r="Y938" s="58"/>
      <c r="Z938" s="58"/>
      <c r="AB938" s="58"/>
      <c r="AC938" s="58"/>
      <c r="AD938" s="58"/>
      <c r="AE938" s="58"/>
    </row>
    <row r="939">
      <c r="E939" s="58"/>
      <c r="F939" s="58"/>
      <c r="G939" s="59"/>
      <c r="H939" s="58"/>
      <c r="J939" s="58"/>
      <c r="K939" s="1"/>
      <c r="M939" s="58"/>
      <c r="N939" s="58"/>
      <c r="Y939" s="58"/>
      <c r="Z939" s="58"/>
      <c r="AB939" s="58"/>
      <c r="AC939" s="58"/>
      <c r="AD939" s="58"/>
      <c r="AE939" s="58"/>
    </row>
    <row r="940">
      <c r="E940" s="58"/>
      <c r="F940" s="58"/>
      <c r="G940" s="59"/>
      <c r="H940" s="58"/>
      <c r="J940" s="58"/>
      <c r="K940" s="1"/>
      <c r="M940" s="58"/>
      <c r="N940" s="58"/>
      <c r="Y940" s="58"/>
      <c r="Z940" s="58"/>
      <c r="AB940" s="58"/>
      <c r="AC940" s="58"/>
      <c r="AD940" s="58"/>
      <c r="AE940" s="58"/>
    </row>
    <row r="941">
      <c r="E941" s="58"/>
      <c r="F941" s="58"/>
      <c r="G941" s="59"/>
      <c r="H941" s="58"/>
      <c r="J941" s="58"/>
      <c r="K941" s="1"/>
      <c r="M941" s="58"/>
      <c r="N941" s="58"/>
      <c r="Y941" s="58"/>
      <c r="Z941" s="58"/>
      <c r="AB941" s="58"/>
      <c r="AC941" s="58"/>
      <c r="AD941" s="58"/>
      <c r="AE941" s="58"/>
    </row>
    <row r="942">
      <c r="E942" s="58"/>
      <c r="F942" s="58"/>
      <c r="G942" s="59"/>
      <c r="H942" s="58"/>
      <c r="J942" s="58"/>
      <c r="K942" s="1"/>
      <c r="M942" s="58"/>
      <c r="N942" s="58"/>
      <c r="Y942" s="58"/>
      <c r="Z942" s="58"/>
      <c r="AB942" s="58"/>
      <c r="AC942" s="58"/>
      <c r="AD942" s="58"/>
      <c r="AE942" s="58"/>
    </row>
    <row r="943">
      <c r="E943" s="58"/>
      <c r="F943" s="58"/>
      <c r="G943" s="59"/>
      <c r="H943" s="58"/>
      <c r="J943" s="58"/>
      <c r="K943" s="1"/>
      <c r="M943" s="58"/>
      <c r="N943" s="58"/>
      <c r="Y943" s="58"/>
      <c r="Z943" s="58"/>
      <c r="AB943" s="58"/>
      <c r="AC943" s="58"/>
      <c r="AD943" s="58"/>
      <c r="AE943" s="58"/>
    </row>
    <row r="944">
      <c r="E944" s="58"/>
      <c r="F944" s="58"/>
      <c r="G944" s="59"/>
      <c r="H944" s="58"/>
      <c r="J944" s="58"/>
      <c r="K944" s="1"/>
      <c r="M944" s="58"/>
      <c r="N944" s="58"/>
      <c r="Y944" s="58"/>
      <c r="Z944" s="58"/>
      <c r="AB944" s="58"/>
      <c r="AC944" s="58"/>
      <c r="AD944" s="58"/>
      <c r="AE944" s="58"/>
    </row>
    <row r="945">
      <c r="E945" s="58"/>
      <c r="F945" s="58"/>
      <c r="G945" s="59"/>
      <c r="H945" s="58"/>
      <c r="J945" s="58"/>
      <c r="K945" s="1"/>
      <c r="M945" s="58"/>
      <c r="N945" s="58"/>
      <c r="Y945" s="58"/>
      <c r="Z945" s="58"/>
      <c r="AB945" s="58"/>
      <c r="AC945" s="58"/>
      <c r="AD945" s="58"/>
      <c r="AE945" s="58"/>
    </row>
    <row r="946">
      <c r="E946" s="58"/>
      <c r="F946" s="58"/>
      <c r="G946" s="59"/>
      <c r="H946" s="58"/>
      <c r="J946" s="58"/>
      <c r="K946" s="1"/>
      <c r="M946" s="58"/>
      <c r="N946" s="58"/>
      <c r="Y946" s="58"/>
      <c r="Z946" s="58"/>
      <c r="AB946" s="58"/>
      <c r="AC946" s="58"/>
      <c r="AD946" s="58"/>
      <c r="AE946" s="58"/>
    </row>
    <row r="947">
      <c r="E947" s="58"/>
      <c r="F947" s="58"/>
      <c r="G947" s="59"/>
      <c r="H947" s="58"/>
      <c r="J947" s="58"/>
      <c r="K947" s="1"/>
      <c r="M947" s="58"/>
      <c r="N947" s="58"/>
      <c r="Y947" s="58"/>
      <c r="Z947" s="58"/>
      <c r="AB947" s="58"/>
      <c r="AC947" s="58"/>
      <c r="AD947" s="58"/>
      <c r="AE947" s="58"/>
    </row>
    <row r="948">
      <c r="E948" s="58"/>
      <c r="F948" s="58"/>
      <c r="G948" s="59"/>
      <c r="H948" s="58"/>
      <c r="J948" s="58"/>
      <c r="K948" s="1"/>
      <c r="M948" s="58"/>
      <c r="N948" s="58"/>
      <c r="Y948" s="58"/>
      <c r="Z948" s="58"/>
      <c r="AB948" s="58"/>
      <c r="AC948" s="58"/>
      <c r="AD948" s="58"/>
      <c r="AE948" s="58"/>
    </row>
    <row r="949">
      <c r="E949" s="58"/>
      <c r="F949" s="58"/>
      <c r="G949" s="59"/>
      <c r="H949" s="58"/>
      <c r="J949" s="58"/>
      <c r="K949" s="1"/>
      <c r="M949" s="58"/>
      <c r="N949" s="58"/>
      <c r="Y949" s="58"/>
      <c r="Z949" s="58"/>
      <c r="AB949" s="58"/>
      <c r="AC949" s="58"/>
      <c r="AD949" s="58"/>
      <c r="AE949" s="58"/>
    </row>
    <row r="950">
      <c r="E950" s="58"/>
      <c r="F950" s="58"/>
      <c r="G950" s="59"/>
      <c r="H950" s="58"/>
      <c r="J950" s="58"/>
      <c r="K950" s="1"/>
      <c r="M950" s="58"/>
      <c r="N950" s="58"/>
      <c r="Y950" s="58"/>
      <c r="Z950" s="58"/>
      <c r="AB950" s="58"/>
      <c r="AC950" s="58"/>
      <c r="AD950" s="58"/>
      <c r="AE950" s="58"/>
    </row>
    <row r="951">
      <c r="E951" s="58"/>
      <c r="F951" s="58"/>
      <c r="G951" s="59"/>
      <c r="H951" s="58"/>
      <c r="J951" s="58"/>
      <c r="K951" s="1"/>
      <c r="M951" s="58"/>
      <c r="N951" s="58"/>
      <c r="Y951" s="58"/>
      <c r="Z951" s="58"/>
      <c r="AB951" s="58"/>
      <c r="AC951" s="58"/>
      <c r="AD951" s="58"/>
      <c r="AE951" s="58"/>
    </row>
    <row r="952">
      <c r="E952" s="58"/>
      <c r="F952" s="58"/>
      <c r="G952" s="59"/>
      <c r="H952" s="58"/>
      <c r="J952" s="58"/>
      <c r="K952" s="1"/>
      <c r="M952" s="58"/>
      <c r="N952" s="58"/>
      <c r="Y952" s="58"/>
      <c r="Z952" s="58"/>
      <c r="AB952" s="58"/>
      <c r="AC952" s="58"/>
      <c r="AD952" s="58"/>
      <c r="AE952" s="58"/>
    </row>
    <row r="953">
      <c r="E953" s="58"/>
      <c r="F953" s="58"/>
      <c r="G953" s="59"/>
      <c r="H953" s="58"/>
      <c r="J953" s="58"/>
      <c r="K953" s="1"/>
      <c r="M953" s="58"/>
      <c r="N953" s="58"/>
      <c r="Y953" s="58"/>
      <c r="Z953" s="58"/>
      <c r="AB953" s="58"/>
      <c r="AC953" s="58"/>
      <c r="AD953" s="58"/>
      <c r="AE953" s="58"/>
    </row>
    <row r="954">
      <c r="E954" s="58"/>
      <c r="F954" s="58"/>
      <c r="G954" s="59"/>
      <c r="H954" s="58"/>
      <c r="J954" s="58"/>
      <c r="K954" s="1"/>
      <c r="M954" s="58"/>
      <c r="N954" s="58"/>
      <c r="Y954" s="58"/>
      <c r="Z954" s="58"/>
      <c r="AB954" s="58"/>
      <c r="AC954" s="58"/>
      <c r="AD954" s="58"/>
      <c r="AE954" s="58"/>
    </row>
    <row r="955">
      <c r="E955" s="58"/>
      <c r="F955" s="58"/>
      <c r="G955" s="59"/>
      <c r="H955" s="58"/>
      <c r="J955" s="58"/>
      <c r="K955" s="1"/>
      <c r="M955" s="58"/>
      <c r="N955" s="58"/>
      <c r="Y955" s="58"/>
      <c r="Z955" s="58"/>
      <c r="AB955" s="58"/>
      <c r="AC955" s="58"/>
      <c r="AD955" s="58"/>
      <c r="AE955" s="58"/>
    </row>
    <row r="956">
      <c r="E956" s="58"/>
      <c r="F956" s="58"/>
      <c r="G956" s="59"/>
      <c r="H956" s="58"/>
      <c r="J956" s="58"/>
      <c r="K956" s="1"/>
      <c r="M956" s="58"/>
      <c r="N956" s="58"/>
      <c r="Y956" s="58"/>
      <c r="Z956" s="58"/>
      <c r="AB956" s="58"/>
      <c r="AC956" s="58"/>
      <c r="AD956" s="58"/>
      <c r="AE956" s="58"/>
    </row>
    <row r="957">
      <c r="E957" s="58"/>
      <c r="F957" s="58"/>
      <c r="G957" s="59"/>
      <c r="H957" s="58"/>
      <c r="J957" s="58"/>
      <c r="K957" s="1"/>
      <c r="M957" s="58"/>
      <c r="N957" s="58"/>
      <c r="Y957" s="58"/>
      <c r="Z957" s="58"/>
      <c r="AB957" s="58"/>
      <c r="AC957" s="58"/>
      <c r="AD957" s="58"/>
      <c r="AE957" s="58"/>
    </row>
    <row r="958">
      <c r="E958" s="58"/>
      <c r="F958" s="58"/>
      <c r="G958" s="59"/>
      <c r="H958" s="58"/>
      <c r="J958" s="58"/>
      <c r="K958" s="1"/>
      <c r="M958" s="58"/>
      <c r="N958" s="58"/>
      <c r="Y958" s="58"/>
      <c r="Z958" s="58"/>
      <c r="AB958" s="58"/>
      <c r="AC958" s="58"/>
      <c r="AD958" s="58"/>
      <c r="AE958" s="58"/>
    </row>
    <row r="959">
      <c r="E959" s="58"/>
      <c r="F959" s="58"/>
      <c r="G959" s="59"/>
      <c r="H959" s="58"/>
      <c r="J959" s="58"/>
      <c r="K959" s="1"/>
      <c r="M959" s="58"/>
      <c r="N959" s="58"/>
      <c r="Y959" s="58"/>
      <c r="Z959" s="58"/>
      <c r="AB959" s="58"/>
      <c r="AC959" s="58"/>
      <c r="AD959" s="58"/>
      <c r="AE959" s="58"/>
    </row>
    <row r="960">
      <c r="E960" s="58"/>
      <c r="F960" s="58"/>
      <c r="G960" s="59"/>
      <c r="H960" s="58"/>
      <c r="J960" s="58"/>
      <c r="K960" s="1"/>
      <c r="M960" s="58"/>
      <c r="N960" s="58"/>
      <c r="Y960" s="58"/>
      <c r="Z960" s="58"/>
      <c r="AB960" s="58"/>
      <c r="AC960" s="58"/>
      <c r="AD960" s="58"/>
      <c r="AE960" s="58"/>
    </row>
    <row r="961">
      <c r="E961" s="58"/>
      <c r="F961" s="58"/>
      <c r="G961" s="59"/>
      <c r="H961" s="58"/>
      <c r="J961" s="58"/>
      <c r="K961" s="1"/>
      <c r="M961" s="58"/>
      <c r="N961" s="58"/>
      <c r="Y961" s="58"/>
      <c r="Z961" s="58"/>
      <c r="AB961" s="58"/>
      <c r="AC961" s="58"/>
      <c r="AD961" s="58"/>
      <c r="AE961" s="58"/>
    </row>
    <row r="962">
      <c r="E962" s="58"/>
      <c r="F962" s="58"/>
      <c r="G962" s="59"/>
      <c r="H962" s="58"/>
      <c r="J962" s="58"/>
      <c r="K962" s="1"/>
      <c r="M962" s="58"/>
      <c r="N962" s="58"/>
      <c r="Y962" s="58"/>
      <c r="Z962" s="58"/>
      <c r="AB962" s="58"/>
      <c r="AC962" s="58"/>
      <c r="AD962" s="58"/>
      <c r="AE962" s="58"/>
    </row>
    <row r="963">
      <c r="E963" s="58"/>
      <c r="F963" s="58"/>
      <c r="G963" s="59"/>
      <c r="H963" s="58"/>
      <c r="J963" s="58"/>
      <c r="K963" s="1"/>
      <c r="M963" s="58"/>
      <c r="N963" s="58"/>
      <c r="Y963" s="58"/>
      <c r="Z963" s="58"/>
      <c r="AB963" s="58"/>
      <c r="AC963" s="58"/>
      <c r="AD963" s="58"/>
      <c r="AE963" s="58"/>
    </row>
    <row r="964">
      <c r="E964" s="58"/>
      <c r="F964" s="58"/>
      <c r="G964" s="59"/>
      <c r="H964" s="58"/>
      <c r="J964" s="58"/>
      <c r="K964" s="1"/>
      <c r="M964" s="58"/>
      <c r="N964" s="58"/>
      <c r="Y964" s="58"/>
      <c r="Z964" s="58"/>
      <c r="AB964" s="58"/>
      <c r="AC964" s="58"/>
      <c r="AD964" s="58"/>
      <c r="AE964" s="58"/>
    </row>
    <row r="965">
      <c r="E965" s="58"/>
      <c r="F965" s="58"/>
      <c r="G965" s="59"/>
      <c r="H965" s="58"/>
      <c r="J965" s="58"/>
      <c r="K965" s="1"/>
      <c r="M965" s="58"/>
      <c r="N965" s="58"/>
      <c r="Y965" s="58"/>
      <c r="Z965" s="58"/>
      <c r="AB965" s="58"/>
      <c r="AC965" s="58"/>
      <c r="AD965" s="58"/>
      <c r="AE965" s="58"/>
    </row>
    <row r="966">
      <c r="E966" s="58"/>
      <c r="F966" s="58"/>
      <c r="G966" s="59"/>
      <c r="H966" s="58"/>
      <c r="J966" s="58"/>
      <c r="K966" s="1"/>
      <c r="M966" s="58"/>
      <c r="N966" s="58"/>
      <c r="Y966" s="58"/>
      <c r="Z966" s="58"/>
      <c r="AB966" s="58"/>
      <c r="AC966" s="58"/>
      <c r="AD966" s="58"/>
      <c r="AE966" s="58"/>
    </row>
    <row r="967">
      <c r="E967" s="58"/>
      <c r="F967" s="58"/>
      <c r="G967" s="59"/>
      <c r="H967" s="58"/>
      <c r="J967" s="58"/>
      <c r="K967" s="1"/>
      <c r="M967" s="58"/>
      <c r="N967" s="58"/>
      <c r="Y967" s="58"/>
      <c r="Z967" s="58"/>
      <c r="AB967" s="58"/>
      <c r="AC967" s="58"/>
      <c r="AD967" s="58"/>
      <c r="AE967" s="58"/>
    </row>
    <row r="968">
      <c r="E968" s="58"/>
      <c r="F968" s="58"/>
      <c r="G968" s="59"/>
      <c r="H968" s="58"/>
      <c r="J968" s="58"/>
      <c r="K968" s="1"/>
      <c r="M968" s="58"/>
      <c r="N968" s="58"/>
      <c r="Y968" s="58"/>
      <c r="Z968" s="58"/>
      <c r="AB968" s="58"/>
      <c r="AC968" s="58"/>
      <c r="AD968" s="58"/>
      <c r="AE968" s="58"/>
    </row>
    <row r="969">
      <c r="E969" s="58"/>
      <c r="F969" s="58"/>
      <c r="G969" s="59"/>
      <c r="H969" s="58"/>
      <c r="J969" s="58"/>
      <c r="K969" s="1"/>
      <c r="M969" s="58"/>
      <c r="N969" s="58"/>
      <c r="Y969" s="58"/>
      <c r="Z969" s="58"/>
      <c r="AB969" s="58"/>
      <c r="AC969" s="58"/>
      <c r="AD969" s="58"/>
      <c r="AE969" s="58"/>
    </row>
    <row r="970">
      <c r="E970" s="58"/>
      <c r="F970" s="58"/>
      <c r="G970" s="59"/>
      <c r="H970" s="58"/>
      <c r="J970" s="58"/>
      <c r="K970" s="1"/>
      <c r="M970" s="58"/>
      <c r="N970" s="58"/>
      <c r="Y970" s="58"/>
      <c r="Z970" s="58"/>
      <c r="AB970" s="58"/>
      <c r="AC970" s="58"/>
      <c r="AD970" s="58"/>
      <c r="AE970" s="58"/>
    </row>
    <row r="971">
      <c r="E971" s="58"/>
      <c r="F971" s="58"/>
      <c r="G971" s="59"/>
      <c r="H971" s="58"/>
      <c r="J971" s="58"/>
      <c r="K971" s="1"/>
      <c r="M971" s="58"/>
      <c r="N971" s="58"/>
      <c r="Y971" s="58"/>
      <c r="Z971" s="58"/>
      <c r="AB971" s="58"/>
      <c r="AC971" s="58"/>
      <c r="AD971" s="58"/>
      <c r="AE971" s="58"/>
    </row>
    <row r="972">
      <c r="E972" s="58"/>
      <c r="F972" s="58"/>
      <c r="G972" s="59"/>
      <c r="H972" s="58"/>
      <c r="J972" s="58"/>
      <c r="K972" s="1"/>
      <c r="M972" s="58"/>
      <c r="N972" s="58"/>
      <c r="Y972" s="58"/>
      <c r="Z972" s="58"/>
      <c r="AB972" s="58"/>
      <c r="AC972" s="58"/>
      <c r="AD972" s="58"/>
      <c r="AE972" s="58"/>
    </row>
    <row r="973">
      <c r="E973" s="58"/>
      <c r="F973" s="58"/>
      <c r="G973" s="59"/>
      <c r="H973" s="58"/>
      <c r="J973" s="58"/>
      <c r="K973" s="1"/>
      <c r="M973" s="58"/>
      <c r="N973" s="58"/>
      <c r="Y973" s="58"/>
      <c r="Z973" s="58"/>
      <c r="AB973" s="58"/>
      <c r="AC973" s="58"/>
      <c r="AD973" s="58"/>
      <c r="AE973" s="58"/>
    </row>
    <row r="974">
      <c r="E974" s="58"/>
      <c r="F974" s="58"/>
      <c r="G974" s="59"/>
      <c r="H974" s="58"/>
      <c r="J974" s="58"/>
      <c r="K974" s="1"/>
      <c r="M974" s="58"/>
      <c r="N974" s="58"/>
      <c r="Y974" s="58"/>
      <c r="Z974" s="58"/>
      <c r="AB974" s="58"/>
      <c r="AC974" s="58"/>
      <c r="AD974" s="58"/>
      <c r="AE974" s="58"/>
    </row>
    <row r="975">
      <c r="E975" s="58"/>
      <c r="F975" s="58"/>
      <c r="G975" s="59"/>
      <c r="H975" s="58"/>
      <c r="J975" s="58"/>
      <c r="K975" s="1"/>
      <c r="M975" s="58"/>
      <c r="N975" s="58"/>
      <c r="Y975" s="58"/>
      <c r="Z975" s="58"/>
      <c r="AB975" s="58"/>
      <c r="AC975" s="58"/>
      <c r="AD975" s="58"/>
      <c r="AE975" s="58"/>
    </row>
    <row r="976">
      <c r="E976" s="58"/>
      <c r="F976" s="58"/>
      <c r="G976" s="59"/>
      <c r="H976" s="58"/>
      <c r="J976" s="58"/>
      <c r="K976" s="1"/>
      <c r="M976" s="58"/>
      <c r="N976" s="58"/>
      <c r="Y976" s="58"/>
      <c r="Z976" s="58"/>
      <c r="AB976" s="58"/>
      <c r="AC976" s="58"/>
      <c r="AD976" s="58"/>
      <c r="AE976" s="58"/>
    </row>
    <row r="977">
      <c r="E977" s="58"/>
      <c r="F977" s="58"/>
      <c r="G977" s="59"/>
      <c r="H977" s="58"/>
      <c r="J977" s="58"/>
      <c r="K977" s="1"/>
      <c r="M977" s="58"/>
      <c r="N977" s="58"/>
      <c r="Y977" s="58"/>
      <c r="Z977" s="58"/>
      <c r="AB977" s="58"/>
      <c r="AC977" s="58"/>
      <c r="AD977" s="58"/>
      <c r="AE977" s="58"/>
    </row>
    <row r="978">
      <c r="E978" s="58"/>
      <c r="F978" s="58"/>
      <c r="G978" s="59"/>
      <c r="H978" s="58"/>
      <c r="J978" s="58"/>
      <c r="K978" s="1"/>
      <c r="M978" s="58"/>
      <c r="N978" s="58"/>
      <c r="Y978" s="58"/>
      <c r="Z978" s="58"/>
      <c r="AB978" s="58"/>
      <c r="AC978" s="58"/>
      <c r="AD978" s="58"/>
      <c r="AE978" s="58"/>
    </row>
    <row r="979">
      <c r="E979" s="58"/>
      <c r="F979" s="58"/>
      <c r="G979" s="59"/>
      <c r="H979" s="58"/>
      <c r="J979" s="58"/>
      <c r="K979" s="1"/>
      <c r="M979" s="58"/>
      <c r="N979" s="58"/>
      <c r="Y979" s="58"/>
      <c r="Z979" s="58"/>
      <c r="AB979" s="58"/>
      <c r="AC979" s="58"/>
      <c r="AD979" s="58"/>
      <c r="AE979" s="58"/>
    </row>
    <row r="980">
      <c r="E980" s="58"/>
      <c r="F980" s="58"/>
      <c r="G980" s="59"/>
      <c r="H980" s="58"/>
      <c r="J980" s="58"/>
      <c r="K980" s="1"/>
      <c r="M980" s="58"/>
      <c r="N980" s="58"/>
      <c r="Y980" s="58"/>
      <c r="Z980" s="58"/>
      <c r="AB980" s="58"/>
      <c r="AC980" s="58"/>
      <c r="AD980" s="58"/>
      <c r="AE980" s="58"/>
    </row>
    <row r="981">
      <c r="E981" s="58"/>
      <c r="F981" s="58"/>
      <c r="G981" s="59"/>
      <c r="H981" s="58"/>
      <c r="J981" s="58"/>
      <c r="K981" s="1"/>
      <c r="M981" s="58"/>
      <c r="N981" s="58"/>
      <c r="Y981" s="58"/>
      <c r="Z981" s="58"/>
      <c r="AB981" s="58"/>
      <c r="AC981" s="58"/>
      <c r="AD981" s="58"/>
      <c r="AE981" s="58"/>
    </row>
    <row r="982">
      <c r="E982" s="58"/>
      <c r="F982" s="58"/>
      <c r="G982" s="59"/>
      <c r="H982" s="58"/>
      <c r="J982" s="58"/>
      <c r="K982" s="1"/>
      <c r="M982" s="58"/>
      <c r="N982" s="58"/>
      <c r="Y982" s="58"/>
      <c r="Z982" s="58"/>
      <c r="AB982" s="58"/>
      <c r="AC982" s="58"/>
      <c r="AD982" s="58"/>
      <c r="AE982" s="58"/>
    </row>
    <row r="983">
      <c r="E983" s="58"/>
      <c r="F983" s="58"/>
      <c r="G983" s="59"/>
      <c r="H983" s="58"/>
      <c r="J983" s="58"/>
      <c r="K983" s="1"/>
      <c r="M983" s="58"/>
      <c r="N983" s="58"/>
      <c r="Y983" s="58"/>
      <c r="Z983" s="58"/>
      <c r="AB983" s="58"/>
      <c r="AC983" s="58"/>
      <c r="AD983" s="58"/>
      <c r="AE983" s="58"/>
    </row>
    <row r="984">
      <c r="E984" s="58"/>
      <c r="F984" s="58"/>
      <c r="G984" s="59"/>
      <c r="H984" s="58"/>
      <c r="J984" s="58"/>
      <c r="K984" s="1"/>
      <c r="M984" s="58"/>
      <c r="N984" s="58"/>
      <c r="Y984" s="58"/>
      <c r="Z984" s="58"/>
      <c r="AB984" s="58"/>
      <c r="AC984" s="58"/>
      <c r="AD984" s="58"/>
      <c r="AE984" s="58"/>
    </row>
    <row r="985">
      <c r="E985" s="58"/>
      <c r="F985" s="58"/>
      <c r="G985" s="59"/>
      <c r="H985" s="58"/>
      <c r="J985" s="58"/>
      <c r="K985" s="1"/>
      <c r="M985" s="58"/>
      <c r="N985" s="58"/>
      <c r="Y985" s="58"/>
      <c r="Z985" s="58"/>
      <c r="AB985" s="58"/>
      <c r="AC985" s="58"/>
      <c r="AD985" s="58"/>
      <c r="AE985" s="58"/>
    </row>
    <row r="986">
      <c r="E986" s="58"/>
      <c r="F986" s="58"/>
      <c r="G986" s="59"/>
      <c r="H986" s="58"/>
      <c r="J986" s="58"/>
      <c r="K986" s="1"/>
      <c r="M986" s="58"/>
      <c r="N986" s="58"/>
      <c r="Y986" s="58"/>
      <c r="Z986" s="58"/>
      <c r="AB986" s="58"/>
      <c r="AC986" s="58"/>
      <c r="AD986" s="58"/>
      <c r="AE986" s="58"/>
    </row>
    <row r="987">
      <c r="E987" s="58"/>
      <c r="F987" s="58"/>
      <c r="G987" s="59"/>
      <c r="H987" s="58"/>
      <c r="J987" s="58"/>
      <c r="K987" s="1"/>
      <c r="M987" s="58"/>
      <c r="N987" s="58"/>
      <c r="Y987" s="58"/>
      <c r="Z987" s="58"/>
      <c r="AB987" s="58"/>
      <c r="AC987" s="58"/>
      <c r="AD987" s="58"/>
      <c r="AE987" s="58"/>
    </row>
    <row r="988">
      <c r="E988" s="58"/>
      <c r="F988" s="58"/>
      <c r="G988" s="59"/>
      <c r="H988" s="58"/>
      <c r="J988" s="58"/>
      <c r="K988" s="1"/>
      <c r="M988" s="58"/>
      <c r="N988" s="58"/>
      <c r="Y988" s="58"/>
      <c r="Z988" s="58"/>
      <c r="AB988" s="58"/>
      <c r="AC988" s="58"/>
      <c r="AD988" s="58"/>
      <c r="AE988" s="58"/>
    </row>
    <row r="989">
      <c r="E989" s="58"/>
      <c r="F989" s="58"/>
      <c r="G989" s="59"/>
      <c r="H989" s="58"/>
      <c r="J989" s="58"/>
      <c r="K989" s="1"/>
      <c r="M989" s="58"/>
      <c r="N989" s="58"/>
      <c r="Y989" s="58"/>
      <c r="Z989" s="58"/>
      <c r="AB989" s="58"/>
      <c r="AC989" s="58"/>
      <c r="AD989" s="58"/>
      <c r="AE989" s="58"/>
    </row>
    <row r="990">
      <c r="E990" s="58"/>
      <c r="F990" s="58"/>
      <c r="G990" s="59"/>
      <c r="H990" s="58"/>
      <c r="J990" s="58"/>
      <c r="K990" s="1"/>
      <c r="M990" s="58"/>
      <c r="N990" s="58"/>
      <c r="Y990" s="58"/>
      <c r="Z990" s="58"/>
      <c r="AB990" s="58"/>
      <c r="AC990" s="58"/>
      <c r="AD990" s="58"/>
      <c r="AE990" s="58"/>
    </row>
    <row r="991">
      <c r="E991" s="58"/>
      <c r="F991" s="58"/>
      <c r="G991" s="59"/>
      <c r="H991" s="58"/>
      <c r="J991" s="58"/>
      <c r="K991" s="1"/>
      <c r="M991" s="58"/>
      <c r="N991" s="58"/>
      <c r="Y991" s="58"/>
      <c r="Z991" s="58"/>
      <c r="AB991" s="58"/>
      <c r="AC991" s="58"/>
      <c r="AD991" s="58"/>
      <c r="AE991" s="58"/>
    </row>
    <row r="992">
      <c r="E992" s="58"/>
      <c r="F992" s="58"/>
      <c r="G992" s="59"/>
      <c r="H992" s="58"/>
      <c r="J992" s="58"/>
      <c r="K992" s="1"/>
      <c r="M992" s="58"/>
      <c r="N992" s="58"/>
      <c r="Y992" s="58"/>
      <c r="Z992" s="58"/>
      <c r="AB992" s="58"/>
      <c r="AC992" s="58"/>
      <c r="AD992" s="58"/>
      <c r="AE992" s="58"/>
    </row>
    <row r="993">
      <c r="E993" s="58"/>
      <c r="F993" s="58"/>
      <c r="G993" s="59"/>
      <c r="H993" s="58"/>
      <c r="J993" s="58"/>
      <c r="K993" s="1"/>
      <c r="M993" s="58"/>
      <c r="N993" s="58"/>
      <c r="Y993" s="58"/>
      <c r="Z993" s="58"/>
      <c r="AB993" s="58"/>
      <c r="AC993" s="58"/>
      <c r="AD993" s="58"/>
      <c r="AE993" s="58"/>
    </row>
    <row r="994">
      <c r="E994" s="58"/>
      <c r="F994" s="58"/>
      <c r="G994" s="59"/>
      <c r="H994" s="58"/>
      <c r="J994" s="58"/>
      <c r="K994" s="1"/>
      <c r="M994" s="58"/>
      <c r="N994" s="58"/>
      <c r="Y994" s="58"/>
      <c r="Z994" s="58"/>
      <c r="AB994" s="58"/>
      <c r="AC994" s="58"/>
      <c r="AD994" s="58"/>
      <c r="AE994" s="58"/>
    </row>
    <row r="995">
      <c r="E995" s="58"/>
      <c r="F995" s="58"/>
      <c r="G995" s="59"/>
      <c r="H995" s="58"/>
      <c r="J995" s="58"/>
      <c r="M995" s="58"/>
      <c r="N995" s="58"/>
      <c r="Y995" s="58"/>
      <c r="Z995" s="58"/>
      <c r="AB995" s="58"/>
      <c r="AC995" s="58"/>
      <c r="AD995" s="58"/>
      <c r="AE995" s="58"/>
    </row>
    <row r="996">
      <c r="E996" s="58"/>
      <c r="F996" s="58"/>
      <c r="G996" s="59"/>
      <c r="H996" s="58"/>
      <c r="J996" s="58"/>
      <c r="M996" s="58"/>
      <c r="N996" s="58"/>
      <c r="Y996" s="58"/>
      <c r="Z996" s="58"/>
      <c r="AB996" s="58"/>
      <c r="AC996" s="58"/>
      <c r="AD996" s="58"/>
      <c r="AE996" s="58"/>
    </row>
    <row r="997">
      <c r="E997" s="58"/>
      <c r="F997" s="58"/>
      <c r="G997" s="59"/>
      <c r="H997" s="58"/>
      <c r="J997" s="58"/>
      <c r="M997" s="58"/>
      <c r="N997" s="58"/>
      <c r="Y997" s="58"/>
      <c r="Z997" s="58"/>
      <c r="AB997" s="58"/>
      <c r="AC997" s="58"/>
      <c r="AD997" s="58"/>
      <c r="AE997" s="58"/>
    </row>
    <row r="998">
      <c r="E998" s="58"/>
      <c r="F998" s="58"/>
      <c r="G998" s="59"/>
      <c r="H998" s="58"/>
      <c r="J998" s="58"/>
      <c r="M998" s="58"/>
      <c r="N998" s="58"/>
      <c r="Y998" s="58"/>
      <c r="Z998" s="58"/>
      <c r="AB998" s="58"/>
      <c r="AC998" s="58"/>
      <c r="AD998" s="58"/>
      <c r="AE998" s="58"/>
    </row>
    <row r="999">
      <c r="E999" s="58"/>
      <c r="F999" s="58"/>
      <c r="G999" s="59"/>
      <c r="H999" s="58"/>
      <c r="J999" s="58"/>
      <c r="M999" s="58"/>
      <c r="N999" s="58"/>
      <c r="Y999" s="58"/>
      <c r="Z999" s="58"/>
      <c r="AB999" s="58"/>
      <c r="AC999" s="58"/>
      <c r="AD999" s="58"/>
      <c r="AE999" s="58"/>
    </row>
    <row r="1000">
      <c r="E1000" s="58"/>
      <c r="F1000" s="58"/>
      <c r="G1000" s="59"/>
      <c r="H1000" s="58"/>
      <c r="J1000" s="58"/>
      <c r="M1000" s="58"/>
      <c r="N1000" s="58"/>
      <c r="Y1000" s="58"/>
      <c r="Z1000" s="58"/>
      <c r="AB1000" s="58"/>
      <c r="AC1000" s="58"/>
      <c r="AD1000" s="58"/>
      <c r="AE1000" s="58"/>
    </row>
    <row r="1001">
      <c r="E1001" s="58"/>
      <c r="F1001" s="58"/>
      <c r="G1001" s="59"/>
      <c r="H1001" s="58"/>
      <c r="J1001" s="58"/>
      <c r="M1001" s="58"/>
      <c r="N1001" s="58"/>
      <c r="Y1001" s="58"/>
      <c r="Z1001" s="58"/>
      <c r="AB1001" s="58"/>
      <c r="AC1001" s="58"/>
      <c r="AD1001" s="58"/>
      <c r="AE1001" s="58"/>
    </row>
    <row r="1002">
      <c r="E1002" s="58"/>
      <c r="F1002" s="58"/>
      <c r="G1002" s="59"/>
      <c r="H1002" s="58"/>
      <c r="J1002" s="58"/>
      <c r="M1002" s="58"/>
      <c r="N1002" s="58"/>
      <c r="Y1002" s="58"/>
      <c r="Z1002" s="58"/>
      <c r="AB1002" s="58"/>
      <c r="AC1002" s="58"/>
      <c r="AD1002" s="58"/>
      <c r="AE1002" s="58"/>
    </row>
    <row r="1003">
      <c r="E1003" s="58"/>
      <c r="F1003" s="58"/>
      <c r="G1003" s="59"/>
      <c r="H1003" s="58"/>
      <c r="J1003" s="58"/>
      <c r="M1003" s="58"/>
      <c r="N1003" s="58"/>
      <c r="Y1003" s="58"/>
      <c r="Z1003" s="58"/>
      <c r="AB1003" s="58"/>
      <c r="AC1003" s="58"/>
      <c r="AD1003" s="58"/>
      <c r="AE1003" s="58"/>
    </row>
    <row r="1004">
      <c r="E1004" s="58"/>
      <c r="F1004" s="58"/>
      <c r="G1004" s="59"/>
      <c r="H1004" s="58"/>
      <c r="J1004" s="58"/>
      <c r="M1004" s="58"/>
      <c r="N1004" s="58"/>
      <c r="Y1004" s="58"/>
      <c r="Z1004" s="58"/>
      <c r="AB1004" s="58"/>
      <c r="AC1004" s="58"/>
      <c r="AD1004" s="58"/>
      <c r="AE1004" s="58"/>
    </row>
    <row r="1005">
      <c r="E1005" s="58"/>
      <c r="F1005" s="58"/>
      <c r="G1005" s="59"/>
      <c r="H1005" s="58"/>
      <c r="J1005" s="58"/>
      <c r="M1005" s="58"/>
      <c r="N1005" s="58"/>
      <c r="Y1005" s="58"/>
      <c r="Z1005" s="58"/>
      <c r="AB1005" s="58"/>
      <c r="AC1005" s="58"/>
      <c r="AD1005" s="58"/>
      <c r="AE1005" s="58"/>
    </row>
    <row r="1006">
      <c r="E1006" s="58"/>
      <c r="F1006" s="58"/>
      <c r="G1006" s="59"/>
      <c r="H1006" s="58"/>
      <c r="J1006" s="58"/>
      <c r="M1006" s="58"/>
      <c r="N1006" s="58"/>
      <c r="Y1006" s="58"/>
      <c r="Z1006" s="58"/>
      <c r="AB1006" s="58"/>
      <c r="AC1006" s="58"/>
      <c r="AD1006" s="58"/>
      <c r="AE1006" s="58"/>
    </row>
    <row r="1007">
      <c r="E1007" s="58"/>
      <c r="F1007" s="58"/>
      <c r="G1007" s="59"/>
      <c r="H1007" s="58"/>
      <c r="J1007" s="58"/>
      <c r="M1007" s="58"/>
      <c r="N1007" s="58"/>
      <c r="Y1007" s="58"/>
      <c r="Z1007" s="58"/>
      <c r="AB1007" s="58"/>
      <c r="AC1007" s="58"/>
      <c r="AD1007" s="58"/>
      <c r="AE1007" s="58"/>
    </row>
    <row r="1008">
      <c r="E1008" s="58"/>
      <c r="F1008" s="58"/>
      <c r="G1008" s="59"/>
      <c r="H1008" s="58"/>
      <c r="J1008" s="58"/>
      <c r="M1008" s="58"/>
      <c r="N1008" s="58"/>
      <c r="Y1008" s="58"/>
      <c r="Z1008" s="58"/>
      <c r="AB1008" s="58"/>
      <c r="AC1008" s="58"/>
      <c r="AD1008" s="58"/>
      <c r="AE1008" s="58"/>
    </row>
    <row r="1009">
      <c r="E1009" s="58"/>
      <c r="F1009" s="58"/>
      <c r="G1009" s="59"/>
      <c r="H1009" s="58"/>
      <c r="J1009" s="58"/>
      <c r="M1009" s="58"/>
      <c r="N1009" s="58"/>
      <c r="Y1009" s="58"/>
      <c r="Z1009" s="58"/>
      <c r="AB1009" s="58"/>
      <c r="AC1009" s="58"/>
      <c r="AD1009" s="58"/>
      <c r="AE1009" s="58"/>
    </row>
    <row r="1010">
      <c r="E1010" s="58"/>
      <c r="F1010" s="58"/>
      <c r="G1010" s="59"/>
      <c r="H1010" s="58"/>
      <c r="J1010" s="58"/>
      <c r="M1010" s="58"/>
      <c r="N1010" s="58"/>
      <c r="Y1010" s="58"/>
      <c r="Z1010" s="58"/>
      <c r="AB1010" s="58"/>
      <c r="AC1010" s="58"/>
      <c r="AD1010" s="58"/>
      <c r="AE1010" s="58"/>
    </row>
    <row r="1011">
      <c r="E1011" s="58"/>
      <c r="F1011" s="58"/>
      <c r="G1011" s="59"/>
      <c r="H1011" s="58"/>
      <c r="J1011" s="58"/>
      <c r="M1011" s="58"/>
      <c r="N1011" s="58"/>
      <c r="Y1011" s="58"/>
      <c r="Z1011" s="58"/>
      <c r="AB1011" s="58"/>
      <c r="AC1011" s="58"/>
      <c r="AD1011" s="58"/>
      <c r="AE1011" s="58"/>
    </row>
  </sheetData>
  <autoFilter ref="$A$4:$AF$67"/>
  <customSheetViews>
    <customSheetView guid="{606AF79E-0DE2-4F5D-B2E4-1F7FFA39592C}" filter="1" showAutoFilter="1">
      <autoFilter ref="$A$4:$AQ$89"/>
    </customSheetView>
  </customSheetViews>
  <mergeCells count="5">
    <mergeCell ref="J2:X2"/>
    <mergeCell ref="Y2:AE3"/>
    <mergeCell ref="J3:N3"/>
    <mergeCell ref="O3:S3"/>
    <mergeCell ref="T3:X3"/>
  </mergeCells>
  <conditionalFormatting sqref="C1:C1011 D39 AC63 E66">
    <cfRule type="containsText" dxfId="1" priority="1" operator="containsText" text="Buy">
      <formula>NOT(ISERROR(SEARCH(("Buy"),(C1))))</formula>
    </cfRule>
  </conditionalFormatting>
  <conditionalFormatting sqref="C1:C1011 D39 AC63 E66">
    <cfRule type="containsText" dxfId="2" priority="2" operator="containsText" text="Sell">
      <formula>NOT(ISERROR(SEARCH(("Sell"),(C1))))</formula>
    </cfRule>
  </conditionalFormatting>
  <conditionalFormatting sqref="B1:B2 B4:B1011 C39 AB63 D66">
    <cfRule type="containsText" dxfId="0" priority="3" operator="containsText" text="DIV">
      <formula>NOT(ISERROR(SEARCH(("DIV"),(B1))))</formula>
    </cfRule>
  </conditionalFormatting>
  <conditionalFormatting sqref="H1:H3 J1:J1011 O5:O12 K39 AK63 L66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F64">
    <cfRule type="expression" dxfId="2" priority="5">
      <formula>NOT(ISBLANK($Y5))</formula>
    </cfRule>
  </conditionalFormatting>
  <dataValidations>
    <dataValidation type="list" allowBlank="1" showErrorMessage="1" sqref="AF5:AF64">
      <formula1>"SBI Securities,Zerodha"</formula1>
    </dataValidation>
  </dataValidations>
  <drawing r:id="rId1"/>
</worksheet>
</file>